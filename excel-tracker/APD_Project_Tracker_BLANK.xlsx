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3.xml" ContentType="application/vnd.openxmlformats-officedocument.spreadsheetml.comments+xml"/>
  <Override PartName="/xl/comments29.xml" ContentType="application/vnd.openxmlformats-officedocument.spreadsheetml.comments+xml"/>
  <Override PartName="/xl/comments25.xml" ContentType="application/vnd.openxmlformats-officedocument.spreadsheetml.comments+xml"/>
  <Override PartName="/xl/drawings/drawing22.xml" ContentType="application/vnd.openxmlformats-officedocument.drawing+xml"/>
  <Override PartName="/xl/drawings/vmlDrawing3.vml" ContentType="application/vnd.openxmlformats-officedocument.vmlDrawing"/>
  <Override PartName="/xl/drawings/drawing21.xml" ContentType="application/vnd.openxmlformats-officedocument.drawing+xml"/>
  <Override PartName="/xl/drawings/vmlDrawing2.vml" ContentType="application/vnd.openxmlformats-officedocument.vmlDrawing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vmlDrawing7.vml" ContentType="application/vnd.openxmlformats-officedocument.vmlDrawing"/>
  <Override PartName="/xl/drawings/drawing26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30.xml" ContentType="application/vnd.openxmlformats-officedocument.drawing+xml"/>
  <Override PartName="/xl/drawings/drawing29.xml" ContentType="application/vnd.openxmlformats-officedocument.drawing+xml"/>
  <Override PartName="/xl/drawings/_rels/drawing1.xml.rels" ContentType="application/vnd.openxmlformats-package.relationship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vmlDrawing6.vml" ContentType="application/vnd.openxmlformats-officedocument.vmlDrawing"/>
  <Override PartName="/xl/drawings/drawing2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vmlDrawing5.vml" ContentType="application/vnd.openxmlformats-officedocument.vmlDrawing"/>
  <Override PartName="/xl/drawings/drawing24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vmlDrawing4.vml" ContentType="application/vnd.openxmlformats-officedocument.vmlDrawing"/>
  <Override PartName="/xl/drawings/drawing23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workbook.xml" ContentType="application/vnd.openxmlformats-officedocument.spreadsheetml.sheet.main+xml"/>
  <Override PartName="/xl/comments17.xml" ContentType="application/vnd.openxmlformats-officedocument.spreadsheetml.comments+xml"/>
  <Override PartName="/xl/comments7.xml" ContentType="application/vnd.openxmlformats-officedocument.spreadsheetml.comments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10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4.xml.rels" ContentType="application/vnd.openxmlformats-package.relationships+xml"/>
  <Override PartName="/xl/worksheets/_rels/sheet26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1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Project Summary" sheetId="3" state="visible" r:id="rId5"/>
    <sheet name="Gantt" sheetId="4" state="visible" r:id="rId6"/>
    <sheet name="Charts" sheetId="5" state="visible" r:id="rId7"/>
    <sheet name="Search" sheetId="6" state="visible" r:id="rId8"/>
    <sheet name="Projects" sheetId="7" state="visible" r:id="rId9"/>
    <sheet name="Tasks" sheetId="8" state="visible" r:id="rId10"/>
    <sheet name="Actions" sheetId="9" state="visible" r:id="rId11"/>
    <sheet name="Risks" sheetId="10" state="visible" r:id="rId12"/>
    <sheet name="RFIs" sheetId="11" state="visible" r:id="rId13"/>
    <sheet name="Defects" sheetId="12" state="visible" r:id="rId14"/>
    <sheet name="Variations" sheetId="13" state="visible" r:id="rId15"/>
    <sheet name="EOT Claims" sheetId="14" state="visible" r:id="rId16"/>
    <sheet name="Cash Flow" sheetId="15" state="visible" r:id="rId17"/>
    <sheet name="Milestones" sheetId="16" state="visible" r:id="rId18"/>
    <sheet name="Payment Claims" sheetId="17" state="visible" r:id="rId19"/>
    <sheet name="Contracts" sheetId="18" state="visible" r:id="rId20"/>
    <sheet name="Subcontractors" sheetId="19" state="visible" r:id="rId21"/>
    <sheet name="Permits" sheetId="20" state="visible" r:id="rId22"/>
    <sheet name="Insurance Warranties" sheetId="21" state="visible" r:id="rId23"/>
    <sheet name="Stakeholders" sheetId="22" state="visible" r:id="rId24"/>
    <sheet name="Meeting Minutes" sheetId="23" state="visible" r:id="rId25"/>
    <sheet name="Correspondence" sheetId="24" state="visible" r:id="rId26"/>
    <sheet name="Documents" sheetId="25" state="visible" r:id="rId27"/>
    <sheet name="SQE Issues" sheetId="26" state="visible" r:id="rId28"/>
    <sheet name="Safety Inspections" sheetId="27" state="visible" r:id="rId29"/>
    <sheet name="Env Monitoring" sheetId="28" state="visible" r:id="rId30"/>
    <sheet name="Site Visits" sheetId="29" state="visible" r:id="rId31"/>
    <sheet name="Training Records" sheetId="30" state="visible" r:id="rId32"/>
    <sheet name="Toolbox Talks" sheetId="31" state="visible" r:id="rId33"/>
    <sheet name="Lessons Learned" sheetId="32" state="visible" r:id="rId34"/>
    <sheet name="Enquiries" sheetId="33" state="visible" r:id="rId35"/>
    <sheet name="Tenders" sheetId="34" state="visible" r:id="rId36"/>
    <sheet name="Performance Reviews" sheetId="35" state="visible" r:id="rId37"/>
    <sheet name="Checklist" sheetId="36" state="visible" r:id="rId38"/>
    <sheet name="Activity Log" sheetId="37" state="visible" r:id="rId39"/>
    <sheet name="Lists" sheetId="38" state="visible" r:id="rId40"/>
    <sheet name="Calc" sheetId="39" state="visible" r:id="rId41"/>
  </sheets>
  <definedNames>
    <definedName function="false" hidden="true" localSheetId="8" name="_xlnm._FilterDatabase" vbProcedure="false">Actions!$A$1:$O$501</definedName>
    <definedName function="false" hidden="true" localSheetId="36" name="_xlnm._FilterDatabase" vbProcedure="false">'Activity Log'!$A$1:$F$5001</definedName>
    <definedName function="false" hidden="true" localSheetId="14" name="_xlnm._FilterDatabase" vbProcedure="false">'Cash Flow'!$A$1:$F$2001</definedName>
    <definedName function="false" hidden="true" localSheetId="35" name="_xlnm._FilterDatabase" vbProcedure="false">Checklist!$A$1:$J$501</definedName>
    <definedName function="false" hidden="true" localSheetId="17" name="_xlnm._FilterDatabase" vbProcedure="false">Contracts!$A$1:$S$501</definedName>
    <definedName function="false" hidden="true" localSheetId="23" name="_xlnm._FilterDatabase" vbProcedure="false">Correspondence!$A$1:$L$501</definedName>
    <definedName function="false" hidden="true" localSheetId="11" name="_xlnm._FilterDatabase" vbProcedure="false">Defects!$A$1:$M$501</definedName>
    <definedName function="false" hidden="true" localSheetId="24" name="_xlnm._FilterDatabase" vbProcedure="false">Documents!$A$1:$J$501</definedName>
    <definedName function="false" hidden="true" localSheetId="32" name="_xlnm._FilterDatabase" vbProcedure="false">Enquiries!$A$1:$M$501</definedName>
    <definedName function="false" hidden="true" localSheetId="27" name="_xlnm._FilterDatabase" vbProcedure="false">'Env Monitoring'!$A$1:$K$501</definedName>
    <definedName function="false" hidden="true" localSheetId="13" name="_xlnm._FilterDatabase" vbProcedure="false">'EOT Claims'!$A$1:$L$501</definedName>
    <definedName function="false" hidden="true" localSheetId="20" name="_xlnm._FilterDatabase" vbProcedure="false">'Insurance Warranties'!$A$1:$J$501</definedName>
    <definedName function="false" hidden="true" localSheetId="31" name="_xlnm._FilterDatabase" vbProcedure="false">'Lessons Learned'!$A$1:$F$501</definedName>
    <definedName function="false" hidden="true" localSheetId="22" name="_xlnm._FilterDatabase" vbProcedure="false">'Meeting Minutes'!$A$1:$J$501</definedName>
    <definedName function="false" hidden="true" localSheetId="15" name="_xlnm._FilterDatabase" vbProcedure="false">Milestones!$A$1:$K$501</definedName>
    <definedName function="false" hidden="true" localSheetId="16" name="_xlnm._FilterDatabase" vbProcedure="false">'Payment Claims'!$A$1:$K$501</definedName>
    <definedName function="false" hidden="true" localSheetId="34" name="_xlnm._FilterDatabase" vbProcedure="false">'Performance Reviews'!$A$1:$K$501</definedName>
    <definedName function="false" hidden="true" localSheetId="19" name="_xlnm._FilterDatabase" vbProcedure="false">Permits!$A$1:$K$501</definedName>
    <definedName function="false" hidden="false" localSheetId="2" name="_xlnm.Print_Area" vbProcedure="false">'Project Summary'!$A$1:$I$77</definedName>
    <definedName function="false" hidden="true" localSheetId="6" name="_xlnm._FilterDatabase" vbProcedure="false">Projects!$A$1:$AK$101</definedName>
    <definedName function="false" hidden="true" localSheetId="10" name="_xlnm._FilterDatabase" vbProcedure="false">RFIs!$A$1:$L$501</definedName>
    <definedName function="false" hidden="true" localSheetId="9" name="_xlnm._FilterDatabase" vbProcedure="false">Risks!$A$1:$T$501</definedName>
    <definedName function="false" hidden="true" localSheetId="26" name="_xlnm._FilterDatabase" vbProcedure="false">'Safety Inspections'!$A$1:$K$501</definedName>
    <definedName function="false" hidden="true" localSheetId="28" name="_xlnm._FilterDatabase" vbProcedure="false">'Site Visits'!$A$1:$G$501</definedName>
    <definedName function="false" hidden="true" localSheetId="25" name="_xlnm._FilterDatabase" vbProcedure="false">'SQE Issues'!$A$1:$J$501</definedName>
    <definedName function="false" hidden="true" localSheetId="21" name="_xlnm._FilterDatabase" vbProcedure="false">Stakeholders!$A$1:$G$501</definedName>
    <definedName function="false" hidden="true" localSheetId="18" name="_xlnm._FilterDatabase" vbProcedure="false">Subcontractors!$A$1:$L$501</definedName>
    <definedName function="false" hidden="true" localSheetId="7" name="_xlnm._FilterDatabase" vbProcedure="false">Tasks!$A$1:$I$1001</definedName>
    <definedName function="false" hidden="true" localSheetId="33" name="_xlnm._FilterDatabase" vbProcedure="false">Tenders!$A$1:$N$501</definedName>
    <definedName function="false" hidden="true" localSheetId="30" name="_xlnm._FilterDatabase" vbProcedure="false">'Toolbox Talks'!$A$1:$G$501</definedName>
    <definedName function="false" hidden="true" localSheetId="29" name="_xlnm._FilterDatabase" vbProcedure="false">'Training Records'!$A$1:$I$501</definedName>
    <definedName function="false" hidden="true" localSheetId="12" name="_xlnm._FilterDatabase" vbProcedure="false">Variations!$A$1:$L$501</definedName>
    <definedName function="false" hidden="false" name="lst_ActionStatus" vbProcedure="false">Lists!$K$2:$K$4</definedName>
    <definedName function="false" hidden="false" name="lst_ActionType" vbProcedure="false">Lists!$J$2:$J$3</definedName>
    <definedName function="false" hidden="false" name="lst_CashType" vbProcedure="false">Lists!$D$2:$D$3</definedName>
    <definedName function="false" hidden="false" name="lst_ChecklistPhase" vbProcedure="false">Lists!$R$2:$R$3</definedName>
    <definedName function="false" hidden="false" name="lst_ChecklistStatus" vbProcedure="false">Lists!$S$2:$S$5</definedName>
    <definedName function="false" hidden="false" name="lst_Consequence" vbProcedure="false">Lists!$H$2:$H$6</definedName>
    <definedName function="false" hidden="false" name="lst_ContractStatus" vbProcedure="false">Lists!$AC$2:$AC$4</definedName>
    <definedName function="false" hidden="false" name="lst_CorrStatus" vbProcedure="false">Lists!$AE$2:$AE$3</definedName>
    <definedName function="false" hidden="false" name="lst_DefectStatus" vbProcedure="false">Lists!$T$2:$T$5</definedName>
    <definedName function="false" hidden="false" name="lst_Direction" vbProcedure="false">Lists!$AD$2:$AD$3</definedName>
    <definedName function="false" hidden="false" name="lst_DocStatus" vbProcedure="false">Lists!$X$2:$X$5</definedName>
    <definedName function="false" hidden="false" name="lst_EnquiryCategory" vbProcedure="false">Lists!$Y$2:$Y$6</definedName>
    <definedName function="false" hidden="false" name="lst_EnquiryStatus" vbProcedure="false">Lists!$Z$2:$Z$5</definedName>
    <definedName function="false" hidden="false" name="lst_EotStatus" vbProcedure="false">Lists!$Q$2:$Q$4</definedName>
    <definedName function="false" hidden="false" name="lst_IWType" vbProcedure="false">Lists!$V$2:$V$3</definedName>
    <definedName function="false" hidden="false" name="lst_LessonType" vbProcedure="false">Lists!$M$2:$M$3</definedName>
    <definedName function="false" hidden="false" name="lst_Likelihood" vbProcedure="false">Lists!$G$2:$G$6</definedName>
    <definedName function="false" hidden="false" name="lst_LimitType" vbProcedure="false">Lists!$AF$2:$AF$3</definedName>
    <definedName function="false" hidden="false" name="lst_PartyType" vbProcedure="false">Lists!$AB$2:$AB$3</definedName>
    <definedName function="false" hidden="false" name="lst_PaymentStatus" vbProcedure="false">Lists!$U$2:$U$5</definedName>
    <definedName function="false" hidden="false" name="lst_PermitStatus" vbProcedure="false">Lists!$L$2:$L$4</definedName>
    <definedName function="false" hidden="false" name="lst_Projects" vbProcedure="false">OFFSET(Projects!$A$2,0,0,MAX(1,COUNTA(Projects!$A$2:$A$101)),1)</definedName>
    <definedName function="false" hidden="false" name="lst_ProjectStatus" vbProcedure="false">Lists!$A$2:$A$10</definedName>
    <definedName function="false" hidden="false" name="lst_Rating" vbProcedure="false">Lists!$AJ$2:$AJ$6</definedName>
    <definedName function="false" hidden="false" name="lst_Recurrence" vbProcedure="false">Lists!$C$2:$C$5</definedName>
    <definedName function="false" hidden="false" name="lst_RfiStatus" vbProcedure="false">Lists!$W$2:$W$4</definedName>
    <definedName function="false" hidden="false" name="lst_RiskStatus" vbProcedure="false">Lists!$I$2:$I$4</definedName>
    <definedName function="false" hidden="false" name="lst_RiskType" vbProcedure="false">Lists!$F$2:$F$3</definedName>
    <definedName function="false" hidden="false" name="lst_SafetyInspStatus" vbProcedure="false">Lists!$AG$2:$AG$4</definedName>
    <definedName function="false" hidden="false" name="lst_SqeCategory" vbProcedure="false">Lists!$N$2:$N$4</definedName>
    <definedName function="false" hidden="false" name="lst_SqeSeverity" vbProcedure="false">Lists!$O$2:$O$5</definedName>
    <definedName function="false" hidden="false" name="lst_SqeStatus" vbProcedure="false">Lists!$P$2:$P$4</definedName>
    <definedName function="false" hidden="false" name="lst_SubStatus" vbProcedure="false">Lists!$AA$2:$AA$5</definedName>
    <definedName function="false" hidden="false" name="lst_TaskStatus" vbProcedure="false">Lists!$B$2:$B$4</definedName>
    <definedName function="false" hidden="false" name="lst_TenderMethod" vbProcedure="false">Lists!$AH$2:$AH$5</definedName>
    <definedName function="false" hidden="false" name="lst_TenderStatus" vbProcedure="false">Lists!$AI$2:$AI$6</definedName>
    <definedName function="false" hidden="false" name="lst_VariationStatus" vbProcedure="false">Lists!$E$2:$E$4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Unique name. Registers pick the project from this list.</t>
        </r>
      </text>
    </comment>
    <comment ref="K1" authorId="0">
      <text>
        <r>
          <rPr>
            <sz val="10"/>
            <rFont val="Arial"/>
            <family val="2"/>
          </rPr>
          <t xml:space="preserve">Display only (not part of health maths).</t>
        </r>
      </text>
    </comment>
    <comment ref="M1" authorId="0">
      <text>
        <r>
          <rPr>
            <sz val="10"/>
            <rFont val="Arial"/>
            <family val="2"/>
          </rPr>
          <t xml:space="preserve">Leave blank if unchanged from the original.</t>
        </r>
      </text>
    </comment>
    <comment ref="T1" authorId="0">
      <text>
        <r>
          <rPr>
            <sz val="10"/>
            <rFont val="Arial"/>
            <family val="2"/>
          </rPr>
          <t xml:space="preserve">Actual for months with an actual, otherwise forecast (no double counting).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Leave blank for a portfolio-wide task.</t>
        </r>
      </text>
    </comment>
    <comment ref="F1" authorId="0">
      <text>
        <r>
          <rPr>
            <sz val="10"/>
            <rFont val="Arial"/>
            <family val="2"/>
          </rPr>
          <t xml:space="preserve">Marking a recurring task Done creates the next one (macro).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Optional: title of the meeting the action came from.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Any date in the month; it is normalised to the 1st.</t>
        </r>
      </text>
    </comment>
    <comment ref="F1" authorId="0">
      <text>
        <r>
          <rPr>
            <sz val="10"/>
            <rFont val="Arial"/>
            <family val="2"/>
          </rPr>
          <t xml:space="preserve">An Actual replaces that month's Forecast so nothing is double counted.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Party name of the contract this claim is against (optional).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Paste a OneDrive/SharePoint link to the minutes file.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OneDrive/SharePoint link to the document.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Link to the OneDrive/SharePoint folder of photos for this visit.</t>
        </r>
      </text>
    </comment>
  </commentList>
</comments>
</file>

<file path=xl/sharedStrings.xml><?xml version="1.0" encoding="utf-8"?>
<sst xmlns="http://schemas.openxmlformats.org/spreadsheetml/2006/main" count="826" uniqueCount="503">
  <si>
    <t xml:space="preserve">APD Project Tracker</t>
  </si>
  <si>
    <t xml:space="preserve">A single-file, OneDrive/SharePoint-hosted version of the APD Project Management Dashboard (without the AI features).</t>
  </si>
  <si>
    <t xml:space="preserve">Getting started</t>
  </si>
  <si>
    <t xml:space="preserve">1. Add a project</t>
  </si>
  <si>
    <t xml:space="preserve">Go to Projects and type the project name in the first empty row (column A). Everything else on that row is optional; grey columns calculate themselves.</t>
  </si>
  <si>
    <t xml:space="preserve">2. Log records</t>
  </si>
  <si>
    <t xml:space="preserve">On any register sheet, pick the Project from the dropdown in column A and fill in the row. Dropdowns, date and number checks are built in.</t>
  </si>
  <si>
    <t xml:space="preserve">3. View results</t>
  </si>
  <si>
    <t xml:space="preserve">Dashboard shows the portfolio, alerts and upcoming work. Project Summary (pick a project in C3) is a printable one-page report. Gantt draws the selected project's milestones. Charts shows the trends.</t>
  </si>
  <si>
    <t xml:space="preserve">4. Example rows</t>
  </si>
  <si>
    <t xml:space="preserve">This is the blank copy: every sheet is empty and ready for your data.</t>
  </si>
  <si>
    <t xml:space="preserve">Colour key</t>
  </si>
  <si>
    <t xml:space="preserve">Blue text</t>
  </si>
  <si>
    <t xml:space="preserve">Input cells - type here.</t>
  </si>
  <si>
    <t xml:space="preserve">Grey cells / grey headers</t>
  </si>
  <si>
    <t xml:space="preserve">Formulas - do not overwrite (Project Health, budgets, buckets, flags, ranks).</t>
  </si>
  <si>
    <t xml:space="preserve">Yellow</t>
  </si>
  <si>
    <t xml:space="preserve">Selector cells (Project Summary C3, Search B3).</t>
  </si>
  <si>
    <t xml:space="preserve">Green / Amber / Red</t>
  </si>
  <si>
    <t xml:space="preserve">Health ratings. Schedule and Budget: green below 95%, amber 95-115%, red above 115% (same rules as the web app). Risk: red if any open Critical risk, amber if any High.</t>
  </si>
  <si>
    <t xml:space="preserve">How the numbers work (same rules as the web tool)</t>
  </si>
  <si>
    <t xml:space="preserve">Effective budget</t>
  </si>
  <si>
    <t xml:space="preserve">Latest Approved Budget if entered, otherwise Original Budget plus approved Variations.</t>
  </si>
  <si>
    <t xml:space="preserve">Forecast at completion</t>
  </si>
  <si>
    <t xml:space="preserve">For each project and month, an Actual replaces that month's Forecast - they are never added together. Enter one line per project, month and type.</t>
  </si>
  <si>
    <t xml:space="preserve">Revised completion</t>
  </si>
  <si>
    <t xml:space="preserve">Target Completion plus days from approved EOT Claims (Days Granted, or Days Claimed if none recorded).</t>
  </si>
  <si>
    <t xml:space="preserve">Overdue project</t>
  </si>
  <si>
    <t xml:space="preserve">Target Completion has passed and the status is not Project Completion, Defects Liability, Complete or Cancelled.</t>
  </si>
  <si>
    <t xml:space="preserve">Risk score</t>
  </si>
  <si>
    <t xml:space="preserve">Likelihood (1-5) x Consequence (1-5): 16+ Critical, 10-15 High, 5-9 Medium, below 5 Low.</t>
  </si>
  <si>
    <t xml:space="preserve">Limits (fixed row capacity - extend by copying the last formula row down)</t>
  </si>
  <si>
    <t xml:space="preserve">Projects</t>
  </si>
  <si>
    <t xml:space="preserve">100</t>
  </si>
  <si>
    <t xml:space="preserve">Tasks</t>
  </si>
  <si>
    <t xml:space="preserve">1,000</t>
  </si>
  <si>
    <t xml:space="preserve">Cash Flow</t>
  </si>
  <si>
    <t xml:space="preserve">2,000</t>
  </si>
  <si>
    <t xml:space="preserve">Every other register</t>
  </si>
  <si>
    <t xml:space="preserve">500 rows each</t>
  </si>
  <si>
    <t xml:space="preserve">Dashboard portfolio table</t>
  </si>
  <si>
    <t xml:space="preserve">Shows the first 30 projects; the Projects sheet always shows all.</t>
  </si>
  <si>
    <t xml:space="preserve">Macros (optional - see the VBA folder)</t>
  </si>
  <si>
    <t xml:space="preserve">What they add</t>
  </si>
  <si>
    <t xml:space="preserve">Global search across every sheet, an automatic Activity Log (who changed what, when), recurring tasks (marking a recurring task Done creates the next one), one-click PDF of the Project Summary, a dated backup copy, and an Outlook email digest of overdue / expiring items.</t>
  </si>
  <si>
    <t xml:space="preserve">Without macros</t>
  </si>
  <si>
    <t xml:space="preserve">Everything above that is a formula still works - dashboard, health, alerts, summary, Gantt, charts, dropdowns. Use Ctrl+F (Within: Workbook) for search.</t>
  </si>
  <si>
    <t xml:space="preserve">Keeping the data in your company's OneDrive / SharePoint</t>
  </si>
  <si>
    <t xml:space="preserve">Where to save</t>
  </si>
  <si>
    <t xml:space="preserve">Save this file in a OneDrive for Business or SharePoint document library your IT department approves. The data then lives in the company tenant under its retention, backup and access policies.</t>
  </si>
  <si>
    <t xml:space="preserve">Access control</t>
  </si>
  <si>
    <t xml:space="preserve">Use the library's sharing settings: Edit for the project team, View for read-only stakeholders. Excel Version History restores earlier versions.</t>
  </si>
  <si>
    <t xml:space="preserve">Co-authoring</t>
  </si>
  <si>
    <t xml:space="preserve">Several people can edit the same .xlsx at once in Excel desktop or the browser. Avoid sorting a register while others are editing it.</t>
  </si>
  <si>
    <t xml:space="preserve">What is not in a spreadsheet</t>
  </si>
  <si>
    <t xml:space="preserve">Per-user logins and per-project permissions, file attachments, site photo upload/map, scheduled emails and the AI assistant. Link to files in SharePoint (link columns on Documents, Meeting Minutes and Site Visits) instead.</t>
  </si>
  <si>
    <t xml:space="preserve">Sheet index</t>
  </si>
  <si>
    <t xml:space="preserve">Dashboard</t>
  </si>
  <si>
    <t xml:space="preserve">Portfolio table, alerts, today &amp; upcoming, top risks.</t>
  </si>
  <si>
    <t xml:space="preserve">Project Summary</t>
  </si>
  <si>
    <t xml:space="preserve">One-page report for the selected project.</t>
  </si>
  <si>
    <t xml:space="preserve">Gantt</t>
  </si>
  <si>
    <t xml:space="preserve">Weekly bar chart of the selected project's milestones.</t>
  </si>
  <si>
    <t xml:space="preserve">Charts</t>
  </si>
  <si>
    <t xml:space="preserve">Status, budget vs forecast, S-curve, risk bands.</t>
  </si>
  <si>
    <t xml:space="preserve">Search</t>
  </si>
  <si>
    <t xml:space="preserve">Cross-sheet search (needs the macros).</t>
  </si>
  <si>
    <t xml:space="preserve">One row per project. Grey columns are formulas - do not type in them.</t>
  </si>
  <si>
    <t xml:space="preserve">Register - one row per record.</t>
  </si>
  <si>
    <t xml:space="preserve">Actions</t>
  </si>
  <si>
    <t xml:space="preserve">Risks</t>
  </si>
  <si>
    <t xml:space="preserve">RFIs</t>
  </si>
  <si>
    <t xml:space="preserve">Defects</t>
  </si>
  <si>
    <t xml:space="preserve">Variations</t>
  </si>
  <si>
    <t xml:space="preserve">EOT Claims</t>
  </si>
  <si>
    <t xml:space="preserve">Milestones</t>
  </si>
  <si>
    <t xml:space="preserve">Payment Claims</t>
  </si>
  <si>
    <t xml:space="preserve">Contracts</t>
  </si>
  <si>
    <t xml:space="preserve">Subcontractors</t>
  </si>
  <si>
    <t xml:space="preserve">Permits</t>
  </si>
  <si>
    <t xml:space="preserve">Insurance Warranties</t>
  </si>
  <si>
    <t xml:space="preserve">Stakeholders</t>
  </si>
  <si>
    <t xml:space="preserve">Meeting Minutes</t>
  </si>
  <si>
    <t xml:space="preserve">Correspondence</t>
  </si>
  <si>
    <t xml:space="preserve">Documents</t>
  </si>
  <si>
    <t xml:space="preserve">SQE Issues</t>
  </si>
  <si>
    <t xml:space="preserve">Safety Inspections</t>
  </si>
  <si>
    <t xml:space="preserve">Env Monitoring</t>
  </si>
  <si>
    <t xml:space="preserve">Site Visits</t>
  </si>
  <si>
    <t xml:space="preserve">Training Records</t>
  </si>
  <si>
    <t xml:space="preserve">Toolbox Talks</t>
  </si>
  <si>
    <t xml:space="preserve">Lessons Learned</t>
  </si>
  <si>
    <t xml:space="preserve">Enquiries</t>
  </si>
  <si>
    <t xml:space="preserve">Tenders</t>
  </si>
  <si>
    <t xml:space="preserve">Performance Reviews</t>
  </si>
  <si>
    <t xml:space="preserve">Checklist</t>
  </si>
  <si>
    <t xml:space="preserve">Activity Log</t>
  </si>
  <si>
    <t xml:space="preserve">Written by the macro (ThisWorkbook module). Leave empty if macros are not installed.</t>
  </si>
  <si>
    <t xml:space="preserve">Lists</t>
  </si>
  <si>
    <t xml:space="preserve">Dropdown values. Edit here to change a list.</t>
  </si>
  <si>
    <t xml:space="preserve">Calc</t>
  </si>
  <si>
    <t xml:space="preserve">Chart working figures.</t>
  </si>
  <si>
    <t xml:space="preserve">APD Project Management Dashboard</t>
  </si>
  <si>
    <t xml:space="preserve">As at</t>
  </si>
  <si>
    <t xml:space="preserve">Every figure here is a live formula over the register sheets.</t>
  </si>
  <si>
    <t xml:space="preserve">Total Projects</t>
  </si>
  <si>
    <t xml:space="preserve">In Construction</t>
  </si>
  <si>
    <t xml:space="preserve">Overdue Projects</t>
  </si>
  <si>
    <t xml:space="preserve">Total Approved Budget</t>
  </si>
  <si>
    <t xml:space="preserve">Portfolio (first 30 projects - full list on the Projects sheet)</t>
  </si>
  <si>
    <t xml:space="preserve">Project</t>
  </si>
  <si>
    <t xml:space="preserve">Status</t>
  </si>
  <si>
    <t xml:space="preserve">Project Manager</t>
  </si>
  <si>
    <t xml:space="preserve">Revised Completion</t>
  </si>
  <si>
    <t xml:space="preserve">Effective Budget</t>
  </si>
  <si>
    <t xml:space="preserve">Forecast at Completion</t>
  </si>
  <si>
    <t xml:space="preserve">Budget Variance</t>
  </si>
  <si>
    <t xml:space="preserve">Schedule</t>
  </si>
  <si>
    <t xml:space="preserve">Budget</t>
  </si>
  <si>
    <t xml:space="preserve">Risk</t>
  </si>
  <si>
    <t xml:space="preserve">Overall</t>
  </si>
  <si>
    <t xml:space="preserve">Open Tasks</t>
  </si>
  <si>
    <t xml:space="preserve">Open Actions</t>
  </si>
  <si>
    <t xml:space="preserve">Open RFIs</t>
  </si>
  <si>
    <t xml:space="preserve">Open Defects</t>
  </si>
  <si>
    <t xml:space="preserve">Alerts</t>
  </si>
  <si>
    <t xml:space="preserve">Today &amp; Upcoming</t>
  </si>
  <si>
    <t xml:space="preserve">Alert</t>
  </si>
  <si>
    <t xml:space="preserve">Count</t>
  </si>
  <si>
    <t xml:space="preserve">Due</t>
  </si>
  <si>
    <t xml:space="preserve">Total</t>
  </si>
  <si>
    <t xml:space="preserve">Projects past target completion</t>
  </si>
  <si>
    <t xml:space="preserve">Overdue</t>
  </si>
  <si>
    <t xml:space="preserve">Projects with Red overall health</t>
  </si>
  <si>
    <t xml:space="preserve">Due Today</t>
  </si>
  <si>
    <t xml:space="preserve">Overdue tasks</t>
  </si>
  <si>
    <t xml:space="preserve">Due This Week</t>
  </si>
  <si>
    <t xml:space="preserve">Overdue actions / decisions</t>
  </si>
  <si>
    <t xml:space="preserve">Later</t>
  </si>
  <si>
    <t xml:space="preserve">Overdue RFIs</t>
  </si>
  <si>
    <t xml:space="preserve">No Due Date</t>
  </si>
  <si>
    <t xml:space="preserve">RFIs due within 7 days</t>
  </si>
  <si>
    <t xml:space="preserve">Overdue defects</t>
  </si>
  <si>
    <t xml:space="preserve">Overdue correspondence responses</t>
  </si>
  <si>
    <t xml:space="preserve">Overdue risk actions</t>
  </si>
  <si>
    <t xml:space="preserve">Overdue commissioning / handover items</t>
  </si>
  <si>
    <t xml:space="preserve">Permits expired or expiring (60 days)</t>
  </si>
  <si>
    <t xml:space="preserve">Insurance / warranties expired or expiring</t>
  </si>
  <si>
    <t xml:space="preserve">Subcontractor insurance expired or expiring</t>
  </si>
  <si>
    <t xml:space="preserve">Training records expired or expiring</t>
  </si>
  <si>
    <t xml:space="preserve">Environmental exceedances</t>
  </si>
  <si>
    <t xml:space="preserve">Open High / Critical SQE issues</t>
  </si>
  <si>
    <t xml:space="preserve">Payment claims awaiting certification</t>
  </si>
  <si>
    <t xml:space="preserve">Upcoming tasks (next 15 open, soonest first)</t>
  </si>
  <si>
    <t xml:space="preserve">Upcoming actions &amp; decisions (next 15 open)</t>
  </si>
  <si>
    <t xml:space="preserve">Task</t>
  </si>
  <si>
    <t xml:space="preserve">Bucket</t>
  </si>
  <si>
    <t xml:space="preserve">Action</t>
  </si>
  <si>
    <t xml:space="preserve">Owner</t>
  </si>
  <si>
    <t xml:space="preserve">Top open risks (highest inherent score first)</t>
  </si>
  <si>
    <t xml:space="preserve">Score</t>
  </si>
  <si>
    <t xml:space="preserve">Band</t>
  </si>
  <si>
    <t xml:space="preserve">Pick a project in C3. Print this sheet (or use the PDF macro) as a one-page project report.</t>
  </si>
  <si>
    <t xml:space="preserve">Project:</t>
  </si>
  <si>
    <t xml:space="preserve">Overview</t>
  </si>
  <si>
    <t xml:space="preserve">Health</t>
  </si>
  <si>
    <t xml:space="preserve">Project Director</t>
  </si>
  <si>
    <t xml:space="preserve">Project Sponsor</t>
  </si>
  <si>
    <t xml:space="preserve">Location</t>
  </si>
  <si>
    <t xml:space="preserve">Contractor</t>
  </si>
  <si>
    <t xml:space="preserve">Original Budget</t>
  </si>
  <si>
    <t xml:space="preserve">Start Date</t>
  </si>
  <si>
    <t xml:space="preserve">Latest Approved Budget</t>
  </si>
  <si>
    <t xml:space="preserve">Target Completion</t>
  </si>
  <si>
    <t xml:space="preserve">Approved Variations</t>
  </si>
  <si>
    <t xml:space="preserve">Approved EOT days</t>
  </si>
  <si>
    <t xml:space="preserve">Expenditure to Date</t>
  </si>
  <si>
    <t xml:space="preserve">Actual Completion</t>
  </si>
  <si>
    <t xml:space="preserve">Timeframe elapsed</t>
  </si>
  <si>
    <t xml:space="preserve">Variance (budget - forecast)</t>
  </si>
  <si>
    <t xml:space="preserve">Forecast % of budget</t>
  </si>
  <si>
    <t xml:space="preserve">Open items</t>
  </si>
  <si>
    <t xml:space="preserve">Open tasks</t>
  </si>
  <si>
    <t xml:space="preserve">Open actions</t>
  </si>
  <si>
    <t xml:space="preserve">Open defects</t>
  </si>
  <si>
    <t xml:space="preserve">Activity</t>
  </si>
  <si>
    <t xml:space="preserve">WBS</t>
  </si>
  <si>
    <t xml:space="preserve">% Complete</t>
  </si>
  <si>
    <t xml:space="preserve">Original</t>
  </si>
  <si>
    <t xml:space="preserve">Forecast</t>
  </si>
  <si>
    <t xml:space="preserve">Slip (days)</t>
  </si>
  <si>
    <t xml:space="preserve">Top open risks</t>
  </si>
  <si>
    <t xml:space="preserve">Mitigation</t>
  </si>
  <si>
    <t xml:space="preserve">Title</t>
  </si>
  <si>
    <t xml:space="preserve">Reference</t>
  </si>
  <si>
    <t xml:space="preserve">Cost Impact</t>
  </si>
  <si>
    <t xml:space="preserve">Time (days)</t>
  </si>
  <si>
    <t xml:space="preserve">Date Raised</t>
  </si>
  <si>
    <t xml:space="preserve">Open actions &amp; decisions</t>
  </si>
  <si>
    <t xml:space="preserve">Type</t>
  </si>
  <si>
    <t xml:space="preserve">Gantt - milestones for the project selected on 'Project Summary'</t>
  </si>
  <si>
    <t xml:space="preserve">Blue = planned span (start to forecast completion); green = % complete. The red header marks the current week.</t>
  </si>
  <si>
    <t xml:space="preserve">Start</t>
  </si>
  <si>
    <t xml:space="preserve">Finish</t>
  </si>
  <si>
    <t xml:space="preserve">%</t>
  </si>
  <si>
    <t xml:space="preserve">Driven by the Dashboard portfolio table and the Calc sheet.</t>
  </si>
  <si>
    <t xml:space="preserve">Global Search</t>
  </si>
  <si>
    <t xml:space="preserve">Type a word in B3 and press Enter. Needs the macros (see VBA/README). Without them use Ctrl+F &gt; Options &gt; Within: Workbook.</t>
  </si>
  <si>
    <t xml:space="preserve">Search for:</t>
  </si>
  <si>
    <t xml:space="preserve">Sheet</t>
  </si>
  <si>
    <t xml:space="preserve">Row key</t>
  </si>
  <si>
    <t xml:space="preserve">Matching text</t>
  </si>
  <si>
    <t xml:space="preserve">Go to</t>
  </si>
  <si>
    <t xml:space="preserve">Project Name</t>
  </si>
  <si>
    <t xml:space="preserve">Description</t>
  </si>
  <si>
    <t xml:space="preserve">Asset Type</t>
  </si>
  <si>
    <t xml:space="preserve">BP Ref No</t>
  </si>
  <si>
    <t xml:space="preserve">Contract Value</t>
  </si>
  <si>
    <t xml:space="preserve">Approved EOT Days</t>
  </si>
  <si>
    <t xml:space="preserve">Schedule Elapsed %</t>
  </si>
  <si>
    <t xml:space="preserve">Schedule Health</t>
  </si>
  <si>
    <t xml:space="preserve">Forecast % of Budget</t>
  </si>
  <si>
    <t xml:space="preserve">Budget Health</t>
  </si>
  <si>
    <t xml:space="preserve">Critical Risks</t>
  </si>
  <si>
    <t xml:space="preserve">High Risks</t>
  </si>
  <si>
    <t xml:space="preserve">Risk Health</t>
  </si>
  <si>
    <t xml:space="preserve">Overall Health</t>
  </si>
  <si>
    <t xml:space="preserve">Health Notes</t>
  </si>
  <si>
    <t xml:space="preserve">Due Date</t>
  </si>
  <si>
    <t xml:space="preserve">Recurrence</t>
  </si>
  <si>
    <t xml:space="preserve">Completed Date</t>
  </si>
  <si>
    <t xml:space="preserve">Upcoming Rank</t>
  </si>
  <si>
    <t xml:space="preserve">Category</t>
  </si>
  <si>
    <t xml:space="preserve">Date Closed</t>
  </si>
  <si>
    <t xml:space="preserve">Meeting</t>
  </si>
  <si>
    <t xml:space="preserve">Notes</t>
  </si>
  <si>
    <t xml:space="preserve">Summary Seq</t>
  </si>
  <si>
    <t xml:space="preserve">Inherent Likelihood</t>
  </si>
  <si>
    <t xml:space="preserve">Inherent Consequence</t>
  </si>
  <si>
    <t xml:space="preserve">Residual Likelihood</t>
  </si>
  <si>
    <t xml:space="preserve">Residual Consequence</t>
  </si>
  <si>
    <t xml:space="preserve">Inherent Score</t>
  </si>
  <si>
    <t xml:space="preserve">Inherent Band</t>
  </si>
  <si>
    <t xml:space="preserve">Residual Score</t>
  </si>
  <si>
    <t xml:space="preserve">Residual Band</t>
  </si>
  <si>
    <t xml:space="preserve">Top Rank</t>
  </si>
  <si>
    <t xml:space="preserve">Summary Rank</t>
  </si>
  <si>
    <t xml:space="preserve">RFI Number</t>
  </si>
  <si>
    <t xml:space="preserve">Subject</t>
  </si>
  <si>
    <t xml:space="preserve">Question</t>
  </si>
  <si>
    <t xml:space="preserve">Response</t>
  </si>
  <si>
    <t xml:space="preserve">Raised To</t>
  </si>
  <si>
    <t xml:space="preserve">Date Required</t>
  </si>
  <si>
    <t xml:space="preserve">Date Answered</t>
  </si>
  <si>
    <t xml:space="preserve">Flag</t>
  </si>
  <si>
    <t xml:space="preserve">Assigned To</t>
  </si>
  <si>
    <t xml:space="preserve">Retention Held</t>
  </si>
  <si>
    <t xml:space="preserve">Time Impact Days</t>
  </si>
  <si>
    <t xml:space="preserve">Date Decided</t>
  </si>
  <si>
    <t xml:space="preserve">Cause</t>
  </si>
  <si>
    <t xml:space="preserve">Days Claimed</t>
  </si>
  <si>
    <t xml:space="preserve">Days Granted</t>
  </si>
  <si>
    <t xml:space="preserve">Date Submitted</t>
  </si>
  <si>
    <t xml:space="preserve">Days Counted</t>
  </si>
  <si>
    <t xml:space="preserve">Month</t>
  </si>
  <si>
    <t xml:space="preserve">Amount</t>
  </si>
  <si>
    <t xml:space="preserve">Month Key</t>
  </si>
  <si>
    <t xml:space="preserve">Counted Amount</t>
  </si>
  <si>
    <t xml:space="preserve">WBS Item</t>
  </si>
  <si>
    <t xml:space="preserve">Task / Activity</t>
  </si>
  <si>
    <t xml:space="preserve">Original Completion</t>
  </si>
  <si>
    <t xml:space="preserve">Forecast Completion</t>
  </si>
  <si>
    <t xml:space="preserve">Contract</t>
  </si>
  <si>
    <t xml:space="preserve">Claim Number</t>
  </si>
  <si>
    <t xml:space="preserve">Period Ending</t>
  </si>
  <si>
    <t xml:space="preserve">Claimed Amount</t>
  </si>
  <si>
    <t xml:space="preserve">Certified Amount</t>
  </si>
  <si>
    <t xml:space="preserve">Date Certified</t>
  </si>
  <si>
    <t xml:space="preserve">Date Paid</t>
  </si>
  <si>
    <t xml:space="preserve">Party Type</t>
  </si>
  <si>
    <t xml:space="preserve">Party Name</t>
  </si>
  <si>
    <t xml:space="preserve">Discipline / Scope</t>
  </si>
  <si>
    <t xml:space="preserve">Contract Number</t>
  </si>
  <si>
    <t xml:space="preserve">Contract Form</t>
  </si>
  <si>
    <t xml:space="preserve">Contingency</t>
  </si>
  <si>
    <t xml:space="preserve">PO Value</t>
  </si>
  <si>
    <t xml:space="preserve">Provisional Items</t>
  </si>
  <si>
    <t xml:space="preserve">Retention %</t>
  </si>
  <si>
    <t xml:space="preserve">DLP Months</t>
  </si>
  <si>
    <t xml:space="preserve">Execution Date</t>
  </si>
  <si>
    <t xml:space="preserve">Completion Date</t>
  </si>
  <si>
    <t xml:space="preserve">Claimed to Date</t>
  </si>
  <si>
    <t xml:space="preserve">Remaining</t>
  </si>
  <si>
    <t xml:space="preserve">Company Name</t>
  </si>
  <si>
    <t xml:space="preserve">Trade</t>
  </si>
  <si>
    <t xml:space="preserve">Contact Name</t>
  </si>
  <si>
    <t xml:space="preserve">Contact Details</t>
  </si>
  <si>
    <t xml:space="preserve">End Date</t>
  </si>
  <si>
    <t xml:space="preserve">Insurance Expiry</t>
  </si>
  <si>
    <t xml:space="preserve">Insurance Flag</t>
  </si>
  <si>
    <t xml:space="preserve">Reference Number</t>
  </si>
  <si>
    <t xml:space="preserve">Issuing Authority</t>
  </si>
  <si>
    <t xml:space="preserve">Date Applied</t>
  </si>
  <si>
    <t xml:space="preserve">Date Approved</t>
  </si>
  <si>
    <t xml:space="preserve">Expiry Date</t>
  </si>
  <si>
    <t xml:space="preserve">Expiry Flag</t>
  </si>
  <si>
    <t xml:space="preserve">Provider</t>
  </si>
  <si>
    <t xml:space="preserve">Coverage Details</t>
  </si>
  <si>
    <t xml:space="preserve">Name</t>
  </si>
  <si>
    <t xml:space="preserve">Organization</t>
  </si>
  <si>
    <t xml:space="preserve">Role</t>
  </si>
  <si>
    <t xml:space="preserve">Email</t>
  </si>
  <si>
    <t xml:space="preserve">Phone</t>
  </si>
  <si>
    <t xml:space="preserve">Meeting Date</t>
  </si>
  <si>
    <t xml:space="preserve">Meeting Type</t>
  </si>
  <si>
    <t xml:space="preserve">Attendees</t>
  </si>
  <si>
    <t xml:space="preserve">Summary</t>
  </si>
  <si>
    <t xml:space="preserve">Next Meeting</t>
  </si>
  <si>
    <t xml:space="preserve">Document Link</t>
  </si>
  <si>
    <t xml:space="preserve">Direction</t>
  </si>
  <si>
    <t xml:space="preserve">Correspondent</t>
  </si>
  <si>
    <t xml:space="preserve">Date Sent</t>
  </si>
  <si>
    <t xml:space="preserve">Response Due</t>
  </si>
  <si>
    <t xml:space="preserve">Document Number</t>
  </si>
  <si>
    <t xml:space="preserve">Revision</t>
  </si>
  <si>
    <t xml:space="preserve">Issue Date</t>
  </si>
  <si>
    <t xml:space="preserve">File Link</t>
  </si>
  <si>
    <t xml:space="preserve">Severity</t>
  </si>
  <si>
    <t xml:space="preserve">Corrective Action</t>
  </si>
  <si>
    <t xml:space="preserve">Date Occurred</t>
  </si>
  <si>
    <t xml:space="preserve">Reported By</t>
  </si>
  <si>
    <t xml:space="preserve">Inspection Date</t>
  </si>
  <si>
    <t xml:space="preserve">Inspection Type</t>
  </si>
  <si>
    <t xml:space="preserve">Conducted By</t>
  </si>
  <si>
    <t xml:space="preserve">Findings</t>
  </si>
  <si>
    <t xml:space="preserve">Parameter</t>
  </si>
  <si>
    <t xml:space="preserve">Monitoring Date</t>
  </si>
  <si>
    <t xml:space="preserve">Reading</t>
  </si>
  <si>
    <t xml:space="preserve">Unit</t>
  </si>
  <si>
    <t xml:space="preserve">Limit</t>
  </si>
  <si>
    <t xml:space="preserve">Limit Type</t>
  </si>
  <si>
    <t xml:space="preserve">Result</t>
  </si>
  <si>
    <t xml:space="preserve">Visit Date</t>
  </si>
  <si>
    <t xml:space="preserve">Visited By</t>
  </si>
  <si>
    <t xml:space="preserve">Discussion Notes</t>
  </si>
  <si>
    <t xml:space="preserve">Photos Link</t>
  </si>
  <si>
    <t xml:space="preserve">Person Name</t>
  </si>
  <si>
    <t xml:space="preserve">Company</t>
  </si>
  <si>
    <t xml:space="preserve">Training Type</t>
  </si>
  <si>
    <t xml:space="preserve">Certificate Number</t>
  </si>
  <si>
    <t xml:space="preserve">Talk Date</t>
  </si>
  <si>
    <t xml:space="preserve">Topic</t>
  </si>
  <si>
    <t xml:space="preserve">Key Points</t>
  </si>
  <si>
    <t xml:space="preserve">Recommendation</t>
  </si>
  <si>
    <t xml:space="preserve">Source</t>
  </si>
  <si>
    <t xml:space="preserve">Date Received</t>
  </si>
  <si>
    <t xml:space="preserve">Resolution</t>
  </si>
  <si>
    <t xml:space="preserve">Date Resolved</t>
  </si>
  <si>
    <t xml:space="preserve">Package Number</t>
  </si>
  <si>
    <t xml:space="preserve">Method</t>
  </si>
  <si>
    <t xml:space="preserve">Date Issued</t>
  </si>
  <si>
    <t xml:space="preserve">Closing Date</t>
  </si>
  <si>
    <t xml:space="preserve">Submissions</t>
  </si>
  <si>
    <t xml:space="preserve">Estimated Value</t>
  </si>
  <si>
    <t xml:space="preserve">Awarded To</t>
  </si>
  <si>
    <t xml:space="preserve">Awarded Value</t>
  </si>
  <si>
    <t xml:space="preserve">Date Awarded</t>
  </si>
  <si>
    <t xml:space="preserve">Reviewee Name</t>
  </si>
  <si>
    <t xml:space="preserve">Review Period</t>
  </si>
  <si>
    <t xml:space="preserve">Review Date</t>
  </si>
  <si>
    <t xml:space="preserve">Quality</t>
  </si>
  <si>
    <t xml:space="preserve">Safety</t>
  </si>
  <si>
    <t xml:space="preserve">Timeliness</t>
  </si>
  <si>
    <t xml:space="preserve">Communication</t>
  </si>
  <si>
    <t xml:space="preserve">Comments</t>
  </si>
  <si>
    <t xml:space="preserve">Overall (1-5)</t>
  </si>
  <si>
    <t xml:space="preserve">Phase</t>
  </si>
  <si>
    <t xml:space="preserve">Responsible</t>
  </si>
  <si>
    <t xml:space="preserve">Timestamp</t>
  </si>
  <si>
    <t xml:space="preserve">User</t>
  </si>
  <si>
    <t xml:space="preserve">Cell</t>
  </si>
  <si>
    <t xml:space="preserve">Old Value</t>
  </si>
  <si>
    <t xml:space="preserve">New Value</t>
  </si>
  <si>
    <t xml:space="preserve">ProjectStatus</t>
  </si>
  <si>
    <t xml:space="preserve">TaskStatus</t>
  </si>
  <si>
    <t xml:space="preserve">CashType</t>
  </si>
  <si>
    <t xml:space="preserve">VariationStatus</t>
  </si>
  <si>
    <t xml:space="preserve">RiskType</t>
  </si>
  <si>
    <t xml:space="preserve">Likelihood</t>
  </si>
  <si>
    <t xml:space="preserve">Consequence</t>
  </si>
  <si>
    <t xml:space="preserve">RiskStatus</t>
  </si>
  <si>
    <t xml:space="preserve">ActionType</t>
  </si>
  <si>
    <t xml:space="preserve">ActionStatus</t>
  </si>
  <si>
    <t xml:space="preserve">PermitStatus</t>
  </si>
  <si>
    <t xml:space="preserve">LessonType</t>
  </si>
  <si>
    <t xml:space="preserve">SqeCategory</t>
  </si>
  <si>
    <t xml:space="preserve">SqeSeverity</t>
  </si>
  <si>
    <t xml:space="preserve">SqeStatus</t>
  </si>
  <si>
    <t xml:space="preserve">EotStatus</t>
  </si>
  <si>
    <t xml:space="preserve">ChecklistPhase</t>
  </si>
  <si>
    <t xml:space="preserve">ChecklistStatus</t>
  </si>
  <si>
    <t xml:space="preserve">DefectStatus</t>
  </si>
  <si>
    <t xml:space="preserve">PaymentStatus</t>
  </si>
  <si>
    <t xml:space="preserve">IWType</t>
  </si>
  <si>
    <t xml:space="preserve">RfiStatus</t>
  </si>
  <si>
    <t xml:space="preserve">DocStatus</t>
  </si>
  <si>
    <t xml:space="preserve">EnquiryCategory</t>
  </si>
  <si>
    <t xml:space="preserve">EnquiryStatus</t>
  </si>
  <si>
    <t xml:space="preserve">SubStatus</t>
  </si>
  <si>
    <t xml:space="preserve">PartyType</t>
  </si>
  <si>
    <t xml:space="preserve">ContractStatus</t>
  </si>
  <si>
    <t xml:space="preserve">CorrStatus</t>
  </si>
  <si>
    <t xml:space="preserve">LimitType</t>
  </si>
  <si>
    <t xml:space="preserve">SafetyInspStatus</t>
  </si>
  <si>
    <t xml:space="preserve">TenderMethod</t>
  </si>
  <si>
    <t xml:space="preserve">TenderStatus</t>
  </si>
  <si>
    <t xml:space="preserve">Rating</t>
  </si>
  <si>
    <t xml:space="preserve">Planning</t>
  </si>
  <si>
    <t xml:space="preserve">To Do</t>
  </si>
  <si>
    <t xml:space="preserve">None</t>
  </si>
  <si>
    <t xml:space="preserve">Actual</t>
  </si>
  <si>
    <t xml:space="preserve">Proposed</t>
  </si>
  <si>
    <t xml:space="preserve">Rare</t>
  </si>
  <si>
    <t xml:space="preserve">Insignificant</t>
  </si>
  <si>
    <t xml:space="preserve">Open</t>
  </si>
  <si>
    <t xml:space="preserve">Pending</t>
  </si>
  <si>
    <t xml:space="preserve">Positive</t>
  </si>
  <si>
    <t xml:space="preserve">Low</t>
  </si>
  <si>
    <t xml:space="preserve">Submitted</t>
  </si>
  <si>
    <t xml:space="preserve">Commissioning</t>
  </si>
  <si>
    <t xml:space="preserve">Not Started</t>
  </si>
  <si>
    <t xml:space="preserve">Insurance</t>
  </si>
  <si>
    <t xml:space="preserve">Draft</t>
  </si>
  <si>
    <t xml:space="preserve">Noise</t>
  </si>
  <si>
    <t xml:space="preserve">Engaged</t>
  </si>
  <si>
    <t xml:space="preserve">Consultant</t>
  </si>
  <si>
    <t xml:space="preserve">Active</t>
  </si>
  <si>
    <t xml:space="preserve">Incoming</t>
  </si>
  <si>
    <t xml:space="preserve">Max</t>
  </si>
  <si>
    <t xml:space="preserve">Planned</t>
  </si>
  <si>
    <t xml:space="preserve">Design</t>
  </si>
  <si>
    <t xml:space="preserve">In Progress</t>
  </si>
  <si>
    <t xml:space="preserve">Daily</t>
  </si>
  <si>
    <t xml:space="preserve">Approved</t>
  </si>
  <si>
    <t xml:space="preserve">Opportunity</t>
  </si>
  <si>
    <t xml:space="preserve">Unlikely</t>
  </si>
  <si>
    <t xml:space="preserve">Minor</t>
  </si>
  <si>
    <t xml:space="preserve">Mitigating</t>
  </si>
  <si>
    <t xml:space="preserve">Decision</t>
  </si>
  <si>
    <t xml:space="preserve">Negative</t>
  </si>
  <si>
    <t xml:space="preserve">Medium</t>
  </si>
  <si>
    <t xml:space="preserve">Handover</t>
  </si>
  <si>
    <t xml:space="preserve">Rectified</t>
  </si>
  <si>
    <t xml:space="preserve">Certified</t>
  </si>
  <si>
    <t xml:space="preserve">Warranty</t>
  </si>
  <si>
    <t xml:space="preserve">Answered</t>
  </si>
  <si>
    <t xml:space="preserve">For Review</t>
  </si>
  <si>
    <t xml:space="preserve">Traffic</t>
  </si>
  <si>
    <t xml:space="preserve">Complete</t>
  </si>
  <si>
    <t xml:space="preserve">Outgoing</t>
  </si>
  <si>
    <t xml:space="preserve">Closed</t>
  </si>
  <si>
    <t xml:space="preserve">Min</t>
  </si>
  <si>
    <t xml:space="preserve">Selective</t>
  </si>
  <si>
    <t xml:space="preserve">Issued</t>
  </si>
  <si>
    <t xml:space="preserve">Tender</t>
  </si>
  <si>
    <t xml:space="preserve">Done</t>
  </si>
  <si>
    <t xml:space="preserve">Weekly</t>
  </si>
  <si>
    <t xml:space="preserve">Rejected</t>
  </si>
  <si>
    <t xml:space="preserve">Possible</t>
  </si>
  <si>
    <t xml:space="preserve">Moderate</t>
  </si>
  <si>
    <t xml:space="preserve">Environment</t>
  </si>
  <si>
    <t xml:space="preserve">High</t>
  </si>
  <si>
    <t xml:space="preserve">Verified</t>
  </si>
  <si>
    <t xml:space="preserve">Disputed</t>
  </si>
  <si>
    <t xml:space="preserve">Dust</t>
  </si>
  <si>
    <t xml:space="preserve">Resolved</t>
  </si>
  <si>
    <t xml:space="preserve">Completed</t>
  </si>
  <si>
    <t xml:space="preserve">Terminated</t>
  </si>
  <si>
    <t xml:space="preserve">Direct Engage</t>
  </si>
  <si>
    <t xml:space="preserve">Evaluation</t>
  </si>
  <si>
    <t xml:space="preserve">Construction</t>
  </si>
  <si>
    <t xml:space="preserve">Monthly</t>
  </si>
  <si>
    <t xml:space="preserve">Likely</t>
  </si>
  <si>
    <t xml:space="preserve">Major</t>
  </si>
  <si>
    <t xml:space="preserve">Critical</t>
  </si>
  <si>
    <t xml:space="preserve">Not Applicable</t>
  </si>
  <si>
    <t xml:space="preserve">Paid</t>
  </si>
  <si>
    <t xml:space="preserve">Superseded</t>
  </si>
  <si>
    <t xml:space="preserve">Access</t>
  </si>
  <si>
    <t xml:space="preserve">Expression of Interest</t>
  </si>
  <si>
    <t xml:space="preserve">Awarded</t>
  </si>
  <si>
    <t xml:space="preserve">Project Completion</t>
  </si>
  <si>
    <t xml:space="preserve">Almost Certain</t>
  </si>
  <si>
    <t xml:space="preserve">Severe</t>
  </si>
  <si>
    <t xml:space="preserve">Other</t>
  </si>
  <si>
    <t xml:space="preserve">Cancelled</t>
  </si>
  <si>
    <t xml:space="preserve">Defects Liability</t>
  </si>
  <si>
    <t xml:space="preserve">On Hold</t>
  </si>
  <si>
    <t xml:space="preserve">Working figures for the Charts sheet - do not edit.</t>
  </si>
  <si>
    <t xml:space="preserve">Spend in month</t>
  </si>
  <si>
    <t xml:space="preserve">Cumulative</t>
  </si>
  <si>
    <t xml:space="preserve">Approved budget</t>
  </si>
  <si>
    <t xml:space="preserve">Open risk band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</si>
</sst>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yy"/>
    <numFmt numFmtId="166" formatCode="0"/>
    <numFmt numFmtId="167" formatCode="\$#,##0;&quot;($&quot;#,##0\);\-"/>
    <numFmt numFmtId="168" formatCode="0%"/>
    <numFmt numFmtId="169" formatCode="General"/>
    <numFmt numFmtId="170" formatCode="dd\-mmm"/>
    <numFmt numFmtId="171" formatCode="\$#,##0"/>
    <numFmt numFmtId="172" formatCode="0.00000"/>
    <numFmt numFmtId="173" formatCode="mmm\-yyyy"/>
    <numFmt numFmtId="174" formatCode="0.00"/>
    <numFmt numFmtId="175" formatCode="0.0"/>
    <numFmt numFmtId="176" formatCode="mmm\-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7F7F7F"/>
        <bgColor rgb="FF878787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C00000"/>
        <sz val="18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C00000"/>
      </font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8EA9DB"/>
        </patternFill>
      </fill>
    </dxf>
    <dxf>
      <fill>
        <patternFill>
          <bgColor rgb="FFC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8EA9DB"/>
      <rgbColor rgb="FFBE4B48"/>
      <rgbColor rgb="FFF2F2F2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70AD47"/>
      <rgbColor rgb="FFFFCC00"/>
      <rgbColor rgb="FFFF9900"/>
      <rgbColor rgb="FFFF6600"/>
      <rgbColor rgb="FF595959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</c:f>
              <c:strCache>
                <c:ptCount val="1"/>
                <c:pt idx="0">
                  <c:v>Projects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Calc!$A$3:$A$11</c:f>
              <c:strCache>
                <c:ptCount val="9"/>
                <c:pt idx="0">
                  <c:v>Planning</c:v>
                </c:pt>
                <c:pt idx="1">
                  <c:v>Design</c:v>
                </c:pt>
                <c:pt idx="2">
                  <c:v>Tender</c:v>
                </c:pt>
                <c:pt idx="3">
                  <c:v>Construction</c:v>
                </c:pt>
                <c:pt idx="4">
                  <c:v>Project Completion</c:v>
                </c:pt>
                <c:pt idx="5">
                  <c:v>Defects Liability</c:v>
                </c:pt>
                <c:pt idx="6">
                  <c:v>Complete</c:v>
                </c:pt>
                <c:pt idx="7">
                  <c:v>On Hold</c:v>
                </c:pt>
                <c:pt idx="8">
                  <c:v>Cancelled</c:v>
                </c:pt>
              </c:strCache>
            </c:strRef>
          </c:cat>
          <c:val>
            <c:numRef>
              <c:f>Calc!$B$3:$B$11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9466630"/>
        <c:axId val="71484654"/>
      </c:barChart>
      <c:catAx>
        <c:axId val="69466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84654"/>
        <c:crosses val="autoZero"/>
        <c:auto val="1"/>
        <c:lblAlgn val="ctr"/>
        <c:lblOffset val="100"/>
        <c:noMultiLvlLbl val="0"/>
      </c:catAx>
      <c:valAx>
        <c:axId val="71484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666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budget vs forecast at completion (first 8 projects)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Dashboard!E8</c:f>
              <c:strCache>
                <c:ptCount val="1"/>
                <c:pt idx="0">
                  <c:v>Effective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Dashboard!$A$9:$A$16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Dashboard!$E$9:$E$16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Forecast at Completion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Dashboard!$A$9:$A$16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Dashboard!$F$9:$F$16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26248531"/>
        <c:axId val="27116627"/>
      </c:barChart>
      <c:catAx>
        <c:axId val="26248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16627"/>
        <c:crosses val="autoZero"/>
        <c:auto val="1"/>
        <c:lblAlgn val="ctr"/>
        <c:lblOffset val="100"/>
        <c:noMultiLvlLbl val="0"/>
      </c:catAx>
      <c:valAx>
        <c:axId val="27116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48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spend (actual, then forecast) vs total approved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Calc!F2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Calc!$D$3:$D$26</c:f>
              <c:strCache>
                <c:ptCount val="2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Jan-27</c:v>
                </c:pt>
                <c:pt idx="4">
                  <c:v>Feb-27</c:v>
                </c:pt>
                <c:pt idx="5">
                  <c:v>Mar-27</c:v>
                </c:pt>
                <c:pt idx="6">
                  <c:v>Apr-27</c:v>
                </c:pt>
                <c:pt idx="7">
                  <c:v>May-27</c:v>
                </c:pt>
                <c:pt idx="8">
                  <c:v>Jun-27</c:v>
                </c:pt>
                <c:pt idx="9">
                  <c:v>Jul-27</c:v>
                </c:pt>
                <c:pt idx="10">
                  <c:v>Aug-27</c:v>
                </c:pt>
                <c:pt idx="11">
                  <c:v>Sep-27</c:v>
                </c:pt>
                <c:pt idx="12">
                  <c:v>Oct-27</c:v>
                </c:pt>
                <c:pt idx="13">
                  <c:v>Nov-27</c:v>
                </c:pt>
                <c:pt idx="14">
                  <c:v>Dec-27</c:v>
                </c:pt>
                <c:pt idx="15">
                  <c:v>Jan-28</c:v>
                </c:pt>
                <c:pt idx="16">
                  <c:v>Feb-28</c:v>
                </c:pt>
                <c:pt idx="17">
                  <c:v>Mar-28</c:v>
                </c:pt>
                <c:pt idx="18">
                  <c:v>Apr-28</c:v>
                </c:pt>
                <c:pt idx="19">
                  <c:v>May-28</c:v>
                </c:pt>
                <c:pt idx="20">
                  <c:v>Jun-28</c:v>
                </c:pt>
                <c:pt idx="21">
                  <c:v>Jul-28</c:v>
                </c:pt>
                <c:pt idx="22">
                  <c:v>Aug-28</c:v>
                </c:pt>
                <c:pt idx="23">
                  <c:v>Sep-28</c:v>
                </c:pt>
              </c:strCache>
            </c:strRef>
          </c:cat>
          <c:val>
            <c:numRef>
              <c:f>Calc!$F$3:$F$26</c:f>
              <c:numCache>
                <c:formatCode>\$#,##0;"($"#,##0\);\-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Calc!G2</c:f>
              <c:strCache>
                <c:ptCount val="1"/>
                <c:pt idx="0">
                  <c:v>Approved budget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Calc!$D$3:$D$26</c:f>
              <c:strCache>
                <c:ptCount val="24"/>
                <c:pt idx="0">
                  <c:v>Oct-26</c:v>
                </c:pt>
                <c:pt idx="1">
                  <c:v>Nov-26</c:v>
                </c:pt>
                <c:pt idx="2">
                  <c:v>Dec-26</c:v>
                </c:pt>
                <c:pt idx="3">
                  <c:v>Jan-27</c:v>
                </c:pt>
                <c:pt idx="4">
                  <c:v>Feb-27</c:v>
                </c:pt>
                <c:pt idx="5">
                  <c:v>Mar-27</c:v>
                </c:pt>
                <c:pt idx="6">
                  <c:v>Apr-27</c:v>
                </c:pt>
                <c:pt idx="7">
                  <c:v>May-27</c:v>
                </c:pt>
                <c:pt idx="8">
                  <c:v>Jun-27</c:v>
                </c:pt>
                <c:pt idx="9">
                  <c:v>Jul-27</c:v>
                </c:pt>
                <c:pt idx="10">
                  <c:v>Aug-27</c:v>
                </c:pt>
                <c:pt idx="11">
                  <c:v>Sep-27</c:v>
                </c:pt>
                <c:pt idx="12">
                  <c:v>Oct-27</c:v>
                </c:pt>
                <c:pt idx="13">
                  <c:v>Nov-27</c:v>
                </c:pt>
                <c:pt idx="14">
                  <c:v>Dec-27</c:v>
                </c:pt>
                <c:pt idx="15">
                  <c:v>Jan-28</c:v>
                </c:pt>
                <c:pt idx="16">
                  <c:v>Feb-28</c:v>
                </c:pt>
                <c:pt idx="17">
                  <c:v>Mar-28</c:v>
                </c:pt>
                <c:pt idx="18">
                  <c:v>Apr-28</c:v>
                </c:pt>
                <c:pt idx="19">
                  <c:v>May-28</c:v>
                </c:pt>
                <c:pt idx="20">
                  <c:v>Jun-28</c:v>
                </c:pt>
                <c:pt idx="21">
                  <c:v>Jul-28</c:v>
                </c:pt>
                <c:pt idx="22">
                  <c:v>Aug-28</c:v>
                </c:pt>
                <c:pt idx="23">
                  <c:v>Sep-28</c:v>
                </c:pt>
              </c:strCache>
            </c:strRef>
          </c:cat>
          <c:val>
            <c:numRef>
              <c:f>Calc!$G$3:$G$26</c:f>
              <c:numCache>
                <c:formatCode>\$#,##0;"($"#,##0\);\-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17878"/>
        <c:axId val="91859192"/>
      </c:lineChart>
      <c:catAx>
        <c:axId val="9861787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59192"/>
        <c:crosses val="autoZero"/>
        <c:auto val="1"/>
        <c:lblAlgn val="ctr"/>
        <c:lblOffset val="100"/>
        <c:noMultiLvlLbl val="0"/>
      </c:catAx>
      <c:valAx>
        <c:axId val="91859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17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risks by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Calc!J2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Calc!$I$3:$I$6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Calc!$J$3:$J$6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9809846"/>
        <c:axId val="56919688"/>
      </c:barChart>
      <c:catAx>
        <c:axId val="39809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9688"/>
        <c:crosses val="autoZero"/>
        <c:auto val="1"/>
        <c:lblAlgn val="ctr"/>
        <c:lblOffset val="100"/>
        <c:noMultiLvlLbl val="0"/>
      </c:catAx>
      <c:valAx>
        <c:axId val="56919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09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7</xdr:col>
      <xdr:colOff>447840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0" y="70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331200</xdr:colOff>
      <xdr:row>18</xdr:row>
      <xdr:rowOff>22320</xdr:rowOff>
    </xdr:to>
    <xdr:graphicFrame>
      <xdr:nvGraphicFramePr>
        <xdr:cNvPr id="1" name="Chart 2"/>
        <xdr:cNvGraphicFramePr/>
      </xdr:nvGraphicFramePr>
      <xdr:xfrm>
        <a:off x="7588080" y="704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370080</xdr:colOff>
      <xdr:row>36</xdr:row>
      <xdr:rowOff>22320</xdr:rowOff>
    </xdr:to>
    <xdr:graphicFrame>
      <xdr:nvGraphicFramePr>
        <xdr:cNvPr id="2" name="Chart 3"/>
        <xdr:cNvGraphicFramePr/>
      </xdr:nvGraphicFramePr>
      <xdr:xfrm>
        <a:off x="0" y="41338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21</xdr:row>
      <xdr:rowOff>0</xdr:rowOff>
    </xdr:from>
    <xdr:to>
      <xdr:col>19</xdr:col>
      <xdr:colOff>447840</xdr:colOff>
      <xdr:row>36</xdr:row>
      <xdr:rowOff>22320</xdr:rowOff>
    </xdr:to>
    <xdr:graphicFrame>
      <xdr:nvGraphicFramePr>
        <xdr:cNvPr id="3" name="Chart 4"/>
        <xdr:cNvGraphicFramePr/>
      </xdr:nvGraphicFramePr>
      <xdr:xfrm>
        <a:off x="9105840" y="4133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PD_Project_Tracker_BLANK.xlsx" TargetMode="External"/><Relationship Id="rId2" Type="http://schemas.openxmlformats.org/officeDocument/2006/relationships/hyperlink" Target="APD_Project_Tracker_BLANK.xlsx" TargetMode="External"/><Relationship Id="rId3" Type="http://schemas.openxmlformats.org/officeDocument/2006/relationships/hyperlink" Target="APD_Project_Tracker_BLANK.xlsx" TargetMode="External"/><Relationship Id="rId4" Type="http://schemas.openxmlformats.org/officeDocument/2006/relationships/hyperlink" Target="APD_Project_Tracker_BLANK.xlsx" TargetMode="External"/><Relationship Id="rId5" Type="http://schemas.openxmlformats.org/officeDocument/2006/relationships/hyperlink" Target="APD_Project_Tracker_BLANK.xlsx" TargetMode="External"/><Relationship Id="rId6" Type="http://schemas.openxmlformats.org/officeDocument/2006/relationships/hyperlink" Target="APD_Project_Tracker_BLANK.xlsx" TargetMode="External"/><Relationship Id="rId7" Type="http://schemas.openxmlformats.org/officeDocument/2006/relationships/hyperlink" Target="APD_Project_Tracker_BLANK.xlsx" TargetMode="External"/><Relationship Id="rId8" Type="http://schemas.openxmlformats.org/officeDocument/2006/relationships/hyperlink" Target="APD_Project_Tracker_BLANK.xlsx" TargetMode="External"/><Relationship Id="rId9" Type="http://schemas.openxmlformats.org/officeDocument/2006/relationships/hyperlink" Target="APD_Project_Tracker_BLANK.xlsx" TargetMode="External"/><Relationship Id="rId10" Type="http://schemas.openxmlformats.org/officeDocument/2006/relationships/hyperlink" Target="APD_Project_Tracker_BLANK.xlsx" TargetMode="External"/><Relationship Id="rId11" Type="http://schemas.openxmlformats.org/officeDocument/2006/relationships/hyperlink" Target="APD_Project_Tracker_BLANK.xlsx" TargetMode="External"/><Relationship Id="rId12" Type="http://schemas.openxmlformats.org/officeDocument/2006/relationships/hyperlink" Target="APD_Project_Tracker_BLANK.xlsx" TargetMode="External"/><Relationship Id="rId13" Type="http://schemas.openxmlformats.org/officeDocument/2006/relationships/hyperlink" Target="APD_Project_Tracker_BLANK.xlsx" TargetMode="External"/><Relationship Id="rId14" Type="http://schemas.openxmlformats.org/officeDocument/2006/relationships/hyperlink" Target="APD_Project_Tracker_BLANK.xlsx" TargetMode="External"/><Relationship Id="rId15" Type="http://schemas.openxmlformats.org/officeDocument/2006/relationships/hyperlink" Target="APD_Project_Tracker_BLANK.xlsx" TargetMode="External"/><Relationship Id="rId16" Type="http://schemas.openxmlformats.org/officeDocument/2006/relationships/hyperlink" Target="APD_Project_Tracker_BLANK.xlsx" TargetMode="External"/><Relationship Id="rId17" Type="http://schemas.openxmlformats.org/officeDocument/2006/relationships/hyperlink" Target="APD_Project_Tracker_BLANK.xlsx" TargetMode="External"/><Relationship Id="rId18" Type="http://schemas.openxmlformats.org/officeDocument/2006/relationships/hyperlink" Target="APD_Project_Tracker_BLANK.xlsx" TargetMode="External"/><Relationship Id="rId19" Type="http://schemas.openxmlformats.org/officeDocument/2006/relationships/hyperlink" Target="APD_Project_Tracker_BLANK.xlsx" TargetMode="External"/><Relationship Id="rId20" Type="http://schemas.openxmlformats.org/officeDocument/2006/relationships/hyperlink" Target="APD_Project_Tracker_BLANK.xlsx" TargetMode="External"/><Relationship Id="rId21" Type="http://schemas.openxmlformats.org/officeDocument/2006/relationships/hyperlink" Target="APD_Project_Tracker_BLANK.xlsx" TargetMode="External"/><Relationship Id="rId22" Type="http://schemas.openxmlformats.org/officeDocument/2006/relationships/hyperlink" Target="APD_Project_Tracker_BLANK.xlsx" TargetMode="External"/><Relationship Id="rId23" Type="http://schemas.openxmlformats.org/officeDocument/2006/relationships/hyperlink" Target="APD_Project_Tracker_BLANK.xlsx" TargetMode="External"/><Relationship Id="rId24" Type="http://schemas.openxmlformats.org/officeDocument/2006/relationships/hyperlink" Target="APD_Project_Tracker_BLANK.xlsx" TargetMode="External"/><Relationship Id="rId25" Type="http://schemas.openxmlformats.org/officeDocument/2006/relationships/hyperlink" Target="APD_Project_Tracker_BLANK.xlsx" TargetMode="External"/><Relationship Id="rId26" Type="http://schemas.openxmlformats.org/officeDocument/2006/relationships/hyperlink" Target="APD_Project_Tracker_BLANK.xlsx" TargetMode="External"/><Relationship Id="rId27" Type="http://schemas.openxmlformats.org/officeDocument/2006/relationships/hyperlink" Target="APD_Project_Tracker_BLANK.xlsx" TargetMode="External"/><Relationship Id="rId28" Type="http://schemas.openxmlformats.org/officeDocument/2006/relationships/hyperlink" Target="APD_Project_Tracker_BLANK.xlsx" TargetMode="External"/><Relationship Id="rId29" Type="http://schemas.openxmlformats.org/officeDocument/2006/relationships/hyperlink" Target="APD_Project_Tracker_BLANK.xlsx" TargetMode="External"/><Relationship Id="rId30" Type="http://schemas.openxmlformats.org/officeDocument/2006/relationships/hyperlink" Target="APD_Project_Tracker_BLANK.xlsx" TargetMode="External"/><Relationship Id="rId31" Type="http://schemas.openxmlformats.org/officeDocument/2006/relationships/hyperlink" Target="APD_Project_Tracker_BLANK.xlsx" TargetMode="External"/><Relationship Id="rId32" Type="http://schemas.openxmlformats.org/officeDocument/2006/relationships/hyperlink" Target="APD_Project_Tracker_BLANK.xlsx" TargetMode="External"/><Relationship Id="rId33" Type="http://schemas.openxmlformats.org/officeDocument/2006/relationships/hyperlink" Target="APD_Project_Tracker_BLANK.xlsx" TargetMode="External"/><Relationship Id="rId34" Type="http://schemas.openxmlformats.org/officeDocument/2006/relationships/hyperlink" Target="APD_Project_Tracker_BLANK.xlsx" TargetMode="External"/><Relationship Id="rId35" Type="http://schemas.openxmlformats.org/officeDocument/2006/relationships/hyperlink" Target="APD_Project_Tracker_BLANK.xlsx" TargetMode="External"/><Relationship Id="rId36" Type="http://schemas.openxmlformats.org/officeDocument/2006/relationships/hyperlink" Target="APD_Project_Tracker_BLANK.xlsx" TargetMode="External"/><Relationship Id="rId37" Type="http://schemas.openxmlformats.org/officeDocument/2006/relationships/hyperlink" Target="APD_Project_Tracker_BLANK.xlsx" TargetMode="External"/><Relationship Id="rId38" Type="http://schemas.openxmlformats.org/officeDocument/2006/relationships/hyperlink" Target="APD_Project_Tracker_BLANK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6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7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8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C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30" hidden="false" customHeight="true" outlineLevel="0" collapsed="false">
      <c r="B5" s="5" t="s">
        <v>3</v>
      </c>
      <c r="C5" s="6" t="s">
        <v>4</v>
      </c>
    </row>
    <row r="6" customFormat="false" ht="30" hidden="false" customHeight="true" outlineLevel="0" collapsed="false">
      <c r="B6" s="5" t="s">
        <v>5</v>
      </c>
      <c r="C6" s="6" t="s">
        <v>6</v>
      </c>
    </row>
    <row r="7" customFormat="false" ht="45" hidden="false" customHeight="true" outlineLevel="0" collapsed="false">
      <c r="B7" s="5" t="s">
        <v>7</v>
      </c>
      <c r="C7" s="6" t="s">
        <v>8</v>
      </c>
    </row>
    <row r="8" customFormat="false" ht="15" hidden="false" customHeight="true" outlineLevel="0" collapsed="false">
      <c r="B8" s="5" t="s">
        <v>9</v>
      </c>
      <c r="C8" s="6" t="s">
        <v>10</v>
      </c>
    </row>
    <row r="10" customFormat="false" ht="15" hidden="false" customHeight="false" outlineLevel="0" collapsed="false">
      <c r="B10" s="3" t="s">
        <v>11</v>
      </c>
      <c r="C10" s="4"/>
    </row>
    <row r="11" customFormat="false" ht="15" hidden="false" customHeight="true" outlineLevel="0" collapsed="false">
      <c r="B11" s="5" t="s">
        <v>12</v>
      </c>
      <c r="C11" s="6" t="s">
        <v>13</v>
      </c>
    </row>
    <row r="12" customFormat="false" ht="15" hidden="false" customHeight="true" outlineLevel="0" collapsed="false">
      <c r="B12" s="5" t="s">
        <v>14</v>
      </c>
      <c r="C12" s="6" t="s">
        <v>15</v>
      </c>
    </row>
    <row r="13" customFormat="false" ht="15" hidden="false" customHeight="true" outlineLevel="0" collapsed="false">
      <c r="B13" s="5" t="s">
        <v>16</v>
      </c>
      <c r="C13" s="6" t="s">
        <v>17</v>
      </c>
    </row>
    <row r="14" customFormat="false" ht="30" hidden="false" customHeight="true" outlineLevel="0" collapsed="false">
      <c r="B14" s="5" t="s">
        <v>18</v>
      </c>
      <c r="C14" s="6" t="s">
        <v>19</v>
      </c>
    </row>
    <row r="16" customFormat="false" ht="15" hidden="false" customHeight="false" outlineLevel="0" collapsed="false">
      <c r="B16" s="3" t="s">
        <v>20</v>
      </c>
      <c r="C16" s="4"/>
    </row>
    <row r="17" customFormat="false" ht="15" hidden="false" customHeight="true" outlineLevel="0" collapsed="false">
      <c r="B17" s="5" t="s">
        <v>21</v>
      </c>
      <c r="C17" s="6" t="s">
        <v>22</v>
      </c>
    </row>
    <row r="18" customFormat="false" ht="30" hidden="false" customHeight="true" outlineLevel="0" collapsed="false">
      <c r="B18" s="5" t="s">
        <v>23</v>
      </c>
      <c r="C18" s="6" t="s">
        <v>24</v>
      </c>
    </row>
    <row r="19" customFormat="false" ht="30" hidden="false" customHeight="true" outlineLevel="0" collapsed="false">
      <c r="B19" s="5" t="s">
        <v>25</v>
      </c>
      <c r="C19" s="6" t="s">
        <v>26</v>
      </c>
    </row>
    <row r="20" customFormat="false" ht="30" hidden="false" customHeight="true" outlineLevel="0" collapsed="false">
      <c r="B20" s="5" t="s">
        <v>27</v>
      </c>
      <c r="C20" s="6" t="s">
        <v>28</v>
      </c>
    </row>
    <row r="21" customFormat="false" ht="15" hidden="false" customHeight="true" outlineLevel="0" collapsed="false">
      <c r="B21" s="5" t="s">
        <v>29</v>
      </c>
      <c r="C21" s="6" t="s">
        <v>30</v>
      </c>
    </row>
    <row r="23" customFormat="false" ht="15" hidden="false" customHeight="false" outlineLevel="0" collapsed="false">
      <c r="B23" s="3" t="s">
        <v>31</v>
      </c>
      <c r="C23" s="4"/>
    </row>
    <row r="24" customFormat="false" ht="15" hidden="false" customHeight="true" outlineLevel="0" collapsed="false">
      <c r="B24" s="5" t="s">
        <v>32</v>
      </c>
      <c r="C24" s="6" t="s">
        <v>33</v>
      </c>
    </row>
    <row r="25" customFormat="false" ht="15" hidden="false" customHeight="true" outlineLevel="0" collapsed="false">
      <c r="B25" s="5" t="s">
        <v>34</v>
      </c>
      <c r="C25" s="6" t="s">
        <v>35</v>
      </c>
    </row>
    <row r="26" customFormat="false" ht="15" hidden="false" customHeight="true" outlineLevel="0" collapsed="false">
      <c r="B26" s="5" t="s">
        <v>36</v>
      </c>
      <c r="C26" s="6" t="s">
        <v>37</v>
      </c>
    </row>
    <row r="27" customFormat="false" ht="15" hidden="false" customHeight="true" outlineLevel="0" collapsed="false">
      <c r="B27" s="5" t="s">
        <v>38</v>
      </c>
      <c r="C27" s="6" t="s">
        <v>39</v>
      </c>
    </row>
    <row r="28" customFormat="false" ht="15" hidden="false" customHeight="true" outlineLevel="0" collapsed="false">
      <c r="B28" s="5" t="s">
        <v>40</v>
      </c>
      <c r="C28" s="6" t="s">
        <v>41</v>
      </c>
    </row>
    <row r="30" customFormat="false" ht="15" hidden="false" customHeight="false" outlineLevel="0" collapsed="false">
      <c r="B30" s="3" t="s">
        <v>42</v>
      </c>
      <c r="C30" s="4"/>
    </row>
    <row r="31" customFormat="false" ht="45" hidden="false" customHeight="true" outlineLevel="0" collapsed="false">
      <c r="B31" s="5" t="s">
        <v>43</v>
      </c>
      <c r="C31" s="6" t="s">
        <v>44</v>
      </c>
    </row>
    <row r="32" customFormat="false" ht="30" hidden="false" customHeight="true" outlineLevel="0" collapsed="false">
      <c r="B32" s="5" t="s">
        <v>45</v>
      </c>
      <c r="C32" s="6" t="s">
        <v>46</v>
      </c>
    </row>
    <row r="34" customFormat="false" ht="15" hidden="false" customHeight="false" outlineLevel="0" collapsed="false">
      <c r="B34" s="3" t="s">
        <v>47</v>
      </c>
      <c r="C34" s="4"/>
    </row>
    <row r="35" customFormat="false" ht="45" hidden="false" customHeight="true" outlineLevel="0" collapsed="false">
      <c r="B35" s="5" t="s">
        <v>48</v>
      </c>
      <c r="C35" s="6" t="s">
        <v>49</v>
      </c>
    </row>
    <row r="36" customFormat="false" ht="30" hidden="false" customHeight="true" outlineLevel="0" collapsed="false">
      <c r="B36" s="5" t="s">
        <v>50</v>
      </c>
      <c r="C36" s="6" t="s">
        <v>51</v>
      </c>
    </row>
    <row r="37" customFormat="false" ht="30" hidden="false" customHeight="true" outlineLevel="0" collapsed="false">
      <c r="B37" s="5" t="s">
        <v>52</v>
      </c>
      <c r="C37" s="6" t="s">
        <v>53</v>
      </c>
    </row>
    <row r="38" customFormat="false" ht="45" hidden="false" customHeight="true" outlineLevel="0" collapsed="false">
      <c r="B38" s="5" t="s">
        <v>54</v>
      </c>
      <c r="C38" s="6" t="s">
        <v>55</v>
      </c>
    </row>
    <row r="40" customFormat="false" ht="15" hidden="false" customHeight="false" outlineLevel="0" collapsed="false">
      <c r="B40" s="3" t="s">
        <v>56</v>
      </c>
      <c r="C40" s="4"/>
    </row>
    <row r="41" customFormat="false" ht="15" hidden="false" customHeight="false" outlineLevel="0" collapsed="false">
      <c r="B41" s="7" t="s">
        <v>57</v>
      </c>
      <c r="C41" s="8" t="s">
        <v>58</v>
      </c>
    </row>
    <row r="42" customFormat="false" ht="15" hidden="false" customHeight="false" outlineLevel="0" collapsed="false">
      <c r="B42" s="7" t="s">
        <v>59</v>
      </c>
      <c r="C42" s="8" t="s">
        <v>60</v>
      </c>
    </row>
    <row r="43" customFormat="false" ht="15" hidden="false" customHeight="false" outlineLevel="0" collapsed="false">
      <c r="B43" s="7" t="s">
        <v>61</v>
      </c>
      <c r="C43" s="8" t="s">
        <v>62</v>
      </c>
    </row>
    <row r="44" customFormat="false" ht="15" hidden="false" customHeight="false" outlineLevel="0" collapsed="false">
      <c r="B44" s="7" t="s">
        <v>63</v>
      </c>
      <c r="C44" s="8" t="s">
        <v>64</v>
      </c>
    </row>
    <row r="45" customFormat="false" ht="15" hidden="false" customHeight="false" outlineLevel="0" collapsed="false">
      <c r="B45" s="7" t="s">
        <v>65</v>
      </c>
      <c r="C45" s="8" t="s">
        <v>66</v>
      </c>
    </row>
    <row r="46" customFormat="false" ht="15" hidden="false" customHeight="false" outlineLevel="0" collapsed="false">
      <c r="B46" s="7" t="s">
        <v>32</v>
      </c>
      <c r="C46" s="8" t="s">
        <v>67</v>
      </c>
    </row>
    <row r="47" customFormat="false" ht="15" hidden="false" customHeight="false" outlineLevel="0" collapsed="false">
      <c r="B47" s="7" t="s">
        <v>34</v>
      </c>
      <c r="C47" s="8" t="s">
        <v>68</v>
      </c>
    </row>
    <row r="48" customFormat="false" ht="15" hidden="false" customHeight="false" outlineLevel="0" collapsed="false">
      <c r="B48" s="7" t="s">
        <v>69</v>
      </c>
      <c r="C48" s="8" t="s">
        <v>68</v>
      </c>
    </row>
    <row r="49" customFormat="false" ht="15" hidden="false" customHeight="false" outlineLevel="0" collapsed="false">
      <c r="B49" s="7" t="s">
        <v>70</v>
      </c>
      <c r="C49" s="8" t="s">
        <v>68</v>
      </c>
    </row>
    <row r="50" customFormat="false" ht="15" hidden="false" customHeight="false" outlineLevel="0" collapsed="false">
      <c r="B50" s="7" t="s">
        <v>71</v>
      </c>
      <c r="C50" s="8" t="s">
        <v>68</v>
      </c>
    </row>
    <row r="51" customFormat="false" ht="15" hidden="false" customHeight="false" outlineLevel="0" collapsed="false">
      <c r="B51" s="7" t="s">
        <v>72</v>
      </c>
      <c r="C51" s="8" t="s">
        <v>68</v>
      </c>
    </row>
    <row r="52" customFormat="false" ht="15" hidden="false" customHeight="false" outlineLevel="0" collapsed="false">
      <c r="B52" s="7" t="s">
        <v>73</v>
      </c>
      <c r="C52" s="8" t="s">
        <v>68</v>
      </c>
    </row>
    <row r="53" customFormat="false" ht="15" hidden="false" customHeight="false" outlineLevel="0" collapsed="false">
      <c r="B53" s="7" t="s">
        <v>74</v>
      </c>
      <c r="C53" s="8" t="s">
        <v>68</v>
      </c>
    </row>
    <row r="54" customFormat="false" ht="15" hidden="false" customHeight="false" outlineLevel="0" collapsed="false">
      <c r="B54" s="7" t="s">
        <v>36</v>
      </c>
      <c r="C54" s="8" t="s">
        <v>68</v>
      </c>
    </row>
    <row r="55" customFormat="false" ht="15" hidden="false" customHeight="false" outlineLevel="0" collapsed="false">
      <c r="B55" s="7" t="s">
        <v>75</v>
      </c>
      <c r="C55" s="8" t="s">
        <v>68</v>
      </c>
    </row>
    <row r="56" customFormat="false" ht="15" hidden="false" customHeight="false" outlineLevel="0" collapsed="false">
      <c r="B56" s="7" t="s">
        <v>76</v>
      </c>
      <c r="C56" s="8" t="s">
        <v>68</v>
      </c>
    </row>
    <row r="57" customFormat="false" ht="15" hidden="false" customHeight="false" outlineLevel="0" collapsed="false">
      <c r="B57" s="7" t="s">
        <v>77</v>
      </c>
      <c r="C57" s="8" t="s">
        <v>68</v>
      </c>
    </row>
    <row r="58" customFormat="false" ht="15" hidden="false" customHeight="false" outlineLevel="0" collapsed="false">
      <c r="B58" s="7" t="s">
        <v>78</v>
      </c>
      <c r="C58" s="8" t="s">
        <v>68</v>
      </c>
    </row>
    <row r="59" customFormat="false" ht="15" hidden="false" customHeight="false" outlineLevel="0" collapsed="false">
      <c r="B59" s="7" t="s">
        <v>79</v>
      </c>
      <c r="C59" s="8" t="s">
        <v>68</v>
      </c>
    </row>
    <row r="60" customFormat="false" ht="15" hidden="false" customHeight="false" outlineLevel="0" collapsed="false">
      <c r="B60" s="7" t="s">
        <v>80</v>
      </c>
      <c r="C60" s="8" t="s">
        <v>68</v>
      </c>
    </row>
    <row r="61" customFormat="false" ht="15" hidden="false" customHeight="false" outlineLevel="0" collapsed="false">
      <c r="B61" s="7" t="s">
        <v>81</v>
      </c>
      <c r="C61" s="8" t="s">
        <v>68</v>
      </c>
    </row>
    <row r="62" customFormat="false" ht="15" hidden="false" customHeight="false" outlineLevel="0" collapsed="false">
      <c r="B62" s="7" t="s">
        <v>82</v>
      </c>
      <c r="C62" s="8" t="s">
        <v>68</v>
      </c>
    </row>
    <row r="63" customFormat="false" ht="15" hidden="false" customHeight="false" outlineLevel="0" collapsed="false">
      <c r="B63" s="7" t="s">
        <v>83</v>
      </c>
      <c r="C63" s="8" t="s">
        <v>68</v>
      </c>
    </row>
    <row r="64" customFormat="false" ht="15" hidden="false" customHeight="false" outlineLevel="0" collapsed="false">
      <c r="B64" s="7" t="s">
        <v>84</v>
      </c>
      <c r="C64" s="8" t="s">
        <v>68</v>
      </c>
    </row>
    <row r="65" customFormat="false" ht="15" hidden="false" customHeight="false" outlineLevel="0" collapsed="false">
      <c r="B65" s="7" t="s">
        <v>85</v>
      </c>
      <c r="C65" s="8" t="s">
        <v>68</v>
      </c>
    </row>
    <row r="66" customFormat="false" ht="15" hidden="false" customHeight="false" outlineLevel="0" collapsed="false">
      <c r="B66" s="7" t="s">
        <v>86</v>
      </c>
      <c r="C66" s="8" t="s">
        <v>68</v>
      </c>
    </row>
    <row r="67" customFormat="false" ht="15" hidden="false" customHeight="false" outlineLevel="0" collapsed="false">
      <c r="B67" s="7" t="s">
        <v>87</v>
      </c>
      <c r="C67" s="8" t="s">
        <v>68</v>
      </c>
    </row>
    <row r="68" customFormat="false" ht="15" hidden="false" customHeight="false" outlineLevel="0" collapsed="false">
      <c r="B68" s="7" t="s">
        <v>88</v>
      </c>
      <c r="C68" s="8" t="s">
        <v>68</v>
      </c>
    </row>
    <row r="69" customFormat="false" ht="15" hidden="false" customHeight="false" outlineLevel="0" collapsed="false">
      <c r="B69" s="7" t="s">
        <v>89</v>
      </c>
      <c r="C69" s="8" t="s">
        <v>68</v>
      </c>
    </row>
    <row r="70" customFormat="false" ht="15" hidden="false" customHeight="false" outlineLevel="0" collapsed="false">
      <c r="B70" s="7" t="s">
        <v>90</v>
      </c>
      <c r="C70" s="8" t="s">
        <v>68</v>
      </c>
    </row>
    <row r="71" customFormat="false" ht="15" hidden="false" customHeight="false" outlineLevel="0" collapsed="false">
      <c r="B71" s="7" t="s">
        <v>91</v>
      </c>
      <c r="C71" s="8" t="s">
        <v>68</v>
      </c>
    </row>
    <row r="72" customFormat="false" ht="15" hidden="false" customHeight="false" outlineLevel="0" collapsed="false">
      <c r="B72" s="7" t="s">
        <v>92</v>
      </c>
      <c r="C72" s="8" t="s">
        <v>68</v>
      </c>
    </row>
    <row r="73" customFormat="false" ht="15" hidden="false" customHeight="false" outlineLevel="0" collapsed="false">
      <c r="B73" s="7" t="s">
        <v>93</v>
      </c>
      <c r="C73" s="8" t="s">
        <v>68</v>
      </c>
    </row>
    <row r="74" customFormat="false" ht="15" hidden="false" customHeight="false" outlineLevel="0" collapsed="false">
      <c r="B74" s="7" t="s">
        <v>94</v>
      </c>
      <c r="C74" s="8" t="s">
        <v>68</v>
      </c>
    </row>
    <row r="75" customFormat="false" ht="15" hidden="false" customHeight="false" outlineLevel="0" collapsed="false">
      <c r="B75" s="7" t="s">
        <v>95</v>
      </c>
      <c r="C75" s="8" t="s">
        <v>68</v>
      </c>
    </row>
    <row r="76" customFormat="false" ht="15" hidden="false" customHeight="false" outlineLevel="0" collapsed="false">
      <c r="B76" s="7" t="s">
        <v>96</v>
      </c>
      <c r="C76" s="8" t="s">
        <v>97</v>
      </c>
    </row>
    <row r="77" customFormat="false" ht="15" hidden="false" customHeight="false" outlineLevel="0" collapsed="false">
      <c r="B77" s="7" t="s">
        <v>98</v>
      </c>
      <c r="C77" s="8" t="s">
        <v>99</v>
      </c>
    </row>
    <row r="78" customFormat="false" ht="15" hidden="false" customHeight="false" outlineLevel="0" collapsed="false">
      <c r="B78" s="7" t="s">
        <v>100</v>
      </c>
      <c r="C78" s="8" t="s">
        <v>101</v>
      </c>
    </row>
  </sheetData>
  <hyperlinks>
    <hyperlink ref="B41" r:id="rId1" location="'Dashboard'!A1" display="Dashboard"/>
    <hyperlink ref="B42" r:id="rId2" location="'Project%20Summary'!A1" display="Project Summary"/>
    <hyperlink ref="B43" r:id="rId3" location="'Gantt'!A1" display="Gantt"/>
    <hyperlink ref="B44" r:id="rId4" location="'Charts'!A1" display="Charts"/>
    <hyperlink ref="B45" r:id="rId5" location="'Search'!A1" display="Search"/>
    <hyperlink ref="B46" r:id="rId6" location="'Projects'!A1" display="Projects"/>
    <hyperlink ref="B47" r:id="rId7" location="'Tasks'!A1" display="Tasks"/>
    <hyperlink ref="B48" r:id="rId8" location="'Actions'!A1" display="Actions"/>
    <hyperlink ref="B49" r:id="rId9" location="'Risks'!A1" display="Risks"/>
    <hyperlink ref="B50" r:id="rId10" location="'RFIs'!A1" display="RFIs"/>
    <hyperlink ref="B51" r:id="rId11" location="'Defects'!A1" display="Defects"/>
    <hyperlink ref="B52" r:id="rId12" location="'Variations'!A1" display="Variations"/>
    <hyperlink ref="B53" r:id="rId13" location="'EOT%20Claims'!A1" display="EOT Claims"/>
    <hyperlink ref="B54" r:id="rId14" location="'Cash%20Flow'!A1" display="Cash Flow"/>
    <hyperlink ref="B55" r:id="rId15" location="'Milestones'!A1" display="Milestones"/>
    <hyperlink ref="B56" r:id="rId16" location="'Payment%20Claims'!A1" display="Payment Claims"/>
    <hyperlink ref="B57" r:id="rId17" location="'Contracts'!A1" display="Contracts"/>
    <hyperlink ref="B58" r:id="rId18" location="'Subcontractors'!A1" display="Subcontractors"/>
    <hyperlink ref="B59" r:id="rId19" location="'Permits'!A1" display="Permits"/>
    <hyperlink ref="B60" r:id="rId20" location="'Insurance%20Warranties'!A1" display="Insurance Warranties"/>
    <hyperlink ref="B61" r:id="rId21" location="'Stakeholders'!A1" display="Stakeholders"/>
    <hyperlink ref="B62" r:id="rId22" location="'Meeting%20Minutes'!A1" display="Meeting Minutes"/>
    <hyperlink ref="B63" r:id="rId23" location="'Correspondence'!A1" display="Correspondence"/>
    <hyperlink ref="B64" r:id="rId24" location="'Documents'!A1" display="Documents"/>
    <hyperlink ref="B65" r:id="rId25" location="'SQE%20Issues'!A1" display="SQE Issues"/>
    <hyperlink ref="B66" r:id="rId26" location="'Safety%20Inspections'!A1" display="Safety Inspections"/>
    <hyperlink ref="B67" r:id="rId27" location="'Env%20Monitoring'!A1" display="Env Monitoring"/>
    <hyperlink ref="B68" r:id="rId28" location="'Site%20Visits'!A1" display="Site Visits"/>
    <hyperlink ref="B69" r:id="rId29" location="'Training%20Records'!A1" display="Training Records"/>
    <hyperlink ref="B70" r:id="rId30" location="'Toolbox%20Talks'!A1" display="Toolbox Talks"/>
    <hyperlink ref="B71" r:id="rId31" location="'Lessons%20Learned'!A1" display="Lessons Learned"/>
    <hyperlink ref="B72" r:id="rId32" location="'Enquiries'!A1" display="Enquiries"/>
    <hyperlink ref="B73" r:id="rId33" location="'Tenders'!A1" display="Tenders"/>
    <hyperlink ref="B74" r:id="rId34" location="'Performance%20Reviews'!A1" display="Performance Reviews"/>
    <hyperlink ref="B75" r:id="rId35" location="'Checklist'!A1" display="Checklist"/>
    <hyperlink ref="B76" r:id="rId36" location="'Activity%20Log'!A1" display="Activity Log"/>
    <hyperlink ref="B77" r:id="rId37" location="'Lists'!A1" display="Lists"/>
    <hyperlink ref="B78" r:id="rId38" location="'Calc'!A1" display="Cal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9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7" min="4" style="0" width="16"/>
    <col collapsed="false" customWidth="true" hidden="false" outlineLevel="0" max="12" min="8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</cols>
  <sheetData>
    <row r="1" customFormat="false" ht="25.5" hidden="false" customHeight="true" outlineLevel="0" collapsed="false">
      <c r="A1" s="9" t="s">
        <v>102</v>
      </c>
      <c r="F1" s="10" t="s">
        <v>103</v>
      </c>
      <c r="G1" s="11" t="n">
        <f aca="true">TODAY()</f>
        <v>46306</v>
      </c>
    </row>
    <row r="2" customFormat="false" ht="15" hidden="false" customHeight="false" outlineLevel="0" collapsed="false">
      <c r="A2" s="12" t="s">
        <v>104</v>
      </c>
    </row>
    <row r="4" customFormat="false" ht="15" hidden="false" customHeight="false" outlineLevel="0" collapsed="false">
      <c r="A4" s="13" t="s">
        <v>105</v>
      </c>
      <c r="B4" s="13"/>
      <c r="C4" s="13" t="s">
        <v>106</v>
      </c>
      <c r="D4" s="13"/>
      <c r="E4" s="13" t="s">
        <v>107</v>
      </c>
      <c r="F4" s="13"/>
      <c r="G4" s="13" t="s">
        <v>108</v>
      </c>
      <c r="H4" s="13"/>
    </row>
    <row r="5" customFormat="false" ht="30" hidden="false" customHeight="true" outlineLevel="0" collapsed="false">
      <c r="A5" s="14" t="n">
        <f aca="false">COUNTA(Projects!$A$2:$A$101)</f>
        <v>0</v>
      </c>
      <c r="B5" s="14"/>
      <c r="C5" s="14" t="n">
        <f aca="false">COUNTIF(Projects!$D$2:$D$101,"Construction")</f>
        <v>0</v>
      </c>
      <c r="D5" s="14"/>
      <c r="E5" s="14" t="n">
        <f aca="false">COUNTIF(Projects!$X$2:$X$101,"Overdue")</f>
        <v>0</v>
      </c>
      <c r="F5" s="14"/>
      <c r="G5" s="15" t="n">
        <f aca="false">SUM(Projects!$R$2:$R$101)</f>
        <v>0</v>
      </c>
      <c r="H5" s="15"/>
    </row>
    <row r="7" customFormat="false" ht="15" hidden="false" customHeight="false" outlineLevel="0" collapsed="false">
      <c r="A7" s="16" t="s">
        <v>109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30" hidden="false" customHeight="true" outlineLevel="0" collapsed="false">
      <c r="A8" s="17" t="s">
        <v>110</v>
      </c>
      <c r="B8" s="17" t="s">
        <v>111</v>
      </c>
      <c r="C8" s="17" t="s">
        <v>112</v>
      </c>
      <c r="D8" s="17" t="s">
        <v>113</v>
      </c>
      <c r="E8" s="17" t="s">
        <v>114</v>
      </c>
      <c r="F8" s="17" t="s">
        <v>115</v>
      </c>
      <c r="G8" s="17" t="s">
        <v>116</v>
      </c>
      <c r="H8" s="17" t="s">
        <v>117</v>
      </c>
      <c r="I8" s="17" t="s">
        <v>118</v>
      </c>
      <c r="J8" s="17" t="s">
        <v>119</v>
      </c>
      <c r="K8" s="17" t="s">
        <v>120</v>
      </c>
      <c r="L8" s="17" t="s">
        <v>121</v>
      </c>
      <c r="M8" s="17" t="s">
        <v>122</v>
      </c>
      <c r="N8" s="17" t="s">
        <v>123</v>
      </c>
      <c r="O8" s="17" t="s">
        <v>124</v>
      </c>
    </row>
    <row r="9" customFormat="false" ht="15" hidden="false" customHeight="false" outlineLevel="0" collapsed="false">
      <c r="A9" s="18" t="str">
        <f aca="false">IF(INDEX(Projects!$A$2:$A$101,ROWS(A$9:A9))="","",INDEX(Projects!$A$2:$A$101,ROWS(A$9:A9)))</f>
        <v/>
      </c>
      <c r="B9" s="18" t="str">
        <f aca="false">IF($A9="","",IFERROR(IF(INDEX(Projects!$D$2:$D$101,MATCH($A9,Projects!$A$2:$A$101,0))="","",INDEX(Projects!$D$2:$D$101,MATCH($A9,Projects!$A$2:$A$101,0))),""))</f>
        <v/>
      </c>
      <c r="C9" s="18" t="str">
        <f aca="false">IF($A9="","",IFERROR(IF(INDEX(Projects!$F$2:$F$101,MATCH($A9,Projects!$A$2:$A$101,0))="","",INDEX(Projects!$F$2:$F$101,MATCH($A9,Projects!$A$2:$A$101,0))),""))</f>
        <v/>
      </c>
      <c r="D9" s="19" t="str">
        <f aca="false">IF($A9="","",IFERROR(IF(INDEX(Projects!$W$2:$W$101,MATCH($A9,Projects!$A$2:$A$101,0))="","",INDEX(Projects!$W$2:$W$101,MATCH($A9,Projects!$A$2:$A$101,0))),""))</f>
        <v/>
      </c>
      <c r="E9" s="20" t="str">
        <f aca="false">IF($A9="","",IFERROR(IF(INDEX(Projects!$R$2:$R$101,MATCH($A9,Projects!$A$2:$A$101,0))="","",INDEX(Projects!$R$2:$R$101,MATCH($A9,Projects!$A$2:$A$101,0))),""))</f>
        <v/>
      </c>
      <c r="F9" s="20" t="str">
        <f aca="false">IF($A9="","",IFERROR(IF(INDEX(Projects!$T$2:$T$101,MATCH($A9,Projects!$A$2:$A$101,0))="","",INDEX(Projects!$T$2:$T$101,MATCH($A9,Projects!$A$2:$A$101,0))),""))</f>
        <v/>
      </c>
      <c r="G9" s="20" t="str">
        <f aca="false">IF($A9="","",IFERROR(IF(INDEX(Projects!$U$2:$U$101,MATCH($A9,Projects!$A$2:$A$101,0))="","",INDEX(Projects!$U$2:$U$101,MATCH($A9,Projects!$A$2:$A$101,0))),""))</f>
        <v/>
      </c>
      <c r="H9" s="21" t="str">
        <f aca="false">IF($A9="","",IFERROR(IF(INDEX(Projects!$Z$2:$Z$101,MATCH($A9,Projects!$A$2:$A$101,0))="","",INDEX(Projects!$Z$2:$Z$101,MATCH($A9,Projects!$A$2:$A$101,0))),""))</f>
        <v/>
      </c>
      <c r="I9" s="21" t="str">
        <f aca="false">IF($A9="","",IFERROR(IF(INDEX(Projects!$AB$2:$AB$101,MATCH($A9,Projects!$A$2:$A$101,0))="","",INDEX(Projects!$AB$2:$AB$101,MATCH($A9,Projects!$A$2:$A$101,0))),""))</f>
        <v/>
      </c>
      <c r="J9" s="21" t="str">
        <f aca="false">IF($A9="","",IFERROR(IF(INDEX(Projects!$AE$2:$AE$101,MATCH($A9,Projects!$A$2:$A$101,0))="","",INDEX(Projects!$AE$2:$AE$101,MATCH($A9,Projects!$A$2:$A$101,0))),""))</f>
        <v/>
      </c>
      <c r="K9" s="21" t="str">
        <f aca="false">IF($A9="","",IFERROR(IF(INDEX(Projects!$AF$2:$AF$101,MATCH($A9,Projects!$A$2:$A$101,0))="","",INDEX(Projects!$AF$2:$AF$101,MATCH($A9,Projects!$A$2:$A$101,0))),""))</f>
        <v/>
      </c>
      <c r="L9" s="22" t="str">
        <f aca="false">IF($A9="","",IFERROR(IF(INDEX(Projects!$AG$2:$AG$101,MATCH($A9,Projects!$A$2:$A$101,0))="","",INDEX(Projects!$AG$2:$AG$101,MATCH($A9,Projects!$A$2:$A$101,0))),""))</f>
        <v/>
      </c>
      <c r="M9" s="22" t="str">
        <f aca="false">IF($A9="","",IFERROR(IF(INDEX(Projects!$AH$2:$AH$101,MATCH($A9,Projects!$A$2:$A$101,0))="","",INDEX(Projects!$AH$2:$AH$101,MATCH($A9,Projects!$A$2:$A$101,0))),""))</f>
        <v/>
      </c>
      <c r="N9" s="22" t="str">
        <f aca="false">IF($A9="","",IFERROR(IF(INDEX(Projects!$AI$2:$AI$101,MATCH($A9,Projects!$A$2:$A$101,0))="","",INDEX(Projects!$AI$2:$AI$101,MATCH($A9,Projects!$A$2:$A$101,0))),""))</f>
        <v/>
      </c>
      <c r="O9" s="22" t="str">
        <f aca="false">IF($A9="","",IFERROR(IF(INDEX(Projects!$AJ$2:$AJ$101,MATCH($A9,Projects!$A$2:$A$101,0))="","",INDEX(Projects!$AJ$2:$AJ$101,MATCH($A9,Projects!$A$2:$A$101,0))),""))</f>
        <v/>
      </c>
    </row>
    <row r="10" customFormat="false" ht="15" hidden="false" customHeight="false" outlineLevel="0" collapsed="false">
      <c r="A10" s="18" t="str">
        <f aca="false">IF(INDEX(Projects!$A$2:$A$101,ROWS(A$9:A10))="","",INDEX(Projects!$A$2:$A$101,ROWS(A$9:A10)))</f>
        <v/>
      </c>
      <c r="B10" s="18" t="str">
        <f aca="false">IF($A10="","",IFERROR(IF(INDEX(Projects!$D$2:$D$101,MATCH($A10,Projects!$A$2:$A$101,0))="","",INDEX(Projects!$D$2:$D$101,MATCH($A10,Projects!$A$2:$A$101,0))),""))</f>
        <v/>
      </c>
      <c r="C10" s="18" t="str">
        <f aca="false">IF($A10="","",IFERROR(IF(INDEX(Projects!$F$2:$F$101,MATCH($A10,Projects!$A$2:$A$101,0))="","",INDEX(Projects!$F$2:$F$101,MATCH($A10,Projects!$A$2:$A$101,0))),""))</f>
        <v/>
      </c>
      <c r="D10" s="19" t="str">
        <f aca="false">IF($A10="","",IFERROR(IF(INDEX(Projects!$W$2:$W$101,MATCH($A10,Projects!$A$2:$A$101,0))="","",INDEX(Projects!$W$2:$W$101,MATCH($A10,Projects!$A$2:$A$101,0))),""))</f>
        <v/>
      </c>
      <c r="E10" s="20" t="str">
        <f aca="false">IF($A10="","",IFERROR(IF(INDEX(Projects!$R$2:$R$101,MATCH($A10,Projects!$A$2:$A$101,0))="","",INDEX(Projects!$R$2:$R$101,MATCH($A10,Projects!$A$2:$A$101,0))),""))</f>
        <v/>
      </c>
      <c r="F10" s="20" t="str">
        <f aca="false">IF($A10="","",IFERROR(IF(INDEX(Projects!$T$2:$T$101,MATCH($A10,Projects!$A$2:$A$101,0))="","",INDEX(Projects!$T$2:$T$101,MATCH($A10,Projects!$A$2:$A$101,0))),""))</f>
        <v/>
      </c>
      <c r="G10" s="20" t="str">
        <f aca="false">IF($A10="","",IFERROR(IF(INDEX(Projects!$U$2:$U$101,MATCH($A10,Projects!$A$2:$A$101,0))="","",INDEX(Projects!$U$2:$U$101,MATCH($A10,Projects!$A$2:$A$101,0))),""))</f>
        <v/>
      </c>
      <c r="H10" s="21" t="str">
        <f aca="false">IF($A10="","",IFERROR(IF(INDEX(Projects!$Z$2:$Z$101,MATCH($A10,Projects!$A$2:$A$101,0))="","",INDEX(Projects!$Z$2:$Z$101,MATCH($A10,Projects!$A$2:$A$101,0))),""))</f>
        <v/>
      </c>
      <c r="I10" s="21" t="str">
        <f aca="false">IF($A10="","",IFERROR(IF(INDEX(Projects!$AB$2:$AB$101,MATCH($A10,Projects!$A$2:$A$101,0))="","",INDEX(Projects!$AB$2:$AB$101,MATCH($A10,Projects!$A$2:$A$101,0))),""))</f>
        <v/>
      </c>
      <c r="J10" s="21" t="str">
        <f aca="false">IF($A10="","",IFERROR(IF(INDEX(Projects!$AE$2:$AE$101,MATCH($A10,Projects!$A$2:$A$101,0))="","",INDEX(Projects!$AE$2:$AE$101,MATCH($A10,Projects!$A$2:$A$101,0))),""))</f>
        <v/>
      </c>
      <c r="K10" s="21" t="str">
        <f aca="false">IF($A10="","",IFERROR(IF(INDEX(Projects!$AF$2:$AF$101,MATCH($A10,Projects!$A$2:$A$101,0))="","",INDEX(Projects!$AF$2:$AF$101,MATCH($A10,Projects!$A$2:$A$101,0))),""))</f>
        <v/>
      </c>
      <c r="L10" s="22" t="str">
        <f aca="false">IF($A10="","",IFERROR(IF(INDEX(Projects!$AG$2:$AG$101,MATCH($A10,Projects!$A$2:$A$101,0))="","",INDEX(Projects!$AG$2:$AG$101,MATCH($A10,Projects!$A$2:$A$101,0))),""))</f>
        <v/>
      </c>
      <c r="M10" s="22" t="str">
        <f aca="false">IF($A10="","",IFERROR(IF(INDEX(Projects!$AH$2:$AH$101,MATCH($A10,Projects!$A$2:$A$101,0))="","",INDEX(Projects!$AH$2:$AH$101,MATCH($A10,Projects!$A$2:$A$101,0))),""))</f>
        <v/>
      </c>
      <c r="N10" s="22" t="str">
        <f aca="false">IF($A10="","",IFERROR(IF(INDEX(Projects!$AI$2:$AI$101,MATCH($A10,Projects!$A$2:$A$101,0))="","",INDEX(Projects!$AI$2:$AI$101,MATCH($A10,Projects!$A$2:$A$101,0))),""))</f>
        <v/>
      </c>
      <c r="O10" s="22" t="str">
        <f aca="false">IF($A10="","",IFERROR(IF(INDEX(Projects!$AJ$2:$AJ$101,MATCH($A10,Projects!$A$2:$A$101,0))="","",INDEX(Projects!$AJ$2:$AJ$101,MATCH($A10,Projects!$A$2:$A$101,0))),""))</f>
        <v/>
      </c>
    </row>
    <row r="11" customFormat="false" ht="15" hidden="false" customHeight="false" outlineLevel="0" collapsed="false">
      <c r="A11" s="18" t="str">
        <f aca="false">IF(INDEX(Projects!$A$2:$A$101,ROWS(A$9:A11))="","",INDEX(Projects!$A$2:$A$101,ROWS(A$9:A11)))</f>
        <v/>
      </c>
      <c r="B11" s="18" t="str">
        <f aca="false">IF($A11="","",IFERROR(IF(INDEX(Projects!$D$2:$D$101,MATCH($A11,Projects!$A$2:$A$101,0))="","",INDEX(Projects!$D$2:$D$101,MATCH($A11,Projects!$A$2:$A$101,0))),""))</f>
        <v/>
      </c>
      <c r="C11" s="18" t="str">
        <f aca="false">IF($A11="","",IFERROR(IF(INDEX(Projects!$F$2:$F$101,MATCH($A11,Projects!$A$2:$A$101,0))="","",INDEX(Projects!$F$2:$F$101,MATCH($A11,Projects!$A$2:$A$101,0))),""))</f>
        <v/>
      </c>
      <c r="D11" s="19" t="str">
        <f aca="false">IF($A11="","",IFERROR(IF(INDEX(Projects!$W$2:$W$101,MATCH($A11,Projects!$A$2:$A$101,0))="","",INDEX(Projects!$W$2:$W$101,MATCH($A11,Projects!$A$2:$A$101,0))),""))</f>
        <v/>
      </c>
      <c r="E11" s="20" t="str">
        <f aca="false">IF($A11="","",IFERROR(IF(INDEX(Projects!$R$2:$R$101,MATCH($A11,Projects!$A$2:$A$101,0))="","",INDEX(Projects!$R$2:$R$101,MATCH($A11,Projects!$A$2:$A$101,0))),""))</f>
        <v/>
      </c>
      <c r="F11" s="20" t="str">
        <f aca="false">IF($A11="","",IFERROR(IF(INDEX(Projects!$T$2:$T$101,MATCH($A11,Projects!$A$2:$A$101,0))="","",INDEX(Projects!$T$2:$T$101,MATCH($A11,Projects!$A$2:$A$101,0))),""))</f>
        <v/>
      </c>
      <c r="G11" s="20" t="str">
        <f aca="false">IF($A11="","",IFERROR(IF(INDEX(Projects!$U$2:$U$101,MATCH($A11,Projects!$A$2:$A$101,0))="","",INDEX(Projects!$U$2:$U$101,MATCH($A11,Projects!$A$2:$A$101,0))),""))</f>
        <v/>
      </c>
      <c r="H11" s="21" t="str">
        <f aca="false">IF($A11="","",IFERROR(IF(INDEX(Projects!$Z$2:$Z$101,MATCH($A11,Projects!$A$2:$A$101,0))="","",INDEX(Projects!$Z$2:$Z$101,MATCH($A11,Projects!$A$2:$A$101,0))),""))</f>
        <v/>
      </c>
      <c r="I11" s="21" t="str">
        <f aca="false">IF($A11="","",IFERROR(IF(INDEX(Projects!$AB$2:$AB$101,MATCH($A11,Projects!$A$2:$A$101,0))="","",INDEX(Projects!$AB$2:$AB$101,MATCH($A11,Projects!$A$2:$A$101,0))),""))</f>
        <v/>
      </c>
      <c r="J11" s="21" t="str">
        <f aca="false">IF($A11="","",IFERROR(IF(INDEX(Projects!$AE$2:$AE$101,MATCH($A11,Projects!$A$2:$A$101,0))="","",INDEX(Projects!$AE$2:$AE$101,MATCH($A11,Projects!$A$2:$A$101,0))),""))</f>
        <v/>
      </c>
      <c r="K11" s="21" t="str">
        <f aca="false">IF($A11="","",IFERROR(IF(INDEX(Projects!$AF$2:$AF$101,MATCH($A11,Projects!$A$2:$A$101,0))="","",INDEX(Projects!$AF$2:$AF$101,MATCH($A11,Projects!$A$2:$A$101,0))),""))</f>
        <v/>
      </c>
      <c r="L11" s="22" t="str">
        <f aca="false">IF($A11="","",IFERROR(IF(INDEX(Projects!$AG$2:$AG$101,MATCH($A11,Projects!$A$2:$A$101,0))="","",INDEX(Projects!$AG$2:$AG$101,MATCH($A11,Projects!$A$2:$A$101,0))),""))</f>
        <v/>
      </c>
      <c r="M11" s="22" t="str">
        <f aca="false">IF($A11="","",IFERROR(IF(INDEX(Projects!$AH$2:$AH$101,MATCH($A11,Projects!$A$2:$A$101,0))="","",INDEX(Projects!$AH$2:$AH$101,MATCH($A11,Projects!$A$2:$A$101,0))),""))</f>
        <v/>
      </c>
      <c r="N11" s="22" t="str">
        <f aca="false">IF($A11="","",IFERROR(IF(INDEX(Projects!$AI$2:$AI$101,MATCH($A11,Projects!$A$2:$A$101,0))="","",INDEX(Projects!$AI$2:$AI$101,MATCH($A11,Projects!$A$2:$A$101,0))),""))</f>
        <v/>
      </c>
      <c r="O11" s="22" t="str">
        <f aca="false">IF($A11="","",IFERROR(IF(INDEX(Projects!$AJ$2:$AJ$101,MATCH($A11,Projects!$A$2:$A$101,0))="","",INDEX(Projects!$AJ$2:$AJ$101,MATCH($A11,Projects!$A$2:$A$101,0))),""))</f>
        <v/>
      </c>
    </row>
    <row r="12" customFormat="false" ht="15" hidden="false" customHeight="false" outlineLevel="0" collapsed="false">
      <c r="A12" s="18" t="str">
        <f aca="false">IF(INDEX(Projects!$A$2:$A$101,ROWS(A$9:A12))="","",INDEX(Projects!$A$2:$A$101,ROWS(A$9:A12)))</f>
        <v/>
      </c>
      <c r="B12" s="18" t="str">
        <f aca="false">IF($A12="","",IFERROR(IF(INDEX(Projects!$D$2:$D$101,MATCH($A12,Projects!$A$2:$A$101,0))="","",INDEX(Projects!$D$2:$D$101,MATCH($A12,Projects!$A$2:$A$101,0))),""))</f>
        <v/>
      </c>
      <c r="C12" s="18" t="str">
        <f aca="false">IF($A12="","",IFERROR(IF(INDEX(Projects!$F$2:$F$101,MATCH($A12,Projects!$A$2:$A$101,0))="","",INDEX(Projects!$F$2:$F$101,MATCH($A12,Projects!$A$2:$A$101,0))),""))</f>
        <v/>
      </c>
      <c r="D12" s="19" t="str">
        <f aca="false">IF($A12="","",IFERROR(IF(INDEX(Projects!$W$2:$W$101,MATCH($A12,Projects!$A$2:$A$101,0))="","",INDEX(Projects!$W$2:$W$101,MATCH($A12,Projects!$A$2:$A$101,0))),""))</f>
        <v/>
      </c>
      <c r="E12" s="20" t="str">
        <f aca="false">IF($A12="","",IFERROR(IF(INDEX(Projects!$R$2:$R$101,MATCH($A12,Projects!$A$2:$A$101,0))="","",INDEX(Projects!$R$2:$R$101,MATCH($A12,Projects!$A$2:$A$101,0))),""))</f>
        <v/>
      </c>
      <c r="F12" s="20" t="str">
        <f aca="false">IF($A12="","",IFERROR(IF(INDEX(Projects!$T$2:$T$101,MATCH($A12,Projects!$A$2:$A$101,0))="","",INDEX(Projects!$T$2:$T$101,MATCH($A12,Projects!$A$2:$A$101,0))),""))</f>
        <v/>
      </c>
      <c r="G12" s="20" t="str">
        <f aca="false">IF($A12="","",IFERROR(IF(INDEX(Projects!$U$2:$U$101,MATCH($A12,Projects!$A$2:$A$101,0))="","",INDEX(Projects!$U$2:$U$101,MATCH($A12,Projects!$A$2:$A$101,0))),""))</f>
        <v/>
      </c>
      <c r="H12" s="21" t="str">
        <f aca="false">IF($A12="","",IFERROR(IF(INDEX(Projects!$Z$2:$Z$101,MATCH($A12,Projects!$A$2:$A$101,0))="","",INDEX(Projects!$Z$2:$Z$101,MATCH($A12,Projects!$A$2:$A$101,0))),""))</f>
        <v/>
      </c>
      <c r="I12" s="21" t="str">
        <f aca="false">IF($A12="","",IFERROR(IF(INDEX(Projects!$AB$2:$AB$101,MATCH($A12,Projects!$A$2:$A$101,0))="","",INDEX(Projects!$AB$2:$AB$101,MATCH($A12,Projects!$A$2:$A$101,0))),""))</f>
        <v/>
      </c>
      <c r="J12" s="21" t="str">
        <f aca="false">IF($A12="","",IFERROR(IF(INDEX(Projects!$AE$2:$AE$101,MATCH($A12,Projects!$A$2:$A$101,0))="","",INDEX(Projects!$AE$2:$AE$101,MATCH($A12,Projects!$A$2:$A$101,0))),""))</f>
        <v/>
      </c>
      <c r="K12" s="21" t="str">
        <f aca="false">IF($A12="","",IFERROR(IF(INDEX(Projects!$AF$2:$AF$101,MATCH($A12,Projects!$A$2:$A$101,0))="","",INDEX(Projects!$AF$2:$AF$101,MATCH($A12,Projects!$A$2:$A$101,0))),""))</f>
        <v/>
      </c>
      <c r="L12" s="22" t="str">
        <f aca="false">IF($A12="","",IFERROR(IF(INDEX(Projects!$AG$2:$AG$101,MATCH($A12,Projects!$A$2:$A$101,0))="","",INDEX(Projects!$AG$2:$AG$101,MATCH($A12,Projects!$A$2:$A$101,0))),""))</f>
        <v/>
      </c>
      <c r="M12" s="22" t="str">
        <f aca="false">IF($A12="","",IFERROR(IF(INDEX(Projects!$AH$2:$AH$101,MATCH($A12,Projects!$A$2:$A$101,0))="","",INDEX(Projects!$AH$2:$AH$101,MATCH($A12,Projects!$A$2:$A$101,0))),""))</f>
        <v/>
      </c>
      <c r="N12" s="22" t="str">
        <f aca="false">IF($A12="","",IFERROR(IF(INDEX(Projects!$AI$2:$AI$101,MATCH($A12,Projects!$A$2:$A$101,0))="","",INDEX(Projects!$AI$2:$AI$101,MATCH($A12,Projects!$A$2:$A$101,0))),""))</f>
        <v/>
      </c>
      <c r="O12" s="22" t="str">
        <f aca="false">IF($A12="","",IFERROR(IF(INDEX(Projects!$AJ$2:$AJ$101,MATCH($A12,Projects!$A$2:$A$101,0))="","",INDEX(Projects!$AJ$2:$AJ$101,MATCH($A12,Projects!$A$2:$A$101,0))),""))</f>
        <v/>
      </c>
    </row>
    <row r="13" customFormat="false" ht="15" hidden="false" customHeight="false" outlineLevel="0" collapsed="false">
      <c r="A13" s="18" t="str">
        <f aca="false">IF(INDEX(Projects!$A$2:$A$101,ROWS(A$9:A13))="","",INDEX(Projects!$A$2:$A$101,ROWS(A$9:A13)))</f>
        <v/>
      </c>
      <c r="B13" s="18" t="str">
        <f aca="false">IF($A13="","",IFERROR(IF(INDEX(Projects!$D$2:$D$101,MATCH($A13,Projects!$A$2:$A$101,0))="","",INDEX(Projects!$D$2:$D$101,MATCH($A13,Projects!$A$2:$A$101,0))),""))</f>
        <v/>
      </c>
      <c r="C13" s="18" t="str">
        <f aca="false">IF($A13="","",IFERROR(IF(INDEX(Projects!$F$2:$F$101,MATCH($A13,Projects!$A$2:$A$101,0))="","",INDEX(Projects!$F$2:$F$101,MATCH($A13,Projects!$A$2:$A$101,0))),""))</f>
        <v/>
      </c>
      <c r="D13" s="19" t="str">
        <f aca="false">IF($A13="","",IFERROR(IF(INDEX(Projects!$W$2:$W$101,MATCH($A13,Projects!$A$2:$A$101,0))="","",INDEX(Projects!$W$2:$W$101,MATCH($A13,Projects!$A$2:$A$101,0))),""))</f>
        <v/>
      </c>
      <c r="E13" s="20" t="str">
        <f aca="false">IF($A13="","",IFERROR(IF(INDEX(Projects!$R$2:$R$101,MATCH($A13,Projects!$A$2:$A$101,0))="","",INDEX(Projects!$R$2:$R$101,MATCH($A13,Projects!$A$2:$A$101,0))),""))</f>
        <v/>
      </c>
      <c r="F13" s="20" t="str">
        <f aca="false">IF($A13="","",IFERROR(IF(INDEX(Projects!$T$2:$T$101,MATCH($A13,Projects!$A$2:$A$101,0))="","",INDEX(Projects!$T$2:$T$101,MATCH($A13,Projects!$A$2:$A$101,0))),""))</f>
        <v/>
      </c>
      <c r="G13" s="20" t="str">
        <f aca="false">IF($A13="","",IFERROR(IF(INDEX(Projects!$U$2:$U$101,MATCH($A13,Projects!$A$2:$A$101,0))="","",INDEX(Projects!$U$2:$U$101,MATCH($A13,Projects!$A$2:$A$101,0))),""))</f>
        <v/>
      </c>
      <c r="H13" s="21" t="str">
        <f aca="false">IF($A13="","",IFERROR(IF(INDEX(Projects!$Z$2:$Z$101,MATCH($A13,Projects!$A$2:$A$101,0))="","",INDEX(Projects!$Z$2:$Z$101,MATCH($A13,Projects!$A$2:$A$101,0))),""))</f>
        <v/>
      </c>
      <c r="I13" s="21" t="str">
        <f aca="false">IF($A13="","",IFERROR(IF(INDEX(Projects!$AB$2:$AB$101,MATCH($A13,Projects!$A$2:$A$101,0))="","",INDEX(Projects!$AB$2:$AB$101,MATCH($A13,Projects!$A$2:$A$101,0))),""))</f>
        <v/>
      </c>
      <c r="J13" s="21" t="str">
        <f aca="false">IF($A13="","",IFERROR(IF(INDEX(Projects!$AE$2:$AE$101,MATCH($A13,Projects!$A$2:$A$101,0))="","",INDEX(Projects!$AE$2:$AE$101,MATCH($A13,Projects!$A$2:$A$101,0))),""))</f>
        <v/>
      </c>
      <c r="K13" s="21" t="str">
        <f aca="false">IF($A13="","",IFERROR(IF(INDEX(Projects!$AF$2:$AF$101,MATCH($A13,Projects!$A$2:$A$101,0))="","",INDEX(Projects!$AF$2:$AF$101,MATCH($A13,Projects!$A$2:$A$101,0))),""))</f>
        <v/>
      </c>
      <c r="L13" s="22" t="str">
        <f aca="false">IF($A13="","",IFERROR(IF(INDEX(Projects!$AG$2:$AG$101,MATCH($A13,Projects!$A$2:$A$101,0))="","",INDEX(Projects!$AG$2:$AG$101,MATCH($A13,Projects!$A$2:$A$101,0))),""))</f>
        <v/>
      </c>
      <c r="M13" s="22" t="str">
        <f aca="false">IF($A13="","",IFERROR(IF(INDEX(Projects!$AH$2:$AH$101,MATCH($A13,Projects!$A$2:$A$101,0))="","",INDEX(Projects!$AH$2:$AH$101,MATCH($A13,Projects!$A$2:$A$101,0))),""))</f>
        <v/>
      </c>
      <c r="N13" s="22" t="str">
        <f aca="false">IF($A13="","",IFERROR(IF(INDEX(Projects!$AI$2:$AI$101,MATCH($A13,Projects!$A$2:$A$101,0))="","",INDEX(Projects!$AI$2:$AI$101,MATCH($A13,Projects!$A$2:$A$101,0))),""))</f>
        <v/>
      </c>
      <c r="O13" s="22" t="str">
        <f aca="false">IF($A13="","",IFERROR(IF(INDEX(Projects!$AJ$2:$AJ$101,MATCH($A13,Projects!$A$2:$A$101,0))="","",INDEX(Projects!$AJ$2:$AJ$101,MATCH($A13,Projects!$A$2:$A$101,0))),""))</f>
        <v/>
      </c>
    </row>
    <row r="14" customFormat="false" ht="15" hidden="false" customHeight="false" outlineLevel="0" collapsed="false">
      <c r="A14" s="18" t="str">
        <f aca="false">IF(INDEX(Projects!$A$2:$A$101,ROWS(A$9:A14))="","",INDEX(Projects!$A$2:$A$101,ROWS(A$9:A14)))</f>
        <v/>
      </c>
      <c r="B14" s="18" t="str">
        <f aca="false">IF($A14="","",IFERROR(IF(INDEX(Projects!$D$2:$D$101,MATCH($A14,Projects!$A$2:$A$101,0))="","",INDEX(Projects!$D$2:$D$101,MATCH($A14,Projects!$A$2:$A$101,0))),""))</f>
        <v/>
      </c>
      <c r="C14" s="18" t="str">
        <f aca="false">IF($A14="","",IFERROR(IF(INDEX(Projects!$F$2:$F$101,MATCH($A14,Projects!$A$2:$A$101,0))="","",INDEX(Projects!$F$2:$F$101,MATCH($A14,Projects!$A$2:$A$101,0))),""))</f>
        <v/>
      </c>
      <c r="D14" s="19" t="str">
        <f aca="false">IF($A14="","",IFERROR(IF(INDEX(Projects!$W$2:$W$101,MATCH($A14,Projects!$A$2:$A$101,0))="","",INDEX(Projects!$W$2:$W$101,MATCH($A14,Projects!$A$2:$A$101,0))),""))</f>
        <v/>
      </c>
      <c r="E14" s="20" t="str">
        <f aca="false">IF($A14="","",IFERROR(IF(INDEX(Projects!$R$2:$R$101,MATCH($A14,Projects!$A$2:$A$101,0))="","",INDEX(Projects!$R$2:$R$101,MATCH($A14,Projects!$A$2:$A$101,0))),""))</f>
        <v/>
      </c>
      <c r="F14" s="20" t="str">
        <f aca="false">IF($A14="","",IFERROR(IF(INDEX(Projects!$T$2:$T$101,MATCH($A14,Projects!$A$2:$A$101,0))="","",INDEX(Projects!$T$2:$T$101,MATCH($A14,Projects!$A$2:$A$101,0))),""))</f>
        <v/>
      </c>
      <c r="G14" s="20" t="str">
        <f aca="false">IF($A14="","",IFERROR(IF(INDEX(Projects!$U$2:$U$101,MATCH($A14,Projects!$A$2:$A$101,0))="","",INDEX(Projects!$U$2:$U$101,MATCH($A14,Projects!$A$2:$A$101,0))),""))</f>
        <v/>
      </c>
      <c r="H14" s="21" t="str">
        <f aca="false">IF($A14="","",IFERROR(IF(INDEX(Projects!$Z$2:$Z$101,MATCH($A14,Projects!$A$2:$A$101,0))="","",INDEX(Projects!$Z$2:$Z$101,MATCH($A14,Projects!$A$2:$A$101,0))),""))</f>
        <v/>
      </c>
      <c r="I14" s="21" t="str">
        <f aca="false">IF($A14="","",IFERROR(IF(INDEX(Projects!$AB$2:$AB$101,MATCH($A14,Projects!$A$2:$A$101,0))="","",INDEX(Projects!$AB$2:$AB$101,MATCH($A14,Projects!$A$2:$A$101,0))),""))</f>
        <v/>
      </c>
      <c r="J14" s="21" t="str">
        <f aca="false">IF($A14="","",IFERROR(IF(INDEX(Projects!$AE$2:$AE$101,MATCH($A14,Projects!$A$2:$A$101,0))="","",INDEX(Projects!$AE$2:$AE$101,MATCH($A14,Projects!$A$2:$A$101,0))),""))</f>
        <v/>
      </c>
      <c r="K14" s="21" t="str">
        <f aca="false">IF($A14="","",IFERROR(IF(INDEX(Projects!$AF$2:$AF$101,MATCH($A14,Projects!$A$2:$A$101,0))="","",INDEX(Projects!$AF$2:$AF$101,MATCH($A14,Projects!$A$2:$A$101,0))),""))</f>
        <v/>
      </c>
      <c r="L14" s="22" t="str">
        <f aca="false">IF($A14="","",IFERROR(IF(INDEX(Projects!$AG$2:$AG$101,MATCH($A14,Projects!$A$2:$A$101,0))="","",INDEX(Projects!$AG$2:$AG$101,MATCH($A14,Projects!$A$2:$A$101,0))),""))</f>
        <v/>
      </c>
      <c r="M14" s="22" t="str">
        <f aca="false">IF($A14="","",IFERROR(IF(INDEX(Projects!$AH$2:$AH$101,MATCH($A14,Projects!$A$2:$A$101,0))="","",INDEX(Projects!$AH$2:$AH$101,MATCH($A14,Projects!$A$2:$A$101,0))),""))</f>
        <v/>
      </c>
      <c r="N14" s="22" t="str">
        <f aca="false">IF($A14="","",IFERROR(IF(INDEX(Projects!$AI$2:$AI$101,MATCH($A14,Projects!$A$2:$A$101,0))="","",INDEX(Projects!$AI$2:$AI$101,MATCH($A14,Projects!$A$2:$A$101,0))),""))</f>
        <v/>
      </c>
      <c r="O14" s="22" t="str">
        <f aca="false">IF($A14="","",IFERROR(IF(INDEX(Projects!$AJ$2:$AJ$101,MATCH($A14,Projects!$A$2:$A$101,0))="","",INDEX(Projects!$AJ$2:$AJ$101,MATCH($A14,Projects!$A$2:$A$101,0))),""))</f>
        <v/>
      </c>
    </row>
    <row r="15" customFormat="false" ht="15" hidden="false" customHeight="false" outlineLevel="0" collapsed="false">
      <c r="A15" s="18" t="str">
        <f aca="false">IF(INDEX(Projects!$A$2:$A$101,ROWS(A$9:A15))="","",INDEX(Projects!$A$2:$A$101,ROWS(A$9:A15)))</f>
        <v/>
      </c>
      <c r="B15" s="18" t="str">
        <f aca="false">IF($A15="","",IFERROR(IF(INDEX(Projects!$D$2:$D$101,MATCH($A15,Projects!$A$2:$A$101,0))="","",INDEX(Projects!$D$2:$D$101,MATCH($A15,Projects!$A$2:$A$101,0))),""))</f>
        <v/>
      </c>
      <c r="C15" s="18" t="str">
        <f aca="false">IF($A15="","",IFERROR(IF(INDEX(Projects!$F$2:$F$101,MATCH($A15,Projects!$A$2:$A$101,0))="","",INDEX(Projects!$F$2:$F$101,MATCH($A15,Projects!$A$2:$A$101,0))),""))</f>
        <v/>
      </c>
      <c r="D15" s="19" t="str">
        <f aca="false">IF($A15="","",IFERROR(IF(INDEX(Projects!$W$2:$W$101,MATCH($A15,Projects!$A$2:$A$101,0))="","",INDEX(Projects!$W$2:$W$101,MATCH($A15,Projects!$A$2:$A$101,0))),""))</f>
        <v/>
      </c>
      <c r="E15" s="20" t="str">
        <f aca="false">IF($A15="","",IFERROR(IF(INDEX(Projects!$R$2:$R$101,MATCH($A15,Projects!$A$2:$A$101,0))="","",INDEX(Projects!$R$2:$R$101,MATCH($A15,Projects!$A$2:$A$101,0))),""))</f>
        <v/>
      </c>
      <c r="F15" s="20" t="str">
        <f aca="false">IF($A15="","",IFERROR(IF(INDEX(Projects!$T$2:$T$101,MATCH($A15,Projects!$A$2:$A$101,0))="","",INDEX(Projects!$T$2:$T$101,MATCH($A15,Projects!$A$2:$A$101,0))),""))</f>
        <v/>
      </c>
      <c r="G15" s="20" t="str">
        <f aca="false">IF($A15="","",IFERROR(IF(INDEX(Projects!$U$2:$U$101,MATCH($A15,Projects!$A$2:$A$101,0))="","",INDEX(Projects!$U$2:$U$101,MATCH($A15,Projects!$A$2:$A$101,0))),""))</f>
        <v/>
      </c>
      <c r="H15" s="21" t="str">
        <f aca="false">IF($A15="","",IFERROR(IF(INDEX(Projects!$Z$2:$Z$101,MATCH($A15,Projects!$A$2:$A$101,0))="","",INDEX(Projects!$Z$2:$Z$101,MATCH($A15,Projects!$A$2:$A$101,0))),""))</f>
        <v/>
      </c>
      <c r="I15" s="21" t="str">
        <f aca="false">IF($A15="","",IFERROR(IF(INDEX(Projects!$AB$2:$AB$101,MATCH($A15,Projects!$A$2:$A$101,0))="","",INDEX(Projects!$AB$2:$AB$101,MATCH($A15,Projects!$A$2:$A$101,0))),""))</f>
        <v/>
      </c>
      <c r="J15" s="21" t="str">
        <f aca="false">IF($A15="","",IFERROR(IF(INDEX(Projects!$AE$2:$AE$101,MATCH($A15,Projects!$A$2:$A$101,0))="","",INDEX(Projects!$AE$2:$AE$101,MATCH($A15,Projects!$A$2:$A$101,0))),""))</f>
        <v/>
      </c>
      <c r="K15" s="21" t="str">
        <f aca="false">IF($A15="","",IFERROR(IF(INDEX(Projects!$AF$2:$AF$101,MATCH($A15,Projects!$A$2:$A$101,0))="","",INDEX(Projects!$AF$2:$AF$101,MATCH($A15,Projects!$A$2:$A$101,0))),""))</f>
        <v/>
      </c>
      <c r="L15" s="22" t="str">
        <f aca="false">IF($A15="","",IFERROR(IF(INDEX(Projects!$AG$2:$AG$101,MATCH($A15,Projects!$A$2:$A$101,0))="","",INDEX(Projects!$AG$2:$AG$101,MATCH($A15,Projects!$A$2:$A$101,0))),""))</f>
        <v/>
      </c>
      <c r="M15" s="22" t="str">
        <f aca="false">IF($A15="","",IFERROR(IF(INDEX(Projects!$AH$2:$AH$101,MATCH($A15,Projects!$A$2:$A$101,0))="","",INDEX(Projects!$AH$2:$AH$101,MATCH($A15,Projects!$A$2:$A$101,0))),""))</f>
        <v/>
      </c>
      <c r="N15" s="22" t="str">
        <f aca="false">IF($A15="","",IFERROR(IF(INDEX(Projects!$AI$2:$AI$101,MATCH($A15,Projects!$A$2:$A$101,0))="","",INDEX(Projects!$AI$2:$AI$101,MATCH($A15,Projects!$A$2:$A$101,0))),""))</f>
        <v/>
      </c>
      <c r="O15" s="22" t="str">
        <f aca="false">IF($A15="","",IFERROR(IF(INDEX(Projects!$AJ$2:$AJ$101,MATCH($A15,Projects!$A$2:$A$101,0))="","",INDEX(Projects!$AJ$2:$AJ$101,MATCH($A15,Projects!$A$2:$A$101,0))),""))</f>
        <v/>
      </c>
    </row>
    <row r="16" customFormat="false" ht="15" hidden="false" customHeight="false" outlineLevel="0" collapsed="false">
      <c r="A16" s="18" t="str">
        <f aca="false">IF(INDEX(Projects!$A$2:$A$101,ROWS(A$9:A16))="","",INDEX(Projects!$A$2:$A$101,ROWS(A$9:A16)))</f>
        <v/>
      </c>
      <c r="B16" s="18" t="str">
        <f aca="false">IF($A16="","",IFERROR(IF(INDEX(Projects!$D$2:$D$101,MATCH($A16,Projects!$A$2:$A$101,0))="","",INDEX(Projects!$D$2:$D$101,MATCH($A16,Projects!$A$2:$A$101,0))),""))</f>
        <v/>
      </c>
      <c r="C16" s="18" t="str">
        <f aca="false">IF($A16="","",IFERROR(IF(INDEX(Projects!$F$2:$F$101,MATCH($A16,Projects!$A$2:$A$101,0))="","",INDEX(Projects!$F$2:$F$101,MATCH($A16,Projects!$A$2:$A$101,0))),""))</f>
        <v/>
      </c>
      <c r="D16" s="19" t="str">
        <f aca="false">IF($A16="","",IFERROR(IF(INDEX(Projects!$W$2:$W$101,MATCH($A16,Projects!$A$2:$A$101,0))="","",INDEX(Projects!$W$2:$W$101,MATCH($A16,Projects!$A$2:$A$101,0))),""))</f>
        <v/>
      </c>
      <c r="E16" s="20" t="str">
        <f aca="false">IF($A16="","",IFERROR(IF(INDEX(Projects!$R$2:$R$101,MATCH($A16,Projects!$A$2:$A$101,0))="","",INDEX(Projects!$R$2:$R$101,MATCH($A16,Projects!$A$2:$A$101,0))),""))</f>
        <v/>
      </c>
      <c r="F16" s="20" t="str">
        <f aca="false">IF($A16="","",IFERROR(IF(INDEX(Projects!$T$2:$T$101,MATCH($A16,Projects!$A$2:$A$101,0))="","",INDEX(Projects!$T$2:$T$101,MATCH($A16,Projects!$A$2:$A$101,0))),""))</f>
        <v/>
      </c>
      <c r="G16" s="20" t="str">
        <f aca="false">IF($A16="","",IFERROR(IF(INDEX(Projects!$U$2:$U$101,MATCH($A16,Projects!$A$2:$A$101,0))="","",INDEX(Projects!$U$2:$U$101,MATCH($A16,Projects!$A$2:$A$101,0))),""))</f>
        <v/>
      </c>
      <c r="H16" s="21" t="str">
        <f aca="false">IF($A16="","",IFERROR(IF(INDEX(Projects!$Z$2:$Z$101,MATCH($A16,Projects!$A$2:$A$101,0))="","",INDEX(Projects!$Z$2:$Z$101,MATCH($A16,Projects!$A$2:$A$101,0))),""))</f>
        <v/>
      </c>
      <c r="I16" s="21" t="str">
        <f aca="false">IF($A16="","",IFERROR(IF(INDEX(Projects!$AB$2:$AB$101,MATCH($A16,Projects!$A$2:$A$101,0))="","",INDEX(Projects!$AB$2:$AB$101,MATCH($A16,Projects!$A$2:$A$101,0))),""))</f>
        <v/>
      </c>
      <c r="J16" s="21" t="str">
        <f aca="false">IF($A16="","",IFERROR(IF(INDEX(Projects!$AE$2:$AE$101,MATCH($A16,Projects!$A$2:$A$101,0))="","",INDEX(Projects!$AE$2:$AE$101,MATCH($A16,Projects!$A$2:$A$101,0))),""))</f>
        <v/>
      </c>
      <c r="K16" s="21" t="str">
        <f aca="false">IF($A16="","",IFERROR(IF(INDEX(Projects!$AF$2:$AF$101,MATCH($A16,Projects!$A$2:$A$101,0))="","",INDEX(Projects!$AF$2:$AF$101,MATCH($A16,Projects!$A$2:$A$101,0))),""))</f>
        <v/>
      </c>
      <c r="L16" s="22" t="str">
        <f aca="false">IF($A16="","",IFERROR(IF(INDEX(Projects!$AG$2:$AG$101,MATCH($A16,Projects!$A$2:$A$101,0))="","",INDEX(Projects!$AG$2:$AG$101,MATCH($A16,Projects!$A$2:$A$101,0))),""))</f>
        <v/>
      </c>
      <c r="M16" s="22" t="str">
        <f aca="false">IF($A16="","",IFERROR(IF(INDEX(Projects!$AH$2:$AH$101,MATCH($A16,Projects!$A$2:$A$101,0))="","",INDEX(Projects!$AH$2:$AH$101,MATCH($A16,Projects!$A$2:$A$101,0))),""))</f>
        <v/>
      </c>
      <c r="N16" s="22" t="str">
        <f aca="false">IF($A16="","",IFERROR(IF(INDEX(Projects!$AI$2:$AI$101,MATCH($A16,Projects!$A$2:$A$101,0))="","",INDEX(Projects!$AI$2:$AI$101,MATCH($A16,Projects!$A$2:$A$101,0))),""))</f>
        <v/>
      </c>
      <c r="O16" s="22" t="str">
        <f aca="false">IF($A16="","",IFERROR(IF(INDEX(Projects!$AJ$2:$AJ$101,MATCH($A16,Projects!$A$2:$A$101,0))="","",INDEX(Projects!$AJ$2:$AJ$101,MATCH($A16,Projects!$A$2:$A$101,0))),""))</f>
        <v/>
      </c>
    </row>
    <row r="17" customFormat="false" ht="15" hidden="false" customHeight="false" outlineLevel="0" collapsed="false">
      <c r="A17" s="18" t="str">
        <f aca="false">IF(INDEX(Projects!$A$2:$A$101,ROWS(A$9:A17))="","",INDEX(Projects!$A$2:$A$101,ROWS(A$9:A17)))</f>
        <v/>
      </c>
      <c r="B17" s="18" t="str">
        <f aca="false">IF($A17="","",IFERROR(IF(INDEX(Projects!$D$2:$D$101,MATCH($A17,Projects!$A$2:$A$101,0))="","",INDEX(Projects!$D$2:$D$101,MATCH($A17,Projects!$A$2:$A$101,0))),""))</f>
        <v/>
      </c>
      <c r="C17" s="18" t="str">
        <f aca="false">IF($A17="","",IFERROR(IF(INDEX(Projects!$F$2:$F$101,MATCH($A17,Projects!$A$2:$A$101,0))="","",INDEX(Projects!$F$2:$F$101,MATCH($A17,Projects!$A$2:$A$101,0))),""))</f>
        <v/>
      </c>
      <c r="D17" s="19" t="str">
        <f aca="false">IF($A17="","",IFERROR(IF(INDEX(Projects!$W$2:$W$101,MATCH($A17,Projects!$A$2:$A$101,0))="","",INDEX(Projects!$W$2:$W$101,MATCH($A17,Projects!$A$2:$A$101,0))),""))</f>
        <v/>
      </c>
      <c r="E17" s="20" t="str">
        <f aca="false">IF($A17="","",IFERROR(IF(INDEX(Projects!$R$2:$R$101,MATCH($A17,Projects!$A$2:$A$101,0))="","",INDEX(Projects!$R$2:$R$101,MATCH($A17,Projects!$A$2:$A$101,0))),""))</f>
        <v/>
      </c>
      <c r="F17" s="20" t="str">
        <f aca="false">IF($A17="","",IFERROR(IF(INDEX(Projects!$T$2:$T$101,MATCH($A17,Projects!$A$2:$A$101,0))="","",INDEX(Projects!$T$2:$T$101,MATCH($A17,Projects!$A$2:$A$101,0))),""))</f>
        <v/>
      </c>
      <c r="G17" s="20" t="str">
        <f aca="false">IF($A17="","",IFERROR(IF(INDEX(Projects!$U$2:$U$101,MATCH($A17,Projects!$A$2:$A$101,0))="","",INDEX(Projects!$U$2:$U$101,MATCH($A17,Projects!$A$2:$A$101,0))),""))</f>
        <v/>
      </c>
      <c r="H17" s="21" t="str">
        <f aca="false">IF($A17="","",IFERROR(IF(INDEX(Projects!$Z$2:$Z$101,MATCH($A17,Projects!$A$2:$A$101,0))="","",INDEX(Projects!$Z$2:$Z$101,MATCH($A17,Projects!$A$2:$A$101,0))),""))</f>
        <v/>
      </c>
      <c r="I17" s="21" t="str">
        <f aca="false">IF($A17="","",IFERROR(IF(INDEX(Projects!$AB$2:$AB$101,MATCH($A17,Projects!$A$2:$A$101,0))="","",INDEX(Projects!$AB$2:$AB$101,MATCH($A17,Projects!$A$2:$A$101,0))),""))</f>
        <v/>
      </c>
      <c r="J17" s="21" t="str">
        <f aca="false">IF($A17="","",IFERROR(IF(INDEX(Projects!$AE$2:$AE$101,MATCH($A17,Projects!$A$2:$A$101,0))="","",INDEX(Projects!$AE$2:$AE$101,MATCH($A17,Projects!$A$2:$A$101,0))),""))</f>
        <v/>
      </c>
      <c r="K17" s="21" t="str">
        <f aca="false">IF($A17="","",IFERROR(IF(INDEX(Projects!$AF$2:$AF$101,MATCH($A17,Projects!$A$2:$A$101,0))="","",INDEX(Projects!$AF$2:$AF$101,MATCH($A17,Projects!$A$2:$A$101,0))),""))</f>
        <v/>
      </c>
      <c r="L17" s="22" t="str">
        <f aca="false">IF($A17="","",IFERROR(IF(INDEX(Projects!$AG$2:$AG$101,MATCH($A17,Projects!$A$2:$A$101,0))="","",INDEX(Projects!$AG$2:$AG$101,MATCH($A17,Projects!$A$2:$A$101,0))),""))</f>
        <v/>
      </c>
      <c r="M17" s="22" t="str">
        <f aca="false">IF($A17="","",IFERROR(IF(INDEX(Projects!$AH$2:$AH$101,MATCH($A17,Projects!$A$2:$A$101,0))="","",INDEX(Projects!$AH$2:$AH$101,MATCH($A17,Projects!$A$2:$A$101,0))),""))</f>
        <v/>
      </c>
      <c r="N17" s="22" t="str">
        <f aca="false">IF($A17="","",IFERROR(IF(INDEX(Projects!$AI$2:$AI$101,MATCH($A17,Projects!$A$2:$A$101,0))="","",INDEX(Projects!$AI$2:$AI$101,MATCH($A17,Projects!$A$2:$A$101,0))),""))</f>
        <v/>
      </c>
      <c r="O17" s="22" t="str">
        <f aca="false">IF($A17="","",IFERROR(IF(INDEX(Projects!$AJ$2:$AJ$101,MATCH($A17,Projects!$A$2:$A$101,0))="","",INDEX(Projects!$AJ$2:$AJ$101,MATCH($A17,Projects!$A$2:$A$101,0))),""))</f>
        <v/>
      </c>
    </row>
    <row r="18" customFormat="false" ht="15" hidden="false" customHeight="false" outlineLevel="0" collapsed="false">
      <c r="A18" s="18" t="str">
        <f aca="false">IF(INDEX(Projects!$A$2:$A$101,ROWS(A$9:A18))="","",INDEX(Projects!$A$2:$A$101,ROWS(A$9:A18)))</f>
        <v/>
      </c>
      <c r="B18" s="18" t="str">
        <f aca="false">IF($A18="","",IFERROR(IF(INDEX(Projects!$D$2:$D$101,MATCH($A18,Projects!$A$2:$A$101,0))="","",INDEX(Projects!$D$2:$D$101,MATCH($A18,Projects!$A$2:$A$101,0))),""))</f>
        <v/>
      </c>
      <c r="C18" s="18" t="str">
        <f aca="false">IF($A18="","",IFERROR(IF(INDEX(Projects!$F$2:$F$101,MATCH($A18,Projects!$A$2:$A$101,0))="","",INDEX(Projects!$F$2:$F$101,MATCH($A18,Projects!$A$2:$A$101,0))),""))</f>
        <v/>
      </c>
      <c r="D18" s="19" t="str">
        <f aca="false">IF($A18="","",IFERROR(IF(INDEX(Projects!$W$2:$W$101,MATCH($A18,Projects!$A$2:$A$101,0))="","",INDEX(Projects!$W$2:$W$101,MATCH($A18,Projects!$A$2:$A$101,0))),""))</f>
        <v/>
      </c>
      <c r="E18" s="20" t="str">
        <f aca="false">IF($A18="","",IFERROR(IF(INDEX(Projects!$R$2:$R$101,MATCH($A18,Projects!$A$2:$A$101,0))="","",INDEX(Projects!$R$2:$R$101,MATCH($A18,Projects!$A$2:$A$101,0))),""))</f>
        <v/>
      </c>
      <c r="F18" s="20" t="str">
        <f aca="false">IF($A18="","",IFERROR(IF(INDEX(Projects!$T$2:$T$101,MATCH($A18,Projects!$A$2:$A$101,0))="","",INDEX(Projects!$T$2:$T$101,MATCH($A18,Projects!$A$2:$A$101,0))),""))</f>
        <v/>
      </c>
      <c r="G18" s="20" t="str">
        <f aca="false">IF($A18="","",IFERROR(IF(INDEX(Projects!$U$2:$U$101,MATCH($A18,Projects!$A$2:$A$101,0))="","",INDEX(Projects!$U$2:$U$101,MATCH($A18,Projects!$A$2:$A$101,0))),""))</f>
        <v/>
      </c>
      <c r="H18" s="21" t="str">
        <f aca="false">IF($A18="","",IFERROR(IF(INDEX(Projects!$Z$2:$Z$101,MATCH($A18,Projects!$A$2:$A$101,0))="","",INDEX(Projects!$Z$2:$Z$101,MATCH($A18,Projects!$A$2:$A$101,0))),""))</f>
        <v/>
      </c>
      <c r="I18" s="21" t="str">
        <f aca="false">IF($A18="","",IFERROR(IF(INDEX(Projects!$AB$2:$AB$101,MATCH($A18,Projects!$A$2:$A$101,0))="","",INDEX(Projects!$AB$2:$AB$101,MATCH($A18,Projects!$A$2:$A$101,0))),""))</f>
        <v/>
      </c>
      <c r="J18" s="21" t="str">
        <f aca="false">IF($A18="","",IFERROR(IF(INDEX(Projects!$AE$2:$AE$101,MATCH($A18,Projects!$A$2:$A$101,0))="","",INDEX(Projects!$AE$2:$AE$101,MATCH($A18,Projects!$A$2:$A$101,0))),""))</f>
        <v/>
      </c>
      <c r="K18" s="21" t="str">
        <f aca="false">IF($A18="","",IFERROR(IF(INDEX(Projects!$AF$2:$AF$101,MATCH($A18,Projects!$A$2:$A$101,0))="","",INDEX(Projects!$AF$2:$AF$101,MATCH($A18,Projects!$A$2:$A$101,0))),""))</f>
        <v/>
      </c>
      <c r="L18" s="22" t="str">
        <f aca="false">IF($A18="","",IFERROR(IF(INDEX(Projects!$AG$2:$AG$101,MATCH($A18,Projects!$A$2:$A$101,0))="","",INDEX(Projects!$AG$2:$AG$101,MATCH($A18,Projects!$A$2:$A$101,0))),""))</f>
        <v/>
      </c>
      <c r="M18" s="22" t="str">
        <f aca="false">IF($A18="","",IFERROR(IF(INDEX(Projects!$AH$2:$AH$101,MATCH($A18,Projects!$A$2:$A$101,0))="","",INDEX(Projects!$AH$2:$AH$101,MATCH($A18,Projects!$A$2:$A$101,0))),""))</f>
        <v/>
      </c>
      <c r="N18" s="22" t="str">
        <f aca="false">IF($A18="","",IFERROR(IF(INDEX(Projects!$AI$2:$AI$101,MATCH($A18,Projects!$A$2:$A$101,0))="","",INDEX(Projects!$AI$2:$AI$101,MATCH($A18,Projects!$A$2:$A$101,0))),""))</f>
        <v/>
      </c>
      <c r="O18" s="22" t="str">
        <f aca="false">IF($A18="","",IFERROR(IF(INDEX(Projects!$AJ$2:$AJ$101,MATCH($A18,Projects!$A$2:$A$101,0))="","",INDEX(Projects!$AJ$2:$AJ$101,MATCH($A18,Projects!$A$2:$A$101,0))),""))</f>
        <v/>
      </c>
    </row>
    <row r="19" customFormat="false" ht="15" hidden="false" customHeight="false" outlineLevel="0" collapsed="false">
      <c r="A19" s="18" t="str">
        <f aca="false">IF(INDEX(Projects!$A$2:$A$101,ROWS(A$9:A19))="","",INDEX(Projects!$A$2:$A$101,ROWS(A$9:A19)))</f>
        <v/>
      </c>
      <c r="B19" s="18" t="str">
        <f aca="false">IF($A19="","",IFERROR(IF(INDEX(Projects!$D$2:$D$101,MATCH($A19,Projects!$A$2:$A$101,0))="","",INDEX(Projects!$D$2:$D$101,MATCH($A19,Projects!$A$2:$A$101,0))),""))</f>
        <v/>
      </c>
      <c r="C19" s="18" t="str">
        <f aca="false">IF($A19="","",IFERROR(IF(INDEX(Projects!$F$2:$F$101,MATCH($A19,Projects!$A$2:$A$101,0))="","",INDEX(Projects!$F$2:$F$101,MATCH($A19,Projects!$A$2:$A$101,0))),""))</f>
        <v/>
      </c>
      <c r="D19" s="19" t="str">
        <f aca="false">IF($A19="","",IFERROR(IF(INDEX(Projects!$W$2:$W$101,MATCH($A19,Projects!$A$2:$A$101,0))="","",INDEX(Projects!$W$2:$W$101,MATCH($A19,Projects!$A$2:$A$101,0))),""))</f>
        <v/>
      </c>
      <c r="E19" s="20" t="str">
        <f aca="false">IF($A19="","",IFERROR(IF(INDEX(Projects!$R$2:$R$101,MATCH($A19,Projects!$A$2:$A$101,0))="","",INDEX(Projects!$R$2:$R$101,MATCH($A19,Projects!$A$2:$A$101,0))),""))</f>
        <v/>
      </c>
      <c r="F19" s="20" t="str">
        <f aca="false">IF($A19="","",IFERROR(IF(INDEX(Projects!$T$2:$T$101,MATCH($A19,Projects!$A$2:$A$101,0))="","",INDEX(Projects!$T$2:$T$101,MATCH($A19,Projects!$A$2:$A$101,0))),""))</f>
        <v/>
      </c>
      <c r="G19" s="20" t="str">
        <f aca="false">IF($A19="","",IFERROR(IF(INDEX(Projects!$U$2:$U$101,MATCH($A19,Projects!$A$2:$A$101,0))="","",INDEX(Projects!$U$2:$U$101,MATCH($A19,Projects!$A$2:$A$101,0))),""))</f>
        <v/>
      </c>
      <c r="H19" s="21" t="str">
        <f aca="false">IF($A19="","",IFERROR(IF(INDEX(Projects!$Z$2:$Z$101,MATCH($A19,Projects!$A$2:$A$101,0))="","",INDEX(Projects!$Z$2:$Z$101,MATCH($A19,Projects!$A$2:$A$101,0))),""))</f>
        <v/>
      </c>
      <c r="I19" s="21" t="str">
        <f aca="false">IF($A19="","",IFERROR(IF(INDEX(Projects!$AB$2:$AB$101,MATCH($A19,Projects!$A$2:$A$101,0))="","",INDEX(Projects!$AB$2:$AB$101,MATCH($A19,Projects!$A$2:$A$101,0))),""))</f>
        <v/>
      </c>
      <c r="J19" s="21" t="str">
        <f aca="false">IF($A19="","",IFERROR(IF(INDEX(Projects!$AE$2:$AE$101,MATCH($A19,Projects!$A$2:$A$101,0))="","",INDEX(Projects!$AE$2:$AE$101,MATCH($A19,Projects!$A$2:$A$101,0))),""))</f>
        <v/>
      </c>
      <c r="K19" s="21" t="str">
        <f aca="false">IF($A19="","",IFERROR(IF(INDEX(Projects!$AF$2:$AF$101,MATCH($A19,Projects!$A$2:$A$101,0))="","",INDEX(Projects!$AF$2:$AF$101,MATCH($A19,Projects!$A$2:$A$101,0))),""))</f>
        <v/>
      </c>
      <c r="L19" s="22" t="str">
        <f aca="false">IF($A19="","",IFERROR(IF(INDEX(Projects!$AG$2:$AG$101,MATCH($A19,Projects!$A$2:$A$101,0))="","",INDEX(Projects!$AG$2:$AG$101,MATCH($A19,Projects!$A$2:$A$101,0))),""))</f>
        <v/>
      </c>
      <c r="M19" s="22" t="str">
        <f aca="false">IF($A19="","",IFERROR(IF(INDEX(Projects!$AH$2:$AH$101,MATCH($A19,Projects!$A$2:$A$101,0))="","",INDEX(Projects!$AH$2:$AH$101,MATCH($A19,Projects!$A$2:$A$101,0))),""))</f>
        <v/>
      </c>
      <c r="N19" s="22" t="str">
        <f aca="false">IF($A19="","",IFERROR(IF(INDEX(Projects!$AI$2:$AI$101,MATCH($A19,Projects!$A$2:$A$101,0))="","",INDEX(Projects!$AI$2:$AI$101,MATCH($A19,Projects!$A$2:$A$101,0))),""))</f>
        <v/>
      </c>
      <c r="O19" s="22" t="str">
        <f aca="false">IF($A19="","",IFERROR(IF(INDEX(Projects!$AJ$2:$AJ$101,MATCH($A19,Projects!$A$2:$A$101,0))="","",INDEX(Projects!$AJ$2:$AJ$101,MATCH($A19,Projects!$A$2:$A$101,0))),""))</f>
        <v/>
      </c>
    </row>
    <row r="20" customFormat="false" ht="15" hidden="false" customHeight="false" outlineLevel="0" collapsed="false">
      <c r="A20" s="18" t="str">
        <f aca="false">IF(INDEX(Projects!$A$2:$A$101,ROWS(A$9:A20))="","",INDEX(Projects!$A$2:$A$101,ROWS(A$9:A20)))</f>
        <v/>
      </c>
      <c r="B20" s="18" t="str">
        <f aca="false">IF($A20="","",IFERROR(IF(INDEX(Projects!$D$2:$D$101,MATCH($A20,Projects!$A$2:$A$101,0))="","",INDEX(Projects!$D$2:$D$101,MATCH($A20,Projects!$A$2:$A$101,0))),""))</f>
        <v/>
      </c>
      <c r="C20" s="18" t="str">
        <f aca="false">IF($A20="","",IFERROR(IF(INDEX(Projects!$F$2:$F$101,MATCH($A20,Projects!$A$2:$A$101,0))="","",INDEX(Projects!$F$2:$F$101,MATCH($A20,Projects!$A$2:$A$101,0))),""))</f>
        <v/>
      </c>
      <c r="D20" s="19" t="str">
        <f aca="false">IF($A20="","",IFERROR(IF(INDEX(Projects!$W$2:$W$101,MATCH($A20,Projects!$A$2:$A$101,0))="","",INDEX(Projects!$W$2:$W$101,MATCH($A20,Projects!$A$2:$A$101,0))),""))</f>
        <v/>
      </c>
      <c r="E20" s="20" t="str">
        <f aca="false">IF($A20="","",IFERROR(IF(INDEX(Projects!$R$2:$R$101,MATCH($A20,Projects!$A$2:$A$101,0))="","",INDEX(Projects!$R$2:$R$101,MATCH($A20,Projects!$A$2:$A$101,0))),""))</f>
        <v/>
      </c>
      <c r="F20" s="20" t="str">
        <f aca="false">IF($A20="","",IFERROR(IF(INDEX(Projects!$T$2:$T$101,MATCH($A20,Projects!$A$2:$A$101,0))="","",INDEX(Projects!$T$2:$T$101,MATCH($A20,Projects!$A$2:$A$101,0))),""))</f>
        <v/>
      </c>
      <c r="G20" s="20" t="str">
        <f aca="false">IF($A20="","",IFERROR(IF(INDEX(Projects!$U$2:$U$101,MATCH($A20,Projects!$A$2:$A$101,0))="","",INDEX(Projects!$U$2:$U$101,MATCH($A20,Projects!$A$2:$A$101,0))),""))</f>
        <v/>
      </c>
      <c r="H20" s="21" t="str">
        <f aca="false">IF($A20="","",IFERROR(IF(INDEX(Projects!$Z$2:$Z$101,MATCH($A20,Projects!$A$2:$A$101,0))="","",INDEX(Projects!$Z$2:$Z$101,MATCH($A20,Projects!$A$2:$A$101,0))),""))</f>
        <v/>
      </c>
      <c r="I20" s="21" t="str">
        <f aca="false">IF($A20="","",IFERROR(IF(INDEX(Projects!$AB$2:$AB$101,MATCH($A20,Projects!$A$2:$A$101,0))="","",INDEX(Projects!$AB$2:$AB$101,MATCH($A20,Projects!$A$2:$A$101,0))),""))</f>
        <v/>
      </c>
      <c r="J20" s="21" t="str">
        <f aca="false">IF($A20="","",IFERROR(IF(INDEX(Projects!$AE$2:$AE$101,MATCH($A20,Projects!$A$2:$A$101,0))="","",INDEX(Projects!$AE$2:$AE$101,MATCH($A20,Projects!$A$2:$A$101,0))),""))</f>
        <v/>
      </c>
      <c r="K20" s="21" t="str">
        <f aca="false">IF($A20="","",IFERROR(IF(INDEX(Projects!$AF$2:$AF$101,MATCH($A20,Projects!$A$2:$A$101,0))="","",INDEX(Projects!$AF$2:$AF$101,MATCH($A20,Projects!$A$2:$A$101,0))),""))</f>
        <v/>
      </c>
      <c r="L20" s="22" t="str">
        <f aca="false">IF($A20="","",IFERROR(IF(INDEX(Projects!$AG$2:$AG$101,MATCH($A20,Projects!$A$2:$A$101,0))="","",INDEX(Projects!$AG$2:$AG$101,MATCH($A20,Projects!$A$2:$A$101,0))),""))</f>
        <v/>
      </c>
      <c r="M20" s="22" t="str">
        <f aca="false">IF($A20="","",IFERROR(IF(INDEX(Projects!$AH$2:$AH$101,MATCH($A20,Projects!$A$2:$A$101,0))="","",INDEX(Projects!$AH$2:$AH$101,MATCH($A20,Projects!$A$2:$A$101,0))),""))</f>
        <v/>
      </c>
      <c r="N20" s="22" t="str">
        <f aca="false">IF($A20="","",IFERROR(IF(INDEX(Projects!$AI$2:$AI$101,MATCH($A20,Projects!$A$2:$A$101,0))="","",INDEX(Projects!$AI$2:$AI$101,MATCH($A20,Projects!$A$2:$A$101,0))),""))</f>
        <v/>
      </c>
      <c r="O20" s="22" t="str">
        <f aca="false">IF($A20="","",IFERROR(IF(INDEX(Projects!$AJ$2:$AJ$101,MATCH($A20,Projects!$A$2:$A$101,0))="","",INDEX(Projects!$AJ$2:$AJ$101,MATCH($A20,Projects!$A$2:$A$101,0))),""))</f>
        <v/>
      </c>
    </row>
    <row r="21" customFormat="false" ht="15" hidden="false" customHeight="false" outlineLevel="0" collapsed="false">
      <c r="A21" s="18" t="str">
        <f aca="false">IF(INDEX(Projects!$A$2:$A$101,ROWS(A$9:A21))="","",INDEX(Projects!$A$2:$A$101,ROWS(A$9:A21)))</f>
        <v/>
      </c>
      <c r="B21" s="18" t="str">
        <f aca="false">IF($A21="","",IFERROR(IF(INDEX(Projects!$D$2:$D$101,MATCH($A21,Projects!$A$2:$A$101,0))="","",INDEX(Projects!$D$2:$D$101,MATCH($A21,Projects!$A$2:$A$101,0))),""))</f>
        <v/>
      </c>
      <c r="C21" s="18" t="str">
        <f aca="false">IF($A21="","",IFERROR(IF(INDEX(Projects!$F$2:$F$101,MATCH($A21,Projects!$A$2:$A$101,0))="","",INDEX(Projects!$F$2:$F$101,MATCH($A21,Projects!$A$2:$A$101,0))),""))</f>
        <v/>
      </c>
      <c r="D21" s="19" t="str">
        <f aca="false">IF($A21="","",IFERROR(IF(INDEX(Projects!$W$2:$W$101,MATCH($A21,Projects!$A$2:$A$101,0))="","",INDEX(Projects!$W$2:$W$101,MATCH($A21,Projects!$A$2:$A$101,0))),""))</f>
        <v/>
      </c>
      <c r="E21" s="20" t="str">
        <f aca="false">IF($A21="","",IFERROR(IF(INDEX(Projects!$R$2:$R$101,MATCH($A21,Projects!$A$2:$A$101,0))="","",INDEX(Projects!$R$2:$R$101,MATCH($A21,Projects!$A$2:$A$101,0))),""))</f>
        <v/>
      </c>
      <c r="F21" s="20" t="str">
        <f aca="false">IF($A21="","",IFERROR(IF(INDEX(Projects!$T$2:$T$101,MATCH($A21,Projects!$A$2:$A$101,0))="","",INDEX(Projects!$T$2:$T$101,MATCH($A21,Projects!$A$2:$A$101,0))),""))</f>
        <v/>
      </c>
      <c r="G21" s="20" t="str">
        <f aca="false">IF($A21="","",IFERROR(IF(INDEX(Projects!$U$2:$U$101,MATCH($A21,Projects!$A$2:$A$101,0))="","",INDEX(Projects!$U$2:$U$101,MATCH($A21,Projects!$A$2:$A$101,0))),""))</f>
        <v/>
      </c>
      <c r="H21" s="21" t="str">
        <f aca="false">IF($A21="","",IFERROR(IF(INDEX(Projects!$Z$2:$Z$101,MATCH($A21,Projects!$A$2:$A$101,0))="","",INDEX(Projects!$Z$2:$Z$101,MATCH($A21,Projects!$A$2:$A$101,0))),""))</f>
        <v/>
      </c>
      <c r="I21" s="21" t="str">
        <f aca="false">IF($A21="","",IFERROR(IF(INDEX(Projects!$AB$2:$AB$101,MATCH($A21,Projects!$A$2:$A$101,0))="","",INDEX(Projects!$AB$2:$AB$101,MATCH($A21,Projects!$A$2:$A$101,0))),""))</f>
        <v/>
      </c>
      <c r="J21" s="21" t="str">
        <f aca="false">IF($A21="","",IFERROR(IF(INDEX(Projects!$AE$2:$AE$101,MATCH($A21,Projects!$A$2:$A$101,0))="","",INDEX(Projects!$AE$2:$AE$101,MATCH($A21,Projects!$A$2:$A$101,0))),""))</f>
        <v/>
      </c>
      <c r="K21" s="21" t="str">
        <f aca="false">IF($A21="","",IFERROR(IF(INDEX(Projects!$AF$2:$AF$101,MATCH($A21,Projects!$A$2:$A$101,0))="","",INDEX(Projects!$AF$2:$AF$101,MATCH($A21,Projects!$A$2:$A$101,0))),""))</f>
        <v/>
      </c>
      <c r="L21" s="22" t="str">
        <f aca="false">IF($A21="","",IFERROR(IF(INDEX(Projects!$AG$2:$AG$101,MATCH($A21,Projects!$A$2:$A$101,0))="","",INDEX(Projects!$AG$2:$AG$101,MATCH($A21,Projects!$A$2:$A$101,0))),""))</f>
        <v/>
      </c>
      <c r="M21" s="22" t="str">
        <f aca="false">IF($A21="","",IFERROR(IF(INDEX(Projects!$AH$2:$AH$101,MATCH($A21,Projects!$A$2:$A$101,0))="","",INDEX(Projects!$AH$2:$AH$101,MATCH($A21,Projects!$A$2:$A$101,0))),""))</f>
        <v/>
      </c>
      <c r="N21" s="22" t="str">
        <f aca="false">IF($A21="","",IFERROR(IF(INDEX(Projects!$AI$2:$AI$101,MATCH($A21,Projects!$A$2:$A$101,0))="","",INDEX(Projects!$AI$2:$AI$101,MATCH($A21,Projects!$A$2:$A$101,0))),""))</f>
        <v/>
      </c>
      <c r="O21" s="22" t="str">
        <f aca="false">IF($A21="","",IFERROR(IF(INDEX(Projects!$AJ$2:$AJ$101,MATCH($A21,Projects!$A$2:$A$101,0))="","",INDEX(Projects!$AJ$2:$AJ$101,MATCH($A21,Projects!$A$2:$A$101,0))),""))</f>
        <v/>
      </c>
    </row>
    <row r="22" customFormat="false" ht="15" hidden="false" customHeight="false" outlineLevel="0" collapsed="false">
      <c r="A22" s="18" t="str">
        <f aca="false">IF(INDEX(Projects!$A$2:$A$101,ROWS(A$9:A22))="","",INDEX(Projects!$A$2:$A$101,ROWS(A$9:A22)))</f>
        <v/>
      </c>
      <c r="B22" s="18" t="str">
        <f aca="false">IF($A22="","",IFERROR(IF(INDEX(Projects!$D$2:$D$101,MATCH($A22,Projects!$A$2:$A$101,0))="","",INDEX(Projects!$D$2:$D$101,MATCH($A22,Projects!$A$2:$A$101,0))),""))</f>
        <v/>
      </c>
      <c r="C22" s="18" t="str">
        <f aca="false">IF($A22="","",IFERROR(IF(INDEX(Projects!$F$2:$F$101,MATCH($A22,Projects!$A$2:$A$101,0))="","",INDEX(Projects!$F$2:$F$101,MATCH($A22,Projects!$A$2:$A$101,0))),""))</f>
        <v/>
      </c>
      <c r="D22" s="19" t="str">
        <f aca="false">IF($A22="","",IFERROR(IF(INDEX(Projects!$W$2:$W$101,MATCH($A22,Projects!$A$2:$A$101,0))="","",INDEX(Projects!$W$2:$W$101,MATCH($A22,Projects!$A$2:$A$101,0))),""))</f>
        <v/>
      </c>
      <c r="E22" s="20" t="str">
        <f aca="false">IF($A22="","",IFERROR(IF(INDEX(Projects!$R$2:$R$101,MATCH($A22,Projects!$A$2:$A$101,0))="","",INDEX(Projects!$R$2:$R$101,MATCH($A22,Projects!$A$2:$A$101,0))),""))</f>
        <v/>
      </c>
      <c r="F22" s="20" t="str">
        <f aca="false">IF($A22="","",IFERROR(IF(INDEX(Projects!$T$2:$T$101,MATCH($A22,Projects!$A$2:$A$101,0))="","",INDEX(Projects!$T$2:$T$101,MATCH($A22,Projects!$A$2:$A$101,0))),""))</f>
        <v/>
      </c>
      <c r="G22" s="20" t="str">
        <f aca="false">IF($A22="","",IFERROR(IF(INDEX(Projects!$U$2:$U$101,MATCH($A22,Projects!$A$2:$A$101,0))="","",INDEX(Projects!$U$2:$U$101,MATCH($A22,Projects!$A$2:$A$101,0))),""))</f>
        <v/>
      </c>
      <c r="H22" s="21" t="str">
        <f aca="false">IF($A22="","",IFERROR(IF(INDEX(Projects!$Z$2:$Z$101,MATCH($A22,Projects!$A$2:$A$101,0))="","",INDEX(Projects!$Z$2:$Z$101,MATCH($A22,Projects!$A$2:$A$101,0))),""))</f>
        <v/>
      </c>
      <c r="I22" s="21" t="str">
        <f aca="false">IF($A22="","",IFERROR(IF(INDEX(Projects!$AB$2:$AB$101,MATCH($A22,Projects!$A$2:$A$101,0))="","",INDEX(Projects!$AB$2:$AB$101,MATCH($A22,Projects!$A$2:$A$101,0))),""))</f>
        <v/>
      </c>
      <c r="J22" s="21" t="str">
        <f aca="false">IF($A22="","",IFERROR(IF(INDEX(Projects!$AE$2:$AE$101,MATCH($A22,Projects!$A$2:$A$101,0))="","",INDEX(Projects!$AE$2:$AE$101,MATCH($A22,Projects!$A$2:$A$101,0))),""))</f>
        <v/>
      </c>
      <c r="K22" s="21" t="str">
        <f aca="false">IF($A22="","",IFERROR(IF(INDEX(Projects!$AF$2:$AF$101,MATCH($A22,Projects!$A$2:$A$101,0))="","",INDEX(Projects!$AF$2:$AF$101,MATCH($A22,Projects!$A$2:$A$101,0))),""))</f>
        <v/>
      </c>
      <c r="L22" s="22" t="str">
        <f aca="false">IF($A22="","",IFERROR(IF(INDEX(Projects!$AG$2:$AG$101,MATCH($A22,Projects!$A$2:$A$101,0))="","",INDEX(Projects!$AG$2:$AG$101,MATCH($A22,Projects!$A$2:$A$101,0))),""))</f>
        <v/>
      </c>
      <c r="M22" s="22" t="str">
        <f aca="false">IF($A22="","",IFERROR(IF(INDEX(Projects!$AH$2:$AH$101,MATCH($A22,Projects!$A$2:$A$101,0))="","",INDEX(Projects!$AH$2:$AH$101,MATCH($A22,Projects!$A$2:$A$101,0))),""))</f>
        <v/>
      </c>
      <c r="N22" s="22" t="str">
        <f aca="false">IF($A22="","",IFERROR(IF(INDEX(Projects!$AI$2:$AI$101,MATCH($A22,Projects!$A$2:$A$101,0))="","",INDEX(Projects!$AI$2:$AI$101,MATCH($A22,Projects!$A$2:$A$101,0))),""))</f>
        <v/>
      </c>
      <c r="O22" s="22" t="str">
        <f aca="false">IF($A22="","",IFERROR(IF(INDEX(Projects!$AJ$2:$AJ$101,MATCH($A22,Projects!$A$2:$A$101,0))="","",INDEX(Projects!$AJ$2:$AJ$101,MATCH($A22,Projects!$A$2:$A$101,0))),""))</f>
        <v/>
      </c>
    </row>
    <row r="23" customFormat="false" ht="15" hidden="false" customHeight="false" outlineLevel="0" collapsed="false">
      <c r="A23" s="18" t="str">
        <f aca="false">IF(INDEX(Projects!$A$2:$A$101,ROWS(A$9:A23))="","",INDEX(Projects!$A$2:$A$101,ROWS(A$9:A23)))</f>
        <v/>
      </c>
      <c r="B23" s="18" t="str">
        <f aca="false">IF($A23="","",IFERROR(IF(INDEX(Projects!$D$2:$D$101,MATCH($A23,Projects!$A$2:$A$101,0))="","",INDEX(Projects!$D$2:$D$101,MATCH($A23,Projects!$A$2:$A$101,0))),""))</f>
        <v/>
      </c>
      <c r="C23" s="18" t="str">
        <f aca="false">IF($A23="","",IFERROR(IF(INDEX(Projects!$F$2:$F$101,MATCH($A23,Projects!$A$2:$A$101,0))="","",INDEX(Projects!$F$2:$F$101,MATCH($A23,Projects!$A$2:$A$101,0))),""))</f>
        <v/>
      </c>
      <c r="D23" s="19" t="str">
        <f aca="false">IF($A23="","",IFERROR(IF(INDEX(Projects!$W$2:$W$101,MATCH($A23,Projects!$A$2:$A$101,0))="","",INDEX(Projects!$W$2:$W$101,MATCH($A23,Projects!$A$2:$A$101,0))),""))</f>
        <v/>
      </c>
      <c r="E23" s="20" t="str">
        <f aca="false">IF($A23="","",IFERROR(IF(INDEX(Projects!$R$2:$R$101,MATCH($A23,Projects!$A$2:$A$101,0))="","",INDEX(Projects!$R$2:$R$101,MATCH($A23,Projects!$A$2:$A$101,0))),""))</f>
        <v/>
      </c>
      <c r="F23" s="20" t="str">
        <f aca="false">IF($A23="","",IFERROR(IF(INDEX(Projects!$T$2:$T$101,MATCH($A23,Projects!$A$2:$A$101,0))="","",INDEX(Projects!$T$2:$T$101,MATCH($A23,Projects!$A$2:$A$101,0))),""))</f>
        <v/>
      </c>
      <c r="G23" s="20" t="str">
        <f aca="false">IF($A23="","",IFERROR(IF(INDEX(Projects!$U$2:$U$101,MATCH($A23,Projects!$A$2:$A$101,0))="","",INDEX(Projects!$U$2:$U$101,MATCH($A23,Projects!$A$2:$A$101,0))),""))</f>
        <v/>
      </c>
      <c r="H23" s="21" t="str">
        <f aca="false">IF($A23="","",IFERROR(IF(INDEX(Projects!$Z$2:$Z$101,MATCH($A23,Projects!$A$2:$A$101,0))="","",INDEX(Projects!$Z$2:$Z$101,MATCH($A23,Projects!$A$2:$A$101,0))),""))</f>
        <v/>
      </c>
      <c r="I23" s="21" t="str">
        <f aca="false">IF($A23="","",IFERROR(IF(INDEX(Projects!$AB$2:$AB$101,MATCH($A23,Projects!$A$2:$A$101,0))="","",INDEX(Projects!$AB$2:$AB$101,MATCH($A23,Projects!$A$2:$A$101,0))),""))</f>
        <v/>
      </c>
      <c r="J23" s="21" t="str">
        <f aca="false">IF($A23="","",IFERROR(IF(INDEX(Projects!$AE$2:$AE$101,MATCH($A23,Projects!$A$2:$A$101,0))="","",INDEX(Projects!$AE$2:$AE$101,MATCH($A23,Projects!$A$2:$A$101,0))),""))</f>
        <v/>
      </c>
      <c r="K23" s="21" t="str">
        <f aca="false">IF($A23="","",IFERROR(IF(INDEX(Projects!$AF$2:$AF$101,MATCH($A23,Projects!$A$2:$A$101,0))="","",INDEX(Projects!$AF$2:$AF$101,MATCH($A23,Projects!$A$2:$A$101,0))),""))</f>
        <v/>
      </c>
      <c r="L23" s="22" t="str">
        <f aca="false">IF($A23="","",IFERROR(IF(INDEX(Projects!$AG$2:$AG$101,MATCH($A23,Projects!$A$2:$A$101,0))="","",INDEX(Projects!$AG$2:$AG$101,MATCH($A23,Projects!$A$2:$A$101,0))),""))</f>
        <v/>
      </c>
      <c r="M23" s="22" t="str">
        <f aca="false">IF($A23="","",IFERROR(IF(INDEX(Projects!$AH$2:$AH$101,MATCH($A23,Projects!$A$2:$A$101,0))="","",INDEX(Projects!$AH$2:$AH$101,MATCH($A23,Projects!$A$2:$A$101,0))),""))</f>
        <v/>
      </c>
      <c r="N23" s="22" t="str">
        <f aca="false">IF($A23="","",IFERROR(IF(INDEX(Projects!$AI$2:$AI$101,MATCH($A23,Projects!$A$2:$A$101,0))="","",INDEX(Projects!$AI$2:$AI$101,MATCH($A23,Projects!$A$2:$A$101,0))),""))</f>
        <v/>
      </c>
      <c r="O23" s="22" t="str">
        <f aca="false">IF($A23="","",IFERROR(IF(INDEX(Projects!$AJ$2:$AJ$101,MATCH($A23,Projects!$A$2:$A$101,0))="","",INDEX(Projects!$AJ$2:$AJ$101,MATCH($A23,Projects!$A$2:$A$101,0))),""))</f>
        <v/>
      </c>
    </row>
    <row r="24" customFormat="false" ht="15" hidden="false" customHeight="false" outlineLevel="0" collapsed="false">
      <c r="A24" s="18" t="str">
        <f aca="false">IF(INDEX(Projects!$A$2:$A$101,ROWS(A$9:A24))="","",INDEX(Projects!$A$2:$A$101,ROWS(A$9:A24)))</f>
        <v/>
      </c>
      <c r="B24" s="18" t="str">
        <f aca="false">IF($A24="","",IFERROR(IF(INDEX(Projects!$D$2:$D$101,MATCH($A24,Projects!$A$2:$A$101,0))="","",INDEX(Projects!$D$2:$D$101,MATCH($A24,Projects!$A$2:$A$101,0))),""))</f>
        <v/>
      </c>
      <c r="C24" s="18" t="str">
        <f aca="false">IF($A24="","",IFERROR(IF(INDEX(Projects!$F$2:$F$101,MATCH($A24,Projects!$A$2:$A$101,0))="","",INDEX(Projects!$F$2:$F$101,MATCH($A24,Projects!$A$2:$A$101,0))),""))</f>
        <v/>
      </c>
      <c r="D24" s="19" t="str">
        <f aca="false">IF($A24="","",IFERROR(IF(INDEX(Projects!$W$2:$W$101,MATCH($A24,Projects!$A$2:$A$101,0))="","",INDEX(Projects!$W$2:$W$101,MATCH($A24,Projects!$A$2:$A$101,0))),""))</f>
        <v/>
      </c>
      <c r="E24" s="20" t="str">
        <f aca="false">IF($A24="","",IFERROR(IF(INDEX(Projects!$R$2:$R$101,MATCH($A24,Projects!$A$2:$A$101,0))="","",INDEX(Projects!$R$2:$R$101,MATCH($A24,Projects!$A$2:$A$101,0))),""))</f>
        <v/>
      </c>
      <c r="F24" s="20" t="str">
        <f aca="false">IF($A24="","",IFERROR(IF(INDEX(Projects!$T$2:$T$101,MATCH($A24,Projects!$A$2:$A$101,0))="","",INDEX(Projects!$T$2:$T$101,MATCH($A24,Projects!$A$2:$A$101,0))),""))</f>
        <v/>
      </c>
      <c r="G24" s="20" t="str">
        <f aca="false">IF($A24="","",IFERROR(IF(INDEX(Projects!$U$2:$U$101,MATCH($A24,Projects!$A$2:$A$101,0))="","",INDEX(Projects!$U$2:$U$101,MATCH($A24,Projects!$A$2:$A$101,0))),""))</f>
        <v/>
      </c>
      <c r="H24" s="21" t="str">
        <f aca="false">IF($A24="","",IFERROR(IF(INDEX(Projects!$Z$2:$Z$101,MATCH($A24,Projects!$A$2:$A$101,0))="","",INDEX(Projects!$Z$2:$Z$101,MATCH($A24,Projects!$A$2:$A$101,0))),""))</f>
        <v/>
      </c>
      <c r="I24" s="21" t="str">
        <f aca="false">IF($A24="","",IFERROR(IF(INDEX(Projects!$AB$2:$AB$101,MATCH($A24,Projects!$A$2:$A$101,0))="","",INDEX(Projects!$AB$2:$AB$101,MATCH($A24,Projects!$A$2:$A$101,0))),""))</f>
        <v/>
      </c>
      <c r="J24" s="21" t="str">
        <f aca="false">IF($A24="","",IFERROR(IF(INDEX(Projects!$AE$2:$AE$101,MATCH($A24,Projects!$A$2:$A$101,0))="","",INDEX(Projects!$AE$2:$AE$101,MATCH($A24,Projects!$A$2:$A$101,0))),""))</f>
        <v/>
      </c>
      <c r="K24" s="21" t="str">
        <f aca="false">IF($A24="","",IFERROR(IF(INDEX(Projects!$AF$2:$AF$101,MATCH($A24,Projects!$A$2:$A$101,0))="","",INDEX(Projects!$AF$2:$AF$101,MATCH($A24,Projects!$A$2:$A$101,0))),""))</f>
        <v/>
      </c>
      <c r="L24" s="22" t="str">
        <f aca="false">IF($A24="","",IFERROR(IF(INDEX(Projects!$AG$2:$AG$101,MATCH($A24,Projects!$A$2:$A$101,0))="","",INDEX(Projects!$AG$2:$AG$101,MATCH($A24,Projects!$A$2:$A$101,0))),""))</f>
        <v/>
      </c>
      <c r="M24" s="22" t="str">
        <f aca="false">IF($A24="","",IFERROR(IF(INDEX(Projects!$AH$2:$AH$101,MATCH($A24,Projects!$A$2:$A$101,0))="","",INDEX(Projects!$AH$2:$AH$101,MATCH($A24,Projects!$A$2:$A$101,0))),""))</f>
        <v/>
      </c>
      <c r="N24" s="22" t="str">
        <f aca="false">IF($A24="","",IFERROR(IF(INDEX(Projects!$AI$2:$AI$101,MATCH($A24,Projects!$A$2:$A$101,0))="","",INDEX(Projects!$AI$2:$AI$101,MATCH($A24,Projects!$A$2:$A$101,0))),""))</f>
        <v/>
      </c>
      <c r="O24" s="22" t="str">
        <f aca="false">IF($A24="","",IFERROR(IF(INDEX(Projects!$AJ$2:$AJ$101,MATCH($A24,Projects!$A$2:$A$101,0))="","",INDEX(Projects!$AJ$2:$AJ$101,MATCH($A24,Projects!$A$2:$A$101,0))),""))</f>
        <v/>
      </c>
    </row>
    <row r="25" customFormat="false" ht="15" hidden="false" customHeight="false" outlineLevel="0" collapsed="false">
      <c r="A25" s="18" t="str">
        <f aca="false">IF(INDEX(Projects!$A$2:$A$101,ROWS(A$9:A25))="","",INDEX(Projects!$A$2:$A$101,ROWS(A$9:A25)))</f>
        <v/>
      </c>
      <c r="B25" s="18" t="str">
        <f aca="false">IF($A25="","",IFERROR(IF(INDEX(Projects!$D$2:$D$101,MATCH($A25,Projects!$A$2:$A$101,0))="","",INDEX(Projects!$D$2:$D$101,MATCH($A25,Projects!$A$2:$A$101,0))),""))</f>
        <v/>
      </c>
      <c r="C25" s="18" t="str">
        <f aca="false">IF($A25="","",IFERROR(IF(INDEX(Projects!$F$2:$F$101,MATCH($A25,Projects!$A$2:$A$101,0))="","",INDEX(Projects!$F$2:$F$101,MATCH($A25,Projects!$A$2:$A$101,0))),""))</f>
        <v/>
      </c>
      <c r="D25" s="19" t="str">
        <f aca="false">IF($A25="","",IFERROR(IF(INDEX(Projects!$W$2:$W$101,MATCH($A25,Projects!$A$2:$A$101,0))="","",INDEX(Projects!$W$2:$W$101,MATCH($A25,Projects!$A$2:$A$101,0))),""))</f>
        <v/>
      </c>
      <c r="E25" s="20" t="str">
        <f aca="false">IF($A25="","",IFERROR(IF(INDEX(Projects!$R$2:$R$101,MATCH($A25,Projects!$A$2:$A$101,0))="","",INDEX(Projects!$R$2:$R$101,MATCH($A25,Projects!$A$2:$A$101,0))),""))</f>
        <v/>
      </c>
      <c r="F25" s="20" t="str">
        <f aca="false">IF($A25="","",IFERROR(IF(INDEX(Projects!$T$2:$T$101,MATCH($A25,Projects!$A$2:$A$101,0))="","",INDEX(Projects!$T$2:$T$101,MATCH($A25,Projects!$A$2:$A$101,0))),""))</f>
        <v/>
      </c>
      <c r="G25" s="20" t="str">
        <f aca="false">IF($A25="","",IFERROR(IF(INDEX(Projects!$U$2:$U$101,MATCH($A25,Projects!$A$2:$A$101,0))="","",INDEX(Projects!$U$2:$U$101,MATCH($A25,Projects!$A$2:$A$101,0))),""))</f>
        <v/>
      </c>
      <c r="H25" s="21" t="str">
        <f aca="false">IF($A25="","",IFERROR(IF(INDEX(Projects!$Z$2:$Z$101,MATCH($A25,Projects!$A$2:$A$101,0))="","",INDEX(Projects!$Z$2:$Z$101,MATCH($A25,Projects!$A$2:$A$101,0))),""))</f>
        <v/>
      </c>
      <c r="I25" s="21" t="str">
        <f aca="false">IF($A25="","",IFERROR(IF(INDEX(Projects!$AB$2:$AB$101,MATCH($A25,Projects!$A$2:$A$101,0))="","",INDEX(Projects!$AB$2:$AB$101,MATCH($A25,Projects!$A$2:$A$101,0))),""))</f>
        <v/>
      </c>
      <c r="J25" s="21" t="str">
        <f aca="false">IF($A25="","",IFERROR(IF(INDEX(Projects!$AE$2:$AE$101,MATCH($A25,Projects!$A$2:$A$101,0))="","",INDEX(Projects!$AE$2:$AE$101,MATCH($A25,Projects!$A$2:$A$101,0))),""))</f>
        <v/>
      </c>
      <c r="K25" s="21" t="str">
        <f aca="false">IF($A25="","",IFERROR(IF(INDEX(Projects!$AF$2:$AF$101,MATCH($A25,Projects!$A$2:$A$101,0))="","",INDEX(Projects!$AF$2:$AF$101,MATCH($A25,Projects!$A$2:$A$101,0))),""))</f>
        <v/>
      </c>
      <c r="L25" s="22" t="str">
        <f aca="false">IF($A25="","",IFERROR(IF(INDEX(Projects!$AG$2:$AG$101,MATCH($A25,Projects!$A$2:$A$101,0))="","",INDEX(Projects!$AG$2:$AG$101,MATCH($A25,Projects!$A$2:$A$101,0))),""))</f>
        <v/>
      </c>
      <c r="M25" s="22" t="str">
        <f aca="false">IF($A25="","",IFERROR(IF(INDEX(Projects!$AH$2:$AH$101,MATCH($A25,Projects!$A$2:$A$101,0))="","",INDEX(Projects!$AH$2:$AH$101,MATCH($A25,Projects!$A$2:$A$101,0))),""))</f>
        <v/>
      </c>
      <c r="N25" s="22" t="str">
        <f aca="false">IF($A25="","",IFERROR(IF(INDEX(Projects!$AI$2:$AI$101,MATCH($A25,Projects!$A$2:$A$101,0))="","",INDEX(Projects!$AI$2:$AI$101,MATCH($A25,Projects!$A$2:$A$101,0))),""))</f>
        <v/>
      </c>
      <c r="O25" s="22" t="str">
        <f aca="false">IF($A25="","",IFERROR(IF(INDEX(Projects!$AJ$2:$AJ$101,MATCH($A25,Projects!$A$2:$A$101,0))="","",INDEX(Projects!$AJ$2:$AJ$101,MATCH($A25,Projects!$A$2:$A$101,0))),""))</f>
        <v/>
      </c>
    </row>
    <row r="26" customFormat="false" ht="15" hidden="false" customHeight="false" outlineLevel="0" collapsed="false">
      <c r="A26" s="18" t="str">
        <f aca="false">IF(INDEX(Projects!$A$2:$A$101,ROWS(A$9:A26))="","",INDEX(Projects!$A$2:$A$101,ROWS(A$9:A26)))</f>
        <v/>
      </c>
      <c r="B26" s="18" t="str">
        <f aca="false">IF($A26="","",IFERROR(IF(INDEX(Projects!$D$2:$D$101,MATCH($A26,Projects!$A$2:$A$101,0))="","",INDEX(Projects!$D$2:$D$101,MATCH($A26,Projects!$A$2:$A$101,0))),""))</f>
        <v/>
      </c>
      <c r="C26" s="18" t="str">
        <f aca="false">IF($A26="","",IFERROR(IF(INDEX(Projects!$F$2:$F$101,MATCH($A26,Projects!$A$2:$A$101,0))="","",INDEX(Projects!$F$2:$F$101,MATCH($A26,Projects!$A$2:$A$101,0))),""))</f>
        <v/>
      </c>
      <c r="D26" s="19" t="str">
        <f aca="false">IF($A26="","",IFERROR(IF(INDEX(Projects!$W$2:$W$101,MATCH($A26,Projects!$A$2:$A$101,0))="","",INDEX(Projects!$W$2:$W$101,MATCH($A26,Projects!$A$2:$A$101,0))),""))</f>
        <v/>
      </c>
      <c r="E26" s="20" t="str">
        <f aca="false">IF($A26="","",IFERROR(IF(INDEX(Projects!$R$2:$R$101,MATCH($A26,Projects!$A$2:$A$101,0))="","",INDEX(Projects!$R$2:$R$101,MATCH($A26,Projects!$A$2:$A$101,0))),""))</f>
        <v/>
      </c>
      <c r="F26" s="20" t="str">
        <f aca="false">IF($A26="","",IFERROR(IF(INDEX(Projects!$T$2:$T$101,MATCH($A26,Projects!$A$2:$A$101,0))="","",INDEX(Projects!$T$2:$T$101,MATCH($A26,Projects!$A$2:$A$101,0))),""))</f>
        <v/>
      </c>
      <c r="G26" s="20" t="str">
        <f aca="false">IF($A26="","",IFERROR(IF(INDEX(Projects!$U$2:$U$101,MATCH($A26,Projects!$A$2:$A$101,0))="","",INDEX(Projects!$U$2:$U$101,MATCH($A26,Projects!$A$2:$A$101,0))),""))</f>
        <v/>
      </c>
      <c r="H26" s="21" t="str">
        <f aca="false">IF($A26="","",IFERROR(IF(INDEX(Projects!$Z$2:$Z$101,MATCH($A26,Projects!$A$2:$A$101,0))="","",INDEX(Projects!$Z$2:$Z$101,MATCH($A26,Projects!$A$2:$A$101,0))),""))</f>
        <v/>
      </c>
      <c r="I26" s="21" t="str">
        <f aca="false">IF($A26="","",IFERROR(IF(INDEX(Projects!$AB$2:$AB$101,MATCH($A26,Projects!$A$2:$A$101,0))="","",INDEX(Projects!$AB$2:$AB$101,MATCH($A26,Projects!$A$2:$A$101,0))),""))</f>
        <v/>
      </c>
      <c r="J26" s="21" t="str">
        <f aca="false">IF($A26="","",IFERROR(IF(INDEX(Projects!$AE$2:$AE$101,MATCH($A26,Projects!$A$2:$A$101,0))="","",INDEX(Projects!$AE$2:$AE$101,MATCH($A26,Projects!$A$2:$A$101,0))),""))</f>
        <v/>
      </c>
      <c r="K26" s="21" t="str">
        <f aca="false">IF($A26="","",IFERROR(IF(INDEX(Projects!$AF$2:$AF$101,MATCH($A26,Projects!$A$2:$A$101,0))="","",INDEX(Projects!$AF$2:$AF$101,MATCH($A26,Projects!$A$2:$A$101,0))),""))</f>
        <v/>
      </c>
      <c r="L26" s="22" t="str">
        <f aca="false">IF($A26="","",IFERROR(IF(INDEX(Projects!$AG$2:$AG$101,MATCH($A26,Projects!$A$2:$A$101,0))="","",INDEX(Projects!$AG$2:$AG$101,MATCH($A26,Projects!$A$2:$A$101,0))),""))</f>
        <v/>
      </c>
      <c r="M26" s="22" t="str">
        <f aca="false">IF($A26="","",IFERROR(IF(INDEX(Projects!$AH$2:$AH$101,MATCH($A26,Projects!$A$2:$A$101,0))="","",INDEX(Projects!$AH$2:$AH$101,MATCH($A26,Projects!$A$2:$A$101,0))),""))</f>
        <v/>
      </c>
      <c r="N26" s="22" t="str">
        <f aca="false">IF($A26="","",IFERROR(IF(INDEX(Projects!$AI$2:$AI$101,MATCH($A26,Projects!$A$2:$A$101,0))="","",INDEX(Projects!$AI$2:$AI$101,MATCH($A26,Projects!$A$2:$A$101,0))),""))</f>
        <v/>
      </c>
      <c r="O26" s="22" t="str">
        <f aca="false">IF($A26="","",IFERROR(IF(INDEX(Projects!$AJ$2:$AJ$101,MATCH($A26,Projects!$A$2:$A$101,0))="","",INDEX(Projects!$AJ$2:$AJ$101,MATCH($A26,Projects!$A$2:$A$101,0))),""))</f>
        <v/>
      </c>
    </row>
    <row r="27" customFormat="false" ht="15" hidden="false" customHeight="false" outlineLevel="0" collapsed="false">
      <c r="A27" s="18" t="str">
        <f aca="false">IF(INDEX(Projects!$A$2:$A$101,ROWS(A$9:A27))="","",INDEX(Projects!$A$2:$A$101,ROWS(A$9:A27)))</f>
        <v/>
      </c>
      <c r="B27" s="18" t="str">
        <f aca="false">IF($A27="","",IFERROR(IF(INDEX(Projects!$D$2:$D$101,MATCH($A27,Projects!$A$2:$A$101,0))="","",INDEX(Projects!$D$2:$D$101,MATCH($A27,Projects!$A$2:$A$101,0))),""))</f>
        <v/>
      </c>
      <c r="C27" s="18" t="str">
        <f aca="false">IF($A27="","",IFERROR(IF(INDEX(Projects!$F$2:$F$101,MATCH($A27,Projects!$A$2:$A$101,0))="","",INDEX(Projects!$F$2:$F$101,MATCH($A27,Projects!$A$2:$A$101,0))),""))</f>
        <v/>
      </c>
      <c r="D27" s="19" t="str">
        <f aca="false">IF($A27="","",IFERROR(IF(INDEX(Projects!$W$2:$W$101,MATCH($A27,Projects!$A$2:$A$101,0))="","",INDEX(Projects!$W$2:$W$101,MATCH($A27,Projects!$A$2:$A$101,0))),""))</f>
        <v/>
      </c>
      <c r="E27" s="20" t="str">
        <f aca="false">IF($A27="","",IFERROR(IF(INDEX(Projects!$R$2:$R$101,MATCH($A27,Projects!$A$2:$A$101,0))="","",INDEX(Projects!$R$2:$R$101,MATCH($A27,Projects!$A$2:$A$101,0))),""))</f>
        <v/>
      </c>
      <c r="F27" s="20" t="str">
        <f aca="false">IF($A27="","",IFERROR(IF(INDEX(Projects!$T$2:$T$101,MATCH($A27,Projects!$A$2:$A$101,0))="","",INDEX(Projects!$T$2:$T$101,MATCH($A27,Projects!$A$2:$A$101,0))),""))</f>
        <v/>
      </c>
      <c r="G27" s="20" t="str">
        <f aca="false">IF($A27="","",IFERROR(IF(INDEX(Projects!$U$2:$U$101,MATCH($A27,Projects!$A$2:$A$101,0))="","",INDEX(Projects!$U$2:$U$101,MATCH($A27,Projects!$A$2:$A$101,0))),""))</f>
        <v/>
      </c>
      <c r="H27" s="21" t="str">
        <f aca="false">IF($A27="","",IFERROR(IF(INDEX(Projects!$Z$2:$Z$101,MATCH($A27,Projects!$A$2:$A$101,0))="","",INDEX(Projects!$Z$2:$Z$101,MATCH($A27,Projects!$A$2:$A$101,0))),""))</f>
        <v/>
      </c>
      <c r="I27" s="21" t="str">
        <f aca="false">IF($A27="","",IFERROR(IF(INDEX(Projects!$AB$2:$AB$101,MATCH($A27,Projects!$A$2:$A$101,0))="","",INDEX(Projects!$AB$2:$AB$101,MATCH($A27,Projects!$A$2:$A$101,0))),""))</f>
        <v/>
      </c>
      <c r="J27" s="21" t="str">
        <f aca="false">IF($A27="","",IFERROR(IF(INDEX(Projects!$AE$2:$AE$101,MATCH($A27,Projects!$A$2:$A$101,0))="","",INDEX(Projects!$AE$2:$AE$101,MATCH($A27,Projects!$A$2:$A$101,0))),""))</f>
        <v/>
      </c>
      <c r="K27" s="21" t="str">
        <f aca="false">IF($A27="","",IFERROR(IF(INDEX(Projects!$AF$2:$AF$101,MATCH($A27,Projects!$A$2:$A$101,0))="","",INDEX(Projects!$AF$2:$AF$101,MATCH($A27,Projects!$A$2:$A$101,0))),""))</f>
        <v/>
      </c>
      <c r="L27" s="22" t="str">
        <f aca="false">IF($A27="","",IFERROR(IF(INDEX(Projects!$AG$2:$AG$101,MATCH($A27,Projects!$A$2:$A$101,0))="","",INDEX(Projects!$AG$2:$AG$101,MATCH($A27,Projects!$A$2:$A$101,0))),""))</f>
        <v/>
      </c>
      <c r="M27" s="22" t="str">
        <f aca="false">IF($A27="","",IFERROR(IF(INDEX(Projects!$AH$2:$AH$101,MATCH($A27,Projects!$A$2:$A$101,0))="","",INDEX(Projects!$AH$2:$AH$101,MATCH($A27,Projects!$A$2:$A$101,0))),""))</f>
        <v/>
      </c>
      <c r="N27" s="22" t="str">
        <f aca="false">IF($A27="","",IFERROR(IF(INDEX(Projects!$AI$2:$AI$101,MATCH($A27,Projects!$A$2:$A$101,0))="","",INDEX(Projects!$AI$2:$AI$101,MATCH($A27,Projects!$A$2:$A$101,0))),""))</f>
        <v/>
      </c>
      <c r="O27" s="22" t="str">
        <f aca="false">IF($A27="","",IFERROR(IF(INDEX(Projects!$AJ$2:$AJ$101,MATCH($A27,Projects!$A$2:$A$101,0))="","",INDEX(Projects!$AJ$2:$AJ$101,MATCH($A27,Projects!$A$2:$A$101,0))),""))</f>
        <v/>
      </c>
    </row>
    <row r="28" customFormat="false" ht="15" hidden="false" customHeight="false" outlineLevel="0" collapsed="false">
      <c r="A28" s="18" t="str">
        <f aca="false">IF(INDEX(Projects!$A$2:$A$101,ROWS(A$9:A28))="","",INDEX(Projects!$A$2:$A$101,ROWS(A$9:A28)))</f>
        <v/>
      </c>
      <c r="B28" s="18" t="str">
        <f aca="false">IF($A28="","",IFERROR(IF(INDEX(Projects!$D$2:$D$101,MATCH($A28,Projects!$A$2:$A$101,0))="","",INDEX(Projects!$D$2:$D$101,MATCH($A28,Projects!$A$2:$A$101,0))),""))</f>
        <v/>
      </c>
      <c r="C28" s="18" t="str">
        <f aca="false">IF($A28="","",IFERROR(IF(INDEX(Projects!$F$2:$F$101,MATCH($A28,Projects!$A$2:$A$101,0))="","",INDEX(Projects!$F$2:$F$101,MATCH($A28,Projects!$A$2:$A$101,0))),""))</f>
        <v/>
      </c>
      <c r="D28" s="19" t="str">
        <f aca="false">IF($A28="","",IFERROR(IF(INDEX(Projects!$W$2:$W$101,MATCH($A28,Projects!$A$2:$A$101,0))="","",INDEX(Projects!$W$2:$W$101,MATCH($A28,Projects!$A$2:$A$101,0))),""))</f>
        <v/>
      </c>
      <c r="E28" s="20" t="str">
        <f aca="false">IF($A28="","",IFERROR(IF(INDEX(Projects!$R$2:$R$101,MATCH($A28,Projects!$A$2:$A$101,0))="","",INDEX(Projects!$R$2:$R$101,MATCH($A28,Projects!$A$2:$A$101,0))),""))</f>
        <v/>
      </c>
      <c r="F28" s="20" t="str">
        <f aca="false">IF($A28="","",IFERROR(IF(INDEX(Projects!$T$2:$T$101,MATCH($A28,Projects!$A$2:$A$101,0))="","",INDEX(Projects!$T$2:$T$101,MATCH($A28,Projects!$A$2:$A$101,0))),""))</f>
        <v/>
      </c>
      <c r="G28" s="20" t="str">
        <f aca="false">IF($A28="","",IFERROR(IF(INDEX(Projects!$U$2:$U$101,MATCH($A28,Projects!$A$2:$A$101,0))="","",INDEX(Projects!$U$2:$U$101,MATCH($A28,Projects!$A$2:$A$101,0))),""))</f>
        <v/>
      </c>
      <c r="H28" s="21" t="str">
        <f aca="false">IF($A28="","",IFERROR(IF(INDEX(Projects!$Z$2:$Z$101,MATCH($A28,Projects!$A$2:$A$101,0))="","",INDEX(Projects!$Z$2:$Z$101,MATCH($A28,Projects!$A$2:$A$101,0))),""))</f>
        <v/>
      </c>
      <c r="I28" s="21" t="str">
        <f aca="false">IF($A28="","",IFERROR(IF(INDEX(Projects!$AB$2:$AB$101,MATCH($A28,Projects!$A$2:$A$101,0))="","",INDEX(Projects!$AB$2:$AB$101,MATCH($A28,Projects!$A$2:$A$101,0))),""))</f>
        <v/>
      </c>
      <c r="J28" s="21" t="str">
        <f aca="false">IF($A28="","",IFERROR(IF(INDEX(Projects!$AE$2:$AE$101,MATCH($A28,Projects!$A$2:$A$101,0))="","",INDEX(Projects!$AE$2:$AE$101,MATCH($A28,Projects!$A$2:$A$101,0))),""))</f>
        <v/>
      </c>
      <c r="K28" s="21" t="str">
        <f aca="false">IF($A28="","",IFERROR(IF(INDEX(Projects!$AF$2:$AF$101,MATCH($A28,Projects!$A$2:$A$101,0))="","",INDEX(Projects!$AF$2:$AF$101,MATCH($A28,Projects!$A$2:$A$101,0))),""))</f>
        <v/>
      </c>
      <c r="L28" s="22" t="str">
        <f aca="false">IF($A28="","",IFERROR(IF(INDEX(Projects!$AG$2:$AG$101,MATCH($A28,Projects!$A$2:$A$101,0))="","",INDEX(Projects!$AG$2:$AG$101,MATCH($A28,Projects!$A$2:$A$101,0))),""))</f>
        <v/>
      </c>
      <c r="M28" s="22" t="str">
        <f aca="false">IF($A28="","",IFERROR(IF(INDEX(Projects!$AH$2:$AH$101,MATCH($A28,Projects!$A$2:$A$101,0))="","",INDEX(Projects!$AH$2:$AH$101,MATCH($A28,Projects!$A$2:$A$101,0))),""))</f>
        <v/>
      </c>
      <c r="N28" s="22" t="str">
        <f aca="false">IF($A28="","",IFERROR(IF(INDEX(Projects!$AI$2:$AI$101,MATCH($A28,Projects!$A$2:$A$101,0))="","",INDEX(Projects!$AI$2:$AI$101,MATCH($A28,Projects!$A$2:$A$101,0))),""))</f>
        <v/>
      </c>
      <c r="O28" s="22" t="str">
        <f aca="false">IF($A28="","",IFERROR(IF(INDEX(Projects!$AJ$2:$AJ$101,MATCH($A28,Projects!$A$2:$A$101,0))="","",INDEX(Projects!$AJ$2:$AJ$101,MATCH($A28,Projects!$A$2:$A$101,0))),""))</f>
        <v/>
      </c>
    </row>
    <row r="29" customFormat="false" ht="15" hidden="false" customHeight="false" outlineLevel="0" collapsed="false">
      <c r="A29" s="18" t="str">
        <f aca="false">IF(INDEX(Projects!$A$2:$A$101,ROWS(A$9:A29))="","",INDEX(Projects!$A$2:$A$101,ROWS(A$9:A29)))</f>
        <v/>
      </c>
      <c r="B29" s="18" t="str">
        <f aca="false">IF($A29="","",IFERROR(IF(INDEX(Projects!$D$2:$D$101,MATCH($A29,Projects!$A$2:$A$101,0))="","",INDEX(Projects!$D$2:$D$101,MATCH($A29,Projects!$A$2:$A$101,0))),""))</f>
        <v/>
      </c>
      <c r="C29" s="18" t="str">
        <f aca="false">IF($A29="","",IFERROR(IF(INDEX(Projects!$F$2:$F$101,MATCH($A29,Projects!$A$2:$A$101,0))="","",INDEX(Projects!$F$2:$F$101,MATCH($A29,Projects!$A$2:$A$101,0))),""))</f>
        <v/>
      </c>
      <c r="D29" s="19" t="str">
        <f aca="false">IF($A29="","",IFERROR(IF(INDEX(Projects!$W$2:$W$101,MATCH($A29,Projects!$A$2:$A$101,0))="","",INDEX(Projects!$W$2:$W$101,MATCH($A29,Projects!$A$2:$A$101,0))),""))</f>
        <v/>
      </c>
      <c r="E29" s="20" t="str">
        <f aca="false">IF($A29="","",IFERROR(IF(INDEX(Projects!$R$2:$R$101,MATCH($A29,Projects!$A$2:$A$101,0))="","",INDEX(Projects!$R$2:$R$101,MATCH($A29,Projects!$A$2:$A$101,0))),""))</f>
        <v/>
      </c>
      <c r="F29" s="20" t="str">
        <f aca="false">IF($A29="","",IFERROR(IF(INDEX(Projects!$T$2:$T$101,MATCH($A29,Projects!$A$2:$A$101,0))="","",INDEX(Projects!$T$2:$T$101,MATCH($A29,Projects!$A$2:$A$101,0))),""))</f>
        <v/>
      </c>
      <c r="G29" s="20" t="str">
        <f aca="false">IF($A29="","",IFERROR(IF(INDEX(Projects!$U$2:$U$101,MATCH($A29,Projects!$A$2:$A$101,0))="","",INDEX(Projects!$U$2:$U$101,MATCH($A29,Projects!$A$2:$A$101,0))),""))</f>
        <v/>
      </c>
      <c r="H29" s="21" t="str">
        <f aca="false">IF($A29="","",IFERROR(IF(INDEX(Projects!$Z$2:$Z$101,MATCH($A29,Projects!$A$2:$A$101,0))="","",INDEX(Projects!$Z$2:$Z$101,MATCH($A29,Projects!$A$2:$A$101,0))),""))</f>
        <v/>
      </c>
      <c r="I29" s="21" t="str">
        <f aca="false">IF($A29="","",IFERROR(IF(INDEX(Projects!$AB$2:$AB$101,MATCH($A29,Projects!$A$2:$A$101,0))="","",INDEX(Projects!$AB$2:$AB$101,MATCH($A29,Projects!$A$2:$A$101,0))),""))</f>
        <v/>
      </c>
      <c r="J29" s="21" t="str">
        <f aca="false">IF($A29="","",IFERROR(IF(INDEX(Projects!$AE$2:$AE$101,MATCH($A29,Projects!$A$2:$A$101,0))="","",INDEX(Projects!$AE$2:$AE$101,MATCH($A29,Projects!$A$2:$A$101,0))),""))</f>
        <v/>
      </c>
      <c r="K29" s="21" t="str">
        <f aca="false">IF($A29="","",IFERROR(IF(INDEX(Projects!$AF$2:$AF$101,MATCH($A29,Projects!$A$2:$A$101,0))="","",INDEX(Projects!$AF$2:$AF$101,MATCH($A29,Projects!$A$2:$A$101,0))),""))</f>
        <v/>
      </c>
      <c r="L29" s="22" t="str">
        <f aca="false">IF($A29="","",IFERROR(IF(INDEX(Projects!$AG$2:$AG$101,MATCH($A29,Projects!$A$2:$A$101,0))="","",INDEX(Projects!$AG$2:$AG$101,MATCH($A29,Projects!$A$2:$A$101,0))),""))</f>
        <v/>
      </c>
      <c r="M29" s="22" t="str">
        <f aca="false">IF($A29="","",IFERROR(IF(INDEX(Projects!$AH$2:$AH$101,MATCH($A29,Projects!$A$2:$A$101,0))="","",INDEX(Projects!$AH$2:$AH$101,MATCH($A29,Projects!$A$2:$A$101,0))),""))</f>
        <v/>
      </c>
      <c r="N29" s="22" t="str">
        <f aca="false">IF($A29="","",IFERROR(IF(INDEX(Projects!$AI$2:$AI$101,MATCH($A29,Projects!$A$2:$A$101,0))="","",INDEX(Projects!$AI$2:$AI$101,MATCH($A29,Projects!$A$2:$A$101,0))),""))</f>
        <v/>
      </c>
      <c r="O29" s="22" t="str">
        <f aca="false">IF($A29="","",IFERROR(IF(INDEX(Projects!$AJ$2:$AJ$101,MATCH($A29,Projects!$A$2:$A$101,0))="","",INDEX(Projects!$AJ$2:$AJ$101,MATCH($A29,Projects!$A$2:$A$101,0))),""))</f>
        <v/>
      </c>
    </row>
    <row r="30" customFormat="false" ht="15" hidden="false" customHeight="false" outlineLevel="0" collapsed="false">
      <c r="A30" s="18" t="str">
        <f aca="false">IF(INDEX(Projects!$A$2:$A$101,ROWS(A$9:A30))="","",INDEX(Projects!$A$2:$A$101,ROWS(A$9:A30)))</f>
        <v/>
      </c>
      <c r="B30" s="18" t="str">
        <f aca="false">IF($A30="","",IFERROR(IF(INDEX(Projects!$D$2:$D$101,MATCH($A30,Projects!$A$2:$A$101,0))="","",INDEX(Projects!$D$2:$D$101,MATCH($A30,Projects!$A$2:$A$101,0))),""))</f>
        <v/>
      </c>
      <c r="C30" s="18" t="str">
        <f aca="false">IF($A30="","",IFERROR(IF(INDEX(Projects!$F$2:$F$101,MATCH($A30,Projects!$A$2:$A$101,0))="","",INDEX(Projects!$F$2:$F$101,MATCH($A30,Projects!$A$2:$A$101,0))),""))</f>
        <v/>
      </c>
      <c r="D30" s="19" t="str">
        <f aca="false">IF($A30="","",IFERROR(IF(INDEX(Projects!$W$2:$W$101,MATCH($A30,Projects!$A$2:$A$101,0))="","",INDEX(Projects!$W$2:$W$101,MATCH($A30,Projects!$A$2:$A$101,0))),""))</f>
        <v/>
      </c>
      <c r="E30" s="20" t="str">
        <f aca="false">IF($A30="","",IFERROR(IF(INDEX(Projects!$R$2:$R$101,MATCH($A30,Projects!$A$2:$A$101,0))="","",INDEX(Projects!$R$2:$R$101,MATCH($A30,Projects!$A$2:$A$101,0))),""))</f>
        <v/>
      </c>
      <c r="F30" s="20" t="str">
        <f aca="false">IF($A30="","",IFERROR(IF(INDEX(Projects!$T$2:$T$101,MATCH($A30,Projects!$A$2:$A$101,0))="","",INDEX(Projects!$T$2:$T$101,MATCH($A30,Projects!$A$2:$A$101,0))),""))</f>
        <v/>
      </c>
      <c r="G30" s="20" t="str">
        <f aca="false">IF($A30="","",IFERROR(IF(INDEX(Projects!$U$2:$U$101,MATCH($A30,Projects!$A$2:$A$101,0))="","",INDEX(Projects!$U$2:$U$101,MATCH($A30,Projects!$A$2:$A$101,0))),""))</f>
        <v/>
      </c>
      <c r="H30" s="21" t="str">
        <f aca="false">IF($A30="","",IFERROR(IF(INDEX(Projects!$Z$2:$Z$101,MATCH($A30,Projects!$A$2:$A$101,0))="","",INDEX(Projects!$Z$2:$Z$101,MATCH($A30,Projects!$A$2:$A$101,0))),""))</f>
        <v/>
      </c>
      <c r="I30" s="21" t="str">
        <f aca="false">IF($A30="","",IFERROR(IF(INDEX(Projects!$AB$2:$AB$101,MATCH($A30,Projects!$A$2:$A$101,0))="","",INDEX(Projects!$AB$2:$AB$101,MATCH($A30,Projects!$A$2:$A$101,0))),""))</f>
        <v/>
      </c>
      <c r="J30" s="21" t="str">
        <f aca="false">IF($A30="","",IFERROR(IF(INDEX(Projects!$AE$2:$AE$101,MATCH($A30,Projects!$A$2:$A$101,0))="","",INDEX(Projects!$AE$2:$AE$101,MATCH($A30,Projects!$A$2:$A$101,0))),""))</f>
        <v/>
      </c>
      <c r="K30" s="21" t="str">
        <f aca="false">IF($A30="","",IFERROR(IF(INDEX(Projects!$AF$2:$AF$101,MATCH($A30,Projects!$A$2:$A$101,0))="","",INDEX(Projects!$AF$2:$AF$101,MATCH($A30,Projects!$A$2:$A$101,0))),""))</f>
        <v/>
      </c>
      <c r="L30" s="22" t="str">
        <f aca="false">IF($A30="","",IFERROR(IF(INDEX(Projects!$AG$2:$AG$101,MATCH($A30,Projects!$A$2:$A$101,0))="","",INDEX(Projects!$AG$2:$AG$101,MATCH($A30,Projects!$A$2:$A$101,0))),""))</f>
        <v/>
      </c>
      <c r="M30" s="22" t="str">
        <f aca="false">IF($A30="","",IFERROR(IF(INDEX(Projects!$AH$2:$AH$101,MATCH($A30,Projects!$A$2:$A$101,0))="","",INDEX(Projects!$AH$2:$AH$101,MATCH($A30,Projects!$A$2:$A$101,0))),""))</f>
        <v/>
      </c>
      <c r="N30" s="22" t="str">
        <f aca="false">IF($A30="","",IFERROR(IF(INDEX(Projects!$AI$2:$AI$101,MATCH($A30,Projects!$A$2:$A$101,0))="","",INDEX(Projects!$AI$2:$AI$101,MATCH($A30,Projects!$A$2:$A$101,0))),""))</f>
        <v/>
      </c>
      <c r="O30" s="22" t="str">
        <f aca="false">IF($A30="","",IFERROR(IF(INDEX(Projects!$AJ$2:$AJ$101,MATCH($A30,Projects!$A$2:$A$101,0))="","",INDEX(Projects!$AJ$2:$AJ$101,MATCH($A30,Projects!$A$2:$A$101,0))),""))</f>
        <v/>
      </c>
    </row>
    <row r="31" customFormat="false" ht="15" hidden="false" customHeight="false" outlineLevel="0" collapsed="false">
      <c r="A31" s="18" t="str">
        <f aca="false">IF(INDEX(Projects!$A$2:$A$101,ROWS(A$9:A31))="","",INDEX(Projects!$A$2:$A$101,ROWS(A$9:A31)))</f>
        <v/>
      </c>
      <c r="B31" s="18" t="str">
        <f aca="false">IF($A31="","",IFERROR(IF(INDEX(Projects!$D$2:$D$101,MATCH($A31,Projects!$A$2:$A$101,0))="","",INDEX(Projects!$D$2:$D$101,MATCH($A31,Projects!$A$2:$A$101,0))),""))</f>
        <v/>
      </c>
      <c r="C31" s="18" t="str">
        <f aca="false">IF($A31="","",IFERROR(IF(INDEX(Projects!$F$2:$F$101,MATCH($A31,Projects!$A$2:$A$101,0))="","",INDEX(Projects!$F$2:$F$101,MATCH($A31,Projects!$A$2:$A$101,0))),""))</f>
        <v/>
      </c>
      <c r="D31" s="19" t="str">
        <f aca="false">IF($A31="","",IFERROR(IF(INDEX(Projects!$W$2:$W$101,MATCH($A31,Projects!$A$2:$A$101,0))="","",INDEX(Projects!$W$2:$W$101,MATCH($A31,Projects!$A$2:$A$101,0))),""))</f>
        <v/>
      </c>
      <c r="E31" s="20" t="str">
        <f aca="false">IF($A31="","",IFERROR(IF(INDEX(Projects!$R$2:$R$101,MATCH($A31,Projects!$A$2:$A$101,0))="","",INDEX(Projects!$R$2:$R$101,MATCH($A31,Projects!$A$2:$A$101,0))),""))</f>
        <v/>
      </c>
      <c r="F31" s="20" t="str">
        <f aca="false">IF($A31="","",IFERROR(IF(INDEX(Projects!$T$2:$T$101,MATCH($A31,Projects!$A$2:$A$101,0))="","",INDEX(Projects!$T$2:$T$101,MATCH($A31,Projects!$A$2:$A$101,0))),""))</f>
        <v/>
      </c>
      <c r="G31" s="20" t="str">
        <f aca="false">IF($A31="","",IFERROR(IF(INDEX(Projects!$U$2:$U$101,MATCH($A31,Projects!$A$2:$A$101,0))="","",INDEX(Projects!$U$2:$U$101,MATCH($A31,Projects!$A$2:$A$101,0))),""))</f>
        <v/>
      </c>
      <c r="H31" s="21" t="str">
        <f aca="false">IF($A31="","",IFERROR(IF(INDEX(Projects!$Z$2:$Z$101,MATCH($A31,Projects!$A$2:$A$101,0))="","",INDEX(Projects!$Z$2:$Z$101,MATCH($A31,Projects!$A$2:$A$101,0))),""))</f>
        <v/>
      </c>
      <c r="I31" s="21" t="str">
        <f aca="false">IF($A31="","",IFERROR(IF(INDEX(Projects!$AB$2:$AB$101,MATCH($A31,Projects!$A$2:$A$101,0))="","",INDEX(Projects!$AB$2:$AB$101,MATCH($A31,Projects!$A$2:$A$101,0))),""))</f>
        <v/>
      </c>
      <c r="J31" s="21" t="str">
        <f aca="false">IF($A31="","",IFERROR(IF(INDEX(Projects!$AE$2:$AE$101,MATCH($A31,Projects!$A$2:$A$101,0))="","",INDEX(Projects!$AE$2:$AE$101,MATCH($A31,Projects!$A$2:$A$101,0))),""))</f>
        <v/>
      </c>
      <c r="K31" s="21" t="str">
        <f aca="false">IF($A31="","",IFERROR(IF(INDEX(Projects!$AF$2:$AF$101,MATCH($A31,Projects!$A$2:$A$101,0))="","",INDEX(Projects!$AF$2:$AF$101,MATCH($A31,Projects!$A$2:$A$101,0))),""))</f>
        <v/>
      </c>
      <c r="L31" s="22" t="str">
        <f aca="false">IF($A31="","",IFERROR(IF(INDEX(Projects!$AG$2:$AG$101,MATCH($A31,Projects!$A$2:$A$101,0))="","",INDEX(Projects!$AG$2:$AG$101,MATCH($A31,Projects!$A$2:$A$101,0))),""))</f>
        <v/>
      </c>
      <c r="M31" s="22" t="str">
        <f aca="false">IF($A31="","",IFERROR(IF(INDEX(Projects!$AH$2:$AH$101,MATCH($A31,Projects!$A$2:$A$101,0))="","",INDEX(Projects!$AH$2:$AH$101,MATCH($A31,Projects!$A$2:$A$101,0))),""))</f>
        <v/>
      </c>
      <c r="N31" s="22" t="str">
        <f aca="false">IF($A31="","",IFERROR(IF(INDEX(Projects!$AI$2:$AI$101,MATCH($A31,Projects!$A$2:$A$101,0))="","",INDEX(Projects!$AI$2:$AI$101,MATCH($A31,Projects!$A$2:$A$101,0))),""))</f>
        <v/>
      </c>
      <c r="O31" s="22" t="str">
        <f aca="false">IF($A31="","",IFERROR(IF(INDEX(Projects!$AJ$2:$AJ$101,MATCH($A31,Projects!$A$2:$A$101,0))="","",INDEX(Projects!$AJ$2:$AJ$101,MATCH($A31,Projects!$A$2:$A$101,0))),""))</f>
        <v/>
      </c>
    </row>
    <row r="32" customFormat="false" ht="15" hidden="false" customHeight="false" outlineLevel="0" collapsed="false">
      <c r="A32" s="18" t="str">
        <f aca="false">IF(INDEX(Projects!$A$2:$A$101,ROWS(A$9:A32))="","",INDEX(Projects!$A$2:$A$101,ROWS(A$9:A32)))</f>
        <v/>
      </c>
      <c r="B32" s="18" t="str">
        <f aca="false">IF($A32="","",IFERROR(IF(INDEX(Projects!$D$2:$D$101,MATCH($A32,Projects!$A$2:$A$101,0))="","",INDEX(Projects!$D$2:$D$101,MATCH($A32,Projects!$A$2:$A$101,0))),""))</f>
        <v/>
      </c>
      <c r="C32" s="18" t="str">
        <f aca="false">IF($A32="","",IFERROR(IF(INDEX(Projects!$F$2:$F$101,MATCH($A32,Projects!$A$2:$A$101,0))="","",INDEX(Projects!$F$2:$F$101,MATCH($A32,Projects!$A$2:$A$101,0))),""))</f>
        <v/>
      </c>
      <c r="D32" s="19" t="str">
        <f aca="false">IF($A32="","",IFERROR(IF(INDEX(Projects!$W$2:$W$101,MATCH($A32,Projects!$A$2:$A$101,0))="","",INDEX(Projects!$W$2:$W$101,MATCH($A32,Projects!$A$2:$A$101,0))),""))</f>
        <v/>
      </c>
      <c r="E32" s="20" t="str">
        <f aca="false">IF($A32="","",IFERROR(IF(INDEX(Projects!$R$2:$R$101,MATCH($A32,Projects!$A$2:$A$101,0))="","",INDEX(Projects!$R$2:$R$101,MATCH($A32,Projects!$A$2:$A$101,0))),""))</f>
        <v/>
      </c>
      <c r="F32" s="20" t="str">
        <f aca="false">IF($A32="","",IFERROR(IF(INDEX(Projects!$T$2:$T$101,MATCH($A32,Projects!$A$2:$A$101,0))="","",INDEX(Projects!$T$2:$T$101,MATCH($A32,Projects!$A$2:$A$101,0))),""))</f>
        <v/>
      </c>
      <c r="G32" s="20" t="str">
        <f aca="false">IF($A32="","",IFERROR(IF(INDEX(Projects!$U$2:$U$101,MATCH($A32,Projects!$A$2:$A$101,0))="","",INDEX(Projects!$U$2:$U$101,MATCH($A32,Projects!$A$2:$A$101,0))),""))</f>
        <v/>
      </c>
      <c r="H32" s="21" t="str">
        <f aca="false">IF($A32="","",IFERROR(IF(INDEX(Projects!$Z$2:$Z$101,MATCH($A32,Projects!$A$2:$A$101,0))="","",INDEX(Projects!$Z$2:$Z$101,MATCH($A32,Projects!$A$2:$A$101,0))),""))</f>
        <v/>
      </c>
      <c r="I32" s="21" t="str">
        <f aca="false">IF($A32="","",IFERROR(IF(INDEX(Projects!$AB$2:$AB$101,MATCH($A32,Projects!$A$2:$A$101,0))="","",INDEX(Projects!$AB$2:$AB$101,MATCH($A32,Projects!$A$2:$A$101,0))),""))</f>
        <v/>
      </c>
      <c r="J32" s="21" t="str">
        <f aca="false">IF($A32="","",IFERROR(IF(INDEX(Projects!$AE$2:$AE$101,MATCH($A32,Projects!$A$2:$A$101,0))="","",INDEX(Projects!$AE$2:$AE$101,MATCH($A32,Projects!$A$2:$A$101,0))),""))</f>
        <v/>
      </c>
      <c r="K32" s="21" t="str">
        <f aca="false">IF($A32="","",IFERROR(IF(INDEX(Projects!$AF$2:$AF$101,MATCH($A32,Projects!$A$2:$A$101,0))="","",INDEX(Projects!$AF$2:$AF$101,MATCH($A32,Projects!$A$2:$A$101,0))),""))</f>
        <v/>
      </c>
      <c r="L32" s="22" t="str">
        <f aca="false">IF($A32="","",IFERROR(IF(INDEX(Projects!$AG$2:$AG$101,MATCH($A32,Projects!$A$2:$A$101,0))="","",INDEX(Projects!$AG$2:$AG$101,MATCH($A32,Projects!$A$2:$A$101,0))),""))</f>
        <v/>
      </c>
      <c r="M32" s="22" t="str">
        <f aca="false">IF($A32="","",IFERROR(IF(INDEX(Projects!$AH$2:$AH$101,MATCH($A32,Projects!$A$2:$A$101,0))="","",INDEX(Projects!$AH$2:$AH$101,MATCH($A32,Projects!$A$2:$A$101,0))),""))</f>
        <v/>
      </c>
      <c r="N32" s="22" t="str">
        <f aca="false">IF($A32="","",IFERROR(IF(INDEX(Projects!$AI$2:$AI$101,MATCH($A32,Projects!$A$2:$A$101,0))="","",INDEX(Projects!$AI$2:$AI$101,MATCH($A32,Projects!$A$2:$A$101,0))),""))</f>
        <v/>
      </c>
      <c r="O32" s="22" t="str">
        <f aca="false">IF($A32="","",IFERROR(IF(INDEX(Projects!$AJ$2:$AJ$101,MATCH($A32,Projects!$A$2:$A$101,0))="","",INDEX(Projects!$AJ$2:$AJ$101,MATCH($A32,Projects!$A$2:$A$101,0))),""))</f>
        <v/>
      </c>
    </row>
    <row r="33" customFormat="false" ht="15" hidden="false" customHeight="false" outlineLevel="0" collapsed="false">
      <c r="A33" s="18" t="str">
        <f aca="false">IF(INDEX(Projects!$A$2:$A$101,ROWS(A$9:A33))="","",INDEX(Projects!$A$2:$A$101,ROWS(A$9:A33)))</f>
        <v/>
      </c>
      <c r="B33" s="18" t="str">
        <f aca="false">IF($A33="","",IFERROR(IF(INDEX(Projects!$D$2:$D$101,MATCH($A33,Projects!$A$2:$A$101,0))="","",INDEX(Projects!$D$2:$D$101,MATCH($A33,Projects!$A$2:$A$101,0))),""))</f>
        <v/>
      </c>
      <c r="C33" s="18" t="str">
        <f aca="false">IF($A33="","",IFERROR(IF(INDEX(Projects!$F$2:$F$101,MATCH($A33,Projects!$A$2:$A$101,0))="","",INDEX(Projects!$F$2:$F$101,MATCH($A33,Projects!$A$2:$A$101,0))),""))</f>
        <v/>
      </c>
      <c r="D33" s="19" t="str">
        <f aca="false">IF($A33="","",IFERROR(IF(INDEX(Projects!$W$2:$W$101,MATCH($A33,Projects!$A$2:$A$101,0))="","",INDEX(Projects!$W$2:$W$101,MATCH($A33,Projects!$A$2:$A$101,0))),""))</f>
        <v/>
      </c>
      <c r="E33" s="20" t="str">
        <f aca="false">IF($A33="","",IFERROR(IF(INDEX(Projects!$R$2:$R$101,MATCH($A33,Projects!$A$2:$A$101,0))="","",INDEX(Projects!$R$2:$R$101,MATCH($A33,Projects!$A$2:$A$101,0))),""))</f>
        <v/>
      </c>
      <c r="F33" s="20" t="str">
        <f aca="false">IF($A33="","",IFERROR(IF(INDEX(Projects!$T$2:$T$101,MATCH($A33,Projects!$A$2:$A$101,0))="","",INDEX(Projects!$T$2:$T$101,MATCH($A33,Projects!$A$2:$A$101,0))),""))</f>
        <v/>
      </c>
      <c r="G33" s="20" t="str">
        <f aca="false">IF($A33="","",IFERROR(IF(INDEX(Projects!$U$2:$U$101,MATCH($A33,Projects!$A$2:$A$101,0))="","",INDEX(Projects!$U$2:$U$101,MATCH($A33,Projects!$A$2:$A$101,0))),""))</f>
        <v/>
      </c>
      <c r="H33" s="21" t="str">
        <f aca="false">IF($A33="","",IFERROR(IF(INDEX(Projects!$Z$2:$Z$101,MATCH($A33,Projects!$A$2:$A$101,0))="","",INDEX(Projects!$Z$2:$Z$101,MATCH($A33,Projects!$A$2:$A$101,0))),""))</f>
        <v/>
      </c>
      <c r="I33" s="21" t="str">
        <f aca="false">IF($A33="","",IFERROR(IF(INDEX(Projects!$AB$2:$AB$101,MATCH($A33,Projects!$A$2:$A$101,0))="","",INDEX(Projects!$AB$2:$AB$101,MATCH($A33,Projects!$A$2:$A$101,0))),""))</f>
        <v/>
      </c>
      <c r="J33" s="21" t="str">
        <f aca="false">IF($A33="","",IFERROR(IF(INDEX(Projects!$AE$2:$AE$101,MATCH($A33,Projects!$A$2:$A$101,0))="","",INDEX(Projects!$AE$2:$AE$101,MATCH($A33,Projects!$A$2:$A$101,0))),""))</f>
        <v/>
      </c>
      <c r="K33" s="21" t="str">
        <f aca="false">IF($A33="","",IFERROR(IF(INDEX(Projects!$AF$2:$AF$101,MATCH($A33,Projects!$A$2:$A$101,0))="","",INDEX(Projects!$AF$2:$AF$101,MATCH($A33,Projects!$A$2:$A$101,0))),""))</f>
        <v/>
      </c>
      <c r="L33" s="22" t="str">
        <f aca="false">IF($A33="","",IFERROR(IF(INDEX(Projects!$AG$2:$AG$101,MATCH($A33,Projects!$A$2:$A$101,0))="","",INDEX(Projects!$AG$2:$AG$101,MATCH($A33,Projects!$A$2:$A$101,0))),""))</f>
        <v/>
      </c>
      <c r="M33" s="22" t="str">
        <f aca="false">IF($A33="","",IFERROR(IF(INDEX(Projects!$AH$2:$AH$101,MATCH($A33,Projects!$A$2:$A$101,0))="","",INDEX(Projects!$AH$2:$AH$101,MATCH($A33,Projects!$A$2:$A$101,0))),""))</f>
        <v/>
      </c>
      <c r="N33" s="22" t="str">
        <f aca="false">IF($A33="","",IFERROR(IF(INDEX(Projects!$AI$2:$AI$101,MATCH($A33,Projects!$A$2:$A$101,0))="","",INDEX(Projects!$AI$2:$AI$101,MATCH($A33,Projects!$A$2:$A$101,0))),""))</f>
        <v/>
      </c>
      <c r="O33" s="22" t="str">
        <f aca="false">IF($A33="","",IFERROR(IF(INDEX(Projects!$AJ$2:$AJ$101,MATCH($A33,Projects!$A$2:$A$101,0))="","",INDEX(Projects!$AJ$2:$AJ$101,MATCH($A33,Projects!$A$2:$A$101,0))),""))</f>
        <v/>
      </c>
    </row>
    <row r="34" customFormat="false" ht="15" hidden="false" customHeight="false" outlineLevel="0" collapsed="false">
      <c r="A34" s="18" t="str">
        <f aca="false">IF(INDEX(Projects!$A$2:$A$101,ROWS(A$9:A34))="","",INDEX(Projects!$A$2:$A$101,ROWS(A$9:A34)))</f>
        <v/>
      </c>
      <c r="B34" s="18" t="str">
        <f aca="false">IF($A34="","",IFERROR(IF(INDEX(Projects!$D$2:$D$101,MATCH($A34,Projects!$A$2:$A$101,0))="","",INDEX(Projects!$D$2:$D$101,MATCH($A34,Projects!$A$2:$A$101,0))),""))</f>
        <v/>
      </c>
      <c r="C34" s="18" t="str">
        <f aca="false">IF($A34="","",IFERROR(IF(INDEX(Projects!$F$2:$F$101,MATCH($A34,Projects!$A$2:$A$101,0))="","",INDEX(Projects!$F$2:$F$101,MATCH($A34,Projects!$A$2:$A$101,0))),""))</f>
        <v/>
      </c>
      <c r="D34" s="19" t="str">
        <f aca="false">IF($A34="","",IFERROR(IF(INDEX(Projects!$W$2:$W$101,MATCH($A34,Projects!$A$2:$A$101,0))="","",INDEX(Projects!$W$2:$W$101,MATCH($A34,Projects!$A$2:$A$101,0))),""))</f>
        <v/>
      </c>
      <c r="E34" s="20" t="str">
        <f aca="false">IF($A34="","",IFERROR(IF(INDEX(Projects!$R$2:$R$101,MATCH($A34,Projects!$A$2:$A$101,0))="","",INDEX(Projects!$R$2:$R$101,MATCH($A34,Projects!$A$2:$A$101,0))),""))</f>
        <v/>
      </c>
      <c r="F34" s="20" t="str">
        <f aca="false">IF($A34="","",IFERROR(IF(INDEX(Projects!$T$2:$T$101,MATCH($A34,Projects!$A$2:$A$101,0))="","",INDEX(Projects!$T$2:$T$101,MATCH($A34,Projects!$A$2:$A$101,0))),""))</f>
        <v/>
      </c>
      <c r="G34" s="20" t="str">
        <f aca="false">IF($A34="","",IFERROR(IF(INDEX(Projects!$U$2:$U$101,MATCH($A34,Projects!$A$2:$A$101,0))="","",INDEX(Projects!$U$2:$U$101,MATCH($A34,Projects!$A$2:$A$101,0))),""))</f>
        <v/>
      </c>
      <c r="H34" s="21" t="str">
        <f aca="false">IF($A34="","",IFERROR(IF(INDEX(Projects!$Z$2:$Z$101,MATCH($A34,Projects!$A$2:$A$101,0))="","",INDEX(Projects!$Z$2:$Z$101,MATCH($A34,Projects!$A$2:$A$101,0))),""))</f>
        <v/>
      </c>
      <c r="I34" s="21" t="str">
        <f aca="false">IF($A34="","",IFERROR(IF(INDEX(Projects!$AB$2:$AB$101,MATCH($A34,Projects!$A$2:$A$101,0))="","",INDEX(Projects!$AB$2:$AB$101,MATCH($A34,Projects!$A$2:$A$101,0))),""))</f>
        <v/>
      </c>
      <c r="J34" s="21" t="str">
        <f aca="false">IF($A34="","",IFERROR(IF(INDEX(Projects!$AE$2:$AE$101,MATCH($A34,Projects!$A$2:$A$101,0))="","",INDEX(Projects!$AE$2:$AE$101,MATCH($A34,Projects!$A$2:$A$101,0))),""))</f>
        <v/>
      </c>
      <c r="K34" s="21" t="str">
        <f aca="false">IF($A34="","",IFERROR(IF(INDEX(Projects!$AF$2:$AF$101,MATCH($A34,Projects!$A$2:$A$101,0))="","",INDEX(Projects!$AF$2:$AF$101,MATCH($A34,Projects!$A$2:$A$101,0))),""))</f>
        <v/>
      </c>
      <c r="L34" s="22" t="str">
        <f aca="false">IF($A34="","",IFERROR(IF(INDEX(Projects!$AG$2:$AG$101,MATCH($A34,Projects!$A$2:$A$101,0))="","",INDEX(Projects!$AG$2:$AG$101,MATCH($A34,Projects!$A$2:$A$101,0))),""))</f>
        <v/>
      </c>
      <c r="M34" s="22" t="str">
        <f aca="false">IF($A34="","",IFERROR(IF(INDEX(Projects!$AH$2:$AH$101,MATCH($A34,Projects!$A$2:$A$101,0))="","",INDEX(Projects!$AH$2:$AH$101,MATCH($A34,Projects!$A$2:$A$101,0))),""))</f>
        <v/>
      </c>
      <c r="N34" s="22" t="str">
        <f aca="false">IF($A34="","",IFERROR(IF(INDEX(Projects!$AI$2:$AI$101,MATCH($A34,Projects!$A$2:$A$101,0))="","",INDEX(Projects!$AI$2:$AI$101,MATCH($A34,Projects!$A$2:$A$101,0))),""))</f>
        <v/>
      </c>
      <c r="O34" s="22" t="str">
        <f aca="false">IF($A34="","",IFERROR(IF(INDEX(Projects!$AJ$2:$AJ$101,MATCH($A34,Projects!$A$2:$A$101,0))="","",INDEX(Projects!$AJ$2:$AJ$101,MATCH($A34,Projects!$A$2:$A$101,0))),""))</f>
        <v/>
      </c>
    </row>
    <row r="35" customFormat="false" ht="15" hidden="false" customHeight="false" outlineLevel="0" collapsed="false">
      <c r="A35" s="18" t="str">
        <f aca="false">IF(INDEX(Projects!$A$2:$A$101,ROWS(A$9:A35))="","",INDEX(Projects!$A$2:$A$101,ROWS(A$9:A35)))</f>
        <v/>
      </c>
      <c r="B35" s="18" t="str">
        <f aca="false">IF($A35="","",IFERROR(IF(INDEX(Projects!$D$2:$D$101,MATCH($A35,Projects!$A$2:$A$101,0))="","",INDEX(Projects!$D$2:$D$101,MATCH($A35,Projects!$A$2:$A$101,0))),""))</f>
        <v/>
      </c>
      <c r="C35" s="18" t="str">
        <f aca="false">IF($A35="","",IFERROR(IF(INDEX(Projects!$F$2:$F$101,MATCH($A35,Projects!$A$2:$A$101,0))="","",INDEX(Projects!$F$2:$F$101,MATCH($A35,Projects!$A$2:$A$101,0))),""))</f>
        <v/>
      </c>
      <c r="D35" s="19" t="str">
        <f aca="false">IF($A35="","",IFERROR(IF(INDEX(Projects!$W$2:$W$101,MATCH($A35,Projects!$A$2:$A$101,0))="","",INDEX(Projects!$W$2:$W$101,MATCH($A35,Projects!$A$2:$A$101,0))),""))</f>
        <v/>
      </c>
      <c r="E35" s="20" t="str">
        <f aca="false">IF($A35="","",IFERROR(IF(INDEX(Projects!$R$2:$R$101,MATCH($A35,Projects!$A$2:$A$101,0))="","",INDEX(Projects!$R$2:$R$101,MATCH($A35,Projects!$A$2:$A$101,0))),""))</f>
        <v/>
      </c>
      <c r="F35" s="20" t="str">
        <f aca="false">IF($A35="","",IFERROR(IF(INDEX(Projects!$T$2:$T$101,MATCH($A35,Projects!$A$2:$A$101,0))="","",INDEX(Projects!$T$2:$T$101,MATCH($A35,Projects!$A$2:$A$101,0))),""))</f>
        <v/>
      </c>
      <c r="G35" s="20" t="str">
        <f aca="false">IF($A35="","",IFERROR(IF(INDEX(Projects!$U$2:$U$101,MATCH($A35,Projects!$A$2:$A$101,0))="","",INDEX(Projects!$U$2:$U$101,MATCH($A35,Projects!$A$2:$A$101,0))),""))</f>
        <v/>
      </c>
      <c r="H35" s="21" t="str">
        <f aca="false">IF($A35="","",IFERROR(IF(INDEX(Projects!$Z$2:$Z$101,MATCH($A35,Projects!$A$2:$A$101,0))="","",INDEX(Projects!$Z$2:$Z$101,MATCH($A35,Projects!$A$2:$A$101,0))),""))</f>
        <v/>
      </c>
      <c r="I35" s="21" t="str">
        <f aca="false">IF($A35="","",IFERROR(IF(INDEX(Projects!$AB$2:$AB$101,MATCH($A35,Projects!$A$2:$A$101,0))="","",INDEX(Projects!$AB$2:$AB$101,MATCH($A35,Projects!$A$2:$A$101,0))),""))</f>
        <v/>
      </c>
      <c r="J35" s="21" t="str">
        <f aca="false">IF($A35="","",IFERROR(IF(INDEX(Projects!$AE$2:$AE$101,MATCH($A35,Projects!$A$2:$A$101,0))="","",INDEX(Projects!$AE$2:$AE$101,MATCH($A35,Projects!$A$2:$A$101,0))),""))</f>
        <v/>
      </c>
      <c r="K35" s="21" t="str">
        <f aca="false">IF($A35="","",IFERROR(IF(INDEX(Projects!$AF$2:$AF$101,MATCH($A35,Projects!$A$2:$A$101,0))="","",INDEX(Projects!$AF$2:$AF$101,MATCH($A35,Projects!$A$2:$A$101,0))),""))</f>
        <v/>
      </c>
      <c r="L35" s="22" t="str">
        <f aca="false">IF($A35="","",IFERROR(IF(INDEX(Projects!$AG$2:$AG$101,MATCH($A35,Projects!$A$2:$A$101,0))="","",INDEX(Projects!$AG$2:$AG$101,MATCH($A35,Projects!$A$2:$A$101,0))),""))</f>
        <v/>
      </c>
      <c r="M35" s="22" t="str">
        <f aca="false">IF($A35="","",IFERROR(IF(INDEX(Projects!$AH$2:$AH$101,MATCH($A35,Projects!$A$2:$A$101,0))="","",INDEX(Projects!$AH$2:$AH$101,MATCH($A35,Projects!$A$2:$A$101,0))),""))</f>
        <v/>
      </c>
      <c r="N35" s="22" t="str">
        <f aca="false">IF($A35="","",IFERROR(IF(INDEX(Projects!$AI$2:$AI$101,MATCH($A35,Projects!$A$2:$A$101,0))="","",INDEX(Projects!$AI$2:$AI$101,MATCH($A35,Projects!$A$2:$A$101,0))),""))</f>
        <v/>
      </c>
      <c r="O35" s="22" t="str">
        <f aca="false">IF($A35="","",IFERROR(IF(INDEX(Projects!$AJ$2:$AJ$101,MATCH($A35,Projects!$A$2:$A$101,0))="","",INDEX(Projects!$AJ$2:$AJ$101,MATCH($A35,Projects!$A$2:$A$101,0))),""))</f>
        <v/>
      </c>
    </row>
    <row r="36" customFormat="false" ht="15" hidden="false" customHeight="false" outlineLevel="0" collapsed="false">
      <c r="A36" s="18" t="str">
        <f aca="false">IF(INDEX(Projects!$A$2:$A$101,ROWS(A$9:A36))="","",INDEX(Projects!$A$2:$A$101,ROWS(A$9:A36)))</f>
        <v/>
      </c>
      <c r="B36" s="18" t="str">
        <f aca="false">IF($A36="","",IFERROR(IF(INDEX(Projects!$D$2:$D$101,MATCH($A36,Projects!$A$2:$A$101,0))="","",INDEX(Projects!$D$2:$D$101,MATCH($A36,Projects!$A$2:$A$101,0))),""))</f>
        <v/>
      </c>
      <c r="C36" s="18" t="str">
        <f aca="false">IF($A36="","",IFERROR(IF(INDEX(Projects!$F$2:$F$101,MATCH($A36,Projects!$A$2:$A$101,0))="","",INDEX(Projects!$F$2:$F$101,MATCH($A36,Projects!$A$2:$A$101,0))),""))</f>
        <v/>
      </c>
      <c r="D36" s="19" t="str">
        <f aca="false">IF($A36="","",IFERROR(IF(INDEX(Projects!$W$2:$W$101,MATCH($A36,Projects!$A$2:$A$101,0))="","",INDEX(Projects!$W$2:$W$101,MATCH($A36,Projects!$A$2:$A$101,0))),""))</f>
        <v/>
      </c>
      <c r="E36" s="20" t="str">
        <f aca="false">IF($A36="","",IFERROR(IF(INDEX(Projects!$R$2:$R$101,MATCH($A36,Projects!$A$2:$A$101,0))="","",INDEX(Projects!$R$2:$R$101,MATCH($A36,Projects!$A$2:$A$101,0))),""))</f>
        <v/>
      </c>
      <c r="F36" s="20" t="str">
        <f aca="false">IF($A36="","",IFERROR(IF(INDEX(Projects!$T$2:$T$101,MATCH($A36,Projects!$A$2:$A$101,0))="","",INDEX(Projects!$T$2:$T$101,MATCH($A36,Projects!$A$2:$A$101,0))),""))</f>
        <v/>
      </c>
      <c r="G36" s="20" t="str">
        <f aca="false">IF($A36="","",IFERROR(IF(INDEX(Projects!$U$2:$U$101,MATCH($A36,Projects!$A$2:$A$101,0))="","",INDEX(Projects!$U$2:$U$101,MATCH($A36,Projects!$A$2:$A$101,0))),""))</f>
        <v/>
      </c>
      <c r="H36" s="21" t="str">
        <f aca="false">IF($A36="","",IFERROR(IF(INDEX(Projects!$Z$2:$Z$101,MATCH($A36,Projects!$A$2:$A$101,0))="","",INDEX(Projects!$Z$2:$Z$101,MATCH($A36,Projects!$A$2:$A$101,0))),""))</f>
        <v/>
      </c>
      <c r="I36" s="21" t="str">
        <f aca="false">IF($A36="","",IFERROR(IF(INDEX(Projects!$AB$2:$AB$101,MATCH($A36,Projects!$A$2:$A$101,0))="","",INDEX(Projects!$AB$2:$AB$101,MATCH($A36,Projects!$A$2:$A$101,0))),""))</f>
        <v/>
      </c>
      <c r="J36" s="21" t="str">
        <f aca="false">IF($A36="","",IFERROR(IF(INDEX(Projects!$AE$2:$AE$101,MATCH($A36,Projects!$A$2:$A$101,0))="","",INDEX(Projects!$AE$2:$AE$101,MATCH($A36,Projects!$A$2:$A$101,0))),""))</f>
        <v/>
      </c>
      <c r="K36" s="21" t="str">
        <f aca="false">IF($A36="","",IFERROR(IF(INDEX(Projects!$AF$2:$AF$101,MATCH($A36,Projects!$A$2:$A$101,0))="","",INDEX(Projects!$AF$2:$AF$101,MATCH($A36,Projects!$A$2:$A$101,0))),""))</f>
        <v/>
      </c>
      <c r="L36" s="22" t="str">
        <f aca="false">IF($A36="","",IFERROR(IF(INDEX(Projects!$AG$2:$AG$101,MATCH($A36,Projects!$A$2:$A$101,0))="","",INDEX(Projects!$AG$2:$AG$101,MATCH($A36,Projects!$A$2:$A$101,0))),""))</f>
        <v/>
      </c>
      <c r="M36" s="22" t="str">
        <f aca="false">IF($A36="","",IFERROR(IF(INDEX(Projects!$AH$2:$AH$101,MATCH($A36,Projects!$A$2:$A$101,0))="","",INDEX(Projects!$AH$2:$AH$101,MATCH($A36,Projects!$A$2:$A$101,0))),""))</f>
        <v/>
      </c>
      <c r="N36" s="22" t="str">
        <f aca="false">IF($A36="","",IFERROR(IF(INDEX(Projects!$AI$2:$AI$101,MATCH($A36,Projects!$A$2:$A$101,0))="","",INDEX(Projects!$AI$2:$AI$101,MATCH($A36,Projects!$A$2:$A$101,0))),""))</f>
        <v/>
      </c>
      <c r="O36" s="22" t="str">
        <f aca="false">IF($A36="","",IFERROR(IF(INDEX(Projects!$AJ$2:$AJ$101,MATCH($A36,Projects!$A$2:$A$101,0))="","",INDEX(Projects!$AJ$2:$AJ$101,MATCH($A36,Projects!$A$2:$A$101,0))),""))</f>
        <v/>
      </c>
    </row>
    <row r="37" customFormat="false" ht="15" hidden="false" customHeight="false" outlineLevel="0" collapsed="false">
      <c r="A37" s="18" t="str">
        <f aca="false">IF(INDEX(Projects!$A$2:$A$101,ROWS(A$9:A37))="","",INDEX(Projects!$A$2:$A$101,ROWS(A$9:A37)))</f>
        <v/>
      </c>
      <c r="B37" s="18" t="str">
        <f aca="false">IF($A37="","",IFERROR(IF(INDEX(Projects!$D$2:$D$101,MATCH($A37,Projects!$A$2:$A$101,0))="","",INDEX(Projects!$D$2:$D$101,MATCH($A37,Projects!$A$2:$A$101,0))),""))</f>
        <v/>
      </c>
      <c r="C37" s="18" t="str">
        <f aca="false">IF($A37="","",IFERROR(IF(INDEX(Projects!$F$2:$F$101,MATCH($A37,Projects!$A$2:$A$101,0))="","",INDEX(Projects!$F$2:$F$101,MATCH($A37,Projects!$A$2:$A$101,0))),""))</f>
        <v/>
      </c>
      <c r="D37" s="19" t="str">
        <f aca="false">IF($A37="","",IFERROR(IF(INDEX(Projects!$W$2:$W$101,MATCH($A37,Projects!$A$2:$A$101,0))="","",INDEX(Projects!$W$2:$W$101,MATCH($A37,Projects!$A$2:$A$101,0))),""))</f>
        <v/>
      </c>
      <c r="E37" s="20" t="str">
        <f aca="false">IF($A37="","",IFERROR(IF(INDEX(Projects!$R$2:$R$101,MATCH($A37,Projects!$A$2:$A$101,0))="","",INDEX(Projects!$R$2:$R$101,MATCH($A37,Projects!$A$2:$A$101,0))),""))</f>
        <v/>
      </c>
      <c r="F37" s="20" t="str">
        <f aca="false">IF($A37="","",IFERROR(IF(INDEX(Projects!$T$2:$T$101,MATCH($A37,Projects!$A$2:$A$101,0))="","",INDEX(Projects!$T$2:$T$101,MATCH($A37,Projects!$A$2:$A$101,0))),""))</f>
        <v/>
      </c>
      <c r="G37" s="20" t="str">
        <f aca="false">IF($A37="","",IFERROR(IF(INDEX(Projects!$U$2:$U$101,MATCH($A37,Projects!$A$2:$A$101,0))="","",INDEX(Projects!$U$2:$U$101,MATCH($A37,Projects!$A$2:$A$101,0))),""))</f>
        <v/>
      </c>
      <c r="H37" s="21" t="str">
        <f aca="false">IF($A37="","",IFERROR(IF(INDEX(Projects!$Z$2:$Z$101,MATCH($A37,Projects!$A$2:$A$101,0))="","",INDEX(Projects!$Z$2:$Z$101,MATCH($A37,Projects!$A$2:$A$101,0))),""))</f>
        <v/>
      </c>
      <c r="I37" s="21" t="str">
        <f aca="false">IF($A37="","",IFERROR(IF(INDEX(Projects!$AB$2:$AB$101,MATCH($A37,Projects!$A$2:$A$101,0))="","",INDEX(Projects!$AB$2:$AB$101,MATCH($A37,Projects!$A$2:$A$101,0))),""))</f>
        <v/>
      </c>
      <c r="J37" s="21" t="str">
        <f aca="false">IF($A37="","",IFERROR(IF(INDEX(Projects!$AE$2:$AE$101,MATCH($A37,Projects!$A$2:$A$101,0))="","",INDEX(Projects!$AE$2:$AE$101,MATCH($A37,Projects!$A$2:$A$101,0))),""))</f>
        <v/>
      </c>
      <c r="K37" s="21" t="str">
        <f aca="false">IF($A37="","",IFERROR(IF(INDEX(Projects!$AF$2:$AF$101,MATCH($A37,Projects!$A$2:$A$101,0))="","",INDEX(Projects!$AF$2:$AF$101,MATCH($A37,Projects!$A$2:$A$101,0))),""))</f>
        <v/>
      </c>
      <c r="L37" s="22" t="str">
        <f aca="false">IF($A37="","",IFERROR(IF(INDEX(Projects!$AG$2:$AG$101,MATCH($A37,Projects!$A$2:$A$101,0))="","",INDEX(Projects!$AG$2:$AG$101,MATCH($A37,Projects!$A$2:$A$101,0))),""))</f>
        <v/>
      </c>
      <c r="M37" s="22" t="str">
        <f aca="false">IF($A37="","",IFERROR(IF(INDEX(Projects!$AH$2:$AH$101,MATCH($A37,Projects!$A$2:$A$101,0))="","",INDEX(Projects!$AH$2:$AH$101,MATCH($A37,Projects!$A$2:$A$101,0))),""))</f>
        <v/>
      </c>
      <c r="N37" s="22" t="str">
        <f aca="false">IF($A37="","",IFERROR(IF(INDEX(Projects!$AI$2:$AI$101,MATCH($A37,Projects!$A$2:$A$101,0))="","",INDEX(Projects!$AI$2:$AI$101,MATCH($A37,Projects!$A$2:$A$101,0))),""))</f>
        <v/>
      </c>
      <c r="O37" s="22" t="str">
        <f aca="false">IF($A37="","",IFERROR(IF(INDEX(Projects!$AJ$2:$AJ$101,MATCH($A37,Projects!$A$2:$A$101,0))="","",INDEX(Projects!$AJ$2:$AJ$101,MATCH($A37,Projects!$A$2:$A$101,0))),""))</f>
        <v/>
      </c>
    </row>
    <row r="38" customFormat="false" ht="15" hidden="false" customHeight="false" outlineLevel="0" collapsed="false">
      <c r="A38" s="18" t="str">
        <f aca="false">IF(INDEX(Projects!$A$2:$A$101,ROWS(A$9:A38))="","",INDEX(Projects!$A$2:$A$101,ROWS(A$9:A38)))</f>
        <v/>
      </c>
      <c r="B38" s="18" t="str">
        <f aca="false">IF($A38="","",IFERROR(IF(INDEX(Projects!$D$2:$D$101,MATCH($A38,Projects!$A$2:$A$101,0))="","",INDEX(Projects!$D$2:$D$101,MATCH($A38,Projects!$A$2:$A$101,0))),""))</f>
        <v/>
      </c>
      <c r="C38" s="18" t="str">
        <f aca="false">IF($A38="","",IFERROR(IF(INDEX(Projects!$F$2:$F$101,MATCH($A38,Projects!$A$2:$A$101,0))="","",INDEX(Projects!$F$2:$F$101,MATCH($A38,Projects!$A$2:$A$101,0))),""))</f>
        <v/>
      </c>
      <c r="D38" s="19" t="str">
        <f aca="false">IF($A38="","",IFERROR(IF(INDEX(Projects!$W$2:$W$101,MATCH($A38,Projects!$A$2:$A$101,0))="","",INDEX(Projects!$W$2:$W$101,MATCH($A38,Projects!$A$2:$A$101,0))),""))</f>
        <v/>
      </c>
      <c r="E38" s="20" t="str">
        <f aca="false">IF($A38="","",IFERROR(IF(INDEX(Projects!$R$2:$R$101,MATCH($A38,Projects!$A$2:$A$101,0))="","",INDEX(Projects!$R$2:$R$101,MATCH($A38,Projects!$A$2:$A$101,0))),""))</f>
        <v/>
      </c>
      <c r="F38" s="20" t="str">
        <f aca="false">IF($A38="","",IFERROR(IF(INDEX(Projects!$T$2:$T$101,MATCH($A38,Projects!$A$2:$A$101,0))="","",INDEX(Projects!$T$2:$T$101,MATCH($A38,Projects!$A$2:$A$101,0))),""))</f>
        <v/>
      </c>
      <c r="G38" s="20" t="str">
        <f aca="false">IF($A38="","",IFERROR(IF(INDEX(Projects!$U$2:$U$101,MATCH($A38,Projects!$A$2:$A$101,0))="","",INDEX(Projects!$U$2:$U$101,MATCH($A38,Projects!$A$2:$A$101,0))),""))</f>
        <v/>
      </c>
      <c r="H38" s="21" t="str">
        <f aca="false">IF($A38="","",IFERROR(IF(INDEX(Projects!$Z$2:$Z$101,MATCH($A38,Projects!$A$2:$A$101,0))="","",INDEX(Projects!$Z$2:$Z$101,MATCH($A38,Projects!$A$2:$A$101,0))),""))</f>
        <v/>
      </c>
      <c r="I38" s="21" t="str">
        <f aca="false">IF($A38="","",IFERROR(IF(INDEX(Projects!$AB$2:$AB$101,MATCH($A38,Projects!$A$2:$A$101,0))="","",INDEX(Projects!$AB$2:$AB$101,MATCH($A38,Projects!$A$2:$A$101,0))),""))</f>
        <v/>
      </c>
      <c r="J38" s="21" t="str">
        <f aca="false">IF($A38="","",IFERROR(IF(INDEX(Projects!$AE$2:$AE$101,MATCH($A38,Projects!$A$2:$A$101,0))="","",INDEX(Projects!$AE$2:$AE$101,MATCH($A38,Projects!$A$2:$A$101,0))),""))</f>
        <v/>
      </c>
      <c r="K38" s="21" t="str">
        <f aca="false">IF($A38="","",IFERROR(IF(INDEX(Projects!$AF$2:$AF$101,MATCH($A38,Projects!$A$2:$A$101,0))="","",INDEX(Projects!$AF$2:$AF$101,MATCH($A38,Projects!$A$2:$A$101,0))),""))</f>
        <v/>
      </c>
      <c r="L38" s="22" t="str">
        <f aca="false">IF($A38="","",IFERROR(IF(INDEX(Projects!$AG$2:$AG$101,MATCH($A38,Projects!$A$2:$A$101,0))="","",INDEX(Projects!$AG$2:$AG$101,MATCH($A38,Projects!$A$2:$A$101,0))),""))</f>
        <v/>
      </c>
      <c r="M38" s="22" t="str">
        <f aca="false">IF($A38="","",IFERROR(IF(INDEX(Projects!$AH$2:$AH$101,MATCH($A38,Projects!$A$2:$A$101,0))="","",INDEX(Projects!$AH$2:$AH$101,MATCH($A38,Projects!$A$2:$A$101,0))),""))</f>
        <v/>
      </c>
      <c r="N38" s="22" t="str">
        <f aca="false">IF($A38="","",IFERROR(IF(INDEX(Projects!$AI$2:$AI$101,MATCH($A38,Projects!$A$2:$A$101,0))="","",INDEX(Projects!$AI$2:$AI$101,MATCH($A38,Projects!$A$2:$A$101,0))),""))</f>
        <v/>
      </c>
      <c r="O38" s="22" t="str">
        <f aca="false">IF($A38="","",IFERROR(IF(INDEX(Projects!$AJ$2:$AJ$101,MATCH($A38,Projects!$A$2:$A$101,0))="","",INDEX(Projects!$AJ$2:$AJ$101,MATCH($A38,Projects!$A$2:$A$101,0))),""))</f>
        <v/>
      </c>
    </row>
    <row r="41" customFormat="false" ht="15" hidden="false" customHeight="false" outlineLevel="0" collapsed="false">
      <c r="A41" s="16" t="s">
        <v>125</v>
      </c>
      <c r="B41" s="4"/>
      <c r="C41" s="4"/>
      <c r="E41" s="16" t="s">
        <v>126</v>
      </c>
      <c r="F41" s="4"/>
      <c r="G41" s="4"/>
      <c r="H41" s="4"/>
    </row>
    <row r="42" customFormat="false" ht="15" hidden="false" customHeight="false" outlineLevel="0" collapsed="false">
      <c r="A42" s="17" t="s">
        <v>127</v>
      </c>
      <c r="B42" s="17" t="s">
        <v>128</v>
      </c>
      <c r="E42" s="17" t="s">
        <v>129</v>
      </c>
      <c r="F42" s="17" t="s">
        <v>34</v>
      </c>
      <c r="G42" s="17" t="s">
        <v>69</v>
      </c>
      <c r="H42" s="17" t="s">
        <v>130</v>
      </c>
    </row>
    <row r="43" customFormat="false" ht="15" hidden="false" customHeight="false" outlineLevel="0" collapsed="false">
      <c r="A43" s="18" t="s">
        <v>131</v>
      </c>
      <c r="B43" s="22" t="n">
        <f aca="false">COUNTIF(Projects!$X$2:$X$101,"Overdue")</f>
        <v>0</v>
      </c>
      <c r="E43" s="18" t="s">
        <v>132</v>
      </c>
      <c r="F43" s="22" t="n">
        <f aca="false">COUNTIF(Tasks!$H$2:$H$1001,E43)</f>
        <v>0</v>
      </c>
      <c r="G43" s="22" t="n">
        <f aca="false">COUNTIF(Actions!$M$2:$M$501,E43)</f>
        <v>0</v>
      </c>
      <c r="H43" s="23" t="n">
        <f aca="false">F43+G43</f>
        <v>0</v>
      </c>
    </row>
    <row r="44" customFormat="false" ht="15" hidden="false" customHeight="false" outlineLevel="0" collapsed="false">
      <c r="A44" s="18" t="s">
        <v>133</v>
      </c>
      <c r="B44" s="22" t="n">
        <f aca="false">COUNTIF(Projects!$AF$2:$AF$101,"Red")</f>
        <v>0</v>
      </c>
      <c r="E44" s="18" t="s">
        <v>134</v>
      </c>
      <c r="F44" s="22" t="n">
        <f aca="false">COUNTIF(Tasks!$H$2:$H$1001,E44)</f>
        <v>0</v>
      </c>
      <c r="G44" s="22" t="n">
        <f aca="false">COUNTIF(Actions!$M$2:$M$501,E44)</f>
        <v>0</v>
      </c>
      <c r="H44" s="23" t="n">
        <f aca="false">F44+G44</f>
        <v>0</v>
      </c>
    </row>
    <row r="45" customFormat="false" ht="15" hidden="false" customHeight="false" outlineLevel="0" collapsed="false">
      <c r="A45" s="18" t="s">
        <v>135</v>
      </c>
      <c r="B45" s="22" t="n">
        <f aca="false">COUNTIF(Tasks!$H$2:$H$1001,"Overdue")</f>
        <v>0</v>
      </c>
      <c r="E45" s="18" t="s">
        <v>136</v>
      </c>
      <c r="F45" s="22" t="n">
        <f aca="false">COUNTIF(Tasks!$H$2:$H$1001,E45)</f>
        <v>0</v>
      </c>
      <c r="G45" s="22" t="n">
        <f aca="false">COUNTIF(Actions!$M$2:$M$501,E45)</f>
        <v>0</v>
      </c>
      <c r="H45" s="23" t="n">
        <f aca="false">F45+G45</f>
        <v>0</v>
      </c>
    </row>
    <row r="46" customFormat="false" ht="15" hidden="false" customHeight="false" outlineLevel="0" collapsed="false">
      <c r="A46" s="18" t="s">
        <v>137</v>
      </c>
      <c r="B46" s="22" t="n">
        <f aca="false">COUNTIF(Actions!$M$2:$M$501,"Overdue")</f>
        <v>0</v>
      </c>
      <c r="E46" s="18" t="s">
        <v>138</v>
      </c>
      <c r="F46" s="22" t="n">
        <f aca="false">COUNTIF(Tasks!$H$2:$H$1001,E46)</f>
        <v>0</v>
      </c>
      <c r="G46" s="22" t="n">
        <f aca="false">COUNTIF(Actions!$M$2:$M$501,E46)</f>
        <v>0</v>
      </c>
      <c r="H46" s="23" t="n">
        <f aca="false">F46+G46</f>
        <v>0</v>
      </c>
    </row>
    <row r="47" customFormat="false" ht="15" hidden="false" customHeight="false" outlineLevel="0" collapsed="false">
      <c r="A47" s="18" t="s">
        <v>139</v>
      </c>
      <c r="B47" s="22" t="n">
        <f aca="false">COUNTIF(RFIs!$L$2:$L$501,"Overdue")</f>
        <v>0</v>
      </c>
      <c r="E47" s="18" t="s">
        <v>140</v>
      </c>
      <c r="F47" s="22" t="n">
        <f aca="false">COUNTIF(Tasks!$H$2:$H$1001,E47)</f>
        <v>0</v>
      </c>
      <c r="G47" s="22" t="n">
        <f aca="false">COUNTIF(Actions!$M$2:$M$501,E47)</f>
        <v>0</v>
      </c>
      <c r="H47" s="23" t="n">
        <f aca="false">F47+G47</f>
        <v>0</v>
      </c>
    </row>
    <row r="48" customFormat="false" ht="15" hidden="false" customHeight="false" outlineLevel="0" collapsed="false">
      <c r="A48" s="18" t="s">
        <v>141</v>
      </c>
      <c r="B48" s="22" t="n">
        <f aca="false">COUNTIF(RFIs!$L$2:$L$501,"Due Soon")</f>
        <v>0</v>
      </c>
    </row>
    <row r="49" customFormat="false" ht="15" hidden="false" customHeight="false" outlineLevel="0" collapsed="false">
      <c r="A49" s="18" t="s">
        <v>142</v>
      </c>
      <c r="B49" s="22" t="n">
        <f aca="false">COUNTIF(Defects!$M$2:$M$501,"Overdue")</f>
        <v>0</v>
      </c>
    </row>
    <row r="50" customFormat="false" ht="15" hidden="false" customHeight="false" outlineLevel="0" collapsed="false">
      <c r="A50" s="18" t="s">
        <v>143</v>
      </c>
      <c r="B50" s="22" t="n">
        <f aca="false">COUNTIF(Correspondence!$L$2:$L$501,"Overdue")</f>
        <v>0</v>
      </c>
    </row>
    <row r="51" customFormat="false" ht="15" hidden="false" customHeight="false" outlineLevel="0" collapsed="false">
      <c r="A51" s="18" t="s">
        <v>144</v>
      </c>
      <c r="B51" s="22" t="n">
        <f aca="false">COUNTIF(Risks!$R$2:$R$501,"Overdue")</f>
        <v>0</v>
      </c>
    </row>
    <row r="52" customFormat="false" ht="15" hidden="false" customHeight="false" outlineLevel="0" collapsed="false">
      <c r="A52" s="18" t="s">
        <v>145</v>
      </c>
      <c r="B52" s="22" t="n">
        <f aca="false">COUNTIF(Checklist!$J$2:$J$501,"Overdue")</f>
        <v>0</v>
      </c>
    </row>
    <row r="53" customFormat="false" ht="15" hidden="false" customHeight="false" outlineLevel="0" collapsed="false">
      <c r="A53" s="18" t="s">
        <v>146</v>
      </c>
      <c r="B53" s="22" t="n">
        <f aca="false">COUNTIF(Permits!$K$2:$K$501,"Expired")+COUNTIF(Permits!$K$2:$K$501,"Expiring Soon")</f>
        <v>0</v>
      </c>
    </row>
    <row r="54" customFormat="false" ht="15" hidden="false" customHeight="false" outlineLevel="0" collapsed="false">
      <c r="A54" s="18" t="s">
        <v>147</v>
      </c>
      <c r="B54" s="22" t="n">
        <f aca="false">COUNTIF('Insurance Warranties'!$J$2:$J$501,"Expired")+COUNTIF('Insurance Warranties'!$J$2:$J$501,"Expiring Soon")</f>
        <v>0</v>
      </c>
    </row>
    <row r="55" customFormat="false" ht="15" hidden="false" customHeight="false" outlineLevel="0" collapsed="false">
      <c r="A55" s="18" t="s">
        <v>148</v>
      </c>
      <c r="B55" s="22" t="n">
        <f aca="false">COUNTIF(Subcontractors!$L$2:$L$501,"Expired")+COUNTIF(Subcontractors!$L$2:$L$501,"Expiring Soon")</f>
        <v>0</v>
      </c>
    </row>
    <row r="56" customFormat="false" ht="15" hidden="false" customHeight="false" outlineLevel="0" collapsed="false">
      <c r="A56" s="18" t="s">
        <v>149</v>
      </c>
      <c r="B56" s="22" t="n">
        <f aca="false">COUNTIF('Training Records'!$I$2:$I$501,"Expired")+COUNTIF('Training Records'!$I$2:$I$501,"Expiring Soon")</f>
        <v>0</v>
      </c>
    </row>
    <row r="57" customFormat="false" ht="15" hidden="false" customHeight="false" outlineLevel="0" collapsed="false">
      <c r="A57" s="18" t="s">
        <v>150</v>
      </c>
      <c r="B57" s="22" t="n">
        <f aca="false">COUNTIF('Env Monitoring'!$K$2:$K$501,"Exceedance")</f>
        <v>0</v>
      </c>
    </row>
    <row r="58" customFormat="false" ht="15" hidden="false" customHeight="false" outlineLevel="0" collapsed="false">
      <c r="A58" s="18" t="s">
        <v>151</v>
      </c>
      <c r="B58" s="22" t="n">
        <f aca="false">COUNTIFS('SQE Issues'!$C$2:$C$501,"High",'SQE Issues'!$H$2:$H$501,"&lt;&gt;Closed")+COUNTIFS('SQE Issues'!$C$2:$C$501,"Critical",'SQE Issues'!$H$2:$H$501,"&lt;&gt;Closed")</f>
        <v>0</v>
      </c>
    </row>
    <row r="59" customFormat="false" ht="15" hidden="false" customHeight="false" outlineLevel="0" collapsed="false">
      <c r="A59" s="18" t="s">
        <v>152</v>
      </c>
      <c r="B59" s="22" t="n">
        <f aca="false">COUNTIF('Payment Claims'!$G$2:$G$501,"Submitted")</f>
        <v>0</v>
      </c>
    </row>
    <row r="62" customFormat="false" ht="15" hidden="false" customHeight="false" outlineLevel="0" collapsed="false">
      <c r="A62" s="16" t="s">
        <v>153</v>
      </c>
      <c r="B62" s="4"/>
      <c r="C62" s="4"/>
      <c r="D62" s="4"/>
      <c r="F62" s="16" t="s">
        <v>154</v>
      </c>
      <c r="G62" s="4"/>
      <c r="H62" s="4"/>
      <c r="I62" s="4"/>
      <c r="J62" s="4"/>
    </row>
    <row r="63" customFormat="false" ht="15" hidden="false" customHeight="false" outlineLevel="0" collapsed="false">
      <c r="A63" s="17" t="s">
        <v>155</v>
      </c>
      <c r="B63" s="17" t="s">
        <v>110</v>
      </c>
      <c r="C63" s="17" t="s">
        <v>129</v>
      </c>
      <c r="D63" s="17" t="s">
        <v>156</v>
      </c>
      <c r="F63" s="17" t="s">
        <v>157</v>
      </c>
      <c r="G63" s="17" t="s">
        <v>110</v>
      </c>
      <c r="H63" s="17" t="s">
        <v>158</v>
      </c>
      <c r="I63" s="17" t="s">
        <v>129</v>
      </c>
      <c r="J63" s="17" t="s">
        <v>156</v>
      </c>
    </row>
    <row r="64" customFormat="false" ht="15" hidden="false" customHeight="false" outlineLevel="0" collapsed="false">
      <c r="A64" s="18" t="str">
        <f aca="false">IFERROR(IF(INDEX(Tasks!$B$2:$B$1001,MATCH(SMALL(Tasks!$I$2:$I$1001,ROWS(A$64:A64)),Tasks!$I$2:$I$1001,0))="","",INDEX(Tasks!$B$2:$B$1001,MATCH(SMALL(Tasks!$I$2:$I$1001,ROWS(A$64:A64)),Tasks!$I$2:$I$1001,0))),"")</f>
        <v/>
      </c>
      <c r="B64" s="18" t="str">
        <f aca="false">IFERROR(IF(INDEX(Tasks!$A$2:$A$1001,MATCH(SMALL(Tasks!$I$2:$I$1001,ROWS(A$64:A64)),Tasks!$I$2:$I$1001,0))="","",INDEX(Tasks!$A$2:$A$1001,MATCH(SMALL(Tasks!$I$2:$I$1001,ROWS(A$64:A64)),Tasks!$I$2:$I$1001,0))),"")</f>
        <v/>
      </c>
      <c r="C64" s="19" t="str">
        <f aca="false">IFERROR(IF(INDEX(Tasks!$E$2:$E$1001,MATCH(SMALL(Tasks!$I$2:$I$1001,ROWS(A$64:A64)),Tasks!$I$2:$I$1001,0))="","",INDEX(Tasks!$E$2:$E$1001,MATCH(SMALL(Tasks!$I$2:$I$1001,ROWS(A$64:A64)),Tasks!$I$2:$I$1001,0))),"")</f>
        <v/>
      </c>
      <c r="D64" s="18" t="str">
        <f aca="false">IFERROR(IF(INDEX(Tasks!$H$2:$H$1001,MATCH(SMALL(Tasks!$I$2:$I$1001,ROWS(A$64:A64)),Tasks!$I$2:$I$1001,0))="","",INDEX(Tasks!$H$2:$H$1001,MATCH(SMALL(Tasks!$I$2:$I$1001,ROWS(A$64:A64)),Tasks!$I$2:$I$1001,0))),"")</f>
        <v/>
      </c>
      <c r="F64" s="18" t="str">
        <f aca="false">IFERROR(IF(INDEX(Actions!$C$2:$C$501,MATCH(SMALL(Actions!$N$2:$N$501,ROWS(F$64:F64)),Actions!$N$2:$N$501,0))="","",INDEX(Actions!$C$2:$C$501,MATCH(SMALL(Actions!$N$2:$N$501,ROWS(F$64:F64)),Actions!$N$2:$N$501,0))),"")</f>
        <v/>
      </c>
      <c r="G64" s="18" t="str">
        <f aca="false">IFERROR(IF(INDEX(Actions!$A$2:$A$501,MATCH(SMALL(Actions!$N$2:$N$501,ROWS(F$64:F64)),Actions!$N$2:$N$501,0))="","",INDEX(Actions!$A$2:$A$501,MATCH(SMALL(Actions!$N$2:$N$501,ROWS(F$64:F64)),Actions!$N$2:$N$501,0))),"")</f>
        <v/>
      </c>
      <c r="H64" s="18" t="str">
        <f aca="false">IFERROR(IF(INDEX(Actions!$F$2:$F$501,MATCH(SMALL(Actions!$N$2:$N$501,ROWS(F$64:F64)),Actions!$N$2:$N$501,0))="","",INDEX(Actions!$F$2:$F$501,MATCH(SMALL(Actions!$N$2:$N$501,ROWS(F$64:F64)),Actions!$N$2:$N$501,0))),"")</f>
        <v/>
      </c>
      <c r="I64" s="19" t="str">
        <f aca="false">IFERROR(IF(INDEX(Actions!$G$2:$G$501,MATCH(SMALL(Actions!$N$2:$N$501,ROWS(F$64:F64)),Actions!$N$2:$N$501,0))="","",INDEX(Actions!$G$2:$G$501,MATCH(SMALL(Actions!$N$2:$N$501,ROWS(F$64:F64)),Actions!$N$2:$N$501,0))),"")</f>
        <v/>
      </c>
      <c r="J64" s="18" t="str">
        <f aca="false">IFERROR(IF(INDEX(Actions!$M$2:$M$501,MATCH(SMALL(Actions!$N$2:$N$501,ROWS(F$64:F64)),Actions!$N$2:$N$501,0))="","",INDEX(Actions!$M$2:$M$501,MATCH(SMALL(Actions!$N$2:$N$501,ROWS(F$64:F64)),Actions!$N$2:$N$501,0))),"")</f>
        <v/>
      </c>
    </row>
    <row r="65" customFormat="false" ht="15" hidden="false" customHeight="false" outlineLevel="0" collapsed="false">
      <c r="A65" s="18" t="str">
        <f aca="false">IFERROR(IF(INDEX(Tasks!$B$2:$B$1001,MATCH(SMALL(Tasks!$I$2:$I$1001,ROWS(A$64:A65)),Tasks!$I$2:$I$1001,0))="","",INDEX(Tasks!$B$2:$B$1001,MATCH(SMALL(Tasks!$I$2:$I$1001,ROWS(A$64:A65)),Tasks!$I$2:$I$1001,0))),"")</f>
        <v/>
      </c>
      <c r="B65" s="18" t="str">
        <f aca="false">IFERROR(IF(INDEX(Tasks!$A$2:$A$1001,MATCH(SMALL(Tasks!$I$2:$I$1001,ROWS(A$64:A65)),Tasks!$I$2:$I$1001,0))="","",INDEX(Tasks!$A$2:$A$1001,MATCH(SMALL(Tasks!$I$2:$I$1001,ROWS(A$64:A65)),Tasks!$I$2:$I$1001,0))),"")</f>
        <v/>
      </c>
      <c r="C65" s="19" t="str">
        <f aca="false">IFERROR(IF(INDEX(Tasks!$E$2:$E$1001,MATCH(SMALL(Tasks!$I$2:$I$1001,ROWS(A$64:A65)),Tasks!$I$2:$I$1001,0))="","",INDEX(Tasks!$E$2:$E$1001,MATCH(SMALL(Tasks!$I$2:$I$1001,ROWS(A$64:A65)),Tasks!$I$2:$I$1001,0))),"")</f>
        <v/>
      </c>
      <c r="D65" s="18" t="str">
        <f aca="false">IFERROR(IF(INDEX(Tasks!$H$2:$H$1001,MATCH(SMALL(Tasks!$I$2:$I$1001,ROWS(A$64:A65)),Tasks!$I$2:$I$1001,0))="","",INDEX(Tasks!$H$2:$H$1001,MATCH(SMALL(Tasks!$I$2:$I$1001,ROWS(A$64:A65)),Tasks!$I$2:$I$1001,0))),"")</f>
        <v/>
      </c>
      <c r="F65" s="18" t="str">
        <f aca="false">IFERROR(IF(INDEX(Actions!$C$2:$C$501,MATCH(SMALL(Actions!$N$2:$N$501,ROWS(F$64:F65)),Actions!$N$2:$N$501,0))="","",INDEX(Actions!$C$2:$C$501,MATCH(SMALL(Actions!$N$2:$N$501,ROWS(F$64:F65)),Actions!$N$2:$N$501,0))),"")</f>
        <v/>
      </c>
      <c r="G65" s="18" t="str">
        <f aca="false">IFERROR(IF(INDEX(Actions!$A$2:$A$501,MATCH(SMALL(Actions!$N$2:$N$501,ROWS(F$64:F65)),Actions!$N$2:$N$501,0))="","",INDEX(Actions!$A$2:$A$501,MATCH(SMALL(Actions!$N$2:$N$501,ROWS(F$64:F65)),Actions!$N$2:$N$501,0))),"")</f>
        <v/>
      </c>
      <c r="H65" s="18" t="str">
        <f aca="false">IFERROR(IF(INDEX(Actions!$F$2:$F$501,MATCH(SMALL(Actions!$N$2:$N$501,ROWS(F$64:F65)),Actions!$N$2:$N$501,0))="","",INDEX(Actions!$F$2:$F$501,MATCH(SMALL(Actions!$N$2:$N$501,ROWS(F$64:F65)),Actions!$N$2:$N$501,0))),"")</f>
        <v/>
      </c>
      <c r="I65" s="19" t="str">
        <f aca="false">IFERROR(IF(INDEX(Actions!$G$2:$G$501,MATCH(SMALL(Actions!$N$2:$N$501,ROWS(F$64:F65)),Actions!$N$2:$N$501,0))="","",INDEX(Actions!$G$2:$G$501,MATCH(SMALL(Actions!$N$2:$N$501,ROWS(F$64:F65)),Actions!$N$2:$N$501,0))),"")</f>
        <v/>
      </c>
      <c r="J65" s="18" t="str">
        <f aca="false">IFERROR(IF(INDEX(Actions!$M$2:$M$501,MATCH(SMALL(Actions!$N$2:$N$501,ROWS(F$64:F65)),Actions!$N$2:$N$501,0))="","",INDEX(Actions!$M$2:$M$501,MATCH(SMALL(Actions!$N$2:$N$501,ROWS(F$64:F65)),Actions!$N$2:$N$501,0))),"")</f>
        <v/>
      </c>
    </row>
    <row r="66" customFormat="false" ht="15" hidden="false" customHeight="false" outlineLevel="0" collapsed="false">
      <c r="A66" s="18" t="str">
        <f aca="false">IFERROR(IF(INDEX(Tasks!$B$2:$B$1001,MATCH(SMALL(Tasks!$I$2:$I$1001,ROWS(A$64:A66)),Tasks!$I$2:$I$1001,0))="","",INDEX(Tasks!$B$2:$B$1001,MATCH(SMALL(Tasks!$I$2:$I$1001,ROWS(A$64:A66)),Tasks!$I$2:$I$1001,0))),"")</f>
        <v/>
      </c>
      <c r="B66" s="18" t="str">
        <f aca="false">IFERROR(IF(INDEX(Tasks!$A$2:$A$1001,MATCH(SMALL(Tasks!$I$2:$I$1001,ROWS(A$64:A66)),Tasks!$I$2:$I$1001,0))="","",INDEX(Tasks!$A$2:$A$1001,MATCH(SMALL(Tasks!$I$2:$I$1001,ROWS(A$64:A66)),Tasks!$I$2:$I$1001,0))),"")</f>
        <v/>
      </c>
      <c r="C66" s="19" t="str">
        <f aca="false">IFERROR(IF(INDEX(Tasks!$E$2:$E$1001,MATCH(SMALL(Tasks!$I$2:$I$1001,ROWS(A$64:A66)),Tasks!$I$2:$I$1001,0))="","",INDEX(Tasks!$E$2:$E$1001,MATCH(SMALL(Tasks!$I$2:$I$1001,ROWS(A$64:A66)),Tasks!$I$2:$I$1001,0))),"")</f>
        <v/>
      </c>
      <c r="D66" s="18" t="str">
        <f aca="false">IFERROR(IF(INDEX(Tasks!$H$2:$H$1001,MATCH(SMALL(Tasks!$I$2:$I$1001,ROWS(A$64:A66)),Tasks!$I$2:$I$1001,0))="","",INDEX(Tasks!$H$2:$H$1001,MATCH(SMALL(Tasks!$I$2:$I$1001,ROWS(A$64:A66)),Tasks!$I$2:$I$1001,0))),"")</f>
        <v/>
      </c>
      <c r="F66" s="18" t="str">
        <f aca="false">IFERROR(IF(INDEX(Actions!$C$2:$C$501,MATCH(SMALL(Actions!$N$2:$N$501,ROWS(F$64:F66)),Actions!$N$2:$N$501,0))="","",INDEX(Actions!$C$2:$C$501,MATCH(SMALL(Actions!$N$2:$N$501,ROWS(F$64:F66)),Actions!$N$2:$N$501,0))),"")</f>
        <v/>
      </c>
      <c r="G66" s="18" t="str">
        <f aca="false">IFERROR(IF(INDEX(Actions!$A$2:$A$501,MATCH(SMALL(Actions!$N$2:$N$501,ROWS(F$64:F66)),Actions!$N$2:$N$501,0))="","",INDEX(Actions!$A$2:$A$501,MATCH(SMALL(Actions!$N$2:$N$501,ROWS(F$64:F66)),Actions!$N$2:$N$501,0))),"")</f>
        <v/>
      </c>
      <c r="H66" s="18" t="str">
        <f aca="false">IFERROR(IF(INDEX(Actions!$F$2:$F$501,MATCH(SMALL(Actions!$N$2:$N$501,ROWS(F$64:F66)),Actions!$N$2:$N$501,0))="","",INDEX(Actions!$F$2:$F$501,MATCH(SMALL(Actions!$N$2:$N$501,ROWS(F$64:F66)),Actions!$N$2:$N$501,0))),"")</f>
        <v/>
      </c>
      <c r="I66" s="19" t="str">
        <f aca="false">IFERROR(IF(INDEX(Actions!$G$2:$G$501,MATCH(SMALL(Actions!$N$2:$N$501,ROWS(F$64:F66)),Actions!$N$2:$N$501,0))="","",INDEX(Actions!$G$2:$G$501,MATCH(SMALL(Actions!$N$2:$N$501,ROWS(F$64:F66)),Actions!$N$2:$N$501,0))),"")</f>
        <v/>
      </c>
      <c r="J66" s="18" t="str">
        <f aca="false">IFERROR(IF(INDEX(Actions!$M$2:$M$501,MATCH(SMALL(Actions!$N$2:$N$501,ROWS(F$64:F66)),Actions!$N$2:$N$501,0))="","",INDEX(Actions!$M$2:$M$501,MATCH(SMALL(Actions!$N$2:$N$501,ROWS(F$64:F66)),Actions!$N$2:$N$501,0))),"")</f>
        <v/>
      </c>
    </row>
    <row r="67" customFormat="false" ht="15" hidden="false" customHeight="false" outlineLevel="0" collapsed="false">
      <c r="A67" s="18" t="str">
        <f aca="false">IFERROR(IF(INDEX(Tasks!$B$2:$B$1001,MATCH(SMALL(Tasks!$I$2:$I$1001,ROWS(A$64:A67)),Tasks!$I$2:$I$1001,0))="","",INDEX(Tasks!$B$2:$B$1001,MATCH(SMALL(Tasks!$I$2:$I$1001,ROWS(A$64:A67)),Tasks!$I$2:$I$1001,0))),"")</f>
        <v/>
      </c>
      <c r="B67" s="18" t="str">
        <f aca="false">IFERROR(IF(INDEX(Tasks!$A$2:$A$1001,MATCH(SMALL(Tasks!$I$2:$I$1001,ROWS(A$64:A67)),Tasks!$I$2:$I$1001,0))="","",INDEX(Tasks!$A$2:$A$1001,MATCH(SMALL(Tasks!$I$2:$I$1001,ROWS(A$64:A67)),Tasks!$I$2:$I$1001,0))),"")</f>
        <v/>
      </c>
      <c r="C67" s="19" t="str">
        <f aca="false">IFERROR(IF(INDEX(Tasks!$E$2:$E$1001,MATCH(SMALL(Tasks!$I$2:$I$1001,ROWS(A$64:A67)),Tasks!$I$2:$I$1001,0))="","",INDEX(Tasks!$E$2:$E$1001,MATCH(SMALL(Tasks!$I$2:$I$1001,ROWS(A$64:A67)),Tasks!$I$2:$I$1001,0))),"")</f>
        <v/>
      </c>
      <c r="D67" s="18" t="str">
        <f aca="false">IFERROR(IF(INDEX(Tasks!$H$2:$H$1001,MATCH(SMALL(Tasks!$I$2:$I$1001,ROWS(A$64:A67)),Tasks!$I$2:$I$1001,0))="","",INDEX(Tasks!$H$2:$H$1001,MATCH(SMALL(Tasks!$I$2:$I$1001,ROWS(A$64:A67)),Tasks!$I$2:$I$1001,0))),"")</f>
        <v/>
      </c>
      <c r="F67" s="18" t="str">
        <f aca="false">IFERROR(IF(INDEX(Actions!$C$2:$C$501,MATCH(SMALL(Actions!$N$2:$N$501,ROWS(F$64:F67)),Actions!$N$2:$N$501,0))="","",INDEX(Actions!$C$2:$C$501,MATCH(SMALL(Actions!$N$2:$N$501,ROWS(F$64:F67)),Actions!$N$2:$N$501,0))),"")</f>
        <v/>
      </c>
      <c r="G67" s="18" t="str">
        <f aca="false">IFERROR(IF(INDEX(Actions!$A$2:$A$501,MATCH(SMALL(Actions!$N$2:$N$501,ROWS(F$64:F67)),Actions!$N$2:$N$501,0))="","",INDEX(Actions!$A$2:$A$501,MATCH(SMALL(Actions!$N$2:$N$501,ROWS(F$64:F67)),Actions!$N$2:$N$501,0))),"")</f>
        <v/>
      </c>
      <c r="H67" s="18" t="str">
        <f aca="false">IFERROR(IF(INDEX(Actions!$F$2:$F$501,MATCH(SMALL(Actions!$N$2:$N$501,ROWS(F$64:F67)),Actions!$N$2:$N$501,0))="","",INDEX(Actions!$F$2:$F$501,MATCH(SMALL(Actions!$N$2:$N$501,ROWS(F$64:F67)),Actions!$N$2:$N$501,0))),"")</f>
        <v/>
      </c>
      <c r="I67" s="19" t="str">
        <f aca="false">IFERROR(IF(INDEX(Actions!$G$2:$G$501,MATCH(SMALL(Actions!$N$2:$N$501,ROWS(F$64:F67)),Actions!$N$2:$N$501,0))="","",INDEX(Actions!$G$2:$G$501,MATCH(SMALL(Actions!$N$2:$N$501,ROWS(F$64:F67)),Actions!$N$2:$N$501,0))),"")</f>
        <v/>
      </c>
      <c r="J67" s="18" t="str">
        <f aca="false">IFERROR(IF(INDEX(Actions!$M$2:$M$501,MATCH(SMALL(Actions!$N$2:$N$501,ROWS(F$64:F67)),Actions!$N$2:$N$501,0))="","",INDEX(Actions!$M$2:$M$501,MATCH(SMALL(Actions!$N$2:$N$501,ROWS(F$64:F67)),Actions!$N$2:$N$501,0))),"")</f>
        <v/>
      </c>
    </row>
    <row r="68" customFormat="false" ht="15" hidden="false" customHeight="false" outlineLevel="0" collapsed="false">
      <c r="A68" s="18" t="str">
        <f aca="false">IFERROR(IF(INDEX(Tasks!$B$2:$B$1001,MATCH(SMALL(Tasks!$I$2:$I$1001,ROWS(A$64:A68)),Tasks!$I$2:$I$1001,0))="","",INDEX(Tasks!$B$2:$B$1001,MATCH(SMALL(Tasks!$I$2:$I$1001,ROWS(A$64:A68)),Tasks!$I$2:$I$1001,0))),"")</f>
        <v/>
      </c>
      <c r="B68" s="18" t="str">
        <f aca="false">IFERROR(IF(INDEX(Tasks!$A$2:$A$1001,MATCH(SMALL(Tasks!$I$2:$I$1001,ROWS(A$64:A68)),Tasks!$I$2:$I$1001,0))="","",INDEX(Tasks!$A$2:$A$1001,MATCH(SMALL(Tasks!$I$2:$I$1001,ROWS(A$64:A68)),Tasks!$I$2:$I$1001,0))),"")</f>
        <v/>
      </c>
      <c r="C68" s="19" t="str">
        <f aca="false">IFERROR(IF(INDEX(Tasks!$E$2:$E$1001,MATCH(SMALL(Tasks!$I$2:$I$1001,ROWS(A$64:A68)),Tasks!$I$2:$I$1001,0))="","",INDEX(Tasks!$E$2:$E$1001,MATCH(SMALL(Tasks!$I$2:$I$1001,ROWS(A$64:A68)),Tasks!$I$2:$I$1001,0))),"")</f>
        <v/>
      </c>
      <c r="D68" s="18" t="str">
        <f aca="false">IFERROR(IF(INDEX(Tasks!$H$2:$H$1001,MATCH(SMALL(Tasks!$I$2:$I$1001,ROWS(A$64:A68)),Tasks!$I$2:$I$1001,0))="","",INDEX(Tasks!$H$2:$H$1001,MATCH(SMALL(Tasks!$I$2:$I$1001,ROWS(A$64:A68)),Tasks!$I$2:$I$1001,0))),"")</f>
        <v/>
      </c>
      <c r="F68" s="18" t="str">
        <f aca="false">IFERROR(IF(INDEX(Actions!$C$2:$C$501,MATCH(SMALL(Actions!$N$2:$N$501,ROWS(F$64:F68)),Actions!$N$2:$N$501,0))="","",INDEX(Actions!$C$2:$C$501,MATCH(SMALL(Actions!$N$2:$N$501,ROWS(F$64:F68)),Actions!$N$2:$N$501,0))),"")</f>
        <v/>
      </c>
      <c r="G68" s="18" t="str">
        <f aca="false">IFERROR(IF(INDEX(Actions!$A$2:$A$501,MATCH(SMALL(Actions!$N$2:$N$501,ROWS(F$64:F68)),Actions!$N$2:$N$501,0))="","",INDEX(Actions!$A$2:$A$501,MATCH(SMALL(Actions!$N$2:$N$501,ROWS(F$64:F68)),Actions!$N$2:$N$501,0))),"")</f>
        <v/>
      </c>
      <c r="H68" s="18" t="str">
        <f aca="false">IFERROR(IF(INDEX(Actions!$F$2:$F$501,MATCH(SMALL(Actions!$N$2:$N$501,ROWS(F$64:F68)),Actions!$N$2:$N$501,0))="","",INDEX(Actions!$F$2:$F$501,MATCH(SMALL(Actions!$N$2:$N$501,ROWS(F$64:F68)),Actions!$N$2:$N$501,0))),"")</f>
        <v/>
      </c>
      <c r="I68" s="19" t="str">
        <f aca="false">IFERROR(IF(INDEX(Actions!$G$2:$G$501,MATCH(SMALL(Actions!$N$2:$N$501,ROWS(F$64:F68)),Actions!$N$2:$N$501,0))="","",INDEX(Actions!$G$2:$G$501,MATCH(SMALL(Actions!$N$2:$N$501,ROWS(F$64:F68)),Actions!$N$2:$N$501,0))),"")</f>
        <v/>
      </c>
      <c r="J68" s="18" t="str">
        <f aca="false">IFERROR(IF(INDEX(Actions!$M$2:$M$501,MATCH(SMALL(Actions!$N$2:$N$501,ROWS(F$64:F68)),Actions!$N$2:$N$501,0))="","",INDEX(Actions!$M$2:$M$501,MATCH(SMALL(Actions!$N$2:$N$501,ROWS(F$64:F68)),Actions!$N$2:$N$501,0))),"")</f>
        <v/>
      </c>
    </row>
    <row r="69" customFormat="false" ht="15" hidden="false" customHeight="false" outlineLevel="0" collapsed="false">
      <c r="A69" s="18" t="str">
        <f aca="false">IFERROR(IF(INDEX(Tasks!$B$2:$B$1001,MATCH(SMALL(Tasks!$I$2:$I$1001,ROWS(A$64:A69)),Tasks!$I$2:$I$1001,0))="","",INDEX(Tasks!$B$2:$B$1001,MATCH(SMALL(Tasks!$I$2:$I$1001,ROWS(A$64:A69)),Tasks!$I$2:$I$1001,0))),"")</f>
        <v/>
      </c>
      <c r="B69" s="18" t="str">
        <f aca="false">IFERROR(IF(INDEX(Tasks!$A$2:$A$1001,MATCH(SMALL(Tasks!$I$2:$I$1001,ROWS(A$64:A69)),Tasks!$I$2:$I$1001,0))="","",INDEX(Tasks!$A$2:$A$1001,MATCH(SMALL(Tasks!$I$2:$I$1001,ROWS(A$64:A69)),Tasks!$I$2:$I$1001,0))),"")</f>
        <v/>
      </c>
      <c r="C69" s="19" t="str">
        <f aca="false">IFERROR(IF(INDEX(Tasks!$E$2:$E$1001,MATCH(SMALL(Tasks!$I$2:$I$1001,ROWS(A$64:A69)),Tasks!$I$2:$I$1001,0))="","",INDEX(Tasks!$E$2:$E$1001,MATCH(SMALL(Tasks!$I$2:$I$1001,ROWS(A$64:A69)),Tasks!$I$2:$I$1001,0))),"")</f>
        <v/>
      </c>
      <c r="D69" s="18" t="str">
        <f aca="false">IFERROR(IF(INDEX(Tasks!$H$2:$H$1001,MATCH(SMALL(Tasks!$I$2:$I$1001,ROWS(A$64:A69)),Tasks!$I$2:$I$1001,0))="","",INDEX(Tasks!$H$2:$H$1001,MATCH(SMALL(Tasks!$I$2:$I$1001,ROWS(A$64:A69)),Tasks!$I$2:$I$1001,0))),"")</f>
        <v/>
      </c>
      <c r="F69" s="18" t="str">
        <f aca="false">IFERROR(IF(INDEX(Actions!$C$2:$C$501,MATCH(SMALL(Actions!$N$2:$N$501,ROWS(F$64:F69)),Actions!$N$2:$N$501,0))="","",INDEX(Actions!$C$2:$C$501,MATCH(SMALL(Actions!$N$2:$N$501,ROWS(F$64:F69)),Actions!$N$2:$N$501,0))),"")</f>
        <v/>
      </c>
      <c r="G69" s="18" t="str">
        <f aca="false">IFERROR(IF(INDEX(Actions!$A$2:$A$501,MATCH(SMALL(Actions!$N$2:$N$501,ROWS(F$64:F69)),Actions!$N$2:$N$501,0))="","",INDEX(Actions!$A$2:$A$501,MATCH(SMALL(Actions!$N$2:$N$501,ROWS(F$64:F69)),Actions!$N$2:$N$501,0))),"")</f>
        <v/>
      </c>
      <c r="H69" s="18" t="str">
        <f aca="false">IFERROR(IF(INDEX(Actions!$F$2:$F$501,MATCH(SMALL(Actions!$N$2:$N$501,ROWS(F$64:F69)),Actions!$N$2:$N$501,0))="","",INDEX(Actions!$F$2:$F$501,MATCH(SMALL(Actions!$N$2:$N$501,ROWS(F$64:F69)),Actions!$N$2:$N$501,0))),"")</f>
        <v/>
      </c>
      <c r="I69" s="19" t="str">
        <f aca="false">IFERROR(IF(INDEX(Actions!$G$2:$G$501,MATCH(SMALL(Actions!$N$2:$N$501,ROWS(F$64:F69)),Actions!$N$2:$N$501,0))="","",INDEX(Actions!$G$2:$G$501,MATCH(SMALL(Actions!$N$2:$N$501,ROWS(F$64:F69)),Actions!$N$2:$N$501,0))),"")</f>
        <v/>
      </c>
      <c r="J69" s="18" t="str">
        <f aca="false">IFERROR(IF(INDEX(Actions!$M$2:$M$501,MATCH(SMALL(Actions!$N$2:$N$501,ROWS(F$64:F69)),Actions!$N$2:$N$501,0))="","",INDEX(Actions!$M$2:$M$501,MATCH(SMALL(Actions!$N$2:$N$501,ROWS(F$64:F69)),Actions!$N$2:$N$501,0))),"")</f>
        <v/>
      </c>
    </row>
    <row r="70" customFormat="false" ht="15" hidden="false" customHeight="false" outlineLevel="0" collapsed="false">
      <c r="A70" s="18" t="str">
        <f aca="false">IFERROR(IF(INDEX(Tasks!$B$2:$B$1001,MATCH(SMALL(Tasks!$I$2:$I$1001,ROWS(A$64:A70)),Tasks!$I$2:$I$1001,0))="","",INDEX(Tasks!$B$2:$B$1001,MATCH(SMALL(Tasks!$I$2:$I$1001,ROWS(A$64:A70)),Tasks!$I$2:$I$1001,0))),"")</f>
        <v/>
      </c>
      <c r="B70" s="18" t="str">
        <f aca="false">IFERROR(IF(INDEX(Tasks!$A$2:$A$1001,MATCH(SMALL(Tasks!$I$2:$I$1001,ROWS(A$64:A70)),Tasks!$I$2:$I$1001,0))="","",INDEX(Tasks!$A$2:$A$1001,MATCH(SMALL(Tasks!$I$2:$I$1001,ROWS(A$64:A70)),Tasks!$I$2:$I$1001,0))),"")</f>
        <v/>
      </c>
      <c r="C70" s="19" t="str">
        <f aca="false">IFERROR(IF(INDEX(Tasks!$E$2:$E$1001,MATCH(SMALL(Tasks!$I$2:$I$1001,ROWS(A$64:A70)),Tasks!$I$2:$I$1001,0))="","",INDEX(Tasks!$E$2:$E$1001,MATCH(SMALL(Tasks!$I$2:$I$1001,ROWS(A$64:A70)),Tasks!$I$2:$I$1001,0))),"")</f>
        <v/>
      </c>
      <c r="D70" s="18" t="str">
        <f aca="false">IFERROR(IF(INDEX(Tasks!$H$2:$H$1001,MATCH(SMALL(Tasks!$I$2:$I$1001,ROWS(A$64:A70)),Tasks!$I$2:$I$1001,0))="","",INDEX(Tasks!$H$2:$H$1001,MATCH(SMALL(Tasks!$I$2:$I$1001,ROWS(A$64:A70)),Tasks!$I$2:$I$1001,0))),"")</f>
        <v/>
      </c>
      <c r="F70" s="18" t="str">
        <f aca="false">IFERROR(IF(INDEX(Actions!$C$2:$C$501,MATCH(SMALL(Actions!$N$2:$N$501,ROWS(F$64:F70)),Actions!$N$2:$N$501,0))="","",INDEX(Actions!$C$2:$C$501,MATCH(SMALL(Actions!$N$2:$N$501,ROWS(F$64:F70)),Actions!$N$2:$N$501,0))),"")</f>
        <v/>
      </c>
      <c r="G70" s="18" t="str">
        <f aca="false">IFERROR(IF(INDEX(Actions!$A$2:$A$501,MATCH(SMALL(Actions!$N$2:$N$501,ROWS(F$64:F70)),Actions!$N$2:$N$501,0))="","",INDEX(Actions!$A$2:$A$501,MATCH(SMALL(Actions!$N$2:$N$501,ROWS(F$64:F70)),Actions!$N$2:$N$501,0))),"")</f>
        <v/>
      </c>
      <c r="H70" s="18" t="str">
        <f aca="false">IFERROR(IF(INDEX(Actions!$F$2:$F$501,MATCH(SMALL(Actions!$N$2:$N$501,ROWS(F$64:F70)),Actions!$N$2:$N$501,0))="","",INDEX(Actions!$F$2:$F$501,MATCH(SMALL(Actions!$N$2:$N$501,ROWS(F$64:F70)),Actions!$N$2:$N$501,0))),"")</f>
        <v/>
      </c>
      <c r="I70" s="19" t="str">
        <f aca="false">IFERROR(IF(INDEX(Actions!$G$2:$G$501,MATCH(SMALL(Actions!$N$2:$N$501,ROWS(F$64:F70)),Actions!$N$2:$N$501,0))="","",INDEX(Actions!$G$2:$G$501,MATCH(SMALL(Actions!$N$2:$N$501,ROWS(F$64:F70)),Actions!$N$2:$N$501,0))),"")</f>
        <v/>
      </c>
      <c r="J70" s="18" t="str">
        <f aca="false">IFERROR(IF(INDEX(Actions!$M$2:$M$501,MATCH(SMALL(Actions!$N$2:$N$501,ROWS(F$64:F70)),Actions!$N$2:$N$501,0))="","",INDEX(Actions!$M$2:$M$501,MATCH(SMALL(Actions!$N$2:$N$501,ROWS(F$64:F70)),Actions!$N$2:$N$501,0))),"")</f>
        <v/>
      </c>
    </row>
    <row r="71" customFormat="false" ht="15" hidden="false" customHeight="false" outlineLevel="0" collapsed="false">
      <c r="A71" s="18" t="str">
        <f aca="false">IFERROR(IF(INDEX(Tasks!$B$2:$B$1001,MATCH(SMALL(Tasks!$I$2:$I$1001,ROWS(A$64:A71)),Tasks!$I$2:$I$1001,0))="","",INDEX(Tasks!$B$2:$B$1001,MATCH(SMALL(Tasks!$I$2:$I$1001,ROWS(A$64:A71)),Tasks!$I$2:$I$1001,0))),"")</f>
        <v/>
      </c>
      <c r="B71" s="18" t="str">
        <f aca="false">IFERROR(IF(INDEX(Tasks!$A$2:$A$1001,MATCH(SMALL(Tasks!$I$2:$I$1001,ROWS(A$64:A71)),Tasks!$I$2:$I$1001,0))="","",INDEX(Tasks!$A$2:$A$1001,MATCH(SMALL(Tasks!$I$2:$I$1001,ROWS(A$64:A71)),Tasks!$I$2:$I$1001,0))),"")</f>
        <v/>
      </c>
      <c r="C71" s="19" t="str">
        <f aca="false">IFERROR(IF(INDEX(Tasks!$E$2:$E$1001,MATCH(SMALL(Tasks!$I$2:$I$1001,ROWS(A$64:A71)),Tasks!$I$2:$I$1001,0))="","",INDEX(Tasks!$E$2:$E$1001,MATCH(SMALL(Tasks!$I$2:$I$1001,ROWS(A$64:A71)),Tasks!$I$2:$I$1001,0))),"")</f>
        <v/>
      </c>
      <c r="D71" s="18" t="str">
        <f aca="false">IFERROR(IF(INDEX(Tasks!$H$2:$H$1001,MATCH(SMALL(Tasks!$I$2:$I$1001,ROWS(A$64:A71)),Tasks!$I$2:$I$1001,0))="","",INDEX(Tasks!$H$2:$H$1001,MATCH(SMALL(Tasks!$I$2:$I$1001,ROWS(A$64:A71)),Tasks!$I$2:$I$1001,0))),"")</f>
        <v/>
      </c>
      <c r="F71" s="18" t="str">
        <f aca="false">IFERROR(IF(INDEX(Actions!$C$2:$C$501,MATCH(SMALL(Actions!$N$2:$N$501,ROWS(F$64:F71)),Actions!$N$2:$N$501,0))="","",INDEX(Actions!$C$2:$C$501,MATCH(SMALL(Actions!$N$2:$N$501,ROWS(F$64:F71)),Actions!$N$2:$N$501,0))),"")</f>
        <v/>
      </c>
      <c r="G71" s="18" t="str">
        <f aca="false">IFERROR(IF(INDEX(Actions!$A$2:$A$501,MATCH(SMALL(Actions!$N$2:$N$501,ROWS(F$64:F71)),Actions!$N$2:$N$501,0))="","",INDEX(Actions!$A$2:$A$501,MATCH(SMALL(Actions!$N$2:$N$501,ROWS(F$64:F71)),Actions!$N$2:$N$501,0))),"")</f>
        <v/>
      </c>
      <c r="H71" s="18" t="str">
        <f aca="false">IFERROR(IF(INDEX(Actions!$F$2:$F$501,MATCH(SMALL(Actions!$N$2:$N$501,ROWS(F$64:F71)),Actions!$N$2:$N$501,0))="","",INDEX(Actions!$F$2:$F$501,MATCH(SMALL(Actions!$N$2:$N$501,ROWS(F$64:F71)),Actions!$N$2:$N$501,0))),"")</f>
        <v/>
      </c>
      <c r="I71" s="19" t="str">
        <f aca="false">IFERROR(IF(INDEX(Actions!$G$2:$G$501,MATCH(SMALL(Actions!$N$2:$N$501,ROWS(F$64:F71)),Actions!$N$2:$N$501,0))="","",INDEX(Actions!$G$2:$G$501,MATCH(SMALL(Actions!$N$2:$N$501,ROWS(F$64:F71)),Actions!$N$2:$N$501,0))),"")</f>
        <v/>
      </c>
      <c r="J71" s="18" t="str">
        <f aca="false">IFERROR(IF(INDEX(Actions!$M$2:$M$501,MATCH(SMALL(Actions!$N$2:$N$501,ROWS(F$64:F71)),Actions!$N$2:$N$501,0))="","",INDEX(Actions!$M$2:$M$501,MATCH(SMALL(Actions!$N$2:$N$501,ROWS(F$64:F71)),Actions!$N$2:$N$501,0))),"")</f>
        <v/>
      </c>
    </row>
    <row r="72" customFormat="false" ht="15" hidden="false" customHeight="false" outlineLevel="0" collapsed="false">
      <c r="A72" s="18" t="str">
        <f aca="false">IFERROR(IF(INDEX(Tasks!$B$2:$B$1001,MATCH(SMALL(Tasks!$I$2:$I$1001,ROWS(A$64:A72)),Tasks!$I$2:$I$1001,0))="","",INDEX(Tasks!$B$2:$B$1001,MATCH(SMALL(Tasks!$I$2:$I$1001,ROWS(A$64:A72)),Tasks!$I$2:$I$1001,0))),"")</f>
        <v/>
      </c>
      <c r="B72" s="18" t="str">
        <f aca="false">IFERROR(IF(INDEX(Tasks!$A$2:$A$1001,MATCH(SMALL(Tasks!$I$2:$I$1001,ROWS(A$64:A72)),Tasks!$I$2:$I$1001,0))="","",INDEX(Tasks!$A$2:$A$1001,MATCH(SMALL(Tasks!$I$2:$I$1001,ROWS(A$64:A72)),Tasks!$I$2:$I$1001,0))),"")</f>
        <v/>
      </c>
      <c r="C72" s="19" t="str">
        <f aca="false">IFERROR(IF(INDEX(Tasks!$E$2:$E$1001,MATCH(SMALL(Tasks!$I$2:$I$1001,ROWS(A$64:A72)),Tasks!$I$2:$I$1001,0))="","",INDEX(Tasks!$E$2:$E$1001,MATCH(SMALL(Tasks!$I$2:$I$1001,ROWS(A$64:A72)),Tasks!$I$2:$I$1001,0))),"")</f>
        <v/>
      </c>
      <c r="D72" s="18" t="str">
        <f aca="false">IFERROR(IF(INDEX(Tasks!$H$2:$H$1001,MATCH(SMALL(Tasks!$I$2:$I$1001,ROWS(A$64:A72)),Tasks!$I$2:$I$1001,0))="","",INDEX(Tasks!$H$2:$H$1001,MATCH(SMALL(Tasks!$I$2:$I$1001,ROWS(A$64:A72)),Tasks!$I$2:$I$1001,0))),"")</f>
        <v/>
      </c>
      <c r="F72" s="18" t="str">
        <f aca="false">IFERROR(IF(INDEX(Actions!$C$2:$C$501,MATCH(SMALL(Actions!$N$2:$N$501,ROWS(F$64:F72)),Actions!$N$2:$N$501,0))="","",INDEX(Actions!$C$2:$C$501,MATCH(SMALL(Actions!$N$2:$N$501,ROWS(F$64:F72)),Actions!$N$2:$N$501,0))),"")</f>
        <v/>
      </c>
      <c r="G72" s="18" t="str">
        <f aca="false">IFERROR(IF(INDEX(Actions!$A$2:$A$501,MATCH(SMALL(Actions!$N$2:$N$501,ROWS(F$64:F72)),Actions!$N$2:$N$501,0))="","",INDEX(Actions!$A$2:$A$501,MATCH(SMALL(Actions!$N$2:$N$501,ROWS(F$64:F72)),Actions!$N$2:$N$501,0))),"")</f>
        <v/>
      </c>
      <c r="H72" s="18" t="str">
        <f aca="false">IFERROR(IF(INDEX(Actions!$F$2:$F$501,MATCH(SMALL(Actions!$N$2:$N$501,ROWS(F$64:F72)),Actions!$N$2:$N$501,0))="","",INDEX(Actions!$F$2:$F$501,MATCH(SMALL(Actions!$N$2:$N$501,ROWS(F$64:F72)),Actions!$N$2:$N$501,0))),"")</f>
        <v/>
      </c>
      <c r="I72" s="19" t="str">
        <f aca="false">IFERROR(IF(INDEX(Actions!$G$2:$G$501,MATCH(SMALL(Actions!$N$2:$N$501,ROWS(F$64:F72)),Actions!$N$2:$N$501,0))="","",INDEX(Actions!$G$2:$G$501,MATCH(SMALL(Actions!$N$2:$N$501,ROWS(F$64:F72)),Actions!$N$2:$N$501,0))),"")</f>
        <v/>
      </c>
      <c r="J72" s="18" t="str">
        <f aca="false">IFERROR(IF(INDEX(Actions!$M$2:$M$501,MATCH(SMALL(Actions!$N$2:$N$501,ROWS(F$64:F72)),Actions!$N$2:$N$501,0))="","",INDEX(Actions!$M$2:$M$501,MATCH(SMALL(Actions!$N$2:$N$501,ROWS(F$64:F72)),Actions!$N$2:$N$501,0))),"")</f>
        <v/>
      </c>
    </row>
    <row r="73" customFormat="false" ht="15" hidden="false" customHeight="false" outlineLevel="0" collapsed="false">
      <c r="A73" s="18" t="str">
        <f aca="false">IFERROR(IF(INDEX(Tasks!$B$2:$B$1001,MATCH(SMALL(Tasks!$I$2:$I$1001,ROWS(A$64:A73)),Tasks!$I$2:$I$1001,0))="","",INDEX(Tasks!$B$2:$B$1001,MATCH(SMALL(Tasks!$I$2:$I$1001,ROWS(A$64:A73)),Tasks!$I$2:$I$1001,0))),"")</f>
        <v/>
      </c>
      <c r="B73" s="18" t="str">
        <f aca="false">IFERROR(IF(INDEX(Tasks!$A$2:$A$1001,MATCH(SMALL(Tasks!$I$2:$I$1001,ROWS(A$64:A73)),Tasks!$I$2:$I$1001,0))="","",INDEX(Tasks!$A$2:$A$1001,MATCH(SMALL(Tasks!$I$2:$I$1001,ROWS(A$64:A73)),Tasks!$I$2:$I$1001,0))),"")</f>
        <v/>
      </c>
      <c r="C73" s="19" t="str">
        <f aca="false">IFERROR(IF(INDEX(Tasks!$E$2:$E$1001,MATCH(SMALL(Tasks!$I$2:$I$1001,ROWS(A$64:A73)),Tasks!$I$2:$I$1001,0))="","",INDEX(Tasks!$E$2:$E$1001,MATCH(SMALL(Tasks!$I$2:$I$1001,ROWS(A$64:A73)),Tasks!$I$2:$I$1001,0))),"")</f>
        <v/>
      </c>
      <c r="D73" s="18" t="str">
        <f aca="false">IFERROR(IF(INDEX(Tasks!$H$2:$H$1001,MATCH(SMALL(Tasks!$I$2:$I$1001,ROWS(A$64:A73)),Tasks!$I$2:$I$1001,0))="","",INDEX(Tasks!$H$2:$H$1001,MATCH(SMALL(Tasks!$I$2:$I$1001,ROWS(A$64:A73)),Tasks!$I$2:$I$1001,0))),"")</f>
        <v/>
      </c>
      <c r="F73" s="18" t="str">
        <f aca="false">IFERROR(IF(INDEX(Actions!$C$2:$C$501,MATCH(SMALL(Actions!$N$2:$N$501,ROWS(F$64:F73)),Actions!$N$2:$N$501,0))="","",INDEX(Actions!$C$2:$C$501,MATCH(SMALL(Actions!$N$2:$N$501,ROWS(F$64:F73)),Actions!$N$2:$N$501,0))),"")</f>
        <v/>
      </c>
      <c r="G73" s="18" t="str">
        <f aca="false">IFERROR(IF(INDEX(Actions!$A$2:$A$501,MATCH(SMALL(Actions!$N$2:$N$501,ROWS(F$64:F73)),Actions!$N$2:$N$501,0))="","",INDEX(Actions!$A$2:$A$501,MATCH(SMALL(Actions!$N$2:$N$501,ROWS(F$64:F73)),Actions!$N$2:$N$501,0))),"")</f>
        <v/>
      </c>
      <c r="H73" s="18" t="str">
        <f aca="false">IFERROR(IF(INDEX(Actions!$F$2:$F$501,MATCH(SMALL(Actions!$N$2:$N$501,ROWS(F$64:F73)),Actions!$N$2:$N$501,0))="","",INDEX(Actions!$F$2:$F$501,MATCH(SMALL(Actions!$N$2:$N$501,ROWS(F$64:F73)),Actions!$N$2:$N$501,0))),"")</f>
        <v/>
      </c>
      <c r="I73" s="19" t="str">
        <f aca="false">IFERROR(IF(INDEX(Actions!$G$2:$G$501,MATCH(SMALL(Actions!$N$2:$N$501,ROWS(F$64:F73)),Actions!$N$2:$N$501,0))="","",INDEX(Actions!$G$2:$G$501,MATCH(SMALL(Actions!$N$2:$N$501,ROWS(F$64:F73)),Actions!$N$2:$N$501,0))),"")</f>
        <v/>
      </c>
      <c r="J73" s="18" t="str">
        <f aca="false">IFERROR(IF(INDEX(Actions!$M$2:$M$501,MATCH(SMALL(Actions!$N$2:$N$501,ROWS(F$64:F73)),Actions!$N$2:$N$501,0))="","",INDEX(Actions!$M$2:$M$501,MATCH(SMALL(Actions!$N$2:$N$501,ROWS(F$64:F73)),Actions!$N$2:$N$501,0))),"")</f>
        <v/>
      </c>
    </row>
    <row r="74" customFormat="false" ht="15" hidden="false" customHeight="false" outlineLevel="0" collapsed="false">
      <c r="A74" s="18" t="str">
        <f aca="false">IFERROR(IF(INDEX(Tasks!$B$2:$B$1001,MATCH(SMALL(Tasks!$I$2:$I$1001,ROWS(A$64:A74)),Tasks!$I$2:$I$1001,0))="","",INDEX(Tasks!$B$2:$B$1001,MATCH(SMALL(Tasks!$I$2:$I$1001,ROWS(A$64:A74)),Tasks!$I$2:$I$1001,0))),"")</f>
        <v/>
      </c>
      <c r="B74" s="18" t="str">
        <f aca="false">IFERROR(IF(INDEX(Tasks!$A$2:$A$1001,MATCH(SMALL(Tasks!$I$2:$I$1001,ROWS(A$64:A74)),Tasks!$I$2:$I$1001,0))="","",INDEX(Tasks!$A$2:$A$1001,MATCH(SMALL(Tasks!$I$2:$I$1001,ROWS(A$64:A74)),Tasks!$I$2:$I$1001,0))),"")</f>
        <v/>
      </c>
      <c r="C74" s="19" t="str">
        <f aca="false">IFERROR(IF(INDEX(Tasks!$E$2:$E$1001,MATCH(SMALL(Tasks!$I$2:$I$1001,ROWS(A$64:A74)),Tasks!$I$2:$I$1001,0))="","",INDEX(Tasks!$E$2:$E$1001,MATCH(SMALL(Tasks!$I$2:$I$1001,ROWS(A$64:A74)),Tasks!$I$2:$I$1001,0))),"")</f>
        <v/>
      </c>
      <c r="D74" s="18" t="str">
        <f aca="false">IFERROR(IF(INDEX(Tasks!$H$2:$H$1001,MATCH(SMALL(Tasks!$I$2:$I$1001,ROWS(A$64:A74)),Tasks!$I$2:$I$1001,0))="","",INDEX(Tasks!$H$2:$H$1001,MATCH(SMALL(Tasks!$I$2:$I$1001,ROWS(A$64:A74)),Tasks!$I$2:$I$1001,0))),"")</f>
        <v/>
      </c>
      <c r="F74" s="18" t="str">
        <f aca="false">IFERROR(IF(INDEX(Actions!$C$2:$C$501,MATCH(SMALL(Actions!$N$2:$N$501,ROWS(F$64:F74)),Actions!$N$2:$N$501,0))="","",INDEX(Actions!$C$2:$C$501,MATCH(SMALL(Actions!$N$2:$N$501,ROWS(F$64:F74)),Actions!$N$2:$N$501,0))),"")</f>
        <v/>
      </c>
      <c r="G74" s="18" t="str">
        <f aca="false">IFERROR(IF(INDEX(Actions!$A$2:$A$501,MATCH(SMALL(Actions!$N$2:$N$501,ROWS(F$64:F74)),Actions!$N$2:$N$501,0))="","",INDEX(Actions!$A$2:$A$501,MATCH(SMALL(Actions!$N$2:$N$501,ROWS(F$64:F74)),Actions!$N$2:$N$501,0))),"")</f>
        <v/>
      </c>
      <c r="H74" s="18" t="str">
        <f aca="false">IFERROR(IF(INDEX(Actions!$F$2:$F$501,MATCH(SMALL(Actions!$N$2:$N$501,ROWS(F$64:F74)),Actions!$N$2:$N$501,0))="","",INDEX(Actions!$F$2:$F$501,MATCH(SMALL(Actions!$N$2:$N$501,ROWS(F$64:F74)),Actions!$N$2:$N$501,0))),"")</f>
        <v/>
      </c>
      <c r="I74" s="19" t="str">
        <f aca="false">IFERROR(IF(INDEX(Actions!$G$2:$G$501,MATCH(SMALL(Actions!$N$2:$N$501,ROWS(F$64:F74)),Actions!$N$2:$N$501,0))="","",INDEX(Actions!$G$2:$G$501,MATCH(SMALL(Actions!$N$2:$N$501,ROWS(F$64:F74)),Actions!$N$2:$N$501,0))),"")</f>
        <v/>
      </c>
      <c r="J74" s="18" t="str">
        <f aca="false">IFERROR(IF(INDEX(Actions!$M$2:$M$501,MATCH(SMALL(Actions!$N$2:$N$501,ROWS(F$64:F74)),Actions!$N$2:$N$501,0))="","",INDEX(Actions!$M$2:$M$501,MATCH(SMALL(Actions!$N$2:$N$501,ROWS(F$64:F74)),Actions!$N$2:$N$501,0))),"")</f>
        <v/>
      </c>
    </row>
    <row r="75" customFormat="false" ht="15" hidden="false" customHeight="false" outlineLevel="0" collapsed="false">
      <c r="A75" s="18" t="str">
        <f aca="false">IFERROR(IF(INDEX(Tasks!$B$2:$B$1001,MATCH(SMALL(Tasks!$I$2:$I$1001,ROWS(A$64:A75)),Tasks!$I$2:$I$1001,0))="","",INDEX(Tasks!$B$2:$B$1001,MATCH(SMALL(Tasks!$I$2:$I$1001,ROWS(A$64:A75)),Tasks!$I$2:$I$1001,0))),"")</f>
        <v/>
      </c>
      <c r="B75" s="18" t="str">
        <f aca="false">IFERROR(IF(INDEX(Tasks!$A$2:$A$1001,MATCH(SMALL(Tasks!$I$2:$I$1001,ROWS(A$64:A75)),Tasks!$I$2:$I$1001,0))="","",INDEX(Tasks!$A$2:$A$1001,MATCH(SMALL(Tasks!$I$2:$I$1001,ROWS(A$64:A75)),Tasks!$I$2:$I$1001,0))),"")</f>
        <v/>
      </c>
      <c r="C75" s="19" t="str">
        <f aca="false">IFERROR(IF(INDEX(Tasks!$E$2:$E$1001,MATCH(SMALL(Tasks!$I$2:$I$1001,ROWS(A$64:A75)),Tasks!$I$2:$I$1001,0))="","",INDEX(Tasks!$E$2:$E$1001,MATCH(SMALL(Tasks!$I$2:$I$1001,ROWS(A$64:A75)),Tasks!$I$2:$I$1001,0))),"")</f>
        <v/>
      </c>
      <c r="D75" s="18" t="str">
        <f aca="false">IFERROR(IF(INDEX(Tasks!$H$2:$H$1001,MATCH(SMALL(Tasks!$I$2:$I$1001,ROWS(A$64:A75)),Tasks!$I$2:$I$1001,0))="","",INDEX(Tasks!$H$2:$H$1001,MATCH(SMALL(Tasks!$I$2:$I$1001,ROWS(A$64:A75)),Tasks!$I$2:$I$1001,0))),"")</f>
        <v/>
      </c>
      <c r="F75" s="18" t="str">
        <f aca="false">IFERROR(IF(INDEX(Actions!$C$2:$C$501,MATCH(SMALL(Actions!$N$2:$N$501,ROWS(F$64:F75)),Actions!$N$2:$N$501,0))="","",INDEX(Actions!$C$2:$C$501,MATCH(SMALL(Actions!$N$2:$N$501,ROWS(F$64:F75)),Actions!$N$2:$N$501,0))),"")</f>
        <v/>
      </c>
      <c r="G75" s="18" t="str">
        <f aca="false">IFERROR(IF(INDEX(Actions!$A$2:$A$501,MATCH(SMALL(Actions!$N$2:$N$501,ROWS(F$64:F75)),Actions!$N$2:$N$501,0))="","",INDEX(Actions!$A$2:$A$501,MATCH(SMALL(Actions!$N$2:$N$501,ROWS(F$64:F75)),Actions!$N$2:$N$501,0))),"")</f>
        <v/>
      </c>
      <c r="H75" s="18" t="str">
        <f aca="false">IFERROR(IF(INDEX(Actions!$F$2:$F$501,MATCH(SMALL(Actions!$N$2:$N$501,ROWS(F$64:F75)),Actions!$N$2:$N$501,0))="","",INDEX(Actions!$F$2:$F$501,MATCH(SMALL(Actions!$N$2:$N$501,ROWS(F$64:F75)),Actions!$N$2:$N$501,0))),"")</f>
        <v/>
      </c>
      <c r="I75" s="19" t="str">
        <f aca="false">IFERROR(IF(INDEX(Actions!$G$2:$G$501,MATCH(SMALL(Actions!$N$2:$N$501,ROWS(F$64:F75)),Actions!$N$2:$N$501,0))="","",INDEX(Actions!$G$2:$G$501,MATCH(SMALL(Actions!$N$2:$N$501,ROWS(F$64:F75)),Actions!$N$2:$N$501,0))),"")</f>
        <v/>
      </c>
      <c r="J75" s="18" t="str">
        <f aca="false">IFERROR(IF(INDEX(Actions!$M$2:$M$501,MATCH(SMALL(Actions!$N$2:$N$501,ROWS(F$64:F75)),Actions!$N$2:$N$501,0))="","",INDEX(Actions!$M$2:$M$501,MATCH(SMALL(Actions!$N$2:$N$501,ROWS(F$64:F75)),Actions!$N$2:$N$501,0))),"")</f>
        <v/>
      </c>
    </row>
    <row r="76" customFormat="false" ht="15" hidden="false" customHeight="false" outlineLevel="0" collapsed="false">
      <c r="A76" s="18" t="str">
        <f aca="false">IFERROR(IF(INDEX(Tasks!$B$2:$B$1001,MATCH(SMALL(Tasks!$I$2:$I$1001,ROWS(A$64:A76)),Tasks!$I$2:$I$1001,0))="","",INDEX(Tasks!$B$2:$B$1001,MATCH(SMALL(Tasks!$I$2:$I$1001,ROWS(A$64:A76)),Tasks!$I$2:$I$1001,0))),"")</f>
        <v/>
      </c>
      <c r="B76" s="18" t="str">
        <f aca="false">IFERROR(IF(INDEX(Tasks!$A$2:$A$1001,MATCH(SMALL(Tasks!$I$2:$I$1001,ROWS(A$64:A76)),Tasks!$I$2:$I$1001,0))="","",INDEX(Tasks!$A$2:$A$1001,MATCH(SMALL(Tasks!$I$2:$I$1001,ROWS(A$64:A76)),Tasks!$I$2:$I$1001,0))),"")</f>
        <v/>
      </c>
      <c r="C76" s="19" t="str">
        <f aca="false">IFERROR(IF(INDEX(Tasks!$E$2:$E$1001,MATCH(SMALL(Tasks!$I$2:$I$1001,ROWS(A$64:A76)),Tasks!$I$2:$I$1001,0))="","",INDEX(Tasks!$E$2:$E$1001,MATCH(SMALL(Tasks!$I$2:$I$1001,ROWS(A$64:A76)),Tasks!$I$2:$I$1001,0))),"")</f>
        <v/>
      </c>
      <c r="D76" s="18" t="str">
        <f aca="false">IFERROR(IF(INDEX(Tasks!$H$2:$H$1001,MATCH(SMALL(Tasks!$I$2:$I$1001,ROWS(A$64:A76)),Tasks!$I$2:$I$1001,0))="","",INDEX(Tasks!$H$2:$H$1001,MATCH(SMALL(Tasks!$I$2:$I$1001,ROWS(A$64:A76)),Tasks!$I$2:$I$1001,0))),"")</f>
        <v/>
      </c>
      <c r="F76" s="18" t="str">
        <f aca="false">IFERROR(IF(INDEX(Actions!$C$2:$C$501,MATCH(SMALL(Actions!$N$2:$N$501,ROWS(F$64:F76)),Actions!$N$2:$N$501,0))="","",INDEX(Actions!$C$2:$C$501,MATCH(SMALL(Actions!$N$2:$N$501,ROWS(F$64:F76)),Actions!$N$2:$N$501,0))),"")</f>
        <v/>
      </c>
      <c r="G76" s="18" t="str">
        <f aca="false">IFERROR(IF(INDEX(Actions!$A$2:$A$501,MATCH(SMALL(Actions!$N$2:$N$501,ROWS(F$64:F76)),Actions!$N$2:$N$501,0))="","",INDEX(Actions!$A$2:$A$501,MATCH(SMALL(Actions!$N$2:$N$501,ROWS(F$64:F76)),Actions!$N$2:$N$501,0))),"")</f>
        <v/>
      </c>
      <c r="H76" s="18" t="str">
        <f aca="false">IFERROR(IF(INDEX(Actions!$F$2:$F$501,MATCH(SMALL(Actions!$N$2:$N$501,ROWS(F$64:F76)),Actions!$N$2:$N$501,0))="","",INDEX(Actions!$F$2:$F$501,MATCH(SMALL(Actions!$N$2:$N$501,ROWS(F$64:F76)),Actions!$N$2:$N$501,0))),"")</f>
        <v/>
      </c>
      <c r="I76" s="19" t="str">
        <f aca="false">IFERROR(IF(INDEX(Actions!$G$2:$G$501,MATCH(SMALL(Actions!$N$2:$N$501,ROWS(F$64:F76)),Actions!$N$2:$N$501,0))="","",INDEX(Actions!$G$2:$G$501,MATCH(SMALL(Actions!$N$2:$N$501,ROWS(F$64:F76)),Actions!$N$2:$N$501,0))),"")</f>
        <v/>
      </c>
      <c r="J76" s="18" t="str">
        <f aca="false">IFERROR(IF(INDEX(Actions!$M$2:$M$501,MATCH(SMALL(Actions!$N$2:$N$501,ROWS(F$64:F76)),Actions!$N$2:$N$501,0))="","",INDEX(Actions!$M$2:$M$501,MATCH(SMALL(Actions!$N$2:$N$501,ROWS(F$64:F76)),Actions!$N$2:$N$501,0))),"")</f>
        <v/>
      </c>
    </row>
    <row r="77" customFormat="false" ht="15" hidden="false" customHeight="false" outlineLevel="0" collapsed="false">
      <c r="A77" s="18" t="str">
        <f aca="false">IFERROR(IF(INDEX(Tasks!$B$2:$B$1001,MATCH(SMALL(Tasks!$I$2:$I$1001,ROWS(A$64:A77)),Tasks!$I$2:$I$1001,0))="","",INDEX(Tasks!$B$2:$B$1001,MATCH(SMALL(Tasks!$I$2:$I$1001,ROWS(A$64:A77)),Tasks!$I$2:$I$1001,0))),"")</f>
        <v/>
      </c>
      <c r="B77" s="18" t="str">
        <f aca="false">IFERROR(IF(INDEX(Tasks!$A$2:$A$1001,MATCH(SMALL(Tasks!$I$2:$I$1001,ROWS(A$64:A77)),Tasks!$I$2:$I$1001,0))="","",INDEX(Tasks!$A$2:$A$1001,MATCH(SMALL(Tasks!$I$2:$I$1001,ROWS(A$64:A77)),Tasks!$I$2:$I$1001,0))),"")</f>
        <v/>
      </c>
      <c r="C77" s="19" t="str">
        <f aca="false">IFERROR(IF(INDEX(Tasks!$E$2:$E$1001,MATCH(SMALL(Tasks!$I$2:$I$1001,ROWS(A$64:A77)),Tasks!$I$2:$I$1001,0))="","",INDEX(Tasks!$E$2:$E$1001,MATCH(SMALL(Tasks!$I$2:$I$1001,ROWS(A$64:A77)),Tasks!$I$2:$I$1001,0))),"")</f>
        <v/>
      </c>
      <c r="D77" s="18" t="str">
        <f aca="false">IFERROR(IF(INDEX(Tasks!$H$2:$H$1001,MATCH(SMALL(Tasks!$I$2:$I$1001,ROWS(A$64:A77)),Tasks!$I$2:$I$1001,0))="","",INDEX(Tasks!$H$2:$H$1001,MATCH(SMALL(Tasks!$I$2:$I$1001,ROWS(A$64:A77)),Tasks!$I$2:$I$1001,0))),"")</f>
        <v/>
      </c>
      <c r="F77" s="18" t="str">
        <f aca="false">IFERROR(IF(INDEX(Actions!$C$2:$C$501,MATCH(SMALL(Actions!$N$2:$N$501,ROWS(F$64:F77)),Actions!$N$2:$N$501,0))="","",INDEX(Actions!$C$2:$C$501,MATCH(SMALL(Actions!$N$2:$N$501,ROWS(F$64:F77)),Actions!$N$2:$N$501,0))),"")</f>
        <v/>
      </c>
      <c r="G77" s="18" t="str">
        <f aca="false">IFERROR(IF(INDEX(Actions!$A$2:$A$501,MATCH(SMALL(Actions!$N$2:$N$501,ROWS(F$64:F77)),Actions!$N$2:$N$501,0))="","",INDEX(Actions!$A$2:$A$501,MATCH(SMALL(Actions!$N$2:$N$501,ROWS(F$64:F77)),Actions!$N$2:$N$501,0))),"")</f>
        <v/>
      </c>
      <c r="H77" s="18" t="str">
        <f aca="false">IFERROR(IF(INDEX(Actions!$F$2:$F$501,MATCH(SMALL(Actions!$N$2:$N$501,ROWS(F$64:F77)),Actions!$N$2:$N$501,0))="","",INDEX(Actions!$F$2:$F$501,MATCH(SMALL(Actions!$N$2:$N$501,ROWS(F$64:F77)),Actions!$N$2:$N$501,0))),"")</f>
        <v/>
      </c>
      <c r="I77" s="19" t="str">
        <f aca="false">IFERROR(IF(INDEX(Actions!$G$2:$G$501,MATCH(SMALL(Actions!$N$2:$N$501,ROWS(F$64:F77)),Actions!$N$2:$N$501,0))="","",INDEX(Actions!$G$2:$G$501,MATCH(SMALL(Actions!$N$2:$N$501,ROWS(F$64:F77)),Actions!$N$2:$N$501,0))),"")</f>
        <v/>
      </c>
      <c r="J77" s="18" t="str">
        <f aca="false">IFERROR(IF(INDEX(Actions!$M$2:$M$501,MATCH(SMALL(Actions!$N$2:$N$501,ROWS(F$64:F77)),Actions!$N$2:$N$501,0))="","",INDEX(Actions!$M$2:$M$501,MATCH(SMALL(Actions!$N$2:$N$501,ROWS(F$64:F77)),Actions!$N$2:$N$501,0))),"")</f>
        <v/>
      </c>
    </row>
    <row r="78" customFormat="false" ht="15" hidden="false" customHeight="false" outlineLevel="0" collapsed="false">
      <c r="A78" s="18" t="str">
        <f aca="false">IFERROR(IF(INDEX(Tasks!$B$2:$B$1001,MATCH(SMALL(Tasks!$I$2:$I$1001,ROWS(A$64:A78)),Tasks!$I$2:$I$1001,0))="","",INDEX(Tasks!$B$2:$B$1001,MATCH(SMALL(Tasks!$I$2:$I$1001,ROWS(A$64:A78)),Tasks!$I$2:$I$1001,0))),"")</f>
        <v/>
      </c>
      <c r="B78" s="18" t="str">
        <f aca="false">IFERROR(IF(INDEX(Tasks!$A$2:$A$1001,MATCH(SMALL(Tasks!$I$2:$I$1001,ROWS(A$64:A78)),Tasks!$I$2:$I$1001,0))="","",INDEX(Tasks!$A$2:$A$1001,MATCH(SMALL(Tasks!$I$2:$I$1001,ROWS(A$64:A78)),Tasks!$I$2:$I$1001,0))),"")</f>
        <v/>
      </c>
      <c r="C78" s="19" t="str">
        <f aca="false">IFERROR(IF(INDEX(Tasks!$E$2:$E$1001,MATCH(SMALL(Tasks!$I$2:$I$1001,ROWS(A$64:A78)),Tasks!$I$2:$I$1001,0))="","",INDEX(Tasks!$E$2:$E$1001,MATCH(SMALL(Tasks!$I$2:$I$1001,ROWS(A$64:A78)),Tasks!$I$2:$I$1001,0))),"")</f>
        <v/>
      </c>
      <c r="D78" s="18" t="str">
        <f aca="false">IFERROR(IF(INDEX(Tasks!$H$2:$H$1001,MATCH(SMALL(Tasks!$I$2:$I$1001,ROWS(A$64:A78)),Tasks!$I$2:$I$1001,0))="","",INDEX(Tasks!$H$2:$H$1001,MATCH(SMALL(Tasks!$I$2:$I$1001,ROWS(A$64:A78)),Tasks!$I$2:$I$1001,0))),"")</f>
        <v/>
      </c>
      <c r="F78" s="18" t="str">
        <f aca="false">IFERROR(IF(INDEX(Actions!$C$2:$C$501,MATCH(SMALL(Actions!$N$2:$N$501,ROWS(F$64:F78)),Actions!$N$2:$N$501,0))="","",INDEX(Actions!$C$2:$C$501,MATCH(SMALL(Actions!$N$2:$N$501,ROWS(F$64:F78)),Actions!$N$2:$N$501,0))),"")</f>
        <v/>
      </c>
      <c r="G78" s="18" t="str">
        <f aca="false">IFERROR(IF(INDEX(Actions!$A$2:$A$501,MATCH(SMALL(Actions!$N$2:$N$501,ROWS(F$64:F78)),Actions!$N$2:$N$501,0))="","",INDEX(Actions!$A$2:$A$501,MATCH(SMALL(Actions!$N$2:$N$501,ROWS(F$64:F78)),Actions!$N$2:$N$501,0))),"")</f>
        <v/>
      </c>
      <c r="H78" s="18" t="str">
        <f aca="false">IFERROR(IF(INDEX(Actions!$F$2:$F$501,MATCH(SMALL(Actions!$N$2:$N$501,ROWS(F$64:F78)),Actions!$N$2:$N$501,0))="","",INDEX(Actions!$F$2:$F$501,MATCH(SMALL(Actions!$N$2:$N$501,ROWS(F$64:F78)),Actions!$N$2:$N$501,0))),"")</f>
        <v/>
      </c>
      <c r="I78" s="19" t="str">
        <f aca="false">IFERROR(IF(INDEX(Actions!$G$2:$G$501,MATCH(SMALL(Actions!$N$2:$N$501,ROWS(F$64:F78)),Actions!$N$2:$N$501,0))="","",INDEX(Actions!$G$2:$G$501,MATCH(SMALL(Actions!$N$2:$N$501,ROWS(F$64:F78)),Actions!$N$2:$N$501,0))),"")</f>
        <v/>
      </c>
      <c r="J78" s="18" t="str">
        <f aca="false">IFERROR(IF(INDEX(Actions!$M$2:$M$501,MATCH(SMALL(Actions!$N$2:$N$501,ROWS(F$64:F78)),Actions!$N$2:$N$501,0))="","",INDEX(Actions!$M$2:$M$501,MATCH(SMALL(Actions!$N$2:$N$501,ROWS(F$64:F78)),Actions!$N$2:$N$501,0))),"")</f>
        <v/>
      </c>
    </row>
    <row r="81" customFormat="false" ht="15" hidden="false" customHeight="false" outlineLevel="0" collapsed="false">
      <c r="A81" s="16" t="s">
        <v>159</v>
      </c>
      <c r="B81" s="4"/>
      <c r="C81" s="4"/>
      <c r="D81" s="4"/>
      <c r="E81" s="4"/>
      <c r="F81" s="4"/>
      <c r="G81" s="4"/>
    </row>
    <row r="82" customFormat="false" ht="15" hidden="false" customHeight="false" outlineLevel="0" collapsed="false">
      <c r="A82" s="17" t="s">
        <v>119</v>
      </c>
      <c r="B82" s="17" t="s">
        <v>110</v>
      </c>
      <c r="C82" s="17" t="s">
        <v>160</v>
      </c>
      <c r="D82" s="17" t="s">
        <v>161</v>
      </c>
      <c r="E82" s="17" t="s">
        <v>158</v>
      </c>
      <c r="F82" s="17" t="s">
        <v>111</v>
      </c>
      <c r="G82" s="17" t="s">
        <v>129</v>
      </c>
    </row>
    <row r="83" customFormat="false" ht="15" hidden="false" customHeight="false" outlineLevel="0" collapsed="false">
      <c r="A83" s="18" t="str">
        <f aca="false">IFERROR(IF(INDEX(Risks!$C$2:$C$501,MATCH(LARGE(Risks!$S$2:$S$501,ROWS(A$83:A83)),Risks!$S$2:$S$501,0))="","",INDEX(Risks!$C$2:$C$501,MATCH(LARGE(Risks!$S$2:$S$501,ROWS(A$83:A83)),Risks!$S$2:$S$501,0))),"")</f>
        <v/>
      </c>
      <c r="B83" s="18" t="str">
        <f aca="false">IFERROR(IF(INDEX(Risks!$A$2:$A$501,MATCH(LARGE(Risks!$S$2:$S$501,ROWS(A$83:A83)),Risks!$S$2:$S$501,0))="","",INDEX(Risks!$A$2:$A$501,MATCH(LARGE(Risks!$S$2:$S$501,ROWS(A$83:A83)),Risks!$S$2:$S$501,0))),"")</f>
        <v/>
      </c>
      <c r="C83" s="24" t="str">
        <f aca="false">IFERROR(IF(INDEX(Risks!$N$2:$N$501,MATCH(LARGE(Risks!$S$2:$S$501,ROWS(A$83:A83)),Risks!$S$2:$S$501,0))="","",INDEX(Risks!$N$2:$N$501,MATCH(LARGE(Risks!$S$2:$S$501,ROWS(A$83:A83)),Risks!$S$2:$S$501,0))),"")</f>
        <v/>
      </c>
      <c r="D83" s="18" t="str">
        <f aca="false">IFERROR(IF(INDEX(Risks!$O$2:$O$501,MATCH(LARGE(Risks!$S$2:$S$501,ROWS(A$83:A83)),Risks!$S$2:$S$501,0))="","",INDEX(Risks!$O$2:$O$501,MATCH(LARGE(Risks!$S$2:$S$501,ROWS(A$83:A83)),Risks!$S$2:$S$501,0))),"")</f>
        <v/>
      </c>
      <c r="E83" s="18" t="str">
        <f aca="false">IFERROR(IF(INDEX(Risks!$K$2:$K$501,MATCH(LARGE(Risks!$S$2:$S$501,ROWS(A$83:A83)),Risks!$S$2:$S$501,0))="","",INDEX(Risks!$K$2:$K$501,MATCH(LARGE(Risks!$S$2:$S$501,ROWS(A$83:A83)),Risks!$S$2:$S$501,0))),"")</f>
        <v/>
      </c>
      <c r="F83" s="18" t="str">
        <f aca="false">IFERROR(IF(INDEX(Risks!$M$2:$M$501,MATCH(LARGE(Risks!$S$2:$S$501,ROWS(A$83:A83)),Risks!$S$2:$S$501,0))="","",INDEX(Risks!$M$2:$M$501,MATCH(LARGE(Risks!$S$2:$S$501,ROWS(A$83:A83)),Risks!$S$2:$S$501,0))),"")</f>
        <v/>
      </c>
      <c r="G83" s="19" t="str">
        <f aca="false">IFERROR(IF(INDEX(Risks!$L$2:$L$501,MATCH(LARGE(Risks!$S$2:$S$501,ROWS(A$83:A83)),Risks!$S$2:$S$501,0))="","",INDEX(Risks!$L$2:$L$501,MATCH(LARGE(Risks!$S$2:$S$501,ROWS(A$83:A83)),Risks!$S$2:$S$501,0))),"")</f>
        <v/>
      </c>
    </row>
    <row r="84" customFormat="false" ht="15" hidden="false" customHeight="false" outlineLevel="0" collapsed="false">
      <c r="A84" s="18" t="str">
        <f aca="false">IFERROR(IF(INDEX(Risks!$C$2:$C$501,MATCH(LARGE(Risks!$S$2:$S$501,ROWS(A$83:A84)),Risks!$S$2:$S$501,0))="","",INDEX(Risks!$C$2:$C$501,MATCH(LARGE(Risks!$S$2:$S$501,ROWS(A$83:A84)),Risks!$S$2:$S$501,0))),"")</f>
        <v/>
      </c>
      <c r="B84" s="18" t="str">
        <f aca="false">IFERROR(IF(INDEX(Risks!$A$2:$A$501,MATCH(LARGE(Risks!$S$2:$S$501,ROWS(A$83:A84)),Risks!$S$2:$S$501,0))="","",INDEX(Risks!$A$2:$A$501,MATCH(LARGE(Risks!$S$2:$S$501,ROWS(A$83:A84)),Risks!$S$2:$S$501,0))),"")</f>
        <v/>
      </c>
      <c r="C84" s="24" t="str">
        <f aca="false">IFERROR(IF(INDEX(Risks!$N$2:$N$501,MATCH(LARGE(Risks!$S$2:$S$501,ROWS(A$83:A84)),Risks!$S$2:$S$501,0))="","",INDEX(Risks!$N$2:$N$501,MATCH(LARGE(Risks!$S$2:$S$501,ROWS(A$83:A84)),Risks!$S$2:$S$501,0))),"")</f>
        <v/>
      </c>
      <c r="D84" s="18" t="str">
        <f aca="false">IFERROR(IF(INDEX(Risks!$O$2:$O$501,MATCH(LARGE(Risks!$S$2:$S$501,ROWS(A$83:A84)),Risks!$S$2:$S$501,0))="","",INDEX(Risks!$O$2:$O$501,MATCH(LARGE(Risks!$S$2:$S$501,ROWS(A$83:A84)),Risks!$S$2:$S$501,0))),"")</f>
        <v/>
      </c>
      <c r="E84" s="18" t="str">
        <f aca="false">IFERROR(IF(INDEX(Risks!$K$2:$K$501,MATCH(LARGE(Risks!$S$2:$S$501,ROWS(A$83:A84)),Risks!$S$2:$S$501,0))="","",INDEX(Risks!$K$2:$K$501,MATCH(LARGE(Risks!$S$2:$S$501,ROWS(A$83:A84)),Risks!$S$2:$S$501,0))),"")</f>
        <v/>
      </c>
      <c r="F84" s="18" t="str">
        <f aca="false">IFERROR(IF(INDEX(Risks!$M$2:$M$501,MATCH(LARGE(Risks!$S$2:$S$501,ROWS(A$83:A84)),Risks!$S$2:$S$501,0))="","",INDEX(Risks!$M$2:$M$501,MATCH(LARGE(Risks!$S$2:$S$501,ROWS(A$83:A84)),Risks!$S$2:$S$501,0))),"")</f>
        <v/>
      </c>
      <c r="G84" s="19" t="str">
        <f aca="false">IFERROR(IF(INDEX(Risks!$L$2:$L$501,MATCH(LARGE(Risks!$S$2:$S$501,ROWS(A$83:A84)),Risks!$S$2:$S$501,0))="","",INDEX(Risks!$L$2:$L$501,MATCH(LARGE(Risks!$S$2:$S$501,ROWS(A$83:A84)),Risks!$S$2:$S$501,0))),"")</f>
        <v/>
      </c>
    </row>
    <row r="85" customFormat="false" ht="15" hidden="false" customHeight="false" outlineLevel="0" collapsed="false">
      <c r="A85" s="18" t="str">
        <f aca="false">IFERROR(IF(INDEX(Risks!$C$2:$C$501,MATCH(LARGE(Risks!$S$2:$S$501,ROWS(A$83:A85)),Risks!$S$2:$S$501,0))="","",INDEX(Risks!$C$2:$C$501,MATCH(LARGE(Risks!$S$2:$S$501,ROWS(A$83:A85)),Risks!$S$2:$S$501,0))),"")</f>
        <v/>
      </c>
      <c r="B85" s="18" t="str">
        <f aca="false">IFERROR(IF(INDEX(Risks!$A$2:$A$501,MATCH(LARGE(Risks!$S$2:$S$501,ROWS(A$83:A85)),Risks!$S$2:$S$501,0))="","",INDEX(Risks!$A$2:$A$501,MATCH(LARGE(Risks!$S$2:$S$501,ROWS(A$83:A85)),Risks!$S$2:$S$501,0))),"")</f>
        <v/>
      </c>
      <c r="C85" s="24" t="str">
        <f aca="false">IFERROR(IF(INDEX(Risks!$N$2:$N$501,MATCH(LARGE(Risks!$S$2:$S$501,ROWS(A$83:A85)),Risks!$S$2:$S$501,0))="","",INDEX(Risks!$N$2:$N$501,MATCH(LARGE(Risks!$S$2:$S$501,ROWS(A$83:A85)),Risks!$S$2:$S$501,0))),"")</f>
        <v/>
      </c>
      <c r="D85" s="18" t="str">
        <f aca="false">IFERROR(IF(INDEX(Risks!$O$2:$O$501,MATCH(LARGE(Risks!$S$2:$S$501,ROWS(A$83:A85)),Risks!$S$2:$S$501,0))="","",INDEX(Risks!$O$2:$O$501,MATCH(LARGE(Risks!$S$2:$S$501,ROWS(A$83:A85)),Risks!$S$2:$S$501,0))),"")</f>
        <v/>
      </c>
      <c r="E85" s="18" t="str">
        <f aca="false">IFERROR(IF(INDEX(Risks!$K$2:$K$501,MATCH(LARGE(Risks!$S$2:$S$501,ROWS(A$83:A85)),Risks!$S$2:$S$501,0))="","",INDEX(Risks!$K$2:$K$501,MATCH(LARGE(Risks!$S$2:$S$501,ROWS(A$83:A85)),Risks!$S$2:$S$501,0))),"")</f>
        <v/>
      </c>
      <c r="F85" s="18" t="str">
        <f aca="false">IFERROR(IF(INDEX(Risks!$M$2:$M$501,MATCH(LARGE(Risks!$S$2:$S$501,ROWS(A$83:A85)),Risks!$S$2:$S$501,0))="","",INDEX(Risks!$M$2:$M$501,MATCH(LARGE(Risks!$S$2:$S$501,ROWS(A$83:A85)),Risks!$S$2:$S$501,0))),"")</f>
        <v/>
      </c>
      <c r="G85" s="19" t="str">
        <f aca="false">IFERROR(IF(INDEX(Risks!$L$2:$L$501,MATCH(LARGE(Risks!$S$2:$S$501,ROWS(A$83:A85)),Risks!$S$2:$S$501,0))="","",INDEX(Risks!$L$2:$L$501,MATCH(LARGE(Risks!$S$2:$S$501,ROWS(A$83:A85)),Risks!$S$2:$S$501,0))),"")</f>
        <v/>
      </c>
    </row>
    <row r="86" customFormat="false" ht="15" hidden="false" customHeight="false" outlineLevel="0" collapsed="false">
      <c r="A86" s="18" t="str">
        <f aca="false">IFERROR(IF(INDEX(Risks!$C$2:$C$501,MATCH(LARGE(Risks!$S$2:$S$501,ROWS(A$83:A86)),Risks!$S$2:$S$501,0))="","",INDEX(Risks!$C$2:$C$501,MATCH(LARGE(Risks!$S$2:$S$501,ROWS(A$83:A86)),Risks!$S$2:$S$501,0))),"")</f>
        <v/>
      </c>
      <c r="B86" s="18" t="str">
        <f aca="false">IFERROR(IF(INDEX(Risks!$A$2:$A$501,MATCH(LARGE(Risks!$S$2:$S$501,ROWS(A$83:A86)),Risks!$S$2:$S$501,0))="","",INDEX(Risks!$A$2:$A$501,MATCH(LARGE(Risks!$S$2:$S$501,ROWS(A$83:A86)),Risks!$S$2:$S$501,0))),"")</f>
        <v/>
      </c>
      <c r="C86" s="24" t="str">
        <f aca="false">IFERROR(IF(INDEX(Risks!$N$2:$N$501,MATCH(LARGE(Risks!$S$2:$S$501,ROWS(A$83:A86)),Risks!$S$2:$S$501,0))="","",INDEX(Risks!$N$2:$N$501,MATCH(LARGE(Risks!$S$2:$S$501,ROWS(A$83:A86)),Risks!$S$2:$S$501,0))),"")</f>
        <v/>
      </c>
      <c r="D86" s="18" t="str">
        <f aca="false">IFERROR(IF(INDEX(Risks!$O$2:$O$501,MATCH(LARGE(Risks!$S$2:$S$501,ROWS(A$83:A86)),Risks!$S$2:$S$501,0))="","",INDEX(Risks!$O$2:$O$501,MATCH(LARGE(Risks!$S$2:$S$501,ROWS(A$83:A86)),Risks!$S$2:$S$501,0))),"")</f>
        <v/>
      </c>
      <c r="E86" s="18" t="str">
        <f aca="false">IFERROR(IF(INDEX(Risks!$K$2:$K$501,MATCH(LARGE(Risks!$S$2:$S$501,ROWS(A$83:A86)),Risks!$S$2:$S$501,0))="","",INDEX(Risks!$K$2:$K$501,MATCH(LARGE(Risks!$S$2:$S$501,ROWS(A$83:A86)),Risks!$S$2:$S$501,0))),"")</f>
        <v/>
      </c>
      <c r="F86" s="18" t="str">
        <f aca="false">IFERROR(IF(INDEX(Risks!$M$2:$M$501,MATCH(LARGE(Risks!$S$2:$S$501,ROWS(A$83:A86)),Risks!$S$2:$S$501,0))="","",INDEX(Risks!$M$2:$M$501,MATCH(LARGE(Risks!$S$2:$S$501,ROWS(A$83:A86)),Risks!$S$2:$S$501,0))),"")</f>
        <v/>
      </c>
      <c r="G86" s="19" t="str">
        <f aca="false">IFERROR(IF(INDEX(Risks!$L$2:$L$501,MATCH(LARGE(Risks!$S$2:$S$501,ROWS(A$83:A86)),Risks!$S$2:$S$501,0))="","",INDEX(Risks!$L$2:$L$501,MATCH(LARGE(Risks!$S$2:$S$501,ROWS(A$83:A86)),Risks!$S$2:$S$501,0))),"")</f>
        <v/>
      </c>
    </row>
    <row r="87" customFormat="false" ht="15" hidden="false" customHeight="false" outlineLevel="0" collapsed="false">
      <c r="A87" s="18" t="str">
        <f aca="false">IFERROR(IF(INDEX(Risks!$C$2:$C$501,MATCH(LARGE(Risks!$S$2:$S$501,ROWS(A$83:A87)),Risks!$S$2:$S$501,0))="","",INDEX(Risks!$C$2:$C$501,MATCH(LARGE(Risks!$S$2:$S$501,ROWS(A$83:A87)),Risks!$S$2:$S$501,0))),"")</f>
        <v/>
      </c>
      <c r="B87" s="18" t="str">
        <f aca="false">IFERROR(IF(INDEX(Risks!$A$2:$A$501,MATCH(LARGE(Risks!$S$2:$S$501,ROWS(A$83:A87)),Risks!$S$2:$S$501,0))="","",INDEX(Risks!$A$2:$A$501,MATCH(LARGE(Risks!$S$2:$S$501,ROWS(A$83:A87)),Risks!$S$2:$S$501,0))),"")</f>
        <v/>
      </c>
      <c r="C87" s="24" t="str">
        <f aca="false">IFERROR(IF(INDEX(Risks!$N$2:$N$501,MATCH(LARGE(Risks!$S$2:$S$501,ROWS(A$83:A87)),Risks!$S$2:$S$501,0))="","",INDEX(Risks!$N$2:$N$501,MATCH(LARGE(Risks!$S$2:$S$501,ROWS(A$83:A87)),Risks!$S$2:$S$501,0))),"")</f>
        <v/>
      </c>
      <c r="D87" s="18" t="str">
        <f aca="false">IFERROR(IF(INDEX(Risks!$O$2:$O$501,MATCH(LARGE(Risks!$S$2:$S$501,ROWS(A$83:A87)),Risks!$S$2:$S$501,0))="","",INDEX(Risks!$O$2:$O$501,MATCH(LARGE(Risks!$S$2:$S$501,ROWS(A$83:A87)),Risks!$S$2:$S$501,0))),"")</f>
        <v/>
      </c>
      <c r="E87" s="18" t="str">
        <f aca="false">IFERROR(IF(INDEX(Risks!$K$2:$K$501,MATCH(LARGE(Risks!$S$2:$S$501,ROWS(A$83:A87)),Risks!$S$2:$S$501,0))="","",INDEX(Risks!$K$2:$K$501,MATCH(LARGE(Risks!$S$2:$S$501,ROWS(A$83:A87)),Risks!$S$2:$S$501,0))),"")</f>
        <v/>
      </c>
      <c r="F87" s="18" t="str">
        <f aca="false">IFERROR(IF(INDEX(Risks!$M$2:$M$501,MATCH(LARGE(Risks!$S$2:$S$501,ROWS(A$83:A87)),Risks!$S$2:$S$501,0))="","",INDEX(Risks!$M$2:$M$501,MATCH(LARGE(Risks!$S$2:$S$501,ROWS(A$83:A87)),Risks!$S$2:$S$501,0))),"")</f>
        <v/>
      </c>
      <c r="G87" s="19" t="str">
        <f aca="false">IFERROR(IF(INDEX(Risks!$L$2:$L$501,MATCH(LARGE(Risks!$S$2:$S$501,ROWS(A$83:A87)),Risks!$S$2:$S$501,0))="","",INDEX(Risks!$L$2:$L$501,MATCH(LARGE(Risks!$S$2:$S$501,ROWS(A$83:A87)),Risks!$S$2:$S$501,0))),"")</f>
        <v/>
      </c>
    </row>
    <row r="88" customFormat="false" ht="15" hidden="false" customHeight="false" outlineLevel="0" collapsed="false">
      <c r="A88" s="18" t="str">
        <f aca="false">IFERROR(IF(INDEX(Risks!$C$2:$C$501,MATCH(LARGE(Risks!$S$2:$S$501,ROWS(A$83:A88)),Risks!$S$2:$S$501,0))="","",INDEX(Risks!$C$2:$C$501,MATCH(LARGE(Risks!$S$2:$S$501,ROWS(A$83:A88)),Risks!$S$2:$S$501,0))),"")</f>
        <v/>
      </c>
      <c r="B88" s="18" t="str">
        <f aca="false">IFERROR(IF(INDEX(Risks!$A$2:$A$501,MATCH(LARGE(Risks!$S$2:$S$501,ROWS(A$83:A88)),Risks!$S$2:$S$501,0))="","",INDEX(Risks!$A$2:$A$501,MATCH(LARGE(Risks!$S$2:$S$501,ROWS(A$83:A88)),Risks!$S$2:$S$501,0))),"")</f>
        <v/>
      </c>
      <c r="C88" s="24" t="str">
        <f aca="false">IFERROR(IF(INDEX(Risks!$N$2:$N$501,MATCH(LARGE(Risks!$S$2:$S$501,ROWS(A$83:A88)),Risks!$S$2:$S$501,0))="","",INDEX(Risks!$N$2:$N$501,MATCH(LARGE(Risks!$S$2:$S$501,ROWS(A$83:A88)),Risks!$S$2:$S$501,0))),"")</f>
        <v/>
      </c>
      <c r="D88" s="18" t="str">
        <f aca="false">IFERROR(IF(INDEX(Risks!$O$2:$O$501,MATCH(LARGE(Risks!$S$2:$S$501,ROWS(A$83:A88)),Risks!$S$2:$S$501,0))="","",INDEX(Risks!$O$2:$O$501,MATCH(LARGE(Risks!$S$2:$S$501,ROWS(A$83:A88)),Risks!$S$2:$S$501,0))),"")</f>
        <v/>
      </c>
      <c r="E88" s="18" t="str">
        <f aca="false">IFERROR(IF(INDEX(Risks!$K$2:$K$501,MATCH(LARGE(Risks!$S$2:$S$501,ROWS(A$83:A88)),Risks!$S$2:$S$501,0))="","",INDEX(Risks!$K$2:$K$501,MATCH(LARGE(Risks!$S$2:$S$501,ROWS(A$83:A88)),Risks!$S$2:$S$501,0))),"")</f>
        <v/>
      </c>
      <c r="F88" s="18" t="str">
        <f aca="false">IFERROR(IF(INDEX(Risks!$M$2:$M$501,MATCH(LARGE(Risks!$S$2:$S$501,ROWS(A$83:A88)),Risks!$S$2:$S$501,0))="","",INDEX(Risks!$M$2:$M$501,MATCH(LARGE(Risks!$S$2:$S$501,ROWS(A$83:A88)),Risks!$S$2:$S$501,0))),"")</f>
        <v/>
      </c>
      <c r="G88" s="19" t="str">
        <f aca="false">IFERROR(IF(INDEX(Risks!$L$2:$L$501,MATCH(LARGE(Risks!$S$2:$S$501,ROWS(A$83:A88)),Risks!$S$2:$S$501,0))="","",INDEX(Risks!$L$2:$L$501,MATCH(LARGE(Risks!$S$2:$S$501,ROWS(A$83:A88)),Risks!$S$2:$S$501,0))),"")</f>
        <v/>
      </c>
    </row>
    <row r="89" customFormat="false" ht="15" hidden="false" customHeight="false" outlineLevel="0" collapsed="false">
      <c r="A89" s="18" t="str">
        <f aca="false">IFERROR(IF(INDEX(Risks!$C$2:$C$501,MATCH(LARGE(Risks!$S$2:$S$501,ROWS(A$83:A89)),Risks!$S$2:$S$501,0))="","",INDEX(Risks!$C$2:$C$501,MATCH(LARGE(Risks!$S$2:$S$501,ROWS(A$83:A89)),Risks!$S$2:$S$501,0))),"")</f>
        <v/>
      </c>
      <c r="B89" s="18" t="str">
        <f aca="false">IFERROR(IF(INDEX(Risks!$A$2:$A$501,MATCH(LARGE(Risks!$S$2:$S$501,ROWS(A$83:A89)),Risks!$S$2:$S$501,0))="","",INDEX(Risks!$A$2:$A$501,MATCH(LARGE(Risks!$S$2:$S$501,ROWS(A$83:A89)),Risks!$S$2:$S$501,0))),"")</f>
        <v/>
      </c>
      <c r="C89" s="24" t="str">
        <f aca="false">IFERROR(IF(INDEX(Risks!$N$2:$N$501,MATCH(LARGE(Risks!$S$2:$S$501,ROWS(A$83:A89)),Risks!$S$2:$S$501,0))="","",INDEX(Risks!$N$2:$N$501,MATCH(LARGE(Risks!$S$2:$S$501,ROWS(A$83:A89)),Risks!$S$2:$S$501,0))),"")</f>
        <v/>
      </c>
      <c r="D89" s="18" t="str">
        <f aca="false">IFERROR(IF(INDEX(Risks!$O$2:$O$501,MATCH(LARGE(Risks!$S$2:$S$501,ROWS(A$83:A89)),Risks!$S$2:$S$501,0))="","",INDEX(Risks!$O$2:$O$501,MATCH(LARGE(Risks!$S$2:$S$501,ROWS(A$83:A89)),Risks!$S$2:$S$501,0))),"")</f>
        <v/>
      </c>
      <c r="E89" s="18" t="str">
        <f aca="false">IFERROR(IF(INDEX(Risks!$K$2:$K$501,MATCH(LARGE(Risks!$S$2:$S$501,ROWS(A$83:A89)),Risks!$S$2:$S$501,0))="","",INDEX(Risks!$K$2:$K$501,MATCH(LARGE(Risks!$S$2:$S$501,ROWS(A$83:A89)),Risks!$S$2:$S$501,0))),"")</f>
        <v/>
      </c>
      <c r="F89" s="18" t="str">
        <f aca="false">IFERROR(IF(INDEX(Risks!$M$2:$M$501,MATCH(LARGE(Risks!$S$2:$S$501,ROWS(A$83:A89)),Risks!$S$2:$S$501,0))="","",INDEX(Risks!$M$2:$M$501,MATCH(LARGE(Risks!$S$2:$S$501,ROWS(A$83:A89)),Risks!$S$2:$S$501,0))),"")</f>
        <v/>
      </c>
      <c r="G89" s="19" t="str">
        <f aca="false">IFERROR(IF(INDEX(Risks!$L$2:$L$501,MATCH(LARGE(Risks!$S$2:$S$501,ROWS(A$83:A89)),Risks!$S$2:$S$501,0))="","",INDEX(Risks!$L$2:$L$501,MATCH(LARGE(Risks!$S$2:$S$501,ROWS(A$83:A89)),Risks!$S$2:$S$501,0))),"")</f>
        <v/>
      </c>
    </row>
    <row r="90" customFormat="false" ht="15" hidden="false" customHeight="false" outlineLevel="0" collapsed="false">
      <c r="A90" s="18" t="str">
        <f aca="false">IFERROR(IF(INDEX(Risks!$C$2:$C$501,MATCH(LARGE(Risks!$S$2:$S$501,ROWS(A$83:A90)),Risks!$S$2:$S$501,0))="","",INDEX(Risks!$C$2:$C$501,MATCH(LARGE(Risks!$S$2:$S$501,ROWS(A$83:A90)),Risks!$S$2:$S$501,0))),"")</f>
        <v/>
      </c>
      <c r="B90" s="18" t="str">
        <f aca="false">IFERROR(IF(INDEX(Risks!$A$2:$A$501,MATCH(LARGE(Risks!$S$2:$S$501,ROWS(A$83:A90)),Risks!$S$2:$S$501,0))="","",INDEX(Risks!$A$2:$A$501,MATCH(LARGE(Risks!$S$2:$S$501,ROWS(A$83:A90)),Risks!$S$2:$S$501,0))),"")</f>
        <v/>
      </c>
      <c r="C90" s="24" t="str">
        <f aca="false">IFERROR(IF(INDEX(Risks!$N$2:$N$501,MATCH(LARGE(Risks!$S$2:$S$501,ROWS(A$83:A90)),Risks!$S$2:$S$501,0))="","",INDEX(Risks!$N$2:$N$501,MATCH(LARGE(Risks!$S$2:$S$501,ROWS(A$83:A90)),Risks!$S$2:$S$501,0))),"")</f>
        <v/>
      </c>
      <c r="D90" s="18" t="str">
        <f aca="false">IFERROR(IF(INDEX(Risks!$O$2:$O$501,MATCH(LARGE(Risks!$S$2:$S$501,ROWS(A$83:A90)),Risks!$S$2:$S$501,0))="","",INDEX(Risks!$O$2:$O$501,MATCH(LARGE(Risks!$S$2:$S$501,ROWS(A$83:A90)),Risks!$S$2:$S$501,0))),"")</f>
        <v/>
      </c>
      <c r="E90" s="18" t="str">
        <f aca="false">IFERROR(IF(INDEX(Risks!$K$2:$K$501,MATCH(LARGE(Risks!$S$2:$S$501,ROWS(A$83:A90)),Risks!$S$2:$S$501,0))="","",INDEX(Risks!$K$2:$K$501,MATCH(LARGE(Risks!$S$2:$S$501,ROWS(A$83:A90)),Risks!$S$2:$S$501,0))),"")</f>
        <v/>
      </c>
      <c r="F90" s="18" t="str">
        <f aca="false">IFERROR(IF(INDEX(Risks!$M$2:$M$501,MATCH(LARGE(Risks!$S$2:$S$501,ROWS(A$83:A90)),Risks!$S$2:$S$501,0))="","",INDEX(Risks!$M$2:$M$501,MATCH(LARGE(Risks!$S$2:$S$501,ROWS(A$83:A90)),Risks!$S$2:$S$501,0))),"")</f>
        <v/>
      </c>
      <c r="G90" s="19" t="str">
        <f aca="false">IFERROR(IF(INDEX(Risks!$L$2:$L$501,MATCH(LARGE(Risks!$S$2:$S$501,ROWS(A$83:A90)),Risks!$S$2:$S$501,0))="","",INDEX(Risks!$L$2:$L$501,MATCH(LARGE(Risks!$S$2:$S$501,ROWS(A$83:A90)),Risks!$S$2:$S$501,0))),"")</f>
        <v/>
      </c>
    </row>
    <row r="91" customFormat="false" ht="15" hidden="false" customHeight="false" outlineLevel="0" collapsed="false">
      <c r="A91" s="18" t="str">
        <f aca="false">IFERROR(IF(INDEX(Risks!$C$2:$C$501,MATCH(LARGE(Risks!$S$2:$S$501,ROWS(A$83:A91)),Risks!$S$2:$S$501,0))="","",INDEX(Risks!$C$2:$C$501,MATCH(LARGE(Risks!$S$2:$S$501,ROWS(A$83:A91)),Risks!$S$2:$S$501,0))),"")</f>
        <v/>
      </c>
      <c r="B91" s="18" t="str">
        <f aca="false">IFERROR(IF(INDEX(Risks!$A$2:$A$501,MATCH(LARGE(Risks!$S$2:$S$501,ROWS(A$83:A91)),Risks!$S$2:$S$501,0))="","",INDEX(Risks!$A$2:$A$501,MATCH(LARGE(Risks!$S$2:$S$501,ROWS(A$83:A91)),Risks!$S$2:$S$501,0))),"")</f>
        <v/>
      </c>
      <c r="C91" s="24" t="str">
        <f aca="false">IFERROR(IF(INDEX(Risks!$N$2:$N$501,MATCH(LARGE(Risks!$S$2:$S$501,ROWS(A$83:A91)),Risks!$S$2:$S$501,0))="","",INDEX(Risks!$N$2:$N$501,MATCH(LARGE(Risks!$S$2:$S$501,ROWS(A$83:A91)),Risks!$S$2:$S$501,0))),"")</f>
        <v/>
      </c>
      <c r="D91" s="18" t="str">
        <f aca="false">IFERROR(IF(INDEX(Risks!$O$2:$O$501,MATCH(LARGE(Risks!$S$2:$S$501,ROWS(A$83:A91)),Risks!$S$2:$S$501,0))="","",INDEX(Risks!$O$2:$O$501,MATCH(LARGE(Risks!$S$2:$S$501,ROWS(A$83:A91)),Risks!$S$2:$S$501,0))),"")</f>
        <v/>
      </c>
      <c r="E91" s="18" t="str">
        <f aca="false">IFERROR(IF(INDEX(Risks!$K$2:$K$501,MATCH(LARGE(Risks!$S$2:$S$501,ROWS(A$83:A91)),Risks!$S$2:$S$501,0))="","",INDEX(Risks!$K$2:$K$501,MATCH(LARGE(Risks!$S$2:$S$501,ROWS(A$83:A91)),Risks!$S$2:$S$501,0))),"")</f>
        <v/>
      </c>
      <c r="F91" s="18" t="str">
        <f aca="false">IFERROR(IF(INDEX(Risks!$M$2:$M$501,MATCH(LARGE(Risks!$S$2:$S$501,ROWS(A$83:A91)),Risks!$S$2:$S$501,0))="","",INDEX(Risks!$M$2:$M$501,MATCH(LARGE(Risks!$S$2:$S$501,ROWS(A$83:A91)),Risks!$S$2:$S$501,0))),"")</f>
        <v/>
      </c>
      <c r="G91" s="19" t="str">
        <f aca="false">IFERROR(IF(INDEX(Risks!$L$2:$L$501,MATCH(LARGE(Risks!$S$2:$S$501,ROWS(A$83:A91)),Risks!$S$2:$S$501,0))="","",INDEX(Risks!$L$2:$L$501,MATCH(LARGE(Risks!$S$2:$S$501,ROWS(A$83:A91)),Risks!$S$2:$S$501,0))),"")</f>
        <v/>
      </c>
    </row>
    <row r="92" customFormat="false" ht="15" hidden="false" customHeight="false" outlineLevel="0" collapsed="false">
      <c r="A92" s="18" t="str">
        <f aca="false">IFERROR(IF(INDEX(Risks!$C$2:$C$501,MATCH(LARGE(Risks!$S$2:$S$501,ROWS(A$83:A92)),Risks!$S$2:$S$501,0))="","",INDEX(Risks!$C$2:$C$501,MATCH(LARGE(Risks!$S$2:$S$501,ROWS(A$83:A92)),Risks!$S$2:$S$501,0))),"")</f>
        <v/>
      </c>
      <c r="B92" s="18" t="str">
        <f aca="false">IFERROR(IF(INDEX(Risks!$A$2:$A$501,MATCH(LARGE(Risks!$S$2:$S$501,ROWS(A$83:A92)),Risks!$S$2:$S$501,0))="","",INDEX(Risks!$A$2:$A$501,MATCH(LARGE(Risks!$S$2:$S$501,ROWS(A$83:A92)),Risks!$S$2:$S$501,0))),"")</f>
        <v/>
      </c>
      <c r="C92" s="24" t="str">
        <f aca="false">IFERROR(IF(INDEX(Risks!$N$2:$N$501,MATCH(LARGE(Risks!$S$2:$S$501,ROWS(A$83:A92)),Risks!$S$2:$S$501,0))="","",INDEX(Risks!$N$2:$N$501,MATCH(LARGE(Risks!$S$2:$S$501,ROWS(A$83:A92)),Risks!$S$2:$S$501,0))),"")</f>
        <v/>
      </c>
      <c r="D92" s="18" t="str">
        <f aca="false">IFERROR(IF(INDEX(Risks!$O$2:$O$501,MATCH(LARGE(Risks!$S$2:$S$501,ROWS(A$83:A92)),Risks!$S$2:$S$501,0))="","",INDEX(Risks!$O$2:$O$501,MATCH(LARGE(Risks!$S$2:$S$501,ROWS(A$83:A92)),Risks!$S$2:$S$501,0))),"")</f>
        <v/>
      </c>
      <c r="E92" s="18" t="str">
        <f aca="false">IFERROR(IF(INDEX(Risks!$K$2:$K$501,MATCH(LARGE(Risks!$S$2:$S$501,ROWS(A$83:A92)),Risks!$S$2:$S$501,0))="","",INDEX(Risks!$K$2:$K$501,MATCH(LARGE(Risks!$S$2:$S$501,ROWS(A$83:A92)),Risks!$S$2:$S$501,0))),"")</f>
        <v/>
      </c>
      <c r="F92" s="18" t="str">
        <f aca="false">IFERROR(IF(INDEX(Risks!$M$2:$M$501,MATCH(LARGE(Risks!$S$2:$S$501,ROWS(A$83:A92)),Risks!$S$2:$S$501,0))="","",INDEX(Risks!$M$2:$M$501,MATCH(LARGE(Risks!$S$2:$S$501,ROWS(A$83:A92)),Risks!$S$2:$S$501,0))),"")</f>
        <v/>
      </c>
      <c r="G92" s="19" t="str">
        <f aca="false">IFERROR(IF(INDEX(Risks!$L$2:$L$501,MATCH(LARGE(Risks!$S$2:$S$501,ROWS(A$83:A92)),Risks!$S$2:$S$501,0))="","",INDEX(Risks!$L$2:$L$501,MATCH(LARGE(Risks!$S$2:$S$501,ROWS(A$83:A92)),Risks!$S$2:$S$501,0))),"")</f>
        <v/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conditionalFormatting sqref="E5">
    <cfRule type="cellIs" priority="2" operator="greaterThan" aboveAverage="0" equalAverage="0" bottom="0" percent="0" rank="0" text="" dxfId="0">
      <formula>0</formula>
    </cfRule>
  </conditionalFormatting>
  <conditionalFormatting sqref="H9:K38">
    <cfRule type="cellIs" priority="3" operator="equal" aboveAverage="0" equalAverage="0" bottom="0" percent="0" rank="0" text="" dxfId="1">
      <formula>"Green"</formula>
    </cfRule>
    <cfRule type="cellIs" priority="4" operator="equal" aboveAverage="0" equalAverage="0" bottom="0" percent="0" rank="0" text="" dxfId="2">
      <formula>"Amber"</formula>
    </cfRule>
    <cfRule type="cellIs" priority="5" operator="equal" aboveAverage="0" equalAverage="0" bottom="0" percent="0" rank="0" text="" dxfId="3">
      <formula>"Red"</formula>
    </cfRule>
  </conditionalFormatting>
  <conditionalFormatting sqref="G9:G38">
    <cfRule type="cellIs" priority="6" operator="lessThan" aboveAverage="0" equalAverage="0" bottom="0" percent="0" rank="0" text="" dxfId="4">
      <formula>0</formula>
    </cfRule>
  </conditionalFormatting>
  <conditionalFormatting sqref="B43:B59">
    <cfRule type="cellIs" priority="7" operator="greaterThan" aboveAverage="0" equalAverage="0" bottom="0" percent="0" rank="0" text="" dxfId="2">
      <formula>0</formula>
    </cfRule>
  </conditionalFormatting>
  <conditionalFormatting sqref="F43:H43">
    <cfRule type="cellIs" priority="8" operator="greaterThan" aboveAverage="0" equalAverage="0" bottom="0" percent="0" rank="0" text="" dxfId="3">
      <formula>0</formula>
    </cfRule>
  </conditionalFormatting>
  <conditionalFormatting sqref="D64:D78">
    <cfRule type="cellIs" priority="9" operator="equal" aboveAverage="0" equalAverage="0" bottom="0" percent="0" rank="0" text="" dxfId="3">
      <formula>"Overdue"</formula>
    </cfRule>
    <cfRule type="cellIs" priority="10" operator="equal" aboveAverage="0" equalAverage="0" bottom="0" percent="0" rank="0" text="" dxfId="3">
      <formula>"Expired"</formula>
    </cfRule>
    <cfRule type="cellIs" priority="11" operator="equal" aboveAverage="0" equalAverage="0" bottom="0" percent="0" rank="0" text="" dxfId="3">
      <formula>"Exceedance"</formula>
    </cfRule>
    <cfRule type="cellIs" priority="12" operator="equal" aboveAverage="0" equalAverage="0" bottom="0" percent="0" rank="0" text="" dxfId="3">
      <formula>"Critical"</formula>
    </cfRule>
    <cfRule type="cellIs" priority="13" operator="equal" aboveAverage="0" equalAverage="0" bottom="0" percent="0" rank="0" text="" dxfId="2">
      <formula>"Due Soon"</formula>
    </cfRule>
    <cfRule type="cellIs" priority="14" operator="equal" aboveAverage="0" equalAverage="0" bottom="0" percent="0" rank="0" text="" dxfId="2">
      <formula>"Expiring Soon"</formula>
    </cfRule>
    <cfRule type="cellIs" priority="15" operator="equal" aboveAverage="0" equalAverage="0" bottom="0" percent="0" rank="0" text="" dxfId="2">
      <formula>"Due Today"</formula>
    </cfRule>
    <cfRule type="cellIs" priority="16" operator="equal" aboveAverage="0" equalAverage="0" bottom="0" percent="0" rank="0" text="" dxfId="2">
      <formula>"Due This Week"</formula>
    </cfRule>
    <cfRule type="cellIs" priority="17" operator="equal" aboveAverage="0" equalAverage="0" bottom="0" percent="0" rank="0" text="" dxfId="2">
      <formula>"High"</formula>
    </cfRule>
    <cfRule type="cellIs" priority="18" operator="equal" aboveAverage="0" equalAverage="0" bottom="0" percent="0" rank="0" text="" dxfId="5">
      <formula>"Done"</formula>
    </cfRule>
  </conditionalFormatting>
  <conditionalFormatting sqref="J64:J78">
    <cfRule type="cellIs" priority="19" operator="equal" aboveAverage="0" equalAverage="0" bottom="0" percent="0" rank="0" text="" dxfId="3">
      <formula>"Overdue"</formula>
    </cfRule>
    <cfRule type="cellIs" priority="20" operator="equal" aboveAverage="0" equalAverage="0" bottom="0" percent="0" rank="0" text="" dxfId="3">
      <formula>"Expired"</formula>
    </cfRule>
    <cfRule type="cellIs" priority="21" operator="equal" aboveAverage="0" equalAverage="0" bottom="0" percent="0" rank="0" text="" dxfId="3">
      <formula>"Exceedance"</formula>
    </cfRule>
    <cfRule type="cellIs" priority="22" operator="equal" aboveAverage="0" equalAverage="0" bottom="0" percent="0" rank="0" text="" dxfId="3">
      <formula>"Critical"</formula>
    </cfRule>
    <cfRule type="cellIs" priority="23" operator="equal" aboveAverage="0" equalAverage="0" bottom="0" percent="0" rank="0" text="" dxfId="2">
      <formula>"Due Soon"</formula>
    </cfRule>
    <cfRule type="cellIs" priority="24" operator="equal" aboveAverage="0" equalAverage="0" bottom="0" percent="0" rank="0" text="" dxfId="2">
      <formula>"Expiring Soon"</formula>
    </cfRule>
    <cfRule type="cellIs" priority="25" operator="equal" aboveAverage="0" equalAverage="0" bottom="0" percent="0" rank="0" text="" dxfId="2">
      <formula>"Due Today"</formula>
    </cfRule>
    <cfRule type="cellIs" priority="26" operator="equal" aboveAverage="0" equalAverage="0" bottom="0" percent="0" rank="0" text="" dxfId="2">
      <formula>"Due This Week"</formula>
    </cfRule>
    <cfRule type="cellIs" priority="27" operator="equal" aboveAverage="0" equalAverage="0" bottom="0" percent="0" rank="0" text="" dxfId="2">
      <formula>"High"</formula>
    </cfRule>
    <cfRule type="cellIs" priority="28" operator="equal" aboveAverage="0" equalAverage="0" bottom="0" percent="0" rank="0" text="" dxfId="5">
      <formula>"Done"</formula>
    </cfRule>
  </conditionalFormatting>
  <conditionalFormatting sqref="D83:D92">
    <cfRule type="cellIs" priority="29" operator="equal" aboveAverage="0" equalAverage="0" bottom="0" percent="0" rank="0" text="" dxfId="3">
      <formula>"Overdue"</formula>
    </cfRule>
    <cfRule type="cellIs" priority="30" operator="equal" aboveAverage="0" equalAverage="0" bottom="0" percent="0" rank="0" text="" dxfId="3">
      <formula>"Expired"</formula>
    </cfRule>
    <cfRule type="cellIs" priority="31" operator="equal" aboveAverage="0" equalAverage="0" bottom="0" percent="0" rank="0" text="" dxfId="3">
      <formula>"Exceedance"</formula>
    </cfRule>
    <cfRule type="cellIs" priority="32" operator="equal" aboveAverage="0" equalAverage="0" bottom="0" percent="0" rank="0" text="" dxfId="3">
      <formula>"Critical"</formula>
    </cfRule>
    <cfRule type="cellIs" priority="33" operator="equal" aboveAverage="0" equalAverage="0" bottom="0" percent="0" rank="0" text="" dxfId="2">
      <formula>"Due Soon"</formula>
    </cfRule>
    <cfRule type="cellIs" priority="34" operator="equal" aboveAverage="0" equalAverage="0" bottom="0" percent="0" rank="0" text="" dxfId="2">
      <formula>"Expiring Soon"</formula>
    </cfRule>
    <cfRule type="cellIs" priority="35" operator="equal" aboveAverage="0" equalAverage="0" bottom="0" percent="0" rank="0" text="" dxfId="2">
      <formula>"Due Today"</formula>
    </cfRule>
    <cfRule type="cellIs" priority="36" operator="equal" aboveAverage="0" equalAverage="0" bottom="0" percent="0" rank="0" text="" dxfId="2">
      <formula>"Due This Week"</formula>
    </cfRule>
    <cfRule type="cellIs" priority="37" operator="equal" aboveAverage="0" equalAverage="0" bottom="0" percent="0" rank="0" text="" dxfId="2">
      <formula>"High"</formula>
    </cfRule>
    <cfRule type="cellIs" priority="38" operator="equal" aboveAverage="0" equalAverage="0" bottom="0" percent="0" rank="0" text="" dxfId="5">
      <formula>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6" min="5" style="0" width="22"/>
    <col collapsed="false" customWidth="true" hidden="false" outlineLevel="0" max="9" min="7" style="0" width="18"/>
  </cols>
  <sheetData>
    <row r="1" customFormat="false" ht="25.5" hidden="false" customHeight="true" outlineLevel="0" collapsed="false">
      <c r="A1" s="9" t="s">
        <v>59</v>
      </c>
    </row>
    <row r="2" customFormat="false" ht="15" hidden="false" customHeight="false" outlineLevel="0" collapsed="false">
      <c r="A2" s="12" t="s">
        <v>162</v>
      </c>
    </row>
    <row r="3" customFormat="false" ht="15" hidden="false" customHeight="false" outlineLevel="0" collapsed="false">
      <c r="B3" s="10" t="s">
        <v>163</v>
      </c>
      <c r="C3" s="25"/>
      <c r="D3" s="25"/>
      <c r="E3" s="25"/>
      <c r="F3" s="25"/>
    </row>
    <row r="5" customFormat="false" ht="15" hidden="false" customHeight="false" outlineLevel="0" collapsed="false">
      <c r="B5" s="16" t="s">
        <v>164</v>
      </c>
      <c r="C5" s="4"/>
      <c r="D5" s="4"/>
      <c r="E5" s="16" t="s">
        <v>165</v>
      </c>
      <c r="F5" s="4"/>
      <c r="G5" s="4"/>
    </row>
    <row r="6" customFormat="false" ht="15" hidden="false" customHeight="false" outlineLevel="0" collapsed="false">
      <c r="B6" s="10" t="s">
        <v>111</v>
      </c>
      <c r="C6" s="18" t="str">
        <f aca="false">IFERROR(IF(INDEX(Projects!$D$2:$D$101,MATCH($C$3,Projects!$A$2:$A$101,0))="","",INDEX(Projects!$D$2:$D$101,MATCH($C$3,Projects!$A$2:$A$101,0))),"")</f>
        <v/>
      </c>
      <c r="E6" s="10" t="s">
        <v>120</v>
      </c>
      <c r="F6" s="21" t="str">
        <f aca="false">IFERROR(IF(INDEX(Projects!$AF$2:$AF$101,MATCH($C$3,Projects!$A$2:$A$101,0))="","",INDEX(Projects!$AF$2:$AF$101,MATCH($C$3,Projects!$A$2:$A$101,0))),"")</f>
        <v/>
      </c>
    </row>
    <row r="7" customFormat="false" ht="15" hidden="false" customHeight="false" outlineLevel="0" collapsed="false">
      <c r="B7" s="10" t="s">
        <v>112</v>
      </c>
      <c r="C7" s="18" t="str">
        <f aca="false">IFERROR(IF(INDEX(Projects!$F$2:$F$101,MATCH($C$3,Projects!$A$2:$A$101,0))="","",INDEX(Projects!$F$2:$F$101,MATCH($C$3,Projects!$A$2:$A$101,0))),"")</f>
        <v/>
      </c>
      <c r="E7" s="10" t="s">
        <v>117</v>
      </c>
      <c r="F7" s="21" t="str">
        <f aca="false">IFERROR(IF(INDEX(Projects!$Z$2:$Z$101,MATCH($C$3,Projects!$A$2:$A$101,0))="","",INDEX(Projects!$Z$2:$Z$101,MATCH($C$3,Projects!$A$2:$A$101,0))),"")</f>
        <v/>
      </c>
    </row>
    <row r="8" customFormat="false" ht="15" hidden="false" customHeight="false" outlineLevel="0" collapsed="false">
      <c r="B8" s="10" t="s">
        <v>166</v>
      </c>
      <c r="C8" s="18" t="str">
        <f aca="false">IFERROR(IF(INDEX(Projects!$G$2:$G$101,MATCH($C$3,Projects!$A$2:$A$101,0))="","",INDEX(Projects!$G$2:$G$101,MATCH($C$3,Projects!$A$2:$A$101,0))),"")</f>
        <v/>
      </c>
      <c r="E8" s="10" t="s">
        <v>118</v>
      </c>
      <c r="F8" s="21" t="str">
        <f aca="false">IFERROR(IF(INDEX(Projects!$AB$2:$AB$101,MATCH($C$3,Projects!$A$2:$A$101,0))="","",INDEX(Projects!$AB$2:$AB$101,MATCH($C$3,Projects!$A$2:$A$101,0))),"")</f>
        <v/>
      </c>
    </row>
    <row r="9" customFormat="false" ht="15" hidden="false" customHeight="false" outlineLevel="0" collapsed="false">
      <c r="B9" s="10" t="s">
        <v>167</v>
      </c>
      <c r="C9" s="18" t="str">
        <f aca="false">IFERROR(IF(INDEX(Projects!$H$2:$H$101,MATCH($C$3,Projects!$A$2:$A$101,0))="","",INDEX(Projects!$H$2:$H$101,MATCH($C$3,Projects!$A$2:$A$101,0))),"")</f>
        <v/>
      </c>
      <c r="E9" s="10" t="s">
        <v>119</v>
      </c>
      <c r="F9" s="21" t="str">
        <f aca="false">IFERROR(IF(INDEX(Projects!$AE$2:$AE$101,MATCH($C$3,Projects!$A$2:$A$101,0))="","",INDEX(Projects!$AE$2:$AE$101,MATCH($C$3,Projects!$A$2:$A$101,0))),"")</f>
        <v/>
      </c>
    </row>
    <row r="10" customFormat="false" ht="15" hidden="false" customHeight="false" outlineLevel="0" collapsed="false">
      <c r="B10" s="10" t="s">
        <v>168</v>
      </c>
      <c r="C10" s="18" t="str">
        <f aca="false">IFERROR(IF(INDEX(Projects!$I$2:$I$101,MATCH($C$3,Projects!$A$2:$A$101,0))="","",INDEX(Projects!$I$2:$I$101,MATCH($C$3,Projects!$A$2:$A$101,0))),"")</f>
        <v/>
      </c>
      <c r="E10" s="26" t="str">
        <f aca="false">IFERROR(IF(INDEX(Projects!$AK$2:$AK$101,MATCH($C$3,Projects!$A$2:$A$101,0))="","",INDEX(Projects!$AK$2:$AK$101,MATCH($C$3,Projects!$A$2:$A$101,0))),"")</f>
        <v/>
      </c>
      <c r="F10" s="26"/>
      <c r="G10" s="26"/>
      <c r="H10" s="26"/>
    </row>
    <row r="11" customFormat="false" ht="15" hidden="false" customHeight="false" outlineLevel="0" collapsed="false">
      <c r="B11" s="10" t="s">
        <v>169</v>
      </c>
      <c r="C11" s="18" t="str">
        <f aca="false">IFERROR(IF(INDEX(Projects!$J$2:$J$101,MATCH($C$3,Projects!$A$2:$A$101,0))="","",INDEX(Projects!$J$2:$J$101,MATCH($C$3,Projects!$A$2:$A$101,0))),"")</f>
        <v/>
      </c>
      <c r="E11" s="26"/>
      <c r="F11" s="26"/>
      <c r="G11" s="26"/>
      <c r="H11" s="26"/>
    </row>
    <row r="12" customFormat="false" ht="15" hidden="false" customHeight="false" outlineLevel="0" collapsed="false">
      <c r="E12" s="26"/>
      <c r="F12" s="26"/>
      <c r="G12" s="26"/>
      <c r="H12" s="26"/>
    </row>
    <row r="13" customFormat="false" ht="15" hidden="false" customHeight="false" outlineLevel="0" collapsed="false">
      <c r="B13" s="16" t="s">
        <v>118</v>
      </c>
      <c r="C13" s="4"/>
      <c r="D13" s="4"/>
      <c r="E13" s="16" t="s">
        <v>117</v>
      </c>
      <c r="F13" s="4"/>
      <c r="G13" s="4"/>
    </row>
    <row r="14" customFormat="false" ht="15" hidden="false" customHeight="false" outlineLevel="0" collapsed="false">
      <c r="B14" s="10" t="s">
        <v>170</v>
      </c>
      <c r="C14" s="20" t="str">
        <f aca="false">IFERROR(IF(INDEX(Projects!$L$2:$L$101,MATCH($C$3,Projects!$A$2:$A$101,0))="","",INDEX(Projects!$L$2:$L$101,MATCH($C$3,Projects!$A$2:$A$101,0))),"")</f>
        <v/>
      </c>
      <c r="E14" s="10" t="s">
        <v>171</v>
      </c>
      <c r="F14" s="19" t="str">
        <f aca="false">IFERROR(IF(INDEX(Projects!$N$2:$N$101,MATCH($C$3,Projects!$A$2:$A$101,0))="","",INDEX(Projects!$N$2:$N$101,MATCH($C$3,Projects!$A$2:$A$101,0))),"")</f>
        <v/>
      </c>
    </row>
    <row r="15" customFormat="false" ht="15" hidden="false" customHeight="false" outlineLevel="0" collapsed="false">
      <c r="B15" s="10" t="s">
        <v>172</v>
      </c>
      <c r="C15" s="20" t="str">
        <f aca="false">IFERROR(IF(INDEX(Projects!$M$2:$M$101,MATCH($C$3,Projects!$A$2:$A$101,0))="","",INDEX(Projects!$M$2:$M$101,MATCH($C$3,Projects!$A$2:$A$101,0))),"")</f>
        <v/>
      </c>
      <c r="E15" s="10" t="s">
        <v>173</v>
      </c>
      <c r="F15" s="19" t="str">
        <f aca="false">IFERROR(IF(INDEX(Projects!$O$2:$O$101,MATCH($C$3,Projects!$A$2:$A$101,0))="","",INDEX(Projects!$O$2:$O$101,MATCH($C$3,Projects!$A$2:$A$101,0))),"")</f>
        <v/>
      </c>
    </row>
    <row r="16" customFormat="false" ht="15" hidden="false" customHeight="false" outlineLevel="0" collapsed="false">
      <c r="B16" s="10" t="s">
        <v>174</v>
      </c>
      <c r="C16" s="20" t="str">
        <f aca="false">IFERROR(IF(INDEX(Projects!$Q$2:$Q$101,MATCH($C$3,Projects!$A$2:$A$101,0))="","",INDEX(Projects!$Q$2:$Q$101,MATCH($C$3,Projects!$A$2:$A$101,0))),"")</f>
        <v/>
      </c>
      <c r="E16" s="10" t="s">
        <v>175</v>
      </c>
      <c r="F16" s="24" t="str">
        <f aca="false">IFERROR(IF(INDEX(Projects!$V$2:$V$101,MATCH($C$3,Projects!$A$2:$A$101,0))="","",INDEX(Projects!$V$2:$V$101,MATCH($C$3,Projects!$A$2:$A$101,0))),"")</f>
        <v/>
      </c>
    </row>
    <row r="17" customFormat="false" ht="15" hidden="false" customHeight="false" outlineLevel="0" collapsed="false">
      <c r="B17" s="10" t="s">
        <v>114</v>
      </c>
      <c r="C17" s="20" t="str">
        <f aca="false">IFERROR(IF(INDEX(Projects!$R$2:$R$101,MATCH($C$3,Projects!$A$2:$A$101,0))="","",INDEX(Projects!$R$2:$R$101,MATCH($C$3,Projects!$A$2:$A$101,0))),"")</f>
        <v/>
      </c>
      <c r="E17" s="10" t="s">
        <v>113</v>
      </c>
      <c r="F17" s="19" t="str">
        <f aca="false">IFERROR(IF(INDEX(Projects!$W$2:$W$101,MATCH($C$3,Projects!$A$2:$A$101,0))="","",INDEX(Projects!$W$2:$W$101,MATCH($C$3,Projects!$A$2:$A$101,0))),"")</f>
        <v/>
      </c>
    </row>
    <row r="18" customFormat="false" ht="15" hidden="false" customHeight="false" outlineLevel="0" collapsed="false">
      <c r="B18" s="10" t="s">
        <v>176</v>
      </c>
      <c r="C18" s="20" t="str">
        <f aca="false">IFERROR(IF(INDEX(Projects!$S$2:$S$101,MATCH($C$3,Projects!$A$2:$A$101,0))="","",INDEX(Projects!$S$2:$S$101,MATCH($C$3,Projects!$A$2:$A$101,0))),"")</f>
        <v/>
      </c>
      <c r="E18" s="10" t="s">
        <v>177</v>
      </c>
      <c r="F18" s="19" t="str">
        <f aca="false">IFERROR(IF(INDEX(Projects!$P$2:$P$101,MATCH($C$3,Projects!$A$2:$A$101,0))="","",INDEX(Projects!$P$2:$P$101,MATCH($C$3,Projects!$A$2:$A$101,0))),"")</f>
        <v/>
      </c>
    </row>
    <row r="19" customFormat="false" ht="15" hidden="false" customHeight="false" outlineLevel="0" collapsed="false">
      <c r="B19" s="10" t="s">
        <v>115</v>
      </c>
      <c r="C19" s="20" t="str">
        <f aca="false">IFERROR(IF(INDEX(Projects!$T$2:$T$101,MATCH($C$3,Projects!$A$2:$A$101,0))="","",INDEX(Projects!$T$2:$T$101,MATCH($C$3,Projects!$A$2:$A$101,0))),"")</f>
        <v/>
      </c>
      <c r="E19" s="10" t="s">
        <v>178</v>
      </c>
      <c r="F19" s="27" t="str">
        <f aca="false">IFERROR(IF(INDEX(Projects!$Y$2:$Y$101,MATCH($C$3,Projects!$A$2:$A$101,0))="","",INDEX(Projects!$Y$2:$Y$101,MATCH($C$3,Projects!$A$2:$A$101,0))),"")</f>
        <v/>
      </c>
    </row>
    <row r="20" customFormat="false" ht="15" hidden="false" customHeight="false" outlineLevel="0" collapsed="false">
      <c r="B20" s="10" t="s">
        <v>179</v>
      </c>
      <c r="C20" s="20" t="str">
        <f aca="false">IFERROR(IF(INDEX(Projects!$U$2:$U$101,MATCH($C$3,Projects!$A$2:$A$101,0))="","",INDEX(Projects!$U$2:$U$101,MATCH($C$3,Projects!$A$2:$A$101,0))),"")</f>
        <v/>
      </c>
    </row>
    <row r="21" customFormat="false" ht="15" hidden="false" customHeight="false" outlineLevel="0" collapsed="false">
      <c r="B21" s="10" t="s">
        <v>180</v>
      </c>
      <c r="C21" s="27" t="str">
        <f aca="false">IFERROR(IF(INDEX(Projects!$AA$2:$AA$101,MATCH($C$3,Projects!$A$2:$A$101,0))="","",INDEX(Projects!$AA$2:$AA$101,MATCH($C$3,Projects!$A$2:$A$101,0))),"")</f>
        <v/>
      </c>
      <c r="E21" s="16" t="s">
        <v>181</v>
      </c>
      <c r="F21" s="4"/>
      <c r="G21" s="4"/>
    </row>
    <row r="22" customFormat="false" ht="15" hidden="false" customHeight="false" outlineLevel="0" collapsed="false">
      <c r="E22" s="10" t="s">
        <v>182</v>
      </c>
      <c r="F22" s="24" t="str">
        <f aca="false">IFERROR(IF(INDEX(Projects!$AG$2:$AG$101,MATCH($C$3,Projects!$A$2:$A$101,0))="","",INDEX(Projects!$AG$2:$AG$101,MATCH($C$3,Projects!$A$2:$A$101,0))),"")</f>
        <v/>
      </c>
    </row>
    <row r="23" customFormat="false" ht="15" hidden="false" customHeight="false" outlineLevel="0" collapsed="false">
      <c r="E23" s="10" t="s">
        <v>183</v>
      </c>
      <c r="F23" s="24" t="str">
        <f aca="false">IFERROR(IF(INDEX(Projects!$AH$2:$AH$101,MATCH($C$3,Projects!$A$2:$A$101,0))="","",INDEX(Projects!$AH$2:$AH$101,MATCH($C$3,Projects!$A$2:$A$101,0))),"")</f>
        <v/>
      </c>
    </row>
    <row r="24" customFormat="false" ht="15" hidden="false" customHeight="false" outlineLevel="0" collapsed="false">
      <c r="E24" s="10" t="s">
        <v>123</v>
      </c>
      <c r="F24" s="24" t="str">
        <f aca="false">IFERROR(IF(INDEX(Projects!$AI$2:$AI$101,MATCH($C$3,Projects!$A$2:$A$101,0))="","",INDEX(Projects!$AI$2:$AI$101,MATCH($C$3,Projects!$A$2:$A$101,0))),"")</f>
        <v/>
      </c>
    </row>
    <row r="25" customFormat="false" ht="15" hidden="false" customHeight="false" outlineLevel="0" collapsed="false">
      <c r="E25" s="10" t="s">
        <v>184</v>
      </c>
      <c r="F25" s="24" t="str">
        <f aca="false">IFERROR(IF(INDEX(Projects!$AJ$2:$AJ$101,MATCH($C$3,Projects!$A$2:$A$101,0))="","",INDEX(Projects!$AJ$2:$AJ$101,MATCH($C$3,Projects!$A$2:$A$101,0))),"")</f>
        <v/>
      </c>
    </row>
    <row r="27" customFormat="false" ht="15" hidden="false" customHeight="false" outlineLevel="0" collapsed="false">
      <c r="B27" s="16" t="s">
        <v>75</v>
      </c>
      <c r="C27" s="4"/>
      <c r="D27" s="4"/>
      <c r="E27" s="4"/>
      <c r="F27" s="4"/>
      <c r="G27" s="4"/>
    </row>
    <row r="28" customFormat="false" ht="15" hidden="false" customHeight="false" outlineLevel="0" collapsed="false">
      <c r="B28" s="17" t="s">
        <v>185</v>
      </c>
      <c r="C28" s="17" t="s">
        <v>186</v>
      </c>
      <c r="D28" s="17" t="s">
        <v>187</v>
      </c>
      <c r="E28" s="17" t="s">
        <v>188</v>
      </c>
      <c r="F28" s="17" t="s">
        <v>189</v>
      </c>
      <c r="G28" s="17" t="s">
        <v>190</v>
      </c>
    </row>
    <row r="29" customFormat="false" ht="15" hidden="false" customHeight="false" outlineLevel="0" collapsed="false">
      <c r="B29" s="18" t="str">
        <f aca="false">IFERROR(IF(INDEX(Milestones!$C$2:$C$501,MATCH(ROWS(B$29:B29),Milestones!$K$2:$K$501,0))="","",INDEX(Milestones!$C$2:$C$501,MATCH(ROWS(B$29:B29),Milestones!$K$2:$K$501,0))),"")</f>
        <v/>
      </c>
      <c r="C29" s="18" t="str">
        <f aca="false">IFERROR(IF(INDEX(Milestones!$B$2:$B$501,MATCH(ROWS(B$29:B29),Milestones!$K$2:$K$501,0))="","",INDEX(Milestones!$B$2:$B$501,MATCH(ROWS(B$29:B29),Milestones!$K$2:$K$501,0))),"")</f>
        <v/>
      </c>
      <c r="D29" s="24" t="str">
        <f aca="false">IFERROR(IF(INDEX(Milestones!$D$2:$D$501,MATCH(ROWS(B$29:B29),Milestones!$K$2:$K$501,0))="","",INDEX(Milestones!$D$2:$D$501,MATCH(ROWS(B$29:B29),Milestones!$K$2:$K$501,0))),"")</f>
        <v/>
      </c>
      <c r="E29" s="19" t="str">
        <f aca="false">IFERROR(IF(INDEX(Milestones!$F$2:$F$501,MATCH(ROWS(B$29:B29),Milestones!$K$2:$K$501,0))="","",INDEX(Milestones!$F$2:$F$501,MATCH(ROWS(B$29:B29),Milestones!$K$2:$K$501,0))),"")</f>
        <v/>
      </c>
      <c r="F29" s="19" t="str">
        <f aca="false">IFERROR(IF(INDEX(Milestones!$G$2:$G$501,MATCH(ROWS(B$29:B29),Milestones!$K$2:$K$501,0))="","",INDEX(Milestones!$G$2:$G$501,MATCH(ROWS(B$29:B29),Milestones!$K$2:$K$501,0))),"")</f>
        <v/>
      </c>
      <c r="G29" s="24" t="str">
        <f aca="false">IFERROR(IF(INDEX(Milestones!$J$2:$J$501,MATCH(ROWS(B$29:B29),Milestones!$K$2:$K$501,0))="","",INDEX(Milestones!$J$2:$J$501,MATCH(ROWS(B$29:B29),Milestones!$K$2:$K$501,0))),"")</f>
        <v/>
      </c>
    </row>
    <row r="30" customFormat="false" ht="15" hidden="false" customHeight="false" outlineLevel="0" collapsed="false">
      <c r="B30" s="18" t="str">
        <f aca="false">IFERROR(IF(INDEX(Milestones!$C$2:$C$501,MATCH(ROWS(B$29:B30),Milestones!$K$2:$K$501,0))="","",INDEX(Milestones!$C$2:$C$501,MATCH(ROWS(B$29:B30),Milestones!$K$2:$K$501,0))),"")</f>
        <v/>
      </c>
      <c r="C30" s="18" t="str">
        <f aca="false">IFERROR(IF(INDEX(Milestones!$B$2:$B$501,MATCH(ROWS(B$29:B30),Milestones!$K$2:$K$501,0))="","",INDEX(Milestones!$B$2:$B$501,MATCH(ROWS(B$29:B30),Milestones!$K$2:$K$501,0))),"")</f>
        <v/>
      </c>
      <c r="D30" s="24" t="str">
        <f aca="false">IFERROR(IF(INDEX(Milestones!$D$2:$D$501,MATCH(ROWS(B$29:B30),Milestones!$K$2:$K$501,0))="","",INDEX(Milestones!$D$2:$D$501,MATCH(ROWS(B$29:B30),Milestones!$K$2:$K$501,0))),"")</f>
        <v/>
      </c>
      <c r="E30" s="19" t="str">
        <f aca="false">IFERROR(IF(INDEX(Milestones!$F$2:$F$501,MATCH(ROWS(B$29:B30),Milestones!$K$2:$K$501,0))="","",INDEX(Milestones!$F$2:$F$501,MATCH(ROWS(B$29:B30),Milestones!$K$2:$K$501,0))),"")</f>
        <v/>
      </c>
      <c r="F30" s="19" t="str">
        <f aca="false">IFERROR(IF(INDEX(Milestones!$G$2:$G$501,MATCH(ROWS(B$29:B30),Milestones!$K$2:$K$501,0))="","",INDEX(Milestones!$G$2:$G$501,MATCH(ROWS(B$29:B30),Milestones!$K$2:$K$501,0))),"")</f>
        <v/>
      </c>
      <c r="G30" s="24" t="str">
        <f aca="false">IFERROR(IF(INDEX(Milestones!$J$2:$J$501,MATCH(ROWS(B$29:B30),Milestones!$K$2:$K$501,0))="","",INDEX(Milestones!$J$2:$J$501,MATCH(ROWS(B$29:B30),Milestones!$K$2:$K$501,0))),"")</f>
        <v/>
      </c>
    </row>
    <row r="31" customFormat="false" ht="15" hidden="false" customHeight="false" outlineLevel="0" collapsed="false">
      <c r="B31" s="18" t="str">
        <f aca="false">IFERROR(IF(INDEX(Milestones!$C$2:$C$501,MATCH(ROWS(B$29:B31),Milestones!$K$2:$K$501,0))="","",INDEX(Milestones!$C$2:$C$501,MATCH(ROWS(B$29:B31),Milestones!$K$2:$K$501,0))),"")</f>
        <v/>
      </c>
      <c r="C31" s="18" t="str">
        <f aca="false">IFERROR(IF(INDEX(Milestones!$B$2:$B$501,MATCH(ROWS(B$29:B31),Milestones!$K$2:$K$501,0))="","",INDEX(Milestones!$B$2:$B$501,MATCH(ROWS(B$29:B31),Milestones!$K$2:$K$501,0))),"")</f>
        <v/>
      </c>
      <c r="D31" s="24" t="str">
        <f aca="false">IFERROR(IF(INDEX(Milestones!$D$2:$D$501,MATCH(ROWS(B$29:B31),Milestones!$K$2:$K$501,0))="","",INDEX(Milestones!$D$2:$D$501,MATCH(ROWS(B$29:B31),Milestones!$K$2:$K$501,0))),"")</f>
        <v/>
      </c>
      <c r="E31" s="19" t="str">
        <f aca="false">IFERROR(IF(INDEX(Milestones!$F$2:$F$501,MATCH(ROWS(B$29:B31),Milestones!$K$2:$K$501,0))="","",INDEX(Milestones!$F$2:$F$501,MATCH(ROWS(B$29:B31),Milestones!$K$2:$K$501,0))),"")</f>
        <v/>
      </c>
      <c r="F31" s="19" t="str">
        <f aca="false">IFERROR(IF(INDEX(Milestones!$G$2:$G$501,MATCH(ROWS(B$29:B31),Milestones!$K$2:$K$501,0))="","",INDEX(Milestones!$G$2:$G$501,MATCH(ROWS(B$29:B31),Milestones!$K$2:$K$501,0))),"")</f>
        <v/>
      </c>
      <c r="G31" s="24" t="str">
        <f aca="false">IFERROR(IF(INDEX(Milestones!$J$2:$J$501,MATCH(ROWS(B$29:B31),Milestones!$K$2:$K$501,0))="","",INDEX(Milestones!$J$2:$J$501,MATCH(ROWS(B$29:B31),Milestones!$K$2:$K$501,0))),"")</f>
        <v/>
      </c>
    </row>
    <row r="32" customFormat="false" ht="15" hidden="false" customHeight="false" outlineLevel="0" collapsed="false">
      <c r="B32" s="18" t="str">
        <f aca="false">IFERROR(IF(INDEX(Milestones!$C$2:$C$501,MATCH(ROWS(B$29:B32),Milestones!$K$2:$K$501,0))="","",INDEX(Milestones!$C$2:$C$501,MATCH(ROWS(B$29:B32),Milestones!$K$2:$K$501,0))),"")</f>
        <v/>
      </c>
      <c r="C32" s="18" t="str">
        <f aca="false">IFERROR(IF(INDEX(Milestones!$B$2:$B$501,MATCH(ROWS(B$29:B32),Milestones!$K$2:$K$501,0))="","",INDEX(Milestones!$B$2:$B$501,MATCH(ROWS(B$29:B32),Milestones!$K$2:$K$501,0))),"")</f>
        <v/>
      </c>
      <c r="D32" s="24" t="str">
        <f aca="false">IFERROR(IF(INDEX(Milestones!$D$2:$D$501,MATCH(ROWS(B$29:B32),Milestones!$K$2:$K$501,0))="","",INDEX(Milestones!$D$2:$D$501,MATCH(ROWS(B$29:B32),Milestones!$K$2:$K$501,0))),"")</f>
        <v/>
      </c>
      <c r="E32" s="19" t="str">
        <f aca="false">IFERROR(IF(INDEX(Milestones!$F$2:$F$501,MATCH(ROWS(B$29:B32),Milestones!$K$2:$K$501,0))="","",INDEX(Milestones!$F$2:$F$501,MATCH(ROWS(B$29:B32),Milestones!$K$2:$K$501,0))),"")</f>
        <v/>
      </c>
      <c r="F32" s="19" t="str">
        <f aca="false">IFERROR(IF(INDEX(Milestones!$G$2:$G$501,MATCH(ROWS(B$29:B32),Milestones!$K$2:$K$501,0))="","",INDEX(Milestones!$G$2:$G$501,MATCH(ROWS(B$29:B32),Milestones!$K$2:$K$501,0))),"")</f>
        <v/>
      </c>
      <c r="G32" s="24" t="str">
        <f aca="false">IFERROR(IF(INDEX(Milestones!$J$2:$J$501,MATCH(ROWS(B$29:B32),Milestones!$K$2:$K$501,0))="","",INDEX(Milestones!$J$2:$J$501,MATCH(ROWS(B$29:B32),Milestones!$K$2:$K$501,0))),"")</f>
        <v/>
      </c>
    </row>
    <row r="33" customFormat="false" ht="15" hidden="false" customHeight="false" outlineLevel="0" collapsed="false">
      <c r="B33" s="18" t="str">
        <f aca="false">IFERROR(IF(INDEX(Milestones!$C$2:$C$501,MATCH(ROWS(B$29:B33),Milestones!$K$2:$K$501,0))="","",INDEX(Milestones!$C$2:$C$501,MATCH(ROWS(B$29:B33),Milestones!$K$2:$K$501,0))),"")</f>
        <v/>
      </c>
      <c r="C33" s="18" t="str">
        <f aca="false">IFERROR(IF(INDEX(Milestones!$B$2:$B$501,MATCH(ROWS(B$29:B33),Milestones!$K$2:$K$501,0))="","",INDEX(Milestones!$B$2:$B$501,MATCH(ROWS(B$29:B33),Milestones!$K$2:$K$501,0))),"")</f>
        <v/>
      </c>
      <c r="D33" s="24" t="str">
        <f aca="false">IFERROR(IF(INDEX(Milestones!$D$2:$D$501,MATCH(ROWS(B$29:B33),Milestones!$K$2:$K$501,0))="","",INDEX(Milestones!$D$2:$D$501,MATCH(ROWS(B$29:B33),Milestones!$K$2:$K$501,0))),"")</f>
        <v/>
      </c>
      <c r="E33" s="19" t="str">
        <f aca="false">IFERROR(IF(INDEX(Milestones!$F$2:$F$501,MATCH(ROWS(B$29:B33),Milestones!$K$2:$K$501,0))="","",INDEX(Milestones!$F$2:$F$501,MATCH(ROWS(B$29:B33),Milestones!$K$2:$K$501,0))),"")</f>
        <v/>
      </c>
      <c r="F33" s="19" t="str">
        <f aca="false">IFERROR(IF(INDEX(Milestones!$G$2:$G$501,MATCH(ROWS(B$29:B33),Milestones!$K$2:$K$501,0))="","",INDEX(Milestones!$G$2:$G$501,MATCH(ROWS(B$29:B33),Milestones!$K$2:$K$501,0))),"")</f>
        <v/>
      </c>
      <c r="G33" s="24" t="str">
        <f aca="false">IFERROR(IF(INDEX(Milestones!$J$2:$J$501,MATCH(ROWS(B$29:B33),Milestones!$K$2:$K$501,0))="","",INDEX(Milestones!$J$2:$J$501,MATCH(ROWS(B$29:B33),Milestones!$K$2:$K$501,0))),"")</f>
        <v/>
      </c>
    </row>
    <row r="34" customFormat="false" ht="15" hidden="false" customHeight="false" outlineLevel="0" collapsed="false">
      <c r="B34" s="18" t="str">
        <f aca="false">IFERROR(IF(INDEX(Milestones!$C$2:$C$501,MATCH(ROWS(B$29:B34),Milestones!$K$2:$K$501,0))="","",INDEX(Milestones!$C$2:$C$501,MATCH(ROWS(B$29:B34),Milestones!$K$2:$K$501,0))),"")</f>
        <v/>
      </c>
      <c r="C34" s="18" t="str">
        <f aca="false">IFERROR(IF(INDEX(Milestones!$B$2:$B$501,MATCH(ROWS(B$29:B34),Milestones!$K$2:$K$501,0))="","",INDEX(Milestones!$B$2:$B$501,MATCH(ROWS(B$29:B34),Milestones!$K$2:$K$501,0))),"")</f>
        <v/>
      </c>
      <c r="D34" s="24" t="str">
        <f aca="false">IFERROR(IF(INDEX(Milestones!$D$2:$D$501,MATCH(ROWS(B$29:B34),Milestones!$K$2:$K$501,0))="","",INDEX(Milestones!$D$2:$D$501,MATCH(ROWS(B$29:B34),Milestones!$K$2:$K$501,0))),"")</f>
        <v/>
      </c>
      <c r="E34" s="19" t="str">
        <f aca="false">IFERROR(IF(INDEX(Milestones!$F$2:$F$501,MATCH(ROWS(B$29:B34),Milestones!$K$2:$K$501,0))="","",INDEX(Milestones!$F$2:$F$501,MATCH(ROWS(B$29:B34),Milestones!$K$2:$K$501,0))),"")</f>
        <v/>
      </c>
      <c r="F34" s="19" t="str">
        <f aca="false">IFERROR(IF(INDEX(Milestones!$G$2:$G$501,MATCH(ROWS(B$29:B34),Milestones!$K$2:$K$501,0))="","",INDEX(Milestones!$G$2:$G$501,MATCH(ROWS(B$29:B34),Milestones!$K$2:$K$501,0))),"")</f>
        <v/>
      </c>
      <c r="G34" s="24" t="str">
        <f aca="false">IFERROR(IF(INDEX(Milestones!$J$2:$J$501,MATCH(ROWS(B$29:B34),Milestones!$K$2:$K$501,0))="","",INDEX(Milestones!$J$2:$J$501,MATCH(ROWS(B$29:B34),Milestones!$K$2:$K$501,0))),"")</f>
        <v/>
      </c>
    </row>
    <row r="35" customFormat="false" ht="15" hidden="false" customHeight="false" outlineLevel="0" collapsed="false">
      <c r="B35" s="18" t="str">
        <f aca="false">IFERROR(IF(INDEX(Milestones!$C$2:$C$501,MATCH(ROWS(B$29:B35),Milestones!$K$2:$K$501,0))="","",INDEX(Milestones!$C$2:$C$501,MATCH(ROWS(B$29:B35),Milestones!$K$2:$K$501,0))),"")</f>
        <v/>
      </c>
      <c r="C35" s="18" t="str">
        <f aca="false">IFERROR(IF(INDEX(Milestones!$B$2:$B$501,MATCH(ROWS(B$29:B35),Milestones!$K$2:$K$501,0))="","",INDEX(Milestones!$B$2:$B$501,MATCH(ROWS(B$29:B35),Milestones!$K$2:$K$501,0))),"")</f>
        <v/>
      </c>
      <c r="D35" s="24" t="str">
        <f aca="false">IFERROR(IF(INDEX(Milestones!$D$2:$D$501,MATCH(ROWS(B$29:B35),Milestones!$K$2:$K$501,0))="","",INDEX(Milestones!$D$2:$D$501,MATCH(ROWS(B$29:B35),Milestones!$K$2:$K$501,0))),"")</f>
        <v/>
      </c>
      <c r="E35" s="19" t="str">
        <f aca="false">IFERROR(IF(INDEX(Milestones!$F$2:$F$501,MATCH(ROWS(B$29:B35),Milestones!$K$2:$K$501,0))="","",INDEX(Milestones!$F$2:$F$501,MATCH(ROWS(B$29:B35),Milestones!$K$2:$K$501,0))),"")</f>
        <v/>
      </c>
      <c r="F35" s="19" t="str">
        <f aca="false">IFERROR(IF(INDEX(Milestones!$G$2:$G$501,MATCH(ROWS(B$29:B35),Milestones!$K$2:$K$501,0))="","",INDEX(Milestones!$G$2:$G$501,MATCH(ROWS(B$29:B35),Milestones!$K$2:$K$501,0))),"")</f>
        <v/>
      </c>
      <c r="G35" s="24" t="str">
        <f aca="false">IFERROR(IF(INDEX(Milestones!$J$2:$J$501,MATCH(ROWS(B$29:B35),Milestones!$K$2:$K$501,0))="","",INDEX(Milestones!$J$2:$J$501,MATCH(ROWS(B$29:B35),Milestones!$K$2:$K$501,0))),"")</f>
        <v/>
      </c>
    </row>
    <row r="36" customFormat="false" ht="15" hidden="false" customHeight="false" outlineLevel="0" collapsed="false">
      <c r="B36" s="18" t="str">
        <f aca="false">IFERROR(IF(INDEX(Milestones!$C$2:$C$501,MATCH(ROWS(B$29:B36),Milestones!$K$2:$K$501,0))="","",INDEX(Milestones!$C$2:$C$501,MATCH(ROWS(B$29:B36),Milestones!$K$2:$K$501,0))),"")</f>
        <v/>
      </c>
      <c r="C36" s="18" t="str">
        <f aca="false">IFERROR(IF(INDEX(Milestones!$B$2:$B$501,MATCH(ROWS(B$29:B36),Milestones!$K$2:$K$501,0))="","",INDEX(Milestones!$B$2:$B$501,MATCH(ROWS(B$29:B36),Milestones!$K$2:$K$501,0))),"")</f>
        <v/>
      </c>
      <c r="D36" s="24" t="str">
        <f aca="false">IFERROR(IF(INDEX(Milestones!$D$2:$D$501,MATCH(ROWS(B$29:B36),Milestones!$K$2:$K$501,0))="","",INDEX(Milestones!$D$2:$D$501,MATCH(ROWS(B$29:B36),Milestones!$K$2:$K$501,0))),"")</f>
        <v/>
      </c>
      <c r="E36" s="19" t="str">
        <f aca="false">IFERROR(IF(INDEX(Milestones!$F$2:$F$501,MATCH(ROWS(B$29:B36),Milestones!$K$2:$K$501,0))="","",INDEX(Milestones!$F$2:$F$501,MATCH(ROWS(B$29:B36),Milestones!$K$2:$K$501,0))),"")</f>
        <v/>
      </c>
      <c r="F36" s="19" t="str">
        <f aca="false">IFERROR(IF(INDEX(Milestones!$G$2:$G$501,MATCH(ROWS(B$29:B36),Milestones!$K$2:$K$501,0))="","",INDEX(Milestones!$G$2:$G$501,MATCH(ROWS(B$29:B36),Milestones!$K$2:$K$501,0))),"")</f>
        <v/>
      </c>
      <c r="G36" s="24" t="str">
        <f aca="false">IFERROR(IF(INDEX(Milestones!$J$2:$J$501,MATCH(ROWS(B$29:B36),Milestones!$K$2:$K$501,0))="","",INDEX(Milestones!$J$2:$J$501,MATCH(ROWS(B$29:B36),Milestones!$K$2:$K$501,0))),"")</f>
        <v/>
      </c>
    </row>
    <row r="37" customFormat="false" ht="15" hidden="false" customHeight="false" outlineLevel="0" collapsed="false">
      <c r="B37" s="18" t="str">
        <f aca="false">IFERROR(IF(INDEX(Milestones!$C$2:$C$501,MATCH(ROWS(B$29:B37),Milestones!$K$2:$K$501,0))="","",INDEX(Milestones!$C$2:$C$501,MATCH(ROWS(B$29:B37),Milestones!$K$2:$K$501,0))),"")</f>
        <v/>
      </c>
      <c r="C37" s="18" t="str">
        <f aca="false">IFERROR(IF(INDEX(Milestones!$B$2:$B$501,MATCH(ROWS(B$29:B37),Milestones!$K$2:$K$501,0))="","",INDEX(Milestones!$B$2:$B$501,MATCH(ROWS(B$29:B37),Milestones!$K$2:$K$501,0))),"")</f>
        <v/>
      </c>
      <c r="D37" s="24" t="str">
        <f aca="false">IFERROR(IF(INDEX(Milestones!$D$2:$D$501,MATCH(ROWS(B$29:B37),Milestones!$K$2:$K$501,0))="","",INDEX(Milestones!$D$2:$D$501,MATCH(ROWS(B$29:B37),Milestones!$K$2:$K$501,0))),"")</f>
        <v/>
      </c>
      <c r="E37" s="19" t="str">
        <f aca="false">IFERROR(IF(INDEX(Milestones!$F$2:$F$501,MATCH(ROWS(B$29:B37),Milestones!$K$2:$K$501,0))="","",INDEX(Milestones!$F$2:$F$501,MATCH(ROWS(B$29:B37),Milestones!$K$2:$K$501,0))),"")</f>
        <v/>
      </c>
      <c r="F37" s="19" t="str">
        <f aca="false">IFERROR(IF(INDEX(Milestones!$G$2:$G$501,MATCH(ROWS(B$29:B37),Milestones!$K$2:$K$501,0))="","",INDEX(Milestones!$G$2:$G$501,MATCH(ROWS(B$29:B37),Milestones!$K$2:$K$501,0))),"")</f>
        <v/>
      </c>
      <c r="G37" s="24" t="str">
        <f aca="false">IFERROR(IF(INDEX(Milestones!$J$2:$J$501,MATCH(ROWS(B$29:B37),Milestones!$K$2:$K$501,0))="","",INDEX(Milestones!$J$2:$J$501,MATCH(ROWS(B$29:B37),Milestones!$K$2:$K$501,0))),"")</f>
        <v/>
      </c>
    </row>
    <row r="38" customFormat="false" ht="15" hidden="false" customHeight="false" outlineLevel="0" collapsed="false">
      <c r="B38" s="18" t="str">
        <f aca="false">IFERROR(IF(INDEX(Milestones!$C$2:$C$501,MATCH(ROWS(B$29:B38),Milestones!$K$2:$K$501,0))="","",INDEX(Milestones!$C$2:$C$501,MATCH(ROWS(B$29:B38),Milestones!$K$2:$K$501,0))),"")</f>
        <v/>
      </c>
      <c r="C38" s="18" t="str">
        <f aca="false">IFERROR(IF(INDEX(Milestones!$B$2:$B$501,MATCH(ROWS(B$29:B38),Milestones!$K$2:$K$501,0))="","",INDEX(Milestones!$B$2:$B$501,MATCH(ROWS(B$29:B38),Milestones!$K$2:$K$501,0))),"")</f>
        <v/>
      </c>
      <c r="D38" s="24" t="str">
        <f aca="false">IFERROR(IF(INDEX(Milestones!$D$2:$D$501,MATCH(ROWS(B$29:B38),Milestones!$K$2:$K$501,0))="","",INDEX(Milestones!$D$2:$D$501,MATCH(ROWS(B$29:B38),Milestones!$K$2:$K$501,0))),"")</f>
        <v/>
      </c>
      <c r="E38" s="19" t="str">
        <f aca="false">IFERROR(IF(INDEX(Milestones!$F$2:$F$501,MATCH(ROWS(B$29:B38),Milestones!$K$2:$K$501,0))="","",INDEX(Milestones!$F$2:$F$501,MATCH(ROWS(B$29:B38),Milestones!$K$2:$K$501,0))),"")</f>
        <v/>
      </c>
      <c r="F38" s="19" t="str">
        <f aca="false">IFERROR(IF(INDEX(Milestones!$G$2:$G$501,MATCH(ROWS(B$29:B38),Milestones!$K$2:$K$501,0))="","",INDEX(Milestones!$G$2:$G$501,MATCH(ROWS(B$29:B38),Milestones!$K$2:$K$501,0))),"")</f>
        <v/>
      </c>
      <c r="G38" s="24" t="str">
        <f aca="false">IFERROR(IF(INDEX(Milestones!$J$2:$J$501,MATCH(ROWS(B$29:B38),Milestones!$K$2:$K$501,0))="","",INDEX(Milestones!$J$2:$J$501,MATCH(ROWS(B$29:B38),Milestones!$K$2:$K$501,0))),"")</f>
        <v/>
      </c>
    </row>
    <row r="39" customFormat="false" ht="15" hidden="false" customHeight="false" outlineLevel="0" collapsed="false">
      <c r="B39" s="18" t="str">
        <f aca="false">IFERROR(IF(INDEX(Milestones!$C$2:$C$501,MATCH(ROWS(B$29:B39),Milestones!$K$2:$K$501,0))="","",INDEX(Milestones!$C$2:$C$501,MATCH(ROWS(B$29:B39),Milestones!$K$2:$K$501,0))),"")</f>
        <v/>
      </c>
      <c r="C39" s="18" t="str">
        <f aca="false">IFERROR(IF(INDEX(Milestones!$B$2:$B$501,MATCH(ROWS(B$29:B39),Milestones!$K$2:$K$501,0))="","",INDEX(Milestones!$B$2:$B$501,MATCH(ROWS(B$29:B39),Milestones!$K$2:$K$501,0))),"")</f>
        <v/>
      </c>
      <c r="D39" s="24" t="str">
        <f aca="false">IFERROR(IF(INDEX(Milestones!$D$2:$D$501,MATCH(ROWS(B$29:B39),Milestones!$K$2:$K$501,0))="","",INDEX(Milestones!$D$2:$D$501,MATCH(ROWS(B$29:B39),Milestones!$K$2:$K$501,0))),"")</f>
        <v/>
      </c>
      <c r="E39" s="19" t="str">
        <f aca="false">IFERROR(IF(INDEX(Milestones!$F$2:$F$501,MATCH(ROWS(B$29:B39),Milestones!$K$2:$K$501,0))="","",INDEX(Milestones!$F$2:$F$501,MATCH(ROWS(B$29:B39),Milestones!$K$2:$K$501,0))),"")</f>
        <v/>
      </c>
      <c r="F39" s="19" t="str">
        <f aca="false">IFERROR(IF(INDEX(Milestones!$G$2:$G$501,MATCH(ROWS(B$29:B39),Milestones!$K$2:$K$501,0))="","",INDEX(Milestones!$G$2:$G$501,MATCH(ROWS(B$29:B39),Milestones!$K$2:$K$501,0))),"")</f>
        <v/>
      </c>
      <c r="G39" s="24" t="str">
        <f aca="false">IFERROR(IF(INDEX(Milestones!$J$2:$J$501,MATCH(ROWS(B$29:B39),Milestones!$K$2:$K$501,0))="","",INDEX(Milestones!$J$2:$J$501,MATCH(ROWS(B$29:B39),Milestones!$K$2:$K$501,0))),"")</f>
        <v/>
      </c>
    </row>
    <row r="40" customFormat="false" ht="15" hidden="false" customHeight="false" outlineLevel="0" collapsed="false">
      <c r="B40" s="18" t="str">
        <f aca="false">IFERROR(IF(INDEX(Milestones!$C$2:$C$501,MATCH(ROWS(B$29:B40),Milestones!$K$2:$K$501,0))="","",INDEX(Milestones!$C$2:$C$501,MATCH(ROWS(B$29:B40),Milestones!$K$2:$K$501,0))),"")</f>
        <v/>
      </c>
      <c r="C40" s="18" t="str">
        <f aca="false">IFERROR(IF(INDEX(Milestones!$B$2:$B$501,MATCH(ROWS(B$29:B40),Milestones!$K$2:$K$501,0))="","",INDEX(Milestones!$B$2:$B$501,MATCH(ROWS(B$29:B40),Milestones!$K$2:$K$501,0))),"")</f>
        <v/>
      </c>
      <c r="D40" s="24" t="str">
        <f aca="false">IFERROR(IF(INDEX(Milestones!$D$2:$D$501,MATCH(ROWS(B$29:B40),Milestones!$K$2:$K$501,0))="","",INDEX(Milestones!$D$2:$D$501,MATCH(ROWS(B$29:B40),Milestones!$K$2:$K$501,0))),"")</f>
        <v/>
      </c>
      <c r="E40" s="19" t="str">
        <f aca="false">IFERROR(IF(INDEX(Milestones!$F$2:$F$501,MATCH(ROWS(B$29:B40),Milestones!$K$2:$K$501,0))="","",INDEX(Milestones!$F$2:$F$501,MATCH(ROWS(B$29:B40),Milestones!$K$2:$K$501,0))),"")</f>
        <v/>
      </c>
      <c r="F40" s="19" t="str">
        <f aca="false">IFERROR(IF(INDEX(Milestones!$G$2:$G$501,MATCH(ROWS(B$29:B40),Milestones!$K$2:$K$501,0))="","",INDEX(Milestones!$G$2:$G$501,MATCH(ROWS(B$29:B40),Milestones!$K$2:$K$501,0))),"")</f>
        <v/>
      </c>
      <c r="G40" s="24" t="str">
        <f aca="false">IFERROR(IF(INDEX(Milestones!$J$2:$J$501,MATCH(ROWS(B$29:B40),Milestones!$K$2:$K$501,0))="","",INDEX(Milestones!$J$2:$J$501,MATCH(ROWS(B$29:B40),Milestones!$K$2:$K$501,0))),"")</f>
        <v/>
      </c>
    </row>
    <row r="43" customFormat="false" ht="15" hidden="false" customHeight="false" outlineLevel="0" collapsed="false">
      <c r="B43" s="16" t="s">
        <v>191</v>
      </c>
      <c r="C43" s="4"/>
      <c r="D43" s="4"/>
      <c r="E43" s="4"/>
      <c r="F43" s="4"/>
      <c r="G43" s="4"/>
    </row>
    <row r="44" customFormat="false" ht="15" hidden="false" customHeight="false" outlineLevel="0" collapsed="false">
      <c r="B44" s="17" t="s">
        <v>119</v>
      </c>
      <c r="C44" s="17" t="s">
        <v>161</v>
      </c>
      <c r="D44" s="17" t="s">
        <v>158</v>
      </c>
      <c r="E44" s="17" t="s">
        <v>111</v>
      </c>
      <c r="F44" s="17" t="s">
        <v>192</v>
      </c>
      <c r="G44" s="17" t="s">
        <v>129</v>
      </c>
    </row>
    <row r="45" customFormat="false" ht="15" hidden="false" customHeight="false" outlineLevel="0" collapsed="false">
      <c r="B45" s="18" t="str">
        <f aca="false">IFERROR(IF(INDEX(Risks!$C$2:$C$501,MATCH(LARGE(Risks!$T$2:$T$501,ROWS(B$45:B45)),Risks!$T$2:$T$501,0))="","",INDEX(Risks!$C$2:$C$501,MATCH(LARGE(Risks!$T$2:$T$501,ROWS(B$45:B45)),Risks!$T$2:$T$501,0))),"")</f>
        <v/>
      </c>
      <c r="C45" s="18" t="str">
        <f aca="false">IFERROR(IF(INDEX(Risks!$O$2:$O$501,MATCH(LARGE(Risks!$T$2:$T$501,ROWS(B$45:B45)),Risks!$T$2:$T$501,0))="","",INDEX(Risks!$O$2:$O$501,MATCH(LARGE(Risks!$T$2:$T$501,ROWS(B$45:B45)),Risks!$T$2:$T$501,0))),"")</f>
        <v/>
      </c>
      <c r="D45" s="18" t="str">
        <f aca="false">IFERROR(IF(INDEX(Risks!$K$2:$K$501,MATCH(LARGE(Risks!$T$2:$T$501,ROWS(B$45:B45)),Risks!$T$2:$T$501,0))="","",INDEX(Risks!$K$2:$K$501,MATCH(LARGE(Risks!$T$2:$T$501,ROWS(B$45:B45)),Risks!$T$2:$T$501,0))),"")</f>
        <v/>
      </c>
      <c r="E45" s="18" t="str">
        <f aca="false">IFERROR(IF(INDEX(Risks!$M$2:$M$501,MATCH(LARGE(Risks!$T$2:$T$501,ROWS(B$45:B45)),Risks!$T$2:$T$501,0))="","",INDEX(Risks!$M$2:$M$501,MATCH(LARGE(Risks!$T$2:$T$501,ROWS(B$45:B45)),Risks!$T$2:$T$501,0))),"")</f>
        <v/>
      </c>
      <c r="F45" s="18" t="str">
        <f aca="false">IFERROR(IF(INDEX(Risks!$J$2:$J$501,MATCH(LARGE(Risks!$T$2:$T$501,ROWS(B$45:B45)),Risks!$T$2:$T$501,0))="","",INDEX(Risks!$J$2:$J$501,MATCH(LARGE(Risks!$T$2:$T$501,ROWS(B$45:B45)),Risks!$T$2:$T$501,0))),"")</f>
        <v/>
      </c>
      <c r="G45" s="19" t="str">
        <f aca="false">IFERROR(IF(INDEX(Risks!$L$2:$L$501,MATCH(LARGE(Risks!$T$2:$T$501,ROWS(B$45:B45)),Risks!$T$2:$T$501,0))="","",INDEX(Risks!$L$2:$L$501,MATCH(LARGE(Risks!$T$2:$T$501,ROWS(B$45:B45)),Risks!$T$2:$T$501,0))),"")</f>
        <v/>
      </c>
    </row>
    <row r="46" customFormat="false" ht="15" hidden="false" customHeight="false" outlineLevel="0" collapsed="false">
      <c r="B46" s="18" t="str">
        <f aca="false">IFERROR(IF(INDEX(Risks!$C$2:$C$501,MATCH(LARGE(Risks!$T$2:$T$501,ROWS(B$45:B46)),Risks!$T$2:$T$501,0))="","",INDEX(Risks!$C$2:$C$501,MATCH(LARGE(Risks!$T$2:$T$501,ROWS(B$45:B46)),Risks!$T$2:$T$501,0))),"")</f>
        <v/>
      </c>
      <c r="C46" s="18" t="str">
        <f aca="false">IFERROR(IF(INDEX(Risks!$O$2:$O$501,MATCH(LARGE(Risks!$T$2:$T$501,ROWS(B$45:B46)),Risks!$T$2:$T$501,0))="","",INDEX(Risks!$O$2:$O$501,MATCH(LARGE(Risks!$T$2:$T$501,ROWS(B$45:B46)),Risks!$T$2:$T$501,0))),"")</f>
        <v/>
      </c>
      <c r="D46" s="18" t="str">
        <f aca="false">IFERROR(IF(INDEX(Risks!$K$2:$K$501,MATCH(LARGE(Risks!$T$2:$T$501,ROWS(B$45:B46)),Risks!$T$2:$T$501,0))="","",INDEX(Risks!$K$2:$K$501,MATCH(LARGE(Risks!$T$2:$T$501,ROWS(B$45:B46)),Risks!$T$2:$T$501,0))),"")</f>
        <v/>
      </c>
      <c r="E46" s="18" t="str">
        <f aca="false">IFERROR(IF(INDEX(Risks!$M$2:$M$501,MATCH(LARGE(Risks!$T$2:$T$501,ROWS(B$45:B46)),Risks!$T$2:$T$501,0))="","",INDEX(Risks!$M$2:$M$501,MATCH(LARGE(Risks!$T$2:$T$501,ROWS(B$45:B46)),Risks!$T$2:$T$501,0))),"")</f>
        <v/>
      </c>
      <c r="F46" s="18" t="str">
        <f aca="false">IFERROR(IF(INDEX(Risks!$J$2:$J$501,MATCH(LARGE(Risks!$T$2:$T$501,ROWS(B$45:B46)),Risks!$T$2:$T$501,0))="","",INDEX(Risks!$J$2:$J$501,MATCH(LARGE(Risks!$T$2:$T$501,ROWS(B$45:B46)),Risks!$T$2:$T$501,0))),"")</f>
        <v/>
      </c>
      <c r="G46" s="19" t="str">
        <f aca="false">IFERROR(IF(INDEX(Risks!$L$2:$L$501,MATCH(LARGE(Risks!$T$2:$T$501,ROWS(B$45:B46)),Risks!$T$2:$T$501,0))="","",INDEX(Risks!$L$2:$L$501,MATCH(LARGE(Risks!$T$2:$T$501,ROWS(B$45:B46)),Risks!$T$2:$T$501,0))),"")</f>
        <v/>
      </c>
    </row>
    <row r="47" customFormat="false" ht="15" hidden="false" customHeight="false" outlineLevel="0" collapsed="false">
      <c r="B47" s="18" t="str">
        <f aca="false">IFERROR(IF(INDEX(Risks!$C$2:$C$501,MATCH(LARGE(Risks!$T$2:$T$501,ROWS(B$45:B47)),Risks!$T$2:$T$501,0))="","",INDEX(Risks!$C$2:$C$501,MATCH(LARGE(Risks!$T$2:$T$501,ROWS(B$45:B47)),Risks!$T$2:$T$501,0))),"")</f>
        <v/>
      </c>
      <c r="C47" s="18" t="str">
        <f aca="false">IFERROR(IF(INDEX(Risks!$O$2:$O$501,MATCH(LARGE(Risks!$T$2:$T$501,ROWS(B$45:B47)),Risks!$T$2:$T$501,0))="","",INDEX(Risks!$O$2:$O$501,MATCH(LARGE(Risks!$T$2:$T$501,ROWS(B$45:B47)),Risks!$T$2:$T$501,0))),"")</f>
        <v/>
      </c>
      <c r="D47" s="18" t="str">
        <f aca="false">IFERROR(IF(INDEX(Risks!$K$2:$K$501,MATCH(LARGE(Risks!$T$2:$T$501,ROWS(B$45:B47)),Risks!$T$2:$T$501,0))="","",INDEX(Risks!$K$2:$K$501,MATCH(LARGE(Risks!$T$2:$T$501,ROWS(B$45:B47)),Risks!$T$2:$T$501,0))),"")</f>
        <v/>
      </c>
      <c r="E47" s="18" t="str">
        <f aca="false">IFERROR(IF(INDEX(Risks!$M$2:$M$501,MATCH(LARGE(Risks!$T$2:$T$501,ROWS(B$45:B47)),Risks!$T$2:$T$501,0))="","",INDEX(Risks!$M$2:$M$501,MATCH(LARGE(Risks!$T$2:$T$501,ROWS(B$45:B47)),Risks!$T$2:$T$501,0))),"")</f>
        <v/>
      </c>
      <c r="F47" s="18" t="str">
        <f aca="false">IFERROR(IF(INDEX(Risks!$J$2:$J$501,MATCH(LARGE(Risks!$T$2:$T$501,ROWS(B$45:B47)),Risks!$T$2:$T$501,0))="","",INDEX(Risks!$J$2:$J$501,MATCH(LARGE(Risks!$T$2:$T$501,ROWS(B$45:B47)),Risks!$T$2:$T$501,0))),"")</f>
        <v/>
      </c>
      <c r="G47" s="19" t="str">
        <f aca="false">IFERROR(IF(INDEX(Risks!$L$2:$L$501,MATCH(LARGE(Risks!$T$2:$T$501,ROWS(B$45:B47)),Risks!$T$2:$T$501,0))="","",INDEX(Risks!$L$2:$L$501,MATCH(LARGE(Risks!$T$2:$T$501,ROWS(B$45:B47)),Risks!$T$2:$T$501,0))),"")</f>
        <v/>
      </c>
    </row>
    <row r="48" customFormat="false" ht="15" hidden="false" customHeight="false" outlineLevel="0" collapsed="false">
      <c r="B48" s="18" t="str">
        <f aca="false">IFERROR(IF(INDEX(Risks!$C$2:$C$501,MATCH(LARGE(Risks!$T$2:$T$501,ROWS(B$45:B48)),Risks!$T$2:$T$501,0))="","",INDEX(Risks!$C$2:$C$501,MATCH(LARGE(Risks!$T$2:$T$501,ROWS(B$45:B48)),Risks!$T$2:$T$501,0))),"")</f>
        <v/>
      </c>
      <c r="C48" s="18" t="str">
        <f aca="false">IFERROR(IF(INDEX(Risks!$O$2:$O$501,MATCH(LARGE(Risks!$T$2:$T$501,ROWS(B$45:B48)),Risks!$T$2:$T$501,0))="","",INDEX(Risks!$O$2:$O$501,MATCH(LARGE(Risks!$T$2:$T$501,ROWS(B$45:B48)),Risks!$T$2:$T$501,0))),"")</f>
        <v/>
      </c>
      <c r="D48" s="18" t="str">
        <f aca="false">IFERROR(IF(INDEX(Risks!$K$2:$K$501,MATCH(LARGE(Risks!$T$2:$T$501,ROWS(B$45:B48)),Risks!$T$2:$T$501,0))="","",INDEX(Risks!$K$2:$K$501,MATCH(LARGE(Risks!$T$2:$T$501,ROWS(B$45:B48)),Risks!$T$2:$T$501,0))),"")</f>
        <v/>
      </c>
      <c r="E48" s="18" t="str">
        <f aca="false">IFERROR(IF(INDEX(Risks!$M$2:$M$501,MATCH(LARGE(Risks!$T$2:$T$501,ROWS(B$45:B48)),Risks!$T$2:$T$501,0))="","",INDEX(Risks!$M$2:$M$501,MATCH(LARGE(Risks!$T$2:$T$501,ROWS(B$45:B48)),Risks!$T$2:$T$501,0))),"")</f>
        <v/>
      </c>
      <c r="F48" s="18" t="str">
        <f aca="false">IFERROR(IF(INDEX(Risks!$J$2:$J$501,MATCH(LARGE(Risks!$T$2:$T$501,ROWS(B$45:B48)),Risks!$T$2:$T$501,0))="","",INDEX(Risks!$J$2:$J$501,MATCH(LARGE(Risks!$T$2:$T$501,ROWS(B$45:B48)),Risks!$T$2:$T$501,0))),"")</f>
        <v/>
      </c>
      <c r="G48" s="19" t="str">
        <f aca="false">IFERROR(IF(INDEX(Risks!$L$2:$L$501,MATCH(LARGE(Risks!$T$2:$T$501,ROWS(B$45:B48)),Risks!$T$2:$T$501,0))="","",INDEX(Risks!$L$2:$L$501,MATCH(LARGE(Risks!$T$2:$T$501,ROWS(B$45:B48)),Risks!$T$2:$T$501,0))),"")</f>
        <v/>
      </c>
    </row>
    <row r="49" customFormat="false" ht="15" hidden="false" customHeight="false" outlineLevel="0" collapsed="false">
      <c r="B49" s="18" t="str">
        <f aca="false">IFERROR(IF(INDEX(Risks!$C$2:$C$501,MATCH(LARGE(Risks!$T$2:$T$501,ROWS(B$45:B49)),Risks!$T$2:$T$501,0))="","",INDEX(Risks!$C$2:$C$501,MATCH(LARGE(Risks!$T$2:$T$501,ROWS(B$45:B49)),Risks!$T$2:$T$501,0))),"")</f>
        <v/>
      </c>
      <c r="C49" s="18" t="str">
        <f aca="false">IFERROR(IF(INDEX(Risks!$O$2:$O$501,MATCH(LARGE(Risks!$T$2:$T$501,ROWS(B$45:B49)),Risks!$T$2:$T$501,0))="","",INDEX(Risks!$O$2:$O$501,MATCH(LARGE(Risks!$T$2:$T$501,ROWS(B$45:B49)),Risks!$T$2:$T$501,0))),"")</f>
        <v/>
      </c>
      <c r="D49" s="18" t="str">
        <f aca="false">IFERROR(IF(INDEX(Risks!$K$2:$K$501,MATCH(LARGE(Risks!$T$2:$T$501,ROWS(B$45:B49)),Risks!$T$2:$T$501,0))="","",INDEX(Risks!$K$2:$K$501,MATCH(LARGE(Risks!$T$2:$T$501,ROWS(B$45:B49)),Risks!$T$2:$T$501,0))),"")</f>
        <v/>
      </c>
      <c r="E49" s="18" t="str">
        <f aca="false">IFERROR(IF(INDEX(Risks!$M$2:$M$501,MATCH(LARGE(Risks!$T$2:$T$501,ROWS(B$45:B49)),Risks!$T$2:$T$501,0))="","",INDEX(Risks!$M$2:$M$501,MATCH(LARGE(Risks!$T$2:$T$501,ROWS(B$45:B49)),Risks!$T$2:$T$501,0))),"")</f>
        <v/>
      </c>
      <c r="F49" s="18" t="str">
        <f aca="false">IFERROR(IF(INDEX(Risks!$J$2:$J$501,MATCH(LARGE(Risks!$T$2:$T$501,ROWS(B$45:B49)),Risks!$T$2:$T$501,0))="","",INDEX(Risks!$J$2:$J$501,MATCH(LARGE(Risks!$T$2:$T$501,ROWS(B$45:B49)),Risks!$T$2:$T$501,0))),"")</f>
        <v/>
      </c>
      <c r="G49" s="19" t="str">
        <f aca="false">IFERROR(IF(INDEX(Risks!$L$2:$L$501,MATCH(LARGE(Risks!$T$2:$T$501,ROWS(B$45:B49)),Risks!$T$2:$T$501,0))="","",INDEX(Risks!$L$2:$L$501,MATCH(LARGE(Risks!$T$2:$T$501,ROWS(B$45:B49)),Risks!$T$2:$T$501,0))),"")</f>
        <v/>
      </c>
    </row>
    <row r="50" customFormat="false" ht="15" hidden="false" customHeight="false" outlineLevel="0" collapsed="false">
      <c r="B50" s="18" t="str">
        <f aca="false">IFERROR(IF(INDEX(Risks!$C$2:$C$501,MATCH(LARGE(Risks!$T$2:$T$501,ROWS(B$45:B50)),Risks!$T$2:$T$501,0))="","",INDEX(Risks!$C$2:$C$501,MATCH(LARGE(Risks!$T$2:$T$501,ROWS(B$45:B50)),Risks!$T$2:$T$501,0))),"")</f>
        <v/>
      </c>
      <c r="C50" s="18" t="str">
        <f aca="false">IFERROR(IF(INDEX(Risks!$O$2:$O$501,MATCH(LARGE(Risks!$T$2:$T$501,ROWS(B$45:B50)),Risks!$T$2:$T$501,0))="","",INDEX(Risks!$O$2:$O$501,MATCH(LARGE(Risks!$T$2:$T$501,ROWS(B$45:B50)),Risks!$T$2:$T$501,0))),"")</f>
        <v/>
      </c>
      <c r="D50" s="18" t="str">
        <f aca="false">IFERROR(IF(INDEX(Risks!$K$2:$K$501,MATCH(LARGE(Risks!$T$2:$T$501,ROWS(B$45:B50)),Risks!$T$2:$T$501,0))="","",INDEX(Risks!$K$2:$K$501,MATCH(LARGE(Risks!$T$2:$T$501,ROWS(B$45:B50)),Risks!$T$2:$T$501,0))),"")</f>
        <v/>
      </c>
      <c r="E50" s="18" t="str">
        <f aca="false">IFERROR(IF(INDEX(Risks!$M$2:$M$501,MATCH(LARGE(Risks!$T$2:$T$501,ROWS(B$45:B50)),Risks!$T$2:$T$501,0))="","",INDEX(Risks!$M$2:$M$501,MATCH(LARGE(Risks!$T$2:$T$501,ROWS(B$45:B50)),Risks!$T$2:$T$501,0))),"")</f>
        <v/>
      </c>
      <c r="F50" s="18" t="str">
        <f aca="false">IFERROR(IF(INDEX(Risks!$J$2:$J$501,MATCH(LARGE(Risks!$T$2:$T$501,ROWS(B$45:B50)),Risks!$T$2:$T$501,0))="","",INDEX(Risks!$J$2:$J$501,MATCH(LARGE(Risks!$T$2:$T$501,ROWS(B$45:B50)),Risks!$T$2:$T$501,0))),"")</f>
        <v/>
      </c>
      <c r="G50" s="19" t="str">
        <f aca="false">IFERROR(IF(INDEX(Risks!$L$2:$L$501,MATCH(LARGE(Risks!$T$2:$T$501,ROWS(B$45:B50)),Risks!$T$2:$T$501,0))="","",INDEX(Risks!$L$2:$L$501,MATCH(LARGE(Risks!$T$2:$T$501,ROWS(B$45:B50)),Risks!$T$2:$T$501,0))),"")</f>
        <v/>
      </c>
    </row>
    <row r="51" customFormat="false" ht="15" hidden="false" customHeight="false" outlineLevel="0" collapsed="false">
      <c r="B51" s="18" t="str">
        <f aca="false">IFERROR(IF(INDEX(Risks!$C$2:$C$501,MATCH(LARGE(Risks!$T$2:$T$501,ROWS(B$45:B51)),Risks!$T$2:$T$501,0))="","",INDEX(Risks!$C$2:$C$501,MATCH(LARGE(Risks!$T$2:$T$501,ROWS(B$45:B51)),Risks!$T$2:$T$501,0))),"")</f>
        <v/>
      </c>
      <c r="C51" s="18" t="str">
        <f aca="false">IFERROR(IF(INDEX(Risks!$O$2:$O$501,MATCH(LARGE(Risks!$T$2:$T$501,ROWS(B$45:B51)),Risks!$T$2:$T$501,0))="","",INDEX(Risks!$O$2:$O$501,MATCH(LARGE(Risks!$T$2:$T$501,ROWS(B$45:B51)),Risks!$T$2:$T$501,0))),"")</f>
        <v/>
      </c>
      <c r="D51" s="18" t="str">
        <f aca="false">IFERROR(IF(INDEX(Risks!$K$2:$K$501,MATCH(LARGE(Risks!$T$2:$T$501,ROWS(B$45:B51)),Risks!$T$2:$T$501,0))="","",INDEX(Risks!$K$2:$K$501,MATCH(LARGE(Risks!$T$2:$T$501,ROWS(B$45:B51)),Risks!$T$2:$T$501,0))),"")</f>
        <v/>
      </c>
      <c r="E51" s="18" t="str">
        <f aca="false">IFERROR(IF(INDEX(Risks!$M$2:$M$501,MATCH(LARGE(Risks!$T$2:$T$501,ROWS(B$45:B51)),Risks!$T$2:$T$501,0))="","",INDEX(Risks!$M$2:$M$501,MATCH(LARGE(Risks!$T$2:$T$501,ROWS(B$45:B51)),Risks!$T$2:$T$501,0))),"")</f>
        <v/>
      </c>
      <c r="F51" s="18" t="str">
        <f aca="false">IFERROR(IF(INDEX(Risks!$J$2:$J$501,MATCH(LARGE(Risks!$T$2:$T$501,ROWS(B$45:B51)),Risks!$T$2:$T$501,0))="","",INDEX(Risks!$J$2:$J$501,MATCH(LARGE(Risks!$T$2:$T$501,ROWS(B$45:B51)),Risks!$T$2:$T$501,0))),"")</f>
        <v/>
      </c>
      <c r="G51" s="19" t="str">
        <f aca="false">IFERROR(IF(INDEX(Risks!$L$2:$L$501,MATCH(LARGE(Risks!$T$2:$T$501,ROWS(B$45:B51)),Risks!$T$2:$T$501,0))="","",INDEX(Risks!$L$2:$L$501,MATCH(LARGE(Risks!$T$2:$T$501,ROWS(B$45:B51)),Risks!$T$2:$T$501,0))),"")</f>
        <v/>
      </c>
    </row>
    <row r="52" customFormat="false" ht="15" hidden="false" customHeight="false" outlineLevel="0" collapsed="false">
      <c r="B52" s="18" t="str">
        <f aca="false">IFERROR(IF(INDEX(Risks!$C$2:$C$501,MATCH(LARGE(Risks!$T$2:$T$501,ROWS(B$45:B52)),Risks!$T$2:$T$501,0))="","",INDEX(Risks!$C$2:$C$501,MATCH(LARGE(Risks!$T$2:$T$501,ROWS(B$45:B52)),Risks!$T$2:$T$501,0))),"")</f>
        <v/>
      </c>
      <c r="C52" s="18" t="str">
        <f aca="false">IFERROR(IF(INDEX(Risks!$O$2:$O$501,MATCH(LARGE(Risks!$T$2:$T$501,ROWS(B$45:B52)),Risks!$T$2:$T$501,0))="","",INDEX(Risks!$O$2:$O$501,MATCH(LARGE(Risks!$T$2:$T$501,ROWS(B$45:B52)),Risks!$T$2:$T$501,0))),"")</f>
        <v/>
      </c>
      <c r="D52" s="18" t="str">
        <f aca="false">IFERROR(IF(INDEX(Risks!$K$2:$K$501,MATCH(LARGE(Risks!$T$2:$T$501,ROWS(B$45:B52)),Risks!$T$2:$T$501,0))="","",INDEX(Risks!$K$2:$K$501,MATCH(LARGE(Risks!$T$2:$T$501,ROWS(B$45:B52)),Risks!$T$2:$T$501,0))),"")</f>
        <v/>
      </c>
      <c r="E52" s="18" t="str">
        <f aca="false">IFERROR(IF(INDEX(Risks!$M$2:$M$501,MATCH(LARGE(Risks!$T$2:$T$501,ROWS(B$45:B52)),Risks!$T$2:$T$501,0))="","",INDEX(Risks!$M$2:$M$501,MATCH(LARGE(Risks!$T$2:$T$501,ROWS(B$45:B52)),Risks!$T$2:$T$501,0))),"")</f>
        <v/>
      </c>
      <c r="F52" s="18" t="str">
        <f aca="false">IFERROR(IF(INDEX(Risks!$J$2:$J$501,MATCH(LARGE(Risks!$T$2:$T$501,ROWS(B$45:B52)),Risks!$T$2:$T$501,0))="","",INDEX(Risks!$J$2:$J$501,MATCH(LARGE(Risks!$T$2:$T$501,ROWS(B$45:B52)),Risks!$T$2:$T$501,0))),"")</f>
        <v/>
      </c>
      <c r="G52" s="19" t="str">
        <f aca="false">IFERROR(IF(INDEX(Risks!$L$2:$L$501,MATCH(LARGE(Risks!$T$2:$T$501,ROWS(B$45:B52)),Risks!$T$2:$T$501,0))="","",INDEX(Risks!$L$2:$L$501,MATCH(LARGE(Risks!$T$2:$T$501,ROWS(B$45:B52)),Risks!$T$2:$T$501,0))),"")</f>
        <v/>
      </c>
    </row>
    <row r="55" customFormat="false" ht="15" hidden="false" customHeight="false" outlineLevel="0" collapsed="false">
      <c r="B55" s="16" t="s">
        <v>73</v>
      </c>
      <c r="C55" s="4"/>
      <c r="D55" s="4"/>
      <c r="E55" s="4"/>
      <c r="F55" s="4"/>
      <c r="G55" s="4"/>
    </row>
    <row r="56" customFormat="false" ht="15" hidden="false" customHeight="false" outlineLevel="0" collapsed="false">
      <c r="B56" s="17" t="s">
        <v>193</v>
      </c>
      <c r="C56" s="17" t="s">
        <v>194</v>
      </c>
      <c r="D56" s="17" t="s">
        <v>195</v>
      </c>
      <c r="E56" s="17" t="s">
        <v>196</v>
      </c>
      <c r="F56" s="17" t="s">
        <v>111</v>
      </c>
      <c r="G56" s="17" t="s">
        <v>197</v>
      </c>
    </row>
    <row r="57" customFormat="false" ht="15" hidden="false" customHeight="false" outlineLevel="0" collapsed="false">
      <c r="B57" s="18" t="str">
        <f aca="false">IFERROR(IF(INDEX(Variations!$C$2:$C$501,MATCH(ROWS(B$57:B57),Variations!$L$2:$L$501,0))="","",INDEX(Variations!$C$2:$C$501,MATCH(ROWS(B$57:B57),Variations!$L$2:$L$501,0))),"")</f>
        <v/>
      </c>
      <c r="C57" s="18" t="str">
        <f aca="false">IFERROR(IF(INDEX(Variations!$B$2:$B$501,MATCH(ROWS(B$57:B57),Variations!$L$2:$L$501,0))="","",INDEX(Variations!$B$2:$B$501,MATCH(ROWS(B$57:B57),Variations!$L$2:$L$501,0))),"")</f>
        <v/>
      </c>
      <c r="D57" s="20" t="str">
        <f aca="false">IFERROR(IF(INDEX(Variations!$F$2:$F$501,MATCH(ROWS(B$57:B57),Variations!$L$2:$L$501,0))="","",INDEX(Variations!$F$2:$F$501,MATCH(ROWS(B$57:B57),Variations!$L$2:$L$501,0))),"")</f>
        <v/>
      </c>
      <c r="E57" s="24" t="str">
        <f aca="false">IFERROR(IF(INDEX(Variations!$G$2:$G$501,MATCH(ROWS(B$57:B57),Variations!$L$2:$L$501,0))="","",INDEX(Variations!$G$2:$G$501,MATCH(ROWS(B$57:B57),Variations!$L$2:$L$501,0))),"")</f>
        <v/>
      </c>
      <c r="F57" s="18" t="str">
        <f aca="false">IFERROR(IF(INDEX(Variations!$H$2:$H$501,MATCH(ROWS(B$57:B57),Variations!$L$2:$L$501,0))="","",INDEX(Variations!$H$2:$H$501,MATCH(ROWS(B$57:B57),Variations!$L$2:$L$501,0))),"")</f>
        <v/>
      </c>
      <c r="G57" s="19" t="str">
        <f aca="false">IFERROR(IF(INDEX(Variations!$I$2:$I$501,MATCH(ROWS(B$57:B57),Variations!$L$2:$L$501,0))="","",INDEX(Variations!$I$2:$I$501,MATCH(ROWS(B$57:B57),Variations!$L$2:$L$501,0))),"")</f>
        <v/>
      </c>
    </row>
    <row r="58" customFormat="false" ht="15" hidden="false" customHeight="false" outlineLevel="0" collapsed="false">
      <c r="B58" s="18" t="str">
        <f aca="false">IFERROR(IF(INDEX(Variations!$C$2:$C$501,MATCH(ROWS(B$57:B58),Variations!$L$2:$L$501,0))="","",INDEX(Variations!$C$2:$C$501,MATCH(ROWS(B$57:B58),Variations!$L$2:$L$501,0))),"")</f>
        <v/>
      </c>
      <c r="C58" s="18" t="str">
        <f aca="false">IFERROR(IF(INDEX(Variations!$B$2:$B$501,MATCH(ROWS(B$57:B58),Variations!$L$2:$L$501,0))="","",INDEX(Variations!$B$2:$B$501,MATCH(ROWS(B$57:B58),Variations!$L$2:$L$501,0))),"")</f>
        <v/>
      </c>
      <c r="D58" s="20" t="str">
        <f aca="false">IFERROR(IF(INDEX(Variations!$F$2:$F$501,MATCH(ROWS(B$57:B58),Variations!$L$2:$L$501,0))="","",INDEX(Variations!$F$2:$F$501,MATCH(ROWS(B$57:B58),Variations!$L$2:$L$501,0))),"")</f>
        <v/>
      </c>
      <c r="E58" s="24" t="str">
        <f aca="false">IFERROR(IF(INDEX(Variations!$G$2:$G$501,MATCH(ROWS(B$57:B58),Variations!$L$2:$L$501,0))="","",INDEX(Variations!$G$2:$G$501,MATCH(ROWS(B$57:B58),Variations!$L$2:$L$501,0))),"")</f>
        <v/>
      </c>
      <c r="F58" s="18" t="str">
        <f aca="false">IFERROR(IF(INDEX(Variations!$H$2:$H$501,MATCH(ROWS(B$57:B58),Variations!$L$2:$L$501,0))="","",INDEX(Variations!$H$2:$H$501,MATCH(ROWS(B$57:B58),Variations!$L$2:$L$501,0))),"")</f>
        <v/>
      </c>
      <c r="G58" s="19" t="str">
        <f aca="false">IFERROR(IF(INDEX(Variations!$I$2:$I$501,MATCH(ROWS(B$57:B58),Variations!$L$2:$L$501,0))="","",INDEX(Variations!$I$2:$I$501,MATCH(ROWS(B$57:B58),Variations!$L$2:$L$501,0))),"")</f>
        <v/>
      </c>
    </row>
    <row r="59" customFormat="false" ht="15" hidden="false" customHeight="false" outlineLevel="0" collapsed="false">
      <c r="B59" s="18" t="str">
        <f aca="false">IFERROR(IF(INDEX(Variations!$C$2:$C$501,MATCH(ROWS(B$57:B59),Variations!$L$2:$L$501,0))="","",INDEX(Variations!$C$2:$C$501,MATCH(ROWS(B$57:B59),Variations!$L$2:$L$501,0))),"")</f>
        <v/>
      </c>
      <c r="C59" s="18" t="str">
        <f aca="false">IFERROR(IF(INDEX(Variations!$B$2:$B$501,MATCH(ROWS(B$57:B59),Variations!$L$2:$L$501,0))="","",INDEX(Variations!$B$2:$B$501,MATCH(ROWS(B$57:B59),Variations!$L$2:$L$501,0))),"")</f>
        <v/>
      </c>
      <c r="D59" s="20" t="str">
        <f aca="false">IFERROR(IF(INDEX(Variations!$F$2:$F$501,MATCH(ROWS(B$57:B59),Variations!$L$2:$L$501,0))="","",INDEX(Variations!$F$2:$F$501,MATCH(ROWS(B$57:B59),Variations!$L$2:$L$501,0))),"")</f>
        <v/>
      </c>
      <c r="E59" s="24" t="str">
        <f aca="false">IFERROR(IF(INDEX(Variations!$G$2:$G$501,MATCH(ROWS(B$57:B59),Variations!$L$2:$L$501,0))="","",INDEX(Variations!$G$2:$G$501,MATCH(ROWS(B$57:B59),Variations!$L$2:$L$501,0))),"")</f>
        <v/>
      </c>
      <c r="F59" s="18" t="str">
        <f aca="false">IFERROR(IF(INDEX(Variations!$H$2:$H$501,MATCH(ROWS(B$57:B59),Variations!$L$2:$L$501,0))="","",INDEX(Variations!$H$2:$H$501,MATCH(ROWS(B$57:B59),Variations!$L$2:$L$501,0))),"")</f>
        <v/>
      </c>
      <c r="G59" s="19" t="str">
        <f aca="false">IFERROR(IF(INDEX(Variations!$I$2:$I$501,MATCH(ROWS(B$57:B59),Variations!$L$2:$L$501,0))="","",INDEX(Variations!$I$2:$I$501,MATCH(ROWS(B$57:B59),Variations!$L$2:$L$501,0))),"")</f>
        <v/>
      </c>
    </row>
    <row r="60" customFormat="false" ht="15" hidden="false" customHeight="false" outlineLevel="0" collapsed="false">
      <c r="B60" s="18" t="str">
        <f aca="false">IFERROR(IF(INDEX(Variations!$C$2:$C$501,MATCH(ROWS(B$57:B60),Variations!$L$2:$L$501,0))="","",INDEX(Variations!$C$2:$C$501,MATCH(ROWS(B$57:B60),Variations!$L$2:$L$501,0))),"")</f>
        <v/>
      </c>
      <c r="C60" s="18" t="str">
        <f aca="false">IFERROR(IF(INDEX(Variations!$B$2:$B$501,MATCH(ROWS(B$57:B60),Variations!$L$2:$L$501,0))="","",INDEX(Variations!$B$2:$B$501,MATCH(ROWS(B$57:B60),Variations!$L$2:$L$501,0))),"")</f>
        <v/>
      </c>
      <c r="D60" s="20" t="str">
        <f aca="false">IFERROR(IF(INDEX(Variations!$F$2:$F$501,MATCH(ROWS(B$57:B60),Variations!$L$2:$L$501,0))="","",INDEX(Variations!$F$2:$F$501,MATCH(ROWS(B$57:B60),Variations!$L$2:$L$501,0))),"")</f>
        <v/>
      </c>
      <c r="E60" s="24" t="str">
        <f aca="false">IFERROR(IF(INDEX(Variations!$G$2:$G$501,MATCH(ROWS(B$57:B60),Variations!$L$2:$L$501,0))="","",INDEX(Variations!$G$2:$G$501,MATCH(ROWS(B$57:B60),Variations!$L$2:$L$501,0))),"")</f>
        <v/>
      </c>
      <c r="F60" s="18" t="str">
        <f aca="false">IFERROR(IF(INDEX(Variations!$H$2:$H$501,MATCH(ROWS(B$57:B60),Variations!$L$2:$L$501,0))="","",INDEX(Variations!$H$2:$H$501,MATCH(ROWS(B$57:B60),Variations!$L$2:$L$501,0))),"")</f>
        <v/>
      </c>
      <c r="G60" s="19" t="str">
        <f aca="false">IFERROR(IF(INDEX(Variations!$I$2:$I$501,MATCH(ROWS(B$57:B60),Variations!$L$2:$L$501,0))="","",INDEX(Variations!$I$2:$I$501,MATCH(ROWS(B$57:B60),Variations!$L$2:$L$501,0))),"")</f>
        <v/>
      </c>
    </row>
    <row r="61" customFormat="false" ht="15" hidden="false" customHeight="false" outlineLevel="0" collapsed="false">
      <c r="B61" s="18" t="str">
        <f aca="false">IFERROR(IF(INDEX(Variations!$C$2:$C$501,MATCH(ROWS(B$57:B61),Variations!$L$2:$L$501,0))="","",INDEX(Variations!$C$2:$C$501,MATCH(ROWS(B$57:B61),Variations!$L$2:$L$501,0))),"")</f>
        <v/>
      </c>
      <c r="C61" s="18" t="str">
        <f aca="false">IFERROR(IF(INDEX(Variations!$B$2:$B$501,MATCH(ROWS(B$57:B61),Variations!$L$2:$L$501,0))="","",INDEX(Variations!$B$2:$B$501,MATCH(ROWS(B$57:B61),Variations!$L$2:$L$501,0))),"")</f>
        <v/>
      </c>
      <c r="D61" s="20" t="str">
        <f aca="false">IFERROR(IF(INDEX(Variations!$F$2:$F$501,MATCH(ROWS(B$57:B61),Variations!$L$2:$L$501,0))="","",INDEX(Variations!$F$2:$F$501,MATCH(ROWS(B$57:B61),Variations!$L$2:$L$501,0))),"")</f>
        <v/>
      </c>
      <c r="E61" s="24" t="str">
        <f aca="false">IFERROR(IF(INDEX(Variations!$G$2:$G$501,MATCH(ROWS(B$57:B61),Variations!$L$2:$L$501,0))="","",INDEX(Variations!$G$2:$G$501,MATCH(ROWS(B$57:B61),Variations!$L$2:$L$501,0))),"")</f>
        <v/>
      </c>
      <c r="F61" s="18" t="str">
        <f aca="false">IFERROR(IF(INDEX(Variations!$H$2:$H$501,MATCH(ROWS(B$57:B61),Variations!$L$2:$L$501,0))="","",INDEX(Variations!$H$2:$H$501,MATCH(ROWS(B$57:B61),Variations!$L$2:$L$501,0))),"")</f>
        <v/>
      </c>
      <c r="G61" s="19" t="str">
        <f aca="false">IFERROR(IF(INDEX(Variations!$I$2:$I$501,MATCH(ROWS(B$57:B61),Variations!$L$2:$L$501,0))="","",INDEX(Variations!$I$2:$I$501,MATCH(ROWS(B$57:B61),Variations!$L$2:$L$501,0))),"")</f>
        <v/>
      </c>
    </row>
    <row r="62" customFormat="false" ht="15" hidden="false" customHeight="false" outlineLevel="0" collapsed="false">
      <c r="B62" s="18" t="str">
        <f aca="false">IFERROR(IF(INDEX(Variations!$C$2:$C$501,MATCH(ROWS(B$57:B62),Variations!$L$2:$L$501,0))="","",INDEX(Variations!$C$2:$C$501,MATCH(ROWS(B$57:B62),Variations!$L$2:$L$501,0))),"")</f>
        <v/>
      </c>
      <c r="C62" s="18" t="str">
        <f aca="false">IFERROR(IF(INDEX(Variations!$B$2:$B$501,MATCH(ROWS(B$57:B62),Variations!$L$2:$L$501,0))="","",INDEX(Variations!$B$2:$B$501,MATCH(ROWS(B$57:B62),Variations!$L$2:$L$501,0))),"")</f>
        <v/>
      </c>
      <c r="D62" s="20" t="str">
        <f aca="false">IFERROR(IF(INDEX(Variations!$F$2:$F$501,MATCH(ROWS(B$57:B62),Variations!$L$2:$L$501,0))="","",INDEX(Variations!$F$2:$F$501,MATCH(ROWS(B$57:B62),Variations!$L$2:$L$501,0))),"")</f>
        <v/>
      </c>
      <c r="E62" s="24" t="str">
        <f aca="false">IFERROR(IF(INDEX(Variations!$G$2:$G$501,MATCH(ROWS(B$57:B62),Variations!$L$2:$L$501,0))="","",INDEX(Variations!$G$2:$G$501,MATCH(ROWS(B$57:B62),Variations!$L$2:$L$501,0))),"")</f>
        <v/>
      </c>
      <c r="F62" s="18" t="str">
        <f aca="false">IFERROR(IF(INDEX(Variations!$H$2:$H$501,MATCH(ROWS(B$57:B62),Variations!$L$2:$L$501,0))="","",INDEX(Variations!$H$2:$H$501,MATCH(ROWS(B$57:B62),Variations!$L$2:$L$501,0))),"")</f>
        <v/>
      </c>
      <c r="G62" s="19" t="str">
        <f aca="false">IFERROR(IF(INDEX(Variations!$I$2:$I$501,MATCH(ROWS(B$57:B62),Variations!$L$2:$L$501,0))="","",INDEX(Variations!$I$2:$I$501,MATCH(ROWS(B$57:B62),Variations!$L$2:$L$501,0))),"")</f>
        <v/>
      </c>
    </row>
    <row r="63" customFormat="false" ht="15" hidden="false" customHeight="false" outlineLevel="0" collapsed="false">
      <c r="B63" s="18" t="str">
        <f aca="false">IFERROR(IF(INDEX(Variations!$C$2:$C$501,MATCH(ROWS(B$57:B63),Variations!$L$2:$L$501,0))="","",INDEX(Variations!$C$2:$C$501,MATCH(ROWS(B$57:B63),Variations!$L$2:$L$501,0))),"")</f>
        <v/>
      </c>
      <c r="C63" s="18" t="str">
        <f aca="false">IFERROR(IF(INDEX(Variations!$B$2:$B$501,MATCH(ROWS(B$57:B63),Variations!$L$2:$L$501,0))="","",INDEX(Variations!$B$2:$B$501,MATCH(ROWS(B$57:B63),Variations!$L$2:$L$501,0))),"")</f>
        <v/>
      </c>
      <c r="D63" s="20" t="str">
        <f aca="false">IFERROR(IF(INDEX(Variations!$F$2:$F$501,MATCH(ROWS(B$57:B63),Variations!$L$2:$L$501,0))="","",INDEX(Variations!$F$2:$F$501,MATCH(ROWS(B$57:B63),Variations!$L$2:$L$501,0))),"")</f>
        <v/>
      </c>
      <c r="E63" s="24" t="str">
        <f aca="false">IFERROR(IF(INDEX(Variations!$G$2:$G$501,MATCH(ROWS(B$57:B63),Variations!$L$2:$L$501,0))="","",INDEX(Variations!$G$2:$G$501,MATCH(ROWS(B$57:B63),Variations!$L$2:$L$501,0))),"")</f>
        <v/>
      </c>
      <c r="F63" s="18" t="str">
        <f aca="false">IFERROR(IF(INDEX(Variations!$H$2:$H$501,MATCH(ROWS(B$57:B63),Variations!$L$2:$L$501,0))="","",INDEX(Variations!$H$2:$H$501,MATCH(ROWS(B$57:B63),Variations!$L$2:$L$501,0))),"")</f>
        <v/>
      </c>
      <c r="G63" s="19" t="str">
        <f aca="false">IFERROR(IF(INDEX(Variations!$I$2:$I$501,MATCH(ROWS(B$57:B63),Variations!$L$2:$L$501,0))="","",INDEX(Variations!$I$2:$I$501,MATCH(ROWS(B$57:B63),Variations!$L$2:$L$501,0))),"")</f>
        <v/>
      </c>
    </row>
    <row r="64" customFormat="false" ht="15" hidden="false" customHeight="false" outlineLevel="0" collapsed="false">
      <c r="B64" s="18" t="str">
        <f aca="false">IFERROR(IF(INDEX(Variations!$C$2:$C$501,MATCH(ROWS(B$57:B64),Variations!$L$2:$L$501,0))="","",INDEX(Variations!$C$2:$C$501,MATCH(ROWS(B$57:B64),Variations!$L$2:$L$501,0))),"")</f>
        <v/>
      </c>
      <c r="C64" s="18" t="str">
        <f aca="false">IFERROR(IF(INDEX(Variations!$B$2:$B$501,MATCH(ROWS(B$57:B64),Variations!$L$2:$L$501,0))="","",INDEX(Variations!$B$2:$B$501,MATCH(ROWS(B$57:B64),Variations!$L$2:$L$501,0))),"")</f>
        <v/>
      </c>
      <c r="D64" s="20" t="str">
        <f aca="false">IFERROR(IF(INDEX(Variations!$F$2:$F$501,MATCH(ROWS(B$57:B64),Variations!$L$2:$L$501,0))="","",INDEX(Variations!$F$2:$F$501,MATCH(ROWS(B$57:B64),Variations!$L$2:$L$501,0))),"")</f>
        <v/>
      </c>
      <c r="E64" s="24" t="str">
        <f aca="false">IFERROR(IF(INDEX(Variations!$G$2:$G$501,MATCH(ROWS(B$57:B64),Variations!$L$2:$L$501,0))="","",INDEX(Variations!$G$2:$G$501,MATCH(ROWS(B$57:B64),Variations!$L$2:$L$501,0))),"")</f>
        <v/>
      </c>
      <c r="F64" s="18" t="str">
        <f aca="false">IFERROR(IF(INDEX(Variations!$H$2:$H$501,MATCH(ROWS(B$57:B64),Variations!$L$2:$L$501,0))="","",INDEX(Variations!$H$2:$H$501,MATCH(ROWS(B$57:B64),Variations!$L$2:$L$501,0))),"")</f>
        <v/>
      </c>
      <c r="G64" s="19" t="str">
        <f aca="false">IFERROR(IF(INDEX(Variations!$I$2:$I$501,MATCH(ROWS(B$57:B64),Variations!$L$2:$L$501,0))="","",INDEX(Variations!$I$2:$I$501,MATCH(ROWS(B$57:B64),Variations!$L$2:$L$501,0))),"")</f>
        <v/>
      </c>
    </row>
    <row r="67" customFormat="false" ht="15" hidden="false" customHeight="false" outlineLevel="0" collapsed="false">
      <c r="B67" s="16" t="s">
        <v>198</v>
      </c>
      <c r="C67" s="4"/>
      <c r="D67" s="4"/>
      <c r="E67" s="4"/>
      <c r="F67" s="4"/>
      <c r="G67" s="4"/>
    </row>
    <row r="68" customFormat="false" ht="15" hidden="false" customHeight="false" outlineLevel="0" collapsed="false">
      <c r="B68" s="17" t="s">
        <v>193</v>
      </c>
      <c r="C68" s="17" t="s">
        <v>199</v>
      </c>
      <c r="D68" s="17" t="s">
        <v>158</v>
      </c>
      <c r="E68" s="17" t="s">
        <v>129</v>
      </c>
      <c r="F68" s="17" t="s">
        <v>111</v>
      </c>
      <c r="G68" s="17" t="s">
        <v>156</v>
      </c>
    </row>
    <row r="69" customFormat="false" ht="15" hidden="false" customHeight="false" outlineLevel="0" collapsed="false">
      <c r="B69" s="18" t="str">
        <f aca="false">IFERROR(IF(INDEX(Actions!$C$2:$C$501,MATCH(ROWS(B$69:B69),Actions!$O$2:$O$501,0))="","",INDEX(Actions!$C$2:$C$501,MATCH(ROWS(B$69:B69),Actions!$O$2:$O$501,0))),"")</f>
        <v/>
      </c>
      <c r="C69" s="18" t="str">
        <f aca="false">IFERROR(IF(INDEX(Actions!$B$2:$B$501,MATCH(ROWS(B$69:B69),Actions!$O$2:$O$501,0))="","",INDEX(Actions!$B$2:$B$501,MATCH(ROWS(B$69:B69),Actions!$O$2:$O$501,0))),"")</f>
        <v/>
      </c>
      <c r="D69" s="18" t="str">
        <f aca="false">IFERROR(IF(INDEX(Actions!$F$2:$F$501,MATCH(ROWS(B$69:B69),Actions!$O$2:$O$501,0))="","",INDEX(Actions!$F$2:$F$501,MATCH(ROWS(B$69:B69),Actions!$O$2:$O$501,0))),"")</f>
        <v/>
      </c>
      <c r="E69" s="19" t="str">
        <f aca="false">IFERROR(IF(INDEX(Actions!$G$2:$G$501,MATCH(ROWS(B$69:B69),Actions!$O$2:$O$501,0))="","",INDEX(Actions!$G$2:$G$501,MATCH(ROWS(B$69:B69),Actions!$O$2:$O$501,0))),"")</f>
        <v/>
      </c>
      <c r="F69" s="18" t="str">
        <f aca="false">IFERROR(IF(INDEX(Actions!$H$2:$H$501,MATCH(ROWS(B$69:B69),Actions!$O$2:$O$501,0))="","",INDEX(Actions!$H$2:$H$501,MATCH(ROWS(B$69:B69),Actions!$O$2:$O$501,0))),"")</f>
        <v/>
      </c>
      <c r="G69" s="18" t="str">
        <f aca="false">IFERROR(IF(INDEX(Actions!$M$2:$M$501,MATCH(ROWS(B$69:B69),Actions!$O$2:$O$501,0))="","",INDEX(Actions!$M$2:$M$501,MATCH(ROWS(B$69:B69),Actions!$O$2:$O$501,0))),"")</f>
        <v/>
      </c>
    </row>
    <row r="70" customFormat="false" ht="15" hidden="false" customHeight="false" outlineLevel="0" collapsed="false">
      <c r="B70" s="18" t="str">
        <f aca="false">IFERROR(IF(INDEX(Actions!$C$2:$C$501,MATCH(ROWS(B$69:B70),Actions!$O$2:$O$501,0))="","",INDEX(Actions!$C$2:$C$501,MATCH(ROWS(B$69:B70),Actions!$O$2:$O$501,0))),"")</f>
        <v/>
      </c>
      <c r="C70" s="18" t="str">
        <f aca="false">IFERROR(IF(INDEX(Actions!$B$2:$B$501,MATCH(ROWS(B$69:B70),Actions!$O$2:$O$501,0))="","",INDEX(Actions!$B$2:$B$501,MATCH(ROWS(B$69:B70),Actions!$O$2:$O$501,0))),"")</f>
        <v/>
      </c>
      <c r="D70" s="18" t="str">
        <f aca="false">IFERROR(IF(INDEX(Actions!$F$2:$F$501,MATCH(ROWS(B$69:B70),Actions!$O$2:$O$501,0))="","",INDEX(Actions!$F$2:$F$501,MATCH(ROWS(B$69:B70),Actions!$O$2:$O$501,0))),"")</f>
        <v/>
      </c>
      <c r="E70" s="19" t="str">
        <f aca="false">IFERROR(IF(INDEX(Actions!$G$2:$G$501,MATCH(ROWS(B$69:B70),Actions!$O$2:$O$501,0))="","",INDEX(Actions!$G$2:$G$501,MATCH(ROWS(B$69:B70),Actions!$O$2:$O$501,0))),"")</f>
        <v/>
      </c>
      <c r="F70" s="18" t="str">
        <f aca="false">IFERROR(IF(INDEX(Actions!$H$2:$H$501,MATCH(ROWS(B$69:B70),Actions!$O$2:$O$501,0))="","",INDEX(Actions!$H$2:$H$501,MATCH(ROWS(B$69:B70),Actions!$O$2:$O$501,0))),"")</f>
        <v/>
      </c>
      <c r="G70" s="18" t="str">
        <f aca="false">IFERROR(IF(INDEX(Actions!$M$2:$M$501,MATCH(ROWS(B$69:B70),Actions!$O$2:$O$501,0))="","",INDEX(Actions!$M$2:$M$501,MATCH(ROWS(B$69:B70),Actions!$O$2:$O$501,0))),"")</f>
        <v/>
      </c>
    </row>
    <row r="71" customFormat="false" ht="15" hidden="false" customHeight="false" outlineLevel="0" collapsed="false">
      <c r="B71" s="18" t="str">
        <f aca="false">IFERROR(IF(INDEX(Actions!$C$2:$C$501,MATCH(ROWS(B$69:B71),Actions!$O$2:$O$501,0))="","",INDEX(Actions!$C$2:$C$501,MATCH(ROWS(B$69:B71),Actions!$O$2:$O$501,0))),"")</f>
        <v/>
      </c>
      <c r="C71" s="18" t="str">
        <f aca="false">IFERROR(IF(INDEX(Actions!$B$2:$B$501,MATCH(ROWS(B$69:B71),Actions!$O$2:$O$501,0))="","",INDEX(Actions!$B$2:$B$501,MATCH(ROWS(B$69:B71),Actions!$O$2:$O$501,0))),"")</f>
        <v/>
      </c>
      <c r="D71" s="18" t="str">
        <f aca="false">IFERROR(IF(INDEX(Actions!$F$2:$F$501,MATCH(ROWS(B$69:B71),Actions!$O$2:$O$501,0))="","",INDEX(Actions!$F$2:$F$501,MATCH(ROWS(B$69:B71),Actions!$O$2:$O$501,0))),"")</f>
        <v/>
      </c>
      <c r="E71" s="19" t="str">
        <f aca="false">IFERROR(IF(INDEX(Actions!$G$2:$G$501,MATCH(ROWS(B$69:B71),Actions!$O$2:$O$501,0))="","",INDEX(Actions!$G$2:$G$501,MATCH(ROWS(B$69:B71),Actions!$O$2:$O$501,0))),"")</f>
        <v/>
      </c>
      <c r="F71" s="18" t="str">
        <f aca="false">IFERROR(IF(INDEX(Actions!$H$2:$H$501,MATCH(ROWS(B$69:B71),Actions!$O$2:$O$501,0))="","",INDEX(Actions!$H$2:$H$501,MATCH(ROWS(B$69:B71),Actions!$O$2:$O$501,0))),"")</f>
        <v/>
      </c>
      <c r="G71" s="18" t="str">
        <f aca="false">IFERROR(IF(INDEX(Actions!$M$2:$M$501,MATCH(ROWS(B$69:B71),Actions!$O$2:$O$501,0))="","",INDEX(Actions!$M$2:$M$501,MATCH(ROWS(B$69:B71),Actions!$O$2:$O$501,0))),"")</f>
        <v/>
      </c>
    </row>
    <row r="72" customFormat="false" ht="15" hidden="false" customHeight="false" outlineLevel="0" collapsed="false">
      <c r="B72" s="18" t="str">
        <f aca="false">IFERROR(IF(INDEX(Actions!$C$2:$C$501,MATCH(ROWS(B$69:B72),Actions!$O$2:$O$501,0))="","",INDEX(Actions!$C$2:$C$501,MATCH(ROWS(B$69:B72),Actions!$O$2:$O$501,0))),"")</f>
        <v/>
      </c>
      <c r="C72" s="18" t="str">
        <f aca="false">IFERROR(IF(INDEX(Actions!$B$2:$B$501,MATCH(ROWS(B$69:B72),Actions!$O$2:$O$501,0))="","",INDEX(Actions!$B$2:$B$501,MATCH(ROWS(B$69:B72),Actions!$O$2:$O$501,0))),"")</f>
        <v/>
      </c>
      <c r="D72" s="18" t="str">
        <f aca="false">IFERROR(IF(INDEX(Actions!$F$2:$F$501,MATCH(ROWS(B$69:B72),Actions!$O$2:$O$501,0))="","",INDEX(Actions!$F$2:$F$501,MATCH(ROWS(B$69:B72),Actions!$O$2:$O$501,0))),"")</f>
        <v/>
      </c>
      <c r="E72" s="19" t="str">
        <f aca="false">IFERROR(IF(INDEX(Actions!$G$2:$G$501,MATCH(ROWS(B$69:B72),Actions!$O$2:$O$501,0))="","",INDEX(Actions!$G$2:$G$501,MATCH(ROWS(B$69:B72),Actions!$O$2:$O$501,0))),"")</f>
        <v/>
      </c>
      <c r="F72" s="18" t="str">
        <f aca="false">IFERROR(IF(INDEX(Actions!$H$2:$H$501,MATCH(ROWS(B$69:B72),Actions!$O$2:$O$501,0))="","",INDEX(Actions!$H$2:$H$501,MATCH(ROWS(B$69:B72),Actions!$O$2:$O$501,0))),"")</f>
        <v/>
      </c>
      <c r="G72" s="18" t="str">
        <f aca="false">IFERROR(IF(INDEX(Actions!$M$2:$M$501,MATCH(ROWS(B$69:B72),Actions!$O$2:$O$501,0))="","",INDEX(Actions!$M$2:$M$501,MATCH(ROWS(B$69:B72),Actions!$O$2:$O$501,0))),"")</f>
        <v/>
      </c>
    </row>
    <row r="73" customFormat="false" ht="15" hidden="false" customHeight="false" outlineLevel="0" collapsed="false">
      <c r="B73" s="18" t="str">
        <f aca="false">IFERROR(IF(INDEX(Actions!$C$2:$C$501,MATCH(ROWS(B$69:B73),Actions!$O$2:$O$501,0))="","",INDEX(Actions!$C$2:$C$501,MATCH(ROWS(B$69:B73),Actions!$O$2:$O$501,0))),"")</f>
        <v/>
      </c>
      <c r="C73" s="18" t="str">
        <f aca="false">IFERROR(IF(INDEX(Actions!$B$2:$B$501,MATCH(ROWS(B$69:B73),Actions!$O$2:$O$501,0))="","",INDEX(Actions!$B$2:$B$501,MATCH(ROWS(B$69:B73),Actions!$O$2:$O$501,0))),"")</f>
        <v/>
      </c>
      <c r="D73" s="18" t="str">
        <f aca="false">IFERROR(IF(INDEX(Actions!$F$2:$F$501,MATCH(ROWS(B$69:B73),Actions!$O$2:$O$501,0))="","",INDEX(Actions!$F$2:$F$501,MATCH(ROWS(B$69:B73),Actions!$O$2:$O$501,0))),"")</f>
        <v/>
      </c>
      <c r="E73" s="19" t="str">
        <f aca="false">IFERROR(IF(INDEX(Actions!$G$2:$G$501,MATCH(ROWS(B$69:B73),Actions!$O$2:$O$501,0))="","",INDEX(Actions!$G$2:$G$501,MATCH(ROWS(B$69:B73),Actions!$O$2:$O$501,0))),"")</f>
        <v/>
      </c>
      <c r="F73" s="18" t="str">
        <f aca="false">IFERROR(IF(INDEX(Actions!$H$2:$H$501,MATCH(ROWS(B$69:B73),Actions!$O$2:$O$501,0))="","",INDEX(Actions!$H$2:$H$501,MATCH(ROWS(B$69:B73),Actions!$O$2:$O$501,0))),"")</f>
        <v/>
      </c>
      <c r="G73" s="18" t="str">
        <f aca="false">IFERROR(IF(INDEX(Actions!$M$2:$M$501,MATCH(ROWS(B$69:B73),Actions!$O$2:$O$501,0))="","",INDEX(Actions!$M$2:$M$501,MATCH(ROWS(B$69:B73),Actions!$O$2:$O$501,0))),"")</f>
        <v/>
      </c>
    </row>
    <row r="74" customFormat="false" ht="15" hidden="false" customHeight="false" outlineLevel="0" collapsed="false">
      <c r="B74" s="18" t="str">
        <f aca="false">IFERROR(IF(INDEX(Actions!$C$2:$C$501,MATCH(ROWS(B$69:B74),Actions!$O$2:$O$501,0))="","",INDEX(Actions!$C$2:$C$501,MATCH(ROWS(B$69:B74),Actions!$O$2:$O$501,0))),"")</f>
        <v/>
      </c>
      <c r="C74" s="18" t="str">
        <f aca="false">IFERROR(IF(INDEX(Actions!$B$2:$B$501,MATCH(ROWS(B$69:B74),Actions!$O$2:$O$501,0))="","",INDEX(Actions!$B$2:$B$501,MATCH(ROWS(B$69:B74),Actions!$O$2:$O$501,0))),"")</f>
        <v/>
      </c>
      <c r="D74" s="18" t="str">
        <f aca="false">IFERROR(IF(INDEX(Actions!$F$2:$F$501,MATCH(ROWS(B$69:B74),Actions!$O$2:$O$501,0))="","",INDEX(Actions!$F$2:$F$501,MATCH(ROWS(B$69:B74),Actions!$O$2:$O$501,0))),"")</f>
        <v/>
      </c>
      <c r="E74" s="19" t="str">
        <f aca="false">IFERROR(IF(INDEX(Actions!$G$2:$G$501,MATCH(ROWS(B$69:B74),Actions!$O$2:$O$501,0))="","",INDEX(Actions!$G$2:$G$501,MATCH(ROWS(B$69:B74),Actions!$O$2:$O$501,0))),"")</f>
        <v/>
      </c>
      <c r="F74" s="18" t="str">
        <f aca="false">IFERROR(IF(INDEX(Actions!$H$2:$H$501,MATCH(ROWS(B$69:B74),Actions!$O$2:$O$501,0))="","",INDEX(Actions!$H$2:$H$501,MATCH(ROWS(B$69:B74),Actions!$O$2:$O$501,0))),"")</f>
        <v/>
      </c>
      <c r="G74" s="18" t="str">
        <f aca="false">IFERROR(IF(INDEX(Actions!$M$2:$M$501,MATCH(ROWS(B$69:B74),Actions!$O$2:$O$501,0))="","",INDEX(Actions!$M$2:$M$501,MATCH(ROWS(B$69:B74),Actions!$O$2:$O$501,0))),"")</f>
        <v/>
      </c>
    </row>
    <row r="75" customFormat="false" ht="15" hidden="false" customHeight="false" outlineLevel="0" collapsed="false">
      <c r="B75" s="18" t="str">
        <f aca="false">IFERROR(IF(INDEX(Actions!$C$2:$C$501,MATCH(ROWS(B$69:B75),Actions!$O$2:$O$501,0))="","",INDEX(Actions!$C$2:$C$501,MATCH(ROWS(B$69:B75),Actions!$O$2:$O$501,0))),"")</f>
        <v/>
      </c>
      <c r="C75" s="18" t="str">
        <f aca="false">IFERROR(IF(INDEX(Actions!$B$2:$B$501,MATCH(ROWS(B$69:B75),Actions!$O$2:$O$501,0))="","",INDEX(Actions!$B$2:$B$501,MATCH(ROWS(B$69:B75),Actions!$O$2:$O$501,0))),"")</f>
        <v/>
      </c>
      <c r="D75" s="18" t="str">
        <f aca="false">IFERROR(IF(INDEX(Actions!$F$2:$F$501,MATCH(ROWS(B$69:B75),Actions!$O$2:$O$501,0))="","",INDEX(Actions!$F$2:$F$501,MATCH(ROWS(B$69:B75),Actions!$O$2:$O$501,0))),"")</f>
        <v/>
      </c>
      <c r="E75" s="19" t="str">
        <f aca="false">IFERROR(IF(INDEX(Actions!$G$2:$G$501,MATCH(ROWS(B$69:B75),Actions!$O$2:$O$501,0))="","",INDEX(Actions!$G$2:$G$501,MATCH(ROWS(B$69:B75),Actions!$O$2:$O$501,0))),"")</f>
        <v/>
      </c>
      <c r="F75" s="18" t="str">
        <f aca="false">IFERROR(IF(INDEX(Actions!$H$2:$H$501,MATCH(ROWS(B$69:B75),Actions!$O$2:$O$501,0))="","",INDEX(Actions!$H$2:$H$501,MATCH(ROWS(B$69:B75),Actions!$O$2:$O$501,0))),"")</f>
        <v/>
      </c>
      <c r="G75" s="18" t="str">
        <f aca="false">IFERROR(IF(INDEX(Actions!$M$2:$M$501,MATCH(ROWS(B$69:B75),Actions!$O$2:$O$501,0))="","",INDEX(Actions!$M$2:$M$501,MATCH(ROWS(B$69:B75),Actions!$O$2:$O$501,0))),"")</f>
        <v/>
      </c>
    </row>
    <row r="76" customFormat="false" ht="15" hidden="false" customHeight="false" outlineLevel="0" collapsed="false">
      <c r="B76" s="18" t="str">
        <f aca="false">IFERROR(IF(INDEX(Actions!$C$2:$C$501,MATCH(ROWS(B$69:B76),Actions!$O$2:$O$501,0))="","",INDEX(Actions!$C$2:$C$501,MATCH(ROWS(B$69:B76),Actions!$O$2:$O$501,0))),"")</f>
        <v/>
      </c>
      <c r="C76" s="18" t="str">
        <f aca="false">IFERROR(IF(INDEX(Actions!$B$2:$B$501,MATCH(ROWS(B$69:B76),Actions!$O$2:$O$501,0))="","",INDEX(Actions!$B$2:$B$501,MATCH(ROWS(B$69:B76),Actions!$O$2:$O$501,0))),"")</f>
        <v/>
      </c>
      <c r="D76" s="18" t="str">
        <f aca="false">IFERROR(IF(INDEX(Actions!$F$2:$F$501,MATCH(ROWS(B$69:B76),Actions!$O$2:$O$501,0))="","",INDEX(Actions!$F$2:$F$501,MATCH(ROWS(B$69:B76),Actions!$O$2:$O$501,0))),"")</f>
        <v/>
      </c>
      <c r="E76" s="19" t="str">
        <f aca="false">IFERROR(IF(INDEX(Actions!$G$2:$G$501,MATCH(ROWS(B$69:B76),Actions!$O$2:$O$501,0))="","",INDEX(Actions!$G$2:$G$501,MATCH(ROWS(B$69:B76),Actions!$O$2:$O$501,0))),"")</f>
        <v/>
      </c>
      <c r="F76" s="18" t="str">
        <f aca="false">IFERROR(IF(INDEX(Actions!$H$2:$H$501,MATCH(ROWS(B$69:B76),Actions!$O$2:$O$501,0))="","",INDEX(Actions!$H$2:$H$501,MATCH(ROWS(B$69:B76),Actions!$O$2:$O$501,0))),"")</f>
        <v/>
      </c>
      <c r="G76" s="18" t="str">
        <f aca="false">IFERROR(IF(INDEX(Actions!$M$2:$M$501,MATCH(ROWS(B$69:B76),Actions!$O$2:$O$501,0))="","",INDEX(Actions!$M$2:$M$501,MATCH(ROWS(B$69:B76),Actions!$O$2:$O$501,0))),"")</f>
        <v/>
      </c>
    </row>
  </sheetData>
  <mergeCells count="2">
    <mergeCell ref="C3:F3"/>
    <mergeCell ref="E10:H12"/>
  </mergeCells>
  <conditionalFormatting sqref="F6:F9">
    <cfRule type="cellIs" priority="2" operator="equal" aboveAverage="0" equalAverage="0" bottom="0" percent="0" rank="0" text="" dxfId="1">
      <formula>"Green"</formula>
    </cfRule>
    <cfRule type="cellIs" priority="3" operator="equal" aboveAverage="0" equalAverage="0" bottom="0" percent="0" rank="0" text="" dxfId="2">
      <formula>"Amber"</formula>
    </cfRule>
    <cfRule type="cellIs" priority="4" operator="equal" aboveAverage="0" equalAverage="0" bottom="0" percent="0" rank="0" text="" dxfId="3">
      <formula>"Red"</formula>
    </cfRule>
  </conditionalFormatting>
  <conditionalFormatting sqref="C20">
    <cfRule type="cellIs" priority="5" operator="lessThan" aboveAverage="0" equalAverage="0" bottom="0" percent="0" rank="0" text="" dxfId="4">
      <formula>0</formula>
    </cfRule>
  </conditionalFormatting>
  <conditionalFormatting sqref="G29:G40">
    <cfRule type="cellIs" priority="6" operator="greaterThan" aboveAverage="0" equalAverage="0" bottom="0" percent="0" rank="0" text="" dxfId="4">
      <formula>0</formula>
    </cfRule>
  </conditionalFormatting>
  <conditionalFormatting sqref="C45:C52">
    <cfRule type="cellIs" priority="7" operator="equal" aboveAverage="0" equalAverage="0" bottom="0" percent="0" rank="0" text="" dxfId="3">
      <formula>"Overdue"</formula>
    </cfRule>
    <cfRule type="cellIs" priority="8" operator="equal" aboveAverage="0" equalAverage="0" bottom="0" percent="0" rank="0" text="" dxfId="3">
      <formula>"Expired"</formula>
    </cfRule>
    <cfRule type="cellIs" priority="9" operator="equal" aboveAverage="0" equalAverage="0" bottom="0" percent="0" rank="0" text="" dxfId="3">
      <formula>"Exceedance"</formula>
    </cfRule>
    <cfRule type="cellIs" priority="10" operator="equal" aboveAverage="0" equalAverage="0" bottom="0" percent="0" rank="0" text="" dxfId="3">
      <formula>"Critical"</formula>
    </cfRule>
    <cfRule type="cellIs" priority="11" operator="equal" aboveAverage="0" equalAverage="0" bottom="0" percent="0" rank="0" text="" dxfId="2">
      <formula>"Due Soon"</formula>
    </cfRule>
    <cfRule type="cellIs" priority="12" operator="equal" aboveAverage="0" equalAverage="0" bottom="0" percent="0" rank="0" text="" dxfId="2">
      <formula>"Expiring Soon"</formula>
    </cfRule>
    <cfRule type="cellIs" priority="13" operator="equal" aboveAverage="0" equalAverage="0" bottom="0" percent="0" rank="0" text="" dxfId="2">
      <formula>"Due Today"</formula>
    </cfRule>
    <cfRule type="cellIs" priority="14" operator="equal" aboveAverage="0" equalAverage="0" bottom="0" percent="0" rank="0" text="" dxfId="2">
      <formula>"Due This Week"</formula>
    </cfRule>
    <cfRule type="cellIs" priority="15" operator="equal" aboveAverage="0" equalAverage="0" bottom="0" percent="0" rank="0" text="" dxfId="2">
      <formula>"High"</formula>
    </cfRule>
    <cfRule type="cellIs" priority="16" operator="equal" aboveAverage="0" equalAverage="0" bottom="0" percent="0" rank="0" text="" dxfId="5">
      <formula>"Done"</formula>
    </cfRule>
  </conditionalFormatting>
  <conditionalFormatting sqref="G69:G76">
    <cfRule type="cellIs" priority="17" operator="equal" aboveAverage="0" equalAverage="0" bottom="0" percent="0" rank="0" text="" dxfId="3">
      <formula>"Overdue"</formula>
    </cfRule>
    <cfRule type="cellIs" priority="18" operator="equal" aboveAverage="0" equalAverage="0" bottom="0" percent="0" rank="0" text="" dxfId="3">
      <formula>"Expired"</formula>
    </cfRule>
    <cfRule type="cellIs" priority="19" operator="equal" aboveAverage="0" equalAverage="0" bottom="0" percent="0" rank="0" text="" dxfId="3">
      <formula>"Exceedance"</formula>
    </cfRule>
    <cfRule type="cellIs" priority="20" operator="equal" aboveAverage="0" equalAverage="0" bottom="0" percent="0" rank="0" text="" dxfId="3">
      <formula>"Critical"</formula>
    </cfRule>
    <cfRule type="cellIs" priority="21" operator="equal" aboveAverage="0" equalAverage="0" bottom="0" percent="0" rank="0" text="" dxfId="2">
      <formula>"Due Soon"</formula>
    </cfRule>
    <cfRule type="cellIs" priority="22" operator="equal" aboveAverage="0" equalAverage="0" bottom="0" percent="0" rank="0" text="" dxfId="2">
      <formula>"Expiring Soon"</formula>
    </cfRule>
    <cfRule type="cellIs" priority="23" operator="equal" aboveAverage="0" equalAverage="0" bottom="0" percent="0" rank="0" text="" dxfId="2">
      <formula>"Due Today"</formula>
    </cfRule>
    <cfRule type="cellIs" priority="24" operator="equal" aboveAverage="0" equalAverage="0" bottom="0" percent="0" rank="0" text="" dxfId="2">
      <formula>"Due This Week"</formula>
    </cfRule>
    <cfRule type="cellIs" priority="25" operator="equal" aboveAverage="0" equalAverage="0" bottom="0" percent="0" rank="0" text="" dxfId="2">
      <formula>"High"</formula>
    </cfRule>
    <cfRule type="cellIs" priority="26" operator="equal" aboveAverage="0" equalAverage="0" bottom="0" percent="0" rank="0" text="" dxfId="5">
      <formula>"Done"</formula>
    </cfRule>
  </conditionalFormatting>
  <dataValidations count="1">
    <dataValidation allowBlank="true" errorStyle="stop" operator="between" showDropDown="false" showErrorMessage="false" showInputMessage="false" sqref="C3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2"/>
    <col collapsed="false" customWidth="true" hidden="false" outlineLevel="0" max="58" min="7" style="0" width="3.2"/>
  </cols>
  <sheetData>
    <row r="1" customFormat="false" ht="25.5" hidden="false" customHeight="true" outlineLevel="0" collapsed="false">
      <c r="A1" s="9" t="s">
        <v>200</v>
      </c>
    </row>
    <row r="2" customFormat="false" ht="15" hidden="false" customHeight="false" outlineLevel="0" collapsed="false">
      <c r="A2" s="12" t="s">
        <v>201</v>
      </c>
    </row>
    <row r="3" customFormat="false" ht="15" hidden="false" customHeight="false" outlineLevel="0" collapsed="false">
      <c r="A3" s="10" t="s">
        <v>163</v>
      </c>
      <c r="B3" s="28" t="n">
        <f aca="false">'Project Summary'!C3</f>
        <v>0</v>
      </c>
    </row>
    <row r="5" customFormat="false" ht="42" hidden="false" customHeight="true" outlineLevel="0" collapsed="false">
      <c r="A5" s="17" t="s">
        <v>186</v>
      </c>
      <c r="B5" s="17" t="s">
        <v>185</v>
      </c>
      <c r="C5" s="17" t="s">
        <v>202</v>
      </c>
      <c r="D5" s="17" t="s">
        <v>203</v>
      </c>
      <c r="E5" s="17" t="s">
        <v>204</v>
      </c>
      <c r="G5" s="29" t="n">
        <f aca="true">IF(COUNT(C6:C30)=0,TODAY()-WEEKDAY(TODAY(),2)+1,MIN(C6:C30)-WEEKDAY(MIN(C6:C30),2)+1)</f>
        <v>46300</v>
      </c>
      <c r="H5" s="29" t="n">
        <f aca="false">G5+7</f>
        <v>46307</v>
      </c>
      <c r="I5" s="29" t="n">
        <f aca="false">H5+7</f>
        <v>46314</v>
      </c>
      <c r="J5" s="29" t="n">
        <f aca="false">I5+7</f>
        <v>46321</v>
      </c>
      <c r="K5" s="29" t="n">
        <f aca="false">J5+7</f>
        <v>46328</v>
      </c>
      <c r="L5" s="29" t="n">
        <f aca="false">K5+7</f>
        <v>46335</v>
      </c>
      <c r="M5" s="29" t="n">
        <f aca="false">L5+7</f>
        <v>46342</v>
      </c>
      <c r="N5" s="29" t="n">
        <f aca="false">M5+7</f>
        <v>46349</v>
      </c>
      <c r="O5" s="29" t="n">
        <f aca="false">N5+7</f>
        <v>46356</v>
      </c>
      <c r="P5" s="29" t="n">
        <f aca="false">O5+7</f>
        <v>46363</v>
      </c>
      <c r="Q5" s="29" t="n">
        <f aca="false">P5+7</f>
        <v>46370</v>
      </c>
      <c r="R5" s="29" t="n">
        <f aca="false">Q5+7</f>
        <v>46377</v>
      </c>
      <c r="S5" s="29" t="n">
        <f aca="false">R5+7</f>
        <v>46384</v>
      </c>
      <c r="T5" s="29" t="n">
        <f aca="false">S5+7</f>
        <v>46391</v>
      </c>
      <c r="U5" s="29" t="n">
        <f aca="false">T5+7</f>
        <v>46398</v>
      </c>
      <c r="V5" s="29" t="n">
        <f aca="false">U5+7</f>
        <v>46405</v>
      </c>
      <c r="W5" s="29" t="n">
        <f aca="false">V5+7</f>
        <v>46412</v>
      </c>
      <c r="X5" s="29" t="n">
        <f aca="false">W5+7</f>
        <v>46419</v>
      </c>
      <c r="Y5" s="29" t="n">
        <f aca="false">X5+7</f>
        <v>46426</v>
      </c>
      <c r="Z5" s="29" t="n">
        <f aca="false">Y5+7</f>
        <v>46433</v>
      </c>
      <c r="AA5" s="29" t="n">
        <f aca="false">Z5+7</f>
        <v>46440</v>
      </c>
      <c r="AB5" s="29" t="n">
        <f aca="false">AA5+7</f>
        <v>46447</v>
      </c>
      <c r="AC5" s="29" t="n">
        <f aca="false">AB5+7</f>
        <v>46454</v>
      </c>
      <c r="AD5" s="29" t="n">
        <f aca="false">AC5+7</f>
        <v>46461</v>
      </c>
      <c r="AE5" s="29" t="n">
        <f aca="false">AD5+7</f>
        <v>46468</v>
      </c>
      <c r="AF5" s="29" t="n">
        <f aca="false">AE5+7</f>
        <v>46475</v>
      </c>
      <c r="AG5" s="29" t="n">
        <f aca="false">AF5+7</f>
        <v>46482</v>
      </c>
      <c r="AH5" s="29" t="n">
        <f aca="false">AG5+7</f>
        <v>46489</v>
      </c>
      <c r="AI5" s="29" t="n">
        <f aca="false">AH5+7</f>
        <v>46496</v>
      </c>
      <c r="AJ5" s="29" t="n">
        <f aca="false">AI5+7</f>
        <v>46503</v>
      </c>
      <c r="AK5" s="29" t="n">
        <f aca="false">AJ5+7</f>
        <v>46510</v>
      </c>
      <c r="AL5" s="29" t="n">
        <f aca="false">AK5+7</f>
        <v>46517</v>
      </c>
      <c r="AM5" s="29" t="n">
        <f aca="false">AL5+7</f>
        <v>46524</v>
      </c>
      <c r="AN5" s="29" t="n">
        <f aca="false">AM5+7</f>
        <v>46531</v>
      </c>
      <c r="AO5" s="29" t="n">
        <f aca="false">AN5+7</f>
        <v>46538</v>
      </c>
      <c r="AP5" s="29" t="n">
        <f aca="false">AO5+7</f>
        <v>46545</v>
      </c>
      <c r="AQ5" s="29" t="n">
        <f aca="false">AP5+7</f>
        <v>46552</v>
      </c>
      <c r="AR5" s="29" t="n">
        <f aca="false">AQ5+7</f>
        <v>46559</v>
      </c>
      <c r="AS5" s="29" t="n">
        <f aca="false">AR5+7</f>
        <v>46566</v>
      </c>
      <c r="AT5" s="29" t="n">
        <f aca="false">AS5+7</f>
        <v>46573</v>
      </c>
      <c r="AU5" s="29" t="n">
        <f aca="false">AT5+7</f>
        <v>46580</v>
      </c>
      <c r="AV5" s="29" t="n">
        <f aca="false">AU5+7</f>
        <v>46587</v>
      </c>
      <c r="AW5" s="29" t="n">
        <f aca="false">AV5+7</f>
        <v>46594</v>
      </c>
      <c r="AX5" s="29" t="n">
        <f aca="false">AW5+7</f>
        <v>46601</v>
      </c>
      <c r="AY5" s="29" t="n">
        <f aca="false">AX5+7</f>
        <v>46608</v>
      </c>
      <c r="AZ5" s="29" t="n">
        <f aca="false">AY5+7</f>
        <v>46615</v>
      </c>
      <c r="BA5" s="29" t="n">
        <f aca="false">AZ5+7</f>
        <v>46622</v>
      </c>
      <c r="BB5" s="29" t="n">
        <f aca="false">BA5+7</f>
        <v>46629</v>
      </c>
      <c r="BC5" s="29" t="n">
        <f aca="false">BB5+7</f>
        <v>46636</v>
      </c>
      <c r="BD5" s="29" t="n">
        <f aca="false">BC5+7</f>
        <v>46643</v>
      </c>
      <c r="BE5" s="29" t="n">
        <f aca="false">BD5+7</f>
        <v>46650</v>
      </c>
      <c r="BF5" s="29" t="n">
        <f aca="false">BE5+7</f>
        <v>46657</v>
      </c>
    </row>
    <row r="6" customFormat="false" ht="15" hidden="false" customHeight="false" outlineLevel="0" collapsed="false">
      <c r="A6" s="18" t="str">
        <f aca="false">IFERROR(IF(INDEX(Milestones!$B$2:$B$501,MATCH(ROWS(A$6:A6),Milestones!$K$2:$K$501,0))="","",INDEX(Milestones!$B$2:$B$501,MATCH(ROWS(A$6:A6),Milestones!$K$2:$K$501,0))),"")</f>
        <v/>
      </c>
      <c r="B6" s="18" t="str">
        <f aca="false">IFERROR(IF(INDEX(Milestones!$C$2:$C$501,MATCH(ROWS(A$6:A6),Milestones!$K$2:$K$501,0))="","",INDEX(Milestones!$C$2:$C$501,MATCH(ROWS(A$6:A6),Milestones!$K$2:$K$501,0))),"")</f>
        <v/>
      </c>
      <c r="C6" s="19" t="str">
        <f aca="false">IFERROR(IF(INDEX(Milestones!$E$2:$E$501,MATCH(ROWS(A$6:A6),Milestones!$K$2:$K$501,0))="","",INDEX(Milestones!$E$2:$E$501,MATCH(ROWS(A$6:A6),Milestones!$K$2:$K$501,0))),"")</f>
        <v/>
      </c>
      <c r="D6" s="19" t="str">
        <f aca="false">IFERROR(IF(INDEX(Milestones!$G$2:$G$501,MATCH(ROWS(A$6:A6),Milestones!$K$2:$K$501,0))&lt;&gt;"",INDEX(Milestones!$G$2:$G$501,MATCH(ROWS(A$6:A6),Milestones!$K$2:$K$501,0)),INDEX(Milestones!$F$2:$F$501,MATCH(ROWS(A$6:A6),Milestones!$K$2:$K$501,0))),"")</f>
        <v/>
      </c>
      <c r="E6" s="18" t="str">
        <f aca="false">IFERROR(IF(INDEX(Milestones!$D$2:$D$501,MATCH(ROWS(A$6:A6),Milestones!$K$2:$K$501,0))="","",INDEX(Milestones!$D$2:$D$501,MATCH(ROWS(A$6:A6),Milestones!$K$2:$K$501,0))),"")</f>
        <v/>
      </c>
    </row>
    <row r="7" customFormat="false" ht="15" hidden="false" customHeight="false" outlineLevel="0" collapsed="false">
      <c r="A7" s="18" t="str">
        <f aca="false">IFERROR(IF(INDEX(Milestones!$B$2:$B$501,MATCH(ROWS(A$6:A7),Milestones!$K$2:$K$501,0))="","",INDEX(Milestones!$B$2:$B$501,MATCH(ROWS(A$6:A7),Milestones!$K$2:$K$501,0))),"")</f>
        <v/>
      </c>
      <c r="B7" s="18" t="str">
        <f aca="false">IFERROR(IF(INDEX(Milestones!$C$2:$C$501,MATCH(ROWS(A$6:A7),Milestones!$K$2:$K$501,0))="","",INDEX(Milestones!$C$2:$C$501,MATCH(ROWS(A$6:A7),Milestones!$K$2:$K$501,0))),"")</f>
        <v/>
      </c>
      <c r="C7" s="19" t="str">
        <f aca="false">IFERROR(IF(INDEX(Milestones!$E$2:$E$501,MATCH(ROWS(A$6:A7),Milestones!$K$2:$K$501,0))="","",INDEX(Milestones!$E$2:$E$501,MATCH(ROWS(A$6:A7),Milestones!$K$2:$K$501,0))),"")</f>
        <v/>
      </c>
      <c r="D7" s="19" t="str">
        <f aca="false">IFERROR(IF(INDEX(Milestones!$G$2:$G$501,MATCH(ROWS(A$6:A7),Milestones!$K$2:$K$501,0))&lt;&gt;"",INDEX(Milestones!$G$2:$G$501,MATCH(ROWS(A$6:A7),Milestones!$K$2:$K$501,0)),INDEX(Milestones!$F$2:$F$501,MATCH(ROWS(A$6:A7),Milestones!$K$2:$K$501,0))),"")</f>
        <v/>
      </c>
      <c r="E7" s="18" t="str">
        <f aca="false">IFERROR(IF(INDEX(Milestones!$D$2:$D$501,MATCH(ROWS(A$6:A7),Milestones!$K$2:$K$501,0))="","",INDEX(Milestones!$D$2:$D$501,MATCH(ROWS(A$6:A7),Milestones!$K$2:$K$501,0))),"")</f>
        <v/>
      </c>
    </row>
    <row r="8" customFormat="false" ht="15" hidden="false" customHeight="false" outlineLevel="0" collapsed="false">
      <c r="A8" s="18" t="str">
        <f aca="false">IFERROR(IF(INDEX(Milestones!$B$2:$B$501,MATCH(ROWS(A$6:A8),Milestones!$K$2:$K$501,0))="","",INDEX(Milestones!$B$2:$B$501,MATCH(ROWS(A$6:A8),Milestones!$K$2:$K$501,0))),"")</f>
        <v/>
      </c>
      <c r="B8" s="18" t="str">
        <f aca="false">IFERROR(IF(INDEX(Milestones!$C$2:$C$501,MATCH(ROWS(A$6:A8),Milestones!$K$2:$K$501,0))="","",INDEX(Milestones!$C$2:$C$501,MATCH(ROWS(A$6:A8),Milestones!$K$2:$K$501,0))),"")</f>
        <v/>
      </c>
      <c r="C8" s="19" t="str">
        <f aca="false">IFERROR(IF(INDEX(Milestones!$E$2:$E$501,MATCH(ROWS(A$6:A8),Milestones!$K$2:$K$501,0))="","",INDEX(Milestones!$E$2:$E$501,MATCH(ROWS(A$6:A8),Milestones!$K$2:$K$501,0))),"")</f>
        <v/>
      </c>
      <c r="D8" s="19" t="str">
        <f aca="false">IFERROR(IF(INDEX(Milestones!$G$2:$G$501,MATCH(ROWS(A$6:A8),Milestones!$K$2:$K$501,0))&lt;&gt;"",INDEX(Milestones!$G$2:$G$501,MATCH(ROWS(A$6:A8),Milestones!$K$2:$K$501,0)),INDEX(Milestones!$F$2:$F$501,MATCH(ROWS(A$6:A8),Milestones!$K$2:$K$501,0))),"")</f>
        <v/>
      </c>
      <c r="E8" s="18" t="str">
        <f aca="false">IFERROR(IF(INDEX(Milestones!$D$2:$D$501,MATCH(ROWS(A$6:A8),Milestones!$K$2:$K$501,0))="","",INDEX(Milestones!$D$2:$D$501,MATCH(ROWS(A$6:A8),Milestones!$K$2:$K$501,0))),"")</f>
        <v/>
      </c>
    </row>
    <row r="9" customFormat="false" ht="15" hidden="false" customHeight="false" outlineLevel="0" collapsed="false">
      <c r="A9" s="18" t="str">
        <f aca="false">IFERROR(IF(INDEX(Milestones!$B$2:$B$501,MATCH(ROWS(A$6:A9),Milestones!$K$2:$K$501,0))="","",INDEX(Milestones!$B$2:$B$501,MATCH(ROWS(A$6:A9),Milestones!$K$2:$K$501,0))),"")</f>
        <v/>
      </c>
      <c r="B9" s="18" t="str">
        <f aca="false">IFERROR(IF(INDEX(Milestones!$C$2:$C$501,MATCH(ROWS(A$6:A9),Milestones!$K$2:$K$501,0))="","",INDEX(Milestones!$C$2:$C$501,MATCH(ROWS(A$6:A9),Milestones!$K$2:$K$501,0))),"")</f>
        <v/>
      </c>
      <c r="C9" s="19" t="str">
        <f aca="false">IFERROR(IF(INDEX(Milestones!$E$2:$E$501,MATCH(ROWS(A$6:A9),Milestones!$K$2:$K$501,0))="","",INDEX(Milestones!$E$2:$E$501,MATCH(ROWS(A$6:A9),Milestones!$K$2:$K$501,0))),"")</f>
        <v/>
      </c>
      <c r="D9" s="19" t="str">
        <f aca="false">IFERROR(IF(INDEX(Milestones!$G$2:$G$501,MATCH(ROWS(A$6:A9),Milestones!$K$2:$K$501,0))&lt;&gt;"",INDEX(Milestones!$G$2:$G$501,MATCH(ROWS(A$6:A9),Milestones!$K$2:$K$501,0)),INDEX(Milestones!$F$2:$F$501,MATCH(ROWS(A$6:A9),Milestones!$K$2:$K$501,0))),"")</f>
        <v/>
      </c>
      <c r="E9" s="18" t="str">
        <f aca="false">IFERROR(IF(INDEX(Milestones!$D$2:$D$501,MATCH(ROWS(A$6:A9),Milestones!$K$2:$K$501,0))="","",INDEX(Milestones!$D$2:$D$501,MATCH(ROWS(A$6:A9),Milestones!$K$2:$K$501,0))),"")</f>
        <v/>
      </c>
    </row>
    <row r="10" customFormat="false" ht="15" hidden="false" customHeight="false" outlineLevel="0" collapsed="false">
      <c r="A10" s="18" t="str">
        <f aca="false">IFERROR(IF(INDEX(Milestones!$B$2:$B$501,MATCH(ROWS(A$6:A10),Milestones!$K$2:$K$501,0))="","",INDEX(Milestones!$B$2:$B$501,MATCH(ROWS(A$6:A10),Milestones!$K$2:$K$501,0))),"")</f>
        <v/>
      </c>
      <c r="B10" s="18" t="str">
        <f aca="false">IFERROR(IF(INDEX(Milestones!$C$2:$C$501,MATCH(ROWS(A$6:A10),Milestones!$K$2:$K$501,0))="","",INDEX(Milestones!$C$2:$C$501,MATCH(ROWS(A$6:A10),Milestones!$K$2:$K$501,0))),"")</f>
        <v/>
      </c>
      <c r="C10" s="19" t="str">
        <f aca="false">IFERROR(IF(INDEX(Milestones!$E$2:$E$501,MATCH(ROWS(A$6:A10),Milestones!$K$2:$K$501,0))="","",INDEX(Milestones!$E$2:$E$501,MATCH(ROWS(A$6:A10),Milestones!$K$2:$K$501,0))),"")</f>
        <v/>
      </c>
      <c r="D10" s="19" t="str">
        <f aca="false">IFERROR(IF(INDEX(Milestones!$G$2:$G$501,MATCH(ROWS(A$6:A10),Milestones!$K$2:$K$501,0))&lt;&gt;"",INDEX(Milestones!$G$2:$G$501,MATCH(ROWS(A$6:A10),Milestones!$K$2:$K$501,0)),INDEX(Milestones!$F$2:$F$501,MATCH(ROWS(A$6:A10),Milestones!$K$2:$K$501,0))),"")</f>
        <v/>
      </c>
      <c r="E10" s="18" t="str">
        <f aca="false">IFERROR(IF(INDEX(Milestones!$D$2:$D$501,MATCH(ROWS(A$6:A10),Milestones!$K$2:$K$501,0))="","",INDEX(Milestones!$D$2:$D$501,MATCH(ROWS(A$6:A10),Milestones!$K$2:$K$501,0))),"")</f>
        <v/>
      </c>
    </row>
    <row r="11" customFormat="false" ht="15" hidden="false" customHeight="false" outlineLevel="0" collapsed="false">
      <c r="A11" s="18" t="str">
        <f aca="false">IFERROR(IF(INDEX(Milestones!$B$2:$B$501,MATCH(ROWS(A$6:A11),Milestones!$K$2:$K$501,0))="","",INDEX(Milestones!$B$2:$B$501,MATCH(ROWS(A$6:A11),Milestones!$K$2:$K$501,0))),"")</f>
        <v/>
      </c>
      <c r="B11" s="18" t="str">
        <f aca="false">IFERROR(IF(INDEX(Milestones!$C$2:$C$501,MATCH(ROWS(A$6:A11),Milestones!$K$2:$K$501,0))="","",INDEX(Milestones!$C$2:$C$501,MATCH(ROWS(A$6:A11),Milestones!$K$2:$K$501,0))),"")</f>
        <v/>
      </c>
      <c r="C11" s="19" t="str">
        <f aca="false">IFERROR(IF(INDEX(Milestones!$E$2:$E$501,MATCH(ROWS(A$6:A11),Milestones!$K$2:$K$501,0))="","",INDEX(Milestones!$E$2:$E$501,MATCH(ROWS(A$6:A11),Milestones!$K$2:$K$501,0))),"")</f>
        <v/>
      </c>
      <c r="D11" s="19" t="str">
        <f aca="false">IFERROR(IF(INDEX(Milestones!$G$2:$G$501,MATCH(ROWS(A$6:A11),Milestones!$K$2:$K$501,0))&lt;&gt;"",INDEX(Milestones!$G$2:$G$501,MATCH(ROWS(A$6:A11),Milestones!$K$2:$K$501,0)),INDEX(Milestones!$F$2:$F$501,MATCH(ROWS(A$6:A11),Milestones!$K$2:$K$501,0))),"")</f>
        <v/>
      </c>
      <c r="E11" s="18" t="str">
        <f aca="false">IFERROR(IF(INDEX(Milestones!$D$2:$D$501,MATCH(ROWS(A$6:A11),Milestones!$K$2:$K$501,0))="","",INDEX(Milestones!$D$2:$D$501,MATCH(ROWS(A$6:A11),Milestones!$K$2:$K$501,0))),"")</f>
        <v/>
      </c>
    </row>
    <row r="12" customFormat="false" ht="15" hidden="false" customHeight="false" outlineLevel="0" collapsed="false">
      <c r="A12" s="18" t="str">
        <f aca="false">IFERROR(IF(INDEX(Milestones!$B$2:$B$501,MATCH(ROWS(A$6:A12),Milestones!$K$2:$K$501,0))="","",INDEX(Milestones!$B$2:$B$501,MATCH(ROWS(A$6:A12),Milestones!$K$2:$K$501,0))),"")</f>
        <v/>
      </c>
      <c r="B12" s="18" t="str">
        <f aca="false">IFERROR(IF(INDEX(Milestones!$C$2:$C$501,MATCH(ROWS(A$6:A12),Milestones!$K$2:$K$501,0))="","",INDEX(Milestones!$C$2:$C$501,MATCH(ROWS(A$6:A12),Milestones!$K$2:$K$501,0))),"")</f>
        <v/>
      </c>
      <c r="C12" s="19" t="str">
        <f aca="false">IFERROR(IF(INDEX(Milestones!$E$2:$E$501,MATCH(ROWS(A$6:A12),Milestones!$K$2:$K$501,0))="","",INDEX(Milestones!$E$2:$E$501,MATCH(ROWS(A$6:A12),Milestones!$K$2:$K$501,0))),"")</f>
        <v/>
      </c>
      <c r="D12" s="19" t="str">
        <f aca="false">IFERROR(IF(INDEX(Milestones!$G$2:$G$501,MATCH(ROWS(A$6:A12),Milestones!$K$2:$K$501,0))&lt;&gt;"",INDEX(Milestones!$G$2:$G$501,MATCH(ROWS(A$6:A12),Milestones!$K$2:$K$501,0)),INDEX(Milestones!$F$2:$F$501,MATCH(ROWS(A$6:A12),Milestones!$K$2:$K$501,0))),"")</f>
        <v/>
      </c>
      <c r="E12" s="18" t="str">
        <f aca="false">IFERROR(IF(INDEX(Milestones!$D$2:$D$501,MATCH(ROWS(A$6:A12),Milestones!$K$2:$K$501,0))="","",INDEX(Milestones!$D$2:$D$501,MATCH(ROWS(A$6:A12),Milestones!$K$2:$K$501,0))),"")</f>
        <v/>
      </c>
    </row>
    <row r="13" customFormat="false" ht="15" hidden="false" customHeight="false" outlineLevel="0" collapsed="false">
      <c r="A13" s="18" t="str">
        <f aca="false">IFERROR(IF(INDEX(Milestones!$B$2:$B$501,MATCH(ROWS(A$6:A13),Milestones!$K$2:$K$501,0))="","",INDEX(Milestones!$B$2:$B$501,MATCH(ROWS(A$6:A13),Milestones!$K$2:$K$501,0))),"")</f>
        <v/>
      </c>
      <c r="B13" s="18" t="str">
        <f aca="false">IFERROR(IF(INDEX(Milestones!$C$2:$C$501,MATCH(ROWS(A$6:A13),Milestones!$K$2:$K$501,0))="","",INDEX(Milestones!$C$2:$C$501,MATCH(ROWS(A$6:A13),Milestones!$K$2:$K$501,0))),"")</f>
        <v/>
      </c>
      <c r="C13" s="19" t="str">
        <f aca="false">IFERROR(IF(INDEX(Milestones!$E$2:$E$501,MATCH(ROWS(A$6:A13),Milestones!$K$2:$K$501,0))="","",INDEX(Milestones!$E$2:$E$501,MATCH(ROWS(A$6:A13),Milestones!$K$2:$K$501,0))),"")</f>
        <v/>
      </c>
      <c r="D13" s="19" t="str">
        <f aca="false">IFERROR(IF(INDEX(Milestones!$G$2:$G$501,MATCH(ROWS(A$6:A13),Milestones!$K$2:$K$501,0))&lt;&gt;"",INDEX(Milestones!$G$2:$G$501,MATCH(ROWS(A$6:A13),Milestones!$K$2:$K$501,0)),INDEX(Milestones!$F$2:$F$501,MATCH(ROWS(A$6:A13),Milestones!$K$2:$K$501,0))),"")</f>
        <v/>
      </c>
      <c r="E13" s="18" t="str">
        <f aca="false">IFERROR(IF(INDEX(Milestones!$D$2:$D$501,MATCH(ROWS(A$6:A13),Milestones!$K$2:$K$501,0))="","",INDEX(Milestones!$D$2:$D$501,MATCH(ROWS(A$6:A13),Milestones!$K$2:$K$501,0))),"")</f>
        <v/>
      </c>
    </row>
    <row r="14" customFormat="false" ht="15" hidden="false" customHeight="false" outlineLevel="0" collapsed="false">
      <c r="A14" s="18" t="str">
        <f aca="false">IFERROR(IF(INDEX(Milestones!$B$2:$B$501,MATCH(ROWS(A$6:A14),Milestones!$K$2:$K$501,0))="","",INDEX(Milestones!$B$2:$B$501,MATCH(ROWS(A$6:A14),Milestones!$K$2:$K$501,0))),"")</f>
        <v/>
      </c>
      <c r="B14" s="18" t="str">
        <f aca="false">IFERROR(IF(INDEX(Milestones!$C$2:$C$501,MATCH(ROWS(A$6:A14),Milestones!$K$2:$K$501,0))="","",INDEX(Milestones!$C$2:$C$501,MATCH(ROWS(A$6:A14),Milestones!$K$2:$K$501,0))),"")</f>
        <v/>
      </c>
      <c r="C14" s="19" t="str">
        <f aca="false">IFERROR(IF(INDEX(Milestones!$E$2:$E$501,MATCH(ROWS(A$6:A14),Milestones!$K$2:$K$501,0))="","",INDEX(Milestones!$E$2:$E$501,MATCH(ROWS(A$6:A14),Milestones!$K$2:$K$501,0))),"")</f>
        <v/>
      </c>
      <c r="D14" s="19" t="str">
        <f aca="false">IFERROR(IF(INDEX(Milestones!$G$2:$G$501,MATCH(ROWS(A$6:A14),Milestones!$K$2:$K$501,0))&lt;&gt;"",INDEX(Milestones!$G$2:$G$501,MATCH(ROWS(A$6:A14),Milestones!$K$2:$K$501,0)),INDEX(Milestones!$F$2:$F$501,MATCH(ROWS(A$6:A14),Milestones!$K$2:$K$501,0))),"")</f>
        <v/>
      </c>
      <c r="E14" s="18" t="str">
        <f aca="false">IFERROR(IF(INDEX(Milestones!$D$2:$D$501,MATCH(ROWS(A$6:A14),Milestones!$K$2:$K$501,0))="","",INDEX(Milestones!$D$2:$D$501,MATCH(ROWS(A$6:A14),Milestones!$K$2:$K$501,0))),"")</f>
        <v/>
      </c>
    </row>
    <row r="15" customFormat="false" ht="15" hidden="false" customHeight="false" outlineLevel="0" collapsed="false">
      <c r="A15" s="18" t="str">
        <f aca="false">IFERROR(IF(INDEX(Milestones!$B$2:$B$501,MATCH(ROWS(A$6:A15),Milestones!$K$2:$K$501,0))="","",INDEX(Milestones!$B$2:$B$501,MATCH(ROWS(A$6:A15),Milestones!$K$2:$K$501,0))),"")</f>
        <v/>
      </c>
      <c r="B15" s="18" t="str">
        <f aca="false">IFERROR(IF(INDEX(Milestones!$C$2:$C$501,MATCH(ROWS(A$6:A15),Milestones!$K$2:$K$501,0))="","",INDEX(Milestones!$C$2:$C$501,MATCH(ROWS(A$6:A15),Milestones!$K$2:$K$501,0))),"")</f>
        <v/>
      </c>
      <c r="C15" s="19" t="str">
        <f aca="false">IFERROR(IF(INDEX(Milestones!$E$2:$E$501,MATCH(ROWS(A$6:A15),Milestones!$K$2:$K$501,0))="","",INDEX(Milestones!$E$2:$E$501,MATCH(ROWS(A$6:A15),Milestones!$K$2:$K$501,0))),"")</f>
        <v/>
      </c>
      <c r="D15" s="19" t="str">
        <f aca="false">IFERROR(IF(INDEX(Milestones!$G$2:$G$501,MATCH(ROWS(A$6:A15),Milestones!$K$2:$K$501,0))&lt;&gt;"",INDEX(Milestones!$G$2:$G$501,MATCH(ROWS(A$6:A15),Milestones!$K$2:$K$501,0)),INDEX(Milestones!$F$2:$F$501,MATCH(ROWS(A$6:A15),Milestones!$K$2:$K$501,0))),"")</f>
        <v/>
      </c>
      <c r="E15" s="18" t="str">
        <f aca="false">IFERROR(IF(INDEX(Milestones!$D$2:$D$501,MATCH(ROWS(A$6:A15),Milestones!$K$2:$K$501,0))="","",INDEX(Milestones!$D$2:$D$501,MATCH(ROWS(A$6:A15),Milestones!$K$2:$K$501,0))),"")</f>
        <v/>
      </c>
    </row>
    <row r="16" customFormat="false" ht="15" hidden="false" customHeight="false" outlineLevel="0" collapsed="false">
      <c r="A16" s="18" t="str">
        <f aca="false">IFERROR(IF(INDEX(Milestones!$B$2:$B$501,MATCH(ROWS(A$6:A16),Milestones!$K$2:$K$501,0))="","",INDEX(Milestones!$B$2:$B$501,MATCH(ROWS(A$6:A16),Milestones!$K$2:$K$501,0))),"")</f>
        <v/>
      </c>
      <c r="B16" s="18" t="str">
        <f aca="false">IFERROR(IF(INDEX(Milestones!$C$2:$C$501,MATCH(ROWS(A$6:A16),Milestones!$K$2:$K$501,0))="","",INDEX(Milestones!$C$2:$C$501,MATCH(ROWS(A$6:A16),Milestones!$K$2:$K$501,0))),"")</f>
        <v/>
      </c>
      <c r="C16" s="19" t="str">
        <f aca="false">IFERROR(IF(INDEX(Milestones!$E$2:$E$501,MATCH(ROWS(A$6:A16),Milestones!$K$2:$K$501,0))="","",INDEX(Milestones!$E$2:$E$501,MATCH(ROWS(A$6:A16),Milestones!$K$2:$K$501,0))),"")</f>
        <v/>
      </c>
      <c r="D16" s="19" t="str">
        <f aca="false">IFERROR(IF(INDEX(Milestones!$G$2:$G$501,MATCH(ROWS(A$6:A16),Milestones!$K$2:$K$501,0))&lt;&gt;"",INDEX(Milestones!$G$2:$G$501,MATCH(ROWS(A$6:A16),Milestones!$K$2:$K$501,0)),INDEX(Milestones!$F$2:$F$501,MATCH(ROWS(A$6:A16),Milestones!$K$2:$K$501,0))),"")</f>
        <v/>
      </c>
      <c r="E16" s="18" t="str">
        <f aca="false">IFERROR(IF(INDEX(Milestones!$D$2:$D$501,MATCH(ROWS(A$6:A16),Milestones!$K$2:$K$501,0))="","",INDEX(Milestones!$D$2:$D$501,MATCH(ROWS(A$6:A16),Milestones!$K$2:$K$501,0))),"")</f>
        <v/>
      </c>
    </row>
    <row r="17" customFormat="false" ht="15" hidden="false" customHeight="false" outlineLevel="0" collapsed="false">
      <c r="A17" s="18" t="str">
        <f aca="false">IFERROR(IF(INDEX(Milestones!$B$2:$B$501,MATCH(ROWS(A$6:A17),Milestones!$K$2:$K$501,0))="","",INDEX(Milestones!$B$2:$B$501,MATCH(ROWS(A$6:A17),Milestones!$K$2:$K$501,0))),"")</f>
        <v/>
      </c>
      <c r="B17" s="18" t="str">
        <f aca="false">IFERROR(IF(INDEX(Milestones!$C$2:$C$501,MATCH(ROWS(A$6:A17),Milestones!$K$2:$K$501,0))="","",INDEX(Milestones!$C$2:$C$501,MATCH(ROWS(A$6:A17),Milestones!$K$2:$K$501,0))),"")</f>
        <v/>
      </c>
      <c r="C17" s="19" t="str">
        <f aca="false">IFERROR(IF(INDEX(Milestones!$E$2:$E$501,MATCH(ROWS(A$6:A17),Milestones!$K$2:$K$501,0))="","",INDEX(Milestones!$E$2:$E$501,MATCH(ROWS(A$6:A17),Milestones!$K$2:$K$501,0))),"")</f>
        <v/>
      </c>
      <c r="D17" s="19" t="str">
        <f aca="false">IFERROR(IF(INDEX(Milestones!$G$2:$G$501,MATCH(ROWS(A$6:A17),Milestones!$K$2:$K$501,0))&lt;&gt;"",INDEX(Milestones!$G$2:$G$501,MATCH(ROWS(A$6:A17),Milestones!$K$2:$K$501,0)),INDEX(Milestones!$F$2:$F$501,MATCH(ROWS(A$6:A17),Milestones!$K$2:$K$501,0))),"")</f>
        <v/>
      </c>
      <c r="E17" s="18" t="str">
        <f aca="false">IFERROR(IF(INDEX(Milestones!$D$2:$D$501,MATCH(ROWS(A$6:A17),Milestones!$K$2:$K$501,0))="","",INDEX(Milestones!$D$2:$D$501,MATCH(ROWS(A$6:A17),Milestones!$K$2:$K$501,0))),"")</f>
        <v/>
      </c>
    </row>
    <row r="18" customFormat="false" ht="15" hidden="false" customHeight="false" outlineLevel="0" collapsed="false">
      <c r="A18" s="18" t="str">
        <f aca="false">IFERROR(IF(INDEX(Milestones!$B$2:$B$501,MATCH(ROWS(A$6:A18),Milestones!$K$2:$K$501,0))="","",INDEX(Milestones!$B$2:$B$501,MATCH(ROWS(A$6:A18),Milestones!$K$2:$K$501,0))),"")</f>
        <v/>
      </c>
      <c r="B18" s="18" t="str">
        <f aca="false">IFERROR(IF(INDEX(Milestones!$C$2:$C$501,MATCH(ROWS(A$6:A18),Milestones!$K$2:$K$501,0))="","",INDEX(Milestones!$C$2:$C$501,MATCH(ROWS(A$6:A18),Milestones!$K$2:$K$501,0))),"")</f>
        <v/>
      </c>
      <c r="C18" s="19" t="str">
        <f aca="false">IFERROR(IF(INDEX(Milestones!$E$2:$E$501,MATCH(ROWS(A$6:A18),Milestones!$K$2:$K$501,0))="","",INDEX(Milestones!$E$2:$E$501,MATCH(ROWS(A$6:A18),Milestones!$K$2:$K$501,0))),"")</f>
        <v/>
      </c>
      <c r="D18" s="19" t="str">
        <f aca="false">IFERROR(IF(INDEX(Milestones!$G$2:$G$501,MATCH(ROWS(A$6:A18),Milestones!$K$2:$K$501,0))&lt;&gt;"",INDEX(Milestones!$G$2:$G$501,MATCH(ROWS(A$6:A18),Milestones!$K$2:$K$501,0)),INDEX(Milestones!$F$2:$F$501,MATCH(ROWS(A$6:A18),Milestones!$K$2:$K$501,0))),"")</f>
        <v/>
      </c>
      <c r="E18" s="18" t="str">
        <f aca="false">IFERROR(IF(INDEX(Milestones!$D$2:$D$501,MATCH(ROWS(A$6:A18),Milestones!$K$2:$K$501,0))="","",INDEX(Milestones!$D$2:$D$501,MATCH(ROWS(A$6:A18),Milestones!$K$2:$K$501,0))),"")</f>
        <v/>
      </c>
    </row>
    <row r="19" customFormat="false" ht="15" hidden="false" customHeight="false" outlineLevel="0" collapsed="false">
      <c r="A19" s="18" t="str">
        <f aca="false">IFERROR(IF(INDEX(Milestones!$B$2:$B$501,MATCH(ROWS(A$6:A19),Milestones!$K$2:$K$501,0))="","",INDEX(Milestones!$B$2:$B$501,MATCH(ROWS(A$6:A19),Milestones!$K$2:$K$501,0))),"")</f>
        <v/>
      </c>
      <c r="B19" s="18" t="str">
        <f aca="false">IFERROR(IF(INDEX(Milestones!$C$2:$C$501,MATCH(ROWS(A$6:A19),Milestones!$K$2:$K$501,0))="","",INDEX(Milestones!$C$2:$C$501,MATCH(ROWS(A$6:A19),Milestones!$K$2:$K$501,0))),"")</f>
        <v/>
      </c>
      <c r="C19" s="19" t="str">
        <f aca="false">IFERROR(IF(INDEX(Milestones!$E$2:$E$501,MATCH(ROWS(A$6:A19),Milestones!$K$2:$K$501,0))="","",INDEX(Milestones!$E$2:$E$501,MATCH(ROWS(A$6:A19),Milestones!$K$2:$K$501,0))),"")</f>
        <v/>
      </c>
      <c r="D19" s="19" t="str">
        <f aca="false">IFERROR(IF(INDEX(Milestones!$G$2:$G$501,MATCH(ROWS(A$6:A19),Milestones!$K$2:$K$501,0))&lt;&gt;"",INDEX(Milestones!$G$2:$G$501,MATCH(ROWS(A$6:A19),Milestones!$K$2:$K$501,0)),INDEX(Milestones!$F$2:$F$501,MATCH(ROWS(A$6:A19),Milestones!$K$2:$K$501,0))),"")</f>
        <v/>
      </c>
      <c r="E19" s="18" t="str">
        <f aca="false">IFERROR(IF(INDEX(Milestones!$D$2:$D$501,MATCH(ROWS(A$6:A19),Milestones!$K$2:$K$501,0))="","",INDEX(Milestones!$D$2:$D$501,MATCH(ROWS(A$6:A19),Milestones!$K$2:$K$501,0))),"")</f>
        <v/>
      </c>
    </row>
    <row r="20" customFormat="false" ht="15" hidden="false" customHeight="false" outlineLevel="0" collapsed="false">
      <c r="A20" s="18" t="str">
        <f aca="false">IFERROR(IF(INDEX(Milestones!$B$2:$B$501,MATCH(ROWS(A$6:A20),Milestones!$K$2:$K$501,0))="","",INDEX(Milestones!$B$2:$B$501,MATCH(ROWS(A$6:A20),Milestones!$K$2:$K$501,0))),"")</f>
        <v/>
      </c>
      <c r="B20" s="18" t="str">
        <f aca="false">IFERROR(IF(INDEX(Milestones!$C$2:$C$501,MATCH(ROWS(A$6:A20),Milestones!$K$2:$K$501,0))="","",INDEX(Milestones!$C$2:$C$501,MATCH(ROWS(A$6:A20),Milestones!$K$2:$K$501,0))),"")</f>
        <v/>
      </c>
      <c r="C20" s="19" t="str">
        <f aca="false">IFERROR(IF(INDEX(Milestones!$E$2:$E$501,MATCH(ROWS(A$6:A20),Milestones!$K$2:$K$501,0))="","",INDEX(Milestones!$E$2:$E$501,MATCH(ROWS(A$6:A20),Milestones!$K$2:$K$501,0))),"")</f>
        <v/>
      </c>
      <c r="D20" s="19" t="str">
        <f aca="false">IFERROR(IF(INDEX(Milestones!$G$2:$G$501,MATCH(ROWS(A$6:A20),Milestones!$K$2:$K$501,0))&lt;&gt;"",INDEX(Milestones!$G$2:$G$501,MATCH(ROWS(A$6:A20),Milestones!$K$2:$K$501,0)),INDEX(Milestones!$F$2:$F$501,MATCH(ROWS(A$6:A20),Milestones!$K$2:$K$501,0))),"")</f>
        <v/>
      </c>
      <c r="E20" s="18" t="str">
        <f aca="false">IFERROR(IF(INDEX(Milestones!$D$2:$D$501,MATCH(ROWS(A$6:A20),Milestones!$K$2:$K$501,0))="","",INDEX(Milestones!$D$2:$D$501,MATCH(ROWS(A$6:A20),Milestones!$K$2:$K$501,0))),"")</f>
        <v/>
      </c>
    </row>
    <row r="21" customFormat="false" ht="15" hidden="false" customHeight="false" outlineLevel="0" collapsed="false">
      <c r="A21" s="18" t="str">
        <f aca="false">IFERROR(IF(INDEX(Milestones!$B$2:$B$501,MATCH(ROWS(A$6:A21),Milestones!$K$2:$K$501,0))="","",INDEX(Milestones!$B$2:$B$501,MATCH(ROWS(A$6:A21),Milestones!$K$2:$K$501,0))),"")</f>
        <v/>
      </c>
      <c r="B21" s="18" t="str">
        <f aca="false">IFERROR(IF(INDEX(Milestones!$C$2:$C$501,MATCH(ROWS(A$6:A21),Milestones!$K$2:$K$501,0))="","",INDEX(Milestones!$C$2:$C$501,MATCH(ROWS(A$6:A21),Milestones!$K$2:$K$501,0))),"")</f>
        <v/>
      </c>
      <c r="C21" s="19" t="str">
        <f aca="false">IFERROR(IF(INDEX(Milestones!$E$2:$E$501,MATCH(ROWS(A$6:A21),Milestones!$K$2:$K$501,0))="","",INDEX(Milestones!$E$2:$E$501,MATCH(ROWS(A$6:A21),Milestones!$K$2:$K$501,0))),"")</f>
        <v/>
      </c>
      <c r="D21" s="19" t="str">
        <f aca="false">IFERROR(IF(INDEX(Milestones!$G$2:$G$501,MATCH(ROWS(A$6:A21),Milestones!$K$2:$K$501,0))&lt;&gt;"",INDEX(Milestones!$G$2:$G$501,MATCH(ROWS(A$6:A21),Milestones!$K$2:$K$501,0)),INDEX(Milestones!$F$2:$F$501,MATCH(ROWS(A$6:A21),Milestones!$K$2:$K$501,0))),"")</f>
        <v/>
      </c>
      <c r="E21" s="18" t="str">
        <f aca="false">IFERROR(IF(INDEX(Milestones!$D$2:$D$501,MATCH(ROWS(A$6:A21),Milestones!$K$2:$K$501,0))="","",INDEX(Milestones!$D$2:$D$501,MATCH(ROWS(A$6:A21),Milestones!$K$2:$K$501,0))),"")</f>
        <v/>
      </c>
    </row>
    <row r="22" customFormat="false" ht="15" hidden="false" customHeight="false" outlineLevel="0" collapsed="false">
      <c r="A22" s="18" t="str">
        <f aca="false">IFERROR(IF(INDEX(Milestones!$B$2:$B$501,MATCH(ROWS(A$6:A22),Milestones!$K$2:$K$501,0))="","",INDEX(Milestones!$B$2:$B$501,MATCH(ROWS(A$6:A22),Milestones!$K$2:$K$501,0))),"")</f>
        <v/>
      </c>
      <c r="B22" s="18" t="str">
        <f aca="false">IFERROR(IF(INDEX(Milestones!$C$2:$C$501,MATCH(ROWS(A$6:A22),Milestones!$K$2:$K$501,0))="","",INDEX(Milestones!$C$2:$C$501,MATCH(ROWS(A$6:A22),Milestones!$K$2:$K$501,0))),"")</f>
        <v/>
      </c>
      <c r="C22" s="19" t="str">
        <f aca="false">IFERROR(IF(INDEX(Milestones!$E$2:$E$501,MATCH(ROWS(A$6:A22),Milestones!$K$2:$K$501,0))="","",INDEX(Milestones!$E$2:$E$501,MATCH(ROWS(A$6:A22),Milestones!$K$2:$K$501,0))),"")</f>
        <v/>
      </c>
      <c r="D22" s="19" t="str">
        <f aca="false">IFERROR(IF(INDEX(Milestones!$G$2:$G$501,MATCH(ROWS(A$6:A22),Milestones!$K$2:$K$501,0))&lt;&gt;"",INDEX(Milestones!$G$2:$G$501,MATCH(ROWS(A$6:A22),Milestones!$K$2:$K$501,0)),INDEX(Milestones!$F$2:$F$501,MATCH(ROWS(A$6:A22),Milestones!$K$2:$K$501,0))),"")</f>
        <v/>
      </c>
      <c r="E22" s="18" t="str">
        <f aca="false">IFERROR(IF(INDEX(Milestones!$D$2:$D$501,MATCH(ROWS(A$6:A22),Milestones!$K$2:$K$501,0))="","",INDEX(Milestones!$D$2:$D$501,MATCH(ROWS(A$6:A22),Milestones!$K$2:$K$501,0))),"")</f>
        <v/>
      </c>
    </row>
    <row r="23" customFormat="false" ht="15" hidden="false" customHeight="false" outlineLevel="0" collapsed="false">
      <c r="A23" s="18" t="str">
        <f aca="false">IFERROR(IF(INDEX(Milestones!$B$2:$B$501,MATCH(ROWS(A$6:A23),Milestones!$K$2:$K$501,0))="","",INDEX(Milestones!$B$2:$B$501,MATCH(ROWS(A$6:A23),Milestones!$K$2:$K$501,0))),"")</f>
        <v/>
      </c>
      <c r="B23" s="18" t="str">
        <f aca="false">IFERROR(IF(INDEX(Milestones!$C$2:$C$501,MATCH(ROWS(A$6:A23),Milestones!$K$2:$K$501,0))="","",INDEX(Milestones!$C$2:$C$501,MATCH(ROWS(A$6:A23),Milestones!$K$2:$K$501,0))),"")</f>
        <v/>
      </c>
      <c r="C23" s="19" t="str">
        <f aca="false">IFERROR(IF(INDEX(Milestones!$E$2:$E$501,MATCH(ROWS(A$6:A23),Milestones!$K$2:$K$501,0))="","",INDEX(Milestones!$E$2:$E$501,MATCH(ROWS(A$6:A23),Milestones!$K$2:$K$501,0))),"")</f>
        <v/>
      </c>
      <c r="D23" s="19" t="str">
        <f aca="false">IFERROR(IF(INDEX(Milestones!$G$2:$G$501,MATCH(ROWS(A$6:A23),Milestones!$K$2:$K$501,0))&lt;&gt;"",INDEX(Milestones!$G$2:$G$501,MATCH(ROWS(A$6:A23),Milestones!$K$2:$K$501,0)),INDEX(Milestones!$F$2:$F$501,MATCH(ROWS(A$6:A23),Milestones!$K$2:$K$501,0))),"")</f>
        <v/>
      </c>
      <c r="E23" s="18" t="str">
        <f aca="false">IFERROR(IF(INDEX(Milestones!$D$2:$D$501,MATCH(ROWS(A$6:A23),Milestones!$K$2:$K$501,0))="","",INDEX(Milestones!$D$2:$D$501,MATCH(ROWS(A$6:A23),Milestones!$K$2:$K$501,0))),"")</f>
        <v/>
      </c>
    </row>
    <row r="24" customFormat="false" ht="15" hidden="false" customHeight="false" outlineLevel="0" collapsed="false">
      <c r="A24" s="18" t="str">
        <f aca="false">IFERROR(IF(INDEX(Milestones!$B$2:$B$501,MATCH(ROWS(A$6:A24),Milestones!$K$2:$K$501,0))="","",INDEX(Milestones!$B$2:$B$501,MATCH(ROWS(A$6:A24),Milestones!$K$2:$K$501,0))),"")</f>
        <v/>
      </c>
      <c r="B24" s="18" t="str">
        <f aca="false">IFERROR(IF(INDEX(Milestones!$C$2:$C$501,MATCH(ROWS(A$6:A24),Milestones!$K$2:$K$501,0))="","",INDEX(Milestones!$C$2:$C$501,MATCH(ROWS(A$6:A24),Milestones!$K$2:$K$501,0))),"")</f>
        <v/>
      </c>
      <c r="C24" s="19" t="str">
        <f aca="false">IFERROR(IF(INDEX(Milestones!$E$2:$E$501,MATCH(ROWS(A$6:A24),Milestones!$K$2:$K$501,0))="","",INDEX(Milestones!$E$2:$E$501,MATCH(ROWS(A$6:A24),Milestones!$K$2:$K$501,0))),"")</f>
        <v/>
      </c>
      <c r="D24" s="19" t="str">
        <f aca="false">IFERROR(IF(INDEX(Milestones!$G$2:$G$501,MATCH(ROWS(A$6:A24),Milestones!$K$2:$K$501,0))&lt;&gt;"",INDEX(Milestones!$G$2:$G$501,MATCH(ROWS(A$6:A24),Milestones!$K$2:$K$501,0)),INDEX(Milestones!$F$2:$F$501,MATCH(ROWS(A$6:A24),Milestones!$K$2:$K$501,0))),"")</f>
        <v/>
      </c>
      <c r="E24" s="18" t="str">
        <f aca="false">IFERROR(IF(INDEX(Milestones!$D$2:$D$501,MATCH(ROWS(A$6:A24),Milestones!$K$2:$K$501,0))="","",INDEX(Milestones!$D$2:$D$501,MATCH(ROWS(A$6:A24),Milestones!$K$2:$K$501,0))),"")</f>
        <v/>
      </c>
    </row>
    <row r="25" customFormat="false" ht="15" hidden="false" customHeight="false" outlineLevel="0" collapsed="false">
      <c r="A25" s="18" t="str">
        <f aca="false">IFERROR(IF(INDEX(Milestones!$B$2:$B$501,MATCH(ROWS(A$6:A25),Milestones!$K$2:$K$501,0))="","",INDEX(Milestones!$B$2:$B$501,MATCH(ROWS(A$6:A25),Milestones!$K$2:$K$501,0))),"")</f>
        <v/>
      </c>
      <c r="B25" s="18" t="str">
        <f aca="false">IFERROR(IF(INDEX(Milestones!$C$2:$C$501,MATCH(ROWS(A$6:A25),Milestones!$K$2:$K$501,0))="","",INDEX(Milestones!$C$2:$C$501,MATCH(ROWS(A$6:A25),Milestones!$K$2:$K$501,0))),"")</f>
        <v/>
      </c>
      <c r="C25" s="19" t="str">
        <f aca="false">IFERROR(IF(INDEX(Milestones!$E$2:$E$501,MATCH(ROWS(A$6:A25),Milestones!$K$2:$K$501,0))="","",INDEX(Milestones!$E$2:$E$501,MATCH(ROWS(A$6:A25),Milestones!$K$2:$K$501,0))),"")</f>
        <v/>
      </c>
      <c r="D25" s="19" t="str">
        <f aca="false">IFERROR(IF(INDEX(Milestones!$G$2:$G$501,MATCH(ROWS(A$6:A25),Milestones!$K$2:$K$501,0))&lt;&gt;"",INDEX(Milestones!$G$2:$G$501,MATCH(ROWS(A$6:A25),Milestones!$K$2:$K$501,0)),INDEX(Milestones!$F$2:$F$501,MATCH(ROWS(A$6:A25),Milestones!$K$2:$K$501,0))),"")</f>
        <v/>
      </c>
      <c r="E25" s="18" t="str">
        <f aca="false">IFERROR(IF(INDEX(Milestones!$D$2:$D$501,MATCH(ROWS(A$6:A25),Milestones!$K$2:$K$501,0))="","",INDEX(Milestones!$D$2:$D$501,MATCH(ROWS(A$6:A25),Milestones!$K$2:$K$501,0))),"")</f>
        <v/>
      </c>
    </row>
    <row r="26" customFormat="false" ht="15" hidden="false" customHeight="false" outlineLevel="0" collapsed="false">
      <c r="A26" s="18" t="str">
        <f aca="false">IFERROR(IF(INDEX(Milestones!$B$2:$B$501,MATCH(ROWS(A$6:A26),Milestones!$K$2:$K$501,0))="","",INDEX(Milestones!$B$2:$B$501,MATCH(ROWS(A$6:A26),Milestones!$K$2:$K$501,0))),"")</f>
        <v/>
      </c>
      <c r="B26" s="18" t="str">
        <f aca="false">IFERROR(IF(INDEX(Milestones!$C$2:$C$501,MATCH(ROWS(A$6:A26),Milestones!$K$2:$K$501,0))="","",INDEX(Milestones!$C$2:$C$501,MATCH(ROWS(A$6:A26),Milestones!$K$2:$K$501,0))),"")</f>
        <v/>
      </c>
      <c r="C26" s="19" t="str">
        <f aca="false">IFERROR(IF(INDEX(Milestones!$E$2:$E$501,MATCH(ROWS(A$6:A26),Milestones!$K$2:$K$501,0))="","",INDEX(Milestones!$E$2:$E$501,MATCH(ROWS(A$6:A26),Milestones!$K$2:$K$501,0))),"")</f>
        <v/>
      </c>
      <c r="D26" s="19" t="str">
        <f aca="false">IFERROR(IF(INDEX(Milestones!$G$2:$G$501,MATCH(ROWS(A$6:A26),Milestones!$K$2:$K$501,0))&lt;&gt;"",INDEX(Milestones!$G$2:$G$501,MATCH(ROWS(A$6:A26),Milestones!$K$2:$K$501,0)),INDEX(Milestones!$F$2:$F$501,MATCH(ROWS(A$6:A26),Milestones!$K$2:$K$501,0))),"")</f>
        <v/>
      </c>
      <c r="E26" s="18" t="str">
        <f aca="false">IFERROR(IF(INDEX(Milestones!$D$2:$D$501,MATCH(ROWS(A$6:A26),Milestones!$K$2:$K$501,0))="","",INDEX(Milestones!$D$2:$D$501,MATCH(ROWS(A$6:A26),Milestones!$K$2:$K$501,0))),"")</f>
        <v/>
      </c>
    </row>
    <row r="27" customFormat="false" ht="15" hidden="false" customHeight="false" outlineLevel="0" collapsed="false">
      <c r="A27" s="18" t="str">
        <f aca="false">IFERROR(IF(INDEX(Milestones!$B$2:$B$501,MATCH(ROWS(A$6:A27),Milestones!$K$2:$K$501,0))="","",INDEX(Milestones!$B$2:$B$501,MATCH(ROWS(A$6:A27),Milestones!$K$2:$K$501,0))),"")</f>
        <v/>
      </c>
      <c r="B27" s="18" t="str">
        <f aca="false">IFERROR(IF(INDEX(Milestones!$C$2:$C$501,MATCH(ROWS(A$6:A27),Milestones!$K$2:$K$501,0))="","",INDEX(Milestones!$C$2:$C$501,MATCH(ROWS(A$6:A27),Milestones!$K$2:$K$501,0))),"")</f>
        <v/>
      </c>
      <c r="C27" s="19" t="str">
        <f aca="false">IFERROR(IF(INDEX(Milestones!$E$2:$E$501,MATCH(ROWS(A$6:A27),Milestones!$K$2:$K$501,0))="","",INDEX(Milestones!$E$2:$E$501,MATCH(ROWS(A$6:A27),Milestones!$K$2:$K$501,0))),"")</f>
        <v/>
      </c>
      <c r="D27" s="19" t="str">
        <f aca="false">IFERROR(IF(INDEX(Milestones!$G$2:$G$501,MATCH(ROWS(A$6:A27),Milestones!$K$2:$K$501,0))&lt;&gt;"",INDEX(Milestones!$G$2:$G$501,MATCH(ROWS(A$6:A27),Milestones!$K$2:$K$501,0)),INDEX(Milestones!$F$2:$F$501,MATCH(ROWS(A$6:A27),Milestones!$K$2:$K$501,0))),"")</f>
        <v/>
      </c>
      <c r="E27" s="18" t="str">
        <f aca="false">IFERROR(IF(INDEX(Milestones!$D$2:$D$501,MATCH(ROWS(A$6:A27),Milestones!$K$2:$K$501,0))="","",INDEX(Milestones!$D$2:$D$501,MATCH(ROWS(A$6:A27),Milestones!$K$2:$K$501,0))),"")</f>
        <v/>
      </c>
    </row>
    <row r="28" customFormat="false" ht="15" hidden="false" customHeight="false" outlineLevel="0" collapsed="false">
      <c r="A28" s="18" t="str">
        <f aca="false">IFERROR(IF(INDEX(Milestones!$B$2:$B$501,MATCH(ROWS(A$6:A28),Milestones!$K$2:$K$501,0))="","",INDEX(Milestones!$B$2:$B$501,MATCH(ROWS(A$6:A28),Milestones!$K$2:$K$501,0))),"")</f>
        <v/>
      </c>
      <c r="B28" s="18" t="str">
        <f aca="false">IFERROR(IF(INDEX(Milestones!$C$2:$C$501,MATCH(ROWS(A$6:A28),Milestones!$K$2:$K$501,0))="","",INDEX(Milestones!$C$2:$C$501,MATCH(ROWS(A$6:A28),Milestones!$K$2:$K$501,0))),"")</f>
        <v/>
      </c>
      <c r="C28" s="19" t="str">
        <f aca="false">IFERROR(IF(INDEX(Milestones!$E$2:$E$501,MATCH(ROWS(A$6:A28),Milestones!$K$2:$K$501,0))="","",INDEX(Milestones!$E$2:$E$501,MATCH(ROWS(A$6:A28),Milestones!$K$2:$K$501,0))),"")</f>
        <v/>
      </c>
      <c r="D28" s="19" t="str">
        <f aca="false">IFERROR(IF(INDEX(Milestones!$G$2:$G$501,MATCH(ROWS(A$6:A28),Milestones!$K$2:$K$501,0))&lt;&gt;"",INDEX(Milestones!$G$2:$G$501,MATCH(ROWS(A$6:A28),Milestones!$K$2:$K$501,0)),INDEX(Milestones!$F$2:$F$501,MATCH(ROWS(A$6:A28),Milestones!$K$2:$K$501,0))),"")</f>
        <v/>
      </c>
      <c r="E28" s="18" t="str">
        <f aca="false">IFERROR(IF(INDEX(Milestones!$D$2:$D$501,MATCH(ROWS(A$6:A28),Milestones!$K$2:$K$501,0))="","",INDEX(Milestones!$D$2:$D$501,MATCH(ROWS(A$6:A28),Milestones!$K$2:$K$501,0))),"")</f>
        <v/>
      </c>
    </row>
    <row r="29" customFormat="false" ht="15" hidden="false" customHeight="false" outlineLevel="0" collapsed="false">
      <c r="A29" s="18" t="str">
        <f aca="false">IFERROR(IF(INDEX(Milestones!$B$2:$B$501,MATCH(ROWS(A$6:A29),Milestones!$K$2:$K$501,0))="","",INDEX(Milestones!$B$2:$B$501,MATCH(ROWS(A$6:A29),Milestones!$K$2:$K$501,0))),"")</f>
        <v/>
      </c>
      <c r="B29" s="18" t="str">
        <f aca="false">IFERROR(IF(INDEX(Milestones!$C$2:$C$501,MATCH(ROWS(A$6:A29),Milestones!$K$2:$K$501,0))="","",INDEX(Milestones!$C$2:$C$501,MATCH(ROWS(A$6:A29),Milestones!$K$2:$K$501,0))),"")</f>
        <v/>
      </c>
      <c r="C29" s="19" t="str">
        <f aca="false">IFERROR(IF(INDEX(Milestones!$E$2:$E$501,MATCH(ROWS(A$6:A29),Milestones!$K$2:$K$501,0))="","",INDEX(Milestones!$E$2:$E$501,MATCH(ROWS(A$6:A29),Milestones!$K$2:$K$501,0))),"")</f>
        <v/>
      </c>
      <c r="D29" s="19" t="str">
        <f aca="false">IFERROR(IF(INDEX(Milestones!$G$2:$G$501,MATCH(ROWS(A$6:A29),Milestones!$K$2:$K$501,0))&lt;&gt;"",INDEX(Milestones!$G$2:$G$501,MATCH(ROWS(A$6:A29),Milestones!$K$2:$K$501,0)),INDEX(Milestones!$F$2:$F$501,MATCH(ROWS(A$6:A29),Milestones!$K$2:$K$501,0))),"")</f>
        <v/>
      </c>
      <c r="E29" s="18" t="str">
        <f aca="false">IFERROR(IF(INDEX(Milestones!$D$2:$D$501,MATCH(ROWS(A$6:A29),Milestones!$K$2:$K$501,0))="","",INDEX(Milestones!$D$2:$D$501,MATCH(ROWS(A$6:A29),Milestones!$K$2:$K$501,0))),"")</f>
        <v/>
      </c>
    </row>
    <row r="30" customFormat="false" ht="15" hidden="false" customHeight="false" outlineLevel="0" collapsed="false">
      <c r="A30" s="18" t="str">
        <f aca="false">IFERROR(IF(INDEX(Milestones!$B$2:$B$501,MATCH(ROWS(A$6:A30),Milestones!$K$2:$K$501,0))="","",INDEX(Milestones!$B$2:$B$501,MATCH(ROWS(A$6:A30),Milestones!$K$2:$K$501,0))),"")</f>
        <v/>
      </c>
      <c r="B30" s="18" t="str">
        <f aca="false">IFERROR(IF(INDEX(Milestones!$C$2:$C$501,MATCH(ROWS(A$6:A30),Milestones!$K$2:$K$501,0))="","",INDEX(Milestones!$C$2:$C$501,MATCH(ROWS(A$6:A30),Milestones!$K$2:$K$501,0))),"")</f>
        <v/>
      </c>
      <c r="C30" s="19" t="str">
        <f aca="false">IFERROR(IF(INDEX(Milestones!$E$2:$E$501,MATCH(ROWS(A$6:A30),Milestones!$K$2:$K$501,0))="","",INDEX(Milestones!$E$2:$E$501,MATCH(ROWS(A$6:A30),Milestones!$K$2:$K$501,0))),"")</f>
        <v/>
      </c>
      <c r="D30" s="19" t="str">
        <f aca="false">IFERROR(IF(INDEX(Milestones!$G$2:$G$501,MATCH(ROWS(A$6:A30),Milestones!$K$2:$K$501,0))&lt;&gt;"",INDEX(Milestones!$G$2:$G$501,MATCH(ROWS(A$6:A30),Milestones!$K$2:$K$501,0)),INDEX(Milestones!$F$2:$F$501,MATCH(ROWS(A$6:A30),Milestones!$K$2:$K$501,0))),"")</f>
        <v/>
      </c>
      <c r="E30" s="18" t="str">
        <f aca="false">IFERROR(IF(INDEX(Milestones!$D$2:$D$501,MATCH(ROWS(A$6:A30),Milestones!$K$2:$K$501,0))="","",INDEX(Milestones!$D$2:$D$501,MATCH(ROWS(A$6:A30),Milestones!$K$2:$K$501,0))),"")</f>
        <v/>
      </c>
    </row>
  </sheetData>
  <conditionalFormatting sqref="G6:BF30">
    <cfRule type="expression" priority="2" aboveAverage="0" equalAverage="0" bottom="0" percent="0" rank="0" text="" dxfId="6">
      <formula>AND($C6&lt;&gt;"",$D6&lt;&gt;"",$E6&lt;&gt;"",G$5&lt;=$C6+($D6-$C6)*$E6/100,G$5+6&gt;=$C6)</formula>
    </cfRule>
    <cfRule type="expression" priority="3" aboveAverage="0" equalAverage="0" bottom="0" percent="0" rank="0" text="" dxfId="7">
      <formula>AND($C6&lt;&gt;"",$D6&lt;&gt;"",G$5+6&gt;=$C6,G$5&lt;=$D6)</formula>
    </cfRule>
  </conditionalFormatting>
  <conditionalFormatting sqref="G5:BF5">
    <cfRule type="expression" priority="4" aboveAverage="0" equalAverage="0" bottom="0" percent="0" rank="0" text="" dxfId="8">
      <formula>AND(G$5&lt;=TODAY(),G$5+6&gt;=TODAY())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25.5" hidden="false" customHeight="true" outlineLevel="0" collapsed="false">
      <c r="A1" s="9" t="s">
        <v>63</v>
      </c>
    </row>
    <row r="2" customFormat="false" ht="15" hidden="false" customHeight="false" outlineLevel="0" collapsed="false">
      <c r="A2" s="1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9" t="s">
        <v>206</v>
      </c>
    </row>
    <row r="2" customFormat="false" ht="15" hidden="false" customHeight="false" outlineLevel="0" collapsed="false">
      <c r="A2" s="12" t="s">
        <v>207</v>
      </c>
    </row>
    <row r="3" customFormat="false" ht="15" hidden="false" customHeight="false" outlineLevel="0" collapsed="false">
      <c r="A3" s="10" t="s">
        <v>208</v>
      </c>
      <c r="B3" s="30"/>
    </row>
    <row r="5" customFormat="false" ht="15" hidden="false" customHeight="false" outlineLevel="0" collapsed="false">
      <c r="A5" s="17" t="s">
        <v>209</v>
      </c>
      <c r="B5" s="17" t="s">
        <v>210</v>
      </c>
      <c r="C5" s="17" t="s">
        <v>211</v>
      </c>
      <c r="D5" s="1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K1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9" min="6" style="0" width="18"/>
    <col collapsed="false" customWidth="true" hidden="false" outlineLevel="0" max="10" min="10" style="0" width="20"/>
    <col collapsed="false" customWidth="true" hidden="false" outlineLevel="0" max="12" min="11" style="0" width="15"/>
    <col collapsed="false" customWidth="true" hidden="false" outlineLevel="0" max="13" min="13" style="0" width="18"/>
    <col collapsed="false" customWidth="true" hidden="false" outlineLevel="0" max="16" min="14" style="0" width="14"/>
    <col collapsed="false" customWidth="true" hidden="false" outlineLevel="0" max="19" min="17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12"/>
    <col collapsed="false" customWidth="true" hidden="false" outlineLevel="0" max="23" min="23" style="0" width="15"/>
    <col collapsed="false" customWidth="true" hidden="false" outlineLevel="0" max="24" min="24" style="0" width="11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8" min="28" style="0" width="12"/>
    <col collapsed="false" customWidth="true" hidden="false" outlineLevel="0" max="30" min="29" style="0" width="10"/>
    <col collapsed="false" customWidth="true" hidden="false" outlineLevel="0" max="31" min="31" style="0" width="11"/>
    <col collapsed="false" customWidth="true" hidden="false" outlineLevel="0" max="32" min="32" style="0" width="12"/>
    <col collapsed="false" customWidth="true" hidden="false" outlineLevel="0" max="36" min="33" style="0" width="9"/>
    <col collapsed="false" customWidth="true" hidden="false" outlineLevel="0" max="37" min="37" style="0" width="60"/>
  </cols>
  <sheetData>
    <row r="1" customFormat="false" ht="33.75" hidden="false" customHeight="true" outlineLevel="0" collapsed="false">
      <c r="A1" s="17" t="s">
        <v>213</v>
      </c>
      <c r="B1" s="17" t="s">
        <v>214</v>
      </c>
      <c r="C1" s="17" t="s">
        <v>215</v>
      </c>
      <c r="D1" s="17" t="s">
        <v>111</v>
      </c>
      <c r="E1" s="17" t="s">
        <v>216</v>
      </c>
      <c r="F1" s="17" t="s">
        <v>112</v>
      </c>
      <c r="G1" s="17" t="s">
        <v>166</v>
      </c>
      <c r="H1" s="17" t="s">
        <v>167</v>
      </c>
      <c r="I1" s="17" t="s">
        <v>168</v>
      </c>
      <c r="J1" s="17" t="s">
        <v>169</v>
      </c>
      <c r="K1" s="17" t="s">
        <v>217</v>
      </c>
      <c r="L1" s="17" t="s">
        <v>170</v>
      </c>
      <c r="M1" s="17" t="s">
        <v>172</v>
      </c>
      <c r="N1" s="17" t="s">
        <v>171</v>
      </c>
      <c r="O1" s="17" t="s">
        <v>173</v>
      </c>
      <c r="P1" s="17" t="s">
        <v>177</v>
      </c>
      <c r="Q1" s="31" t="s">
        <v>174</v>
      </c>
      <c r="R1" s="31" t="s">
        <v>114</v>
      </c>
      <c r="S1" s="31" t="s">
        <v>176</v>
      </c>
      <c r="T1" s="31" t="s">
        <v>115</v>
      </c>
      <c r="U1" s="31" t="s">
        <v>116</v>
      </c>
      <c r="V1" s="31" t="s">
        <v>218</v>
      </c>
      <c r="W1" s="31" t="s">
        <v>113</v>
      </c>
      <c r="X1" s="31" t="s">
        <v>132</v>
      </c>
      <c r="Y1" s="31" t="s">
        <v>219</v>
      </c>
      <c r="Z1" s="31" t="s">
        <v>220</v>
      </c>
      <c r="AA1" s="31" t="s">
        <v>221</v>
      </c>
      <c r="AB1" s="31" t="s">
        <v>222</v>
      </c>
      <c r="AC1" s="31" t="s">
        <v>223</v>
      </c>
      <c r="AD1" s="31" t="s">
        <v>224</v>
      </c>
      <c r="AE1" s="31" t="s">
        <v>225</v>
      </c>
      <c r="AF1" s="31" t="s">
        <v>226</v>
      </c>
      <c r="AG1" s="31" t="s">
        <v>121</v>
      </c>
      <c r="AH1" s="31" t="s">
        <v>122</v>
      </c>
      <c r="AI1" s="31" t="s">
        <v>123</v>
      </c>
      <c r="AJ1" s="31" t="s">
        <v>124</v>
      </c>
      <c r="AK1" s="31" t="s">
        <v>227</v>
      </c>
    </row>
    <row r="2" customFormat="false" ht="15" hidden="false" customHeight="false" outlineLevel="0" collapsed="false">
      <c r="A2" s="32"/>
      <c r="B2" s="33"/>
      <c r="C2" s="32"/>
      <c r="D2" s="32"/>
      <c r="E2" s="32"/>
      <c r="F2" s="32"/>
      <c r="G2" s="32"/>
      <c r="H2" s="32"/>
      <c r="I2" s="32"/>
      <c r="J2" s="32"/>
      <c r="K2" s="34"/>
      <c r="L2" s="34"/>
      <c r="M2" s="34"/>
      <c r="N2" s="35"/>
      <c r="O2" s="35"/>
      <c r="P2" s="35"/>
      <c r="Q2" s="36" t="str">
        <f aca="false">IF(A2="","",SUMIFS(Variations!$F$2:$F$501,Variations!$A$2:$A$501,A2,Variations!$H$2:$H$501,"Approved"))</f>
        <v/>
      </c>
      <c r="R2" s="36" t="str">
        <f aca="false">IF(A2="","",IF(M2&lt;&gt;"",M2,IF(L2="","",L2+Q2)))</f>
        <v/>
      </c>
      <c r="S2" s="36" t="str">
        <f aca="false">IF(A2="","",SUMIFS('Cash Flow'!$D$2:$D$2001,'Cash Flow'!$A$2:$A$2001,A2,'Cash Flow'!$C$2:$C$2001,"Actual"))</f>
        <v/>
      </c>
      <c r="T2" s="36" t="str">
        <f aca="false">IF(A2="","",SUMIFS('Cash Flow'!$F$2:$F$2001,'Cash Flow'!$A$2:$A$2001,A2))</f>
        <v/>
      </c>
      <c r="U2" s="36" t="str">
        <f aca="false">IF(A2="","",IF(R2="","",R2-T2))</f>
        <v/>
      </c>
      <c r="V2" s="37" t="str">
        <f aca="false">IF(A2="","",SUMIFS('EOT Claims'!$L$2:$L$501,'EOT Claims'!$A$2:$A$501,A2))</f>
        <v/>
      </c>
      <c r="W2" s="38" t="str">
        <f aca="false">IF(A2="","",IF(O2="","",O2+V2))</f>
        <v/>
      </c>
      <c r="X2" s="37" t="str">
        <f aca="true">IF(A2="","",IF(O2="","",IF(AND(NOT(OR(D2="Project Completion",D2="Defects Liability",D2="Complete",D2="Cancelled")),O2&lt;TODAY()),"Overdue","")))</f>
        <v/>
      </c>
      <c r="Y2" s="39" t="str">
        <f aca="true">IF(A2="","",IF(OR(N2="",W2=""),"",IF(W2&lt;=N2,"",(TODAY()-N2)/(W2-N2))))</f>
        <v/>
      </c>
      <c r="Z2" s="37" t="str">
        <f aca="false">IF(A2="","",IF(OR(Y2="",OR(D2="Project Completion",D2="Defects Liability",D2="Complete",D2="Cancelled")),"Green",IF(Y2&gt;1.15,"Red",IF(Y2&gt;=0.95,"Amber","Green"))))</f>
        <v/>
      </c>
      <c r="AA2" s="39" t="str">
        <f aca="false">IF(A2="","",IF(R2="","",IF(OR(R2&lt;=0,COUNTIFS('Cash Flow'!$A$2:$A$2001,A2)=0),"",T2/R2)))</f>
        <v/>
      </c>
      <c r="AB2" s="37" t="str">
        <f aca="false">IF(A2="","",IF(AA2="","Green",IF(AA2&gt;1.15,"Red",IF(AA2&gt;=0.95,"Amber","Green"))))</f>
        <v/>
      </c>
      <c r="AC2" s="37" t="str">
        <f aca="false">IF(A2="","",COUNTIFS(Risks!$A$2:$A$501,A2,Risks!$B$2:$B$501,"Risk",Risks!$M$2:$M$501,"&lt;&gt;Closed",Risks!$O$2:$O$501,"Critical"))</f>
        <v/>
      </c>
      <c r="AD2" s="37" t="str">
        <f aca="false">IF(A2="","",COUNTIFS(Risks!$A$2:$A$501,A2,Risks!$B$2:$B$501,"Risk",Risks!$M$2:$M$501,"&lt;&gt;Closed",Risks!$O$2:$O$501,"High"))</f>
        <v/>
      </c>
      <c r="AE2" s="37" t="str">
        <f aca="false">IF(A2="","",IF(AC2&gt;0,"Red",IF(AD2&gt;0,"Amber","Green")))</f>
        <v/>
      </c>
      <c r="AF2" s="37" t="str">
        <f aca="false">IF(A2="","",IF(OR(Z2="Red",AB2="Red",AE2="Red"),"Red",IF(OR(Z2="Amber",AB2="Amber",AE2="Amber"),"Amber","Green")))</f>
        <v/>
      </c>
      <c r="AG2" s="37" t="str">
        <f aca="false">IF(A2="","",COUNTIFS(Tasks!$A$2:$A$1001,A2,Tasks!$D$2:$D$1001,"&lt;&gt;Done",Tasks!$B$2:$B$1001,"&lt;&gt;"))</f>
        <v/>
      </c>
      <c r="AH2" s="37" t="str">
        <f aca="false">IF(A2="","",COUNTIFS(Actions!$A$2:$A$501,A2,Actions!$H$2:$H$501,"&lt;&gt;Done",Actions!$C$2:$C$501,"&lt;&gt;"))</f>
        <v/>
      </c>
      <c r="AI2" s="37" t="str">
        <f aca="false">IF(A2="","",COUNTIFS(RFIs!$A$2:$A$501,A2,RFIs!$G$2:$G$501,"Open"))</f>
        <v/>
      </c>
      <c r="AJ2" s="37" t="str">
        <f aca="false">IF(A2="","",COUNTIFS(Defects!$A$2:$A$501,A2,Defects!$H$2:$H$501,"Open"))</f>
        <v/>
      </c>
      <c r="AK2" s="37" t="str">
        <f aca="false">IF(A2="","","Schedule: "&amp;IF(Y2="","no dates / not tracked",TEXT(Y2,"0%")&amp;" of timeframe elapsed")&amp;" | Budget: "&amp;IF(AA2="","no approved budget or cash flow",TEXT(AA2,"0%")&amp;" of budget forecast")&amp;" | Risk: "&amp;AC2&amp;" critical, "&amp;AD2&amp;" high open")</f>
        <v/>
      </c>
    </row>
    <row r="3" customFormat="false" ht="15" hidden="false" customHeight="false" outlineLevel="0" collapsed="false">
      <c r="A3" s="32"/>
      <c r="B3" s="33"/>
      <c r="C3" s="32"/>
      <c r="D3" s="32"/>
      <c r="E3" s="32"/>
      <c r="F3" s="32"/>
      <c r="G3" s="32"/>
      <c r="H3" s="32"/>
      <c r="I3" s="32"/>
      <c r="J3" s="32"/>
      <c r="K3" s="34"/>
      <c r="L3" s="34"/>
      <c r="M3" s="34"/>
      <c r="N3" s="35"/>
      <c r="O3" s="35"/>
      <c r="P3" s="35"/>
      <c r="Q3" s="36" t="str">
        <f aca="false">IF(A3="","",SUMIFS(Variations!$F$2:$F$501,Variations!$A$2:$A$501,A3,Variations!$H$2:$H$501,"Approved"))</f>
        <v/>
      </c>
      <c r="R3" s="36" t="str">
        <f aca="false">IF(A3="","",IF(M3&lt;&gt;"",M3,IF(L3="","",L3+Q3)))</f>
        <v/>
      </c>
      <c r="S3" s="36" t="str">
        <f aca="false">IF(A3="","",SUMIFS('Cash Flow'!$D$2:$D$2001,'Cash Flow'!$A$2:$A$2001,A3,'Cash Flow'!$C$2:$C$2001,"Actual"))</f>
        <v/>
      </c>
      <c r="T3" s="36" t="str">
        <f aca="false">IF(A3="","",SUMIFS('Cash Flow'!$F$2:$F$2001,'Cash Flow'!$A$2:$A$2001,A3))</f>
        <v/>
      </c>
      <c r="U3" s="36" t="str">
        <f aca="false">IF(A3="","",IF(R3="","",R3-T3))</f>
        <v/>
      </c>
      <c r="V3" s="37" t="str">
        <f aca="false">IF(A3="","",SUMIFS('EOT Claims'!$L$2:$L$501,'EOT Claims'!$A$2:$A$501,A3))</f>
        <v/>
      </c>
      <c r="W3" s="38" t="str">
        <f aca="false">IF(A3="","",IF(O3="","",O3+V3))</f>
        <v/>
      </c>
      <c r="X3" s="37" t="str">
        <f aca="true">IF(A3="","",IF(O3="","",IF(AND(NOT(OR(D3="Project Completion",D3="Defects Liability",D3="Complete",D3="Cancelled")),O3&lt;TODAY()),"Overdue","")))</f>
        <v/>
      </c>
      <c r="Y3" s="39" t="str">
        <f aca="true">IF(A3="","",IF(OR(N3="",W3=""),"",IF(W3&lt;=N3,"",(TODAY()-N3)/(W3-N3))))</f>
        <v/>
      </c>
      <c r="Z3" s="37" t="str">
        <f aca="false">IF(A3="","",IF(OR(Y3="",OR(D3="Project Completion",D3="Defects Liability",D3="Complete",D3="Cancelled")),"Green",IF(Y3&gt;1.15,"Red",IF(Y3&gt;=0.95,"Amber","Green"))))</f>
        <v/>
      </c>
      <c r="AA3" s="39" t="str">
        <f aca="false">IF(A3="","",IF(R3="","",IF(OR(R3&lt;=0,COUNTIFS('Cash Flow'!$A$2:$A$2001,A3)=0),"",T3/R3)))</f>
        <v/>
      </c>
      <c r="AB3" s="37" t="str">
        <f aca="false">IF(A3="","",IF(AA3="","Green",IF(AA3&gt;1.15,"Red",IF(AA3&gt;=0.95,"Amber","Green"))))</f>
        <v/>
      </c>
      <c r="AC3" s="37" t="str">
        <f aca="false">IF(A3="","",COUNTIFS(Risks!$A$2:$A$501,A3,Risks!$B$2:$B$501,"Risk",Risks!$M$2:$M$501,"&lt;&gt;Closed",Risks!$O$2:$O$501,"Critical"))</f>
        <v/>
      </c>
      <c r="AD3" s="37" t="str">
        <f aca="false">IF(A3="","",COUNTIFS(Risks!$A$2:$A$501,A3,Risks!$B$2:$B$501,"Risk",Risks!$M$2:$M$501,"&lt;&gt;Closed",Risks!$O$2:$O$501,"High"))</f>
        <v/>
      </c>
      <c r="AE3" s="37" t="str">
        <f aca="false">IF(A3="","",IF(AC3&gt;0,"Red",IF(AD3&gt;0,"Amber","Green")))</f>
        <v/>
      </c>
      <c r="AF3" s="37" t="str">
        <f aca="false">IF(A3="","",IF(OR(Z3="Red",AB3="Red",AE3="Red"),"Red",IF(OR(Z3="Amber",AB3="Amber",AE3="Amber"),"Amber","Green")))</f>
        <v/>
      </c>
      <c r="AG3" s="37" t="str">
        <f aca="false">IF(A3="","",COUNTIFS(Tasks!$A$2:$A$1001,A3,Tasks!$D$2:$D$1001,"&lt;&gt;Done",Tasks!$B$2:$B$1001,"&lt;&gt;"))</f>
        <v/>
      </c>
      <c r="AH3" s="37" t="str">
        <f aca="false">IF(A3="","",COUNTIFS(Actions!$A$2:$A$501,A3,Actions!$H$2:$H$501,"&lt;&gt;Done",Actions!$C$2:$C$501,"&lt;&gt;"))</f>
        <v/>
      </c>
      <c r="AI3" s="37" t="str">
        <f aca="false">IF(A3="","",COUNTIFS(RFIs!$A$2:$A$501,A3,RFIs!$G$2:$G$501,"Open"))</f>
        <v/>
      </c>
      <c r="AJ3" s="37" t="str">
        <f aca="false">IF(A3="","",COUNTIFS(Defects!$A$2:$A$501,A3,Defects!$H$2:$H$501,"Open"))</f>
        <v/>
      </c>
      <c r="AK3" s="37" t="str">
        <f aca="false">IF(A3="","","Schedule: "&amp;IF(Y3="","no dates / not tracked",TEXT(Y3,"0%")&amp;" of timeframe elapsed")&amp;" | Budget: "&amp;IF(AA3="","no approved budget or cash flow",TEXT(AA3,"0%")&amp;" of budget forecast")&amp;" | Risk: "&amp;AC3&amp;" critical, "&amp;AD3&amp;" high open")</f>
        <v/>
      </c>
    </row>
    <row r="4" customFormat="false" ht="15" hidden="false" customHeight="false" outlineLevel="0" collapsed="false">
      <c r="A4" s="32"/>
      <c r="B4" s="33"/>
      <c r="C4" s="32"/>
      <c r="D4" s="32"/>
      <c r="E4" s="32"/>
      <c r="F4" s="32"/>
      <c r="G4" s="32"/>
      <c r="H4" s="32"/>
      <c r="I4" s="32"/>
      <c r="J4" s="32"/>
      <c r="K4" s="34"/>
      <c r="L4" s="34"/>
      <c r="M4" s="34"/>
      <c r="N4" s="35"/>
      <c r="O4" s="35"/>
      <c r="P4" s="35"/>
      <c r="Q4" s="36" t="str">
        <f aca="false">IF(A4="","",SUMIFS(Variations!$F$2:$F$501,Variations!$A$2:$A$501,A4,Variations!$H$2:$H$501,"Approved"))</f>
        <v/>
      </c>
      <c r="R4" s="36" t="str">
        <f aca="false">IF(A4="","",IF(M4&lt;&gt;"",M4,IF(L4="","",L4+Q4)))</f>
        <v/>
      </c>
      <c r="S4" s="36" t="str">
        <f aca="false">IF(A4="","",SUMIFS('Cash Flow'!$D$2:$D$2001,'Cash Flow'!$A$2:$A$2001,A4,'Cash Flow'!$C$2:$C$2001,"Actual"))</f>
        <v/>
      </c>
      <c r="T4" s="36" t="str">
        <f aca="false">IF(A4="","",SUMIFS('Cash Flow'!$F$2:$F$2001,'Cash Flow'!$A$2:$A$2001,A4))</f>
        <v/>
      </c>
      <c r="U4" s="36" t="str">
        <f aca="false">IF(A4="","",IF(R4="","",R4-T4))</f>
        <v/>
      </c>
      <c r="V4" s="37" t="str">
        <f aca="false">IF(A4="","",SUMIFS('EOT Claims'!$L$2:$L$501,'EOT Claims'!$A$2:$A$501,A4))</f>
        <v/>
      </c>
      <c r="W4" s="38" t="str">
        <f aca="false">IF(A4="","",IF(O4="","",O4+V4))</f>
        <v/>
      </c>
      <c r="X4" s="37" t="str">
        <f aca="true">IF(A4="","",IF(O4="","",IF(AND(NOT(OR(D4="Project Completion",D4="Defects Liability",D4="Complete",D4="Cancelled")),O4&lt;TODAY()),"Overdue","")))</f>
        <v/>
      </c>
      <c r="Y4" s="39" t="str">
        <f aca="true">IF(A4="","",IF(OR(N4="",W4=""),"",IF(W4&lt;=N4,"",(TODAY()-N4)/(W4-N4))))</f>
        <v/>
      </c>
      <c r="Z4" s="37" t="str">
        <f aca="false">IF(A4="","",IF(OR(Y4="",OR(D4="Project Completion",D4="Defects Liability",D4="Complete",D4="Cancelled")),"Green",IF(Y4&gt;1.15,"Red",IF(Y4&gt;=0.95,"Amber","Green"))))</f>
        <v/>
      </c>
      <c r="AA4" s="39" t="str">
        <f aca="false">IF(A4="","",IF(R4="","",IF(OR(R4&lt;=0,COUNTIFS('Cash Flow'!$A$2:$A$2001,A4)=0),"",T4/R4)))</f>
        <v/>
      </c>
      <c r="AB4" s="37" t="str">
        <f aca="false">IF(A4="","",IF(AA4="","Green",IF(AA4&gt;1.15,"Red",IF(AA4&gt;=0.95,"Amber","Green"))))</f>
        <v/>
      </c>
      <c r="AC4" s="37" t="str">
        <f aca="false">IF(A4="","",COUNTIFS(Risks!$A$2:$A$501,A4,Risks!$B$2:$B$501,"Risk",Risks!$M$2:$M$501,"&lt;&gt;Closed",Risks!$O$2:$O$501,"Critical"))</f>
        <v/>
      </c>
      <c r="AD4" s="37" t="str">
        <f aca="false">IF(A4="","",COUNTIFS(Risks!$A$2:$A$501,A4,Risks!$B$2:$B$501,"Risk",Risks!$M$2:$M$501,"&lt;&gt;Closed",Risks!$O$2:$O$501,"High"))</f>
        <v/>
      </c>
      <c r="AE4" s="37" t="str">
        <f aca="false">IF(A4="","",IF(AC4&gt;0,"Red",IF(AD4&gt;0,"Amber","Green")))</f>
        <v/>
      </c>
      <c r="AF4" s="37" t="str">
        <f aca="false">IF(A4="","",IF(OR(Z4="Red",AB4="Red",AE4="Red"),"Red",IF(OR(Z4="Amber",AB4="Amber",AE4="Amber"),"Amber","Green")))</f>
        <v/>
      </c>
      <c r="AG4" s="37" t="str">
        <f aca="false">IF(A4="","",COUNTIFS(Tasks!$A$2:$A$1001,A4,Tasks!$D$2:$D$1001,"&lt;&gt;Done",Tasks!$B$2:$B$1001,"&lt;&gt;"))</f>
        <v/>
      </c>
      <c r="AH4" s="37" t="str">
        <f aca="false">IF(A4="","",COUNTIFS(Actions!$A$2:$A$501,A4,Actions!$H$2:$H$501,"&lt;&gt;Done",Actions!$C$2:$C$501,"&lt;&gt;"))</f>
        <v/>
      </c>
      <c r="AI4" s="37" t="str">
        <f aca="false">IF(A4="","",COUNTIFS(RFIs!$A$2:$A$501,A4,RFIs!$G$2:$G$501,"Open"))</f>
        <v/>
      </c>
      <c r="AJ4" s="37" t="str">
        <f aca="false">IF(A4="","",COUNTIFS(Defects!$A$2:$A$501,A4,Defects!$H$2:$H$501,"Open"))</f>
        <v/>
      </c>
      <c r="AK4" s="37" t="str">
        <f aca="false">IF(A4="","","Schedule: "&amp;IF(Y4="","no dates / not tracked",TEXT(Y4,"0%")&amp;" of timeframe elapsed")&amp;" | Budget: "&amp;IF(AA4="","no approved budget or cash flow",TEXT(AA4,"0%")&amp;" of budget forecast")&amp;" | Risk: "&amp;AC4&amp;" critical, "&amp;AD4&amp;" high open")</f>
        <v/>
      </c>
    </row>
    <row r="5" customFormat="false" ht="15" hidden="false" customHeight="false" outlineLevel="0" collapsed="false">
      <c r="A5" s="32"/>
      <c r="B5" s="33"/>
      <c r="C5" s="32"/>
      <c r="D5" s="32"/>
      <c r="E5" s="32"/>
      <c r="F5" s="32"/>
      <c r="G5" s="32"/>
      <c r="H5" s="32"/>
      <c r="I5" s="32"/>
      <c r="J5" s="32"/>
      <c r="K5" s="34"/>
      <c r="L5" s="34"/>
      <c r="M5" s="34"/>
      <c r="N5" s="35"/>
      <c r="O5" s="35"/>
      <c r="P5" s="35"/>
      <c r="Q5" s="36" t="str">
        <f aca="false">IF(A5="","",SUMIFS(Variations!$F$2:$F$501,Variations!$A$2:$A$501,A5,Variations!$H$2:$H$501,"Approved"))</f>
        <v/>
      </c>
      <c r="R5" s="36" t="str">
        <f aca="false">IF(A5="","",IF(M5&lt;&gt;"",M5,IF(L5="","",L5+Q5)))</f>
        <v/>
      </c>
      <c r="S5" s="36" t="str">
        <f aca="false">IF(A5="","",SUMIFS('Cash Flow'!$D$2:$D$2001,'Cash Flow'!$A$2:$A$2001,A5,'Cash Flow'!$C$2:$C$2001,"Actual"))</f>
        <v/>
      </c>
      <c r="T5" s="36" t="str">
        <f aca="false">IF(A5="","",SUMIFS('Cash Flow'!$F$2:$F$2001,'Cash Flow'!$A$2:$A$2001,A5))</f>
        <v/>
      </c>
      <c r="U5" s="36" t="str">
        <f aca="false">IF(A5="","",IF(R5="","",R5-T5))</f>
        <v/>
      </c>
      <c r="V5" s="37" t="str">
        <f aca="false">IF(A5="","",SUMIFS('EOT Claims'!$L$2:$L$501,'EOT Claims'!$A$2:$A$501,A5))</f>
        <v/>
      </c>
      <c r="W5" s="38" t="str">
        <f aca="false">IF(A5="","",IF(O5="","",O5+V5))</f>
        <v/>
      </c>
      <c r="X5" s="37" t="str">
        <f aca="true">IF(A5="","",IF(O5="","",IF(AND(NOT(OR(D5="Project Completion",D5="Defects Liability",D5="Complete",D5="Cancelled")),O5&lt;TODAY()),"Overdue","")))</f>
        <v/>
      </c>
      <c r="Y5" s="39" t="str">
        <f aca="true">IF(A5="","",IF(OR(N5="",W5=""),"",IF(W5&lt;=N5,"",(TODAY()-N5)/(W5-N5))))</f>
        <v/>
      </c>
      <c r="Z5" s="37" t="str">
        <f aca="false">IF(A5="","",IF(OR(Y5="",OR(D5="Project Completion",D5="Defects Liability",D5="Complete",D5="Cancelled")),"Green",IF(Y5&gt;1.15,"Red",IF(Y5&gt;=0.95,"Amber","Green"))))</f>
        <v/>
      </c>
      <c r="AA5" s="39" t="str">
        <f aca="false">IF(A5="","",IF(R5="","",IF(OR(R5&lt;=0,COUNTIFS('Cash Flow'!$A$2:$A$2001,A5)=0),"",T5/R5)))</f>
        <v/>
      </c>
      <c r="AB5" s="37" t="str">
        <f aca="false">IF(A5="","",IF(AA5="","Green",IF(AA5&gt;1.15,"Red",IF(AA5&gt;=0.95,"Amber","Green"))))</f>
        <v/>
      </c>
      <c r="AC5" s="37" t="str">
        <f aca="false">IF(A5="","",COUNTIFS(Risks!$A$2:$A$501,A5,Risks!$B$2:$B$501,"Risk",Risks!$M$2:$M$501,"&lt;&gt;Closed",Risks!$O$2:$O$501,"Critical"))</f>
        <v/>
      </c>
      <c r="AD5" s="37" t="str">
        <f aca="false">IF(A5="","",COUNTIFS(Risks!$A$2:$A$501,A5,Risks!$B$2:$B$501,"Risk",Risks!$M$2:$M$501,"&lt;&gt;Closed",Risks!$O$2:$O$501,"High"))</f>
        <v/>
      </c>
      <c r="AE5" s="37" t="str">
        <f aca="false">IF(A5="","",IF(AC5&gt;0,"Red",IF(AD5&gt;0,"Amber","Green")))</f>
        <v/>
      </c>
      <c r="AF5" s="37" t="str">
        <f aca="false">IF(A5="","",IF(OR(Z5="Red",AB5="Red",AE5="Red"),"Red",IF(OR(Z5="Amber",AB5="Amber",AE5="Amber"),"Amber","Green")))</f>
        <v/>
      </c>
      <c r="AG5" s="37" t="str">
        <f aca="false">IF(A5="","",COUNTIFS(Tasks!$A$2:$A$1001,A5,Tasks!$D$2:$D$1001,"&lt;&gt;Done",Tasks!$B$2:$B$1001,"&lt;&gt;"))</f>
        <v/>
      </c>
      <c r="AH5" s="37" t="str">
        <f aca="false">IF(A5="","",COUNTIFS(Actions!$A$2:$A$501,A5,Actions!$H$2:$H$501,"&lt;&gt;Done",Actions!$C$2:$C$501,"&lt;&gt;"))</f>
        <v/>
      </c>
      <c r="AI5" s="37" t="str">
        <f aca="false">IF(A5="","",COUNTIFS(RFIs!$A$2:$A$501,A5,RFIs!$G$2:$G$501,"Open"))</f>
        <v/>
      </c>
      <c r="AJ5" s="37" t="str">
        <f aca="false">IF(A5="","",COUNTIFS(Defects!$A$2:$A$501,A5,Defects!$H$2:$H$501,"Open"))</f>
        <v/>
      </c>
      <c r="AK5" s="37" t="str">
        <f aca="false">IF(A5="","","Schedule: "&amp;IF(Y5="","no dates / not tracked",TEXT(Y5,"0%")&amp;" of timeframe elapsed")&amp;" | Budget: "&amp;IF(AA5="","no approved budget or cash flow",TEXT(AA5,"0%")&amp;" of budget forecast")&amp;" | Risk: "&amp;AC5&amp;" critical, "&amp;AD5&amp;" high open")</f>
        <v/>
      </c>
    </row>
    <row r="6" customFormat="false" ht="15" hidden="false" customHeight="false" outlineLevel="0" collapsed="false">
      <c r="A6" s="32"/>
      <c r="B6" s="33"/>
      <c r="C6" s="32"/>
      <c r="D6" s="32"/>
      <c r="E6" s="32"/>
      <c r="F6" s="32"/>
      <c r="G6" s="32"/>
      <c r="H6" s="32"/>
      <c r="I6" s="32"/>
      <c r="J6" s="32"/>
      <c r="K6" s="34"/>
      <c r="L6" s="34"/>
      <c r="M6" s="34"/>
      <c r="N6" s="35"/>
      <c r="O6" s="35"/>
      <c r="P6" s="35"/>
      <c r="Q6" s="36" t="str">
        <f aca="false">IF(A6="","",SUMIFS(Variations!$F$2:$F$501,Variations!$A$2:$A$501,A6,Variations!$H$2:$H$501,"Approved"))</f>
        <v/>
      </c>
      <c r="R6" s="36" t="str">
        <f aca="false">IF(A6="","",IF(M6&lt;&gt;"",M6,IF(L6="","",L6+Q6)))</f>
        <v/>
      </c>
      <c r="S6" s="36" t="str">
        <f aca="false">IF(A6="","",SUMIFS('Cash Flow'!$D$2:$D$2001,'Cash Flow'!$A$2:$A$2001,A6,'Cash Flow'!$C$2:$C$2001,"Actual"))</f>
        <v/>
      </c>
      <c r="T6" s="36" t="str">
        <f aca="false">IF(A6="","",SUMIFS('Cash Flow'!$F$2:$F$2001,'Cash Flow'!$A$2:$A$2001,A6))</f>
        <v/>
      </c>
      <c r="U6" s="36" t="str">
        <f aca="false">IF(A6="","",IF(R6="","",R6-T6))</f>
        <v/>
      </c>
      <c r="V6" s="37" t="str">
        <f aca="false">IF(A6="","",SUMIFS('EOT Claims'!$L$2:$L$501,'EOT Claims'!$A$2:$A$501,A6))</f>
        <v/>
      </c>
      <c r="W6" s="38" t="str">
        <f aca="false">IF(A6="","",IF(O6="","",O6+V6))</f>
        <v/>
      </c>
      <c r="X6" s="37" t="str">
        <f aca="true">IF(A6="","",IF(O6="","",IF(AND(NOT(OR(D6="Project Completion",D6="Defects Liability",D6="Complete",D6="Cancelled")),O6&lt;TODAY()),"Overdue","")))</f>
        <v/>
      </c>
      <c r="Y6" s="39" t="str">
        <f aca="true">IF(A6="","",IF(OR(N6="",W6=""),"",IF(W6&lt;=N6,"",(TODAY()-N6)/(W6-N6))))</f>
        <v/>
      </c>
      <c r="Z6" s="37" t="str">
        <f aca="false">IF(A6="","",IF(OR(Y6="",OR(D6="Project Completion",D6="Defects Liability",D6="Complete",D6="Cancelled")),"Green",IF(Y6&gt;1.15,"Red",IF(Y6&gt;=0.95,"Amber","Green"))))</f>
        <v/>
      </c>
      <c r="AA6" s="39" t="str">
        <f aca="false">IF(A6="","",IF(R6="","",IF(OR(R6&lt;=0,COUNTIFS('Cash Flow'!$A$2:$A$2001,A6)=0),"",T6/R6)))</f>
        <v/>
      </c>
      <c r="AB6" s="37" t="str">
        <f aca="false">IF(A6="","",IF(AA6="","Green",IF(AA6&gt;1.15,"Red",IF(AA6&gt;=0.95,"Amber","Green"))))</f>
        <v/>
      </c>
      <c r="AC6" s="37" t="str">
        <f aca="false">IF(A6="","",COUNTIFS(Risks!$A$2:$A$501,A6,Risks!$B$2:$B$501,"Risk",Risks!$M$2:$M$501,"&lt;&gt;Closed",Risks!$O$2:$O$501,"Critical"))</f>
        <v/>
      </c>
      <c r="AD6" s="37" t="str">
        <f aca="false">IF(A6="","",COUNTIFS(Risks!$A$2:$A$501,A6,Risks!$B$2:$B$501,"Risk",Risks!$M$2:$M$501,"&lt;&gt;Closed",Risks!$O$2:$O$501,"High"))</f>
        <v/>
      </c>
      <c r="AE6" s="37" t="str">
        <f aca="false">IF(A6="","",IF(AC6&gt;0,"Red",IF(AD6&gt;0,"Amber","Green")))</f>
        <v/>
      </c>
      <c r="AF6" s="37" t="str">
        <f aca="false">IF(A6="","",IF(OR(Z6="Red",AB6="Red",AE6="Red"),"Red",IF(OR(Z6="Amber",AB6="Amber",AE6="Amber"),"Amber","Green")))</f>
        <v/>
      </c>
      <c r="AG6" s="37" t="str">
        <f aca="false">IF(A6="","",COUNTIFS(Tasks!$A$2:$A$1001,A6,Tasks!$D$2:$D$1001,"&lt;&gt;Done",Tasks!$B$2:$B$1001,"&lt;&gt;"))</f>
        <v/>
      </c>
      <c r="AH6" s="37" t="str">
        <f aca="false">IF(A6="","",COUNTIFS(Actions!$A$2:$A$501,A6,Actions!$H$2:$H$501,"&lt;&gt;Done",Actions!$C$2:$C$501,"&lt;&gt;"))</f>
        <v/>
      </c>
      <c r="AI6" s="37" t="str">
        <f aca="false">IF(A6="","",COUNTIFS(RFIs!$A$2:$A$501,A6,RFIs!$G$2:$G$501,"Open"))</f>
        <v/>
      </c>
      <c r="AJ6" s="37" t="str">
        <f aca="false">IF(A6="","",COUNTIFS(Defects!$A$2:$A$501,A6,Defects!$H$2:$H$501,"Open"))</f>
        <v/>
      </c>
      <c r="AK6" s="37" t="str">
        <f aca="false">IF(A6="","","Schedule: "&amp;IF(Y6="","no dates / not tracked",TEXT(Y6,"0%")&amp;" of timeframe elapsed")&amp;" | Budget: "&amp;IF(AA6="","no approved budget or cash flow",TEXT(AA6,"0%")&amp;" of budget forecast")&amp;" | Risk: "&amp;AC6&amp;" critical, "&amp;AD6&amp;" high open")</f>
        <v/>
      </c>
    </row>
    <row r="7" customFormat="false" ht="15" hidden="false" customHeight="false" outlineLevel="0" collapsed="false">
      <c r="A7" s="32"/>
      <c r="B7" s="33"/>
      <c r="C7" s="32"/>
      <c r="D7" s="32"/>
      <c r="E7" s="32"/>
      <c r="F7" s="32"/>
      <c r="G7" s="32"/>
      <c r="H7" s="32"/>
      <c r="I7" s="32"/>
      <c r="J7" s="32"/>
      <c r="K7" s="34"/>
      <c r="L7" s="34"/>
      <c r="M7" s="34"/>
      <c r="N7" s="35"/>
      <c r="O7" s="35"/>
      <c r="P7" s="35"/>
      <c r="Q7" s="36" t="str">
        <f aca="false">IF(A7="","",SUMIFS(Variations!$F$2:$F$501,Variations!$A$2:$A$501,A7,Variations!$H$2:$H$501,"Approved"))</f>
        <v/>
      </c>
      <c r="R7" s="36" t="str">
        <f aca="false">IF(A7="","",IF(M7&lt;&gt;"",M7,IF(L7="","",L7+Q7)))</f>
        <v/>
      </c>
      <c r="S7" s="36" t="str">
        <f aca="false">IF(A7="","",SUMIFS('Cash Flow'!$D$2:$D$2001,'Cash Flow'!$A$2:$A$2001,A7,'Cash Flow'!$C$2:$C$2001,"Actual"))</f>
        <v/>
      </c>
      <c r="T7" s="36" t="str">
        <f aca="false">IF(A7="","",SUMIFS('Cash Flow'!$F$2:$F$2001,'Cash Flow'!$A$2:$A$2001,A7))</f>
        <v/>
      </c>
      <c r="U7" s="36" t="str">
        <f aca="false">IF(A7="","",IF(R7="","",R7-T7))</f>
        <v/>
      </c>
      <c r="V7" s="37" t="str">
        <f aca="false">IF(A7="","",SUMIFS('EOT Claims'!$L$2:$L$501,'EOT Claims'!$A$2:$A$501,A7))</f>
        <v/>
      </c>
      <c r="W7" s="38" t="str">
        <f aca="false">IF(A7="","",IF(O7="","",O7+V7))</f>
        <v/>
      </c>
      <c r="X7" s="37" t="str">
        <f aca="true">IF(A7="","",IF(O7="","",IF(AND(NOT(OR(D7="Project Completion",D7="Defects Liability",D7="Complete",D7="Cancelled")),O7&lt;TODAY()),"Overdue","")))</f>
        <v/>
      </c>
      <c r="Y7" s="39" t="str">
        <f aca="true">IF(A7="","",IF(OR(N7="",W7=""),"",IF(W7&lt;=N7,"",(TODAY()-N7)/(W7-N7))))</f>
        <v/>
      </c>
      <c r="Z7" s="37" t="str">
        <f aca="false">IF(A7="","",IF(OR(Y7="",OR(D7="Project Completion",D7="Defects Liability",D7="Complete",D7="Cancelled")),"Green",IF(Y7&gt;1.15,"Red",IF(Y7&gt;=0.95,"Amber","Green"))))</f>
        <v/>
      </c>
      <c r="AA7" s="39" t="str">
        <f aca="false">IF(A7="","",IF(R7="","",IF(OR(R7&lt;=0,COUNTIFS('Cash Flow'!$A$2:$A$2001,A7)=0),"",T7/R7)))</f>
        <v/>
      </c>
      <c r="AB7" s="37" t="str">
        <f aca="false">IF(A7="","",IF(AA7="","Green",IF(AA7&gt;1.15,"Red",IF(AA7&gt;=0.95,"Amber","Green"))))</f>
        <v/>
      </c>
      <c r="AC7" s="37" t="str">
        <f aca="false">IF(A7="","",COUNTIFS(Risks!$A$2:$A$501,A7,Risks!$B$2:$B$501,"Risk",Risks!$M$2:$M$501,"&lt;&gt;Closed",Risks!$O$2:$O$501,"Critical"))</f>
        <v/>
      </c>
      <c r="AD7" s="37" t="str">
        <f aca="false">IF(A7="","",COUNTIFS(Risks!$A$2:$A$501,A7,Risks!$B$2:$B$501,"Risk",Risks!$M$2:$M$501,"&lt;&gt;Closed",Risks!$O$2:$O$501,"High"))</f>
        <v/>
      </c>
      <c r="AE7" s="37" t="str">
        <f aca="false">IF(A7="","",IF(AC7&gt;0,"Red",IF(AD7&gt;0,"Amber","Green")))</f>
        <v/>
      </c>
      <c r="AF7" s="37" t="str">
        <f aca="false">IF(A7="","",IF(OR(Z7="Red",AB7="Red",AE7="Red"),"Red",IF(OR(Z7="Amber",AB7="Amber",AE7="Amber"),"Amber","Green")))</f>
        <v/>
      </c>
      <c r="AG7" s="37" t="str">
        <f aca="false">IF(A7="","",COUNTIFS(Tasks!$A$2:$A$1001,A7,Tasks!$D$2:$D$1001,"&lt;&gt;Done",Tasks!$B$2:$B$1001,"&lt;&gt;"))</f>
        <v/>
      </c>
      <c r="AH7" s="37" t="str">
        <f aca="false">IF(A7="","",COUNTIFS(Actions!$A$2:$A$501,A7,Actions!$H$2:$H$501,"&lt;&gt;Done",Actions!$C$2:$C$501,"&lt;&gt;"))</f>
        <v/>
      </c>
      <c r="AI7" s="37" t="str">
        <f aca="false">IF(A7="","",COUNTIFS(RFIs!$A$2:$A$501,A7,RFIs!$G$2:$G$501,"Open"))</f>
        <v/>
      </c>
      <c r="AJ7" s="37" t="str">
        <f aca="false">IF(A7="","",COUNTIFS(Defects!$A$2:$A$501,A7,Defects!$H$2:$H$501,"Open"))</f>
        <v/>
      </c>
      <c r="AK7" s="37" t="str">
        <f aca="false">IF(A7="","","Schedule: "&amp;IF(Y7="","no dates / not tracked",TEXT(Y7,"0%")&amp;" of timeframe elapsed")&amp;" | Budget: "&amp;IF(AA7="","no approved budget or cash flow",TEXT(AA7,"0%")&amp;" of budget forecast")&amp;" | Risk: "&amp;AC7&amp;" critical, "&amp;AD7&amp;" high open")</f>
        <v/>
      </c>
    </row>
    <row r="8" customFormat="false" ht="15" hidden="false" customHeight="false" outlineLevel="0" collapsed="false">
      <c r="A8" s="32"/>
      <c r="B8" s="33"/>
      <c r="C8" s="32"/>
      <c r="D8" s="32"/>
      <c r="E8" s="32"/>
      <c r="F8" s="32"/>
      <c r="G8" s="32"/>
      <c r="H8" s="32"/>
      <c r="I8" s="32"/>
      <c r="J8" s="32"/>
      <c r="K8" s="34"/>
      <c r="L8" s="34"/>
      <c r="M8" s="34"/>
      <c r="N8" s="35"/>
      <c r="O8" s="35"/>
      <c r="P8" s="35"/>
      <c r="Q8" s="36" t="str">
        <f aca="false">IF(A8="","",SUMIFS(Variations!$F$2:$F$501,Variations!$A$2:$A$501,A8,Variations!$H$2:$H$501,"Approved"))</f>
        <v/>
      </c>
      <c r="R8" s="36" t="str">
        <f aca="false">IF(A8="","",IF(M8&lt;&gt;"",M8,IF(L8="","",L8+Q8)))</f>
        <v/>
      </c>
      <c r="S8" s="36" t="str">
        <f aca="false">IF(A8="","",SUMIFS('Cash Flow'!$D$2:$D$2001,'Cash Flow'!$A$2:$A$2001,A8,'Cash Flow'!$C$2:$C$2001,"Actual"))</f>
        <v/>
      </c>
      <c r="T8" s="36" t="str">
        <f aca="false">IF(A8="","",SUMIFS('Cash Flow'!$F$2:$F$2001,'Cash Flow'!$A$2:$A$2001,A8))</f>
        <v/>
      </c>
      <c r="U8" s="36" t="str">
        <f aca="false">IF(A8="","",IF(R8="","",R8-T8))</f>
        <v/>
      </c>
      <c r="V8" s="37" t="str">
        <f aca="false">IF(A8="","",SUMIFS('EOT Claims'!$L$2:$L$501,'EOT Claims'!$A$2:$A$501,A8))</f>
        <v/>
      </c>
      <c r="W8" s="38" t="str">
        <f aca="false">IF(A8="","",IF(O8="","",O8+V8))</f>
        <v/>
      </c>
      <c r="X8" s="37" t="str">
        <f aca="true">IF(A8="","",IF(O8="","",IF(AND(NOT(OR(D8="Project Completion",D8="Defects Liability",D8="Complete",D8="Cancelled")),O8&lt;TODAY()),"Overdue","")))</f>
        <v/>
      </c>
      <c r="Y8" s="39" t="str">
        <f aca="true">IF(A8="","",IF(OR(N8="",W8=""),"",IF(W8&lt;=N8,"",(TODAY()-N8)/(W8-N8))))</f>
        <v/>
      </c>
      <c r="Z8" s="37" t="str">
        <f aca="false">IF(A8="","",IF(OR(Y8="",OR(D8="Project Completion",D8="Defects Liability",D8="Complete",D8="Cancelled")),"Green",IF(Y8&gt;1.15,"Red",IF(Y8&gt;=0.95,"Amber","Green"))))</f>
        <v/>
      </c>
      <c r="AA8" s="39" t="str">
        <f aca="false">IF(A8="","",IF(R8="","",IF(OR(R8&lt;=0,COUNTIFS('Cash Flow'!$A$2:$A$2001,A8)=0),"",T8/R8)))</f>
        <v/>
      </c>
      <c r="AB8" s="37" t="str">
        <f aca="false">IF(A8="","",IF(AA8="","Green",IF(AA8&gt;1.15,"Red",IF(AA8&gt;=0.95,"Amber","Green"))))</f>
        <v/>
      </c>
      <c r="AC8" s="37" t="str">
        <f aca="false">IF(A8="","",COUNTIFS(Risks!$A$2:$A$501,A8,Risks!$B$2:$B$501,"Risk",Risks!$M$2:$M$501,"&lt;&gt;Closed",Risks!$O$2:$O$501,"Critical"))</f>
        <v/>
      </c>
      <c r="AD8" s="37" t="str">
        <f aca="false">IF(A8="","",COUNTIFS(Risks!$A$2:$A$501,A8,Risks!$B$2:$B$501,"Risk",Risks!$M$2:$M$501,"&lt;&gt;Closed",Risks!$O$2:$O$501,"High"))</f>
        <v/>
      </c>
      <c r="AE8" s="37" t="str">
        <f aca="false">IF(A8="","",IF(AC8&gt;0,"Red",IF(AD8&gt;0,"Amber","Green")))</f>
        <v/>
      </c>
      <c r="AF8" s="37" t="str">
        <f aca="false">IF(A8="","",IF(OR(Z8="Red",AB8="Red",AE8="Red"),"Red",IF(OR(Z8="Amber",AB8="Amber",AE8="Amber"),"Amber","Green")))</f>
        <v/>
      </c>
      <c r="AG8" s="37" t="str">
        <f aca="false">IF(A8="","",COUNTIFS(Tasks!$A$2:$A$1001,A8,Tasks!$D$2:$D$1001,"&lt;&gt;Done",Tasks!$B$2:$B$1001,"&lt;&gt;"))</f>
        <v/>
      </c>
      <c r="AH8" s="37" t="str">
        <f aca="false">IF(A8="","",COUNTIFS(Actions!$A$2:$A$501,A8,Actions!$H$2:$H$501,"&lt;&gt;Done",Actions!$C$2:$C$501,"&lt;&gt;"))</f>
        <v/>
      </c>
      <c r="AI8" s="37" t="str">
        <f aca="false">IF(A8="","",COUNTIFS(RFIs!$A$2:$A$501,A8,RFIs!$G$2:$G$501,"Open"))</f>
        <v/>
      </c>
      <c r="AJ8" s="37" t="str">
        <f aca="false">IF(A8="","",COUNTIFS(Defects!$A$2:$A$501,A8,Defects!$H$2:$H$501,"Open"))</f>
        <v/>
      </c>
      <c r="AK8" s="37" t="str">
        <f aca="false">IF(A8="","","Schedule: "&amp;IF(Y8="","no dates / not tracked",TEXT(Y8,"0%")&amp;" of timeframe elapsed")&amp;" | Budget: "&amp;IF(AA8="","no approved budget or cash flow",TEXT(AA8,"0%")&amp;" of budget forecast")&amp;" | Risk: "&amp;AC8&amp;" critical, "&amp;AD8&amp;" high open")</f>
        <v/>
      </c>
    </row>
    <row r="9" customFormat="false" ht="15" hidden="false" customHeight="false" outlineLevel="0" collapsed="false">
      <c r="A9" s="32"/>
      <c r="B9" s="33"/>
      <c r="C9" s="32"/>
      <c r="D9" s="32"/>
      <c r="E9" s="32"/>
      <c r="F9" s="32"/>
      <c r="G9" s="32"/>
      <c r="H9" s="32"/>
      <c r="I9" s="32"/>
      <c r="J9" s="32"/>
      <c r="K9" s="34"/>
      <c r="L9" s="34"/>
      <c r="M9" s="34"/>
      <c r="N9" s="35"/>
      <c r="O9" s="35"/>
      <c r="P9" s="35"/>
      <c r="Q9" s="36" t="str">
        <f aca="false">IF(A9="","",SUMIFS(Variations!$F$2:$F$501,Variations!$A$2:$A$501,A9,Variations!$H$2:$H$501,"Approved"))</f>
        <v/>
      </c>
      <c r="R9" s="36" t="str">
        <f aca="false">IF(A9="","",IF(M9&lt;&gt;"",M9,IF(L9="","",L9+Q9)))</f>
        <v/>
      </c>
      <c r="S9" s="36" t="str">
        <f aca="false">IF(A9="","",SUMIFS('Cash Flow'!$D$2:$D$2001,'Cash Flow'!$A$2:$A$2001,A9,'Cash Flow'!$C$2:$C$2001,"Actual"))</f>
        <v/>
      </c>
      <c r="T9" s="36" t="str">
        <f aca="false">IF(A9="","",SUMIFS('Cash Flow'!$F$2:$F$2001,'Cash Flow'!$A$2:$A$2001,A9))</f>
        <v/>
      </c>
      <c r="U9" s="36" t="str">
        <f aca="false">IF(A9="","",IF(R9="","",R9-T9))</f>
        <v/>
      </c>
      <c r="V9" s="37" t="str">
        <f aca="false">IF(A9="","",SUMIFS('EOT Claims'!$L$2:$L$501,'EOT Claims'!$A$2:$A$501,A9))</f>
        <v/>
      </c>
      <c r="W9" s="38" t="str">
        <f aca="false">IF(A9="","",IF(O9="","",O9+V9))</f>
        <v/>
      </c>
      <c r="X9" s="37" t="str">
        <f aca="true">IF(A9="","",IF(O9="","",IF(AND(NOT(OR(D9="Project Completion",D9="Defects Liability",D9="Complete",D9="Cancelled")),O9&lt;TODAY()),"Overdue","")))</f>
        <v/>
      </c>
      <c r="Y9" s="39" t="str">
        <f aca="true">IF(A9="","",IF(OR(N9="",W9=""),"",IF(W9&lt;=N9,"",(TODAY()-N9)/(W9-N9))))</f>
        <v/>
      </c>
      <c r="Z9" s="37" t="str">
        <f aca="false">IF(A9="","",IF(OR(Y9="",OR(D9="Project Completion",D9="Defects Liability",D9="Complete",D9="Cancelled")),"Green",IF(Y9&gt;1.15,"Red",IF(Y9&gt;=0.95,"Amber","Green"))))</f>
        <v/>
      </c>
      <c r="AA9" s="39" t="str">
        <f aca="false">IF(A9="","",IF(R9="","",IF(OR(R9&lt;=0,COUNTIFS('Cash Flow'!$A$2:$A$2001,A9)=0),"",T9/R9)))</f>
        <v/>
      </c>
      <c r="AB9" s="37" t="str">
        <f aca="false">IF(A9="","",IF(AA9="","Green",IF(AA9&gt;1.15,"Red",IF(AA9&gt;=0.95,"Amber","Green"))))</f>
        <v/>
      </c>
      <c r="AC9" s="37" t="str">
        <f aca="false">IF(A9="","",COUNTIFS(Risks!$A$2:$A$501,A9,Risks!$B$2:$B$501,"Risk",Risks!$M$2:$M$501,"&lt;&gt;Closed",Risks!$O$2:$O$501,"Critical"))</f>
        <v/>
      </c>
      <c r="AD9" s="37" t="str">
        <f aca="false">IF(A9="","",COUNTIFS(Risks!$A$2:$A$501,A9,Risks!$B$2:$B$501,"Risk",Risks!$M$2:$M$501,"&lt;&gt;Closed",Risks!$O$2:$O$501,"High"))</f>
        <v/>
      </c>
      <c r="AE9" s="37" t="str">
        <f aca="false">IF(A9="","",IF(AC9&gt;0,"Red",IF(AD9&gt;0,"Amber","Green")))</f>
        <v/>
      </c>
      <c r="AF9" s="37" t="str">
        <f aca="false">IF(A9="","",IF(OR(Z9="Red",AB9="Red",AE9="Red"),"Red",IF(OR(Z9="Amber",AB9="Amber",AE9="Amber"),"Amber","Green")))</f>
        <v/>
      </c>
      <c r="AG9" s="37" t="str">
        <f aca="false">IF(A9="","",COUNTIFS(Tasks!$A$2:$A$1001,A9,Tasks!$D$2:$D$1001,"&lt;&gt;Done",Tasks!$B$2:$B$1001,"&lt;&gt;"))</f>
        <v/>
      </c>
      <c r="AH9" s="37" t="str">
        <f aca="false">IF(A9="","",COUNTIFS(Actions!$A$2:$A$501,A9,Actions!$H$2:$H$501,"&lt;&gt;Done",Actions!$C$2:$C$501,"&lt;&gt;"))</f>
        <v/>
      </c>
      <c r="AI9" s="37" t="str">
        <f aca="false">IF(A9="","",COUNTIFS(RFIs!$A$2:$A$501,A9,RFIs!$G$2:$G$501,"Open"))</f>
        <v/>
      </c>
      <c r="AJ9" s="37" t="str">
        <f aca="false">IF(A9="","",COUNTIFS(Defects!$A$2:$A$501,A9,Defects!$H$2:$H$501,"Open"))</f>
        <v/>
      </c>
      <c r="AK9" s="37" t="str">
        <f aca="false">IF(A9="","","Schedule: "&amp;IF(Y9="","no dates / not tracked",TEXT(Y9,"0%")&amp;" of timeframe elapsed")&amp;" | Budget: "&amp;IF(AA9="","no approved budget or cash flow",TEXT(AA9,"0%")&amp;" of budget forecast")&amp;" | Risk: "&amp;AC9&amp;" critical, "&amp;AD9&amp;" high open")</f>
        <v/>
      </c>
    </row>
    <row r="10" customFormat="false" ht="15" hidden="false" customHeight="false" outlineLevel="0" collapsed="false">
      <c r="A10" s="32"/>
      <c r="B10" s="33"/>
      <c r="C10" s="32"/>
      <c r="D10" s="32"/>
      <c r="E10" s="32"/>
      <c r="F10" s="32"/>
      <c r="G10" s="32"/>
      <c r="H10" s="32"/>
      <c r="I10" s="32"/>
      <c r="J10" s="32"/>
      <c r="K10" s="34"/>
      <c r="L10" s="34"/>
      <c r="M10" s="34"/>
      <c r="N10" s="35"/>
      <c r="O10" s="35"/>
      <c r="P10" s="35"/>
      <c r="Q10" s="36" t="str">
        <f aca="false">IF(A10="","",SUMIFS(Variations!$F$2:$F$501,Variations!$A$2:$A$501,A10,Variations!$H$2:$H$501,"Approved"))</f>
        <v/>
      </c>
      <c r="R10" s="36" t="str">
        <f aca="false">IF(A10="","",IF(M10&lt;&gt;"",M10,IF(L10="","",L10+Q10)))</f>
        <v/>
      </c>
      <c r="S10" s="36" t="str">
        <f aca="false">IF(A10="","",SUMIFS('Cash Flow'!$D$2:$D$2001,'Cash Flow'!$A$2:$A$2001,A10,'Cash Flow'!$C$2:$C$2001,"Actual"))</f>
        <v/>
      </c>
      <c r="T10" s="36" t="str">
        <f aca="false">IF(A10="","",SUMIFS('Cash Flow'!$F$2:$F$2001,'Cash Flow'!$A$2:$A$2001,A10))</f>
        <v/>
      </c>
      <c r="U10" s="36" t="str">
        <f aca="false">IF(A10="","",IF(R10="","",R10-T10))</f>
        <v/>
      </c>
      <c r="V10" s="37" t="str">
        <f aca="false">IF(A10="","",SUMIFS('EOT Claims'!$L$2:$L$501,'EOT Claims'!$A$2:$A$501,A10))</f>
        <v/>
      </c>
      <c r="W10" s="38" t="str">
        <f aca="false">IF(A10="","",IF(O10="","",O10+V10))</f>
        <v/>
      </c>
      <c r="X10" s="37" t="str">
        <f aca="true">IF(A10="","",IF(O10="","",IF(AND(NOT(OR(D10="Project Completion",D10="Defects Liability",D10="Complete",D10="Cancelled")),O10&lt;TODAY()),"Overdue","")))</f>
        <v/>
      </c>
      <c r="Y10" s="39" t="str">
        <f aca="true">IF(A10="","",IF(OR(N10="",W10=""),"",IF(W10&lt;=N10,"",(TODAY()-N10)/(W10-N10))))</f>
        <v/>
      </c>
      <c r="Z10" s="37" t="str">
        <f aca="false">IF(A10="","",IF(OR(Y10="",OR(D10="Project Completion",D10="Defects Liability",D10="Complete",D10="Cancelled")),"Green",IF(Y10&gt;1.15,"Red",IF(Y10&gt;=0.95,"Amber","Green"))))</f>
        <v/>
      </c>
      <c r="AA10" s="39" t="str">
        <f aca="false">IF(A10="","",IF(R10="","",IF(OR(R10&lt;=0,COUNTIFS('Cash Flow'!$A$2:$A$2001,A10)=0),"",T10/R10)))</f>
        <v/>
      </c>
      <c r="AB10" s="37" t="str">
        <f aca="false">IF(A10="","",IF(AA10="","Green",IF(AA10&gt;1.15,"Red",IF(AA10&gt;=0.95,"Amber","Green"))))</f>
        <v/>
      </c>
      <c r="AC10" s="37" t="str">
        <f aca="false">IF(A10="","",COUNTIFS(Risks!$A$2:$A$501,A10,Risks!$B$2:$B$501,"Risk",Risks!$M$2:$M$501,"&lt;&gt;Closed",Risks!$O$2:$O$501,"Critical"))</f>
        <v/>
      </c>
      <c r="AD10" s="37" t="str">
        <f aca="false">IF(A10="","",COUNTIFS(Risks!$A$2:$A$501,A10,Risks!$B$2:$B$501,"Risk",Risks!$M$2:$M$501,"&lt;&gt;Closed",Risks!$O$2:$O$501,"High"))</f>
        <v/>
      </c>
      <c r="AE10" s="37" t="str">
        <f aca="false">IF(A10="","",IF(AC10&gt;0,"Red",IF(AD10&gt;0,"Amber","Green")))</f>
        <v/>
      </c>
      <c r="AF10" s="37" t="str">
        <f aca="false">IF(A10="","",IF(OR(Z10="Red",AB10="Red",AE10="Red"),"Red",IF(OR(Z10="Amber",AB10="Amber",AE10="Amber"),"Amber","Green")))</f>
        <v/>
      </c>
      <c r="AG10" s="37" t="str">
        <f aca="false">IF(A10="","",COUNTIFS(Tasks!$A$2:$A$1001,A10,Tasks!$D$2:$D$1001,"&lt;&gt;Done",Tasks!$B$2:$B$1001,"&lt;&gt;"))</f>
        <v/>
      </c>
      <c r="AH10" s="37" t="str">
        <f aca="false">IF(A10="","",COUNTIFS(Actions!$A$2:$A$501,A10,Actions!$H$2:$H$501,"&lt;&gt;Done",Actions!$C$2:$C$501,"&lt;&gt;"))</f>
        <v/>
      </c>
      <c r="AI10" s="37" t="str">
        <f aca="false">IF(A10="","",COUNTIFS(RFIs!$A$2:$A$501,A10,RFIs!$G$2:$G$501,"Open"))</f>
        <v/>
      </c>
      <c r="AJ10" s="37" t="str">
        <f aca="false">IF(A10="","",COUNTIFS(Defects!$A$2:$A$501,A10,Defects!$H$2:$H$501,"Open"))</f>
        <v/>
      </c>
      <c r="AK10" s="37" t="str">
        <f aca="false">IF(A10="","","Schedule: "&amp;IF(Y10="","no dates / not tracked",TEXT(Y10,"0%")&amp;" of timeframe elapsed")&amp;" | Budget: "&amp;IF(AA10="","no approved budget or cash flow",TEXT(AA10,"0%")&amp;" of budget forecast")&amp;" | Risk: "&amp;AC10&amp;" critical, "&amp;AD10&amp;" high open")</f>
        <v/>
      </c>
    </row>
    <row r="11" customFormat="false" ht="15" hidden="false" customHeight="false" outlineLevel="0" collapsed="false">
      <c r="A11" s="32"/>
      <c r="B11" s="33"/>
      <c r="C11" s="32"/>
      <c r="D11" s="32"/>
      <c r="E11" s="32"/>
      <c r="F11" s="32"/>
      <c r="G11" s="32"/>
      <c r="H11" s="32"/>
      <c r="I11" s="32"/>
      <c r="J11" s="32"/>
      <c r="K11" s="34"/>
      <c r="L11" s="34"/>
      <c r="M11" s="34"/>
      <c r="N11" s="35"/>
      <c r="O11" s="35"/>
      <c r="P11" s="35"/>
      <c r="Q11" s="36" t="str">
        <f aca="false">IF(A11="","",SUMIFS(Variations!$F$2:$F$501,Variations!$A$2:$A$501,A11,Variations!$H$2:$H$501,"Approved"))</f>
        <v/>
      </c>
      <c r="R11" s="36" t="str">
        <f aca="false">IF(A11="","",IF(M11&lt;&gt;"",M11,IF(L11="","",L11+Q11)))</f>
        <v/>
      </c>
      <c r="S11" s="36" t="str">
        <f aca="false">IF(A11="","",SUMIFS('Cash Flow'!$D$2:$D$2001,'Cash Flow'!$A$2:$A$2001,A11,'Cash Flow'!$C$2:$C$2001,"Actual"))</f>
        <v/>
      </c>
      <c r="T11" s="36" t="str">
        <f aca="false">IF(A11="","",SUMIFS('Cash Flow'!$F$2:$F$2001,'Cash Flow'!$A$2:$A$2001,A11))</f>
        <v/>
      </c>
      <c r="U11" s="36" t="str">
        <f aca="false">IF(A11="","",IF(R11="","",R11-T11))</f>
        <v/>
      </c>
      <c r="V11" s="37" t="str">
        <f aca="false">IF(A11="","",SUMIFS('EOT Claims'!$L$2:$L$501,'EOT Claims'!$A$2:$A$501,A11))</f>
        <v/>
      </c>
      <c r="W11" s="38" t="str">
        <f aca="false">IF(A11="","",IF(O11="","",O11+V11))</f>
        <v/>
      </c>
      <c r="X11" s="37" t="str">
        <f aca="true">IF(A11="","",IF(O11="","",IF(AND(NOT(OR(D11="Project Completion",D11="Defects Liability",D11="Complete",D11="Cancelled")),O11&lt;TODAY()),"Overdue","")))</f>
        <v/>
      </c>
      <c r="Y11" s="39" t="str">
        <f aca="true">IF(A11="","",IF(OR(N11="",W11=""),"",IF(W11&lt;=N11,"",(TODAY()-N11)/(W11-N11))))</f>
        <v/>
      </c>
      <c r="Z11" s="37" t="str">
        <f aca="false">IF(A11="","",IF(OR(Y11="",OR(D11="Project Completion",D11="Defects Liability",D11="Complete",D11="Cancelled")),"Green",IF(Y11&gt;1.15,"Red",IF(Y11&gt;=0.95,"Amber","Green"))))</f>
        <v/>
      </c>
      <c r="AA11" s="39" t="str">
        <f aca="false">IF(A11="","",IF(R11="","",IF(OR(R11&lt;=0,COUNTIFS('Cash Flow'!$A$2:$A$2001,A11)=0),"",T11/R11)))</f>
        <v/>
      </c>
      <c r="AB11" s="37" t="str">
        <f aca="false">IF(A11="","",IF(AA11="","Green",IF(AA11&gt;1.15,"Red",IF(AA11&gt;=0.95,"Amber","Green"))))</f>
        <v/>
      </c>
      <c r="AC11" s="37" t="str">
        <f aca="false">IF(A11="","",COUNTIFS(Risks!$A$2:$A$501,A11,Risks!$B$2:$B$501,"Risk",Risks!$M$2:$M$501,"&lt;&gt;Closed",Risks!$O$2:$O$501,"Critical"))</f>
        <v/>
      </c>
      <c r="AD11" s="37" t="str">
        <f aca="false">IF(A11="","",COUNTIFS(Risks!$A$2:$A$501,A11,Risks!$B$2:$B$501,"Risk",Risks!$M$2:$M$501,"&lt;&gt;Closed",Risks!$O$2:$O$501,"High"))</f>
        <v/>
      </c>
      <c r="AE11" s="37" t="str">
        <f aca="false">IF(A11="","",IF(AC11&gt;0,"Red",IF(AD11&gt;0,"Amber","Green")))</f>
        <v/>
      </c>
      <c r="AF11" s="37" t="str">
        <f aca="false">IF(A11="","",IF(OR(Z11="Red",AB11="Red",AE11="Red"),"Red",IF(OR(Z11="Amber",AB11="Amber",AE11="Amber"),"Amber","Green")))</f>
        <v/>
      </c>
      <c r="AG11" s="37" t="str">
        <f aca="false">IF(A11="","",COUNTIFS(Tasks!$A$2:$A$1001,A11,Tasks!$D$2:$D$1001,"&lt;&gt;Done",Tasks!$B$2:$B$1001,"&lt;&gt;"))</f>
        <v/>
      </c>
      <c r="AH11" s="37" t="str">
        <f aca="false">IF(A11="","",COUNTIFS(Actions!$A$2:$A$501,A11,Actions!$H$2:$H$501,"&lt;&gt;Done",Actions!$C$2:$C$501,"&lt;&gt;"))</f>
        <v/>
      </c>
      <c r="AI11" s="37" t="str">
        <f aca="false">IF(A11="","",COUNTIFS(RFIs!$A$2:$A$501,A11,RFIs!$G$2:$G$501,"Open"))</f>
        <v/>
      </c>
      <c r="AJ11" s="37" t="str">
        <f aca="false">IF(A11="","",COUNTIFS(Defects!$A$2:$A$501,A11,Defects!$H$2:$H$501,"Open"))</f>
        <v/>
      </c>
      <c r="AK11" s="37" t="str">
        <f aca="false">IF(A11="","","Schedule: "&amp;IF(Y11="","no dates / not tracked",TEXT(Y11,"0%")&amp;" of timeframe elapsed")&amp;" | Budget: "&amp;IF(AA11="","no approved budget or cash flow",TEXT(AA11,"0%")&amp;" of budget forecast")&amp;" | Risk: "&amp;AC11&amp;" critical, "&amp;AD11&amp;" high open")</f>
        <v/>
      </c>
    </row>
    <row r="12" customFormat="false" ht="15" hidden="false" customHeight="false" outlineLevel="0" collapsed="false">
      <c r="A12" s="32"/>
      <c r="B12" s="33"/>
      <c r="C12" s="32"/>
      <c r="D12" s="32"/>
      <c r="E12" s="32"/>
      <c r="F12" s="32"/>
      <c r="G12" s="32"/>
      <c r="H12" s="32"/>
      <c r="I12" s="32"/>
      <c r="J12" s="32"/>
      <c r="K12" s="34"/>
      <c r="L12" s="34"/>
      <c r="M12" s="34"/>
      <c r="N12" s="35"/>
      <c r="O12" s="35"/>
      <c r="P12" s="35"/>
      <c r="Q12" s="36" t="str">
        <f aca="false">IF(A12="","",SUMIFS(Variations!$F$2:$F$501,Variations!$A$2:$A$501,A12,Variations!$H$2:$H$501,"Approved"))</f>
        <v/>
      </c>
      <c r="R12" s="36" t="str">
        <f aca="false">IF(A12="","",IF(M12&lt;&gt;"",M12,IF(L12="","",L12+Q12)))</f>
        <v/>
      </c>
      <c r="S12" s="36" t="str">
        <f aca="false">IF(A12="","",SUMIFS('Cash Flow'!$D$2:$D$2001,'Cash Flow'!$A$2:$A$2001,A12,'Cash Flow'!$C$2:$C$2001,"Actual"))</f>
        <v/>
      </c>
      <c r="T12" s="36" t="str">
        <f aca="false">IF(A12="","",SUMIFS('Cash Flow'!$F$2:$F$2001,'Cash Flow'!$A$2:$A$2001,A12))</f>
        <v/>
      </c>
      <c r="U12" s="36" t="str">
        <f aca="false">IF(A12="","",IF(R12="","",R12-T12))</f>
        <v/>
      </c>
      <c r="V12" s="37" t="str">
        <f aca="false">IF(A12="","",SUMIFS('EOT Claims'!$L$2:$L$501,'EOT Claims'!$A$2:$A$501,A12))</f>
        <v/>
      </c>
      <c r="W12" s="38" t="str">
        <f aca="false">IF(A12="","",IF(O12="","",O12+V12))</f>
        <v/>
      </c>
      <c r="X12" s="37" t="str">
        <f aca="true">IF(A12="","",IF(O12="","",IF(AND(NOT(OR(D12="Project Completion",D12="Defects Liability",D12="Complete",D12="Cancelled")),O12&lt;TODAY()),"Overdue","")))</f>
        <v/>
      </c>
      <c r="Y12" s="39" t="str">
        <f aca="true">IF(A12="","",IF(OR(N12="",W12=""),"",IF(W12&lt;=N12,"",(TODAY()-N12)/(W12-N12))))</f>
        <v/>
      </c>
      <c r="Z12" s="37" t="str">
        <f aca="false">IF(A12="","",IF(OR(Y12="",OR(D12="Project Completion",D12="Defects Liability",D12="Complete",D12="Cancelled")),"Green",IF(Y12&gt;1.15,"Red",IF(Y12&gt;=0.95,"Amber","Green"))))</f>
        <v/>
      </c>
      <c r="AA12" s="39" t="str">
        <f aca="false">IF(A12="","",IF(R12="","",IF(OR(R12&lt;=0,COUNTIFS('Cash Flow'!$A$2:$A$2001,A12)=0),"",T12/R12)))</f>
        <v/>
      </c>
      <c r="AB12" s="37" t="str">
        <f aca="false">IF(A12="","",IF(AA12="","Green",IF(AA12&gt;1.15,"Red",IF(AA12&gt;=0.95,"Amber","Green"))))</f>
        <v/>
      </c>
      <c r="AC12" s="37" t="str">
        <f aca="false">IF(A12="","",COUNTIFS(Risks!$A$2:$A$501,A12,Risks!$B$2:$B$501,"Risk",Risks!$M$2:$M$501,"&lt;&gt;Closed",Risks!$O$2:$O$501,"Critical"))</f>
        <v/>
      </c>
      <c r="AD12" s="37" t="str">
        <f aca="false">IF(A12="","",COUNTIFS(Risks!$A$2:$A$501,A12,Risks!$B$2:$B$501,"Risk",Risks!$M$2:$M$501,"&lt;&gt;Closed",Risks!$O$2:$O$501,"High"))</f>
        <v/>
      </c>
      <c r="AE12" s="37" t="str">
        <f aca="false">IF(A12="","",IF(AC12&gt;0,"Red",IF(AD12&gt;0,"Amber","Green")))</f>
        <v/>
      </c>
      <c r="AF12" s="37" t="str">
        <f aca="false">IF(A12="","",IF(OR(Z12="Red",AB12="Red",AE12="Red"),"Red",IF(OR(Z12="Amber",AB12="Amber",AE12="Amber"),"Amber","Green")))</f>
        <v/>
      </c>
      <c r="AG12" s="37" t="str">
        <f aca="false">IF(A12="","",COUNTIFS(Tasks!$A$2:$A$1001,A12,Tasks!$D$2:$D$1001,"&lt;&gt;Done",Tasks!$B$2:$B$1001,"&lt;&gt;"))</f>
        <v/>
      </c>
      <c r="AH12" s="37" t="str">
        <f aca="false">IF(A12="","",COUNTIFS(Actions!$A$2:$A$501,A12,Actions!$H$2:$H$501,"&lt;&gt;Done",Actions!$C$2:$C$501,"&lt;&gt;"))</f>
        <v/>
      </c>
      <c r="AI12" s="37" t="str">
        <f aca="false">IF(A12="","",COUNTIFS(RFIs!$A$2:$A$501,A12,RFIs!$G$2:$G$501,"Open"))</f>
        <v/>
      </c>
      <c r="AJ12" s="37" t="str">
        <f aca="false">IF(A12="","",COUNTIFS(Defects!$A$2:$A$501,A12,Defects!$H$2:$H$501,"Open"))</f>
        <v/>
      </c>
      <c r="AK12" s="37" t="str">
        <f aca="false">IF(A12="","","Schedule: "&amp;IF(Y12="","no dates / not tracked",TEXT(Y12,"0%")&amp;" of timeframe elapsed")&amp;" | Budget: "&amp;IF(AA12="","no approved budget or cash flow",TEXT(AA12,"0%")&amp;" of budget forecast")&amp;" | Risk: "&amp;AC12&amp;" critical, "&amp;AD12&amp;" high open")</f>
        <v/>
      </c>
    </row>
    <row r="13" customFormat="false" ht="15" hidden="false" customHeight="false" outlineLevel="0" collapsed="false">
      <c r="A13" s="32"/>
      <c r="B13" s="33"/>
      <c r="C13" s="32"/>
      <c r="D13" s="32"/>
      <c r="E13" s="32"/>
      <c r="F13" s="32"/>
      <c r="G13" s="32"/>
      <c r="H13" s="32"/>
      <c r="I13" s="32"/>
      <c r="J13" s="32"/>
      <c r="K13" s="34"/>
      <c r="L13" s="34"/>
      <c r="M13" s="34"/>
      <c r="N13" s="35"/>
      <c r="O13" s="35"/>
      <c r="P13" s="35"/>
      <c r="Q13" s="36" t="str">
        <f aca="false">IF(A13="","",SUMIFS(Variations!$F$2:$F$501,Variations!$A$2:$A$501,A13,Variations!$H$2:$H$501,"Approved"))</f>
        <v/>
      </c>
      <c r="R13" s="36" t="str">
        <f aca="false">IF(A13="","",IF(M13&lt;&gt;"",M13,IF(L13="","",L13+Q13)))</f>
        <v/>
      </c>
      <c r="S13" s="36" t="str">
        <f aca="false">IF(A13="","",SUMIFS('Cash Flow'!$D$2:$D$2001,'Cash Flow'!$A$2:$A$2001,A13,'Cash Flow'!$C$2:$C$2001,"Actual"))</f>
        <v/>
      </c>
      <c r="T13" s="36" t="str">
        <f aca="false">IF(A13="","",SUMIFS('Cash Flow'!$F$2:$F$2001,'Cash Flow'!$A$2:$A$2001,A13))</f>
        <v/>
      </c>
      <c r="U13" s="36" t="str">
        <f aca="false">IF(A13="","",IF(R13="","",R13-T13))</f>
        <v/>
      </c>
      <c r="V13" s="37" t="str">
        <f aca="false">IF(A13="","",SUMIFS('EOT Claims'!$L$2:$L$501,'EOT Claims'!$A$2:$A$501,A13))</f>
        <v/>
      </c>
      <c r="W13" s="38" t="str">
        <f aca="false">IF(A13="","",IF(O13="","",O13+V13))</f>
        <v/>
      </c>
      <c r="X13" s="37" t="str">
        <f aca="true">IF(A13="","",IF(O13="","",IF(AND(NOT(OR(D13="Project Completion",D13="Defects Liability",D13="Complete",D13="Cancelled")),O13&lt;TODAY()),"Overdue","")))</f>
        <v/>
      </c>
      <c r="Y13" s="39" t="str">
        <f aca="true">IF(A13="","",IF(OR(N13="",W13=""),"",IF(W13&lt;=N13,"",(TODAY()-N13)/(W13-N13))))</f>
        <v/>
      </c>
      <c r="Z13" s="37" t="str">
        <f aca="false">IF(A13="","",IF(OR(Y13="",OR(D13="Project Completion",D13="Defects Liability",D13="Complete",D13="Cancelled")),"Green",IF(Y13&gt;1.15,"Red",IF(Y13&gt;=0.95,"Amber","Green"))))</f>
        <v/>
      </c>
      <c r="AA13" s="39" t="str">
        <f aca="false">IF(A13="","",IF(R13="","",IF(OR(R13&lt;=0,COUNTIFS('Cash Flow'!$A$2:$A$2001,A13)=0),"",T13/R13)))</f>
        <v/>
      </c>
      <c r="AB13" s="37" t="str">
        <f aca="false">IF(A13="","",IF(AA13="","Green",IF(AA13&gt;1.15,"Red",IF(AA13&gt;=0.95,"Amber","Green"))))</f>
        <v/>
      </c>
      <c r="AC13" s="37" t="str">
        <f aca="false">IF(A13="","",COUNTIFS(Risks!$A$2:$A$501,A13,Risks!$B$2:$B$501,"Risk",Risks!$M$2:$M$501,"&lt;&gt;Closed",Risks!$O$2:$O$501,"Critical"))</f>
        <v/>
      </c>
      <c r="AD13" s="37" t="str">
        <f aca="false">IF(A13="","",COUNTIFS(Risks!$A$2:$A$501,A13,Risks!$B$2:$B$501,"Risk",Risks!$M$2:$M$501,"&lt;&gt;Closed",Risks!$O$2:$O$501,"High"))</f>
        <v/>
      </c>
      <c r="AE13" s="37" t="str">
        <f aca="false">IF(A13="","",IF(AC13&gt;0,"Red",IF(AD13&gt;0,"Amber","Green")))</f>
        <v/>
      </c>
      <c r="AF13" s="37" t="str">
        <f aca="false">IF(A13="","",IF(OR(Z13="Red",AB13="Red",AE13="Red"),"Red",IF(OR(Z13="Amber",AB13="Amber",AE13="Amber"),"Amber","Green")))</f>
        <v/>
      </c>
      <c r="AG13" s="37" t="str">
        <f aca="false">IF(A13="","",COUNTIFS(Tasks!$A$2:$A$1001,A13,Tasks!$D$2:$D$1001,"&lt;&gt;Done",Tasks!$B$2:$B$1001,"&lt;&gt;"))</f>
        <v/>
      </c>
      <c r="AH13" s="37" t="str">
        <f aca="false">IF(A13="","",COUNTIFS(Actions!$A$2:$A$501,A13,Actions!$H$2:$H$501,"&lt;&gt;Done",Actions!$C$2:$C$501,"&lt;&gt;"))</f>
        <v/>
      </c>
      <c r="AI13" s="37" t="str">
        <f aca="false">IF(A13="","",COUNTIFS(RFIs!$A$2:$A$501,A13,RFIs!$G$2:$G$501,"Open"))</f>
        <v/>
      </c>
      <c r="AJ13" s="37" t="str">
        <f aca="false">IF(A13="","",COUNTIFS(Defects!$A$2:$A$501,A13,Defects!$H$2:$H$501,"Open"))</f>
        <v/>
      </c>
      <c r="AK13" s="37" t="str">
        <f aca="false">IF(A13="","","Schedule: "&amp;IF(Y13="","no dates / not tracked",TEXT(Y13,"0%")&amp;" of timeframe elapsed")&amp;" | Budget: "&amp;IF(AA13="","no approved budget or cash flow",TEXT(AA13,"0%")&amp;" of budget forecast")&amp;" | Risk: "&amp;AC13&amp;" critical, "&amp;AD13&amp;" high open")</f>
        <v/>
      </c>
    </row>
    <row r="14" customFormat="false" ht="15" hidden="false" customHeight="false" outlineLevel="0" collapsed="false">
      <c r="A14" s="32"/>
      <c r="B14" s="33"/>
      <c r="C14" s="32"/>
      <c r="D14" s="32"/>
      <c r="E14" s="32"/>
      <c r="F14" s="32"/>
      <c r="G14" s="32"/>
      <c r="H14" s="32"/>
      <c r="I14" s="32"/>
      <c r="J14" s="32"/>
      <c r="K14" s="34"/>
      <c r="L14" s="34"/>
      <c r="M14" s="34"/>
      <c r="N14" s="35"/>
      <c r="O14" s="35"/>
      <c r="P14" s="35"/>
      <c r="Q14" s="36" t="str">
        <f aca="false">IF(A14="","",SUMIFS(Variations!$F$2:$F$501,Variations!$A$2:$A$501,A14,Variations!$H$2:$H$501,"Approved"))</f>
        <v/>
      </c>
      <c r="R14" s="36" t="str">
        <f aca="false">IF(A14="","",IF(M14&lt;&gt;"",M14,IF(L14="","",L14+Q14)))</f>
        <v/>
      </c>
      <c r="S14" s="36" t="str">
        <f aca="false">IF(A14="","",SUMIFS('Cash Flow'!$D$2:$D$2001,'Cash Flow'!$A$2:$A$2001,A14,'Cash Flow'!$C$2:$C$2001,"Actual"))</f>
        <v/>
      </c>
      <c r="T14" s="36" t="str">
        <f aca="false">IF(A14="","",SUMIFS('Cash Flow'!$F$2:$F$2001,'Cash Flow'!$A$2:$A$2001,A14))</f>
        <v/>
      </c>
      <c r="U14" s="36" t="str">
        <f aca="false">IF(A14="","",IF(R14="","",R14-T14))</f>
        <v/>
      </c>
      <c r="V14" s="37" t="str">
        <f aca="false">IF(A14="","",SUMIFS('EOT Claims'!$L$2:$L$501,'EOT Claims'!$A$2:$A$501,A14))</f>
        <v/>
      </c>
      <c r="W14" s="38" t="str">
        <f aca="false">IF(A14="","",IF(O14="","",O14+V14))</f>
        <v/>
      </c>
      <c r="X14" s="37" t="str">
        <f aca="true">IF(A14="","",IF(O14="","",IF(AND(NOT(OR(D14="Project Completion",D14="Defects Liability",D14="Complete",D14="Cancelled")),O14&lt;TODAY()),"Overdue","")))</f>
        <v/>
      </c>
      <c r="Y14" s="39" t="str">
        <f aca="true">IF(A14="","",IF(OR(N14="",W14=""),"",IF(W14&lt;=N14,"",(TODAY()-N14)/(W14-N14))))</f>
        <v/>
      </c>
      <c r="Z14" s="37" t="str">
        <f aca="false">IF(A14="","",IF(OR(Y14="",OR(D14="Project Completion",D14="Defects Liability",D14="Complete",D14="Cancelled")),"Green",IF(Y14&gt;1.15,"Red",IF(Y14&gt;=0.95,"Amber","Green"))))</f>
        <v/>
      </c>
      <c r="AA14" s="39" t="str">
        <f aca="false">IF(A14="","",IF(R14="","",IF(OR(R14&lt;=0,COUNTIFS('Cash Flow'!$A$2:$A$2001,A14)=0),"",T14/R14)))</f>
        <v/>
      </c>
      <c r="AB14" s="37" t="str">
        <f aca="false">IF(A14="","",IF(AA14="","Green",IF(AA14&gt;1.15,"Red",IF(AA14&gt;=0.95,"Amber","Green"))))</f>
        <v/>
      </c>
      <c r="AC14" s="37" t="str">
        <f aca="false">IF(A14="","",COUNTIFS(Risks!$A$2:$A$501,A14,Risks!$B$2:$B$501,"Risk",Risks!$M$2:$M$501,"&lt;&gt;Closed",Risks!$O$2:$O$501,"Critical"))</f>
        <v/>
      </c>
      <c r="AD14" s="37" t="str">
        <f aca="false">IF(A14="","",COUNTIFS(Risks!$A$2:$A$501,A14,Risks!$B$2:$B$501,"Risk",Risks!$M$2:$M$501,"&lt;&gt;Closed",Risks!$O$2:$O$501,"High"))</f>
        <v/>
      </c>
      <c r="AE14" s="37" t="str">
        <f aca="false">IF(A14="","",IF(AC14&gt;0,"Red",IF(AD14&gt;0,"Amber","Green")))</f>
        <v/>
      </c>
      <c r="AF14" s="37" t="str">
        <f aca="false">IF(A14="","",IF(OR(Z14="Red",AB14="Red",AE14="Red"),"Red",IF(OR(Z14="Amber",AB14="Amber",AE14="Amber"),"Amber","Green")))</f>
        <v/>
      </c>
      <c r="AG14" s="37" t="str">
        <f aca="false">IF(A14="","",COUNTIFS(Tasks!$A$2:$A$1001,A14,Tasks!$D$2:$D$1001,"&lt;&gt;Done",Tasks!$B$2:$B$1001,"&lt;&gt;"))</f>
        <v/>
      </c>
      <c r="AH14" s="37" t="str">
        <f aca="false">IF(A14="","",COUNTIFS(Actions!$A$2:$A$501,A14,Actions!$H$2:$H$501,"&lt;&gt;Done",Actions!$C$2:$C$501,"&lt;&gt;"))</f>
        <v/>
      </c>
      <c r="AI14" s="37" t="str">
        <f aca="false">IF(A14="","",COUNTIFS(RFIs!$A$2:$A$501,A14,RFIs!$G$2:$G$501,"Open"))</f>
        <v/>
      </c>
      <c r="AJ14" s="37" t="str">
        <f aca="false">IF(A14="","",COUNTIFS(Defects!$A$2:$A$501,A14,Defects!$H$2:$H$501,"Open"))</f>
        <v/>
      </c>
      <c r="AK14" s="37" t="str">
        <f aca="false">IF(A14="","","Schedule: "&amp;IF(Y14="","no dates / not tracked",TEXT(Y14,"0%")&amp;" of timeframe elapsed")&amp;" | Budget: "&amp;IF(AA14="","no approved budget or cash flow",TEXT(AA14,"0%")&amp;" of budget forecast")&amp;" | Risk: "&amp;AC14&amp;" critical, "&amp;AD14&amp;" high open")</f>
        <v/>
      </c>
    </row>
    <row r="15" customFormat="false" ht="15" hidden="false" customHeight="false" outlineLevel="0" collapsed="false">
      <c r="A15" s="32"/>
      <c r="B15" s="33"/>
      <c r="C15" s="32"/>
      <c r="D15" s="32"/>
      <c r="E15" s="32"/>
      <c r="F15" s="32"/>
      <c r="G15" s="32"/>
      <c r="H15" s="32"/>
      <c r="I15" s="32"/>
      <c r="J15" s="32"/>
      <c r="K15" s="34"/>
      <c r="L15" s="34"/>
      <c r="M15" s="34"/>
      <c r="N15" s="35"/>
      <c r="O15" s="35"/>
      <c r="P15" s="35"/>
      <c r="Q15" s="36" t="str">
        <f aca="false">IF(A15="","",SUMIFS(Variations!$F$2:$F$501,Variations!$A$2:$A$501,A15,Variations!$H$2:$H$501,"Approved"))</f>
        <v/>
      </c>
      <c r="R15" s="36" t="str">
        <f aca="false">IF(A15="","",IF(M15&lt;&gt;"",M15,IF(L15="","",L15+Q15)))</f>
        <v/>
      </c>
      <c r="S15" s="36" t="str">
        <f aca="false">IF(A15="","",SUMIFS('Cash Flow'!$D$2:$D$2001,'Cash Flow'!$A$2:$A$2001,A15,'Cash Flow'!$C$2:$C$2001,"Actual"))</f>
        <v/>
      </c>
      <c r="T15" s="36" t="str">
        <f aca="false">IF(A15="","",SUMIFS('Cash Flow'!$F$2:$F$2001,'Cash Flow'!$A$2:$A$2001,A15))</f>
        <v/>
      </c>
      <c r="U15" s="36" t="str">
        <f aca="false">IF(A15="","",IF(R15="","",R15-T15))</f>
        <v/>
      </c>
      <c r="V15" s="37" t="str">
        <f aca="false">IF(A15="","",SUMIFS('EOT Claims'!$L$2:$L$501,'EOT Claims'!$A$2:$A$501,A15))</f>
        <v/>
      </c>
      <c r="W15" s="38" t="str">
        <f aca="false">IF(A15="","",IF(O15="","",O15+V15))</f>
        <v/>
      </c>
      <c r="X15" s="37" t="str">
        <f aca="true">IF(A15="","",IF(O15="","",IF(AND(NOT(OR(D15="Project Completion",D15="Defects Liability",D15="Complete",D15="Cancelled")),O15&lt;TODAY()),"Overdue","")))</f>
        <v/>
      </c>
      <c r="Y15" s="39" t="str">
        <f aca="true">IF(A15="","",IF(OR(N15="",W15=""),"",IF(W15&lt;=N15,"",(TODAY()-N15)/(W15-N15))))</f>
        <v/>
      </c>
      <c r="Z15" s="37" t="str">
        <f aca="false">IF(A15="","",IF(OR(Y15="",OR(D15="Project Completion",D15="Defects Liability",D15="Complete",D15="Cancelled")),"Green",IF(Y15&gt;1.15,"Red",IF(Y15&gt;=0.95,"Amber","Green"))))</f>
        <v/>
      </c>
      <c r="AA15" s="39" t="str">
        <f aca="false">IF(A15="","",IF(R15="","",IF(OR(R15&lt;=0,COUNTIFS('Cash Flow'!$A$2:$A$2001,A15)=0),"",T15/R15)))</f>
        <v/>
      </c>
      <c r="AB15" s="37" t="str">
        <f aca="false">IF(A15="","",IF(AA15="","Green",IF(AA15&gt;1.15,"Red",IF(AA15&gt;=0.95,"Amber","Green"))))</f>
        <v/>
      </c>
      <c r="AC15" s="37" t="str">
        <f aca="false">IF(A15="","",COUNTIFS(Risks!$A$2:$A$501,A15,Risks!$B$2:$B$501,"Risk",Risks!$M$2:$M$501,"&lt;&gt;Closed",Risks!$O$2:$O$501,"Critical"))</f>
        <v/>
      </c>
      <c r="AD15" s="37" t="str">
        <f aca="false">IF(A15="","",COUNTIFS(Risks!$A$2:$A$501,A15,Risks!$B$2:$B$501,"Risk",Risks!$M$2:$M$501,"&lt;&gt;Closed",Risks!$O$2:$O$501,"High"))</f>
        <v/>
      </c>
      <c r="AE15" s="37" t="str">
        <f aca="false">IF(A15="","",IF(AC15&gt;0,"Red",IF(AD15&gt;0,"Amber","Green")))</f>
        <v/>
      </c>
      <c r="AF15" s="37" t="str">
        <f aca="false">IF(A15="","",IF(OR(Z15="Red",AB15="Red",AE15="Red"),"Red",IF(OR(Z15="Amber",AB15="Amber",AE15="Amber"),"Amber","Green")))</f>
        <v/>
      </c>
      <c r="AG15" s="37" t="str">
        <f aca="false">IF(A15="","",COUNTIFS(Tasks!$A$2:$A$1001,A15,Tasks!$D$2:$D$1001,"&lt;&gt;Done",Tasks!$B$2:$B$1001,"&lt;&gt;"))</f>
        <v/>
      </c>
      <c r="AH15" s="37" t="str">
        <f aca="false">IF(A15="","",COUNTIFS(Actions!$A$2:$A$501,A15,Actions!$H$2:$H$501,"&lt;&gt;Done",Actions!$C$2:$C$501,"&lt;&gt;"))</f>
        <v/>
      </c>
      <c r="AI15" s="37" t="str">
        <f aca="false">IF(A15="","",COUNTIFS(RFIs!$A$2:$A$501,A15,RFIs!$G$2:$G$501,"Open"))</f>
        <v/>
      </c>
      <c r="AJ15" s="37" t="str">
        <f aca="false">IF(A15="","",COUNTIFS(Defects!$A$2:$A$501,A15,Defects!$H$2:$H$501,"Open"))</f>
        <v/>
      </c>
      <c r="AK15" s="37" t="str">
        <f aca="false">IF(A15="","","Schedule: "&amp;IF(Y15="","no dates / not tracked",TEXT(Y15,"0%")&amp;" of timeframe elapsed")&amp;" | Budget: "&amp;IF(AA15="","no approved budget or cash flow",TEXT(AA15,"0%")&amp;" of budget forecast")&amp;" | Risk: "&amp;AC15&amp;" critical, "&amp;AD15&amp;" high open")</f>
        <v/>
      </c>
    </row>
    <row r="16" customFormat="false" ht="15" hidden="false" customHeight="false" outlineLevel="0" collapsed="false">
      <c r="A16" s="32"/>
      <c r="B16" s="33"/>
      <c r="C16" s="32"/>
      <c r="D16" s="32"/>
      <c r="E16" s="32"/>
      <c r="F16" s="32"/>
      <c r="G16" s="32"/>
      <c r="H16" s="32"/>
      <c r="I16" s="32"/>
      <c r="J16" s="32"/>
      <c r="K16" s="34"/>
      <c r="L16" s="34"/>
      <c r="M16" s="34"/>
      <c r="N16" s="35"/>
      <c r="O16" s="35"/>
      <c r="P16" s="35"/>
      <c r="Q16" s="36" t="str">
        <f aca="false">IF(A16="","",SUMIFS(Variations!$F$2:$F$501,Variations!$A$2:$A$501,A16,Variations!$H$2:$H$501,"Approved"))</f>
        <v/>
      </c>
      <c r="R16" s="36" t="str">
        <f aca="false">IF(A16="","",IF(M16&lt;&gt;"",M16,IF(L16="","",L16+Q16)))</f>
        <v/>
      </c>
      <c r="S16" s="36" t="str">
        <f aca="false">IF(A16="","",SUMIFS('Cash Flow'!$D$2:$D$2001,'Cash Flow'!$A$2:$A$2001,A16,'Cash Flow'!$C$2:$C$2001,"Actual"))</f>
        <v/>
      </c>
      <c r="T16" s="36" t="str">
        <f aca="false">IF(A16="","",SUMIFS('Cash Flow'!$F$2:$F$2001,'Cash Flow'!$A$2:$A$2001,A16))</f>
        <v/>
      </c>
      <c r="U16" s="36" t="str">
        <f aca="false">IF(A16="","",IF(R16="","",R16-T16))</f>
        <v/>
      </c>
      <c r="V16" s="37" t="str">
        <f aca="false">IF(A16="","",SUMIFS('EOT Claims'!$L$2:$L$501,'EOT Claims'!$A$2:$A$501,A16))</f>
        <v/>
      </c>
      <c r="W16" s="38" t="str">
        <f aca="false">IF(A16="","",IF(O16="","",O16+V16))</f>
        <v/>
      </c>
      <c r="X16" s="37" t="str">
        <f aca="true">IF(A16="","",IF(O16="","",IF(AND(NOT(OR(D16="Project Completion",D16="Defects Liability",D16="Complete",D16="Cancelled")),O16&lt;TODAY()),"Overdue","")))</f>
        <v/>
      </c>
      <c r="Y16" s="39" t="str">
        <f aca="true">IF(A16="","",IF(OR(N16="",W16=""),"",IF(W16&lt;=N16,"",(TODAY()-N16)/(W16-N16))))</f>
        <v/>
      </c>
      <c r="Z16" s="37" t="str">
        <f aca="false">IF(A16="","",IF(OR(Y16="",OR(D16="Project Completion",D16="Defects Liability",D16="Complete",D16="Cancelled")),"Green",IF(Y16&gt;1.15,"Red",IF(Y16&gt;=0.95,"Amber","Green"))))</f>
        <v/>
      </c>
      <c r="AA16" s="39" t="str">
        <f aca="false">IF(A16="","",IF(R16="","",IF(OR(R16&lt;=0,COUNTIFS('Cash Flow'!$A$2:$A$2001,A16)=0),"",T16/R16)))</f>
        <v/>
      </c>
      <c r="AB16" s="37" t="str">
        <f aca="false">IF(A16="","",IF(AA16="","Green",IF(AA16&gt;1.15,"Red",IF(AA16&gt;=0.95,"Amber","Green"))))</f>
        <v/>
      </c>
      <c r="AC16" s="37" t="str">
        <f aca="false">IF(A16="","",COUNTIFS(Risks!$A$2:$A$501,A16,Risks!$B$2:$B$501,"Risk",Risks!$M$2:$M$501,"&lt;&gt;Closed",Risks!$O$2:$O$501,"Critical"))</f>
        <v/>
      </c>
      <c r="AD16" s="37" t="str">
        <f aca="false">IF(A16="","",COUNTIFS(Risks!$A$2:$A$501,A16,Risks!$B$2:$B$501,"Risk",Risks!$M$2:$M$501,"&lt;&gt;Closed",Risks!$O$2:$O$501,"High"))</f>
        <v/>
      </c>
      <c r="AE16" s="37" t="str">
        <f aca="false">IF(A16="","",IF(AC16&gt;0,"Red",IF(AD16&gt;0,"Amber","Green")))</f>
        <v/>
      </c>
      <c r="AF16" s="37" t="str">
        <f aca="false">IF(A16="","",IF(OR(Z16="Red",AB16="Red",AE16="Red"),"Red",IF(OR(Z16="Amber",AB16="Amber",AE16="Amber"),"Amber","Green")))</f>
        <v/>
      </c>
      <c r="AG16" s="37" t="str">
        <f aca="false">IF(A16="","",COUNTIFS(Tasks!$A$2:$A$1001,A16,Tasks!$D$2:$D$1001,"&lt;&gt;Done",Tasks!$B$2:$B$1001,"&lt;&gt;"))</f>
        <v/>
      </c>
      <c r="AH16" s="37" t="str">
        <f aca="false">IF(A16="","",COUNTIFS(Actions!$A$2:$A$501,A16,Actions!$H$2:$H$501,"&lt;&gt;Done",Actions!$C$2:$C$501,"&lt;&gt;"))</f>
        <v/>
      </c>
      <c r="AI16" s="37" t="str">
        <f aca="false">IF(A16="","",COUNTIFS(RFIs!$A$2:$A$501,A16,RFIs!$G$2:$G$501,"Open"))</f>
        <v/>
      </c>
      <c r="AJ16" s="37" t="str">
        <f aca="false">IF(A16="","",COUNTIFS(Defects!$A$2:$A$501,A16,Defects!$H$2:$H$501,"Open"))</f>
        <v/>
      </c>
      <c r="AK16" s="37" t="str">
        <f aca="false">IF(A16="","","Schedule: "&amp;IF(Y16="","no dates / not tracked",TEXT(Y16,"0%")&amp;" of timeframe elapsed")&amp;" | Budget: "&amp;IF(AA16="","no approved budget or cash flow",TEXT(AA16,"0%")&amp;" of budget forecast")&amp;" | Risk: "&amp;AC16&amp;" critical, "&amp;AD16&amp;" high open")</f>
        <v/>
      </c>
    </row>
    <row r="17" customFormat="false" ht="15" hidden="false" customHeight="false" outlineLevel="0" collapsed="false">
      <c r="A17" s="32"/>
      <c r="B17" s="33"/>
      <c r="C17" s="32"/>
      <c r="D17" s="32"/>
      <c r="E17" s="32"/>
      <c r="F17" s="32"/>
      <c r="G17" s="32"/>
      <c r="H17" s="32"/>
      <c r="I17" s="32"/>
      <c r="J17" s="32"/>
      <c r="K17" s="34"/>
      <c r="L17" s="34"/>
      <c r="M17" s="34"/>
      <c r="N17" s="35"/>
      <c r="O17" s="35"/>
      <c r="P17" s="35"/>
      <c r="Q17" s="36" t="str">
        <f aca="false">IF(A17="","",SUMIFS(Variations!$F$2:$F$501,Variations!$A$2:$A$501,A17,Variations!$H$2:$H$501,"Approved"))</f>
        <v/>
      </c>
      <c r="R17" s="36" t="str">
        <f aca="false">IF(A17="","",IF(M17&lt;&gt;"",M17,IF(L17="","",L17+Q17)))</f>
        <v/>
      </c>
      <c r="S17" s="36" t="str">
        <f aca="false">IF(A17="","",SUMIFS('Cash Flow'!$D$2:$D$2001,'Cash Flow'!$A$2:$A$2001,A17,'Cash Flow'!$C$2:$C$2001,"Actual"))</f>
        <v/>
      </c>
      <c r="T17" s="36" t="str">
        <f aca="false">IF(A17="","",SUMIFS('Cash Flow'!$F$2:$F$2001,'Cash Flow'!$A$2:$A$2001,A17))</f>
        <v/>
      </c>
      <c r="U17" s="36" t="str">
        <f aca="false">IF(A17="","",IF(R17="","",R17-T17))</f>
        <v/>
      </c>
      <c r="V17" s="37" t="str">
        <f aca="false">IF(A17="","",SUMIFS('EOT Claims'!$L$2:$L$501,'EOT Claims'!$A$2:$A$501,A17))</f>
        <v/>
      </c>
      <c r="W17" s="38" t="str">
        <f aca="false">IF(A17="","",IF(O17="","",O17+V17))</f>
        <v/>
      </c>
      <c r="X17" s="37" t="str">
        <f aca="true">IF(A17="","",IF(O17="","",IF(AND(NOT(OR(D17="Project Completion",D17="Defects Liability",D17="Complete",D17="Cancelled")),O17&lt;TODAY()),"Overdue","")))</f>
        <v/>
      </c>
      <c r="Y17" s="39" t="str">
        <f aca="true">IF(A17="","",IF(OR(N17="",W17=""),"",IF(W17&lt;=N17,"",(TODAY()-N17)/(W17-N17))))</f>
        <v/>
      </c>
      <c r="Z17" s="37" t="str">
        <f aca="false">IF(A17="","",IF(OR(Y17="",OR(D17="Project Completion",D17="Defects Liability",D17="Complete",D17="Cancelled")),"Green",IF(Y17&gt;1.15,"Red",IF(Y17&gt;=0.95,"Amber","Green"))))</f>
        <v/>
      </c>
      <c r="AA17" s="39" t="str">
        <f aca="false">IF(A17="","",IF(R17="","",IF(OR(R17&lt;=0,COUNTIFS('Cash Flow'!$A$2:$A$2001,A17)=0),"",T17/R17)))</f>
        <v/>
      </c>
      <c r="AB17" s="37" t="str">
        <f aca="false">IF(A17="","",IF(AA17="","Green",IF(AA17&gt;1.15,"Red",IF(AA17&gt;=0.95,"Amber","Green"))))</f>
        <v/>
      </c>
      <c r="AC17" s="37" t="str">
        <f aca="false">IF(A17="","",COUNTIFS(Risks!$A$2:$A$501,A17,Risks!$B$2:$B$501,"Risk",Risks!$M$2:$M$501,"&lt;&gt;Closed",Risks!$O$2:$O$501,"Critical"))</f>
        <v/>
      </c>
      <c r="AD17" s="37" t="str">
        <f aca="false">IF(A17="","",COUNTIFS(Risks!$A$2:$A$501,A17,Risks!$B$2:$B$501,"Risk",Risks!$M$2:$M$501,"&lt;&gt;Closed",Risks!$O$2:$O$501,"High"))</f>
        <v/>
      </c>
      <c r="AE17" s="37" t="str">
        <f aca="false">IF(A17="","",IF(AC17&gt;0,"Red",IF(AD17&gt;0,"Amber","Green")))</f>
        <v/>
      </c>
      <c r="AF17" s="37" t="str">
        <f aca="false">IF(A17="","",IF(OR(Z17="Red",AB17="Red",AE17="Red"),"Red",IF(OR(Z17="Amber",AB17="Amber",AE17="Amber"),"Amber","Green")))</f>
        <v/>
      </c>
      <c r="AG17" s="37" t="str">
        <f aca="false">IF(A17="","",COUNTIFS(Tasks!$A$2:$A$1001,A17,Tasks!$D$2:$D$1001,"&lt;&gt;Done",Tasks!$B$2:$B$1001,"&lt;&gt;"))</f>
        <v/>
      </c>
      <c r="AH17" s="37" t="str">
        <f aca="false">IF(A17="","",COUNTIFS(Actions!$A$2:$A$501,A17,Actions!$H$2:$H$501,"&lt;&gt;Done",Actions!$C$2:$C$501,"&lt;&gt;"))</f>
        <v/>
      </c>
      <c r="AI17" s="37" t="str">
        <f aca="false">IF(A17="","",COUNTIFS(RFIs!$A$2:$A$501,A17,RFIs!$G$2:$G$501,"Open"))</f>
        <v/>
      </c>
      <c r="AJ17" s="37" t="str">
        <f aca="false">IF(A17="","",COUNTIFS(Defects!$A$2:$A$501,A17,Defects!$H$2:$H$501,"Open"))</f>
        <v/>
      </c>
      <c r="AK17" s="37" t="str">
        <f aca="false">IF(A17="","","Schedule: "&amp;IF(Y17="","no dates / not tracked",TEXT(Y17,"0%")&amp;" of timeframe elapsed")&amp;" | Budget: "&amp;IF(AA17="","no approved budget or cash flow",TEXT(AA17,"0%")&amp;" of budget forecast")&amp;" | Risk: "&amp;AC17&amp;" critical, "&amp;AD17&amp;" high open")</f>
        <v/>
      </c>
    </row>
    <row r="18" customFormat="false" ht="15" hidden="false" customHeight="false" outlineLevel="0" collapsed="false">
      <c r="A18" s="32"/>
      <c r="B18" s="33"/>
      <c r="C18" s="32"/>
      <c r="D18" s="32"/>
      <c r="E18" s="32"/>
      <c r="F18" s="32"/>
      <c r="G18" s="32"/>
      <c r="H18" s="32"/>
      <c r="I18" s="32"/>
      <c r="J18" s="32"/>
      <c r="K18" s="34"/>
      <c r="L18" s="34"/>
      <c r="M18" s="34"/>
      <c r="N18" s="35"/>
      <c r="O18" s="35"/>
      <c r="P18" s="35"/>
      <c r="Q18" s="36" t="str">
        <f aca="false">IF(A18="","",SUMIFS(Variations!$F$2:$F$501,Variations!$A$2:$A$501,A18,Variations!$H$2:$H$501,"Approved"))</f>
        <v/>
      </c>
      <c r="R18" s="36" t="str">
        <f aca="false">IF(A18="","",IF(M18&lt;&gt;"",M18,IF(L18="","",L18+Q18)))</f>
        <v/>
      </c>
      <c r="S18" s="36" t="str">
        <f aca="false">IF(A18="","",SUMIFS('Cash Flow'!$D$2:$D$2001,'Cash Flow'!$A$2:$A$2001,A18,'Cash Flow'!$C$2:$C$2001,"Actual"))</f>
        <v/>
      </c>
      <c r="T18" s="36" t="str">
        <f aca="false">IF(A18="","",SUMIFS('Cash Flow'!$F$2:$F$2001,'Cash Flow'!$A$2:$A$2001,A18))</f>
        <v/>
      </c>
      <c r="U18" s="36" t="str">
        <f aca="false">IF(A18="","",IF(R18="","",R18-T18))</f>
        <v/>
      </c>
      <c r="V18" s="37" t="str">
        <f aca="false">IF(A18="","",SUMIFS('EOT Claims'!$L$2:$L$501,'EOT Claims'!$A$2:$A$501,A18))</f>
        <v/>
      </c>
      <c r="W18" s="38" t="str">
        <f aca="false">IF(A18="","",IF(O18="","",O18+V18))</f>
        <v/>
      </c>
      <c r="X18" s="37" t="str">
        <f aca="true">IF(A18="","",IF(O18="","",IF(AND(NOT(OR(D18="Project Completion",D18="Defects Liability",D18="Complete",D18="Cancelled")),O18&lt;TODAY()),"Overdue","")))</f>
        <v/>
      </c>
      <c r="Y18" s="39" t="str">
        <f aca="true">IF(A18="","",IF(OR(N18="",W18=""),"",IF(W18&lt;=N18,"",(TODAY()-N18)/(W18-N18))))</f>
        <v/>
      </c>
      <c r="Z18" s="37" t="str">
        <f aca="false">IF(A18="","",IF(OR(Y18="",OR(D18="Project Completion",D18="Defects Liability",D18="Complete",D18="Cancelled")),"Green",IF(Y18&gt;1.15,"Red",IF(Y18&gt;=0.95,"Amber","Green"))))</f>
        <v/>
      </c>
      <c r="AA18" s="39" t="str">
        <f aca="false">IF(A18="","",IF(R18="","",IF(OR(R18&lt;=0,COUNTIFS('Cash Flow'!$A$2:$A$2001,A18)=0),"",T18/R18)))</f>
        <v/>
      </c>
      <c r="AB18" s="37" t="str">
        <f aca="false">IF(A18="","",IF(AA18="","Green",IF(AA18&gt;1.15,"Red",IF(AA18&gt;=0.95,"Amber","Green"))))</f>
        <v/>
      </c>
      <c r="AC18" s="37" t="str">
        <f aca="false">IF(A18="","",COUNTIFS(Risks!$A$2:$A$501,A18,Risks!$B$2:$B$501,"Risk",Risks!$M$2:$M$501,"&lt;&gt;Closed",Risks!$O$2:$O$501,"Critical"))</f>
        <v/>
      </c>
      <c r="AD18" s="37" t="str">
        <f aca="false">IF(A18="","",COUNTIFS(Risks!$A$2:$A$501,A18,Risks!$B$2:$B$501,"Risk",Risks!$M$2:$M$501,"&lt;&gt;Closed",Risks!$O$2:$O$501,"High"))</f>
        <v/>
      </c>
      <c r="AE18" s="37" t="str">
        <f aca="false">IF(A18="","",IF(AC18&gt;0,"Red",IF(AD18&gt;0,"Amber","Green")))</f>
        <v/>
      </c>
      <c r="AF18" s="37" t="str">
        <f aca="false">IF(A18="","",IF(OR(Z18="Red",AB18="Red",AE18="Red"),"Red",IF(OR(Z18="Amber",AB18="Amber",AE18="Amber"),"Amber","Green")))</f>
        <v/>
      </c>
      <c r="AG18" s="37" t="str">
        <f aca="false">IF(A18="","",COUNTIFS(Tasks!$A$2:$A$1001,A18,Tasks!$D$2:$D$1001,"&lt;&gt;Done",Tasks!$B$2:$B$1001,"&lt;&gt;"))</f>
        <v/>
      </c>
      <c r="AH18" s="37" t="str">
        <f aca="false">IF(A18="","",COUNTIFS(Actions!$A$2:$A$501,A18,Actions!$H$2:$H$501,"&lt;&gt;Done",Actions!$C$2:$C$501,"&lt;&gt;"))</f>
        <v/>
      </c>
      <c r="AI18" s="37" t="str">
        <f aca="false">IF(A18="","",COUNTIFS(RFIs!$A$2:$A$501,A18,RFIs!$G$2:$G$501,"Open"))</f>
        <v/>
      </c>
      <c r="AJ18" s="37" t="str">
        <f aca="false">IF(A18="","",COUNTIFS(Defects!$A$2:$A$501,A18,Defects!$H$2:$H$501,"Open"))</f>
        <v/>
      </c>
      <c r="AK18" s="37" t="str">
        <f aca="false">IF(A18="","","Schedule: "&amp;IF(Y18="","no dates / not tracked",TEXT(Y18,"0%")&amp;" of timeframe elapsed")&amp;" | Budget: "&amp;IF(AA18="","no approved budget or cash flow",TEXT(AA18,"0%")&amp;" of budget forecast")&amp;" | Risk: "&amp;AC18&amp;" critical, "&amp;AD18&amp;" high open")</f>
        <v/>
      </c>
    </row>
    <row r="19" customFormat="false" ht="15" hidden="false" customHeight="false" outlineLevel="0" collapsed="false">
      <c r="A19" s="32"/>
      <c r="B19" s="33"/>
      <c r="C19" s="32"/>
      <c r="D19" s="32"/>
      <c r="E19" s="32"/>
      <c r="F19" s="32"/>
      <c r="G19" s="32"/>
      <c r="H19" s="32"/>
      <c r="I19" s="32"/>
      <c r="J19" s="32"/>
      <c r="K19" s="34"/>
      <c r="L19" s="34"/>
      <c r="M19" s="34"/>
      <c r="N19" s="35"/>
      <c r="O19" s="35"/>
      <c r="P19" s="35"/>
      <c r="Q19" s="36" t="str">
        <f aca="false">IF(A19="","",SUMIFS(Variations!$F$2:$F$501,Variations!$A$2:$A$501,A19,Variations!$H$2:$H$501,"Approved"))</f>
        <v/>
      </c>
      <c r="R19" s="36" t="str">
        <f aca="false">IF(A19="","",IF(M19&lt;&gt;"",M19,IF(L19="","",L19+Q19)))</f>
        <v/>
      </c>
      <c r="S19" s="36" t="str">
        <f aca="false">IF(A19="","",SUMIFS('Cash Flow'!$D$2:$D$2001,'Cash Flow'!$A$2:$A$2001,A19,'Cash Flow'!$C$2:$C$2001,"Actual"))</f>
        <v/>
      </c>
      <c r="T19" s="36" t="str">
        <f aca="false">IF(A19="","",SUMIFS('Cash Flow'!$F$2:$F$2001,'Cash Flow'!$A$2:$A$2001,A19))</f>
        <v/>
      </c>
      <c r="U19" s="36" t="str">
        <f aca="false">IF(A19="","",IF(R19="","",R19-T19))</f>
        <v/>
      </c>
      <c r="V19" s="37" t="str">
        <f aca="false">IF(A19="","",SUMIFS('EOT Claims'!$L$2:$L$501,'EOT Claims'!$A$2:$A$501,A19))</f>
        <v/>
      </c>
      <c r="W19" s="38" t="str">
        <f aca="false">IF(A19="","",IF(O19="","",O19+V19))</f>
        <v/>
      </c>
      <c r="X19" s="37" t="str">
        <f aca="true">IF(A19="","",IF(O19="","",IF(AND(NOT(OR(D19="Project Completion",D19="Defects Liability",D19="Complete",D19="Cancelled")),O19&lt;TODAY()),"Overdue","")))</f>
        <v/>
      </c>
      <c r="Y19" s="39" t="str">
        <f aca="true">IF(A19="","",IF(OR(N19="",W19=""),"",IF(W19&lt;=N19,"",(TODAY()-N19)/(W19-N19))))</f>
        <v/>
      </c>
      <c r="Z19" s="37" t="str">
        <f aca="false">IF(A19="","",IF(OR(Y19="",OR(D19="Project Completion",D19="Defects Liability",D19="Complete",D19="Cancelled")),"Green",IF(Y19&gt;1.15,"Red",IF(Y19&gt;=0.95,"Amber","Green"))))</f>
        <v/>
      </c>
      <c r="AA19" s="39" t="str">
        <f aca="false">IF(A19="","",IF(R19="","",IF(OR(R19&lt;=0,COUNTIFS('Cash Flow'!$A$2:$A$2001,A19)=0),"",T19/R19)))</f>
        <v/>
      </c>
      <c r="AB19" s="37" t="str">
        <f aca="false">IF(A19="","",IF(AA19="","Green",IF(AA19&gt;1.15,"Red",IF(AA19&gt;=0.95,"Amber","Green"))))</f>
        <v/>
      </c>
      <c r="AC19" s="37" t="str">
        <f aca="false">IF(A19="","",COUNTIFS(Risks!$A$2:$A$501,A19,Risks!$B$2:$B$501,"Risk",Risks!$M$2:$M$501,"&lt;&gt;Closed",Risks!$O$2:$O$501,"Critical"))</f>
        <v/>
      </c>
      <c r="AD19" s="37" t="str">
        <f aca="false">IF(A19="","",COUNTIFS(Risks!$A$2:$A$501,A19,Risks!$B$2:$B$501,"Risk",Risks!$M$2:$M$501,"&lt;&gt;Closed",Risks!$O$2:$O$501,"High"))</f>
        <v/>
      </c>
      <c r="AE19" s="37" t="str">
        <f aca="false">IF(A19="","",IF(AC19&gt;0,"Red",IF(AD19&gt;0,"Amber","Green")))</f>
        <v/>
      </c>
      <c r="AF19" s="37" t="str">
        <f aca="false">IF(A19="","",IF(OR(Z19="Red",AB19="Red",AE19="Red"),"Red",IF(OR(Z19="Amber",AB19="Amber",AE19="Amber"),"Amber","Green")))</f>
        <v/>
      </c>
      <c r="AG19" s="37" t="str">
        <f aca="false">IF(A19="","",COUNTIFS(Tasks!$A$2:$A$1001,A19,Tasks!$D$2:$D$1001,"&lt;&gt;Done",Tasks!$B$2:$B$1001,"&lt;&gt;"))</f>
        <v/>
      </c>
      <c r="AH19" s="37" t="str">
        <f aca="false">IF(A19="","",COUNTIFS(Actions!$A$2:$A$501,A19,Actions!$H$2:$H$501,"&lt;&gt;Done",Actions!$C$2:$C$501,"&lt;&gt;"))</f>
        <v/>
      </c>
      <c r="AI19" s="37" t="str">
        <f aca="false">IF(A19="","",COUNTIFS(RFIs!$A$2:$A$501,A19,RFIs!$G$2:$G$501,"Open"))</f>
        <v/>
      </c>
      <c r="AJ19" s="37" t="str">
        <f aca="false">IF(A19="","",COUNTIFS(Defects!$A$2:$A$501,A19,Defects!$H$2:$H$501,"Open"))</f>
        <v/>
      </c>
      <c r="AK19" s="37" t="str">
        <f aca="false">IF(A19="","","Schedule: "&amp;IF(Y19="","no dates / not tracked",TEXT(Y19,"0%")&amp;" of timeframe elapsed")&amp;" | Budget: "&amp;IF(AA19="","no approved budget or cash flow",TEXT(AA19,"0%")&amp;" of budget forecast")&amp;" | Risk: "&amp;AC19&amp;" critical, "&amp;AD19&amp;" high open")</f>
        <v/>
      </c>
    </row>
    <row r="20" customFormat="false" ht="15" hidden="false" customHeight="false" outlineLevel="0" collapsed="false">
      <c r="A20" s="32"/>
      <c r="B20" s="33"/>
      <c r="C20" s="32"/>
      <c r="D20" s="32"/>
      <c r="E20" s="32"/>
      <c r="F20" s="32"/>
      <c r="G20" s="32"/>
      <c r="H20" s="32"/>
      <c r="I20" s="32"/>
      <c r="J20" s="32"/>
      <c r="K20" s="34"/>
      <c r="L20" s="34"/>
      <c r="M20" s="34"/>
      <c r="N20" s="35"/>
      <c r="O20" s="35"/>
      <c r="P20" s="35"/>
      <c r="Q20" s="36" t="str">
        <f aca="false">IF(A20="","",SUMIFS(Variations!$F$2:$F$501,Variations!$A$2:$A$501,A20,Variations!$H$2:$H$501,"Approved"))</f>
        <v/>
      </c>
      <c r="R20" s="36" t="str">
        <f aca="false">IF(A20="","",IF(M20&lt;&gt;"",M20,IF(L20="","",L20+Q20)))</f>
        <v/>
      </c>
      <c r="S20" s="36" t="str">
        <f aca="false">IF(A20="","",SUMIFS('Cash Flow'!$D$2:$D$2001,'Cash Flow'!$A$2:$A$2001,A20,'Cash Flow'!$C$2:$C$2001,"Actual"))</f>
        <v/>
      </c>
      <c r="T20" s="36" t="str">
        <f aca="false">IF(A20="","",SUMIFS('Cash Flow'!$F$2:$F$2001,'Cash Flow'!$A$2:$A$2001,A20))</f>
        <v/>
      </c>
      <c r="U20" s="36" t="str">
        <f aca="false">IF(A20="","",IF(R20="","",R20-T20))</f>
        <v/>
      </c>
      <c r="V20" s="37" t="str">
        <f aca="false">IF(A20="","",SUMIFS('EOT Claims'!$L$2:$L$501,'EOT Claims'!$A$2:$A$501,A20))</f>
        <v/>
      </c>
      <c r="W20" s="38" t="str">
        <f aca="false">IF(A20="","",IF(O20="","",O20+V20))</f>
        <v/>
      </c>
      <c r="X20" s="37" t="str">
        <f aca="true">IF(A20="","",IF(O20="","",IF(AND(NOT(OR(D20="Project Completion",D20="Defects Liability",D20="Complete",D20="Cancelled")),O20&lt;TODAY()),"Overdue","")))</f>
        <v/>
      </c>
      <c r="Y20" s="39" t="str">
        <f aca="true">IF(A20="","",IF(OR(N20="",W20=""),"",IF(W20&lt;=N20,"",(TODAY()-N20)/(W20-N20))))</f>
        <v/>
      </c>
      <c r="Z20" s="37" t="str">
        <f aca="false">IF(A20="","",IF(OR(Y20="",OR(D20="Project Completion",D20="Defects Liability",D20="Complete",D20="Cancelled")),"Green",IF(Y20&gt;1.15,"Red",IF(Y20&gt;=0.95,"Amber","Green"))))</f>
        <v/>
      </c>
      <c r="AA20" s="39" t="str">
        <f aca="false">IF(A20="","",IF(R20="","",IF(OR(R20&lt;=0,COUNTIFS('Cash Flow'!$A$2:$A$2001,A20)=0),"",T20/R20)))</f>
        <v/>
      </c>
      <c r="AB20" s="37" t="str">
        <f aca="false">IF(A20="","",IF(AA20="","Green",IF(AA20&gt;1.15,"Red",IF(AA20&gt;=0.95,"Amber","Green"))))</f>
        <v/>
      </c>
      <c r="AC20" s="37" t="str">
        <f aca="false">IF(A20="","",COUNTIFS(Risks!$A$2:$A$501,A20,Risks!$B$2:$B$501,"Risk",Risks!$M$2:$M$501,"&lt;&gt;Closed",Risks!$O$2:$O$501,"Critical"))</f>
        <v/>
      </c>
      <c r="AD20" s="37" t="str">
        <f aca="false">IF(A20="","",COUNTIFS(Risks!$A$2:$A$501,A20,Risks!$B$2:$B$501,"Risk",Risks!$M$2:$M$501,"&lt;&gt;Closed",Risks!$O$2:$O$501,"High"))</f>
        <v/>
      </c>
      <c r="AE20" s="37" t="str">
        <f aca="false">IF(A20="","",IF(AC20&gt;0,"Red",IF(AD20&gt;0,"Amber","Green")))</f>
        <v/>
      </c>
      <c r="AF20" s="37" t="str">
        <f aca="false">IF(A20="","",IF(OR(Z20="Red",AB20="Red",AE20="Red"),"Red",IF(OR(Z20="Amber",AB20="Amber",AE20="Amber"),"Amber","Green")))</f>
        <v/>
      </c>
      <c r="AG20" s="37" t="str">
        <f aca="false">IF(A20="","",COUNTIFS(Tasks!$A$2:$A$1001,A20,Tasks!$D$2:$D$1001,"&lt;&gt;Done",Tasks!$B$2:$B$1001,"&lt;&gt;"))</f>
        <v/>
      </c>
      <c r="AH20" s="37" t="str">
        <f aca="false">IF(A20="","",COUNTIFS(Actions!$A$2:$A$501,A20,Actions!$H$2:$H$501,"&lt;&gt;Done",Actions!$C$2:$C$501,"&lt;&gt;"))</f>
        <v/>
      </c>
      <c r="AI20" s="37" t="str">
        <f aca="false">IF(A20="","",COUNTIFS(RFIs!$A$2:$A$501,A20,RFIs!$G$2:$G$501,"Open"))</f>
        <v/>
      </c>
      <c r="AJ20" s="37" t="str">
        <f aca="false">IF(A20="","",COUNTIFS(Defects!$A$2:$A$501,A20,Defects!$H$2:$H$501,"Open"))</f>
        <v/>
      </c>
      <c r="AK20" s="37" t="str">
        <f aca="false">IF(A20="","","Schedule: "&amp;IF(Y20="","no dates / not tracked",TEXT(Y20,"0%")&amp;" of timeframe elapsed")&amp;" | Budget: "&amp;IF(AA20="","no approved budget or cash flow",TEXT(AA20,"0%")&amp;" of budget forecast")&amp;" | Risk: "&amp;AC20&amp;" critical, "&amp;AD20&amp;" high open")</f>
        <v/>
      </c>
    </row>
    <row r="21" customFormat="false" ht="15" hidden="false" customHeight="false" outlineLevel="0" collapsed="false">
      <c r="A21" s="32"/>
      <c r="B21" s="33"/>
      <c r="C21" s="32"/>
      <c r="D21" s="32"/>
      <c r="E21" s="32"/>
      <c r="F21" s="32"/>
      <c r="G21" s="32"/>
      <c r="H21" s="32"/>
      <c r="I21" s="32"/>
      <c r="J21" s="32"/>
      <c r="K21" s="34"/>
      <c r="L21" s="34"/>
      <c r="M21" s="34"/>
      <c r="N21" s="35"/>
      <c r="O21" s="35"/>
      <c r="P21" s="35"/>
      <c r="Q21" s="36" t="str">
        <f aca="false">IF(A21="","",SUMIFS(Variations!$F$2:$F$501,Variations!$A$2:$A$501,A21,Variations!$H$2:$H$501,"Approved"))</f>
        <v/>
      </c>
      <c r="R21" s="36" t="str">
        <f aca="false">IF(A21="","",IF(M21&lt;&gt;"",M21,IF(L21="","",L21+Q21)))</f>
        <v/>
      </c>
      <c r="S21" s="36" t="str">
        <f aca="false">IF(A21="","",SUMIFS('Cash Flow'!$D$2:$D$2001,'Cash Flow'!$A$2:$A$2001,A21,'Cash Flow'!$C$2:$C$2001,"Actual"))</f>
        <v/>
      </c>
      <c r="T21" s="36" t="str">
        <f aca="false">IF(A21="","",SUMIFS('Cash Flow'!$F$2:$F$2001,'Cash Flow'!$A$2:$A$2001,A21))</f>
        <v/>
      </c>
      <c r="U21" s="36" t="str">
        <f aca="false">IF(A21="","",IF(R21="","",R21-T21))</f>
        <v/>
      </c>
      <c r="V21" s="37" t="str">
        <f aca="false">IF(A21="","",SUMIFS('EOT Claims'!$L$2:$L$501,'EOT Claims'!$A$2:$A$501,A21))</f>
        <v/>
      </c>
      <c r="W21" s="38" t="str">
        <f aca="false">IF(A21="","",IF(O21="","",O21+V21))</f>
        <v/>
      </c>
      <c r="X21" s="37" t="str">
        <f aca="true">IF(A21="","",IF(O21="","",IF(AND(NOT(OR(D21="Project Completion",D21="Defects Liability",D21="Complete",D21="Cancelled")),O21&lt;TODAY()),"Overdue","")))</f>
        <v/>
      </c>
      <c r="Y21" s="39" t="str">
        <f aca="true">IF(A21="","",IF(OR(N21="",W21=""),"",IF(W21&lt;=N21,"",(TODAY()-N21)/(W21-N21))))</f>
        <v/>
      </c>
      <c r="Z21" s="37" t="str">
        <f aca="false">IF(A21="","",IF(OR(Y21="",OR(D21="Project Completion",D21="Defects Liability",D21="Complete",D21="Cancelled")),"Green",IF(Y21&gt;1.15,"Red",IF(Y21&gt;=0.95,"Amber","Green"))))</f>
        <v/>
      </c>
      <c r="AA21" s="39" t="str">
        <f aca="false">IF(A21="","",IF(R21="","",IF(OR(R21&lt;=0,COUNTIFS('Cash Flow'!$A$2:$A$2001,A21)=0),"",T21/R21)))</f>
        <v/>
      </c>
      <c r="AB21" s="37" t="str">
        <f aca="false">IF(A21="","",IF(AA21="","Green",IF(AA21&gt;1.15,"Red",IF(AA21&gt;=0.95,"Amber","Green"))))</f>
        <v/>
      </c>
      <c r="AC21" s="37" t="str">
        <f aca="false">IF(A21="","",COUNTIFS(Risks!$A$2:$A$501,A21,Risks!$B$2:$B$501,"Risk",Risks!$M$2:$M$501,"&lt;&gt;Closed",Risks!$O$2:$O$501,"Critical"))</f>
        <v/>
      </c>
      <c r="AD21" s="37" t="str">
        <f aca="false">IF(A21="","",COUNTIFS(Risks!$A$2:$A$501,A21,Risks!$B$2:$B$501,"Risk",Risks!$M$2:$M$501,"&lt;&gt;Closed",Risks!$O$2:$O$501,"High"))</f>
        <v/>
      </c>
      <c r="AE21" s="37" t="str">
        <f aca="false">IF(A21="","",IF(AC21&gt;0,"Red",IF(AD21&gt;0,"Amber","Green")))</f>
        <v/>
      </c>
      <c r="AF21" s="37" t="str">
        <f aca="false">IF(A21="","",IF(OR(Z21="Red",AB21="Red",AE21="Red"),"Red",IF(OR(Z21="Amber",AB21="Amber",AE21="Amber"),"Amber","Green")))</f>
        <v/>
      </c>
      <c r="AG21" s="37" t="str">
        <f aca="false">IF(A21="","",COUNTIFS(Tasks!$A$2:$A$1001,A21,Tasks!$D$2:$D$1001,"&lt;&gt;Done",Tasks!$B$2:$B$1001,"&lt;&gt;"))</f>
        <v/>
      </c>
      <c r="AH21" s="37" t="str">
        <f aca="false">IF(A21="","",COUNTIFS(Actions!$A$2:$A$501,A21,Actions!$H$2:$H$501,"&lt;&gt;Done",Actions!$C$2:$C$501,"&lt;&gt;"))</f>
        <v/>
      </c>
      <c r="AI21" s="37" t="str">
        <f aca="false">IF(A21="","",COUNTIFS(RFIs!$A$2:$A$501,A21,RFIs!$G$2:$G$501,"Open"))</f>
        <v/>
      </c>
      <c r="AJ21" s="37" t="str">
        <f aca="false">IF(A21="","",COUNTIFS(Defects!$A$2:$A$501,A21,Defects!$H$2:$H$501,"Open"))</f>
        <v/>
      </c>
      <c r="AK21" s="37" t="str">
        <f aca="false">IF(A21="","","Schedule: "&amp;IF(Y21="","no dates / not tracked",TEXT(Y21,"0%")&amp;" of timeframe elapsed")&amp;" | Budget: "&amp;IF(AA21="","no approved budget or cash flow",TEXT(AA21,"0%")&amp;" of budget forecast")&amp;" | Risk: "&amp;AC21&amp;" critical, "&amp;AD21&amp;" high open")</f>
        <v/>
      </c>
    </row>
    <row r="22" customFormat="false" ht="15" hidden="false" customHeight="false" outlineLevel="0" collapsed="false">
      <c r="A22" s="32"/>
      <c r="B22" s="33"/>
      <c r="C22" s="32"/>
      <c r="D22" s="32"/>
      <c r="E22" s="32"/>
      <c r="F22" s="32"/>
      <c r="G22" s="32"/>
      <c r="H22" s="32"/>
      <c r="I22" s="32"/>
      <c r="J22" s="32"/>
      <c r="K22" s="34"/>
      <c r="L22" s="34"/>
      <c r="M22" s="34"/>
      <c r="N22" s="35"/>
      <c r="O22" s="35"/>
      <c r="P22" s="35"/>
      <c r="Q22" s="36" t="str">
        <f aca="false">IF(A22="","",SUMIFS(Variations!$F$2:$F$501,Variations!$A$2:$A$501,A22,Variations!$H$2:$H$501,"Approved"))</f>
        <v/>
      </c>
      <c r="R22" s="36" t="str">
        <f aca="false">IF(A22="","",IF(M22&lt;&gt;"",M22,IF(L22="","",L22+Q22)))</f>
        <v/>
      </c>
      <c r="S22" s="36" t="str">
        <f aca="false">IF(A22="","",SUMIFS('Cash Flow'!$D$2:$D$2001,'Cash Flow'!$A$2:$A$2001,A22,'Cash Flow'!$C$2:$C$2001,"Actual"))</f>
        <v/>
      </c>
      <c r="T22" s="36" t="str">
        <f aca="false">IF(A22="","",SUMIFS('Cash Flow'!$F$2:$F$2001,'Cash Flow'!$A$2:$A$2001,A22))</f>
        <v/>
      </c>
      <c r="U22" s="36" t="str">
        <f aca="false">IF(A22="","",IF(R22="","",R22-T22))</f>
        <v/>
      </c>
      <c r="V22" s="37" t="str">
        <f aca="false">IF(A22="","",SUMIFS('EOT Claims'!$L$2:$L$501,'EOT Claims'!$A$2:$A$501,A22))</f>
        <v/>
      </c>
      <c r="W22" s="38" t="str">
        <f aca="false">IF(A22="","",IF(O22="","",O22+V22))</f>
        <v/>
      </c>
      <c r="X22" s="37" t="str">
        <f aca="true">IF(A22="","",IF(O22="","",IF(AND(NOT(OR(D22="Project Completion",D22="Defects Liability",D22="Complete",D22="Cancelled")),O22&lt;TODAY()),"Overdue","")))</f>
        <v/>
      </c>
      <c r="Y22" s="39" t="str">
        <f aca="true">IF(A22="","",IF(OR(N22="",W22=""),"",IF(W22&lt;=N22,"",(TODAY()-N22)/(W22-N22))))</f>
        <v/>
      </c>
      <c r="Z22" s="37" t="str">
        <f aca="false">IF(A22="","",IF(OR(Y22="",OR(D22="Project Completion",D22="Defects Liability",D22="Complete",D22="Cancelled")),"Green",IF(Y22&gt;1.15,"Red",IF(Y22&gt;=0.95,"Amber","Green"))))</f>
        <v/>
      </c>
      <c r="AA22" s="39" t="str">
        <f aca="false">IF(A22="","",IF(R22="","",IF(OR(R22&lt;=0,COUNTIFS('Cash Flow'!$A$2:$A$2001,A22)=0),"",T22/R22)))</f>
        <v/>
      </c>
      <c r="AB22" s="37" t="str">
        <f aca="false">IF(A22="","",IF(AA22="","Green",IF(AA22&gt;1.15,"Red",IF(AA22&gt;=0.95,"Amber","Green"))))</f>
        <v/>
      </c>
      <c r="AC22" s="37" t="str">
        <f aca="false">IF(A22="","",COUNTIFS(Risks!$A$2:$A$501,A22,Risks!$B$2:$B$501,"Risk",Risks!$M$2:$M$501,"&lt;&gt;Closed",Risks!$O$2:$O$501,"Critical"))</f>
        <v/>
      </c>
      <c r="AD22" s="37" t="str">
        <f aca="false">IF(A22="","",COUNTIFS(Risks!$A$2:$A$501,A22,Risks!$B$2:$B$501,"Risk",Risks!$M$2:$M$501,"&lt;&gt;Closed",Risks!$O$2:$O$501,"High"))</f>
        <v/>
      </c>
      <c r="AE22" s="37" t="str">
        <f aca="false">IF(A22="","",IF(AC22&gt;0,"Red",IF(AD22&gt;0,"Amber","Green")))</f>
        <v/>
      </c>
      <c r="AF22" s="37" t="str">
        <f aca="false">IF(A22="","",IF(OR(Z22="Red",AB22="Red",AE22="Red"),"Red",IF(OR(Z22="Amber",AB22="Amber",AE22="Amber"),"Amber","Green")))</f>
        <v/>
      </c>
      <c r="AG22" s="37" t="str">
        <f aca="false">IF(A22="","",COUNTIFS(Tasks!$A$2:$A$1001,A22,Tasks!$D$2:$D$1001,"&lt;&gt;Done",Tasks!$B$2:$B$1001,"&lt;&gt;"))</f>
        <v/>
      </c>
      <c r="AH22" s="37" t="str">
        <f aca="false">IF(A22="","",COUNTIFS(Actions!$A$2:$A$501,A22,Actions!$H$2:$H$501,"&lt;&gt;Done",Actions!$C$2:$C$501,"&lt;&gt;"))</f>
        <v/>
      </c>
      <c r="AI22" s="37" t="str">
        <f aca="false">IF(A22="","",COUNTIFS(RFIs!$A$2:$A$501,A22,RFIs!$G$2:$G$501,"Open"))</f>
        <v/>
      </c>
      <c r="AJ22" s="37" t="str">
        <f aca="false">IF(A22="","",COUNTIFS(Defects!$A$2:$A$501,A22,Defects!$H$2:$H$501,"Open"))</f>
        <v/>
      </c>
      <c r="AK22" s="37" t="str">
        <f aca="false">IF(A22="","","Schedule: "&amp;IF(Y22="","no dates / not tracked",TEXT(Y22,"0%")&amp;" of timeframe elapsed")&amp;" | Budget: "&amp;IF(AA22="","no approved budget or cash flow",TEXT(AA22,"0%")&amp;" of budget forecast")&amp;" | Risk: "&amp;AC22&amp;" critical, "&amp;AD22&amp;" high open")</f>
        <v/>
      </c>
    </row>
    <row r="23" customFormat="false" ht="15" hidden="false" customHeight="false" outlineLevel="0" collapsed="false">
      <c r="A23" s="32"/>
      <c r="B23" s="33"/>
      <c r="C23" s="32"/>
      <c r="D23" s="32"/>
      <c r="E23" s="32"/>
      <c r="F23" s="32"/>
      <c r="G23" s="32"/>
      <c r="H23" s="32"/>
      <c r="I23" s="32"/>
      <c r="J23" s="32"/>
      <c r="K23" s="34"/>
      <c r="L23" s="34"/>
      <c r="M23" s="34"/>
      <c r="N23" s="35"/>
      <c r="O23" s="35"/>
      <c r="P23" s="35"/>
      <c r="Q23" s="36" t="str">
        <f aca="false">IF(A23="","",SUMIFS(Variations!$F$2:$F$501,Variations!$A$2:$A$501,A23,Variations!$H$2:$H$501,"Approved"))</f>
        <v/>
      </c>
      <c r="R23" s="36" t="str">
        <f aca="false">IF(A23="","",IF(M23&lt;&gt;"",M23,IF(L23="","",L23+Q23)))</f>
        <v/>
      </c>
      <c r="S23" s="36" t="str">
        <f aca="false">IF(A23="","",SUMIFS('Cash Flow'!$D$2:$D$2001,'Cash Flow'!$A$2:$A$2001,A23,'Cash Flow'!$C$2:$C$2001,"Actual"))</f>
        <v/>
      </c>
      <c r="T23" s="36" t="str">
        <f aca="false">IF(A23="","",SUMIFS('Cash Flow'!$F$2:$F$2001,'Cash Flow'!$A$2:$A$2001,A23))</f>
        <v/>
      </c>
      <c r="U23" s="36" t="str">
        <f aca="false">IF(A23="","",IF(R23="","",R23-T23))</f>
        <v/>
      </c>
      <c r="V23" s="37" t="str">
        <f aca="false">IF(A23="","",SUMIFS('EOT Claims'!$L$2:$L$501,'EOT Claims'!$A$2:$A$501,A23))</f>
        <v/>
      </c>
      <c r="W23" s="38" t="str">
        <f aca="false">IF(A23="","",IF(O23="","",O23+V23))</f>
        <v/>
      </c>
      <c r="X23" s="37" t="str">
        <f aca="true">IF(A23="","",IF(O23="","",IF(AND(NOT(OR(D23="Project Completion",D23="Defects Liability",D23="Complete",D23="Cancelled")),O23&lt;TODAY()),"Overdue","")))</f>
        <v/>
      </c>
      <c r="Y23" s="39" t="str">
        <f aca="true">IF(A23="","",IF(OR(N23="",W23=""),"",IF(W23&lt;=N23,"",(TODAY()-N23)/(W23-N23))))</f>
        <v/>
      </c>
      <c r="Z23" s="37" t="str">
        <f aca="false">IF(A23="","",IF(OR(Y23="",OR(D23="Project Completion",D23="Defects Liability",D23="Complete",D23="Cancelled")),"Green",IF(Y23&gt;1.15,"Red",IF(Y23&gt;=0.95,"Amber","Green"))))</f>
        <v/>
      </c>
      <c r="AA23" s="39" t="str">
        <f aca="false">IF(A23="","",IF(R23="","",IF(OR(R23&lt;=0,COUNTIFS('Cash Flow'!$A$2:$A$2001,A23)=0),"",T23/R23)))</f>
        <v/>
      </c>
      <c r="AB23" s="37" t="str">
        <f aca="false">IF(A23="","",IF(AA23="","Green",IF(AA23&gt;1.15,"Red",IF(AA23&gt;=0.95,"Amber","Green"))))</f>
        <v/>
      </c>
      <c r="AC23" s="37" t="str">
        <f aca="false">IF(A23="","",COUNTIFS(Risks!$A$2:$A$501,A23,Risks!$B$2:$B$501,"Risk",Risks!$M$2:$M$501,"&lt;&gt;Closed",Risks!$O$2:$O$501,"Critical"))</f>
        <v/>
      </c>
      <c r="AD23" s="37" t="str">
        <f aca="false">IF(A23="","",COUNTIFS(Risks!$A$2:$A$501,A23,Risks!$B$2:$B$501,"Risk",Risks!$M$2:$M$501,"&lt;&gt;Closed",Risks!$O$2:$O$501,"High"))</f>
        <v/>
      </c>
      <c r="AE23" s="37" t="str">
        <f aca="false">IF(A23="","",IF(AC23&gt;0,"Red",IF(AD23&gt;0,"Amber","Green")))</f>
        <v/>
      </c>
      <c r="AF23" s="37" t="str">
        <f aca="false">IF(A23="","",IF(OR(Z23="Red",AB23="Red",AE23="Red"),"Red",IF(OR(Z23="Amber",AB23="Amber",AE23="Amber"),"Amber","Green")))</f>
        <v/>
      </c>
      <c r="AG23" s="37" t="str">
        <f aca="false">IF(A23="","",COUNTIFS(Tasks!$A$2:$A$1001,A23,Tasks!$D$2:$D$1001,"&lt;&gt;Done",Tasks!$B$2:$B$1001,"&lt;&gt;"))</f>
        <v/>
      </c>
      <c r="AH23" s="37" t="str">
        <f aca="false">IF(A23="","",COUNTIFS(Actions!$A$2:$A$501,A23,Actions!$H$2:$H$501,"&lt;&gt;Done",Actions!$C$2:$C$501,"&lt;&gt;"))</f>
        <v/>
      </c>
      <c r="AI23" s="37" t="str">
        <f aca="false">IF(A23="","",COUNTIFS(RFIs!$A$2:$A$501,A23,RFIs!$G$2:$G$501,"Open"))</f>
        <v/>
      </c>
      <c r="AJ23" s="37" t="str">
        <f aca="false">IF(A23="","",COUNTIFS(Defects!$A$2:$A$501,A23,Defects!$H$2:$H$501,"Open"))</f>
        <v/>
      </c>
      <c r="AK23" s="37" t="str">
        <f aca="false">IF(A23="","","Schedule: "&amp;IF(Y23="","no dates / not tracked",TEXT(Y23,"0%")&amp;" of timeframe elapsed")&amp;" | Budget: "&amp;IF(AA23="","no approved budget or cash flow",TEXT(AA23,"0%")&amp;" of budget forecast")&amp;" | Risk: "&amp;AC23&amp;" critical, "&amp;AD23&amp;" high open")</f>
        <v/>
      </c>
    </row>
    <row r="24" customFormat="false" ht="15" hidden="false" customHeight="false" outlineLevel="0" collapsed="false">
      <c r="A24" s="32"/>
      <c r="B24" s="33"/>
      <c r="C24" s="32"/>
      <c r="D24" s="32"/>
      <c r="E24" s="32"/>
      <c r="F24" s="32"/>
      <c r="G24" s="32"/>
      <c r="H24" s="32"/>
      <c r="I24" s="32"/>
      <c r="J24" s="32"/>
      <c r="K24" s="34"/>
      <c r="L24" s="34"/>
      <c r="M24" s="34"/>
      <c r="N24" s="35"/>
      <c r="O24" s="35"/>
      <c r="P24" s="35"/>
      <c r="Q24" s="36" t="str">
        <f aca="false">IF(A24="","",SUMIFS(Variations!$F$2:$F$501,Variations!$A$2:$A$501,A24,Variations!$H$2:$H$501,"Approved"))</f>
        <v/>
      </c>
      <c r="R24" s="36" t="str">
        <f aca="false">IF(A24="","",IF(M24&lt;&gt;"",M24,IF(L24="","",L24+Q24)))</f>
        <v/>
      </c>
      <c r="S24" s="36" t="str">
        <f aca="false">IF(A24="","",SUMIFS('Cash Flow'!$D$2:$D$2001,'Cash Flow'!$A$2:$A$2001,A24,'Cash Flow'!$C$2:$C$2001,"Actual"))</f>
        <v/>
      </c>
      <c r="T24" s="36" t="str">
        <f aca="false">IF(A24="","",SUMIFS('Cash Flow'!$F$2:$F$2001,'Cash Flow'!$A$2:$A$2001,A24))</f>
        <v/>
      </c>
      <c r="U24" s="36" t="str">
        <f aca="false">IF(A24="","",IF(R24="","",R24-T24))</f>
        <v/>
      </c>
      <c r="V24" s="37" t="str">
        <f aca="false">IF(A24="","",SUMIFS('EOT Claims'!$L$2:$L$501,'EOT Claims'!$A$2:$A$501,A24))</f>
        <v/>
      </c>
      <c r="W24" s="38" t="str">
        <f aca="false">IF(A24="","",IF(O24="","",O24+V24))</f>
        <v/>
      </c>
      <c r="X24" s="37" t="str">
        <f aca="true">IF(A24="","",IF(O24="","",IF(AND(NOT(OR(D24="Project Completion",D24="Defects Liability",D24="Complete",D24="Cancelled")),O24&lt;TODAY()),"Overdue","")))</f>
        <v/>
      </c>
      <c r="Y24" s="39" t="str">
        <f aca="true">IF(A24="","",IF(OR(N24="",W24=""),"",IF(W24&lt;=N24,"",(TODAY()-N24)/(W24-N24))))</f>
        <v/>
      </c>
      <c r="Z24" s="37" t="str">
        <f aca="false">IF(A24="","",IF(OR(Y24="",OR(D24="Project Completion",D24="Defects Liability",D24="Complete",D24="Cancelled")),"Green",IF(Y24&gt;1.15,"Red",IF(Y24&gt;=0.95,"Amber","Green"))))</f>
        <v/>
      </c>
      <c r="AA24" s="39" t="str">
        <f aca="false">IF(A24="","",IF(R24="","",IF(OR(R24&lt;=0,COUNTIFS('Cash Flow'!$A$2:$A$2001,A24)=0),"",T24/R24)))</f>
        <v/>
      </c>
      <c r="AB24" s="37" t="str">
        <f aca="false">IF(A24="","",IF(AA24="","Green",IF(AA24&gt;1.15,"Red",IF(AA24&gt;=0.95,"Amber","Green"))))</f>
        <v/>
      </c>
      <c r="AC24" s="37" t="str">
        <f aca="false">IF(A24="","",COUNTIFS(Risks!$A$2:$A$501,A24,Risks!$B$2:$B$501,"Risk",Risks!$M$2:$M$501,"&lt;&gt;Closed",Risks!$O$2:$O$501,"Critical"))</f>
        <v/>
      </c>
      <c r="AD24" s="37" t="str">
        <f aca="false">IF(A24="","",COUNTIFS(Risks!$A$2:$A$501,A24,Risks!$B$2:$B$501,"Risk",Risks!$M$2:$M$501,"&lt;&gt;Closed",Risks!$O$2:$O$501,"High"))</f>
        <v/>
      </c>
      <c r="AE24" s="37" t="str">
        <f aca="false">IF(A24="","",IF(AC24&gt;0,"Red",IF(AD24&gt;0,"Amber","Green")))</f>
        <v/>
      </c>
      <c r="AF24" s="37" t="str">
        <f aca="false">IF(A24="","",IF(OR(Z24="Red",AB24="Red",AE24="Red"),"Red",IF(OR(Z24="Amber",AB24="Amber",AE24="Amber"),"Amber","Green")))</f>
        <v/>
      </c>
      <c r="AG24" s="37" t="str">
        <f aca="false">IF(A24="","",COUNTIFS(Tasks!$A$2:$A$1001,A24,Tasks!$D$2:$D$1001,"&lt;&gt;Done",Tasks!$B$2:$B$1001,"&lt;&gt;"))</f>
        <v/>
      </c>
      <c r="AH24" s="37" t="str">
        <f aca="false">IF(A24="","",COUNTIFS(Actions!$A$2:$A$501,A24,Actions!$H$2:$H$501,"&lt;&gt;Done",Actions!$C$2:$C$501,"&lt;&gt;"))</f>
        <v/>
      </c>
      <c r="AI24" s="37" t="str">
        <f aca="false">IF(A24="","",COUNTIFS(RFIs!$A$2:$A$501,A24,RFIs!$G$2:$G$501,"Open"))</f>
        <v/>
      </c>
      <c r="AJ24" s="37" t="str">
        <f aca="false">IF(A24="","",COUNTIFS(Defects!$A$2:$A$501,A24,Defects!$H$2:$H$501,"Open"))</f>
        <v/>
      </c>
      <c r="AK24" s="37" t="str">
        <f aca="false">IF(A24="","","Schedule: "&amp;IF(Y24="","no dates / not tracked",TEXT(Y24,"0%")&amp;" of timeframe elapsed")&amp;" | Budget: "&amp;IF(AA24="","no approved budget or cash flow",TEXT(AA24,"0%")&amp;" of budget forecast")&amp;" | Risk: "&amp;AC24&amp;" critical, "&amp;AD24&amp;" high open")</f>
        <v/>
      </c>
    </row>
    <row r="25" customFormat="false" ht="15" hidden="false" customHeight="false" outlineLevel="0" collapsed="false">
      <c r="A25" s="32"/>
      <c r="B25" s="33"/>
      <c r="C25" s="32"/>
      <c r="D25" s="32"/>
      <c r="E25" s="32"/>
      <c r="F25" s="32"/>
      <c r="G25" s="32"/>
      <c r="H25" s="32"/>
      <c r="I25" s="32"/>
      <c r="J25" s="32"/>
      <c r="K25" s="34"/>
      <c r="L25" s="34"/>
      <c r="M25" s="34"/>
      <c r="N25" s="35"/>
      <c r="O25" s="35"/>
      <c r="P25" s="35"/>
      <c r="Q25" s="36" t="str">
        <f aca="false">IF(A25="","",SUMIFS(Variations!$F$2:$F$501,Variations!$A$2:$A$501,A25,Variations!$H$2:$H$501,"Approved"))</f>
        <v/>
      </c>
      <c r="R25" s="36" t="str">
        <f aca="false">IF(A25="","",IF(M25&lt;&gt;"",M25,IF(L25="","",L25+Q25)))</f>
        <v/>
      </c>
      <c r="S25" s="36" t="str">
        <f aca="false">IF(A25="","",SUMIFS('Cash Flow'!$D$2:$D$2001,'Cash Flow'!$A$2:$A$2001,A25,'Cash Flow'!$C$2:$C$2001,"Actual"))</f>
        <v/>
      </c>
      <c r="T25" s="36" t="str">
        <f aca="false">IF(A25="","",SUMIFS('Cash Flow'!$F$2:$F$2001,'Cash Flow'!$A$2:$A$2001,A25))</f>
        <v/>
      </c>
      <c r="U25" s="36" t="str">
        <f aca="false">IF(A25="","",IF(R25="","",R25-T25))</f>
        <v/>
      </c>
      <c r="V25" s="37" t="str">
        <f aca="false">IF(A25="","",SUMIFS('EOT Claims'!$L$2:$L$501,'EOT Claims'!$A$2:$A$501,A25))</f>
        <v/>
      </c>
      <c r="W25" s="38" t="str">
        <f aca="false">IF(A25="","",IF(O25="","",O25+V25))</f>
        <v/>
      </c>
      <c r="X25" s="37" t="str">
        <f aca="true">IF(A25="","",IF(O25="","",IF(AND(NOT(OR(D25="Project Completion",D25="Defects Liability",D25="Complete",D25="Cancelled")),O25&lt;TODAY()),"Overdue","")))</f>
        <v/>
      </c>
      <c r="Y25" s="39" t="str">
        <f aca="true">IF(A25="","",IF(OR(N25="",W25=""),"",IF(W25&lt;=N25,"",(TODAY()-N25)/(W25-N25))))</f>
        <v/>
      </c>
      <c r="Z25" s="37" t="str">
        <f aca="false">IF(A25="","",IF(OR(Y25="",OR(D25="Project Completion",D25="Defects Liability",D25="Complete",D25="Cancelled")),"Green",IF(Y25&gt;1.15,"Red",IF(Y25&gt;=0.95,"Amber","Green"))))</f>
        <v/>
      </c>
      <c r="AA25" s="39" t="str">
        <f aca="false">IF(A25="","",IF(R25="","",IF(OR(R25&lt;=0,COUNTIFS('Cash Flow'!$A$2:$A$2001,A25)=0),"",T25/R25)))</f>
        <v/>
      </c>
      <c r="AB25" s="37" t="str">
        <f aca="false">IF(A25="","",IF(AA25="","Green",IF(AA25&gt;1.15,"Red",IF(AA25&gt;=0.95,"Amber","Green"))))</f>
        <v/>
      </c>
      <c r="AC25" s="37" t="str">
        <f aca="false">IF(A25="","",COUNTIFS(Risks!$A$2:$A$501,A25,Risks!$B$2:$B$501,"Risk",Risks!$M$2:$M$501,"&lt;&gt;Closed",Risks!$O$2:$O$501,"Critical"))</f>
        <v/>
      </c>
      <c r="AD25" s="37" t="str">
        <f aca="false">IF(A25="","",COUNTIFS(Risks!$A$2:$A$501,A25,Risks!$B$2:$B$501,"Risk",Risks!$M$2:$M$501,"&lt;&gt;Closed",Risks!$O$2:$O$501,"High"))</f>
        <v/>
      </c>
      <c r="AE25" s="37" t="str">
        <f aca="false">IF(A25="","",IF(AC25&gt;0,"Red",IF(AD25&gt;0,"Amber","Green")))</f>
        <v/>
      </c>
      <c r="AF25" s="37" t="str">
        <f aca="false">IF(A25="","",IF(OR(Z25="Red",AB25="Red",AE25="Red"),"Red",IF(OR(Z25="Amber",AB25="Amber",AE25="Amber"),"Amber","Green")))</f>
        <v/>
      </c>
      <c r="AG25" s="37" t="str">
        <f aca="false">IF(A25="","",COUNTIFS(Tasks!$A$2:$A$1001,A25,Tasks!$D$2:$D$1001,"&lt;&gt;Done",Tasks!$B$2:$B$1001,"&lt;&gt;"))</f>
        <v/>
      </c>
      <c r="AH25" s="37" t="str">
        <f aca="false">IF(A25="","",COUNTIFS(Actions!$A$2:$A$501,A25,Actions!$H$2:$H$501,"&lt;&gt;Done",Actions!$C$2:$C$501,"&lt;&gt;"))</f>
        <v/>
      </c>
      <c r="AI25" s="37" t="str">
        <f aca="false">IF(A25="","",COUNTIFS(RFIs!$A$2:$A$501,A25,RFIs!$G$2:$G$501,"Open"))</f>
        <v/>
      </c>
      <c r="AJ25" s="37" t="str">
        <f aca="false">IF(A25="","",COUNTIFS(Defects!$A$2:$A$501,A25,Defects!$H$2:$H$501,"Open"))</f>
        <v/>
      </c>
      <c r="AK25" s="37" t="str">
        <f aca="false">IF(A25="","","Schedule: "&amp;IF(Y25="","no dates / not tracked",TEXT(Y25,"0%")&amp;" of timeframe elapsed")&amp;" | Budget: "&amp;IF(AA25="","no approved budget or cash flow",TEXT(AA25,"0%")&amp;" of budget forecast")&amp;" | Risk: "&amp;AC25&amp;" critical, "&amp;AD25&amp;" high open")</f>
        <v/>
      </c>
    </row>
    <row r="26" customFormat="false" ht="15" hidden="false" customHeight="false" outlineLevel="0" collapsed="false">
      <c r="A26" s="32"/>
      <c r="B26" s="33"/>
      <c r="C26" s="32"/>
      <c r="D26" s="32"/>
      <c r="E26" s="32"/>
      <c r="F26" s="32"/>
      <c r="G26" s="32"/>
      <c r="H26" s="32"/>
      <c r="I26" s="32"/>
      <c r="J26" s="32"/>
      <c r="K26" s="34"/>
      <c r="L26" s="34"/>
      <c r="M26" s="34"/>
      <c r="N26" s="35"/>
      <c r="O26" s="35"/>
      <c r="P26" s="35"/>
      <c r="Q26" s="36" t="str">
        <f aca="false">IF(A26="","",SUMIFS(Variations!$F$2:$F$501,Variations!$A$2:$A$501,A26,Variations!$H$2:$H$501,"Approved"))</f>
        <v/>
      </c>
      <c r="R26" s="36" t="str">
        <f aca="false">IF(A26="","",IF(M26&lt;&gt;"",M26,IF(L26="","",L26+Q26)))</f>
        <v/>
      </c>
      <c r="S26" s="36" t="str">
        <f aca="false">IF(A26="","",SUMIFS('Cash Flow'!$D$2:$D$2001,'Cash Flow'!$A$2:$A$2001,A26,'Cash Flow'!$C$2:$C$2001,"Actual"))</f>
        <v/>
      </c>
      <c r="T26" s="36" t="str">
        <f aca="false">IF(A26="","",SUMIFS('Cash Flow'!$F$2:$F$2001,'Cash Flow'!$A$2:$A$2001,A26))</f>
        <v/>
      </c>
      <c r="U26" s="36" t="str">
        <f aca="false">IF(A26="","",IF(R26="","",R26-T26))</f>
        <v/>
      </c>
      <c r="V26" s="37" t="str">
        <f aca="false">IF(A26="","",SUMIFS('EOT Claims'!$L$2:$L$501,'EOT Claims'!$A$2:$A$501,A26))</f>
        <v/>
      </c>
      <c r="W26" s="38" t="str">
        <f aca="false">IF(A26="","",IF(O26="","",O26+V26))</f>
        <v/>
      </c>
      <c r="X26" s="37" t="str">
        <f aca="true">IF(A26="","",IF(O26="","",IF(AND(NOT(OR(D26="Project Completion",D26="Defects Liability",D26="Complete",D26="Cancelled")),O26&lt;TODAY()),"Overdue","")))</f>
        <v/>
      </c>
      <c r="Y26" s="39" t="str">
        <f aca="true">IF(A26="","",IF(OR(N26="",W26=""),"",IF(W26&lt;=N26,"",(TODAY()-N26)/(W26-N26))))</f>
        <v/>
      </c>
      <c r="Z26" s="37" t="str">
        <f aca="false">IF(A26="","",IF(OR(Y26="",OR(D26="Project Completion",D26="Defects Liability",D26="Complete",D26="Cancelled")),"Green",IF(Y26&gt;1.15,"Red",IF(Y26&gt;=0.95,"Amber","Green"))))</f>
        <v/>
      </c>
      <c r="AA26" s="39" t="str">
        <f aca="false">IF(A26="","",IF(R26="","",IF(OR(R26&lt;=0,COUNTIFS('Cash Flow'!$A$2:$A$2001,A26)=0),"",T26/R26)))</f>
        <v/>
      </c>
      <c r="AB26" s="37" t="str">
        <f aca="false">IF(A26="","",IF(AA26="","Green",IF(AA26&gt;1.15,"Red",IF(AA26&gt;=0.95,"Amber","Green"))))</f>
        <v/>
      </c>
      <c r="AC26" s="37" t="str">
        <f aca="false">IF(A26="","",COUNTIFS(Risks!$A$2:$A$501,A26,Risks!$B$2:$B$501,"Risk",Risks!$M$2:$M$501,"&lt;&gt;Closed",Risks!$O$2:$O$501,"Critical"))</f>
        <v/>
      </c>
      <c r="AD26" s="37" t="str">
        <f aca="false">IF(A26="","",COUNTIFS(Risks!$A$2:$A$501,A26,Risks!$B$2:$B$501,"Risk",Risks!$M$2:$M$501,"&lt;&gt;Closed",Risks!$O$2:$O$501,"High"))</f>
        <v/>
      </c>
      <c r="AE26" s="37" t="str">
        <f aca="false">IF(A26="","",IF(AC26&gt;0,"Red",IF(AD26&gt;0,"Amber","Green")))</f>
        <v/>
      </c>
      <c r="AF26" s="37" t="str">
        <f aca="false">IF(A26="","",IF(OR(Z26="Red",AB26="Red",AE26="Red"),"Red",IF(OR(Z26="Amber",AB26="Amber",AE26="Amber"),"Amber","Green")))</f>
        <v/>
      </c>
      <c r="AG26" s="37" t="str">
        <f aca="false">IF(A26="","",COUNTIFS(Tasks!$A$2:$A$1001,A26,Tasks!$D$2:$D$1001,"&lt;&gt;Done",Tasks!$B$2:$B$1001,"&lt;&gt;"))</f>
        <v/>
      </c>
      <c r="AH26" s="37" t="str">
        <f aca="false">IF(A26="","",COUNTIFS(Actions!$A$2:$A$501,A26,Actions!$H$2:$H$501,"&lt;&gt;Done",Actions!$C$2:$C$501,"&lt;&gt;"))</f>
        <v/>
      </c>
      <c r="AI26" s="37" t="str">
        <f aca="false">IF(A26="","",COUNTIFS(RFIs!$A$2:$A$501,A26,RFIs!$G$2:$G$501,"Open"))</f>
        <v/>
      </c>
      <c r="AJ26" s="37" t="str">
        <f aca="false">IF(A26="","",COUNTIFS(Defects!$A$2:$A$501,A26,Defects!$H$2:$H$501,"Open"))</f>
        <v/>
      </c>
      <c r="AK26" s="37" t="str">
        <f aca="false">IF(A26="","","Schedule: "&amp;IF(Y26="","no dates / not tracked",TEXT(Y26,"0%")&amp;" of timeframe elapsed")&amp;" | Budget: "&amp;IF(AA26="","no approved budget or cash flow",TEXT(AA26,"0%")&amp;" of budget forecast")&amp;" | Risk: "&amp;AC26&amp;" critical, "&amp;AD26&amp;" high open")</f>
        <v/>
      </c>
    </row>
    <row r="27" customFormat="false" ht="15" hidden="false" customHeight="false" outlineLevel="0" collapsed="false">
      <c r="A27" s="32"/>
      <c r="B27" s="33"/>
      <c r="C27" s="32"/>
      <c r="D27" s="32"/>
      <c r="E27" s="32"/>
      <c r="F27" s="32"/>
      <c r="G27" s="32"/>
      <c r="H27" s="32"/>
      <c r="I27" s="32"/>
      <c r="J27" s="32"/>
      <c r="K27" s="34"/>
      <c r="L27" s="34"/>
      <c r="M27" s="34"/>
      <c r="N27" s="35"/>
      <c r="O27" s="35"/>
      <c r="P27" s="35"/>
      <c r="Q27" s="36" t="str">
        <f aca="false">IF(A27="","",SUMIFS(Variations!$F$2:$F$501,Variations!$A$2:$A$501,A27,Variations!$H$2:$H$501,"Approved"))</f>
        <v/>
      </c>
      <c r="R27" s="36" t="str">
        <f aca="false">IF(A27="","",IF(M27&lt;&gt;"",M27,IF(L27="","",L27+Q27)))</f>
        <v/>
      </c>
      <c r="S27" s="36" t="str">
        <f aca="false">IF(A27="","",SUMIFS('Cash Flow'!$D$2:$D$2001,'Cash Flow'!$A$2:$A$2001,A27,'Cash Flow'!$C$2:$C$2001,"Actual"))</f>
        <v/>
      </c>
      <c r="T27" s="36" t="str">
        <f aca="false">IF(A27="","",SUMIFS('Cash Flow'!$F$2:$F$2001,'Cash Flow'!$A$2:$A$2001,A27))</f>
        <v/>
      </c>
      <c r="U27" s="36" t="str">
        <f aca="false">IF(A27="","",IF(R27="","",R27-T27))</f>
        <v/>
      </c>
      <c r="V27" s="37" t="str">
        <f aca="false">IF(A27="","",SUMIFS('EOT Claims'!$L$2:$L$501,'EOT Claims'!$A$2:$A$501,A27))</f>
        <v/>
      </c>
      <c r="W27" s="38" t="str">
        <f aca="false">IF(A27="","",IF(O27="","",O27+V27))</f>
        <v/>
      </c>
      <c r="X27" s="37" t="str">
        <f aca="true">IF(A27="","",IF(O27="","",IF(AND(NOT(OR(D27="Project Completion",D27="Defects Liability",D27="Complete",D27="Cancelled")),O27&lt;TODAY()),"Overdue","")))</f>
        <v/>
      </c>
      <c r="Y27" s="39" t="str">
        <f aca="true">IF(A27="","",IF(OR(N27="",W27=""),"",IF(W27&lt;=N27,"",(TODAY()-N27)/(W27-N27))))</f>
        <v/>
      </c>
      <c r="Z27" s="37" t="str">
        <f aca="false">IF(A27="","",IF(OR(Y27="",OR(D27="Project Completion",D27="Defects Liability",D27="Complete",D27="Cancelled")),"Green",IF(Y27&gt;1.15,"Red",IF(Y27&gt;=0.95,"Amber","Green"))))</f>
        <v/>
      </c>
      <c r="AA27" s="39" t="str">
        <f aca="false">IF(A27="","",IF(R27="","",IF(OR(R27&lt;=0,COUNTIFS('Cash Flow'!$A$2:$A$2001,A27)=0),"",T27/R27)))</f>
        <v/>
      </c>
      <c r="AB27" s="37" t="str">
        <f aca="false">IF(A27="","",IF(AA27="","Green",IF(AA27&gt;1.15,"Red",IF(AA27&gt;=0.95,"Amber","Green"))))</f>
        <v/>
      </c>
      <c r="AC27" s="37" t="str">
        <f aca="false">IF(A27="","",COUNTIFS(Risks!$A$2:$A$501,A27,Risks!$B$2:$B$501,"Risk",Risks!$M$2:$M$501,"&lt;&gt;Closed",Risks!$O$2:$O$501,"Critical"))</f>
        <v/>
      </c>
      <c r="AD27" s="37" t="str">
        <f aca="false">IF(A27="","",COUNTIFS(Risks!$A$2:$A$501,A27,Risks!$B$2:$B$501,"Risk",Risks!$M$2:$M$501,"&lt;&gt;Closed",Risks!$O$2:$O$501,"High"))</f>
        <v/>
      </c>
      <c r="AE27" s="37" t="str">
        <f aca="false">IF(A27="","",IF(AC27&gt;0,"Red",IF(AD27&gt;0,"Amber","Green")))</f>
        <v/>
      </c>
      <c r="AF27" s="37" t="str">
        <f aca="false">IF(A27="","",IF(OR(Z27="Red",AB27="Red",AE27="Red"),"Red",IF(OR(Z27="Amber",AB27="Amber",AE27="Amber"),"Amber","Green")))</f>
        <v/>
      </c>
      <c r="AG27" s="37" t="str">
        <f aca="false">IF(A27="","",COUNTIFS(Tasks!$A$2:$A$1001,A27,Tasks!$D$2:$D$1001,"&lt;&gt;Done",Tasks!$B$2:$B$1001,"&lt;&gt;"))</f>
        <v/>
      </c>
      <c r="AH27" s="37" t="str">
        <f aca="false">IF(A27="","",COUNTIFS(Actions!$A$2:$A$501,A27,Actions!$H$2:$H$501,"&lt;&gt;Done",Actions!$C$2:$C$501,"&lt;&gt;"))</f>
        <v/>
      </c>
      <c r="AI27" s="37" t="str">
        <f aca="false">IF(A27="","",COUNTIFS(RFIs!$A$2:$A$501,A27,RFIs!$G$2:$G$501,"Open"))</f>
        <v/>
      </c>
      <c r="AJ27" s="37" t="str">
        <f aca="false">IF(A27="","",COUNTIFS(Defects!$A$2:$A$501,A27,Defects!$H$2:$H$501,"Open"))</f>
        <v/>
      </c>
      <c r="AK27" s="37" t="str">
        <f aca="false">IF(A27="","","Schedule: "&amp;IF(Y27="","no dates / not tracked",TEXT(Y27,"0%")&amp;" of timeframe elapsed")&amp;" | Budget: "&amp;IF(AA27="","no approved budget or cash flow",TEXT(AA27,"0%")&amp;" of budget forecast")&amp;" | Risk: "&amp;AC27&amp;" critical, "&amp;AD27&amp;" high open")</f>
        <v/>
      </c>
    </row>
    <row r="28" customFormat="false" ht="15" hidden="false" customHeight="false" outlineLevel="0" collapsed="false">
      <c r="A28" s="32"/>
      <c r="B28" s="33"/>
      <c r="C28" s="32"/>
      <c r="D28" s="32"/>
      <c r="E28" s="32"/>
      <c r="F28" s="32"/>
      <c r="G28" s="32"/>
      <c r="H28" s="32"/>
      <c r="I28" s="32"/>
      <c r="J28" s="32"/>
      <c r="K28" s="34"/>
      <c r="L28" s="34"/>
      <c r="M28" s="34"/>
      <c r="N28" s="35"/>
      <c r="O28" s="35"/>
      <c r="P28" s="35"/>
      <c r="Q28" s="36" t="str">
        <f aca="false">IF(A28="","",SUMIFS(Variations!$F$2:$F$501,Variations!$A$2:$A$501,A28,Variations!$H$2:$H$501,"Approved"))</f>
        <v/>
      </c>
      <c r="R28" s="36" t="str">
        <f aca="false">IF(A28="","",IF(M28&lt;&gt;"",M28,IF(L28="","",L28+Q28)))</f>
        <v/>
      </c>
      <c r="S28" s="36" t="str">
        <f aca="false">IF(A28="","",SUMIFS('Cash Flow'!$D$2:$D$2001,'Cash Flow'!$A$2:$A$2001,A28,'Cash Flow'!$C$2:$C$2001,"Actual"))</f>
        <v/>
      </c>
      <c r="T28" s="36" t="str">
        <f aca="false">IF(A28="","",SUMIFS('Cash Flow'!$F$2:$F$2001,'Cash Flow'!$A$2:$A$2001,A28))</f>
        <v/>
      </c>
      <c r="U28" s="36" t="str">
        <f aca="false">IF(A28="","",IF(R28="","",R28-T28))</f>
        <v/>
      </c>
      <c r="V28" s="37" t="str">
        <f aca="false">IF(A28="","",SUMIFS('EOT Claims'!$L$2:$L$501,'EOT Claims'!$A$2:$A$501,A28))</f>
        <v/>
      </c>
      <c r="W28" s="38" t="str">
        <f aca="false">IF(A28="","",IF(O28="","",O28+V28))</f>
        <v/>
      </c>
      <c r="X28" s="37" t="str">
        <f aca="true">IF(A28="","",IF(O28="","",IF(AND(NOT(OR(D28="Project Completion",D28="Defects Liability",D28="Complete",D28="Cancelled")),O28&lt;TODAY()),"Overdue","")))</f>
        <v/>
      </c>
      <c r="Y28" s="39" t="str">
        <f aca="true">IF(A28="","",IF(OR(N28="",W28=""),"",IF(W28&lt;=N28,"",(TODAY()-N28)/(W28-N28))))</f>
        <v/>
      </c>
      <c r="Z28" s="37" t="str">
        <f aca="false">IF(A28="","",IF(OR(Y28="",OR(D28="Project Completion",D28="Defects Liability",D28="Complete",D28="Cancelled")),"Green",IF(Y28&gt;1.15,"Red",IF(Y28&gt;=0.95,"Amber","Green"))))</f>
        <v/>
      </c>
      <c r="AA28" s="39" t="str">
        <f aca="false">IF(A28="","",IF(R28="","",IF(OR(R28&lt;=0,COUNTIFS('Cash Flow'!$A$2:$A$2001,A28)=0),"",T28/R28)))</f>
        <v/>
      </c>
      <c r="AB28" s="37" t="str">
        <f aca="false">IF(A28="","",IF(AA28="","Green",IF(AA28&gt;1.15,"Red",IF(AA28&gt;=0.95,"Amber","Green"))))</f>
        <v/>
      </c>
      <c r="AC28" s="37" t="str">
        <f aca="false">IF(A28="","",COUNTIFS(Risks!$A$2:$A$501,A28,Risks!$B$2:$B$501,"Risk",Risks!$M$2:$M$501,"&lt;&gt;Closed",Risks!$O$2:$O$501,"Critical"))</f>
        <v/>
      </c>
      <c r="AD28" s="37" t="str">
        <f aca="false">IF(A28="","",COUNTIFS(Risks!$A$2:$A$501,A28,Risks!$B$2:$B$501,"Risk",Risks!$M$2:$M$501,"&lt;&gt;Closed",Risks!$O$2:$O$501,"High"))</f>
        <v/>
      </c>
      <c r="AE28" s="37" t="str">
        <f aca="false">IF(A28="","",IF(AC28&gt;0,"Red",IF(AD28&gt;0,"Amber","Green")))</f>
        <v/>
      </c>
      <c r="AF28" s="37" t="str">
        <f aca="false">IF(A28="","",IF(OR(Z28="Red",AB28="Red",AE28="Red"),"Red",IF(OR(Z28="Amber",AB28="Amber",AE28="Amber"),"Amber","Green")))</f>
        <v/>
      </c>
      <c r="AG28" s="37" t="str">
        <f aca="false">IF(A28="","",COUNTIFS(Tasks!$A$2:$A$1001,A28,Tasks!$D$2:$D$1001,"&lt;&gt;Done",Tasks!$B$2:$B$1001,"&lt;&gt;"))</f>
        <v/>
      </c>
      <c r="AH28" s="37" t="str">
        <f aca="false">IF(A28="","",COUNTIFS(Actions!$A$2:$A$501,A28,Actions!$H$2:$H$501,"&lt;&gt;Done",Actions!$C$2:$C$501,"&lt;&gt;"))</f>
        <v/>
      </c>
      <c r="AI28" s="37" t="str">
        <f aca="false">IF(A28="","",COUNTIFS(RFIs!$A$2:$A$501,A28,RFIs!$G$2:$G$501,"Open"))</f>
        <v/>
      </c>
      <c r="AJ28" s="37" t="str">
        <f aca="false">IF(A28="","",COUNTIFS(Defects!$A$2:$A$501,A28,Defects!$H$2:$H$501,"Open"))</f>
        <v/>
      </c>
      <c r="AK28" s="37" t="str">
        <f aca="false">IF(A28="","","Schedule: "&amp;IF(Y28="","no dates / not tracked",TEXT(Y28,"0%")&amp;" of timeframe elapsed")&amp;" | Budget: "&amp;IF(AA28="","no approved budget or cash flow",TEXT(AA28,"0%")&amp;" of budget forecast")&amp;" | Risk: "&amp;AC28&amp;" critical, "&amp;AD28&amp;" high open")</f>
        <v/>
      </c>
    </row>
    <row r="29" customFormat="false" ht="15" hidden="false" customHeight="false" outlineLevel="0" collapsed="false">
      <c r="A29" s="32"/>
      <c r="B29" s="33"/>
      <c r="C29" s="32"/>
      <c r="D29" s="32"/>
      <c r="E29" s="32"/>
      <c r="F29" s="32"/>
      <c r="G29" s="32"/>
      <c r="H29" s="32"/>
      <c r="I29" s="32"/>
      <c r="J29" s="32"/>
      <c r="K29" s="34"/>
      <c r="L29" s="34"/>
      <c r="M29" s="34"/>
      <c r="N29" s="35"/>
      <c r="O29" s="35"/>
      <c r="P29" s="35"/>
      <c r="Q29" s="36" t="str">
        <f aca="false">IF(A29="","",SUMIFS(Variations!$F$2:$F$501,Variations!$A$2:$A$501,A29,Variations!$H$2:$H$501,"Approved"))</f>
        <v/>
      </c>
      <c r="R29" s="36" t="str">
        <f aca="false">IF(A29="","",IF(M29&lt;&gt;"",M29,IF(L29="","",L29+Q29)))</f>
        <v/>
      </c>
      <c r="S29" s="36" t="str">
        <f aca="false">IF(A29="","",SUMIFS('Cash Flow'!$D$2:$D$2001,'Cash Flow'!$A$2:$A$2001,A29,'Cash Flow'!$C$2:$C$2001,"Actual"))</f>
        <v/>
      </c>
      <c r="T29" s="36" t="str">
        <f aca="false">IF(A29="","",SUMIFS('Cash Flow'!$F$2:$F$2001,'Cash Flow'!$A$2:$A$2001,A29))</f>
        <v/>
      </c>
      <c r="U29" s="36" t="str">
        <f aca="false">IF(A29="","",IF(R29="","",R29-T29))</f>
        <v/>
      </c>
      <c r="V29" s="37" t="str">
        <f aca="false">IF(A29="","",SUMIFS('EOT Claims'!$L$2:$L$501,'EOT Claims'!$A$2:$A$501,A29))</f>
        <v/>
      </c>
      <c r="W29" s="38" t="str">
        <f aca="false">IF(A29="","",IF(O29="","",O29+V29))</f>
        <v/>
      </c>
      <c r="X29" s="37" t="str">
        <f aca="true">IF(A29="","",IF(O29="","",IF(AND(NOT(OR(D29="Project Completion",D29="Defects Liability",D29="Complete",D29="Cancelled")),O29&lt;TODAY()),"Overdue","")))</f>
        <v/>
      </c>
      <c r="Y29" s="39" t="str">
        <f aca="true">IF(A29="","",IF(OR(N29="",W29=""),"",IF(W29&lt;=N29,"",(TODAY()-N29)/(W29-N29))))</f>
        <v/>
      </c>
      <c r="Z29" s="37" t="str">
        <f aca="false">IF(A29="","",IF(OR(Y29="",OR(D29="Project Completion",D29="Defects Liability",D29="Complete",D29="Cancelled")),"Green",IF(Y29&gt;1.15,"Red",IF(Y29&gt;=0.95,"Amber","Green"))))</f>
        <v/>
      </c>
      <c r="AA29" s="39" t="str">
        <f aca="false">IF(A29="","",IF(R29="","",IF(OR(R29&lt;=0,COUNTIFS('Cash Flow'!$A$2:$A$2001,A29)=0),"",T29/R29)))</f>
        <v/>
      </c>
      <c r="AB29" s="37" t="str">
        <f aca="false">IF(A29="","",IF(AA29="","Green",IF(AA29&gt;1.15,"Red",IF(AA29&gt;=0.95,"Amber","Green"))))</f>
        <v/>
      </c>
      <c r="AC29" s="37" t="str">
        <f aca="false">IF(A29="","",COUNTIFS(Risks!$A$2:$A$501,A29,Risks!$B$2:$B$501,"Risk",Risks!$M$2:$M$501,"&lt;&gt;Closed",Risks!$O$2:$O$501,"Critical"))</f>
        <v/>
      </c>
      <c r="AD29" s="37" t="str">
        <f aca="false">IF(A29="","",COUNTIFS(Risks!$A$2:$A$501,A29,Risks!$B$2:$B$501,"Risk",Risks!$M$2:$M$501,"&lt;&gt;Closed",Risks!$O$2:$O$501,"High"))</f>
        <v/>
      </c>
      <c r="AE29" s="37" t="str">
        <f aca="false">IF(A29="","",IF(AC29&gt;0,"Red",IF(AD29&gt;0,"Amber","Green")))</f>
        <v/>
      </c>
      <c r="AF29" s="37" t="str">
        <f aca="false">IF(A29="","",IF(OR(Z29="Red",AB29="Red",AE29="Red"),"Red",IF(OR(Z29="Amber",AB29="Amber",AE29="Amber"),"Amber","Green")))</f>
        <v/>
      </c>
      <c r="AG29" s="37" t="str">
        <f aca="false">IF(A29="","",COUNTIFS(Tasks!$A$2:$A$1001,A29,Tasks!$D$2:$D$1001,"&lt;&gt;Done",Tasks!$B$2:$B$1001,"&lt;&gt;"))</f>
        <v/>
      </c>
      <c r="AH29" s="37" t="str">
        <f aca="false">IF(A29="","",COUNTIFS(Actions!$A$2:$A$501,A29,Actions!$H$2:$H$501,"&lt;&gt;Done",Actions!$C$2:$C$501,"&lt;&gt;"))</f>
        <v/>
      </c>
      <c r="AI29" s="37" t="str">
        <f aca="false">IF(A29="","",COUNTIFS(RFIs!$A$2:$A$501,A29,RFIs!$G$2:$G$501,"Open"))</f>
        <v/>
      </c>
      <c r="AJ29" s="37" t="str">
        <f aca="false">IF(A29="","",COUNTIFS(Defects!$A$2:$A$501,A29,Defects!$H$2:$H$501,"Open"))</f>
        <v/>
      </c>
      <c r="AK29" s="37" t="str">
        <f aca="false">IF(A29="","","Schedule: "&amp;IF(Y29="","no dates / not tracked",TEXT(Y29,"0%")&amp;" of timeframe elapsed")&amp;" | Budget: "&amp;IF(AA29="","no approved budget or cash flow",TEXT(AA29,"0%")&amp;" of budget forecast")&amp;" | Risk: "&amp;AC29&amp;" critical, "&amp;AD29&amp;" high open")</f>
        <v/>
      </c>
    </row>
    <row r="30" customFormat="false" ht="15" hidden="false" customHeight="false" outlineLevel="0" collapsed="false">
      <c r="A30" s="32"/>
      <c r="B30" s="33"/>
      <c r="C30" s="32"/>
      <c r="D30" s="32"/>
      <c r="E30" s="32"/>
      <c r="F30" s="32"/>
      <c r="G30" s="32"/>
      <c r="H30" s="32"/>
      <c r="I30" s="32"/>
      <c r="J30" s="32"/>
      <c r="K30" s="34"/>
      <c r="L30" s="34"/>
      <c r="M30" s="34"/>
      <c r="N30" s="35"/>
      <c r="O30" s="35"/>
      <c r="P30" s="35"/>
      <c r="Q30" s="36" t="str">
        <f aca="false">IF(A30="","",SUMIFS(Variations!$F$2:$F$501,Variations!$A$2:$A$501,A30,Variations!$H$2:$H$501,"Approved"))</f>
        <v/>
      </c>
      <c r="R30" s="36" t="str">
        <f aca="false">IF(A30="","",IF(M30&lt;&gt;"",M30,IF(L30="","",L30+Q30)))</f>
        <v/>
      </c>
      <c r="S30" s="36" t="str">
        <f aca="false">IF(A30="","",SUMIFS('Cash Flow'!$D$2:$D$2001,'Cash Flow'!$A$2:$A$2001,A30,'Cash Flow'!$C$2:$C$2001,"Actual"))</f>
        <v/>
      </c>
      <c r="T30" s="36" t="str">
        <f aca="false">IF(A30="","",SUMIFS('Cash Flow'!$F$2:$F$2001,'Cash Flow'!$A$2:$A$2001,A30))</f>
        <v/>
      </c>
      <c r="U30" s="36" t="str">
        <f aca="false">IF(A30="","",IF(R30="","",R30-T30))</f>
        <v/>
      </c>
      <c r="V30" s="37" t="str">
        <f aca="false">IF(A30="","",SUMIFS('EOT Claims'!$L$2:$L$501,'EOT Claims'!$A$2:$A$501,A30))</f>
        <v/>
      </c>
      <c r="W30" s="38" t="str">
        <f aca="false">IF(A30="","",IF(O30="","",O30+V30))</f>
        <v/>
      </c>
      <c r="X30" s="37" t="str">
        <f aca="true">IF(A30="","",IF(O30="","",IF(AND(NOT(OR(D30="Project Completion",D30="Defects Liability",D30="Complete",D30="Cancelled")),O30&lt;TODAY()),"Overdue","")))</f>
        <v/>
      </c>
      <c r="Y30" s="39" t="str">
        <f aca="true">IF(A30="","",IF(OR(N30="",W30=""),"",IF(W30&lt;=N30,"",(TODAY()-N30)/(W30-N30))))</f>
        <v/>
      </c>
      <c r="Z30" s="37" t="str">
        <f aca="false">IF(A30="","",IF(OR(Y30="",OR(D30="Project Completion",D30="Defects Liability",D30="Complete",D30="Cancelled")),"Green",IF(Y30&gt;1.15,"Red",IF(Y30&gt;=0.95,"Amber","Green"))))</f>
        <v/>
      </c>
      <c r="AA30" s="39" t="str">
        <f aca="false">IF(A30="","",IF(R30="","",IF(OR(R30&lt;=0,COUNTIFS('Cash Flow'!$A$2:$A$2001,A30)=0),"",T30/R30)))</f>
        <v/>
      </c>
      <c r="AB30" s="37" t="str">
        <f aca="false">IF(A30="","",IF(AA30="","Green",IF(AA30&gt;1.15,"Red",IF(AA30&gt;=0.95,"Amber","Green"))))</f>
        <v/>
      </c>
      <c r="AC30" s="37" t="str">
        <f aca="false">IF(A30="","",COUNTIFS(Risks!$A$2:$A$501,A30,Risks!$B$2:$B$501,"Risk",Risks!$M$2:$M$501,"&lt;&gt;Closed",Risks!$O$2:$O$501,"Critical"))</f>
        <v/>
      </c>
      <c r="AD30" s="37" t="str">
        <f aca="false">IF(A30="","",COUNTIFS(Risks!$A$2:$A$501,A30,Risks!$B$2:$B$501,"Risk",Risks!$M$2:$M$501,"&lt;&gt;Closed",Risks!$O$2:$O$501,"High"))</f>
        <v/>
      </c>
      <c r="AE30" s="37" t="str">
        <f aca="false">IF(A30="","",IF(AC30&gt;0,"Red",IF(AD30&gt;0,"Amber","Green")))</f>
        <v/>
      </c>
      <c r="AF30" s="37" t="str">
        <f aca="false">IF(A30="","",IF(OR(Z30="Red",AB30="Red",AE30="Red"),"Red",IF(OR(Z30="Amber",AB30="Amber",AE30="Amber"),"Amber","Green")))</f>
        <v/>
      </c>
      <c r="AG30" s="37" t="str">
        <f aca="false">IF(A30="","",COUNTIFS(Tasks!$A$2:$A$1001,A30,Tasks!$D$2:$D$1001,"&lt;&gt;Done",Tasks!$B$2:$B$1001,"&lt;&gt;"))</f>
        <v/>
      </c>
      <c r="AH30" s="37" t="str">
        <f aca="false">IF(A30="","",COUNTIFS(Actions!$A$2:$A$501,A30,Actions!$H$2:$H$501,"&lt;&gt;Done",Actions!$C$2:$C$501,"&lt;&gt;"))</f>
        <v/>
      </c>
      <c r="AI30" s="37" t="str">
        <f aca="false">IF(A30="","",COUNTIFS(RFIs!$A$2:$A$501,A30,RFIs!$G$2:$G$501,"Open"))</f>
        <v/>
      </c>
      <c r="AJ30" s="37" t="str">
        <f aca="false">IF(A30="","",COUNTIFS(Defects!$A$2:$A$501,A30,Defects!$H$2:$H$501,"Open"))</f>
        <v/>
      </c>
      <c r="AK30" s="37" t="str">
        <f aca="false">IF(A30="","","Schedule: "&amp;IF(Y30="","no dates / not tracked",TEXT(Y30,"0%")&amp;" of timeframe elapsed")&amp;" | Budget: "&amp;IF(AA30="","no approved budget or cash flow",TEXT(AA30,"0%")&amp;" of budget forecast")&amp;" | Risk: "&amp;AC30&amp;" critical, "&amp;AD30&amp;" high open")</f>
        <v/>
      </c>
    </row>
    <row r="31" customFormat="false" ht="15" hidden="false" customHeight="false" outlineLevel="0" collapsed="false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4"/>
      <c r="L31" s="34"/>
      <c r="M31" s="34"/>
      <c r="N31" s="35"/>
      <c r="O31" s="35"/>
      <c r="P31" s="35"/>
      <c r="Q31" s="36" t="str">
        <f aca="false">IF(A31="","",SUMIFS(Variations!$F$2:$F$501,Variations!$A$2:$A$501,A31,Variations!$H$2:$H$501,"Approved"))</f>
        <v/>
      </c>
      <c r="R31" s="36" t="str">
        <f aca="false">IF(A31="","",IF(M31&lt;&gt;"",M31,IF(L31="","",L31+Q31)))</f>
        <v/>
      </c>
      <c r="S31" s="36" t="str">
        <f aca="false">IF(A31="","",SUMIFS('Cash Flow'!$D$2:$D$2001,'Cash Flow'!$A$2:$A$2001,A31,'Cash Flow'!$C$2:$C$2001,"Actual"))</f>
        <v/>
      </c>
      <c r="T31" s="36" t="str">
        <f aca="false">IF(A31="","",SUMIFS('Cash Flow'!$F$2:$F$2001,'Cash Flow'!$A$2:$A$2001,A31))</f>
        <v/>
      </c>
      <c r="U31" s="36" t="str">
        <f aca="false">IF(A31="","",IF(R31="","",R31-T31))</f>
        <v/>
      </c>
      <c r="V31" s="37" t="str">
        <f aca="false">IF(A31="","",SUMIFS('EOT Claims'!$L$2:$L$501,'EOT Claims'!$A$2:$A$501,A31))</f>
        <v/>
      </c>
      <c r="W31" s="38" t="str">
        <f aca="false">IF(A31="","",IF(O31="","",O31+V31))</f>
        <v/>
      </c>
      <c r="X31" s="37" t="str">
        <f aca="true">IF(A31="","",IF(O31="","",IF(AND(NOT(OR(D31="Project Completion",D31="Defects Liability",D31="Complete",D31="Cancelled")),O31&lt;TODAY()),"Overdue","")))</f>
        <v/>
      </c>
      <c r="Y31" s="39" t="str">
        <f aca="true">IF(A31="","",IF(OR(N31="",W31=""),"",IF(W31&lt;=N31,"",(TODAY()-N31)/(W31-N31))))</f>
        <v/>
      </c>
      <c r="Z31" s="37" t="str">
        <f aca="false">IF(A31="","",IF(OR(Y31="",OR(D31="Project Completion",D31="Defects Liability",D31="Complete",D31="Cancelled")),"Green",IF(Y31&gt;1.15,"Red",IF(Y31&gt;=0.95,"Amber","Green"))))</f>
        <v/>
      </c>
      <c r="AA31" s="39" t="str">
        <f aca="false">IF(A31="","",IF(R31="","",IF(OR(R31&lt;=0,COUNTIFS('Cash Flow'!$A$2:$A$2001,A31)=0),"",T31/R31)))</f>
        <v/>
      </c>
      <c r="AB31" s="37" t="str">
        <f aca="false">IF(A31="","",IF(AA31="","Green",IF(AA31&gt;1.15,"Red",IF(AA31&gt;=0.95,"Amber","Green"))))</f>
        <v/>
      </c>
      <c r="AC31" s="37" t="str">
        <f aca="false">IF(A31="","",COUNTIFS(Risks!$A$2:$A$501,A31,Risks!$B$2:$B$501,"Risk",Risks!$M$2:$M$501,"&lt;&gt;Closed",Risks!$O$2:$O$501,"Critical"))</f>
        <v/>
      </c>
      <c r="AD31" s="37" t="str">
        <f aca="false">IF(A31="","",COUNTIFS(Risks!$A$2:$A$501,A31,Risks!$B$2:$B$501,"Risk",Risks!$M$2:$M$501,"&lt;&gt;Closed",Risks!$O$2:$O$501,"High"))</f>
        <v/>
      </c>
      <c r="AE31" s="37" t="str">
        <f aca="false">IF(A31="","",IF(AC31&gt;0,"Red",IF(AD31&gt;0,"Amber","Green")))</f>
        <v/>
      </c>
      <c r="AF31" s="37" t="str">
        <f aca="false">IF(A31="","",IF(OR(Z31="Red",AB31="Red",AE31="Red"),"Red",IF(OR(Z31="Amber",AB31="Amber",AE31="Amber"),"Amber","Green")))</f>
        <v/>
      </c>
      <c r="AG31" s="37" t="str">
        <f aca="false">IF(A31="","",COUNTIFS(Tasks!$A$2:$A$1001,A31,Tasks!$D$2:$D$1001,"&lt;&gt;Done",Tasks!$B$2:$B$1001,"&lt;&gt;"))</f>
        <v/>
      </c>
      <c r="AH31" s="37" t="str">
        <f aca="false">IF(A31="","",COUNTIFS(Actions!$A$2:$A$501,A31,Actions!$H$2:$H$501,"&lt;&gt;Done",Actions!$C$2:$C$501,"&lt;&gt;"))</f>
        <v/>
      </c>
      <c r="AI31" s="37" t="str">
        <f aca="false">IF(A31="","",COUNTIFS(RFIs!$A$2:$A$501,A31,RFIs!$G$2:$G$501,"Open"))</f>
        <v/>
      </c>
      <c r="AJ31" s="37" t="str">
        <f aca="false">IF(A31="","",COUNTIFS(Defects!$A$2:$A$501,A31,Defects!$H$2:$H$501,"Open"))</f>
        <v/>
      </c>
      <c r="AK31" s="37" t="str">
        <f aca="false">IF(A31="","","Schedule: "&amp;IF(Y31="","no dates / not tracked",TEXT(Y31,"0%")&amp;" of timeframe elapsed")&amp;" | Budget: "&amp;IF(AA31="","no approved budget or cash flow",TEXT(AA31,"0%")&amp;" of budget forecast")&amp;" | Risk: "&amp;AC31&amp;" critical, "&amp;AD31&amp;" high open")</f>
        <v/>
      </c>
    </row>
    <row r="32" customFormat="false" ht="15" hidden="false" customHeight="false" outlineLevel="0" collapsed="false">
      <c r="A32" s="32"/>
      <c r="B32" s="33"/>
      <c r="C32" s="32"/>
      <c r="D32" s="32"/>
      <c r="E32" s="32"/>
      <c r="F32" s="32"/>
      <c r="G32" s="32"/>
      <c r="H32" s="32"/>
      <c r="I32" s="32"/>
      <c r="J32" s="32"/>
      <c r="K32" s="34"/>
      <c r="L32" s="34"/>
      <c r="M32" s="34"/>
      <c r="N32" s="35"/>
      <c r="O32" s="35"/>
      <c r="P32" s="35"/>
      <c r="Q32" s="36" t="str">
        <f aca="false">IF(A32="","",SUMIFS(Variations!$F$2:$F$501,Variations!$A$2:$A$501,A32,Variations!$H$2:$H$501,"Approved"))</f>
        <v/>
      </c>
      <c r="R32" s="36" t="str">
        <f aca="false">IF(A32="","",IF(M32&lt;&gt;"",M32,IF(L32="","",L32+Q32)))</f>
        <v/>
      </c>
      <c r="S32" s="36" t="str">
        <f aca="false">IF(A32="","",SUMIFS('Cash Flow'!$D$2:$D$2001,'Cash Flow'!$A$2:$A$2001,A32,'Cash Flow'!$C$2:$C$2001,"Actual"))</f>
        <v/>
      </c>
      <c r="T32" s="36" t="str">
        <f aca="false">IF(A32="","",SUMIFS('Cash Flow'!$F$2:$F$2001,'Cash Flow'!$A$2:$A$2001,A32))</f>
        <v/>
      </c>
      <c r="U32" s="36" t="str">
        <f aca="false">IF(A32="","",IF(R32="","",R32-T32))</f>
        <v/>
      </c>
      <c r="V32" s="37" t="str">
        <f aca="false">IF(A32="","",SUMIFS('EOT Claims'!$L$2:$L$501,'EOT Claims'!$A$2:$A$501,A32))</f>
        <v/>
      </c>
      <c r="W32" s="38" t="str">
        <f aca="false">IF(A32="","",IF(O32="","",O32+V32))</f>
        <v/>
      </c>
      <c r="X32" s="37" t="str">
        <f aca="true">IF(A32="","",IF(O32="","",IF(AND(NOT(OR(D32="Project Completion",D32="Defects Liability",D32="Complete",D32="Cancelled")),O32&lt;TODAY()),"Overdue","")))</f>
        <v/>
      </c>
      <c r="Y32" s="39" t="str">
        <f aca="true">IF(A32="","",IF(OR(N32="",W32=""),"",IF(W32&lt;=N32,"",(TODAY()-N32)/(W32-N32))))</f>
        <v/>
      </c>
      <c r="Z32" s="37" t="str">
        <f aca="false">IF(A32="","",IF(OR(Y32="",OR(D32="Project Completion",D32="Defects Liability",D32="Complete",D32="Cancelled")),"Green",IF(Y32&gt;1.15,"Red",IF(Y32&gt;=0.95,"Amber","Green"))))</f>
        <v/>
      </c>
      <c r="AA32" s="39" t="str">
        <f aca="false">IF(A32="","",IF(R32="","",IF(OR(R32&lt;=0,COUNTIFS('Cash Flow'!$A$2:$A$2001,A32)=0),"",T32/R32)))</f>
        <v/>
      </c>
      <c r="AB32" s="37" t="str">
        <f aca="false">IF(A32="","",IF(AA32="","Green",IF(AA32&gt;1.15,"Red",IF(AA32&gt;=0.95,"Amber","Green"))))</f>
        <v/>
      </c>
      <c r="AC32" s="37" t="str">
        <f aca="false">IF(A32="","",COUNTIFS(Risks!$A$2:$A$501,A32,Risks!$B$2:$B$501,"Risk",Risks!$M$2:$M$501,"&lt;&gt;Closed",Risks!$O$2:$O$501,"Critical"))</f>
        <v/>
      </c>
      <c r="AD32" s="37" t="str">
        <f aca="false">IF(A32="","",COUNTIFS(Risks!$A$2:$A$501,A32,Risks!$B$2:$B$501,"Risk",Risks!$M$2:$M$501,"&lt;&gt;Closed",Risks!$O$2:$O$501,"High"))</f>
        <v/>
      </c>
      <c r="AE32" s="37" t="str">
        <f aca="false">IF(A32="","",IF(AC32&gt;0,"Red",IF(AD32&gt;0,"Amber","Green")))</f>
        <v/>
      </c>
      <c r="AF32" s="37" t="str">
        <f aca="false">IF(A32="","",IF(OR(Z32="Red",AB32="Red",AE32="Red"),"Red",IF(OR(Z32="Amber",AB32="Amber",AE32="Amber"),"Amber","Green")))</f>
        <v/>
      </c>
      <c r="AG32" s="37" t="str">
        <f aca="false">IF(A32="","",COUNTIFS(Tasks!$A$2:$A$1001,A32,Tasks!$D$2:$D$1001,"&lt;&gt;Done",Tasks!$B$2:$B$1001,"&lt;&gt;"))</f>
        <v/>
      </c>
      <c r="AH32" s="37" t="str">
        <f aca="false">IF(A32="","",COUNTIFS(Actions!$A$2:$A$501,A32,Actions!$H$2:$H$501,"&lt;&gt;Done",Actions!$C$2:$C$501,"&lt;&gt;"))</f>
        <v/>
      </c>
      <c r="AI32" s="37" t="str">
        <f aca="false">IF(A32="","",COUNTIFS(RFIs!$A$2:$A$501,A32,RFIs!$G$2:$G$501,"Open"))</f>
        <v/>
      </c>
      <c r="AJ32" s="37" t="str">
        <f aca="false">IF(A32="","",COUNTIFS(Defects!$A$2:$A$501,A32,Defects!$H$2:$H$501,"Open"))</f>
        <v/>
      </c>
      <c r="AK32" s="37" t="str">
        <f aca="false">IF(A32="","","Schedule: "&amp;IF(Y32="","no dates / not tracked",TEXT(Y32,"0%")&amp;" of timeframe elapsed")&amp;" | Budget: "&amp;IF(AA32="","no approved budget or cash flow",TEXT(AA32,"0%")&amp;" of budget forecast")&amp;" | Risk: "&amp;AC32&amp;" critical, "&amp;AD32&amp;" high open")</f>
        <v/>
      </c>
    </row>
    <row r="33" customFormat="false" ht="15" hidden="false" customHeight="false" outlineLevel="0" collapsed="false">
      <c r="A33" s="32"/>
      <c r="B33" s="33"/>
      <c r="C33" s="32"/>
      <c r="D33" s="32"/>
      <c r="E33" s="32"/>
      <c r="F33" s="32"/>
      <c r="G33" s="32"/>
      <c r="H33" s="32"/>
      <c r="I33" s="32"/>
      <c r="J33" s="32"/>
      <c r="K33" s="34"/>
      <c r="L33" s="34"/>
      <c r="M33" s="34"/>
      <c r="N33" s="35"/>
      <c r="O33" s="35"/>
      <c r="P33" s="35"/>
      <c r="Q33" s="36" t="str">
        <f aca="false">IF(A33="","",SUMIFS(Variations!$F$2:$F$501,Variations!$A$2:$A$501,A33,Variations!$H$2:$H$501,"Approved"))</f>
        <v/>
      </c>
      <c r="R33" s="36" t="str">
        <f aca="false">IF(A33="","",IF(M33&lt;&gt;"",M33,IF(L33="","",L33+Q33)))</f>
        <v/>
      </c>
      <c r="S33" s="36" t="str">
        <f aca="false">IF(A33="","",SUMIFS('Cash Flow'!$D$2:$D$2001,'Cash Flow'!$A$2:$A$2001,A33,'Cash Flow'!$C$2:$C$2001,"Actual"))</f>
        <v/>
      </c>
      <c r="T33" s="36" t="str">
        <f aca="false">IF(A33="","",SUMIFS('Cash Flow'!$F$2:$F$2001,'Cash Flow'!$A$2:$A$2001,A33))</f>
        <v/>
      </c>
      <c r="U33" s="36" t="str">
        <f aca="false">IF(A33="","",IF(R33="","",R33-T33))</f>
        <v/>
      </c>
      <c r="V33" s="37" t="str">
        <f aca="false">IF(A33="","",SUMIFS('EOT Claims'!$L$2:$L$501,'EOT Claims'!$A$2:$A$501,A33))</f>
        <v/>
      </c>
      <c r="W33" s="38" t="str">
        <f aca="false">IF(A33="","",IF(O33="","",O33+V33))</f>
        <v/>
      </c>
      <c r="X33" s="37" t="str">
        <f aca="true">IF(A33="","",IF(O33="","",IF(AND(NOT(OR(D33="Project Completion",D33="Defects Liability",D33="Complete",D33="Cancelled")),O33&lt;TODAY()),"Overdue","")))</f>
        <v/>
      </c>
      <c r="Y33" s="39" t="str">
        <f aca="true">IF(A33="","",IF(OR(N33="",W33=""),"",IF(W33&lt;=N33,"",(TODAY()-N33)/(W33-N33))))</f>
        <v/>
      </c>
      <c r="Z33" s="37" t="str">
        <f aca="false">IF(A33="","",IF(OR(Y33="",OR(D33="Project Completion",D33="Defects Liability",D33="Complete",D33="Cancelled")),"Green",IF(Y33&gt;1.15,"Red",IF(Y33&gt;=0.95,"Amber","Green"))))</f>
        <v/>
      </c>
      <c r="AA33" s="39" t="str">
        <f aca="false">IF(A33="","",IF(R33="","",IF(OR(R33&lt;=0,COUNTIFS('Cash Flow'!$A$2:$A$2001,A33)=0),"",T33/R33)))</f>
        <v/>
      </c>
      <c r="AB33" s="37" t="str">
        <f aca="false">IF(A33="","",IF(AA33="","Green",IF(AA33&gt;1.15,"Red",IF(AA33&gt;=0.95,"Amber","Green"))))</f>
        <v/>
      </c>
      <c r="AC33" s="37" t="str">
        <f aca="false">IF(A33="","",COUNTIFS(Risks!$A$2:$A$501,A33,Risks!$B$2:$B$501,"Risk",Risks!$M$2:$M$501,"&lt;&gt;Closed",Risks!$O$2:$O$501,"Critical"))</f>
        <v/>
      </c>
      <c r="AD33" s="37" t="str">
        <f aca="false">IF(A33="","",COUNTIFS(Risks!$A$2:$A$501,A33,Risks!$B$2:$B$501,"Risk",Risks!$M$2:$M$501,"&lt;&gt;Closed",Risks!$O$2:$O$501,"High"))</f>
        <v/>
      </c>
      <c r="AE33" s="37" t="str">
        <f aca="false">IF(A33="","",IF(AC33&gt;0,"Red",IF(AD33&gt;0,"Amber","Green")))</f>
        <v/>
      </c>
      <c r="AF33" s="37" t="str">
        <f aca="false">IF(A33="","",IF(OR(Z33="Red",AB33="Red",AE33="Red"),"Red",IF(OR(Z33="Amber",AB33="Amber",AE33="Amber"),"Amber","Green")))</f>
        <v/>
      </c>
      <c r="AG33" s="37" t="str">
        <f aca="false">IF(A33="","",COUNTIFS(Tasks!$A$2:$A$1001,A33,Tasks!$D$2:$D$1001,"&lt;&gt;Done",Tasks!$B$2:$B$1001,"&lt;&gt;"))</f>
        <v/>
      </c>
      <c r="AH33" s="37" t="str">
        <f aca="false">IF(A33="","",COUNTIFS(Actions!$A$2:$A$501,A33,Actions!$H$2:$H$501,"&lt;&gt;Done",Actions!$C$2:$C$501,"&lt;&gt;"))</f>
        <v/>
      </c>
      <c r="AI33" s="37" t="str">
        <f aca="false">IF(A33="","",COUNTIFS(RFIs!$A$2:$A$501,A33,RFIs!$G$2:$G$501,"Open"))</f>
        <v/>
      </c>
      <c r="AJ33" s="37" t="str">
        <f aca="false">IF(A33="","",COUNTIFS(Defects!$A$2:$A$501,A33,Defects!$H$2:$H$501,"Open"))</f>
        <v/>
      </c>
      <c r="AK33" s="37" t="str">
        <f aca="false">IF(A33="","","Schedule: "&amp;IF(Y33="","no dates / not tracked",TEXT(Y33,"0%")&amp;" of timeframe elapsed")&amp;" | Budget: "&amp;IF(AA33="","no approved budget or cash flow",TEXT(AA33,"0%")&amp;" of budget forecast")&amp;" | Risk: "&amp;AC33&amp;" critical, "&amp;AD33&amp;" high open")</f>
        <v/>
      </c>
    </row>
    <row r="34" customFormat="false" ht="15" hidden="false" customHeight="false" outlineLevel="0" collapsed="false">
      <c r="A34" s="32"/>
      <c r="B34" s="33"/>
      <c r="C34" s="32"/>
      <c r="D34" s="32"/>
      <c r="E34" s="32"/>
      <c r="F34" s="32"/>
      <c r="G34" s="32"/>
      <c r="H34" s="32"/>
      <c r="I34" s="32"/>
      <c r="J34" s="32"/>
      <c r="K34" s="34"/>
      <c r="L34" s="34"/>
      <c r="M34" s="34"/>
      <c r="N34" s="35"/>
      <c r="O34" s="35"/>
      <c r="P34" s="35"/>
      <c r="Q34" s="36" t="str">
        <f aca="false">IF(A34="","",SUMIFS(Variations!$F$2:$F$501,Variations!$A$2:$A$501,A34,Variations!$H$2:$H$501,"Approved"))</f>
        <v/>
      </c>
      <c r="R34" s="36" t="str">
        <f aca="false">IF(A34="","",IF(M34&lt;&gt;"",M34,IF(L34="","",L34+Q34)))</f>
        <v/>
      </c>
      <c r="S34" s="36" t="str">
        <f aca="false">IF(A34="","",SUMIFS('Cash Flow'!$D$2:$D$2001,'Cash Flow'!$A$2:$A$2001,A34,'Cash Flow'!$C$2:$C$2001,"Actual"))</f>
        <v/>
      </c>
      <c r="T34" s="36" t="str">
        <f aca="false">IF(A34="","",SUMIFS('Cash Flow'!$F$2:$F$2001,'Cash Flow'!$A$2:$A$2001,A34))</f>
        <v/>
      </c>
      <c r="U34" s="36" t="str">
        <f aca="false">IF(A34="","",IF(R34="","",R34-T34))</f>
        <v/>
      </c>
      <c r="V34" s="37" t="str">
        <f aca="false">IF(A34="","",SUMIFS('EOT Claims'!$L$2:$L$501,'EOT Claims'!$A$2:$A$501,A34))</f>
        <v/>
      </c>
      <c r="W34" s="38" t="str">
        <f aca="false">IF(A34="","",IF(O34="","",O34+V34))</f>
        <v/>
      </c>
      <c r="X34" s="37" t="str">
        <f aca="true">IF(A34="","",IF(O34="","",IF(AND(NOT(OR(D34="Project Completion",D34="Defects Liability",D34="Complete",D34="Cancelled")),O34&lt;TODAY()),"Overdue","")))</f>
        <v/>
      </c>
      <c r="Y34" s="39" t="str">
        <f aca="true">IF(A34="","",IF(OR(N34="",W34=""),"",IF(W34&lt;=N34,"",(TODAY()-N34)/(W34-N34))))</f>
        <v/>
      </c>
      <c r="Z34" s="37" t="str">
        <f aca="false">IF(A34="","",IF(OR(Y34="",OR(D34="Project Completion",D34="Defects Liability",D34="Complete",D34="Cancelled")),"Green",IF(Y34&gt;1.15,"Red",IF(Y34&gt;=0.95,"Amber","Green"))))</f>
        <v/>
      </c>
      <c r="AA34" s="39" t="str">
        <f aca="false">IF(A34="","",IF(R34="","",IF(OR(R34&lt;=0,COUNTIFS('Cash Flow'!$A$2:$A$2001,A34)=0),"",T34/R34)))</f>
        <v/>
      </c>
      <c r="AB34" s="37" t="str">
        <f aca="false">IF(A34="","",IF(AA34="","Green",IF(AA34&gt;1.15,"Red",IF(AA34&gt;=0.95,"Amber","Green"))))</f>
        <v/>
      </c>
      <c r="AC34" s="37" t="str">
        <f aca="false">IF(A34="","",COUNTIFS(Risks!$A$2:$A$501,A34,Risks!$B$2:$B$501,"Risk",Risks!$M$2:$M$501,"&lt;&gt;Closed",Risks!$O$2:$O$501,"Critical"))</f>
        <v/>
      </c>
      <c r="AD34" s="37" t="str">
        <f aca="false">IF(A34="","",COUNTIFS(Risks!$A$2:$A$501,A34,Risks!$B$2:$B$501,"Risk",Risks!$M$2:$M$501,"&lt;&gt;Closed",Risks!$O$2:$O$501,"High"))</f>
        <v/>
      </c>
      <c r="AE34" s="37" t="str">
        <f aca="false">IF(A34="","",IF(AC34&gt;0,"Red",IF(AD34&gt;0,"Amber","Green")))</f>
        <v/>
      </c>
      <c r="AF34" s="37" t="str">
        <f aca="false">IF(A34="","",IF(OR(Z34="Red",AB34="Red",AE34="Red"),"Red",IF(OR(Z34="Amber",AB34="Amber",AE34="Amber"),"Amber","Green")))</f>
        <v/>
      </c>
      <c r="AG34" s="37" t="str">
        <f aca="false">IF(A34="","",COUNTIFS(Tasks!$A$2:$A$1001,A34,Tasks!$D$2:$D$1001,"&lt;&gt;Done",Tasks!$B$2:$B$1001,"&lt;&gt;"))</f>
        <v/>
      </c>
      <c r="AH34" s="37" t="str">
        <f aca="false">IF(A34="","",COUNTIFS(Actions!$A$2:$A$501,A34,Actions!$H$2:$H$501,"&lt;&gt;Done",Actions!$C$2:$C$501,"&lt;&gt;"))</f>
        <v/>
      </c>
      <c r="AI34" s="37" t="str">
        <f aca="false">IF(A34="","",COUNTIFS(RFIs!$A$2:$A$501,A34,RFIs!$G$2:$G$501,"Open"))</f>
        <v/>
      </c>
      <c r="AJ34" s="37" t="str">
        <f aca="false">IF(A34="","",COUNTIFS(Defects!$A$2:$A$501,A34,Defects!$H$2:$H$501,"Open"))</f>
        <v/>
      </c>
      <c r="AK34" s="37" t="str">
        <f aca="false">IF(A34="","","Schedule: "&amp;IF(Y34="","no dates / not tracked",TEXT(Y34,"0%")&amp;" of timeframe elapsed")&amp;" | Budget: "&amp;IF(AA34="","no approved budget or cash flow",TEXT(AA34,"0%")&amp;" of budget forecast")&amp;" | Risk: "&amp;AC34&amp;" critical, "&amp;AD34&amp;" high open")</f>
        <v/>
      </c>
    </row>
    <row r="35" customFormat="false" ht="15" hidden="false" customHeight="false" outlineLevel="0" collapsed="false">
      <c r="A35" s="32"/>
      <c r="B35" s="33"/>
      <c r="C35" s="32"/>
      <c r="D35" s="32"/>
      <c r="E35" s="32"/>
      <c r="F35" s="32"/>
      <c r="G35" s="32"/>
      <c r="H35" s="32"/>
      <c r="I35" s="32"/>
      <c r="J35" s="32"/>
      <c r="K35" s="34"/>
      <c r="L35" s="34"/>
      <c r="M35" s="34"/>
      <c r="N35" s="35"/>
      <c r="O35" s="35"/>
      <c r="P35" s="35"/>
      <c r="Q35" s="36" t="str">
        <f aca="false">IF(A35="","",SUMIFS(Variations!$F$2:$F$501,Variations!$A$2:$A$501,A35,Variations!$H$2:$H$501,"Approved"))</f>
        <v/>
      </c>
      <c r="R35" s="36" t="str">
        <f aca="false">IF(A35="","",IF(M35&lt;&gt;"",M35,IF(L35="","",L35+Q35)))</f>
        <v/>
      </c>
      <c r="S35" s="36" t="str">
        <f aca="false">IF(A35="","",SUMIFS('Cash Flow'!$D$2:$D$2001,'Cash Flow'!$A$2:$A$2001,A35,'Cash Flow'!$C$2:$C$2001,"Actual"))</f>
        <v/>
      </c>
      <c r="T35" s="36" t="str">
        <f aca="false">IF(A35="","",SUMIFS('Cash Flow'!$F$2:$F$2001,'Cash Flow'!$A$2:$A$2001,A35))</f>
        <v/>
      </c>
      <c r="U35" s="36" t="str">
        <f aca="false">IF(A35="","",IF(R35="","",R35-T35))</f>
        <v/>
      </c>
      <c r="V35" s="37" t="str">
        <f aca="false">IF(A35="","",SUMIFS('EOT Claims'!$L$2:$L$501,'EOT Claims'!$A$2:$A$501,A35))</f>
        <v/>
      </c>
      <c r="W35" s="38" t="str">
        <f aca="false">IF(A35="","",IF(O35="","",O35+V35))</f>
        <v/>
      </c>
      <c r="X35" s="37" t="str">
        <f aca="true">IF(A35="","",IF(O35="","",IF(AND(NOT(OR(D35="Project Completion",D35="Defects Liability",D35="Complete",D35="Cancelled")),O35&lt;TODAY()),"Overdue","")))</f>
        <v/>
      </c>
      <c r="Y35" s="39" t="str">
        <f aca="true">IF(A35="","",IF(OR(N35="",W35=""),"",IF(W35&lt;=N35,"",(TODAY()-N35)/(W35-N35))))</f>
        <v/>
      </c>
      <c r="Z35" s="37" t="str">
        <f aca="false">IF(A35="","",IF(OR(Y35="",OR(D35="Project Completion",D35="Defects Liability",D35="Complete",D35="Cancelled")),"Green",IF(Y35&gt;1.15,"Red",IF(Y35&gt;=0.95,"Amber","Green"))))</f>
        <v/>
      </c>
      <c r="AA35" s="39" t="str">
        <f aca="false">IF(A35="","",IF(R35="","",IF(OR(R35&lt;=0,COUNTIFS('Cash Flow'!$A$2:$A$2001,A35)=0),"",T35/R35)))</f>
        <v/>
      </c>
      <c r="AB35" s="37" t="str">
        <f aca="false">IF(A35="","",IF(AA35="","Green",IF(AA35&gt;1.15,"Red",IF(AA35&gt;=0.95,"Amber","Green"))))</f>
        <v/>
      </c>
      <c r="AC35" s="37" t="str">
        <f aca="false">IF(A35="","",COUNTIFS(Risks!$A$2:$A$501,A35,Risks!$B$2:$B$501,"Risk",Risks!$M$2:$M$501,"&lt;&gt;Closed",Risks!$O$2:$O$501,"Critical"))</f>
        <v/>
      </c>
      <c r="AD35" s="37" t="str">
        <f aca="false">IF(A35="","",COUNTIFS(Risks!$A$2:$A$501,A35,Risks!$B$2:$B$501,"Risk",Risks!$M$2:$M$501,"&lt;&gt;Closed",Risks!$O$2:$O$501,"High"))</f>
        <v/>
      </c>
      <c r="AE35" s="37" t="str">
        <f aca="false">IF(A35="","",IF(AC35&gt;0,"Red",IF(AD35&gt;0,"Amber","Green")))</f>
        <v/>
      </c>
      <c r="AF35" s="37" t="str">
        <f aca="false">IF(A35="","",IF(OR(Z35="Red",AB35="Red",AE35="Red"),"Red",IF(OR(Z35="Amber",AB35="Amber",AE35="Amber"),"Amber","Green")))</f>
        <v/>
      </c>
      <c r="AG35" s="37" t="str">
        <f aca="false">IF(A35="","",COUNTIFS(Tasks!$A$2:$A$1001,A35,Tasks!$D$2:$D$1001,"&lt;&gt;Done",Tasks!$B$2:$B$1001,"&lt;&gt;"))</f>
        <v/>
      </c>
      <c r="AH35" s="37" t="str">
        <f aca="false">IF(A35="","",COUNTIFS(Actions!$A$2:$A$501,A35,Actions!$H$2:$H$501,"&lt;&gt;Done",Actions!$C$2:$C$501,"&lt;&gt;"))</f>
        <v/>
      </c>
      <c r="AI35" s="37" t="str">
        <f aca="false">IF(A35="","",COUNTIFS(RFIs!$A$2:$A$501,A35,RFIs!$G$2:$G$501,"Open"))</f>
        <v/>
      </c>
      <c r="AJ35" s="37" t="str">
        <f aca="false">IF(A35="","",COUNTIFS(Defects!$A$2:$A$501,A35,Defects!$H$2:$H$501,"Open"))</f>
        <v/>
      </c>
      <c r="AK35" s="37" t="str">
        <f aca="false">IF(A35="","","Schedule: "&amp;IF(Y35="","no dates / not tracked",TEXT(Y35,"0%")&amp;" of timeframe elapsed")&amp;" | Budget: "&amp;IF(AA35="","no approved budget or cash flow",TEXT(AA35,"0%")&amp;" of budget forecast")&amp;" | Risk: "&amp;AC35&amp;" critical, "&amp;AD35&amp;" high open")</f>
        <v/>
      </c>
    </row>
    <row r="36" customFormat="false" ht="15" hidden="false" customHeight="false" outlineLevel="0" collapsed="false">
      <c r="A36" s="32"/>
      <c r="B36" s="33"/>
      <c r="C36" s="32"/>
      <c r="D36" s="32"/>
      <c r="E36" s="32"/>
      <c r="F36" s="32"/>
      <c r="G36" s="32"/>
      <c r="H36" s="32"/>
      <c r="I36" s="32"/>
      <c r="J36" s="32"/>
      <c r="K36" s="34"/>
      <c r="L36" s="34"/>
      <c r="M36" s="34"/>
      <c r="N36" s="35"/>
      <c r="O36" s="35"/>
      <c r="P36" s="35"/>
      <c r="Q36" s="36" t="str">
        <f aca="false">IF(A36="","",SUMIFS(Variations!$F$2:$F$501,Variations!$A$2:$A$501,A36,Variations!$H$2:$H$501,"Approved"))</f>
        <v/>
      </c>
      <c r="R36" s="36" t="str">
        <f aca="false">IF(A36="","",IF(M36&lt;&gt;"",M36,IF(L36="","",L36+Q36)))</f>
        <v/>
      </c>
      <c r="S36" s="36" t="str">
        <f aca="false">IF(A36="","",SUMIFS('Cash Flow'!$D$2:$D$2001,'Cash Flow'!$A$2:$A$2001,A36,'Cash Flow'!$C$2:$C$2001,"Actual"))</f>
        <v/>
      </c>
      <c r="T36" s="36" t="str">
        <f aca="false">IF(A36="","",SUMIFS('Cash Flow'!$F$2:$F$2001,'Cash Flow'!$A$2:$A$2001,A36))</f>
        <v/>
      </c>
      <c r="U36" s="36" t="str">
        <f aca="false">IF(A36="","",IF(R36="","",R36-T36))</f>
        <v/>
      </c>
      <c r="V36" s="37" t="str">
        <f aca="false">IF(A36="","",SUMIFS('EOT Claims'!$L$2:$L$501,'EOT Claims'!$A$2:$A$501,A36))</f>
        <v/>
      </c>
      <c r="W36" s="38" t="str">
        <f aca="false">IF(A36="","",IF(O36="","",O36+V36))</f>
        <v/>
      </c>
      <c r="X36" s="37" t="str">
        <f aca="true">IF(A36="","",IF(O36="","",IF(AND(NOT(OR(D36="Project Completion",D36="Defects Liability",D36="Complete",D36="Cancelled")),O36&lt;TODAY()),"Overdue","")))</f>
        <v/>
      </c>
      <c r="Y36" s="39" t="str">
        <f aca="true">IF(A36="","",IF(OR(N36="",W36=""),"",IF(W36&lt;=N36,"",(TODAY()-N36)/(W36-N36))))</f>
        <v/>
      </c>
      <c r="Z36" s="37" t="str">
        <f aca="false">IF(A36="","",IF(OR(Y36="",OR(D36="Project Completion",D36="Defects Liability",D36="Complete",D36="Cancelled")),"Green",IF(Y36&gt;1.15,"Red",IF(Y36&gt;=0.95,"Amber","Green"))))</f>
        <v/>
      </c>
      <c r="AA36" s="39" t="str">
        <f aca="false">IF(A36="","",IF(R36="","",IF(OR(R36&lt;=0,COUNTIFS('Cash Flow'!$A$2:$A$2001,A36)=0),"",T36/R36)))</f>
        <v/>
      </c>
      <c r="AB36" s="37" t="str">
        <f aca="false">IF(A36="","",IF(AA36="","Green",IF(AA36&gt;1.15,"Red",IF(AA36&gt;=0.95,"Amber","Green"))))</f>
        <v/>
      </c>
      <c r="AC36" s="37" t="str">
        <f aca="false">IF(A36="","",COUNTIFS(Risks!$A$2:$A$501,A36,Risks!$B$2:$B$501,"Risk",Risks!$M$2:$M$501,"&lt;&gt;Closed",Risks!$O$2:$O$501,"Critical"))</f>
        <v/>
      </c>
      <c r="AD36" s="37" t="str">
        <f aca="false">IF(A36="","",COUNTIFS(Risks!$A$2:$A$501,A36,Risks!$B$2:$B$501,"Risk",Risks!$M$2:$M$501,"&lt;&gt;Closed",Risks!$O$2:$O$501,"High"))</f>
        <v/>
      </c>
      <c r="AE36" s="37" t="str">
        <f aca="false">IF(A36="","",IF(AC36&gt;0,"Red",IF(AD36&gt;0,"Amber","Green")))</f>
        <v/>
      </c>
      <c r="AF36" s="37" t="str">
        <f aca="false">IF(A36="","",IF(OR(Z36="Red",AB36="Red",AE36="Red"),"Red",IF(OR(Z36="Amber",AB36="Amber",AE36="Amber"),"Amber","Green")))</f>
        <v/>
      </c>
      <c r="AG36" s="37" t="str">
        <f aca="false">IF(A36="","",COUNTIFS(Tasks!$A$2:$A$1001,A36,Tasks!$D$2:$D$1001,"&lt;&gt;Done",Tasks!$B$2:$B$1001,"&lt;&gt;"))</f>
        <v/>
      </c>
      <c r="AH36" s="37" t="str">
        <f aca="false">IF(A36="","",COUNTIFS(Actions!$A$2:$A$501,A36,Actions!$H$2:$H$501,"&lt;&gt;Done",Actions!$C$2:$C$501,"&lt;&gt;"))</f>
        <v/>
      </c>
      <c r="AI36" s="37" t="str">
        <f aca="false">IF(A36="","",COUNTIFS(RFIs!$A$2:$A$501,A36,RFIs!$G$2:$G$501,"Open"))</f>
        <v/>
      </c>
      <c r="AJ36" s="37" t="str">
        <f aca="false">IF(A36="","",COUNTIFS(Defects!$A$2:$A$501,A36,Defects!$H$2:$H$501,"Open"))</f>
        <v/>
      </c>
      <c r="AK36" s="37" t="str">
        <f aca="false">IF(A36="","","Schedule: "&amp;IF(Y36="","no dates / not tracked",TEXT(Y36,"0%")&amp;" of timeframe elapsed")&amp;" | Budget: "&amp;IF(AA36="","no approved budget or cash flow",TEXT(AA36,"0%")&amp;" of budget forecast")&amp;" | Risk: "&amp;AC36&amp;" critical, "&amp;AD36&amp;" high open")</f>
        <v/>
      </c>
    </row>
    <row r="37" customFormat="false" ht="15" hidden="false" customHeight="false" outlineLevel="0" collapsed="false">
      <c r="A37" s="32"/>
      <c r="B37" s="33"/>
      <c r="C37" s="32"/>
      <c r="D37" s="32"/>
      <c r="E37" s="32"/>
      <c r="F37" s="32"/>
      <c r="G37" s="32"/>
      <c r="H37" s="32"/>
      <c r="I37" s="32"/>
      <c r="J37" s="32"/>
      <c r="K37" s="34"/>
      <c r="L37" s="34"/>
      <c r="M37" s="34"/>
      <c r="N37" s="35"/>
      <c r="O37" s="35"/>
      <c r="P37" s="35"/>
      <c r="Q37" s="36" t="str">
        <f aca="false">IF(A37="","",SUMIFS(Variations!$F$2:$F$501,Variations!$A$2:$A$501,A37,Variations!$H$2:$H$501,"Approved"))</f>
        <v/>
      </c>
      <c r="R37" s="36" t="str">
        <f aca="false">IF(A37="","",IF(M37&lt;&gt;"",M37,IF(L37="","",L37+Q37)))</f>
        <v/>
      </c>
      <c r="S37" s="36" t="str">
        <f aca="false">IF(A37="","",SUMIFS('Cash Flow'!$D$2:$D$2001,'Cash Flow'!$A$2:$A$2001,A37,'Cash Flow'!$C$2:$C$2001,"Actual"))</f>
        <v/>
      </c>
      <c r="T37" s="36" t="str">
        <f aca="false">IF(A37="","",SUMIFS('Cash Flow'!$F$2:$F$2001,'Cash Flow'!$A$2:$A$2001,A37))</f>
        <v/>
      </c>
      <c r="U37" s="36" t="str">
        <f aca="false">IF(A37="","",IF(R37="","",R37-T37))</f>
        <v/>
      </c>
      <c r="V37" s="37" t="str">
        <f aca="false">IF(A37="","",SUMIFS('EOT Claims'!$L$2:$L$501,'EOT Claims'!$A$2:$A$501,A37))</f>
        <v/>
      </c>
      <c r="W37" s="38" t="str">
        <f aca="false">IF(A37="","",IF(O37="","",O37+V37))</f>
        <v/>
      </c>
      <c r="X37" s="37" t="str">
        <f aca="true">IF(A37="","",IF(O37="","",IF(AND(NOT(OR(D37="Project Completion",D37="Defects Liability",D37="Complete",D37="Cancelled")),O37&lt;TODAY()),"Overdue","")))</f>
        <v/>
      </c>
      <c r="Y37" s="39" t="str">
        <f aca="true">IF(A37="","",IF(OR(N37="",W37=""),"",IF(W37&lt;=N37,"",(TODAY()-N37)/(W37-N37))))</f>
        <v/>
      </c>
      <c r="Z37" s="37" t="str">
        <f aca="false">IF(A37="","",IF(OR(Y37="",OR(D37="Project Completion",D37="Defects Liability",D37="Complete",D37="Cancelled")),"Green",IF(Y37&gt;1.15,"Red",IF(Y37&gt;=0.95,"Amber","Green"))))</f>
        <v/>
      </c>
      <c r="AA37" s="39" t="str">
        <f aca="false">IF(A37="","",IF(R37="","",IF(OR(R37&lt;=0,COUNTIFS('Cash Flow'!$A$2:$A$2001,A37)=0),"",T37/R37)))</f>
        <v/>
      </c>
      <c r="AB37" s="37" t="str">
        <f aca="false">IF(A37="","",IF(AA37="","Green",IF(AA37&gt;1.15,"Red",IF(AA37&gt;=0.95,"Amber","Green"))))</f>
        <v/>
      </c>
      <c r="AC37" s="37" t="str">
        <f aca="false">IF(A37="","",COUNTIFS(Risks!$A$2:$A$501,A37,Risks!$B$2:$B$501,"Risk",Risks!$M$2:$M$501,"&lt;&gt;Closed",Risks!$O$2:$O$501,"Critical"))</f>
        <v/>
      </c>
      <c r="AD37" s="37" t="str">
        <f aca="false">IF(A37="","",COUNTIFS(Risks!$A$2:$A$501,A37,Risks!$B$2:$B$501,"Risk",Risks!$M$2:$M$501,"&lt;&gt;Closed",Risks!$O$2:$O$501,"High"))</f>
        <v/>
      </c>
      <c r="AE37" s="37" t="str">
        <f aca="false">IF(A37="","",IF(AC37&gt;0,"Red",IF(AD37&gt;0,"Amber","Green")))</f>
        <v/>
      </c>
      <c r="AF37" s="37" t="str">
        <f aca="false">IF(A37="","",IF(OR(Z37="Red",AB37="Red",AE37="Red"),"Red",IF(OR(Z37="Amber",AB37="Amber",AE37="Amber"),"Amber","Green")))</f>
        <v/>
      </c>
      <c r="AG37" s="37" t="str">
        <f aca="false">IF(A37="","",COUNTIFS(Tasks!$A$2:$A$1001,A37,Tasks!$D$2:$D$1001,"&lt;&gt;Done",Tasks!$B$2:$B$1001,"&lt;&gt;"))</f>
        <v/>
      </c>
      <c r="AH37" s="37" t="str">
        <f aca="false">IF(A37="","",COUNTIFS(Actions!$A$2:$A$501,A37,Actions!$H$2:$H$501,"&lt;&gt;Done",Actions!$C$2:$C$501,"&lt;&gt;"))</f>
        <v/>
      </c>
      <c r="AI37" s="37" t="str">
        <f aca="false">IF(A37="","",COUNTIFS(RFIs!$A$2:$A$501,A37,RFIs!$G$2:$G$501,"Open"))</f>
        <v/>
      </c>
      <c r="AJ37" s="37" t="str">
        <f aca="false">IF(A37="","",COUNTIFS(Defects!$A$2:$A$501,A37,Defects!$H$2:$H$501,"Open"))</f>
        <v/>
      </c>
      <c r="AK37" s="37" t="str">
        <f aca="false">IF(A37="","","Schedule: "&amp;IF(Y37="","no dates / not tracked",TEXT(Y37,"0%")&amp;" of timeframe elapsed")&amp;" | Budget: "&amp;IF(AA37="","no approved budget or cash flow",TEXT(AA37,"0%")&amp;" of budget forecast")&amp;" | Risk: "&amp;AC37&amp;" critical, "&amp;AD37&amp;" high open")</f>
        <v/>
      </c>
    </row>
    <row r="38" customFormat="false" ht="15" hidden="false" customHeight="false" outlineLevel="0" collapsed="false">
      <c r="A38" s="32"/>
      <c r="B38" s="33"/>
      <c r="C38" s="32"/>
      <c r="D38" s="32"/>
      <c r="E38" s="32"/>
      <c r="F38" s="32"/>
      <c r="G38" s="32"/>
      <c r="H38" s="32"/>
      <c r="I38" s="32"/>
      <c r="J38" s="32"/>
      <c r="K38" s="34"/>
      <c r="L38" s="34"/>
      <c r="M38" s="34"/>
      <c r="N38" s="35"/>
      <c r="O38" s="35"/>
      <c r="P38" s="35"/>
      <c r="Q38" s="36" t="str">
        <f aca="false">IF(A38="","",SUMIFS(Variations!$F$2:$F$501,Variations!$A$2:$A$501,A38,Variations!$H$2:$H$501,"Approved"))</f>
        <v/>
      </c>
      <c r="R38" s="36" t="str">
        <f aca="false">IF(A38="","",IF(M38&lt;&gt;"",M38,IF(L38="","",L38+Q38)))</f>
        <v/>
      </c>
      <c r="S38" s="36" t="str">
        <f aca="false">IF(A38="","",SUMIFS('Cash Flow'!$D$2:$D$2001,'Cash Flow'!$A$2:$A$2001,A38,'Cash Flow'!$C$2:$C$2001,"Actual"))</f>
        <v/>
      </c>
      <c r="T38" s="36" t="str">
        <f aca="false">IF(A38="","",SUMIFS('Cash Flow'!$F$2:$F$2001,'Cash Flow'!$A$2:$A$2001,A38))</f>
        <v/>
      </c>
      <c r="U38" s="36" t="str">
        <f aca="false">IF(A38="","",IF(R38="","",R38-T38))</f>
        <v/>
      </c>
      <c r="V38" s="37" t="str">
        <f aca="false">IF(A38="","",SUMIFS('EOT Claims'!$L$2:$L$501,'EOT Claims'!$A$2:$A$501,A38))</f>
        <v/>
      </c>
      <c r="W38" s="38" t="str">
        <f aca="false">IF(A38="","",IF(O38="","",O38+V38))</f>
        <v/>
      </c>
      <c r="X38" s="37" t="str">
        <f aca="true">IF(A38="","",IF(O38="","",IF(AND(NOT(OR(D38="Project Completion",D38="Defects Liability",D38="Complete",D38="Cancelled")),O38&lt;TODAY()),"Overdue","")))</f>
        <v/>
      </c>
      <c r="Y38" s="39" t="str">
        <f aca="true">IF(A38="","",IF(OR(N38="",W38=""),"",IF(W38&lt;=N38,"",(TODAY()-N38)/(W38-N38))))</f>
        <v/>
      </c>
      <c r="Z38" s="37" t="str">
        <f aca="false">IF(A38="","",IF(OR(Y38="",OR(D38="Project Completion",D38="Defects Liability",D38="Complete",D38="Cancelled")),"Green",IF(Y38&gt;1.15,"Red",IF(Y38&gt;=0.95,"Amber","Green"))))</f>
        <v/>
      </c>
      <c r="AA38" s="39" t="str">
        <f aca="false">IF(A38="","",IF(R38="","",IF(OR(R38&lt;=0,COUNTIFS('Cash Flow'!$A$2:$A$2001,A38)=0),"",T38/R38)))</f>
        <v/>
      </c>
      <c r="AB38" s="37" t="str">
        <f aca="false">IF(A38="","",IF(AA38="","Green",IF(AA38&gt;1.15,"Red",IF(AA38&gt;=0.95,"Amber","Green"))))</f>
        <v/>
      </c>
      <c r="AC38" s="37" t="str">
        <f aca="false">IF(A38="","",COUNTIFS(Risks!$A$2:$A$501,A38,Risks!$B$2:$B$501,"Risk",Risks!$M$2:$M$501,"&lt;&gt;Closed",Risks!$O$2:$O$501,"Critical"))</f>
        <v/>
      </c>
      <c r="AD38" s="37" t="str">
        <f aca="false">IF(A38="","",COUNTIFS(Risks!$A$2:$A$501,A38,Risks!$B$2:$B$501,"Risk",Risks!$M$2:$M$501,"&lt;&gt;Closed",Risks!$O$2:$O$501,"High"))</f>
        <v/>
      </c>
      <c r="AE38" s="37" t="str">
        <f aca="false">IF(A38="","",IF(AC38&gt;0,"Red",IF(AD38&gt;0,"Amber","Green")))</f>
        <v/>
      </c>
      <c r="AF38" s="37" t="str">
        <f aca="false">IF(A38="","",IF(OR(Z38="Red",AB38="Red",AE38="Red"),"Red",IF(OR(Z38="Amber",AB38="Amber",AE38="Amber"),"Amber","Green")))</f>
        <v/>
      </c>
      <c r="AG38" s="37" t="str">
        <f aca="false">IF(A38="","",COUNTIFS(Tasks!$A$2:$A$1001,A38,Tasks!$D$2:$D$1001,"&lt;&gt;Done",Tasks!$B$2:$B$1001,"&lt;&gt;"))</f>
        <v/>
      </c>
      <c r="AH38" s="37" t="str">
        <f aca="false">IF(A38="","",COUNTIFS(Actions!$A$2:$A$501,A38,Actions!$H$2:$H$501,"&lt;&gt;Done",Actions!$C$2:$C$501,"&lt;&gt;"))</f>
        <v/>
      </c>
      <c r="AI38" s="37" t="str">
        <f aca="false">IF(A38="","",COUNTIFS(RFIs!$A$2:$A$501,A38,RFIs!$G$2:$G$501,"Open"))</f>
        <v/>
      </c>
      <c r="AJ38" s="37" t="str">
        <f aca="false">IF(A38="","",COUNTIFS(Defects!$A$2:$A$501,A38,Defects!$H$2:$H$501,"Open"))</f>
        <v/>
      </c>
      <c r="AK38" s="37" t="str">
        <f aca="false">IF(A38="","","Schedule: "&amp;IF(Y38="","no dates / not tracked",TEXT(Y38,"0%")&amp;" of timeframe elapsed")&amp;" | Budget: "&amp;IF(AA38="","no approved budget or cash flow",TEXT(AA38,"0%")&amp;" of budget forecast")&amp;" | Risk: "&amp;AC38&amp;" critical, "&amp;AD38&amp;" high open")</f>
        <v/>
      </c>
    </row>
    <row r="39" customFormat="false" ht="15" hidden="false" customHeight="false" outlineLevel="0" collapsed="false">
      <c r="A39" s="32"/>
      <c r="B39" s="33"/>
      <c r="C39" s="32"/>
      <c r="D39" s="32"/>
      <c r="E39" s="32"/>
      <c r="F39" s="32"/>
      <c r="G39" s="32"/>
      <c r="H39" s="32"/>
      <c r="I39" s="32"/>
      <c r="J39" s="32"/>
      <c r="K39" s="34"/>
      <c r="L39" s="34"/>
      <c r="M39" s="34"/>
      <c r="N39" s="35"/>
      <c r="O39" s="35"/>
      <c r="P39" s="35"/>
      <c r="Q39" s="36" t="str">
        <f aca="false">IF(A39="","",SUMIFS(Variations!$F$2:$F$501,Variations!$A$2:$A$501,A39,Variations!$H$2:$H$501,"Approved"))</f>
        <v/>
      </c>
      <c r="R39" s="36" t="str">
        <f aca="false">IF(A39="","",IF(M39&lt;&gt;"",M39,IF(L39="","",L39+Q39)))</f>
        <v/>
      </c>
      <c r="S39" s="36" t="str">
        <f aca="false">IF(A39="","",SUMIFS('Cash Flow'!$D$2:$D$2001,'Cash Flow'!$A$2:$A$2001,A39,'Cash Flow'!$C$2:$C$2001,"Actual"))</f>
        <v/>
      </c>
      <c r="T39" s="36" t="str">
        <f aca="false">IF(A39="","",SUMIFS('Cash Flow'!$F$2:$F$2001,'Cash Flow'!$A$2:$A$2001,A39))</f>
        <v/>
      </c>
      <c r="U39" s="36" t="str">
        <f aca="false">IF(A39="","",IF(R39="","",R39-T39))</f>
        <v/>
      </c>
      <c r="V39" s="37" t="str">
        <f aca="false">IF(A39="","",SUMIFS('EOT Claims'!$L$2:$L$501,'EOT Claims'!$A$2:$A$501,A39))</f>
        <v/>
      </c>
      <c r="W39" s="38" t="str">
        <f aca="false">IF(A39="","",IF(O39="","",O39+V39))</f>
        <v/>
      </c>
      <c r="X39" s="37" t="str">
        <f aca="true">IF(A39="","",IF(O39="","",IF(AND(NOT(OR(D39="Project Completion",D39="Defects Liability",D39="Complete",D39="Cancelled")),O39&lt;TODAY()),"Overdue","")))</f>
        <v/>
      </c>
      <c r="Y39" s="39" t="str">
        <f aca="true">IF(A39="","",IF(OR(N39="",W39=""),"",IF(W39&lt;=N39,"",(TODAY()-N39)/(W39-N39))))</f>
        <v/>
      </c>
      <c r="Z39" s="37" t="str">
        <f aca="false">IF(A39="","",IF(OR(Y39="",OR(D39="Project Completion",D39="Defects Liability",D39="Complete",D39="Cancelled")),"Green",IF(Y39&gt;1.15,"Red",IF(Y39&gt;=0.95,"Amber","Green"))))</f>
        <v/>
      </c>
      <c r="AA39" s="39" t="str">
        <f aca="false">IF(A39="","",IF(R39="","",IF(OR(R39&lt;=0,COUNTIFS('Cash Flow'!$A$2:$A$2001,A39)=0),"",T39/R39)))</f>
        <v/>
      </c>
      <c r="AB39" s="37" t="str">
        <f aca="false">IF(A39="","",IF(AA39="","Green",IF(AA39&gt;1.15,"Red",IF(AA39&gt;=0.95,"Amber","Green"))))</f>
        <v/>
      </c>
      <c r="AC39" s="37" t="str">
        <f aca="false">IF(A39="","",COUNTIFS(Risks!$A$2:$A$501,A39,Risks!$B$2:$B$501,"Risk",Risks!$M$2:$M$501,"&lt;&gt;Closed",Risks!$O$2:$O$501,"Critical"))</f>
        <v/>
      </c>
      <c r="AD39" s="37" t="str">
        <f aca="false">IF(A39="","",COUNTIFS(Risks!$A$2:$A$501,A39,Risks!$B$2:$B$501,"Risk",Risks!$M$2:$M$501,"&lt;&gt;Closed",Risks!$O$2:$O$501,"High"))</f>
        <v/>
      </c>
      <c r="AE39" s="37" t="str">
        <f aca="false">IF(A39="","",IF(AC39&gt;0,"Red",IF(AD39&gt;0,"Amber","Green")))</f>
        <v/>
      </c>
      <c r="AF39" s="37" t="str">
        <f aca="false">IF(A39="","",IF(OR(Z39="Red",AB39="Red",AE39="Red"),"Red",IF(OR(Z39="Amber",AB39="Amber",AE39="Amber"),"Amber","Green")))</f>
        <v/>
      </c>
      <c r="AG39" s="37" t="str">
        <f aca="false">IF(A39="","",COUNTIFS(Tasks!$A$2:$A$1001,A39,Tasks!$D$2:$D$1001,"&lt;&gt;Done",Tasks!$B$2:$B$1001,"&lt;&gt;"))</f>
        <v/>
      </c>
      <c r="AH39" s="37" t="str">
        <f aca="false">IF(A39="","",COUNTIFS(Actions!$A$2:$A$501,A39,Actions!$H$2:$H$501,"&lt;&gt;Done",Actions!$C$2:$C$501,"&lt;&gt;"))</f>
        <v/>
      </c>
      <c r="AI39" s="37" t="str">
        <f aca="false">IF(A39="","",COUNTIFS(RFIs!$A$2:$A$501,A39,RFIs!$G$2:$G$501,"Open"))</f>
        <v/>
      </c>
      <c r="AJ39" s="37" t="str">
        <f aca="false">IF(A39="","",COUNTIFS(Defects!$A$2:$A$501,A39,Defects!$H$2:$H$501,"Open"))</f>
        <v/>
      </c>
      <c r="AK39" s="37" t="str">
        <f aca="false">IF(A39="","","Schedule: "&amp;IF(Y39="","no dates / not tracked",TEXT(Y39,"0%")&amp;" of timeframe elapsed")&amp;" | Budget: "&amp;IF(AA39="","no approved budget or cash flow",TEXT(AA39,"0%")&amp;" of budget forecast")&amp;" | Risk: "&amp;AC39&amp;" critical, "&amp;AD39&amp;" high open")</f>
        <v/>
      </c>
    </row>
    <row r="40" customFormat="false" ht="15" hidden="false" customHeight="false" outlineLevel="0" collapsed="false">
      <c r="A40" s="32"/>
      <c r="B40" s="33"/>
      <c r="C40" s="32"/>
      <c r="D40" s="32"/>
      <c r="E40" s="32"/>
      <c r="F40" s="32"/>
      <c r="G40" s="32"/>
      <c r="H40" s="32"/>
      <c r="I40" s="32"/>
      <c r="J40" s="32"/>
      <c r="K40" s="34"/>
      <c r="L40" s="34"/>
      <c r="M40" s="34"/>
      <c r="N40" s="35"/>
      <c r="O40" s="35"/>
      <c r="P40" s="35"/>
      <c r="Q40" s="36" t="str">
        <f aca="false">IF(A40="","",SUMIFS(Variations!$F$2:$F$501,Variations!$A$2:$A$501,A40,Variations!$H$2:$H$501,"Approved"))</f>
        <v/>
      </c>
      <c r="R40" s="36" t="str">
        <f aca="false">IF(A40="","",IF(M40&lt;&gt;"",M40,IF(L40="","",L40+Q40)))</f>
        <v/>
      </c>
      <c r="S40" s="36" t="str">
        <f aca="false">IF(A40="","",SUMIFS('Cash Flow'!$D$2:$D$2001,'Cash Flow'!$A$2:$A$2001,A40,'Cash Flow'!$C$2:$C$2001,"Actual"))</f>
        <v/>
      </c>
      <c r="T40" s="36" t="str">
        <f aca="false">IF(A40="","",SUMIFS('Cash Flow'!$F$2:$F$2001,'Cash Flow'!$A$2:$A$2001,A40))</f>
        <v/>
      </c>
      <c r="U40" s="36" t="str">
        <f aca="false">IF(A40="","",IF(R40="","",R40-T40))</f>
        <v/>
      </c>
      <c r="V40" s="37" t="str">
        <f aca="false">IF(A40="","",SUMIFS('EOT Claims'!$L$2:$L$501,'EOT Claims'!$A$2:$A$501,A40))</f>
        <v/>
      </c>
      <c r="W40" s="38" t="str">
        <f aca="false">IF(A40="","",IF(O40="","",O40+V40))</f>
        <v/>
      </c>
      <c r="X40" s="37" t="str">
        <f aca="true">IF(A40="","",IF(O40="","",IF(AND(NOT(OR(D40="Project Completion",D40="Defects Liability",D40="Complete",D40="Cancelled")),O40&lt;TODAY()),"Overdue","")))</f>
        <v/>
      </c>
      <c r="Y40" s="39" t="str">
        <f aca="true">IF(A40="","",IF(OR(N40="",W40=""),"",IF(W40&lt;=N40,"",(TODAY()-N40)/(W40-N40))))</f>
        <v/>
      </c>
      <c r="Z40" s="37" t="str">
        <f aca="false">IF(A40="","",IF(OR(Y40="",OR(D40="Project Completion",D40="Defects Liability",D40="Complete",D40="Cancelled")),"Green",IF(Y40&gt;1.15,"Red",IF(Y40&gt;=0.95,"Amber","Green"))))</f>
        <v/>
      </c>
      <c r="AA40" s="39" t="str">
        <f aca="false">IF(A40="","",IF(R40="","",IF(OR(R40&lt;=0,COUNTIFS('Cash Flow'!$A$2:$A$2001,A40)=0),"",T40/R40)))</f>
        <v/>
      </c>
      <c r="AB40" s="37" t="str">
        <f aca="false">IF(A40="","",IF(AA40="","Green",IF(AA40&gt;1.15,"Red",IF(AA40&gt;=0.95,"Amber","Green"))))</f>
        <v/>
      </c>
      <c r="AC40" s="37" t="str">
        <f aca="false">IF(A40="","",COUNTIFS(Risks!$A$2:$A$501,A40,Risks!$B$2:$B$501,"Risk",Risks!$M$2:$M$501,"&lt;&gt;Closed",Risks!$O$2:$O$501,"Critical"))</f>
        <v/>
      </c>
      <c r="AD40" s="37" t="str">
        <f aca="false">IF(A40="","",COUNTIFS(Risks!$A$2:$A$501,A40,Risks!$B$2:$B$501,"Risk",Risks!$M$2:$M$501,"&lt;&gt;Closed",Risks!$O$2:$O$501,"High"))</f>
        <v/>
      </c>
      <c r="AE40" s="37" t="str">
        <f aca="false">IF(A40="","",IF(AC40&gt;0,"Red",IF(AD40&gt;0,"Amber","Green")))</f>
        <v/>
      </c>
      <c r="AF40" s="37" t="str">
        <f aca="false">IF(A40="","",IF(OR(Z40="Red",AB40="Red",AE40="Red"),"Red",IF(OR(Z40="Amber",AB40="Amber",AE40="Amber"),"Amber","Green")))</f>
        <v/>
      </c>
      <c r="AG40" s="37" t="str">
        <f aca="false">IF(A40="","",COUNTIFS(Tasks!$A$2:$A$1001,A40,Tasks!$D$2:$D$1001,"&lt;&gt;Done",Tasks!$B$2:$B$1001,"&lt;&gt;"))</f>
        <v/>
      </c>
      <c r="AH40" s="37" t="str">
        <f aca="false">IF(A40="","",COUNTIFS(Actions!$A$2:$A$501,A40,Actions!$H$2:$H$501,"&lt;&gt;Done",Actions!$C$2:$C$501,"&lt;&gt;"))</f>
        <v/>
      </c>
      <c r="AI40" s="37" t="str">
        <f aca="false">IF(A40="","",COUNTIFS(RFIs!$A$2:$A$501,A40,RFIs!$G$2:$G$501,"Open"))</f>
        <v/>
      </c>
      <c r="AJ40" s="37" t="str">
        <f aca="false">IF(A40="","",COUNTIFS(Defects!$A$2:$A$501,A40,Defects!$H$2:$H$501,"Open"))</f>
        <v/>
      </c>
      <c r="AK40" s="37" t="str">
        <f aca="false">IF(A40="","","Schedule: "&amp;IF(Y40="","no dates / not tracked",TEXT(Y40,"0%")&amp;" of timeframe elapsed")&amp;" | Budget: "&amp;IF(AA40="","no approved budget or cash flow",TEXT(AA40,"0%")&amp;" of budget forecast")&amp;" | Risk: "&amp;AC40&amp;" critical, "&amp;AD40&amp;" high open")</f>
        <v/>
      </c>
    </row>
    <row r="41" customFormat="false" ht="15" hidden="false" customHeight="false" outlineLevel="0" collapsed="false">
      <c r="A41" s="32"/>
      <c r="B41" s="33"/>
      <c r="C41" s="32"/>
      <c r="D41" s="32"/>
      <c r="E41" s="32"/>
      <c r="F41" s="32"/>
      <c r="G41" s="32"/>
      <c r="H41" s="32"/>
      <c r="I41" s="32"/>
      <c r="J41" s="32"/>
      <c r="K41" s="34"/>
      <c r="L41" s="34"/>
      <c r="M41" s="34"/>
      <c r="N41" s="35"/>
      <c r="O41" s="35"/>
      <c r="P41" s="35"/>
      <c r="Q41" s="36" t="str">
        <f aca="false">IF(A41="","",SUMIFS(Variations!$F$2:$F$501,Variations!$A$2:$A$501,A41,Variations!$H$2:$H$501,"Approved"))</f>
        <v/>
      </c>
      <c r="R41" s="36" t="str">
        <f aca="false">IF(A41="","",IF(M41&lt;&gt;"",M41,IF(L41="","",L41+Q41)))</f>
        <v/>
      </c>
      <c r="S41" s="36" t="str">
        <f aca="false">IF(A41="","",SUMIFS('Cash Flow'!$D$2:$D$2001,'Cash Flow'!$A$2:$A$2001,A41,'Cash Flow'!$C$2:$C$2001,"Actual"))</f>
        <v/>
      </c>
      <c r="T41" s="36" t="str">
        <f aca="false">IF(A41="","",SUMIFS('Cash Flow'!$F$2:$F$2001,'Cash Flow'!$A$2:$A$2001,A41))</f>
        <v/>
      </c>
      <c r="U41" s="36" t="str">
        <f aca="false">IF(A41="","",IF(R41="","",R41-T41))</f>
        <v/>
      </c>
      <c r="V41" s="37" t="str">
        <f aca="false">IF(A41="","",SUMIFS('EOT Claims'!$L$2:$L$501,'EOT Claims'!$A$2:$A$501,A41))</f>
        <v/>
      </c>
      <c r="W41" s="38" t="str">
        <f aca="false">IF(A41="","",IF(O41="","",O41+V41))</f>
        <v/>
      </c>
      <c r="X41" s="37" t="str">
        <f aca="true">IF(A41="","",IF(O41="","",IF(AND(NOT(OR(D41="Project Completion",D41="Defects Liability",D41="Complete",D41="Cancelled")),O41&lt;TODAY()),"Overdue","")))</f>
        <v/>
      </c>
      <c r="Y41" s="39" t="str">
        <f aca="true">IF(A41="","",IF(OR(N41="",W41=""),"",IF(W41&lt;=N41,"",(TODAY()-N41)/(W41-N41))))</f>
        <v/>
      </c>
      <c r="Z41" s="37" t="str">
        <f aca="false">IF(A41="","",IF(OR(Y41="",OR(D41="Project Completion",D41="Defects Liability",D41="Complete",D41="Cancelled")),"Green",IF(Y41&gt;1.15,"Red",IF(Y41&gt;=0.95,"Amber","Green"))))</f>
        <v/>
      </c>
      <c r="AA41" s="39" t="str">
        <f aca="false">IF(A41="","",IF(R41="","",IF(OR(R41&lt;=0,COUNTIFS('Cash Flow'!$A$2:$A$2001,A41)=0),"",T41/R41)))</f>
        <v/>
      </c>
      <c r="AB41" s="37" t="str">
        <f aca="false">IF(A41="","",IF(AA41="","Green",IF(AA41&gt;1.15,"Red",IF(AA41&gt;=0.95,"Amber","Green"))))</f>
        <v/>
      </c>
      <c r="AC41" s="37" t="str">
        <f aca="false">IF(A41="","",COUNTIFS(Risks!$A$2:$A$501,A41,Risks!$B$2:$B$501,"Risk",Risks!$M$2:$M$501,"&lt;&gt;Closed",Risks!$O$2:$O$501,"Critical"))</f>
        <v/>
      </c>
      <c r="AD41" s="37" t="str">
        <f aca="false">IF(A41="","",COUNTIFS(Risks!$A$2:$A$501,A41,Risks!$B$2:$B$501,"Risk",Risks!$M$2:$M$501,"&lt;&gt;Closed",Risks!$O$2:$O$501,"High"))</f>
        <v/>
      </c>
      <c r="AE41" s="37" t="str">
        <f aca="false">IF(A41="","",IF(AC41&gt;0,"Red",IF(AD41&gt;0,"Amber","Green")))</f>
        <v/>
      </c>
      <c r="AF41" s="37" t="str">
        <f aca="false">IF(A41="","",IF(OR(Z41="Red",AB41="Red",AE41="Red"),"Red",IF(OR(Z41="Amber",AB41="Amber",AE41="Amber"),"Amber","Green")))</f>
        <v/>
      </c>
      <c r="AG41" s="37" t="str">
        <f aca="false">IF(A41="","",COUNTIFS(Tasks!$A$2:$A$1001,A41,Tasks!$D$2:$D$1001,"&lt;&gt;Done",Tasks!$B$2:$B$1001,"&lt;&gt;"))</f>
        <v/>
      </c>
      <c r="AH41" s="37" t="str">
        <f aca="false">IF(A41="","",COUNTIFS(Actions!$A$2:$A$501,A41,Actions!$H$2:$H$501,"&lt;&gt;Done",Actions!$C$2:$C$501,"&lt;&gt;"))</f>
        <v/>
      </c>
      <c r="AI41" s="37" t="str">
        <f aca="false">IF(A41="","",COUNTIFS(RFIs!$A$2:$A$501,A41,RFIs!$G$2:$G$501,"Open"))</f>
        <v/>
      </c>
      <c r="AJ41" s="37" t="str">
        <f aca="false">IF(A41="","",COUNTIFS(Defects!$A$2:$A$501,A41,Defects!$H$2:$H$501,"Open"))</f>
        <v/>
      </c>
      <c r="AK41" s="37" t="str">
        <f aca="false">IF(A41="","","Schedule: "&amp;IF(Y41="","no dates / not tracked",TEXT(Y41,"0%")&amp;" of timeframe elapsed")&amp;" | Budget: "&amp;IF(AA41="","no approved budget or cash flow",TEXT(AA41,"0%")&amp;" of budget forecast")&amp;" | Risk: "&amp;AC41&amp;" critical, "&amp;AD41&amp;" high open")</f>
        <v/>
      </c>
    </row>
    <row r="42" customFormat="false" ht="15" hidden="false" customHeight="false" outlineLevel="0" collapsed="false">
      <c r="A42" s="32"/>
      <c r="B42" s="33"/>
      <c r="C42" s="32"/>
      <c r="D42" s="32"/>
      <c r="E42" s="32"/>
      <c r="F42" s="32"/>
      <c r="G42" s="32"/>
      <c r="H42" s="32"/>
      <c r="I42" s="32"/>
      <c r="J42" s="32"/>
      <c r="K42" s="34"/>
      <c r="L42" s="34"/>
      <c r="M42" s="34"/>
      <c r="N42" s="35"/>
      <c r="O42" s="35"/>
      <c r="P42" s="35"/>
      <c r="Q42" s="36" t="str">
        <f aca="false">IF(A42="","",SUMIFS(Variations!$F$2:$F$501,Variations!$A$2:$A$501,A42,Variations!$H$2:$H$501,"Approved"))</f>
        <v/>
      </c>
      <c r="R42" s="36" t="str">
        <f aca="false">IF(A42="","",IF(M42&lt;&gt;"",M42,IF(L42="","",L42+Q42)))</f>
        <v/>
      </c>
      <c r="S42" s="36" t="str">
        <f aca="false">IF(A42="","",SUMIFS('Cash Flow'!$D$2:$D$2001,'Cash Flow'!$A$2:$A$2001,A42,'Cash Flow'!$C$2:$C$2001,"Actual"))</f>
        <v/>
      </c>
      <c r="T42" s="36" t="str">
        <f aca="false">IF(A42="","",SUMIFS('Cash Flow'!$F$2:$F$2001,'Cash Flow'!$A$2:$A$2001,A42))</f>
        <v/>
      </c>
      <c r="U42" s="36" t="str">
        <f aca="false">IF(A42="","",IF(R42="","",R42-T42))</f>
        <v/>
      </c>
      <c r="V42" s="37" t="str">
        <f aca="false">IF(A42="","",SUMIFS('EOT Claims'!$L$2:$L$501,'EOT Claims'!$A$2:$A$501,A42))</f>
        <v/>
      </c>
      <c r="W42" s="38" t="str">
        <f aca="false">IF(A42="","",IF(O42="","",O42+V42))</f>
        <v/>
      </c>
      <c r="X42" s="37" t="str">
        <f aca="true">IF(A42="","",IF(O42="","",IF(AND(NOT(OR(D42="Project Completion",D42="Defects Liability",D42="Complete",D42="Cancelled")),O42&lt;TODAY()),"Overdue","")))</f>
        <v/>
      </c>
      <c r="Y42" s="39" t="str">
        <f aca="true">IF(A42="","",IF(OR(N42="",W42=""),"",IF(W42&lt;=N42,"",(TODAY()-N42)/(W42-N42))))</f>
        <v/>
      </c>
      <c r="Z42" s="37" t="str">
        <f aca="false">IF(A42="","",IF(OR(Y42="",OR(D42="Project Completion",D42="Defects Liability",D42="Complete",D42="Cancelled")),"Green",IF(Y42&gt;1.15,"Red",IF(Y42&gt;=0.95,"Amber","Green"))))</f>
        <v/>
      </c>
      <c r="AA42" s="39" t="str">
        <f aca="false">IF(A42="","",IF(R42="","",IF(OR(R42&lt;=0,COUNTIFS('Cash Flow'!$A$2:$A$2001,A42)=0),"",T42/R42)))</f>
        <v/>
      </c>
      <c r="AB42" s="37" t="str">
        <f aca="false">IF(A42="","",IF(AA42="","Green",IF(AA42&gt;1.15,"Red",IF(AA42&gt;=0.95,"Amber","Green"))))</f>
        <v/>
      </c>
      <c r="AC42" s="37" t="str">
        <f aca="false">IF(A42="","",COUNTIFS(Risks!$A$2:$A$501,A42,Risks!$B$2:$B$501,"Risk",Risks!$M$2:$M$501,"&lt;&gt;Closed",Risks!$O$2:$O$501,"Critical"))</f>
        <v/>
      </c>
      <c r="AD42" s="37" t="str">
        <f aca="false">IF(A42="","",COUNTIFS(Risks!$A$2:$A$501,A42,Risks!$B$2:$B$501,"Risk",Risks!$M$2:$M$501,"&lt;&gt;Closed",Risks!$O$2:$O$501,"High"))</f>
        <v/>
      </c>
      <c r="AE42" s="37" t="str">
        <f aca="false">IF(A42="","",IF(AC42&gt;0,"Red",IF(AD42&gt;0,"Amber","Green")))</f>
        <v/>
      </c>
      <c r="AF42" s="37" t="str">
        <f aca="false">IF(A42="","",IF(OR(Z42="Red",AB42="Red",AE42="Red"),"Red",IF(OR(Z42="Amber",AB42="Amber",AE42="Amber"),"Amber","Green")))</f>
        <v/>
      </c>
      <c r="AG42" s="37" t="str">
        <f aca="false">IF(A42="","",COUNTIFS(Tasks!$A$2:$A$1001,A42,Tasks!$D$2:$D$1001,"&lt;&gt;Done",Tasks!$B$2:$B$1001,"&lt;&gt;"))</f>
        <v/>
      </c>
      <c r="AH42" s="37" t="str">
        <f aca="false">IF(A42="","",COUNTIFS(Actions!$A$2:$A$501,A42,Actions!$H$2:$H$501,"&lt;&gt;Done",Actions!$C$2:$C$501,"&lt;&gt;"))</f>
        <v/>
      </c>
      <c r="AI42" s="37" t="str">
        <f aca="false">IF(A42="","",COUNTIFS(RFIs!$A$2:$A$501,A42,RFIs!$G$2:$G$501,"Open"))</f>
        <v/>
      </c>
      <c r="AJ42" s="37" t="str">
        <f aca="false">IF(A42="","",COUNTIFS(Defects!$A$2:$A$501,A42,Defects!$H$2:$H$501,"Open"))</f>
        <v/>
      </c>
      <c r="AK42" s="37" t="str">
        <f aca="false">IF(A42="","","Schedule: "&amp;IF(Y42="","no dates / not tracked",TEXT(Y42,"0%")&amp;" of timeframe elapsed")&amp;" | Budget: "&amp;IF(AA42="","no approved budget or cash flow",TEXT(AA42,"0%")&amp;" of budget forecast")&amp;" | Risk: "&amp;AC42&amp;" critical, "&amp;AD42&amp;" high open")</f>
        <v/>
      </c>
    </row>
    <row r="43" customFormat="false" ht="15" hidden="false" customHeight="false" outlineLevel="0" collapsed="false">
      <c r="A43" s="32"/>
      <c r="B43" s="33"/>
      <c r="C43" s="32"/>
      <c r="D43" s="32"/>
      <c r="E43" s="32"/>
      <c r="F43" s="32"/>
      <c r="G43" s="32"/>
      <c r="H43" s="32"/>
      <c r="I43" s="32"/>
      <c r="J43" s="32"/>
      <c r="K43" s="34"/>
      <c r="L43" s="34"/>
      <c r="M43" s="34"/>
      <c r="N43" s="35"/>
      <c r="O43" s="35"/>
      <c r="P43" s="35"/>
      <c r="Q43" s="36" t="str">
        <f aca="false">IF(A43="","",SUMIFS(Variations!$F$2:$F$501,Variations!$A$2:$A$501,A43,Variations!$H$2:$H$501,"Approved"))</f>
        <v/>
      </c>
      <c r="R43" s="36" t="str">
        <f aca="false">IF(A43="","",IF(M43&lt;&gt;"",M43,IF(L43="","",L43+Q43)))</f>
        <v/>
      </c>
      <c r="S43" s="36" t="str">
        <f aca="false">IF(A43="","",SUMIFS('Cash Flow'!$D$2:$D$2001,'Cash Flow'!$A$2:$A$2001,A43,'Cash Flow'!$C$2:$C$2001,"Actual"))</f>
        <v/>
      </c>
      <c r="T43" s="36" t="str">
        <f aca="false">IF(A43="","",SUMIFS('Cash Flow'!$F$2:$F$2001,'Cash Flow'!$A$2:$A$2001,A43))</f>
        <v/>
      </c>
      <c r="U43" s="36" t="str">
        <f aca="false">IF(A43="","",IF(R43="","",R43-T43))</f>
        <v/>
      </c>
      <c r="V43" s="37" t="str">
        <f aca="false">IF(A43="","",SUMIFS('EOT Claims'!$L$2:$L$501,'EOT Claims'!$A$2:$A$501,A43))</f>
        <v/>
      </c>
      <c r="W43" s="38" t="str">
        <f aca="false">IF(A43="","",IF(O43="","",O43+V43))</f>
        <v/>
      </c>
      <c r="X43" s="37" t="str">
        <f aca="true">IF(A43="","",IF(O43="","",IF(AND(NOT(OR(D43="Project Completion",D43="Defects Liability",D43="Complete",D43="Cancelled")),O43&lt;TODAY()),"Overdue","")))</f>
        <v/>
      </c>
      <c r="Y43" s="39" t="str">
        <f aca="true">IF(A43="","",IF(OR(N43="",W43=""),"",IF(W43&lt;=N43,"",(TODAY()-N43)/(W43-N43))))</f>
        <v/>
      </c>
      <c r="Z43" s="37" t="str">
        <f aca="false">IF(A43="","",IF(OR(Y43="",OR(D43="Project Completion",D43="Defects Liability",D43="Complete",D43="Cancelled")),"Green",IF(Y43&gt;1.15,"Red",IF(Y43&gt;=0.95,"Amber","Green"))))</f>
        <v/>
      </c>
      <c r="AA43" s="39" t="str">
        <f aca="false">IF(A43="","",IF(R43="","",IF(OR(R43&lt;=0,COUNTIFS('Cash Flow'!$A$2:$A$2001,A43)=0),"",T43/R43)))</f>
        <v/>
      </c>
      <c r="AB43" s="37" t="str">
        <f aca="false">IF(A43="","",IF(AA43="","Green",IF(AA43&gt;1.15,"Red",IF(AA43&gt;=0.95,"Amber","Green"))))</f>
        <v/>
      </c>
      <c r="AC43" s="37" t="str">
        <f aca="false">IF(A43="","",COUNTIFS(Risks!$A$2:$A$501,A43,Risks!$B$2:$B$501,"Risk",Risks!$M$2:$M$501,"&lt;&gt;Closed",Risks!$O$2:$O$501,"Critical"))</f>
        <v/>
      </c>
      <c r="AD43" s="37" t="str">
        <f aca="false">IF(A43="","",COUNTIFS(Risks!$A$2:$A$501,A43,Risks!$B$2:$B$501,"Risk",Risks!$M$2:$M$501,"&lt;&gt;Closed",Risks!$O$2:$O$501,"High"))</f>
        <v/>
      </c>
      <c r="AE43" s="37" t="str">
        <f aca="false">IF(A43="","",IF(AC43&gt;0,"Red",IF(AD43&gt;0,"Amber","Green")))</f>
        <v/>
      </c>
      <c r="AF43" s="37" t="str">
        <f aca="false">IF(A43="","",IF(OR(Z43="Red",AB43="Red",AE43="Red"),"Red",IF(OR(Z43="Amber",AB43="Amber",AE43="Amber"),"Amber","Green")))</f>
        <v/>
      </c>
      <c r="AG43" s="37" t="str">
        <f aca="false">IF(A43="","",COUNTIFS(Tasks!$A$2:$A$1001,A43,Tasks!$D$2:$D$1001,"&lt;&gt;Done",Tasks!$B$2:$B$1001,"&lt;&gt;"))</f>
        <v/>
      </c>
      <c r="AH43" s="37" t="str">
        <f aca="false">IF(A43="","",COUNTIFS(Actions!$A$2:$A$501,A43,Actions!$H$2:$H$501,"&lt;&gt;Done",Actions!$C$2:$C$501,"&lt;&gt;"))</f>
        <v/>
      </c>
      <c r="AI43" s="37" t="str">
        <f aca="false">IF(A43="","",COUNTIFS(RFIs!$A$2:$A$501,A43,RFIs!$G$2:$G$501,"Open"))</f>
        <v/>
      </c>
      <c r="AJ43" s="37" t="str">
        <f aca="false">IF(A43="","",COUNTIFS(Defects!$A$2:$A$501,A43,Defects!$H$2:$H$501,"Open"))</f>
        <v/>
      </c>
      <c r="AK43" s="37" t="str">
        <f aca="false">IF(A43="","","Schedule: "&amp;IF(Y43="","no dates / not tracked",TEXT(Y43,"0%")&amp;" of timeframe elapsed")&amp;" | Budget: "&amp;IF(AA43="","no approved budget or cash flow",TEXT(AA43,"0%")&amp;" of budget forecast")&amp;" | Risk: "&amp;AC43&amp;" critical, "&amp;AD43&amp;" high open")</f>
        <v/>
      </c>
    </row>
    <row r="44" customFormat="false" ht="15" hidden="false" customHeight="false" outlineLevel="0" collapsed="false">
      <c r="A44" s="32"/>
      <c r="B44" s="33"/>
      <c r="C44" s="32"/>
      <c r="D44" s="32"/>
      <c r="E44" s="32"/>
      <c r="F44" s="32"/>
      <c r="G44" s="32"/>
      <c r="H44" s="32"/>
      <c r="I44" s="32"/>
      <c r="J44" s="32"/>
      <c r="K44" s="34"/>
      <c r="L44" s="34"/>
      <c r="M44" s="34"/>
      <c r="N44" s="35"/>
      <c r="O44" s="35"/>
      <c r="P44" s="35"/>
      <c r="Q44" s="36" t="str">
        <f aca="false">IF(A44="","",SUMIFS(Variations!$F$2:$F$501,Variations!$A$2:$A$501,A44,Variations!$H$2:$H$501,"Approved"))</f>
        <v/>
      </c>
      <c r="R44" s="36" t="str">
        <f aca="false">IF(A44="","",IF(M44&lt;&gt;"",M44,IF(L44="","",L44+Q44)))</f>
        <v/>
      </c>
      <c r="S44" s="36" t="str">
        <f aca="false">IF(A44="","",SUMIFS('Cash Flow'!$D$2:$D$2001,'Cash Flow'!$A$2:$A$2001,A44,'Cash Flow'!$C$2:$C$2001,"Actual"))</f>
        <v/>
      </c>
      <c r="T44" s="36" t="str">
        <f aca="false">IF(A44="","",SUMIFS('Cash Flow'!$F$2:$F$2001,'Cash Flow'!$A$2:$A$2001,A44))</f>
        <v/>
      </c>
      <c r="U44" s="36" t="str">
        <f aca="false">IF(A44="","",IF(R44="","",R44-T44))</f>
        <v/>
      </c>
      <c r="V44" s="37" t="str">
        <f aca="false">IF(A44="","",SUMIFS('EOT Claims'!$L$2:$L$501,'EOT Claims'!$A$2:$A$501,A44))</f>
        <v/>
      </c>
      <c r="W44" s="38" t="str">
        <f aca="false">IF(A44="","",IF(O44="","",O44+V44))</f>
        <v/>
      </c>
      <c r="X44" s="37" t="str">
        <f aca="true">IF(A44="","",IF(O44="","",IF(AND(NOT(OR(D44="Project Completion",D44="Defects Liability",D44="Complete",D44="Cancelled")),O44&lt;TODAY()),"Overdue","")))</f>
        <v/>
      </c>
      <c r="Y44" s="39" t="str">
        <f aca="true">IF(A44="","",IF(OR(N44="",W44=""),"",IF(W44&lt;=N44,"",(TODAY()-N44)/(W44-N44))))</f>
        <v/>
      </c>
      <c r="Z44" s="37" t="str">
        <f aca="false">IF(A44="","",IF(OR(Y44="",OR(D44="Project Completion",D44="Defects Liability",D44="Complete",D44="Cancelled")),"Green",IF(Y44&gt;1.15,"Red",IF(Y44&gt;=0.95,"Amber","Green"))))</f>
        <v/>
      </c>
      <c r="AA44" s="39" t="str">
        <f aca="false">IF(A44="","",IF(R44="","",IF(OR(R44&lt;=0,COUNTIFS('Cash Flow'!$A$2:$A$2001,A44)=0),"",T44/R44)))</f>
        <v/>
      </c>
      <c r="AB44" s="37" t="str">
        <f aca="false">IF(A44="","",IF(AA44="","Green",IF(AA44&gt;1.15,"Red",IF(AA44&gt;=0.95,"Amber","Green"))))</f>
        <v/>
      </c>
      <c r="AC44" s="37" t="str">
        <f aca="false">IF(A44="","",COUNTIFS(Risks!$A$2:$A$501,A44,Risks!$B$2:$B$501,"Risk",Risks!$M$2:$M$501,"&lt;&gt;Closed",Risks!$O$2:$O$501,"Critical"))</f>
        <v/>
      </c>
      <c r="AD44" s="37" t="str">
        <f aca="false">IF(A44="","",COUNTIFS(Risks!$A$2:$A$501,A44,Risks!$B$2:$B$501,"Risk",Risks!$M$2:$M$501,"&lt;&gt;Closed",Risks!$O$2:$O$501,"High"))</f>
        <v/>
      </c>
      <c r="AE44" s="37" t="str">
        <f aca="false">IF(A44="","",IF(AC44&gt;0,"Red",IF(AD44&gt;0,"Amber","Green")))</f>
        <v/>
      </c>
      <c r="AF44" s="37" t="str">
        <f aca="false">IF(A44="","",IF(OR(Z44="Red",AB44="Red",AE44="Red"),"Red",IF(OR(Z44="Amber",AB44="Amber",AE44="Amber"),"Amber","Green")))</f>
        <v/>
      </c>
      <c r="AG44" s="37" t="str">
        <f aca="false">IF(A44="","",COUNTIFS(Tasks!$A$2:$A$1001,A44,Tasks!$D$2:$D$1001,"&lt;&gt;Done",Tasks!$B$2:$B$1001,"&lt;&gt;"))</f>
        <v/>
      </c>
      <c r="AH44" s="37" t="str">
        <f aca="false">IF(A44="","",COUNTIFS(Actions!$A$2:$A$501,A44,Actions!$H$2:$H$501,"&lt;&gt;Done",Actions!$C$2:$C$501,"&lt;&gt;"))</f>
        <v/>
      </c>
      <c r="AI44" s="37" t="str">
        <f aca="false">IF(A44="","",COUNTIFS(RFIs!$A$2:$A$501,A44,RFIs!$G$2:$G$501,"Open"))</f>
        <v/>
      </c>
      <c r="AJ44" s="37" t="str">
        <f aca="false">IF(A44="","",COUNTIFS(Defects!$A$2:$A$501,A44,Defects!$H$2:$H$501,"Open"))</f>
        <v/>
      </c>
      <c r="AK44" s="37" t="str">
        <f aca="false">IF(A44="","","Schedule: "&amp;IF(Y44="","no dates / not tracked",TEXT(Y44,"0%")&amp;" of timeframe elapsed")&amp;" | Budget: "&amp;IF(AA44="","no approved budget or cash flow",TEXT(AA44,"0%")&amp;" of budget forecast")&amp;" | Risk: "&amp;AC44&amp;" critical, "&amp;AD44&amp;" high open")</f>
        <v/>
      </c>
    </row>
    <row r="45" customFormat="false" ht="15" hidden="false" customHeight="false" outlineLevel="0" collapsed="false">
      <c r="A45" s="32"/>
      <c r="B45" s="33"/>
      <c r="C45" s="32"/>
      <c r="D45" s="32"/>
      <c r="E45" s="32"/>
      <c r="F45" s="32"/>
      <c r="G45" s="32"/>
      <c r="H45" s="32"/>
      <c r="I45" s="32"/>
      <c r="J45" s="32"/>
      <c r="K45" s="34"/>
      <c r="L45" s="34"/>
      <c r="M45" s="34"/>
      <c r="N45" s="35"/>
      <c r="O45" s="35"/>
      <c r="P45" s="35"/>
      <c r="Q45" s="36" t="str">
        <f aca="false">IF(A45="","",SUMIFS(Variations!$F$2:$F$501,Variations!$A$2:$A$501,A45,Variations!$H$2:$H$501,"Approved"))</f>
        <v/>
      </c>
      <c r="R45" s="36" t="str">
        <f aca="false">IF(A45="","",IF(M45&lt;&gt;"",M45,IF(L45="","",L45+Q45)))</f>
        <v/>
      </c>
      <c r="S45" s="36" t="str">
        <f aca="false">IF(A45="","",SUMIFS('Cash Flow'!$D$2:$D$2001,'Cash Flow'!$A$2:$A$2001,A45,'Cash Flow'!$C$2:$C$2001,"Actual"))</f>
        <v/>
      </c>
      <c r="T45" s="36" t="str">
        <f aca="false">IF(A45="","",SUMIFS('Cash Flow'!$F$2:$F$2001,'Cash Flow'!$A$2:$A$2001,A45))</f>
        <v/>
      </c>
      <c r="U45" s="36" t="str">
        <f aca="false">IF(A45="","",IF(R45="","",R45-T45))</f>
        <v/>
      </c>
      <c r="V45" s="37" t="str">
        <f aca="false">IF(A45="","",SUMIFS('EOT Claims'!$L$2:$L$501,'EOT Claims'!$A$2:$A$501,A45))</f>
        <v/>
      </c>
      <c r="W45" s="38" t="str">
        <f aca="false">IF(A45="","",IF(O45="","",O45+V45))</f>
        <v/>
      </c>
      <c r="X45" s="37" t="str">
        <f aca="true">IF(A45="","",IF(O45="","",IF(AND(NOT(OR(D45="Project Completion",D45="Defects Liability",D45="Complete",D45="Cancelled")),O45&lt;TODAY()),"Overdue","")))</f>
        <v/>
      </c>
      <c r="Y45" s="39" t="str">
        <f aca="true">IF(A45="","",IF(OR(N45="",W45=""),"",IF(W45&lt;=N45,"",(TODAY()-N45)/(W45-N45))))</f>
        <v/>
      </c>
      <c r="Z45" s="37" t="str">
        <f aca="false">IF(A45="","",IF(OR(Y45="",OR(D45="Project Completion",D45="Defects Liability",D45="Complete",D45="Cancelled")),"Green",IF(Y45&gt;1.15,"Red",IF(Y45&gt;=0.95,"Amber","Green"))))</f>
        <v/>
      </c>
      <c r="AA45" s="39" t="str">
        <f aca="false">IF(A45="","",IF(R45="","",IF(OR(R45&lt;=0,COUNTIFS('Cash Flow'!$A$2:$A$2001,A45)=0),"",T45/R45)))</f>
        <v/>
      </c>
      <c r="AB45" s="37" t="str">
        <f aca="false">IF(A45="","",IF(AA45="","Green",IF(AA45&gt;1.15,"Red",IF(AA45&gt;=0.95,"Amber","Green"))))</f>
        <v/>
      </c>
      <c r="AC45" s="37" t="str">
        <f aca="false">IF(A45="","",COUNTIFS(Risks!$A$2:$A$501,A45,Risks!$B$2:$B$501,"Risk",Risks!$M$2:$M$501,"&lt;&gt;Closed",Risks!$O$2:$O$501,"Critical"))</f>
        <v/>
      </c>
      <c r="AD45" s="37" t="str">
        <f aca="false">IF(A45="","",COUNTIFS(Risks!$A$2:$A$501,A45,Risks!$B$2:$B$501,"Risk",Risks!$M$2:$M$501,"&lt;&gt;Closed",Risks!$O$2:$O$501,"High"))</f>
        <v/>
      </c>
      <c r="AE45" s="37" t="str">
        <f aca="false">IF(A45="","",IF(AC45&gt;0,"Red",IF(AD45&gt;0,"Amber","Green")))</f>
        <v/>
      </c>
      <c r="AF45" s="37" t="str">
        <f aca="false">IF(A45="","",IF(OR(Z45="Red",AB45="Red",AE45="Red"),"Red",IF(OR(Z45="Amber",AB45="Amber",AE45="Amber"),"Amber","Green")))</f>
        <v/>
      </c>
      <c r="AG45" s="37" t="str">
        <f aca="false">IF(A45="","",COUNTIFS(Tasks!$A$2:$A$1001,A45,Tasks!$D$2:$D$1001,"&lt;&gt;Done",Tasks!$B$2:$B$1001,"&lt;&gt;"))</f>
        <v/>
      </c>
      <c r="AH45" s="37" t="str">
        <f aca="false">IF(A45="","",COUNTIFS(Actions!$A$2:$A$501,A45,Actions!$H$2:$H$501,"&lt;&gt;Done",Actions!$C$2:$C$501,"&lt;&gt;"))</f>
        <v/>
      </c>
      <c r="AI45" s="37" t="str">
        <f aca="false">IF(A45="","",COUNTIFS(RFIs!$A$2:$A$501,A45,RFIs!$G$2:$G$501,"Open"))</f>
        <v/>
      </c>
      <c r="AJ45" s="37" t="str">
        <f aca="false">IF(A45="","",COUNTIFS(Defects!$A$2:$A$501,A45,Defects!$H$2:$H$501,"Open"))</f>
        <v/>
      </c>
      <c r="AK45" s="37" t="str">
        <f aca="false">IF(A45="","","Schedule: "&amp;IF(Y45="","no dates / not tracked",TEXT(Y45,"0%")&amp;" of timeframe elapsed")&amp;" | Budget: "&amp;IF(AA45="","no approved budget or cash flow",TEXT(AA45,"0%")&amp;" of budget forecast")&amp;" | Risk: "&amp;AC45&amp;" critical, "&amp;AD45&amp;" high open")</f>
        <v/>
      </c>
    </row>
    <row r="46" customFormat="false" ht="15" hidden="false" customHeight="false" outlineLevel="0" collapsed="false">
      <c r="A46" s="32"/>
      <c r="B46" s="33"/>
      <c r="C46" s="32"/>
      <c r="D46" s="32"/>
      <c r="E46" s="32"/>
      <c r="F46" s="32"/>
      <c r="G46" s="32"/>
      <c r="H46" s="32"/>
      <c r="I46" s="32"/>
      <c r="J46" s="32"/>
      <c r="K46" s="34"/>
      <c r="L46" s="34"/>
      <c r="M46" s="34"/>
      <c r="N46" s="35"/>
      <c r="O46" s="35"/>
      <c r="P46" s="35"/>
      <c r="Q46" s="36" t="str">
        <f aca="false">IF(A46="","",SUMIFS(Variations!$F$2:$F$501,Variations!$A$2:$A$501,A46,Variations!$H$2:$H$501,"Approved"))</f>
        <v/>
      </c>
      <c r="R46" s="36" t="str">
        <f aca="false">IF(A46="","",IF(M46&lt;&gt;"",M46,IF(L46="","",L46+Q46)))</f>
        <v/>
      </c>
      <c r="S46" s="36" t="str">
        <f aca="false">IF(A46="","",SUMIFS('Cash Flow'!$D$2:$D$2001,'Cash Flow'!$A$2:$A$2001,A46,'Cash Flow'!$C$2:$C$2001,"Actual"))</f>
        <v/>
      </c>
      <c r="T46" s="36" t="str">
        <f aca="false">IF(A46="","",SUMIFS('Cash Flow'!$F$2:$F$2001,'Cash Flow'!$A$2:$A$2001,A46))</f>
        <v/>
      </c>
      <c r="U46" s="36" t="str">
        <f aca="false">IF(A46="","",IF(R46="","",R46-T46))</f>
        <v/>
      </c>
      <c r="V46" s="37" t="str">
        <f aca="false">IF(A46="","",SUMIFS('EOT Claims'!$L$2:$L$501,'EOT Claims'!$A$2:$A$501,A46))</f>
        <v/>
      </c>
      <c r="W46" s="38" t="str">
        <f aca="false">IF(A46="","",IF(O46="","",O46+V46))</f>
        <v/>
      </c>
      <c r="X46" s="37" t="str">
        <f aca="true">IF(A46="","",IF(O46="","",IF(AND(NOT(OR(D46="Project Completion",D46="Defects Liability",D46="Complete",D46="Cancelled")),O46&lt;TODAY()),"Overdue","")))</f>
        <v/>
      </c>
      <c r="Y46" s="39" t="str">
        <f aca="true">IF(A46="","",IF(OR(N46="",W46=""),"",IF(W46&lt;=N46,"",(TODAY()-N46)/(W46-N46))))</f>
        <v/>
      </c>
      <c r="Z46" s="37" t="str">
        <f aca="false">IF(A46="","",IF(OR(Y46="",OR(D46="Project Completion",D46="Defects Liability",D46="Complete",D46="Cancelled")),"Green",IF(Y46&gt;1.15,"Red",IF(Y46&gt;=0.95,"Amber","Green"))))</f>
        <v/>
      </c>
      <c r="AA46" s="39" t="str">
        <f aca="false">IF(A46="","",IF(R46="","",IF(OR(R46&lt;=0,COUNTIFS('Cash Flow'!$A$2:$A$2001,A46)=0),"",T46/R46)))</f>
        <v/>
      </c>
      <c r="AB46" s="37" t="str">
        <f aca="false">IF(A46="","",IF(AA46="","Green",IF(AA46&gt;1.15,"Red",IF(AA46&gt;=0.95,"Amber","Green"))))</f>
        <v/>
      </c>
      <c r="AC46" s="37" t="str">
        <f aca="false">IF(A46="","",COUNTIFS(Risks!$A$2:$A$501,A46,Risks!$B$2:$B$501,"Risk",Risks!$M$2:$M$501,"&lt;&gt;Closed",Risks!$O$2:$O$501,"Critical"))</f>
        <v/>
      </c>
      <c r="AD46" s="37" t="str">
        <f aca="false">IF(A46="","",COUNTIFS(Risks!$A$2:$A$501,A46,Risks!$B$2:$B$501,"Risk",Risks!$M$2:$M$501,"&lt;&gt;Closed",Risks!$O$2:$O$501,"High"))</f>
        <v/>
      </c>
      <c r="AE46" s="37" t="str">
        <f aca="false">IF(A46="","",IF(AC46&gt;0,"Red",IF(AD46&gt;0,"Amber","Green")))</f>
        <v/>
      </c>
      <c r="AF46" s="37" t="str">
        <f aca="false">IF(A46="","",IF(OR(Z46="Red",AB46="Red",AE46="Red"),"Red",IF(OR(Z46="Amber",AB46="Amber",AE46="Amber"),"Amber","Green")))</f>
        <v/>
      </c>
      <c r="AG46" s="37" t="str">
        <f aca="false">IF(A46="","",COUNTIFS(Tasks!$A$2:$A$1001,A46,Tasks!$D$2:$D$1001,"&lt;&gt;Done",Tasks!$B$2:$B$1001,"&lt;&gt;"))</f>
        <v/>
      </c>
      <c r="AH46" s="37" t="str">
        <f aca="false">IF(A46="","",COUNTIFS(Actions!$A$2:$A$501,A46,Actions!$H$2:$H$501,"&lt;&gt;Done",Actions!$C$2:$C$501,"&lt;&gt;"))</f>
        <v/>
      </c>
      <c r="AI46" s="37" t="str">
        <f aca="false">IF(A46="","",COUNTIFS(RFIs!$A$2:$A$501,A46,RFIs!$G$2:$G$501,"Open"))</f>
        <v/>
      </c>
      <c r="AJ46" s="37" t="str">
        <f aca="false">IF(A46="","",COUNTIFS(Defects!$A$2:$A$501,A46,Defects!$H$2:$H$501,"Open"))</f>
        <v/>
      </c>
      <c r="AK46" s="37" t="str">
        <f aca="false">IF(A46="","","Schedule: "&amp;IF(Y46="","no dates / not tracked",TEXT(Y46,"0%")&amp;" of timeframe elapsed")&amp;" | Budget: "&amp;IF(AA46="","no approved budget or cash flow",TEXT(AA46,"0%")&amp;" of budget forecast")&amp;" | Risk: "&amp;AC46&amp;" critical, "&amp;AD46&amp;" high open")</f>
        <v/>
      </c>
    </row>
    <row r="47" customFormat="false" ht="15" hidden="false" customHeight="false" outlineLevel="0" collapsed="false">
      <c r="A47" s="32"/>
      <c r="B47" s="33"/>
      <c r="C47" s="32"/>
      <c r="D47" s="32"/>
      <c r="E47" s="32"/>
      <c r="F47" s="32"/>
      <c r="G47" s="32"/>
      <c r="H47" s="32"/>
      <c r="I47" s="32"/>
      <c r="J47" s="32"/>
      <c r="K47" s="34"/>
      <c r="L47" s="34"/>
      <c r="M47" s="34"/>
      <c r="N47" s="35"/>
      <c r="O47" s="35"/>
      <c r="P47" s="35"/>
      <c r="Q47" s="36" t="str">
        <f aca="false">IF(A47="","",SUMIFS(Variations!$F$2:$F$501,Variations!$A$2:$A$501,A47,Variations!$H$2:$H$501,"Approved"))</f>
        <v/>
      </c>
      <c r="R47" s="36" t="str">
        <f aca="false">IF(A47="","",IF(M47&lt;&gt;"",M47,IF(L47="","",L47+Q47)))</f>
        <v/>
      </c>
      <c r="S47" s="36" t="str">
        <f aca="false">IF(A47="","",SUMIFS('Cash Flow'!$D$2:$D$2001,'Cash Flow'!$A$2:$A$2001,A47,'Cash Flow'!$C$2:$C$2001,"Actual"))</f>
        <v/>
      </c>
      <c r="T47" s="36" t="str">
        <f aca="false">IF(A47="","",SUMIFS('Cash Flow'!$F$2:$F$2001,'Cash Flow'!$A$2:$A$2001,A47))</f>
        <v/>
      </c>
      <c r="U47" s="36" t="str">
        <f aca="false">IF(A47="","",IF(R47="","",R47-T47))</f>
        <v/>
      </c>
      <c r="V47" s="37" t="str">
        <f aca="false">IF(A47="","",SUMIFS('EOT Claims'!$L$2:$L$501,'EOT Claims'!$A$2:$A$501,A47))</f>
        <v/>
      </c>
      <c r="W47" s="38" t="str">
        <f aca="false">IF(A47="","",IF(O47="","",O47+V47))</f>
        <v/>
      </c>
      <c r="X47" s="37" t="str">
        <f aca="true">IF(A47="","",IF(O47="","",IF(AND(NOT(OR(D47="Project Completion",D47="Defects Liability",D47="Complete",D47="Cancelled")),O47&lt;TODAY()),"Overdue","")))</f>
        <v/>
      </c>
      <c r="Y47" s="39" t="str">
        <f aca="true">IF(A47="","",IF(OR(N47="",W47=""),"",IF(W47&lt;=N47,"",(TODAY()-N47)/(W47-N47))))</f>
        <v/>
      </c>
      <c r="Z47" s="37" t="str">
        <f aca="false">IF(A47="","",IF(OR(Y47="",OR(D47="Project Completion",D47="Defects Liability",D47="Complete",D47="Cancelled")),"Green",IF(Y47&gt;1.15,"Red",IF(Y47&gt;=0.95,"Amber","Green"))))</f>
        <v/>
      </c>
      <c r="AA47" s="39" t="str">
        <f aca="false">IF(A47="","",IF(R47="","",IF(OR(R47&lt;=0,COUNTIFS('Cash Flow'!$A$2:$A$2001,A47)=0),"",T47/R47)))</f>
        <v/>
      </c>
      <c r="AB47" s="37" t="str">
        <f aca="false">IF(A47="","",IF(AA47="","Green",IF(AA47&gt;1.15,"Red",IF(AA47&gt;=0.95,"Amber","Green"))))</f>
        <v/>
      </c>
      <c r="AC47" s="37" t="str">
        <f aca="false">IF(A47="","",COUNTIFS(Risks!$A$2:$A$501,A47,Risks!$B$2:$B$501,"Risk",Risks!$M$2:$M$501,"&lt;&gt;Closed",Risks!$O$2:$O$501,"Critical"))</f>
        <v/>
      </c>
      <c r="AD47" s="37" t="str">
        <f aca="false">IF(A47="","",COUNTIFS(Risks!$A$2:$A$501,A47,Risks!$B$2:$B$501,"Risk",Risks!$M$2:$M$501,"&lt;&gt;Closed",Risks!$O$2:$O$501,"High"))</f>
        <v/>
      </c>
      <c r="AE47" s="37" t="str">
        <f aca="false">IF(A47="","",IF(AC47&gt;0,"Red",IF(AD47&gt;0,"Amber","Green")))</f>
        <v/>
      </c>
      <c r="AF47" s="37" t="str">
        <f aca="false">IF(A47="","",IF(OR(Z47="Red",AB47="Red",AE47="Red"),"Red",IF(OR(Z47="Amber",AB47="Amber",AE47="Amber"),"Amber","Green")))</f>
        <v/>
      </c>
      <c r="AG47" s="37" t="str">
        <f aca="false">IF(A47="","",COUNTIFS(Tasks!$A$2:$A$1001,A47,Tasks!$D$2:$D$1001,"&lt;&gt;Done",Tasks!$B$2:$B$1001,"&lt;&gt;"))</f>
        <v/>
      </c>
      <c r="AH47" s="37" t="str">
        <f aca="false">IF(A47="","",COUNTIFS(Actions!$A$2:$A$501,A47,Actions!$H$2:$H$501,"&lt;&gt;Done",Actions!$C$2:$C$501,"&lt;&gt;"))</f>
        <v/>
      </c>
      <c r="AI47" s="37" t="str">
        <f aca="false">IF(A47="","",COUNTIFS(RFIs!$A$2:$A$501,A47,RFIs!$G$2:$G$501,"Open"))</f>
        <v/>
      </c>
      <c r="AJ47" s="37" t="str">
        <f aca="false">IF(A47="","",COUNTIFS(Defects!$A$2:$A$501,A47,Defects!$H$2:$H$501,"Open"))</f>
        <v/>
      </c>
      <c r="AK47" s="37" t="str">
        <f aca="false">IF(A47="","","Schedule: "&amp;IF(Y47="","no dates / not tracked",TEXT(Y47,"0%")&amp;" of timeframe elapsed")&amp;" | Budget: "&amp;IF(AA47="","no approved budget or cash flow",TEXT(AA47,"0%")&amp;" of budget forecast")&amp;" | Risk: "&amp;AC47&amp;" critical, "&amp;AD47&amp;" high open")</f>
        <v/>
      </c>
    </row>
    <row r="48" customFormat="false" ht="15" hidden="false" customHeight="false" outlineLevel="0" collapsed="false">
      <c r="A48" s="32"/>
      <c r="B48" s="33"/>
      <c r="C48" s="32"/>
      <c r="D48" s="32"/>
      <c r="E48" s="32"/>
      <c r="F48" s="32"/>
      <c r="G48" s="32"/>
      <c r="H48" s="32"/>
      <c r="I48" s="32"/>
      <c r="J48" s="32"/>
      <c r="K48" s="34"/>
      <c r="L48" s="34"/>
      <c r="M48" s="34"/>
      <c r="N48" s="35"/>
      <c r="O48" s="35"/>
      <c r="P48" s="35"/>
      <c r="Q48" s="36" t="str">
        <f aca="false">IF(A48="","",SUMIFS(Variations!$F$2:$F$501,Variations!$A$2:$A$501,A48,Variations!$H$2:$H$501,"Approved"))</f>
        <v/>
      </c>
      <c r="R48" s="36" t="str">
        <f aca="false">IF(A48="","",IF(M48&lt;&gt;"",M48,IF(L48="","",L48+Q48)))</f>
        <v/>
      </c>
      <c r="S48" s="36" t="str">
        <f aca="false">IF(A48="","",SUMIFS('Cash Flow'!$D$2:$D$2001,'Cash Flow'!$A$2:$A$2001,A48,'Cash Flow'!$C$2:$C$2001,"Actual"))</f>
        <v/>
      </c>
      <c r="T48" s="36" t="str">
        <f aca="false">IF(A48="","",SUMIFS('Cash Flow'!$F$2:$F$2001,'Cash Flow'!$A$2:$A$2001,A48))</f>
        <v/>
      </c>
      <c r="U48" s="36" t="str">
        <f aca="false">IF(A48="","",IF(R48="","",R48-T48))</f>
        <v/>
      </c>
      <c r="V48" s="37" t="str">
        <f aca="false">IF(A48="","",SUMIFS('EOT Claims'!$L$2:$L$501,'EOT Claims'!$A$2:$A$501,A48))</f>
        <v/>
      </c>
      <c r="W48" s="38" t="str">
        <f aca="false">IF(A48="","",IF(O48="","",O48+V48))</f>
        <v/>
      </c>
      <c r="X48" s="37" t="str">
        <f aca="true">IF(A48="","",IF(O48="","",IF(AND(NOT(OR(D48="Project Completion",D48="Defects Liability",D48="Complete",D48="Cancelled")),O48&lt;TODAY()),"Overdue","")))</f>
        <v/>
      </c>
      <c r="Y48" s="39" t="str">
        <f aca="true">IF(A48="","",IF(OR(N48="",W48=""),"",IF(W48&lt;=N48,"",(TODAY()-N48)/(W48-N48))))</f>
        <v/>
      </c>
      <c r="Z48" s="37" t="str">
        <f aca="false">IF(A48="","",IF(OR(Y48="",OR(D48="Project Completion",D48="Defects Liability",D48="Complete",D48="Cancelled")),"Green",IF(Y48&gt;1.15,"Red",IF(Y48&gt;=0.95,"Amber","Green"))))</f>
        <v/>
      </c>
      <c r="AA48" s="39" t="str">
        <f aca="false">IF(A48="","",IF(R48="","",IF(OR(R48&lt;=0,COUNTIFS('Cash Flow'!$A$2:$A$2001,A48)=0),"",T48/R48)))</f>
        <v/>
      </c>
      <c r="AB48" s="37" t="str">
        <f aca="false">IF(A48="","",IF(AA48="","Green",IF(AA48&gt;1.15,"Red",IF(AA48&gt;=0.95,"Amber","Green"))))</f>
        <v/>
      </c>
      <c r="AC48" s="37" t="str">
        <f aca="false">IF(A48="","",COUNTIFS(Risks!$A$2:$A$501,A48,Risks!$B$2:$B$501,"Risk",Risks!$M$2:$M$501,"&lt;&gt;Closed",Risks!$O$2:$O$501,"Critical"))</f>
        <v/>
      </c>
      <c r="AD48" s="37" t="str">
        <f aca="false">IF(A48="","",COUNTIFS(Risks!$A$2:$A$501,A48,Risks!$B$2:$B$501,"Risk",Risks!$M$2:$M$501,"&lt;&gt;Closed",Risks!$O$2:$O$501,"High"))</f>
        <v/>
      </c>
      <c r="AE48" s="37" t="str">
        <f aca="false">IF(A48="","",IF(AC48&gt;0,"Red",IF(AD48&gt;0,"Amber","Green")))</f>
        <v/>
      </c>
      <c r="AF48" s="37" t="str">
        <f aca="false">IF(A48="","",IF(OR(Z48="Red",AB48="Red",AE48="Red"),"Red",IF(OR(Z48="Amber",AB48="Amber",AE48="Amber"),"Amber","Green")))</f>
        <v/>
      </c>
      <c r="AG48" s="37" t="str">
        <f aca="false">IF(A48="","",COUNTIFS(Tasks!$A$2:$A$1001,A48,Tasks!$D$2:$D$1001,"&lt;&gt;Done",Tasks!$B$2:$B$1001,"&lt;&gt;"))</f>
        <v/>
      </c>
      <c r="AH48" s="37" t="str">
        <f aca="false">IF(A48="","",COUNTIFS(Actions!$A$2:$A$501,A48,Actions!$H$2:$H$501,"&lt;&gt;Done",Actions!$C$2:$C$501,"&lt;&gt;"))</f>
        <v/>
      </c>
      <c r="AI48" s="37" t="str">
        <f aca="false">IF(A48="","",COUNTIFS(RFIs!$A$2:$A$501,A48,RFIs!$G$2:$G$501,"Open"))</f>
        <v/>
      </c>
      <c r="AJ48" s="37" t="str">
        <f aca="false">IF(A48="","",COUNTIFS(Defects!$A$2:$A$501,A48,Defects!$H$2:$H$501,"Open"))</f>
        <v/>
      </c>
      <c r="AK48" s="37" t="str">
        <f aca="false">IF(A48="","","Schedule: "&amp;IF(Y48="","no dates / not tracked",TEXT(Y48,"0%")&amp;" of timeframe elapsed")&amp;" | Budget: "&amp;IF(AA48="","no approved budget or cash flow",TEXT(AA48,"0%")&amp;" of budget forecast")&amp;" | Risk: "&amp;AC48&amp;" critical, "&amp;AD48&amp;" high open")</f>
        <v/>
      </c>
    </row>
    <row r="49" customFormat="false" ht="15" hidden="false" customHeight="false" outlineLevel="0" collapsed="false">
      <c r="A49" s="32"/>
      <c r="B49" s="33"/>
      <c r="C49" s="32"/>
      <c r="D49" s="32"/>
      <c r="E49" s="32"/>
      <c r="F49" s="32"/>
      <c r="G49" s="32"/>
      <c r="H49" s="32"/>
      <c r="I49" s="32"/>
      <c r="J49" s="32"/>
      <c r="K49" s="34"/>
      <c r="L49" s="34"/>
      <c r="M49" s="34"/>
      <c r="N49" s="35"/>
      <c r="O49" s="35"/>
      <c r="P49" s="35"/>
      <c r="Q49" s="36" t="str">
        <f aca="false">IF(A49="","",SUMIFS(Variations!$F$2:$F$501,Variations!$A$2:$A$501,A49,Variations!$H$2:$H$501,"Approved"))</f>
        <v/>
      </c>
      <c r="R49" s="36" t="str">
        <f aca="false">IF(A49="","",IF(M49&lt;&gt;"",M49,IF(L49="","",L49+Q49)))</f>
        <v/>
      </c>
      <c r="S49" s="36" t="str">
        <f aca="false">IF(A49="","",SUMIFS('Cash Flow'!$D$2:$D$2001,'Cash Flow'!$A$2:$A$2001,A49,'Cash Flow'!$C$2:$C$2001,"Actual"))</f>
        <v/>
      </c>
      <c r="T49" s="36" t="str">
        <f aca="false">IF(A49="","",SUMIFS('Cash Flow'!$F$2:$F$2001,'Cash Flow'!$A$2:$A$2001,A49))</f>
        <v/>
      </c>
      <c r="U49" s="36" t="str">
        <f aca="false">IF(A49="","",IF(R49="","",R49-T49))</f>
        <v/>
      </c>
      <c r="V49" s="37" t="str">
        <f aca="false">IF(A49="","",SUMIFS('EOT Claims'!$L$2:$L$501,'EOT Claims'!$A$2:$A$501,A49))</f>
        <v/>
      </c>
      <c r="W49" s="38" t="str">
        <f aca="false">IF(A49="","",IF(O49="","",O49+V49))</f>
        <v/>
      </c>
      <c r="X49" s="37" t="str">
        <f aca="true">IF(A49="","",IF(O49="","",IF(AND(NOT(OR(D49="Project Completion",D49="Defects Liability",D49="Complete",D49="Cancelled")),O49&lt;TODAY()),"Overdue","")))</f>
        <v/>
      </c>
      <c r="Y49" s="39" t="str">
        <f aca="true">IF(A49="","",IF(OR(N49="",W49=""),"",IF(W49&lt;=N49,"",(TODAY()-N49)/(W49-N49))))</f>
        <v/>
      </c>
      <c r="Z49" s="37" t="str">
        <f aca="false">IF(A49="","",IF(OR(Y49="",OR(D49="Project Completion",D49="Defects Liability",D49="Complete",D49="Cancelled")),"Green",IF(Y49&gt;1.15,"Red",IF(Y49&gt;=0.95,"Amber","Green"))))</f>
        <v/>
      </c>
      <c r="AA49" s="39" t="str">
        <f aca="false">IF(A49="","",IF(R49="","",IF(OR(R49&lt;=0,COUNTIFS('Cash Flow'!$A$2:$A$2001,A49)=0),"",T49/R49)))</f>
        <v/>
      </c>
      <c r="AB49" s="37" t="str">
        <f aca="false">IF(A49="","",IF(AA49="","Green",IF(AA49&gt;1.15,"Red",IF(AA49&gt;=0.95,"Amber","Green"))))</f>
        <v/>
      </c>
      <c r="AC49" s="37" t="str">
        <f aca="false">IF(A49="","",COUNTIFS(Risks!$A$2:$A$501,A49,Risks!$B$2:$B$501,"Risk",Risks!$M$2:$M$501,"&lt;&gt;Closed",Risks!$O$2:$O$501,"Critical"))</f>
        <v/>
      </c>
      <c r="AD49" s="37" t="str">
        <f aca="false">IF(A49="","",COUNTIFS(Risks!$A$2:$A$501,A49,Risks!$B$2:$B$501,"Risk",Risks!$M$2:$M$501,"&lt;&gt;Closed",Risks!$O$2:$O$501,"High"))</f>
        <v/>
      </c>
      <c r="AE49" s="37" t="str">
        <f aca="false">IF(A49="","",IF(AC49&gt;0,"Red",IF(AD49&gt;0,"Amber","Green")))</f>
        <v/>
      </c>
      <c r="AF49" s="37" t="str">
        <f aca="false">IF(A49="","",IF(OR(Z49="Red",AB49="Red",AE49="Red"),"Red",IF(OR(Z49="Amber",AB49="Amber",AE49="Amber"),"Amber","Green")))</f>
        <v/>
      </c>
      <c r="AG49" s="37" t="str">
        <f aca="false">IF(A49="","",COUNTIFS(Tasks!$A$2:$A$1001,A49,Tasks!$D$2:$D$1001,"&lt;&gt;Done",Tasks!$B$2:$B$1001,"&lt;&gt;"))</f>
        <v/>
      </c>
      <c r="AH49" s="37" t="str">
        <f aca="false">IF(A49="","",COUNTIFS(Actions!$A$2:$A$501,A49,Actions!$H$2:$H$501,"&lt;&gt;Done",Actions!$C$2:$C$501,"&lt;&gt;"))</f>
        <v/>
      </c>
      <c r="AI49" s="37" t="str">
        <f aca="false">IF(A49="","",COUNTIFS(RFIs!$A$2:$A$501,A49,RFIs!$G$2:$G$501,"Open"))</f>
        <v/>
      </c>
      <c r="AJ49" s="37" t="str">
        <f aca="false">IF(A49="","",COUNTIFS(Defects!$A$2:$A$501,A49,Defects!$H$2:$H$501,"Open"))</f>
        <v/>
      </c>
      <c r="AK49" s="37" t="str">
        <f aca="false">IF(A49="","","Schedule: "&amp;IF(Y49="","no dates / not tracked",TEXT(Y49,"0%")&amp;" of timeframe elapsed")&amp;" | Budget: "&amp;IF(AA49="","no approved budget or cash flow",TEXT(AA49,"0%")&amp;" of budget forecast")&amp;" | Risk: "&amp;AC49&amp;" critical, "&amp;AD49&amp;" high open")</f>
        <v/>
      </c>
    </row>
    <row r="50" customFormat="false" ht="15" hidden="false" customHeight="false" outlineLevel="0" collapsed="false">
      <c r="A50" s="32"/>
      <c r="B50" s="33"/>
      <c r="C50" s="32"/>
      <c r="D50" s="32"/>
      <c r="E50" s="32"/>
      <c r="F50" s="32"/>
      <c r="G50" s="32"/>
      <c r="H50" s="32"/>
      <c r="I50" s="32"/>
      <c r="J50" s="32"/>
      <c r="K50" s="34"/>
      <c r="L50" s="34"/>
      <c r="M50" s="34"/>
      <c r="N50" s="35"/>
      <c r="O50" s="35"/>
      <c r="P50" s="35"/>
      <c r="Q50" s="36" t="str">
        <f aca="false">IF(A50="","",SUMIFS(Variations!$F$2:$F$501,Variations!$A$2:$A$501,A50,Variations!$H$2:$H$501,"Approved"))</f>
        <v/>
      </c>
      <c r="R50" s="36" t="str">
        <f aca="false">IF(A50="","",IF(M50&lt;&gt;"",M50,IF(L50="","",L50+Q50)))</f>
        <v/>
      </c>
      <c r="S50" s="36" t="str">
        <f aca="false">IF(A50="","",SUMIFS('Cash Flow'!$D$2:$D$2001,'Cash Flow'!$A$2:$A$2001,A50,'Cash Flow'!$C$2:$C$2001,"Actual"))</f>
        <v/>
      </c>
      <c r="T50" s="36" t="str">
        <f aca="false">IF(A50="","",SUMIFS('Cash Flow'!$F$2:$F$2001,'Cash Flow'!$A$2:$A$2001,A50))</f>
        <v/>
      </c>
      <c r="U50" s="36" t="str">
        <f aca="false">IF(A50="","",IF(R50="","",R50-T50))</f>
        <v/>
      </c>
      <c r="V50" s="37" t="str">
        <f aca="false">IF(A50="","",SUMIFS('EOT Claims'!$L$2:$L$501,'EOT Claims'!$A$2:$A$501,A50))</f>
        <v/>
      </c>
      <c r="W50" s="38" t="str">
        <f aca="false">IF(A50="","",IF(O50="","",O50+V50))</f>
        <v/>
      </c>
      <c r="X50" s="37" t="str">
        <f aca="true">IF(A50="","",IF(O50="","",IF(AND(NOT(OR(D50="Project Completion",D50="Defects Liability",D50="Complete",D50="Cancelled")),O50&lt;TODAY()),"Overdue","")))</f>
        <v/>
      </c>
      <c r="Y50" s="39" t="str">
        <f aca="true">IF(A50="","",IF(OR(N50="",W50=""),"",IF(W50&lt;=N50,"",(TODAY()-N50)/(W50-N50))))</f>
        <v/>
      </c>
      <c r="Z50" s="37" t="str">
        <f aca="false">IF(A50="","",IF(OR(Y50="",OR(D50="Project Completion",D50="Defects Liability",D50="Complete",D50="Cancelled")),"Green",IF(Y50&gt;1.15,"Red",IF(Y50&gt;=0.95,"Amber","Green"))))</f>
        <v/>
      </c>
      <c r="AA50" s="39" t="str">
        <f aca="false">IF(A50="","",IF(R50="","",IF(OR(R50&lt;=0,COUNTIFS('Cash Flow'!$A$2:$A$2001,A50)=0),"",T50/R50)))</f>
        <v/>
      </c>
      <c r="AB50" s="37" t="str">
        <f aca="false">IF(A50="","",IF(AA50="","Green",IF(AA50&gt;1.15,"Red",IF(AA50&gt;=0.95,"Amber","Green"))))</f>
        <v/>
      </c>
      <c r="AC50" s="37" t="str">
        <f aca="false">IF(A50="","",COUNTIFS(Risks!$A$2:$A$501,A50,Risks!$B$2:$B$501,"Risk",Risks!$M$2:$M$501,"&lt;&gt;Closed",Risks!$O$2:$O$501,"Critical"))</f>
        <v/>
      </c>
      <c r="AD50" s="37" t="str">
        <f aca="false">IF(A50="","",COUNTIFS(Risks!$A$2:$A$501,A50,Risks!$B$2:$B$501,"Risk",Risks!$M$2:$M$501,"&lt;&gt;Closed",Risks!$O$2:$O$501,"High"))</f>
        <v/>
      </c>
      <c r="AE50" s="37" t="str">
        <f aca="false">IF(A50="","",IF(AC50&gt;0,"Red",IF(AD50&gt;0,"Amber","Green")))</f>
        <v/>
      </c>
      <c r="AF50" s="37" t="str">
        <f aca="false">IF(A50="","",IF(OR(Z50="Red",AB50="Red",AE50="Red"),"Red",IF(OR(Z50="Amber",AB50="Amber",AE50="Amber"),"Amber","Green")))</f>
        <v/>
      </c>
      <c r="AG50" s="37" t="str">
        <f aca="false">IF(A50="","",COUNTIFS(Tasks!$A$2:$A$1001,A50,Tasks!$D$2:$D$1001,"&lt;&gt;Done",Tasks!$B$2:$B$1001,"&lt;&gt;"))</f>
        <v/>
      </c>
      <c r="AH50" s="37" t="str">
        <f aca="false">IF(A50="","",COUNTIFS(Actions!$A$2:$A$501,A50,Actions!$H$2:$H$501,"&lt;&gt;Done",Actions!$C$2:$C$501,"&lt;&gt;"))</f>
        <v/>
      </c>
      <c r="AI50" s="37" t="str">
        <f aca="false">IF(A50="","",COUNTIFS(RFIs!$A$2:$A$501,A50,RFIs!$G$2:$G$501,"Open"))</f>
        <v/>
      </c>
      <c r="AJ50" s="37" t="str">
        <f aca="false">IF(A50="","",COUNTIFS(Defects!$A$2:$A$501,A50,Defects!$H$2:$H$501,"Open"))</f>
        <v/>
      </c>
      <c r="AK50" s="37" t="str">
        <f aca="false">IF(A50="","","Schedule: "&amp;IF(Y50="","no dates / not tracked",TEXT(Y50,"0%")&amp;" of timeframe elapsed")&amp;" | Budget: "&amp;IF(AA50="","no approved budget or cash flow",TEXT(AA50,"0%")&amp;" of budget forecast")&amp;" | Risk: "&amp;AC50&amp;" critical, "&amp;AD50&amp;" high open")</f>
        <v/>
      </c>
    </row>
    <row r="51" customFormat="false" ht="15" hidden="false" customHeight="false" outlineLevel="0" collapsed="false">
      <c r="A51" s="32"/>
      <c r="B51" s="33"/>
      <c r="C51" s="32"/>
      <c r="D51" s="32"/>
      <c r="E51" s="32"/>
      <c r="F51" s="32"/>
      <c r="G51" s="32"/>
      <c r="H51" s="32"/>
      <c r="I51" s="32"/>
      <c r="J51" s="32"/>
      <c r="K51" s="34"/>
      <c r="L51" s="34"/>
      <c r="M51" s="34"/>
      <c r="N51" s="35"/>
      <c r="O51" s="35"/>
      <c r="P51" s="35"/>
      <c r="Q51" s="36" t="str">
        <f aca="false">IF(A51="","",SUMIFS(Variations!$F$2:$F$501,Variations!$A$2:$A$501,A51,Variations!$H$2:$H$501,"Approved"))</f>
        <v/>
      </c>
      <c r="R51" s="36" t="str">
        <f aca="false">IF(A51="","",IF(M51&lt;&gt;"",M51,IF(L51="","",L51+Q51)))</f>
        <v/>
      </c>
      <c r="S51" s="36" t="str">
        <f aca="false">IF(A51="","",SUMIFS('Cash Flow'!$D$2:$D$2001,'Cash Flow'!$A$2:$A$2001,A51,'Cash Flow'!$C$2:$C$2001,"Actual"))</f>
        <v/>
      </c>
      <c r="T51" s="36" t="str">
        <f aca="false">IF(A51="","",SUMIFS('Cash Flow'!$F$2:$F$2001,'Cash Flow'!$A$2:$A$2001,A51))</f>
        <v/>
      </c>
      <c r="U51" s="36" t="str">
        <f aca="false">IF(A51="","",IF(R51="","",R51-T51))</f>
        <v/>
      </c>
      <c r="V51" s="37" t="str">
        <f aca="false">IF(A51="","",SUMIFS('EOT Claims'!$L$2:$L$501,'EOT Claims'!$A$2:$A$501,A51))</f>
        <v/>
      </c>
      <c r="W51" s="38" t="str">
        <f aca="false">IF(A51="","",IF(O51="","",O51+V51))</f>
        <v/>
      </c>
      <c r="X51" s="37" t="str">
        <f aca="true">IF(A51="","",IF(O51="","",IF(AND(NOT(OR(D51="Project Completion",D51="Defects Liability",D51="Complete",D51="Cancelled")),O51&lt;TODAY()),"Overdue","")))</f>
        <v/>
      </c>
      <c r="Y51" s="39" t="str">
        <f aca="true">IF(A51="","",IF(OR(N51="",W51=""),"",IF(W51&lt;=N51,"",(TODAY()-N51)/(W51-N51))))</f>
        <v/>
      </c>
      <c r="Z51" s="37" t="str">
        <f aca="false">IF(A51="","",IF(OR(Y51="",OR(D51="Project Completion",D51="Defects Liability",D51="Complete",D51="Cancelled")),"Green",IF(Y51&gt;1.15,"Red",IF(Y51&gt;=0.95,"Amber","Green"))))</f>
        <v/>
      </c>
      <c r="AA51" s="39" t="str">
        <f aca="false">IF(A51="","",IF(R51="","",IF(OR(R51&lt;=0,COUNTIFS('Cash Flow'!$A$2:$A$2001,A51)=0),"",T51/R51)))</f>
        <v/>
      </c>
      <c r="AB51" s="37" t="str">
        <f aca="false">IF(A51="","",IF(AA51="","Green",IF(AA51&gt;1.15,"Red",IF(AA51&gt;=0.95,"Amber","Green"))))</f>
        <v/>
      </c>
      <c r="AC51" s="37" t="str">
        <f aca="false">IF(A51="","",COUNTIFS(Risks!$A$2:$A$501,A51,Risks!$B$2:$B$501,"Risk",Risks!$M$2:$M$501,"&lt;&gt;Closed",Risks!$O$2:$O$501,"Critical"))</f>
        <v/>
      </c>
      <c r="AD51" s="37" t="str">
        <f aca="false">IF(A51="","",COUNTIFS(Risks!$A$2:$A$501,A51,Risks!$B$2:$B$501,"Risk",Risks!$M$2:$M$501,"&lt;&gt;Closed",Risks!$O$2:$O$501,"High"))</f>
        <v/>
      </c>
      <c r="AE51" s="37" t="str">
        <f aca="false">IF(A51="","",IF(AC51&gt;0,"Red",IF(AD51&gt;0,"Amber","Green")))</f>
        <v/>
      </c>
      <c r="AF51" s="37" t="str">
        <f aca="false">IF(A51="","",IF(OR(Z51="Red",AB51="Red",AE51="Red"),"Red",IF(OR(Z51="Amber",AB51="Amber",AE51="Amber"),"Amber","Green")))</f>
        <v/>
      </c>
      <c r="AG51" s="37" t="str">
        <f aca="false">IF(A51="","",COUNTIFS(Tasks!$A$2:$A$1001,A51,Tasks!$D$2:$D$1001,"&lt;&gt;Done",Tasks!$B$2:$B$1001,"&lt;&gt;"))</f>
        <v/>
      </c>
      <c r="AH51" s="37" t="str">
        <f aca="false">IF(A51="","",COUNTIFS(Actions!$A$2:$A$501,A51,Actions!$H$2:$H$501,"&lt;&gt;Done",Actions!$C$2:$C$501,"&lt;&gt;"))</f>
        <v/>
      </c>
      <c r="AI51" s="37" t="str">
        <f aca="false">IF(A51="","",COUNTIFS(RFIs!$A$2:$A$501,A51,RFIs!$G$2:$G$501,"Open"))</f>
        <v/>
      </c>
      <c r="AJ51" s="37" t="str">
        <f aca="false">IF(A51="","",COUNTIFS(Defects!$A$2:$A$501,A51,Defects!$H$2:$H$501,"Open"))</f>
        <v/>
      </c>
      <c r="AK51" s="37" t="str">
        <f aca="false">IF(A51="","","Schedule: "&amp;IF(Y51="","no dates / not tracked",TEXT(Y51,"0%")&amp;" of timeframe elapsed")&amp;" | Budget: "&amp;IF(AA51="","no approved budget or cash flow",TEXT(AA51,"0%")&amp;" of budget forecast")&amp;" | Risk: "&amp;AC51&amp;" critical, "&amp;AD51&amp;" high open")</f>
        <v/>
      </c>
    </row>
    <row r="52" customFormat="false" ht="15" hidden="false" customHeight="false" outlineLevel="0" collapsed="false">
      <c r="A52" s="32"/>
      <c r="B52" s="33"/>
      <c r="C52" s="32"/>
      <c r="D52" s="32"/>
      <c r="E52" s="32"/>
      <c r="F52" s="32"/>
      <c r="G52" s="32"/>
      <c r="H52" s="32"/>
      <c r="I52" s="32"/>
      <c r="J52" s="32"/>
      <c r="K52" s="34"/>
      <c r="L52" s="34"/>
      <c r="M52" s="34"/>
      <c r="N52" s="35"/>
      <c r="O52" s="35"/>
      <c r="P52" s="35"/>
      <c r="Q52" s="36" t="str">
        <f aca="false">IF(A52="","",SUMIFS(Variations!$F$2:$F$501,Variations!$A$2:$A$501,A52,Variations!$H$2:$H$501,"Approved"))</f>
        <v/>
      </c>
      <c r="R52" s="36" t="str">
        <f aca="false">IF(A52="","",IF(M52&lt;&gt;"",M52,IF(L52="","",L52+Q52)))</f>
        <v/>
      </c>
      <c r="S52" s="36" t="str">
        <f aca="false">IF(A52="","",SUMIFS('Cash Flow'!$D$2:$D$2001,'Cash Flow'!$A$2:$A$2001,A52,'Cash Flow'!$C$2:$C$2001,"Actual"))</f>
        <v/>
      </c>
      <c r="T52" s="36" t="str">
        <f aca="false">IF(A52="","",SUMIFS('Cash Flow'!$F$2:$F$2001,'Cash Flow'!$A$2:$A$2001,A52))</f>
        <v/>
      </c>
      <c r="U52" s="36" t="str">
        <f aca="false">IF(A52="","",IF(R52="","",R52-T52))</f>
        <v/>
      </c>
      <c r="V52" s="37" t="str">
        <f aca="false">IF(A52="","",SUMIFS('EOT Claims'!$L$2:$L$501,'EOT Claims'!$A$2:$A$501,A52))</f>
        <v/>
      </c>
      <c r="W52" s="38" t="str">
        <f aca="false">IF(A52="","",IF(O52="","",O52+V52))</f>
        <v/>
      </c>
      <c r="X52" s="37" t="str">
        <f aca="true">IF(A52="","",IF(O52="","",IF(AND(NOT(OR(D52="Project Completion",D52="Defects Liability",D52="Complete",D52="Cancelled")),O52&lt;TODAY()),"Overdue","")))</f>
        <v/>
      </c>
      <c r="Y52" s="39" t="str">
        <f aca="true">IF(A52="","",IF(OR(N52="",W52=""),"",IF(W52&lt;=N52,"",(TODAY()-N52)/(W52-N52))))</f>
        <v/>
      </c>
      <c r="Z52" s="37" t="str">
        <f aca="false">IF(A52="","",IF(OR(Y52="",OR(D52="Project Completion",D52="Defects Liability",D52="Complete",D52="Cancelled")),"Green",IF(Y52&gt;1.15,"Red",IF(Y52&gt;=0.95,"Amber","Green"))))</f>
        <v/>
      </c>
      <c r="AA52" s="39" t="str">
        <f aca="false">IF(A52="","",IF(R52="","",IF(OR(R52&lt;=0,COUNTIFS('Cash Flow'!$A$2:$A$2001,A52)=0),"",T52/R52)))</f>
        <v/>
      </c>
      <c r="AB52" s="37" t="str">
        <f aca="false">IF(A52="","",IF(AA52="","Green",IF(AA52&gt;1.15,"Red",IF(AA52&gt;=0.95,"Amber","Green"))))</f>
        <v/>
      </c>
      <c r="AC52" s="37" t="str">
        <f aca="false">IF(A52="","",COUNTIFS(Risks!$A$2:$A$501,A52,Risks!$B$2:$B$501,"Risk",Risks!$M$2:$M$501,"&lt;&gt;Closed",Risks!$O$2:$O$501,"Critical"))</f>
        <v/>
      </c>
      <c r="AD52" s="37" t="str">
        <f aca="false">IF(A52="","",COUNTIFS(Risks!$A$2:$A$501,A52,Risks!$B$2:$B$501,"Risk",Risks!$M$2:$M$501,"&lt;&gt;Closed",Risks!$O$2:$O$501,"High"))</f>
        <v/>
      </c>
      <c r="AE52" s="37" t="str">
        <f aca="false">IF(A52="","",IF(AC52&gt;0,"Red",IF(AD52&gt;0,"Amber","Green")))</f>
        <v/>
      </c>
      <c r="AF52" s="37" t="str">
        <f aca="false">IF(A52="","",IF(OR(Z52="Red",AB52="Red",AE52="Red"),"Red",IF(OR(Z52="Amber",AB52="Amber",AE52="Amber"),"Amber","Green")))</f>
        <v/>
      </c>
      <c r="AG52" s="37" t="str">
        <f aca="false">IF(A52="","",COUNTIFS(Tasks!$A$2:$A$1001,A52,Tasks!$D$2:$D$1001,"&lt;&gt;Done",Tasks!$B$2:$B$1001,"&lt;&gt;"))</f>
        <v/>
      </c>
      <c r="AH52" s="37" t="str">
        <f aca="false">IF(A52="","",COUNTIFS(Actions!$A$2:$A$501,A52,Actions!$H$2:$H$501,"&lt;&gt;Done",Actions!$C$2:$C$501,"&lt;&gt;"))</f>
        <v/>
      </c>
      <c r="AI52" s="37" t="str">
        <f aca="false">IF(A52="","",COUNTIFS(RFIs!$A$2:$A$501,A52,RFIs!$G$2:$G$501,"Open"))</f>
        <v/>
      </c>
      <c r="AJ52" s="37" t="str">
        <f aca="false">IF(A52="","",COUNTIFS(Defects!$A$2:$A$501,A52,Defects!$H$2:$H$501,"Open"))</f>
        <v/>
      </c>
      <c r="AK52" s="37" t="str">
        <f aca="false">IF(A52="","","Schedule: "&amp;IF(Y52="","no dates / not tracked",TEXT(Y52,"0%")&amp;" of timeframe elapsed")&amp;" | Budget: "&amp;IF(AA52="","no approved budget or cash flow",TEXT(AA52,"0%")&amp;" of budget forecast")&amp;" | Risk: "&amp;AC52&amp;" critical, "&amp;AD52&amp;" high open")</f>
        <v/>
      </c>
    </row>
    <row r="53" customFormat="false" ht="15" hidden="false" customHeight="false" outlineLevel="0" collapsed="false">
      <c r="A53" s="32"/>
      <c r="B53" s="33"/>
      <c r="C53" s="32"/>
      <c r="D53" s="32"/>
      <c r="E53" s="32"/>
      <c r="F53" s="32"/>
      <c r="G53" s="32"/>
      <c r="H53" s="32"/>
      <c r="I53" s="32"/>
      <c r="J53" s="32"/>
      <c r="K53" s="34"/>
      <c r="L53" s="34"/>
      <c r="M53" s="34"/>
      <c r="N53" s="35"/>
      <c r="O53" s="35"/>
      <c r="P53" s="35"/>
      <c r="Q53" s="36" t="str">
        <f aca="false">IF(A53="","",SUMIFS(Variations!$F$2:$F$501,Variations!$A$2:$A$501,A53,Variations!$H$2:$H$501,"Approved"))</f>
        <v/>
      </c>
      <c r="R53" s="36" t="str">
        <f aca="false">IF(A53="","",IF(M53&lt;&gt;"",M53,IF(L53="","",L53+Q53)))</f>
        <v/>
      </c>
      <c r="S53" s="36" t="str">
        <f aca="false">IF(A53="","",SUMIFS('Cash Flow'!$D$2:$D$2001,'Cash Flow'!$A$2:$A$2001,A53,'Cash Flow'!$C$2:$C$2001,"Actual"))</f>
        <v/>
      </c>
      <c r="T53" s="36" t="str">
        <f aca="false">IF(A53="","",SUMIFS('Cash Flow'!$F$2:$F$2001,'Cash Flow'!$A$2:$A$2001,A53))</f>
        <v/>
      </c>
      <c r="U53" s="36" t="str">
        <f aca="false">IF(A53="","",IF(R53="","",R53-T53))</f>
        <v/>
      </c>
      <c r="V53" s="37" t="str">
        <f aca="false">IF(A53="","",SUMIFS('EOT Claims'!$L$2:$L$501,'EOT Claims'!$A$2:$A$501,A53))</f>
        <v/>
      </c>
      <c r="W53" s="38" t="str">
        <f aca="false">IF(A53="","",IF(O53="","",O53+V53))</f>
        <v/>
      </c>
      <c r="X53" s="37" t="str">
        <f aca="true">IF(A53="","",IF(O53="","",IF(AND(NOT(OR(D53="Project Completion",D53="Defects Liability",D53="Complete",D53="Cancelled")),O53&lt;TODAY()),"Overdue","")))</f>
        <v/>
      </c>
      <c r="Y53" s="39" t="str">
        <f aca="true">IF(A53="","",IF(OR(N53="",W53=""),"",IF(W53&lt;=N53,"",(TODAY()-N53)/(W53-N53))))</f>
        <v/>
      </c>
      <c r="Z53" s="37" t="str">
        <f aca="false">IF(A53="","",IF(OR(Y53="",OR(D53="Project Completion",D53="Defects Liability",D53="Complete",D53="Cancelled")),"Green",IF(Y53&gt;1.15,"Red",IF(Y53&gt;=0.95,"Amber","Green"))))</f>
        <v/>
      </c>
      <c r="AA53" s="39" t="str">
        <f aca="false">IF(A53="","",IF(R53="","",IF(OR(R53&lt;=0,COUNTIFS('Cash Flow'!$A$2:$A$2001,A53)=0),"",T53/R53)))</f>
        <v/>
      </c>
      <c r="AB53" s="37" t="str">
        <f aca="false">IF(A53="","",IF(AA53="","Green",IF(AA53&gt;1.15,"Red",IF(AA53&gt;=0.95,"Amber","Green"))))</f>
        <v/>
      </c>
      <c r="AC53" s="37" t="str">
        <f aca="false">IF(A53="","",COUNTIFS(Risks!$A$2:$A$501,A53,Risks!$B$2:$B$501,"Risk",Risks!$M$2:$M$501,"&lt;&gt;Closed",Risks!$O$2:$O$501,"Critical"))</f>
        <v/>
      </c>
      <c r="AD53" s="37" t="str">
        <f aca="false">IF(A53="","",COUNTIFS(Risks!$A$2:$A$501,A53,Risks!$B$2:$B$501,"Risk",Risks!$M$2:$M$501,"&lt;&gt;Closed",Risks!$O$2:$O$501,"High"))</f>
        <v/>
      </c>
      <c r="AE53" s="37" t="str">
        <f aca="false">IF(A53="","",IF(AC53&gt;0,"Red",IF(AD53&gt;0,"Amber","Green")))</f>
        <v/>
      </c>
      <c r="AF53" s="37" t="str">
        <f aca="false">IF(A53="","",IF(OR(Z53="Red",AB53="Red",AE53="Red"),"Red",IF(OR(Z53="Amber",AB53="Amber",AE53="Amber"),"Amber","Green")))</f>
        <v/>
      </c>
      <c r="AG53" s="37" t="str">
        <f aca="false">IF(A53="","",COUNTIFS(Tasks!$A$2:$A$1001,A53,Tasks!$D$2:$D$1001,"&lt;&gt;Done",Tasks!$B$2:$B$1001,"&lt;&gt;"))</f>
        <v/>
      </c>
      <c r="AH53" s="37" t="str">
        <f aca="false">IF(A53="","",COUNTIFS(Actions!$A$2:$A$501,A53,Actions!$H$2:$H$501,"&lt;&gt;Done",Actions!$C$2:$C$501,"&lt;&gt;"))</f>
        <v/>
      </c>
      <c r="AI53" s="37" t="str">
        <f aca="false">IF(A53="","",COUNTIFS(RFIs!$A$2:$A$501,A53,RFIs!$G$2:$G$501,"Open"))</f>
        <v/>
      </c>
      <c r="AJ53" s="37" t="str">
        <f aca="false">IF(A53="","",COUNTIFS(Defects!$A$2:$A$501,A53,Defects!$H$2:$H$501,"Open"))</f>
        <v/>
      </c>
      <c r="AK53" s="37" t="str">
        <f aca="false">IF(A53="","","Schedule: "&amp;IF(Y53="","no dates / not tracked",TEXT(Y53,"0%")&amp;" of timeframe elapsed")&amp;" | Budget: "&amp;IF(AA53="","no approved budget or cash flow",TEXT(AA53,"0%")&amp;" of budget forecast")&amp;" | Risk: "&amp;AC53&amp;" critical, "&amp;AD53&amp;" high open")</f>
        <v/>
      </c>
    </row>
    <row r="54" customFormat="false" ht="15" hidden="false" customHeight="false" outlineLevel="0" collapsed="false">
      <c r="A54" s="32"/>
      <c r="B54" s="33"/>
      <c r="C54" s="32"/>
      <c r="D54" s="32"/>
      <c r="E54" s="32"/>
      <c r="F54" s="32"/>
      <c r="G54" s="32"/>
      <c r="H54" s="32"/>
      <c r="I54" s="32"/>
      <c r="J54" s="32"/>
      <c r="K54" s="34"/>
      <c r="L54" s="34"/>
      <c r="M54" s="34"/>
      <c r="N54" s="35"/>
      <c r="O54" s="35"/>
      <c r="P54" s="35"/>
      <c r="Q54" s="36" t="str">
        <f aca="false">IF(A54="","",SUMIFS(Variations!$F$2:$F$501,Variations!$A$2:$A$501,A54,Variations!$H$2:$H$501,"Approved"))</f>
        <v/>
      </c>
      <c r="R54" s="36" t="str">
        <f aca="false">IF(A54="","",IF(M54&lt;&gt;"",M54,IF(L54="","",L54+Q54)))</f>
        <v/>
      </c>
      <c r="S54" s="36" t="str">
        <f aca="false">IF(A54="","",SUMIFS('Cash Flow'!$D$2:$D$2001,'Cash Flow'!$A$2:$A$2001,A54,'Cash Flow'!$C$2:$C$2001,"Actual"))</f>
        <v/>
      </c>
      <c r="T54" s="36" t="str">
        <f aca="false">IF(A54="","",SUMIFS('Cash Flow'!$F$2:$F$2001,'Cash Flow'!$A$2:$A$2001,A54))</f>
        <v/>
      </c>
      <c r="U54" s="36" t="str">
        <f aca="false">IF(A54="","",IF(R54="","",R54-T54))</f>
        <v/>
      </c>
      <c r="V54" s="37" t="str">
        <f aca="false">IF(A54="","",SUMIFS('EOT Claims'!$L$2:$L$501,'EOT Claims'!$A$2:$A$501,A54))</f>
        <v/>
      </c>
      <c r="W54" s="38" t="str">
        <f aca="false">IF(A54="","",IF(O54="","",O54+V54))</f>
        <v/>
      </c>
      <c r="X54" s="37" t="str">
        <f aca="true">IF(A54="","",IF(O54="","",IF(AND(NOT(OR(D54="Project Completion",D54="Defects Liability",D54="Complete",D54="Cancelled")),O54&lt;TODAY()),"Overdue","")))</f>
        <v/>
      </c>
      <c r="Y54" s="39" t="str">
        <f aca="true">IF(A54="","",IF(OR(N54="",W54=""),"",IF(W54&lt;=N54,"",(TODAY()-N54)/(W54-N54))))</f>
        <v/>
      </c>
      <c r="Z54" s="37" t="str">
        <f aca="false">IF(A54="","",IF(OR(Y54="",OR(D54="Project Completion",D54="Defects Liability",D54="Complete",D54="Cancelled")),"Green",IF(Y54&gt;1.15,"Red",IF(Y54&gt;=0.95,"Amber","Green"))))</f>
        <v/>
      </c>
      <c r="AA54" s="39" t="str">
        <f aca="false">IF(A54="","",IF(R54="","",IF(OR(R54&lt;=0,COUNTIFS('Cash Flow'!$A$2:$A$2001,A54)=0),"",T54/R54)))</f>
        <v/>
      </c>
      <c r="AB54" s="37" t="str">
        <f aca="false">IF(A54="","",IF(AA54="","Green",IF(AA54&gt;1.15,"Red",IF(AA54&gt;=0.95,"Amber","Green"))))</f>
        <v/>
      </c>
      <c r="AC54" s="37" t="str">
        <f aca="false">IF(A54="","",COUNTIFS(Risks!$A$2:$A$501,A54,Risks!$B$2:$B$501,"Risk",Risks!$M$2:$M$501,"&lt;&gt;Closed",Risks!$O$2:$O$501,"Critical"))</f>
        <v/>
      </c>
      <c r="AD54" s="37" t="str">
        <f aca="false">IF(A54="","",COUNTIFS(Risks!$A$2:$A$501,A54,Risks!$B$2:$B$501,"Risk",Risks!$M$2:$M$501,"&lt;&gt;Closed",Risks!$O$2:$O$501,"High"))</f>
        <v/>
      </c>
      <c r="AE54" s="37" t="str">
        <f aca="false">IF(A54="","",IF(AC54&gt;0,"Red",IF(AD54&gt;0,"Amber","Green")))</f>
        <v/>
      </c>
      <c r="AF54" s="37" t="str">
        <f aca="false">IF(A54="","",IF(OR(Z54="Red",AB54="Red",AE54="Red"),"Red",IF(OR(Z54="Amber",AB54="Amber",AE54="Amber"),"Amber","Green")))</f>
        <v/>
      </c>
      <c r="AG54" s="37" t="str">
        <f aca="false">IF(A54="","",COUNTIFS(Tasks!$A$2:$A$1001,A54,Tasks!$D$2:$D$1001,"&lt;&gt;Done",Tasks!$B$2:$B$1001,"&lt;&gt;"))</f>
        <v/>
      </c>
      <c r="AH54" s="37" t="str">
        <f aca="false">IF(A54="","",COUNTIFS(Actions!$A$2:$A$501,A54,Actions!$H$2:$H$501,"&lt;&gt;Done",Actions!$C$2:$C$501,"&lt;&gt;"))</f>
        <v/>
      </c>
      <c r="AI54" s="37" t="str">
        <f aca="false">IF(A54="","",COUNTIFS(RFIs!$A$2:$A$501,A54,RFIs!$G$2:$G$501,"Open"))</f>
        <v/>
      </c>
      <c r="AJ54" s="37" t="str">
        <f aca="false">IF(A54="","",COUNTIFS(Defects!$A$2:$A$501,A54,Defects!$H$2:$H$501,"Open"))</f>
        <v/>
      </c>
      <c r="AK54" s="37" t="str">
        <f aca="false">IF(A54="","","Schedule: "&amp;IF(Y54="","no dates / not tracked",TEXT(Y54,"0%")&amp;" of timeframe elapsed")&amp;" | Budget: "&amp;IF(AA54="","no approved budget or cash flow",TEXT(AA54,"0%")&amp;" of budget forecast")&amp;" | Risk: "&amp;AC54&amp;" critical, "&amp;AD54&amp;" high open")</f>
        <v/>
      </c>
    </row>
    <row r="55" customFormat="false" ht="15" hidden="false" customHeight="false" outlineLevel="0" collapsed="false">
      <c r="A55" s="32"/>
      <c r="B55" s="33"/>
      <c r="C55" s="32"/>
      <c r="D55" s="32"/>
      <c r="E55" s="32"/>
      <c r="F55" s="32"/>
      <c r="G55" s="32"/>
      <c r="H55" s="32"/>
      <c r="I55" s="32"/>
      <c r="J55" s="32"/>
      <c r="K55" s="34"/>
      <c r="L55" s="34"/>
      <c r="M55" s="34"/>
      <c r="N55" s="35"/>
      <c r="O55" s="35"/>
      <c r="P55" s="35"/>
      <c r="Q55" s="36" t="str">
        <f aca="false">IF(A55="","",SUMIFS(Variations!$F$2:$F$501,Variations!$A$2:$A$501,A55,Variations!$H$2:$H$501,"Approved"))</f>
        <v/>
      </c>
      <c r="R55" s="36" t="str">
        <f aca="false">IF(A55="","",IF(M55&lt;&gt;"",M55,IF(L55="","",L55+Q55)))</f>
        <v/>
      </c>
      <c r="S55" s="36" t="str">
        <f aca="false">IF(A55="","",SUMIFS('Cash Flow'!$D$2:$D$2001,'Cash Flow'!$A$2:$A$2001,A55,'Cash Flow'!$C$2:$C$2001,"Actual"))</f>
        <v/>
      </c>
      <c r="T55" s="36" t="str">
        <f aca="false">IF(A55="","",SUMIFS('Cash Flow'!$F$2:$F$2001,'Cash Flow'!$A$2:$A$2001,A55))</f>
        <v/>
      </c>
      <c r="U55" s="36" t="str">
        <f aca="false">IF(A55="","",IF(R55="","",R55-T55))</f>
        <v/>
      </c>
      <c r="V55" s="37" t="str">
        <f aca="false">IF(A55="","",SUMIFS('EOT Claims'!$L$2:$L$501,'EOT Claims'!$A$2:$A$501,A55))</f>
        <v/>
      </c>
      <c r="W55" s="38" t="str">
        <f aca="false">IF(A55="","",IF(O55="","",O55+V55))</f>
        <v/>
      </c>
      <c r="X55" s="37" t="str">
        <f aca="true">IF(A55="","",IF(O55="","",IF(AND(NOT(OR(D55="Project Completion",D55="Defects Liability",D55="Complete",D55="Cancelled")),O55&lt;TODAY()),"Overdue","")))</f>
        <v/>
      </c>
      <c r="Y55" s="39" t="str">
        <f aca="true">IF(A55="","",IF(OR(N55="",W55=""),"",IF(W55&lt;=N55,"",(TODAY()-N55)/(W55-N55))))</f>
        <v/>
      </c>
      <c r="Z55" s="37" t="str">
        <f aca="false">IF(A55="","",IF(OR(Y55="",OR(D55="Project Completion",D55="Defects Liability",D55="Complete",D55="Cancelled")),"Green",IF(Y55&gt;1.15,"Red",IF(Y55&gt;=0.95,"Amber","Green"))))</f>
        <v/>
      </c>
      <c r="AA55" s="39" t="str">
        <f aca="false">IF(A55="","",IF(R55="","",IF(OR(R55&lt;=0,COUNTIFS('Cash Flow'!$A$2:$A$2001,A55)=0),"",T55/R55)))</f>
        <v/>
      </c>
      <c r="AB55" s="37" t="str">
        <f aca="false">IF(A55="","",IF(AA55="","Green",IF(AA55&gt;1.15,"Red",IF(AA55&gt;=0.95,"Amber","Green"))))</f>
        <v/>
      </c>
      <c r="AC55" s="37" t="str">
        <f aca="false">IF(A55="","",COUNTIFS(Risks!$A$2:$A$501,A55,Risks!$B$2:$B$501,"Risk",Risks!$M$2:$M$501,"&lt;&gt;Closed",Risks!$O$2:$O$501,"Critical"))</f>
        <v/>
      </c>
      <c r="AD55" s="37" t="str">
        <f aca="false">IF(A55="","",COUNTIFS(Risks!$A$2:$A$501,A55,Risks!$B$2:$B$501,"Risk",Risks!$M$2:$M$501,"&lt;&gt;Closed",Risks!$O$2:$O$501,"High"))</f>
        <v/>
      </c>
      <c r="AE55" s="37" t="str">
        <f aca="false">IF(A55="","",IF(AC55&gt;0,"Red",IF(AD55&gt;0,"Amber","Green")))</f>
        <v/>
      </c>
      <c r="AF55" s="37" t="str">
        <f aca="false">IF(A55="","",IF(OR(Z55="Red",AB55="Red",AE55="Red"),"Red",IF(OR(Z55="Amber",AB55="Amber",AE55="Amber"),"Amber","Green")))</f>
        <v/>
      </c>
      <c r="AG55" s="37" t="str">
        <f aca="false">IF(A55="","",COUNTIFS(Tasks!$A$2:$A$1001,A55,Tasks!$D$2:$D$1001,"&lt;&gt;Done",Tasks!$B$2:$B$1001,"&lt;&gt;"))</f>
        <v/>
      </c>
      <c r="AH55" s="37" t="str">
        <f aca="false">IF(A55="","",COUNTIFS(Actions!$A$2:$A$501,A55,Actions!$H$2:$H$501,"&lt;&gt;Done",Actions!$C$2:$C$501,"&lt;&gt;"))</f>
        <v/>
      </c>
      <c r="AI55" s="37" t="str">
        <f aca="false">IF(A55="","",COUNTIFS(RFIs!$A$2:$A$501,A55,RFIs!$G$2:$G$501,"Open"))</f>
        <v/>
      </c>
      <c r="AJ55" s="37" t="str">
        <f aca="false">IF(A55="","",COUNTIFS(Defects!$A$2:$A$501,A55,Defects!$H$2:$H$501,"Open"))</f>
        <v/>
      </c>
      <c r="AK55" s="37" t="str">
        <f aca="false">IF(A55="","","Schedule: "&amp;IF(Y55="","no dates / not tracked",TEXT(Y55,"0%")&amp;" of timeframe elapsed")&amp;" | Budget: "&amp;IF(AA55="","no approved budget or cash flow",TEXT(AA55,"0%")&amp;" of budget forecast")&amp;" | Risk: "&amp;AC55&amp;" critical, "&amp;AD55&amp;" high open")</f>
        <v/>
      </c>
    </row>
    <row r="56" customFormat="false" ht="15" hidden="false" customHeight="false" outlineLevel="0" collapsed="false">
      <c r="A56" s="32"/>
      <c r="B56" s="33"/>
      <c r="C56" s="32"/>
      <c r="D56" s="32"/>
      <c r="E56" s="32"/>
      <c r="F56" s="32"/>
      <c r="G56" s="32"/>
      <c r="H56" s="32"/>
      <c r="I56" s="32"/>
      <c r="J56" s="32"/>
      <c r="K56" s="34"/>
      <c r="L56" s="34"/>
      <c r="M56" s="34"/>
      <c r="N56" s="35"/>
      <c r="O56" s="35"/>
      <c r="P56" s="35"/>
      <c r="Q56" s="36" t="str">
        <f aca="false">IF(A56="","",SUMIFS(Variations!$F$2:$F$501,Variations!$A$2:$A$501,A56,Variations!$H$2:$H$501,"Approved"))</f>
        <v/>
      </c>
      <c r="R56" s="36" t="str">
        <f aca="false">IF(A56="","",IF(M56&lt;&gt;"",M56,IF(L56="","",L56+Q56)))</f>
        <v/>
      </c>
      <c r="S56" s="36" t="str">
        <f aca="false">IF(A56="","",SUMIFS('Cash Flow'!$D$2:$D$2001,'Cash Flow'!$A$2:$A$2001,A56,'Cash Flow'!$C$2:$C$2001,"Actual"))</f>
        <v/>
      </c>
      <c r="T56" s="36" t="str">
        <f aca="false">IF(A56="","",SUMIFS('Cash Flow'!$F$2:$F$2001,'Cash Flow'!$A$2:$A$2001,A56))</f>
        <v/>
      </c>
      <c r="U56" s="36" t="str">
        <f aca="false">IF(A56="","",IF(R56="","",R56-T56))</f>
        <v/>
      </c>
      <c r="V56" s="37" t="str">
        <f aca="false">IF(A56="","",SUMIFS('EOT Claims'!$L$2:$L$501,'EOT Claims'!$A$2:$A$501,A56))</f>
        <v/>
      </c>
      <c r="W56" s="38" t="str">
        <f aca="false">IF(A56="","",IF(O56="","",O56+V56))</f>
        <v/>
      </c>
      <c r="X56" s="37" t="str">
        <f aca="true">IF(A56="","",IF(O56="","",IF(AND(NOT(OR(D56="Project Completion",D56="Defects Liability",D56="Complete",D56="Cancelled")),O56&lt;TODAY()),"Overdue","")))</f>
        <v/>
      </c>
      <c r="Y56" s="39" t="str">
        <f aca="true">IF(A56="","",IF(OR(N56="",W56=""),"",IF(W56&lt;=N56,"",(TODAY()-N56)/(W56-N56))))</f>
        <v/>
      </c>
      <c r="Z56" s="37" t="str">
        <f aca="false">IF(A56="","",IF(OR(Y56="",OR(D56="Project Completion",D56="Defects Liability",D56="Complete",D56="Cancelled")),"Green",IF(Y56&gt;1.15,"Red",IF(Y56&gt;=0.95,"Amber","Green"))))</f>
        <v/>
      </c>
      <c r="AA56" s="39" t="str">
        <f aca="false">IF(A56="","",IF(R56="","",IF(OR(R56&lt;=0,COUNTIFS('Cash Flow'!$A$2:$A$2001,A56)=0),"",T56/R56)))</f>
        <v/>
      </c>
      <c r="AB56" s="37" t="str">
        <f aca="false">IF(A56="","",IF(AA56="","Green",IF(AA56&gt;1.15,"Red",IF(AA56&gt;=0.95,"Amber","Green"))))</f>
        <v/>
      </c>
      <c r="AC56" s="37" t="str">
        <f aca="false">IF(A56="","",COUNTIFS(Risks!$A$2:$A$501,A56,Risks!$B$2:$B$501,"Risk",Risks!$M$2:$M$501,"&lt;&gt;Closed",Risks!$O$2:$O$501,"Critical"))</f>
        <v/>
      </c>
      <c r="AD56" s="37" t="str">
        <f aca="false">IF(A56="","",COUNTIFS(Risks!$A$2:$A$501,A56,Risks!$B$2:$B$501,"Risk",Risks!$M$2:$M$501,"&lt;&gt;Closed",Risks!$O$2:$O$501,"High"))</f>
        <v/>
      </c>
      <c r="AE56" s="37" t="str">
        <f aca="false">IF(A56="","",IF(AC56&gt;0,"Red",IF(AD56&gt;0,"Amber","Green")))</f>
        <v/>
      </c>
      <c r="AF56" s="37" t="str">
        <f aca="false">IF(A56="","",IF(OR(Z56="Red",AB56="Red",AE56="Red"),"Red",IF(OR(Z56="Amber",AB56="Amber",AE56="Amber"),"Amber","Green")))</f>
        <v/>
      </c>
      <c r="AG56" s="37" t="str">
        <f aca="false">IF(A56="","",COUNTIFS(Tasks!$A$2:$A$1001,A56,Tasks!$D$2:$D$1001,"&lt;&gt;Done",Tasks!$B$2:$B$1001,"&lt;&gt;"))</f>
        <v/>
      </c>
      <c r="AH56" s="37" t="str">
        <f aca="false">IF(A56="","",COUNTIFS(Actions!$A$2:$A$501,A56,Actions!$H$2:$H$501,"&lt;&gt;Done",Actions!$C$2:$C$501,"&lt;&gt;"))</f>
        <v/>
      </c>
      <c r="AI56" s="37" t="str">
        <f aca="false">IF(A56="","",COUNTIFS(RFIs!$A$2:$A$501,A56,RFIs!$G$2:$G$501,"Open"))</f>
        <v/>
      </c>
      <c r="AJ56" s="37" t="str">
        <f aca="false">IF(A56="","",COUNTIFS(Defects!$A$2:$A$501,A56,Defects!$H$2:$H$501,"Open"))</f>
        <v/>
      </c>
      <c r="AK56" s="37" t="str">
        <f aca="false">IF(A56="","","Schedule: "&amp;IF(Y56="","no dates / not tracked",TEXT(Y56,"0%")&amp;" of timeframe elapsed")&amp;" | Budget: "&amp;IF(AA56="","no approved budget or cash flow",TEXT(AA56,"0%")&amp;" of budget forecast")&amp;" | Risk: "&amp;AC56&amp;" critical, "&amp;AD56&amp;" high open")</f>
        <v/>
      </c>
    </row>
    <row r="57" customFormat="false" ht="15" hidden="false" customHeight="false" outlineLevel="0" collapsed="false">
      <c r="A57" s="32"/>
      <c r="B57" s="33"/>
      <c r="C57" s="32"/>
      <c r="D57" s="32"/>
      <c r="E57" s="32"/>
      <c r="F57" s="32"/>
      <c r="G57" s="32"/>
      <c r="H57" s="32"/>
      <c r="I57" s="32"/>
      <c r="J57" s="32"/>
      <c r="K57" s="34"/>
      <c r="L57" s="34"/>
      <c r="M57" s="34"/>
      <c r="N57" s="35"/>
      <c r="O57" s="35"/>
      <c r="P57" s="35"/>
      <c r="Q57" s="36" t="str">
        <f aca="false">IF(A57="","",SUMIFS(Variations!$F$2:$F$501,Variations!$A$2:$A$501,A57,Variations!$H$2:$H$501,"Approved"))</f>
        <v/>
      </c>
      <c r="R57" s="36" t="str">
        <f aca="false">IF(A57="","",IF(M57&lt;&gt;"",M57,IF(L57="","",L57+Q57)))</f>
        <v/>
      </c>
      <c r="S57" s="36" t="str">
        <f aca="false">IF(A57="","",SUMIFS('Cash Flow'!$D$2:$D$2001,'Cash Flow'!$A$2:$A$2001,A57,'Cash Flow'!$C$2:$C$2001,"Actual"))</f>
        <v/>
      </c>
      <c r="T57" s="36" t="str">
        <f aca="false">IF(A57="","",SUMIFS('Cash Flow'!$F$2:$F$2001,'Cash Flow'!$A$2:$A$2001,A57))</f>
        <v/>
      </c>
      <c r="U57" s="36" t="str">
        <f aca="false">IF(A57="","",IF(R57="","",R57-T57))</f>
        <v/>
      </c>
      <c r="V57" s="37" t="str">
        <f aca="false">IF(A57="","",SUMIFS('EOT Claims'!$L$2:$L$501,'EOT Claims'!$A$2:$A$501,A57))</f>
        <v/>
      </c>
      <c r="W57" s="38" t="str">
        <f aca="false">IF(A57="","",IF(O57="","",O57+V57))</f>
        <v/>
      </c>
      <c r="X57" s="37" t="str">
        <f aca="true">IF(A57="","",IF(O57="","",IF(AND(NOT(OR(D57="Project Completion",D57="Defects Liability",D57="Complete",D57="Cancelled")),O57&lt;TODAY()),"Overdue","")))</f>
        <v/>
      </c>
      <c r="Y57" s="39" t="str">
        <f aca="true">IF(A57="","",IF(OR(N57="",W57=""),"",IF(W57&lt;=N57,"",(TODAY()-N57)/(W57-N57))))</f>
        <v/>
      </c>
      <c r="Z57" s="37" t="str">
        <f aca="false">IF(A57="","",IF(OR(Y57="",OR(D57="Project Completion",D57="Defects Liability",D57="Complete",D57="Cancelled")),"Green",IF(Y57&gt;1.15,"Red",IF(Y57&gt;=0.95,"Amber","Green"))))</f>
        <v/>
      </c>
      <c r="AA57" s="39" t="str">
        <f aca="false">IF(A57="","",IF(R57="","",IF(OR(R57&lt;=0,COUNTIFS('Cash Flow'!$A$2:$A$2001,A57)=0),"",T57/R57)))</f>
        <v/>
      </c>
      <c r="AB57" s="37" t="str">
        <f aca="false">IF(A57="","",IF(AA57="","Green",IF(AA57&gt;1.15,"Red",IF(AA57&gt;=0.95,"Amber","Green"))))</f>
        <v/>
      </c>
      <c r="AC57" s="37" t="str">
        <f aca="false">IF(A57="","",COUNTIFS(Risks!$A$2:$A$501,A57,Risks!$B$2:$B$501,"Risk",Risks!$M$2:$M$501,"&lt;&gt;Closed",Risks!$O$2:$O$501,"Critical"))</f>
        <v/>
      </c>
      <c r="AD57" s="37" t="str">
        <f aca="false">IF(A57="","",COUNTIFS(Risks!$A$2:$A$501,A57,Risks!$B$2:$B$501,"Risk",Risks!$M$2:$M$501,"&lt;&gt;Closed",Risks!$O$2:$O$501,"High"))</f>
        <v/>
      </c>
      <c r="AE57" s="37" t="str">
        <f aca="false">IF(A57="","",IF(AC57&gt;0,"Red",IF(AD57&gt;0,"Amber","Green")))</f>
        <v/>
      </c>
      <c r="AF57" s="37" t="str">
        <f aca="false">IF(A57="","",IF(OR(Z57="Red",AB57="Red",AE57="Red"),"Red",IF(OR(Z57="Amber",AB57="Amber",AE57="Amber"),"Amber","Green")))</f>
        <v/>
      </c>
      <c r="AG57" s="37" t="str">
        <f aca="false">IF(A57="","",COUNTIFS(Tasks!$A$2:$A$1001,A57,Tasks!$D$2:$D$1001,"&lt;&gt;Done",Tasks!$B$2:$B$1001,"&lt;&gt;"))</f>
        <v/>
      </c>
      <c r="AH57" s="37" t="str">
        <f aca="false">IF(A57="","",COUNTIFS(Actions!$A$2:$A$501,A57,Actions!$H$2:$H$501,"&lt;&gt;Done",Actions!$C$2:$C$501,"&lt;&gt;"))</f>
        <v/>
      </c>
      <c r="AI57" s="37" t="str">
        <f aca="false">IF(A57="","",COUNTIFS(RFIs!$A$2:$A$501,A57,RFIs!$G$2:$G$501,"Open"))</f>
        <v/>
      </c>
      <c r="AJ57" s="37" t="str">
        <f aca="false">IF(A57="","",COUNTIFS(Defects!$A$2:$A$501,A57,Defects!$H$2:$H$501,"Open"))</f>
        <v/>
      </c>
      <c r="AK57" s="37" t="str">
        <f aca="false">IF(A57="","","Schedule: "&amp;IF(Y57="","no dates / not tracked",TEXT(Y57,"0%")&amp;" of timeframe elapsed")&amp;" | Budget: "&amp;IF(AA57="","no approved budget or cash flow",TEXT(AA57,"0%")&amp;" of budget forecast")&amp;" | Risk: "&amp;AC57&amp;" critical, "&amp;AD57&amp;" high open")</f>
        <v/>
      </c>
    </row>
    <row r="58" customFormat="false" ht="15" hidden="false" customHeight="false" outlineLevel="0" collapsed="false">
      <c r="A58" s="32"/>
      <c r="B58" s="33"/>
      <c r="C58" s="32"/>
      <c r="D58" s="32"/>
      <c r="E58" s="32"/>
      <c r="F58" s="32"/>
      <c r="G58" s="32"/>
      <c r="H58" s="32"/>
      <c r="I58" s="32"/>
      <c r="J58" s="32"/>
      <c r="K58" s="34"/>
      <c r="L58" s="34"/>
      <c r="M58" s="34"/>
      <c r="N58" s="35"/>
      <c r="O58" s="35"/>
      <c r="P58" s="35"/>
      <c r="Q58" s="36" t="str">
        <f aca="false">IF(A58="","",SUMIFS(Variations!$F$2:$F$501,Variations!$A$2:$A$501,A58,Variations!$H$2:$H$501,"Approved"))</f>
        <v/>
      </c>
      <c r="R58" s="36" t="str">
        <f aca="false">IF(A58="","",IF(M58&lt;&gt;"",M58,IF(L58="","",L58+Q58)))</f>
        <v/>
      </c>
      <c r="S58" s="36" t="str">
        <f aca="false">IF(A58="","",SUMIFS('Cash Flow'!$D$2:$D$2001,'Cash Flow'!$A$2:$A$2001,A58,'Cash Flow'!$C$2:$C$2001,"Actual"))</f>
        <v/>
      </c>
      <c r="T58" s="36" t="str">
        <f aca="false">IF(A58="","",SUMIFS('Cash Flow'!$F$2:$F$2001,'Cash Flow'!$A$2:$A$2001,A58))</f>
        <v/>
      </c>
      <c r="U58" s="36" t="str">
        <f aca="false">IF(A58="","",IF(R58="","",R58-T58))</f>
        <v/>
      </c>
      <c r="V58" s="37" t="str">
        <f aca="false">IF(A58="","",SUMIFS('EOT Claims'!$L$2:$L$501,'EOT Claims'!$A$2:$A$501,A58))</f>
        <v/>
      </c>
      <c r="W58" s="38" t="str">
        <f aca="false">IF(A58="","",IF(O58="","",O58+V58))</f>
        <v/>
      </c>
      <c r="X58" s="37" t="str">
        <f aca="true">IF(A58="","",IF(O58="","",IF(AND(NOT(OR(D58="Project Completion",D58="Defects Liability",D58="Complete",D58="Cancelled")),O58&lt;TODAY()),"Overdue","")))</f>
        <v/>
      </c>
      <c r="Y58" s="39" t="str">
        <f aca="true">IF(A58="","",IF(OR(N58="",W58=""),"",IF(W58&lt;=N58,"",(TODAY()-N58)/(W58-N58))))</f>
        <v/>
      </c>
      <c r="Z58" s="37" t="str">
        <f aca="false">IF(A58="","",IF(OR(Y58="",OR(D58="Project Completion",D58="Defects Liability",D58="Complete",D58="Cancelled")),"Green",IF(Y58&gt;1.15,"Red",IF(Y58&gt;=0.95,"Amber","Green"))))</f>
        <v/>
      </c>
      <c r="AA58" s="39" t="str">
        <f aca="false">IF(A58="","",IF(R58="","",IF(OR(R58&lt;=0,COUNTIFS('Cash Flow'!$A$2:$A$2001,A58)=0),"",T58/R58)))</f>
        <v/>
      </c>
      <c r="AB58" s="37" t="str">
        <f aca="false">IF(A58="","",IF(AA58="","Green",IF(AA58&gt;1.15,"Red",IF(AA58&gt;=0.95,"Amber","Green"))))</f>
        <v/>
      </c>
      <c r="AC58" s="37" t="str">
        <f aca="false">IF(A58="","",COUNTIFS(Risks!$A$2:$A$501,A58,Risks!$B$2:$B$501,"Risk",Risks!$M$2:$M$501,"&lt;&gt;Closed",Risks!$O$2:$O$501,"Critical"))</f>
        <v/>
      </c>
      <c r="AD58" s="37" t="str">
        <f aca="false">IF(A58="","",COUNTIFS(Risks!$A$2:$A$501,A58,Risks!$B$2:$B$501,"Risk",Risks!$M$2:$M$501,"&lt;&gt;Closed",Risks!$O$2:$O$501,"High"))</f>
        <v/>
      </c>
      <c r="AE58" s="37" t="str">
        <f aca="false">IF(A58="","",IF(AC58&gt;0,"Red",IF(AD58&gt;0,"Amber","Green")))</f>
        <v/>
      </c>
      <c r="AF58" s="37" t="str">
        <f aca="false">IF(A58="","",IF(OR(Z58="Red",AB58="Red",AE58="Red"),"Red",IF(OR(Z58="Amber",AB58="Amber",AE58="Amber"),"Amber","Green")))</f>
        <v/>
      </c>
      <c r="AG58" s="37" t="str">
        <f aca="false">IF(A58="","",COUNTIFS(Tasks!$A$2:$A$1001,A58,Tasks!$D$2:$D$1001,"&lt;&gt;Done",Tasks!$B$2:$B$1001,"&lt;&gt;"))</f>
        <v/>
      </c>
      <c r="AH58" s="37" t="str">
        <f aca="false">IF(A58="","",COUNTIFS(Actions!$A$2:$A$501,A58,Actions!$H$2:$H$501,"&lt;&gt;Done",Actions!$C$2:$C$501,"&lt;&gt;"))</f>
        <v/>
      </c>
      <c r="AI58" s="37" t="str">
        <f aca="false">IF(A58="","",COUNTIFS(RFIs!$A$2:$A$501,A58,RFIs!$G$2:$G$501,"Open"))</f>
        <v/>
      </c>
      <c r="AJ58" s="37" t="str">
        <f aca="false">IF(A58="","",COUNTIFS(Defects!$A$2:$A$501,A58,Defects!$H$2:$H$501,"Open"))</f>
        <v/>
      </c>
      <c r="AK58" s="37" t="str">
        <f aca="false">IF(A58="","","Schedule: "&amp;IF(Y58="","no dates / not tracked",TEXT(Y58,"0%")&amp;" of timeframe elapsed")&amp;" | Budget: "&amp;IF(AA58="","no approved budget or cash flow",TEXT(AA58,"0%")&amp;" of budget forecast")&amp;" | Risk: "&amp;AC58&amp;" critical, "&amp;AD58&amp;" high open")</f>
        <v/>
      </c>
    </row>
    <row r="59" customFormat="false" ht="15" hidden="false" customHeight="false" outlineLevel="0" collapsed="false">
      <c r="A59" s="32"/>
      <c r="B59" s="33"/>
      <c r="C59" s="32"/>
      <c r="D59" s="32"/>
      <c r="E59" s="32"/>
      <c r="F59" s="32"/>
      <c r="G59" s="32"/>
      <c r="H59" s="32"/>
      <c r="I59" s="32"/>
      <c r="J59" s="32"/>
      <c r="K59" s="34"/>
      <c r="L59" s="34"/>
      <c r="M59" s="34"/>
      <c r="N59" s="35"/>
      <c r="O59" s="35"/>
      <c r="P59" s="35"/>
      <c r="Q59" s="36" t="str">
        <f aca="false">IF(A59="","",SUMIFS(Variations!$F$2:$F$501,Variations!$A$2:$A$501,A59,Variations!$H$2:$H$501,"Approved"))</f>
        <v/>
      </c>
      <c r="R59" s="36" t="str">
        <f aca="false">IF(A59="","",IF(M59&lt;&gt;"",M59,IF(L59="","",L59+Q59)))</f>
        <v/>
      </c>
      <c r="S59" s="36" t="str">
        <f aca="false">IF(A59="","",SUMIFS('Cash Flow'!$D$2:$D$2001,'Cash Flow'!$A$2:$A$2001,A59,'Cash Flow'!$C$2:$C$2001,"Actual"))</f>
        <v/>
      </c>
      <c r="T59" s="36" t="str">
        <f aca="false">IF(A59="","",SUMIFS('Cash Flow'!$F$2:$F$2001,'Cash Flow'!$A$2:$A$2001,A59))</f>
        <v/>
      </c>
      <c r="U59" s="36" t="str">
        <f aca="false">IF(A59="","",IF(R59="","",R59-T59))</f>
        <v/>
      </c>
      <c r="V59" s="37" t="str">
        <f aca="false">IF(A59="","",SUMIFS('EOT Claims'!$L$2:$L$501,'EOT Claims'!$A$2:$A$501,A59))</f>
        <v/>
      </c>
      <c r="W59" s="38" t="str">
        <f aca="false">IF(A59="","",IF(O59="","",O59+V59))</f>
        <v/>
      </c>
      <c r="X59" s="37" t="str">
        <f aca="true">IF(A59="","",IF(O59="","",IF(AND(NOT(OR(D59="Project Completion",D59="Defects Liability",D59="Complete",D59="Cancelled")),O59&lt;TODAY()),"Overdue","")))</f>
        <v/>
      </c>
      <c r="Y59" s="39" t="str">
        <f aca="true">IF(A59="","",IF(OR(N59="",W59=""),"",IF(W59&lt;=N59,"",(TODAY()-N59)/(W59-N59))))</f>
        <v/>
      </c>
      <c r="Z59" s="37" t="str">
        <f aca="false">IF(A59="","",IF(OR(Y59="",OR(D59="Project Completion",D59="Defects Liability",D59="Complete",D59="Cancelled")),"Green",IF(Y59&gt;1.15,"Red",IF(Y59&gt;=0.95,"Amber","Green"))))</f>
        <v/>
      </c>
      <c r="AA59" s="39" t="str">
        <f aca="false">IF(A59="","",IF(R59="","",IF(OR(R59&lt;=0,COUNTIFS('Cash Flow'!$A$2:$A$2001,A59)=0),"",T59/R59)))</f>
        <v/>
      </c>
      <c r="AB59" s="37" t="str">
        <f aca="false">IF(A59="","",IF(AA59="","Green",IF(AA59&gt;1.15,"Red",IF(AA59&gt;=0.95,"Amber","Green"))))</f>
        <v/>
      </c>
      <c r="AC59" s="37" t="str">
        <f aca="false">IF(A59="","",COUNTIFS(Risks!$A$2:$A$501,A59,Risks!$B$2:$B$501,"Risk",Risks!$M$2:$M$501,"&lt;&gt;Closed",Risks!$O$2:$O$501,"Critical"))</f>
        <v/>
      </c>
      <c r="AD59" s="37" t="str">
        <f aca="false">IF(A59="","",COUNTIFS(Risks!$A$2:$A$501,A59,Risks!$B$2:$B$501,"Risk",Risks!$M$2:$M$501,"&lt;&gt;Closed",Risks!$O$2:$O$501,"High"))</f>
        <v/>
      </c>
      <c r="AE59" s="37" t="str">
        <f aca="false">IF(A59="","",IF(AC59&gt;0,"Red",IF(AD59&gt;0,"Amber","Green")))</f>
        <v/>
      </c>
      <c r="AF59" s="37" t="str">
        <f aca="false">IF(A59="","",IF(OR(Z59="Red",AB59="Red",AE59="Red"),"Red",IF(OR(Z59="Amber",AB59="Amber",AE59="Amber"),"Amber","Green")))</f>
        <v/>
      </c>
      <c r="AG59" s="37" t="str">
        <f aca="false">IF(A59="","",COUNTIFS(Tasks!$A$2:$A$1001,A59,Tasks!$D$2:$D$1001,"&lt;&gt;Done",Tasks!$B$2:$B$1001,"&lt;&gt;"))</f>
        <v/>
      </c>
      <c r="AH59" s="37" t="str">
        <f aca="false">IF(A59="","",COUNTIFS(Actions!$A$2:$A$501,A59,Actions!$H$2:$H$501,"&lt;&gt;Done",Actions!$C$2:$C$501,"&lt;&gt;"))</f>
        <v/>
      </c>
      <c r="AI59" s="37" t="str">
        <f aca="false">IF(A59="","",COUNTIFS(RFIs!$A$2:$A$501,A59,RFIs!$G$2:$G$501,"Open"))</f>
        <v/>
      </c>
      <c r="AJ59" s="37" t="str">
        <f aca="false">IF(A59="","",COUNTIFS(Defects!$A$2:$A$501,A59,Defects!$H$2:$H$501,"Open"))</f>
        <v/>
      </c>
      <c r="AK59" s="37" t="str">
        <f aca="false">IF(A59="","","Schedule: "&amp;IF(Y59="","no dates / not tracked",TEXT(Y59,"0%")&amp;" of timeframe elapsed")&amp;" | Budget: "&amp;IF(AA59="","no approved budget or cash flow",TEXT(AA59,"0%")&amp;" of budget forecast")&amp;" | Risk: "&amp;AC59&amp;" critical, "&amp;AD59&amp;" high open")</f>
        <v/>
      </c>
    </row>
    <row r="60" customFormat="false" ht="15" hidden="false" customHeight="false" outlineLevel="0" collapsed="false">
      <c r="A60" s="32"/>
      <c r="B60" s="33"/>
      <c r="C60" s="32"/>
      <c r="D60" s="32"/>
      <c r="E60" s="32"/>
      <c r="F60" s="32"/>
      <c r="G60" s="32"/>
      <c r="H60" s="32"/>
      <c r="I60" s="32"/>
      <c r="J60" s="32"/>
      <c r="K60" s="34"/>
      <c r="L60" s="34"/>
      <c r="M60" s="34"/>
      <c r="N60" s="35"/>
      <c r="O60" s="35"/>
      <c r="P60" s="35"/>
      <c r="Q60" s="36" t="str">
        <f aca="false">IF(A60="","",SUMIFS(Variations!$F$2:$F$501,Variations!$A$2:$A$501,A60,Variations!$H$2:$H$501,"Approved"))</f>
        <v/>
      </c>
      <c r="R60" s="36" t="str">
        <f aca="false">IF(A60="","",IF(M60&lt;&gt;"",M60,IF(L60="","",L60+Q60)))</f>
        <v/>
      </c>
      <c r="S60" s="36" t="str">
        <f aca="false">IF(A60="","",SUMIFS('Cash Flow'!$D$2:$D$2001,'Cash Flow'!$A$2:$A$2001,A60,'Cash Flow'!$C$2:$C$2001,"Actual"))</f>
        <v/>
      </c>
      <c r="T60" s="36" t="str">
        <f aca="false">IF(A60="","",SUMIFS('Cash Flow'!$F$2:$F$2001,'Cash Flow'!$A$2:$A$2001,A60))</f>
        <v/>
      </c>
      <c r="U60" s="36" t="str">
        <f aca="false">IF(A60="","",IF(R60="","",R60-T60))</f>
        <v/>
      </c>
      <c r="V60" s="37" t="str">
        <f aca="false">IF(A60="","",SUMIFS('EOT Claims'!$L$2:$L$501,'EOT Claims'!$A$2:$A$501,A60))</f>
        <v/>
      </c>
      <c r="W60" s="38" t="str">
        <f aca="false">IF(A60="","",IF(O60="","",O60+V60))</f>
        <v/>
      </c>
      <c r="X60" s="37" t="str">
        <f aca="true">IF(A60="","",IF(O60="","",IF(AND(NOT(OR(D60="Project Completion",D60="Defects Liability",D60="Complete",D60="Cancelled")),O60&lt;TODAY()),"Overdue","")))</f>
        <v/>
      </c>
      <c r="Y60" s="39" t="str">
        <f aca="true">IF(A60="","",IF(OR(N60="",W60=""),"",IF(W60&lt;=N60,"",(TODAY()-N60)/(W60-N60))))</f>
        <v/>
      </c>
      <c r="Z60" s="37" t="str">
        <f aca="false">IF(A60="","",IF(OR(Y60="",OR(D60="Project Completion",D60="Defects Liability",D60="Complete",D60="Cancelled")),"Green",IF(Y60&gt;1.15,"Red",IF(Y60&gt;=0.95,"Amber","Green"))))</f>
        <v/>
      </c>
      <c r="AA60" s="39" t="str">
        <f aca="false">IF(A60="","",IF(R60="","",IF(OR(R60&lt;=0,COUNTIFS('Cash Flow'!$A$2:$A$2001,A60)=0),"",T60/R60)))</f>
        <v/>
      </c>
      <c r="AB60" s="37" t="str">
        <f aca="false">IF(A60="","",IF(AA60="","Green",IF(AA60&gt;1.15,"Red",IF(AA60&gt;=0.95,"Amber","Green"))))</f>
        <v/>
      </c>
      <c r="AC60" s="37" t="str">
        <f aca="false">IF(A60="","",COUNTIFS(Risks!$A$2:$A$501,A60,Risks!$B$2:$B$501,"Risk",Risks!$M$2:$M$501,"&lt;&gt;Closed",Risks!$O$2:$O$501,"Critical"))</f>
        <v/>
      </c>
      <c r="AD60" s="37" t="str">
        <f aca="false">IF(A60="","",COUNTIFS(Risks!$A$2:$A$501,A60,Risks!$B$2:$B$501,"Risk",Risks!$M$2:$M$501,"&lt;&gt;Closed",Risks!$O$2:$O$501,"High"))</f>
        <v/>
      </c>
      <c r="AE60" s="37" t="str">
        <f aca="false">IF(A60="","",IF(AC60&gt;0,"Red",IF(AD60&gt;0,"Amber","Green")))</f>
        <v/>
      </c>
      <c r="AF60" s="37" t="str">
        <f aca="false">IF(A60="","",IF(OR(Z60="Red",AB60="Red",AE60="Red"),"Red",IF(OR(Z60="Amber",AB60="Amber",AE60="Amber"),"Amber","Green")))</f>
        <v/>
      </c>
      <c r="AG60" s="37" t="str">
        <f aca="false">IF(A60="","",COUNTIFS(Tasks!$A$2:$A$1001,A60,Tasks!$D$2:$D$1001,"&lt;&gt;Done",Tasks!$B$2:$B$1001,"&lt;&gt;"))</f>
        <v/>
      </c>
      <c r="AH60" s="37" t="str">
        <f aca="false">IF(A60="","",COUNTIFS(Actions!$A$2:$A$501,A60,Actions!$H$2:$H$501,"&lt;&gt;Done",Actions!$C$2:$C$501,"&lt;&gt;"))</f>
        <v/>
      </c>
      <c r="AI60" s="37" t="str">
        <f aca="false">IF(A60="","",COUNTIFS(RFIs!$A$2:$A$501,A60,RFIs!$G$2:$G$501,"Open"))</f>
        <v/>
      </c>
      <c r="AJ60" s="37" t="str">
        <f aca="false">IF(A60="","",COUNTIFS(Defects!$A$2:$A$501,A60,Defects!$H$2:$H$501,"Open"))</f>
        <v/>
      </c>
      <c r="AK60" s="37" t="str">
        <f aca="false">IF(A60="","","Schedule: "&amp;IF(Y60="","no dates / not tracked",TEXT(Y60,"0%")&amp;" of timeframe elapsed")&amp;" | Budget: "&amp;IF(AA60="","no approved budget or cash flow",TEXT(AA60,"0%")&amp;" of budget forecast")&amp;" | Risk: "&amp;AC60&amp;" critical, "&amp;AD60&amp;" high open")</f>
        <v/>
      </c>
    </row>
    <row r="61" customFormat="false" ht="15" hidden="false" customHeight="false" outlineLevel="0" collapsed="false">
      <c r="A61" s="32"/>
      <c r="B61" s="33"/>
      <c r="C61" s="32"/>
      <c r="D61" s="32"/>
      <c r="E61" s="32"/>
      <c r="F61" s="32"/>
      <c r="G61" s="32"/>
      <c r="H61" s="32"/>
      <c r="I61" s="32"/>
      <c r="J61" s="32"/>
      <c r="K61" s="34"/>
      <c r="L61" s="34"/>
      <c r="M61" s="34"/>
      <c r="N61" s="35"/>
      <c r="O61" s="35"/>
      <c r="P61" s="35"/>
      <c r="Q61" s="36" t="str">
        <f aca="false">IF(A61="","",SUMIFS(Variations!$F$2:$F$501,Variations!$A$2:$A$501,A61,Variations!$H$2:$H$501,"Approved"))</f>
        <v/>
      </c>
      <c r="R61" s="36" t="str">
        <f aca="false">IF(A61="","",IF(M61&lt;&gt;"",M61,IF(L61="","",L61+Q61)))</f>
        <v/>
      </c>
      <c r="S61" s="36" t="str">
        <f aca="false">IF(A61="","",SUMIFS('Cash Flow'!$D$2:$D$2001,'Cash Flow'!$A$2:$A$2001,A61,'Cash Flow'!$C$2:$C$2001,"Actual"))</f>
        <v/>
      </c>
      <c r="T61" s="36" t="str">
        <f aca="false">IF(A61="","",SUMIFS('Cash Flow'!$F$2:$F$2001,'Cash Flow'!$A$2:$A$2001,A61))</f>
        <v/>
      </c>
      <c r="U61" s="36" t="str">
        <f aca="false">IF(A61="","",IF(R61="","",R61-T61))</f>
        <v/>
      </c>
      <c r="V61" s="37" t="str">
        <f aca="false">IF(A61="","",SUMIFS('EOT Claims'!$L$2:$L$501,'EOT Claims'!$A$2:$A$501,A61))</f>
        <v/>
      </c>
      <c r="W61" s="38" t="str">
        <f aca="false">IF(A61="","",IF(O61="","",O61+V61))</f>
        <v/>
      </c>
      <c r="X61" s="37" t="str">
        <f aca="true">IF(A61="","",IF(O61="","",IF(AND(NOT(OR(D61="Project Completion",D61="Defects Liability",D61="Complete",D61="Cancelled")),O61&lt;TODAY()),"Overdue","")))</f>
        <v/>
      </c>
      <c r="Y61" s="39" t="str">
        <f aca="true">IF(A61="","",IF(OR(N61="",W61=""),"",IF(W61&lt;=N61,"",(TODAY()-N61)/(W61-N61))))</f>
        <v/>
      </c>
      <c r="Z61" s="37" t="str">
        <f aca="false">IF(A61="","",IF(OR(Y61="",OR(D61="Project Completion",D61="Defects Liability",D61="Complete",D61="Cancelled")),"Green",IF(Y61&gt;1.15,"Red",IF(Y61&gt;=0.95,"Amber","Green"))))</f>
        <v/>
      </c>
      <c r="AA61" s="39" t="str">
        <f aca="false">IF(A61="","",IF(R61="","",IF(OR(R61&lt;=0,COUNTIFS('Cash Flow'!$A$2:$A$2001,A61)=0),"",T61/R61)))</f>
        <v/>
      </c>
      <c r="AB61" s="37" t="str">
        <f aca="false">IF(A61="","",IF(AA61="","Green",IF(AA61&gt;1.15,"Red",IF(AA61&gt;=0.95,"Amber","Green"))))</f>
        <v/>
      </c>
      <c r="AC61" s="37" t="str">
        <f aca="false">IF(A61="","",COUNTIFS(Risks!$A$2:$A$501,A61,Risks!$B$2:$B$501,"Risk",Risks!$M$2:$M$501,"&lt;&gt;Closed",Risks!$O$2:$O$501,"Critical"))</f>
        <v/>
      </c>
      <c r="AD61" s="37" t="str">
        <f aca="false">IF(A61="","",COUNTIFS(Risks!$A$2:$A$501,A61,Risks!$B$2:$B$501,"Risk",Risks!$M$2:$M$501,"&lt;&gt;Closed",Risks!$O$2:$O$501,"High"))</f>
        <v/>
      </c>
      <c r="AE61" s="37" t="str">
        <f aca="false">IF(A61="","",IF(AC61&gt;0,"Red",IF(AD61&gt;0,"Amber","Green")))</f>
        <v/>
      </c>
      <c r="AF61" s="37" t="str">
        <f aca="false">IF(A61="","",IF(OR(Z61="Red",AB61="Red",AE61="Red"),"Red",IF(OR(Z61="Amber",AB61="Amber",AE61="Amber"),"Amber","Green")))</f>
        <v/>
      </c>
      <c r="AG61" s="37" t="str">
        <f aca="false">IF(A61="","",COUNTIFS(Tasks!$A$2:$A$1001,A61,Tasks!$D$2:$D$1001,"&lt;&gt;Done",Tasks!$B$2:$B$1001,"&lt;&gt;"))</f>
        <v/>
      </c>
      <c r="AH61" s="37" t="str">
        <f aca="false">IF(A61="","",COUNTIFS(Actions!$A$2:$A$501,A61,Actions!$H$2:$H$501,"&lt;&gt;Done",Actions!$C$2:$C$501,"&lt;&gt;"))</f>
        <v/>
      </c>
      <c r="AI61" s="37" t="str">
        <f aca="false">IF(A61="","",COUNTIFS(RFIs!$A$2:$A$501,A61,RFIs!$G$2:$G$501,"Open"))</f>
        <v/>
      </c>
      <c r="AJ61" s="37" t="str">
        <f aca="false">IF(A61="","",COUNTIFS(Defects!$A$2:$A$501,A61,Defects!$H$2:$H$501,"Open"))</f>
        <v/>
      </c>
      <c r="AK61" s="37" t="str">
        <f aca="false">IF(A61="","","Schedule: "&amp;IF(Y61="","no dates / not tracked",TEXT(Y61,"0%")&amp;" of timeframe elapsed")&amp;" | Budget: "&amp;IF(AA61="","no approved budget or cash flow",TEXT(AA61,"0%")&amp;" of budget forecast")&amp;" | Risk: "&amp;AC61&amp;" critical, "&amp;AD61&amp;" high open")</f>
        <v/>
      </c>
    </row>
    <row r="62" customFormat="false" ht="15" hidden="false" customHeight="false" outlineLevel="0" collapsed="false">
      <c r="A62" s="32"/>
      <c r="B62" s="33"/>
      <c r="C62" s="32"/>
      <c r="D62" s="32"/>
      <c r="E62" s="32"/>
      <c r="F62" s="32"/>
      <c r="G62" s="32"/>
      <c r="H62" s="32"/>
      <c r="I62" s="32"/>
      <c r="J62" s="32"/>
      <c r="K62" s="34"/>
      <c r="L62" s="34"/>
      <c r="M62" s="34"/>
      <c r="N62" s="35"/>
      <c r="O62" s="35"/>
      <c r="P62" s="35"/>
      <c r="Q62" s="36" t="str">
        <f aca="false">IF(A62="","",SUMIFS(Variations!$F$2:$F$501,Variations!$A$2:$A$501,A62,Variations!$H$2:$H$501,"Approved"))</f>
        <v/>
      </c>
      <c r="R62" s="36" t="str">
        <f aca="false">IF(A62="","",IF(M62&lt;&gt;"",M62,IF(L62="","",L62+Q62)))</f>
        <v/>
      </c>
      <c r="S62" s="36" t="str">
        <f aca="false">IF(A62="","",SUMIFS('Cash Flow'!$D$2:$D$2001,'Cash Flow'!$A$2:$A$2001,A62,'Cash Flow'!$C$2:$C$2001,"Actual"))</f>
        <v/>
      </c>
      <c r="T62" s="36" t="str">
        <f aca="false">IF(A62="","",SUMIFS('Cash Flow'!$F$2:$F$2001,'Cash Flow'!$A$2:$A$2001,A62))</f>
        <v/>
      </c>
      <c r="U62" s="36" t="str">
        <f aca="false">IF(A62="","",IF(R62="","",R62-T62))</f>
        <v/>
      </c>
      <c r="V62" s="37" t="str">
        <f aca="false">IF(A62="","",SUMIFS('EOT Claims'!$L$2:$L$501,'EOT Claims'!$A$2:$A$501,A62))</f>
        <v/>
      </c>
      <c r="W62" s="38" t="str">
        <f aca="false">IF(A62="","",IF(O62="","",O62+V62))</f>
        <v/>
      </c>
      <c r="X62" s="37" t="str">
        <f aca="true">IF(A62="","",IF(O62="","",IF(AND(NOT(OR(D62="Project Completion",D62="Defects Liability",D62="Complete",D62="Cancelled")),O62&lt;TODAY()),"Overdue","")))</f>
        <v/>
      </c>
      <c r="Y62" s="39" t="str">
        <f aca="true">IF(A62="","",IF(OR(N62="",W62=""),"",IF(W62&lt;=N62,"",(TODAY()-N62)/(W62-N62))))</f>
        <v/>
      </c>
      <c r="Z62" s="37" t="str">
        <f aca="false">IF(A62="","",IF(OR(Y62="",OR(D62="Project Completion",D62="Defects Liability",D62="Complete",D62="Cancelled")),"Green",IF(Y62&gt;1.15,"Red",IF(Y62&gt;=0.95,"Amber","Green"))))</f>
        <v/>
      </c>
      <c r="AA62" s="39" t="str">
        <f aca="false">IF(A62="","",IF(R62="","",IF(OR(R62&lt;=0,COUNTIFS('Cash Flow'!$A$2:$A$2001,A62)=0),"",T62/R62)))</f>
        <v/>
      </c>
      <c r="AB62" s="37" t="str">
        <f aca="false">IF(A62="","",IF(AA62="","Green",IF(AA62&gt;1.15,"Red",IF(AA62&gt;=0.95,"Amber","Green"))))</f>
        <v/>
      </c>
      <c r="AC62" s="37" t="str">
        <f aca="false">IF(A62="","",COUNTIFS(Risks!$A$2:$A$501,A62,Risks!$B$2:$B$501,"Risk",Risks!$M$2:$M$501,"&lt;&gt;Closed",Risks!$O$2:$O$501,"Critical"))</f>
        <v/>
      </c>
      <c r="AD62" s="37" t="str">
        <f aca="false">IF(A62="","",COUNTIFS(Risks!$A$2:$A$501,A62,Risks!$B$2:$B$501,"Risk",Risks!$M$2:$M$501,"&lt;&gt;Closed",Risks!$O$2:$O$501,"High"))</f>
        <v/>
      </c>
      <c r="AE62" s="37" t="str">
        <f aca="false">IF(A62="","",IF(AC62&gt;0,"Red",IF(AD62&gt;0,"Amber","Green")))</f>
        <v/>
      </c>
      <c r="AF62" s="37" t="str">
        <f aca="false">IF(A62="","",IF(OR(Z62="Red",AB62="Red",AE62="Red"),"Red",IF(OR(Z62="Amber",AB62="Amber",AE62="Amber"),"Amber","Green")))</f>
        <v/>
      </c>
      <c r="AG62" s="37" t="str">
        <f aca="false">IF(A62="","",COUNTIFS(Tasks!$A$2:$A$1001,A62,Tasks!$D$2:$D$1001,"&lt;&gt;Done",Tasks!$B$2:$B$1001,"&lt;&gt;"))</f>
        <v/>
      </c>
      <c r="AH62" s="37" t="str">
        <f aca="false">IF(A62="","",COUNTIFS(Actions!$A$2:$A$501,A62,Actions!$H$2:$H$501,"&lt;&gt;Done",Actions!$C$2:$C$501,"&lt;&gt;"))</f>
        <v/>
      </c>
      <c r="AI62" s="37" t="str">
        <f aca="false">IF(A62="","",COUNTIFS(RFIs!$A$2:$A$501,A62,RFIs!$G$2:$G$501,"Open"))</f>
        <v/>
      </c>
      <c r="AJ62" s="37" t="str">
        <f aca="false">IF(A62="","",COUNTIFS(Defects!$A$2:$A$501,A62,Defects!$H$2:$H$501,"Open"))</f>
        <v/>
      </c>
      <c r="AK62" s="37" t="str">
        <f aca="false">IF(A62="","","Schedule: "&amp;IF(Y62="","no dates / not tracked",TEXT(Y62,"0%")&amp;" of timeframe elapsed")&amp;" | Budget: "&amp;IF(AA62="","no approved budget or cash flow",TEXT(AA62,"0%")&amp;" of budget forecast")&amp;" | Risk: "&amp;AC62&amp;" critical, "&amp;AD62&amp;" high open")</f>
        <v/>
      </c>
    </row>
    <row r="63" customFormat="false" ht="15" hidden="false" customHeight="false" outlineLevel="0" collapsed="false">
      <c r="A63" s="32"/>
      <c r="B63" s="33"/>
      <c r="C63" s="32"/>
      <c r="D63" s="32"/>
      <c r="E63" s="32"/>
      <c r="F63" s="32"/>
      <c r="G63" s="32"/>
      <c r="H63" s="32"/>
      <c r="I63" s="32"/>
      <c r="J63" s="32"/>
      <c r="K63" s="34"/>
      <c r="L63" s="34"/>
      <c r="M63" s="34"/>
      <c r="N63" s="35"/>
      <c r="O63" s="35"/>
      <c r="P63" s="35"/>
      <c r="Q63" s="36" t="str">
        <f aca="false">IF(A63="","",SUMIFS(Variations!$F$2:$F$501,Variations!$A$2:$A$501,A63,Variations!$H$2:$H$501,"Approved"))</f>
        <v/>
      </c>
      <c r="R63" s="36" t="str">
        <f aca="false">IF(A63="","",IF(M63&lt;&gt;"",M63,IF(L63="","",L63+Q63)))</f>
        <v/>
      </c>
      <c r="S63" s="36" t="str">
        <f aca="false">IF(A63="","",SUMIFS('Cash Flow'!$D$2:$D$2001,'Cash Flow'!$A$2:$A$2001,A63,'Cash Flow'!$C$2:$C$2001,"Actual"))</f>
        <v/>
      </c>
      <c r="T63" s="36" t="str">
        <f aca="false">IF(A63="","",SUMIFS('Cash Flow'!$F$2:$F$2001,'Cash Flow'!$A$2:$A$2001,A63))</f>
        <v/>
      </c>
      <c r="U63" s="36" t="str">
        <f aca="false">IF(A63="","",IF(R63="","",R63-T63))</f>
        <v/>
      </c>
      <c r="V63" s="37" t="str">
        <f aca="false">IF(A63="","",SUMIFS('EOT Claims'!$L$2:$L$501,'EOT Claims'!$A$2:$A$501,A63))</f>
        <v/>
      </c>
      <c r="W63" s="38" t="str">
        <f aca="false">IF(A63="","",IF(O63="","",O63+V63))</f>
        <v/>
      </c>
      <c r="X63" s="37" t="str">
        <f aca="true">IF(A63="","",IF(O63="","",IF(AND(NOT(OR(D63="Project Completion",D63="Defects Liability",D63="Complete",D63="Cancelled")),O63&lt;TODAY()),"Overdue","")))</f>
        <v/>
      </c>
      <c r="Y63" s="39" t="str">
        <f aca="true">IF(A63="","",IF(OR(N63="",W63=""),"",IF(W63&lt;=N63,"",(TODAY()-N63)/(W63-N63))))</f>
        <v/>
      </c>
      <c r="Z63" s="37" t="str">
        <f aca="false">IF(A63="","",IF(OR(Y63="",OR(D63="Project Completion",D63="Defects Liability",D63="Complete",D63="Cancelled")),"Green",IF(Y63&gt;1.15,"Red",IF(Y63&gt;=0.95,"Amber","Green"))))</f>
        <v/>
      </c>
      <c r="AA63" s="39" t="str">
        <f aca="false">IF(A63="","",IF(R63="","",IF(OR(R63&lt;=0,COUNTIFS('Cash Flow'!$A$2:$A$2001,A63)=0),"",T63/R63)))</f>
        <v/>
      </c>
      <c r="AB63" s="37" t="str">
        <f aca="false">IF(A63="","",IF(AA63="","Green",IF(AA63&gt;1.15,"Red",IF(AA63&gt;=0.95,"Amber","Green"))))</f>
        <v/>
      </c>
      <c r="AC63" s="37" t="str">
        <f aca="false">IF(A63="","",COUNTIFS(Risks!$A$2:$A$501,A63,Risks!$B$2:$B$501,"Risk",Risks!$M$2:$M$501,"&lt;&gt;Closed",Risks!$O$2:$O$501,"Critical"))</f>
        <v/>
      </c>
      <c r="AD63" s="37" t="str">
        <f aca="false">IF(A63="","",COUNTIFS(Risks!$A$2:$A$501,A63,Risks!$B$2:$B$501,"Risk",Risks!$M$2:$M$501,"&lt;&gt;Closed",Risks!$O$2:$O$501,"High"))</f>
        <v/>
      </c>
      <c r="AE63" s="37" t="str">
        <f aca="false">IF(A63="","",IF(AC63&gt;0,"Red",IF(AD63&gt;0,"Amber","Green")))</f>
        <v/>
      </c>
      <c r="AF63" s="37" t="str">
        <f aca="false">IF(A63="","",IF(OR(Z63="Red",AB63="Red",AE63="Red"),"Red",IF(OR(Z63="Amber",AB63="Amber",AE63="Amber"),"Amber","Green")))</f>
        <v/>
      </c>
      <c r="AG63" s="37" t="str">
        <f aca="false">IF(A63="","",COUNTIFS(Tasks!$A$2:$A$1001,A63,Tasks!$D$2:$D$1001,"&lt;&gt;Done",Tasks!$B$2:$B$1001,"&lt;&gt;"))</f>
        <v/>
      </c>
      <c r="AH63" s="37" t="str">
        <f aca="false">IF(A63="","",COUNTIFS(Actions!$A$2:$A$501,A63,Actions!$H$2:$H$501,"&lt;&gt;Done",Actions!$C$2:$C$501,"&lt;&gt;"))</f>
        <v/>
      </c>
      <c r="AI63" s="37" t="str">
        <f aca="false">IF(A63="","",COUNTIFS(RFIs!$A$2:$A$501,A63,RFIs!$G$2:$G$501,"Open"))</f>
        <v/>
      </c>
      <c r="AJ63" s="37" t="str">
        <f aca="false">IF(A63="","",COUNTIFS(Defects!$A$2:$A$501,A63,Defects!$H$2:$H$501,"Open"))</f>
        <v/>
      </c>
      <c r="AK63" s="37" t="str">
        <f aca="false">IF(A63="","","Schedule: "&amp;IF(Y63="","no dates / not tracked",TEXT(Y63,"0%")&amp;" of timeframe elapsed")&amp;" | Budget: "&amp;IF(AA63="","no approved budget or cash flow",TEXT(AA63,"0%")&amp;" of budget forecast")&amp;" | Risk: "&amp;AC63&amp;" critical, "&amp;AD63&amp;" high open")</f>
        <v/>
      </c>
    </row>
    <row r="64" customFormat="false" ht="15" hidden="false" customHeight="false" outlineLevel="0" collapsed="false">
      <c r="A64" s="32"/>
      <c r="B64" s="33"/>
      <c r="C64" s="32"/>
      <c r="D64" s="32"/>
      <c r="E64" s="32"/>
      <c r="F64" s="32"/>
      <c r="G64" s="32"/>
      <c r="H64" s="32"/>
      <c r="I64" s="32"/>
      <c r="J64" s="32"/>
      <c r="K64" s="34"/>
      <c r="L64" s="34"/>
      <c r="M64" s="34"/>
      <c r="N64" s="35"/>
      <c r="O64" s="35"/>
      <c r="P64" s="35"/>
      <c r="Q64" s="36" t="str">
        <f aca="false">IF(A64="","",SUMIFS(Variations!$F$2:$F$501,Variations!$A$2:$A$501,A64,Variations!$H$2:$H$501,"Approved"))</f>
        <v/>
      </c>
      <c r="R64" s="36" t="str">
        <f aca="false">IF(A64="","",IF(M64&lt;&gt;"",M64,IF(L64="","",L64+Q64)))</f>
        <v/>
      </c>
      <c r="S64" s="36" t="str">
        <f aca="false">IF(A64="","",SUMIFS('Cash Flow'!$D$2:$D$2001,'Cash Flow'!$A$2:$A$2001,A64,'Cash Flow'!$C$2:$C$2001,"Actual"))</f>
        <v/>
      </c>
      <c r="T64" s="36" t="str">
        <f aca="false">IF(A64="","",SUMIFS('Cash Flow'!$F$2:$F$2001,'Cash Flow'!$A$2:$A$2001,A64))</f>
        <v/>
      </c>
      <c r="U64" s="36" t="str">
        <f aca="false">IF(A64="","",IF(R64="","",R64-T64))</f>
        <v/>
      </c>
      <c r="V64" s="37" t="str">
        <f aca="false">IF(A64="","",SUMIFS('EOT Claims'!$L$2:$L$501,'EOT Claims'!$A$2:$A$501,A64))</f>
        <v/>
      </c>
      <c r="W64" s="38" t="str">
        <f aca="false">IF(A64="","",IF(O64="","",O64+V64))</f>
        <v/>
      </c>
      <c r="X64" s="37" t="str">
        <f aca="true">IF(A64="","",IF(O64="","",IF(AND(NOT(OR(D64="Project Completion",D64="Defects Liability",D64="Complete",D64="Cancelled")),O64&lt;TODAY()),"Overdue","")))</f>
        <v/>
      </c>
      <c r="Y64" s="39" t="str">
        <f aca="true">IF(A64="","",IF(OR(N64="",W64=""),"",IF(W64&lt;=N64,"",(TODAY()-N64)/(W64-N64))))</f>
        <v/>
      </c>
      <c r="Z64" s="37" t="str">
        <f aca="false">IF(A64="","",IF(OR(Y64="",OR(D64="Project Completion",D64="Defects Liability",D64="Complete",D64="Cancelled")),"Green",IF(Y64&gt;1.15,"Red",IF(Y64&gt;=0.95,"Amber","Green"))))</f>
        <v/>
      </c>
      <c r="AA64" s="39" t="str">
        <f aca="false">IF(A64="","",IF(R64="","",IF(OR(R64&lt;=0,COUNTIFS('Cash Flow'!$A$2:$A$2001,A64)=0),"",T64/R64)))</f>
        <v/>
      </c>
      <c r="AB64" s="37" t="str">
        <f aca="false">IF(A64="","",IF(AA64="","Green",IF(AA64&gt;1.15,"Red",IF(AA64&gt;=0.95,"Amber","Green"))))</f>
        <v/>
      </c>
      <c r="AC64" s="37" t="str">
        <f aca="false">IF(A64="","",COUNTIFS(Risks!$A$2:$A$501,A64,Risks!$B$2:$B$501,"Risk",Risks!$M$2:$M$501,"&lt;&gt;Closed",Risks!$O$2:$O$501,"Critical"))</f>
        <v/>
      </c>
      <c r="AD64" s="37" t="str">
        <f aca="false">IF(A64="","",COUNTIFS(Risks!$A$2:$A$501,A64,Risks!$B$2:$B$501,"Risk",Risks!$M$2:$M$501,"&lt;&gt;Closed",Risks!$O$2:$O$501,"High"))</f>
        <v/>
      </c>
      <c r="AE64" s="37" t="str">
        <f aca="false">IF(A64="","",IF(AC64&gt;0,"Red",IF(AD64&gt;0,"Amber","Green")))</f>
        <v/>
      </c>
      <c r="AF64" s="37" t="str">
        <f aca="false">IF(A64="","",IF(OR(Z64="Red",AB64="Red",AE64="Red"),"Red",IF(OR(Z64="Amber",AB64="Amber",AE64="Amber"),"Amber","Green")))</f>
        <v/>
      </c>
      <c r="AG64" s="37" t="str">
        <f aca="false">IF(A64="","",COUNTIFS(Tasks!$A$2:$A$1001,A64,Tasks!$D$2:$D$1001,"&lt;&gt;Done",Tasks!$B$2:$B$1001,"&lt;&gt;"))</f>
        <v/>
      </c>
      <c r="AH64" s="37" t="str">
        <f aca="false">IF(A64="","",COUNTIFS(Actions!$A$2:$A$501,A64,Actions!$H$2:$H$501,"&lt;&gt;Done",Actions!$C$2:$C$501,"&lt;&gt;"))</f>
        <v/>
      </c>
      <c r="AI64" s="37" t="str">
        <f aca="false">IF(A64="","",COUNTIFS(RFIs!$A$2:$A$501,A64,RFIs!$G$2:$G$501,"Open"))</f>
        <v/>
      </c>
      <c r="AJ64" s="37" t="str">
        <f aca="false">IF(A64="","",COUNTIFS(Defects!$A$2:$A$501,A64,Defects!$H$2:$H$501,"Open"))</f>
        <v/>
      </c>
      <c r="AK64" s="37" t="str">
        <f aca="false">IF(A64="","","Schedule: "&amp;IF(Y64="","no dates / not tracked",TEXT(Y64,"0%")&amp;" of timeframe elapsed")&amp;" | Budget: "&amp;IF(AA64="","no approved budget or cash flow",TEXT(AA64,"0%")&amp;" of budget forecast")&amp;" | Risk: "&amp;AC64&amp;" critical, "&amp;AD64&amp;" high open")</f>
        <v/>
      </c>
    </row>
    <row r="65" customFormat="false" ht="15" hidden="false" customHeight="false" outlineLevel="0" collapsed="false">
      <c r="A65" s="32"/>
      <c r="B65" s="33"/>
      <c r="C65" s="32"/>
      <c r="D65" s="32"/>
      <c r="E65" s="32"/>
      <c r="F65" s="32"/>
      <c r="G65" s="32"/>
      <c r="H65" s="32"/>
      <c r="I65" s="32"/>
      <c r="J65" s="32"/>
      <c r="K65" s="34"/>
      <c r="L65" s="34"/>
      <c r="M65" s="34"/>
      <c r="N65" s="35"/>
      <c r="O65" s="35"/>
      <c r="P65" s="35"/>
      <c r="Q65" s="36" t="str">
        <f aca="false">IF(A65="","",SUMIFS(Variations!$F$2:$F$501,Variations!$A$2:$A$501,A65,Variations!$H$2:$H$501,"Approved"))</f>
        <v/>
      </c>
      <c r="R65" s="36" t="str">
        <f aca="false">IF(A65="","",IF(M65&lt;&gt;"",M65,IF(L65="","",L65+Q65)))</f>
        <v/>
      </c>
      <c r="S65" s="36" t="str">
        <f aca="false">IF(A65="","",SUMIFS('Cash Flow'!$D$2:$D$2001,'Cash Flow'!$A$2:$A$2001,A65,'Cash Flow'!$C$2:$C$2001,"Actual"))</f>
        <v/>
      </c>
      <c r="T65" s="36" t="str">
        <f aca="false">IF(A65="","",SUMIFS('Cash Flow'!$F$2:$F$2001,'Cash Flow'!$A$2:$A$2001,A65))</f>
        <v/>
      </c>
      <c r="U65" s="36" t="str">
        <f aca="false">IF(A65="","",IF(R65="","",R65-T65))</f>
        <v/>
      </c>
      <c r="V65" s="37" t="str">
        <f aca="false">IF(A65="","",SUMIFS('EOT Claims'!$L$2:$L$501,'EOT Claims'!$A$2:$A$501,A65))</f>
        <v/>
      </c>
      <c r="W65" s="38" t="str">
        <f aca="false">IF(A65="","",IF(O65="","",O65+V65))</f>
        <v/>
      </c>
      <c r="X65" s="37" t="str">
        <f aca="true">IF(A65="","",IF(O65="","",IF(AND(NOT(OR(D65="Project Completion",D65="Defects Liability",D65="Complete",D65="Cancelled")),O65&lt;TODAY()),"Overdue","")))</f>
        <v/>
      </c>
      <c r="Y65" s="39" t="str">
        <f aca="true">IF(A65="","",IF(OR(N65="",W65=""),"",IF(W65&lt;=N65,"",(TODAY()-N65)/(W65-N65))))</f>
        <v/>
      </c>
      <c r="Z65" s="37" t="str">
        <f aca="false">IF(A65="","",IF(OR(Y65="",OR(D65="Project Completion",D65="Defects Liability",D65="Complete",D65="Cancelled")),"Green",IF(Y65&gt;1.15,"Red",IF(Y65&gt;=0.95,"Amber","Green"))))</f>
        <v/>
      </c>
      <c r="AA65" s="39" t="str">
        <f aca="false">IF(A65="","",IF(R65="","",IF(OR(R65&lt;=0,COUNTIFS('Cash Flow'!$A$2:$A$2001,A65)=0),"",T65/R65)))</f>
        <v/>
      </c>
      <c r="AB65" s="37" t="str">
        <f aca="false">IF(A65="","",IF(AA65="","Green",IF(AA65&gt;1.15,"Red",IF(AA65&gt;=0.95,"Amber","Green"))))</f>
        <v/>
      </c>
      <c r="AC65" s="37" t="str">
        <f aca="false">IF(A65="","",COUNTIFS(Risks!$A$2:$A$501,A65,Risks!$B$2:$B$501,"Risk",Risks!$M$2:$M$501,"&lt;&gt;Closed",Risks!$O$2:$O$501,"Critical"))</f>
        <v/>
      </c>
      <c r="AD65" s="37" t="str">
        <f aca="false">IF(A65="","",COUNTIFS(Risks!$A$2:$A$501,A65,Risks!$B$2:$B$501,"Risk",Risks!$M$2:$M$501,"&lt;&gt;Closed",Risks!$O$2:$O$501,"High"))</f>
        <v/>
      </c>
      <c r="AE65" s="37" t="str">
        <f aca="false">IF(A65="","",IF(AC65&gt;0,"Red",IF(AD65&gt;0,"Amber","Green")))</f>
        <v/>
      </c>
      <c r="AF65" s="37" t="str">
        <f aca="false">IF(A65="","",IF(OR(Z65="Red",AB65="Red",AE65="Red"),"Red",IF(OR(Z65="Amber",AB65="Amber",AE65="Amber"),"Amber","Green")))</f>
        <v/>
      </c>
      <c r="AG65" s="37" t="str">
        <f aca="false">IF(A65="","",COUNTIFS(Tasks!$A$2:$A$1001,A65,Tasks!$D$2:$D$1001,"&lt;&gt;Done",Tasks!$B$2:$B$1001,"&lt;&gt;"))</f>
        <v/>
      </c>
      <c r="AH65" s="37" t="str">
        <f aca="false">IF(A65="","",COUNTIFS(Actions!$A$2:$A$501,A65,Actions!$H$2:$H$501,"&lt;&gt;Done",Actions!$C$2:$C$501,"&lt;&gt;"))</f>
        <v/>
      </c>
      <c r="AI65" s="37" t="str">
        <f aca="false">IF(A65="","",COUNTIFS(RFIs!$A$2:$A$501,A65,RFIs!$G$2:$G$501,"Open"))</f>
        <v/>
      </c>
      <c r="AJ65" s="37" t="str">
        <f aca="false">IF(A65="","",COUNTIFS(Defects!$A$2:$A$501,A65,Defects!$H$2:$H$501,"Open"))</f>
        <v/>
      </c>
      <c r="AK65" s="37" t="str">
        <f aca="false">IF(A65="","","Schedule: "&amp;IF(Y65="","no dates / not tracked",TEXT(Y65,"0%")&amp;" of timeframe elapsed")&amp;" | Budget: "&amp;IF(AA65="","no approved budget or cash flow",TEXT(AA65,"0%")&amp;" of budget forecast")&amp;" | Risk: "&amp;AC65&amp;" critical, "&amp;AD65&amp;" high open")</f>
        <v/>
      </c>
    </row>
    <row r="66" customFormat="false" ht="15" hidden="false" customHeight="false" outlineLevel="0" collapsed="false">
      <c r="A66" s="32"/>
      <c r="B66" s="33"/>
      <c r="C66" s="32"/>
      <c r="D66" s="32"/>
      <c r="E66" s="32"/>
      <c r="F66" s="32"/>
      <c r="G66" s="32"/>
      <c r="H66" s="32"/>
      <c r="I66" s="32"/>
      <c r="J66" s="32"/>
      <c r="K66" s="34"/>
      <c r="L66" s="34"/>
      <c r="M66" s="34"/>
      <c r="N66" s="35"/>
      <c r="O66" s="35"/>
      <c r="P66" s="35"/>
      <c r="Q66" s="36" t="str">
        <f aca="false">IF(A66="","",SUMIFS(Variations!$F$2:$F$501,Variations!$A$2:$A$501,A66,Variations!$H$2:$H$501,"Approved"))</f>
        <v/>
      </c>
      <c r="R66" s="36" t="str">
        <f aca="false">IF(A66="","",IF(M66&lt;&gt;"",M66,IF(L66="","",L66+Q66)))</f>
        <v/>
      </c>
      <c r="S66" s="36" t="str">
        <f aca="false">IF(A66="","",SUMIFS('Cash Flow'!$D$2:$D$2001,'Cash Flow'!$A$2:$A$2001,A66,'Cash Flow'!$C$2:$C$2001,"Actual"))</f>
        <v/>
      </c>
      <c r="T66" s="36" t="str">
        <f aca="false">IF(A66="","",SUMIFS('Cash Flow'!$F$2:$F$2001,'Cash Flow'!$A$2:$A$2001,A66))</f>
        <v/>
      </c>
      <c r="U66" s="36" t="str">
        <f aca="false">IF(A66="","",IF(R66="","",R66-T66))</f>
        <v/>
      </c>
      <c r="V66" s="37" t="str">
        <f aca="false">IF(A66="","",SUMIFS('EOT Claims'!$L$2:$L$501,'EOT Claims'!$A$2:$A$501,A66))</f>
        <v/>
      </c>
      <c r="W66" s="38" t="str">
        <f aca="false">IF(A66="","",IF(O66="","",O66+V66))</f>
        <v/>
      </c>
      <c r="X66" s="37" t="str">
        <f aca="true">IF(A66="","",IF(O66="","",IF(AND(NOT(OR(D66="Project Completion",D66="Defects Liability",D66="Complete",D66="Cancelled")),O66&lt;TODAY()),"Overdue","")))</f>
        <v/>
      </c>
      <c r="Y66" s="39" t="str">
        <f aca="true">IF(A66="","",IF(OR(N66="",W66=""),"",IF(W66&lt;=N66,"",(TODAY()-N66)/(W66-N66))))</f>
        <v/>
      </c>
      <c r="Z66" s="37" t="str">
        <f aca="false">IF(A66="","",IF(OR(Y66="",OR(D66="Project Completion",D66="Defects Liability",D66="Complete",D66="Cancelled")),"Green",IF(Y66&gt;1.15,"Red",IF(Y66&gt;=0.95,"Amber","Green"))))</f>
        <v/>
      </c>
      <c r="AA66" s="39" t="str">
        <f aca="false">IF(A66="","",IF(R66="","",IF(OR(R66&lt;=0,COUNTIFS('Cash Flow'!$A$2:$A$2001,A66)=0),"",T66/R66)))</f>
        <v/>
      </c>
      <c r="AB66" s="37" t="str">
        <f aca="false">IF(A66="","",IF(AA66="","Green",IF(AA66&gt;1.15,"Red",IF(AA66&gt;=0.95,"Amber","Green"))))</f>
        <v/>
      </c>
      <c r="AC66" s="37" t="str">
        <f aca="false">IF(A66="","",COUNTIFS(Risks!$A$2:$A$501,A66,Risks!$B$2:$B$501,"Risk",Risks!$M$2:$M$501,"&lt;&gt;Closed",Risks!$O$2:$O$501,"Critical"))</f>
        <v/>
      </c>
      <c r="AD66" s="37" t="str">
        <f aca="false">IF(A66="","",COUNTIFS(Risks!$A$2:$A$501,A66,Risks!$B$2:$B$501,"Risk",Risks!$M$2:$M$501,"&lt;&gt;Closed",Risks!$O$2:$O$501,"High"))</f>
        <v/>
      </c>
      <c r="AE66" s="37" t="str">
        <f aca="false">IF(A66="","",IF(AC66&gt;0,"Red",IF(AD66&gt;0,"Amber","Green")))</f>
        <v/>
      </c>
      <c r="AF66" s="37" t="str">
        <f aca="false">IF(A66="","",IF(OR(Z66="Red",AB66="Red",AE66="Red"),"Red",IF(OR(Z66="Amber",AB66="Amber",AE66="Amber"),"Amber","Green")))</f>
        <v/>
      </c>
      <c r="AG66" s="37" t="str">
        <f aca="false">IF(A66="","",COUNTIFS(Tasks!$A$2:$A$1001,A66,Tasks!$D$2:$D$1001,"&lt;&gt;Done",Tasks!$B$2:$B$1001,"&lt;&gt;"))</f>
        <v/>
      </c>
      <c r="AH66" s="37" t="str">
        <f aca="false">IF(A66="","",COUNTIFS(Actions!$A$2:$A$501,A66,Actions!$H$2:$H$501,"&lt;&gt;Done",Actions!$C$2:$C$501,"&lt;&gt;"))</f>
        <v/>
      </c>
      <c r="AI66" s="37" t="str">
        <f aca="false">IF(A66="","",COUNTIFS(RFIs!$A$2:$A$501,A66,RFIs!$G$2:$G$501,"Open"))</f>
        <v/>
      </c>
      <c r="AJ66" s="37" t="str">
        <f aca="false">IF(A66="","",COUNTIFS(Defects!$A$2:$A$501,A66,Defects!$H$2:$H$501,"Open"))</f>
        <v/>
      </c>
      <c r="AK66" s="37" t="str">
        <f aca="false">IF(A66="","","Schedule: "&amp;IF(Y66="","no dates / not tracked",TEXT(Y66,"0%")&amp;" of timeframe elapsed")&amp;" | Budget: "&amp;IF(AA66="","no approved budget or cash flow",TEXT(AA66,"0%")&amp;" of budget forecast")&amp;" | Risk: "&amp;AC66&amp;" critical, "&amp;AD66&amp;" high open")</f>
        <v/>
      </c>
    </row>
    <row r="67" customFormat="false" ht="15" hidden="false" customHeight="false" outlineLevel="0" collapsed="false">
      <c r="A67" s="32"/>
      <c r="B67" s="33"/>
      <c r="C67" s="32"/>
      <c r="D67" s="32"/>
      <c r="E67" s="32"/>
      <c r="F67" s="32"/>
      <c r="G67" s="32"/>
      <c r="H67" s="32"/>
      <c r="I67" s="32"/>
      <c r="J67" s="32"/>
      <c r="K67" s="34"/>
      <c r="L67" s="34"/>
      <c r="M67" s="34"/>
      <c r="N67" s="35"/>
      <c r="O67" s="35"/>
      <c r="P67" s="35"/>
      <c r="Q67" s="36" t="str">
        <f aca="false">IF(A67="","",SUMIFS(Variations!$F$2:$F$501,Variations!$A$2:$A$501,A67,Variations!$H$2:$H$501,"Approved"))</f>
        <v/>
      </c>
      <c r="R67" s="36" t="str">
        <f aca="false">IF(A67="","",IF(M67&lt;&gt;"",M67,IF(L67="","",L67+Q67)))</f>
        <v/>
      </c>
      <c r="S67" s="36" t="str">
        <f aca="false">IF(A67="","",SUMIFS('Cash Flow'!$D$2:$D$2001,'Cash Flow'!$A$2:$A$2001,A67,'Cash Flow'!$C$2:$C$2001,"Actual"))</f>
        <v/>
      </c>
      <c r="T67" s="36" t="str">
        <f aca="false">IF(A67="","",SUMIFS('Cash Flow'!$F$2:$F$2001,'Cash Flow'!$A$2:$A$2001,A67))</f>
        <v/>
      </c>
      <c r="U67" s="36" t="str">
        <f aca="false">IF(A67="","",IF(R67="","",R67-T67))</f>
        <v/>
      </c>
      <c r="V67" s="37" t="str">
        <f aca="false">IF(A67="","",SUMIFS('EOT Claims'!$L$2:$L$501,'EOT Claims'!$A$2:$A$501,A67))</f>
        <v/>
      </c>
      <c r="W67" s="38" t="str">
        <f aca="false">IF(A67="","",IF(O67="","",O67+V67))</f>
        <v/>
      </c>
      <c r="X67" s="37" t="str">
        <f aca="true">IF(A67="","",IF(O67="","",IF(AND(NOT(OR(D67="Project Completion",D67="Defects Liability",D67="Complete",D67="Cancelled")),O67&lt;TODAY()),"Overdue","")))</f>
        <v/>
      </c>
      <c r="Y67" s="39" t="str">
        <f aca="true">IF(A67="","",IF(OR(N67="",W67=""),"",IF(W67&lt;=N67,"",(TODAY()-N67)/(W67-N67))))</f>
        <v/>
      </c>
      <c r="Z67" s="37" t="str">
        <f aca="false">IF(A67="","",IF(OR(Y67="",OR(D67="Project Completion",D67="Defects Liability",D67="Complete",D67="Cancelled")),"Green",IF(Y67&gt;1.15,"Red",IF(Y67&gt;=0.95,"Amber","Green"))))</f>
        <v/>
      </c>
      <c r="AA67" s="39" t="str">
        <f aca="false">IF(A67="","",IF(R67="","",IF(OR(R67&lt;=0,COUNTIFS('Cash Flow'!$A$2:$A$2001,A67)=0),"",T67/R67)))</f>
        <v/>
      </c>
      <c r="AB67" s="37" t="str">
        <f aca="false">IF(A67="","",IF(AA67="","Green",IF(AA67&gt;1.15,"Red",IF(AA67&gt;=0.95,"Amber","Green"))))</f>
        <v/>
      </c>
      <c r="AC67" s="37" t="str">
        <f aca="false">IF(A67="","",COUNTIFS(Risks!$A$2:$A$501,A67,Risks!$B$2:$B$501,"Risk",Risks!$M$2:$M$501,"&lt;&gt;Closed",Risks!$O$2:$O$501,"Critical"))</f>
        <v/>
      </c>
      <c r="AD67" s="37" t="str">
        <f aca="false">IF(A67="","",COUNTIFS(Risks!$A$2:$A$501,A67,Risks!$B$2:$B$501,"Risk",Risks!$M$2:$M$501,"&lt;&gt;Closed",Risks!$O$2:$O$501,"High"))</f>
        <v/>
      </c>
      <c r="AE67" s="37" t="str">
        <f aca="false">IF(A67="","",IF(AC67&gt;0,"Red",IF(AD67&gt;0,"Amber","Green")))</f>
        <v/>
      </c>
      <c r="AF67" s="37" t="str">
        <f aca="false">IF(A67="","",IF(OR(Z67="Red",AB67="Red",AE67="Red"),"Red",IF(OR(Z67="Amber",AB67="Amber",AE67="Amber"),"Amber","Green")))</f>
        <v/>
      </c>
      <c r="AG67" s="37" t="str">
        <f aca="false">IF(A67="","",COUNTIFS(Tasks!$A$2:$A$1001,A67,Tasks!$D$2:$D$1001,"&lt;&gt;Done",Tasks!$B$2:$B$1001,"&lt;&gt;"))</f>
        <v/>
      </c>
      <c r="AH67" s="37" t="str">
        <f aca="false">IF(A67="","",COUNTIFS(Actions!$A$2:$A$501,A67,Actions!$H$2:$H$501,"&lt;&gt;Done",Actions!$C$2:$C$501,"&lt;&gt;"))</f>
        <v/>
      </c>
      <c r="AI67" s="37" t="str">
        <f aca="false">IF(A67="","",COUNTIFS(RFIs!$A$2:$A$501,A67,RFIs!$G$2:$G$501,"Open"))</f>
        <v/>
      </c>
      <c r="AJ67" s="37" t="str">
        <f aca="false">IF(A67="","",COUNTIFS(Defects!$A$2:$A$501,A67,Defects!$H$2:$H$501,"Open"))</f>
        <v/>
      </c>
      <c r="AK67" s="37" t="str">
        <f aca="false">IF(A67="","","Schedule: "&amp;IF(Y67="","no dates / not tracked",TEXT(Y67,"0%")&amp;" of timeframe elapsed")&amp;" | Budget: "&amp;IF(AA67="","no approved budget or cash flow",TEXT(AA67,"0%")&amp;" of budget forecast")&amp;" | Risk: "&amp;AC67&amp;" critical, "&amp;AD67&amp;" high open")</f>
        <v/>
      </c>
    </row>
    <row r="68" customFormat="false" ht="15" hidden="false" customHeight="false" outlineLevel="0" collapsed="false">
      <c r="A68" s="32"/>
      <c r="B68" s="33"/>
      <c r="C68" s="32"/>
      <c r="D68" s="32"/>
      <c r="E68" s="32"/>
      <c r="F68" s="32"/>
      <c r="G68" s="32"/>
      <c r="H68" s="32"/>
      <c r="I68" s="32"/>
      <c r="J68" s="32"/>
      <c r="K68" s="34"/>
      <c r="L68" s="34"/>
      <c r="M68" s="34"/>
      <c r="N68" s="35"/>
      <c r="O68" s="35"/>
      <c r="P68" s="35"/>
      <c r="Q68" s="36" t="str">
        <f aca="false">IF(A68="","",SUMIFS(Variations!$F$2:$F$501,Variations!$A$2:$A$501,A68,Variations!$H$2:$H$501,"Approved"))</f>
        <v/>
      </c>
      <c r="R68" s="36" t="str">
        <f aca="false">IF(A68="","",IF(M68&lt;&gt;"",M68,IF(L68="","",L68+Q68)))</f>
        <v/>
      </c>
      <c r="S68" s="36" t="str">
        <f aca="false">IF(A68="","",SUMIFS('Cash Flow'!$D$2:$D$2001,'Cash Flow'!$A$2:$A$2001,A68,'Cash Flow'!$C$2:$C$2001,"Actual"))</f>
        <v/>
      </c>
      <c r="T68" s="36" t="str">
        <f aca="false">IF(A68="","",SUMIFS('Cash Flow'!$F$2:$F$2001,'Cash Flow'!$A$2:$A$2001,A68))</f>
        <v/>
      </c>
      <c r="U68" s="36" t="str">
        <f aca="false">IF(A68="","",IF(R68="","",R68-T68))</f>
        <v/>
      </c>
      <c r="V68" s="37" t="str">
        <f aca="false">IF(A68="","",SUMIFS('EOT Claims'!$L$2:$L$501,'EOT Claims'!$A$2:$A$501,A68))</f>
        <v/>
      </c>
      <c r="W68" s="38" t="str">
        <f aca="false">IF(A68="","",IF(O68="","",O68+V68))</f>
        <v/>
      </c>
      <c r="X68" s="37" t="str">
        <f aca="true">IF(A68="","",IF(O68="","",IF(AND(NOT(OR(D68="Project Completion",D68="Defects Liability",D68="Complete",D68="Cancelled")),O68&lt;TODAY()),"Overdue","")))</f>
        <v/>
      </c>
      <c r="Y68" s="39" t="str">
        <f aca="true">IF(A68="","",IF(OR(N68="",W68=""),"",IF(W68&lt;=N68,"",(TODAY()-N68)/(W68-N68))))</f>
        <v/>
      </c>
      <c r="Z68" s="37" t="str">
        <f aca="false">IF(A68="","",IF(OR(Y68="",OR(D68="Project Completion",D68="Defects Liability",D68="Complete",D68="Cancelled")),"Green",IF(Y68&gt;1.15,"Red",IF(Y68&gt;=0.95,"Amber","Green"))))</f>
        <v/>
      </c>
      <c r="AA68" s="39" t="str">
        <f aca="false">IF(A68="","",IF(R68="","",IF(OR(R68&lt;=0,COUNTIFS('Cash Flow'!$A$2:$A$2001,A68)=0),"",T68/R68)))</f>
        <v/>
      </c>
      <c r="AB68" s="37" t="str">
        <f aca="false">IF(A68="","",IF(AA68="","Green",IF(AA68&gt;1.15,"Red",IF(AA68&gt;=0.95,"Amber","Green"))))</f>
        <v/>
      </c>
      <c r="AC68" s="37" t="str">
        <f aca="false">IF(A68="","",COUNTIFS(Risks!$A$2:$A$501,A68,Risks!$B$2:$B$501,"Risk",Risks!$M$2:$M$501,"&lt;&gt;Closed",Risks!$O$2:$O$501,"Critical"))</f>
        <v/>
      </c>
      <c r="AD68" s="37" t="str">
        <f aca="false">IF(A68="","",COUNTIFS(Risks!$A$2:$A$501,A68,Risks!$B$2:$B$501,"Risk",Risks!$M$2:$M$501,"&lt;&gt;Closed",Risks!$O$2:$O$501,"High"))</f>
        <v/>
      </c>
      <c r="AE68" s="37" t="str">
        <f aca="false">IF(A68="","",IF(AC68&gt;0,"Red",IF(AD68&gt;0,"Amber","Green")))</f>
        <v/>
      </c>
      <c r="AF68" s="37" t="str">
        <f aca="false">IF(A68="","",IF(OR(Z68="Red",AB68="Red",AE68="Red"),"Red",IF(OR(Z68="Amber",AB68="Amber",AE68="Amber"),"Amber","Green")))</f>
        <v/>
      </c>
      <c r="AG68" s="37" t="str">
        <f aca="false">IF(A68="","",COUNTIFS(Tasks!$A$2:$A$1001,A68,Tasks!$D$2:$D$1001,"&lt;&gt;Done",Tasks!$B$2:$B$1001,"&lt;&gt;"))</f>
        <v/>
      </c>
      <c r="AH68" s="37" t="str">
        <f aca="false">IF(A68="","",COUNTIFS(Actions!$A$2:$A$501,A68,Actions!$H$2:$H$501,"&lt;&gt;Done",Actions!$C$2:$C$501,"&lt;&gt;"))</f>
        <v/>
      </c>
      <c r="AI68" s="37" t="str">
        <f aca="false">IF(A68="","",COUNTIFS(RFIs!$A$2:$A$501,A68,RFIs!$G$2:$G$501,"Open"))</f>
        <v/>
      </c>
      <c r="AJ68" s="37" t="str">
        <f aca="false">IF(A68="","",COUNTIFS(Defects!$A$2:$A$501,A68,Defects!$H$2:$H$501,"Open"))</f>
        <v/>
      </c>
      <c r="AK68" s="37" t="str">
        <f aca="false">IF(A68="","","Schedule: "&amp;IF(Y68="","no dates / not tracked",TEXT(Y68,"0%")&amp;" of timeframe elapsed")&amp;" | Budget: "&amp;IF(AA68="","no approved budget or cash flow",TEXT(AA68,"0%")&amp;" of budget forecast")&amp;" | Risk: "&amp;AC68&amp;" critical, "&amp;AD68&amp;" high open")</f>
        <v/>
      </c>
    </row>
    <row r="69" customFormat="false" ht="15" hidden="false" customHeight="false" outlineLevel="0" collapsed="false">
      <c r="A69" s="32"/>
      <c r="B69" s="33"/>
      <c r="C69" s="32"/>
      <c r="D69" s="32"/>
      <c r="E69" s="32"/>
      <c r="F69" s="32"/>
      <c r="G69" s="32"/>
      <c r="H69" s="32"/>
      <c r="I69" s="32"/>
      <c r="J69" s="32"/>
      <c r="K69" s="34"/>
      <c r="L69" s="34"/>
      <c r="M69" s="34"/>
      <c r="N69" s="35"/>
      <c r="O69" s="35"/>
      <c r="P69" s="35"/>
      <c r="Q69" s="36" t="str">
        <f aca="false">IF(A69="","",SUMIFS(Variations!$F$2:$F$501,Variations!$A$2:$A$501,A69,Variations!$H$2:$H$501,"Approved"))</f>
        <v/>
      </c>
      <c r="R69" s="36" t="str">
        <f aca="false">IF(A69="","",IF(M69&lt;&gt;"",M69,IF(L69="","",L69+Q69)))</f>
        <v/>
      </c>
      <c r="S69" s="36" t="str">
        <f aca="false">IF(A69="","",SUMIFS('Cash Flow'!$D$2:$D$2001,'Cash Flow'!$A$2:$A$2001,A69,'Cash Flow'!$C$2:$C$2001,"Actual"))</f>
        <v/>
      </c>
      <c r="T69" s="36" t="str">
        <f aca="false">IF(A69="","",SUMIFS('Cash Flow'!$F$2:$F$2001,'Cash Flow'!$A$2:$A$2001,A69))</f>
        <v/>
      </c>
      <c r="U69" s="36" t="str">
        <f aca="false">IF(A69="","",IF(R69="","",R69-T69))</f>
        <v/>
      </c>
      <c r="V69" s="37" t="str">
        <f aca="false">IF(A69="","",SUMIFS('EOT Claims'!$L$2:$L$501,'EOT Claims'!$A$2:$A$501,A69))</f>
        <v/>
      </c>
      <c r="W69" s="38" t="str">
        <f aca="false">IF(A69="","",IF(O69="","",O69+V69))</f>
        <v/>
      </c>
      <c r="X69" s="37" t="str">
        <f aca="true">IF(A69="","",IF(O69="","",IF(AND(NOT(OR(D69="Project Completion",D69="Defects Liability",D69="Complete",D69="Cancelled")),O69&lt;TODAY()),"Overdue","")))</f>
        <v/>
      </c>
      <c r="Y69" s="39" t="str">
        <f aca="true">IF(A69="","",IF(OR(N69="",W69=""),"",IF(W69&lt;=N69,"",(TODAY()-N69)/(W69-N69))))</f>
        <v/>
      </c>
      <c r="Z69" s="37" t="str">
        <f aca="false">IF(A69="","",IF(OR(Y69="",OR(D69="Project Completion",D69="Defects Liability",D69="Complete",D69="Cancelled")),"Green",IF(Y69&gt;1.15,"Red",IF(Y69&gt;=0.95,"Amber","Green"))))</f>
        <v/>
      </c>
      <c r="AA69" s="39" t="str">
        <f aca="false">IF(A69="","",IF(R69="","",IF(OR(R69&lt;=0,COUNTIFS('Cash Flow'!$A$2:$A$2001,A69)=0),"",T69/R69)))</f>
        <v/>
      </c>
      <c r="AB69" s="37" t="str">
        <f aca="false">IF(A69="","",IF(AA69="","Green",IF(AA69&gt;1.15,"Red",IF(AA69&gt;=0.95,"Amber","Green"))))</f>
        <v/>
      </c>
      <c r="AC69" s="37" t="str">
        <f aca="false">IF(A69="","",COUNTIFS(Risks!$A$2:$A$501,A69,Risks!$B$2:$B$501,"Risk",Risks!$M$2:$M$501,"&lt;&gt;Closed",Risks!$O$2:$O$501,"Critical"))</f>
        <v/>
      </c>
      <c r="AD69" s="37" t="str">
        <f aca="false">IF(A69="","",COUNTIFS(Risks!$A$2:$A$501,A69,Risks!$B$2:$B$501,"Risk",Risks!$M$2:$M$501,"&lt;&gt;Closed",Risks!$O$2:$O$501,"High"))</f>
        <v/>
      </c>
      <c r="AE69" s="37" t="str">
        <f aca="false">IF(A69="","",IF(AC69&gt;0,"Red",IF(AD69&gt;0,"Amber","Green")))</f>
        <v/>
      </c>
      <c r="AF69" s="37" t="str">
        <f aca="false">IF(A69="","",IF(OR(Z69="Red",AB69="Red",AE69="Red"),"Red",IF(OR(Z69="Amber",AB69="Amber",AE69="Amber"),"Amber","Green")))</f>
        <v/>
      </c>
      <c r="AG69" s="37" t="str">
        <f aca="false">IF(A69="","",COUNTIFS(Tasks!$A$2:$A$1001,A69,Tasks!$D$2:$D$1001,"&lt;&gt;Done",Tasks!$B$2:$B$1001,"&lt;&gt;"))</f>
        <v/>
      </c>
      <c r="AH69" s="37" t="str">
        <f aca="false">IF(A69="","",COUNTIFS(Actions!$A$2:$A$501,A69,Actions!$H$2:$H$501,"&lt;&gt;Done",Actions!$C$2:$C$501,"&lt;&gt;"))</f>
        <v/>
      </c>
      <c r="AI69" s="37" t="str">
        <f aca="false">IF(A69="","",COUNTIFS(RFIs!$A$2:$A$501,A69,RFIs!$G$2:$G$501,"Open"))</f>
        <v/>
      </c>
      <c r="AJ69" s="37" t="str">
        <f aca="false">IF(A69="","",COUNTIFS(Defects!$A$2:$A$501,A69,Defects!$H$2:$H$501,"Open"))</f>
        <v/>
      </c>
      <c r="AK69" s="37" t="str">
        <f aca="false">IF(A69="","","Schedule: "&amp;IF(Y69="","no dates / not tracked",TEXT(Y69,"0%")&amp;" of timeframe elapsed")&amp;" | Budget: "&amp;IF(AA69="","no approved budget or cash flow",TEXT(AA69,"0%")&amp;" of budget forecast")&amp;" | Risk: "&amp;AC69&amp;" critical, "&amp;AD69&amp;" high open")</f>
        <v/>
      </c>
    </row>
    <row r="70" customFormat="false" ht="15" hidden="false" customHeight="false" outlineLevel="0" collapsed="false">
      <c r="A70" s="32"/>
      <c r="B70" s="33"/>
      <c r="C70" s="32"/>
      <c r="D70" s="32"/>
      <c r="E70" s="32"/>
      <c r="F70" s="32"/>
      <c r="G70" s="32"/>
      <c r="H70" s="32"/>
      <c r="I70" s="32"/>
      <c r="J70" s="32"/>
      <c r="K70" s="34"/>
      <c r="L70" s="34"/>
      <c r="M70" s="34"/>
      <c r="N70" s="35"/>
      <c r="O70" s="35"/>
      <c r="P70" s="35"/>
      <c r="Q70" s="36" t="str">
        <f aca="false">IF(A70="","",SUMIFS(Variations!$F$2:$F$501,Variations!$A$2:$A$501,A70,Variations!$H$2:$H$501,"Approved"))</f>
        <v/>
      </c>
      <c r="R70" s="36" t="str">
        <f aca="false">IF(A70="","",IF(M70&lt;&gt;"",M70,IF(L70="","",L70+Q70)))</f>
        <v/>
      </c>
      <c r="S70" s="36" t="str">
        <f aca="false">IF(A70="","",SUMIFS('Cash Flow'!$D$2:$D$2001,'Cash Flow'!$A$2:$A$2001,A70,'Cash Flow'!$C$2:$C$2001,"Actual"))</f>
        <v/>
      </c>
      <c r="T70" s="36" t="str">
        <f aca="false">IF(A70="","",SUMIFS('Cash Flow'!$F$2:$F$2001,'Cash Flow'!$A$2:$A$2001,A70))</f>
        <v/>
      </c>
      <c r="U70" s="36" t="str">
        <f aca="false">IF(A70="","",IF(R70="","",R70-T70))</f>
        <v/>
      </c>
      <c r="V70" s="37" t="str">
        <f aca="false">IF(A70="","",SUMIFS('EOT Claims'!$L$2:$L$501,'EOT Claims'!$A$2:$A$501,A70))</f>
        <v/>
      </c>
      <c r="W70" s="38" t="str">
        <f aca="false">IF(A70="","",IF(O70="","",O70+V70))</f>
        <v/>
      </c>
      <c r="X70" s="37" t="str">
        <f aca="true">IF(A70="","",IF(O70="","",IF(AND(NOT(OR(D70="Project Completion",D70="Defects Liability",D70="Complete",D70="Cancelled")),O70&lt;TODAY()),"Overdue","")))</f>
        <v/>
      </c>
      <c r="Y70" s="39" t="str">
        <f aca="true">IF(A70="","",IF(OR(N70="",W70=""),"",IF(W70&lt;=N70,"",(TODAY()-N70)/(W70-N70))))</f>
        <v/>
      </c>
      <c r="Z70" s="37" t="str">
        <f aca="false">IF(A70="","",IF(OR(Y70="",OR(D70="Project Completion",D70="Defects Liability",D70="Complete",D70="Cancelled")),"Green",IF(Y70&gt;1.15,"Red",IF(Y70&gt;=0.95,"Amber","Green"))))</f>
        <v/>
      </c>
      <c r="AA70" s="39" t="str">
        <f aca="false">IF(A70="","",IF(R70="","",IF(OR(R70&lt;=0,COUNTIFS('Cash Flow'!$A$2:$A$2001,A70)=0),"",T70/R70)))</f>
        <v/>
      </c>
      <c r="AB70" s="37" t="str">
        <f aca="false">IF(A70="","",IF(AA70="","Green",IF(AA70&gt;1.15,"Red",IF(AA70&gt;=0.95,"Amber","Green"))))</f>
        <v/>
      </c>
      <c r="AC70" s="37" t="str">
        <f aca="false">IF(A70="","",COUNTIFS(Risks!$A$2:$A$501,A70,Risks!$B$2:$B$501,"Risk",Risks!$M$2:$M$501,"&lt;&gt;Closed",Risks!$O$2:$O$501,"Critical"))</f>
        <v/>
      </c>
      <c r="AD70" s="37" t="str">
        <f aca="false">IF(A70="","",COUNTIFS(Risks!$A$2:$A$501,A70,Risks!$B$2:$B$501,"Risk",Risks!$M$2:$M$501,"&lt;&gt;Closed",Risks!$O$2:$O$501,"High"))</f>
        <v/>
      </c>
      <c r="AE70" s="37" t="str">
        <f aca="false">IF(A70="","",IF(AC70&gt;0,"Red",IF(AD70&gt;0,"Amber","Green")))</f>
        <v/>
      </c>
      <c r="AF70" s="37" t="str">
        <f aca="false">IF(A70="","",IF(OR(Z70="Red",AB70="Red",AE70="Red"),"Red",IF(OR(Z70="Amber",AB70="Amber",AE70="Amber"),"Amber","Green")))</f>
        <v/>
      </c>
      <c r="AG70" s="37" t="str">
        <f aca="false">IF(A70="","",COUNTIFS(Tasks!$A$2:$A$1001,A70,Tasks!$D$2:$D$1001,"&lt;&gt;Done",Tasks!$B$2:$B$1001,"&lt;&gt;"))</f>
        <v/>
      </c>
      <c r="AH70" s="37" t="str">
        <f aca="false">IF(A70="","",COUNTIFS(Actions!$A$2:$A$501,A70,Actions!$H$2:$H$501,"&lt;&gt;Done",Actions!$C$2:$C$501,"&lt;&gt;"))</f>
        <v/>
      </c>
      <c r="AI70" s="37" t="str">
        <f aca="false">IF(A70="","",COUNTIFS(RFIs!$A$2:$A$501,A70,RFIs!$G$2:$G$501,"Open"))</f>
        <v/>
      </c>
      <c r="AJ70" s="37" t="str">
        <f aca="false">IF(A70="","",COUNTIFS(Defects!$A$2:$A$501,A70,Defects!$H$2:$H$501,"Open"))</f>
        <v/>
      </c>
      <c r="AK70" s="37" t="str">
        <f aca="false">IF(A70="","","Schedule: "&amp;IF(Y70="","no dates / not tracked",TEXT(Y70,"0%")&amp;" of timeframe elapsed")&amp;" | Budget: "&amp;IF(AA70="","no approved budget or cash flow",TEXT(AA70,"0%")&amp;" of budget forecast")&amp;" | Risk: "&amp;AC70&amp;" critical, "&amp;AD70&amp;" high open")</f>
        <v/>
      </c>
    </row>
    <row r="71" customFormat="false" ht="15" hidden="false" customHeight="false" outlineLevel="0" collapsed="false">
      <c r="A71" s="32"/>
      <c r="B71" s="33"/>
      <c r="C71" s="32"/>
      <c r="D71" s="32"/>
      <c r="E71" s="32"/>
      <c r="F71" s="32"/>
      <c r="G71" s="32"/>
      <c r="H71" s="32"/>
      <c r="I71" s="32"/>
      <c r="J71" s="32"/>
      <c r="K71" s="34"/>
      <c r="L71" s="34"/>
      <c r="M71" s="34"/>
      <c r="N71" s="35"/>
      <c r="O71" s="35"/>
      <c r="P71" s="35"/>
      <c r="Q71" s="36" t="str">
        <f aca="false">IF(A71="","",SUMIFS(Variations!$F$2:$F$501,Variations!$A$2:$A$501,A71,Variations!$H$2:$H$501,"Approved"))</f>
        <v/>
      </c>
      <c r="R71" s="36" t="str">
        <f aca="false">IF(A71="","",IF(M71&lt;&gt;"",M71,IF(L71="","",L71+Q71)))</f>
        <v/>
      </c>
      <c r="S71" s="36" t="str">
        <f aca="false">IF(A71="","",SUMIFS('Cash Flow'!$D$2:$D$2001,'Cash Flow'!$A$2:$A$2001,A71,'Cash Flow'!$C$2:$C$2001,"Actual"))</f>
        <v/>
      </c>
      <c r="T71" s="36" t="str">
        <f aca="false">IF(A71="","",SUMIFS('Cash Flow'!$F$2:$F$2001,'Cash Flow'!$A$2:$A$2001,A71))</f>
        <v/>
      </c>
      <c r="U71" s="36" t="str">
        <f aca="false">IF(A71="","",IF(R71="","",R71-T71))</f>
        <v/>
      </c>
      <c r="V71" s="37" t="str">
        <f aca="false">IF(A71="","",SUMIFS('EOT Claims'!$L$2:$L$501,'EOT Claims'!$A$2:$A$501,A71))</f>
        <v/>
      </c>
      <c r="W71" s="38" t="str">
        <f aca="false">IF(A71="","",IF(O71="","",O71+V71))</f>
        <v/>
      </c>
      <c r="X71" s="37" t="str">
        <f aca="true">IF(A71="","",IF(O71="","",IF(AND(NOT(OR(D71="Project Completion",D71="Defects Liability",D71="Complete",D71="Cancelled")),O71&lt;TODAY()),"Overdue","")))</f>
        <v/>
      </c>
      <c r="Y71" s="39" t="str">
        <f aca="true">IF(A71="","",IF(OR(N71="",W71=""),"",IF(W71&lt;=N71,"",(TODAY()-N71)/(W71-N71))))</f>
        <v/>
      </c>
      <c r="Z71" s="37" t="str">
        <f aca="false">IF(A71="","",IF(OR(Y71="",OR(D71="Project Completion",D71="Defects Liability",D71="Complete",D71="Cancelled")),"Green",IF(Y71&gt;1.15,"Red",IF(Y71&gt;=0.95,"Amber","Green"))))</f>
        <v/>
      </c>
      <c r="AA71" s="39" t="str">
        <f aca="false">IF(A71="","",IF(R71="","",IF(OR(R71&lt;=0,COUNTIFS('Cash Flow'!$A$2:$A$2001,A71)=0),"",T71/R71)))</f>
        <v/>
      </c>
      <c r="AB71" s="37" t="str">
        <f aca="false">IF(A71="","",IF(AA71="","Green",IF(AA71&gt;1.15,"Red",IF(AA71&gt;=0.95,"Amber","Green"))))</f>
        <v/>
      </c>
      <c r="AC71" s="37" t="str">
        <f aca="false">IF(A71="","",COUNTIFS(Risks!$A$2:$A$501,A71,Risks!$B$2:$B$501,"Risk",Risks!$M$2:$M$501,"&lt;&gt;Closed",Risks!$O$2:$O$501,"Critical"))</f>
        <v/>
      </c>
      <c r="AD71" s="37" t="str">
        <f aca="false">IF(A71="","",COUNTIFS(Risks!$A$2:$A$501,A71,Risks!$B$2:$B$501,"Risk",Risks!$M$2:$M$501,"&lt;&gt;Closed",Risks!$O$2:$O$501,"High"))</f>
        <v/>
      </c>
      <c r="AE71" s="37" t="str">
        <f aca="false">IF(A71="","",IF(AC71&gt;0,"Red",IF(AD71&gt;0,"Amber","Green")))</f>
        <v/>
      </c>
      <c r="AF71" s="37" t="str">
        <f aca="false">IF(A71="","",IF(OR(Z71="Red",AB71="Red",AE71="Red"),"Red",IF(OR(Z71="Amber",AB71="Amber",AE71="Amber"),"Amber","Green")))</f>
        <v/>
      </c>
      <c r="AG71" s="37" t="str">
        <f aca="false">IF(A71="","",COUNTIFS(Tasks!$A$2:$A$1001,A71,Tasks!$D$2:$D$1001,"&lt;&gt;Done",Tasks!$B$2:$B$1001,"&lt;&gt;"))</f>
        <v/>
      </c>
      <c r="AH71" s="37" t="str">
        <f aca="false">IF(A71="","",COUNTIFS(Actions!$A$2:$A$501,A71,Actions!$H$2:$H$501,"&lt;&gt;Done",Actions!$C$2:$C$501,"&lt;&gt;"))</f>
        <v/>
      </c>
      <c r="AI71" s="37" t="str">
        <f aca="false">IF(A71="","",COUNTIFS(RFIs!$A$2:$A$501,A71,RFIs!$G$2:$G$501,"Open"))</f>
        <v/>
      </c>
      <c r="AJ71" s="37" t="str">
        <f aca="false">IF(A71="","",COUNTIFS(Defects!$A$2:$A$501,A71,Defects!$H$2:$H$501,"Open"))</f>
        <v/>
      </c>
      <c r="AK71" s="37" t="str">
        <f aca="false">IF(A71="","","Schedule: "&amp;IF(Y71="","no dates / not tracked",TEXT(Y71,"0%")&amp;" of timeframe elapsed")&amp;" | Budget: "&amp;IF(AA71="","no approved budget or cash flow",TEXT(AA71,"0%")&amp;" of budget forecast")&amp;" | Risk: "&amp;AC71&amp;" critical, "&amp;AD71&amp;" high open")</f>
        <v/>
      </c>
    </row>
    <row r="72" customFormat="false" ht="15" hidden="false" customHeight="false" outlineLevel="0" collapsed="false">
      <c r="A72" s="32"/>
      <c r="B72" s="33"/>
      <c r="C72" s="32"/>
      <c r="D72" s="32"/>
      <c r="E72" s="32"/>
      <c r="F72" s="32"/>
      <c r="G72" s="32"/>
      <c r="H72" s="32"/>
      <c r="I72" s="32"/>
      <c r="J72" s="32"/>
      <c r="K72" s="34"/>
      <c r="L72" s="34"/>
      <c r="M72" s="34"/>
      <c r="N72" s="35"/>
      <c r="O72" s="35"/>
      <c r="P72" s="35"/>
      <c r="Q72" s="36" t="str">
        <f aca="false">IF(A72="","",SUMIFS(Variations!$F$2:$F$501,Variations!$A$2:$A$501,A72,Variations!$H$2:$H$501,"Approved"))</f>
        <v/>
      </c>
      <c r="R72" s="36" t="str">
        <f aca="false">IF(A72="","",IF(M72&lt;&gt;"",M72,IF(L72="","",L72+Q72)))</f>
        <v/>
      </c>
      <c r="S72" s="36" t="str">
        <f aca="false">IF(A72="","",SUMIFS('Cash Flow'!$D$2:$D$2001,'Cash Flow'!$A$2:$A$2001,A72,'Cash Flow'!$C$2:$C$2001,"Actual"))</f>
        <v/>
      </c>
      <c r="T72" s="36" t="str">
        <f aca="false">IF(A72="","",SUMIFS('Cash Flow'!$F$2:$F$2001,'Cash Flow'!$A$2:$A$2001,A72))</f>
        <v/>
      </c>
      <c r="U72" s="36" t="str">
        <f aca="false">IF(A72="","",IF(R72="","",R72-T72))</f>
        <v/>
      </c>
      <c r="V72" s="37" t="str">
        <f aca="false">IF(A72="","",SUMIFS('EOT Claims'!$L$2:$L$501,'EOT Claims'!$A$2:$A$501,A72))</f>
        <v/>
      </c>
      <c r="W72" s="38" t="str">
        <f aca="false">IF(A72="","",IF(O72="","",O72+V72))</f>
        <v/>
      </c>
      <c r="X72" s="37" t="str">
        <f aca="true">IF(A72="","",IF(O72="","",IF(AND(NOT(OR(D72="Project Completion",D72="Defects Liability",D72="Complete",D72="Cancelled")),O72&lt;TODAY()),"Overdue","")))</f>
        <v/>
      </c>
      <c r="Y72" s="39" t="str">
        <f aca="true">IF(A72="","",IF(OR(N72="",W72=""),"",IF(W72&lt;=N72,"",(TODAY()-N72)/(W72-N72))))</f>
        <v/>
      </c>
      <c r="Z72" s="37" t="str">
        <f aca="false">IF(A72="","",IF(OR(Y72="",OR(D72="Project Completion",D72="Defects Liability",D72="Complete",D72="Cancelled")),"Green",IF(Y72&gt;1.15,"Red",IF(Y72&gt;=0.95,"Amber","Green"))))</f>
        <v/>
      </c>
      <c r="AA72" s="39" t="str">
        <f aca="false">IF(A72="","",IF(R72="","",IF(OR(R72&lt;=0,COUNTIFS('Cash Flow'!$A$2:$A$2001,A72)=0),"",T72/R72)))</f>
        <v/>
      </c>
      <c r="AB72" s="37" t="str">
        <f aca="false">IF(A72="","",IF(AA72="","Green",IF(AA72&gt;1.15,"Red",IF(AA72&gt;=0.95,"Amber","Green"))))</f>
        <v/>
      </c>
      <c r="AC72" s="37" t="str">
        <f aca="false">IF(A72="","",COUNTIFS(Risks!$A$2:$A$501,A72,Risks!$B$2:$B$501,"Risk",Risks!$M$2:$M$501,"&lt;&gt;Closed",Risks!$O$2:$O$501,"Critical"))</f>
        <v/>
      </c>
      <c r="AD72" s="37" t="str">
        <f aca="false">IF(A72="","",COUNTIFS(Risks!$A$2:$A$501,A72,Risks!$B$2:$B$501,"Risk",Risks!$M$2:$M$501,"&lt;&gt;Closed",Risks!$O$2:$O$501,"High"))</f>
        <v/>
      </c>
      <c r="AE72" s="37" t="str">
        <f aca="false">IF(A72="","",IF(AC72&gt;0,"Red",IF(AD72&gt;0,"Amber","Green")))</f>
        <v/>
      </c>
      <c r="AF72" s="37" t="str">
        <f aca="false">IF(A72="","",IF(OR(Z72="Red",AB72="Red",AE72="Red"),"Red",IF(OR(Z72="Amber",AB72="Amber",AE72="Amber"),"Amber","Green")))</f>
        <v/>
      </c>
      <c r="AG72" s="37" t="str">
        <f aca="false">IF(A72="","",COUNTIFS(Tasks!$A$2:$A$1001,A72,Tasks!$D$2:$D$1001,"&lt;&gt;Done",Tasks!$B$2:$B$1001,"&lt;&gt;"))</f>
        <v/>
      </c>
      <c r="AH72" s="37" t="str">
        <f aca="false">IF(A72="","",COUNTIFS(Actions!$A$2:$A$501,A72,Actions!$H$2:$H$501,"&lt;&gt;Done",Actions!$C$2:$C$501,"&lt;&gt;"))</f>
        <v/>
      </c>
      <c r="AI72" s="37" t="str">
        <f aca="false">IF(A72="","",COUNTIFS(RFIs!$A$2:$A$501,A72,RFIs!$G$2:$G$501,"Open"))</f>
        <v/>
      </c>
      <c r="AJ72" s="37" t="str">
        <f aca="false">IF(A72="","",COUNTIFS(Defects!$A$2:$A$501,A72,Defects!$H$2:$H$501,"Open"))</f>
        <v/>
      </c>
      <c r="AK72" s="37" t="str">
        <f aca="false">IF(A72="","","Schedule: "&amp;IF(Y72="","no dates / not tracked",TEXT(Y72,"0%")&amp;" of timeframe elapsed")&amp;" | Budget: "&amp;IF(AA72="","no approved budget or cash flow",TEXT(AA72,"0%")&amp;" of budget forecast")&amp;" | Risk: "&amp;AC72&amp;" critical, "&amp;AD72&amp;" high open")</f>
        <v/>
      </c>
    </row>
    <row r="73" customFormat="false" ht="15" hidden="false" customHeight="false" outlineLevel="0" collapsed="false">
      <c r="A73" s="32"/>
      <c r="B73" s="33"/>
      <c r="C73" s="32"/>
      <c r="D73" s="32"/>
      <c r="E73" s="32"/>
      <c r="F73" s="32"/>
      <c r="G73" s="32"/>
      <c r="H73" s="32"/>
      <c r="I73" s="32"/>
      <c r="J73" s="32"/>
      <c r="K73" s="34"/>
      <c r="L73" s="34"/>
      <c r="M73" s="34"/>
      <c r="N73" s="35"/>
      <c r="O73" s="35"/>
      <c r="P73" s="35"/>
      <c r="Q73" s="36" t="str">
        <f aca="false">IF(A73="","",SUMIFS(Variations!$F$2:$F$501,Variations!$A$2:$A$501,A73,Variations!$H$2:$H$501,"Approved"))</f>
        <v/>
      </c>
      <c r="R73" s="36" t="str">
        <f aca="false">IF(A73="","",IF(M73&lt;&gt;"",M73,IF(L73="","",L73+Q73)))</f>
        <v/>
      </c>
      <c r="S73" s="36" t="str">
        <f aca="false">IF(A73="","",SUMIFS('Cash Flow'!$D$2:$D$2001,'Cash Flow'!$A$2:$A$2001,A73,'Cash Flow'!$C$2:$C$2001,"Actual"))</f>
        <v/>
      </c>
      <c r="T73" s="36" t="str">
        <f aca="false">IF(A73="","",SUMIFS('Cash Flow'!$F$2:$F$2001,'Cash Flow'!$A$2:$A$2001,A73))</f>
        <v/>
      </c>
      <c r="U73" s="36" t="str">
        <f aca="false">IF(A73="","",IF(R73="","",R73-T73))</f>
        <v/>
      </c>
      <c r="V73" s="37" t="str">
        <f aca="false">IF(A73="","",SUMIFS('EOT Claims'!$L$2:$L$501,'EOT Claims'!$A$2:$A$501,A73))</f>
        <v/>
      </c>
      <c r="W73" s="38" t="str">
        <f aca="false">IF(A73="","",IF(O73="","",O73+V73))</f>
        <v/>
      </c>
      <c r="X73" s="37" t="str">
        <f aca="true">IF(A73="","",IF(O73="","",IF(AND(NOT(OR(D73="Project Completion",D73="Defects Liability",D73="Complete",D73="Cancelled")),O73&lt;TODAY()),"Overdue","")))</f>
        <v/>
      </c>
      <c r="Y73" s="39" t="str">
        <f aca="true">IF(A73="","",IF(OR(N73="",W73=""),"",IF(W73&lt;=N73,"",(TODAY()-N73)/(W73-N73))))</f>
        <v/>
      </c>
      <c r="Z73" s="37" t="str">
        <f aca="false">IF(A73="","",IF(OR(Y73="",OR(D73="Project Completion",D73="Defects Liability",D73="Complete",D73="Cancelled")),"Green",IF(Y73&gt;1.15,"Red",IF(Y73&gt;=0.95,"Amber","Green"))))</f>
        <v/>
      </c>
      <c r="AA73" s="39" t="str">
        <f aca="false">IF(A73="","",IF(R73="","",IF(OR(R73&lt;=0,COUNTIFS('Cash Flow'!$A$2:$A$2001,A73)=0),"",T73/R73)))</f>
        <v/>
      </c>
      <c r="AB73" s="37" t="str">
        <f aca="false">IF(A73="","",IF(AA73="","Green",IF(AA73&gt;1.15,"Red",IF(AA73&gt;=0.95,"Amber","Green"))))</f>
        <v/>
      </c>
      <c r="AC73" s="37" t="str">
        <f aca="false">IF(A73="","",COUNTIFS(Risks!$A$2:$A$501,A73,Risks!$B$2:$B$501,"Risk",Risks!$M$2:$M$501,"&lt;&gt;Closed",Risks!$O$2:$O$501,"Critical"))</f>
        <v/>
      </c>
      <c r="AD73" s="37" t="str">
        <f aca="false">IF(A73="","",COUNTIFS(Risks!$A$2:$A$501,A73,Risks!$B$2:$B$501,"Risk",Risks!$M$2:$M$501,"&lt;&gt;Closed",Risks!$O$2:$O$501,"High"))</f>
        <v/>
      </c>
      <c r="AE73" s="37" t="str">
        <f aca="false">IF(A73="","",IF(AC73&gt;0,"Red",IF(AD73&gt;0,"Amber","Green")))</f>
        <v/>
      </c>
      <c r="AF73" s="37" t="str">
        <f aca="false">IF(A73="","",IF(OR(Z73="Red",AB73="Red",AE73="Red"),"Red",IF(OR(Z73="Amber",AB73="Amber",AE73="Amber"),"Amber","Green")))</f>
        <v/>
      </c>
      <c r="AG73" s="37" t="str">
        <f aca="false">IF(A73="","",COUNTIFS(Tasks!$A$2:$A$1001,A73,Tasks!$D$2:$D$1001,"&lt;&gt;Done",Tasks!$B$2:$B$1001,"&lt;&gt;"))</f>
        <v/>
      </c>
      <c r="AH73" s="37" t="str">
        <f aca="false">IF(A73="","",COUNTIFS(Actions!$A$2:$A$501,A73,Actions!$H$2:$H$501,"&lt;&gt;Done",Actions!$C$2:$C$501,"&lt;&gt;"))</f>
        <v/>
      </c>
      <c r="AI73" s="37" t="str">
        <f aca="false">IF(A73="","",COUNTIFS(RFIs!$A$2:$A$501,A73,RFIs!$G$2:$G$501,"Open"))</f>
        <v/>
      </c>
      <c r="AJ73" s="37" t="str">
        <f aca="false">IF(A73="","",COUNTIFS(Defects!$A$2:$A$501,A73,Defects!$H$2:$H$501,"Open"))</f>
        <v/>
      </c>
      <c r="AK73" s="37" t="str">
        <f aca="false">IF(A73="","","Schedule: "&amp;IF(Y73="","no dates / not tracked",TEXT(Y73,"0%")&amp;" of timeframe elapsed")&amp;" | Budget: "&amp;IF(AA73="","no approved budget or cash flow",TEXT(AA73,"0%")&amp;" of budget forecast")&amp;" | Risk: "&amp;AC73&amp;" critical, "&amp;AD73&amp;" high open")</f>
        <v/>
      </c>
    </row>
    <row r="74" customFormat="false" ht="15" hidden="false" customHeight="false" outlineLevel="0" collapsed="false">
      <c r="A74" s="32"/>
      <c r="B74" s="33"/>
      <c r="C74" s="32"/>
      <c r="D74" s="32"/>
      <c r="E74" s="32"/>
      <c r="F74" s="32"/>
      <c r="G74" s="32"/>
      <c r="H74" s="32"/>
      <c r="I74" s="32"/>
      <c r="J74" s="32"/>
      <c r="K74" s="34"/>
      <c r="L74" s="34"/>
      <c r="M74" s="34"/>
      <c r="N74" s="35"/>
      <c r="O74" s="35"/>
      <c r="P74" s="35"/>
      <c r="Q74" s="36" t="str">
        <f aca="false">IF(A74="","",SUMIFS(Variations!$F$2:$F$501,Variations!$A$2:$A$501,A74,Variations!$H$2:$H$501,"Approved"))</f>
        <v/>
      </c>
      <c r="R74" s="36" t="str">
        <f aca="false">IF(A74="","",IF(M74&lt;&gt;"",M74,IF(L74="","",L74+Q74)))</f>
        <v/>
      </c>
      <c r="S74" s="36" t="str">
        <f aca="false">IF(A74="","",SUMIFS('Cash Flow'!$D$2:$D$2001,'Cash Flow'!$A$2:$A$2001,A74,'Cash Flow'!$C$2:$C$2001,"Actual"))</f>
        <v/>
      </c>
      <c r="T74" s="36" t="str">
        <f aca="false">IF(A74="","",SUMIFS('Cash Flow'!$F$2:$F$2001,'Cash Flow'!$A$2:$A$2001,A74))</f>
        <v/>
      </c>
      <c r="U74" s="36" t="str">
        <f aca="false">IF(A74="","",IF(R74="","",R74-T74))</f>
        <v/>
      </c>
      <c r="V74" s="37" t="str">
        <f aca="false">IF(A74="","",SUMIFS('EOT Claims'!$L$2:$L$501,'EOT Claims'!$A$2:$A$501,A74))</f>
        <v/>
      </c>
      <c r="W74" s="38" t="str">
        <f aca="false">IF(A74="","",IF(O74="","",O74+V74))</f>
        <v/>
      </c>
      <c r="X74" s="37" t="str">
        <f aca="true">IF(A74="","",IF(O74="","",IF(AND(NOT(OR(D74="Project Completion",D74="Defects Liability",D74="Complete",D74="Cancelled")),O74&lt;TODAY()),"Overdue","")))</f>
        <v/>
      </c>
      <c r="Y74" s="39" t="str">
        <f aca="true">IF(A74="","",IF(OR(N74="",W74=""),"",IF(W74&lt;=N74,"",(TODAY()-N74)/(W74-N74))))</f>
        <v/>
      </c>
      <c r="Z74" s="37" t="str">
        <f aca="false">IF(A74="","",IF(OR(Y74="",OR(D74="Project Completion",D74="Defects Liability",D74="Complete",D74="Cancelled")),"Green",IF(Y74&gt;1.15,"Red",IF(Y74&gt;=0.95,"Amber","Green"))))</f>
        <v/>
      </c>
      <c r="AA74" s="39" t="str">
        <f aca="false">IF(A74="","",IF(R74="","",IF(OR(R74&lt;=0,COUNTIFS('Cash Flow'!$A$2:$A$2001,A74)=0),"",T74/R74)))</f>
        <v/>
      </c>
      <c r="AB74" s="37" t="str">
        <f aca="false">IF(A74="","",IF(AA74="","Green",IF(AA74&gt;1.15,"Red",IF(AA74&gt;=0.95,"Amber","Green"))))</f>
        <v/>
      </c>
      <c r="AC74" s="37" t="str">
        <f aca="false">IF(A74="","",COUNTIFS(Risks!$A$2:$A$501,A74,Risks!$B$2:$B$501,"Risk",Risks!$M$2:$M$501,"&lt;&gt;Closed",Risks!$O$2:$O$501,"Critical"))</f>
        <v/>
      </c>
      <c r="AD74" s="37" t="str">
        <f aca="false">IF(A74="","",COUNTIFS(Risks!$A$2:$A$501,A74,Risks!$B$2:$B$501,"Risk",Risks!$M$2:$M$501,"&lt;&gt;Closed",Risks!$O$2:$O$501,"High"))</f>
        <v/>
      </c>
      <c r="AE74" s="37" t="str">
        <f aca="false">IF(A74="","",IF(AC74&gt;0,"Red",IF(AD74&gt;0,"Amber","Green")))</f>
        <v/>
      </c>
      <c r="AF74" s="37" t="str">
        <f aca="false">IF(A74="","",IF(OR(Z74="Red",AB74="Red",AE74="Red"),"Red",IF(OR(Z74="Amber",AB74="Amber",AE74="Amber"),"Amber","Green")))</f>
        <v/>
      </c>
      <c r="AG74" s="37" t="str">
        <f aca="false">IF(A74="","",COUNTIFS(Tasks!$A$2:$A$1001,A74,Tasks!$D$2:$D$1001,"&lt;&gt;Done",Tasks!$B$2:$B$1001,"&lt;&gt;"))</f>
        <v/>
      </c>
      <c r="AH74" s="37" t="str">
        <f aca="false">IF(A74="","",COUNTIFS(Actions!$A$2:$A$501,A74,Actions!$H$2:$H$501,"&lt;&gt;Done",Actions!$C$2:$C$501,"&lt;&gt;"))</f>
        <v/>
      </c>
      <c r="AI74" s="37" t="str">
        <f aca="false">IF(A74="","",COUNTIFS(RFIs!$A$2:$A$501,A74,RFIs!$G$2:$G$501,"Open"))</f>
        <v/>
      </c>
      <c r="AJ74" s="37" t="str">
        <f aca="false">IF(A74="","",COUNTIFS(Defects!$A$2:$A$501,A74,Defects!$H$2:$H$501,"Open"))</f>
        <v/>
      </c>
      <c r="AK74" s="37" t="str">
        <f aca="false">IF(A74="","","Schedule: "&amp;IF(Y74="","no dates / not tracked",TEXT(Y74,"0%")&amp;" of timeframe elapsed")&amp;" | Budget: "&amp;IF(AA74="","no approved budget or cash flow",TEXT(AA74,"0%")&amp;" of budget forecast")&amp;" | Risk: "&amp;AC74&amp;" critical, "&amp;AD74&amp;" high open")</f>
        <v/>
      </c>
    </row>
    <row r="75" customFormat="false" ht="15" hidden="false" customHeight="false" outlineLevel="0" collapsed="false">
      <c r="A75" s="32"/>
      <c r="B75" s="33"/>
      <c r="C75" s="32"/>
      <c r="D75" s="32"/>
      <c r="E75" s="32"/>
      <c r="F75" s="32"/>
      <c r="G75" s="32"/>
      <c r="H75" s="32"/>
      <c r="I75" s="32"/>
      <c r="J75" s="32"/>
      <c r="K75" s="34"/>
      <c r="L75" s="34"/>
      <c r="M75" s="34"/>
      <c r="N75" s="35"/>
      <c r="O75" s="35"/>
      <c r="P75" s="35"/>
      <c r="Q75" s="36" t="str">
        <f aca="false">IF(A75="","",SUMIFS(Variations!$F$2:$F$501,Variations!$A$2:$A$501,A75,Variations!$H$2:$H$501,"Approved"))</f>
        <v/>
      </c>
      <c r="R75" s="36" t="str">
        <f aca="false">IF(A75="","",IF(M75&lt;&gt;"",M75,IF(L75="","",L75+Q75)))</f>
        <v/>
      </c>
      <c r="S75" s="36" t="str">
        <f aca="false">IF(A75="","",SUMIFS('Cash Flow'!$D$2:$D$2001,'Cash Flow'!$A$2:$A$2001,A75,'Cash Flow'!$C$2:$C$2001,"Actual"))</f>
        <v/>
      </c>
      <c r="T75" s="36" t="str">
        <f aca="false">IF(A75="","",SUMIFS('Cash Flow'!$F$2:$F$2001,'Cash Flow'!$A$2:$A$2001,A75))</f>
        <v/>
      </c>
      <c r="U75" s="36" t="str">
        <f aca="false">IF(A75="","",IF(R75="","",R75-T75))</f>
        <v/>
      </c>
      <c r="V75" s="37" t="str">
        <f aca="false">IF(A75="","",SUMIFS('EOT Claims'!$L$2:$L$501,'EOT Claims'!$A$2:$A$501,A75))</f>
        <v/>
      </c>
      <c r="W75" s="38" t="str">
        <f aca="false">IF(A75="","",IF(O75="","",O75+V75))</f>
        <v/>
      </c>
      <c r="X75" s="37" t="str">
        <f aca="true">IF(A75="","",IF(O75="","",IF(AND(NOT(OR(D75="Project Completion",D75="Defects Liability",D75="Complete",D75="Cancelled")),O75&lt;TODAY()),"Overdue","")))</f>
        <v/>
      </c>
      <c r="Y75" s="39" t="str">
        <f aca="true">IF(A75="","",IF(OR(N75="",W75=""),"",IF(W75&lt;=N75,"",(TODAY()-N75)/(W75-N75))))</f>
        <v/>
      </c>
      <c r="Z75" s="37" t="str">
        <f aca="false">IF(A75="","",IF(OR(Y75="",OR(D75="Project Completion",D75="Defects Liability",D75="Complete",D75="Cancelled")),"Green",IF(Y75&gt;1.15,"Red",IF(Y75&gt;=0.95,"Amber","Green"))))</f>
        <v/>
      </c>
      <c r="AA75" s="39" t="str">
        <f aca="false">IF(A75="","",IF(R75="","",IF(OR(R75&lt;=0,COUNTIFS('Cash Flow'!$A$2:$A$2001,A75)=0),"",T75/R75)))</f>
        <v/>
      </c>
      <c r="AB75" s="37" t="str">
        <f aca="false">IF(A75="","",IF(AA75="","Green",IF(AA75&gt;1.15,"Red",IF(AA75&gt;=0.95,"Amber","Green"))))</f>
        <v/>
      </c>
      <c r="AC75" s="37" t="str">
        <f aca="false">IF(A75="","",COUNTIFS(Risks!$A$2:$A$501,A75,Risks!$B$2:$B$501,"Risk",Risks!$M$2:$M$501,"&lt;&gt;Closed",Risks!$O$2:$O$501,"Critical"))</f>
        <v/>
      </c>
      <c r="AD75" s="37" t="str">
        <f aca="false">IF(A75="","",COUNTIFS(Risks!$A$2:$A$501,A75,Risks!$B$2:$B$501,"Risk",Risks!$M$2:$M$501,"&lt;&gt;Closed",Risks!$O$2:$O$501,"High"))</f>
        <v/>
      </c>
      <c r="AE75" s="37" t="str">
        <f aca="false">IF(A75="","",IF(AC75&gt;0,"Red",IF(AD75&gt;0,"Amber","Green")))</f>
        <v/>
      </c>
      <c r="AF75" s="37" t="str">
        <f aca="false">IF(A75="","",IF(OR(Z75="Red",AB75="Red",AE75="Red"),"Red",IF(OR(Z75="Amber",AB75="Amber",AE75="Amber"),"Amber","Green")))</f>
        <v/>
      </c>
      <c r="AG75" s="37" t="str">
        <f aca="false">IF(A75="","",COUNTIFS(Tasks!$A$2:$A$1001,A75,Tasks!$D$2:$D$1001,"&lt;&gt;Done",Tasks!$B$2:$B$1001,"&lt;&gt;"))</f>
        <v/>
      </c>
      <c r="AH75" s="37" t="str">
        <f aca="false">IF(A75="","",COUNTIFS(Actions!$A$2:$A$501,A75,Actions!$H$2:$H$501,"&lt;&gt;Done",Actions!$C$2:$C$501,"&lt;&gt;"))</f>
        <v/>
      </c>
      <c r="AI75" s="37" t="str">
        <f aca="false">IF(A75="","",COUNTIFS(RFIs!$A$2:$A$501,A75,RFIs!$G$2:$G$501,"Open"))</f>
        <v/>
      </c>
      <c r="AJ75" s="37" t="str">
        <f aca="false">IF(A75="","",COUNTIFS(Defects!$A$2:$A$501,A75,Defects!$H$2:$H$501,"Open"))</f>
        <v/>
      </c>
      <c r="AK75" s="37" t="str">
        <f aca="false">IF(A75="","","Schedule: "&amp;IF(Y75="","no dates / not tracked",TEXT(Y75,"0%")&amp;" of timeframe elapsed")&amp;" | Budget: "&amp;IF(AA75="","no approved budget or cash flow",TEXT(AA75,"0%")&amp;" of budget forecast")&amp;" | Risk: "&amp;AC75&amp;" critical, "&amp;AD75&amp;" high open")</f>
        <v/>
      </c>
    </row>
    <row r="76" customFormat="false" ht="15" hidden="false" customHeight="false" outlineLevel="0" collapsed="false">
      <c r="A76" s="32"/>
      <c r="B76" s="33"/>
      <c r="C76" s="32"/>
      <c r="D76" s="32"/>
      <c r="E76" s="32"/>
      <c r="F76" s="32"/>
      <c r="G76" s="32"/>
      <c r="H76" s="32"/>
      <c r="I76" s="32"/>
      <c r="J76" s="32"/>
      <c r="K76" s="34"/>
      <c r="L76" s="34"/>
      <c r="M76" s="34"/>
      <c r="N76" s="35"/>
      <c r="O76" s="35"/>
      <c r="P76" s="35"/>
      <c r="Q76" s="36" t="str">
        <f aca="false">IF(A76="","",SUMIFS(Variations!$F$2:$F$501,Variations!$A$2:$A$501,A76,Variations!$H$2:$H$501,"Approved"))</f>
        <v/>
      </c>
      <c r="R76" s="36" t="str">
        <f aca="false">IF(A76="","",IF(M76&lt;&gt;"",M76,IF(L76="","",L76+Q76)))</f>
        <v/>
      </c>
      <c r="S76" s="36" t="str">
        <f aca="false">IF(A76="","",SUMIFS('Cash Flow'!$D$2:$D$2001,'Cash Flow'!$A$2:$A$2001,A76,'Cash Flow'!$C$2:$C$2001,"Actual"))</f>
        <v/>
      </c>
      <c r="T76" s="36" t="str">
        <f aca="false">IF(A76="","",SUMIFS('Cash Flow'!$F$2:$F$2001,'Cash Flow'!$A$2:$A$2001,A76))</f>
        <v/>
      </c>
      <c r="U76" s="36" t="str">
        <f aca="false">IF(A76="","",IF(R76="","",R76-T76))</f>
        <v/>
      </c>
      <c r="V76" s="37" t="str">
        <f aca="false">IF(A76="","",SUMIFS('EOT Claims'!$L$2:$L$501,'EOT Claims'!$A$2:$A$501,A76))</f>
        <v/>
      </c>
      <c r="W76" s="38" t="str">
        <f aca="false">IF(A76="","",IF(O76="","",O76+V76))</f>
        <v/>
      </c>
      <c r="X76" s="37" t="str">
        <f aca="true">IF(A76="","",IF(O76="","",IF(AND(NOT(OR(D76="Project Completion",D76="Defects Liability",D76="Complete",D76="Cancelled")),O76&lt;TODAY()),"Overdue","")))</f>
        <v/>
      </c>
      <c r="Y76" s="39" t="str">
        <f aca="true">IF(A76="","",IF(OR(N76="",W76=""),"",IF(W76&lt;=N76,"",(TODAY()-N76)/(W76-N76))))</f>
        <v/>
      </c>
      <c r="Z76" s="37" t="str">
        <f aca="false">IF(A76="","",IF(OR(Y76="",OR(D76="Project Completion",D76="Defects Liability",D76="Complete",D76="Cancelled")),"Green",IF(Y76&gt;1.15,"Red",IF(Y76&gt;=0.95,"Amber","Green"))))</f>
        <v/>
      </c>
      <c r="AA76" s="39" t="str">
        <f aca="false">IF(A76="","",IF(R76="","",IF(OR(R76&lt;=0,COUNTIFS('Cash Flow'!$A$2:$A$2001,A76)=0),"",T76/R76)))</f>
        <v/>
      </c>
      <c r="AB76" s="37" t="str">
        <f aca="false">IF(A76="","",IF(AA76="","Green",IF(AA76&gt;1.15,"Red",IF(AA76&gt;=0.95,"Amber","Green"))))</f>
        <v/>
      </c>
      <c r="AC76" s="37" t="str">
        <f aca="false">IF(A76="","",COUNTIFS(Risks!$A$2:$A$501,A76,Risks!$B$2:$B$501,"Risk",Risks!$M$2:$M$501,"&lt;&gt;Closed",Risks!$O$2:$O$501,"Critical"))</f>
        <v/>
      </c>
      <c r="AD76" s="37" t="str">
        <f aca="false">IF(A76="","",COUNTIFS(Risks!$A$2:$A$501,A76,Risks!$B$2:$B$501,"Risk",Risks!$M$2:$M$501,"&lt;&gt;Closed",Risks!$O$2:$O$501,"High"))</f>
        <v/>
      </c>
      <c r="AE76" s="37" t="str">
        <f aca="false">IF(A76="","",IF(AC76&gt;0,"Red",IF(AD76&gt;0,"Amber","Green")))</f>
        <v/>
      </c>
      <c r="AF76" s="37" t="str">
        <f aca="false">IF(A76="","",IF(OR(Z76="Red",AB76="Red",AE76="Red"),"Red",IF(OR(Z76="Amber",AB76="Amber",AE76="Amber"),"Amber","Green")))</f>
        <v/>
      </c>
      <c r="AG76" s="37" t="str">
        <f aca="false">IF(A76="","",COUNTIFS(Tasks!$A$2:$A$1001,A76,Tasks!$D$2:$D$1001,"&lt;&gt;Done",Tasks!$B$2:$B$1001,"&lt;&gt;"))</f>
        <v/>
      </c>
      <c r="AH76" s="37" t="str">
        <f aca="false">IF(A76="","",COUNTIFS(Actions!$A$2:$A$501,A76,Actions!$H$2:$H$501,"&lt;&gt;Done",Actions!$C$2:$C$501,"&lt;&gt;"))</f>
        <v/>
      </c>
      <c r="AI76" s="37" t="str">
        <f aca="false">IF(A76="","",COUNTIFS(RFIs!$A$2:$A$501,A76,RFIs!$G$2:$G$501,"Open"))</f>
        <v/>
      </c>
      <c r="AJ76" s="37" t="str">
        <f aca="false">IF(A76="","",COUNTIFS(Defects!$A$2:$A$501,A76,Defects!$H$2:$H$501,"Open"))</f>
        <v/>
      </c>
      <c r="AK76" s="37" t="str">
        <f aca="false">IF(A76="","","Schedule: "&amp;IF(Y76="","no dates / not tracked",TEXT(Y76,"0%")&amp;" of timeframe elapsed")&amp;" | Budget: "&amp;IF(AA76="","no approved budget or cash flow",TEXT(AA76,"0%")&amp;" of budget forecast")&amp;" | Risk: "&amp;AC76&amp;" critical, "&amp;AD76&amp;" high open")</f>
        <v/>
      </c>
    </row>
    <row r="77" customFormat="false" ht="15" hidden="false" customHeight="false" outlineLevel="0" collapsed="false">
      <c r="A77" s="32"/>
      <c r="B77" s="33"/>
      <c r="C77" s="32"/>
      <c r="D77" s="32"/>
      <c r="E77" s="32"/>
      <c r="F77" s="32"/>
      <c r="G77" s="32"/>
      <c r="H77" s="32"/>
      <c r="I77" s="32"/>
      <c r="J77" s="32"/>
      <c r="K77" s="34"/>
      <c r="L77" s="34"/>
      <c r="M77" s="34"/>
      <c r="N77" s="35"/>
      <c r="O77" s="35"/>
      <c r="P77" s="35"/>
      <c r="Q77" s="36" t="str">
        <f aca="false">IF(A77="","",SUMIFS(Variations!$F$2:$F$501,Variations!$A$2:$A$501,A77,Variations!$H$2:$H$501,"Approved"))</f>
        <v/>
      </c>
      <c r="R77" s="36" t="str">
        <f aca="false">IF(A77="","",IF(M77&lt;&gt;"",M77,IF(L77="","",L77+Q77)))</f>
        <v/>
      </c>
      <c r="S77" s="36" t="str">
        <f aca="false">IF(A77="","",SUMIFS('Cash Flow'!$D$2:$D$2001,'Cash Flow'!$A$2:$A$2001,A77,'Cash Flow'!$C$2:$C$2001,"Actual"))</f>
        <v/>
      </c>
      <c r="T77" s="36" t="str">
        <f aca="false">IF(A77="","",SUMIFS('Cash Flow'!$F$2:$F$2001,'Cash Flow'!$A$2:$A$2001,A77))</f>
        <v/>
      </c>
      <c r="U77" s="36" t="str">
        <f aca="false">IF(A77="","",IF(R77="","",R77-T77))</f>
        <v/>
      </c>
      <c r="V77" s="37" t="str">
        <f aca="false">IF(A77="","",SUMIFS('EOT Claims'!$L$2:$L$501,'EOT Claims'!$A$2:$A$501,A77))</f>
        <v/>
      </c>
      <c r="W77" s="38" t="str">
        <f aca="false">IF(A77="","",IF(O77="","",O77+V77))</f>
        <v/>
      </c>
      <c r="X77" s="37" t="str">
        <f aca="true">IF(A77="","",IF(O77="","",IF(AND(NOT(OR(D77="Project Completion",D77="Defects Liability",D77="Complete",D77="Cancelled")),O77&lt;TODAY()),"Overdue","")))</f>
        <v/>
      </c>
      <c r="Y77" s="39" t="str">
        <f aca="true">IF(A77="","",IF(OR(N77="",W77=""),"",IF(W77&lt;=N77,"",(TODAY()-N77)/(W77-N77))))</f>
        <v/>
      </c>
      <c r="Z77" s="37" t="str">
        <f aca="false">IF(A77="","",IF(OR(Y77="",OR(D77="Project Completion",D77="Defects Liability",D77="Complete",D77="Cancelled")),"Green",IF(Y77&gt;1.15,"Red",IF(Y77&gt;=0.95,"Amber","Green"))))</f>
        <v/>
      </c>
      <c r="AA77" s="39" t="str">
        <f aca="false">IF(A77="","",IF(R77="","",IF(OR(R77&lt;=0,COUNTIFS('Cash Flow'!$A$2:$A$2001,A77)=0),"",T77/R77)))</f>
        <v/>
      </c>
      <c r="AB77" s="37" t="str">
        <f aca="false">IF(A77="","",IF(AA77="","Green",IF(AA77&gt;1.15,"Red",IF(AA77&gt;=0.95,"Amber","Green"))))</f>
        <v/>
      </c>
      <c r="AC77" s="37" t="str">
        <f aca="false">IF(A77="","",COUNTIFS(Risks!$A$2:$A$501,A77,Risks!$B$2:$B$501,"Risk",Risks!$M$2:$M$501,"&lt;&gt;Closed",Risks!$O$2:$O$501,"Critical"))</f>
        <v/>
      </c>
      <c r="AD77" s="37" t="str">
        <f aca="false">IF(A77="","",COUNTIFS(Risks!$A$2:$A$501,A77,Risks!$B$2:$B$501,"Risk",Risks!$M$2:$M$501,"&lt;&gt;Closed",Risks!$O$2:$O$501,"High"))</f>
        <v/>
      </c>
      <c r="AE77" s="37" t="str">
        <f aca="false">IF(A77="","",IF(AC77&gt;0,"Red",IF(AD77&gt;0,"Amber","Green")))</f>
        <v/>
      </c>
      <c r="AF77" s="37" t="str">
        <f aca="false">IF(A77="","",IF(OR(Z77="Red",AB77="Red",AE77="Red"),"Red",IF(OR(Z77="Amber",AB77="Amber",AE77="Amber"),"Amber","Green")))</f>
        <v/>
      </c>
      <c r="AG77" s="37" t="str">
        <f aca="false">IF(A77="","",COUNTIFS(Tasks!$A$2:$A$1001,A77,Tasks!$D$2:$D$1001,"&lt;&gt;Done",Tasks!$B$2:$B$1001,"&lt;&gt;"))</f>
        <v/>
      </c>
      <c r="AH77" s="37" t="str">
        <f aca="false">IF(A77="","",COUNTIFS(Actions!$A$2:$A$501,A77,Actions!$H$2:$H$501,"&lt;&gt;Done",Actions!$C$2:$C$501,"&lt;&gt;"))</f>
        <v/>
      </c>
      <c r="AI77" s="37" t="str">
        <f aca="false">IF(A77="","",COUNTIFS(RFIs!$A$2:$A$501,A77,RFIs!$G$2:$G$501,"Open"))</f>
        <v/>
      </c>
      <c r="AJ77" s="37" t="str">
        <f aca="false">IF(A77="","",COUNTIFS(Defects!$A$2:$A$501,A77,Defects!$H$2:$H$501,"Open"))</f>
        <v/>
      </c>
      <c r="AK77" s="37" t="str">
        <f aca="false">IF(A77="","","Schedule: "&amp;IF(Y77="","no dates / not tracked",TEXT(Y77,"0%")&amp;" of timeframe elapsed")&amp;" | Budget: "&amp;IF(AA77="","no approved budget or cash flow",TEXT(AA77,"0%")&amp;" of budget forecast")&amp;" | Risk: "&amp;AC77&amp;" critical, "&amp;AD77&amp;" high open")</f>
        <v/>
      </c>
    </row>
    <row r="78" customFormat="false" ht="15" hidden="false" customHeight="false" outlineLevel="0" collapsed="false">
      <c r="A78" s="32"/>
      <c r="B78" s="33"/>
      <c r="C78" s="32"/>
      <c r="D78" s="32"/>
      <c r="E78" s="32"/>
      <c r="F78" s="32"/>
      <c r="G78" s="32"/>
      <c r="H78" s="32"/>
      <c r="I78" s="32"/>
      <c r="J78" s="32"/>
      <c r="K78" s="34"/>
      <c r="L78" s="34"/>
      <c r="M78" s="34"/>
      <c r="N78" s="35"/>
      <c r="O78" s="35"/>
      <c r="P78" s="35"/>
      <c r="Q78" s="36" t="str">
        <f aca="false">IF(A78="","",SUMIFS(Variations!$F$2:$F$501,Variations!$A$2:$A$501,A78,Variations!$H$2:$H$501,"Approved"))</f>
        <v/>
      </c>
      <c r="R78" s="36" t="str">
        <f aca="false">IF(A78="","",IF(M78&lt;&gt;"",M78,IF(L78="","",L78+Q78)))</f>
        <v/>
      </c>
      <c r="S78" s="36" t="str">
        <f aca="false">IF(A78="","",SUMIFS('Cash Flow'!$D$2:$D$2001,'Cash Flow'!$A$2:$A$2001,A78,'Cash Flow'!$C$2:$C$2001,"Actual"))</f>
        <v/>
      </c>
      <c r="T78" s="36" t="str">
        <f aca="false">IF(A78="","",SUMIFS('Cash Flow'!$F$2:$F$2001,'Cash Flow'!$A$2:$A$2001,A78))</f>
        <v/>
      </c>
      <c r="U78" s="36" t="str">
        <f aca="false">IF(A78="","",IF(R78="","",R78-T78))</f>
        <v/>
      </c>
      <c r="V78" s="37" t="str">
        <f aca="false">IF(A78="","",SUMIFS('EOT Claims'!$L$2:$L$501,'EOT Claims'!$A$2:$A$501,A78))</f>
        <v/>
      </c>
      <c r="W78" s="38" t="str">
        <f aca="false">IF(A78="","",IF(O78="","",O78+V78))</f>
        <v/>
      </c>
      <c r="X78" s="37" t="str">
        <f aca="true">IF(A78="","",IF(O78="","",IF(AND(NOT(OR(D78="Project Completion",D78="Defects Liability",D78="Complete",D78="Cancelled")),O78&lt;TODAY()),"Overdue","")))</f>
        <v/>
      </c>
      <c r="Y78" s="39" t="str">
        <f aca="true">IF(A78="","",IF(OR(N78="",W78=""),"",IF(W78&lt;=N78,"",(TODAY()-N78)/(W78-N78))))</f>
        <v/>
      </c>
      <c r="Z78" s="37" t="str">
        <f aca="false">IF(A78="","",IF(OR(Y78="",OR(D78="Project Completion",D78="Defects Liability",D78="Complete",D78="Cancelled")),"Green",IF(Y78&gt;1.15,"Red",IF(Y78&gt;=0.95,"Amber","Green"))))</f>
        <v/>
      </c>
      <c r="AA78" s="39" t="str">
        <f aca="false">IF(A78="","",IF(R78="","",IF(OR(R78&lt;=0,COUNTIFS('Cash Flow'!$A$2:$A$2001,A78)=0),"",T78/R78)))</f>
        <v/>
      </c>
      <c r="AB78" s="37" t="str">
        <f aca="false">IF(A78="","",IF(AA78="","Green",IF(AA78&gt;1.15,"Red",IF(AA78&gt;=0.95,"Amber","Green"))))</f>
        <v/>
      </c>
      <c r="AC78" s="37" t="str">
        <f aca="false">IF(A78="","",COUNTIFS(Risks!$A$2:$A$501,A78,Risks!$B$2:$B$501,"Risk",Risks!$M$2:$M$501,"&lt;&gt;Closed",Risks!$O$2:$O$501,"Critical"))</f>
        <v/>
      </c>
      <c r="AD78" s="37" t="str">
        <f aca="false">IF(A78="","",COUNTIFS(Risks!$A$2:$A$501,A78,Risks!$B$2:$B$501,"Risk",Risks!$M$2:$M$501,"&lt;&gt;Closed",Risks!$O$2:$O$501,"High"))</f>
        <v/>
      </c>
      <c r="AE78" s="37" t="str">
        <f aca="false">IF(A78="","",IF(AC78&gt;0,"Red",IF(AD78&gt;0,"Amber","Green")))</f>
        <v/>
      </c>
      <c r="AF78" s="37" t="str">
        <f aca="false">IF(A78="","",IF(OR(Z78="Red",AB78="Red",AE78="Red"),"Red",IF(OR(Z78="Amber",AB78="Amber",AE78="Amber"),"Amber","Green")))</f>
        <v/>
      </c>
      <c r="AG78" s="37" t="str">
        <f aca="false">IF(A78="","",COUNTIFS(Tasks!$A$2:$A$1001,A78,Tasks!$D$2:$D$1001,"&lt;&gt;Done",Tasks!$B$2:$B$1001,"&lt;&gt;"))</f>
        <v/>
      </c>
      <c r="AH78" s="37" t="str">
        <f aca="false">IF(A78="","",COUNTIFS(Actions!$A$2:$A$501,A78,Actions!$H$2:$H$501,"&lt;&gt;Done",Actions!$C$2:$C$501,"&lt;&gt;"))</f>
        <v/>
      </c>
      <c r="AI78" s="37" t="str">
        <f aca="false">IF(A78="","",COUNTIFS(RFIs!$A$2:$A$501,A78,RFIs!$G$2:$G$501,"Open"))</f>
        <v/>
      </c>
      <c r="AJ78" s="37" t="str">
        <f aca="false">IF(A78="","",COUNTIFS(Defects!$A$2:$A$501,A78,Defects!$H$2:$H$501,"Open"))</f>
        <v/>
      </c>
      <c r="AK78" s="37" t="str">
        <f aca="false">IF(A78="","","Schedule: "&amp;IF(Y78="","no dates / not tracked",TEXT(Y78,"0%")&amp;" of timeframe elapsed")&amp;" | Budget: "&amp;IF(AA78="","no approved budget or cash flow",TEXT(AA78,"0%")&amp;" of budget forecast")&amp;" | Risk: "&amp;AC78&amp;" critical, "&amp;AD78&amp;" high open")</f>
        <v/>
      </c>
    </row>
    <row r="79" customFormat="false" ht="15" hidden="false" customHeight="false" outlineLevel="0" collapsed="false">
      <c r="A79" s="32"/>
      <c r="B79" s="33"/>
      <c r="C79" s="32"/>
      <c r="D79" s="32"/>
      <c r="E79" s="32"/>
      <c r="F79" s="32"/>
      <c r="G79" s="32"/>
      <c r="H79" s="32"/>
      <c r="I79" s="32"/>
      <c r="J79" s="32"/>
      <c r="K79" s="34"/>
      <c r="L79" s="34"/>
      <c r="M79" s="34"/>
      <c r="N79" s="35"/>
      <c r="O79" s="35"/>
      <c r="P79" s="35"/>
      <c r="Q79" s="36" t="str">
        <f aca="false">IF(A79="","",SUMIFS(Variations!$F$2:$F$501,Variations!$A$2:$A$501,A79,Variations!$H$2:$H$501,"Approved"))</f>
        <v/>
      </c>
      <c r="R79" s="36" t="str">
        <f aca="false">IF(A79="","",IF(M79&lt;&gt;"",M79,IF(L79="","",L79+Q79)))</f>
        <v/>
      </c>
      <c r="S79" s="36" t="str">
        <f aca="false">IF(A79="","",SUMIFS('Cash Flow'!$D$2:$D$2001,'Cash Flow'!$A$2:$A$2001,A79,'Cash Flow'!$C$2:$C$2001,"Actual"))</f>
        <v/>
      </c>
      <c r="T79" s="36" t="str">
        <f aca="false">IF(A79="","",SUMIFS('Cash Flow'!$F$2:$F$2001,'Cash Flow'!$A$2:$A$2001,A79))</f>
        <v/>
      </c>
      <c r="U79" s="36" t="str">
        <f aca="false">IF(A79="","",IF(R79="","",R79-T79))</f>
        <v/>
      </c>
      <c r="V79" s="37" t="str">
        <f aca="false">IF(A79="","",SUMIFS('EOT Claims'!$L$2:$L$501,'EOT Claims'!$A$2:$A$501,A79))</f>
        <v/>
      </c>
      <c r="W79" s="38" t="str">
        <f aca="false">IF(A79="","",IF(O79="","",O79+V79))</f>
        <v/>
      </c>
      <c r="X79" s="37" t="str">
        <f aca="true">IF(A79="","",IF(O79="","",IF(AND(NOT(OR(D79="Project Completion",D79="Defects Liability",D79="Complete",D79="Cancelled")),O79&lt;TODAY()),"Overdue","")))</f>
        <v/>
      </c>
      <c r="Y79" s="39" t="str">
        <f aca="true">IF(A79="","",IF(OR(N79="",W79=""),"",IF(W79&lt;=N79,"",(TODAY()-N79)/(W79-N79))))</f>
        <v/>
      </c>
      <c r="Z79" s="37" t="str">
        <f aca="false">IF(A79="","",IF(OR(Y79="",OR(D79="Project Completion",D79="Defects Liability",D79="Complete",D79="Cancelled")),"Green",IF(Y79&gt;1.15,"Red",IF(Y79&gt;=0.95,"Amber","Green"))))</f>
        <v/>
      </c>
      <c r="AA79" s="39" t="str">
        <f aca="false">IF(A79="","",IF(R79="","",IF(OR(R79&lt;=0,COUNTIFS('Cash Flow'!$A$2:$A$2001,A79)=0),"",T79/R79)))</f>
        <v/>
      </c>
      <c r="AB79" s="37" t="str">
        <f aca="false">IF(A79="","",IF(AA79="","Green",IF(AA79&gt;1.15,"Red",IF(AA79&gt;=0.95,"Amber","Green"))))</f>
        <v/>
      </c>
      <c r="AC79" s="37" t="str">
        <f aca="false">IF(A79="","",COUNTIFS(Risks!$A$2:$A$501,A79,Risks!$B$2:$B$501,"Risk",Risks!$M$2:$M$501,"&lt;&gt;Closed",Risks!$O$2:$O$501,"Critical"))</f>
        <v/>
      </c>
      <c r="AD79" s="37" t="str">
        <f aca="false">IF(A79="","",COUNTIFS(Risks!$A$2:$A$501,A79,Risks!$B$2:$B$501,"Risk",Risks!$M$2:$M$501,"&lt;&gt;Closed",Risks!$O$2:$O$501,"High"))</f>
        <v/>
      </c>
      <c r="AE79" s="37" t="str">
        <f aca="false">IF(A79="","",IF(AC79&gt;0,"Red",IF(AD79&gt;0,"Amber","Green")))</f>
        <v/>
      </c>
      <c r="AF79" s="37" t="str">
        <f aca="false">IF(A79="","",IF(OR(Z79="Red",AB79="Red",AE79="Red"),"Red",IF(OR(Z79="Amber",AB79="Amber",AE79="Amber"),"Amber","Green")))</f>
        <v/>
      </c>
      <c r="AG79" s="37" t="str">
        <f aca="false">IF(A79="","",COUNTIFS(Tasks!$A$2:$A$1001,A79,Tasks!$D$2:$D$1001,"&lt;&gt;Done",Tasks!$B$2:$B$1001,"&lt;&gt;"))</f>
        <v/>
      </c>
      <c r="AH79" s="37" t="str">
        <f aca="false">IF(A79="","",COUNTIFS(Actions!$A$2:$A$501,A79,Actions!$H$2:$H$501,"&lt;&gt;Done",Actions!$C$2:$C$501,"&lt;&gt;"))</f>
        <v/>
      </c>
      <c r="AI79" s="37" t="str">
        <f aca="false">IF(A79="","",COUNTIFS(RFIs!$A$2:$A$501,A79,RFIs!$G$2:$G$501,"Open"))</f>
        <v/>
      </c>
      <c r="AJ79" s="37" t="str">
        <f aca="false">IF(A79="","",COUNTIFS(Defects!$A$2:$A$501,A79,Defects!$H$2:$H$501,"Open"))</f>
        <v/>
      </c>
      <c r="AK79" s="37" t="str">
        <f aca="false">IF(A79="","","Schedule: "&amp;IF(Y79="","no dates / not tracked",TEXT(Y79,"0%")&amp;" of timeframe elapsed")&amp;" | Budget: "&amp;IF(AA79="","no approved budget or cash flow",TEXT(AA79,"0%")&amp;" of budget forecast")&amp;" | Risk: "&amp;AC79&amp;" critical, "&amp;AD79&amp;" high open")</f>
        <v/>
      </c>
    </row>
    <row r="80" customFormat="false" ht="15" hidden="false" customHeight="false" outlineLevel="0" collapsed="false">
      <c r="A80" s="32"/>
      <c r="B80" s="33"/>
      <c r="C80" s="32"/>
      <c r="D80" s="32"/>
      <c r="E80" s="32"/>
      <c r="F80" s="32"/>
      <c r="G80" s="32"/>
      <c r="H80" s="32"/>
      <c r="I80" s="32"/>
      <c r="J80" s="32"/>
      <c r="K80" s="34"/>
      <c r="L80" s="34"/>
      <c r="M80" s="34"/>
      <c r="N80" s="35"/>
      <c r="O80" s="35"/>
      <c r="P80" s="35"/>
      <c r="Q80" s="36" t="str">
        <f aca="false">IF(A80="","",SUMIFS(Variations!$F$2:$F$501,Variations!$A$2:$A$501,A80,Variations!$H$2:$H$501,"Approved"))</f>
        <v/>
      </c>
      <c r="R80" s="36" t="str">
        <f aca="false">IF(A80="","",IF(M80&lt;&gt;"",M80,IF(L80="","",L80+Q80)))</f>
        <v/>
      </c>
      <c r="S80" s="36" t="str">
        <f aca="false">IF(A80="","",SUMIFS('Cash Flow'!$D$2:$D$2001,'Cash Flow'!$A$2:$A$2001,A80,'Cash Flow'!$C$2:$C$2001,"Actual"))</f>
        <v/>
      </c>
      <c r="T80" s="36" t="str">
        <f aca="false">IF(A80="","",SUMIFS('Cash Flow'!$F$2:$F$2001,'Cash Flow'!$A$2:$A$2001,A80))</f>
        <v/>
      </c>
      <c r="U80" s="36" t="str">
        <f aca="false">IF(A80="","",IF(R80="","",R80-T80))</f>
        <v/>
      </c>
      <c r="V80" s="37" t="str">
        <f aca="false">IF(A80="","",SUMIFS('EOT Claims'!$L$2:$L$501,'EOT Claims'!$A$2:$A$501,A80))</f>
        <v/>
      </c>
      <c r="W80" s="38" t="str">
        <f aca="false">IF(A80="","",IF(O80="","",O80+V80))</f>
        <v/>
      </c>
      <c r="X80" s="37" t="str">
        <f aca="true">IF(A80="","",IF(O80="","",IF(AND(NOT(OR(D80="Project Completion",D80="Defects Liability",D80="Complete",D80="Cancelled")),O80&lt;TODAY()),"Overdue","")))</f>
        <v/>
      </c>
      <c r="Y80" s="39" t="str">
        <f aca="true">IF(A80="","",IF(OR(N80="",W80=""),"",IF(W80&lt;=N80,"",(TODAY()-N80)/(W80-N80))))</f>
        <v/>
      </c>
      <c r="Z80" s="37" t="str">
        <f aca="false">IF(A80="","",IF(OR(Y80="",OR(D80="Project Completion",D80="Defects Liability",D80="Complete",D80="Cancelled")),"Green",IF(Y80&gt;1.15,"Red",IF(Y80&gt;=0.95,"Amber","Green"))))</f>
        <v/>
      </c>
      <c r="AA80" s="39" t="str">
        <f aca="false">IF(A80="","",IF(R80="","",IF(OR(R80&lt;=0,COUNTIFS('Cash Flow'!$A$2:$A$2001,A80)=0),"",T80/R80)))</f>
        <v/>
      </c>
      <c r="AB80" s="37" t="str">
        <f aca="false">IF(A80="","",IF(AA80="","Green",IF(AA80&gt;1.15,"Red",IF(AA80&gt;=0.95,"Amber","Green"))))</f>
        <v/>
      </c>
      <c r="AC80" s="37" t="str">
        <f aca="false">IF(A80="","",COUNTIFS(Risks!$A$2:$A$501,A80,Risks!$B$2:$B$501,"Risk",Risks!$M$2:$M$501,"&lt;&gt;Closed",Risks!$O$2:$O$501,"Critical"))</f>
        <v/>
      </c>
      <c r="AD80" s="37" t="str">
        <f aca="false">IF(A80="","",COUNTIFS(Risks!$A$2:$A$501,A80,Risks!$B$2:$B$501,"Risk",Risks!$M$2:$M$501,"&lt;&gt;Closed",Risks!$O$2:$O$501,"High"))</f>
        <v/>
      </c>
      <c r="AE80" s="37" t="str">
        <f aca="false">IF(A80="","",IF(AC80&gt;0,"Red",IF(AD80&gt;0,"Amber","Green")))</f>
        <v/>
      </c>
      <c r="AF80" s="37" t="str">
        <f aca="false">IF(A80="","",IF(OR(Z80="Red",AB80="Red",AE80="Red"),"Red",IF(OR(Z80="Amber",AB80="Amber",AE80="Amber"),"Amber","Green")))</f>
        <v/>
      </c>
      <c r="AG80" s="37" t="str">
        <f aca="false">IF(A80="","",COUNTIFS(Tasks!$A$2:$A$1001,A80,Tasks!$D$2:$D$1001,"&lt;&gt;Done",Tasks!$B$2:$B$1001,"&lt;&gt;"))</f>
        <v/>
      </c>
      <c r="AH80" s="37" t="str">
        <f aca="false">IF(A80="","",COUNTIFS(Actions!$A$2:$A$501,A80,Actions!$H$2:$H$501,"&lt;&gt;Done",Actions!$C$2:$C$501,"&lt;&gt;"))</f>
        <v/>
      </c>
      <c r="AI80" s="37" t="str">
        <f aca="false">IF(A80="","",COUNTIFS(RFIs!$A$2:$A$501,A80,RFIs!$G$2:$G$501,"Open"))</f>
        <v/>
      </c>
      <c r="AJ80" s="37" t="str">
        <f aca="false">IF(A80="","",COUNTIFS(Defects!$A$2:$A$501,A80,Defects!$H$2:$H$501,"Open"))</f>
        <v/>
      </c>
      <c r="AK80" s="37" t="str">
        <f aca="false">IF(A80="","","Schedule: "&amp;IF(Y80="","no dates / not tracked",TEXT(Y80,"0%")&amp;" of timeframe elapsed")&amp;" | Budget: "&amp;IF(AA80="","no approved budget or cash flow",TEXT(AA80,"0%")&amp;" of budget forecast")&amp;" | Risk: "&amp;AC80&amp;" critical, "&amp;AD80&amp;" high open")</f>
        <v/>
      </c>
    </row>
    <row r="81" customFormat="false" ht="15" hidden="false" customHeight="false" outlineLevel="0" collapsed="false">
      <c r="A81" s="32"/>
      <c r="B81" s="33"/>
      <c r="C81" s="32"/>
      <c r="D81" s="32"/>
      <c r="E81" s="32"/>
      <c r="F81" s="32"/>
      <c r="G81" s="32"/>
      <c r="H81" s="32"/>
      <c r="I81" s="32"/>
      <c r="J81" s="32"/>
      <c r="K81" s="34"/>
      <c r="L81" s="34"/>
      <c r="M81" s="34"/>
      <c r="N81" s="35"/>
      <c r="O81" s="35"/>
      <c r="P81" s="35"/>
      <c r="Q81" s="36" t="str">
        <f aca="false">IF(A81="","",SUMIFS(Variations!$F$2:$F$501,Variations!$A$2:$A$501,A81,Variations!$H$2:$H$501,"Approved"))</f>
        <v/>
      </c>
      <c r="R81" s="36" t="str">
        <f aca="false">IF(A81="","",IF(M81&lt;&gt;"",M81,IF(L81="","",L81+Q81)))</f>
        <v/>
      </c>
      <c r="S81" s="36" t="str">
        <f aca="false">IF(A81="","",SUMIFS('Cash Flow'!$D$2:$D$2001,'Cash Flow'!$A$2:$A$2001,A81,'Cash Flow'!$C$2:$C$2001,"Actual"))</f>
        <v/>
      </c>
      <c r="T81" s="36" t="str">
        <f aca="false">IF(A81="","",SUMIFS('Cash Flow'!$F$2:$F$2001,'Cash Flow'!$A$2:$A$2001,A81))</f>
        <v/>
      </c>
      <c r="U81" s="36" t="str">
        <f aca="false">IF(A81="","",IF(R81="","",R81-T81))</f>
        <v/>
      </c>
      <c r="V81" s="37" t="str">
        <f aca="false">IF(A81="","",SUMIFS('EOT Claims'!$L$2:$L$501,'EOT Claims'!$A$2:$A$501,A81))</f>
        <v/>
      </c>
      <c r="W81" s="38" t="str">
        <f aca="false">IF(A81="","",IF(O81="","",O81+V81))</f>
        <v/>
      </c>
      <c r="X81" s="37" t="str">
        <f aca="true">IF(A81="","",IF(O81="","",IF(AND(NOT(OR(D81="Project Completion",D81="Defects Liability",D81="Complete",D81="Cancelled")),O81&lt;TODAY()),"Overdue","")))</f>
        <v/>
      </c>
      <c r="Y81" s="39" t="str">
        <f aca="true">IF(A81="","",IF(OR(N81="",W81=""),"",IF(W81&lt;=N81,"",(TODAY()-N81)/(W81-N81))))</f>
        <v/>
      </c>
      <c r="Z81" s="37" t="str">
        <f aca="false">IF(A81="","",IF(OR(Y81="",OR(D81="Project Completion",D81="Defects Liability",D81="Complete",D81="Cancelled")),"Green",IF(Y81&gt;1.15,"Red",IF(Y81&gt;=0.95,"Amber","Green"))))</f>
        <v/>
      </c>
      <c r="AA81" s="39" t="str">
        <f aca="false">IF(A81="","",IF(R81="","",IF(OR(R81&lt;=0,COUNTIFS('Cash Flow'!$A$2:$A$2001,A81)=0),"",T81/R81)))</f>
        <v/>
      </c>
      <c r="AB81" s="37" t="str">
        <f aca="false">IF(A81="","",IF(AA81="","Green",IF(AA81&gt;1.15,"Red",IF(AA81&gt;=0.95,"Amber","Green"))))</f>
        <v/>
      </c>
      <c r="AC81" s="37" t="str">
        <f aca="false">IF(A81="","",COUNTIFS(Risks!$A$2:$A$501,A81,Risks!$B$2:$B$501,"Risk",Risks!$M$2:$M$501,"&lt;&gt;Closed",Risks!$O$2:$O$501,"Critical"))</f>
        <v/>
      </c>
      <c r="AD81" s="37" t="str">
        <f aca="false">IF(A81="","",COUNTIFS(Risks!$A$2:$A$501,A81,Risks!$B$2:$B$501,"Risk",Risks!$M$2:$M$501,"&lt;&gt;Closed",Risks!$O$2:$O$501,"High"))</f>
        <v/>
      </c>
      <c r="AE81" s="37" t="str">
        <f aca="false">IF(A81="","",IF(AC81&gt;0,"Red",IF(AD81&gt;0,"Amber","Green")))</f>
        <v/>
      </c>
      <c r="AF81" s="37" t="str">
        <f aca="false">IF(A81="","",IF(OR(Z81="Red",AB81="Red",AE81="Red"),"Red",IF(OR(Z81="Amber",AB81="Amber",AE81="Amber"),"Amber","Green")))</f>
        <v/>
      </c>
      <c r="AG81" s="37" t="str">
        <f aca="false">IF(A81="","",COUNTIFS(Tasks!$A$2:$A$1001,A81,Tasks!$D$2:$D$1001,"&lt;&gt;Done",Tasks!$B$2:$B$1001,"&lt;&gt;"))</f>
        <v/>
      </c>
      <c r="AH81" s="37" t="str">
        <f aca="false">IF(A81="","",COUNTIFS(Actions!$A$2:$A$501,A81,Actions!$H$2:$H$501,"&lt;&gt;Done",Actions!$C$2:$C$501,"&lt;&gt;"))</f>
        <v/>
      </c>
      <c r="AI81" s="37" t="str">
        <f aca="false">IF(A81="","",COUNTIFS(RFIs!$A$2:$A$501,A81,RFIs!$G$2:$G$501,"Open"))</f>
        <v/>
      </c>
      <c r="AJ81" s="37" t="str">
        <f aca="false">IF(A81="","",COUNTIFS(Defects!$A$2:$A$501,A81,Defects!$H$2:$H$501,"Open"))</f>
        <v/>
      </c>
      <c r="AK81" s="37" t="str">
        <f aca="false">IF(A81="","","Schedule: "&amp;IF(Y81="","no dates / not tracked",TEXT(Y81,"0%")&amp;" of timeframe elapsed")&amp;" | Budget: "&amp;IF(AA81="","no approved budget or cash flow",TEXT(AA81,"0%")&amp;" of budget forecast")&amp;" | Risk: "&amp;AC81&amp;" critical, "&amp;AD81&amp;" high open")</f>
        <v/>
      </c>
    </row>
    <row r="82" customFormat="false" ht="15" hidden="false" customHeight="false" outlineLevel="0" collapsed="false">
      <c r="A82" s="32"/>
      <c r="B82" s="33"/>
      <c r="C82" s="32"/>
      <c r="D82" s="32"/>
      <c r="E82" s="32"/>
      <c r="F82" s="32"/>
      <c r="G82" s="32"/>
      <c r="H82" s="32"/>
      <c r="I82" s="32"/>
      <c r="J82" s="32"/>
      <c r="K82" s="34"/>
      <c r="L82" s="34"/>
      <c r="M82" s="34"/>
      <c r="N82" s="35"/>
      <c r="O82" s="35"/>
      <c r="P82" s="35"/>
      <c r="Q82" s="36" t="str">
        <f aca="false">IF(A82="","",SUMIFS(Variations!$F$2:$F$501,Variations!$A$2:$A$501,A82,Variations!$H$2:$H$501,"Approved"))</f>
        <v/>
      </c>
      <c r="R82" s="36" t="str">
        <f aca="false">IF(A82="","",IF(M82&lt;&gt;"",M82,IF(L82="","",L82+Q82)))</f>
        <v/>
      </c>
      <c r="S82" s="36" t="str">
        <f aca="false">IF(A82="","",SUMIFS('Cash Flow'!$D$2:$D$2001,'Cash Flow'!$A$2:$A$2001,A82,'Cash Flow'!$C$2:$C$2001,"Actual"))</f>
        <v/>
      </c>
      <c r="T82" s="36" t="str">
        <f aca="false">IF(A82="","",SUMIFS('Cash Flow'!$F$2:$F$2001,'Cash Flow'!$A$2:$A$2001,A82))</f>
        <v/>
      </c>
      <c r="U82" s="36" t="str">
        <f aca="false">IF(A82="","",IF(R82="","",R82-T82))</f>
        <v/>
      </c>
      <c r="V82" s="37" t="str">
        <f aca="false">IF(A82="","",SUMIFS('EOT Claims'!$L$2:$L$501,'EOT Claims'!$A$2:$A$501,A82))</f>
        <v/>
      </c>
      <c r="W82" s="38" t="str">
        <f aca="false">IF(A82="","",IF(O82="","",O82+V82))</f>
        <v/>
      </c>
      <c r="X82" s="37" t="str">
        <f aca="true">IF(A82="","",IF(O82="","",IF(AND(NOT(OR(D82="Project Completion",D82="Defects Liability",D82="Complete",D82="Cancelled")),O82&lt;TODAY()),"Overdue","")))</f>
        <v/>
      </c>
      <c r="Y82" s="39" t="str">
        <f aca="true">IF(A82="","",IF(OR(N82="",W82=""),"",IF(W82&lt;=N82,"",(TODAY()-N82)/(W82-N82))))</f>
        <v/>
      </c>
      <c r="Z82" s="37" t="str">
        <f aca="false">IF(A82="","",IF(OR(Y82="",OR(D82="Project Completion",D82="Defects Liability",D82="Complete",D82="Cancelled")),"Green",IF(Y82&gt;1.15,"Red",IF(Y82&gt;=0.95,"Amber","Green"))))</f>
        <v/>
      </c>
      <c r="AA82" s="39" t="str">
        <f aca="false">IF(A82="","",IF(R82="","",IF(OR(R82&lt;=0,COUNTIFS('Cash Flow'!$A$2:$A$2001,A82)=0),"",T82/R82)))</f>
        <v/>
      </c>
      <c r="AB82" s="37" t="str">
        <f aca="false">IF(A82="","",IF(AA82="","Green",IF(AA82&gt;1.15,"Red",IF(AA82&gt;=0.95,"Amber","Green"))))</f>
        <v/>
      </c>
      <c r="AC82" s="37" t="str">
        <f aca="false">IF(A82="","",COUNTIFS(Risks!$A$2:$A$501,A82,Risks!$B$2:$B$501,"Risk",Risks!$M$2:$M$501,"&lt;&gt;Closed",Risks!$O$2:$O$501,"Critical"))</f>
        <v/>
      </c>
      <c r="AD82" s="37" t="str">
        <f aca="false">IF(A82="","",COUNTIFS(Risks!$A$2:$A$501,A82,Risks!$B$2:$B$501,"Risk",Risks!$M$2:$M$501,"&lt;&gt;Closed",Risks!$O$2:$O$501,"High"))</f>
        <v/>
      </c>
      <c r="AE82" s="37" t="str">
        <f aca="false">IF(A82="","",IF(AC82&gt;0,"Red",IF(AD82&gt;0,"Amber","Green")))</f>
        <v/>
      </c>
      <c r="AF82" s="37" t="str">
        <f aca="false">IF(A82="","",IF(OR(Z82="Red",AB82="Red",AE82="Red"),"Red",IF(OR(Z82="Amber",AB82="Amber",AE82="Amber"),"Amber","Green")))</f>
        <v/>
      </c>
      <c r="AG82" s="37" t="str">
        <f aca="false">IF(A82="","",COUNTIFS(Tasks!$A$2:$A$1001,A82,Tasks!$D$2:$D$1001,"&lt;&gt;Done",Tasks!$B$2:$B$1001,"&lt;&gt;"))</f>
        <v/>
      </c>
      <c r="AH82" s="37" t="str">
        <f aca="false">IF(A82="","",COUNTIFS(Actions!$A$2:$A$501,A82,Actions!$H$2:$H$501,"&lt;&gt;Done",Actions!$C$2:$C$501,"&lt;&gt;"))</f>
        <v/>
      </c>
      <c r="AI82" s="37" t="str">
        <f aca="false">IF(A82="","",COUNTIFS(RFIs!$A$2:$A$501,A82,RFIs!$G$2:$G$501,"Open"))</f>
        <v/>
      </c>
      <c r="AJ82" s="37" t="str">
        <f aca="false">IF(A82="","",COUNTIFS(Defects!$A$2:$A$501,A82,Defects!$H$2:$H$501,"Open"))</f>
        <v/>
      </c>
      <c r="AK82" s="37" t="str">
        <f aca="false">IF(A82="","","Schedule: "&amp;IF(Y82="","no dates / not tracked",TEXT(Y82,"0%")&amp;" of timeframe elapsed")&amp;" | Budget: "&amp;IF(AA82="","no approved budget or cash flow",TEXT(AA82,"0%")&amp;" of budget forecast")&amp;" | Risk: "&amp;AC82&amp;" critical, "&amp;AD82&amp;" high open")</f>
        <v/>
      </c>
    </row>
    <row r="83" customFormat="false" ht="15" hidden="false" customHeight="false" outlineLevel="0" collapsed="false">
      <c r="A83" s="32"/>
      <c r="B83" s="33"/>
      <c r="C83" s="32"/>
      <c r="D83" s="32"/>
      <c r="E83" s="32"/>
      <c r="F83" s="32"/>
      <c r="G83" s="32"/>
      <c r="H83" s="32"/>
      <c r="I83" s="32"/>
      <c r="J83" s="32"/>
      <c r="K83" s="34"/>
      <c r="L83" s="34"/>
      <c r="M83" s="34"/>
      <c r="N83" s="35"/>
      <c r="O83" s="35"/>
      <c r="P83" s="35"/>
      <c r="Q83" s="36" t="str">
        <f aca="false">IF(A83="","",SUMIFS(Variations!$F$2:$F$501,Variations!$A$2:$A$501,A83,Variations!$H$2:$H$501,"Approved"))</f>
        <v/>
      </c>
      <c r="R83" s="36" t="str">
        <f aca="false">IF(A83="","",IF(M83&lt;&gt;"",M83,IF(L83="","",L83+Q83)))</f>
        <v/>
      </c>
      <c r="S83" s="36" t="str">
        <f aca="false">IF(A83="","",SUMIFS('Cash Flow'!$D$2:$D$2001,'Cash Flow'!$A$2:$A$2001,A83,'Cash Flow'!$C$2:$C$2001,"Actual"))</f>
        <v/>
      </c>
      <c r="T83" s="36" t="str">
        <f aca="false">IF(A83="","",SUMIFS('Cash Flow'!$F$2:$F$2001,'Cash Flow'!$A$2:$A$2001,A83))</f>
        <v/>
      </c>
      <c r="U83" s="36" t="str">
        <f aca="false">IF(A83="","",IF(R83="","",R83-T83))</f>
        <v/>
      </c>
      <c r="V83" s="37" t="str">
        <f aca="false">IF(A83="","",SUMIFS('EOT Claims'!$L$2:$L$501,'EOT Claims'!$A$2:$A$501,A83))</f>
        <v/>
      </c>
      <c r="W83" s="38" t="str">
        <f aca="false">IF(A83="","",IF(O83="","",O83+V83))</f>
        <v/>
      </c>
      <c r="X83" s="37" t="str">
        <f aca="true">IF(A83="","",IF(O83="","",IF(AND(NOT(OR(D83="Project Completion",D83="Defects Liability",D83="Complete",D83="Cancelled")),O83&lt;TODAY()),"Overdue","")))</f>
        <v/>
      </c>
      <c r="Y83" s="39" t="str">
        <f aca="true">IF(A83="","",IF(OR(N83="",W83=""),"",IF(W83&lt;=N83,"",(TODAY()-N83)/(W83-N83))))</f>
        <v/>
      </c>
      <c r="Z83" s="37" t="str">
        <f aca="false">IF(A83="","",IF(OR(Y83="",OR(D83="Project Completion",D83="Defects Liability",D83="Complete",D83="Cancelled")),"Green",IF(Y83&gt;1.15,"Red",IF(Y83&gt;=0.95,"Amber","Green"))))</f>
        <v/>
      </c>
      <c r="AA83" s="39" t="str">
        <f aca="false">IF(A83="","",IF(R83="","",IF(OR(R83&lt;=0,COUNTIFS('Cash Flow'!$A$2:$A$2001,A83)=0),"",T83/R83)))</f>
        <v/>
      </c>
      <c r="AB83" s="37" t="str">
        <f aca="false">IF(A83="","",IF(AA83="","Green",IF(AA83&gt;1.15,"Red",IF(AA83&gt;=0.95,"Amber","Green"))))</f>
        <v/>
      </c>
      <c r="AC83" s="37" t="str">
        <f aca="false">IF(A83="","",COUNTIFS(Risks!$A$2:$A$501,A83,Risks!$B$2:$B$501,"Risk",Risks!$M$2:$M$501,"&lt;&gt;Closed",Risks!$O$2:$O$501,"Critical"))</f>
        <v/>
      </c>
      <c r="AD83" s="37" t="str">
        <f aca="false">IF(A83="","",COUNTIFS(Risks!$A$2:$A$501,A83,Risks!$B$2:$B$501,"Risk",Risks!$M$2:$M$501,"&lt;&gt;Closed",Risks!$O$2:$O$501,"High"))</f>
        <v/>
      </c>
      <c r="AE83" s="37" t="str">
        <f aca="false">IF(A83="","",IF(AC83&gt;0,"Red",IF(AD83&gt;0,"Amber","Green")))</f>
        <v/>
      </c>
      <c r="AF83" s="37" t="str">
        <f aca="false">IF(A83="","",IF(OR(Z83="Red",AB83="Red",AE83="Red"),"Red",IF(OR(Z83="Amber",AB83="Amber",AE83="Amber"),"Amber","Green")))</f>
        <v/>
      </c>
      <c r="AG83" s="37" t="str">
        <f aca="false">IF(A83="","",COUNTIFS(Tasks!$A$2:$A$1001,A83,Tasks!$D$2:$D$1001,"&lt;&gt;Done",Tasks!$B$2:$B$1001,"&lt;&gt;"))</f>
        <v/>
      </c>
      <c r="AH83" s="37" t="str">
        <f aca="false">IF(A83="","",COUNTIFS(Actions!$A$2:$A$501,A83,Actions!$H$2:$H$501,"&lt;&gt;Done",Actions!$C$2:$C$501,"&lt;&gt;"))</f>
        <v/>
      </c>
      <c r="AI83" s="37" t="str">
        <f aca="false">IF(A83="","",COUNTIFS(RFIs!$A$2:$A$501,A83,RFIs!$G$2:$G$501,"Open"))</f>
        <v/>
      </c>
      <c r="AJ83" s="37" t="str">
        <f aca="false">IF(A83="","",COUNTIFS(Defects!$A$2:$A$501,A83,Defects!$H$2:$H$501,"Open"))</f>
        <v/>
      </c>
      <c r="AK83" s="37" t="str">
        <f aca="false">IF(A83="","","Schedule: "&amp;IF(Y83="","no dates / not tracked",TEXT(Y83,"0%")&amp;" of timeframe elapsed")&amp;" | Budget: "&amp;IF(AA83="","no approved budget or cash flow",TEXT(AA83,"0%")&amp;" of budget forecast")&amp;" | Risk: "&amp;AC83&amp;" critical, "&amp;AD83&amp;" high open")</f>
        <v/>
      </c>
    </row>
    <row r="84" customFormat="false" ht="15" hidden="false" customHeight="false" outlineLevel="0" collapsed="false">
      <c r="A84" s="32"/>
      <c r="B84" s="33"/>
      <c r="C84" s="32"/>
      <c r="D84" s="32"/>
      <c r="E84" s="32"/>
      <c r="F84" s="32"/>
      <c r="G84" s="32"/>
      <c r="H84" s="32"/>
      <c r="I84" s="32"/>
      <c r="J84" s="32"/>
      <c r="K84" s="34"/>
      <c r="L84" s="34"/>
      <c r="M84" s="34"/>
      <c r="N84" s="35"/>
      <c r="O84" s="35"/>
      <c r="P84" s="35"/>
      <c r="Q84" s="36" t="str">
        <f aca="false">IF(A84="","",SUMIFS(Variations!$F$2:$F$501,Variations!$A$2:$A$501,A84,Variations!$H$2:$H$501,"Approved"))</f>
        <v/>
      </c>
      <c r="R84" s="36" t="str">
        <f aca="false">IF(A84="","",IF(M84&lt;&gt;"",M84,IF(L84="","",L84+Q84)))</f>
        <v/>
      </c>
      <c r="S84" s="36" t="str">
        <f aca="false">IF(A84="","",SUMIFS('Cash Flow'!$D$2:$D$2001,'Cash Flow'!$A$2:$A$2001,A84,'Cash Flow'!$C$2:$C$2001,"Actual"))</f>
        <v/>
      </c>
      <c r="T84" s="36" t="str">
        <f aca="false">IF(A84="","",SUMIFS('Cash Flow'!$F$2:$F$2001,'Cash Flow'!$A$2:$A$2001,A84))</f>
        <v/>
      </c>
      <c r="U84" s="36" t="str">
        <f aca="false">IF(A84="","",IF(R84="","",R84-T84))</f>
        <v/>
      </c>
      <c r="V84" s="37" t="str">
        <f aca="false">IF(A84="","",SUMIFS('EOT Claims'!$L$2:$L$501,'EOT Claims'!$A$2:$A$501,A84))</f>
        <v/>
      </c>
      <c r="W84" s="38" t="str">
        <f aca="false">IF(A84="","",IF(O84="","",O84+V84))</f>
        <v/>
      </c>
      <c r="X84" s="37" t="str">
        <f aca="true">IF(A84="","",IF(O84="","",IF(AND(NOT(OR(D84="Project Completion",D84="Defects Liability",D84="Complete",D84="Cancelled")),O84&lt;TODAY()),"Overdue","")))</f>
        <v/>
      </c>
      <c r="Y84" s="39" t="str">
        <f aca="true">IF(A84="","",IF(OR(N84="",W84=""),"",IF(W84&lt;=N84,"",(TODAY()-N84)/(W84-N84))))</f>
        <v/>
      </c>
      <c r="Z84" s="37" t="str">
        <f aca="false">IF(A84="","",IF(OR(Y84="",OR(D84="Project Completion",D84="Defects Liability",D84="Complete",D84="Cancelled")),"Green",IF(Y84&gt;1.15,"Red",IF(Y84&gt;=0.95,"Amber","Green"))))</f>
        <v/>
      </c>
      <c r="AA84" s="39" t="str">
        <f aca="false">IF(A84="","",IF(R84="","",IF(OR(R84&lt;=0,COUNTIFS('Cash Flow'!$A$2:$A$2001,A84)=0),"",T84/R84)))</f>
        <v/>
      </c>
      <c r="AB84" s="37" t="str">
        <f aca="false">IF(A84="","",IF(AA84="","Green",IF(AA84&gt;1.15,"Red",IF(AA84&gt;=0.95,"Amber","Green"))))</f>
        <v/>
      </c>
      <c r="AC84" s="37" t="str">
        <f aca="false">IF(A84="","",COUNTIFS(Risks!$A$2:$A$501,A84,Risks!$B$2:$B$501,"Risk",Risks!$M$2:$M$501,"&lt;&gt;Closed",Risks!$O$2:$O$501,"Critical"))</f>
        <v/>
      </c>
      <c r="AD84" s="37" t="str">
        <f aca="false">IF(A84="","",COUNTIFS(Risks!$A$2:$A$501,A84,Risks!$B$2:$B$501,"Risk",Risks!$M$2:$M$501,"&lt;&gt;Closed",Risks!$O$2:$O$501,"High"))</f>
        <v/>
      </c>
      <c r="AE84" s="37" t="str">
        <f aca="false">IF(A84="","",IF(AC84&gt;0,"Red",IF(AD84&gt;0,"Amber","Green")))</f>
        <v/>
      </c>
      <c r="AF84" s="37" t="str">
        <f aca="false">IF(A84="","",IF(OR(Z84="Red",AB84="Red",AE84="Red"),"Red",IF(OR(Z84="Amber",AB84="Amber",AE84="Amber"),"Amber","Green")))</f>
        <v/>
      </c>
      <c r="AG84" s="37" t="str">
        <f aca="false">IF(A84="","",COUNTIFS(Tasks!$A$2:$A$1001,A84,Tasks!$D$2:$D$1001,"&lt;&gt;Done",Tasks!$B$2:$B$1001,"&lt;&gt;"))</f>
        <v/>
      </c>
      <c r="AH84" s="37" t="str">
        <f aca="false">IF(A84="","",COUNTIFS(Actions!$A$2:$A$501,A84,Actions!$H$2:$H$501,"&lt;&gt;Done",Actions!$C$2:$C$501,"&lt;&gt;"))</f>
        <v/>
      </c>
      <c r="AI84" s="37" t="str">
        <f aca="false">IF(A84="","",COUNTIFS(RFIs!$A$2:$A$501,A84,RFIs!$G$2:$G$501,"Open"))</f>
        <v/>
      </c>
      <c r="AJ84" s="37" t="str">
        <f aca="false">IF(A84="","",COUNTIFS(Defects!$A$2:$A$501,A84,Defects!$H$2:$H$501,"Open"))</f>
        <v/>
      </c>
      <c r="AK84" s="37" t="str">
        <f aca="false">IF(A84="","","Schedule: "&amp;IF(Y84="","no dates / not tracked",TEXT(Y84,"0%")&amp;" of timeframe elapsed")&amp;" | Budget: "&amp;IF(AA84="","no approved budget or cash flow",TEXT(AA84,"0%")&amp;" of budget forecast")&amp;" | Risk: "&amp;AC84&amp;" critical, "&amp;AD84&amp;" high open")</f>
        <v/>
      </c>
    </row>
    <row r="85" customFormat="false" ht="15" hidden="false" customHeight="false" outlineLevel="0" collapsed="false">
      <c r="A85" s="32"/>
      <c r="B85" s="33"/>
      <c r="C85" s="32"/>
      <c r="D85" s="32"/>
      <c r="E85" s="32"/>
      <c r="F85" s="32"/>
      <c r="G85" s="32"/>
      <c r="H85" s="32"/>
      <c r="I85" s="32"/>
      <c r="J85" s="32"/>
      <c r="K85" s="34"/>
      <c r="L85" s="34"/>
      <c r="M85" s="34"/>
      <c r="N85" s="35"/>
      <c r="O85" s="35"/>
      <c r="P85" s="35"/>
      <c r="Q85" s="36" t="str">
        <f aca="false">IF(A85="","",SUMIFS(Variations!$F$2:$F$501,Variations!$A$2:$A$501,A85,Variations!$H$2:$H$501,"Approved"))</f>
        <v/>
      </c>
      <c r="R85" s="36" t="str">
        <f aca="false">IF(A85="","",IF(M85&lt;&gt;"",M85,IF(L85="","",L85+Q85)))</f>
        <v/>
      </c>
      <c r="S85" s="36" t="str">
        <f aca="false">IF(A85="","",SUMIFS('Cash Flow'!$D$2:$D$2001,'Cash Flow'!$A$2:$A$2001,A85,'Cash Flow'!$C$2:$C$2001,"Actual"))</f>
        <v/>
      </c>
      <c r="T85" s="36" t="str">
        <f aca="false">IF(A85="","",SUMIFS('Cash Flow'!$F$2:$F$2001,'Cash Flow'!$A$2:$A$2001,A85))</f>
        <v/>
      </c>
      <c r="U85" s="36" t="str">
        <f aca="false">IF(A85="","",IF(R85="","",R85-T85))</f>
        <v/>
      </c>
      <c r="V85" s="37" t="str">
        <f aca="false">IF(A85="","",SUMIFS('EOT Claims'!$L$2:$L$501,'EOT Claims'!$A$2:$A$501,A85))</f>
        <v/>
      </c>
      <c r="W85" s="38" t="str">
        <f aca="false">IF(A85="","",IF(O85="","",O85+V85))</f>
        <v/>
      </c>
      <c r="X85" s="37" t="str">
        <f aca="true">IF(A85="","",IF(O85="","",IF(AND(NOT(OR(D85="Project Completion",D85="Defects Liability",D85="Complete",D85="Cancelled")),O85&lt;TODAY()),"Overdue","")))</f>
        <v/>
      </c>
      <c r="Y85" s="39" t="str">
        <f aca="true">IF(A85="","",IF(OR(N85="",W85=""),"",IF(W85&lt;=N85,"",(TODAY()-N85)/(W85-N85))))</f>
        <v/>
      </c>
      <c r="Z85" s="37" t="str">
        <f aca="false">IF(A85="","",IF(OR(Y85="",OR(D85="Project Completion",D85="Defects Liability",D85="Complete",D85="Cancelled")),"Green",IF(Y85&gt;1.15,"Red",IF(Y85&gt;=0.95,"Amber","Green"))))</f>
        <v/>
      </c>
      <c r="AA85" s="39" t="str">
        <f aca="false">IF(A85="","",IF(R85="","",IF(OR(R85&lt;=0,COUNTIFS('Cash Flow'!$A$2:$A$2001,A85)=0),"",T85/R85)))</f>
        <v/>
      </c>
      <c r="AB85" s="37" t="str">
        <f aca="false">IF(A85="","",IF(AA85="","Green",IF(AA85&gt;1.15,"Red",IF(AA85&gt;=0.95,"Amber","Green"))))</f>
        <v/>
      </c>
      <c r="AC85" s="37" t="str">
        <f aca="false">IF(A85="","",COUNTIFS(Risks!$A$2:$A$501,A85,Risks!$B$2:$B$501,"Risk",Risks!$M$2:$M$501,"&lt;&gt;Closed",Risks!$O$2:$O$501,"Critical"))</f>
        <v/>
      </c>
      <c r="AD85" s="37" t="str">
        <f aca="false">IF(A85="","",COUNTIFS(Risks!$A$2:$A$501,A85,Risks!$B$2:$B$501,"Risk",Risks!$M$2:$M$501,"&lt;&gt;Closed",Risks!$O$2:$O$501,"High"))</f>
        <v/>
      </c>
      <c r="AE85" s="37" t="str">
        <f aca="false">IF(A85="","",IF(AC85&gt;0,"Red",IF(AD85&gt;0,"Amber","Green")))</f>
        <v/>
      </c>
      <c r="AF85" s="37" t="str">
        <f aca="false">IF(A85="","",IF(OR(Z85="Red",AB85="Red",AE85="Red"),"Red",IF(OR(Z85="Amber",AB85="Amber",AE85="Amber"),"Amber","Green")))</f>
        <v/>
      </c>
      <c r="AG85" s="37" t="str">
        <f aca="false">IF(A85="","",COUNTIFS(Tasks!$A$2:$A$1001,A85,Tasks!$D$2:$D$1001,"&lt;&gt;Done",Tasks!$B$2:$B$1001,"&lt;&gt;"))</f>
        <v/>
      </c>
      <c r="AH85" s="37" t="str">
        <f aca="false">IF(A85="","",COUNTIFS(Actions!$A$2:$A$501,A85,Actions!$H$2:$H$501,"&lt;&gt;Done",Actions!$C$2:$C$501,"&lt;&gt;"))</f>
        <v/>
      </c>
      <c r="AI85" s="37" t="str">
        <f aca="false">IF(A85="","",COUNTIFS(RFIs!$A$2:$A$501,A85,RFIs!$G$2:$G$501,"Open"))</f>
        <v/>
      </c>
      <c r="AJ85" s="37" t="str">
        <f aca="false">IF(A85="","",COUNTIFS(Defects!$A$2:$A$501,A85,Defects!$H$2:$H$501,"Open"))</f>
        <v/>
      </c>
      <c r="AK85" s="37" t="str">
        <f aca="false">IF(A85="","","Schedule: "&amp;IF(Y85="","no dates / not tracked",TEXT(Y85,"0%")&amp;" of timeframe elapsed")&amp;" | Budget: "&amp;IF(AA85="","no approved budget or cash flow",TEXT(AA85,"0%")&amp;" of budget forecast")&amp;" | Risk: "&amp;AC85&amp;" critical, "&amp;AD85&amp;" high open")</f>
        <v/>
      </c>
    </row>
    <row r="86" customFormat="false" ht="15" hidden="false" customHeight="false" outlineLevel="0" collapsed="false">
      <c r="A86" s="32"/>
      <c r="B86" s="33"/>
      <c r="C86" s="32"/>
      <c r="D86" s="32"/>
      <c r="E86" s="32"/>
      <c r="F86" s="32"/>
      <c r="G86" s="32"/>
      <c r="H86" s="32"/>
      <c r="I86" s="32"/>
      <c r="J86" s="32"/>
      <c r="K86" s="34"/>
      <c r="L86" s="34"/>
      <c r="M86" s="34"/>
      <c r="N86" s="35"/>
      <c r="O86" s="35"/>
      <c r="P86" s="35"/>
      <c r="Q86" s="36" t="str">
        <f aca="false">IF(A86="","",SUMIFS(Variations!$F$2:$F$501,Variations!$A$2:$A$501,A86,Variations!$H$2:$H$501,"Approved"))</f>
        <v/>
      </c>
      <c r="R86" s="36" t="str">
        <f aca="false">IF(A86="","",IF(M86&lt;&gt;"",M86,IF(L86="","",L86+Q86)))</f>
        <v/>
      </c>
      <c r="S86" s="36" t="str">
        <f aca="false">IF(A86="","",SUMIFS('Cash Flow'!$D$2:$D$2001,'Cash Flow'!$A$2:$A$2001,A86,'Cash Flow'!$C$2:$C$2001,"Actual"))</f>
        <v/>
      </c>
      <c r="T86" s="36" t="str">
        <f aca="false">IF(A86="","",SUMIFS('Cash Flow'!$F$2:$F$2001,'Cash Flow'!$A$2:$A$2001,A86))</f>
        <v/>
      </c>
      <c r="U86" s="36" t="str">
        <f aca="false">IF(A86="","",IF(R86="","",R86-T86))</f>
        <v/>
      </c>
      <c r="V86" s="37" t="str">
        <f aca="false">IF(A86="","",SUMIFS('EOT Claims'!$L$2:$L$501,'EOT Claims'!$A$2:$A$501,A86))</f>
        <v/>
      </c>
      <c r="W86" s="38" t="str">
        <f aca="false">IF(A86="","",IF(O86="","",O86+V86))</f>
        <v/>
      </c>
      <c r="X86" s="37" t="str">
        <f aca="true">IF(A86="","",IF(O86="","",IF(AND(NOT(OR(D86="Project Completion",D86="Defects Liability",D86="Complete",D86="Cancelled")),O86&lt;TODAY()),"Overdue","")))</f>
        <v/>
      </c>
      <c r="Y86" s="39" t="str">
        <f aca="true">IF(A86="","",IF(OR(N86="",W86=""),"",IF(W86&lt;=N86,"",(TODAY()-N86)/(W86-N86))))</f>
        <v/>
      </c>
      <c r="Z86" s="37" t="str">
        <f aca="false">IF(A86="","",IF(OR(Y86="",OR(D86="Project Completion",D86="Defects Liability",D86="Complete",D86="Cancelled")),"Green",IF(Y86&gt;1.15,"Red",IF(Y86&gt;=0.95,"Amber","Green"))))</f>
        <v/>
      </c>
      <c r="AA86" s="39" t="str">
        <f aca="false">IF(A86="","",IF(R86="","",IF(OR(R86&lt;=0,COUNTIFS('Cash Flow'!$A$2:$A$2001,A86)=0),"",T86/R86)))</f>
        <v/>
      </c>
      <c r="AB86" s="37" t="str">
        <f aca="false">IF(A86="","",IF(AA86="","Green",IF(AA86&gt;1.15,"Red",IF(AA86&gt;=0.95,"Amber","Green"))))</f>
        <v/>
      </c>
      <c r="AC86" s="37" t="str">
        <f aca="false">IF(A86="","",COUNTIFS(Risks!$A$2:$A$501,A86,Risks!$B$2:$B$501,"Risk",Risks!$M$2:$M$501,"&lt;&gt;Closed",Risks!$O$2:$O$501,"Critical"))</f>
        <v/>
      </c>
      <c r="AD86" s="37" t="str">
        <f aca="false">IF(A86="","",COUNTIFS(Risks!$A$2:$A$501,A86,Risks!$B$2:$B$501,"Risk",Risks!$M$2:$M$501,"&lt;&gt;Closed",Risks!$O$2:$O$501,"High"))</f>
        <v/>
      </c>
      <c r="AE86" s="37" t="str">
        <f aca="false">IF(A86="","",IF(AC86&gt;0,"Red",IF(AD86&gt;0,"Amber","Green")))</f>
        <v/>
      </c>
      <c r="AF86" s="37" t="str">
        <f aca="false">IF(A86="","",IF(OR(Z86="Red",AB86="Red",AE86="Red"),"Red",IF(OR(Z86="Amber",AB86="Amber",AE86="Amber"),"Amber","Green")))</f>
        <v/>
      </c>
      <c r="AG86" s="37" t="str">
        <f aca="false">IF(A86="","",COUNTIFS(Tasks!$A$2:$A$1001,A86,Tasks!$D$2:$D$1001,"&lt;&gt;Done",Tasks!$B$2:$B$1001,"&lt;&gt;"))</f>
        <v/>
      </c>
      <c r="AH86" s="37" t="str">
        <f aca="false">IF(A86="","",COUNTIFS(Actions!$A$2:$A$501,A86,Actions!$H$2:$H$501,"&lt;&gt;Done",Actions!$C$2:$C$501,"&lt;&gt;"))</f>
        <v/>
      </c>
      <c r="AI86" s="37" t="str">
        <f aca="false">IF(A86="","",COUNTIFS(RFIs!$A$2:$A$501,A86,RFIs!$G$2:$G$501,"Open"))</f>
        <v/>
      </c>
      <c r="AJ86" s="37" t="str">
        <f aca="false">IF(A86="","",COUNTIFS(Defects!$A$2:$A$501,A86,Defects!$H$2:$H$501,"Open"))</f>
        <v/>
      </c>
      <c r="AK86" s="37" t="str">
        <f aca="false">IF(A86="","","Schedule: "&amp;IF(Y86="","no dates / not tracked",TEXT(Y86,"0%")&amp;" of timeframe elapsed")&amp;" | Budget: "&amp;IF(AA86="","no approved budget or cash flow",TEXT(AA86,"0%")&amp;" of budget forecast")&amp;" | Risk: "&amp;AC86&amp;" critical, "&amp;AD86&amp;" high open")</f>
        <v/>
      </c>
    </row>
    <row r="87" customFormat="false" ht="15" hidden="false" customHeight="false" outlineLevel="0" collapsed="false">
      <c r="A87" s="32"/>
      <c r="B87" s="33"/>
      <c r="C87" s="32"/>
      <c r="D87" s="32"/>
      <c r="E87" s="32"/>
      <c r="F87" s="32"/>
      <c r="G87" s="32"/>
      <c r="H87" s="32"/>
      <c r="I87" s="32"/>
      <c r="J87" s="32"/>
      <c r="K87" s="34"/>
      <c r="L87" s="34"/>
      <c r="M87" s="34"/>
      <c r="N87" s="35"/>
      <c r="O87" s="35"/>
      <c r="P87" s="35"/>
      <c r="Q87" s="36" t="str">
        <f aca="false">IF(A87="","",SUMIFS(Variations!$F$2:$F$501,Variations!$A$2:$A$501,A87,Variations!$H$2:$H$501,"Approved"))</f>
        <v/>
      </c>
      <c r="R87" s="36" t="str">
        <f aca="false">IF(A87="","",IF(M87&lt;&gt;"",M87,IF(L87="","",L87+Q87)))</f>
        <v/>
      </c>
      <c r="S87" s="36" t="str">
        <f aca="false">IF(A87="","",SUMIFS('Cash Flow'!$D$2:$D$2001,'Cash Flow'!$A$2:$A$2001,A87,'Cash Flow'!$C$2:$C$2001,"Actual"))</f>
        <v/>
      </c>
      <c r="T87" s="36" t="str">
        <f aca="false">IF(A87="","",SUMIFS('Cash Flow'!$F$2:$F$2001,'Cash Flow'!$A$2:$A$2001,A87))</f>
        <v/>
      </c>
      <c r="U87" s="36" t="str">
        <f aca="false">IF(A87="","",IF(R87="","",R87-T87))</f>
        <v/>
      </c>
      <c r="V87" s="37" t="str">
        <f aca="false">IF(A87="","",SUMIFS('EOT Claims'!$L$2:$L$501,'EOT Claims'!$A$2:$A$501,A87))</f>
        <v/>
      </c>
      <c r="W87" s="38" t="str">
        <f aca="false">IF(A87="","",IF(O87="","",O87+V87))</f>
        <v/>
      </c>
      <c r="X87" s="37" t="str">
        <f aca="true">IF(A87="","",IF(O87="","",IF(AND(NOT(OR(D87="Project Completion",D87="Defects Liability",D87="Complete",D87="Cancelled")),O87&lt;TODAY()),"Overdue","")))</f>
        <v/>
      </c>
      <c r="Y87" s="39" t="str">
        <f aca="true">IF(A87="","",IF(OR(N87="",W87=""),"",IF(W87&lt;=N87,"",(TODAY()-N87)/(W87-N87))))</f>
        <v/>
      </c>
      <c r="Z87" s="37" t="str">
        <f aca="false">IF(A87="","",IF(OR(Y87="",OR(D87="Project Completion",D87="Defects Liability",D87="Complete",D87="Cancelled")),"Green",IF(Y87&gt;1.15,"Red",IF(Y87&gt;=0.95,"Amber","Green"))))</f>
        <v/>
      </c>
      <c r="AA87" s="39" t="str">
        <f aca="false">IF(A87="","",IF(R87="","",IF(OR(R87&lt;=0,COUNTIFS('Cash Flow'!$A$2:$A$2001,A87)=0),"",T87/R87)))</f>
        <v/>
      </c>
      <c r="AB87" s="37" t="str">
        <f aca="false">IF(A87="","",IF(AA87="","Green",IF(AA87&gt;1.15,"Red",IF(AA87&gt;=0.95,"Amber","Green"))))</f>
        <v/>
      </c>
      <c r="AC87" s="37" t="str">
        <f aca="false">IF(A87="","",COUNTIFS(Risks!$A$2:$A$501,A87,Risks!$B$2:$B$501,"Risk",Risks!$M$2:$M$501,"&lt;&gt;Closed",Risks!$O$2:$O$501,"Critical"))</f>
        <v/>
      </c>
      <c r="AD87" s="37" t="str">
        <f aca="false">IF(A87="","",COUNTIFS(Risks!$A$2:$A$501,A87,Risks!$B$2:$B$501,"Risk",Risks!$M$2:$M$501,"&lt;&gt;Closed",Risks!$O$2:$O$501,"High"))</f>
        <v/>
      </c>
      <c r="AE87" s="37" t="str">
        <f aca="false">IF(A87="","",IF(AC87&gt;0,"Red",IF(AD87&gt;0,"Amber","Green")))</f>
        <v/>
      </c>
      <c r="AF87" s="37" t="str">
        <f aca="false">IF(A87="","",IF(OR(Z87="Red",AB87="Red",AE87="Red"),"Red",IF(OR(Z87="Amber",AB87="Amber",AE87="Amber"),"Amber","Green")))</f>
        <v/>
      </c>
      <c r="AG87" s="37" t="str">
        <f aca="false">IF(A87="","",COUNTIFS(Tasks!$A$2:$A$1001,A87,Tasks!$D$2:$D$1001,"&lt;&gt;Done",Tasks!$B$2:$B$1001,"&lt;&gt;"))</f>
        <v/>
      </c>
      <c r="AH87" s="37" t="str">
        <f aca="false">IF(A87="","",COUNTIFS(Actions!$A$2:$A$501,A87,Actions!$H$2:$H$501,"&lt;&gt;Done",Actions!$C$2:$C$501,"&lt;&gt;"))</f>
        <v/>
      </c>
      <c r="AI87" s="37" t="str">
        <f aca="false">IF(A87="","",COUNTIFS(RFIs!$A$2:$A$501,A87,RFIs!$G$2:$G$501,"Open"))</f>
        <v/>
      </c>
      <c r="AJ87" s="37" t="str">
        <f aca="false">IF(A87="","",COUNTIFS(Defects!$A$2:$A$501,A87,Defects!$H$2:$H$501,"Open"))</f>
        <v/>
      </c>
      <c r="AK87" s="37" t="str">
        <f aca="false">IF(A87="","","Schedule: "&amp;IF(Y87="","no dates / not tracked",TEXT(Y87,"0%")&amp;" of timeframe elapsed")&amp;" | Budget: "&amp;IF(AA87="","no approved budget or cash flow",TEXT(AA87,"0%")&amp;" of budget forecast")&amp;" | Risk: "&amp;AC87&amp;" critical, "&amp;AD87&amp;" high open")</f>
        <v/>
      </c>
    </row>
    <row r="88" customFormat="false" ht="15" hidden="false" customHeight="false" outlineLevel="0" collapsed="false">
      <c r="A88" s="32"/>
      <c r="B88" s="33"/>
      <c r="C88" s="32"/>
      <c r="D88" s="32"/>
      <c r="E88" s="32"/>
      <c r="F88" s="32"/>
      <c r="G88" s="32"/>
      <c r="H88" s="32"/>
      <c r="I88" s="32"/>
      <c r="J88" s="32"/>
      <c r="K88" s="34"/>
      <c r="L88" s="34"/>
      <c r="M88" s="34"/>
      <c r="N88" s="35"/>
      <c r="O88" s="35"/>
      <c r="P88" s="35"/>
      <c r="Q88" s="36" t="str">
        <f aca="false">IF(A88="","",SUMIFS(Variations!$F$2:$F$501,Variations!$A$2:$A$501,A88,Variations!$H$2:$H$501,"Approved"))</f>
        <v/>
      </c>
      <c r="R88" s="36" t="str">
        <f aca="false">IF(A88="","",IF(M88&lt;&gt;"",M88,IF(L88="","",L88+Q88)))</f>
        <v/>
      </c>
      <c r="S88" s="36" t="str">
        <f aca="false">IF(A88="","",SUMIFS('Cash Flow'!$D$2:$D$2001,'Cash Flow'!$A$2:$A$2001,A88,'Cash Flow'!$C$2:$C$2001,"Actual"))</f>
        <v/>
      </c>
      <c r="T88" s="36" t="str">
        <f aca="false">IF(A88="","",SUMIFS('Cash Flow'!$F$2:$F$2001,'Cash Flow'!$A$2:$A$2001,A88))</f>
        <v/>
      </c>
      <c r="U88" s="36" t="str">
        <f aca="false">IF(A88="","",IF(R88="","",R88-T88))</f>
        <v/>
      </c>
      <c r="V88" s="37" t="str">
        <f aca="false">IF(A88="","",SUMIFS('EOT Claims'!$L$2:$L$501,'EOT Claims'!$A$2:$A$501,A88))</f>
        <v/>
      </c>
      <c r="W88" s="38" t="str">
        <f aca="false">IF(A88="","",IF(O88="","",O88+V88))</f>
        <v/>
      </c>
      <c r="X88" s="37" t="str">
        <f aca="true">IF(A88="","",IF(O88="","",IF(AND(NOT(OR(D88="Project Completion",D88="Defects Liability",D88="Complete",D88="Cancelled")),O88&lt;TODAY()),"Overdue","")))</f>
        <v/>
      </c>
      <c r="Y88" s="39" t="str">
        <f aca="true">IF(A88="","",IF(OR(N88="",W88=""),"",IF(W88&lt;=N88,"",(TODAY()-N88)/(W88-N88))))</f>
        <v/>
      </c>
      <c r="Z88" s="37" t="str">
        <f aca="false">IF(A88="","",IF(OR(Y88="",OR(D88="Project Completion",D88="Defects Liability",D88="Complete",D88="Cancelled")),"Green",IF(Y88&gt;1.15,"Red",IF(Y88&gt;=0.95,"Amber","Green"))))</f>
        <v/>
      </c>
      <c r="AA88" s="39" t="str">
        <f aca="false">IF(A88="","",IF(R88="","",IF(OR(R88&lt;=0,COUNTIFS('Cash Flow'!$A$2:$A$2001,A88)=0),"",T88/R88)))</f>
        <v/>
      </c>
      <c r="AB88" s="37" t="str">
        <f aca="false">IF(A88="","",IF(AA88="","Green",IF(AA88&gt;1.15,"Red",IF(AA88&gt;=0.95,"Amber","Green"))))</f>
        <v/>
      </c>
      <c r="AC88" s="37" t="str">
        <f aca="false">IF(A88="","",COUNTIFS(Risks!$A$2:$A$501,A88,Risks!$B$2:$B$501,"Risk",Risks!$M$2:$M$501,"&lt;&gt;Closed",Risks!$O$2:$O$501,"Critical"))</f>
        <v/>
      </c>
      <c r="AD88" s="37" t="str">
        <f aca="false">IF(A88="","",COUNTIFS(Risks!$A$2:$A$501,A88,Risks!$B$2:$B$501,"Risk",Risks!$M$2:$M$501,"&lt;&gt;Closed",Risks!$O$2:$O$501,"High"))</f>
        <v/>
      </c>
      <c r="AE88" s="37" t="str">
        <f aca="false">IF(A88="","",IF(AC88&gt;0,"Red",IF(AD88&gt;0,"Amber","Green")))</f>
        <v/>
      </c>
      <c r="AF88" s="37" t="str">
        <f aca="false">IF(A88="","",IF(OR(Z88="Red",AB88="Red",AE88="Red"),"Red",IF(OR(Z88="Amber",AB88="Amber",AE88="Amber"),"Amber","Green")))</f>
        <v/>
      </c>
      <c r="AG88" s="37" t="str">
        <f aca="false">IF(A88="","",COUNTIFS(Tasks!$A$2:$A$1001,A88,Tasks!$D$2:$D$1001,"&lt;&gt;Done",Tasks!$B$2:$B$1001,"&lt;&gt;"))</f>
        <v/>
      </c>
      <c r="AH88" s="37" t="str">
        <f aca="false">IF(A88="","",COUNTIFS(Actions!$A$2:$A$501,A88,Actions!$H$2:$H$501,"&lt;&gt;Done",Actions!$C$2:$C$501,"&lt;&gt;"))</f>
        <v/>
      </c>
      <c r="AI88" s="37" t="str">
        <f aca="false">IF(A88="","",COUNTIFS(RFIs!$A$2:$A$501,A88,RFIs!$G$2:$G$501,"Open"))</f>
        <v/>
      </c>
      <c r="AJ88" s="37" t="str">
        <f aca="false">IF(A88="","",COUNTIFS(Defects!$A$2:$A$501,A88,Defects!$H$2:$H$501,"Open"))</f>
        <v/>
      </c>
      <c r="AK88" s="37" t="str">
        <f aca="false">IF(A88="","","Schedule: "&amp;IF(Y88="","no dates / not tracked",TEXT(Y88,"0%")&amp;" of timeframe elapsed")&amp;" | Budget: "&amp;IF(AA88="","no approved budget or cash flow",TEXT(AA88,"0%")&amp;" of budget forecast")&amp;" | Risk: "&amp;AC88&amp;" critical, "&amp;AD88&amp;" high open")</f>
        <v/>
      </c>
    </row>
    <row r="89" customFormat="false" ht="15" hidden="false" customHeight="false" outlineLevel="0" collapsed="false">
      <c r="A89" s="32"/>
      <c r="B89" s="33"/>
      <c r="C89" s="32"/>
      <c r="D89" s="32"/>
      <c r="E89" s="32"/>
      <c r="F89" s="32"/>
      <c r="G89" s="32"/>
      <c r="H89" s="32"/>
      <c r="I89" s="32"/>
      <c r="J89" s="32"/>
      <c r="K89" s="34"/>
      <c r="L89" s="34"/>
      <c r="M89" s="34"/>
      <c r="N89" s="35"/>
      <c r="O89" s="35"/>
      <c r="P89" s="35"/>
      <c r="Q89" s="36" t="str">
        <f aca="false">IF(A89="","",SUMIFS(Variations!$F$2:$F$501,Variations!$A$2:$A$501,A89,Variations!$H$2:$H$501,"Approved"))</f>
        <v/>
      </c>
      <c r="R89" s="36" t="str">
        <f aca="false">IF(A89="","",IF(M89&lt;&gt;"",M89,IF(L89="","",L89+Q89)))</f>
        <v/>
      </c>
      <c r="S89" s="36" t="str">
        <f aca="false">IF(A89="","",SUMIFS('Cash Flow'!$D$2:$D$2001,'Cash Flow'!$A$2:$A$2001,A89,'Cash Flow'!$C$2:$C$2001,"Actual"))</f>
        <v/>
      </c>
      <c r="T89" s="36" t="str">
        <f aca="false">IF(A89="","",SUMIFS('Cash Flow'!$F$2:$F$2001,'Cash Flow'!$A$2:$A$2001,A89))</f>
        <v/>
      </c>
      <c r="U89" s="36" t="str">
        <f aca="false">IF(A89="","",IF(R89="","",R89-T89))</f>
        <v/>
      </c>
      <c r="V89" s="37" t="str">
        <f aca="false">IF(A89="","",SUMIFS('EOT Claims'!$L$2:$L$501,'EOT Claims'!$A$2:$A$501,A89))</f>
        <v/>
      </c>
      <c r="W89" s="38" t="str">
        <f aca="false">IF(A89="","",IF(O89="","",O89+V89))</f>
        <v/>
      </c>
      <c r="X89" s="37" t="str">
        <f aca="true">IF(A89="","",IF(O89="","",IF(AND(NOT(OR(D89="Project Completion",D89="Defects Liability",D89="Complete",D89="Cancelled")),O89&lt;TODAY()),"Overdue","")))</f>
        <v/>
      </c>
      <c r="Y89" s="39" t="str">
        <f aca="true">IF(A89="","",IF(OR(N89="",W89=""),"",IF(W89&lt;=N89,"",(TODAY()-N89)/(W89-N89))))</f>
        <v/>
      </c>
      <c r="Z89" s="37" t="str">
        <f aca="false">IF(A89="","",IF(OR(Y89="",OR(D89="Project Completion",D89="Defects Liability",D89="Complete",D89="Cancelled")),"Green",IF(Y89&gt;1.15,"Red",IF(Y89&gt;=0.95,"Amber","Green"))))</f>
        <v/>
      </c>
      <c r="AA89" s="39" t="str">
        <f aca="false">IF(A89="","",IF(R89="","",IF(OR(R89&lt;=0,COUNTIFS('Cash Flow'!$A$2:$A$2001,A89)=0),"",T89/R89)))</f>
        <v/>
      </c>
      <c r="AB89" s="37" t="str">
        <f aca="false">IF(A89="","",IF(AA89="","Green",IF(AA89&gt;1.15,"Red",IF(AA89&gt;=0.95,"Amber","Green"))))</f>
        <v/>
      </c>
      <c r="AC89" s="37" t="str">
        <f aca="false">IF(A89="","",COUNTIFS(Risks!$A$2:$A$501,A89,Risks!$B$2:$B$501,"Risk",Risks!$M$2:$M$501,"&lt;&gt;Closed",Risks!$O$2:$O$501,"Critical"))</f>
        <v/>
      </c>
      <c r="AD89" s="37" t="str">
        <f aca="false">IF(A89="","",COUNTIFS(Risks!$A$2:$A$501,A89,Risks!$B$2:$B$501,"Risk",Risks!$M$2:$M$501,"&lt;&gt;Closed",Risks!$O$2:$O$501,"High"))</f>
        <v/>
      </c>
      <c r="AE89" s="37" t="str">
        <f aca="false">IF(A89="","",IF(AC89&gt;0,"Red",IF(AD89&gt;0,"Amber","Green")))</f>
        <v/>
      </c>
      <c r="AF89" s="37" t="str">
        <f aca="false">IF(A89="","",IF(OR(Z89="Red",AB89="Red",AE89="Red"),"Red",IF(OR(Z89="Amber",AB89="Amber",AE89="Amber"),"Amber","Green")))</f>
        <v/>
      </c>
      <c r="AG89" s="37" t="str">
        <f aca="false">IF(A89="","",COUNTIFS(Tasks!$A$2:$A$1001,A89,Tasks!$D$2:$D$1001,"&lt;&gt;Done",Tasks!$B$2:$B$1001,"&lt;&gt;"))</f>
        <v/>
      </c>
      <c r="AH89" s="37" t="str">
        <f aca="false">IF(A89="","",COUNTIFS(Actions!$A$2:$A$501,A89,Actions!$H$2:$H$501,"&lt;&gt;Done",Actions!$C$2:$C$501,"&lt;&gt;"))</f>
        <v/>
      </c>
      <c r="AI89" s="37" t="str">
        <f aca="false">IF(A89="","",COUNTIFS(RFIs!$A$2:$A$501,A89,RFIs!$G$2:$G$501,"Open"))</f>
        <v/>
      </c>
      <c r="AJ89" s="37" t="str">
        <f aca="false">IF(A89="","",COUNTIFS(Defects!$A$2:$A$501,A89,Defects!$H$2:$H$501,"Open"))</f>
        <v/>
      </c>
      <c r="AK89" s="37" t="str">
        <f aca="false">IF(A89="","","Schedule: "&amp;IF(Y89="","no dates / not tracked",TEXT(Y89,"0%")&amp;" of timeframe elapsed")&amp;" | Budget: "&amp;IF(AA89="","no approved budget or cash flow",TEXT(AA89,"0%")&amp;" of budget forecast")&amp;" | Risk: "&amp;AC89&amp;" critical, "&amp;AD89&amp;" high open")</f>
        <v/>
      </c>
    </row>
    <row r="90" customFormat="false" ht="15" hidden="false" customHeight="false" outlineLevel="0" collapsed="false">
      <c r="A90" s="32"/>
      <c r="B90" s="33"/>
      <c r="C90" s="32"/>
      <c r="D90" s="32"/>
      <c r="E90" s="32"/>
      <c r="F90" s="32"/>
      <c r="G90" s="32"/>
      <c r="H90" s="32"/>
      <c r="I90" s="32"/>
      <c r="J90" s="32"/>
      <c r="K90" s="34"/>
      <c r="L90" s="34"/>
      <c r="M90" s="34"/>
      <c r="N90" s="35"/>
      <c r="O90" s="35"/>
      <c r="P90" s="35"/>
      <c r="Q90" s="36" t="str">
        <f aca="false">IF(A90="","",SUMIFS(Variations!$F$2:$F$501,Variations!$A$2:$A$501,A90,Variations!$H$2:$H$501,"Approved"))</f>
        <v/>
      </c>
      <c r="R90" s="36" t="str">
        <f aca="false">IF(A90="","",IF(M90&lt;&gt;"",M90,IF(L90="","",L90+Q90)))</f>
        <v/>
      </c>
      <c r="S90" s="36" t="str">
        <f aca="false">IF(A90="","",SUMIFS('Cash Flow'!$D$2:$D$2001,'Cash Flow'!$A$2:$A$2001,A90,'Cash Flow'!$C$2:$C$2001,"Actual"))</f>
        <v/>
      </c>
      <c r="T90" s="36" t="str">
        <f aca="false">IF(A90="","",SUMIFS('Cash Flow'!$F$2:$F$2001,'Cash Flow'!$A$2:$A$2001,A90))</f>
        <v/>
      </c>
      <c r="U90" s="36" t="str">
        <f aca="false">IF(A90="","",IF(R90="","",R90-T90))</f>
        <v/>
      </c>
      <c r="V90" s="37" t="str">
        <f aca="false">IF(A90="","",SUMIFS('EOT Claims'!$L$2:$L$501,'EOT Claims'!$A$2:$A$501,A90))</f>
        <v/>
      </c>
      <c r="W90" s="38" t="str">
        <f aca="false">IF(A90="","",IF(O90="","",O90+V90))</f>
        <v/>
      </c>
      <c r="X90" s="37" t="str">
        <f aca="true">IF(A90="","",IF(O90="","",IF(AND(NOT(OR(D90="Project Completion",D90="Defects Liability",D90="Complete",D90="Cancelled")),O90&lt;TODAY()),"Overdue","")))</f>
        <v/>
      </c>
      <c r="Y90" s="39" t="str">
        <f aca="true">IF(A90="","",IF(OR(N90="",W90=""),"",IF(W90&lt;=N90,"",(TODAY()-N90)/(W90-N90))))</f>
        <v/>
      </c>
      <c r="Z90" s="37" t="str">
        <f aca="false">IF(A90="","",IF(OR(Y90="",OR(D90="Project Completion",D90="Defects Liability",D90="Complete",D90="Cancelled")),"Green",IF(Y90&gt;1.15,"Red",IF(Y90&gt;=0.95,"Amber","Green"))))</f>
        <v/>
      </c>
      <c r="AA90" s="39" t="str">
        <f aca="false">IF(A90="","",IF(R90="","",IF(OR(R90&lt;=0,COUNTIFS('Cash Flow'!$A$2:$A$2001,A90)=0),"",T90/R90)))</f>
        <v/>
      </c>
      <c r="AB90" s="37" t="str">
        <f aca="false">IF(A90="","",IF(AA90="","Green",IF(AA90&gt;1.15,"Red",IF(AA90&gt;=0.95,"Amber","Green"))))</f>
        <v/>
      </c>
      <c r="AC90" s="37" t="str">
        <f aca="false">IF(A90="","",COUNTIFS(Risks!$A$2:$A$501,A90,Risks!$B$2:$B$501,"Risk",Risks!$M$2:$M$501,"&lt;&gt;Closed",Risks!$O$2:$O$501,"Critical"))</f>
        <v/>
      </c>
      <c r="AD90" s="37" t="str">
        <f aca="false">IF(A90="","",COUNTIFS(Risks!$A$2:$A$501,A90,Risks!$B$2:$B$501,"Risk",Risks!$M$2:$M$501,"&lt;&gt;Closed",Risks!$O$2:$O$501,"High"))</f>
        <v/>
      </c>
      <c r="AE90" s="37" t="str">
        <f aca="false">IF(A90="","",IF(AC90&gt;0,"Red",IF(AD90&gt;0,"Amber","Green")))</f>
        <v/>
      </c>
      <c r="AF90" s="37" t="str">
        <f aca="false">IF(A90="","",IF(OR(Z90="Red",AB90="Red",AE90="Red"),"Red",IF(OR(Z90="Amber",AB90="Amber",AE90="Amber"),"Amber","Green")))</f>
        <v/>
      </c>
      <c r="AG90" s="37" t="str">
        <f aca="false">IF(A90="","",COUNTIFS(Tasks!$A$2:$A$1001,A90,Tasks!$D$2:$D$1001,"&lt;&gt;Done",Tasks!$B$2:$B$1001,"&lt;&gt;"))</f>
        <v/>
      </c>
      <c r="AH90" s="37" t="str">
        <f aca="false">IF(A90="","",COUNTIFS(Actions!$A$2:$A$501,A90,Actions!$H$2:$H$501,"&lt;&gt;Done",Actions!$C$2:$C$501,"&lt;&gt;"))</f>
        <v/>
      </c>
      <c r="AI90" s="37" t="str">
        <f aca="false">IF(A90="","",COUNTIFS(RFIs!$A$2:$A$501,A90,RFIs!$G$2:$G$501,"Open"))</f>
        <v/>
      </c>
      <c r="AJ90" s="37" t="str">
        <f aca="false">IF(A90="","",COUNTIFS(Defects!$A$2:$A$501,A90,Defects!$H$2:$H$501,"Open"))</f>
        <v/>
      </c>
      <c r="AK90" s="37" t="str">
        <f aca="false">IF(A90="","","Schedule: "&amp;IF(Y90="","no dates / not tracked",TEXT(Y90,"0%")&amp;" of timeframe elapsed")&amp;" | Budget: "&amp;IF(AA90="","no approved budget or cash flow",TEXT(AA90,"0%")&amp;" of budget forecast")&amp;" | Risk: "&amp;AC90&amp;" critical, "&amp;AD90&amp;" high open")</f>
        <v/>
      </c>
    </row>
    <row r="91" customFormat="false" ht="15" hidden="false" customHeight="false" outlineLevel="0" collapsed="false">
      <c r="A91" s="32"/>
      <c r="B91" s="33"/>
      <c r="C91" s="32"/>
      <c r="D91" s="32"/>
      <c r="E91" s="32"/>
      <c r="F91" s="32"/>
      <c r="G91" s="32"/>
      <c r="H91" s="32"/>
      <c r="I91" s="32"/>
      <c r="J91" s="32"/>
      <c r="K91" s="34"/>
      <c r="L91" s="34"/>
      <c r="M91" s="34"/>
      <c r="N91" s="35"/>
      <c r="O91" s="35"/>
      <c r="P91" s="35"/>
      <c r="Q91" s="36" t="str">
        <f aca="false">IF(A91="","",SUMIFS(Variations!$F$2:$F$501,Variations!$A$2:$A$501,A91,Variations!$H$2:$H$501,"Approved"))</f>
        <v/>
      </c>
      <c r="R91" s="36" t="str">
        <f aca="false">IF(A91="","",IF(M91&lt;&gt;"",M91,IF(L91="","",L91+Q91)))</f>
        <v/>
      </c>
      <c r="S91" s="36" t="str">
        <f aca="false">IF(A91="","",SUMIFS('Cash Flow'!$D$2:$D$2001,'Cash Flow'!$A$2:$A$2001,A91,'Cash Flow'!$C$2:$C$2001,"Actual"))</f>
        <v/>
      </c>
      <c r="T91" s="36" t="str">
        <f aca="false">IF(A91="","",SUMIFS('Cash Flow'!$F$2:$F$2001,'Cash Flow'!$A$2:$A$2001,A91))</f>
        <v/>
      </c>
      <c r="U91" s="36" t="str">
        <f aca="false">IF(A91="","",IF(R91="","",R91-T91))</f>
        <v/>
      </c>
      <c r="V91" s="37" t="str">
        <f aca="false">IF(A91="","",SUMIFS('EOT Claims'!$L$2:$L$501,'EOT Claims'!$A$2:$A$501,A91))</f>
        <v/>
      </c>
      <c r="W91" s="38" t="str">
        <f aca="false">IF(A91="","",IF(O91="","",O91+V91))</f>
        <v/>
      </c>
      <c r="X91" s="37" t="str">
        <f aca="true">IF(A91="","",IF(O91="","",IF(AND(NOT(OR(D91="Project Completion",D91="Defects Liability",D91="Complete",D91="Cancelled")),O91&lt;TODAY()),"Overdue","")))</f>
        <v/>
      </c>
      <c r="Y91" s="39" t="str">
        <f aca="true">IF(A91="","",IF(OR(N91="",W91=""),"",IF(W91&lt;=N91,"",(TODAY()-N91)/(W91-N91))))</f>
        <v/>
      </c>
      <c r="Z91" s="37" t="str">
        <f aca="false">IF(A91="","",IF(OR(Y91="",OR(D91="Project Completion",D91="Defects Liability",D91="Complete",D91="Cancelled")),"Green",IF(Y91&gt;1.15,"Red",IF(Y91&gt;=0.95,"Amber","Green"))))</f>
        <v/>
      </c>
      <c r="AA91" s="39" t="str">
        <f aca="false">IF(A91="","",IF(R91="","",IF(OR(R91&lt;=0,COUNTIFS('Cash Flow'!$A$2:$A$2001,A91)=0),"",T91/R91)))</f>
        <v/>
      </c>
      <c r="AB91" s="37" t="str">
        <f aca="false">IF(A91="","",IF(AA91="","Green",IF(AA91&gt;1.15,"Red",IF(AA91&gt;=0.95,"Amber","Green"))))</f>
        <v/>
      </c>
      <c r="AC91" s="37" t="str">
        <f aca="false">IF(A91="","",COUNTIFS(Risks!$A$2:$A$501,A91,Risks!$B$2:$B$501,"Risk",Risks!$M$2:$M$501,"&lt;&gt;Closed",Risks!$O$2:$O$501,"Critical"))</f>
        <v/>
      </c>
      <c r="AD91" s="37" t="str">
        <f aca="false">IF(A91="","",COUNTIFS(Risks!$A$2:$A$501,A91,Risks!$B$2:$B$501,"Risk",Risks!$M$2:$M$501,"&lt;&gt;Closed",Risks!$O$2:$O$501,"High"))</f>
        <v/>
      </c>
      <c r="AE91" s="37" t="str">
        <f aca="false">IF(A91="","",IF(AC91&gt;0,"Red",IF(AD91&gt;0,"Amber","Green")))</f>
        <v/>
      </c>
      <c r="AF91" s="37" t="str">
        <f aca="false">IF(A91="","",IF(OR(Z91="Red",AB91="Red",AE91="Red"),"Red",IF(OR(Z91="Amber",AB91="Amber",AE91="Amber"),"Amber","Green")))</f>
        <v/>
      </c>
      <c r="AG91" s="37" t="str">
        <f aca="false">IF(A91="","",COUNTIFS(Tasks!$A$2:$A$1001,A91,Tasks!$D$2:$D$1001,"&lt;&gt;Done",Tasks!$B$2:$B$1001,"&lt;&gt;"))</f>
        <v/>
      </c>
      <c r="AH91" s="37" t="str">
        <f aca="false">IF(A91="","",COUNTIFS(Actions!$A$2:$A$501,A91,Actions!$H$2:$H$501,"&lt;&gt;Done",Actions!$C$2:$C$501,"&lt;&gt;"))</f>
        <v/>
      </c>
      <c r="AI91" s="37" t="str">
        <f aca="false">IF(A91="","",COUNTIFS(RFIs!$A$2:$A$501,A91,RFIs!$G$2:$G$501,"Open"))</f>
        <v/>
      </c>
      <c r="AJ91" s="37" t="str">
        <f aca="false">IF(A91="","",COUNTIFS(Defects!$A$2:$A$501,A91,Defects!$H$2:$H$501,"Open"))</f>
        <v/>
      </c>
      <c r="AK91" s="37" t="str">
        <f aca="false">IF(A91="","","Schedule: "&amp;IF(Y91="","no dates / not tracked",TEXT(Y91,"0%")&amp;" of timeframe elapsed")&amp;" | Budget: "&amp;IF(AA91="","no approved budget or cash flow",TEXT(AA91,"0%")&amp;" of budget forecast")&amp;" | Risk: "&amp;AC91&amp;" critical, "&amp;AD91&amp;" high open")</f>
        <v/>
      </c>
    </row>
    <row r="92" customFormat="false" ht="15" hidden="false" customHeight="false" outlineLevel="0" collapsed="false">
      <c r="A92" s="32"/>
      <c r="B92" s="33"/>
      <c r="C92" s="32"/>
      <c r="D92" s="32"/>
      <c r="E92" s="32"/>
      <c r="F92" s="32"/>
      <c r="G92" s="32"/>
      <c r="H92" s="32"/>
      <c r="I92" s="32"/>
      <c r="J92" s="32"/>
      <c r="K92" s="34"/>
      <c r="L92" s="34"/>
      <c r="M92" s="34"/>
      <c r="N92" s="35"/>
      <c r="O92" s="35"/>
      <c r="P92" s="35"/>
      <c r="Q92" s="36" t="str">
        <f aca="false">IF(A92="","",SUMIFS(Variations!$F$2:$F$501,Variations!$A$2:$A$501,A92,Variations!$H$2:$H$501,"Approved"))</f>
        <v/>
      </c>
      <c r="R92" s="36" t="str">
        <f aca="false">IF(A92="","",IF(M92&lt;&gt;"",M92,IF(L92="","",L92+Q92)))</f>
        <v/>
      </c>
      <c r="S92" s="36" t="str">
        <f aca="false">IF(A92="","",SUMIFS('Cash Flow'!$D$2:$D$2001,'Cash Flow'!$A$2:$A$2001,A92,'Cash Flow'!$C$2:$C$2001,"Actual"))</f>
        <v/>
      </c>
      <c r="T92" s="36" t="str">
        <f aca="false">IF(A92="","",SUMIFS('Cash Flow'!$F$2:$F$2001,'Cash Flow'!$A$2:$A$2001,A92))</f>
        <v/>
      </c>
      <c r="U92" s="36" t="str">
        <f aca="false">IF(A92="","",IF(R92="","",R92-T92))</f>
        <v/>
      </c>
      <c r="V92" s="37" t="str">
        <f aca="false">IF(A92="","",SUMIFS('EOT Claims'!$L$2:$L$501,'EOT Claims'!$A$2:$A$501,A92))</f>
        <v/>
      </c>
      <c r="W92" s="38" t="str">
        <f aca="false">IF(A92="","",IF(O92="","",O92+V92))</f>
        <v/>
      </c>
      <c r="X92" s="37" t="str">
        <f aca="true">IF(A92="","",IF(O92="","",IF(AND(NOT(OR(D92="Project Completion",D92="Defects Liability",D92="Complete",D92="Cancelled")),O92&lt;TODAY()),"Overdue","")))</f>
        <v/>
      </c>
      <c r="Y92" s="39" t="str">
        <f aca="true">IF(A92="","",IF(OR(N92="",W92=""),"",IF(W92&lt;=N92,"",(TODAY()-N92)/(W92-N92))))</f>
        <v/>
      </c>
      <c r="Z92" s="37" t="str">
        <f aca="false">IF(A92="","",IF(OR(Y92="",OR(D92="Project Completion",D92="Defects Liability",D92="Complete",D92="Cancelled")),"Green",IF(Y92&gt;1.15,"Red",IF(Y92&gt;=0.95,"Amber","Green"))))</f>
        <v/>
      </c>
      <c r="AA92" s="39" t="str">
        <f aca="false">IF(A92="","",IF(R92="","",IF(OR(R92&lt;=0,COUNTIFS('Cash Flow'!$A$2:$A$2001,A92)=0),"",T92/R92)))</f>
        <v/>
      </c>
      <c r="AB92" s="37" t="str">
        <f aca="false">IF(A92="","",IF(AA92="","Green",IF(AA92&gt;1.15,"Red",IF(AA92&gt;=0.95,"Amber","Green"))))</f>
        <v/>
      </c>
      <c r="AC92" s="37" t="str">
        <f aca="false">IF(A92="","",COUNTIFS(Risks!$A$2:$A$501,A92,Risks!$B$2:$B$501,"Risk",Risks!$M$2:$M$501,"&lt;&gt;Closed",Risks!$O$2:$O$501,"Critical"))</f>
        <v/>
      </c>
      <c r="AD92" s="37" t="str">
        <f aca="false">IF(A92="","",COUNTIFS(Risks!$A$2:$A$501,A92,Risks!$B$2:$B$501,"Risk",Risks!$M$2:$M$501,"&lt;&gt;Closed",Risks!$O$2:$O$501,"High"))</f>
        <v/>
      </c>
      <c r="AE92" s="37" t="str">
        <f aca="false">IF(A92="","",IF(AC92&gt;0,"Red",IF(AD92&gt;0,"Amber","Green")))</f>
        <v/>
      </c>
      <c r="AF92" s="37" t="str">
        <f aca="false">IF(A92="","",IF(OR(Z92="Red",AB92="Red",AE92="Red"),"Red",IF(OR(Z92="Amber",AB92="Amber",AE92="Amber"),"Amber","Green")))</f>
        <v/>
      </c>
      <c r="AG92" s="37" t="str">
        <f aca="false">IF(A92="","",COUNTIFS(Tasks!$A$2:$A$1001,A92,Tasks!$D$2:$D$1001,"&lt;&gt;Done",Tasks!$B$2:$B$1001,"&lt;&gt;"))</f>
        <v/>
      </c>
      <c r="AH92" s="37" t="str">
        <f aca="false">IF(A92="","",COUNTIFS(Actions!$A$2:$A$501,A92,Actions!$H$2:$H$501,"&lt;&gt;Done",Actions!$C$2:$C$501,"&lt;&gt;"))</f>
        <v/>
      </c>
      <c r="AI92" s="37" t="str">
        <f aca="false">IF(A92="","",COUNTIFS(RFIs!$A$2:$A$501,A92,RFIs!$G$2:$G$501,"Open"))</f>
        <v/>
      </c>
      <c r="AJ92" s="37" t="str">
        <f aca="false">IF(A92="","",COUNTIFS(Defects!$A$2:$A$501,A92,Defects!$H$2:$H$501,"Open"))</f>
        <v/>
      </c>
      <c r="AK92" s="37" t="str">
        <f aca="false">IF(A92="","","Schedule: "&amp;IF(Y92="","no dates / not tracked",TEXT(Y92,"0%")&amp;" of timeframe elapsed")&amp;" | Budget: "&amp;IF(AA92="","no approved budget or cash flow",TEXT(AA92,"0%")&amp;" of budget forecast")&amp;" | Risk: "&amp;AC92&amp;" critical, "&amp;AD92&amp;" high open")</f>
        <v/>
      </c>
    </row>
    <row r="93" customFormat="false" ht="15" hidden="false" customHeight="false" outlineLevel="0" collapsed="false">
      <c r="A93" s="32"/>
      <c r="B93" s="33"/>
      <c r="C93" s="32"/>
      <c r="D93" s="32"/>
      <c r="E93" s="32"/>
      <c r="F93" s="32"/>
      <c r="G93" s="32"/>
      <c r="H93" s="32"/>
      <c r="I93" s="32"/>
      <c r="J93" s="32"/>
      <c r="K93" s="34"/>
      <c r="L93" s="34"/>
      <c r="M93" s="34"/>
      <c r="N93" s="35"/>
      <c r="O93" s="35"/>
      <c r="P93" s="35"/>
      <c r="Q93" s="36" t="str">
        <f aca="false">IF(A93="","",SUMIFS(Variations!$F$2:$F$501,Variations!$A$2:$A$501,A93,Variations!$H$2:$H$501,"Approved"))</f>
        <v/>
      </c>
      <c r="R93" s="36" t="str">
        <f aca="false">IF(A93="","",IF(M93&lt;&gt;"",M93,IF(L93="","",L93+Q93)))</f>
        <v/>
      </c>
      <c r="S93" s="36" t="str">
        <f aca="false">IF(A93="","",SUMIFS('Cash Flow'!$D$2:$D$2001,'Cash Flow'!$A$2:$A$2001,A93,'Cash Flow'!$C$2:$C$2001,"Actual"))</f>
        <v/>
      </c>
      <c r="T93" s="36" t="str">
        <f aca="false">IF(A93="","",SUMIFS('Cash Flow'!$F$2:$F$2001,'Cash Flow'!$A$2:$A$2001,A93))</f>
        <v/>
      </c>
      <c r="U93" s="36" t="str">
        <f aca="false">IF(A93="","",IF(R93="","",R93-T93))</f>
        <v/>
      </c>
      <c r="V93" s="37" t="str">
        <f aca="false">IF(A93="","",SUMIFS('EOT Claims'!$L$2:$L$501,'EOT Claims'!$A$2:$A$501,A93))</f>
        <v/>
      </c>
      <c r="W93" s="38" t="str">
        <f aca="false">IF(A93="","",IF(O93="","",O93+V93))</f>
        <v/>
      </c>
      <c r="X93" s="37" t="str">
        <f aca="true">IF(A93="","",IF(O93="","",IF(AND(NOT(OR(D93="Project Completion",D93="Defects Liability",D93="Complete",D93="Cancelled")),O93&lt;TODAY()),"Overdue","")))</f>
        <v/>
      </c>
      <c r="Y93" s="39" t="str">
        <f aca="true">IF(A93="","",IF(OR(N93="",W93=""),"",IF(W93&lt;=N93,"",(TODAY()-N93)/(W93-N93))))</f>
        <v/>
      </c>
      <c r="Z93" s="37" t="str">
        <f aca="false">IF(A93="","",IF(OR(Y93="",OR(D93="Project Completion",D93="Defects Liability",D93="Complete",D93="Cancelled")),"Green",IF(Y93&gt;1.15,"Red",IF(Y93&gt;=0.95,"Amber","Green"))))</f>
        <v/>
      </c>
      <c r="AA93" s="39" t="str">
        <f aca="false">IF(A93="","",IF(R93="","",IF(OR(R93&lt;=0,COUNTIFS('Cash Flow'!$A$2:$A$2001,A93)=0),"",T93/R93)))</f>
        <v/>
      </c>
      <c r="AB93" s="37" t="str">
        <f aca="false">IF(A93="","",IF(AA93="","Green",IF(AA93&gt;1.15,"Red",IF(AA93&gt;=0.95,"Amber","Green"))))</f>
        <v/>
      </c>
      <c r="AC93" s="37" t="str">
        <f aca="false">IF(A93="","",COUNTIFS(Risks!$A$2:$A$501,A93,Risks!$B$2:$B$501,"Risk",Risks!$M$2:$M$501,"&lt;&gt;Closed",Risks!$O$2:$O$501,"Critical"))</f>
        <v/>
      </c>
      <c r="AD93" s="37" t="str">
        <f aca="false">IF(A93="","",COUNTIFS(Risks!$A$2:$A$501,A93,Risks!$B$2:$B$501,"Risk",Risks!$M$2:$M$501,"&lt;&gt;Closed",Risks!$O$2:$O$501,"High"))</f>
        <v/>
      </c>
      <c r="AE93" s="37" t="str">
        <f aca="false">IF(A93="","",IF(AC93&gt;0,"Red",IF(AD93&gt;0,"Amber","Green")))</f>
        <v/>
      </c>
      <c r="AF93" s="37" t="str">
        <f aca="false">IF(A93="","",IF(OR(Z93="Red",AB93="Red",AE93="Red"),"Red",IF(OR(Z93="Amber",AB93="Amber",AE93="Amber"),"Amber","Green")))</f>
        <v/>
      </c>
      <c r="AG93" s="37" t="str">
        <f aca="false">IF(A93="","",COUNTIFS(Tasks!$A$2:$A$1001,A93,Tasks!$D$2:$D$1001,"&lt;&gt;Done",Tasks!$B$2:$B$1001,"&lt;&gt;"))</f>
        <v/>
      </c>
      <c r="AH93" s="37" t="str">
        <f aca="false">IF(A93="","",COUNTIFS(Actions!$A$2:$A$501,A93,Actions!$H$2:$H$501,"&lt;&gt;Done",Actions!$C$2:$C$501,"&lt;&gt;"))</f>
        <v/>
      </c>
      <c r="AI93" s="37" t="str">
        <f aca="false">IF(A93="","",COUNTIFS(RFIs!$A$2:$A$501,A93,RFIs!$G$2:$G$501,"Open"))</f>
        <v/>
      </c>
      <c r="AJ93" s="37" t="str">
        <f aca="false">IF(A93="","",COUNTIFS(Defects!$A$2:$A$501,A93,Defects!$H$2:$H$501,"Open"))</f>
        <v/>
      </c>
      <c r="AK93" s="37" t="str">
        <f aca="false">IF(A93="","","Schedule: "&amp;IF(Y93="","no dates / not tracked",TEXT(Y93,"0%")&amp;" of timeframe elapsed")&amp;" | Budget: "&amp;IF(AA93="","no approved budget or cash flow",TEXT(AA93,"0%")&amp;" of budget forecast")&amp;" | Risk: "&amp;AC93&amp;" critical, "&amp;AD93&amp;" high open")</f>
        <v/>
      </c>
    </row>
    <row r="94" customFormat="false" ht="15" hidden="false" customHeight="false" outlineLevel="0" collapsed="false">
      <c r="A94" s="32"/>
      <c r="B94" s="33"/>
      <c r="C94" s="32"/>
      <c r="D94" s="32"/>
      <c r="E94" s="32"/>
      <c r="F94" s="32"/>
      <c r="G94" s="32"/>
      <c r="H94" s="32"/>
      <c r="I94" s="32"/>
      <c r="J94" s="32"/>
      <c r="K94" s="34"/>
      <c r="L94" s="34"/>
      <c r="M94" s="34"/>
      <c r="N94" s="35"/>
      <c r="O94" s="35"/>
      <c r="P94" s="35"/>
      <c r="Q94" s="36" t="str">
        <f aca="false">IF(A94="","",SUMIFS(Variations!$F$2:$F$501,Variations!$A$2:$A$501,A94,Variations!$H$2:$H$501,"Approved"))</f>
        <v/>
      </c>
      <c r="R94" s="36" t="str">
        <f aca="false">IF(A94="","",IF(M94&lt;&gt;"",M94,IF(L94="","",L94+Q94)))</f>
        <v/>
      </c>
      <c r="S94" s="36" t="str">
        <f aca="false">IF(A94="","",SUMIFS('Cash Flow'!$D$2:$D$2001,'Cash Flow'!$A$2:$A$2001,A94,'Cash Flow'!$C$2:$C$2001,"Actual"))</f>
        <v/>
      </c>
      <c r="T94" s="36" t="str">
        <f aca="false">IF(A94="","",SUMIFS('Cash Flow'!$F$2:$F$2001,'Cash Flow'!$A$2:$A$2001,A94))</f>
        <v/>
      </c>
      <c r="U94" s="36" t="str">
        <f aca="false">IF(A94="","",IF(R94="","",R94-T94))</f>
        <v/>
      </c>
      <c r="V94" s="37" t="str">
        <f aca="false">IF(A94="","",SUMIFS('EOT Claims'!$L$2:$L$501,'EOT Claims'!$A$2:$A$501,A94))</f>
        <v/>
      </c>
      <c r="W94" s="38" t="str">
        <f aca="false">IF(A94="","",IF(O94="","",O94+V94))</f>
        <v/>
      </c>
      <c r="X94" s="37" t="str">
        <f aca="true">IF(A94="","",IF(O94="","",IF(AND(NOT(OR(D94="Project Completion",D94="Defects Liability",D94="Complete",D94="Cancelled")),O94&lt;TODAY()),"Overdue","")))</f>
        <v/>
      </c>
      <c r="Y94" s="39" t="str">
        <f aca="true">IF(A94="","",IF(OR(N94="",W94=""),"",IF(W94&lt;=N94,"",(TODAY()-N94)/(W94-N94))))</f>
        <v/>
      </c>
      <c r="Z94" s="37" t="str">
        <f aca="false">IF(A94="","",IF(OR(Y94="",OR(D94="Project Completion",D94="Defects Liability",D94="Complete",D94="Cancelled")),"Green",IF(Y94&gt;1.15,"Red",IF(Y94&gt;=0.95,"Amber","Green"))))</f>
        <v/>
      </c>
      <c r="AA94" s="39" t="str">
        <f aca="false">IF(A94="","",IF(R94="","",IF(OR(R94&lt;=0,COUNTIFS('Cash Flow'!$A$2:$A$2001,A94)=0),"",T94/R94)))</f>
        <v/>
      </c>
      <c r="AB94" s="37" t="str">
        <f aca="false">IF(A94="","",IF(AA94="","Green",IF(AA94&gt;1.15,"Red",IF(AA94&gt;=0.95,"Amber","Green"))))</f>
        <v/>
      </c>
      <c r="AC94" s="37" t="str">
        <f aca="false">IF(A94="","",COUNTIFS(Risks!$A$2:$A$501,A94,Risks!$B$2:$B$501,"Risk",Risks!$M$2:$M$501,"&lt;&gt;Closed",Risks!$O$2:$O$501,"Critical"))</f>
        <v/>
      </c>
      <c r="AD94" s="37" t="str">
        <f aca="false">IF(A94="","",COUNTIFS(Risks!$A$2:$A$501,A94,Risks!$B$2:$B$501,"Risk",Risks!$M$2:$M$501,"&lt;&gt;Closed",Risks!$O$2:$O$501,"High"))</f>
        <v/>
      </c>
      <c r="AE94" s="37" t="str">
        <f aca="false">IF(A94="","",IF(AC94&gt;0,"Red",IF(AD94&gt;0,"Amber","Green")))</f>
        <v/>
      </c>
      <c r="AF94" s="37" t="str">
        <f aca="false">IF(A94="","",IF(OR(Z94="Red",AB94="Red",AE94="Red"),"Red",IF(OR(Z94="Amber",AB94="Amber",AE94="Amber"),"Amber","Green")))</f>
        <v/>
      </c>
      <c r="AG94" s="37" t="str">
        <f aca="false">IF(A94="","",COUNTIFS(Tasks!$A$2:$A$1001,A94,Tasks!$D$2:$D$1001,"&lt;&gt;Done",Tasks!$B$2:$B$1001,"&lt;&gt;"))</f>
        <v/>
      </c>
      <c r="AH94" s="37" t="str">
        <f aca="false">IF(A94="","",COUNTIFS(Actions!$A$2:$A$501,A94,Actions!$H$2:$H$501,"&lt;&gt;Done",Actions!$C$2:$C$501,"&lt;&gt;"))</f>
        <v/>
      </c>
      <c r="AI94" s="37" t="str">
        <f aca="false">IF(A94="","",COUNTIFS(RFIs!$A$2:$A$501,A94,RFIs!$G$2:$G$501,"Open"))</f>
        <v/>
      </c>
      <c r="AJ94" s="37" t="str">
        <f aca="false">IF(A94="","",COUNTIFS(Defects!$A$2:$A$501,A94,Defects!$H$2:$H$501,"Open"))</f>
        <v/>
      </c>
      <c r="AK94" s="37" t="str">
        <f aca="false">IF(A94="","","Schedule: "&amp;IF(Y94="","no dates / not tracked",TEXT(Y94,"0%")&amp;" of timeframe elapsed")&amp;" | Budget: "&amp;IF(AA94="","no approved budget or cash flow",TEXT(AA94,"0%")&amp;" of budget forecast")&amp;" | Risk: "&amp;AC94&amp;" critical, "&amp;AD94&amp;" high open")</f>
        <v/>
      </c>
    </row>
    <row r="95" customFormat="false" ht="15" hidden="false" customHeight="false" outlineLevel="0" collapsed="false">
      <c r="A95" s="32"/>
      <c r="B95" s="33"/>
      <c r="C95" s="32"/>
      <c r="D95" s="32"/>
      <c r="E95" s="32"/>
      <c r="F95" s="32"/>
      <c r="G95" s="32"/>
      <c r="H95" s="32"/>
      <c r="I95" s="32"/>
      <c r="J95" s="32"/>
      <c r="K95" s="34"/>
      <c r="L95" s="34"/>
      <c r="M95" s="34"/>
      <c r="N95" s="35"/>
      <c r="O95" s="35"/>
      <c r="P95" s="35"/>
      <c r="Q95" s="36" t="str">
        <f aca="false">IF(A95="","",SUMIFS(Variations!$F$2:$F$501,Variations!$A$2:$A$501,A95,Variations!$H$2:$H$501,"Approved"))</f>
        <v/>
      </c>
      <c r="R95" s="36" t="str">
        <f aca="false">IF(A95="","",IF(M95&lt;&gt;"",M95,IF(L95="","",L95+Q95)))</f>
        <v/>
      </c>
      <c r="S95" s="36" t="str">
        <f aca="false">IF(A95="","",SUMIFS('Cash Flow'!$D$2:$D$2001,'Cash Flow'!$A$2:$A$2001,A95,'Cash Flow'!$C$2:$C$2001,"Actual"))</f>
        <v/>
      </c>
      <c r="T95" s="36" t="str">
        <f aca="false">IF(A95="","",SUMIFS('Cash Flow'!$F$2:$F$2001,'Cash Flow'!$A$2:$A$2001,A95))</f>
        <v/>
      </c>
      <c r="U95" s="36" t="str">
        <f aca="false">IF(A95="","",IF(R95="","",R95-T95))</f>
        <v/>
      </c>
      <c r="V95" s="37" t="str">
        <f aca="false">IF(A95="","",SUMIFS('EOT Claims'!$L$2:$L$501,'EOT Claims'!$A$2:$A$501,A95))</f>
        <v/>
      </c>
      <c r="W95" s="38" t="str">
        <f aca="false">IF(A95="","",IF(O95="","",O95+V95))</f>
        <v/>
      </c>
      <c r="X95" s="37" t="str">
        <f aca="true">IF(A95="","",IF(O95="","",IF(AND(NOT(OR(D95="Project Completion",D95="Defects Liability",D95="Complete",D95="Cancelled")),O95&lt;TODAY()),"Overdue","")))</f>
        <v/>
      </c>
      <c r="Y95" s="39" t="str">
        <f aca="true">IF(A95="","",IF(OR(N95="",W95=""),"",IF(W95&lt;=N95,"",(TODAY()-N95)/(W95-N95))))</f>
        <v/>
      </c>
      <c r="Z95" s="37" t="str">
        <f aca="false">IF(A95="","",IF(OR(Y95="",OR(D95="Project Completion",D95="Defects Liability",D95="Complete",D95="Cancelled")),"Green",IF(Y95&gt;1.15,"Red",IF(Y95&gt;=0.95,"Amber","Green"))))</f>
        <v/>
      </c>
      <c r="AA95" s="39" t="str">
        <f aca="false">IF(A95="","",IF(R95="","",IF(OR(R95&lt;=0,COUNTIFS('Cash Flow'!$A$2:$A$2001,A95)=0),"",T95/R95)))</f>
        <v/>
      </c>
      <c r="AB95" s="37" t="str">
        <f aca="false">IF(A95="","",IF(AA95="","Green",IF(AA95&gt;1.15,"Red",IF(AA95&gt;=0.95,"Amber","Green"))))</f>
        <v/>
      </c>
      <c r="AC95" s="37" t="str">
        <f aca="false">IF(A95="","",COUNTIFS(Risks!$A$2:$A$501,A95,Risks!$B$2:$B$501,"Risk",Risks!$M$2:$M$501,"&lt;&gt;Closed",Risks!$O$2:$O$501,"Critical"))</f>
        <v/>
      </c>
      <c r="AD95" s="37" t="str">
        <f aca="false">IF(A95="","",COUNTIFS(Risks!$A$2:$A$501,A95,Risks!$B$2:$B$501,"Risk",Risks!$M$2:$M$501,"&lt;&gt;Closed",Risks!$O$2:$O$501,"High"))</f>
        <v/>
      </c>
      <c r="AE95" s="37" t="str">
        <f aca="false">IF(A95="","",IF(AC95&gt;0,"Red",IF(AD95&gt;0,"Amber","Green")))</f>
        <v/>
      </c>
      <c r="AF95" s="37" t="str">
        <f aca="false">IF(A95="","",IF(OR(Z95="Red",AB95="Red",AE95="Red"),"Red",IF(OR(Z95="Amber",AB95="Amber",AE95="Amber"),"Amber","Green")))</f>
        <v/>
      </c>
      <c r="AG95" s="37" t="str">
        <f aca="false">IF(A95="","",COUNTIFS(Tasks!$A$2:$A$1001,A95,Tasks!$D$2:$D$1001,"&lt;&gt;Done",Tasks!$B$2:$B$1001,"&lt;&gt;"))</f>
        <v/>
      </c>
      <c r="AH95" s="37" t="str">
        <f aca="false">IF(A95="","",COUNTIFS(Actions!$A$2:$A$501,A95,Actions!$H$2:$H$501,"&lt;&gt;Done",Actions!$C$2:$C$501,"&lt;&gt;"))</f>
        <v/>
      </c>
      <c r="AI95" s="37" t="str">
        <f aca="false">IF(A95="","",COUNTIFS(RFIs!$A$2:$A$501,A95,RFIs!$G$2:$G$501,"Open"))</f>
        <v/>
      </c>
      <c r="AJ95" s="37" t="str">
        <f aca="false">IF(A95="","",COUNTIFS(Defects!$A$2:$A$501,A95,Defects!$H$2:$H$501,"Open"))</f>
        <v/>
      </c>
      <c r="AK95" s="37" t="str">
        <f aca="false">IF(A95="","","Schedule: "&amp;IF(Y95="","no dates / not tracked",TEXT(Y95,"0%")&amp;" of timeframe elapsed")&amp;" | Budget: "&amp;IF(AA95="","no approved budget or cash flow",TEXT(AA95,"0%")&amp;" of budget forecast")&amp;" | Risk: "&amp;AC95&amp;" critical, "&amp;AD95&amp;" high open")</f>
        <v/>
      </c>
    </row>
    <row r="96" customFormat="false" ht="15" hidden="false" customHeight="false" outlineLevel="0" collapsed="false">
      <c r="A96" s="32"/>
      <c r="B96" s="33"/>
      <c r="C96" s="32"/>
      <c r="D96" s="32"/>
      <c r="E96" s="32"/>
      <c r="F96" s="32"/>
      <c r="G96" s="32"/>
      <c r="H96" s="32"/>
      <c r="I96" s="32"/>
      <c r="J96" s="32"/>
      <c r="K96" s="34"/>
      <c r="L96" s="34"/>
      <c r="M96" s="34"/>
      <c r="N96" s="35"/>
      <c r="O96" s="35"/>
      <c r="P96" s="35"/>
      <c r="Q96" s="36" t="str">
        <f aca="false">IF(A96="","",SUMIFS(Variations!$F$2:$F$501,Variations!$A$2:$A$501,A96,Variations!$H$2:$H$501,"Approved"))</f>
        <v/>
      </c>
      <c r="R96" s="36" t="str">
        <f aca="false">IF(A96="","",IF(M96&lt;&gt;"",M96,IF(L96="","",L96+Q96)))</f>
        <v/>
      </c>
      <c r="S96" s="36" t="str">
        <f aca="false">IF(A96="","",SUMIFS('Cash Flow'!$D$2:$D$2001,'Cash Flow'!$A$2:$A$2001,A96,'Cash Flow'!$C$2:$C$2001,"Actual"))</f>
        <v/>
      </c>
      <c r="T96" s="36" t="str">
        <f aca="false">IF(A96="","",SUMIFS('Cash Flow'!$F$2:$F$2001,'Cash Flow'!$A$2:$A$2001,A96))</f>
        <v/>
      </c>
      <c r="U96" s="36" t="str">
        <f aca="false">IF(A96="","",IF(R96="","",R96-T96))</f>
        <v/>
      </c>
      <c r="V96" s="37" t="str">
        <f aca="false">IF(A96="","",SUMIFS('EOT Claims'!$L$2:$L$501,'EOT Claims'!$A$2:$A$501,A96))</f>
        <v/>
      </c>
      <c r="W96" s="38" t="str">
        <f aca="false">IF(A96="","",IF(O96="","",O96+V96))</f>
        <v/>
      </c>
      <c r="X96" s="37" t="str">
        <f aca="true">IF(A96="","",IF(O96="","",IF(AND(NOT(OR(D96="Project Completion",D96="Defects Liability",D96="Complete",D96="Cancelled")),O96&lt;TODAY()),"Overdue","")))</f>
        <v/>
      </c>
      <c r="Y96" s="39" t="str">
        <f aca="true">IF(A96="","",IF(OR(N96="",W96=""),"",IF(W96&lt;=N96,"",(TODAY()-N96)/(W96-N96))))</f>
        <v/>
      </c>
      <c r="Z96" s="37" t="str">
        <f aca="false">IF(A96="","",IF(OR(Y96="",OR(D96="Project Completion",D96="Defects Liability",D96="Complete",D96="Cancelled")),"Green",IF(Y96&gt;1.15,"Red",IF(Y96&gt;=0.95,"Amber","Green"))))</f>
        <v/>
      </c>
      <c r="AA96" s="39" t="str">
        <f aca="false">IF(A96="","",IF(R96="","",IF(OR(R96&lt;=0,COUNTIFS('Cash Flow'!$A$2:$A$2001,A96)=0),"",T96/R96)))</f>
        <v/>
      </c>
      <c r="AB96" s="37" t="str">
        <f aca="false">IF(A96="","",IF(AA96="","Green",IF(AA96&gt;1.15,"Red",IF(AA96&gt;=0.95,"Amber","Green"))))</f>
        <v/>
      </c>
      <c r="AC96" s="37" t="str">
        <f aca="false">IF(A96="","",COUNTIFS(Risks!$A$2:$A$501,A96,Risks!$B$2:$B$501,"Risk",Risks!$M$2:$M$501,"&lt;&gt;Closed",Risks!$O$2:$O$501,"Critical"))</f>
        <v/>
      </c>
      <c r="AD96" s="37" t="str">
        <f aca="false">IF(A96="","",COUNTIFS(Risks!$A$2:$A$501,A96,Risks!$B$2:$B$501,"Risk",Risks!$M$2:$M$501,"&lt;&gt;Closed",Risks!$O$2:$O$501,"High"))</f>
        <v/>
      </c>
      <c r="AE96" s="37" t="str">
        <f aca="false">IF(A96="","",IF(AC96&gt;0,"Red",IF(AD96&gt;0,"Amber","Green")))</f>
        <v/>
      </c>
      <c r="AF96" s="37" t="str">
        <f aca="false">IF(A96="","",IF(OR(Z96="Red",AB96="Red",AE96="Red"),"Red",IF(OR(Z96="Amber",AB96="Amber",AE96="Amber"),"Amber","Green")))</f>
        <v/>
      </c>
      <c r="AG96" s="37" t="str">
        <f aca="false">IF(A96="","",COUNTIFS(Tasks!$A$2:$A$1001,A96,Tasks!$D$2:$D$1001,"&lt;&gt;Done",Tasks!$B$2:$B$1001,"&lt;&gt;"))</f>
        <v/>
      </c>
      <c r="AH96" s="37" t="str">
        <f aca="false">IF(A96="","",COUNTIFS(Actions!$A$2:$A$501,A96,Actions!$H$2:$H$501,"&lt;&gt;Done",Actions!$C$2:$C$501,"&lt;&gt;"))</f>
        <v/>
      </c>
      <c r="AI96" s="37" t="str">
        <f aca="false">IF(A96="","",COUNTIFS(RFIs!$A$2:$A$501,A96,RFIs!$G$2:$G$501,"Open"))</f>
        <v/>
      </c>
      <c r="AJ96" s="37" t="str">
        <f aca="false">IF(A96="","",COUNTIFS(Defects!$A$2:$A$501,A96,Defects!$H$2:$H$501,"Open"))</f>
        <v/>
      </c>
      <c r="AK96" s="37" t="str">
        <f aca="false">IF(A96="","","Schedule: "&amp;IF(Y96="","no dates / not tracked",TEXT(Y96,"0%")&amp;" of timeframe elapsed")&amp;" | Budget: "&amp;IF(AA96="","no approved budget or cash flow",TEXT(AA96,"0%")&amp;" of budget forecast")&amp;" | Risk: "&amp;AC96&amp;" critical, "&amp;AD96&amp;" high open")</f>
        <v/>
      </c>
    </row>
    <row r="97" customFormat="false" ht="15" hidden="false" customHeight="false" outlineLevel="0" collapsed="false">
      <c r="A97" s="32"/>
      <c r="B97" s="33"/>
      <c r="C97" s="32"/>
      <c r="D97" s="32"/>
      <c r="E97" s="32"/>
      <c r="F97" s="32"/>
      <c r="G97" s="32"/>
      <c r="H97" s="32"/>
      <c r="I97" s="32"/>
      <c r="J97" s="32"/>
      <c r="K97" s="34"/>
      <c r="L97" s="34"/>
      <c r="M97" s="34"/>
      <c r="N97" s="35"/>
      <c r="O97" s="35"/>
      <c r="P97" s="35"/>
      <c r="Q97" s="36" t="str">
        <f aca="false">IF(A97="","",SUMIFS(Variations!$F$2:$F$501,Variations!$A$2:$A$501,A97,Variations!$H$2:$H$501,"Approved"))</f>
        <v/>
      </c>
      <c r="R97" s="36" t="str">
        <f aca="false">IF(A97="","",IF(M97&lt;&gt;"",M97,IF(L97="","",L97+Q97)))</f>
        <v/>
      </c>
      <c r="S97" s="36" t="str">
        <f aca="false">IF(A97="","",SUMIFS('Cash Flow'!$D$2:$D$2001,'Cash Flow'!$A$2:$A$2001,A97,'Cash Flow'!$C$2:$C$2001,"Actual"))</f>
        <v/>
      </c>
      <c r="T97" s="36" t="str">
        <f aca="false">IF(A97="","",SUMIFS('Cash Flow'!$F$2:$F$2001,'Cash Flow'!$A$2:$A$2001,A97))</f>
        <v/>
      </c>
      <c r="U97" s="36" t="str">
        <f aca="false">IF(A97="","",IF(R97="","",R97-T97))</f>
        <v/>
      </c>
      <c r="V97" s="37" t="str">
        <f aca="false">IF(A97="","",SUMIFS('EOT Claims'!$L$2:$L$501,'EOT Claims'!$A$2:$A$501,A97))</f>
        <v/>
      </c>
      <c r="W97" s="38" t="str">
        <f aca="false">IF(A97="","",IF(O97="","",O97+V97))</f>
        <v/>
      </c>
      <c r="X97" s="37" t="str">
        <f aca="true">IF(A97="","",IF(O97="","",IF(AND(NOT(OR(D97="Project Completion",D97="Defects Liability",D97="Complete",D97="Cancelled")),O97&lt;TODAY()),"Overdue","")))</f>
        <v/>
      </c>
      <c r="Y97" s="39" t="str">
        <f aca="true">IF(A97="","",IF(OR(N97="",W97=""),"",IF(W97&lt;=N97,"",(TODAY()-N97)/(W97-N97))))</f>
        <v/>
      </c>
      <c r="Z97" s="37" t="str">
        <f aca="false">IF(A97="","",IF(OR(Y97="",OR(D97="Project Completion",D97="Defects Liability",D97="Complete",D97="Cancelled")),"Green",IF(Y97&gt;1.15,"Red",IF(Y97&gt;=0.95,"Amber","Green"))))</f>
        <v/>
      </c>
      <c r="AA97" s="39" t="str">
        <f aca="false">IF(A97="","",IF(R97="","",IF(OR(R97&lt;=0,COUNTIFS('Cash Flow'!$A$2:$A$2001,A97)=0),"",T97/R97)))</f>
        <v/>
      </c>
      <c r="AB97" s="37" t="str">
        <f aca="false">IF(A97="","",IF(AA97="","Green",IF(AA97&gt;1.15,"Red",IF(AA97&gt;=0.95,"Amber","Green"))))</f>
        <v/>
      </c>
      <c r="AC97" s="37" t="str">
        <f aca="false">IF(A97="","",COUNTIFS(Risks!$A$2:$A$501,A97,Risks!$B$2:$B$501,"Risk",Risks!$M$2:$M$501,"&lt;&gt;Closed",Risks!$O$2:$O$501,"Critical"))</f>
        <v/>
      </c>
      <c r="AD97" s="37" t="str">
        <f aca="false">IF(A97="","",COUNTIFS(Risks!$A$2:$A$501,A97,Risks!$B$2:$B$501,"Risk",Risks!$M$2:$M$501,"&lt;&gt;Closed",Risks!$O$2:$O$501,"High"))</f>
        <v/>
      </c>
      <c r="AE97" s="37" t="str">
        <f aca="false">IF(A97="","",IF(AC97&gt;0,"Red",IF(AD97&gt;0,"Amber","Green")))</f>
        <v/>
      </c>
      <c r="AF97" s="37" t="str">
        <f aca="false">IF(A97="","",IF(OR(Z97="Red",AB97="Red",AE97="Red"),"Red",IF(OR(Z97="Amber",AB97="Amber",AE97="Amber"),"Amber","Green")))</f>
        <v/>
      </c>
      <c r="AG97" s="37" t="str">
        <f aca="false">IF(A97="","",COUNTIFS(Tasks!$A$2:$A$1001,A97,Tasks!$D$2:$D$1001,"&lt;&gt;Done",Tasks!$B$2:$B$1001,"&lt;&gt;"))</f>
        <v/>
      </c>
      <c r="AH97" s="37" t="str">
        <f aca="false">IF(A97="","",COUNTIFS(Actions!$A$2:$A$501,A97,Actions!$H$2:$H$501,"&lt;&gt;Done",Actions!$C$2:$C$501,"&lt;&gt;"))</f>
        <v/>
      </c>
      <c r="AI97" s="37" t="str">
        <f aca="false">IF(A97="","",COUNTIFS(RFIs!$A$2:$A$501,A97,RFIs!$G$2:$G$501,"Open"))</f>
        <v/>
      </c>
      <c r="AJ97" s="37" t="str">
        <f aca="false">IF(A97="","",COUNTIFS(Defects!$A$2:$A$501,A97,Defects!$H$2:$H$501,"Open"))</f>
        <v/>
      </c>
      <c r="AK97" s="37" t="str">
        <f aca="false">IF(A97="","","Schedule: "&amp;IF(Y97="","no dates / not tracked",TEXT(Y97,"0%")&amp;" of timeframe elapsed")&amp;" | Budget: "&amp;IF(AA97="","no approved budget or cash flow",TEXT(AA97,"0%")&amp;" of budget forecast")&amp;" | Risk: "&amp;AC97&amp;" critical, "&amp;AD97&amp;" high open")</f>
        <v/>
      </c>
    </row>
    <row r="98" customFormat="false" ht="15" hidden="false" customHeight="false" outlineLevel="0" collapsed="false">
      <c r="A98" s="32"/>
      <c r="B98" s="33"/>
      <c r="C98" s="32"/>
      <c r="D98" s="32"/>
      <c r="E98" s="32"/>
      <c r="F98" s="32"/>
      <c r="G98" s="32"/>
      <c r="H98" s="32"/>
      <c r="I98" s="32"/>
      <c r="J98" s="32"/>
      <c r="K98" s="34"/>
      <c r="L98" s="34"/>
      <c r="M98" s="34"/>
      <c r="N98" s="35"/>
      <c r="O98" s="35"/>
      <c r="P98" s="35"/>
      <c r="Q98" s="36" t="str">
        <f aca="false">IF(A98="","",SUMIFS(Variations!$F$2:$F$501,Variations!$A$2:$A$501,A98,Variations!$H$2:$H$501,"Approved"))</f>
        <v/>
      </c>
      <c r="R98" s="36" t="str">
        <f aca="false">IF(A98="","",IF(M98&lt;&gt;"",M98,IF(L98="","",L98+Q98)))</f>
        <v/>
      </c>
      <c r="S98" s="36" t="str">
        <f aca="false">IF(A98="","",SUMIFS('Cash Flow'!$D$2:$D$2001,'Cash Flow'!$A$2:$A$2001,A98,'Cash Flow'!$C$2:$C$2001,"Actual"))</f>
        <v/>
      </c>
      <c r="T98" s="36" t="str">
        <f aca="false">IF(A98="","",SUMIFS('Cash Flow'!$F$2:$F$2001,'Cash Flow'!$A$2:$A$2001,A98))</f>
        <v/>
      </c>
      <c r="U98" s="36" t="str">
        <f aca="false">IF(A98="","",IF(R98="","",R98-T98))</f>
        <v/>
      </c>
      <c r="V98" s="37" t="str">
        <f aca="false">IF(A98="","",SUMIFS('EOT Claims'!$L$2:$L$501,'EOT Claims'!$A$2:$A$501,A98))</f>
        <v/>
      </c>
      <c r="W98" s="38" t="str">
        <f aca="false">IF(A98="","",IF(O98="","",O98+V98))</f>
        <v/>
      </c>
      <c r="X98" s="37" t="str">
        <f aca="true">IF(A98="","",IF(O98="","",IF(AND(NOT(OR(D98="Project Completion",D98="Defects Liability",D98="Complete",D98="Cancelled")),O98&lt;TODAY()),"Overdue","")))</f>
        <v/>
      </c>
      <c r="Y98" s="39" t="str">
        <f aca="true">IF(A98="","",IF(OR(N98="",W98=""),"",IF(W98&lt;=N98,"",(TODAY()-N98)/(W98-N98))))</f>
        <v/>
      </c>
      <c r="Z98" s="37" t="str">
        <f aca="false">IF(A98="","",IF(OR(Y98="",OR(D98="Project Completion",D98="Defects Liability",D98="Complete",D98="Cancelled")),"Green",IF(Y98&gt;1.15,"Red",IF(Y98&gt;=0.95,"Amber","Green"))))</f>
        <v/>
      </c>
      <c r="AA98" s="39" t="str">
        <f aca="false">IF(A98="","",IF(R98="","",IF(OR(R98&lt;=0,COUNTIFS('Cash Flow'!$A$2:$A$2001,A98)=0),"",T98/R98)))</f>
        <v/>
      </c>
      <c r="AB98" s="37" t="str">
        <f aca="false">IF(A98="","",IF(AA98="","Green",IF(AA98&gt;1.15,"Red",IF(AA98&gt;=0.95,"Amber","Green"))))</f>
        <v/>
      </c>
      <c r="AC98" s="37" t="str">
        <f aca="false">IF(A98="","",COUNTIFS(Risks!$A$2:$A$501,A98,Risks!$B$2:$B$501,"Risk",Risks!$M$2:$M$501,"&lt;&gt;Closed",Risks!$O$2:$O$501,"Critical"))</f>
        <v/>
      </c>
      <c r="AD98" s="37" t="str">
        <f aca="false">IF(A98="","",COUNTIFS(Risks!$A$2:$A$501,A98,Risks!$B$2:$B$501,"Risk",Risks!$M$2:$M$501,"&lt;&gt;Closed",Risks!$O$2:$O$501,"High"))</f>
        <v/>
      </c>
      <c r="AE98" s="37" t="str">
        <f aca="false">IF(A98="","",IF(AC98&gt;0,"Red",IF(AD98&gt;0,"Amber","Green")))</f>
        <v/>
      </c>
      <c r="AF98" s="37" t="str">
        <f aca="false">IF(A98="","",IF(OR(Z98="Red",AB98="Red",AE98="Red"),"Red",IF(OR(Z98="Amber",AB98="Amber",AE98="Amber"),"Amber","Green")))</f>
        <v/>
      </c>
      <c r="AG98" s="37" t="str">
        <f aca="false">IF(A98="","",COUNTIFS(Tasks!$A$2:$A$1001,A98,Tasks!$D$2:$D$1001,"&lt;&gt;Done",Tasks!$B$2:$B$1001,"&lt;&gt;"))</f>
        <v/>
      </c>
      <c r="AH98" s="37" t="str">
        <f aca="false">IF(A98="","",COUNTIFS(Actions!$A$2:$A$501,A98,Actions!$H$2:$H$501,"&lt;&gt;Done",Actions!$C$2:$C$501,"&lt;&gt;"))</f>
        <v/>
      </c>
      <c r="AI98" s="37" t="str">
        <f aca="false">IF(A98="","",COUNTIFS(RFIs!$A$2:$A$501,A98,RFIs!$G$2:$G$501,"Open"))</f>
        <v/>
      </c>
      <c r="AJ98" s="37" t="str">
        <f aca="false">IF(A98="","",COUNTIFS(Defects!$A$2:$A$501,A98,Defects!$H$2:$H$501,"Open"))</f>
        <v/>
      </c>
      <c r="AK98" s="37" t="str">
        <f aca="false">IF(A98="","","Schedule: "&amp;IF(Y98="","no dates / not tracked",TEXT(Y98,"0%")&amp;" of timeframe elapsed")&amp;" | Budget: "&amp;IF(AA98="","no approved budget or cash flow",TEXT(AA98,"0%")&amp;" of budget forecast")&amp;" | Risk: "&amp;AC98&amp;" critical, "&amp;AD98&amp;" high open")</f>
        <v/>
      </c>
    </row>
    <row r="99" customFormat="false" ht="15" hidden="false" customHeight="false" outlineLevel="0" collapsed="false">
      <c r="A99" s="32"/>
      <c r="B99" s="33"/>
      <c r="C99" s="32"/>
      <c r="D99" s="32"/>
      <c r="E99" s="32"/>
      <c r="F99" s="32"/>
      <c r="G99" s="32"/>
      <c r="H99" s="32"/>
      <c r="I99" s="32"/>
      <c r="J99" s="32"/>
      <c r="K99" s="34"/>
      <c r="L99" s="34"/>
      <c r="M99" s="34"/>
      <c r="N99" s="35"/>
      <c r="O99" s="35"/>
      <c r="P99" s="35"/>
      <c r="Q99" s="36" t="str">
        <f aca="false">IF(A99="","",SUMIFS(Variations!$F$2:$F$501,Variations!$A$2:$A$501,A99,Variations!$H$2:$H$501,"Approved"))</f>
        <v/>
      </c>
      <c r="R99" s="36" t="str">
        <f aca="false">IF(A99="","",IF(M99&lt;&gt;"",M99,IF(L99="","",L99+Q99)))</f>
        <v/>
      </c>
      <c r="S99" s="36" t="str">
        <f aca="false">IF(A99="","",SUMIFS('Cash Flow'!$D$2:$D$2001,'Cash Flow'!$A$2:$A$2001,A99,'Cash Flow'!$C$2:$C$2001,"Actual"))</f>
        <v/>
      </c>
      <c r="T99" s="36" t="str">
        <f aca="false">IF(A99="","",SUMIFS('Cash Flow'!$F$2:$F$2001,'Cash Flow'!$A$2:$A$2001,A99))</f>
        <v/>
      </c>
      <c r="U99" s="36" t="str">
        <f aca="false">IF(A99="","",IF(R99="","",R99-T99))</f>
        <v/>
      </c>
      <c r="V99" s="37" t="str">
        <f aca="false">IF(A99="","",SUMIFS('EOT Claims'!$L$2:$L$501,'EOT Claims'!$A$2:$A$501,A99))</f>
        <v/>
      </c>
      <c r="W99" s="38" t="str">
        <f aca="false">IF(A99="","",IF(O99="","",O99+V99))</f>
        <v/>
      </c>
      <c r="X99" s="37" t="str">
        <f aca="true">IF(A99="","",IF(O99="","",IF(AND(NOT(OR(D99="Project Completion",D99="Defects Liability",D99="Complete",D99="Cancelled")),O99&lt;TODAY()),"Overdue","")))</f>
        <v/>
      </c>
      <c r="Y99" s="39" t="str">
        <f aca="true">IF(A99="","",IF(OR(N99="",W99=""),"",IF(W99&lt;=N99,"",(TODAY()-N99)/(W99-N99))))</f>
        <v/>
      </c>
      <c r="Z99" s="37" t="str">
        <f aca="false">IF(A99="","",IF(OR(Y99="",OR(D99="Project Completion",D99="Defects Liability",D99="Complete",D99="Cancelled")),"Green",IF(Y99&gt;1.15,"Red",IF(Y99&gt;=0.95,"Amber","Green"))))</f>
        <v/>
      </c>
      <c r="AA99" s="39" t="str">
        <f aca="false">IF(A99="","",IF(R99="","",IF(OR(R99&lt;=0,COUNTIFS('Cash Flow'!$A$2:$A$2001,A99)=0),"",T99/R99)))</f>
        <v/>
      </c>
      <c r="AB99" s="37" t="str">
        <f aca="false">IF(A99="","",IF(AA99="","Green",IF(AA99&gt;1.15,"Red",IF(AA99&gt;=0.95,"Amber","Green"))))</f>
        <v/>
      </c>
      <c r="AC99" s="37" t="str">
        <f aca="false">IF(A99="","",COUNTIFS(Risks!$A$2:$A$501,A99,Risks!$B$2:$B$501,"Risk",Risks!$M$2:$M$501,"&lt;&gt;Closed",Risks!$O$2:$O$501,"Critical"))</f>
        <v/>
      </c>
      <c r="AD99" s="37" t="str">
        <f aca="false">IF(A99="","",COUNTIFS(Risks!$A$2:$A$501,A99,Risks!$B$2:$B$501,"Risk",Risks!$M$2:$M$501,"&lt;&gt;Closed",Risks!$O$2:$O$501,"High"))</f>
        <v/>
      </c>
      <c r="AE99" s="37" t="str">
        <f aca="false">IF(A99="","",IF(AC99&gt;0,"Red",IF(AD99&gt;0,"Amber","Green")))</f>
        <v/>
      </c>
      <c r="AF99" s="37" t="str">
        <f aca="false">IF(A99="","",IF(OR(Z99="Red",AB99="Red",AE99="Red"),"Red",IF(OR(Z99="Amber",AB99="Amber",AE99="Amber"),"Amber","Green")))</f>
        <v/>
      </c>
      <c r="AG99" s="37" t="str">
        <f aca="false">IF(A99="","",COUNTIFS(Tasks!$A$2:$A$1001,A99,Tasks!$D$2:$D$1001,"&lt;&gt;Done",Tasks!$B$2:$B$1001,"&lt;&gt;"))</f>
        <v/>
      </c>
      <c r="AH99" s="37" t="str">
        <f aca="false">IF(A99="","",COUNTIFS(Actions!$A$2:$A$501,A99,Actions!$H$2:$H$501,"&lt;&gt;Done",Actions!$C$2:$C$501,"&lt;&gt;"))</f>
        <v/>
      </c>
      <c r="AI99" s="37" t="str">
        <f aca="false">IF(A99="","",COUNTIFS(RFIs!$A$2:$A$501,A99,RFIs!$G$2:$G$501,"Open"))</f>
        <v/>
      </c>
      <c r="AJ99" s="37" t="str">
        <f aca="false">IF(A99="","",COUNTIFS(Defects!$A$2:$A$501,A99,Defects!$H$2:$H$501,"Open"))</f>
        <v/>
      </c>
      <c r="AK99" s="37" t="str">
        <f aca="false">IF(A99="","","Schedule: "&amp;IF(Y99="","no dates / not tracked",TEXT(Y99,"0%")&amp;" of timeframe elapsed")&amp;" | Budget: "&amp;IF(AA99="","no approved budget or cash flow",TEXT(AA99,"0%")&amp;" of budget forecast")&amp;" | Risk: "&amp;AC99&amp;" critical, "&amp;AD99&amp;" high open")</f>
        <v/>
      </c>
    </row>
    <row r="100" customFormat="false" ht="15" hidden="false" customHeight="false" outlineLevel="0" collapsed="false">
      <c r="A100" s="32"/>
      <c r="B100" s="33"/>
      <c r="C100" s="32"/>
      <c r="D100" s="32"/>
      <c r="E100" s="32"/>
      <c r="F100" s="32"/>
      <c r="G100" s="32"/>
      <c r="H100" s="32"/>
      <c r="I100" s="32"/>
      <c r="J100" s="32"/>
      <c r="K100" s="34"/>
      <c r="L100" s="34"/>
      <c r="M100" s="34"/>
      <c r="N100" s="35"/>
      <c r="O100" s="35"/>
      <c r="P100" s="35"/>
      <c r="Q100" s="36" t="str">
        <f aca="false">IF(A100="","",SUMIFS(Variations!$F$2:$F$501,Variations!$A$2:$A$501,A100,Variations!$H$2:$H$501,"Approved"))</f>
        <v/>
      </c>
      <c r="R100" s="36" t="str">
        <f aca="false">IF(A100="","",IF(M100&lt;&gt;"",M100,IF(L100="","",L100+Q100)))</f>
        <v/>
      </c>
      <c r="S100" s="36" t="str">
        <f aca="false">IF(A100="","",SUMIFS('Cash Flow'!$D$2:$D$2001,'Cash Flow'!$A$2:$A$2001,A100,'Cash Flow'!$C$2:$C$2001,"Actual"))</f>
        <v/>
      </c>
      <c r="T100" s="36" t="str">
        <f aca="false">IF(A100="","",SUMIFS('Cash Flow'!$F$2:$F$2001,'Cash Flow'!$A$2:$A$2001,A100))</f>
        <v/>
      </c>
      <c r="U100" s="36" t="str">
        <f aca="false">IF(A100="","",IF(R100="","",R100-T100))</f>
        <v/>
      </c>
      <c r="V100" s="37" t="str">
        <f aca="false">IF(A100="","",SUMIFS('EOT Claims'!$L$2:$L$501,'EOT Claims'!$A$2:$A$501,A100))</f>
        <v/>
      </c>
      <c r="W100" s="38" t="str">
        <f aca="false">IF(A100="","",IF(O100="","",O100+V100))</f>
        <v/>
      </c>
      <c r="X100" s="37" t="str">
        <f aca="true">IF(A100="","",IF(O100="","",IF(AND(NOT(OR(D100="Project Completion",D100="Defects Liability",D100="Complete",D100="Cancelled")),O100&lt;TODAY()),"Overdue","")))</f>
        <v/>
      </c>
      <c r="Y100" s="39" t="str">
        <f aca="true">IF(A100="","",IF(OR(N100="",W100=""),"",IF(W100&lt;=N100,"",(TODAY()-N100)/(W100-N100))))</f>
        <v/>
      </c>
      <c r="Z100" s="37" t="str">
        <f aca="false">IF(A100="","",IF(OR(Y100="",OR(D100="Project Completion",D100="Defects Liability",D100="Complete",D100="Cancelled")),"Green",IF(Y100&gt;1.15,"Red",IF(Y100&gt;=0.95,"Amber","Green"))))</f>
        <v/>
      </c>
      <c r="AA100" s="39" t="str">
        <f aca="false">IF(A100="","",IF(R100="","",IF(OR(R100&lt;=0,COUNTIFS('Cash Flow'!$A$2:$A$2001,A100)=0),"",T100/R100)))</f>
        <v/>
      </c>
      <c r="AB100" s="37" t="str">
        <f aca="false">IF(A100="","",IF(AA100="","Green",IF(AA100&gt;1.15,"Red",IF(AA100&gt;=0.95,"Amber","Green"))))</f>
        <v/>
      </c>
      <c r="AC100" s="37" t="str">
        <f aca="false">IF(A100="","",COUNTIFS(Risks!$A$2:$A$501,A100,Risks!$B$2:$B$501,"Risk",Risks!$M$2:$M$501,"&lt;&gt;Closed",Risks!$O$2:$O$501,"Critical"))</f>
        <v/>
      </c>
      <c r="AD100" s="37" t="str">
        <f aca="false">IF(A100="","",COUNTIFS(Risks!$A$2:$A$501,A100,Risks!$B$2:$B$501,"Risk",Risks!$M$2:$M$501,"&lt;&gt;Closed",Risks!$O$2:$O$501,"High"))</f>
        <v/>
      </c>
      <c r="AE100" s="37" t="str">
        <f aca="false">IF(A100="","",IF(AC100&gt;0,"Red",IF(AD100&gt;0,"Amber","Green")))</f>
        <v/>
      </c>
      <c r="AF100" s="37" t="str">
        <f aca="false">IF(A100="","",IF(OR(Z100="Red",AB100="Red",AE100="Red"),"Red",IF(OR(Z100="Amber",AB100="Amber",AE100="Amber"),"Amber","Green")))</f>
        <v/>
      </c>
      <c r="AG100" s="37" t="str">
        <f aca="false">IF(A100="","",COUNTIFS(Tasks!$A$2:$A$1001,A100,Tasks!$D$2:$D$1001,"&lt;&gt;Done",Tasks!$B$2:$B$1001,"&lt;&gt;"))</f>
        <v/>
      </c>
      <c r="AH100" s="37" t="str">
        <f aca="false">IF(A100="","",COUNTIFS(Actions!$A$2:$A$501,A100,Actions!$H$2:$H$501,"&lt;&gt;Done",Actions!$C$2:$C$501,"&lt;&gt;"))</f>
        <v/>
      </c>
      <c r="AI100" s="37" t="str">
        <f aca="false">IF(A100="","",COUNTIFS(RFIs!$A$2:$A$501,A100,RFIs!$G$2:$G$501,"Open"))</f>
        <v/>
      </c>
      <c r="AJ100" s="37" t="str">
        <f aca="false">IF(A100="","",COUNTIFS(Defects!$A$2:$A$501,A100,Defects!$H$2:$H$501,"Open"))</f>
        <v/>
      </c>
      <c r="AK100" s="37" t="str">
        <f aca="false">IF(A100="","","Schedule: "&amp;IF(Y100="","no dates / not tracked",TEXT(Y100,"0%")&amp;" of timeframe elapsed")&amp;" | Budget: "&amp;IF(AA100="","no approved budget or cash flow",TEXT(AA100,"0%")&amp;" of budget forecast")&amp;" | Risk: "&amp;AC100&amp;" critical, "&amp;AD100&amp;" high open")</f>
        <v/>
      </c>
    </row>
    <row r="101" customFormat="false" ht="15" hidden="false" customHeight="false" outlineLevel="0" collapsed="false">
      <c r="A101" s="32"/>
      <c r="B101" s="33"/>
      <c r="C101" s="32"/>
      <c r="D101" s="32"/>
      <c r="E101" s="32"/>
      <c r="F101" s="32"/>
      <c r="G101" s="32"/>
      <c r="H101" s="32"/>
      <c r="I101" s="32"/>
      <c r="J101" s="32"/>
      <c r="K101" s="34"/>
      <c r="L101" s="34"/>
      <c r="M101" s="34"/>
      <c r="N101" s="35"/>
      <c r="O101" s="35"/>
      <c r="P101" s="35"/>
      <c r="Q101" s="36" t="str">
        <f aca="false">IF(A101="","",SUMIFS(Variations!$F$2:$F$501,Variations!$A$2:$A$501,A101,Variations!$H$2:$H$501,"Approved"))</f>
        <v/>
      </c>
      <c r="R101" s="36" t="str">
        <f aca="false">IF(A101="","",IF(M101&lt;&gt;"",M101,IF(L101="","",L101+Q101)))</f>
        <v/>
      </c>
      <c r="S101" s="36" t="str">
        <f aca="false">IF(A101="","",SUMIFS('Cash Flow'!$D$2:$D$2001,'Cash Flow'!$A$2:$A$2001,A101,'Cash Flow'!$C$2:$C$2001,"Actual"))</f>
        <v/>
      </c>
      <c r="T101" s="36" t="str">
        <f aca="false">IF(A101="","",SUMIFS('Cash Flow'!$F$2:$F$2001,'Cash Flow'!$A$2:$A$2001,A101))</f>
        <v/>
      </c>
      <c r="U101" s="36" t="str">
        <f aca="false">IF(A101="","",IF(R101="","",R101-T101))</f>
        <v/>
      </c>
      <c r="V101" s="37" t="str">
        <f aca="false">IF(A101="","",SUMIFS('EOT Claims'!$L$2:$L$501,'EOT Claims'!$A$2:$A$501,A101))</f>
        <v/>
      </c>
      <c r="W101" s="38" t="str">
        <f aca="false">IF(A101="","",IF(O101="","",O101+V101))</f>
        <v/>
      </c>
      <c r="X101" s="37" t="str">
        <f aca="true">IF(A101="","",IF(O101="","",IF(AND(NOT(OR(D101="Project Completion",D101="Defects Liability",D101="Complete",D101="Cancelled")),O101&lt;TODAY()),"Overdue","")))</f>
        <v/>
      </c>
      <c r="Y101" s="39" t="str">
        <f aca="true">IF(A101="","",IF(OR(N101="",W101=""),"",IF(W101&lt;=N101,"",(TODAY()-N101)/(W101-N101))))</f>
        <v/>
      </c>
      <c r="Z101" s="37" t="str">
        <f aca="false">IF(A101="","",IF(OR(Y101="",OR(D101="Project Completion",D101="Defects Liability",D101="Complete",D101="Cancelled")),"Green",IF(Y101&gt;1.15,"Red",IF(Y101&gt;=0.95,"Amber","Green"))))</f>
        <v/>
      </c>
      <c r="AA101" s="39" t="str">
        <f aca="false">IF(A101="","",IF(R101="","",IF(OR(R101&lt;=0,COUNTIFS('Cash Flow'!$A$2:$A$2001,A101)=0),"",T101/R101)))</f>
        <v/>
      </c>
      <c r="AB101" s="37" t="str">
        <f aca="false">IF(A101="","",IF(AA101="","Green",IF(AA101&gt;1.15,"Red",IF(AA101&gt;=0.95,"Amber","Green"))))</f>
        <v/>
      </c>
      <c r="AC101" s="37" t="str">
        <f aca="false">IF(A101="","",COUNTIFS(Risks!$A$2:$A$501,A101,Risks!$B$2:$B$501,"Risk",Risks!$M$2:$M$501,"&lt;&gt;Closed",Risks!$O$2:$O$501,"Critical"))</f>
        <v/>
      </c>
      <c r="AD101" s="37" t="str">
        <f aca="false">IF(A101="","",COUNTIFS(Risks!$A$2:$A$501,A101,Risks!$B$2:$B$501,"Risk",Risks!$M$2:$M$501,"&lt;&gt;Closed",Risks!$O$2:$O$501,"High"))</f>
        <v/>
      </c>
      <c r="AE101" s="37" t="str">
        <f aca="false">IF(A101="","",IF(AC101&gt;0,"Red",IF(AD101&gt;0,"Amber","Green")))</f>
        <v/>
      </c>
      <c r="AF101" s="37" t="str">
        <f aca="false">IF(A101="","",IF(OR(Z101="Red",AB101="Red",AE101="Red"),"Red",IF(OR(Z101="Amber",AB101="Amber",AE101="Amber"),"Amber","Green")))</f>
        <v/>
      </c>
      <c r="AG101" s="37" t="str">
        <f aca="false">IF(A101="","",COUNTIFS(Tasks!$A$2:$A$1001,A101,Tasks!$D$2:$D$1001,"&lt;&gt;Done",Tasks!$B$2:$B$1001,"&lt;&gt;"))</f>
        <v/>
      </c>
      <c r="AH101" s="37" t="str">
        <f aca="false">IF(A101="","",COUNTIFS(Actions!$A$2:$A$501,A101,Actions!$H$2:$H$501,"&lt;&gt;Done",Actions!$C$2:$C$501,"&lt;&gt;"))</f>
        <v/>
      </c>
      <c r="AI101" s="37" t="str">
        <f aca="false">IF(A101="","",COUNTIFS(RFIs!$A$2:$A$501,A101,RFIs!$G$2:$G$501,"Open"))</f>
        <v/>
      </c>
      <c r="AJ101" s="37" t="str">
        <f aca="false">IF(A101="","",COUNTIFS(Defects!$A$2:$A$501,A101,Defects!$H$2:$H$501,"Open"))</f>
        <v/>
      </c>
      <c r="AK101" s="37" t="str">
        <f aca="false">IF(A101="","","Schedule: "&amp;IF(Y101="","no dates / not tracked",TEXT(Y101,"0%")&amp;" of timeframe elapsed")&amp;" | Budget: "&amp;IF(AA101="","no approved budget or cash flow",TEXT(AA101,"0%")&amp;" of budget forecast")&amp;" | Risk: "&amp;AC101&amp;" critical, "&amp;AD101&amp;" high open")</f>
        <v/>
      </c>
    </row>
  </sheetData>
  <autoFilter ref="A1:AK101"/>
  <conditionalFormatting sqref="D2:D101">
    <cfRule type="expression" priority="2" aboveAverage="0" equalAverage="0" bottom="0" percent="0" rank="0" text="" dxfId="16">
      <formula>OR(D2="Done",D2="Closed",D2="Complete",D2="Paid")</formula>
    </cfRule>
  </conditionalFormatting>
  <conditionalFormatting sqref="X2:X1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conditionalFormatting sqref="Z2:Z101">
    <cfRule type="cellIs" priority="13" operator="equal" aboveAverage="0" equalAverage="0" bottom="0" percent="0" rank="0" text="" dxfId="1">
      <formula>"Green"</formula>
    </cfRule>
    <cfRule type="cellIs" priority="14" operator="equal" aboveAverage="0" equalAverage="0" bottom="0" percent="0" rank="0" text="" dxfId="2">
      <formula>"Amber"</formula>
    </cfRule>
    <cfRule type="cellIs" priority="15" operator="equal" aboveAverage="0" equalAverage="0" bottom="0" percent="0" rank="0" text="" dxfId="3">
      <formula>"Red"</formula>
    </cfRule>
  </conditionalFormatting>
  <conditionalFormatting sqref="AB2:AB101">
    <cfRule type="cellIs" priority="16" operator="equal" aboveAverage="0" equalAverage="0" bottom="0" percent="0" rank="0" text="" dxfId="1">
      <formula>"Green"</formula>
    </cfRule>
    <cfRule type="cellIs" priority="17" operator="equal" aboveAverage="0" equalAverage="0" bottom="0" percent="0" rank="0" text="" dxfId="2">
      <formula>"Amber"</formula>
    </cfRule>
    <cfRule type="cellIs" priority="18" operator="equal" aboveAverage="0" equalAverage="0" bottom="0" percent="0" rank="0" text="" dxfId="3">
      <formula>"Red"</formula>
    </cfRule>
  </conditionalFormatting>
  <conditionalFormatting sqref="AE2:AE101">
    <cfRule type="cellIs" priority="19" operator="equal" aboveAverage="0" equalAverage="0" bottom="0" percent="0" rank="0" text="" dxfId="1">
      <formula>"Green"</formula>
    </cfRule>
    <cfRule type="cellIs" priority="20" operator="equal" aboveAverage="0" equalAverage="0" bottom="0" percent="0" rank="0" text="" dxfId="2">
      <formula>"Amber"</formula>
    </cfRule>
    <cfRule type="cellIs" priority="21" operator="equal" aboveAverage="0" equalAverage="0" bottom="0" percent="0" rank="0" text="" dxfId="3">
      <formula>"Red"</formula>
    </cfRule>
  </conditionalFormatting>
  <conditionalFormatting sqref="AF2:AF101">
    <cfRule type="cellIs" priority="22" operator="equal" aboveAverage="0" equalAverage="0" bottom="0" percent="0" rank="0" text="" dxfId="1">
      <formula>"Green"</formula>
    </cfRule>
    <cfRule type="cellIs" priority="23" operator="equal" aboveAverage="0" equalAverage="0" bottom="0" percent="0" rank="0" text="" dxfId="2">
      <formula>"Amber"</formula>
    </cfRule>
    <cfRule type="cellIs" priority="24" operator="equal" aboveAverage="0" equalAverage="0" bottom="0" percent="0" rank="0" text="" dxfId="3">
      <formula>"Red"</formula>
    </cfRule>
  </conditionalFormatting>
  <dataValidations count="6">
    <dataValidation allowBlank="true" error="Pick a value from the list." errorStyle="stop" errorTitle="Invalid entry" operator="between" showDropDown="false" showErrorMessage="false" showInputMessage="false" sqref="D2:D101" type="list">
      <formula1>lst_ProjectStatus</formula1>
      <formula2>0</formula2>
    </dataValidation>
    <dataValidation allowBlank="true" error="Enter a number." errorStyle="stop" errorTitle="Invalid number" operator="between" showDropDown="false" showErrorMessage="false" showInputMessage="false" sqref="K2:K1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1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M2:M101" type="decimal">
      <formula1>-1000000000</formula1>
      <formula2>1000000000</formula2>
    </dataValidation>
    <dataValidation allowBlank="true" error="Enter a valid date (e.g. 31-Dec-2026)." errorStyle="stop" errorTitle="Invalid date" operator="greaterThan" showDropDown="false" showErrorMessage="false" showInputMessage="false" sqref="N2:P101" type="date">
      <formula1>36526</formula1>
      <formula2>0</formula2>
    </dataValidation>
    <dataValidation allowBlank="true" error="Project names must be unique." errorStyle="stop" errorTitle="Duplicate project" operator="between" showDropDown="false" showErrorMessage="false" showInputMessage="false" sqref="A2:A101" type="custom">
      <formula1>COUNTIF($A$2:$A$101,A2)=1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3.75" hidden="false" customHeight="true" outlineLevel="0" collapsed="false">
      <c r="A1" s="17" t="s">
        <v>110</v>
      </c>
      <c r="B1" s="17" t="s">
        <v>193</v>
      </c>
      <c r="C1" s="17" t="s">
        <v>214</v>
      </c>
      <c r="D1" s="17" t="s">
        <v>111</v>
      </c>
      <c r="E1" s="17" t="s">
        <v>228</v>
      </c>
      <c r="F1" s="17" t="s">
        <v>229</v>
      </c>
      <c r="G1" s="17" t="s">
        <v>230</v>
      </c>
      <c r="H1" s="31" t="s">
        <v>156</v>
      </c>
      <c r="I1" s="31" t="s">
        <v>231</v>
      </c>
    </row>
    <row r="2" customFormat="false" ht="15" hidden="false" customHeight="false" outlineLevel="0" collapsed="false">
      <c r="A2" s="32"/>
      <c r="B2" s="32"/>
      <c r="C2" s="33"/>
      <c r="D2" s="32"/>
      <c r="E2" s="35"/>
      <c r="F2" s="32"/>
      <c r="G2" s="35"/>
      <c r="H2" s="37" t="str">
        <f aca="true">IF(B2="","",IF(OR(D2="Done"),"Done",IF(E2="","No Due Date",IF(E2&lt;TODAY(),"Overdue",IF(E2=TODAY(),"Due Today",IF(E2&lt;TODAY()+7,"Due This Week","Later"))))))</f>
        <v/>
      </c>
      <c r="I2" s="40" t="str">
        <f aca="false">IF(AND(B2&lt;&gt;"",D2&lt;&gt;"Done",E2&lt;&gt;""),E2+ROW()/100000,"")</f>
        <v/>
      </c>
    </row>
    <row r="3" customFormat="false" ht="15" hidden="false" customHeight="false" outlineLevel="0" collapsed="false">
      <c r="A3" s="32"/>
      <c r="B3" s="32"/>
      <c r="C3" s="33"/>
      <c r="D3" s="32"/>
      <c r="E3" s="35"/>
      <c r="F3" s="32"/>
      <c r="G3" s="35"/>
      <c r="H3" s="37" t="str">
        <f aca="true">IF(B3="","",IF(OR(D3="Done"),"Done",IF(E3="","No Due Date",IF(E3&lt;TODAY(),"Overdue",IF(E3=TODAY(),"Due Today",IF(E3&lt;TODAY()+7,"Due This Week","Later"))))))</f>
        <v/>
      </c>
      <c r="I3" s="40" t="str">
        <f aca="false">IF(AND(B3&lt;&gt;"",D3&lt;&gt;"Done",E3&lt;&gt;""),E3+ROW()/100000,"")</f>
        <v/>
      </c>
    </row>
    <row r="4" customFormat="false" ht="15" hidden="false" customHeight="false" outlineLevel="0" collapsed="false">
      <c r="A4" s="32"/>
      <c r="B4" s="32"/>
      <c r="C4" s="33"/>
      <c r="D4" s="32"/>
      <c r="E4" s="35"/>
      <c r="F4" s="32"/>
      <c r="G4" s="35"/>
      <c r="H4" s="37" t="str">
        <f aca="true">IF(B4="","",IF(OR(D4="Done"),"Done",IF(E4="","No Due Date",IF(E4&lt;TODAY(),"Overdue",IF(E4=TODAY(),"Due Today",IF(E4&lt;TODAY()+7,"Due This Week","Later"))))))</f>
        <v/>
      </c>
      <c r="I4" s="40" t="str">
        <f aca="false">IF(AND(B4&lt;&gt;"",D4&lt;&gt;"Done",E4&lt;&gt;""),E4+ROW()/100000,"")</f>
        <v/>
      </c>
    </row>
    <row r="5" customFormat="false" ht="15" hidden="false" customHeight="false" outlineLevel="0" collapsed="false">
      <c r="A5" s="32"/>
      <c r="B5" s="32"/>
      <c r="C5" s="33"/>
      <c r="D5" s="32"/>
      <c r="E5" s="35"/>
      <c r="F5" s="32"/>
      <c r="G5" s="35"/>
      <c r="H5" s="37" t="str">
        <f aca="true">IF(B5="","",IF(OR(D5="Done"),"Done",IF(E5="","No Due Date",IF(E5&lt;TODAY(),"Overdue",IF(E5=TODAY(),"Due Today",IF(E5&lt;TODAY()+7,"Due This Week","Later"))))))</f>
        <v/>
      </c>
      <c r="I5" s="40" t="str">
        <f aca="false">IF(AND(B5&lt;&gt;"",D5&lt;&gt;"Done",E5&lt;&gt;""),E5+ROW()/100000,"")</f>
        <v/>
      </c>
    </row>
    <row r="6" customFormat="false" ht="15" hidden="false" customHeight="false" outlineLevel="0" collapsed="false">
      <c r="A6" s="32"/>
      <c r="B6" s="32"/>
      <c r="C6" s="33"/>
      <c r="D6" s="32"/>
      <c r="E6" s="35"/>
      <c r="F6" s="32"/>
      <c r="G6" s="35"/>
      <c r="H6" s="37" t="str">
        <f aca="true">IF(B6="","",IF(OR(D6="Done"),"Done",IF(E6="","No Due Date",IF(E6&lt;TODAY(),"Overdue",IF(E6=TODAY(),"Due Today",IF(E6&lt;TODAY()+7,"Due This Week","Later"))))))</f>
        <v/>
      </c>
      <c r="I6" s="40" t="str">
        <f aca="false">IF(AND(B6&lt;&gt;"",D6&lt;&gt;"Done",E6&lt;&gt;""),E6+ROW()/100000,"")</f>
        <v/>
      </c>
    </row>
    <row r="7" customFormat="false" ht="15" hidden="false" customHeight="false" outlineLevel="0" collapsed="false">
      <c r="A7" s="32"/>
      <c r="B7" s="32"/>
      <c r="C7" s="33"/>
      <c r="D7" s="32"/>
      <c r="E7" s="35"/>
      <c r="F7" s="32"/>
      <c r="G7" s="35"/>
      <c r="H7" s="37" t="str">
        <f aca="true">IF(B7="","",IF(OR(D7="Done"),"Done",IF(E7="","No Due Date",IF(E7&lt;TODAY(),"Overdue",IF(E7=TODAY(),"Due Today",IF(E7&lt;TODAY()+7,"Due This Week","Later"))))))</f>
        <v/>
      </c>
      <c r="I7" s="40" t="str">
        <f aca="false">IF(AND(B7&lt;&gt;"",D7&lt;&gt;"Done",E7&lt;&gt;""),E7+ROW()/100000,"")</f>
        <v/>
      </c>
    </row>
    <row r="8" customFormat="false" ht="15" hidden="false" customHeight="false" outlineLevel="0" collapsed="false">
      <c r="A8" s="32"/>
      <c r="B8" s="32"/>
      <c r="C8" s="33"/>
      <c r="D8" s="32"/>
      <c r="E8" s="35"/>
      <c r="F8" s="32"/>
      <c r="G8" s="35"/>
      <c r="H8" s="37" t="str">
        <f aca="true">IF(B8="","",IF(OR(D8="Done"),"Done",IF(E8="","No Due Date",IF(E8&lt;TODAY(),"Overdue",IF(E8=TODAY(),"Due Today",IF(E8&lt;TODAY()+7,"Due This Week","Later"))))))</f>
        <v/>
      </c>
      <c r="I8" s="40" t="str">
        <f aca="false">IF(AND(B8&lt;&gt;"",D8&lt;&gt;"Done",E8&lt;&gt;""),E8+ROW()/100000,"")</f>
        <v/>
      </c>
    </row>
    <row r="9" customFormat="false" ht="15" hidden="false" customHeight="false" outlineLevel="0" collapsed="false">
      <c r="A9" s="32"/>
      <c r="B9" s="32"/>
      <c r="C9" s="33"/>
      <c r="D9" s="32"/>
      <c r="E9" s="35"/>
      <c r="F9" s="32"/>
      <c r="G9" s="35"/>
      <c r="H9" s="37" t="str">
        <f aca="true">IF(B9="","",IF(OR(D9="Done"),"Done",IF(E9="","No Due Date",IF(E9&lt;TODAY(),"Overdue",IF(E9=TODAY(),"Due Today",IF(E9&lt;TODAY()+7,"Due This Week","Later"))))))</f>
        <v/>
      </c>
      <c r="I9" s="40" t="str">
        <f aca="false">IF(AND(B9&lt;&gt;"",D9&lt;&gt;"Done",E9&lt;&gt;""),E9+ROW()/100000,"")</f>
        <v/>
      </c>
    </row>
    <row r="10" customFormat="false" ht="15" hidden="false" customHeight="false" outlineLevel="0" collapsed="false">
      <c r="A10" s="32"/>
      <c r="B10" s="32"/>
      <c r="C10" s="33"/>
      <c r="D10" s="32"/>
      <c r="E10" s="35"/>
      <c r="F10" s="32"/>
      <c r="G10" s="35"/>
      <c r="H10" s="37" t="str">
        <f aca="true">IF(B10="","",IF(OR(D10="Done"),"Done",IF(E10="","No Due Date",IF(E10&lt;TODAY(),"Overdue",IF(E10=TODAY(),"Due Today",IF(E10&lt;TODAY()+7,"Due This Week","Later"))))))</f>
        <v/>
      </c>
      <c r="I10" s="40" t="str">
        <f aca="false">IF(AND(B10&lt;&gt;"",D10&lt;&gt;"Done",E10&lt;&gt;""),E10+ROW()/100000,"")</f>
        <v/>
      </c>
    </row>
    <row r="11" customFormat="false" ht="15" hidden="false" customHeight="false" outlineLevel="0" collapsed="false">
      <c r="A11" s="32"/>
      <c r="B11" s="32"/>
      <c r="C11" s="33"/>
      <c r="D11" s="32"/>
      <c r="E11" s="35"/>
      <c r="F11" s="32"/>
      <c r="G11" s="35"/>
      <c r="H11" s="37" t="str">
        <f aca="true">IF(B11="","",IF(OR(D11="Done"),"Done",IF(E11="","No Due Date",IF(E11&lt;TODAY(),"Overdue",IF(E11=TODAY(),"Due Today",IF(E11&lt;TODAY()+7,"Due This Week","Later"))))))</f>
        <v/>
      </c>
      <c r="I11" s="40" t="str">
        <f aca="false">IF(AND(B11&lt;&gt;"",D11&lt;&gt;"Done",E11&lt;&gt;""),E11+ROW()/100000,"")</f>
        <v/>
      </c>
    </row>
    <row r="12" customFormat="false" ht="15" hidden="false" customHeight="false" outlineLevel="0" collapsed="false">
      <c r="A12" s="32"/>
      <c r="B12" s="32"/>
      <c r="C12" s="33"/>
      <c r="D12" s="32"/>
      <c r="E12" s="35"/>
      <c r="F12" s="32"/>
      <c r="G12" s="35"/>
      <c r="H12" s="37" t="str">
        <f aca="true">IF(B12="","",IF(OR(D12="Done"),"Done",IF(E12="","No Due Date",IF(E12&lt;TODAY(),"Overdue",IF(E12=TODAY(),"Due Today",IF(E12&lt;TODAY()+7,"Due This Week","Later"))))))</f>
        <v/>
      </c>
      <c r="I12" s="40" t="str">
        <f aca="false">IF(AND(B12&lt;&gt;"",D12&lt;&gt;"Done",E12&lt;&gt;""),E12+ROW()/100000,"")</f>
        <v/>
      </c>
    </row>
    <row r="13" customFormat="false" ht="15" hidden="false" customHeight="false" outlineLevel="0" collapsed="false">
      <c r="A13" s="32"/>
      <c r="B13" s="32"/>
      <c r="C13" s="33"/>
      <c r="D13" s="32"/>
      <c r="E13" s="35"/>
      <c r="F13" s="32"/>
      <c r="G13" s="35"/>
      <c r="H13" s="37" t="str">
        <f aca="true">IF(B13="","",IF(OR(D13="Done"),"Done",IF(E13="","No Due Date",IF(E13&lt;TODAY(),"Overdue",IF(E13=TODAY(),"Due Today",IF(E13&lt;TODAY()+7,"Due This Week","Later"))))))</f>
        <v/>
      </c>
      <c r="I13" s="40" t="str">
        <f aca="false">IF(AND(B13&lt;&gt;"",D13&lt;&gt;"Done",E13&lt;&gt;""),E13+ROW()/100000,"")</f>
        <v/>
      </c>
    </row>
    <row r="14" customFormat="false" ht="15" hidden="false" customHeight="false" outlineLevel="0" collapsed="false">
      <c r="A14" s="32"/>
      <c r="B14" s="32"/>
      <c r="C14" s="33"/>
      <c r="D14" s="32"/>
      <c r="E14" s="35"/>
      <c r="F14" s="32"/>
      <c r="G14" s="35"/>
      <c r="H14" s="37" t="str">
        <f aca="true">IF(B14="","",IF(OR(D14="Done"),"Done",IF(E14="","No Due Date",IF(E14&lt;TODAY(),"Overdue",IF(E14=TODAY(),"Due Today",IF(E14&lt;TODAY()+7,"Due This Week","Later"))))))</f>
        <v/>
      </c>
      <c r="I14" s="40" t="str">
        <f aca="false">IF(AND(B14&lt;&gt;"",D14&lt;&gt;"Done",E14&lt;&gt;""),E14+ROW()/100000,"")</f>
        <v/>
      </c>
    </row>
    <row r="15" customFormat="false" ht="15" hidden="false" customHeight="false" outlineLevel="0" collapsed="false">
      <c r="A15" s="32"/>
      <c r="B15" s="32"/>
      <c r="C15" s="33"/>
      <c r="D15" s="32"/>
      <c r="E15" s="35"/>
      <c r="F15" s="32"/>
      <c r="G15" s="35"/>
      <c r="H15" s="37" t="str">
        <f aca="true">IF(B15="","",IF(OR(D15="Done"),"Done",IF(E15="","No Due Date",IF(E15&lt;TODAY(),"Overdue",IF(E15=TODAY(),"Due Today",IF(E15&lt;TODAY()+7,"Due This Week","Later"))))))</f>
        <v/>
      </c>
      <c r="I15" s="40" t="str">
        <f aca="false">IF(AND(B15&lt;&gt;"",D15&lt;&gt;"Done",E15&lt;&gt;""),E15+ROW()/100000,"")</f>
        <v/>
      </c>
    </row>
    <row r="16" customFormat="false" ht="15" hidden="false" customHeight="false" outlineLevel="0" collapsed="false">
      <c r="A16" s="32"/>
      <c r="B16" s="32"/>
      <c r="C16" s="33"/>
      <c r="D16" s="32"/>
      <c r="E16" s="35"/>
      <c r="F16" s="32"/>
      <c r="G16" s="35"/>
      <c r="H16" s="37" t="str">
        <f aca="true">IF(B16="","",IF(OR(D16="Done"),"Done",IF(E16="","No Due Date",IF(E16&lt;TODAY(),"Overdue",IF(E16=TODAY(),"Due Today",IF(E16&lt;TODAY()+7,"Due This Week","Later"))))))</f>
        <v/>
      </c>
      <c r="I16" s="40" t="str">
        <f aca="false">IF(AND(B16&lt;&gt;"",D16&lt;&gt;"Done",E16&lt;&gt;""),E16+ROW()/100000,"")</f>
        <v/>
      </c>
    </row>
    <row r="17" customFormat="false" ht="15" hidden="false" customHeight="false" outlineLevel="0" collapsed="false">
      <c r="A17" s="32"/>
      <c r="B17" s="32"/>
      <c r="C17" s="33"/>
      <c r="D17" s="32"/>
      <c r="E17" s="35"/>
      <c r="F17" s="32"/>
      <c r="G17" s="35"/>
      <c r="H17" s="37" t="str">
        <f aca="true">IF(B17="","",IF(OR(D17="Done"),"Done",IF(E17="","No Due Date",IF(E17&lt;TODAY(),"Overdue",IF(E17=TODAY(),"Due Today",IF(E17&lt;TODAY()+7,"Due This Week","Later"))))))</f>
        <v/>
      </c>
      <c r="I17" s="40" t="str">
        <f aca="false">IF(AND(B17&lt;&gt;"",D17&lt;&gt;"Done",E17&lt;&gt;""),E17+ROW()/100000,"")</f>
        <v/>
      </c>
    </row>
    <row r="18" customFormat="false" ht="15" hidden="false" customHeight="false" outlineLevel="0" collapsed="false">
      <c r="A18" s="32"/>
      <c r="B18" s="32"/>
      <c r="C18" s="33"/>
      <c r="D18" s="32"/>
      <c r="E18" s="35"/>
      <c r="F18" s="32"/>
      <c r="G18" s="35"/>
      <c r="H18" s="37" t="str">
        <f aca="true">IF(B18="","",IF(OR(D18="Done"),"Done",IF(E18="","No Due Date",IF(E18&lt;TODAY(),"Overdue",IF(E18=TODAY(),"Due Today",IF(E18&lt;TODAY()+7,"Due This Week","Later"))))))</f>
        <v/>
      </c>
      <c r="I18" s="40" t="str">
        <f aca="false">IF(AND(B18&lt;&gt;"",D18&lt;&gt;"Done",E18&lt;&gt;""),E18+ROW()/100000,"")</f>
        <v/>
      </c>
    </row>
    <row r="19" customFormat="false" ht="15" hidden="false" customHeight="false" outlineLevel="0" collapsed="false">
      <c r="A19" s="32"/>
      <c r="B19" s="32"/>
      <c r="C19" s="33"/>
      <c r="D19" s="32"/>
      <c r="E19" s="35"/>
      <c r="F19" s="32"/>
      <c r="G19" s="35"/>
      <c r="H19" s="37" t="str">
        <f aca="true">IF(B19="","",IF(OR(D19="Done"),"Done",IF(E19="","No Due Date",IF(E19&lt;TODAY(),"Overdue",IF(E19=TODAY(),"Due Today",IF(E19&lt;TODAY()+7,"Due This Week","Later"))))))</f>
        <v/>
      </c>
      <c r="I19" s="40" t="str">
        <f aca="false">IF(AND(B19&lt;&gt;"",D19&lt;&gt;"Done",E19&lt;&gt;""),E19+ROW()/100000,"")</f>
        <v/>
      </c>
    </row>
    <row r="20" customFormat="false" ht="15" hidden="false" customHeight="false" outlineLevel="0" collapsed="false">
      <c r="A20" s="32"/>
      <c r="B20" s="32"/>
      <c r="C20" s="33"/>
      <c r="D20" s="32"/>
      <c r="E20" s="35"/>
      <c r="F20" s="32"/>
      <c r="G20" s="35"/>
      <c r="H20" s="37" t="str">
        <f aca="true">IF(B20="","",IF(OR(D20="Done"),"Done",IF(E20="","No Due Date",IF(E20&lt;TODAY(),"Overdue",IF(E20=TODAY(),"Due Today",IF(E20&lt;TODAY()+7,"Due This Week","Later"))))))</f>
        <v/>
      </c>
      <c r="I20" s="40" t="str">
        <f aca="false">IF(AND(B20&lt;&gt;"",D20&lt;&gt;"Done",E20&lt;&gt;""),E20+ROW()/100000,"")</f>
        <v/>
      </c>
    </row>
    <row r="21" customFormat="false" ht="15" hidden="false" customHeight="false" outlineLevel="0" collapsed="false">
      <c r="A21" s="32"/>
      <c r="B21" s="32"/>
      <c r="C21" s="33"/>
      <c r="D21" s="32"/>
      <c r="E21" s="35"/>
      <c r="F21" s="32"/>
      <c r="G21" s="35"/>
      <c r="H21" s="37" t="str">
        <f aca="true">IF(B21="","",IF(OR(D21="Done"),"Done",IF(E21="","No Due Date",IF(E21&lt;TODAY(),"Overdue",IF(E21=TODAY(),"Due Today",IF(E21&lt;TODAY()+7,"Due This Week","Later"))))))</f>
        <v/>
      </c>
      <c r="I21" s="40" t="str">
        <f aca="false">IF(AND(B21&lt;&gt;"",D21&lt;&gt;"Done",E21&lt;&gt;""),E21+ROW()/100000,"")</f>
        <v/>
      </c>
    </row>
    <row r="22" customFormat="false" ht="15" hidden="false" customHeight="false" outlineLevel="0" collapsed="false">
      <c r="A22" s="32"/>
      <c r="B22" s="32"/>
      <c r="C22" s="33"/>
      <c r="D22" s="32"/>
      <c r="E22" s="35"/>
      <c r="F22" s="32"/>
      <c r="G22" s="35"/>
      <c r="H22" s="37" t="str">
        <f aca="true">IF(B22="","",IF(OR(D22="Done"),"Done",IF(E22="","No Due Date",IF(E22&lt;TODAY(),"Overdue",IF(E22=TODAY(),"Due Today",IF(E22&lt;TODAY()+7,"Due This Week","Later"))))))</f>
        <v/>
      </c>
      <c r="I22" s="40" t="str">
        <f aca="false">IF(AND(B22&lt;&gt;"",D22&lt;&gt;"Done",E22&lt;&gt;""),E22+ROW()/100000,"")</f>
        <v/>
      </c>
    </row>
    <row r="23" customFormat="false" ht="15" hidden="false" customHeight="false" outlineLevel="0" collapsed="false">
      <c r="A23" s="32"/>
      <c r="B23" s="32"/>
      <c r="C23" s="33"/>
      <c r="D23" s="32"/>
      <c r="E23" s="35"/>
      <c r="F23" s="32"/>
      <c r="G23" s="35"/>
      <c r="H23" s="37" t="str">
        <f aca="true">IF(B23="","",IF(OR(D23="Done"),"Done",IF(E23="","No Due Date",IF(E23&lt;TODAY(),"Overdue",IF(E23=TODAY(),"Due Today",IF(E23&lt;TODAY()+7,"Due This Week","Later"))))))</f>
        <v/>
      </c>
      <c r="I23" s="40" t="str">
        <f aca="false">IF(AND(B23&lt;&gt;"",D23&lt;&gt;"Done",E23&lt;&gt;""),E23+ROW()/100000,"")</f>
        <v/>
      </c>
    </row>
    <row r="24" customFormat="false" ht="15" hidden="false" customHeight="false" outlineLevel="0" collapsed="false">
      <c r="A24" s="32"/>
      <c r="B24" s="32"/>
      <c r="C24" s="33"/>
      <c r="D24" s="32"/>
      <c r="E24" s="35"/>
      <c r="F24" s="32"/>
      <c r="G24" s="35"/>
      <c r="H24" s="37" t="str">
        <f aca="true">IF(B24="","",IF(OR(D24="Done"),"Done",IF(E24="","No Due Date",IF(E24&lt;TODAY(),"Overdue",IF(E24=TODAY(),"Due Today",IF(E24&lt;TODAY()+7,"Due This Week","Later"))))))</f>
        <v/>
      </c>
      <c r="I24" s="40" t="str">
        <f aca="false">IF(AND(B24&lt;&gt;"",D24&lt;&gt;"Done",E24&lt;&gt;""),E24+ROW()/100000,"")</f>
        <v/>
      </c>
    </row>
    <row r="25" customFormat="false" ht="15" hidden="false" customHeight="false" outlineLevel="0" collapsed="false">
      <c r="A25" s="32"/>
      <c r="B25" s="32"/>
      <c r="C25" s="33"/>
      <c r="D25" s="32"/>
      <c r="E25" s="35"/>
      <c r="F25" s="32"/>
      <c r="G25" s="35"/>
      <c r="H25" s="37" t="str">
        <f aca="true">IF(B25="","",IF(OR(D25="Done"),"Done",IF(E25="","No Due Date",IF(E25&lt;TODAY(),"Overdue",IF(E25=TODAY(),"Due Today",IF(E25&lt;TODAY()+7,"Due This Week","Later"))))))</f>
        <v/>
      </c>
      <c r="I25" s="40" t="str">
        <f aca="false">IF(AND(B25&lt;&gt;"",D25&lt;&gt;"Done",E25&lt;&gt;""),E25+ROW()/100000,"")</f>
        <v/>
      </c>
    </row>
    <row r="26" customFormat="false" ht="15" hidden="false" customHeight="false" outlineLevel="0" collapsed="false">
      <c r="A26" s="32"/>
      <c r="B26" s="32"/>
      <c r="C26" s="33"/>
      <c r="D26" s="32"/>
      <c r="E26" s="35"/>
      <c r="F26" s="32"/>
      <c r="G26" s="35"/>
      <c r="H26" s="37" t="str">
        <f aca="true">IF(B26="","",IF(OR(D26="Done"),"Done",IF(E26="","No Due Date",IF(E26&lt;TODAY(),"Overdue",IF(E26=TODAY(),"Due Today",IF(E26&lt;TODAY()+7,"Due This Week","Later"))))))</f>
        <v/>
      </c>
      <c r="I26" s="40" t="str">
        <f aca="false">IF(AND(B26&lt;&gt;"",D26&lt;&gt;"Done",E26&lt;&gt;""),E26+ROW()/100000,"")</f>
        <v/>
      </c>
    </row>
    <row r="27" customFormat="false" ht="15" hidden="false" customHeight="false" outlineLevel="0" collapsed="false">
      <c r="A27" s="32"/>
      <c r="B27" s="32"/>
      <c r="C27" s="33"/>
      <c r="D27" s="32"/>
      <c r="E27" s="35"/>
      <c r="F27" s="32"/>
      <c r="G27" s="35"/>
      <c r="H27" s="37" t="str">
        <f aca="true">IF(B27="","",IF(OR(D27="Done"),"Done",IF(E27="","No Due Date",IF(E27&lt;TODAY(),"Overdue",IF(E27=TODAY(),"Due Today",IF(E27&lt;TODAY()+7,"Due This Week","Later"))))))</f>
        <v/>
      </c>
      <c r="I27" s="40" t="str">
        <f aca="false">IF(AND(B27&lt;&gt;"",D27&lt;&gt;"Done",E27&lt;&gt;""),E27+ROW()/100000,"")</f>
        <v/>
      </c>
    </row>
    <row r="28" customFormat="false" ht="15" hidden="false" customHeight="false" outlineLevel="0" collapsed="false">
      <c r="A28" s="32"/>
      <c r="B28" s="32"/>
      <c r="C28" s="33"/>
      <c r="D28" s="32"/>
      <c r="E28" s="35"/>
      <c r="F28" s="32"/>
      <c r="G28" s="35"/>
      <c r="H28" s="37" t="str">
        <f aca="true">IF(B28="","",IF(OR(D28="Done"),"Done",IF(E28="","No Due Date",IF(E28&lt;TODAY(),"Overdue",IF(E28=TODAY(),"Due Today",IF(E28&lt;TODAY()+7,"Due This Week","Later"))))))</f>
        <v/>
      </c>
      <c r="I28" s="40" t="str">
        <f aca="false">IF(AND(B28&lt;&gt;"",D28&lt;&gt;"Done",E28&lt;&gt;""),E28+ROW()/100000,"")</f>
        <v/>
      </c>
    </row>
    <row r="29" customFormat="false" ht="15" hidden="false" customHeight="false" outlineLevel="0" collapsed="false">
      <c r="A29" s="32"/>
      <c r="B29" s="32"/>
      <c r="C29" s="33"/>
      <c r="D29" s="32"/>
      <c r="E29" s="35"/>
      <c r="F29" s="32"/>
      <c r="G29" s="35"/>
      <c r="H29" s="37" t="str">
        <f aca="true">IF(B29="","",IF(OR(D29="Done"),"Done",IF(E29="","No Due Date",IF(E29&lt;TODAY(),"Overdue",IF(E29=TODAY(),"Due Today",IF(E29&lt;TODAY()+7,"Due This Week","Later"))))))</f>
        <v/>
      </c>
      <c r="I29" s="40" t="str">
        <f aca="false">IF(AND(B29&lt;&gt;"",D29&lt;&gt;"Done",E29&lt;&gt;""),E29+ROW()/100000,"")</f>
        <v/>
      </c>
    </row>
    <row r="30" customFormat="false" ht="15" hidden="false" customHeight="false" outlineLevel="0" collapsed="false">
      <c r="A30" s="32"/>
      <c r="B30" s="32"/>
      <c r="C30" s="33"/>
      <c r="D30" s="32"/>
      <c r="E30" s="35"/>
      <c r="F30" s="32"/>
      <c r="G30" s="35"/>
      <c r="H30" s="37" t="str">
        <f aca="true">IF(B30="","",IF(OR(D30="Done"),"Done",IF(E30="","No Due Date",IF(E30&lt;TODAY(),"Overdue",IF(E30=TODAY(),"Due Today",IF(E30&lt;TODAY()+7,"Due This Week","Later"))))))</f>
        <v/>
      </c>
      <c r="I30" s="40" t="str">
        <f aca="false">IF(AND(B30&lt;&gt;"",D30&lt;&gt;"Done",E30&lt;&gt;""),E30+ROW()/100000,"")</f>
        <v/>
      </c>
    </row>
    <row r="31" customFormat="false" ht="15" hidden="false" customHeight="false" outlineLevel="0" collapsed="false">
      <c r="A31" s="32"/>
      <c r="B31" s="32"/>
      <c r="C31" s="33"/>
      <c r="D31" s="32"/>
      <c r="E31" s="35"/>
      <c r="F31" s="32"/>
      <c r="G31" s="35"/>
      <c r="H31" s="37" t="str">
        <f aca="true">IF(B31="","",IF(OR(D31="Done"),"Done",IF(E31="","No Due Date",IF(E31&lt;TODAY(),"Overdue",IF(E31=TODAY(),"Due Today",IF(E31&lt;TODAY()+7,"Due This Week","Later"))))))</f>
        <v/>
      </c>
      <c r="I31" s="40" t="str">
        <f aca="false">IF(AND(B31&lt;&gt;"",D31&lt;&gt;"Done",E31&lt;&gt;""),E31+ROW()/100000,"")</f>
        <v/>
      </c>
    </row>
    <row r="32" customFormat="false" ht="15" hidden="false" customHeight="false" outlineLevel="0" collapsed="false">
      <c r="A32" s="32"/>
      <c r="B32" s="32"/>
      <c r="C32" s="33"/>
      <c r="D32" s="32"/>
      <c r="E32" s="35"/>
      <c r="F32" s="32"/>
      <c r="G32" s="35"/>
      <c r="H32" s="37" t="str">
        <f aca="true">IF(B32="","",IF(OR(D32="Done"),"Done",IF(E32="","No Due Date",IF(E32&lt;TODAY(),"Overdue",IF(E32=TODAY(),"Due Today",IF(E32&lt;TODAY()+7,"Due This Week","Later"))))))</f>
        <v/>
      </c>
      <c r="I32" s="40" t="str">
        <f aca="false">IF(AND(B32&lt;&gt;"",D32&lt;&gt;"Done",E32&lt;&gt;""),E32+ROW()/100000,"")</f>
        <v/>
      </c>
    </row>
    <row r="33" customFormat="false" ht="15" hidden="false" customHeight="false" outlineLevel="0" collapsed="false">
      <c r="A33" s="32"/>
      <c r="B33" s="32"/>
      <c r="C33" s="33"/>
      <c r="D33" s="32"/>
      <c r="E33" s="35"/>
      <c r="F33" s="32"/>
      <c r="G33" s="35"/>
      <c r="H33" s="37" t="str">
        <f aca="true">IF(B33="","",IF(OR(D33="Done"),"Done",IF(E33="","No Due Date",IF(E33&lt;TODAY(),"Overdue",IF(E33=TODAY(),"Due Today",IF(E33&lt;TODAY()+7,"Due This Week","Later"))))))</f>
        <v/>
      </c>
      <c r="I33" s="40" t="str">
        <f aca="false">IF(AND(B33&lt;&gt;"",D33&lt;&gt;"Done",E33&lt;&gt;""),E33+ROW()/100000,"")</f>
        <v/>
      </c>
    </row>
    <row r="34" customFormat="false" ht="15" hidden="false" customHeight="false" outlineLevel="0" collapsed="false">
      <c r="A34" s="32"/>
      <c r="B34" s="32"/>
      <c r="C34" s="33"/>
      <c r="D34" s="32"/>
      <c r="E34" s="35"/>
      <c r="F34" s="32"/>
      <c r="G34" s="35"/>
      <c r="H34" s="37" t="str">
        <f aca="true">IF(B34="","",IF(OR(D34="Done"),"Done",IF(E34="","No Due Date",IF(E34&lt;TODAY(),"Overdue",IF(E34=TODAY(),"Due Today",IF(E34&lt;TODAY()+7,"Due This Week","Later"))))))</f>
        <v/>
      </c>
      <c r="I34" s="40" t="str">
        <f aca="false">IF(AND(B34&lt;&gt;"",D34&lt;&gt;"Done",E34&lt;&gt;""),E34+ROW()/100000,"")</f>
        <v/>
      </c>
    </row>
    <row r="35" customFormat="false" ht="15" hidden="false" customHeight="false" outlineLevel="0" collapsed="false">
      <c r="A35" s="32"/>
      <c r="B35" s="32"/>
      <c r="C35" s="33"/>
      <c r="D35" s="32"/>
      <c r="E35" s="35"/>
      <c r="F35" s="32"/>
      <c r="G35" s="35"/>
      <c r="H35" s="37" t="str">
        <f aca="true">IF(B35="","",IF(OR(D35="Done"),"Done",IF(E35="","No Due Date",IF(E35&lt;TODAY(),"Overdue",IF(E35=TODAY(),"Due Today",IF(E35&lt;TODAY()+7,"Due This Week","Later"))))))</f>
        <v/>
      </c>
      <c r="I35" s="40" t="str">
        <f aca="false">IF(AND(B35&lt;&gt;"",D35&lt;&gt;"Done",E35&lt;&gt;""),E35+ROW()/100000,"")</f>
        <v/>
      </c>
    </row>
    <row r="36" customFormat="false" ht="15" hidden="false" customHeight="false" outlineLevel="0" collapsed="false">
      <c r="A36" s="32"/>
      <c r="B36" s="32"/>
      <c r="C36" s="33"/>
      <c r="D36" s="32"/>
      <c r="E36" s="35"/>
      <c r="F36" s="32"/>
      <c r="G36" s="35"/>
      <c r="H36" s="37" t="str">
        <f aca="true">IF(B36="","",IF(OR(D36="Done"),"Done",IF(E36="","No Due Date",IF(E36&lt;TODAY(),"Overdue",IF(E36=TODAY(),"Due Today",IF(E36&lt;TODAY()+7,"Due This Week","Later"))))))</f>
        <v/>
      </c>
      <c r="I36" s="40" t="str">
        <f aca="false">IF(AND(B36&lt;&gt;"",D36&lt;&gt;"Done",E36&lt;&gt;""),E36+ROW()/100000,"")</f>
        <v/>
      </c>
    </row>
    <row r="37" customFormat="false" ht="15" hidden="false" customHeight="false" outlineLevel="0" collapsed="false">
      <c r="A37" s="32"/>
      <c r="B37" s="32"/>
      <c r="C37" s="33"/>
      <c r="D37" s="32"/>
      <c r="E37" s="35"/>
      <c r="F37" s="32"/>
      <c r="G37" s="35"/>
      <c r="H37" s="37" t="str">
        <f aca="true">IF(B37="","",IF(OR(D37="Done"),"Done",IF(E37="","No Due Date",IF(E37&lt;TODAY(),"Overdue",IF(E37=TODAY(),"Due Today",IF(E37&lt;TODAY()+7,"Due This Week","Later"))))))</f>
        <v/>
      </c>
      <c r="I37" s="40" t="str">
        <f aca="false">IF(AND(B37&lt;&gt;"",D37&lt;&gt;"Done",E37&lt;&gt;""),E37+ROW()/100000,"")</f>
        <v/>
      </c>
    </row>
    <row r="38" customFormat="false" ht="15" hidden="false" customHeight="false" outlineLevel="0" collapsed="false">
      <c r="A38" s="32"/>
      <c r="B38" s="32"/>
      <c r="C38" s="33"/>
      <c r="D38" s="32"/>
      <c r="E38" s="35"/>
      <c r="F38" s="32"/>
      <c r="G38" s="35"/>
      <c r="H38" s="37" t="str">
        <f aca="true">IF(B38="","",IF(OR(D38="Done"),"Done",IF(E38="","No Due Date",IF(E38&lt;TODAY(),"Overdue",IF(E38=TODAY(),"Due Today",IF(E38&lt;TODAY()+7,"Due This Week","Later"))))))</f>
        <v/>
      </c>
      <c r="I38" s="40" t="str">
        <f aca="false">IF(AND(B38&lt;&gt;"",D38&lt;&gt;"Done",E38&lt;&gt;""),E38+ROW()/100000,"")</f>
        <v/>
      </c>
    </row>
    <row r="39" customFormat="false" ht="15" hidden="false" customHeight="false" outlineLevel="0" collapsed="false">
      <c r="A39" s="32"/>
      <c r="B39" s="32"/>
      <c r="C39" s="33"/>
      <c r="D39" s="32"/>
      <c r="E39" s="35"/>
      <c r="F39" s="32"/>
      <c r="G39" s="35"/>
      <c r="H39" s="37" t="str">
        <f aca="true">IF(B39="","",IF(OR(D39="Done"),"Done",IF(E39="","No Due Date",IF(E39&lt;TODAY(),"Overdue",IF(E39=TODAY(),"Due Today",IF(E39&lt;TODAY()+7,"Due This Week","Later"))))))</f>
        <v/>
      </c>
      <c r="I39" s="40" t="str">
        <f aca="false">IF(AND(B39&lt;&gt;"",D39&lt;&gt;"Done",E39&lt;&gt;""),E39+ROW()/100000,"")</f>
        <v/>
      </c>
    </row>
    <row r="40" customFormat="false" ht="15" hidden="false" customHeight="false" outlineLevel="0" collapsed="false">
      <c r="A40" s="32"/>
      <c r="B40" s="32"/>
      <c r="C40" s="33"/>
      <c r="D40" s="32"/>
      <c r="E40" s="35"/>
      <c r="F40" s="32"/>
      <c r="G40" s="35"/>
      <c r="H40" s="37" t="str">
        <f aca="true">IF(B40="","",IF(OR(D40="Done"),"Done",IF(E40="","No Due Date",IF(E40&lt;TODAY(),"Overdue",IF(E40=TODAY(),"Due Today",IF(E40&lt;TODAY()+7,"Due This Week","Later"))))))</f>
        <v/>
      </c>
      <c r="I40" s="40" t="str">
        <f aca="false">IF(AND(B40&lt;&gt;"",D40&lt;&gt;"Done",E40&lt;&gt;""),E40+ROW()/100000,"")</f>
        <v/>
      </c>
    </row>
    <row r="41" customFormat="false" ht="15" hidden="false" customHeight="false" outlineLevel="0" collapsed="false">
      <c r="A41" s="32"/>
      <c r="B41" s="32"/>
      <c r="C41" s="33"/>
      <c r="D41" s="32"/>
      <c r="E41" s="35"/>
      <c r="F41" s="32"/>
      <c r="G41" s="35"/>
      <c r="H41" s="37" t="str">
        <f aca="true">IF(B41="","",IF(OR(D41="Done"),"Done",IF(E41="","No Due Date",IF(E41&lt;TODAY(),"Overdue",IF(E41=TODAY(),"Due Today",IF(E41&lt;TODAY()+7,"Due This Week","Later"))))))</f>
        <v/>
      </c>
      <c r="I41" s="40" t="str">
        <f aca="false">IF(AND(B41&lt;&gt;"",D41&lt;&gt;"Done",E41&lt;&gt;""),E41+ROW()/100000,"")</f>
        <v/>
      </c>
    </row>
    <row r="42" customFormat="false" ht="15" hidden="false" customHeight="false" outlineLevel="0" collapsed="false">
      <c r="A42" s="32"/>
      <c r="B42" s="32"/>
      <c r="C42" s="33"/>
      <c r="D42" s="32"/>
      <c r="E42" s="35"/>
      <c r="F42" s="32"/>
      <c r="G42" s="35"/>
      <c r="H42" s="37" t="str">
        <f aca="true">IF(B42="","",IF(OR(D42="Done"),"Done",IF(E42="","No Due Date",IF(E42&lt;TODAY(),"Overdue",IF(E42=TODAY(),"Due Today",IF(E42&lt;TODAY()+7,"Due This Week","Later"))))))</f>
        <v/>
      </c>
      <c r="I42" s="40" t="str">
        <f aca="false">IF(AND(B42&lt;&gt;"",D42&lt;&gt;"Done",E42&lt;&gt;""),E42+ROW()/100000,"")</f>
        <v/>
      </c>
    </row>
    <row r="43" customFormat="false" ht="15" hidden="false" customHeight="false" outlineLevel="0" collapsed="false">
      <c r="A43" s="32"/>
      <c r="B43" s="32"/>
      <c r="C43" s="33"/>
      <c r="D43" s="32"/>
      <c r="E43" s="35"/>
      <c r="F43" s="32"/>
      <c r="G43" s="35"/>
      <c r="H43" s="37" t="str">
        <f aca="true">IF(B43="","",IF(OR(D43="Done"),"Done",IF(E43="","No Due Date",IF(E43&lt;TODAY(),"Overdue",IF(E43=TODAY(),"Due Today",IF(E43&lt;TODAY()+7,"Due This Week","Later"))))))</f>
        <v/>
      </c>
      <c r="I43" s="40" t="str">
        <f aca="false">IF(AND(B43&lt;&gt;"",D43&lt;&gt;"Done",E43&lt;&gt;""),E43+ROW()/100000,"")</f>
        <v/>
      </c>
    </row>
    <row r="44" customFormat="false" ht="15" hidden="false" customHeight="false" outlineLevel="0" collapsed="false">
      <c r="A44" s="32"/>
      <c r="B44" s="32"/>
      <c r="C44" s="33"/>
      <c r="D44" s="32"/>
      <c r="E44" s="35"/>
      <c r="F44" s="32"/>
      <c r="G44" s="35"/>
      <c r="H44" s="37" t="str">
        <f aca="true">IF(B44="","",IF(OR(D44="Done"),"Done",IF(E44="","No Due Date",IF(E44&lt;TODAY(),"Overdue",IF(E44=TODAY(),"Due Today",IF(E44&lt;TODAY()+7,"Due This Week","Later"))))))</f>
        <v/>
      </c>
      <c r="I44" s="40" t="str">
        <f aca="false">IF(AND(B44&lt;&gt;"",D44&lt;&gt;"Done",E44&lt;&gt;""),E44+ROW()/100000,"")</f>
        <v/>
      </c>
    </row>
    <row r="45" customFormat="false" ht="15" hidden="false" customHeight="false" outlineLevel="0" collapsed="false">
      <c r="A45" s="32"/>
      <c r="B45" s="32"/>
      <c r="C45" s="33"/>
      <c r="D45" s="32"/>
      <c r="E45" s="35"/>
      <c r="F45" s="32"/>
      <c r="G45" s="35"/>
      <c r="H45" s="37" t="str">
        <f aca="true">IF(B45="","",IF(OR(D45="Done"),"Done",IF(E45="","No Due Date",IF(E45&lt;TODAY(),"Overdue",IF(E45=TODAY(),"Due Today",IF(E45&lt;TODAY()+7,"Due This Week","Later"))))))</f>
        <v/>
      </c>
      <c r="I45" s="40" t="str">
        <f aca="false">IF(AND(B45&lt;&gt;"",D45&lt;&gt;"Done",E45&lt;&gt;""),E45+ROW()/100000,"")</f>
        <v/>
      </c>
    </row>
    <row r="46" customFormat="false" ht="15" hidden="false" customHeight="false" outlineLevel="0" collapsed="false">
      <c r="A46" s="32"/>
      <c r="B46" s="32"/>
      <c r="C46" s="33"/>
      <c r="D46" s="32"/>
      <c r="E46" s="35"/>
      <c r="F46" s="32"/>
      <c r="G46" s="35"/>
      <c r="H46" s="37" t="str">
        <f aca="true">IF(B46="","",IF(OR(D46="Done"),"Done",IF(E46="","No Due Date",IF(E46&lt;TODAY(),"Overdue",IF(E46=TODAY(),"Due Today",IF(E46&lt;TODAY()+7,"Due This Week","Later"))))))</f>
        <v/>
      </c>
      <c r="I46" s="40" t="str">
        <f aca="false">IF(AND(B46&lt;&gt;"",D46&lt;&gt;"Done",E46&lt;&gt;""),E46+ROW()/100000,"")</f>
        <v/>
      </c>
    </row>
    <row r="47" customFormat="false" ht="15" hidden="false" customHeight="false" outlineLevel="0" collapsed="false">
      <c r="A47" s="32"/>
      <c r="B47" s="32"/>
      <c r="C47" s="33"/>
      <c r="D47" s="32"/>
      <c r="E47" s="35"/>
      <c r="F47" s="32"/>
      <c r="G47" s="35"/>
      <c r="H47" s="37" t="str">
        <f aca="true">IF(B47="","",IF(OR(D47="Done"),"Done",IF(E47="","No Due Date",IF(E47&lt;TODAY(),"Overdue",IF(E47=TODAY(),"Due Today",IF(E47&lt;TODAY()+7,"Due This Week","Later"))))))</f>
        <v/>
      </c>
      <c r="I47" s="40" t="str">
        <f aca="false">IF(AND(B47&lt;&gt;"",D47&lt;&gt;"Done",E47&lt;&gt;""),E47+ROW()/100000,"")</f>
        <v/>
      </c>
    </row>
    <row r="48" customFormat="false" ht="15" hidden="false" customHeight="false" outlineLevel="0" collapsed="false">
      <c r="A48" s="32"/>
      <c r="B48" s="32"/>
      <c r="C48" s="33"/>
      <c r="D48" s="32"/>
      <c r="E48" s="35"/>
      <c r="F48" s="32"/>
      <c r="G48" s="35"/>
      <c r="H48" s="37" t="str">
        <f aca="true">IF(B48="","",IF(OR(D48="Done"),"Done",IF(E48="","No Due Date",IF(E48&lt;TODAY(),"Overdue",IF(E48=TODAY(),"Due Today",IF(E48&lt;TODAY()+7,"Due This Week","Later"))))))</f>
        <v/>
      </c>
      <c r="I48" s="40" t="str">
        <f aca="false">IF(AND(B48&lt;&gt;"",D48&lt;&gt;"Done",E48&lt;&gt;""),E48+ROW()/100000,"")</f>
        <v/>
      </c>
    </row>
    <row r="49" customFormat="false" ht="15" hidden="false" customHeight="false" outlineLevel="0" collapsed="false">
      <c r="A49" s="32"/>
      <c r="B49" s="32"/>
      <c r="C49" s="33"/>
      <c r="D49" s="32"/>
      <c r="E49" s="35"/>
      <c r="F49" s="32"/>
      <c r="G49" s="35"/>
      <c r="H49" s="37" t="str">
        <f aca="true">IF(B49="","",IF(OR(D49="Done"),"Done",IF(E49="","No Due Date",IF(E49&lt;TODAY(),"Overdue",IF(E49=TODAY(),"Due Today",IF(E49&lt;TODAY()+7,"Due This Week","Later"))))))</f>
        <v/>
      </c>
      <c r="I49" s="40" t="str">
        <f aca="false">IF(AND(B49&lt;&gt;"",D49&lt;&gt;"Done",E49&lt;&gt;""),E49+ROW()/100000,"")</f>
        <v/>
      </c>
    </row>
    <row r="50" customFormat="false" ht="15" hidden="false" customHeight="false" outlineLevel="0" collapsed="false">
      <c r="A50" s="32"/>
      <c r="B50" s="32"/>
      <c r="C50" s="33"/>
      <c r="D50" s="32"/>
      <c r="E50" s="35"/>
      <c r="F50" s="32"/>
      <c r="G50" s="35"/>
      <c r="H50" s="37" t="str">
        <f aca="true">IF(B50="","",IF(OR(D50="Done"),"Done",IF(E50="","No Due Date",IF(E50&lt;TODAY(),"Overdue",IF(E50=TODAY(),"Due Today",IF(E50&lt;TODAY()+7,"Due This Week","Later"))))))</f>
        <v/>
      </c>
      <c r="I50" s="40" t="str">
        <f aca="false">IF(AND(B50&lt;&gt;"",D50&lt;&gt;"Done",E50&lt;&gt;""),E50+ROW()/100000,"")</f>
        <v/>
      </c>
    </row>
    <row r="51" customFormat="false" ht="15" hidden="false" customHeight="false" outlineLevel="0" collapsed="false">
      <c r="A51" s="32"/>
      <c r="B51" s="32"/>
      <c r="C51" s="33"/>
      <c r="D51" s="32"/>
      <c r="E51" s="35"/>
      <c r="F51" s="32"/>
      <c r="G51" s="35"/>
      <c r="H51" s="37" t="str">
        <f aca="true">IF(B51="","",IF(OR(D51="Done"),"Done",IF(E51="","No Due Date",IF(E51&lt;TODAY(),"Overdue",IF(E51=TODAY(),"Due Today",IF(E51&lt;TODAY()+7,"Due This Week","Later"))))))</f>
        <v/>
      </c>
      <c r="I51" s="40" t="str">
        <f aca="false">IF(AND(B51&lt;&gt;"",D51&lt;&gt;"Done",E51&lt;&gt;""),E51+ROW()/100000,"")</f>
        <v/>
      </c>
    </row>
    <row r="52" customFormat="false" ht="15" hidden="false" customHeight="false" outlineLevel="0" collapsed="false">
      <c r="A52" s="32"/>
      <c r="B52" s="32"/>
      <c r="C52" s="33"/>
      <c r="D52" s="32"/>
      <c r="E52" s="35"/>
      <c r="F52" s="32"/>
      <c r="G52" s="35"/>
      <c r="H52" s="37" t="str">
        <f aca="true">IF(B52="","",IF(OR(D52="Done"),"Done",IF(E52="","No Due Date",IF(E52&lt;TODAY(),"Overdue",IF(E52=TODAY(),"Due Today",IF(E52&lt;TODAY()+7,"Due This Week","Later"))))))</f>
        <v/>
      </c>
      <c r="I52" s="40" t="str">
        <f aca="false">IF(AND(B52&lt;&gt;"",D52&lt;&gt;"Done",E52&lt;&gt;""),E52+ROW()/100000,"")</f>
        <v/>
      </c>
    </row>
    <row r="53" customFormat="false" ht="15" hidden="false" customHeight="false" outlineLevel="0" collapsed="false">
      <c r="A53" s="32"/>
      <c r="B53" s="32"/>
      <c r="C53" s="33"/>
      <c r="D53" s="32"/>
      <c r="E53" s="35"/>
      <c r="F53" s="32"/>
      <c r="G53" s="35"/>
      <c r="H53" s="37" t="str">
        <f aca="true">IF(B53="","",IF(OR(D53="Done"),"Done",IF(E53="","No Due Date",IF(E53&lt;TODAY(),"Overdue",IF(E53=TODAY(),"Due Today",IF(E53&lt;TODAY()+7,"Due This Week","Later"))))))</f>
        <v/>
      </c>
      <c r="I53" s="40" t="str">
        <f aca="false">IF(AND(B53&lt;&gt;"",D53&lt;&gt;"Done",E53&lt;&gt;""),E53+ROW()/100000,"")</f>
        <v/>
      </c>
    </row>
    <row r="54" customFormat="false" ht="15" hidden="false" customHeight="false" outlineLevel="0" collapsed="false">
      <c r="A54" s="32"/>
      <c r="B54" s="32"/>
      <c r="C54" s="33"/>
      <c r="D54" s="32"/>
      <c r="E54" s="35"/>
      <c r="F54" s="32"/>
      <c r="G54" s="35"/>
      <c r="H54" s="37" t="str">
        <f aca="true">IF(B54="","",IF(OR(D54="Done"),"Done",IF(E54="","No Due Date",IF(E54&lt;TODAY(),"Overdue",IF(E54=TODAY(),"Due Today",IF(E54&lt;TODAY()+7,"Due This Week","Later"))))))</f>
        <v/>
      </c>
      <c r="I54" s="40" t="str">
        <f aca="false">IF(AND(B54&lt;&gt;"",D54&lt;&gt;"Done",E54&lt;&gt;""),E54+ROW()/100000,"")</f>
        <v/>
      </c>
    </row>
    <row r="55" customFormat="false" ht="15" hidden="false" customHeight="false" outlineLevel="0" collapsed="false">
      <c r="A55" s="32"/>
      <c r="B55" s="32"/>
      <c r="C55" s="33"/>
      <c r="D55" s="32"/>
      <c r="E55" s="35"/>
      <c r="F55" s="32"/>
      <c r="G55" s="35"/>
      <c r="H55" s="37" t="str">
        <f aca="true">IF(B55="","",IF(OR(D55="Done"),"Done",IF(E55="","No Due Date",IF(E55&lt;TODAY(),"Overdue",IF(E55=TODAY(),"Due Today",IF(E55&lt;TODAY()+7,"Due This Week","Later"))))))</f>
        <v/>
      </c>
      <c r="I55" s="40" t="str">
        <f aca="false">IF(AND(B55&lt;&gt;"",D55&lt;&gt;"Done",E55&lt;&gt;""),E55+ROW()/100000,"")</f>
        <v/>
      </c>
    </row>
    <row r="56" customFormat="false" ht="15" hidden="false" customHeight="false" outlineLevel="0" collapsed="false">
      <c r="A56" s="32"/>
      <c r="B56" s="32"/>
      <c r="C56" s="33"/>
      <c r="D56" s="32"/>
      <c r="E56" s="35"/>
      <c r="F56" s="32"/>
      <c r="G56" s="35"/>
      <c r="H56" s="37" t="str">
        <f aca="true">IF(B56="","",IF(OR(D56="Done"),"Done",IF(E56="","No Due Date",IF(E56&lt;TODAY(),"Overdue",IF(E56=TODAY(),"Due Today",IF(E56&lt;TODAY()+7,"Due This Week","Later"))))))</f>
        <v/>
      </c>
      <c r="I56" s="40" t="str">
        <f aca="false">IF(AND(B56&lt;&gt;"",D56&lt;&gt;"Done",E56&lt;&gt;""),E56+ROW()/100000,"")</f>
        <v/>
      </c>
    </row>
    <row r="57" customFormat="false" ht="15" hidden="false" customHeight="false" outlineLevel="0" collapsed="false">
      <c r="A57" s="32"/>
      <c r="B57" s="32"/>
      <c r="C57" s="33"/>
      <c r="D57" s="32"/>
      <c r="E57" s="35"/>
      <c r="F57" s="32"/>
      <c r="G57" s="35"/>
      <c r="H57" s="37" t="str">
        <f aca="true">IF(B57="","",IF(OR(D57="Done"),"Done",IF(E57="","No Due Date",IF(E57&lt;TODAY(),"Overdue",IF(E57=TODAY(),"Due Today",IF(E57&lt;TODAY()+7,"Due This Week","Later"))))))</f>
        <v/>
      </c>
      <c r="I57" s="40" t="str">
        <f aca="false">IF(AND(B57&lt;&gt;"",D57&lt;&gt;"Done",E57&lt;&gt;""),E57+ROW()/100000,"")</f>
        <v/>
      </c>
    </row>
    <row r="58" customFormat="false" ht="15" hidden="false" customHeight="false" outlineLevel="0" collapsed="false">
      <c r="A58" s="32"/>
      <c r="B58" s="32"/>
      <c r="C58" s="33"/>
      <c r="D58" s="32"/>
      <c r="E58" s="35"/>
      <c r="F58" s="32"/>
      <c r="G58" s="35"/>
      <c r="H58" s="37" t="str">
        <f aca="true">IF(B58="","",IF(OR(D58="Done"),"Done",IF(E58="","No Due Date",IF(E58&lt;TODAY(),"Overdue",IF(E58=TODAY(),"Due Today",IF(E58&lt;TODAY()+7,"Due This Week","Later"))))))</f>
        <v/>
      </c>
      <c r="I58" s="40" t="str">
        <f aca="false">IF(AND(B58&lt;&gt;"",D58&lt;&gt;"Done",E58&lt;&gt;""),E58+ROW()/100000,"")</f>
        <v/>
      </c>
    </row>
    <row r="59" customFormat="false" ht="15" hidden="false" customHeight="false" outlineLevel="0" collapsed="false">
      <c r="A59" s="32"/>
      <c r="B59" s="32"/>
      <c r="C59" s="33"/>
      <c r="D59" s="32"/>
      <c r="E59" s="35"/>
      <c r="F59" s="32"/>
      <c r="G59" s="35"/>
      <c r="H59" s="37" t="str">
        <f aca="true">IF(B59="","",IF(OR(D59="Done"),"Done",IF(E59="","No Due Date",IF(E59&lt;TODAY(),"Overdue",IF(E59=TODAY(),"Due Today",IF(E59&lt;TODAY()+7,"Due This Week","Later"))))))</f>
        <v/>
      </c>
      <c r="I59" s="40" t="str">
        <f aca="false">IF(AND(B59&lt;&gt;"",D59&lt;&gt;"Done",E59&lt;&gt;""),E59+ROW()/100000,"")</f>
        <v/>
      </c>
    </row>
    <row r="60" customFormat="false" ht="15" hidden="false" customHeight="false" outlineLevel="0" collapsed="false">
      <c r="A60" s="32"/>
      <c r="B60" s="32"/>
      <c r="C60" s="33"/>
      <c r="D60" s="32"/>
      <c r="E60" s="35"/>
      <c r="F60" s="32"/>
      <c r="G60" s="35"/>
      <c r="H60" s="37" t="str">
        <f aca="true">IF(B60="","",IF(OR(D60="Done"),"Done",IF(E60="","No Due Date",IF(E60&lt;TODAY(),"Overdue",IF(E60=TODAY(),"Due Today",IF(E60&lt;TODAY()+7,"Due This Week","Later"))))))</f>
        <v/>
      </c>
      <c r="I60" s="40" t="str">
        <f aca="false">IF(AND(B60&lt;&gt;"",D60&lt;&gt;"Done",E60&lt;&gt;""),E60+ROW()/100000,"")</f>
        <v/>
      </c>
    </row>
    <row r="61" customFormat="false" ht="15" hidden="false" customHeight="false" outlineLevel="0" collapsed="false">
      <c r="A61" s="32"/>
      <c r="B61" s="32"/>
      <c r="C61" s="33"/>
      <c r="D61" s="32"/>
      <c r="E61" s="35"/>
      <c r="F61" s="32"/>
      <c r="G61" s="35"/>
      <c r="H61" s="37" t="str">
        <f aca="true">IF(B61="","",IF(OR(D61="Done"),"Done",IF(E61="","No Due Date",IF(E61&lt;TODAY(),"Overdue",IF(E61=TODAY(),"Due Today",IF(E61&lt;TODAY()+7,"Due This Week","Later"))))))</f>
        <v/>
      </c>
      <c r="I61" s="40" t="str">
        <f aca="false">IF(AND(B61&lt;&gt;"",D61&lt;&gt;"Done",E61&lt;&gt;""),E61+ROW()/100000,"")</f>
        <v/>
      </c>
    </row>
    <row r="62" customFormat="false" ht="15" hidden="false" customHeight="false" outlineLevel="0" collapsed="false">
      <c r="A62" s="32"/>
      <c r="B62" s="32"/>
      <c r="C62" s="33"/>
      <c r="D62" s="32"/>
      <c r="E62" s="35"/>
      <c r="F62" s="32"/>
      <c r="G62" s="35"/>
      <c r="H62" s="37" t="str">
        <f aca="true">IF(B62="","",IF(OR(D62="Done"),"Done",IF(E62="","No Due Date",IF(E62&lt;TODAY(),"Overdue",IF(E62=TODAY(),"Due Today",IF(E62&lt;TODAY()+7,"Due This Week","Later"))))))</f>
        <v/>
      </c>
      <c r="I62" s="40" t="str">
        <f aca="false">IF(AND(B62&lt;&gt;"",D62&lt;&gt;"Done",E62&lt;&gt;""),E62+ROW()/100000,"")</f>
        <v/>
      </c>
    </row>
    <row r="63" customFormat="false" ht="15" hidden="false" customHeight="false" outlineLevel="0" collapsed="false">
      <c r="A63" s="32"/>
      <c r="B63" s="32"/>
      <c r="C63" s="33"/>
      <c r="D63" s="32"/>
      <c r="E63" s="35"/>
      <c r="F63" s="32"/>
      <c r="G63" s="35"/>
      <c r="H63" s="37" t="str">
        <f aca="true">IF(B63="","",IF(OR(D63="Done"),"Done",IF(E63="","No Due Date",IF(E63&lt;TODAY(),"Overdue",IF(E63=TODAY(),"Due Today",IF(E63&lt;TODAY()+7,"Due This Week","Later"))))))</f>
        <v/>
      </c>
      <c r="I63" s="40" t="str">
        <f aca="false">IF(AND(B63&lt;&gt;"",D63&lt;&gt;"Done",E63&lt;&gt;""),E63+ROW()/100000,"")</f>
        <v/>
      </c>
    </row>
    <row r="64" customFormat="false" ht="15" hidden="false" customHeight="false" outlineLevel="0" collapsed="false">
      <c r="A64" s="32"/>
      <c r="B64" s="32"/>
      <c r="C64" s="33"/>
      <c r="D64" s="32"/>
      <c r="E64" s="35"/>
      <c r="F64" s="32"/>
      <c r="G64" s="35"/>
      <c r="H64" s="37" t="str">
        <f aca="true">IF(B64="","",IF(OR(D64="Done"),"Done",IF(E64="","No Due Date",IF(E64&lt;TODAY(),"Overdue",IF(E64=TODAY(),"Due Today",IF(E64&lt;TODAY()+7,"Due This Week","Later"))))))</f>
        <v/>
      </c>
      <c r="I64" s="40" t="str">
        <f aca="false">IF(AND(B64&lt;&gt;"",D64&lt;&gt;"Done",E64&lt;&gt;""),E64+ROW()/100000,"")</f>
        <v/>
      </c>
    </row>
    <row r="65" customFormat="false" ht="15" hidden="false" customHeight="false" outlineLevel="0" collapsed="false">
      <c r="A65" s="32"/>
      <c r="B65" s="32"/>
      <c r="C65" s="33"/>
      <c r="D65" s="32"/>
      <c r="E65" s="35"/>
      <c r="F65" s="32"/>
      <c r="G65" s="35"/>
      <c r="H65" s="37" t="str">
        <f aca="true">IF(B65="","",IF(OR(D65="Done"),"Done",IF(E65="","No Due Date",IF(E65&lt;TODAY(),"Overdue",IF(E65=TODAY(),"Due Today",IF(E65&lt;TODAY()+7,"Due This Week","Later"))))))</f>
        <v/>
      </c>
      <c r="I65" s="40" t="str">
        <f aca="false">IF(AND(B65&lt;&gt;"",D65&lt;&gt;"Done",E65&lt;&gt;""),E65+ROW()/100000,"")</f>
        <v/>
      </c>
    </row>
    <row r="66" customFormat="false" ht="15" hidden="false" customHeight="false" outlineLevel="0" collapsed="false">
      <c r="A66" s="32"/>
      <c r="B66" s="32"/>
      <c r="C66" s="33"/>
      <c r="D66" s="32"/>
      <c r="E66" s="35"/>
      <c r="F66" s="32"/>
      <c r="G66" s="35"/>
      <c r="H66" s="37" t="str">
        <f aca="true">IF(B66="","",IF(OR(D66="Done"),"Done",IF(E66="","No Due Date",IF(E66&lt;TODAY(),"Overdue",IF(E66=TODAY(),"Due Today",IF(E66&lt;TODAY()+7,"Due This Week","Later"))))))</f>
        <v/>
      </c>
      <c r="I66" s="40" t="str">
        <f aca="false">IF(AND(B66&lt;&gt;"",D66&lt;&gt;"Done",E66&lt;&gt;""),E66+ROW()/100000,"")</f>
        <v/>
      </c>
    </row>
    <row r="67" customFormat="false" ht="15" hidden="false" customHeight="false" outlineLevel="0" collapsed="false">
      <c r="A67" s="32"/>
      <c r="B67" s="32"/>
      <c r="C67" s="33"/>
      <c r="D67" s="32"/>
      <c r="E67" s="35"/>
      <c r="F67" s="32"/>
      <c r="G67" s="35"/>
      <c r="H67" s="37" t="str">
        <f aca="true">IF(B67="","",IF(OR(D67="Done"),"Done",IF(E67="","No Due Date",IF(E67&lt;TODAY(),"Overdue",IF(E67=TODAY(),"Due Today",IF(E67&lt;TODAY()+7,"Due This Week","Later"))))))</f>
        <v/>
      </c>
      <c r="I67" s="40" t="str">
        <f aca="false">IF(AND(B67&lt;&gt;"",D67&lt;&gt;"Done",E67&lt;&gt;""),E67+ROW()/100000,"")</f>
        <v/>
      </c>
    </row>
    <row r="68" customFormat="false" ht="15" hidden="false" customHeight="false" outlineLevel="0" collapsed="false">
      <c r="A68" s="32"/>
      <c r="B68" s="32"/>
      <c r="C68" s="33"/>
      <c r="D68" s="32"/>
      <c r="E68" s="35"/>
      <c r="F68" s="32"/>
      <c r="G68" s="35"/>
      <c r="H68" s="37" t="str">
        <f aca="true">IF(B68="","",IF(OR(D68="Done"),"Done",IF(E68="","No Due Date",IF(E68&lt;TODAY(),"Overdue",IF(E68=TODAY(),"Due Today",IF(E68&lt;TODAY()+7,"Due This Week","Later"))))))</f>
        <v/>
      </c>
      <c r="I68" s="40" t="str">
        <f aca="false">IF(AND(B68&lt;&gt;"",D68&lt;&gt;"Done",E68&lt;&gt;""),E68+ROW()/100000,"")</f>
        <v/>
      </c>
    </row>
    <row r="69" customFormat="false" ht="15" hidden="false" customHeight="false" outlineLevel="0" collapsed="false">
      <c r="A69" s="32"/>
      <c r="B69" s="32"/>
      <c r="C69" s="33"/>
      <c r="D69" s="32"/>
      <c r="E69" s="35"/>
      <c r="F69" s="32"/>
      <c r="G69" s="35"/>
      <c r="H69" s="37" t="str">
        <f aca="true">IF(B69="","",IF(OR(D69="Done"),"Done",IF(E69="","No Due Date",IF(E69&lt;TODAY(),"Overdue",IF(E69=TODAY(),"Due Today",IF(E69&lt;TODAY()+7,"Due This Week","Later"))))))</f>
        <v/>
      </c>
      <c r="I69" s="40" t="str">
        <f aca="false">IF(AND(B69&lt;&gt;"",D69&lt;&gt;"Done",E69&lt;&gt;""),E69+ROW()/100000,"")</f>
        <v/>
      </c>
    </row>
    <row r="70" customFormat="false" ht="15" hidden="false" customHeight="false" outlineLevel="0" collapsed="false">
      <c r="A70" s="32"/>
      <c r="B70" s="32"/>
      <c r="C70" s="33"/>
      <c r="D70" s="32"/>
      <c r="E70" s="35"/>
      <c r="F70" s="32"/>
      <c r="G70" s="35"/>
      <c r="H70" s="37" t="str">
        <f aca="true">IF(B70="","",IF(OR(D70="Done"),"Done",IF(E70="","No Due Date",IF(E70&lt;TODAY(),"Overdue",IF(E70=TODAY(),"Due Today",IF(E70&lt;TODAY()+7,"Due This Week","Later"))))))</f>
        <v/>
      </c>
      <c r="I70" s="40" t="str">
        <f aca="false">IF(AND(B70&lt;&gt;"",D70&lt;&gt;"Done",E70&lt;&gt;""),E70+ROW()/100000,"")</f>
        <v/>
      </c>
    </row>
    <row r="71" customFormat="false" ht="15" hidden="false" customHeight="false" outlineLevel="0" collapsed="false">
      <c r="A71" s="32"/>
      <c r="B71" s="32"/>
      <c r="C71" s="33"/>
      <c r="D71" s="32"/>
      <c r="E71" s="35"/>
      <c r="F71" s="32"/>
      <c r="G71" s="35"/>
      <c r="H71" s="37" t="str">
        <f aca="true">IF(B71="","",IF(OR(D71="Done"),"Done",IF(E71="","No Due Date",IF(E71&lt;TODAY(),"Overdue",IF(E71=TODAY(),"Due Today",IF(E71&lt;TODAY()+7,"Due This Week","Later"))))))</f>
        <v/>
      </c>
      <c r="I71" s="40" t="str">
        <f aca="false">IF(AND(B71&lt;&gt;"",D71&lt;&gt;"Done",E71&lt;&gt;""),E71+ROW()/100000,"")</f>
        <v/>
      </c>
    </row>
    <row r="72" customFormat="false" ht="15" hidden="false" customHeight="false" outlineLevel="0" collapsed="false">
      <c r="A72" s="32"/>
      <c r="B72" s="32"/>
      <c r="C72" s="33"/>
      <c r="D72" s="32"/>
      <c r="E72" s="35"/>
      <c r="F72" s="32"/>
      <c r="G72" s="35"/>
      <c r="H72" s="37" t="str">
        <f aca="true">IF(B72="","",IF(OR(D72="Done"),"Done",IF(E72="","No Due Date",IF(E72&lt;TODAY(),"Overdue",IF(E72=TODAY(),"Due Today",IF(E72&lt;TODAY()+7,"Due This Week","Later"))))))</f>
        <v/>
      </c>
      <c r="I72" s="40" t="str">
        <f aca="false">IF(AND(B72&lt;&gt;"",D72&lt;&gt;"Done",E72&lt;&gt;""),E72+ROW()/100000,"")</f>
        <v/>
      </c>
    </row>
    <row r="73" customFormat="false" ht="15" hidden="false" customHeight="false" outlineLevel="0" collapsed="false">
      <c r="A73" s="32"/>
      <c r="B73" s="32"/>
      <c r="C73" s="33"/>
      <c r="D73" s="32"/>
      <c r="E73" s="35"/>
      <c r="F73" s="32"/>
      <c r="G73" s="35"/>
      <c r="H73" s="37" t="str">
        <f aca="true">IF(B73="","",IF(OR(D73="Done"),"Done",IF(E73="","No Due Date",IF(E73&lt;TODAY(),"Overdue",IF(E73=TODAY(),"Due Today",IF(E73&lt;TODAY()+7,"Due This Week","Later"))))))</f>
        <v/>
      </c>
      <c r="I73" s="40" t="str">
        <f aca="false">IF(AND(B73&lt;&gt;"",D73&lt;&gt;"Done",E73&lt;&gt;""),E73+ROW()/100000,"")</f>
        <v/>
      </c>
    </row>
    <row r="74" customFormat="false" ht="15" hidden="false" customHeight="false" outlineLevel="0" collapsed="false">
      <c r="A74" s="32"/>
      <c r="B74" s="32"/>
      <c r="C74" s="33"/>
      <c r="D74" s="32"/>
      <c r="E74" s="35"/>
      <c r="F74" s="32"/>
      <c r="G74" s="35"/>
      <c r="H74" s="37" t="str">
        <f aca="true">IF(B74="","",IF(OR(D74="Done"),"Done",IF(E74="","No Due Date",IF(E74&lt;TODAY(),"Overdue",IF(E74=TODAY(),"Due Today",IF(E74&lt;TODAY()+7,"Due This Week","Later"))))))</f>
        <v/>
      </c>
      <c r="I74" s="40" t="str">
        <f aca="false">IF(AND(B74&lt;&gt;"",D74&lt;&gt;"Done",E74&lt;&gt;""),E74+ROW()/100000,"")</f>
        <v/>
      </c>
    </row>
    <row r="75" customFormat="false" ht="15" hidden="false" customHeight="false" outlineLevel="0" collapsed="false">
      <c r="A75" s="32"/>
      <c r="B75" s="32"/>
      <c r="C75" s="33"/>
      <c r="D75" s="32"/>
      <c r="E75" s="35"/>
      <c r="F75" s="32"/>
      <c r="G75" s="35"/>
      <c r="H75" s="37" t="str">
        <f aca="true">IF(B75="","",IF(OR(D75="Done"),"Done",IF(E75="","No Due Date",IF(E75&lt;TODAY(),"Overdue",IF(E75=TODAY(),"Due Today",IF(E75&lt;TODAY()+7,"Due This Week","Later"))))))</f>
        <v/>
      </c>
      <c r="I75" s="40" t="str">
        <f aca="false">IF(AND(B75&lt;&gt;"",D75&lt;&gt;"Done",E75&lt;&gt;""),E75+ROW()/100000,"")</f>
        <v/>
      </c>
    </row>
    <row r="76" customFormat="false" ht="15" hidden="false" customHeight="false" outlineLevel="0" collapsed="false">
      <c r="A76" s="32"/>
      <c r="B76" s="32"/>
      <c r="C76" s="33"/>
      <c r="D76" s="32"/>
      <c r="E76" s="35"/>
      <c r="F76" s="32"/>
      <c r="G76" s="35"/>
      <c r="H76" s="37" t="str">
        <f aca="true">IF(B76="","",IF(OR(D76="Done"),"Done",IF(E76="","No Due Date",IF(E76&lt;TODAY(),"Overdue",IF(E76=TODAY(),"Due Today",IF(E76&lt;TODAY()+7,"Due This Week","Later"))))))</f>
        <v/>
      </c>
      <c r="I76" s="40" t="str">
        <f aca="false">IF(AND(B76&lt;&gt;"",D76&lt;&gt;"Done",E76&lt;&gt;""),E76+ROW()/100000,"")</f>
        <v/>
      </c>
    </row>
    <row r="77" customFormat="false" ht="15" hidden="false" customHeight="false" outlineLevel="0" collapsed="false">
      <c r="A77" s="32"/>
      <c r="B77" s="32"/>
      <c r="C77" s="33"/>
      <c r="D77" s="32"/>
      <c r="E77" s="35"/>
      <c r="F77" s="32"/>
      <c r="G77" s="35"/>
      <c r="H77" s="37" t="str">
        <f aca="true">IF(B77="","",IF(OR(D77="Done"),"Done",IF(E77="","No Due Date",IF(E77&lt;TODAY(),"Overdue",IF(E77=TODAY(),"Due Today",IF(E77&lt;TODAY()+7,"Due This Week","Later"))))))</f>
        <v/>
      </c>
      <c r="I77" s="40" t="str">
        <f aca="false">IF(AND(B77&lt;&gt;"",D77&lt;&gt;"Done",E77&lt;&gt;""),E77+ROW()/100000,"")</f>
        <v/>
      </c>
    </row>
    <row r="78" customFormat="false" ht="15" hidden="false" customHeight="false" outlineLevel="0" collapsed="false">
      <c r="A78" s="32"/>
      <c r="B78" s="32"/>
      <c r="C78" s="33"/>
      <c r="D78" s="32"/>
      <c r="E78" s="35"/>
      <c r="F78" s="32"/>
      <c r="G78" s="35"/>
      <c r="H78" s="37" t="str">
        <f aca="true">IF(B78="","",IF(OR(D78="Done"),"Done",IF(E78="","No Due Date",IF(E78&lt;TODAY(),"Overdue",IF(E78=TODAY(),"Due Today",IF(E78&lt;TODAY()+7,"Due This Week","Later"))))))</f>
        <v/>
      </c>
      <c r="I78" s="40" t="str">
        <f aca="false">IF(AND(B78&lt;&gt;"",D78&lt;&gt;"Done",E78&lt;&gt;""),E78+ROW()/100000,"")</f>
        <v/>
      </c>
    </row>
    <row r="79" customFormat="false" ht="15" hidden="false" customHeight="false" outlineLevel="0" collapsed="false">
      <c r="A79" s="32"/>
      <c r="B79" s="32"/>
      <c r="C79" s="33"/>
      <c r="D79" s="32"/>
      <c r="E79" s="35"/>
      <c r="F79" s="32"/>
      <c r="G79" s="35"/>
      <c r="H79" s="37" t="str">
        <f aca="true">IF(B79="","",IF(OR(D79="Done"),"Done",IF(E79="","No Due Date",IF(E79&lt;TODAY(),"Overdue",IF(E79=TODAY(),"Due Today",IF(E79&lt;TODAY()+7,"Due This Week","Later"))))))</f>
        <v/>
      </c>
      <c r="I79" s="40" t="str">
        <f aca="false">IF(AND(B79&lt;&gt;"",D79&lt;&gt;"Done",E79&lt;&gt;""),E79+ROW()/100000,"")</f>
        <v/>
      </c>
    </row>
    <row r="80" customFormat="false" ht="15" hidden="false" customHeight="false" outlineLevel="0" collapsed="false">
      <c r="A80" s="32"/>
      <c r="B80" s="32"/>
      <c r="C80" s="33"/>
      <c r="D80" s="32"/>
      <c r="E80" s="35"/>
      <c r="F80" s="32"/>
      <c r="G80" s="35"/>
      <c r="H80" s="37" t="str">
        <f aca="true">IF(B80="","",IF(OR(D80="Done"),"Done",IF(E80="","No Due Date",IF(E80&lt;TODAY(),"Overdue",IF(E80=TODAY(),"Due Today",IF(E80&lt;TODAY()+7,"Due This Week","Later"))))))</f>
        <v/>
      </c>
      <c r="I80" s="40" t="str">
        <f aca="false">IF(AND(B80&lt;&gt;"",D80&lt;&gt;"Done",E80&lt;&gt;""),E80+ROW()/100000,"")</f>
        <v/>
      </c>
    </row>
    <row r="81" customFormat="false" ht="15" hidden="false" customHeight="false" outlineLevel="0" collapsed="false">
      <c r="A81" s="32"/>
      <c r="B81" s="32"/>
      <c r="C81" s="33"/>
      <c r="D81" s="32"/>
      <c r="E81" s="35"/>
      <c r="F81" s="32"/>
      <c r="G81" s="35"/>
      <c r="H81" s="37" t="str">
        <f aca="true">IF(B81="","",IF(OR(D81="Done"),"Done",IF(E81="","No Due Date",IF(E81&lt;TODAY(),"Overdue",IF(E81=TODAY(),"Due Today",IF(E81&lt;TODAY()+7,"Due This Week","Later"))))))</f>
        <v/>
      </c>
      <c r="I81" s="40" t="str">
        <f aca="false">IF(AND(B81&lt;&gt;"",D81&lt;&gt;"Done",E81&lt;&gt;""),E81+ROW()/100000,"")</f>
        <v/>
      </c>
    </row>
    <row r="82" customFormat="false" ht="15" hidden="false" customHeight="false" outlineLevel="0" collapsed="false">
      <c r="A82" s="32"/>
      <c r="B82" s="32"/>
      <c r="C82" s="33"/>
      <c r="D82" s="32"/>
      <c r="E82" s="35"/>
      <c r="F82" s="32"/>
      <c r="G82" s="35"/>
      <c r="H82" s="37" t="str">
        <f aca="true">IF(B82="","",IF(OR(D82="Done"),"Done",IF(E82="","No Due Date",IF(E82&lt;TODAY(),"Overdue",IF(E82=TODAY(),"Due Today",IF(E82&lt;TODAY()+7,"Due This Week","Later"))))))</f>
        <v/>
      </c>
      <c r="I82" s="40" t="str">
        <f aca="false">IF(AND(B82&lt;&gt;"",D82&lt;&gt;"Done",E82&lt;&gt;""),E82+ROW()/100000,"")</f>
        <v/>
      </c>
    </row>
    <row r="83" customFormat="false" ht="15" hidden="false" customHeight="false" outlineLevel="0" collapsed="false">
      <c r="A83" s="32"/>
      <c r="B83" s="32"/>
      <c r="C83" s="33"/>
      <c r="D83" s="32"/>
      <c r="E83" s="35"/>
      <c r="F83" s="32"/>
      <c r="G83" s="35"/>
      <c r="H83" s="37" t="str">
        <f aca="true">IF(B83="","",IF(OR(D83="Done"),"Done",IF(E83="","No Due Date",IF(E83&lt;TODAY(),"Overdue",IF(E83=TODAY(),"Due Today",IF(E83&lt;TODAY()+7,"Due This Week","Later"))))))</f>
        <v/>
      </c>
      <c r="I83" s="40" t="str">
        <f aca="false">IF(AND(B83&lt;&gt;"",D83&lt;&gt;"Done",E83&lt;&gt;""),E83+ROW()/100000,"")</f>
        <v/>
      </c>
    </row>
    <row r="84" customFormat="false" ht="15" hidden="false" customHeight="false" outlineLevel="0" collapsed="false">
      <c r="A84" s="32"/>
      <c r="B84" s="32"/>
      <c r="C84" s="33"/>
      <c r="D84" s="32"/>
      <c r="E84" s="35"/>
      <c r="F84" s="32"/>
      <c r="G84" s="35"/>
      <c r="H84" s="37" t="str">
        <f aca="true">IF(B84="","",IF(OR(D84="Done"),"Done",IF(E84="","No Due Date",IF(E84&lt;TODAY(),"Overdue",IF(E84=TODAY(),"Due Today",IF(E84&lt;TODAY()+7,"Due This Week","Later"))))))</f>
        <v/>
      </c>
      <c r="I84" s="40" t="str">
        <f aca="false">IF(AND(B84&lt;&gt;"",D84&lt;&gt;"Done",E84&lt;&gt;""),E84+ROW()/100000,"")</f>
        <v/>
      </c>
    </row>
    <row r="85" customFormat="false" ht="15" hidden="false" customHeight="false" outlineLevel="0" collapsed="false">
      <c r="A85" s="32"/>
      <c r="B85" s="32"/>
      <c r="C85" s="33"/>
      <c r="D85" s="32"/>
      <c r="E85" s="35"/>
      <c r="F85" s="32"/>
      <c r="G85" s="35"/>
      <c r="H85" s="37" t="str">
        <f aca="true">IF(B85="","",IF(OR(D85="Done"),"Done",IF(E85="","No Due Date",IF(E85&lt;TODAY(),"Overdue",IF(E85=TODAY(),"Due Today",IF(E85&lt;TODAY()+7,"Due This Week","Later"))))))</f>
        <v/>
      </c>
      <c r="I85" s="40" t="str">
        <f aca="false">IF(AND(B85&lt;&gt;"",D85&lt;&gt;"Done",E85&lt;&gt;""),E85+ROW()/100000,"")</f>
        <v/>
      </c>
    </row>
    <row r="86" customFormat="false" ht="15" hidden="false" customHeight="false" outlineLevel="0" collapsed="false">
      <c r="A86" s="32"/>
      <c r="B86" s="32"/>
      <c r="C86" s="33"/>
      <c r="D86" s="32"/>
      <c r="E86" s="35"/>
      <c r="F86" s="32"/>
      <c r="G86" s="35"/>
      <c r="H86" s="37" t="str">
        <f aca="true">IF(B86="","",IF(OR(D86="Done"),"Done",IF(E86="","No Due Date",IF(E86&lt;TODAY(),"Overdue",IF(E86=TODAY(),"Due Today",IF(E86&lt;TODAY()+7,"Due This Week","Later"))))))</f>
        <v/>
      </c>
      <c r="I86" s="40" t="str">
        <f aca="false">IF(AND(B86&lt;&gt;"",D86&lt;&gt;"Done",E86&lt;&gt;""),E86+ROW()/100000,"")</f>
        <v/>
      </c>
    </row>
    <row r="87" customFormat="false" ht="15" hidden="false" customHeight="false" outlineLevel="0" collapsed="false">
      <c r="A87" s="32"/>
      <c r="B87" s="32"/>
      <c r="C87" s="33"/>
      <c r="D87" s="32"/>
      <c r="E87" s="35"/>
      <c r="F87" s="32"/>
      <c r="G87" s="35"/>
      <c r="H87" s="37" t="str">
        <f aca="true">IF(B87="","",IF(OR(D87="Done"),"Done",IF(E87="","No Due Date",IF(E87&lt;TODAY(),"Overdue",IF(E87=TODAY(),"Due Today",IF(E87&lt;TODAY()+7,"Due This Week","Later"))))))</f>
        <v/>
      </c>
      <c r="I87" s="40" t="str">
        <f aca="false">IF(AND(B87&lt;&gt;"",D87&lt;&gt;"Done",E87&lt;&gt;""),E87+ROW()/100000,"")</f>
        <v/>
      </c>
    </row>
    <row r="88" customFormat="false" ht="15" hidden="false" customHeight="false" outlineLevel="0" collapsed="false">
      <c r="A88" s="32"/>
      <c r="B88" s="32"/>
      <c r="C88" s="33"/>
      <c r="D88" s="32"/>
      <c r="E88" s="35"/>
      <c r="F88" s="32"/>
      <c r="G88" s="35"/>
      <c r="H88" s="37" t="str">
        <f aca="true">IF(B88="","",IF(OR(D88="Done"),"Done",IF(E88="","No Due Date",IF(E88&lt;TODAY(),"Overdue",IF(E88=TODAY(),"Due Today",IF(E88&lt;TODAY()+7,"Due This Week","Later"))))))</f>
        <v/>
      </c>
      <c r="I88" s="40" t="str">
        <f aca="false">IF(AND(B88&lt;&gt;"",D88&lt;&gt;"Done",E88&lt;&gt;""),E88+ROW()/100000,"")</f>
        <v/>
      </c>
    </row>
    <row r="89" customFormat="false" ht="15" hidden="false" customHeight="false" outlineLevel="0" collapsed="false">
      <c r="A89" s="32"/>
      <c r="B89" s="32"/>
      <c r="C89" s="33"/>
      <c r="D89" s="32"/>
      <c r="E89" s="35"/>
      <c r="F89" s="32"/>
      <c r="G89" s="35"/>
      <c r="H89" s="37" t="str">
        <f aca="true">IF(B89="","",IF(OR(D89="Done"),"Done",IF(E89="","No Due Date",IF(E89&lt;TODAY(),"Overdue",IF(E89=TODAY(),"Due Today",IF(E89&lt;TODAY()+7,"Due This Week","Later"))))))</f>
        <v/>
      </c>
      <c r="I89" s="40" t="str">
        <f aca="false">IF(AND(B89&lt;&gt;"",D89&lt;&gt;"Done",E89&lt;&gt;""),E89+ROW()/100000,"")</f>
        <v/>
      </c>
    </row>
    <row r="90" customFormat="false" ht="15" hidden="false" customHeight="false" outlineLevel="0" collapsed="false">
      <c r="A90" s="32"/>
      <c r="B90" s="32"/>
      <c r="C90" s="33"/>
      <c r="D90" s="32"/>
      <c r="E90" s="35"/>
      <c r="F90" s="32"/>
      <c r="G90" s="35"/>
      <c r="H90" s="37" t="str">
        <f aca="true">IF(B90="","",IF(OR(D90="Done"),"Done",IF(E90="","No Due Date",IF(E90&lt;TODAY(),"Overdue",IF(E90=TODAY(),"Due Today",IF(E90&lt;TODAY()+7,"Due This Week","Later"))))))</f>
        <v/>
      </c>
      <c r="I90" s="40" t="str">
        <f aca="false">IF(AND(B90&lt;&gt;"",D90&lt;&gt;"Done",E90&lt;&gt;""),E90+ROW()/100000,"")</f>
        <v/>
      </c>
    </row>
    <row r="91" customFormat="false" ht="15" hidden="false" customHeight="false" outlineLevel="0" collapsed="false">
      <c r="A91" s="32"/>
      <c r="B91" s="32"/>
      <c r="C91" s="33"/>
      <c r="D91" s="32"/>
      <c r="E91" s="35"/>
      <c r="F91" s="32"/>
      <c r="G91" s="35"/>
      <c r="H91" s="37" t="str">
        <f aca="true">IF(B91="","",IF(OR(D91="Done"),"Done",IF(E91="","No Due Date",IF(E91&lt;TODAY(),"Overdue",IF(E91=TODAY(),"Due Today",IF(E91&lt;TODAY()+7,"Due This Week","Later"))))))</f>
        <v/>
      </c>
      <c r="I91" s="40" t="str">
        <f aca="false">IF(AND(B91&lt;&gt;"",D91&lt;&gt;"Done",E91&lt;&gt;""),E91+ROW()/100000,"")</f>
        <v/>
      </c>
    </row>
    <row r="92" customFormat="false" ht="15" hidden="false" customHeight="false" outlineLevel="0" collapsed="false">
      <c r="A92" s="32"/>
      <c r="B92" s="32"/>
      <c r="C92" s="33"/>
      <c r="D92" s="32"/>
      <c r="E92" s="35"/>
      <c r="F92" s="32"/>
      <c r="G92" s="35"/>
      <c r="H92" s="37" t="str">
        <f aca="true">IF(B92="","",IF(OR(D92="Done"),"Done",IF(E92="","No Due Date",IF(E92&lt;TODAY(),"Overdue",IF(E92=TODAY(),"Due Today",IF(E92&lt;TODAY()+7,"Due This Week","Later"))))))</f>
        <v/>
      </c>
      <c r="I92" s="40" t="str">
        <f aca="false">IF(AND(B92&lt;&gt;"",D92&lt;&gt;"Done",E92&lt;&gt;""),E92+ROW()/100000,"")</f>
        <v/>
      </c>
    </row>
    <row r="93" customFormat="false" ht="15" hidden="false" customHeight="false" outlineLevel="0" collapsed="false">
      <c r="A93" s="32"/>
      <c r="B93" s="32"/>
      <c r="C93" s="33"/>
      <c r="D93" s="32"/>
      <c r="E93" s="35"/>
      <c r="F93" s="32"/>
      <c r="G93" s="35"/>
      <c r="H93" s="37" t="str">
        <f aca="true">IF(B93="","",IF(OR(D93="Done"),"Done",IF(E93="","No Due Date",IF(E93&lt;TODAY(),"Overdue",IF(E93=TODAY(),"Due Today",IF(E93&lt;TODAY()+7,"Due This Week","Later"))))))</f>
        <v/>
      </c>
      <c r="I93" s="40" t="str">
        <f aca="false">IF(AND(B93&lt;&gt;"",D93&lt;&gt;"Done",E93&lt;&gt;""),E93+ROW()/100000,"")</f>
        <v/>
      </c>
    </row>
    <row r="94" customFormat="false" ht="15" hidden="false" customHeight="false" outlineLevel="0" collapsed="false">
      <c r="A94" s="32"/>
      <c r="B94" s="32"/>
      <c r="C94" s="33"/>
      <c r="D94" s="32"/>
      <c r="E94" s="35"/>
      <c r="F94" s="32"/>
      <c r="G94" s="35"/>
      <c r="H94" s="37" t="str">
        <f aca="true">IF(B94="","",IF(OR(D94="Done"),"Done",IF(E94="","No Due Date",IF(E94&lt;TODAY(),"Overdue",IF(E94=TODAY(),"Due Today",IF(E94&lt;TODAY()+7,"Due This Week","Later"))))))</f>
        <v/>
      </c>
      <c r="I94" s="40" t="str">
        <f aca="false">IF(AND(B94&lt;&gt;"",D94&lt;&gt;"Done",E94&lt;&gt;""),E94+ROW()/100000,"")</f>
        <v/>
      </c>
    </row>
    <row r="95" customFormat="false" ht="15" hidden="false" customHeight="false" outlineLevel="0" collapsed="false">
      <c r="A95" s="32"/>
      <c r="B95" s="32"/>
      <c r="C95" s="33"/>
      <c r="D95" s="32"/>
      <c r="E95" s="35"/>
      <c r="F95" s="32"/>
      <c r="G95" s="35"/>
      <c r="H95" s="37" t="str">
        <f aca="true">IF(B95="","",IF(OR(D95="Done"),"Done",IF(E95="","No Due Date",IF(E95&lt;TODAY(),"Overdue",IF(E95=TODAY(),"Due Today",IF(E95&lt;TODAY()+7,"Due This Week","Later"))))))</f>
        <v/>
      </c>
      <c r="I95" s="40" t="str">
        <f aca="false">IF(AND(B95&lt;&gt;"",D95&lt;&gt;"Done",E95&lt;&gt;""),E95+ROW()/100000,"")</f>
        <v/>
      </c>
    </row>
    <row r="96" customFormat="false" ht="15" hidden="false" customHeight="false" outlineLevel="0" collapsed="false">
      <c r="A96" s="32"/>
      <c r="B96" s="32"/>
      <c r="C96" s="33"/>
      <c r="D96" s="32"/>
      <c r="E96" s="35"/>
      <c r="F96" s="32"/>
      <c r="G96" s="35"/>
      <c r="H96" s="37" t="str">
        <f aca="true">IF(B96="","",IF(OR(D96="Done"),"Done",IF(E96="","No Due Date",IF(E96&lt;TODAY(),"Overdue",IF(E96=TODAY(),"Due Today",IF(E96&lt;TODAY()+7,"Due This Week","Later"))))))</f>
        <v/>
      </c>
      <c r="I96" s="40" t="str">
        <f aca="false">IF(AND(B96&lt;&gt;"",D96&lt;&gt;"Done",E96&lt;&gt;""),E96+ROW()/100000,"")</f>
        <v/>
      </c>
    </row>
    <row r="97" customFormat="false" ht="15" hidden="false" customHeight="false" outlineLevel="0" collapsed="false">
      <c r="A97" s="32"/>
      <c r="B97" s="32"/>
      <c r="C97" s="33"/>
      <c r="D97" s="32"/>
      <c r="E97" s="35"/>
      <c r="F97" s="32"/>
      <c r="G97" s="35"/>
      <c r="H97" s="37" t="str">
        <f aca="true">IF(B97="","",IF(OR(D97="Done"),"Done",IF(E97="","No Due Date",IF(E97&lt;TODAY(),"Overdue",IF(E97=TODAY(),"Due Today",IF(E97&lt;TODAY()+7,"Due This Week","Later"))))))</f>
        <v/>
      </c>
      <c r="I97" s="40" t="str">
        <f aca="false">IF(AND(B97&lt;&gt;"",D97&lt;&gt;"Done",E97&lt;&gt;""),E97+ROW()/100000,"")</f>
        <v/>
      </c>
    </row>
    <row r="98" customFormat="false" ht="15" hidden="false" customHeight="false" outlineLevel="0" collapsed="false">
      <c r="A98" s="32"/>
      <c r="B98" s="32"/>
      <c r="C98" s="33"/>
      <c r="D98" s="32"/>
      <c r="E98" s="35"/>
      <c r="F98" s="32"/>
      <c r="G98" s="35"/>
      <c r="H98" s="37" t="str">
        <f aca="true">IF(B98="","",IF(OR(D98="Done"),"Done",IF(E98="","No Due Date",IF(E98&lt;TODAY(),"Overdue",IF(E98=TODAY(),"Due Today",IF(E98&lt;TODAY()+7,"Due This Week","Later"))))))</f>
        <v/>
      </c>
      <c r="I98" s="40" t="str">
        <f aca="false">IF(AND(B98&lt;&gt;"",D98&lt;&gt;"Done",E98&lt;&gt;""),E98+ROW()/100000,"")</f>
        <v/>
      </c>
    </row>
    <row r="99" customFormat="false" ht="15" hidden="false" customHeight="false" outlineLevel="0" collapsed="false">
      <c r="A99" s="32"/>
      <c r="B99" s="32"/>
      <c r="C99" s="33"/>
      <c r="D99" s="32"/>
      <c r="E99" s="35"/>
      <c r="F99" s="32"/>
      <c r="G99" s="35"/>
      <c r="H99" s="37" t="str">
        <f aca="true">IF(B99="","",IF(OR(D99="Done"),"Done",IF(E99="","No Due Date",IF(E99&lt;TODAY(),"Overdue",IF(E99=TODAY(),"Due Today",IF(E99&lt;TODAY()+7,"Due This Week","Later"))))))</f>
        <v/>
      </c>
      <c r="I99" s="40" t="str">
        <f aca="false">IF(AND(B99&lt;&gt;"",D99&lt;&gt;"Done",E99&lt;&gt;""),E99+ROW()/100000,"")</f>
        <v/>
      </c>
    </row>
    <row r="100" customFormat="false" ht="15" hidden="false" customHeight="false" outlineLevel="0" collapsed="false">
      <c r="A100" s="32"/>
      <c r="B100" s="32"/>
      <c r="C100" s="33"/>
      <c r="D100" s="32"/>
      <c r="E100" s="35"/>
      <c r="F100" s="32"/>
      <c r="G100" s="35"/>
      <c r="H100" s="37" t="str">
        <f aca="true">IF(B100="","",IF(OR(D100="Done"),"Done",IF(E100="","No Due Date",IF(E100&lt;TODAY(),"Overdue",IF(E100=TODAY(),"Due Today",IF(E100&lt;TODAY()+7,"Due This Week","Later"))))))</f>
        <v/>
      </c>
      <c r="I100" s="40" t="str">
        <f aca="false">IF(AND(B100&lt;&gt;"",D100&lt;&gt;"Done",E100&lt;&gt;""),E100+ROW()/100000,"")</f>
        <v/>
      </c>
    </row>
    <row r="101" customFormat="false" ht="15" hidden="false" customHeight="false" outlineLevel="0" collapsed="false">
      <c r="A101" s="32"/>
      <c r="B101" s="32"/>
      <c r="C101" s="33"/>
      <c r="D101" s="32"/>
      <c r="E101" s="35"/>
      <c r="F101" s="32"/>
      <c r="G101" s="35"/>
      <c r="H101" s="37" t="str">
        <f aca="true">IF(B101="","",IF(OR(D101="Done"),"Done",IF(E101="","No Due Date",IF(E101&lt;TODAY(),"Overdue",IF(E101=TODAY(),"Due Today",IF(E101&lt;TODAY()+7,"Due This Week","Later"))))))</f>
        <v/>
      </c>
      <c r="I101" s="40" t="str">
        <f aca="false">IF(AND(B101&lt;&gt;"",D101&lt;&gt;"Done",E101&lt;&gt;""),E101+ROW()/100000,"")</f>
        <v/>
      </c>
    </row>
    <row r="102" customFormat="false" ht="15" hidden="false" customHeight="false" outlineLevel="0" collapsed="false">
      <c r="A102" s="32"/>
      <c r="B102" s="32"/>
      <c r="C102" s="33"/>
      <c r="D102" s="32"/>
      <c r="E102" s="35"/>
      <c r="F102" s="32"/>
      <c r="G102" s="35"/>
      <c r="H102" s="37" t="str">
        <f aca="true">IF(B102="","",IF(OR(D102="Done"),"Done",IF(E102="","No Due Date",IF(E102&lt;TODAY(),"Overdue",IF(E102=TODAY(),"Due Today",IF(E102&lt;TODAY()+7,"Due This Week","Later"))))))</f>
        <v/>
      </c>
      <c r="I102" s="40" t="str">
        <f aca="false">IF(AND(B102&lt;&gt;"",D102&lt;&gt;"Done",E102&lt;&gt;""),E102+ROW()/100000,"")</f>
        <v/>
      </c>
    </row>
    <row r="103" customFormat="false" ht="15" hidden="false" customHeight="false" outlineLevel="0" collapsed="false">
      <c r="A103" s="32"/>
      <c r="B103" s="32"/>
      <c r="C103" s="33"/>
      <c r="D103" s="32"/>
      <c r="E103" s="35"/>
      <c r="F103" s="32"/>
      <c r="G103" s="35"/>
      <c r="H103" s="37" t="str">
        <f aca="true">IF(B103="","",IF(OR(D103="Done"),"Done",IF(E103="","No Due Date",IF(E103&lt;TODAY(),"Overdue",IF(E103=TODAY(),"Due Today",IF(E103&lt;TODAY()+7,"Due This Week","Later"))))))</f>
        <v/>
      </c>
      <c r="I103" s="40" t="str">
        <f aca="false">IF(AND(B103&lt;&gt;"",D103&lt;&gt;"Done",E103&lt;&gt;""),E103+ROW()/100000,"")</f>
        <v/>
      </c>
    </row>
    <row r="104" customFormat="false" ht="15" hidden="false" customHeight="false" outlineLevel="0" collapsed="false">
      <c r="A104" s="32"/>
      <c r="B104" s="32"/>
      <c r="C104" s="33"/>
      <c r="D104" s="32"/>
      <c r="E104" s="35"/>
      <c r="F104" s="32"/>
      <c r="G104" s="35"/>
      <c r="H104" s="37" t="str">
        <f aca="true">IF(B104="","",IF(OR(D104="Done"),"Done",IF(E104="","No Due Date",IF(E104&lt;TODAY(),"Overdue",IF(E104=TODAY(),"Due Today",IF(E104&lt;TODAY()+7,"Due This Week","Later"))))))</f>
        <v/>
      </c>
      <c r="I104" s="40" t="str">
        <f aca="false">IF(AND(B104&lt;&gt;"",D104&lt;&gt;"Done",E104&lt;&gt;""),E104+ROW()/100000,"")</f>
        <v/>
      </c>
    </row>
    <row r="105" customFormat="false" ht="15" hidden="false" customHeight="false" outlineLevel="0" collapsed="false">
      <c r="A105" s="32"/>
      <c r="B105" s="32"/>
      <c r="C105" s="33"/>
      <c r="D105" s="32"/>
      <c r="E105" s="35"/>
      <c r="F105" s="32"/>
      <c r="G105" s="35"/>
      <c r="H105" s="37" t="str">
        <f aca="true">IF(B105="","",IF(OR(D105="Done"),"Done",IF(E105="","No Due Date",IF(E105&lt;TODAY(),"Overdue",IF(E105=TODAY(),"Due Today",IF(E105&lt;TODAY()+7,"Due This Week","Later"))))))</f>
        <v/>
      </c>
      <c r="I105" s="40" t="str">
        <f aca="false">IF(AND(B105&lt;&gt;"",D105&lt;&gt;"Done",E105&lt;&gt;""),E105+ROW()/100000,"")</f>
        <v/>
      </c>
    </row>
    <row r="106" customFormat="false" ht="15" hidden="false" customHeight="false" outlineLevel="0" collapsed="false">
      <c r="A106" s="32"/>
      <c r="B106" s="32"/>
      <c r="C106" s="33"/>
      <c r="D106" s="32"/>
      <c r="E106" s="35"/>
      <c r="F106" s="32"/>
      <c r="G106" s="35"/>
      <c r="H106" s="37" t="str">
        <f aca="true">IF(B106="","",IF(OR(D106="Done"),"Done",IF(E106="","No Due Date",IF(E106&lt;TODAY(),"Overdue",IF(E106=TODAY(),"Due Today",IF(E106&lt;TODAY()+7,"Due This Week","Later"))))))</f>
        <v/>
      </c>
      <c r="I106" s="40" t="str">
        <f aca="false">IF(AND(B106&lt;&gt;"",D106&lt;&gt;"Done",E106&lt;&gt;""),E106+ROW()/100000,"")</f>
        <v/>
      </c>
    </row>
    <row r="107" customFormat="false" ht="15" hidden="false" customHeight="false" outlineLevel="0" collapsed="false">
      <c r="A107" s="32"/>
      <c r="B107" s="32"/>
      <c r="C107" s="33"/>
      <c r="D107" s="32"/>
      <c r="E107" s="35"/>
      <c r="F107" s="32"/>
      <c r="G107" s="35"/>
      <c r="H107" s="37" t="str">
        <f aca="true">IF(B107="","",IF(OR(D107="Done"),"Done",IF(E107="","No Due Date",IF(E107&lt;TODAY(),"Overdue",IF(E107=TODAY(),"Due Today",IF(E107&lt;TODAY()+7,"Due This Week","Later"))))))</f>
        <v/>
      </c>
      <c r="I107" s="40" t="str">
        <f aca="false">IF(AND(B107&lt;&gt;"",D107&lt;&gt;"Done",E107&lt;&gt;""),E107+ROW()/100000,"")</f>
        <v/>
      </c>
    </row>
    <row r="108" customFormat="false" ht="15" hidden="false" customHeight="false" outlineLevel="0" collapsed="false">
      <c r="A108" s="32"/>
      <c r="B108" s="32"/>
      <c r="C108" s="33"/>
      <c r="D108" s="32"/>
      <c r="E108" s="35"/>
      <c r="F108" s="32"/>
      <c r="G108" s="35"/>
      <c r="H108" s="37" t="str">
        <f aca="true">IF(B108="","",IF(OR(D108="Done"),"Done",IF(E108="","No Due Date",IF(E108&lt;TODAY(),"Overdue",IF(E108=TODAY(),"Due Today",IF(E108&lt;TODAY()+7,"Due This Week","Later"))))))</f>
        <v/>
      </c>
      <c r="I108" s="40" t="str">
        <f aca="false">IF(AND(B108&lt;&gt;"",D108&lt;&gt;"Done",E108&lt;&gt;""),E108+ROW()/100000,"")</f>
        <v/>
      </c>
    </row>
    <row r="109" customFormat="false" ht="15" hidden="false" customHeight="false" outlineLevel="0" collapsed="false">
      <c r="A109" s="32"/>
      <c r="B109" s="32"/>
      <c r="C109" s="33"/>
      <c r="D109" s="32"/>
      <c r="E109" s="35"/>
      <c r="F109" s="32"/>
      <c r="G109" s="35"/>
      <c r="H109" s="37" t="str">
        <f aca="true">IF(B109="","",IF(OR(D109="Done"),"Done",IF(E109="","No Due Date",IF(E109&lt;TODAY(),"Overdue",IF(E109=TODAY(),"Due Today",IF(E109&lt;TODAY()+7,"Due This Week","Later"))))))</f>
        <v/>
      </c>
      <c r="I109" s="40" t="str">
        <f aca="false">IF(AND(B109&lt;&gt;"",D109&lt;&gt;"Done",E109&lt;&gt;""),E109+ROW()/100000,"")</f>
        <v/>
      </c>
    </row>
    <row r="110" customFormat="false" ht="15" hidden="false" customHeight="false" outlineLevel="0" collapsed="false">
      <c r="A110" s="32"/>
      <c r="B110" s="32"/>
      <c r="C110" s="33"/>
      <c r="D110" s="32"/>
      <c r="E110" s="35"/>
      <c r="F110" s="32"/>
      <c r="G110" s="35"/>
      <c r="H110" s="37" t="str">
        <f aca="true">IF(B110="","",IF(OR(D110="Done"),"Done",IF(E110="","No Due Date",IF(E110&lt;TODAY(),"Overdue",IF(E110=TODAY(),"Due Today",IF(E110&lt;TODAY()+7,"Due This Week","Later"))))))</f>
        <v/>
      </c>
      <c r="I110" s="40" t="str">
        <f aca="false">IF(AND(B110&lt;&gt;"",D110&lt;&gt;"Done",E110&lt;&gt;""),E110+ROW()/100000,"")</f>
        <v/>
      </c>
    </row>
    <row r="111" customFormat="false" ht="15" hidden="false" customHeight="false" outlineLevel="0" collapsed="false">
      <c r="A111" s="32"/>
      <c r="B111" s="32"/>
      <c r="C111" s="33"/>
      <c r="D111" s="32"/>
      <c r="E111" s="35"/>
      <c r="F111" s="32"/>
      <c r="G111" s="35"/>
      <c r="H111" s="37" t="str">
        <f aca="true">IF(B111="","",IF(OR(D111="Done"),"Done",IF(E111="","No Due Date",IF(E111&lt;TODAY(),"Overdue",IF(E111=TODAY(),"Due Today",IF(E111&lt;TODAY()+7,"Due This Week","Later"))))))</f>
        <v/>
      </c>
      <c r="I111" s="40" t="str">
        <f aca="false">IF(AND(B111&lt;&gt;"",D111&lt;&gt;"Done",E111&lt;&gt;""),E111+ROW()/100000,"")</f>
        <v/>
      </c>
    </row>
    <row r="112" customFormat="false" ht="15" hidden="false" customHeight="false" outlineLevel="0" collapsed="false">
      <c r="A112" s="32"/>
      <c r="B112" s="32"/>
      <c r="C112" s="33"/>
      <c r="D112" s="32"/>
      <c r="E112" s="35"/>
      <c r="F112" s="32"/>
      <c r="G112" s="35"/>
      <c r="H112" s="37" t="str">
        <f aca="true">IF(B112="","",IF(OR(D112="Done"),"Done",IF(E112="","No Due Date",IF(E112&lt;TODAY(),"Overdue",IF(E112=TODAY(),"Due Today",IF(E112&lt;TODAY()+7,"Due This Week","Later"))))))</f>
        <v/>
      </c>
      <c r="I112" s="40" t="str">
        <f aca="false">IF(AND(B112&lt;&gt;"",D112&lt;&gt;"Done",E112&lt;&gt;""),E112+ROW()/100000,"")</f>
        <v/>
      </c>
    </row>
    <row r="113" customFormat="false" ht="15" hidden="false" customHeight="false" outlineLevel="0" collapsed="false">
      <c r="A113" s="32"/>
      <c r="B113" s="32"/>
      <c r="C113" s="33"/>
      <c r="D113" s="32"/>
      <c r="E113" s="35"/>
      <c r="F113" s="32"/>
      <c r="G113" s="35"/>
      <c r="H113" s="37" t="str">
        <f aca="true">IF(B113="","",IF(OR(D113="Done"),"Done",IF(E113="","No Due Date",IF(E113&lt;TODAY(),"Overdue",IF(E113=TODAY(),"Due Today",IF(E113&lt;TODAY()+7,"Due This Week","Later"))))))</f>
        <v/>
      </c>
      <c r="I113" s="40" t="str">
        <f aca="false">IF(AND(B113&lt;&gt;"",D113&lt;&gt;"Done",E113&lt;&gt;""),E113+ROW()/100000,"")</f>
        <v/>
      </c>
    </row>
    <row r="114" customFormat="false" ht="15" hidden="false" customHeight="false" outlineLevel="0" collapsed="false">
      <c r="A114" s="32"/>
      <c r="B114" s="32"/>
      <c r="C114" s="33"/>
      <c r="D114" s="32"/>
      <c r="E114" s="35"/>
      <c r="F114" s="32"/>
      <c r="G114" s="35"/>
      <c r="H114" s="37" t="str">
        <f aca="true">IF(B114="","",IF(OR(D114="Done"),"Done",IF(E114="","No Due Date",IF(E114&lt;TODAY(),"Overdue",IF(E114=TODAY(),"Due Today",IF(E114&lt;TODAY()+7,"Due This Week","Later"))))))</f>
        <v/>
      </c>
      <c r="I114" s="40" t="str">
        <f aca="false">IF(AND(B114&lt;&gt;"",D114&lt;&gt;"Done",E114&lt;&gt;""),E114+ROW()/100000,"")</f>
        <v/>
      </c>
    </row>
    <row r="115" customFormat="false" ht="15" hidden="false" customHeight="false" outlineLevel="0" collapsed="false">
      <c r="A115" s="32"/>
      <c r="B115" s="32"/>
      <c r="C115" s="33"/>
      <c r="D115" s="32"/>
      <c r="E115" s="35"/>
      <c r="F115" s="32"/>
      <c r="G115" s="35"/>
      <c r="H115" s="37" t="str">
        <f aca="true">IF(B115="","",IF(OR(D115="Done"),"Done",IF(E115="","No Due Date",IF(E115&lt;TODAY(),"Overdue",IF(E115=TODAY(),"Due Today",IF(E115&lt;TODAY()+7,"Due This Week","Later"))))))</f>
        <v/>
      </c>
      <c r="I115" s="40" t="str">
        <f aca="false">IF(AND(B115&lt;&gt;"",D115&lt;&gt;"Done",E115&lt;&gt;""),E115+ROW()/100000,"")</f>
        <v/>
      </c>
    </row>
    <row r="116" customFormat="false" ht="15" hidden="false" customHeight="false" outlineLevel="0" collapsed="false">
      <c r="A116" s="32"/>
      <c r="B116" s="32"/>
      <c r="C116" s="33"/>
      <c r="D116" s="32"/>
      <c r="E116" s="35"/>
      <c r="F116" s="32"/>
      <c r="G116" s="35"/>
      <c r="H116" s="37" t="str">
        <f aca="true">IF(B116="","",IF(OR(D116="Done"),"Done",IF(E116="","No Due Date",IF(E116&lt;TODAY(),"Overdue",IF(E116=TODAY(),"Due Today",IF(E116&lt;TODAY()+7,"Due This Week","Later"))))))</f>
        <v/>
      </c>
      <c r="I116" s="40" t="str">
        <f aca="false">IF(AND(B116&lt;&gt;"",D116&lt;&gt;"Done",E116&lt;&gt;""),E116+ROW()/100000,"")</f>
        <v/>
      </c>
    </row>
    <row r="117" customFormat="false" ht="15" hidden="false" customHeight="false" outlineLevel="0" collapsed="false">
      <c r="A117" s="32"/>
      <c r="B117" s="32"/>
      <c r="C117" s="33"/>
      <c r="D117" s="32"/>
      <c r="E117" s="35"/>
      <c r="F117" s="32"/>
      <c r="G117" s="35"/>
      <c r="H117" s="37" t="str">
        <f aca="true">IF(B117="","",IF(OR(D117="Done"),"Done",IF(E117="","No Due Date",IF(E117&lt;TODAY(),"Overdue",IF(E117=TODAY(),"Due Today",IF(E117&lt;TODAY()+7,"Due This Week","Later"))))))</f>
        <v/>
      </c>
      <c r="I117" s="40" t="str">
        <f aca="false">IF(AND(B117&lt;&gt;"",D117&lt;&gt;"Done",E117&lt;&gt;""),E117+ROW()/100000,"")</f>
        <v/>
      </c>
    </row>
    <row r="118" customFormat="false" ht="15" hidden="false" customHeight="false" outlineLevel="0" collapsed="false">
      <c r="A118" s="32"/>
      <c r="B118" s="32"/>
      <c r="C118" s="33"/>
      <c r="D118" s="32"/>
      <c r="E118" s="35"/>
      <c r="F118" s="32"/>
      <c r="G118" s="35"/>
      <c r="H118" s="37" t="str">
        <f aca="true">IF(B118="","",IF(OR(D118="Done"),"Done",IF(E118="","No Due Date",IF(E118&lt;TODAY(),"Overdue",IF(E118=TODAY(),"Due Today",IF(E118&lt;TODAY()+7,"Due This Week","Later"))))))</f>
        <v/>
      </c>
      <c r="I118" s="40" t="str">
        <f aca="false">IF(AND(B118&lt;&gt;"",D118&lt;&gt;"Done",E118&lt;&gt;""),E118+ROW()/100000,"")</f>
        <v/>
      </c>
    </row>
    <row r="119" customFormat="false" ht="15" hidden="false" customHeight="false" outlineLevel="0" collapsed="false">
      <c r="A119" s="32"/>
      <c r="B119" s="32"/>
      <c r="C119" s="33"/>
      <c r="D119" s="32"/>
      <c r="E119" s="35"/>
      <c r="F119" s="32"/>
      <c r="G119" s="35"/>
      <c r="H119" s="37" t="str">
        <f aca="true">IF(B119="","",IF(OR(D119="Done"),"Done",IF(E119="","No Due Date",IF(E119&lt;TODAY(),"Overdue",IF(E119=TODAY(),"Due Today",IF(E119&lt;TODAY()+7,"Due This Week","Later"))))))</f>
        <v/>
      </c>
      <c r="I119" s="40" t="str">
        <f aca="false">IF(AND(B119&lt;&gt;"",D119&lt;&gt;"Done",E119&lt;&gt;""),E119+ROW()/100000,"")</f>
        <v/>
      </c>
    </row>
    <row r="120" customFormat="false" ht="15" hidden="false" customHeight="false" outlineLevel="0" collapsed="false">
      <c r="A120" s="32"/>
      <c r="B120" s="32"/>
      <c r="C120" s="33"/>
      <c r="D120" s="32"/>
      <c r="E120" s="35"/>
      <c r="F120" s="32"/>
      <c r="G120" s="35"/>
      <c r="H120" s="37" t="str">
        <f aca="true">IF(B120="","",IF(OR(D120="Done"),"Done",IF(E120="","No Due Date",IF(E120&lt;TODAY(),"Overdue",IF(E120=TODAY(),"Due Today",IF(E120&lt;TODAY()+7,"Due This Week","Later"))))))</f>
        <v/>
      </c>
      <c r="I120" s="40" t="str">
        <f aca="false">IF(AND(B120&lt;&gt;"",D120&lt;&gt;"Done",E120&lt;&gt;""),E120+ROW()/100000,"")</f>
        <v/>
      </c>
    </row>
    <row r="121" customFormat="false" ht="15" hidden="false" customHeight="false" outlineLevel="0" collapsed="false">
      <c r="A121" s="32"/>
      <c r="B121" s="32"/>
      <c r="C121" s="33"/>
      <c r="D121" s="32"/>
      <c r="E121" s="35"/>
      <c r="F121" s="32"/>
      <c r="G121" s="35"/>
      <c r="H121" s="37" t="str">
        <f aca="true">IF(B121="","",IF(OR(D121="Done"),"Done",IF(E121="","No Due Date",IF(E121&lt;TODAY(),"Overdue",IF(E121=TODAY(),"Due Today",IF(E121&lt;TODAY()+7,"Due This Week","Later"))))))</f>
        <v/>
      </c>
      <c r="I121" s="40" t="str">
        <f aca="false">IF(AND(B121&lt;&gt;"",D121&lt;&gt;"Done",E121&lt;&gt;""),E121+ROW()/100000,"")</f>
        <v/>
      </c>
    </row>
    <row r="122" customFormat="false" ht="15" hidden="false" customHeight="false" outlineLevel="0" collapsed="false">
      <c r="A122" s="32"/>
      <c r="B122" s="32"/>
      <c r="C122" s="33"/>
      <c r="D122" s="32"/>
      <c r="E122" s="35"/>
      <c r="F122" s="32"/>
      <c r="G122" s="35"/>
      <c r="H122" s="37" t="str">
        <f aca="true">IF(B122="","",IF(OR(D122="Done"),"Done",IF(E122="","No Due Date",IF(E122&lt;TODAY(),"Overdue",IF(E122=TODAY(),"Due Today",IF(E122&lt;TODAY()+7,"Due This Week","Later"))))))</f>
        <v/>
      </c>
      <c r="I122" s="40" t="str">
        <f aca="false">IF(AND(B122&lt;&gt;"",D122&lt;&gt;"Done",E122&lt;&gt;""),E122+ROW()/100000,"")</f>
        <v/>
      </c>
    </row>
    <row r="123" customFormat="false" ht="15" hidden="false" customHeight="false" outlineLevel="0" collapsed="false">
      <c r="A123" s="32"/>
      <c r="B123" s="32"/>
      <c r="C123" s="33"/>
      <c r="D123" s="32"/>
      <c r="E123" s="35"/>
      <c r="F123" s="32"/>
      <c r="G123" s="35"/>
      <c r="H123" s="37" t="str">
        <f aca="true">IF(B123="","",IF(OR(D123="Done"),"Done",IF(E123="","No Due Date",IF(E123&lt;TODAY(),"Overdue",IF(E123=TODAY(),"Due Today",IF(E123&lt;TODAY()+7,"Due This Week","Later"))))))</f>
        <v/>
      </c>
      <c r="I123" s="40" t="str">
        <f aca="false">IF(AND(B123&lt;&gt;"",D123&lt;&gt;"Done",E123&lt;&gt;""),E123+ROW()/100000,"")</f>
        <v/>
      </c>
    </row>
    <row r="124" customFormat="false" ht="15" hidden="false" customHeight="false" outlineLevel="0" collapsed="false">
      <c r="A124" s="32"/>
      <c r="B124" s="32"/>
      <c r="C124" s="33"/>
      <c r="D124" s="32"/>
      <c r="E124" s="35"/>
      <c r="F124" s="32"/>
      <c r="G124" s="35"/>
      <c r="H124" s="37" t="str">
        <f aca="true">IF(B124="","",IF(OR(D124="Done"),"Done",IF(E124="","No Due Date",IF(E124&lt;TODAY(),"Overdue",IF(E124=TODAY(),"Due Today",IF(E124&lt;TODAY()+7,"Due This Week","Later"))))))</f>
        <v/>
      </c>
      <c r="I124" s="40" t="str">
        <f aca="false">IF(AND(B124&lt;&gt;"",D124&lt;&gt;"Done",E124&lt;&gt;""),E124+ROW()/100000,"")</f>
        <v/>
      </c>
    </row>
    <row r="125" customFormat="false" ht="15" hidden="false" customHeight="false" outlineLevel="0" collapsed="false">
      <c r="A125" s="32"/>
      <c r="B125" s="32"/>
      <c r="C125" s="33"/>
      <c r="D125" s="32"/>
      <c r="E125" s="35"/>
      <c r="F125" s="32"/>
      <c r="G125" s="35"/>
      <c r="H125" s="37" t="str">
        <f aca="true">IF(B125="","",IF(OR(D125="Done"),"Done",IF(E125="","No Due Date",IF(E125&lt;TODAY(),"Overdue",IF(E125=TODAY(),"Due Today",IF(E125&lt;TODAY()+7,"Due This Week","Later"))))))</f>
        <v/>
      </c>
      <c r="I125" s="40" t="str">
        <f aca="false">IF(AND(B125&lt;&gt;"",D125&lt;&gt;"Done",E125&lt;&gt;""),E125+ROW()/100000,"")</f>
        <v/>
      </c>
    </row>
    <row r="126" customFormat="false" ht="15" hidden="false" customHeight="false" outlineLevel="0" collapsed="false">
      <c r="A126" s="32"/>
      <c r="B126" s="32"/>
      <c r="C126" s="33"/>
      <c r="D126" s="32"/>
      <c r="E126" s="35"/>
      <c r="F126" s="32"/>
      <c r="G126" s="35"/>
      <c r="H126" s="37" t="str">
        <f aca="true">IF(B126="","",IF(OR(D126="Done"),"Done",IF(E126="","No Due Date",IF(E126&lt;TODAY(),"Overdue",IF(E126=TODAY(),"Due Today",IF(E126&lt;TODAY()+7,"Due This Week","Later"))))))</f>
        <v/>
      </c>
      <c r="I126" s="40" t="str">
        <f aca="false">IF(AND(B126&lt;&gt;"",D126&lt;&gt;"Done",E126&lt;&gt;""),E126+ROW()/100000,"")</f>
        <v/>
      </c>
    </row>
    <row r="127" customFormat="false" ht="15" hidden="false" customHeight="false" outlineLevel="0" collapsed="false">
      <c r="A127" s="32"/>
      <c r="B127" s="32"/>
      <c r="C127" s="33"/>
      <c r="D127" s="32"/>
      <c r="E127" s="35"/>
      <c r="F127" s="32"/>
      <c r="G127" s="35"/>
      <c r="H127" s="37" t="str">
        <f aca="true">IF(B127="","",IF(OR(D127="Done"),"Done",IF(E127="","No Due Date",IF(E127&lt;TODAY(),"Overdue",IF(E127=TODAY(),"Due Today",IF(E127&lt;TODAY()+7,"Due This Week","Later"))))))</f>
        <v/>
      </c>
      <c r="I127" s="40" t="str">
        <f aca="false">IF(AND(B127&lt;&gt;"",D127&lt;&gt;"Done",E127&lt;&gt;""),E127+ROW()/100000,"")</f>
        <v/>
      </c>
    </row>
    <row r="128" customFormat="false" ht="15" hidden="false" customHeight="false" outlineLevel="0" collapsed="false">
      <c r="A128" s="32"/>
      <c r="B128" s="32"/>
      <c r="C128" s="33"/>
      <c r="D128" s="32"/>
      <c r="E128" s="35"/>
      <c r="F128" s="32"/>
      <c r="G128" s="35"/>
      <c r="H128" s="37" t="str">
        <f aca="true">IF(B128="","",IF(OR(D128="Done"),"Done",IF(E128="","No Due Date",IF(E128&lt;TODAY(),"Overdue",IF(E128=TODAY(),"Due Today",IF(E128&lt;TODAY()+7,"Due This Week","Later"))))))</f>
        <v/>
      </c>
      <c r="I128" s="40" t="str">
        <f aca="false">IF(AND(B128&lt;&gt;"",D128&lt;&gt;"Done",E128&lt;&gt;""),E128+ROW()/100000,"")</f>
        <v/>
      </c>
    </row>
    <row r="129" customFormat="false" ht="15" hidden="false" customHeight="false" outlineLevel="0" collapsed="false">
      <c r="A129" s="32"/>
      <c r="B129" s="32"/>
      <c r="C129" s="33"/>
      <c r="D129" s="32"/>
      <c r="E129" s="35"/>
      <c r="F129" s="32"/>
      <c r="G129" s="35"/>
      <c r="H129" s="37" t="str">
        <f aca="true">IF(B129="","",IF(OR(D129="Done"),"Done",IF(E129="","No Due Date",IF(E129&lt;TODAY(),"Overdue",IF(E129=TODAY(),"Due Today",IF(E129&lt;TODAY()+7,"Due This Week","Later"))))))</f>
        <v/>
      </c>
      <c r="I129" s="40" t="str">
        <f aca="false">IF(AND(B129&lt;&gt;"",D129&lt;&gt;"Done",E129&lt;&gt;""),E129+ROW()/100000,"")</f>
        <v/>
      </c>
    </row>
    <row r="130" customFormat="false" ht="15" hidden="false" customHeight="false" outlineLevel="0" collapsed="false">
      <c r="A130" s="32"/>
      <c r="B130" s="32"/>
      <c r="C130" s="33"/>
      <c r="D130" s="32"/>
      <c r="E130" s="35"/>
      <c r="F130" s="32"/>
      <c r="G130" s="35"/>
      <c r="H130" s="37" t="str">
        <f aca="true">IF(B130="","",IF(OR(D130="Done"),"Done",IF(E130="","No Due Date",IF(E130&lt;TODAY(),"Overdue",IF(E130=TODAY(),"Due Today",IF(E130&lt;TODAY()+7,"Due This Week","Later"))))))</f>
        <v/>
      </c>
      <c r="I130" s="40" t="str">
        <f aca="false">IF(AND(B130&lt;&gt;"",D130&lt;&gt;"Done",E130&lt;&gt;""),E130+ROW()/100000,"")</f>
        <v/>
      </c>
    </row>
    <row r="131" customFormat="false" ht="15" hidden="false" customHeight="false" outlineLevel="0" collapsed="false">
      <c r="A131" s="32"/>
      <c r="B131" s="32"/>
      <c r="C131" s="33"/>
      <c r="D131" s="32"/>
      <c r="E131" s="35"/>
      <c r="F131" s="32"/>
      <c r="G131" s="35"/>
      <c r="H131" s="37" t="str">
        <f aca="true">IF(B131="","",IF(OR(D131="Done"),"Done",IF(E131="","No Due Date",IF(E131&lt;TODAY(),"Overdue",IF(E131=TODAY(),"Due Today",IF(E131&lt;TODAY()+7,"Due This Week","Later"))))))</f>
        <v/>
      </c>
      <c r="I131" s="40" t="str">
        <f aca="false">IF(AND(B131&lt;&gt;"",D131&lt;&gt;"Done",E131&lt;&gt;""),E131+ROW()/100000,"")</f>
        <v/>
      </c>
    </row>
    <row r="132" customFormat="false" ht="15" hidden="false" customHeight="false" outlineLevel="0" collapsed="false">
      <c r="A132" s="32"/>
      <c r="B132" s="32"/>
      <c r="C132" s="33"/>
      <c r="D132" s="32"/>
      <c r="E132" s="35"/>
      <c r="F132" s="32"/>
      <c r="G132" s="35"/>
      <c r="H132" s="37" t="str">
        <f aca="true">IF(B132="","",IF(OR(D132="Done"),"Done",IF(E132="","No Due Date",IF(E132&lt;TODAY(),"Overdue",IF(E132=TODAY(),"Due Today",IF(E132&lt;TODAY()+7,"Due This Week","Later"))))))</f>
        <v/>
      </c>
      <c r="I132" s="40" t="str">
        <f aca="false">IF(AND(B132&lt;&gt;"",D132&lt;&gt;"Done",E132&lt;&gt;""),E132+ROW()/100000,"")</f>
        <v/>
      </c>
    </row>
    <row r="133" customFormat="false" ht="15" hidden="false" customHeight="false" outlineLevel="0" collapsed="false">
      <c r="A133" s="32"/>
      <c r="B133" s="32"/>
      <c r="C133" s="33"/>
      <c r="D133" s="32"/>
      <c r="E133" s="35"/>
      <c r="F133" s="32"/>
      <c r="G133" s="35"/>
      <c r="H133" s="37" t="str">
        <f aca="true">IF(B133="","",IF(OR(D133="Done"),"Done",IF(E133="","No Due Date",IF(E133&lt;TODAY(),"Overdue",IF(E133=TODAY(),"Due Today",IF(E133&lt;TODAY()+7,"Due This Week","Later"))))))</f>
        <v/>
      </c>
      <c r="I133" s="40" t="str">
        <f aca="false">IF(AND(B133&lt;&gt;"",D133&lt;&gt;"Done",E133&lt;&gt;""),E133+ROW()/100000,"")</f>
        <v/>
      </c>
    </row>
    <row r="134" customFormat="false" ht="15" hidden="false" customHeight="false" outlineLevel="0" collapsed="false">
      <c r="A134" s="32"/>
      <c r="B134" s="32"/>
      <c r="C134" s="33"/>
      <c r="D134" s="32"/>
      <c r="E134" s="35"/>
      <c r="F134" s="32"/>
      <c r="G134" s="35"/>
      <c r="H134" s="37" t="str">
        <f aca="true">IF(B134="","",IF(OR(D134="Done"),"Done",IF(E134="","No Due Date",IF(E134&lt;TODAY(),"Overdue",IF(E134=TODAY(),"Due Today",IF(E134&lt;TODAY()+7,"Due This Week","Later"))))))</f>
        <v/>
      </c>
      <c r="I134" s="40" t="str">
        <f aca="false">IF(AND(B134&lt;&gt;"",D134&lt;&gt;"Done",E134&lt;&gt;""),E134+ROW()/100000,"")</f>
        <v/>
      </c>
    </row>
    <row r="135" customFormat="false" ht="15" hidden="false" customHeight="false" outlineLevel="0" collapsed="false">
      <c r="A135" s="32"/>
      <c r="B135" s="32"/>
      <c r="C135" s="33"/>
      <c r="D135" s="32"/>
      <c r="E135" s="35"/>
      <c r="F135" s="32"/>
      <c r="G135" s="35"/>
      <c r="H135" s="37" t="str">
        <f aca="true">IF(B135="","",IF(OR(D135="Done"),"Done",IF(E135="","No Due Date",IF(E135&lt;TODAY(),"Overdue",IF(E135=TODAY(),"Due Today",IF(E135&lt;TODAY()+7,"Due This Week","Later"))))))</f>
        <v/>
      </c>
      <c r="I135" s="40" t="str">
        <f aca="false">IF(AND(B135&lt;&gt;"",D135&lt;&gt;"Done",E135&lt;&gt;""),E135+ROW()/100000,"")</f>
        <v/>
      </c>
    </row>
    <row r="136" customFormat="false" ht="15" hidden="false" customHeight="false" outlineLevel="0" collapsed="false">
      <c r="A136" s="32"/>
      <c r="B136" s="32"/>
      <c r="C136" s="33"/>
      <c r="D136" s="32"/>
      <c r="E136" s="35"/>
      <c r="F136" s="32"/>
      <c r="G136" s="35"/>
      <c r="H136" s="37" t="str">
        <f aca="true">IF(B136="","",IF(OR(D136="Done"),"Done",IF(E136="","No Due Date",IF(E136&lt;TODAY(),"Overdue",IF(E136=TODAY(),"Due Today",IF(E136&lt;TODAY()+7,"Due This Week","Later"))))))</f>
        <v/>
      </c>
      <c r="I136" s="40" t="str">
        <f aca="false">IF(AND(B136&lt;&gt;"",D136&lt;&gt;"Done",E136&lt;&gt;""),E136+ROW()/100000,"")</f>
        <v/>
      </c>
    </row>
    <row r="137" customFormat="false" ht="15" hidden="false" customHeight="false" outlineLevel="0" collapsed="false">
      <c r="A137" s="32"/>
      <c r="B137" s="32"/>
      <c r="C137" s="33"/>
      <c r="D137" s="32"/>
      <c r="E137" s="35"/>
      <c r="F137" s="32"/>
      <c r="G137" s="35"/>
      <c r="H137" s="37" t="str">
        <f aca="true">IF(B137="","",IF(OR(D137="Done"),"Done",IF(E137="","No Due Date",IF(E137&lt;TODAY(),"Overdue",IF(E137=TODAY(),"Due Today",IF(E137&lt;TODAY()+7,"Due This Week","Later"))))))</f>
        <v/>
      </c>
      <c r="I137" s="40" t="str">
        <f aca="false">IF(AND(B137&lt;&gt;"",D137&lt;&gt;"Done",E137&lt;&gt;""),E137+ROW()/100000,"")</f>
        <v/>
      </c>
    </row>
    <row r="138" customFormat="false" ht="15" hidden="false" customHeight="false" outlineLevel="0" collapsed="false">
      <c r="A138" s="32"/>
      <c r="B138" s="32"/>
      <c r="C138" s="33"/>
      <c r="D138" s="32"/>
      <c r="E138" s="35"/>
      <c r="F138" s="32"/>
      <c r="G138" s="35"/>
      <c r="H138" s="37" t="str">
        <f aca="true">IF(B138="","",IF(OR(D138="Done"),"Done",IF(E138="","No Due Date",IF(E138&lt;TODAY(),"Overdue",IF(E138=TODAY(),"Due Today",IF(E138&lt;TODAY()+7,"Due This Week","Later"))))))</f>
        <v/>
      </c>
      <c r="I138" s="40" t="str">
        <f aca="false">IF(AND(B138&lt;&gt;"",D138&lt;&gt;"Done",E138&lt;&gt;""),E138+ROW()/100000,"")</f>
        <v/>
      </c>
    </row>
    <row r="139" customFormat="false" ht="15" hidden="false" customHeight="false" outlineLevel="0" collapsed="false">
      <c r="A139" s="32"/>
      <c r="B139" s="32"/>
      <c r="C139" s="33"/>
      <c r="D139" s="32"/>
      <c r="E139" s="35"/>
      <c r="F139" s="32"/>
      <c r="G139" s="35"/>
      <c r="H139" s="37" t="str">
        <f aca="true">IF(B139="","",IF(OR(D139="Done"),"Done",IF(E139="","No Due Date",IF(E139&lt;TODAY(),"Overdue",IF(E139=TODAY(),"Due Today",IF(E139&lt;TODAY()+7,"Due This Week","Later"))))))</f>
        <v/>
      </c>
      <c r="I139" s="40" t="str">
        <f aca="false">IF(AND(B139&lt;&gt;"",D139&lt;&gt;"Done",E139&lt;&gt;""),E139+ROW()/100000,"")</f>
        <v/>
      </c>
    </row>
    <row r="140" customFormat="false" ht="15" hidden="false" customHeight="false" outlineLevel="0" collapsed="false">
      <c r="A140" s="32"/>
      <c r="B140" s="32"/>
      <c r="C140" s="33"/>
      <c r="D140" s="32"/>
      <c r="E140" s="35"/>
      <c r="F140" s="32"/>
      <c r="G140" s="35"/>
      <c r="H140" s="37" t="str">
        <f aca="true">IF(B140="","",IF(OR(D140="Done"),"Done",IF(E140="","No Due Date",IF(E140&lt;TODAY(),"Overdue",IF(E140=TODAY(),"Due Today",IF(E140&lt;TODAY()+7,"Due This Week","Later"))))))</f>
        <v/>
      </c>
      <c r="I140" s="40" t="str">
        <f aca="false">IF(AND(B140&lt;&gt;"",D140&lt;&gt;"Done",E140&lt;&gt;""),E140+ROW()/100000,"")</f>
        <v/>
      </c>
    </row>
    <row r="141" customFormat="false" ht="15" hidden="false" customHeight="false" outlineLevel="0" collapsed="false">
      <c r="A141" s="32"/>
      <c r="B141" s="32"/>
      <c r="C141" s="33"/>
      <c r="D141" s="32"/>
      <c r="E141" s="35"/>
      <c r="F141" s="32"/>
      <c r="G141" s="35"/>
      <c r="H141" s="37" t="str">
        <f aca="true">IF(B141="","",IF(OR(D141="Done"),"Done",IF(E141="","No Due Date",IF(E141&lt;TODAY(),"Overdue",IF(E141=TODAY(),"Due Today",IF(E141&lt;TODAY()+7,"Due This Week","Later"))))))</f>
        <v/>
      </c>
      <c r="I141" s="40" t="str">
        <f aca="false">IF(AND(B141&lt;&gt;"",D141&lt;&gt;"Done",E141&lt;&gt;""),E141+ROW()/100000,"")</f>
        <v/>
      </c>
    </row>
    <row r="142" customFormat="false" ht="15" hidden="false" customHeight="false" outlineLevel="0" collapsed="false">
      <c r="A142" s="32"/>
      <c r="B142" s="32"/>
      <c r="C142" s="33"/>
      <c r="D142" s="32"/>
      <c r="E142" s="35"/>
      <c r="F142" s="32"/>
      <c r="G142" s="35"/>
      <c r="H142" s="37" t="str">
        <f aca="true">IF(B142="","",IF(OR(D142="Done"),"Done",IF(E142="","No Due Date",IF(E142&lt;TODAY(),"Overdue",IF(E142=TODAY(),"Due Today",IF(E142&lt;TODAY()+7,"Due This Week","Later"))))))</f>
        <v/>
      </c>
      <c r="I142" s="40" t="str">
        <f aca="false">IF(AND(B142&lt;&gt;"",D142&lt;&gt;"Done",E142&lt;&gt;""),E142+ROW()/100000,"")</f>
        <v/>
      </c>
    </row>
    <row r="143" customFormat="false" ht="15" hidden="false" customHeight="false" outlineLevel="0" collapsed="false">
      <c r="A143" s="32"/>
      <c r="B143" s="32"/>
      <c r="C143" s="33"/>
      <c r="D143" s="32"/>
      <c r="E143" s="35"/>
      <c r="F143" s="32"/>
      <c r="G143" s="35"/>
      <c r="H143" s="37" t="str">
        <f aca="true">IF(B143="","",IF(OR(D143="Done"),"Done",IF(E143="","No Due Date",IF(E143&lt;TODAY(),"Overdue",IF(E143=TODAY(),"Due Today",IF(E143&lt;TODAY()+7,"Due This Week","Later"))))))</f>
        <v/>
      </c>
      <c r="I143" s="40" t="str">
        <f aca="false">IF(AND(B143&lt;&gt;"",D143&lt;&gt;"Done",E143&lt;&gt;""),E143+ROW()/100000,"")</f>
        <v/>
      </c>
    </row>
    <row r="144" customFormat="false" ht="15" hidden="false" customHeight="false" outlineLevel="0" collapsed="false">
      <c r="A144" s="32"/>
      <c r="B144" s="32"/>
      <c r="C144" s="33"/>
      <c r="D144" s="32"/>
      <c r="E144" s="35"/>
      <c r="F144" s="32"/>
      <c r="G144" s="35"/>
      <c r="H144" s="37" t="str">
        <f aca="true">IF(B144="","",IF(OR(D144="Done"),"Done",IF(E144="","No Due Date",IF(E144&lt;TODAY(),"Overdue",IF(E144=TODAY(),"Due Today",IF(E144&lt;TODAY()+7,"Due This Week","Later"))))))</f>
        <v/>
      </c>
      <c r="I144" s="40" t="str">
        <f aca="false">IF(AND(B144&lt;&gt;"",D144&lt;&gt;"Done",E144&lt;&gt;""),E144+ROW()/100000,"")</f>
        <v/>
      </c>
    </row>
    <row r="145" customFormat="false" ht="15" hidden="false" customHeight="false" outlineLevel="0" collapsed="false">
      <c r="A145" s="32"/>
      <c r="B145" s="32"/>
      <c r="C145" s="33"/>
      <c r="D145" s="32"/>
      <c r="E145" s="35"/>
      <c r="F145" s="32"/>
      <c r="G145" s="35"/>
      <c r="H145" s="37" t="str">
        <f aca="true">IF(B145="","",IF(OR(D145="Done"),"Done",IF(E145="","No Due Date",IF(E145&lt;TODAY(),"Overdue",IF(E145=TODAY(),"Due Today",IF(E145&lt;TODAY()+7,"Due This Week","Later"))))))</f>
        <v/>
      </c>
      <c r="I145" s="40" t="str">
        <f aca="false">IF(AND(B145&lt;&gt;"",D145&lt;&gt;"Done",E145&lt;&gt;""),E145+ROW()/100000,"")</f>
        <v/>
      </c>
    </row>
    <row r="146" customFormat="false" ht="15" hidden="false" customHeight="false" outlineLevel="0" collapsed="false">
      <c r="A146" s="32"/>
      <c r="B146" s="32"/>
      <c r="C146" s="33"/>
      <c r="D146" s="32"/>
      <c r="E146" s="35"/>
      <c r="F146" s="32"/>
      <c r="G146" s="35"/>
      <c r="H146" s="37" t="str">
        <f aca="true">IF(B146="","",IF(OR(D146="Done"),"Done",IF(E146="","No Due Date",IF(E146&lt;TODAY(),"Overdue",IF(E146=TODAY(),"Due Today",IF(E146&lt;TODAY()+7,"Due This Week","Later"))))))</f>
        <v/>
      </c>
      <c r="I146" s="40" t="str">
        <f aca="false">IF(AND(B146&lt;&gt;"",D146&lt;&gt;"Done",E146&lt;&gt;""),E146+ROW()/100000,"")</f>
        <v/>
      </c>
    </row>
    <row r="147" customFormat="false" ht="15" hidden="false" customHeight="false" outlineLevel="0" collapsed="false">
      <c r="A147" s="32"/>
      <c r="B147" s="32"/>
      <c r="C147" s="33"/>
      <c r="D147" s="32"/>
      <c r="E147" s="35"/>
      <c r="F147" s="32"/>
      <c r="G147" s="35"/>
      <c r="H147" s="37" t="str">
        <f aca="true">IF(B147="","",IF(OR(D147="Done"),"Done",IF(E147="","No Due Date",IF(E147&lt;TODAY(),"Overdue",IF(E147=TODAY(),"Due Today",IF(E147&lt;TODAY()+7,"Due This Week","Later"))))))</f>
        <v/>
      </c>
      <c r="I147" s="40" t="str">
        <f aca="false">IF(AND(B147&lt;&gt;"",D147&lt;&gt;"Done",E147&lt;&gt;""),E147+ROW()/100000,"")</f>
        <v/>
      </c>
    </row>
    <row r="148" customFormat="false" ht="15" hidden="false" customHeight="false" outlineLevel="0" collapsed="false">
      <c r="A148" s="32"/>
      <c r="B148" s="32"/>
      <c r="C148" s="33"/>
      <c r="D148" s="32"/>
      <c r="E148" s="35"/>
      <c r="F148" s="32"/>
      <c r="G148" s="35"/>
      <c r="H148" s="37" t="str">
        <f aca="true">IF(B148="","",IF(OR(D148="Done"),"Done",IF(E148="","No Due Date",IF(E148&lt;TODAY(),"Overdue",IF(E148=TODAY(),"Due Today",IF(E148&lt;TODAY()+7,"Due This Week","Later"))))))</f>
        <v/>
      </c>
      <c r="I148" s="40" t="str">
        <f aca="false">IF(AND(B148&lt;&gt;"",D148&lt;&gt;"Done",E148&lt;&gt;""),E148+ROW()/100000,"")</f>
        <v/>
      </c>
    </row>
    <row r="149" customFormat="false" ht="15" hidden="false" customHeight="false" outlineLevel="0" collapsed="false">
      <c r="A149" s="32"/>
      <c r="B149" s="32"/>
      <c r="C149" s="33"/>
      <c r="D149" s="32"/>
      <c r="E149" s="35"/>
      <c r="F149" s="32"/>
      <c r="G149" s="35"/>
      <c r="H149" s="37" t="str">
        <f aca="true">IF(B149="","",IF(OR(D149="Done"),"Done",IF(E149="","No Due Date",IF(E149&lt;TODAY(),"Overdue",IF(E149=TODAY(),"Due Today",IF(E149&lt;TODAY()+7,"Due This Week","Later"))))))</f>
        <v/>
      </c>
      <c r="I149" s="40" t="str">
        <f aca="false">IF(AND(B149&lt;&gt;"",D149&lt;&gt;"Done",E149&lt;&gt;""),E149+ROW()/100000,"")</f>
        <v/>
      </c>
    </row>
    <row r="150" customFormat="false" ht="15" hidden="false" customHeight="false" outlineLevel="0" collapsed="false">
      <c r="A150" s="32"/>
      <c r="B150" s="32"/>
      <c r="C150" s="33"/>
      <c r="D150" s="32"/>
      <c r="E150" s="35"/>
      <c r="F150" s="32"/>
      <c r="G150" s="35"/>
      <c r="H150" s="37" t="str">
        <f aca="true">IF(B150="","",IF(OR(D150="Done"),"Done",IF(E150="","No Due Date",IF(E150&lt;TODAY(),"Overdue",IF(E150=TODAY(),"Due Today",IF(E150&lt;TODAY()+7,"Due This Week","Later"))))))</f>
        <v/>
      </c>
      <c r="I150" s="40" t="str">
        <f aca="false">IF(AND(B150&lt;&gt;"",D150&lt;&gt;"Done",E150&lt;&gt;""),E150+ROW()/100000,"")</f>
        <v/>
      </c>
    </row>
    <row r="151" customFormat="false" ht="15" hidden="false" customHeight="false" outlineLevel="0" collapsed="false">
      <c r="A151" s="32"/>
      <c r="B151" s="32"/>
      <c r="C151" s="33"/>
      <c r="D151" s="32"/>
      <c r="E151" s="35"/>
      <c r="F151" s="32"/>
      <c r="G151" s="35"/>
      <c r="H151" s="37" t="str">
        <f aca="true">IF(B151="","",IF(OR(D151="Done"),"Done",IF(E151="","No Due Date",IF(E151&lt;TODAY(),"Overdue",IF(E151=TODAY(),"Due Today",IF(E151&lt;TODAY()+7,"Due This Week","Later"))))))</f>
        <v/>
      </c>
      <c r="I151" s="40" t="str">
        <f aca="false">IF(AND(B151&lt;&gt;"",D151&lt;&gt;"Done",E151&lt;&gt;""),E151+ROW()/100000,"")</f>
        <v/>
      </c>
    </row>
    <row r="152" customFormat="false" ht="15" hidden="false" customHeight="false" outlineLevel="0" collapsed="false">
      <c r="A152" s="32"/>
      <c r="B152" s="32"/>
      <c r="C152" s="33"/>
      <c r="D152" s="32"/>
      <c r="E152" s="35"/>
      <c r="F152" s="32"/>
      <c r="G152" s="35"/>
      <c r="H152" s="37" t="str">
        <f aca="true">IF(B152="","",IF(OR(D152="Done"),"Done",IF(E152="","No Due Date",IF(E152&lt;TODAY(),"Overdue",IF(E152=TODAY(),"Due Today",IF(E152&lt;TODAY()+7,"Due This Week","Later"))))))</f>
        <v/>
      </c>
      <c r="I152" s="40" t="str">
        <f aca="false">IF(AND(B152&lt;&gt;"",D152&lt;&gt;"Done",E152&lt;&gt;""),E152+ROW()/100000,"")</f>
        <v/>
      </c>
    </row>
    <row r="153" customFormat="false" ht="15" hidden="false" customHeight="false" outlineLevel="0" collapsed="false">
      <c r="A153" s="32"/>
      <c r="B153" s="32"/>
      <c r="C153" s="33"/>
      <c r="D153" s="32"/>
      <c r="E153" s="35"/>
      <c r="F153" s="32"/>
      <c r="G153" s="35"/>
      <c r="H153" s="37" t="str">
        <f aca="true">IF(B153="","",IF(OR(D153="Done"),"Done",IF(E153="","No Due Date",IF(E153&lt;TODAY(),"Overdue",IF(E153=TODAY(),"Due Today",IF(E153&lt;TODAY()+7,"Due This Week","Later"))))))</f>
        <v/>
      </c>
      <c r="I153" s="40" t="str">
        <f aca="false">IF(AND(B153&lt;&gt;"",D153&lt;&gt;"Done",E153&lt;&gt;""),E153+ROW()/100000,"")</f>
        <v/>
      </c>
    </row>
    <row r="154" customFormat="false" ht="15" hidden="false" customHeight="false" outlineLevel="0" collapsed="false">
      <c r="A154" s="32"/>
      <c r="B154" s="32"/>
      <c r="C154" s="33"/>
      <c r="D154" s="32"/>
      <c r="E154" s="35"/>
      <c r="F154" s="32"/>
      <c r="G154" s="35"/>
      <c r="H154" s="37" t="str">
        <f aca="true">IF(B154="","",IF(OR(D154="Done"),"Done",IF(E154="","No Due Date",IF(E154&lt;TODAY(),"Overdue",IF(E154=TODAY(),"Due Today",IF(E154&lt;TODAY()+7,"Due This Week","Later"))))))</f>
        <v/>
      </c>
      <c r="I154" s="40" t="str">
        <f aca="false">IF(AND(B154&lt;&gt;"",D154&lt;&gt;"Done",E154&lt;&gt;""),E154+ROW()/100000,"")</f>
        <v/>
      </c>
    </row>
    <row r="155" customFormat="false" ht="15" hidden="false" customHeight="false" outlineLevel="0" collapsed="false">
      <c r="A155" s="32"/>
      <c r="B155" s="32"/>
      <c r="C155" s="33"/>
      <c r="D155" s="32"/>
      <c r="E155" s="35"/>
      <c r="F155" s="32"/>
      <c r="G155" s="35"/>
      <c r="H155" s="37" t="str">
        <f aca="true">IF(B155="","",IF(OR(D155="Done"),"Done",IF(E155="","No Due Date",IF(E155&lt;TODAY(),"Overdue",IF(E155=TODAY(),"Due Today",IF(E155&lt;TODAY()+7,"Due This Week","Later"))))))</f>
        <v/>
      </c>
      <c r="I155" s="40" t="str">
        <f aca="false">IF(AND(B155&lt;&gt;"",D155&lt;&gt;"Done",E155&lt;&gt;""),E155+ROW()/100000,"")</f>
        <v/>
      </c>
    </row>
    <row r="156" customFormat="false" ht="15" hidden="false" customHeight="false" outlineLevel="0" collapsed="false">
      <c r="A156" s="32"/>
      <c r="B156" s="32"/>
      <c r="C156" s="33"/>
      <c r="D156" s="32"/>
      <c r="E156" s="35"/>
      <c r="F156" s="32"/>
      <c r="G156" s="35"/>
      <c r="H156" s="37" t="str">
        <f aca="true">IF(B156="","",IF(OR(D156="Done"),"Done",IF(E156="","No Due Date",IF(E156&lt;TODAY(),"Overdue",IF(E156=TODAY(),"Due Today",IF(E156&lt;TODAY()+7,"Due This Week","Later"))))))</f>
        <v/>
      </c>
      <c r="I156" s="40" t="str">
        <f aca="false">IF(AND(B156&lt;&gt;"",D156&lt;&gt;"Done",E156&lt;&gt;""),E156+ROW()/100000,"")</f>
        <v/>
      </c>
    </row>
    <row r="157" customFormat="false" ht="15" hidden="false" customHeight="false" outlineLevel="0" collapsed="false">
      <c r="A157" s="32"/>
      <c r="B157" s="32"/>
      <c r="C157" s="33"/>
      <c r="D157" s="32"/>
      <c r="E157" s="35"/>
      <c r="F157" s="32"/>
      <c r="G157" s="35"/>
      <c r="H157" s="37" t="str">
        <f aca="true">IF(B157="","",IF(OR(D157="Done"),"Done",IF(E157="","No Due Date",IF(E157&lt;TODAY(),"Overdue",IF(E157=TODAY(),"Due Today",IF(E157&lt;TODAY()+7,"Due This Week","Later"))))))</f>
        <v/>
      </c>
      <c r="I157" s="40" t="str">
        <f aca="false">IF(AND(B157&lt;&gt;"",D157&lt;&gt;"Done",E157&lt;&gt;""),E157+ROW()/100000,"")</f>
        <v/>
      </c>
    </row>
    <row r="158" customFormat="false" ht="15" hidden="false" customHeight="false" outlineLevel="0" collapsed="false">
      <c r="A158" s="32"/>
      <c r="B158" s="32"/>
      <c r="C158" s="33"/>
      <c r="D158" s="32"/>
      <c r="E158" s="35"/>
      <c r="F158" s="32"/>
      <c r="G158" s="35"/>
      <c r="H158" s="37" t="str">
        <f aca="true">IF(B158="","",IF(OR(D158="Done"),"Done",IF(E158="","No Due Date",IF(E158&lt;TODAY(),"Overdue",IF(E158=TODAY(),"Due Today",IF(E158&lt;TODAY()+7,"Due This Week","Later"))))))</f>
        <v/>
      </c>
      <c r="I158" s="40" t="str">
        <f aca="false">IF(AND(B158&lt;&gt;"",D158&lt;&gt;"Done",E158&lt;&gt;""),E158+ROW()/100000,"")</f>
        <v/>
      </c>
    </row>
    <row r="159" customFormat="false" ht="15" hidden="false" customHeight="false" outlineLevel="0" collapsed="false">
      <c r="A159" s="32"/>
      <c r="B159" s="32"/>
      <c r="C159" s="33"/>
      <c r="D159" s="32"/>
      <c r="E159" s="35"/>
      <c r="F159" s="32"/>
      <c r="G159" s="35"/>
      <c r="H159" s="37" t="str">
        <f aca="true">IF(B159="","",IF(OR(D159="Done"),"Done",IF(E159="","No Due Date",IF(E159&lt;TODAY(),"Overdue",IF(E159=TODAY(),"Due Today",IF(E159&lt;TODAY()+7,"Due This Week","Later"))))))</f>
        <v/>
      </c>
      <c r="I159" s="40" t="str">
        <f aca="false">IF(AND(B159&lt;&gt;"",D159&lt;&gt;"Done",E159&lt;&gt;""),E159+ROW()/100000,"")</f>
        <v/>
      </c>
    </row>
    <row r="160" customFormat="false" ht="15" hidden="false" customHeight="false" outlineLevel="0" collapsed="false">
      <c r="A160" s="32"/>
      <c r="B160" s="32"/>
      <c r="C160" s="33"/>
      <c r="D160" s="32"/>
      <c r="E160" s="35"/>
      <c r="F160" s="32"/>
      <c r="G160" s="35"/>
      <c r="H160" s="37" t="str">
        <f aca="true">IF(B160="","",IF(OR(D160="Done"),"Done",IF(E160="","No Due Date",IF(E160&lt;TODAY(),"Overdue",IF(E160=TODAY(),"Due Today",IF(E160&lt;TODAY()+7,"Due This Week","Later"))))))</f>
        <v/>
      </c>
      <c r="I160" s="40" t="str">
        <f aca="false">IF(AND(B160&lt;&gt;"",D160&lt;&gt;"Done",E160&lt;&gt;""),E160+ROW()/100000,"")</f>
        <v/>
      </c>
    </row>
    <row r="161" customFormat="false" ht="15" hidden="false" customHeight="false" outlineLevel="0" collapsed="false">
      <c r="A161" s="32"/>
      <c r="B161" s="32"/>
      <c r="C161" s="33"/>
      <c r="D161" s="32"/>
      <c r="E161" s="35"/>
      <c r="F161" s="32"/>
      <c r="G161" s="35"/>
      <c r="H161" s="37" t="str">
        <f aca="true">IF(B161="","",IF(OR(D161="Done"),"Done",IF(E161="","No Due Date",IF(E161&lt;TODAY(),"Overdue",IF(E161=TODAY(),"Due Today",IF(E161&lt;TODAY()+7,"Due This Week","Later"))))))</f>
        <v/>
      </c>
      <c r="I161" s="40" t="str">
        <f aca="false">IF(AND(B161&lt;&gt;"",D161&lt;&gt;"Done",E161&lt;&gt;""),E161+ROW()/100000,"")</f>
        <v/>
      </c>
    </row>
    <row r="162" customFormat="false" ht="15" hidden="false" customHeight="false" outlineLevel="0" collapsed="false">
      <c r="A162" s="32"/>
      <c r="B162" s="32"/>
      <c r="C162" s="33"/>
      <c r="D162" s="32"/>
      <c r="E162" s="35"/>
      <c r="F162" s="32"/>
      <c r="G162" s="35"/>
      <c r="H162" s="37" t="str">
        <f aca="true">IF(B162="","",IF(OR(D162="Done"),"Done",IF(E162="","No Due Date",IF(E162&lt;TODAY(),"Overdue",IF(E162=TODAY(),"Due Today",IF(E162&lt;TODAY()+7,"Due This Week","Later"))))))</f>
        <v/>
      </c>
      <c r="I162" s="40" t="str">
        <f aca="false">IF(AND(B162&lt;&gt;"",D162&lt;&gt;"Done",E162&lt;&gt;""),E162+ROW()/100000,"")</f>
        <v/>
      </c>
    </row>
    <row r="163" customFormat="false" ht="15" hidden="false" customHeight="false" outlineLevel="0" collapsed="false">
      <c r="A163" s="32"/>
      <c r="B163" s="32"/>
      <c r="C163" s="33"/>
      <c r="D163" s="32"/>
      <c r="E163" s="35"/>
      <c r="F163" s="32"/>
      <c r="G163" s="35"/>
      <c r="H163" s="37" t="str">
        <f aca="true">IF(B163="","",IF(OR(D163="Done"),"Done",IF(E163="","No Due Date",IF(E163&lt;TODAY(),"Overdue",IF(E163=TODAY(),"Due Today",IF(E163&lt;TODAY()+7,"Due This Week","Later"))))))</f>
        <v/>
      </c>
      <c r="I163" s="40" t="str">
        <f aca="false">IF(AND(B163&lt;&gt;"",D163&lt;&gt;"Done",E163&lt;&gt;""),E163+ROW()/100000,"")</f>
        <v/>
      </c>
    </row>
    <row r="164" customFormat="false" ht="15" hidden="false" customHeight="false" outlineLevel="0" collapsed="false">
      <c r="A164" s="32"/>
      <c r="B164" s="32"/>
      <c r="C164" s="33"/>
      <c r="D164" s="32"/>
      <c r="E164" s="35"/>
      <c r="F164" s="32"/>
      <c r="G164" s="35"/>
      <c r="H164" s="37" t="str">
        <f aca="true">IF(B164="","",IF(OR(D164="Done"),"Done",IF(E164="","No Due Date",IF(E164&lt;TODAY(),"Overdue",IF(E164=TODAY(),"Due Today",IF(E164&lt;TODAY()+7,"Due This Week","Later"))))))</f>
        <v/>
      </c>
      <c r="I164" s="40" t="str">
        <f aca="false">IF(AND(B164&lt;&gt;"",D164&lt;&gt;"Done",E164&lt;&gt;""),E164+ROW()/100000,"")</f>
        <v/>
      </c>
    </row>
    <row r="165" customFormat="false" ht="15" hidden="false" customHeight="false" outlineLevel="0" collapsed="false">
      <c r="A165" s="32"/>
      <c r="B165" s="32"/>
      <c r="C165" s="33"/>
      <c r="D165" s="32"/>
      <c r="E165" s="35"/>
      <c r="F165" s="32"/>
      <c r="G165" s="35"/>
      <c r="H165" s="37" t="str">
        <f aca="true">IF(B165="","",IF(OR(D165="Done"),"Done",IF(E165="","No Due Date",IF(E165&lt;TODAY(),"Overdue",IF(E165=TODAY(),"Due Today",IF(E165&lt;TODAY()+7,"Due This Week","Later"))))))</f>
        <v/>
      </c>
      <c r="I165" s="40" t="str">
        <f aca="false">IF(AND(B165&lt;&gt;"",D165&lt;&gt;"Done",E165&lt;&gt;""),E165+ROW()/100000,"")</f>
        <v/>
      </c>
    </row>
    <row r="166" customFormat="false" ht="15" hidden="false" customHeight="false" outlineLevel="0" collapsed="false">
      <c r="A166" s="32"/>
      <c r="B166" s="32"/>
      <c r="C166" s="33"/>
      <c r="D166" s="32"/>
      <c r="E166" s="35"/>
      <c r="F166" s="32"/>
      <c r="G166" s="35"/>
      <c r="H166" s="37" t="str">
        <f aca="true">IF(B166="","",IF(OR(D166="Done"),"Done",IF(E166="","No Due Date",IF(E166&lt;TODAY(),"Overdue",IF(E166=TODAY(),"Due Today",IF(E166&lt;TODAY()+7,"Due This Week","Later"))))))</f>
        <v/>
      </c>
      <c r="I166" s="40" t="str">
        <f aca="false">IF(AND(B166&lt;&gt;"",D166&lt;&gt;"Done",E166&lt;&gt;""),E166+ROW()/100000,"")</f>
        <v/>
      </c>
    </row>
    <row r="167" customFormat="false" ht="15" hidden="false" customHeight="false" outlineLevel="0" collapsed="false">
      <c r="A167" s="32"/>
      <c r="B167" s="32"/>
      <c r="C167" s="33"/>
      <c r="D167" s="32"/>
      <c r="E167" s="35"/>
      <c r="F167" s="32"/>
      <c r="G167" s="35"/>
      <c r="H167" s="37" t="str">
        <f aca="true">IF(B167="","",IF(OR(D167="Done"),"Done",IF(E167="","No Due Date",IF(E167&lt;TODAY(),"Overdue",IF(E167=TODAY(),"Due Today",IF(E167&lt;TODAY()+7,"Due This Week","Later"))))))</f>
        <v/>
      </c>
      <c r="I167" s="40" t="str">
        <f aca="false">IF(AND(B167&lt;&gt;"",D167&lt;&gt;"Done",E167&lt;&gt;""),E167+ROW()/100000,"")</f>
        <v/>
      </c>
    </row>
    <row r="168" customFormat="false" ht="15" hidden="false" customHeight="false" outlineLevel="0" collapsed="false">
      <c r="A168" s="32"/>
      <c r="B168" s="32"/>
      <c r="C168" s="33"/>
      <c r="D168" s="32"/>
      <c r="E168" s="35"/>
      <c r="F168" s="32"/>
      <c r="G168" s="35"/>
      <c r="H168" s="37" t="str">
        <f aca="true">IF(B168="","",IF(OR(D168="Done"),"Done",IF(E168="","No Due Date",IF(E168&lt;TODAY(),"Overdue",IF(E168=TODAY(),"Due Today",IF(E168&lt;TODAY()+7,"Due This Week","Later"))))))</f>
        <v/>
      </c>
      <c r="I168" s="40" t="str">
        <f aca="false">IF(AND(B168&lt;&gt;"",D168&lt;&gt;"Done",E168&lt;&gt;""),E168+ROW()/100000,"")</f>
        <v/>
      </c>
    </row>
    <row r="169" customFormat="false" ht="15" hidden="false" customHeight="false" outlineLevel="0" collapsed="false">
      <c r="A169" s="32"/>
      <c r="B169" s="32"/>
      <c r="C169" s="33"/>
      <c r="D169" s="32"/>
      <c r="E169" s="35"/>
      <c r="F169" s="32"/>
      <c r="G169" s="35"/>
      <c r="H169" s="37" t="str">
        <f aca="true">IF(B169="","",IF(OR(D169="Done"),"Done",IF(E169="","No Due Date",IF(E169&lt;TODAY(),"Overdue",IF(E169=TODAY(),"Due Today",IF(E169&lt;TODAY()+7,"Due This Week","Later"))))))</f>
        <v/>
      </c>
      <c r="I169" s="40" t="str">
        <f aca="false">IF(AND(B169&lt;&gt;"",D169&lt;&gt;"Done",E169&lt;&gt;""),E169+ROW()/100000,"")</f>
        <v/>
      </c>
    </row>
    <row r="170" customFormat="false" ht="15" hidden="false" customHeight="false" outlineLevel="0" collapsed="false">
      <c r="A170" s="32"/>
      <c r="B170" s="32"/>
      <c r="C170" s="33"/>
      <c r="D170" s="32"/>
      <c r="E170" s="35"/>
      <c r="F170" s="32"/>
      <c r="G170" s="35"/>
      <c r="H170" s="37" t="str">
        <f aca="true">IF(B170="","",IF(OR(D170="Done"),"Done",IF(E170="","No Due Date",IF(E170&lt;TODAY(),"Overdue",IF(E170=TODAY(),"Due Today",IF(E170&lt;TODAY()+7,"Due This Week","Later"))))))</f>
        <v/>
      </c>
      <c r="I170" s="40" t="str">
        <f aca="false">IF(AND(B170&lt;&gt;"",D170&lt;&gt;"Done",E170&lt;&gt;""),E170+ROW()/100000,"")</f>
        <v/>
      </c>
    </row>
    <row r="171" customFormat="false" ht="15" hidden="false" customHeight="false" outlineLevel="0" collapsed="false">
      <c r="A171" s="32"/>
      <c r="B171" s="32"/>
      <c r="C171" s="33"/>
      <c r="D171" s="32"/>
      <c r="E171" s="35"/>
      <c r="F171" s="32"/>
      <c r="G171" s="35"/>
      <c r="H171" s="37" t="str">
        <f aca="true">IF(B171="","",IF(OR(D171="Done"),"Done",IF(E171="","No Due Date",IF(E171&lt;TODAY(),"Overdue",IF(E171=TODAY(),"Due Today",IF(E171&lt;TODAY()+7,"Due This Week","Later"))))))</f>
        <v/>
      </c>
      <c r="I171" s="40" t="str">
        <f aca="false">IF(AND(B171&lt;&gt;"",D171&lt;&gt;"Done",E171&lt;&gt;""),E171+ROW()/100000,"")</f>
        <v/>
      </c>
    </row>
    <row r="172" customFormat="false" ht="15" hidden="false" customHeight="false" outlineLevel="0" collapsed="false">
      <c r="A172" s="32"/>
      <c r="B172" s="32"/>
      <c r="C172" s="33"/>
      <c r="D172" s="32"/>
      <c r="E172" s="35"/>
      <c r="F172" s="32"/>
      <c r="G172" s="35"/>
      <c r="H172" s="37" t="str">
        <f aca="true">IF(B172="","",IF(OR(D172="Done"),"Done",IF(E172="","No Due Date",IF(E172&lt;TODAY(),"Overdue",IF(E172=TODAY(),"Due Today",IF(E172&lt;TODAY()+7,"Due This Week","Later"))))))</f>
        <v/>
      </c>
      <c r="I172" s="40" t="str">
        <f aca="false">IF(AND(B172&lt;&gt;"",D172&lt;&gt;"Done",E172&lt;&gt;""),E172+ROW()/100000,"")</f>
        <v/>
      </c>
    </row>
    <row r="173" customFormat="false" ht="15" hidden="false" customHeight="false" outlineLevel="0" collapsed="false">
      <c r="A173" s="32"/>
      <c r="B173" s="32"/>
      <c r="C173" s="33"/>
      <c r="D173" s="32"/>
      <c r="E173" s="35"/>
      <c r="F173" s="32"/>
      <c r="G173" s="35"/>
      <c r="H173" s="37" t="str">
        <f aca="true">IF(B173="","",IF(OR(D173="Done"),"Done",IF(E173="","No Due Date",IF(E173&lt;TODAY(),"Overdue",IF(E173=TODAY(),"Due Today",IF(E173&lt;TODAY()+7,"Due This Week","Later"))))))</f>
        <v/>
      </c>
      <c r="I173" s="40" t="str">
        <f aca="false">IF(AND(B173&lt;&gt;"",D173&lt;&gt;"Done",E173&lt;&gt;""),E173+ROW()/100000,"")</f>
        <v/>
      </c>
    </row>
    <row r="174" customFormat="false" ht="15" hidden="false" customHeight="false" outlineLevel="0" collapsed="false">
      <c r="A174" s="32"/>
      <c r="B174" s="32"/>
      <c r="C174" s="33"/>
      <c r="D174" s="32"/>
      <c r="E174" s="35"/>
      <c r="F174" s="32"/>
      <c r="G174" s="35"/>
      <c r="H174" s="37" t="str">
        <f aca="true">IF(B174="","",IF(OR(D174="Done"),"Done",IF(E174="","No Due Date",IF(E174&lt;TODAY(),"Overdue",IF(E174=TODAY(),"Due Today",IF(E174&lt;TODAY()+7,"Due This Week","Later"))))))</f>
        <v/>
      </c>
      <c r="I174" s="40" t="str">
        <f aca="false">IF(AND(B174&lt;&gt;"",D174&lt;&gt;"Done",E174&lt;&gt;""),E174+ROW()/100000,"")</f>
        <v/>
      </c>
    </row>
    <row r="175" customFormat="false" ht="15" hidden="false" customHeight="false" outlineLevel="0" collapsed="false">
      <c r="A175" s="32"/>
      <c r="B175" s="32"/>
      <c r="C175" s="33"/>
      <c r="D175" s="32"/>
      <c r="E175" s="35"/>
      <c r="F175" s="32"/>
      <c r="G175" s="35"/>
      <c r="H175" s="37" t="str">
        <f aca="true">IF(B175="","",IF(OR(D175="Done"),"Done",IF(E175="","No Due Date",IF(E175&lt;TODAY(),"Overdue",IF(E175=TODAY(),"Due Today",IF(E175&lt;TODAY()+7,"Due This Week","Later"))))))</f>
        <v/>
      </c>
      <c r="I175" s="40" t="str">
        <f aca="false">IF(AND(B175&lt;&gt;"",D175&lt;&gt;"Done",E175&lt;&gt;""),E175+ROW()/100000,"")</f>
        <v/>
      </c>
    </row>
    <row r="176" customFormat="false" ht="15" hidden="false" customHeight="false" outlineLevel="0" collapsed="false">
      <c r="A176" s="32"/>
      <c r="B176" s="32"/>
      <c r="C176" s="33"/>
      <c r="D176" s="32"/>
      <c r="E176" s="35"/>
      <c r="F176" s="32"/>
      <c r="G176" s="35"/>
      <c r="H176" s="37" t="str">
        <f aca="true">IF(B176="","",IF(OR(D176="Done"),"Done",IF(E176="","No Due Date",IF(E176&lt;TODAY(),"Overdue",IF(E176=TODAY(),"Due Today",IF(E176&lt;TODAY()+7,"Due This Week","Later"))))))</f>
        <v/>
      </c>
      <c r="I176" s="40" t="str">
        <f aca="false">IF(AND(B176&lt;&gt;"",D176&lt;&gt;"Done",E176&lt;&gt;""),E176+ROW()/100000,"")</f>
        <v/>
      </c>
    </row>
    <row r="177" customFormat="false" ht="15" hidden="false" customHeight="false" outlineLevel="0" collapsed="false">
      <c r="A177" s="32"/>
      <c r="B177" s="32"/>
      <c r="C177" s="33"/>
      <c r="D177" s="32"/>
      <c r="E177" s="35"/>
      <c r="F177" s="32"/>
      <c r="G177" s="35"/>
      <c r="H177" s="37" t="str">
        <f aca="true">IF(B177="","",IF(OR(D177="Done"),"Done",IF(E177="","No Due Date",IF(E177&lt;TODAY(),"Overdue",IF(E177=TODAY(),"Due Today",IF(E177&lt;TODAY()+7,"Due This Week","Later"))))))</f>
        <v/>
      </c>
      <c r="I177" s="40" t="str">
        <f aca="false">IF(AND(B177&lt;&gt;"",D177&lt;&gt;"Done",E177&lt;&gt;""),E177+ROW()/100000,"")</f>
        <v/>
      </c>
    </row>
    <row r="178" customFormat="false" ht="15" hidden="false" customHeight="false" outlineLevel="0" collapsed="false">
      <c r="A178" s="32"/>
      <c r="B178" s="32"/>
      <c r="C178" s="33"/>
      <c r="D178" s="32"/>
      <c r="E178" s="35"/>
      <c r="F178" s="32"/>
      <c r="G178" s="35"/>
      <c r="H178" s="37" t="str">
        <f aca="true">IF(B178="","",IF(OR(D178="Done"),"Done",IF(E178="","No Due Date",IF(E178&lt;TODAY(),"Overdue",IF(E178=TODAY(),"Due Today",IF(E178&lt;TODAY()+7,"Due This Week","Later"))))))</f>
        <v/>
      </c>
      <c r="I178" s="40" t="str">
        <f aca="false">IF(AND(B178&lt;&gt;"",D178&lt;&gt;"Done",E178&lt;&gt;""),E178+ROW()/100000,"")</f>
        <v/>
      </c>
    </row>
    <row r="179" customFormat="false" ht="15" hidden="false" customHeight="false" outlineLevel="0" collapsed="false">
      <c r="A179" s="32"/>
      <c r="B179" s="32"/>
      <c r="C179" s="33"/>
      <c r="D179" s="32"/>
      <c r="E179" s="35"/>
      <c r="F179" s="32"/>
      <c r="G179" s="35"/>
      <c r="H179" s="37" t="str">
        <f aca="true">IF(B179="","",IF(OR(D179="Done"),"Done",IF(E179="","No Due Date",IF(E179&lt;TODAY(),"Overdue",IF(E179=TODAY(),"Due Today",IF(E179&lt;TODAY()+7,"Due This Week","Later"))))))</f>
        <v/>
      </c>
      <c r="I179" s="40" t="str">
        <f aca="false">IF(AND(B179&lt;&gt;"",D179&lt;&gt;"Done",E179&lt;&gt;""),E179+ROW()/100000,"")</f>
        <v/>
      </c>
    </row>
    <row r="180" customFormat="false" ht="15" hidden="false" customHeight="false" outlineLevel="0" collapsed="false">
      <c r="A180" s="32"/>
      <c r="B180" s="32"/>
      <c r="C180" s="33"/>
      <c r="D180" s="32"/>
      <c r="E180" s="35"/>
      <c r="F180" s="32"/>
      <c r="G180" s="35"/>
      <c r="H180" s="37" t="str">
        <f aca="true">IF(B180="","",IF(OR(D180="Done"),"Done",IF(E180="","No Due Date",IF(E180&lt;TODAY(),"Overdue",IF(E180=TODAY(),"Due Today",IF(E180&lt;TODAY()+7,"Due This Week","Later"))))))</f>
        <v/>
      </c>
      <c r="I180" s="40" t="str">
        <f aca="false">IF(AND(B180&lt;&gt;"",D180&lt;&gt;"Done",E180&lt;&gt;""),E180+ROW()/100000,"")</f>
        <v/>
      </c>
    </row>
    <row r="181" customFormat="false" ht="15" hidden="false" customHeight="false" outlineLevel="0" collapsed="false">
      <c r="A181" s="32"/>
      <c r="B181" s="32"/>
      <c r="C181" s="33"/>
      <c r="D181" s="32"/>
      <c r="E181" s="35"/>
      <c r="F181" s="32"/>
      <c r="G181" s="35"/>
      <c r="H181" s="37" t="str">
        <f aca="true">IF(B181="","",IF(OR(D181="Done"),"Done",IF(E181="","No Due Date",IF(E181&lt;TODAY(),"Overdue",IF(E181=TODAY(),"Due Today",IF(E181&lt;TODAY()+7,"Due This Week","Later"))))))</f>
        <v/>
      </c>
      <c r="I181" s="40" t="str">
        <f aca="false">IF(AND(B181&lt;&gt;"",D181&lt;&gt;"Done",E181&lt;&gt;""),E181+ROW()/100000,"")</f>
        <v/>
      </c>
    </row>
    <row r="182" customFormat="false" ht="15" hidden="false" customHeight="false" outlineLevel="0" collapsed="false">
      <c r="A182" s="32"/>
      <c r="B182" s="32"/>
      <c r="C182" s="33"/>
      <c r="D182" s="32"/>
      <c r="E182" s="35"/>
      <c r="F182" s="32"/>
      <c r="G182" s="35"/>
      <c r="H182" s="37" t="str">
        <f aca="true">IF(B182="","",IF(OR(D182="Done"),"Done",IF(E182="","No Due Date",IF(E182&lt;TODAY(),"Overdue",IF(E182=TODAY(),"Due Today",IF(E182&lt;TODAY()+7,"Due This Week","Later"))))))</f>
        <v/>
      </c>
      <c r="I182" s="40" t="str">
        <f aca="false">IF(AND(B182&lt;&gt;"",D182&lt;&gt;"Done",E182&lt;&gt;""),E182+ROW()/100000,"")</f>
        <v/>
      </c>
    </row>
    <row r="183" customFormat="false" ht="15" hidden="false" customHeight="false" outlineLevel="0" collapsed="false">
      <c r="A183" s="32"/>
      <c r="B183" s="32"/>
      <c r="C183" s="33"/>
      <c r="D183" s="32"/>
      <c r="E183" s="35"/>
      <c r="F183" s="32"/>
      <c r="G183" s="35"/>
      <c r="H183" s="37" t="str">
        <f aca="true">IF(B183="","",IF(OR(D183="Done"),"Done",IF(E183="","No Due Date",IF(E183&lt;TODAY(),"Overdue",IF(E183=TODAY(),"Due Today",IF(E183&lt;TODAY()+7,"Due This Week","Later"))))))</f>
        <v/>
      </c>
      <c r="I183" s="40" t="str">
        <f aca="false">IF(AND(B183&lt;&gt;"",D183&lt;&gt;"Done",E183&lt;&gt;""),E183+ROW()/100000,"")</f>
        <v/>
      </c>
    </row>
    <row r="184" customFormat="false" ht="15" hidden="false" customHeight="false" outlineLevel="0" collapsed="false">
      <c r="A184" s="32"/>
      <c r="B184" s="32"/>
      <c r="C184" s="33"/>
      <c r="D184" s="32"/>
      <c r="E184" s="35"/>
      <c r="F184" s="32"/>
      <c r="G184" s="35"/>
      <c r="H184" s="37" t="str">
        <f aca="true">IF(B184="","",IF(OR(D184="Done"),"Done",IF(E184="","No Due Date",IF(E184&lt;TODAY(),"Overdue",IF(E184=TODAY(),"Due Today",IF(E184&lt;TODAY()+7,"Due This Week","Later"))))))</f>
        <v/>
      </c>
      <c r="I184" s="40" t="str">
        <f aca="false">IF(AND(B184&lt;&gt;"",D184&lt;&gt;"Done",E184&lt;&gt;""),E184+ROW()/100000,"")</f>
        <v/>
      </c>
    </row>
    <row r="185" customFormat="false" ht="15" hidden="false" customHeight="false" outlineLevel="0" collapsed="false">
      <c r="A185" s="32"/>
      <c r="B185" s="32"/>
      <c r="C185" s="33"/>
      <c r="D185" s="32"/>
      <c r="E185" s="35"/>
      <c r="F185" s="32"/>
      <c r="G185" s="35"/>
      <c r="H185" s="37" t="str">
        <f aca="true">IF(B185="","",IF(OR(D185="Done"),"Done",IF(E185="","No Due Date",IF(E185&lt;TODAY(),"Overdue",IF(E185=TODAY(),"Due Today",IF(E185&lt;TODAY()+7,"Due This Week","Later"))))))</f>
        <v/>
      </c>
      <c r="I185" s="40" t="str">
        <f aca="false">IF(AND(B185&lt;&gt;"",D185&lt;&gt;"Done",E185&lt;&gt;""),E185+ROW()/100000,"")</f>
        <v/>
      </c>
    </row>
    <row r="186" customFormat="false" ht="15" hidden="false" customHeight="false" outlineLevel="0" collapsed="false">
      <c r="A186" s="32"/>
      <c r="B186" s="32"/>
      <c r="C186" s="33"/>
      <c r="D186" s="32"/>
      <c r="E186" s="35"/>
      <c r="F186" s="32"/>
      <c r="G186" s="35"/>
      <c r="H186" s="37" t="str">
        <f aca="true">IF(B186="","",IF(OR(D186="Done"),"Done",IF(E186="","No Due Date",IF(E186&lt;TODAY(),"Overdue",IF(E186=TODAY(),"Due Today",IF(E186&lt;TODAY()+7,"Due This Week","Later"))))))</f>
        <v/>
      </c>
      <c r="I186" s="40" t="str">
        <f aca="false">IF(AND(B186&lt;&gt;"",D186&lt;&gt;"Done",E186&lt;&gt;""),E186+ROW()/100000,"")</f>
        <v/>
      </c>
    </row>
    <row r="187" customFormat="false" ht="15" hidden="false" customHeight="false" outlineLevel="0" collapsed="false">
      <c r="A187" s="32"/>
      <c r="B187" s="32"/>
      <c r="C187" s="33"/>
      <c r="D187" s="32"/>
      <c r="E187" s="35"/>
      <c r="F187" s="32"/>
      <c r="G187" s="35"/>
      <c r="H187" s="37" t="str">
        <f aca="true">IF(B187="","",IF(OR(D187="Done"),"Done",IF(E187="","No Due Date",IF(E187&lt;TODAY(),"Overdue",IF(E187=TODAY(),"Due Today",IF(E187&lt;TODAY()+7,"Due This Week","Later"))))))</f>
        <v/>
      </c>
      <c r="I187" s="40" t="str">
        <f aca="false">IF(AND(B187&lt;&gt;"",D187&lt;&gt;"Done",E187&lt;&gt;""),E187+ROW()/100000,"")</f>
        <v/>
      </c>
    </row>
    <row r="188" customFormat="false" ht="15" hidden="false" customHeight="false" outlineLevel="0" collapsed="false">
      <c r="A188" s="32"/>
      <c r="B188" s="32"/>
      <c r="C188" s="33"/>
      <c r="D188" s="32"/>
      <c r="E188" s="35"/>
      <c r="F188" s="32"/>
      <c r="G188" s="35"/>
      <c r="H188" s="37" t="str">
        <f aca="true">IF(B188="","",IF(OR(D188="Done"),"Done",IF(E188="","No Due Date",IF(E188&lt;TODAY(),"Overdue",IF(E188=TODAY(),"Due Today",IF(E188&lt;TODAY()+7,"Due This Week","Later"))))))</f>
        <v/>
      </c>
      <c r="I188" s="40" t="str">
        <f aca="false">IF(AND(B188&lt;&gt;"",D188&lt;&gt;"Done",E188&lt;&gt;""),E188+ROW()/100000,"")</f>
        <v/>
      </c>
    </row>
    <row r="189" customFormat="false" ht="15" hidden="false" customHeight="false" outlineLevel="0" collapsed="false">
      <c r="A189" s="32"/>
      <c r="B189" s="32"/>
      <c r="C189" s="33"/>
      <c r="D189" s="32"/>
      <c r="E189" s="35"/>
      <c r="F189" s="32"/>
      <c r="G189" s="35"/>
      <c r="H189" s="37" t="str">
        <f aca="true">IF(B189="","",IF(OR(D189="Done"),"Done",IF(E189="","No Due Date",IF(E189&lt;TODAY(),"Overdue",IF(E189=TODAY(),"Due Today",IF(E189&lt;TODAY()+7,"Due This Week","Later"))))))</f>
        <v/>
      </c>
      <c r="I189" s="40" t="str">
        <f aca="false">IF(AND(B189&lt;&gt;"",D189&lt;&gt;"Done",E189&lt;&gt;""),E189+ROW()/100000,"")</f>
        <v/>
      </c>
    </row>
    <row r="190" customFormat="false" ht="15" hidden="false" customHeight="false" outlineLevel="0" collapsed="false">
      <c r="A190" s="32"/>
      <c r="B190" s="32"/>
      <c r="C190" s="33"/>
      <c r="D190" s="32"/>
      <c r="E190" s="35"/>
      <c r="F190" s="32"/>
      <c r="G190" s="35"/>
      <c r="H190" s="37" t="str">
        <f aca="true">IF(B190="","",IF(OR(D190="Done"),"Done",IF(E190="","No Due Date",IF(E190&lt;TODAY(),"Overdue",IF(E190=TODAY(),"Due Today",IF(E190&lt;TODAY()+7,"Due This Week","Later"))))))</f>
        <v/>
      </c>
      <c r="I190" s="40" t="str">
        <f aca="false">IF(AND(B190&lt;&gt;"",D190&lt;&gt;"Done",E190&lt;&gt;""),E190+ROW()/100000,"")</f>
        <v/>
      </c>
    </row>
    <row r="191" customFormat="false" ht="15" hidden="false" customHeight="false" outlineLevel="0" collapsed="false">
      <c r="A191" s="32"/>
      <c r="B191" s="32"/>
      <c r="C191" s="33"/>
      <c r="D191" s="32"/>
      <c r="E191" s="35"/>
      <c r="F191" s="32"/>
      <c r="G191" s="35"/>
      <c r="H191" s="37" t="str">
        <f aca="true">IF(B191="","",IF(OR(D191="Done"),"Done",IF(E191="","No Due Date",IF(E191&lt;TODAY(),"Overdue",IF(E191=TODAY(),"Due Today",IF(E191&lt;TODAY()+7,"Due This Week","Later"))))))</f>
        <v/>
      </c>
      <c r="I191" s="40" t="str">
        <f aca="false">IF(AND(B191&lt;&gt;"",D191&lt;&gt;"Done",E191&lt;&gt;""),E191+ROW()/100000,"")</f>
        <v/>
      </c>
    </row>
    <row r="192" customFormat="false" ht="15" hidden="false" customHeight="false" outlineLevel="0" collapsed="false">
      <c r="A192" s="32"/>
      <c r="B192" s="32"/>
      <c r="C192" s="33"/>
      <c r="D192" s="32"/>
      <c r="E192" s="35"/>
      <c r="F192" s="32"/>
      <c r="G192" s="35"/>
      <c r="H192" s="37" t="str">
        <f aca="true">IF(B192="","",IF(OR(D192="Done"),"Done",IF(E192="","No Due Date",IF(E192&lt;TODAY(),"Overdue",IF(E192=TODAY(),"Due Today",IF(E192&lt;TODAY()+7,"Due This Week","Later"))))))</f>
        <v/>
      </c>
      <c r="I192" s="40" t="str">
        <f aca="false">IF(AND(B192&lt;&gt;"",D192&lt;&gt;"Done",E192&lt;&gt;""),E192+ROW()/100000,"")</f>
        <v/>
      </c>
    </row>
    <row r="193" customFormat="false" ht="15" hidden="false" customHeight="false" outlineLevel="0" collapsed="false">
      <c r="A193" s="32"/>
      <c r="B193" s="32"/>
      <c r="C193" s="33"/>
      <c r="D193" s="32"/>
      <c r="E193" s="35"/>
      <c r="F193" s="32"/>
      <c r="G193" s="35"/>
      <c r="H193" s="37" t="str">
        <f aca="true">IF(B193="","",IF(OR(D193="Done"),"Done",IF(E193="","No Due Date",IF(E193&lt;TODAY(),"Overdue",IF(E193=TODAY(),"Due Today",IF(E193&lt;TODAY()+7,"Due This Week","Later"))))))</f>
        <v/>
      </c>
      <c r="I193" s="40" t="str">
        <f aca="false">IF(AND(B193&lt;&gt;"",D193&lt;&gt;"Done",E193&lt;&gt;""),E193+ROW()/100000,"")</f>
        <v/>
      </c>
    </row>
    <row r="194" customFormat="false" ht="15" hidden="false" customHeight="false" outlineLevel="0" collapsed="false">
      <c r="A194" s="32"/>
      <c r="B194" s="32"/>
      <c r="C194" s="33"/>
      <c r="D194" s="32"/>
      <c r="E194" s="35"/>
      <c r="F194" s="32"/>
      <c r="G194" s="35"/>
      <c r="H194" s="37" t="str">
        <f aca="true">IF(B194="","",IF(OR(D194="Done"),"Done",IF(E194="","No Due Date",IF(E194&lt;TODAY(),"Overdue",IF(E194=TODAY(),"Due Today",IF(E194&lt;TODAY()+7,"Due This Week","Later"))))))</f>
        <v/>
      </c>
      <c r="I194" s="40" t="str">
        <f aca="false">IF(AND(B194&lt;&gt;"",D194&lt;&gt;"Done",E194&lt;&gt;""),E194+ROW()/100000,"")</f>
        <v/>
      </c>
    </row>
    <row r="195" customFormat="false" ht="15" hidden="false" customHeight="false" outlineLevel="0" collapsed="false">
      <c r="A195" s="32"/>
      <c r="B195" s="32"/>
      <c r="C195" s="33"/>
      <c r="D195" s="32"/>
      <c r="E195" s="35"/>
      <c r="F195" s="32"/>
      <c r="G195" s="35"/>
      <c r="H195" s="37" t="str">
        <f aca="true">IF(B195="","",IF(OR(D195="Done"),"Done",IF(E195="","No Due Date",IF(E195&lt;TODAY(),"Overdue",IF(E195=TODAY(),"Due Today",IF(E195&lt;TODAY()+7,"Due This Week","Later"))))))</f>
        <v/>
      </c>
      <c r="I195" s="40" t="str">
        <f aca="false">IF(AND(B195&lt;&gt;"",D195&lt;&gt;"Done",E195&lt;&gt;""),E195+ROW()/100000,"")</f>
        <v/>
      </c>
    </row>
    <row r="196" customFormat="false" ht="15" hidden="false" customHeight="false" outlineLevel="0" collapsed="false">
      <c r="A196" s="32"/>
      <c r="B196" s="32"/>
      <c r="C196" s="33"/>
      <c r="D196" s="32"/>
      <c r="E196" s="35"/>
      <c r="F196" s="32"/>
      <c r="G196" s="35"/>
      <c r="H196" s="37" t="str">
        <f aca="true">IF(B196="","",IF(OR(D196="Done"),"Done",IF(E196="","No Due Date",IF(E196&lt;TODAY(),"Overdue",IF(E196=TODAY(),"Due Today",IF(E196&lt;TODAY()+7,"Due This Week","Later"))))))</f>
        <v/>
      </c>
      <c r="I196" s="40" t="str">
        <f aca="false">IF(AND(B196&lt;&gt;"",D196&lt;&gt;"Done",E196&lt;&gt;""),E196+ROW()/100000,"")</f>
        <v/>
      </c>
    </row>
    <row r="197" customFormat="false" ht="15" hidden="false" customHeight="false" outlineLevel="0" collapsed="false">
      <c r="A197" s="32"/>
      <c r="B197" s="32"/>
      <c r="C197" s="33"/>
      <c r="D197" s="32"/>
      <c r="E197" s="35"/>
      <c r="F197" s="32"/>
      <c r="G197" s="35"/>
      <c r="H197" s="37" t="str">
        <f aca="true">IF(B197="","",IF(OR(D197="Done"),"Done",IF(E197="","No Due Date",IF(E197&lt;TODAY(),"Overdue",IF(E197=TODAY(),"Due Today",IF(E197&lt;TODAY()+7,"Due This Week","Later"))))))</f>
        <v/>
      </c>
      <c r="I197" s="40" t="str">
        <f aca="false">IF(AND(B197&lt;&gt;"",D197&lt;&gt;"Done",E197&lt;&gt;""),E197+ROW()/100000,"")</f>
        <v/>
      </c>
    </row>
    <row r="198" customFormat="false" ht="15" hidden="false" customHeight="false" outlineLevel="0" collapsed="false">
      <c r="A198" s="32"/>
      <c r="B198" s="32"/>
      <c r="C198" s="33"/>
      <c r="D198" s="32"/>
      <c r="E198" s="35"/>
      <c r="F198" s="32"/>
      <c r="G198" s="35"/>
      <c r="H198" s="37" t="str">
        <f aca="true">IF(B198="","",IF(OR(D198="Done"),"Done",IF(E198="","No Due Date",IF(E198&lt;TODAY(),"Overdue",IF(E198=TODAY(),"Due Today",IF(E198&lt;TODAY()+7,"Due This Week","Later"))))))</f>
        <v/>
      </c>
      <c r="I198" s="40" t="str">
        <f aca="false">IF(AND(B198&lt;&gt;"",D198&lt;&gt;"Done",E198&lt;&gt;""),E198+ROW()/100000,"")</f>
        <v/>
      </c>
    </row>
    <row r="199" customFormat="false" ht="15" hidden="false" customHeight="false" outlineLevel="0" collapsed="false">
      <c r="A199" s="32"/>
      <c r="B199" s="32"/>
      <c r="C199" s="33"/>
      <c r="D199" s="32"/>
      <c r="E199" s="35"/>
      <c r="F199" s="32"/>
      <c r="G199" s="35"/>
      <c r="H199" s="37" t="str">
        <f aca="true">IF(B199="","",IF(OR(D199="Done"),"Done",IF(E199="","No Due Date",IF(E199&lt;TODAY(),"Overdue",IF(E199=TODAY(),"Due Today",IF(E199&lt;TODAY()+7,"Due This Week","Later"))))))</f>
        <v/>
      </c>
      <c r="I199" s="40" t="str">
        <f aca="false">IF(AND(B199&lt;&gt;"",D199&lt;&gt;"Done",E199&lt;&gt;""),E199+ROW()/100000,"")</f>
        <v/>
      </c>
    </row>
    <row r="200" customFormat="false" ht="15" hidden="false" customHeight="false" outlineLevel="0" collapsed="false">
      <c r="A200" s="32"/>
      <c r="B200" s="32"/>
      <c r="C200" s="33"/>
      <c r="D200" s="32"/>
      <c r="E200" s="35"/>
      <c r="F200" s="32"/>
      <c r="G200" s="35"/>
      <c r="H200" s="37" t="str">
        <f aca="true">IF(B200="","",IF(OR(D200="Done"),"Done",IF(E200="","No Due Date",IF(E200&lt;TODAY(),"Overdue",IF(E200=TODAY(),"Due Today",IF(E200&lt;TODAY()+7,"Due This Week","Later"))))))</f>
        <v/>
      </c>
      <c r="I200" s="40" t="str">
        <f aca="false">IF(AND(B200&lt;&gt;"",D200&lt;&gt;"Done",E200&lt;&gt;""),E200+ROW()/100000,"")</f>
        <v/>
      </c>
    </row>
    <row r="201" customFormat="false" ht="15" hidden="false" customHeight="false" outlineLevel="0" collapsed="false">
      <c r="A201" s="32"/>
      <c r="B201" s="32"/>
      <c r="C201" s="33"/>
      <c r="D201" s="32"/>
      <c r="E201" s="35"/>
      <c r="F201" s="32"/>
      <c r="G201" s="35"/>
      <c r="H201" s="37" t="str">
        <f aca="true">IF(B201="","",IF(OR(D201="Done"),"Done",IF(E201="","No Due Date",IF(E201&lt;TODAY(),"Overdue",IF(E201=TODAY(),"Due Today",IF(E201&lt;TODAY()+7,"Due This Week","Later"))))))</f>
        <v/>
      </c>
      <c r="I201" s="40" t="str">
        <f aca="false">IF(AND(B201&lt;&gt;"",D201&lt;&gt;"Done",E201&lt;&gt;""),E201+ROW()/100000,"")</f>
        <v/>
      </c>
    </row>
    <row r="202" customFormat="false" ht="15" hidden="false" customHeight="false" outlineLevel="0" collapsed="false">
      <c r="A202" s="32"/>
      <c r="B202" s="32"/>
      <c r="C202" s="33"/>
      <c r="D202" s="32"/>
      <c r="E202" s="35"/>
      <c r="F202" s="32"/>
      <c r="G202" s="35"/>
      <c r="H202" s="37" t="str">
        <f aca="true">IF(B202="","",IF(OR(D202="Done"),"Done",IF(E202="","No Due Date",IF(E202&lt;TODAY(),"Overdue",IF(E202=TODAY(),"Due Today",IF(E202&lt;TODAY()+7,"Due This Week","Later"))))))</f>
        <v/>
      </c>
      <c r="I202" s="40" t="str">
        <f aca="false">IF(AND(B202&lt;&gt;"",D202&lt;&gt;"Done",E202&lt;&gt;""),E202+ROW()/100000,"")</f>
        <v/>
      </c>
    </row>
    <row r="203" customFormat="false" ht="15" hidden="false" customHeight="false" outlineLevel="0" collapsed="false">
      <c r="A203" s="32"/>
      <c r="B203" s="32"/>
      <c r="C203" s="33"/>
      <c r="D203" s="32"/>
      <c r="E203" s="35"/>
      <c r="F203" s="32"/>
      <c r="G203" s="35"/>
      <c r="H203" s="37" t="str">
        <f aca="true">IF(B203="","",IF(OR(D203="Done"),"Done",IF(E203="","No Due Date",IF(E203&lt;TODAY(),"Overdue",IF(E203=TODAY(),"Due Today",IF(E203&lt;TODAY()+7,"Due This Week","Later"))))))</f>
        <v/>
      </c>
      <c r="I203" s="40" t="str">
        <f aca="false">IF(AND(B203&lt;&gt;"",D203&lt;&gt;"Done",E203&lt;&gt;""),E203+ROW()/100000,"")</f>
        <v/>
      </c>
    </row>
    <row r="204" customFormat="false" ht="15" hidden="false" customHeight="false" outlineLevel="0" collapsed="false">
      <c r="A204" s="32"/>
      <c r="B204" s="32"/>
      <c r="C204" s="33"/>
      <c r="D204" s="32"/>
      <c r="E204" s="35"/>
      <c r="F204" s="32"/>
      <c r="G204" s="35"/>
      <c r="H204" s="37" t="str">
        <f aca="true">IF(B204="","",IF(OR(D204="Done"),"Done",IF(E204="","No Due Date",IF(E204&lt;TODAY(),"Overdue",IF(E204=TODAY(),"Due Today",IF(E204&lt;TODAY()+7,"Due This Week","Later"))))))</f>
        <v/>
      </c>
      <c r="I204" s="40" t="str">
        <f aca="false">IF(AND(B204&lt;&gt;"",D204&lt;&gt;"Done",E204&lt;&gt;""),E204+ROW()/100000,"")</f>
        <v/>
      </c>
    </row>
    <row r="205" customFormat="false" ht="15" hidden="false" customHeight="false" outlineLevel="0" collapsed="false">
      <c r="A205" s="32"/>
      <c r="B205" s="32"/>
      <c r="C205" s="33"/>
      <c r="D205" s="32"/>
      <c r="E205" s="35"/>
      <c r="F205" s="32"/>
      <c r="G205" s="35"/>
      <c r="H205" s="37" t="str">
        <f aca="true">IF(B205="","",IF(OR(D205="Done"),"Done",IF(E205="","No Due Date",IF(E205&lt;TODAY(),"Overdue",IF(E205=TODAY(),"Due Today",IF(E205&lt;TODAY()+7,"Due This Week","Later"))))))</f>
        <v/>
      </c>
      <c r="I205" s="40" t="str">
        <f aca="false">IF(AND(B205&lt;&gt;"",D205&lt;&gt;"Done",E205&lt;&gt;""),E205+ROW()/100000,"")</f>
        <v/>
      </c>
    </row>
    <row r="206" customFormat="false" ht="15" hidden="false" customHeight="false" outlineLevel="0" collapsed="false">
      <c r="A206" s="32"/>
      <c r="B206" s="32"/>
      <c r="C206" s="33"/>
      <c r="D206" s="32"/>
      <c r="E206" s="35"/>
      <c r="F206" s="32"/>
      <c r="G206" s="35"/>
      <c r="H206" s="37" t="str">
        <f aca="true">IF(B206="","",IF(OR(D206="Done"),"Done",IF(E206="","No Due Date",IF(E206&lt;TODAY(),"Overdue",IF(E206=TODAY(),"Due Today",IF(E206&lt;TODAY()+7,"Due This Week","Later"))))))</f>
        <v/>
      </c>
      <c r="I206" s="40" t="str">
        <f aca="false">IF(AND(B206&lt;&gt;"",D206&lt;&gt;"Done",E206&lt;&gt;""),E206+ROW()/100000,"")</f>
        <v/>
      </c>
    </row>
    <row r="207" customFormat="false" ht="15" hidden="false" customHeight="false" outlineLevel="0" collapsed="false">
      <c r="A207" s="32"/>
      <c r="B207" s="32"/>
      <c r="C207" s="33"/>
      <c r="D207" s="32"/>
      <c r="E207" s="35"/>
      <c r="F207" s="32"/>
      <c r="G207" s="35"/>
      <c r="H207" s="37" t="str">
        <f aca="true">IF(B207="","",IF(OR(D207="Done"),"Done",IF(E207="","No Due Date",IF(E207&lt;TODAY(),"Overdue",IF(E207=TODAY(),"Due Today",IF(E207&lt;TODAY()+7,"Due This Week","Later"))))))</f>
        <v/>
      </c>
      <c r="I207" s="40" t="str">
        <f aca="false">IF(AND(B207&lt;&gt;"",D207&lt;&gt;"Done",E207&lt;&gt;""),E207+ROW()/100000,"")</f>
        <v/>
      </c>
    </row>
    <row r="208" customFormat="false" ht="15" hidden="false" customHeight="false" outlineLevel="0" collapsed="false">
      <c r="A208" s="32"/>
      <c r="B208" s="32"/>
      <c r="C208" s="33"/>
      <c r="D208" s="32"/>
      <c r="E208" s="35"/>
      <c r="F208" s="32"/>
      <c r="G208" s="35"/>
      <c r="H208" s="37" t="str">
        <f aca="true">IF(B208="","",IF(OR(D208="Done"),"Done",IF(E208="","No Due Date",IF(E208&lt;TODAY(),"Overdue",IF(E208=TODAY(),"Due Today",IF(E208&lt;TODAY()+7,"Due This Week","Later"))))))</f>
        <v/>
      </c>
      <c r="I208" s="40" t="str">
        <f aca="false">IF(AND(B208&lt;&gt;"",D208&lt;&gt;"Done",E208&lt;&gt;""),E208+ROW()/100000,"")</f>
        <v/>
      </c>
    </row>
    <row r="209" customFormat="false" ht="15" hidden="false" customHeight="false" outlineLevel="0" collapsed="false">
      <c r="A209" s="32"/>
      <c r="B209" s="32"/>
      <c r="C209" s="33"/>
      <c r="D209" s="32"/>
      <c r="E209" s="35"/>
      <c r="F209" s="32"/>
      <c r="G209" s="35"/>
      <c r="H209" s="37" t="str">
        <f aca="true">IF(B209="","",IF(OR(D209="Done"),"Done",IF(E209="","No Due Date",IF(E209&lt;TODAY(),"Overdue",IF(E209=TODAY(),"Due Today",IF(E209&lt;TODAY()+7,"Due This Week","Later"))))))</f>
        <v/>
      </c>
      <c r="I209" s="40" t="str">
        <f aca="false">IF(AND(B209&lt;&gt;"",D209&lt;&gt;"Done",E209&lt;&gt;""),E209+ROW()/100000,"")</f>
        <v/>
      </c>
    </row>
    <row r="210" customFormat="false" ht="15" hidden="false" customHeight="false" outlineLevel="0" collapsed="false">
      <c r="A210" s="32"/>
      <c r="B210" s="32"/>
      <c r="C210" s="33"/>
      <c r="D210" s="32"/>
      <c r="E210" s="35"/>
      <c r="F210" s="32"/>
      <c r="G210" s="35"/>
      <c r="H210" s="37" t="str">
        <f aca="true">IF(B210="","",IF(OR(D210="Done"),"Done",IF(E210="","No Due Date",IF(E210&lt;TODAY(),"Overdue",IF(E210=TODAY(),"Due Today",IF(E210&lt;TODAY()+7,"Due This Week","Later"))))))</f>
        <v/>
      </c>
      <c r="I210" s="40" t="str">
        <f aca="false">IF(AND(B210&lt;&gt;"",D210&lt;&gt;"Done",E210&lt;&gt;""),E210+ROW()/100000,"")</f>
        <v/>
      </c>
    </row>
    <row r="211" customFormat="false" ht="15" hidden="false" customHeight="false" outlineLevel="0" collapsed="false">
      <c r="A211" s="32"/>
      <c r="B211" s="32"/>
      <c r="C211" s="33"/>
      <c r="D211" s="32"/>
      <c r="E211" s="35"/>
      <c r="F211" s="32"/>
      <c r="G211" s="35"/>
      <c r="H211" s="37" t="str">
        <f aca="true">IF(B211="","",IF(OR(D211="Done"),"Done",IF(E211="","No Due Date",IF(E211&lt;TODAY(),"Overdue",IF(E211=TODAY(),"Due Today",IF(E211&lt;TODAY()+7,"Due This Week","Later"))))))</f>
        <v/>
      </c>
      <c r="I211" s="40" t="str">
        <f aca="false">IF(AND(B211&lt;&gt;"",D211&lt;&gt;"Done",E211&lt;&gt;""),E211+ROW()/100000,"")</f>
        <v/>
      </c>
    </row>
    <row r="212" customFormat="false" ht="15" hidden="false" customHeight="false" outlineLevel="0" collapsed="false">
      <c r="A212" s="32"/>
      <c r="B212" s="32"/>
      <c r="C212" s="33"/>
      <c r="D212" s="32"/>
      <c r="E212" s="35"/>
      <c r="F212" s="32"/>
      <c r="G212" s="35"/>
      <c r="H212" s="37" t="str">
        <f aca="true">IF(B212="","",IF(OR(D212="Done"),"Done",IF(E212="","No Due Date",IF(E212&lt;TODAY(),"Overdue",IF(E212=TODAY(),"Due Today",IF(E212&lt;TODAY()+7,"Due This Week","Later"))))))</f>
        <v/>
      </c>
      <c r="I212" s="40" t="str">
        <f aca="false">IF(AND(B212&lt;&gt;"",D212&lt;&gt;"Done",E212&lt;&gt;""),E212+ROW()/100000,"")</f>
        <v/>
      </c>
    </row>
    <row r="213" customFormat="false" ht="15" hidden="false" customHeight="false" outlineLevel="0" collapsed="false">
      <c r="A213" s="32"/>
      <c r="B213" s="32"/>
      <c r="C213" s="33"/>
      <c r="D213" s="32"/>
      <c r="E213" s="35"/>
      <c r="F213" s="32"/>
      <c r="G213" s="35"/>
      <c r="H213" s="37" t="str">
        <f aca="true">IF(B213="","",IF(OR(D213="Done"),"Done",IF(E213="","No Due Date",IF(E213&lt;TODAY(),"Overdue",IF(E213=TODAY(),"Due Today",IF(E213&lt;TODAY()+7,"Due This Week","Later"))))))</f>
        <v/>
      </c>
      <c r="I213" s="40" t="str">
        <f aca="false">IF(AND(B213&lt;&gt;"",D213&lt;&gt;"Done",E213&lt;&gt;""),E213+ROW()/100000,"")</f>
        <v/>
      </c>
    </row>
    <row r="214" customFormat="false" ht="15" hidden="false" customHeight="false" outlineLevel="0" collapsed="false">
      <c r="A214" s="32"/>
      <c r="B214" s="32"/>
      <c r="C214" s="33"/>
      <c r="D214" s="32"/>
      <c r="E214" s="35"/>
      <c r="F214" s="32"/>
      <c r="G214" s="35"/>
      <c r="H214" s="37" t="str">
        <f aca="true">IF(B214="","",IF(OR(D214="Done"),"Done",IF(E214="","No Due Date",IF(E214&lt;TODAY(),"Overdue",IF(E214=TODAY(),"Due Today",IF(E214&lt;TODAY()+7,"Due This Week","Later"))))))</f>
        <v/>
      </c>
      <c r="I214" s="40" t="str">
        <f aca="false">IF(AND(B214&lt;&gt;"",D214&lt;&gt;"Done",E214&lt;&gt;""),E214+ROW()/100000,"")</f>
        <v/>
      </c>
    </row>
    <row r="215" customFormat="false" ht="15" hidden="false" customHeight="false" outlineLevel="0" collapsed="false">
      <c r="A215" s="32"/>
      <c r="B215" s="32"/>
      <c r="C215" s="33"/>
      <c r="D215" s="32"/>
      <c r="E215" s="35"/>
      <c r="F215" s="32"/>
      <c r="G215" s="35"/>
      <c r="H215" s="37" t="str">
        <f aca="true">IF(B215="","",IF(OR(D215="Done"),"Done",IF(E215="","No Due Date",IF(E215&lt;TODAY(),"Overdue",IF(E215=TODAY(),"Due Today",IF(E215&lt;TODAY()+7,"Due This Week","Later"))))))</f>
        <v/>
      </c>
      <c r="I215" s="40" t="str">
        <f aca="false">IF(AND(B215&lt;&gt;"",D215&lt;&gt;"Done",E215&lt;&gt;""),E215+ROW()/100000,"")</f>
        <v/>
      </c>
    </row>
    <row r="216" customFormat="false" ht="15" hidden="false" customHeight="false" outlineLevel="0" collapsed="false">
      <c r="A216" s="32"/>
      <c r="B216" s="32"/>
      <c r="C216" s="33"/>
      <c r="D216" s="32"/>
      <c r="E216" s="35"/>
      <c r="F216" s="32"/>
      <c r="G216" s="35"/>
      <c r="H216" s="37" t="str">
        <f aca="true">IF(B216="","",IF(OR(D216="Done"),"Done",IF(E216="","No Due Date",IF(E216&lt;TODAY(),"Overdue",IF(E216=TODAY(),"Due Today",IF(E216&lt;TODAY()+7,"Due This Week","Later"))))))</f>
        <v/>
      </c>
      <c r="I216" s="40" t="str">
        <f aca="false">IF(AND(B216&lt;&gt;"",D216&lt;&gt;"Done",E216&lt;&gt;""),E216+ROW()/100000,"")</f>
        <v/>
      </c>
    </row>
    <row r="217" customFormat="false" ht="15" hidden="false" customHeight="false" outlineLevel="0" collapsed="false">
      <c r="A217" s="32"/>
      <c r="B217" s="32"/>
      <c r="C217" s="33"/>
      <c r="D217" s="32"/>
      <c r="E217" s="35"/>
      <c r="F217" s="32"/>
      <c r="G217" s="35"/>
      <c r="H217" s="37" t="str">
        <f aca="true">IF(B217="","",IF(OR(D217="Done"),"Done",IF(E217="","No Due Date",IF(E217&lt;TODAY(),"Overdue",IF(E217=TODAY(),"Due Today",IF(E217&lt;TODAY()+7,"Due This Week","Later"))))))</f>
        <v/>
      </c>
      <c r="I217" s="40" t="str">
        <f aca="false">IF(AND(B217&lt;&gt;"",D217&lt;&gt;"Done",E217&lt;&gt;""),E217+ROW()/100000,"")</f>
        <v/>
      </c>
    </row>
    <row r="218" customFormat="false" ht="15" hidden="false" customHeight="false" outlineLevel="0" collapsed="false">
      <c r="A218" s="32"/>
      <c r="B218" s="32"/>
      <c r="C218" s="33"/>
      <c r="D218" s="32"/>
      <c r="E218" s="35"/>
      <c r="F218" s="32"/>
      <c r="G218" s="35"/>
      <c r="H218" s="37" t="str">
        <f aca="true">IF(B218="","",IF(OR(D218="Done"),"Done",IF(E218="","No Due Date",IF(E218&lt;TODAY(),"Overdue",IF(E218=TODAY(),"Due Today",IF(E218&lt;TODAY()+7,"Due This Week","Later"))))))</f>
        <v/>
      </c>
      <c r="I218" s="40" t="str">
        <f aca="false">IF(AND(B218&lt;&gt;"",D218&lt;&gt;"Done",E218&lt;&gt;""),E218+ROW()/100000,"")</f>
        <v/>
      </c>
    </row>
    <row r="219" customFormat="false" ht="15" hidden="false" customHeight="false" outlineLevel="0" collapsed="false">
      <c r="A219" s="32"/>
      <c r="B219" s="32"/>
      <c r="C219" s="33"/>
      <c r="D219" s="32"/>
      <c r="E219" s="35"/>
      <c r="F219" s="32"/>
      <c r="G219" s="35"/>
      <c r="H219" s="37" t="str">
        <f aca="true">IF(B219="","",IF(OR(D219="Done"),"Done",IF(E219="","No Due Date",IF(E219&lt;TODAY(),"Overdue",IF(E219=TODAY(),"Due Today",IF(E219&lt;TODAY()+7,"Due This Week","Later"))))))</f>
        <v/>
      </c>
      <c r="I219" s="40" t="str">
        <f aca="false">IF(AND(B219&lt;&gt;"",D219&lt;&gt;"Done",E219&lt;&gt;""),E219+ROW()/100000,"")</f>
        <v/>
      </c>
    </row>
    <row r="220" customFormat="false" ht="15" hidden="false" customHeight="false" outlineLevel="0" collapsed="false">
      <c r="A220" s="32"/>
      <c r="B220" s="32"/>
      <c r="C220" s="33"/>
      <c r="D220" s="32"/>
      <c r="E220" s="35"/>
      <c r="F220" s="32"/>
      <c r="G220" s="35"/>
      <c r="H220" s="37" t="str">
        <f aca="true">IF(B220="","",IF(OR(D220="Done"),"Done",IF(E220="","No Due Date",IF(E220&lt;TODAY(),"Overdue",IF(E220=TODAY(),"Due Today",IF(E220&lt;TODAY()+7,"Due This Week","Later"))))))</f>
        <v/>
      </c>
      <c r="I220" s="40" t="str">
        <f aca="false">IF(AND(B220&lt;&gt;"",D220&lt;&gt;"Done",E220&lt;&gt;""),E220+ROW()/100000,"")</f>
        <v/>
      </c>
    </row>
    <row r="221" customFormat="false" ht="15" hidden="false" customHeight="false" outlineLevel="0" collapsed="false">
      <c r="A221" s="32"/>
      <c r="B221" s="32"/>
      <c r="C221" s="33"/>
      <c r="D221" s="32"/>
      <c r="E221" s="35"/>
      <c r="F221" s="32"/>
      <c r="G221" s="35"/>
      <c r="H221" s="37" t="str">
        <f aca="true">IF(B221="","",IF(OR(D221="Done"),"Done",IF(E221="","No Due Date",IF(E221&lt;TODAY(),"Overdue",IF(E221=TODAY(),"Due Today",IF(E221&lt;TODAY()+7,"Due This Week","Later"))))))</f>
        <v/>
      </c>
      <c r="I221" s="40" t="str">
        <f aca="false">IF(AND(B221&lt;&gt;"",D221&lt;&gt;"Done",E221&lt;&gt;""),E221+ROW()/100000,"")</f>
        <v/>
      </c>
    </row>
    <row r="222" customFormat="false" ht="15" hidden="false" customHeight="false" outlineLevel="0" collapsed="false">
      <c r="A222" s="32"/>
      <c r="B222" s="32"/>
      <c r="C222" s="33"/>
      <c r="D222" s="32"/>
      <c r="E222" s="35"/>
      <c r="F222" s="32"/>
      <c r="G222" s="35"/>
      <c r="H222" s="37" t="str">
        <f aca="true">IF(B222="","",IF(OR(D222="Done"),"Done",IF(E222="","No Due Date",IF(E222&lt;TODAY(),"Overdue",IF(E222=TODAY(),"Due Today",IF(E222&lt;TODAY()+7,"Due This Week","Later"))))))</f>
        <v/>
      </c>
      <c r="I222" s="40" t="str">
        <f aca="false">IF(AND(B222&lt;&gt;"",D222&lt;&gt;"Done",E222&lt;&gt;""),E222+ROW()/100000,"")</f>
        <v/>
      </c>
    </row>
    <row r="223" customFormat="false" ht="15" hidden="false" customHeight="false" outlineLevel="0" collapsed="false">
      <c r="A223" s="32"/>
      <c r="B223" s="32"/>
      <c r="C223" s="33"/>
      <c r="D223" s="32"/>
      <c r="E223" s="35"/>
      <c r="F223" s="32"/>
      <c r="G223" s="35"/>
      <c r="H223" s="37" t="str">
        <f aca="true">IF(B223="","",IF(OR(D223="Done"),"Done",IF(E223="","No Due Date",IF(E223&lt;TODAY(),"Overdue",IF(E223=TODAY(),"Due Today",IF(E223&lt;TODAY()+7,"Due This Week","Later"))))))</f>
        <v/>
      </c>
      <c r="I223" s="40" t="str">
        <f aca="false">IF(AND(B223&lt;&gt;"",D223&lt;&gt;"Done",E223&lt;&gt;""),E223+ROW()/100000,"")</f>
        <v/>
      </c>
    </row>
    <row r="224" customFormat="false" ht="15" hidden="false" customHeight="false" outlineLevel="0" collapsed="false">
      <c r="A224" s="32"/>
      <c r="B224" s="32"/>
      <c r="C224" s="33"/>
      <c r="D224" s="32"/>
      <c r="E224" s="35"/>
      <c r="F224" s="32"/>
      <c r="G224" s="35"/>
      <c r="H224" s="37" t="str">
        <f aca="true">IF(B224="","",IF(OR(D224="Done"),"Done",IF(E224="","No Due Date",IF(E224&lt;TODAY(),"Overdue",IF(E224=TODAY(),"Due Today",IF(E224&lt;TODAY()+7,"Due This Week","Later"))))))</f>
        <v/>
      </c>
      <c r="I224" s="40" t="str">
        <f aca="false">IF(AND(B224&lt;&gt;"",D224&lt;&gt;"Done",E224&lt;&gt;""),E224+ROW()/100000,"")</f>
        <v/>
      </c>
    </row>
    <row r="225" customFormat="false" ht="15" hidden="false" customHeight="false" outlineLevel="0" collapsed="false">
      <c r="A225" s="32"/>
      <c r="B225" s="32"/>
      <c r="C225" s="33"/>
      <c r="D225" s="32"/>
      <c r="E225" s="35"/>
      <c r="F225" s="32"/>
      <c r="G225" s="35"/>
      <c r="H225" s="37" t="str">
        <f aca="true">IF(B225="","",IF(OR(D225="Done"),"Done",IF(E225="","No Due Date",IF(E225&lt;TODAY(),"Overdue",IF(E225=TODAY(),"Due Today",IF(E225&lt;TODAY()+7,"Due This Week","Later"))))))</f>
        <v/>
      </c>
      <c r="I225" s="40" t="str">
        <f aca="false">IF(AND(B225&lt;&gt;"",D225&lt;&gt;"Done",E225&lt;&gt;""),E225+ROW()/100000,"")</f>
        <v/>
      </c>
    </row>
    <row r="226" customFormat="false" ht="15" hidden="false" customHeight="false" outlineLevel="0" collapsed="false">
      <c r="A226" s="32"/>
      <c r="B226" s="32"/>
      <c r="C226" s="33"/>
      <c r="D226" s="32"/>
      <c r="E226" s="35"/>
      <c r="F226" s="32"/>
      <c r="G226" s="35"/>
      <c r="H226" s="37" t="str">
        <f aca="true">IF(B226="","",IF(OR(D226="Done"),"Done",IF(E226="","No Due Date",IF(E226&lt;TODAY(),"Overdue",IF(E226=TODAY(),"Due Today",IF(E226&lt;TODAY()+7,"Due This Week","Later"))))))</f>
        <v/>
      </c>
      <c r="I226" s="40" t="str">
        <f aca="false">IF(AND(B226&lt;&gt;"",D226&lt;&gt;"Done",E226&lt;&gt;""),E226+ROW()/100000,"")</f>
        <v/>
      </c>
    </row>
    <row r="227" customFormat="false" ht="15" hidden="false" customHeight="false" outlineLevel="0" collapsed="false">
      <c r="A227" s="32"/>
      <c r="B227" s="32"/>
      <c r="C227" s="33"/>
      <c r="D227" s="32"/>
      <c r="E227" s="35"/>
      <c r="F227" s="32"/>
      <c r="G227" s="35"/>
      <c r="H227" s="37" t="str">
        <f aca="true">IF(B227="","",IF(OR(D227="Done"),"Done",IF(E227="","No Due Date",IF(E227&lt;TODAY(),"Overdue",IF(E227=TODAY(),"Due Today",IF(E227&lt;TODAY()+7,"Due This Week","Later"))))))</f>
        <v/>
      </c>
      <c r="I227" s="40" t="str">
        <f aca="false">IF(AND(B227&lt;&gt;"",D227&lt;&gt;"Done",E227&lt;&gt;""),E227+ROW()/100000,"")</f>
        <v/>
      </c>
    </row>
    <row r="228" customFormat="false" ht="15" hidden="false" customHeight="false" outlineLevel="0" collapsed="false">
      <c r="A228" s="32"/>
      <c r="B228" s="32"/>
      <c r="C228" s="33"/>
      <c r="D228" s="32"/>
      <c r="E228" s="35"/>
      <c r="F228" s="32"/>
      <c r="G228" s="35"/>
      <c r="H228" s="37" t="str">
        <f aca="true">IF(B228="","",IF(OR(D228="Done"),"Done",IF(E228="","No Due Date",IF(E228&lt;TODAY(),"Overdue",IF(E228=TODAY(),"Due Today",IF(E228&lt;TODAY()+7,"Due This Week","Later"))))))</f>
        <v/>
      </c>
      <c r="I228" s="40" t="str">
        <f aca="false">IF(AND(B228&lt;&gt;"",D228&lt;&gt;"Done",E228&lt;&gt;""),E228+ROW()/100000,"")</f>
        <v/>
      </c>
    </row>
    <row r="229" customFormat="false" ht="15" hidden="false" customHeight="false" outlineLevel="0" collapsed="false">
      <c r="A229" s="32"/>
      <c r="B229" s="32"/>
      <c r="C229" s="33"/>
      <c r="D229" s="32"/>
      <c r="E229" s="35"/>
      <c r="F229" s="32"/>
      <c r="G229" s="35"/>
      <c r="H229" s="37" t="str">
        <f aca="true">IF(B229="","",IF(OR(D229="Done"),"Done",IF(E229="","No Due Date",IF(E229&lt;TODAY(),"Overdue",IF(E229=TODAY(),"Due Today",IF(E229&lt;TODAY()+7,"Due This Week","Later"))))))</f>
        <v/>
      </c>
      <c r="I229" s="40" t="str">
        <f aca="false">IF(AND(B229&lt;&gt;"",D229&lt;&gt;"Done",E229&lt;&gt;""),E229+ROW()/100000,"")</f>
        <v/>
      </c>
    </row>
    <row r="230" customFormat="false" ht="15" hidden="false" customHeight="false" outlineLevel="0" collapsed="false">
      <c r="A230" s="32"/>
      <c r="B230" s="32"/>
      <c r="C230" s="33"/>
      <c r="D230" s="32"/>
      <c r="E230" s="35"/>
      <c r="F230" s="32"/>
      <c r="G230" s="35"/>
      <c r="H230" s="37" t="str">
        <f aca="true">IF(B230="","",IF(OR(D230="Done"),"Done",IF(E230="","No Due Date",IF(E230&lt;TODAY(),"Overdue",IF(E230=TODAY(),"Due Today",IF(E230&lt;TODAY()+7,"Due This Week","Later"))))))</f>
        <v/>
      </c>
      <c r="I230" s="40" t="str">
        <f aca="false">IF(AND(B230&lt;&gt;"",D230&lt;&gt;"Done",E230&lt;&gt;""),E230+ROW()/100000,"")</f>
        <v/>
      </c>
    </row>
    <row r="231" customFormat="false" ht="15" hidden="false" customHeight="false" outlineLevel="0" collapsed="false">
      <c r="A231" s="32"/>
      <c r="B231" s="32"/>
      <c r="C231" s="33"/>
      <c r="D231" s="32"/>
      <c r="E231" s="35"/>
      <c r="F231" s="32"/>
      <c r="G231" s="35"/>
      <c r="H231" s="37" t="str">
        <f aca="true">IF(B231="","",IF(OR(D231="Done"),"Done",IF(E231="","No Due Date",IF(E231&lt;TODAY(),"Overdue",IF(E231=TODAY(),"Due Today",IF(E231&lt;TODAY()+7,"Due This Week","Later"))))))</f>
        <v/>
      </c>
      <c r="I231" s="40" t="str">
        <f aca="false">IF(AND(B231&lt;&gt;"",D231&lt;&gt;"Done",E231&lt;&gt;""),E231+ROW()/100000,"")</f>
        <v/>
      </c>
    </row>
    <row r="232" customFormat="false" ht="15" hidden="false" customHeight="false" outlineLevel="0" collapsed="false">
      <c r="A232" s="32"/>
      <c r="B232" s="32"/>
      <c r="C232" s="33"/>
      <c r="D232" s="32"/>
      <c r="E232" s="35"/>
      <c r="F232" s="32"/>
      <c r="G232" s="35"/>
      <c r="H232" s="37" t="str">
        <f aca="true">IF(B232="","",IF(OR(D232="Done"),"Done",IF(E232="","No Due Date",IF(E232&lt;TODAY(),"Overdue",IF(E232=TODAY(),"Due Today",IF(E232&lt;TODAY()+7,"Due This Week","Later"))))))</f>
        <v/>
      </c>
      <c r="I232" s="40" t="str">
        <f aca="false">IF(AND(B232&lt;&gt;"",D232&lt;&gt;"Done",E232&lt;&gt;""),E232+ROW()/100000,"")</f>
        <v/>
      </c>
    </row>
    <row r="233" customFormat="false" ht="15" hidden="false" customHeight="false" outlineLevel="0" collapsed="false">
      <c r="A233" s="32"/>
      <c r="B233" s="32"/>
      <c r="C233" s="33"/>
      <c r="D233" s="32"/>
      <c r="E233" s="35"/>
      <c r="F233" s="32"/>
      <c r="G233" s="35"/>
      <c r="H233" s="37" t="str">
        <f aca="true">IF(B233="","",IF(OR(D233="Done"),"Done",IF(E233="","No Due Date",IF(E233&lt;TODAY(),"Overdue",IF(E233=TODAY(),"Due Today",IF(E233&lt;TODAY()+7,"Due This Week","Later"))))))</f>
        <v/>
      </c>
      <c r="I233" s="40" t="str">
        <f aca="false">IF(AND(B233&lt;&gt;"",D233&lt;&gt;"Done",E233&lt;&gt;""),E233+ROW()/100000,"")</f>
        <v/>
      </c>
    </row>
    <row r="234" customFormat="false" ht="15" hidden="false" customHeight="false" outlineLevel="0" collapsed="false">
      <c r="A234" s="32"/>
      <c r="B234" s="32"/>
      <c r="C234" s="33"/>
      <c r="D234" s="32"/>
      <c r="E234" s="35"/>
      <c r="F234" s="32"/>
      <c r="G234" s="35"/>
      <c r="H234" s="37" t="str">
        <f aca="true">IF(B234="","",IF(OR(D234="Done"),"Done",IF(E234="","No Due Date",IF(E234&lt;TODAY(),"Overdue",IF(E234=TODAY(),"Due Today",IF(E234&lt;TODAY()+7,"Due This Week","Later"))))))</f>
        <v/>
      </c>
      <c r="I234" s="40" t="str">
        <f aca="false">IF(AND(B234&lt;&gt;"",D234&lt;&gt;"Done",E234&lt;&gt;""),E234+ROW()/100000,"")</f>
        <v/>
      </c>
    </row>
    <row r="235" customFormat="false" ht="15" hidden="false" customHeight="false" outlineLevel="0" collapsed="false">
      <c r="A235" s="32"/>
      <c r="B235" s="32"/>
      <c r="C235" s="33"/>
      <c r="D235" s="32"/>
      <c r="E235" s="35"/>
      <c r="F235" s="32"/>
      <c r="G235" s="35"/>
      <c r="H235" s="37" t="str">
        <f aca="true">IF(B235="","",IF(OR(D235="Done"),"Done",IF(E235="","No Due Date",IF(E235&lt;TODAY(),"Overdue",IF(E235=TODAY(),"Due Today",IF(E235&lt;TODAY()+7,"Due This Week","Later"))))))</f>
        <v/>
      </c>
      <c r="I235" s="40" t="str">
        <f aca="false">IF(AND(B235&lt;&gt;"",D235&lt;&gt;"Done",E235&lt;&gt;""),E235+ROW()/100000,"")</f>
        <v/>
      </c>
    </row>
    <row r="236" customFormat="false" ht="15" hidden="false" customHeight="false" outlineLevel="0" collapsed="false">
      <c r="A236" s="32"/>
      <c r="B236" s="32"/>
      <c r="C236" s="33"/>
      <c r="D236" s="32"/>
      <c r="E236" s="35"/>
      <c r="F236" s="32"/>
      <c r="G236" s="35"/>
      <c r="H236" s="37" t="str">
        <f aca="true">IF(B236="","",IF(OR(D236="Done"),"Done",IF(E236="","No Due Date",IF(E236&lt;TODAY(),"Overdue",IF(E236=TODAY(),"Due Today",IF(E236&lt;TODAY()+7,"Due This Week","Later"))))))</f>
        <v/>
      </c>
      <c r="I236" s="40" t="str">
        <f aca="false">IF(AND(B236&lt;&gt;"",D236&lt;&gt;"Done",E236&lt;&gt;""),E236+ROW()/100000,"")</f>
        <v/>
      </c>
    </row>
    <row r="237" customFormat="false" ht="15" hidden="false" customHeight="false" outlineLevel="0" collapsed="false">
      <c r="A237" s="32"/>
      <c r="B237" s="32"/>
      <c r="C237" s="33"/>
      <c r="D237" s="32"/>
      <c r="E237" s="35"/>
      <c r="F237" s="32"/>
      <c r="G237" s="35"/>
      <c r="H237" s="37" t="str">
        <f aca="true">IF(B237="","",IF(OR(D237="Done"),"Done",IF(E237="","No Due Date",IF(E237&lt;TODAY(),"Overdue",IF(E237=TODAY(),"Due Today",IF(E237&lt;TODAY()+7,"Due This Week","Later"))))))</f>
        <v/>
      </c>
      <c r="I237" s="40" t="str">
        <f aca="false">IF(AND(B237&lt;&gt;"",D237&lt;&gt;"Done",E237&lt;&gt;""),E237+ROW()/100000,"")</f>
        <v/>
      </c>
    </row>
    <row r="238" customFormat="false" ht="15" hidden="false" customHeight="false" outlineLevel="0" collapsed="false">
      <c r="A238" s="32"/>
      <c r="B238" s="32"/>
      <c r="C238" s="33"/>
      <c r="D238" s="32"/>
      <c r="E238" s="35"/>
      <c r="F238" s="32"/>
      <c r="G238" s="35"/>
      <c r="H238" s="37" t="str">
        <f aca="true">IF(B238="","",IF(OR(D238="Done"),"Done",IF(E238="","No Due Date",IF(E238&lt;TODAY(),"Overdue",IF(E238=TODAY(),"Due Today",IF(E238&lt;TODAY()+7,"Due This Week","Later"))))))</f>
        <v/>
      </c>
      <c r="I238" s="40" t="str">
        <f aca="false">IF(AND(B238&lt;&gt;"",D238&lt;&gt;"Done",E238&lt;&gt;""),E238+ROW()/100000,"")</f>
        <v/>
      </c>
    </row>
    <row r="239" customFormat="false" ht="15" hidden="false" customHeight="false" outlineLevel="0" collapsed="false">
      <c r="A239" s="32"/>
      <c r="B239" s="32"/>
      <c r="C239" s="33"/>
      <c r="D239" s="32"/>
      <c r="E239" s="35"/>
      <c r="F239" s="32"/>
      <c r="G239" s="35"/>
      <c r="H239" s="37" t="str">
        <f aca="true">IF(B239="","",IF(OR(D239="Done"),"Done",IF(E239="","No Due Date",IF(E239&lt;TODAY(),"Overdue",IF(E239=TODAY(),"Due Today",IF(E239&lt;TODAY()+7,"Due This Week","Later"))))))</f>
        <v/>
      </c>
      <c r="I239" s="40" t="str">
        <f aca="false">IF(AND(B239&lt;&gt;"",D239&lt;&gt;"Done",E239&lt;&gt;""),E239+ROW()/100000,"")</f>
        <v/>
      </c>
    </row>
    <row r="240" customFormat="false" ht="15" hidden="false" customHeight="false" outlineLevel="0" collapsed="false">
      <c r="A240" s="32"/>
      <c r="B240" s="32"/>
      <c r="C240" s="33"/>
      <c r="D240" s="32"/>
      <c r="E240" s="35"/>
      <c r="F240" s="32"/>
      <c r="G240" s="35"/>
      <c r="H240" s="37" t="str">
        <f aca="true">IF(B240="","",IF(OR(D240="Done"),"Done",IF(E240="","No Due Date",IF(E240&lt;TODAY(),"Overdue",IF(E240=TODAY(),"Due Today",IF(E240&lt;TODAY()+7,"Due This Week","Later"))))))</f>
        <v/>
      </c>
      <c r="I240" s="40" t="str">
        <f aca="false">IF(AND(B240&lt;&gt;"",D240&lt;&gt;"Done",E240&lt;&gt;""),E240+ROW()/100000,"")</f>
        <v/>
      </c>
    </row>
    <row r="241" customFormat="false" ht="15" hidden="false" customHeight="false" outlineLevel="0" collapsed="false">
      <c r="A241" s="32"/>
      <c r="B241" s="32"/>
      <c r="C241" s="33"/>
      <c r="D241" s="32"/>
      <c r="E241" s="35"/>
      <c r="F241" s="32"/>
      <c r="G241" s="35"/>
      <c r="H241" s="37" t="str">
        <f aca="true">IF(B241="","",IF(OR(D241="Done"),"Done",IF(E241="","No Due Date",IF(E241&lt;TODAY(),"Overdue",IF(E241=TODAY(),"Due Today",IF(E241&lt;TODAY()+7,"Due This Week","Later"))))))</f>
        <v/>
      </c>
      <c r="I241" s="40" t="str">
        <f aca="false">IF(AND(B241&lt;&gt;"",D241&lt;&gt;"Done",E241&lt;&gt;""),E241+ROW()/100000,"")</f>
        <v/>
      </c>
    </row>
    <row r="242" customFormat="false" ht="15" hidden="false" customHeight="false" outlineLevel="0" collapsed="false">
      <c r="A242" s="32"/>
      <c r="B242" s="32"/>
      <c r="C242" s="33"/>
      <c r="D242" s="32"/>
      <c r="E242" s="35"/>
      <c r="F242" s="32"/>
      <c r="G242" s="35"/>
      <c r="H242" s="37" t="str">
        <f aca="true">IF(B242="","",IF(OR(D242="Done"),"Done",IF(E242="","No Due Date",IF(E242&lt;TODAY(),"Overdue",IF(E242=TODAY(),"Due Today",IF(E242&lt;TODAY()+7,"Due This Week","Later"))))))</f>
        <v/>
      </c>
      <c r="I242" s="40" t="str">
        <f aca="false">IF(AND(B242&lt;&gt;"",D242&lt;&gt;"Done",E242&lt;&gt;""),E242+ROW()/100000,"")</f>
        <v/>
      </c>
    </row>
    <row r="243" customFormat="false" ht="15" hidden="false" customHeight="false" outlineLevel="0" collapsed="false">
      <c r="A243" s="32"/>
      <c r="B243" s="32"/>
      <c r="C243" s="33"/>
      <c r="D243" s="32"/>
      <c r="E243" s="35"/>
      <c r="F243" s="32"/>
      <c r="G243" s="35"/>
      <c r="H243" s="37" t="str">
        <f aca="true">IF(B243="","",IF(OR(D243="Done"),"Done",IF(E243="","No Due Date",IF(E243&lt;TODAY(),"Overdue",IF(E243=TODAY(),"Due Today",IF(E243&lt;TODAY()+7,"Due This Week","Later"))))))</f>
        <v/>
      </c>
      <c r="I243" s="40" t="str">
        <f aca="false">IF(AND(B243&lt;&gt;"",D243&lt;&gt;"Done",E243&lt;&gt;""),E243+ROW()/100000,"")</f>
        <v/>
      </c>
    </row>
    <row r="244" customFormat="false" ht="15" hidden="false" customHeight="false" outlineLevel="0" collapsed="false">
      <c r="A244" s="32"/>
      <c r="B244" s="32"/>
      <c r="C244" s="33"/>
      <c r="D244" s="32"/>
      <c r="E244" s="35"/>
      <c r="F244" s="32"/>
      <c r="G244" s="35"/>
      <c r="H244" s="37" t="str">
        <f aca="true">IF(B244="","",IF(OR(D244="Done"),"Done",IF(E244="","No Due Date",IF(E244&lt;TODAY(),"Overdue",IF(E244=TODAY(),"Due Today",IF(E244&lt;TODAY()+7,"Due This Week","Later"))))))</f>
        <v/>
      </c>
      <c r="I244" s="40" t="str">
        <f aca="false">IF(AND(B244&lt;&gt;"",D244&lt;&gt;"Done",E244&lt;&gt;""),E244+ROW()/100000,"")</f>
        <v/>
      </c>
    </row>
    <row r="245" customFormat="false" ht="15" hidden="false" customHeight="false" outlineLevel="0" collapsed="false">
      <c r="A245" s="32"/>
      <c r="B245" s="32"/>
      <c r="C245" s="33"/>
      <c r="D245" s="32"/>
      <c r="E245" s="35"/>
      <c r="F245" s="32"/>
      <c r="G245" s="35"/>
      <c r="H245" s="37" t="str">
        <f aca="true">IF(B245="","",IF(OR(D245="Done"),"Done",IF(E245="","No Due Date",IF(E245&lt;TODAY(),"Overdue",IF(E245=TODAY(),"Due Today",IF(E245&lt;TODAY()+7,"Due This Week","Later"))))))</f>
        <v/>
      </c>
      <c r="I245" s="40" t="str">
        <f aca="false">IF(AND(B245&lt;&gt;"",D245&lt;&gt;"Done",E245&lt;&gt;""),E245+ROW()/100000,"")</f>
        <v/>
      </c>
    </row>
    <row r="246" customFormat="false" ht="15" hidden="false" customHeight="false" outlineLevel="0" collapsed="false">
      <c r="A246" s="32"/>
      <c r="B246" s="32"/>
      <c r="C246" s="33"/>
      <c r="D246" s="32"/>
      <c r="E246" s="35"/>
      <c r="F246" s="32"/>
      <c r="G246" s="35"/>
      <c r="H246" s="37" t="str">
        <f aca="true">IF(B246="","",IF(OR(D246="Done"),"Done",IF(E246="","No Due Date",IF(E246&lt;TODAY(),"Overdue",IF(E246=TODAY(),"Due Today",IF(E246&lt;TODAY()+7,"Due This Week","Later"))))))</f>
        <v/>
      </c>
      <c r="I246" s="40" t="str">
        <f aca="false">IF(AND(B246&lt;&gt;"",D246&lt;&gt;"Done",E246&lt;&gt;""),E246+ROW()/100000,"")</f>
        <v/>
      </c>
    </row>
    <row r="247" customFormat="false" ht="15" hidden="false" customHeight="false" outlineLevel="0" collapsed="false">
      <c r="A247" s="32"/>
      <c r="B247" s="32"/>
      <c r="C247" s="33"/>
      <c r="D247" s="32"/>
      <c r="E247" s="35"/>
      <c r="F247" s="32"/>
      <c r="G247" s="35"/>
      <c r="H247" s="37" t="str">
        <f aca="true">IF(B247="","",IF(OR(D247="Done"),"Done",IF(E247="","No Due Date",IF(E247&lt;TODAY(),"Overdue",IF(E247=TODAY(),"Due Today",IF(E247&lt;TODAY()+7,"Due This Week","Later"))))))</f>
        <v/>
      </c>
      <c r="I247" s="40" t="str">
        <f aca="false">IF(AND(B247&lt;&gt;"",D247&lt;&gt;"Done",E247&lt;&gt;""),E247+ROW()/100000,"")</f>
        <v/>
      </c>
    </row>
    <row r="248" customFormat="false" ht="15" hidden="false" customHeight="false" outlineLevel="0" collapsed="false">
      <c r="A248" s="32"/>
      <c r="B248" s="32"/>
      <c r="C248" s="33"/>
      <c r="D248" s="32"/>
      <c r="E248" s="35"/>
      <c r="F248" s="32"/>
      <c r="G248" s="35"/>
      <c r="H248" s="37" t="str">
        <f aca="true">IF(B248="","",IF(OR(D248="Done"),"Done",IF(E248="","No Due Date",IF(E248&lt;TODAY(),"Overdue",IF(E248=TODAY(),"Due Today",IF(E248&lt;TODAY()+7,"Due This Week","Later"))))))</f>
        <v/>
      </c>
      <c r="I248" s="40" t="str">
        <f aca="false">IF(AND(B248&lt;&gt;"",D248&lt;&gt;"Done",E248&lt;&gt;""),E248+ROW()/100000,"")</f>
        <v/>
      </c>
    </row>
    <row r="249" customFormat="false" ht="15" hidden="false" customHeight="false" outlineLevel="0" collapsed="false">
      <c r="A249" s="32"/>
      <c r="B249" s="32"/>
      <c r="C249" s="33"/>
      <c r="D249" s="32"/>
      <c r="E249" s="35"/>
      <c r="F249" s="32"/>
      <c r="G249" s="35"/>
      <c r="H249" s="37" t="str">
        <f aca="true">IF(B249="","",IF(OR(D249="Done"),"Done",IF(E249="","No Due Date",IF(E249&lt;TODAY(),"Overdue",IF(E249=TODAY(),"Due Today",IF(E249&lt;TODAY()+7,"Due This Week","Later"))))))</f>
        <v/>
      </c>
      <c r="I249" s="40" t="str">
        <f aca="false">IF(AND(B249&lt;&gt;"",D249&lt;&gt;"Done",E249&lt;&gt;""),E249+ROW()/100000,"")</f>
        <v/>
      </c>
    </row>
    <row r="250" customFormat="false" ht="15" hidden="false" customHeight="false" outlineLevel="0" collapsed="false">
      <c r="A250" s="32"/>
      <c r="B250" s="32"/>
      <c r="C250" s="33"/>
      <c r="D250" s="32"/>
      <c r="E250" s="35"/>
      <c r="F250" s="32"/>
      <c r="G250" s="35"/>
      <c r="H250" s="37" t="str">
        <f aca="true">IF(B250="","",IF(OR(D250="Done"),"Done",IF(E250="","No Due Date",IF(E250&lt;TODAY(),"Overdue",IF(E250=TODAY(),"Due Today",IF(E250&lt;TODAY()+7,"Due This Week","Later"))))))</f>
        <v/>
      </c>
      <c r="I250" s="40" t="str">
        <f aca="false">IF(AND(B250&lt;&gt;"",D250&lt;&gt;"Done",E250&lt;&gt;""),E250+ROW()/100000,"")</f>
        <v/>
      </c>
    </row>
    <row r="251" customFormat="false" ht="15" hidden="false" customHeight="false" outlineLevel="0" collapsed="false">
      <c r="A251" s="32"/>
      <c r="B251" s="32"/>
      <c r="C251" s="33"/>
      <c r="D251" s="32"/>
      <c r="E251" s="35"/>
      <c r="F251" s="32"/>
      <c r="G251" s="35"/>
      <c r="H251" s="37" t="str">
        <f aca="true">IF(B251="","",IF(OR(D251="Done"),"Done",IF(E251="","No Due Date",IF(E251&lt;TODAY(),"Overdue",IF(E251=TODAY(),"Due Today",IF(E251&lt;TODAY()+7,"Due This Week","Later"))))))</f>
        <v/>
      </c>
      <c r="I251" s="40" t="str">
        <f aca="false">IF(AND(B251&lt;&gt;"",D251&lt;&gt;"Done",E251&lt;&gt;""),E251+ROW()/100000,"")</f>
        <v/>
      </c>
    </row>
    <row r="252" customFormat="false" ht="15" hidden="false" customHeight="false" outlineLevel="0" collapsed="false">
      <c r="A252" s="32"/>
      <c r="B252" s="32"/>
      <c r="C252" s="33"/>
      <c r="D252" s="32"/>
      <c r="E252" s="35"/>
      <c r="F252" s="32"/>
      <c r="G252" s="35"/>
      <c r="H252" s="37" t="str">
        <f aca="true">IF(B252="","",IF(OR(D252="Done"),"Done",IF(E252="","No Due Date",IF(E252&lt;TODAY(),"Overdue",IF(E252=TODAY(),"Due Today",IF(E252&lt;TODAY()+7,"Due This Week","Later"))))))</f>
        <v/>
      </c>
      <c r="I252" s="40" t="str">
        <f aca="false">IF(AND(B252&lt;&gt;"",D252&lt;&gt;"Done",E252&lt;&gt;""),E252+ROW()/100000,"")</f>
        <v/>
      </c>
    </row>
    <row r="253" customFormat="false" ht="15" hidden="false" customHeight="false" outlineLevel="0" collapsed="false">
      <c r="A253" s="32"/>
      <c r="B253" s="32"/>
      <c r="C253" s="33"/>
      <c r="D253" s="32"/>
      <c r="E253" s="35"/>
      <c r="F253" s="32"/>
      <c r="G253" s="35"/>
      <c r="H253" s="37" t="str">
        <f aca="true">IF(B253="","",IF(OR(D253="Done"),"Done",IF(E253="","No Due Date",IF(E253&lt;TODAY(),"Overdue",IF(E253=TODAY(),"Due Today",IF(E253&lt;TODAY()+7,"Due This Week","Later"))))))</f>
        <v/>
      </c>
      <c r="I253" s="40" t="str">
        <f aca="false">IF(AND(B253&lt;&gt;"",D253&lt;&gt;"Done",E253&lt;&gt;""),E253+ROW()/100000,"")</f>
        <v/>
      </c>
    </row>
    <row r="254" customFormat="false" ht="15" hidden="false" customHeight="false" outlineLevel="0" collapsed="false">
      <c r="A254" s="32"/>
      <c r="B254" s="32"/>
      <c r="C254" s="33"/>
      <c r="D254" s="32"/>
      <c r="E254" s="35"/>
      <c r="F254" s="32"/>
      <c r="G254" s="35"/>
      <c r="H254" s="37" t="str">
        <f aca="true">IF(B254="","",IF(OR(D254="Done"),"Done",IF(E254="","No Due Date",IF(E254&lt;TODAY(),"Overdue",IF(E254=TODAY(),"Due Today",IF(E254&lt;TODAY()+7,"Due This Week","Later"))))))</f>
        <v/>
      </c>
      <c r="I254" s="40" t="str">
        <f aca="false">IF(AND(B254&lt;&gt;"",D254&lt;&gt;"Done",E254&lt;&gt;""),E254+ROW()/100000,"")</f>
        <v/>
      </c>
    </row>
    <row r="255" customFormat="false" ht="15" hidden="false" customHeight="false" outlineLevel="0" collapsed="false">
      <c r="A255" s="32"/>
      <c r="B255" s="32"/>
      <c r="C255" s="33"/>
      <c r="D255" s="32"/>
      <c r="E255" s="35"/>
      <c r="F255" s="32"/>
      <c r="G255" s="35"/>
      <c r="H255" s="37" t="str">
        <f aca="true">IF(B255="","",IF(OR(D255="Done"),"Done",IF(E255="","No Due Date",IF(E255&lt;TODAY(),"Overdue",IF(E255=TODAY(),"Due Today",IF(E255&lt;TODAY()+7,"Due This Week","Later"))))))</f>
        <v/>
      </c>
      <c r="I255" s="40" t="str">
        <f aca="false">IF(AND(B255&lt;&gt;"",D255&lt;&gt;"Done",E255&lt;&gt;""),E255+ROW()/100000,"")</f>
        <v/>
      </c>
    </row>
    <row r="256" customFormat="false" ht="15" hidden="false" customHeight="false" outlineLevel="0" collapsed="false">
      <c r="A256" s="32"/>
      <c r="B256" s="32"/>
      <c r="C256" s="33"/>
      <c r="D256" s="32"/>
      <c r="E256" s="35"/>
      <c r="F256" s="32"/>
      <c r="G256" s="35"/>
      <c r="H256" s="37" t="str">
        <f aca="true">IF(B256="","",IF(OR(D256="Done"),"Done",IF(E256="","No Due Date",IF(E256&lt;TODAY(),"Overdue",IF(E256=TODAY(),"Due Today",IF(E256&lt;TODAY()+7,"Due This Week","Later"))))))</f>
        <v/>
      </c>
      <c r="I256" s="40" t="str">
        <f aca="false">IF(AND(B256&lt;&gt;"",D256&lt;&gt;"Done",E256&lt;&gt;""),E256+ROW()/100000,"")</f>
        <v/>
      </c>
    </row>
    <row r="257" customFormat="false" ht="15" hidden="false" customHeight="false" outlineLevel="0" collapsed="false">
      <c r="A257" s="32"/>
      <c r="B257" s="32"/>
      <c r="C257" s="33"/>
      <c r="D257" s="32"/>
      <c r="E257" s="35"/>
      <c r="F257" s="32"/>
      <c r="G257" s="35"/>
      <c r="H257" s="37" t="str">
        <f aca="true">IF(B257="","",IF(OR(D257="Done"),"Done",IF(E257="","No Due Date",IF(E257&lt;TODAY(),"Overdue",IF(E257=TODAY(),"Due Today",IF(E257&lt;TODAY()+7,"Due This Week","Later"))))))</f>
        <v/>
      </c>
      <c r="I257" s="40" t="str">
        <f aca="false">IF(AND(B257&lt;&gt;"",D257&lt;&gt;"Done",E257&lt;&gt;""),E257+ROW()/100000,"")</f>
        <v/>
      </c>
    </row>
    <row r="258" customFormat="false" ht="15" hidden="false" customHeight="false" outlineLevel="0" collapsed="false">
      <c r="A258" s="32"/>
      <c r="B258" s="32"/>
      <c r="C258" s="33"/>
      <c r="D258" s="32"/>
      <c r="E258" s="35"/>
      <c r="F258" s="32"/>
      <c r="G258" s="35"/>
      <c r="H258" s="37" t="str">
        <f aca="true">IF(B258="","",IF(OR(D258="Done"),"Done",IF(E258="","No Due Date",IF(E258&lt;TODAY(),"Overdue",IF(E258=TODAY(),"Due Today",IF(E258&lt;TODAY()+7,"Due This Week","Later"))))))</f>
        <v/>
      </c>
      <c r="I258" s="40" t="str">
        <f aca="false">IF(AND(B258&lt;&gt;"",D258&lt;&gt;"Done",E258&lt;&gt;""),E258+ROW()/100000,"")</f>
        <v/>
      </c>
    </row>
    <row r="259" customFormat="false" ht="15" hidden="false" customHeight="false" outlineLevel="0" collapsed="false">
      <c r="A259" s="32"/>
      <c r="B259" s="32"/>
      <c r="C259" s="33"/>
      <c r="D259" s="32"/>
      <c r="E259" s="35"/>
      <c r="F259" s="32"/>
      <c r="G259" s="35"/>
      <c r="H259" s="37" t="str">
        <f aca="true">IF(B259="","",IF(OR(D259="Done"),"Done",IF(E259="","No Due Date",IF(E259&lt;TODAY(),"Overdue",IF(E259=TODAY(),"Due Today",IF(E259&lt;TODAY()+7,"Due This Week","Later"))))))</f>
        <v/>
      </c>
      <c r="I259" s="40" t="str">
        <f aca="false">IF(AND(B259&lt;&gt;"",D259&lt;&gt;"Done",E259&lt;&gt;""),E259+ROW()/100000,"")</f>
        <v/>
      </c>
    </row>
    <row r="260" customFormat="false" ht="15" hidden="false" customHeight="false" outlineLevel="0" collapsed="false">
      <c r="A260" s="32"/>
      <c r="B260" s="32"/>
      <c r="C260" s="33"/>
      <c r="D260" s="32"/>
      <c r="E260" s="35"/>
      <c r="F260" s="32"/>
      <c r="G260" s="35"/>
      <c r="H260" s="37" t="str">
        <f aca="true">IF(B260="","",IF(OR(D260="Done"),"Done",IF(E260="","No Due Date",IF(E260&lt;TODAY(),"Overdue",IF(E260=TODAY(),"Due Today",IF(E260&lt;TODAY()+7,"Due This Week","Later"))))))</f>
        <v/>
      </c>
      <c r="I260" s="40" t="str">
        <f aca="false">IF(AND(B260&lt;&gt;"",D260&lt;&gt;"Done",E260&lt;&gt;""),E260+ROW()/100000,"")</f>
        <v/>
      </c>
    </row>
    <row r="261" customFormat="false" ht="15" hidden="false" customHeight="false" outlineLevel="0" collapsed="false">
      <c r="A261" s="32"/>
      <c r="B261" s="32"/>
      <c r="C261" s="33"/>
      <c r="D261" s="32"/>
      <c r="E261" s="35"/>
      <c r="F261" s="32"/>
      <c r="G261" s="35"/>
      <c r="H261" s="37" t="str">
        <f aca="true">IF(B261="","",IF(OR(D261="Done"),"Done",IF(E261="","No Due Date",IF(E261&lt;TODAY(),"Overdue",IF(E261=TODAY(),"Due Today",IF(E261&lt;TODAY()+7,"Due This Week","Later"))))))</f>
        <v/>
      </c>
      <c r="I261" s="40" t="str">
        <f aca="false">IF(AND(B261&lt;&gt;"",D261&lt;&gt;"Done",E261&lt;&gt;""),E261+ROW()/100000,"")</f>
        <v/>
      </c>
    </row>
    <row r="262" customFormat="false" ht="15" hidden="false" customHeight="false" outlineLevel="0" collapsed="false">
      <c r="A262" s="32"/>
      <c r="B262" s="32"/>
      <c r="C262" s="33"/>
      <c r="D262" s="32"/>
      <c r="E262" s="35"/>
      <c r="F262" s="32"/>
      <c r="G262" s="35"/>
      <c r="H262" s="37" t="str">
        <f aca="true">IF(B262="","",IF(OR(D262="Done"),"Done",IF(E262="","No Due Date",IF(E262&lt;TODAY(),"Overdue",IF(E262=TODAY(),"Due Today",IF(E262&lt;TODAY()+7,"Due This Week","Later"))))))</f>
        <v/>
      </c>
      <c r="I262" s="40" t="str">
        <f aca="false">IF(AND(B262&lt;&gt;"",D262&lt;&gt;"Done",E262&lt;&gt;""),E262+ROW()/100000,"")</f>
        <v/>
      </c>
    </row>
    <row r="263" customFormat="false" ht="15" hidden="false" customHeight="false" outlineLevel="0" collapsed="false">
      <c r="A263" s="32"/>
      <c r="B263" s="32"/>
      <c r="C263" s="33"/>
      <c r="D263" s="32"/>
      <c r="E263" s="35"/>
      <c r="F263" s="32"/>
      <c r="G263" s="35"/>
      <c r="H263" s="37" t="str">
        <f aca="true">IF(B263="","",IF(OR(D263="Done"),"Done",IF(E263="","No Due Date",IF(E263&lt;TODAY(),"Overdue",IF(E263=TODAY(),"Due Today",IF(E263&lt;TODAY()+7,"Due This Week","Later"))))))</f>
        <v/>
      </c>
      <c r="I263" s="40" t="str">
        <f aca="false">IF(AND(B263&lt;&gt;"",D263&lt;&gt;"Done",E263&lt;&gt;""),E263+ROW()/100000,"")</f>
        <v/>
      </c>
    </row>
    <row r="264" customFormat="false" ht="15" hidden="false" customHeight="false" outlineLevel="0" collapsed="false">
      <c r="A264" s="32"/>
      <c r="B264" s="32"/>
      <c r="C264" s="33"/>
      <c r="D264" s="32"/>
      <c r="E264" s="35"/>
      <c r="F264" s="32"/>
      <c r="G264" s="35"/>
      <c r="H264" s="37" t="str">
        <f aca="true">IF(B264="","",IF(OR(D264="Done"),"Done",IF(E264="","No Due Date",IF(E264&lt;TODAY(),"Overdue",IF(E264=TODAY(),"Due Today",IF(E264&lt;TODAY()+7,"Due This Week","Later"))))))</f>
        <v/>
      </c>
      <c r="I264" s="40" t="str">
        <f aca="false">IF(AND(B264&lt;&gt;"",D264&lt;&gt;"Done",E264&lt;&gt;""),E264+ROW()/100000,"")</f>
        <v/>
      </c>
    </row>
    <row r="265" customFormat="false" ht="15" hidden="false" customHeight="false" outlineLevel="0" collapsed="false">
      <c r="A265" s="32"/>
      <c r="B265" s="32"/>
      <c r="C265" s="33"/>
      <c r="D265" s="32"/>
      <c r="E265" s="35"/>
      <c r="F265" s="32"/>
      <c r="G265" s="35"/>
      <c r="H265" s="37" t="str">
        <f aca="true">IF(B265="","",IF(OR(D265="Done"),"Done",IF(E265="","No Due Date",IF(E265&lt;TODAY(),"Overdue",IF(E265=TODAY(),"Due Today",IF(E265&lt;TODAY()+7,"Due This Week","Later"))))))</f>
        <v/>
      </c>
      <c r="I265" s="40" t="str">
        <f aca="false">IF(AND(B265&lt;&gt;"",D265&lt;&gt;"Done",E265&lt;&gt;""),E265+ROW()/100000,"")</f>
        <v/>
      </c>
    </row>
    <row r="266" customFormat="false" ht="15" hidden="false" customHeight="false" outlineLevel="0" collapsed="false">
      <c r="A266" s="32"/>
      <c r="B266" s="32"/>
      <c r="C266" s="33"/>
      <c r="D266" s="32"/>
      <c r="E266" s="35"/>
      <c r="F266" s="32"/>
      <c r="G266" s="35"/>
      <c r="H266" s="37" t="str">
        <f aca="true">IF(B266="","",IF(OR(D266="Done"),"Done",IF(E266="","No Due Date",IF(E266&lt;TODAY(),"Overdue",IF(E266=TODAY(),"Due Today",IF(E266&lt;TODAY()+7,"Due This Week","Later"))))))</f>
        <v/>
      </c>
      <c r="I266" s="40" t="str">
        <f aca="false">IF(AND(B266&lt;&gt;"",D266&lt;&gt;"Done",E266&lt;&gt;""),E266+ROW()/100000,"")</f>
        <v/>
      </c>
    </row>
    <row r="267" customFormat="false" ht="15" hidden="false" customHeight="false" outlineLevel="0" collapsed="false">
      <c r="A267" s="32"/>
      <c r="B267" s="32"/>
      <c r="C267" s="33"/>
      <c r="D267" s="32"/>
      <c r="E267" s="35"/>
      <c r="F267" s="32"/>
      <c r="G267" s="35"/>
      <c r="H267" s="37" t="str">
        <f aca="true">IF(B267="","",IF(OR(D267="Done"),"Done",IF(E267="","No Due Date",IF(E267&lt;TODAY(),"Overdue",IF(E267=TODAY(),"Due Today",IF(E267&lt;TODAY()+7,"Due This Week","Later"))))))</f>
        <v/>
      </c>
      <c r="I267" s="40" t="str">
        <f aca="false">IF(AND(B267&lt;&gt;"",D267&lt;&gt;"Done",E267&lt;&gt;""),E267+ROW()/100000,"")</f>
        <v/>
      </c>
    </row>
    <row r="268" customFormat="false" ht="15" hidden="false" customHeight="false" outlineLevel="0" collapsed="false">
      <c r="A268" s="32"/>
      <c r="B268" s="32"/>
      <c r="C268" s="33"/>
      <c r="D268" s="32"/>
      <c r="E268" s="35"/>
      <c r="F268" s="32"/>
      <c r="G268" s="35"/>
      <c r="H268" s="37" t="str">
        <f aca="true">IF(B268="","",IF(OR(D268="Done"),"Done",IF(E268="","No Due Date",IF(E268&lt;TODAY(),"Overdue",IF(E268=TODAY(),"Due Today",IF(E268&lt;TODAY()+7,"Due This Week","Later"))))))</f>
        <v/>
      </c>
      <c r="I268" s="40" t="str">
        <f aca="false">IF(AND(B268&lt;&gt;"",D268&lt;&gt;"Done",E268&lt;&gt;""),E268+ROW()/100000,"")</f>
        <v/>
      </c>
    </row>
    <row r="269" customFormat="false" ht="15" hidden="false" customHeight="false" outlineLevel="0" collapsed="false">
      <c r="A269" s="32"/>
      <c r="B269" s="32"/>
      <c r="C269" s="33"/>
      <c r="D269" s="32"/>
      <c r="E269" s="35"/>
      <c r="F269" s="32"/>
      <c r="G269" s="35"/>
      <c r="H269" s="37" t="str">
        <f aca="true">IF(B269="","",IF(OR(D269="Done"),"Done",IF(E269="","No Due Date",IF(E269&lt;TODAY(),"Overdue",IF(E269=TODAY(),"Due Today",IF(E269&lt;TODAY()+7,"Due This Week","Later"))))))</f>
        <v/>
      </c>
      <c r="I269" s="40" t="str">
        <f aca="false">IF(AND(B269&lt;&gt;"",D269&lt;&gt;"Done",E269&lt;&gt;""),E269+ROW()/100000,"")</f>
        <v/>
      </c>
    </row>
    <row r="270" customFormat="false" ht="15" hidden="false" customHeight="false" outlineLevel="0" collapsed="false">
      <c r="A270" s="32"/>
      <c r="B270" s="32"/>
      <c r="C270" s="33"/>
      <c r="D270" s="32"/>
      <c r="E270" s="35"/>
      <c r="F270" s="32"/>
      <c r="G270" s="35"/>
      <c r="H270" s="37" t="str">
        <f aca="true">IF(B270="","",IF(OR(D270="Done"),"Done",IF(E270="","No Due Date",IF(E270&lt;TODAY(),"Overdue",IF(E270=TODAY(),"Due Today",IF(E270&lt;TODAY()+7,"Due This Week","Later"))))))</f>
        <v/>
      </c>
      <c r="I270" s="40" t="str">
        <f aca="false">IF(AND(B270&lt;&gt;"",D270&lt;&gt;"Done",E270&lt;&gt;""),E270+ROW()/100000,"")</f>
        <v/>
      </c>
    </row>
    <row r="271" customFormat="false" ht="15" hidden="false" customHeight="false" outlineLevel="0" collapsed="false">
      <c r="A271" s="32"/>
      <c r="B271" s="32"/>
      <c r="C271" s="33"/>
      <c r="D271" s="32"/>
      <c r="E271" s="35"/>
      <c r="F271" s="32"/>
      <c r="G271" s="35"/>
      <c r="H271" s="37" t="str">
        <f aca="true">IF(B271="","",IF(OR(D271="Done"),"Done",IF(E271="","No Due Date",IF(E271&lt;TODAY(),"Overdue",IF(E271=TODAY(),"Due Today",IF(E271&lt;TODAY()+7,"Due This Week","Later"))))))</f>
        <v/>
      </c>
      <c r="I271" s="40" t="str">
        <f aca="false">IF(AND(B271&lt;&gt;"",D271&lt;&gt;"Done",E271&lt;&gt;""),E271+ROW()/100000,"")</f>
        <v/>
      </c>
    </row>
    <row r="272" customFormat="false" ht="15" hidden="false" customHeight="false" outlineLevel="0" collapsed="false">
      <c r="A272" s="32"/>
      <c r="B272" s="32"/>
      <c r="C272" s="33"/>
      <c r="D272" s="32"/>
      <c r="E272" s="35"/>
      <c r="F272" s="32"/>
      <c r="G272" s="35"/>
      <c r="H272" s="37" t="str">
        <f aca="true">IF(B272="","",IF(OR(D272="Done"),"Done",IF(E272="","No Due Date",IF(E272&lt;TODAY(),"Overdue",IF(E272=TODAY(),"Due Today",IF(E272&lt;TODAY()+7,"Due This Week","Later"))))))</f>
        <v/>
      </c>
      <c r="I272" s="40" t="str">
        <f aca="false">IF(AND(B272&lt;&gt;"",D272&lt;&gt;"Done",E272&lt;&gt;""),E272+ROW()/100000,"")</f>
        <v/>
      </c>
    </row>
    <row r="273" customFormat="false" ht="15" hidden="false" customHeight="false" outlineLevel="0" collapsed="false">
      <c r="A273" s="32"/>
      <c r="B273" s="32"/>
      <c r="C273" s="33"/>
      <c r="D273" s="32"/>
      <c r="E273" s="35"/>
      <c r="F273" s="32"/>
      <c r="G273" s="35"/>
      <c r="H273" s="37" t="str">
        <f aca="true">IF(B273="","",IF(OR(D273="Done"),"Done",IF(E273="","No Due Date",IF(E273&lt;TODAY(),"Overdue",IF(E273=TODAY(),"Due Today",IF(E273&lt;TODAY()+7,"Due This Week","Later"))))))</f>
        <v/>
      </c>
      <c r="I273" s="40" t="str">
        <f aca="false">IF(AND(B273&lt;&gt;"",D273&lt;&gt;"Done",E273&lt;&gt;""),E273+ROW()/100000,"")</f>
        <v/>
      </c>
    </row>
    <row r="274" customFormat="false" ht="15" hidden="false" customHeight="false" outlineLevel="0" collapsed="false">
      <c r="A274" s="32"/>
      <c r="B274" s="32"/>
      <c r="C274" s="33"/>
      <c r="D274" s="32"/>
      <c r="E274" s="35"/>
      <c r="F274" s="32"/>
      <c r="G274" s="35"/>
      <c r="H274" s="37" t="str">
        <f aca="true">IF(B274="","",IF(OR(D274="Done"),"Done",IF(E274="","No Due Date",IF(E274&lt;TODAY(),"Overdue",IF(E274=TODAY(),"Due Today",IF(E274&lt;TODAY()+7,"Due This Week","Later"))))))</f>
        <v/>
      </c>
      <c r="I274" s="40" t="str">
        <f aca="false">IF(AND(B274&lt;&gt;"",D274&lt;&gt;"Done",E274&lt;&gt;""),E274+ROW()/100000,"")</f>
        <v/>
      </c>
    </row>
    <row r="275" customFormat="false" ht="15" hidden="false" customHeight="false" outlineLevel="0" collapsed="false">
      <c r="A275" s="32"/>
      <c r="B275" s="32"/>
      <c r="C275" s="33"/>
      <c r="D275" s="32"/>
      <c r="E275" s="35"/>
      <c r="F275" s="32"/>
      <c r="G275" s="35"/>
      <c r="H275" s="37" t="str">
        <f aca="true">IF(B275="","",IF(OR(D275="Done"),"Done",IF(E275="","No Due Date",IF(E275&lt;TODAY(),"Overdue",IF(E275=TODAY(),"Due Today",IF(E275&lt;TODAY()+7,"Due This Week","Later"))))))</f>
        <v/>
      </c>
      <c r="I275" s="40" t="str">
        <f aca="false">IF(AND(B275&lt;&gt;"",D275&lt;&gt;"Done",E275&lt;&gt;""),E275+ROW()/100000,"")</f>
        <v/>
      </c>
    </row>
    <row r="276" customFormat="false" ht="15" hidden="false" customHeight="false" outlineLevel="0" collapsed="false">
      <c r="A276" s="32"/>
      <c r="B276" s="32"/>
      <c r="C276" s="33"/>
      <c r="D276" s="32"/>
      <c r="E276" s="35"/>
      <c r="F276" s="32"/>
      <c r="G276" s="35"/>
      <c r="H276" s="37" t="str">
        <f aca="true">IF(B276="","",IF(OR(D276="Done"),"Done",IF(E276="","No Due Date",IF(E276&lt;TODAY(),"Overdue",IF(E276=TODAY(),"Due Today",IF(E276&lt;TODAY()+7,"Due This Week","Later"))))))</f>
        <v/>
      </c>
      <c r="I276" s="40" t="str">
        <f aca="false">IF(AND(B276&lt;&gt;"",D276&lt;&gt;"Done",E276&lt;&gt;""),E276+ROW()/100000,"")</f>
        <v/>
      </c>
    </row>
    <row r="277" customFormat="false" ht="15" hidden="false" customHeight="false" outlineLevel="0" collapsed="false">
      <c r="A277" s="32"/>
      <c r="B277" s="32"/>
      <c r="C277" s="33"/>
      <c r="D277" s="32"/>
      <c r="E277" s="35"/>
      <c r="F277" s="32"/>
      <c r="G277" s="35"/>
      <c r="H277" s="37" t="str">
        <f aca="true">IF(B277="","",IF(OR(D277="Done"),"Done",IF(E277="","No Due Date",IF(E277&lt;TODAY(),"Overdue",IF(E277=TODAY(),"Due Today",IF(E277&lt;TODAY()+7,"Due This Week","Later"))))))</f>
        <v/>
      </c>
      <c r="I277" s="40" t="str">
        <f aca="false">IF(AND(B277&lt;&gt;"",D277&lt;&gt;"Done",E277&lt;&gt;""),E277+ROW()/100000,"")</f>
        <v/>
      </c>
    </row>
    <row r="278" customFormat="false" ht="15" hidden="false" customHeight="false" outlineLevel="0" collapsed="false">
      <c r="A278" s="32"/>
      <c r="B278" s="32"/>
      <c r="C278" s="33"/>
      <c r="D278" s="32"/>
      <c r="E278" s="35"/>
      <c r="F278" s="32"/>
      <c r="G278" s="35"/>
      <c r="H278" s="37" t="str">
        <f aca="true">IF(B278="","",IF(OR(D278="Done"),"Done",IF(E278="","No Due Date",IF(E278&lt;TODAY(),"Overdue",IF(E278=TODAY(),"Due Today",IF(E278&lt;TODAY()+7,"Due This Week","Later"))))))</f>
        <v/>
      </c>
      <c r="I278" s="40" t="str">
        <f aca="false">IF(AND(B278&lt;&gt;"",D278&lt;&gt;"Done",E278&lt;&gt;""),E278+ROW()/100000,"")</f>
        <v/>
      </c>
    </row>
    <row r="279" customFormat="false" ht="15" hidden="false" customHeight="false" outlineLevel="0" collapsed="false">
      <c r="A279" s="32"/>
      <c r="B279" s="32"/>
      <c r="C279" s="33"/>
      <c r="D279" s="32"/>
      <c r="E279" s="35"/>
      <c r="F279" s="32"/>
      <c r="G279" s="35"/>
      <c r="H279" s="37" t="str">
        <f aca="true">IF(B279="","",IF(OR(D279="Done"),"Done",IF(E279="","No Due Date",IF(E279&lt;TODAY(),"Overdue",IF(E279=TODAY(),"Due Today",IF(E279&lt;TODAY()+7,"Due This Week","Later"))))))</f>
        <v/>
      </c>
      <c r="I279" s="40" t="str">
        <f aca="false">IF(AND(B279&lt;&gt;"",D279&lt;&gt;"Done",E279&lt;&gt;""),E279+ROW()/100000,"")</f>
        <v/>
      </c>
    </row>
    <row r="280" customFormat="false" ht="15" hidden="false" customHeight="false" outlineLevel="0" collapsed="false">
      <c r="A280" s="32"/>
      <c r="B280" s="32"/>
      <c r="C280" s="33"/>
      <c r="D280" s="32"/>
      <c r="E280" s="35"/>
      <c r="F280" s="32"/>
      <c r="G280" s="35"/>
      <c r="H280" s="37" t="str">
        <f aca="true">IF(B280="","",IF(OR(D280="Done"),"Done",IF(E280="","No Due Date",IF(E280&lt;TODAY(),"Overdue",IF(E280=TODAY(),"Due Today",IF(E280&lt;TODAY()+7,"Due This Week","Later"))))))</f>
        <v/>
      </c>
      <c r="I280" s="40" t="str">
        <f aca="false">IF(AND(B280&lt;&gt;"",D280&lt;&gt;"Done",E280&lt;&gt;""),E280+ROW()/100000,"")</f>
        <v/>
      </c>
    </row>
    <row r="281" customFormat="false" ht="15" hidden="false" customHeight="false" outlineLevel="0" collapsed="false">
      <c r="A281" s="32"/>
      <c r="B281" s="32"/>
      <c r="C281" s="33"/>
      <c r="D281" s="32"/>
      <c r="E281" s="35"/>
      <c r="F281" s="32"/>
      <c r="G281" s="35"/>
      <c r="H281" s="37" t="str">
        <f aca="true">IF(B281="","",IF(OR(D281="Done"),"Done",IF(E281="","No Due Date",IF(E281&lt;TODAY(),"Overdue",IF(E281=TODAY(),"Due Today",IF(E281&lt;TODAY()+7,"Due This Week","Later"))))))</f>
        <v/>
      </c>
      <c r="I281" s="40" t="str">
        <f aca="false">IF(AND(B281&lt;&gt;"",D281&lt;&gt;"Done",E281&lt;&gt;""),E281+ROW()/100000,"")</f>
        <v/>
      </c>
    </row>
    <row r="282" customFormat="false" ht="15" hidden="false" customHeight="false" outlineLevel="0" collapsed="false">
      <c r="A282" s="32"/>
      <c r="B282" s="32"/>
      <c r="C282" s="33"/>
      <c r="D282" s="32"/>
      <c r="E282" s="35"/>
      <c r="F282" s="32"/>
      <c r="G282" s="35"/>
      <c r="H282" s="37" t="str">
        <f aca="true">IF(B282="","",IF(OR(D282="Done"),"Done",IF(E282="","No Due Date",IF(E282&lt;TODAY(),"Overdue",IF(E282=TODAY(),"Due Today",IF(E282&lt;TODAY()+7,"Due This Week","Later"))))))</f>
        <v/>
      </c>
      <c r="I282" s="40" t="str">
        <f aca="false">IF(AND(B282&lt;&gt;"",D282&lt;&gt;"Done",E282&lt;&gt;""),E282+ROW()/100000,"")</f>
        <v/>
      </c>
    </row>
    <row r="283" customFormat="false" ht="15" hidden="false" customHeight="false" outlineLevel="0" collapsed="false">
      <c r="A283" s="32"/>
      <c r="B283" s="32"/>
      <c r="C283" s="33"/>
      <c r="D283" s="32"/>
      <c r="E283" s="35"/>
      <c r="F283" s="32"/>
      <c r="G283" s="35"/>
      <c r="H283" s="37" t="str">
        <f aca="true">IF(B283="","",IF(OR(D283="Done"),"Done",IF(E283="","No Due Date",IF(E283&lt;TODAY(),"Overdue",IF(E283=TODAY(),"Due Today",IF(E283&lt;TODAY()+7,"Due This Week","Later"))))))</f>
        <v/>
      </c>
      <c r="I283" s="40" t="str">
        <f aca="false">IF(AND(B283&lt;&gt;"",D283&lt;&gt;"Done",E283&lt;&gt;""),E283+ROW()/100000,"")</f>
        <v/>
      </c>
    </row>
    <row r="284" customFormat="false" ht="15" hidden="false" customHeight="false" outlineLevel="0" collapsed="false">
      <c r="A284" s="32"/>
      <c r="B284" s="32"/>
      <c r="C284" s="33"/>
      <c r="D284" s="32"/>
      <c r="E284" s="35"/>
      <c r="F284" s="32"/>
      <c r="G284" s="35"/>
      <c r="H284" s="37" t="str">
        <f aca="true">IF(B284="","",IF(OR(D284="Done"),"Done",IF(E284="","No Due Date",IF(E284&lt;TODAY(),"Overdue",IF(E284=TODAY(),"Due Today",IF(E284&lt;TODAY()+7,"Due This Week","Later"))))))</f>
        <v/>
      </c>
      <c r="I284" s="40" t="str">
        <f aca="false">IF(AND(B284&lt;&gt;"",D284&lt;&gt;"Done",E284&lt;&gt;""),E284+ROW()/100000,"")</f>
        <v/>
      </c>
    </row>
    <row r="285" customFormat="false" ht="15" hidden="false" customHeight="false" outlineLevel="0" collapsed="false">
      <c r="A285" s="32"/>
      <c r="B285" s="32"/>
      <c r="C285" s="33"/>
      <c r="D285" s="32"/>
      <c r="E285" s="35"/>
      <c r="F285" s="32"/>
      <c r="G285" s="35"/>
      <c r="H285" s="37" t="str">
        <f aca="true">IF(B285="","",IF(OR(D285="Done"),"Done",IF(E285="","No Due Date",IF(E285&lt;TODAY(),"Overdue",IF(E285=TODAY(),"Due Today",IF(E285&lt;TODAY()+7,"Due This Week","Later"))))))</f>
        <v/>
      </c>
      <c r="I285" s="40" t="str">
        <f aca="false">IF(AND(B285&lt;&gt;"",D285&lt;&gt;"Done",E285&lt;&gt;""),E285+ROW()/100000,"")</f>
        <v/>
      </c>
    </row>
    <row r="286" customFormat="false" ht="15" hidden="false" customHeight="false" outlineLevel="0" collapsed="false">
      <c r="A286" s="32"/>
      <c r="B286" s="32"/>
      <c r="C286" s="33"/>
      <c r="D286" s="32"/>
      <c r="E286" s="35"/>
      <c r="F286" s="32"/>
      <c r="G286" s="35"/>
      <c r="H286" s="37" t="str">
        <f aca="true">IF(B286="","",IF(OR(D286="Done"),"Done",IF(E286="","No Due Date",IF(E286&lt;TODAY(),"Overdue",IF(E286=TODAY(),"Due Today",IF(E286&lt;TODAY()+7,"Due This Week","Later"))))))</f>
        <v/>
      </c>
      <c r="I286" s="40" t="str">
        <f aca="false">IF(AND(B286&lt;&gt;"",D286&lt;&gt;"Done",E286&lt;&gt;""),E286+ROW()/100000,"")</f>
        <v/>
      </c>
    </row>
    <row r="287" customFormat="false" ht="15" hidden="false" customHeight="false" outlineLevel="0" collapsed="false">
      <c r="A287" s="32"/>
      <c r="B287" s="32"/>
      <c r="C287" s="33"/>
      <c r="D287" s="32"/>
      <c r="E287" s="35"/>
      <c r="F287" s="32"/>
      <c r="G287" s="35"/>
      <c r="H287" s="37" t="str">
        <f aca="true">IF(B287="","",IF(OR(D287="Done"),"Done",IF(E287="","No Due Date",IF(E287&lt;TODAY(),"Overdue",IF(E287=TODAY(),"Due Today",IF(E287&lt;TODAY()+7,"Due This Week","Later"))))))</f>
        <v/>
      </c>
      <c r="I287" s="40" t="str">
        <f aca="false">IF(AND(B287&lt;&gt;"",D287&lt;&gt;"Done",E287&lt;&gt;""),E287+ROW()/100000,"")</f>
        <v/>
      </c>
    </row>
    <row r="288" customFormat="false" ht="15" hidden="false" customHeight="false" outlineLevel="0" collapsed="false">
      <c r="A288" s="32"/>
      <c r="B288" s="32"/>
      <c r="C288" s="33"/>
      <c r="D288" s="32"/>
      <c r="E288" s="35"/>
      <c r="F288" s="32"/>
      <c r="G288" s="35"/>
      <c r="H288" s="37" t="str">
        <f aca="true">IF(B288="","",IF(OR(D288="Done"),"Done",IF(E288="","No Due Date",IF(E288&lt;TODAY(),"Overdue",IF(E288=TODAY(),"Due Today",IF(E288&lt;TODAY()+7,"Due This Week","Later"))))))</f>
        <v/>
      </c>
      <c r="I288" s="40" t="str">
        <f aca="false">IF(AND(B288&lt;&gt;"",D288&lt;&gt;"Done",E288&lt;&gt;""),E288+ROW()/100000,"")</f>
        <v/>
      </c>
    </row>
    <row r="289" customFormat="false" ht="15" hidden="false" customHeight="false" outlineLevel="0" collapsed="false">
      <c r="A289" s="32"/>
      <c r="B289" s="32"/>
      <c r="C289" s="33"/>
      <c r="D289" s="32"/>
      <c r="E289" s="35"/>
      <c r="F289" s="32"/>
      <c r="G289" s="35"/>
      <c r="H289" s="37" t="str">
        <f aca="true">IF(B289="","",IF(OR(D289="Done"),"Done",IF(E289="","No Due Date",IF(E289&lt;TODAY(),"Overdue",IF(E289=TODAY(),"Due Today",IF(E289&lt;TODAY()+7,"Due This Week","Later"))))))</f>
        <v/>
      </c>
      <c r="I289" s="40" t="str">
        <f aca="false">IF(AND(B289&lt;&gt;"",D289&lt;&gt;"Done",E289&lt;&gt;""),E289+ROW()/100000,"")</f>
        <v/>
      </c>
    </row>
    <row r="290" customFormat="false" ht="15" hidden="false" customHeight="false" outlineLevel="0" collapsed="false">
      <c r="A290" s="32"/>
      <c r="B290" s="32"/>
      <c r="C290" s="33"/>
      <c r="D290" s="32"/>
      <c r="E290" s="35"/>
      <c r="F290" s="32"/>
      <c r="G290" s="35"/>
      <c r="H290" s="37" t="str">
        <f aca="true">IF(B290="","",IF(OR(D290="Done"),"Done",IF(E290="","No Due Date",IF(E290&lt;TODAY(),"Overdue",IF(E290=TODAY(),"Due Today",IF(E290&lt;TODAY()+7,"Due This Week","Later"))))))</f>
        <v/>
      </c>
      <c r="I290" s="40" t="str">
        <f aca="false">IF(AND(B290&lt;&gt;"",D290&lt;&gt;"Done",E290&lt;&gt;""),E290+ROW()/100000,"")</f>
        <v/>
      </c>
    </row>
    <row r="291" customFormat="false" ht="15" hidden="false" customHeight="false" outlineLevel="0" collapsed="false">
      <c r="A291" s="32"/>
      <c r="B291" s="32"/>
      <c r="C291" s="33"/>
      <c r="D291" s="32"/>
      <c r="E291" s="35"/>
      <c r="F291" s="32"/>
      <c r="G291" s="35"/>
      <c r="H291" s="37" t="str">
        <f aca="true">IF(B291="","",IF(OR(D291="Done"),"Done",IF(E291="","No Due Date",IF(E291&lt;TODAY(),"Overdue",IF(E291=TODAY(),"Due Today",IF(E291&lt;TODAY()+7,"Due This Week","Later"))))))</f>
        <v/>
      </c>
      <c r="I291" s="40" t="str">
        <f aca="false">IF(AND(B291&lt;&gt;"",D291&lt;&gt;"Done",E291&lt;&gt;""),E291+ROW()/100000,"")</f>
        <v/>
      </c>
    </row>
    <row r="292" customFormat="false" ht="15" hidden="false" customHeight="false" outlineLevel="0" collapsed="false">
      <c r="A292" s="32"/>
      <c r="B292" s="32"/>
      <c r="C292" s="33"/>
      <c r="D292" s="32"/>
      <c r="E292" s="35"/>
      <c r="F292" s="32"/>
      <c r="G292" s="35"/>
      <c r="H292" s="37" t="str">
        <f aca="true">IF(B292="","",IF(OR(D292="Done"),"Done",IF(E292="","No Due Date",IF(E292&lt;TODAY(),"Overdue",IF(E292=TODAY(),"Due Today",IF(E292&lt;TODAY()+7,"Due This Week","Later"))))))</f>
        <v/>
      </c>
      <c r="I292" s="40" t="str">
        <f aca="false">IF(AND(B292&lt;&gt;"",D292&lt;&gt;"Done",E292&lt;&gt;""),E292+ROW()/100000,"")</f>
        <v/>
      </c>
    </row>
    <row r="293" customFormat="false" ht="15" hidden="false" customHeight="false" outlineLevel="0" collapsed="false">
      <c r="A293" s="32"/>
      <c r="B293" s="32"/>
      <c r="C293" s="33"/>
      <c r="D293" s="32"/>
      <c r="E293" s="35"/>
      <c r="F293" s="32"/>
      <c r="G293" s="35"/>
      <c r="H293" s="37" t="str">
        <f aca="true">IF(B293="","",IF(OR(D293="Done"),"Done",IF(E293="","No Due Date",IF(E293&lt;TODAY(),"Overdue",IF(E293=TODAY(),"Due Today",IF(E293&lt;TODAY()+7,"Due This Week","Later"))))))</f>
        <v/>
      </c>
      <c r="I293" s="40" t="str">
        <f aca="false">IF(AND(B293&lt;&gt;"",D293&lt;&gt;"Done",E293&lt;&gt;""),E293+ROW()/100000,"")</f>
        <v/>
      </c>
    </row>
    <row r="294" customFormat="false" ht="15" hidden="false" customHeight="false" outlineLevel="0" collapsed="false">
      <c r="A294" s="32"/>
      <c r="B294" s="32"/>
      <c r="C294" s="33"/>
      <c r="D294" s="32"/>
      <c r="E294" s="35"/>
      <c r="F294" s="32"/>
      <c r="G294" s="35"/>
      <c r="H294" s="37" t="str">
        <f aca="true">IF(B294="","",IF(OR(D294="Done"),"Done",IF(E294="","No Due Date",IF(E294&lt;TODAY(),"Overdue",IF(E294=TODAY(),"Due Today",IF(E294&lt;TODAY()+7,"Due This Week","Later"))))))</f>
        <v/>
      </c>
      <c r="I294" s="40" t="str">
        <f aca="false">IF(AND(B294&lt;&gt;"",D294&lt;&gt;"Done",E294&lt;&gt;""),E294+ROW()/100000,"")</f>
        <v/>
      </c>
    </row>
    <row r="295" customFormat="false" ht="15" hidden="false" customHeight="false" outlineLevel="0" collapsed="false">
      <c r="A295" s="32"/>
      <c r="B295" s="32"/>
      <c r="C295" s="33"/>
      <c r="D295" s="32"/>
      <c r="E295" s="35"/>
      <c r="F295" s="32"/>
      <c r="G295" s="35"/>
      <c r="H295" s="37" t="str">
        <f aca="true">IF(B295="","",IF(OR(D295="Done"),"Done",IF(E295="","No Due Date",IF(E295&lt;TODAY(),"Overdue",IF(E295=TODAY(),"Due Today",IF(E295&lt;TODAY()+7,"Due This Week","Later"))))))</f>
        <v/>
      </c>
      <c r="I295" s="40" t="str">
        <f aca="false">IF(AND(B295&lt;&gt;"",D295&lt;&gt;"Done",E295&lt;&gt;""),E295+ROW()/100000,"")</f>
        <v/>
      </c>
    </row>
    <row r="296" customFormat="false" ht="15" hidden="false" customHeight="false" outlineLevel="0" collapsed="false">
      <c r="A296" s="32"/>
      <c r="B296" s="32"/>
      <c r="C296" s="33"/>
      <c r="D296" s="32"/>
      <c r="E296" s="35"/>
      <c r="F296" s="32"/>
      <c r="G296" s="35"/>
      <c r="H296" s="37" t="str">
        <f aca="true">IF(B296="","",IF(OR(D296="Done"),"Done",IF(E296="","No Due Date",IF(E296&lt;TODAY(),"Overdue",IF(E296=TODAY(),"Due Today",IF(E296&lt;TODAY()+7,"Due This Week","Later"))))))</f>
        <v/>
      </c>
      <c r="I296" s="40" t="str">
        <f aca="false">IF(AND(B296&lt;&gt;"",D296&lt;&gt;"Done",E296&lt;&gt;""),E296+ROW()/100000,"")</f>
        <v/>
      </c>
    </row>
    <row r="297" customFormat="false" ht="15" hidden="false" customHeight="false" outlineLevel="0" collapsed="false">
      <c r="A297" s="32"/>
      <c r="B297" s="32"/>
      <c r="C297" s="33"/>
      <c r="D297" s="32"/>
      <c r="E297" s="35"/>
      <c r="F297" s="32"/>
      <c r="G297" s="35"/>
      <c r="H297" s="37" t="str">
        <f aca="true">IF(B297="","",IF(OR(D297="Done"),"Done",IF(E297="","No Due Date",IF(E297&lt;TODAY(),"Overdue",IF(E297=TODAY(),"Due Today",IF(E297&lt;TODAY()+7,"Due This Week","Later"))))))</f>
        <v/>
      </c>
      <c r="I297" s="40" t="str">
        <f aca="false">IF(AND(B297&lt;&gt;"",D297&lt;&gt;"Done",E297&lt;&gt;""),E297+ROW()/100000,"")</f>
        <v/>
      </c>
    </row>
    <row r="298" customFormat="false" ht="15" hidden="false" customHeight="false" outlineLevel="0" collapsed="false">
      <c r="A298" s="32"/>
      <c r="B298" s="32"/>
      <c r="C298" s="33"/>
      <c r="D298" s="32"/>
      <c r="E298" s="35"/>
      <c r="F298" s="32"/>
      <c r="G298" s="35"/>
      <c r="H298" s="37" t="str">
        <f aca="true">IF(B298="","",IF(OR(D298="Done"),"Done",IF(E298="","No Due Date",IF(E298&lt;TODAY(),"Overdue",IF(E298=TODAY(),"Due Today",IF(E298&lt;TODAY()+7,"Due This Week","Later"))))))</f>
        <v/>
      </c>
      <c r="I298" s="40" t="str">
        <f aca="false">IF(AND(B298&lt;&gt;"",D298&lt;&gt;"Done",E298&lt;&gt;""),E298+ROW()/100000,"")</f>
        <v/>
      </c>
    </row>
    <row r="299" customFormat="false" ht="15" hidden="false" customHeight="false" outlineLevel="0" collapsed="false">
      <c r="A299" s="32"/>
      <c r="B299" s="32"/>
      <c r="C299" s="33"/>
      <c r="D299" s="32"/>
      <c r="E299" s="35"/>
      <c r="F299" s="32"/>
      <c r="G299" s="35"/>
      <c r="H299" s="37" t="str">
        <f aca="true">IF(B299="","",IF(OR(D299="Done"),"Done",IF(E299="","No Due Date",IF(E299&lt;TODAY(),"Overdue",IF(E299=TODAY(),"Due Today",IF(E299&lt;TODAY()+7,"Due This Week","Later"))))))</f>
        <v/>
      </c>
      <c r="I299" s="40" t="str">
        <f aca="false">IF(AND(B299&lt;&gt;"",D299&lt;&gt;"Done",E299&lt;&gt;""),E299+ROW()/100000,"")</f>
        <v/>
      </c>
    </row>
    <row r="300" customFormat="false" ht="15" hidden="false" customHeight="false" outlineLevel="0" collapsed="false">
      <c r="A300" s="32"/>
      <c r="B300" s="32"/>
      <c r="C300" s="33"/>
      <c r="D300" s="32"/>
      <c r="E300" s="35"/>
      <c r="F300" s="32"/>
      <c r="G300" s="35"/>
      <c r="H300" s="37" t="str">
        <f aca="true">IF(B300="","",IF(OR(D300="Done"),"Done",IF(E300="","No Due Date",IF(E300&lt;TODAY(),"Overdue",IF(E300=TODAY(),"Due Today",IF(E300&lt;TODAY()+7,"Due This Week","Later"))))))</f>
        <v/>
      </c>
      <c r="I300" s="40" t="str">
        <f aca="false">IF(AND(B300&lt;&gt;"",D300&lt;&gt;"Done",E300&lt;&gt;""),E300+ROW()/100000,"")</f>
        <v/>
      </c>
    </row>
    <row r="301" customFormat="false" ht="15" hidden="false" customHeight="false" outlineLevel="0" collapsed="false">
      <c r="A301" s="32"/>
      <c r="B301" s="32"/>
      <c r="C301" s="33"/>
      <c r="D301" s="32"/>
      <c r="E301" s="35"/>
      <c r="F301" s="32"/>
      <c r="G301" s="35"/>
      <c r="H301" s="37" t="str">
        <f aca="true">IF(B301="","",IF(OR(D301="Done"),"Done",IF(E301="","No Due Date",IF(E301&lt;TODAY(),"Overdue",IF(E301=TODAY(),"Due Today",IF(E301&lt;TODAY()+7,"Due This Week","Later"))))))</f>
        <v/>
      </c>
      <c r="I301" s="40" t="str">
        <f aca="false">IF(AND(B301&lt;&gt;"",D301&lt;&gt;"Done",E301&lt;&gt;""),E301+ROW()/100000,"")</f>
        <v/>
      </c>
    </row>
    <row r="302" customFormat="false" ht="15" hidden="false" customHeight="false" outlineLevel="0" collapsed="false">
      <c r="A302" s="32"/>
      <c r="B302" s="32"/>
      <c r="C302" s="33"/>
      <c r="D302" s="32"/>
      <c r="E302" s="35"/>
      <c r="F302" s="32"/>
      <c r="G302" s="35"/>
      <c r="H302" s="37" t="str">
        <f aca="true">IF(B302="","",IF(OR(D302="Done"),"Done",IF(E302="","No Due Date",IF(E302&lt;TODAY(),"Overdue",IF(E302=TODAY(),"Due Today",IF(E302&lt;TODAY()+7,"Due This Week","Later"))))))</f>
        <v/>
      </c>
      <c r="I302" s="40" t="str">
        <f aca="false">IF(AND(B302&lt;&gt;"",D302&lt;&gt;"Done",E302&lt;&gt;""),E302+ROW()/100000,"")</f>
        <v/>
      </c>
    </row>
    <row r="303" customFormat="false" ht="15" hidden="false" customHeight="false" outlineLevel="0" collapsed="false">
      <c r="A303" s="32"/>
      <c r="B303" s="32"/>
      <c r="C303" s="33"/>
      <c r="D303" s="32"/>
      <c r="E303" s="35"/>
      <c r="F303" s="32"/>
      <c r="G303" s="35"/>
      <c r="H303" s="37" t="str">
        <f aca="true">IF(B303="","",IF(OR(D303="Done"),"Done",IF(E303="","No Due Date",IF(E303&lt;TODAY(),"Overdue",IF(E303=TODAY(),"Due Today",IF(E303&lt;TODAY()+7,"Due This Week","Later"))))))</f>
        <v/>
      </c>
      <c r="I303" s="40" t="str">
        <f aca="false">IF(AND(B303&lt;&gt;"",D303&lt;&gt;"Done",E303&lt;&gt;""),E303+ROW()/100000,"")</f>
        <v/>
      </c>
    </row>
    <row r="304" customFormat="false" ht="15" hidden="false" customHeight="false" outlineLevel="0" collapsed="false">
      <c r="A304" s="32"/>
      <c r="B304" s="32"/>
      <c r="C304" s="33"/>
      <c r="D304" s="32"/>
      <c r="E304" s="35"/>
      <c r="F304" s="32"/>
      <c r="G304" s="35"/>
      <c r="H304" s="37" t="str">
        <f aca="true">IF(B304="","",IF(OR(D304="Done"),"Done",IF(E304="","No Due Date",IF(E304&lt;TODAY(),"Overdue",IF(E304=TODAY(),"Due Today",IF(E304&lt;TODAY()+7,"Due This Week","Later"))))))</f>
        <v/>
      </c>
      <c r="I304" s="40" t="str">
        <f aca="false">IF(AND(B304&lt;&gt;"",D304&lt;&gt;"Done",E304&lt;&gt;""),E304+ROW()/100000,"")</f>
        <v/>
      </c>
    </row>
    <row r="305" customFormat="false" ht="15" hidden="false" customHeight="false" outlineLevel="0" collapsed="false">
      <c r="A305" s="32"/>
      <c r="B305" s="32"/>
      <c r="C305" s="33"/>
      <c r="D305" s="32"/>
      <c r="E305" s="35"/>
      <c r="F305" s="32"/>
      <c r="G305" s="35"/>
      <c r="H305" s="37" t="str">
        <f aca="true">IF(B305="","",IF(OR(D305="Done"),"Done",IF(E305="","No Due Date",IF(E305&lt;TODAY(),"Overdue",IF(E305=TODAY(),"Due Today",IF(E305&lt;TODAY()+7,"Due This Week","Later"))))))</f>
        <v/>
      </c>
      <c r="I305" s="40" t="str">
        <f aca="false">IF(AND(B305&lt;&gt;"",D305&lt;&gt;"Done",E305&lt;&gt;""),E305+ROW()/100000,"")</f>
        <v/>
      </c>
    </row>
    <row r="306" customFormat="false" ht="15" hidden="false" customHeight="false" outlineLevel="0" collapsed="false">
      <c r="A306" s="32"/>
      <c r="B306" s="32"/>
      <c r="C306" s="33"/>
      <c r="D306" s="32"/>
      <c r="E306" s="35"/>
      <c r="F306" s="32"/>
      <c r="G306" s="35"/>
      <c r="H306" s="37" t="str">
        <f aca="true">IF(B306="","",IF(OR(D306="Done"),"Done",IF(E306="","No Due Date",IF(E306&lt;TODAY(),"Overdue",IF(E306=TODAY(),"Due Today",IF(E306&lt;TODAY()+7,"Due This Week","Later"))))))</f>
        <v/>
      </c>
      <c r="I306" s="40" t="str">
        <f aca="false">IF(AND(B306&lt;&gt;"",D306&lt;&gt;"Done",E306&lt;&gt;""),E306+ROW()/100000,"")</f>
        <v/>
      </c>
    </row>
    <row r="307" customFormat="false" ht="15" hidden="false" customHeight="false" outlineLevel="0" collapsed="false">
      <c r="A307" s="32"/>
      <c r="B307" s="32"/>
      <c r="C307" s="33"/>
      <c r="D307" s="32"/>
      <c r="E307" s="35"/>
      <c r="F307" s="32"/>
      <c r="G307" s="35"/>
      <c r="H307" s="37" t="str">
        <f aca="true">IF(B307="","",IF(OR(D307="Done"),"Done",IF(E307="","No Due Date",IF(E307&lt;TODAY(),"Overdue",IF(E307=TODAY(),"Due Today",IF(E307&lt;TODAY()+7,"Due This Week","Later"))))))</f>
        <v/>
      </c>
      <c r="I307" s="40" t="str">
        <f aca="false">IF(AND(B307&lt;&gt;"",D307&lt;&gt;"Done",E307&lt;&gt;""),E307+ROW()/100000,"")</f>
        <v/>
      </c>
    </row>
    <row r="308" customFormat="false" ht="15" hidden="false" customHeight="false" outlineLevel="0" collapsed="false">
      <c r="A308" s="32"/>
      <c r="B308" s="32"/>
      <c r="C308" s="33"/>
      <c r="D308" s="32"/>
      <c r="E308" s="35"/>
      <c r="F308" s="32"/>
      <c r="G308" s="35"/>
      <c r="H308" s="37" t="str">
        <f aca="true">IF(B308="","",IF(OR(D308="Done"),"Done",IF(E308="","No Due Date",IF(E308&lt;TODAY(),"Overdue",IF(E308=TODAY(),"Due Today",IF(E308&lt;TODAY()+7,"Due This Week","Later"))))))</f>
        <v/>
      </c>
      <c r="I308" s="40" t="str">
        <f aca="false">IF(AND(B308&lt;&gt;"",D308&lt;&gt;"Done",E308&lt;&gt;""),E308+ROW()/100000,"")</f>
        <v/>
      </c>
    </row>
    <row r="309" customFormat="false" ht="15" hidden="false" customHeight="false" outlineLevel="0" collapsed="false">
      <c r="A309" s="32"/>
      <c r="B309" s="32"/>
      <c r="C309" s="33"/>
      <c r="D309" s="32"/>
      <c r="E309" s="35"/>
      <c r="F309" s="32"/>
      <c r="G309" s="35"/>
      <c r="H309" s="37" t="str">
        <f aca="true">IF(B309="","",IF(OR(D309="Done"),"Done",IF(E309="","No Due Date",IF(E309&lt;TODAY(),"Overdue",IF(E309=TODAY(),"Due Today",IF(E309&lt;TODAY()+7,"Due This Week","Later"))))))</f>
        <v/>
      </c>
      <c r="I309" s="40" t="str">
        <f aca="false">IF(AND(B309&lt;&gt;"",D309&lt;&gt;"Done",E309&lt;&gt;""),E309+ROW()/100000,"")</f>
        <v/>
      </c>
    </row>
    <row r="310" customFormat="false" ht="15" hidden="false" customHeight="false" outlineLevel="0" collapsed="false">
      <c r="A310" s="32"/>
      <c r="B310" s="32"/>
      <c r="C310" s="33"/>
      <c r="D310" s="32"/>
      <c r="E310" s="35"/>
      <c r="F310" s="32"/>
      <c r="G310" s="35"/>
      <c r="H310" s="37" t="str">
        <f aca="true">IF(B310="","",IF(OR(D310="Done"),"Done",IF(E310="","No Due Date",IF(E310&lt;TODAY(),"Overdue",IF(E310=TODAY(),"Due Today",IF(E310&lt;TODAY()+7,"Due This Week","Later"))))))</f>
        <v/>
      </c>
      <c r="I310" s="40" t="str">
        <f aca="false">IF(AND(B310&lt;&gt;"",D310&lt;&gt;"Done",E310&lt;&gt;""),E310+ROW()/100000,"")</f>
        <v/>
      </c>
    </row>
    <row r="311" customFormat="false" ht="15" hidden="false" customHeight="false" outlineLevel="0" collapsed="false">
      <c r="A311" s="32"/>
      <c r="B311" s="32"/>
      <c r="C311" s="33"/>
      <c r="D311" s="32"/>
      <c r="E311" s="35"/>
      <c r="F311" s="32"/>
      <c r="G311" s="35"/>
      <c r="H311" s="37" t="str">
        <f aca="true">IF(B311="","",IF(OR(D311="Done"),"Done",IF(E311="","No Due Date",IF(E311&lt;TODAY(),"Overdue",IF(E311=TODAY(),"Due Today",IF(E311&lt;TODAY()+7,"Due This Week","Later"))))))</f>
        <v/>
      </c>
      <c r="I311" s="40" t="str">
        <f aca="false">IF(AND(B311&lt;&gt;"",D311&lt;&gt;"Done",E311&lt;&gt;""),E311+ROW()/100000,"")</f>
        <v/>
      </c>
    </row>
    <row r="312" customFormat="false" ht="15" hidden="false" customHeight="false" outlineLevel="0" collapsed="false">
      <c r="A312" s="32"/>
      <c r="B312" s="32"/>
      <c r="C312" s="33"/>
      <c r="D312" s="32"/>
      <c r="E312" s="35"/>
      <c r="F312" s="32"/>
      <c r="G312" s="35"/>
      <c r="H312" s="37" t="str">
        <f aca="true">IF(B312="","",IF(OR(D312="Done"),"Done",IF(E312="","No Due Date",IF(E312&lt;TODAY(),"Overdue",IF(E312=TODAY(),"Due Today",IF(E312&lt;TODAY()+7,"Due This Week","Later"))))))</f>
        <v/>
      </c>
      <c r="I312" s="40" t="str">
        <f aca="false">IF(AND(B312&lt;&gt;"",D312&lt;&gt;"Done",E312&lt;&gt;""),E312+ROW()/100000,"")</f>
        <v/>
      </c>
    </row>
    <row r="313" customFormat="false" ht="15" hidden="false" customHeight="false" outlineLevel="0" collapsed="false">
      <c r="A313" s="32"/>
      <c r="B313" s="32"/>
      <c r="C313" s="33"/>
      <c r="D313" s="32"/>
      <c r="E313" s="35"/>
      <c r="F313" s="32"/>
      <c r="G313" s="35"/>
      <c r="H313" s="37" t="str">
        <f aca="true">IF(B313="","",IF(OR(D313="Done"),"Done",IF(E313="","No Due Date",IF(E313&lt;TODAY(),"Overdue",IF(E313=TODAY(),"Due Today",IF(E313&lt;TODAY()+7,"Due This Week","Later"))))))</f>
        <v/>
      </c>
      <c r="I313" s="40" t="str">
        <f aca="false">IF(AND(B313&lt;&gt;"",D313&lt;&gt;"Done",E313&lt;&gt;""),E313+ROW()/100000,"")</f>
        <v/>
      </c>
    </row>
    <row r="314" customFormat="false" ht="15" hidden="false" customHeight="false" outlineLevel="0" collapsed="false">
      <c r="A314" s="32"/>
      <c r="B314" s="32"/>
      <c r="C314" s="33"/>
      <c r="D314" s="32"/>
      <c r="E314" s="35"/>
      <c r="F314" s="32"/>
      <c r="G314" s="35"/>
      <c r="H314" s="37" t="str">
        <f aca="true">IF(B314="","",IF(OR(D314="Done"),"Done",IF(E314="","No Due Date",IF(E314&lt;TODAY(),"Overdue",IF(E314=TODAY(),"Due Today",IF(E314&lt;TODAY()+7,"Due This Week","Later"))))))</f>
        <v/>
      </c>
      <c r="I314" s="40" t="str">
        <f aca="false">IF(AND(B314&lt;&gt;"",D314&lt;&gt;"Done",E314&lt;&gt;""),E314+ROW()/100000,"")</f>
        <v/>
      </c>
    </row>
    <row r="315" customFormat="false" ht="15" hidden="false" customHeight="false" outlineLevel="0" collapsed="false">
      <c r="A315" s="32"/>
      <c r="B315" s="32"/>
      <c r="C315" s="33"/>
      <c r="D315" s="32"/>
      <c r="E315" s="35"/>
      <c r="F315" s="32"/>
      <c r="G315" s="35"/>
      <c r="H315" s="37" t="str">
        <f aca="true">IF(B315="","",IF(OR(D315="Done"),"Done",IF(E315="","No Due Date",IF(E315&lt;TODAY(),"Overdue",IF(E315=TODAY(),"Due Today",IF(E315&lt;TODAY()+7,"Due This Week","Later"))))))</f>
        <v/>
      </c>
      <c r="I315" s="40" t="str">
        <f aca="false">IF(AND(B315&lt;&gt;"",D315&lt;&gt;"Done",E315&lt;&gt;""),E315+ROW()/100000,"")</f>
        <v/>
      </c>
    </row>
    <row r="316" customFormat="false" ht="15" hidden="false" customHeight="false" outlineLevel="0" collapsed="false">
      <c r="A316" s="32"/>
      <c r="B316" s="32"/>
      <c r="C316" s="33"/>
      <c r="D316" s="32"/>
      <c r="E316" s="35"/>
      <c r="F316" s="32"/>
      <c r="G316" s="35"/>
      <c r="H316" s="37" t="str">
        <f aca="true">IF(B316="","",IF(OR(D316="Done"),"Done",IF(E316="","No Due Date",IF(E316&lt;TODAY(),"Overdue",IF(E316=TODAY(),"Due Today",IF(E316&lt;TODAY()+7,"Due This Week","Later"))))))</f>
        <v/>
      </c>
      <c r="I316" s="40" t="str">
        <f aca="false">IF(AND(B316&lt;&gt;"",D316&lt;&gt;"Done",E316&lt;&gt;""),E316+ROW()/100000,"")</f>
        <v/>
      </c>
    </row>
    <row r="317" customFormat="false" ht="15" hidden="false" customHeight="false" outlineLevel="0" collapsed="false">
      <c r="A317" s="32"/>
      <c r="B317" s="32"/>
      <c r="C317" s="33"/>
      <c r="D317" s="32"/>
      <c r="E317" s="35"/>
      <c r="F317" s="32"/>
      <c r="G317" s="35"/>
      <c r="H317" s="37" t="str">
        <f aca="true">IF(B317="","",IF(OR(D317="Done"),"Done",IF(E317="","No Due Date",IF(E317&lt;TODAY(),"Overdue",IF(E317=TODAY(),"Due Today",IF(E317&lt;TODAY()+7,"Due This Week","Later"))))))</f>
        <v/>
      </c>
      <c r="I317" s="40" t="str">
        <f aca="false">IF(AND(B317&lt;&gt;"",D317&lt;&gt;"Done",E317&lt;&gt;""),E317+ROW()/100000,"")</f>
        <v/>
      </c>
    </row>
    <row r="318" customFormat="false" ht="15" hidden="false" customHeight="false" outlineLevel="0" collapsed="false">
      <c r="A318" s="32"/>
      <c r="B318" s="32"/>
      <c r="C318" s="33"/>
      <c r="D318" s="32"/>
      <c r="E318" s="35"/>
      <c r="F318" s="32"/>
      <c r="G318" s="35"/>
      <c r="H318" s="37" t="str">
        <f aca="true">IF(B318="","",IF(OR(D318="Done"),"Done",IF(E318="","No Due Date",IF(E318&lt;TODAY(),"Overdue",IF(E318=TODAY(),"Due Today",IF(E318&lt;TODAY()+7,"Due This Week","Later"))))))</f>
        <v/>
      </c>
      <c r="I318" s="40" t="str">
        <f aca="false">IF(AND(B318&lt;&gt;"",D318&lt;&gt;"Done",E318&lt;&gt;""),E318+ROW()/100000,"")</f>
        <v/>
      </c>
    </row>
    <row r="319" customFormat="false" ht="15" hidden="false" customHeight="false" outlineLevel="0" collapsed="false">
      <c r="A319" s="32"/>
      <c r="B319" s="32"/>
      <c r="C319" s="33"/>
      <c r="D319" s="32"/>
      <c r="E319" s="35"/>
      <c r="F319" s="32"/>
      <c r="G319" s="35"/>
      <c r="H319" s="37" t="str">
        <f aca="true">IF(B319="","",IF(OR(D319="Done"),"Done",IF(E319="","No Due Date",IF(E319&lt;TODAY(),"Overdue",IF(E319=TODAY(),"Due Today",IF(E319&lt;TODAY()+7,"Due This Week","Later"))))))</f>
        <v/>
      </c>
      <c r="I319" s="40" t="str">
        <f aca="false">IF(AND(B319&lt;&gt;"",D319&lt;&gt;"Done",E319&lt;&gt;""),E319+ROW()/100000,"")</f>
        <v/>
      </c>
    </row>
    <row r="320" customFormat="false" ht="15" hidden="false" customHeight="false" outlineLevel="0" collapsed="false">
      <c r="A320" s="32"/>
      <c r="B320" s="32"/>
      <c r="C320" s="33"/>
      <c r="D320" s="32"/>
      <c r="E320" s="35"/>
      <c r="F320" s="32"/>
      <c r="G320" s="35"/>
      <c r="H320" s="37" t="str">
        <f aca="true">IF(B320="","",IF(OR(D320="Done"),"Done",IF(E320="","No Due Date",IF(E320&lt;TODAY(),"Overdue",IF(E320=TODAY(),"Due Today",IF(E320&lt;TODAY()+7,"Due This Week","Later"))))))</f>
        <v/>
      </c>
      <c r="I320" s="40" t="str">
        <f aca="false">IF(AND(B320&lt;&gt;"",D320&lt;&gt;"Done",E320&lt;&gt;""),E320+ROW()/100000,"")</f>
        <v/>
      </c>
    </row>
    <row r="321" customFormat="false" ht="15" hidden="false" customHeight="false" outlineLevel="0" collapsed="false">
      <c r="A321" s="32"/>
      <c r="B321" s="32"/>
      <c r="C321" s="33"/>
      <c r="D321" s="32"/>
      <c r="E321" s="35"/>
      <c r="F321" s="32"/>
      <c r="G321" s="35"/>
      <c r="H321" s="37" t="str">
        <f aca="true">IF(B321="","",IF(OR(D321="Done"),"Done",IF(E321="","No Due Date",IF(E321&lt;TODAY(),"Overdue",IF(E321=TODAY(),"Due Today",IF(E321&lt;TODAY()+7,"Due This Week","Later"))))))</f>
        <v/>
      </c>
      <c r="I321" s="40" t="str">
        <f aca="false">IF(AND(B321&lt;&gt;"",D321&lt;&gt;"Done",E321&lt;&gt;""),E321+ROW()/100000,"")</f>
        <v/>
      </c>
    </row>
    <row r="322" customFormat="false" ht="15" hidden="false" customHeight="false" outlineLevel="0" collapsed="false">
      <c r="A322" s="32"/>
      <c r="B322" s="32"/>
      <c r="C322" s="33"/>
      <c r="D322" s="32"/>
      <c r="E322" s="35"/>
      <c r="F322" s="32"/>
      <c r="G322" s="35"/>
      <c r="H322" s="37" t="str">
        <f aca="true">IF(B322="","",IF(OR(D322="Done"),"Done",IF(E322="","No Due Date",IF(E322&lt;TODAY(),"Overdue",IF(E322=TODAY(),"Due Today",IF(E322&lt;TODAY()+7,"Due This Week","Later"))))))</f>
        <v/>
      </c>
      <c r="I322" s="40" t="str">
        <f aca="false">IF(AND(B322&lt;&gt;"",D322&lt;&gt;"Done",E322&lt;&gt;""),E322+ROW()/100000,"")</f>
        <v/>
      </c>
    </row>
    <row r="323" customFormat="false" ht="15" hidden="false" customHeight="false" outlineLevel="0" collapsed="false">
      <c r="A323" s="32"/>
      <c r="B323" s="32"/>
      <c r="C323" s="33"/>
      <c r="D323" s="32"/>
      <c r="E323" s="35"/>
      <c r="F323" s="32"/>
      <c r="G323" s="35"/>
      <c r="H323" s="37" t="str">
        <f aca="true">IF(B323="","",IF(OR(D323="Done"),"Done",IF(E323="","No Due Date",IF(E323&lt;TODAY(),"Overdue",IF(E323=TODAY(),"Due Today",IF(E323&lt;TODAY()+7,"Due This Week","Later"))))))</f>
        <v/>
      </c>
      <c r="I323" s="40" t="str">
        <f aca="false">IF(AND(B323&lt;&gt;"",D323&lt;&gt;"Done",E323&lt;&gt;""),E323+ROW()/100000,"")</f>
        <v/>
      </c>
    </row>
    <row r="324" customFormat="false" ht="15" hidden="false" customHeight="false" outlineLevel="0" collapsed="false">
      <c r="A324" s="32"/>
      <c r="B324" s="32"/>
      <c r="C324" s="33"/>
      <c r="D324" s="32"/>
      <c r="E324" s="35"/>
      <c r="F324" s="32"/>
      <c r="G324" s="35"/>
      <c r="H324" s="37" t="str">
        <f aca="true">IF(B324="","",IF(OR(D324="Done"),"Done",IF(E324="","No Due Date",IF(E324&lt;TODAY(),"Overdue",IF(E324=TODAY(),"Due Today",IF(E324&lt;TODAY()+7,"Due This Week","Later"))))))</f>
        <v/>
      </c>
      <c r="I324" s="40" t="str">
        <f aca="false">IF(AND(B324&lt;&gt;"",D324&lt;&gt;"Done",E324&lt;&gt;""),E324+ROW()/100000,"")</f>
        <v/>
      </c>
    </row>
    <row r="325" customFormat="false" ht="15" hidden="false" customHeight="false" outlineLevel="0" collapsed="false">
      <c r="A325" s="32"/>
      <c r="B325" s="32"/>
      <c r="C325" s="33"/>
      <c r="D325" s="32"/>
      <c r="E325" s="35"/>
      <c r="F325" s="32"/>
      <c r="G325" s="35"/>
      <c r="H325" s="37" t="str">
        <f aca="true">IF(B325="","",IF(OR(D325="Done"),"Done",IF(E325="","No Due Date",IF(E325&lt;TODAY(),"Overdue",IF(E325=TODAY(),"Due Today",IF(E325&lt;TODAY()+7,"Due This Week","Later"))))))</f>
        <v/>
      </c>
      <c r="I325" s="40" t="str">
        <f aca="false">IF(AND(B325&lt;&gt;"",D325&lt;&gt;"Done",E325&lt;&gt;""),E325+ROW()/100000,"")</f>
        <v/>
      </c>
    </row>
    <row r="326" customFormat="false" ht="15" hidden="false" customHeight="false" outlineLevel="0" collapsed="false">
      <c r="A326" s="32"/>
      <c r="B326" s="32"/>
      <c r="C326" s="33"/>
      <c r="D326" s="32"/>
      <c r="E326" s="35"/>
      <c r="F326" s="32"/>
      <c r="G326" s="35"/>
      <c r="H326" s="37" t="str">
        <f aca="true">IF(B326="","",IF(OR(D326="Done"),"Done",IF(E326="","No Due Date",IF(E326&lt;TODAY(),"Overdue",IF(E326=TODAY(),"Due Today",IF(E326&lt;TODAY()+7,"Due This Week","Later"))))))</f>
        <v/>
      </c>
      <c r="I326" s="40" t="str">
        <f aca="false">IF(AND(B326&lt;&gt;"",D326&lt;&gt;"Done",E326&lt;&gt;""),E326+ROW()/100000,"")</f>
        <v/>
      </c>
    </row>
    <row r="327" customFormat="false" ht="15" hidden="false" customHeight="false" outlineLevel="0" collapsed="false">
      <c r="A327" s="32"/>
      <c r="B327" s="32"/>
      <c r="C327" s="33"/>
      <c r="D327" s="32"/>
      <c r="E327" s="35"/>
      <c r="F327" s="32"/>
      <c r="G327" s="35"/>
      <c r="H327" s="37" t="str">
        <f aca="true">IF(B327="","",IF(OR(D327="Done"),"Done",IF(E327="","No Due Date",IF(E327&lt;TODAY(),"Overdue",IF(E327=TODAY(),"Due Today",IF(E327&lt;TODAY()+7,"Due This Week","Later"))))))</f>
        <v/>
      </c>
      <c r="I327" s="40" t="str">
        <f aca="false">IF(AND(B327&lt;&gt;"",D327&lt;&gt;"Done",E327&lt;&gt;""),E327+ROW()/100000,"")</f>
        <v/>
      </c>
    </row>
    <row r="328" customFormat="false" ht="15" hidden="false" customHeight="false" outlineLevel="0" collapsed="false">
      <c r="A328" s="32"/>
      <c r="B328" s="32"/>
      <c r="C328" s="33"/>
      <c r="D328" s="32"/>
      <c r="E328" s="35"/>
      <c r="F328" s="32"/>
      <c r="G328" s="35"/>
      <c r="H328" s="37" t="str">
        <f aca="true">IF(B328="","",IF(OR(D328="Done"),"Done",IF(E328="","No Due Date",IF(E328&lt;TODAY(),"Overdue",IF(E328=TODAY(),"Due Today",IF(E328&lt;TODAY()+7,"Due This Week","Later"))))))</f>
        <v/>
      </c>
      <c r="I328" s="40" t="str">
        <f aca="false">IF(AND(B328&lt;&gt;"",D328&lt;&gt;"Done",E328&lt;&gt;""),E328+ROW()/100000,"")</f>
        <v/>
      </c>
    </row>
    <row r="329" customFormat="false" ht="15" hidden="false" customHeight="false" outlineLevel="0" collapsed="false">
      <c r="A329" s="32"/>
      <c r="B329" s="32"/>
      <c r="C329" s="33"/>
      <c r="D329" s="32"/>
      <c r="E329" s="35"/>
      <c r="F329" s="32"/>
      <c r="G329" s="35"/>
      <c r="H329" s="37" t="str">
        <f aca="true">IF(B329="","",IF(OR(D329="Done"),"Done",IF(E329="","No Due Date",IF(E329&lt;TODAY(),"Overdue",IF(E329=TODAY(),"Due Today",IF(E329&lt;TODAY()+7,"Due This Week","Later"))))))</f>
        <v/>
      </c>
      <c r="I329" s="40" t="str">
        <f aca="false">IF(AND(B329&lt;&gt;"",D329&lt;&gt;"Done",E329&lt;&gt;""),E329+ROW()/100000,"")</f>
        <v/>
      </c>
    </row>
    <row r="330" customFormat="false" ht="15" hidden="false" customHeight="false" outlineLevel="0" collapsed="false">
      <c r="A330" s="32"/>
      <c r="B330" s="32"/>
      <c r="C330" s="33"/>
      <c r="D330" s="32"/>
      <c r="E330" s="35"/>
      <c r="F330" s="32"/>
      <c r="G330" s="35"/>
      <c r="H330" s="37" t="str">
        <f aca="true">IF(B330="","",IF(OR(D330="Done"),"Done",IF(E330="","No Due Date",IF(E330&lt;TODAY(),"Overdue",IF(E330=TODAY(),"Due Today",IF(E330&lt;TODAY()+7,"Due This Week","Later"))))))</f>
        <v/>
      </c>
      <c r="I330" s="40" t="str">
        <f aca="false">IF(AND(B330&lt;&gt;"",D330&lt;&gt;"Done",E330&lt;&gt;""),E330+ROW()/100000,"")</f>
        <v/>
      </c>
    </row>
    <row r="331" customFormat="false" ht="15" hidden="false" customHeight="false" outlineLevel="0" collapsed="false">
      <c r="A331" s="32"/>
      <c r="B331" s="32"/>
      <c r="C331" s="33"/>
      <c r="D331" s="32"/>
      <c r="E331" s="35"/>
      <c r="F331" s="32"/>
      <c r="G331" s="35"/>
      <c r="H331" s="37" t="str">
        <f aca="true">IF(B331="","",IF(OR(D331="Done"),"Done",IF(E331="","No Due Date",IF(E331&lt;TODAY(),"Overdue",IF(E331=TODAY(),"Due Today",IF(E331&lt;TODAY()+7,"Due This Week","Later"))))))</f>
        <v/>
      </c>
      <c r="I331" s="40" t="str">
        <f aca="false">IF(AND(B331&lt;&gt;"",D331&lt;&gt;"Done",E331&lt;&gt;""),E331+ROW()/100000,"")</f>
        <v/>
      </c>
    </row>
    <row r="332" customFormat="false" ht="15" hidden="false" customHeight="false" outlineLevel="0" collapsed="false">
      <c r="A332" s="32"/>
      <c r="B332" s="32"/>
      <c r="C332" s="33"/>
      <c r="D332" s="32"/>
      <c r="E332" s="35"/>
      <c r="F332" s="32"/>
      <c r="G332" s="35"/>
      <c r="H332" s="37" t="str">
        <f aca="true">IF(B332="","",IF(OR(D332="Done"),"Done",IF(E332="","No Due Date",IF(E332&lt;TODAY(),"Overdue",IF(E332=TODAY(),"Due Today",IF(E332&lt;TODAY()+7,"Due This Week","Later"))))))</f>
        <v/>
      </c>
      <c r="I332" s="40" t="str">
        <f aca="false">IF(AND(B332&lt;&gt;"",D332&lt;&gt;"Done",E332&lt;&gt;""),E332+ROW()/100000,"")</f>
        <v/>
      </c>
    </row>
    <row r="333" customFormat="false" ht="15" hidden="false" customHeight="false" outlineLevel="0" collapsed="false">
      <c r="A333" s="32"/>
      <c r="B333" s="32"/>
      <c r="C333" s="33"/>
      <c r="D333" s="32"/>
      <c r="E333" s="35"/>
      <c r="F333" s="32"/>
      <c r="G333" s="35"/>
      <c r="H333" s="37" t="str">
        <f aca="true">IF(B333="","",IF(OR(D333="Done"),"Done",IF(E333="","No Due Date",IF(E333&lt;TODAY(),"Overdue",IF(E333=TODAY(),"Due Today",IF(E333&lt;TODAY()+7,"Due This Week","Later"))))))</f>
        <v/>
      </c>
      <c r="I333" s="40" t="str">
        <f aca="false">IF(AND(B333&lt;&gt;"",D333&lt;&gt;"Done",E333&lt;&gt;""),E333+ROW()/100000,"")</f>
        <v/>
      </c>
    </row>
    <row r="334" customFormat="false" ht="15" hidden="false" customHeight="false" outlineLevel="0" collapsed="false">
      <c r="A334" s="32"/>
      <c r="B334" s="32"/>
      <c r="C334" s="33"/>
      <c r="D334" s="32"/>
      <c r="E334" s="35"/>
      <c r="F334" s="32"/>
      <c r="G334" s="35"/>
      <c r="H334" s="37" t="str">
        <f aca="true">IF(B334="","",IF(OR(D334="Done"),"Done",IF(E334="","No Due Date",IF(E334&lt;TODAY(),"Overdue",IF(E334=TODAY(),"Due Today",IF(E334&lt;TODAY()+7,"Due This Week","Later"))))))</f>
        <v/>
      </c>
      <c r="I334" s="40" t="str">
        <f aca="false">IF(AND(B334&lt;&gt;"",D334&lt;&gt;"Done",E334&lt;&gt;""),E334+ROW()/100000,"")</f>
        <v/>
      </c>
    </row>
    <row r="335" customFormat="false" ht="15" hidden="false" customHeight="false" outlineLevel="0" collapsed="false">
      <c r="A335" s="32"/>
      <c r="B335" s="32"/>
      <c r="C335" s="33"/>
      <c r="D335" s="32"/>
      <c r="E335" s="35"/>
      <c r="F335" s="32"/>
      <c r="G335" s="35"/>
      <c r="H335" s="37" t="str">
        <f aca="true">IF(B335="","",IF(OR(D335="Done"),"Done",IF(E335="","No Due Date",IF(E335&lt;TODAY(),"Overdue",IF(E335=TODAY(),"Due Today",IF(E335&lt;TODAY()+7,"Due This Week","Later"))))))</f>
        <v/>
      </c>
      <c r="I335" s="40" t="str">
        <f aca="false">IF(AND(B335&lt;&gt;"",D335&lt;&gt;"Done",E335&lt;&gt;""),E335+ROW()/100000,"")</f>
        <v/>
      </c>
    </row>
    <row r="336" customFormat="false" ht="15" hidden="false" customHeight="false" outlineLevel="0" collapsed="false">
      <c r="A336" s="32"/>
      <c r="B336" s="32"/>
      <c r="C336" s="33"/>
      <c r="D336" s="32"/>
      <c r="E336" s="35"/>
      <c r="F336" s="32"/>
      <c r="G336" s="35"/>
      <c r="H336" s="37" t="str">
        <f aca="true">IF(B336="","",IF(OR(D336="Done"),"Done",IF(E336="","No Due Date",IF(E336&lt;TODAY(),"Overdue",IF(E336=TODAY(),"Due Today",IF(E336&lt;TODAY()+7,"Due This Week","Later"))))))</f>
        <v/>
      </c>
      <c r="I336" s="40" t="str">
        <f aca="false">IF(AND(B336&lt;&gt;"",D336&lt;&gt;"Done",E336&lt;&gt;""),E336+ROW()/100000,"")</f>
        <v/>
      </c>
    </row>
    <row r="337" customFormat="false" ht="15" hidden="false" customHeight="false" outlineLevel="0" collapsed="false">
      <c r="A337" s="32"/>
      <c r="B337" s="32"/>
      <c r="C337" s="33"/>
      <c r="D337" s="32"/>
      <c r="E337" s="35"/>
      <c r="F337" s="32"/>
      <c r="G337" s="35"/>
      <c r="H337" s="37" t="str">
        <f aca="true">IF(B337="","",IF(OR(D337="Done"),"Done",IF(E337="","No Due Date",IF(E337&lt;TODAY(),"Overdue",IF(E337=TODAY(),"Due Today",IF(E337&lt;TODAY()+7,"Due This Week","Later"))))))</f>
        <v/>
      </c>
      <c r="I337" s="40" t="str">
        <f aca="false">IF(AND(B337&lt;&gt;"",D337&lt;&gt;"Done",E337&lt;&gt;""),E337+ROW()/100000,"")</f>
        <v/>
      </c>
    </row>
    <row r="338" customFormat="false" ht="15" hidden="false" customHeight="false" outlineLevel="0" collapsed="false">
      <c r="A338" s="32"/>
      <c r="B338" s="32"/>
      <c r="C338" s="33"/>
      <c r="D338" s="32"/>
      <c r="E338" s="35"/>
      <c r="F338" s="32"/>
      <c r="G338" s="35"/>
      <c r="H338" s="37" t="str">
        <f aca="true">IF(B338="","",IF(OR(D338="Done"),"Done",IF(E338="","No Due Date",IF(E338&lt;TODAY(),"Overdue",IF(E338=TODAY(),"Due Today",IF(E338&lt;TODAY()+7,"Due This Week","Later"))))))</f>
        <v/>
      </c>
      <c r="I338" s="40" t="str">
        <f aca="false">IF(AND(B338&lt;&gt;"",D338&lt;&gt;"Done",E338&lt;&gt;""),E338+ROW()/100000,"")</f>
        <v/>
      </c>
    </row>
    <row r="339" customFormat="false" ht="15" hidden="false" customHeight="false" outlineLevel="0" collapsed="false">
      <c r="A339" s="32"/>
      <c r="B339" s="32"/>
      <c r="C339" s="33"/>
      <c r="D339" s="32"/>
      <c r="E339" s="35"/>
      <c r="F339" s="32"/>
      <c r="G339" s="35"/>
      <c r="H339" s="37" t="str">
        <f aca="true">IF(B339="","",IF(OR(D339="Done"),"Done",IF(E339="","No Due Date",IF(E339&lt;TODAY(),"Overdue",IF(E339=TODAY(),"Due Today",IF(E339&lt;TODAY()+7,"Due This Week","Later"))))))</f>
        <v/>
      </c>
      <c r="I339" s="40" t="str">
        <f aca="false">IF(AND(B339&lt;&gt;"",D339&lt;&gt;"Done",E339&lt;&gt;""),E339+ROW()/100000,"")</f>
        <v/>
      </c>
    </row>
    <row r="340" customFormat="false" ht="15" hidden="false" customHeight="false" outlineLevel="0" collapsed="false">
      <c r="A340" s="32"/>
      <c r="B340" s="32"/>
      <c r="C340" s="33"/>
      <c r="D340" s="32"/>
      <c r="E340" s="35"/>
      <c r="F340" s="32"/>
      <c r="G340" s="35"/>
      <c r="H340" s="37" t="str">
        <f aca="true">IF(B340="","",IF(OR(D340="Done"),"Done",IF(E340="","No Due Date",IF(E340&lt;TODAY(),"Overdue",IF(E340=TODAY(),"Due Today",IF(E340&lt;TODAY()+7,"Due This Week","Later"))))))</f>
        <v/>
      </c>
      <c r="I340" s="40" t="str">
        <f aca="false">IF(AND(B340&lt;&gt;"",D340&lt;&gt;"Done",E340&lt;&gt;""),E340+ROW()/100000,"")</f>
        <v/>
      </c>
    </row>
    <row r="341" customFormat="false" ht="15" hidden="false" customHeight="false" outlineLevel="0" collapsed="false">
      <c r="A341" s="32"/>
      <c r="B341" s="32"/>
      <c r="C341" s="33"/>
      <c r="D341" s="32"/>
      <c r="E341" s="35"/>
      <c r="F341" s="32"/>
      <c r="G341" s="35"/>
      <c r="H341" s="37" t="str">
        <f aca="true">IF(B341="","",IF(OR(D341="Done"),"Done",IF(E341="","No Due Date",IF(E341&lt;TODAY(),"Overdue",IF(E341=TODAY(),"Due Today",IF(E341&lt;TODAY()+7,"Due This Week","Later"))))))</f>
        <v/>
      </c>
      <c r="I341" s="40" t="str">
        <f aca="false">IF(AND(B341&lt;&gt;"",D341&lt;&gt;"Done",E341&lt;&gt;""),E341+ROW()/100000,"")</f>
        <v/>
      </c>
    </row>
    <row r="342" customFormat="false" ht="15" hidden="false" customHeight="false" outlineLevel="0" collapsed="false">
      <c r="A342" s="32"/>
      <c r="B342" s="32"/>
      <c r="C342" s="33"/>
      <c r="D342" s="32"/>
      <c r="E342" s="35"/>
      <c r="F342" s="32"/>
      <c r="G342" s="35"/>
      <c r="H342" s="37" t="str">
        <f aca="true">IF(B342="","",IF(OR(D342="Done"),"Done",IF(E342="","No Due Date",IF(E342&lt;TODAY(),"Overdue",IF(E342=TODAY(),"Due Today",IF(E342&lt;TODAY()+7,"Due This Week","Later"))))))</f>
        <v/>
      </c>
      <c r="I342" s="40" t="str">
        <f aca="false">IF(AND(B342&lt;&gt;"",D342&lt;&gt;"Done",E342&lt;&gt;""),E342+ROW()/100000,"")</f>
        <v/>
      </c>
    </row>
    <row r="343" customFormat="false" ht="15" hidden="false" customHeight="false" outlineLevel="0" collapsed="false">
      <c r="A343" s="32"/>
      <c r="B343" s="32"/>
      <c r="C343" s="33"/>
      <c r="D343" s="32"/>
      <c r="E343" s="35"/>
      <c r="F343" s="32"/>
      <c r="G343" s="35"/>
      <c r="H343" s="37" t="str">
        <f aca="true">IF(B343="","",IF(OR(D343="Done"),"Done",IF(E343="","No Due Date",IF(E343&lt;TODAY(),"Overdue",IF(E343=TODAY(),"Due Today",IF(E343&lt;TODAY()+7,"Due This Week","Later"))))))</f>
        <v/>
      </c>
      <c r="I343" s="40" t="str">
        <f aca="false">IF(AND(B343&lt;&gt;"",D343&lt;&gt;"Done",E343&lt;&gt;""),E343+ROW()/100000,"")</f>
        <v/>
      </c>
    </row>
    <row r="344" customFormat="false" ht="15" hidden="false" customHeight="false" outlineLevel="0" collapsed="false">
      <c r="A344" s="32"/>
      <c r="B344" s="32"/>
      <c r="C344" s="33"/>
      <c r="D344" s="32"/>
      <c r="E344" s="35"/>
      <c r="F344" s="32"/>
      <c r="G344" s="35"/>
      <c r="H344" s="37" t="str">
        <f aca="true">IF(B344="","",IF(OR(D344="Done"),"Done",IF(E344="","No Due Date",IF(E344&lt;TODAY(),"Overdue",IF(E344=TODAY(),"Due Today",IF(E344&lt;TODAY()+7,"Due This Week","Later"))))))</f>
        <v/>
      </c>
      <c r="I344" s="40" t="str">
        <f aca="false">IF(AND(B344&lt;&gt;"",D344&lt;&gt;"Done",E344&lt;&gt;""),E344+ROW()/100000,"")</f>
        <v/>
      </c>
    </row>
    <row r="345" customFormat="false" ht="15" hidden="false" customHeight="false" outlineLevel="0" collapsed="false">
      <c r="A345" s="32"/>
      <c r="B345" s="32"/>
      <c r="C345" s="33"/>
      <c r="D345" s="32"/>
      <c r="E345" s="35"/>
      <c r="F345" s="32"/>
      <c r="G345" s="35"/>
      <c r="H345" s="37" t="str">
        <f aca="true">IF(B345="","",IF(OR(D345="Done"),"Done",IF(E345="","No Due Date",IF(E345&lt;TODAY(),"Overdue",IF(E345=TODAY(),"Due Today",IF(E345&lt;TODAY()+7,"Due This Week","Later"))))))</f>
        <v/>
      </c>
      <c r="I345" s="40" t="str">
        <f aca="false">IF(AND(B345&lt;&gt;"",D345&lt;&gt;"Done",E345&lt;&gt;""),E345+ROW()/100000,"")</f>
        <v/>
      </c>
    </row>
    <row r="346" customFormat="false" ht="15" hidden="false" customHeight="false" outlineLevel="0" collapsed="false">
      <c r="A346" s="32"/>
      <c r="B346" s="32"/>
      <c r="C346" s="33"/>
      <c r="D346" s="32"/>
      <c r="E346" s="35"/>
      <c r="F346" s="32"/>
      <c r="G346" s="35"/>
      <c r="H346" s="37" t="str">
        <f aca="true">IF(B346="","",IF(OR(D346="Done"),"Done",IF(E346="","No Due Date",IF(E346&lt;TODAY(),"Overdue",IF(E346=TODAY(),"Due Today",IF(E346&lt;TODAY()+7,"Due This Week","Later"))))))</f>
        <v/>
      </c>
      <c r="I346" s="40" t="str">
        <f aca="false">IF(AND(B346&lt;&gt;"",D346&lt;&gt;"Done",E346&lt;&gt;""),E346+ROW()/100000,"")</f>
        <v/>
      </c>
    </row>
    <row r="347" customFormat="false" ht="15" hidden="false" customHeight="false" outlineLevel="0" collapsed="false">
      <c r="A347" s="32"/>
      <c r="B347" s="32"/>
      <c r="C347" s="33"/>
      <c r="D347" s="32"/>
      <c r="E347" s="35"/>
      <c r="F347" s="32"/>
      <c r="G347" s="35"/>
      <c r="H347" s="37" t="str">
        <f aca="true">IF(B347="","",IF(OR(D347="Done"),"Done",IF(E347="","No Due Date",IF(E347&lt;TODAY(),"Overdue",IF(E347=TODAY(),"Due Today",IF(E347&lt;TODAY()+7,"Due This Week","Later"))))))</f>
        <v/>
      </c>
      <c r="I347" s="40" t="str">
        <f aca="false">IF(AND(B347&lt;&gt;"",D347&lt;&gt;"Done",E347&lt;&gt;""),E347+ROW()/100000,"")</f>
        <v/>
      </c>
    </row>
    <row r="348" customFormat="false" ht="15" hidden="false" customHeight="false" outlineLevel="0" collapsed="false">
      <c r="A348" s="32"/>
      <c r="B348" s="32"/>
      <c r="C348" s="33"/>
      <c r="D348" s="32"/>
      <c r="E348" s="35"/>
      <c r="F348" s="32"/>
      <c r="G348" s="35"/>
      <c r="H348" s="37" t="str">
        <f aca="true">IF(B348="","",IF(OR(D348="Done"),"Done",IF(E348="","No Due Date",IF(E348&lt;TODAY(),"Overdue",IF(E348=TODAY(),"Due Today",IF(E348&lt;TODAY()+7,"Due This Week","Later"))))))</f>
        <v/>
      </c>
      <c r="I348" s="40" t="str">
        <f aca="false">IF(AND(B348&lt;&gt;"",D348&lt;&gt;"Done",E348&lt;&gt;""),E348+ROW()/100000,"")</f>
        <v/>
      </c>
    </row>
    <row r="349" customFormat="false" ht="15" hidden="false" customHeight="false" outlineLevel="0" collapsed="false">
      <c r="A349" s="32"/>
      <c r="B349" s="32"/>
      <c r="C349" s="33"/>
      <c r="D349" s="32"/>
      <c r="E349" s="35"/>
      <c r="F349" s="32"/>
      <c r="G349" s="35"/>
      <c r="H349" s="37" t="str">
        <f aca="true">IF(B349="","",IF(OR(D349="Done"),"Done",IF(E349="","No Due Date",IF(E349&lt;TODAY(),"Overdue",IF(E349=TODAY(),"Due Today",IF(E349&lt;TODAY()+7,"Due This Week","Later"))))))</f>
        <v/>
      </c>
      <c r="I349" s="40" t="str">
        <f aca="false">IF(AND(B349&lt;&gt;"",D349&lt;&gt;"Done",E349&lt;&gt;""),E349+ROW()/100000,"")</f>
        <v/>
      </c>
    </row>
    <row r="350" customFormat="false" ht="15" hidden="false" customHeight="false" outlineLevel="0" collapsed="false">
      <c r="A350" s="32"/>
      <c r="B350" s="32"/>
      <c r="C350" s="33"/>
      <c r="D350" s="32"/>
      <c r="E350" s="35"/>
      <c r="F350" s="32"/>
      <c r="G350" s="35"/>
      <c r="H350" s="37" t="str">
        <f aca="true">IF(B350="","",IF(OR(D350="Done"),"Done",IF(E350="","No Due Date",IF(E350&lt;TODAY(),"Overdue",IF(E350=TODAY(),"Due Today",IF(E350&lt;TODAY()+7,"Due This Week","Later"))))))</f>
        <v/>
      </c>
      <c r="I350" s="40" t="str">
        <f aca="false">IF(AND(B350&lt;&gt;"",D350&lt;&gt;"Done",E350&lt;&gt;""),E350+ROW()/100000,"")</f>
        <v/>
      </c>
    </row>
    <row r="351" customFormat="false" ht="15" hidden="false" customHeight="false" outlineLevel="0" collapsed="false">
      <c r="A351" s="32"/>
      <c r="B351" s="32"/>
      <c r="C351" s="33"/>
      <c r="D351" s="32"/>
      <c r="E351" s="35"/>
      <c r="F351" s="32"/>
      <c r="G351" s="35"/>
      <c r="H351" s="37" t="str">
        <f aca="true">IF(B351="","",IF(OR(D351="Done"),"Done",IF(E351="","No Due Date",IF(E351&lt;TODAY(),"Overdue",IF(E351=TODAY(),"Due Today",IF(E351&lt;TODAY()+7,"Due This Week","Later"))))))</f>
        <v/>
      </c>
      <c r="I351" s="40" t="str">
        <f aca="false">IF(AND(B351&lt;&gt;"",D351&lt;&gt;"Done",E351&lt;&gt;""),E351+ROW()/100000,"")</f>
        <v/>
      </c>
    </row>
    <row r="352" customFormat="false" ht="15" hidden="false" customHeight="false" outlineLevel="0" collapsed="false">
      <c r="A352" s="32"/>
      <c r="B352" s="32"/>
      <c r="C352" s="33"/>
      <c r="D352" s="32"/>
      <c r="E352" s="35"/>
      <c r="F352" s="32"/>
      <c r="G352" s="35"/>
      <c r="H352" s="37" t="str">
        <f aca="true">IF(B352="","",IF(OR(D352="Done"),"Done",IF(E352="","No Due Date",IF(E352&lt;TODAY(),"Overdue",IF(E352=TODAY(),"Due Today",IF(E352&lt;TODAY()+7,"Due This Week","Later"))))))</f>
        <v/>
      </c>
      <c r="I352" s="40" t="str">
        <f aca="false">IF(AND(B352&lt;&gt;"",D352&lt;&gt;"Done",E352&lt;&gt;""),E352+ROW()/100000,"")</f>
        <v/>
      </c>
    </row>
    <row r="353" customFormat="false" ht="15" hidden="false" customHeight="false" outlineLevel="0" collapsed="false">
      <c r="A353" s="32"/>
      <c r="B353" s="32"/>
      <c r="C353" s="33"/>
      <c r="D353" s="32"/>
      <c r="E353" s="35"/>
      <c r="F353" s="32"/>
      <c r="G353" s="35"/>
      <c r="H353" s="37" t="str">
        <f aca="true">IF(B353="","",IF(OR(D353="Done"),"Done",IF(E353="","No Due Date",IF(E353&lt;TODAY(),"Overdue",IF(E353=TODAY(),"Due Today",IF(E353&lt;TODAY()+7,"Due This Week","Later"))))))</f>
        <v/>
      </c>
      <c r="I353" s="40" t="str">
        <f aca="false">IF(AND(B353&lt;&gt;"",D353&lt;&gt;"Done",E353&lt;&gt;""),E353+ROW()/100000,"")</f>
        <v/>
      </c>
    </row>
    <row r="354" customFormat="false" ht="15" hidden="false" customHeight="false" outlineLevel="0" collapsed="false">
      <c r="A354" s="32"/>
      <c r="B354" s="32"/>
      <c r="C354" s="33"/>
      <c r="D354" s="32"/>
      <c r="E354" s="35"/>
      <c r="F354" s="32"/>
      <c r="G354" s="35"/>
      <c r="H354" s="37" t="str">
        <f aca="true">IF(B354="","",IF(OR(D354="Done"),"Done",IF(E354="","No Due Date",IF(E354&lt;TODAY(),"Overdue",IF(E354=TODAY(),"Due Today",IF(E354&lt;TODAY()+7,"Due This Week","Later"))))))</f>
        <v/>
      </c>
      <c r="I354" s="40" t="str">
        <f aca="false">IF(AND(B354&lt;&gt;"",D354&lt;&gt;"Done",E354&lt;&gt;""),E354+ROW()/100000,"")</f>
        <v/>
      </c>
    </row>
    <row r="355" customFormat="false" ht="15" hidden="false" customHeight="false" outlineLevel="0" collapsed="false">
      <c r="A355" s="32"/>
      <c r="B355" s="32"/>
      <c r="C355" s="33"/>
      <c r="D355" s="32"/>
      <c r="E355" s="35"/>
      <c r="F355" s="32"/>
      <c r="G355" s="35"/>
      <c r="H355" s="37" t="str">
        <f aca="true">IF(B355="","",IF(OR(D355="Done"),"Done",IF(E355="","No Due Date",IF(E355&lt;TODAY(),"Overdue",IF(E355=TODAY(),"Due Today",IF(E355&lt;TODAY()+7,"Due This Week","Later"))))))</f>
        <v/>
      </c>
      <c r="I355" s="40" t="str">
        <f aca="false">IF(AND(B355&lt;&gt;"",D355&lt;&gt;"Done",E355&lt;&gt;""),E355+ROW()/100000,"")</f>
        <v/>
      </c>
    </row>
    <row r="356" customFormat="false" ht="15" hidden="false" customHeight="false" outlineLevel="0" collapsed="false">
      <c r="A356" s="32"/>
      <c r="B356" s="32"/>
      <c r="C356" s="33"/>
      <c r="D356" s="32"/>
      <c r="E356" s="35"/>
      <c r="F356" s="32"/>
      <c r="G356" s="35"/>
      <c r="H356" s="37" t="str">
        <f aca="true">IF(B356="","",IF(OR(D356="Done"),"Done",IF(E356="","No Due Date",IF(E356&lt;TODAY(),"Overdue",IF(E356=TODAY(),"Due Today",IF(E356&lt;TODAY()+7,"Due This Week","Later"))))))</f>
        <v/>
      </c>
      <c r="I356" s="40" t="str">
        <f aca="false">IF(AND(B356&lt;&gt;"",D356&lt;&gt;"Done",E356&lt;&gt;""),E356+ROW()/100000,"")</f>
        <v/>
      </c>
    </row>
    <row r="357" customFormat="false" ht="15" hidden="false" customHeight="false" outlineLevel="0" collapsed="false">
      <c r="A357" s="32"/>
      <c r="B357" s="32"/>
      <c r="C357" s="33"/>
      <c r="D357" s="32"/>
      <c r="E357" s="35"/>
      <c r="F357" s="32"/>
      <c r="G357" s="35"/>
      <c r="H357" s="37" t="str">
        <f aca="true">IF(B357="","",IF(OR(D357="Done"),"Done",IF(E357="","No Due Date",IF(E357&lt;TODAY(),"Overdue",IF(E357=TODAY(),"Due Today",IF(E357&lt;TODAY()+7,"Due This Week","Later"))))))</f>
        <v/>
      </c>
      <c r="I357" s="40" t="str">
        <f aca="false">IF(AND(B357&lt;&gt;"",D357&lt;&gt;"Done",E357&lt;&gt;""),E357+ROW()/100000,"")</f>
        <v/>
      </c>
    </row>
    <row r="358" customFormat="false" ht="15" hidden="false" customHeight="false" outlineLevel="0" collapsed="false">
      <c r="A358" s="32"/>
      <c r="B358" s="32"/>
      <c r="C358" s="33"/>
      <c r="D358" s="32"/>
      <c r="E358" s="35"/>
      <c r="F358" s="32"/>
      <c r="G358" s="35"/>
      <c r="H358" s="37" t="str">
        <f aca="true">IF(B358="","",IF(OR(D358="Done"),"Done",IF(E358="","No Due Date",IF(E358&lt;TODAY(),"Overdue",IF(E358=TODAY(),"Due Today",IF(E358&lt;TODAY()+7,"Due This Week","Later"))))))</f>
        <v/>
      </c>
      <c r="I358" s="40" t="str">
        <f aca="false">IF(AND(B358&lt;&gt;"",D358&lt;&gt;"Done",E358&lt;&gt;""),E358+ROW()/100000,"")</f>
        <v/>
      </c>
    </row>
    <row r="359" customFormat="false" ht="15" hidden="false" customHeight="false" outlineLevel="0" collapsed="false">
      <c r="A359" s="32"/>
      <c r="B359" s="32"/>
      <c r="C359" s="33"/>
      <c r="D359" s="32"/>
      <c r="E359" s="35"/>
      <c r="F359" s="32"/>
      <c r="G359" s="35"/>
      <c r="H359" s="37" t="str">
        <f aca="true">IF(B359="","",IF(OR(D359="Done"),"Done",IF(E359="","No Due Date",IF(E359&lt;TODAY(),"Overdue",IF(E359=TODAY(),"Due Today",IF(E359&lt;TODAY()+7,"Due This Week","Later"))))))</f>
        <v/>
      </c>
      <c r="I359" s="40" t="str">
        <f aca="false">IF(AND(B359&lt;&gt;"",D359&lt;&gt;"Done",E359&lt;&gt;""),E359+ROW()/100000,"")</f>
        <v/>
      </c>
    </row>
    <row r="360" customFormat="false" ht="15" hidden="false" customHeight="false" outlineLevel="0" collapsed="false">
      <c r="A360" s="32"/>
      <c r="B360" s="32"/>
      <c r="C360" s="33"/>
      <c r="D360" s="32"/>
      <c r="E360" s="35"/>
      <c r="F360" s="32"/>
      <c r="G360" s="35"/>
      <c r="H360" s="37" t="str">
        <f aca="true">IF(B360="","",IF(OR(D360="Done"),"Done",IF(E360="","No Due Date",IF(E360&lt;TODAY(),"Overdue",IF(E360=TODAY(),"Due Today",IF(E360&lt;TODAY()+7,"Due This Week","Later"))))))</f>
        <v/>
      </c>
      <c r="I360" s="40" t="str">
        <f aca="false">IF(AND(B360&lt;&gt;"",D360&lt;&gt;"Done",E360&lt;&gt;""),E360+ROW()/100000,"")</f>
        <v/>
      </c>
    </row>
    <row r="361" customFormat="false" ht="15" hidden="false" customHeight="false" outlineLevel="0" collapsed="false">
      <c r="A361" s="32"/>
      <c r="B361" s="32"/>
      <c r="C361" s="33"/>
      <c r="D361" s="32"/>
      <c r="E361" s="35"/>
      <c r="F361" s="32"/>
      <c r="G361" s="35"/>
      <c r="H361" s="37" t="str">
        <f aca="true">IF(B361="","",IF(OR(D361="Done"),"Done",IF(E361="","No Due Date",IF(E361&lt;TODAY(),"Overdue",IF(E361=TODAY(),"Due Today",IF(E361&lt;TODAY()+7,"Due This Week","Later"))))))</f>
        <v/>
      </c>
      <c r="I361" s="40" t="str">
        <f aca="false">IF(AND(B361&lt;&gt;"",D361&lt;&gt;"Done",E361&lt;&gt;""),E361+ROW()/100000,"")</f>
        <v/>
      </c>
    </row>
    <row r="362" customFormat="false" ht="15" hidden="false" customHeight="false" outlineLevel="0" collapsed="false">
      <c r="A362" s="32"/>
      <c r="B362" s="32"/>
      <c r="C362" s="33"/>
      <c r="D362" s="32"/>
      <c r="E362" s="35"/>
      <c r="F362" s="32"/>
      <c r="G362" s="35"/>
      <c r="H362" s="37" t="str">
        <f aca="true">IF(B362="","",IF(OR(D362="Done"),"Done",IF(E362="","No Due Date",IF(E362&lt;TODAY(),"Overdue",IF(E362=TODAY(),"Due Today",IF(E362&lt;TODAY()+7,"Due This Week","Later"))))))</f>
        <v/>
      </c>
      <c r="I362" s="40" t="str">
        <f aca="false">IF(AND(B362&lt;&gt;"",D362&lt;&gt;"Done",E362&lt;&gt;""),E362+ROW()/100000,"")</f>
        <v/>
      </c>
    </row>
    <row r="363" customFormat="false" ht="15" hidden="false" customHeight="false" outlineLevel="0" collapsed="false">
      <c r="A363" s="32"/>
      <c r="B363" s="32"/>
      <c r="C363" s="33"/>
      <c r="D363" s="32"/>
      <c r="E363" s="35"/>
      <c r="F363" s="32"/>
      <c r="G363" s="35"/>
      <c r="H363" s="37" t="str">
        <f aca="true">IF(B363="","",IF(OR(D363="Done"),"Done",IF(E363="","No Due Date",IF(E363&lt;TODAY(),"Overdue",IF(E363=TODAY(),"Due Today",IF(E363&lt;TODAY()+7,"Due This Week","Later"))))))</f>
        <v/>
      </c>
      <c r="I363" s="40" t="str">
        <f aca="false">IF(AND(B363&lt;&gt;"",D363&lt;&gt;"Done",E363&lt;&gt;""),E363+ROW()/100000,"")</f>
        <v/>
      </c>
    </row>
    <row r="364" customFormat="false" ht="15" hidden="false" customHeight="false" outlineLevel="0" collapsed="false">
      <c r="A364" s="32"/>
      <c r="B364" s="32"/>
      <c r="C364" s="33"/>
      <c r="D364" s="32"/>
      <c r="E364" s="35"/>
      <c r="F364" s="32"/>
      <c r="G364" s="35"/>
      <c r="H364" s="37" t="str">
        <f aca="true">IF(B364="","",IF(OR(D364="Done"),"Done",IF(E364="","No Due Date",IF(E364&lt;TODAY(),"Overdue",IF(E364=TODAY(),"Due Today",IF(E364&lt;TODAY()+7,"Due This Week","Later"))))))</f>
        <v/>
      </c>
      <c r="I364" s="40" t="str">
        <f aca="false">IF(AND(B364&lt;&gt;"",D364&lt;&gt;"Done",E364&lt;&gt;""),E364+ROW()/100000,"")</f>
        <v/>
      </c>
    </row>
    <row r="365" customFormat="false" ht="15" hidden="false" customHeight="false" outlineLevel="0" collapsed="false">
      <c r="A365" s="32"/>
      <c r="B365" s="32"/>
      <c r="C365" s="33"/>
      <c r="D365" s="32"/>
      <c r="E365" s="35"/>
      <c r="F365" s="32"/>
      <c r="G365" s="35"/>
      <c r="H365" s="37" t="str">
        <f aca="true">IF(B365="","",IF(OR(D365="Done"),"Done",IF(E365="","No Due Date",IF(E365&lt;TODAY(),"Overdue",IF(E365=TODAY(),"Due Today",IF(E365&lt;TODAY()+7,"Due This Week","Later"))))))</f>
        <v/>
      </c>
      <c r="I365" s="40" t="str">
        <f aca="false">IF(AND(B365&lt;&gt;"",D365&lt;&gt;"Done",E365&lt;&gt;""),E365+ROW()/100000,"")</f>
        <v/>
      </c>
    </row>
    <row r="366" customFormat="false" ht="15" hidden="false" customHeight="false" outlineLevel="0" collapsed="false">
      <c r="A366" s="32"/>
      <c r="B366" s="32"/>
      <c r="C366" s="33"/>
      <c r="D366" s="32"/>
      <c r="E366" s="35"/>
      <c r="F366" s="32"/>
      <c r="G366" s="35"/>
      <c r="H366" s="37" t="str">
        <f aca="true">IF(B366="","",IF(OR(D366="Done"),"Done",IF(E366="","No Due Date",IF(E366&lt;TODAY(),"Overdue",IF(E366=TODAY(),"Due Today",IF(E366&lt;TODAY()+7,"Due This Week","Later"))))))</f>
        <v/>
      </c>
      <c r="I366" s="40" t="str">
        <f aca="false">IF(AND(B366&lt;&gt;"",D366&lt;&gt;"Done",E366&lt;&gt;""),E366+ROW()/100000,"")</f>
        <v/>
      </c>
    </row>
    <row r="367" customFormat="false" ht="15" hidden="false" customHeight="false" outlineLevel="0" collapsed="false">
      <c r="A367" s="32"/>
      <c r="B367" s="32"/>
      <c r="C367" s="33"/>
      <c r="D367" s="32"/>
      <c r="E367" s="35"/>
      <c r="F367" s="32"/>
      <c r="G367" s="35"/>
      <c r="H367" s="37" t="str">
        <f aca="true">IF(B367="","",IF(OR(D367="Done"),"Done",IF(E367="","No Due Date",IF(E367&lt;TODAY(),"Overdue",IF(E367=TODAY(),"Due Today",IF(E367&lt;TODAY()+7,"Due This Week","Later"))))))</f>
        <v/>
      </c>
      <c r="I367" s="40" t="str">
        <f aca="false">IF(AND(B367&lt;&gt;"",D367&lt;&gt;"Done",E367&lt;&gt;""),E367+ROW()/100000,"")</f>
        <v/>
      </c>
    </row>
    <row r="368" customFormat="false" ht="15" hidden="false" customHeight="false" outlineLevel="0" collapsed="false">
      <c r="A368" s="32"/>
      <c r="B368" s="32"/>
      <c r="C368" s="33"/>
      <c r="D368" s="32"/>
      <c r="E368" s="35"/>
      <c r="F368" s="32"/>
      <c r="G368" s="35"/>
      <c r="H368" s="37" t="str">
        <f aca="true">IF(B368="","",IF(OR(D368="Done"),"Done",IF(E368="","No Due Date",IF(E368&lt;TODAY(),"Overdue",IF(E368=TODAY(),"Due Today",IF(E368&lt;TODAY()+7,"Due This Week","Later"))))))</f>
        <v/>
      </c>
      <c r="I368" s="40" t="str">
        <f aca="false">IF(AND(B368&lt;&gt;"",D368&lt;&gt;"Done",E368&lt;&gt;""),E368+ROW()/100000,"")</f>
        <v/>
      </c>
    </row>
    <row r="369" customFormat="false" ht="15" hidden="false" customHeight="false" outlineLevel="0" collapsed="false">
      <c r="A369" s="32"/>
      <c r="B369" s="32"/>
      <c r="C369" s="33"/>
      <c r="D369" s="32"/>
      <c r="E369" s="35"/>
      <c r="F369" s="32"/>
      <c r="G369" s="35"/>
      <c r="H369" s="37" t="str">
        <f aca="true">IF(B369="","",IF(OR(D369="Done"),"Done",IF(E369="","No Due Date",IF(E369&lt;TODAY(),"Overdue",IF(E369=TODAY(),"Due Today",IF(E369&lt;TODAY()+7,"Due This Week","Later"))))))</f>
        <v/>
      </c>
      <c r="I369" s="40" t="str">
        <f aca="false">IF(AND(B369&lt;&gt;"",D369&lt;&gt;"Done",E369&lt;&gt;""),E369+ROW()/100000,"")</f>
        <v/>
      </c>
    </row>
    <row r="370" customFormat="false" ht="15" hidden="false" customHeight="false" outlineLevel="0" collapsed="false">
      <c r="A370" s="32"/>
      <c r="B370" s="32"/>
      <c r="C370" s="33"/>
      <c r="D370" s="32"/>
      <c r="E370" s="35"/>
      <c r="F370" s="32"/>
      <c r="G370" s="35"/>
      <c r="H370" s="37" t="str">
        <f aca="true">IF(B370="","",IF(OR(D370="Done"),"Done",IF(E370="","No Due Date",IF(E370&lt;TODAY(),"Overdue",IF(E370=TODAY(),"Due Today",IF(E370&lt;TODAY()+7,"Due This Week","Later"))))))</f>
        <v/>
      </c>
      <c r="I370" s="40" t="str">
        <f aca="false">IF(AND(B370&lt;&gt;"",D370&lt;&gt;"Done",E370&lt;&gt;""),E370+ROW()/100000,"")</f>
        <v/>
      </c>
    </row>
    <row r="371" customFormat="false" ht="15" hidden="false" customHeight="false" outlineLevel="0" collapsed="false">
      <c r="A371" s="32"/>
      <c r="B371" s="32"/>
      <c r="C371" s="33"/>
      <c r="D371" s="32"/>
      <c r="E371" s="35"/>
      <c r="F371" s="32"/>
      <c r="G371" s="35"/>
      <c r="H371" s="37" t="str">
        <f aca="true">IF(B371="","",IF(OR(D371="Done"),"Done",IF(E371="","No Due Date",IF(E371&lt;TODAY(),"Overdue",IF(E371=TODAY(),"Due Today",IF(E371&lt;TODAY()+7,"Due This Week","Later"))))))</f>
        <v/>
      </c>
      <c r="I371" s="40" t="str">
        <f aca="false">IF(AND(B371&lt;&gt;"",D371&lt;&gt;"Done",E371&lt;&gt;""),E371+ROW()/100000,"")</f>
        <v/>
      </c>
    </row>
    <row r="372" customFormat="false" ht="15" hidden="false" customHeight="false" outlineLevel="0" collapsed="false">
      <c r="A372" s="32"/>
      <c r="B372" s="32"/>
      <c r="C372" s="33"/>
      <c r="D372" s="32"/>
      <c r="E372" s="35"/>
      <c r="F372" s="32"/>
      <c r="G372" s="35"/>
      <c r="H372" s="37" t="str">
        <f aca="true">IF(B372="","",IF(OR(D372="Done"),"Done",IF(E372="","No Due Date",IF(E372&lt;TODAY(),"Overdue",IF(E372=TODAY(),"Due Today",IF(E372&lt;TODAY()+7,"Due This Week","Later"))))))</f>
        <v/>
      </c>
      <c r="I372" s="40" t="str">
        <f aca="false">IF(AND(B372&lt;&gt;"",D372&lt;&gt;"Done",E372&lt;&gt;""),E372+ROW()/100000,"")</f>
        <v/>
      </c>
    </row>
    <row r="373" customFormat="false" ht="15" hidden="false" customHeight="false" outlineLevel="0" collapsed="false">
      <c r="A373" s="32"/>
      <c r="B373" s="32"/>
      <c r="C373" s="33"/>
      <c r="D373" s="32"/>
      <c r="E373" s="35"/>
      <c r="F373" s="32"/>
      <c r="G373" s="35"/>
      <c r="H373" s="37" t="str">
        <f aca="true">IF(B373="","",IF(OR(D373="Done"),"Done",IF(E373="","No Due Date",IF(E373&lt;TODAY(),"Overdue",IF(E373=TODAY(),"Due Today",IF(E373&lt;TODAY()+7,"Due This Week","Later"))))))</f>
        <v/>
      </c>
      <c r="I373" s="40" t="str">
        <f aca="false">IF(AND(B373&lt;&gt;"",D373&lt;&gt;"Done",E373&lt;&gt;""),E373+ROW()/100000,"")</f>
        <v/>
      </c>
    </row>
    <row r="374" customFormat="false" ht="15" hidden="false" customHeight="false" outlineLevel="0" collapsed="false">
      <c r="A374" s="32"/>
      <c r="B374" s="32"/>
      <c r="C374" s="33"/>
      <c r="D374" s="32"/>
      <c r="E374" s="35"/>
      <c r="F374" s="32"/>
      <c r="G374" s="35"/>
      <c r="H374" s="37" t="str">
        <f aca="true">IF(B374="","",IF(OR(D374="Done"),"Done",IF(E374="","No Due Date",IF(E374&lt;TODAY(),"Overdue",IF(E374=TODAY(),"Due Today",IF(E374&lt;TODAY()+7,"Due This Week","Later"))))))</f>
        <v/>
      </c>
      <c r="I374" s="40" t="str">
        <f aca="false">IF(AND(B374&lt;&gt;"",D374&lt;&gt;"Done",E374&lt;&gt;""),E374+ROW()/100000,"")</f>
        <v/>
      </c>
    </row>
    <row r="375" customFormat="false" ht="15" hidden="false" customHeight="false" outlineLevel="0" collapsed="false">
      <c r="A375" s="32"/>
      <c r="B375" s="32"/>
      <c r="C375" s="33"/>
      <c r="D375" s="32"/>
      <c r="E375" s="35"/>
      <c r="F375" s="32"/>
      <c r="G375" s="35"/>
      <c r="H375" s="37" t="str">
        <f aca="true">IF(B375="","",IF(OR(D375="Done"),"Done",IF(E375="","No Due Date",IF(E375&lt;TODAY(),"Overdue",IF(E375=TODAY(),"Due Today",IF(E375&lt;TODAY()+7,"Due This Week","Later"))))))</f>
        <v/>
      </c>
      <c r="I375" s="40" t="str">
        <f aca="false">IF(AND(B375&lt;&gt;"",D375&lt;&gt;"Done",E375&lt;&gt;""),E375+ROW()/100000,"")</f>
        <v/>
      </c>
    </row>
    <row r="376" customFormat="false" ht="15" hidden="false" customHeight="false" outlineLevel="0" collapsed="false">
      <c r="A376" s="32"/>
      <c r="B376" s="32"/>
      <c r="C376" s="33"/>
      <c r="D376" s="32"/>
      <c r="E376" s="35"/>
      <c r="F376" s="32"/>
      <c r="G376" s="35"/>
      <c r="H376" s="37" t="str">
        <f aca="true">IF(B376="","",IF(OR(D376="Done"),"Done",IF(E376="","No Due Date",IF(E376&lt;TODAY(),"Overdue",IF(E376=TODAY(),"Due Today",IF(E376&lt;TODAY()+7,"Due This Week","Later"))))))</f>
        <v/>
      </c>
      <c r="I376" s="40" t="str">
        <f aca="false">IF(AND(B376&lt;&gt;"",D376&lt;&gt;"Done",E376&lt;&gt;""),E376+ROW()/100000,"")</f>
        <v/>
      </c>
    </row>
    <row r="377" customFormat="false" ht="15" hidden="false" customHeight="false" outlineLevel="0" collapsed="false">
      <c r="A377" s="32"/>
      <c r="B377" s="32"/>
      <c r="C377" s="33"/>
      <c r="D377" s="32"/>
      <c r="E377" s="35"/>
      <c r="F377" s="32"/>
      <c r="G377" s="35"/>
      <c r="H377" s="37" t="str">
        <f aca="true">IF(B377="","",IF(OR(D377="Done"),"Done",IF(E377="","No Due Date",IF(E377&lt;TODAY(),"Overdue",IF(E377=TODAY(),"Due Today",IF(E377&lt;TODAY()+7,"Due This Week","Later"))))))</f>
        <v/>
      </c>
      <c r="I377" s="40" t="str">
        <f aca="false">IF(AND(B377&lt;&gt;"",D377&lt;&gt;"Done",E377&lt;&gt;""),E377+ROW()/100000,"")</f>
        <v/>
      </c>
    </row>
    <row r="378" customFormat="false" ht="15" hidden="false" customHeight="false" outlineLevel="0" collapsed="false">
      <c r="A378" s="32"/>
      <c r="B378" s="32"/>
      <c r="C378" s="33"/>
      <c r="D378" s="32"/>
      <c r="E378" s="35"/>
      <c r="F378" s="32"/>
      <c r="G378" s="35"/>
      <c r="H378" s="37" t="str">
        <f aca="true">IF(B378="","",IF(OR(D378="Done"),"Done",IF(E378="","No Due Date",IF(E378&lt;TODAY(),"Overdue",IF(E378=TODAY(),"Due Today",IF(E378&lt;TODAY()+7,"Due This Week","Later"))))))</f>
        <v/>
      </c>
      <c r="I378" s="40" t="str">
        <f aca="false">IF(AND(B378&lt;&gt;"",D378&lt;&gt;"Done",E378&lt;&gt;""),E378+ROW()/100000,"")</f>
        <v/>
      </c>
    </row>
    <row r="379" customFormat="false" ht="15" hidden="false" customHeight="false" outlineLevel="0" collapsed="false">
      <c r="A379" s="32"/>
      <c r="B379" s="32"/>
      <c r="C379" s="33"/>
      <c r="D379" s="32"/>
      <c r="E379" s="35"/>
      <c r="F379" s="32"/>
      <c r="G379" s="35"/>
      <c r="H379" s="37" t="str">
        <f aca="true">IF(B379="","",IF(OR(D379="Done"),"Done",IF(E379="","No Due Date",IF(E379&lt;TODAY(),"Overdue",IF(E379=TODAY(),"Due Today",IF(E379&lt;TODAY()+7,"Due This Week","Later"))))))</f>
        <v/>
      </c>
      <c r="I379" s="40" t="str">
        <f aca="false">IF(AND(B379&lt;&gt;"",D379&lt;&gt;"Done",E379&lt;&gt;""),E379+ROW()/100000,"")</f>
        <v/>
      </c>
    </row>
    <row r="380" customFormat="false" ht="15" hidden="false" customHeight="false" outlineLevel="0" collapsed="false">
      <c r="A380" s="32"/>
      <c r="B380" s="32"/>
      <c r="C380" s="33"/>
      <c r="D380" s="32"/>
      <c r="E380" s="35"/>
      <c r="F380" s="32"/>
      <c r="G380" s="35"/>
      <c r="H380" s="37" t="str">
        <f aca="true">IF(B380="","",IF(OR(D380="Done"),"Done",IF(E380="","No Due Date",IF(E380&lt;TODAY(),"Overdue",IF(E380=TODAY(),"Due Today",IF(E380&lt;TODAY()+7,"Due This Week","Later"))))))</f>
        <v/>
      </c>
      <c r="I380" s="40" t="str">
        <f aca="false">IF(AND(B380&lt;&gt;"",D380&lt;&gt;"Done",E380&lt;&gt;""),E380+ROW()/100000,"")</f>
        <v/>
      </c>
    </row>
    <row r="381" customFormat="false" ht="15" hidden="false" customHeight="false" outlineLevel="0" collapsed="false">
      <c r="A381" s="32"/>
      <c r="B381" s="32"/>
      <c r="C381" s="33"/>
      <c r="D381" s="32"/>
      <c r="E381" s="35"/>
      <c r="F381" s="32"/>
      <c r="G381" s="35"/>
      <c r="H381" s="37" t="str">
        <f aca="true">IF(B381="","",IF(OR(D381="Done"),"Done",IF(E381="","No Due Date",IF(E381&lt;TODAY(),"Overdue",IF(E381=TODAY(),"Due Today",IF(E381&lt;TODAY()+7,"Due This Week","Later"))))))</f>
        <v/>
      </c>
      <c r="I381" s="40" t="str">
        <f aca="false">IF(AND(B381&lt;&gt;"",D381&lt;&gt;"Done",E381&lt;&gt;""),E381+ROW()/100000,"")</f>
        <v/>
      </c>
    </row>
    <row r="382" customFormat="false" ht="15" hidden="false" customHeight="false" outlineLevel="0" collapsed="false">
      <c r="A382" s="32"/>
      <c r="B382" s="32"/>
      <c r="C382" s="33"/>
      <c r="D382" s="32"/>
      <c r="E382" s="35"/>
      <c r="F382" s="32"/>
      <c r="G382" s="35"/>
      <c r="H382" s="37" t="str">
        <f aca="true">IF(B382="","",IF(OR(D382="Done"),"Done",IF(E382="","No Due Date",IF(E382&lt;TODAY(),"Overdue",IF(E382=TODAY(),"Due Today",IF(E382&lt;TODAY()+7,"Due This Week","Later"))))))</f>
        <v/>
      </c>
      <c r="I382" s="40" t="str">
        <f aca="false">IF(AND(B382&lt;&gt;"",D382&lt;&gt;"Done",E382&lt;&gt;""),E382+ROW()/100000,"")</f>
        <v/>
      </c>
    </row>
    <row r="383" customFormat="false" ht="15" hidden="false" customHeight="false" outlineLevel="0" collapsed="false">
      <c r="A383" s="32"/>
      <c r="B383" s="32"/>
      <c r="C383" s="33"/>
      <c r="D383" s="32"/>
      <c r="E383" s="35"/>
      <c r="F383" s="32"/>
      <c r="G383" s="35"/>
      <c r="H383" s="37" t="str">
        <f aca="true">IF(B383="","",IF(OR(D383="Done"),"Done",IF(E383="","No Due Date",IF(E383&lt;TODAY(),"Overdue",IF(E383=TODAY(),"Due Today",IF(E383&lt;TODAY()+7,"Due This Week","Later"))))))</f>
        <v/>
      </c>
      <c r="I383" s="40" t="str">
        <f aca="false">IF(AND(B383&lt;&gt;"",D383&lt;&gt;"Done",E383&lt;&gt;""),E383+ROW()/100000,"")</f>
        <v/>
      </c>
    </row>
    <row r="384" customFormat="false" ht="15" hidden="false" customHeight="false" outlineLevel="0" collapsed="false">
      <c r="A384" s="32"/>
      <c r="B384" s="32"/>
      <c r="C384" s="33"/>
      <c r="D384" s="32"/>
      <c r="E384" s="35"/>
      <c r="F384" s="32"/>
      <c r="G384" s="35"/>
      <c r="H384" s="37" t="str">
        <f aca="true">IF(B384="","",IF(OR(D384="Done"),"Done",IF(E384="","No Due Date",IF(E384&lt;TODAY(),"Overdue",IF(E384=TODAY(),"Due Today",IF(E384&lt;TODAY()+7,"Due This Week","Later"))))))</f>
        <v/>
      </c>
      <c r="I384" s="40" t="str">
        <f aca="false">IF(AND(B384&lt;&gt;"",D384&lt;&gt;"Done",E384&lt;&gt;""),E384+ROW()/100000,"")</f>
        <v/>
      </c>
    </row>
    <row r="385" customFormat="false" ht="15" hidden="false" customHeight="false" outlineLevel="0" collapsed="false">
      <c r="A385" s="32"/>
      <c r="B385" s="32"/>
      <c r="C385" s="33"/>
      <c r="D385" s="32"/>
      <c r="E385" s="35"/>
      <c r="F385" s="32"/>
      <c r="G385" s="35"/>
      <c r="H385" s="37" t="str">
        <f aca="true">IF(B385="","",IF(OR(D385="Done"),"Done",IF(E385="","No Due Date",IF(E385&lt;TODAY(),"Overdue",IF(E385=TODAY(),"Due Today",IF(E385&lt;TODAY()+7,"Due This Week","Later"))))))</f>
        <v/>
      </c>
      <c r="I385" s="40" t="str">
        <f aca="false">IF(AND(B385&lt;&gt;"",D385&lt;&gt;"Done",E385&lt;&gt;""),E385+ROW()/100000,"")</f>
        <v/>
      </c>
    </row>
    <row r="386" customFormat="false" ht="15" hidden="false" customHeight="false" outlineLevel="0" collapsed="false">
      <c r="A386" s="32"/>
      <c r="B386" s="32"/>
      <c r="C386" s="33"/>
      <c r="D386" s="32"/>
      <c r="E386" s="35"/>
      <c r="F386" s="32"/>
      <c r="G386" s="35"/>
      <c r="H386" s="37" t="str">
        <f aca="true">IF(B386="","",IF(OR(D386="Done"),"Done",IF(E386="","No Due Date",IF(E386&lt;TODAY(),"Overdue",IF(E386=TODAY(),"Due Today",IF(E386&lt;TODAY()+7,"Due This Week","Later"))))))</f>
        <v/>
      </c>
      <c r="I386" s="40" t="str">
        <f aca="false">IF(AND(B386&lt;&gt;"",D386&lt;&gt;"Done",E386&lt;&gt;""),E386+ROW()/100000,"")</f>
        <v/>
      </c>
    </row>
    <row r="387" customFormat="false" ht="15" hidden="false" customHeight="false" outlineLevel="0" collapsed="false">
      <c r="A387" s="32"/>
      <c r="B387" s="32"/>
      <c r="C387" s="33"/>
      <c r="D387" s="32"/>
      <c r="E387" s="35"/>
      <c r="F387" s="32"/>
      <c r="G387" s="35"/>
      <c r="H387" s="37" t="str">
        <f aca="true">IF(B387="","",IF(OR(D387="Done"),"Done",IF(E387="","No Due Date",IF(E387&lt;TODAY(),"Overdue",IF(E387=TODAY(),"Due Today",IF(E387&lt;TODAY()+7,"Due This Week","Later"))))))</f>
        <v/>
      </c>
      <c r="I387" s="40" t="str">
        <f aca="false">IF(AND(B387&lt;&gt;"",D387&lt;&gt;"Done",E387&lt;&gt;""),E387+ROW()/100000,"")</f>
        <v/>
      </c>
    </row>
    <row r="388" customFormat="false" ht="15" hidden="false" customHeight="false" outlineLevel="0" collapsed="false">
      <c r="A388" s="32"/>
      <c r="B388" s="32"/>
      <c r="C388" s="33"/>
      <c r="D388" s="32"/>
      <c r="E388" s="35"/>
      <c r="F388" s="32"/>
      <c r="G388" s="35"/>
      <c r="H388" s="37" t="str">
        <f aca="true">IF(B388="","",IF(OR(D388="Done"),"Done",IF(E388="","No Due Date",IF(E388&lt;TODAY(),"Overdue",IF(E388=TODAY(),"Due Today",IF(E388&lt;TODAY()+7,"Due This Week","Later"))))))</f>
        <v/>
      </c>
      <c r="I388" s="40" t="str">
        <f aca="false">IF(AND(B388&lt;&gt;"",D388&lt;&gt;"Done",E388&lt;&gt;""),E388+ROW()/100000,"")</f>
        <v/>
      </c>
    </row>
    <row r="389" customFormat="false" ht="15" hidden="false" customHeight="false" outlineLevel="0" collapsed="false">
      <c r="A389" s="32"/>
      <c r="B389" s="32"/>
      <c r="C389" s="33"/>
      <c r="D389" s="32"/>
      <c r="E389" s="35"/>
      <c r="F389" s="32"/>
      <c r="G389" s="35"/>
      <c r="H389" s="37" t="str">
        <f aca="true">IF(B389="","",IF(OR(D389="Done"),"Done",IF(E389="","No Due Date",IF(E389&lt;TODAY(),"Overdue",IF(E389=TODAY(),"Due Today",IF(E389&lt;TODAY()+7,"Due This Week","Later"))))))</f>
        <v/>
      </c>
      <c r="I389" s="40" t="str">
        <f aca="false">IF(AND(B389&lt;&gt;"",D389&lt;&gt;"Done",E389&lt;&gt;""),E389+ROW()/100000,"")</f>
        <v/>
      </c>
    </row>
    <row r="390" customFormat="false" ht="15" hidden="false" customHeight="false" outlineLevel="0" collapsed="false">
      <c r="A390" s="32"/>
      <c r="B390" s="32"/>
      <c r="C390" s="33"/>
      <c r="D390" s="32"/>
      <c r="E390" s="35"/>
      <c r="F390" s="32"/>
      <c r="G390" s="35"/>
      <c r="H390" s="37" t="str">
        <f aca="true">IF(B390="","",IF(OR(D390="Done"),"Done",IF(E390="","No Due Date",IF(E390&lt;TODAY(),"Overdue",IF(E390=TODAY(),"Due Today",IF(E390&lt;TODAY()+7,"Due This Week","Later"))))))</f>
        <v/>
      </c>
      <c r="I390" s="40" t="str">
        <f aca="false">IF(AND(B390&lt;&gt;"",D390&lt;&gt;"Done",E390&lt;&gt;""),E390+ROW()/100000,"")</f>
        <v/>
      </c>
    </row>
    <row r="391" customFormat="false" ht="15" hidden="false" customHeight="false" outlineLevel="0" collapsed="false">
      <c r="A391" s="32"/>
      <c r="B391" s="32"/>
      <c r="C391" s="33"/>
      <c r="D391" s="32"/>
      <c r="E391" s="35"/>
      <c r="F391" s="32"/>
      <c r="G391" s="35"/>
      <c r="H391" s="37" t="str">
        <f aca="true">IF(B391="","",IF(OR(D391="Done"),"Done",IF(E391="","No Due Date",IF(E391&lt;TODAY(),"Overdue",IF(E391=TODAY(),"Due Today",IF(E391&lt;TODAY()+7,"Due This Week","Later"))))))</f>
        <v/>
      </c>
      <c r="I391" s="40" t="str">
        <f aca="false">IF(AND(B391&lt;&gt;"",D391&lt;&gt;"Done",E391&lt;&gt;""),E391+ROW()/100000,"")</f>
        <v/>
      </c>
    </row>
    <row r="392" customFormat="false" ht="15" hidden="false" customHeight="false" outlineLevel="0" collapsed="false">
      <c r="A392" s="32"/>
      <c r="B392" s="32"/>
      <c r="C392" s="33"/>
      <c r="D392" s="32"/>
      <c r="E392" s="35"/>
      <c r="F392" s="32"/>
      <c r="G392" s="35"/>
      <c r="H392" s="37" t="str">
        <f aca="true">IF(B392="","",IF(OR(D392="Done"),"Done",IF(E392="","No Due Date",IF(E392&lt;TODAY(),"Overdue",IF(E392=TODAY(),"Due Today",IF(E392&lt;TODAY()+7,"Due This Week","Later"))))))</f>
        <v/>
      </c>
      <c r="I392" s="40" t="str">
        <f aca="false">IF(AND(B392&lt;&gt;"",D392&lt;&gt;"Done",E392&lt;&gt;""),E392+ROW()/100000,"")</f>
        <v/>
      </c>
    </row>
    <row r="393" customFormat="false" ht="15" hidden="false" customHeight="false" outlineLevel="0" collapsed="false">
      <c r="A393" s="32"/>
      <c r="B393" s="32"/>
      <c r="C393" s="33"/>
      <c r="D393" s="32"/>
      <c r="E393" s="35"/>
      <c r="F393" s="32"/>
      <c r="G393" s="35"/>
      <c r="H393" s="37" t="str">
        <f aca="true">IF(B393="","",IF(OR(D393="Done"),"Done",IF(E393="","No Due Date",IF(E393&lt;TODAY(),"Overdue",IF(E393=TODAY(),"Due Today",IF(E393&lt;TODAY()+7,"Due This Week","Later"))))))</f>
        <v/>
      </c>
      <c r="I393" s="40" t="str">
        <f aca="false">IF(AND(B393&lt;&gt;"",D393&lt;&gt;"Done",E393&lt;&gt;""),E393+ROW()/100000,"")</f>
        <v/>
      </c>
    </row>
    <row r="394" customFormat="false" ht="15" hidden="false" customHeight="false" outlineLevel="0" collapsed="false">
      <c r="A394" s="32"/>
      <c r="B394" s="32"/>
      <c r="C394" s="33"/>
      <c r="D394" s="32"/>
      <c r="E394" s="35"/>
      <c r="F394" s="32"/>
      <c r="G394" s="35"/>
      <c r="H394" s="37" t="str">
        <f aca="true">IF(B394="","",IF(OR(D394="Done"),"Done",IF(E394="","No Due Date",IF(E394&lt;TODAY(),"Overdue",IF(E394=TODAY(),"Due Today",IF(E394&lt;TODAY()+7,"Due This Week","Later"))))))</f>
        <v/>
      </c>
      <c r="I394" s="40" t="str">
        <f aca="false">IF(AND(B394&lt;&gt;"",D394&lt;&gt;"Done",E394&lt;&gt;""),E394+ROW()/100000,"")</f>
        <v/>
      </c>
    </row>
    <row r="395" customFormat="false" ht="15" hidden="false" customHeight="false" outlineLevel="0" collapsed="false">
      <c r="A395" s="32"/>
      <c r="B395" s="32"/>
      <c r="C395" s="33"/>
      <c r="D395" s="32"/>
      <c r="E395" s="35"/>
      <c r="F395" s="32"/>
      <c r="G395" s="35"/>
      <c r="H395" s="37" t="str">
        <f aca="true">IF(B395="","",IF(OR(D395="Done"),"Done",IF(E395="","No Due Date",IF(E395&lt;TODAY(),"Overdue",IF(E395=TODAY(),"Due Today",IF(E395&lt;TODAY()+7,"Due This Week","Later"))))))</f>
        <v/>
      </c>
      <c r="I395" s="40" t="str">
        <f aca="false">IF(AND(B395&lt;&gt;"",D395&lt;&gt;"Done",E395&lt;&gt;""),E395+ROW()/100000,"")</f>
        <v/>
      </c>
    </row>
    <row r="396" customFormat="false" ht="15" hidden="false" customHeight="false" outlineLevel="0" collapsed="false">
      <c r="A396" s="32"/>
      <c r="B396" s="32"/>
      <c r="C396" s="33"/>
      <c r="D396" s="32"/>
      <c r="E396" s="35"/>
      <c r="F396" s="32"/>
      <c r="G396" s="35"/>
      <c r="H396" s="37" t="str">
        <f aca="true">IF(B396="","",IF(OR(D396="Done"),"Done",IF(E396="","No Due Date",IF(E396&lt;TODAY(),"Overdue",IF(E396=TODAY(),"Due Today",IF(E396&lt;TODAY()+7,"Due This Week","Later"))))))</f>
        <v/>
      </c>
      <c r="I396" s="40" t="str">
        <f aca="false">IF(AND(B396&lt;&gt;"",D396&lt;&gt;"Done",E396&lt;&gt;""),E396+ROW()/100000,"")</f>
        <v/>
      </c>
    </row>
    <row r="397" customFormat="false" ht="15" hidden="false" customHeight="false" outlineLevel="0" collapsed="false">
      <c r="A397" s="32"/>
      <c r="B397" s="32"/>
      <c r="C397" s="33"/>
      <c r="D397" s="32"/>
      <c r="E397" s="35"/>
      <c r="F397" s="32"/>
      <c r="G397" s="35"/>
      <c r="H397" s="37" t="str">
        <f aca="true">IF(B397="","",IF(OR(D397="Done"),"Done",IF(E397="","No Due Date",IF(E397&lt;TODAY(),"Overdue",IF(E397=TODAY(),"Due Today",IF(E397&lt;TODAY()+7,"Due This Week","Later"))))))</f>
        <v/>
      </c>
      <c r="I397" s="40" t="str">
        <f aca="false">IF(AND(B397&lt;&gt;"",D397&lt;&gt;"Done",E397&lt;&gt;""),E397+ROW()/100000,"")</f>
        <v/>
      </c>
    </row>
    <row r="398" customFormat="false" ht="15" hidden="false" customHeight="false" outlineLevel="0" collapsed="false">
      <c r="A398" s="32"/>
      <c r="B398" s="32"/>
      <c r="C398" s="33"/>
      <c r="D398" s="32"/>
      <c r="E398" s="35"/>
      <c r="F398" s="32"/>
      <c r="G398" s="35"/>
      <c r="H398" s="37" t="str">
        <f aca="true">IF(B398="","",IF(OR(D398="Done"),"Done",IF(E398="","No Due Date",IF(E398&lt;TODAY(),"Overdue",IF(E398=TODAY(),"Due Today",IF(E398&lt;TODAY()+7,"Due This Week","Later"))))))</f>
        <v/>
      </c>
      <c r="I398" s="40" t="str">
        <f aca="false">IF(AND(B398&lt;&gt;"",D398&lt;&gt;"Done",E398&lt;&gt;""),E398+ROW()/100000,"")</f>
        <v/>
      </c>
    </row>
    <row r="399" customFormat="false" ht="15" hidden="false" customHeight="false" outlineLevel="0" collapsed="false">
      <c r="A399" s="32"/>
      <c r="B399" s="32"/>
      <c r="C399" s="33"/>
      <c r="D399" s="32"/>
      <c r="E399" s="35"/>
      <c r="F399" s="32"/>
      <c r="G399" s="35"/>
      <c r="H399" s="37" t="str">
        <f aca="true">IF(B399="","",IF(OR(D399="Done"),"Done",IF(E399="","No Due Date",IF(E399&lt;TODAY(),"Overdue",IF(E399=TODAY(),"Due Today",IF(E399&lt;TODAY()+7,"Due This Week","Later"))))))</f>
        <v/>
      </c>
      <c r="I399" s="40" t="str">
        <f aca="false">IF(AND(B399&lt;&gt;"",D399&lt;&gt;"Done",E399&lt;&gt;""),E399+ROW()/100000,"")</f>
        <v/>
      </c>
    </row>
    <row r="400" customFormat="false" ht="15" hidden="false" customHeight="false" outlineLevel="0" collapsed="false">
      <c r="A400" s="32"/>
      <c r="B400" s="32"/>
      <c r="C400" s="33"/>
      <c r="D400" s="32"/>
      <c r="E400" s="35"/>
      <c r="F400" s="32"/>
      <c r="G400" s="35"/>
      <c r="H400" s="37" t="str">
        <f aca="true">IF(B400="","",IF(OR(D400="Done"),"Done",IF(E400="","No Due Date",IF(E400&lt;TODAY(),"Overdue",IF(E400=TODAY(),"Due Today",IF(E400&lt;TODAY()+7,"Due This Week","Later"))))))</f>
        <v/>
      </c>
      <c r="I400" s="40" t="str">
        <f aca="false">IF(AND(B400&lt;&gt;"",D400&lt;&gt;"Done",E400&lt;&gt;""),E400+ROW()/100000,"")</f>
        <v/>
      </c>
    </row>
    <row r="401" customFormat="false" ht="15" hidden="false" customHeight="false" outlineLevel="0" collapsed="false">
      <c r="A401" s="32"/>
      <c r="B401" s="32"/>
      <c r="C401" s="33"/>
      <c r="D401" s="32"/>
      <c r="E401" s="35"/>
      <c r="F401" s="32"/>
      <c r="G401" s="35"/>
      <c r="H401" s="37" t="str">
        <f aca="true">IF(B401="","",IF(OR(D401="Done"),"Done",IF(E401="","No Due Date",IF(E401&lt;TODAY(),"Overdue",IF(E401=TODAY(),"Due Today",IF(E401&lt;TODAY()+7,"Due This Week","Later"))))))</f>
        <v/>
      </c>
      <c r="I401" s="40" t="str">
        <f aca="false">IF(AND(B401&lt;&gt;"",D401&lt;&gt;"Done",E401&lt;&gt;""),E401+ROW()/100000,"")</f>
        <v/>
      </c>
    </row>
    <row r="402" customFormat="false" ht="15" hidden="false" customHeight="false" outlineLevel="0" collapsed="false">
      <c r="A402" s="32"/>
      <c r="B402" s="32"/>
      <c r="C402" s="33"/>
      <c r="D402" s="32"/>
      <c r="E402" s="35"/>
      <c r="F402" s="32"/>
      <c r="G402" s="35"/>
      <c r="H402" s="37" t="str">
        <f aca="true">IF(B402="","",IF(OR(D402="Done"),"Done",IF(E402="","No Due Date",IF(E402&lt;TODAY(),"Overdue",IF(E402=TODAY(),"Due Today",IF(E402&lt;TODAY()+7,"Due This Week","Later"))))))</f>
        <v/>
      </c>
      <c r="I402" s="40" t="str">
        <f aca="false">IF(AND(B402&lt;&gt;"",D402&lt;&gt;"Done",E402&lt;&gt;""),E402+ROW()/100000,"")</f>
        <v/>
      </c>
    </row>
    <row r="403" customFormat="false" ht="15" hidden="false" customHeight="false" outlineLevel="0" collapsed="false">
      <c r="A403" s="32"/>
      <c r="B403" s="32"/>
      <c r="C403" s="33"/>
      <c r="D403" s="32"/>
      <c r="E403" s="35"/>
      <c r="F403" s="32"/>
      <c r="G403" s="35"/>
      <c r="H403" s="37" t="str">
        <f aca="true">IF(B403="","",IF(OR(D403="Done"),"Done",IF(E403="","No Due Date",IF(E403&lt;TODAY(),"Overdue",IF(E403=TODAY(),"Due Today",IF(E403&lt;TODAY()+7,"Due This Week","Later"))))))</f>
        <v/>
      </c>
      <c r="I403" s="40" t="str">
        <f aca="false">IF(AND(B403&lt;&gt;"",D403&lt;&gt;"Done",E403&lt;&gt;""),E403+ROW()/100000,"")</f>
        <v/>
      </c>
    </row>
    <row r="404" customFormat="false" ht="15" hidden="false" customHeight="false" outlineLevel="0" collapsed="false">
      <c r="A404" s="32"/>
      <c r="B404" s="32"/>
      <c r="C404" s="33"/>
      <c r="D404" s="32"/>
      <c r="E404" s="35"/>
      <c r="F404" s="32"/>
      <c r="G404" s="35"/>
      <c r="H404" s="37" t="str">
        <f aca="true">IF(B404="","",IF(OR(D404="Done"),"Done",IF(E404="","No Due Date",IF(E404&lt;TODAY(),"Overdue",IF(E404=TODAY(),"Due Today",IF(E404&lt;TODAY()+7,"Due This Week","Later"))))))</f>
        <v/>
      </c>
      <c r="I404" s="40" t="str">
        <f aca="false">IF(AND(B404&lt;&gt;"",D404&lt;&gt;"Done",E404&lt;&gt;""),E404+ROW()/100000,"")</f>
        <v/>
      </c>
    </row>
    <row r="405" customFormat="false" ht="15" hidden="false" customHeight="false" outlineLevel="0" collapsed="false">
      <c r="A405" s="32"/>
      <c r="B405" s="32"/>
      <c r="C405" s="33"/>
      <c r="D405" s="32"/>
      <c r="E405" s="35"/>
      <c r="F405" s="32"/>
      <c r="G405" s="35"/>
      <c r="H405" s="37" t="str">
        <f aca="true">IF(B405="","",IF(OR(D405="Done"),"Done",IF(E405="","No Due Date",IF(E405&lt;TODAY(),"Overdue",IF(E405=TODAY(),"Due Today",IF(E405&lt;TODAY()+7,"Due This Week","Later"))))))</f>
        <v/>
      </c>
      <c r="I405" s="40" t="str">
        <f aca="false">IF(AND(B405&lt;&gt;"",D405&lt;&gt;"Done",E405&lt;&gt;""),E405+ROW()/100000,"")</f>
        <v/>
      </c>
    </row>
    <row r="406" customFormat="false" ht="15" hidden="false" customHeight="false" outlineLevel="0" collapsed="false">
      <c r="A406" s="32"/>
      <c r="B406" s="32"/>
      <c r="C406" s="33"/>
      <c r="D406" s="32"/>
      <c r="E406" s="35"/>
      <c r="F406" s="32"/>
      <c r="G406" s="35"/>
      <c r="H406" s="37" t="str">
        <f aca="true">IF(B406="","",IF(OR(D406="Done"),"Done",IF(E406="","No Due Date",IF(E406&lt;TODAY(),"Overdue",IF(E406=TODAY(),"Due Today",IF(E406&lt;TODAY()+7,"Due This Week","Later"))))))</f>
        <v/>
      </c>
      <c r="I406" s="40" t="str">
        <f aca="false">IF(AND(B406&lt;&gt;"",D406&lt;&gt;"Done",E406&lt;&gt;""),E406+ROW()/100000,"")</f>
        <v/>
      </c>
    </row>
    <row r="407" customFormat="false" ht="15" hidden="false" customHeight="false" outlineLevel="0" collapsed="false">
      <c r="A407" s="32"/>
      <c r="B407" s="32"/>
      <c r="C407" s="33"/>
      <c r="D407" s="32"/>
      <c r="E407" s="35"/>
      <c r="F407" s="32"/>
      <c r="G407" s="35"/>
      <c r="H407" s="37" t="str">
        <f aca="true">IF(B407="","",IF(OR(D407="Done"),"Done",IF(E407="","No Due Date",IF(E407&lt;TODAY(),"Overdue",IF(E407=TODAY(),"Due Today",IF(E407&lt;TODAY()+7,"Due This Week","Later"))))))</f>
        <v/>
      </c>
      <c r="I407" s="40" t="str">
        <f aca="false">IF(AND(B407&lt;&gt;"",D407&lt;&gt;"Done",E407&lt;&gt;""),E407+ROW()/100000,"")</f>
        <v/>
      </c>
    </row>
    <row r="408" customFormat="false" ht="15" hidden="false" customHeight="false" outlineLevel="0" collapsed="false">
      <c r="A408" s="32"/>
      <c r="B408" s="32"/>
      <c r="C408" s="33"/>
      <c r="D408" s="32"/>
      <c r="E408" s="35"/>
      <c r="F408" s="32"/>
      <c r="G408" s="35"/>
      <c r="H408" s="37" t="str">
        <f aca="true">IF(B408="","",IF(OR(D408="Done"),"Done",IF(E408="","No Due Date",IF(E408&lt;TODAY(),"Overdue",IF(E408=TODAY(),"Due Today",IF(E408&lt;TODAY()+7,"Due This Week","Later"))))))</f>
        <v/>
      </c>
      <c r="I408" s="40" t="str">
        <f aca="false">IF(AND(B408&lt;&gt;"",D408&lt;&gt;"Done",E408&lt;&gt;""),E408+ROW()/100000,"")</f>
        <v/>
      </c>
    </row>
    <row r="409" customFormat="false" ht="15" hidden="false" customHeight="false" outlineLevel="0" collapsed="false">
      <c r="A409" s="32"/>
      <c r="B409" s="32"/>
      <c r="C409" s="33"/>
      <c r="D409" s="32"/>
      <c r="E409" s="35"/>
      <c r="F409" s="32"/>
      <c r="G409" s="35"/>
      <c r="H409" s="37" t="str">
        <f aca="true">IF(B409="","",IF(OR(D409="Done"),"Done",IF(E409="","No Due Date",IF(E409&lt;TODAY(),"Overdue",IF(E409=TODAY(),"Due Today",IF(E409&lt;TODAY()+7,"Due This Week","Later"))))))</f>
        <v/>
      </c>
      <c r="I409" s="40" t="str">
        <f aca="false">IF(AND(B409&lt;&gt;"",D409&lt;&gt;"Done",E409&lt;&gt;""),E409+ROW()/100000,"")</f>
        <v/>
      </c>
    </row>
    <row r="410" customFormat="false" ht="15" hidden="false" customHeight="false" outlineLevel="0" collapsed="false">
      <c r="A410" s="32"/>
      <c r="B410" s="32"/>
      <c r="C410" s="33"/>
      <c r="D410" s="32"/>
      <c r="E410" s="35"/>
      <c r="F410" s="32"/>
      <c r="G410" s="35"/>
      <c r="H410" s="37" t="str">
        <f aca="true">IF(B410="","",IF(OR(D410="Done"),"Done",IF(E410="","No Due Date",IF(E410&lt;TODAY(),"Overdue",IF(E410=TODAY(),"Due Today",IF(E410&lt;TODAY()+7,"Due This Week","Later"))))))</f>
        <v/>
      </c>
      <c r="I410" s="40" t="str">
        <f aca="false">IF(AND(B410&lt;&gt;"",D410&lt;&gt;"Done",E410&lt;&gt;""),E410+ROW()/100000,"")</f>
        <v/>
      </c>
    </row>
    <row r="411" customFormat="false" ht="15" hidden="false" customHeight="false" outlineLevel="0" collapsed="false">
      <c r="A411" s="32"/>
      <c r="B411" s="32"/>
      <c r="C411" s="33"/>
      <c r="D411" s="32"/>
      <c r="E411" s="35"/>
      <c r="F411" s="32"/>
      <c r="G411" s="35"/>
      <c r="H411" s="37" t="str">
        <f aca="true">IF(B411="","",IF(OR(D411="Done"),"Done",IF(E411="","No Due Date",IF(E411&lt;TODAY(),"Overdue",IF(E411=TODAY(),"Due Today",IF(E411&lt;TODAY()+7,"Due This Week","Later"))))))</f>
        <v/>
      </c>
      <c r="I411" s="40" t="str">
        <f aca="false">IF(AND(B411&lt;&gt;"",D411&lt;&gt;"Done",E411&lt;&gt;""),E411+ROW()/100000,"")</f>
        <v/>
      </c>
    </row>
    <row r="412" customFormat="false" ht="15" hidden="false" customHeight="false" outlineLevel="0" collapsed="false">
      <c r="A412" s="32"/>
      <c r="B412" s="32"/>
      <c r="C412" s="33"/>
      <c r="D412" s="32"/>
      <c r="E412" s="35"/>
      <c r="F412" s="32"/>
      <c r="G412" s="35"/>
      <c r="H412" s="37" t="str">
        <f aca="true">IF(B412="","",IF(OR(D412="Done"),"Done",IF(E412="","No Due Date",IF(E412&lt;TODAY(),"Overdue",IF(E412=TODAY(),"Due Today",IF(E412&lt;TODAY()+7,"Due This Week","Later"))))))</f>
        <v/>
      </c>
      <c r="I412" s="40" t="str">
        <f aca="false">IF(AND(B412&lt;&gt;"",D412&lt;&gt;"Done",E412&lt;&gt;""),E412+ROW()/100000,"")</f>
        <v/>
      </c>
    </row>
    <row r="413" customFormat="false" ht="15" hidden="false" customHeight="false" outlineLevel="0" collapsed="false">
      <c r="A413" s="32"/>
      <c r="B413" s="32"/>
      <c r="C413" s="33"/>
      <c r="D413" s="32"/>
      <c r="E413" s="35"/>
      <c r="F413" s="32"/>
      <c r="G413" s="35"/>
      <c r="H413" s="37" t="str">
        <f aca="true">IF(B413="","",IF(OR(D413="Done"),"Done",IF(E413="","No Due Date",IF(E413&lt;TODAY(),"Overdue",IF(E413=TODAY(),"Due Today",IF(E413&lt;TODAY()+7,"Due This Week","Later"))))))</f>
        <v/>
      </c>
      <c r="I413" s="40" t="str">
        <f aca="false">IF(AND(B413&lt;&gt;"",D413&lt;&gt;"Done",E413&lt;&gt;""),E413+ROW()/100000,"")</f>
        <v/>
      </c>
    </row>
    <row r="414" customFormat="false" ht="15" hidden="false" customHeight="false" outlineLevel="0" collapsed="false">
      <c r="A414" s="32"/>
      <c r="B414" s="32"/>
      <c r="C414" s="33"/>
      <c r="D414" s="32"/>
      <c r="E414" s="35"/>
      <c r="F414" s="32"/>
      <c r="G414" s="35"/>
      <c r="H414" s="37" t="str">
        <f aca="true">IF(B414="","",IF(OR(D414="Done"),"Done",IF(E414="","No Due Date",IF(E414&lt;TODAY(),"Overdue",IF(E414=TODAY(),"Due Today",IF(E414&lt;TODAY()+7,"Due This Week","Later"))))))</f>
        <v/>
      </c>
      <c r="I414" s="40" t="str">
        <f aca="false">IF(AND(B414&lt;&gt;"",D414&lt;&gt;"Done",E414&lt;&gt;""),E414+ROW()/100000,"")</f>
        <v/>
      </c>
    </row>
    <row r="415" customFormat="false" ht="15" hidden="false" customHeight="false" outlineLevel="0" collapsed="false">
      <c r="A415" s="32"/>
      <c r="B415" s="32"/>
      <c r="C415" s="33"/>
      <c r="D415" s="32"/>
      <c r="E415" s="35"/>
      <c r="F415" s="32"/>
      <c r="G415" s="35"/>
      <c r="H415" s="37" t="str">
        <f aca="true">IF(B415="","",IF(OR(D415="Done"),"Done",IF(E415="","No Due Date",IF(E415&lt;TODAY(),"Overdue",IF(E415=TODAY(),"Due Today",IF(E415&lt;TODAY()+7,"Due This Week","Later"))))))</f>
        <v/>
      </c>
      <c r="I415" s="40" t="str">
        <f aca="false">IF(AND(B415&lt;&gt;"",D415&lt;&gt;"Done",E415&lt;&gt;""),E415+ROW()/100000,"")</f>
        <v/>
      </c>
    </row>
    <row r="416" customFormat="false" ht="15" hidden="false" customHeight="false" outlineLevel="0" collapsed="false">
      <c r="A416" s="32"/>
      <c r="B416" s="32"/>
      <c r="C416" s="33"/>
      <c r="D416" s="32"/>
      <c r="E416" s="35"/>
      <c r="F416" s="32"/>
      <c r="G416" s="35"/>
      <c r="H416" s="37" t="str">
        <f aca="true">IF(B416="","",IF(OR(D416="Done"),"Done",IF(E416="","No Due Date",IF(E416&lt;TODAY(),"Overdue",IF(E416=TODAY(),"Due Today",IF(E416&lt;TODAY()+7,"Due This Week","Later"))))))</f>
        <v/>
      </c>
      <c r="I416" s="40" t="str">
        <f aca="false">IF(AND(B416&lt;&gt;"",D416&lt;&gt;"Done",E416&lt;&gt;""),E416+ROW()/100000,"")</f>
        <v/>
      </c>
    </row>
    <row r="417" customFormat="false" ht="15" hidden="false" customHeight="false" outlineLevel="0" collapsed="false">
      <c r="A417" s="32"/>
      <c r="B417" s="32"/>
      <c r="C417" s="33"/>
      <c r="D417" s="32"/>
      <c r="E417" s="35"/>
      <c r="F417" s="32"/>
      <c r="G417" s="35"/>
      <c r="H417" s="37" t="str">
        <f aca="true">IF(B417="","",IF(OR(D417="Done"),"Done",IF(E417="","No Due Date",IF(E417&lt;TODAY(),"Overdue",IF(E417=TODAY(),"Due Today",IF(E417&lt;TODAY()+7,"Due This Week","Later"))))))</f>
        <v/>
      </c>
      <c r="I417" s="40" t="str">
        <f aca="false">IF(AND(B417&lt;&gt;"",D417&lt;&gt;"Done",E417&lt;&gt;""),E417+ROW()/100000,"")</f>
        <v/>
      </c>
    </row>
    <row r="418" customFormat="false" ht="15" hidden="false" customHeight="false" outlineLevel="0" collapsed="false">
      <c r="A418" s="32"/>
      <c r="B418" s="32"/>
      <c r="C418" s="33"/>
      <c r="D418" s="32"/>
      <c r="E418" s="35"/>
      <c r="F418" s="32"/>
      <c r="G418" s="35"/>
      <c r="H418" s="37" t="str">
        <f aca="true">IF(B418="","",IF(OR(D418="Done"),"Done",IF(E418="","No Due Date",IF(E418&lt;TODAY(),"Overdue",IF(E418=TODAY(),"Due Today",IF(E418&lt;TODAY()+7,"Due This Week","Later"))))))</f>
        <v/>
      </c>
      <c r="I418" s="40" t="str">
        <f aca="false">IF(AND(B418&lt;&gt;"",D418&lt;&gt;"Done",E418&lt;&gt;""),E418+ROW()/100000,"")</f>
        <v/>
      </c>
    </row>
    <row r="419" customFormat="false" ht="15" hidden="false" customHeight="false" outlineLevel="0" collapsed="false">
      <c r="A419" s="32"/>
      <c r="B419" s="32"/>
      <c r="C419" s="33"/>
      <c r="D419" s="32"/>
      <c r="E419" s="35"/>
      <c r="F419" s="32"/>
      <c r="G419" s="35"/>
      <c r="H419" s="37" t="str">
        <f aca="true">IF(B419="","",IF(OR(D419="Done"),"Done",IF(E419="","No Due Date",IF(E419&lt;TODAY(),"Overdue",IF(E419=TODAY(),"Due Today",IF(E419&lt;TODAY()+7,"Due This Week","Later"))))))</f>
        <v/>
      </c>
      <c r="I419" s="40" t="str">
        <f aca="false">IF(AND(B419&lt;&gt;"",D419&lt;&gt;"Done",E419&lt;&gt;""),E419+ROW()/100000,"")</f>
        <v/>
      </c>
    </row>
    <row r="420" customFormat="false" ht="15" hidden="false" customHeight="false" outlineLevel="0" collapsed="false">
      <c r="A420" s="32"/>
      <c r="B420" s="32"/>
      <c r="C420" s="33"/>
      <c r="D420" s="32"/>
      <c r="E420" s="35"/>
      <c r="F420" s="32"/>
      <c r="G420" s="35"/>
      <c r="H420" s="37" t="str">
        <f aca="true">IF(B420="","",IF(OR(D420="Done"),"Done",IF(E420="","No Due Date",IF(E420&lt;TODAY(),"Overdue",IF(E420=TODAY(),"Due Today",IF(E420&lt;TODAY()+7,"Due This Week","Later"))))))</f>
        <v/>
      </c>
      <c r="I420" s="40" t="str">
        <f aca="false">IF(AND(B420&lt;&gt;"",D420&lt;&gt;"Done",E420&lt;&gt;""),E420+ROW()/100000,"")</f>
        <v/>
      </c>
    </row>
    <row r="421" customFormat="false" ht="15" hidden="false" customHeight="false" outlineLevel="0" collapsed="false">
      <c r="A421" s="32"/>
      <c r="B421" s="32"/>
      <c r="C421" s="33"/>
      <c r="D421" s="32"/>
      <c r="E421" s="35"/>
      <c r="F421" s="32"/>
      <c r="G421" s="35"/>
      <c r="H421" s="37" t="str">
        <f aca="true">IF(B421="","",IF(OR(D421="Done"),"Done",IF(E421="","No Due Date",IF(E421&lt;TODAY(),"Overdue",IF(E421=TODAY(),"Due Today",IF(E421&lt;TODAY()+7,"Due This Week","Later"))))))</f>
        <v/>
      </c>
      <c r="I421" s="40" t="str">
        <f aca="false">IF(AND(B421&lt;&gt;"",D421&lt;&gt;"Done",E421&lt;&gt;""),E421+ROW()/100000,"")</f>
        <v/>
      </c>
    </row>
    <row r="422" customFormat="false" ht="15" hidden="false" customHeight="false" outlineLevel="0" collapsed="false">
      <c r="A422" s="32"/>
      <c r="B422" s="32"/>
      <c r="C422" s="33"/>
      <c r="D422" s="32"/>
      <c r="E422" s="35"/>
      <c r="F422" s="32"/>
      <c r="G422" s="35"/>
      <c r="H422" s="37" t="str">
        <f aca="true">IF(B422="","",IF(OR(D422="Done"),"Done",IF(E422="","No Due Date",IF(E422&lt;TODAY(),"Overdue",IF(E422=TODAY(),"Due Today",IF(E422&lt;TODAY()+7,"Due This Week","Later"))))))</f>
        <v/>
      </c>
      <c r="I422" s="40" t="str">
        <f aca="false">IF(AND(B422&lt;&gt;"",D422&lt;&gt;"Done",E422&lt;&gt;""),E422+ROW()/100000,"")</f>
        <v/>
      </c>
    </row>
    <row r="423" customFormat="false" ht="15" hidden="false" customHeight="false" outlineLevel="0" collapsed="false">
      <c r="A423" s="32"/>
      <c r="B423" s="32"/>
      <c r="C423" s="33"/>
      <c r="D423" s="32"/>
      <c r="E423" s="35"/>
      <c r="F423" s="32"/>
      <c r="G423" s="35"/>
      <c r="H423" s="37" t="str">
        <f aca="true">IF(B423="","",IF(OR(D423="Done"),"Done",IF(E423="","No Due Date",IF(E423&lt;TODAY(),"Overdue",IF(E423=TODAY(),"Due Today",IF(E423&lt;TODAY()+7,"Due This Week","Later"))))))</f>
        <v/>
      </c>
      <c r="I423" s="40" t="str">
        <f aca="false">IF(AND(B423&lt;&gt;"",D423&lt;&gt;"Done",E423&lt;&gt;""),E423+ROW()/100000,"")</f>
        <v/>
      </c>
    </row>
    <row r="424" customFormat="false" ht="15" hidden="false" customHeight="false" outlineLevel="0" collapsed="false">
      <c r="A424" s="32"/>
      <c r="B424" s="32"/>
      <c r="C424" s="33"/>
      <c r="D424" s="32"/>
      <c r="E424" s="35"/>
      <c r="F424" s="32"/>
      <c r="G424" s="35"/>
      <c r="H424" s="37" t="str">
        <f aca="true">IF(B424="","",IF(OR(D424="Done"),"Done",IF(E424="","No Due Date",IF(E424&lt;TODAY(),"Overdue",IF(E424=TODAY(),"Due Today",IF(E424&lt;TODAY()+7,"Due This Week","Later"))))))</f>
        <v/>
      </c>
      <c r="I424" s="40" t="str">
        <f aca="false">IF(AND(B424&lt;&gt;"",D424&lt;&gt;"Done",E424&lt;&gt;""),E424+ROW()/100000,"")</f>
        <v/>
      </c>
    </row>
    <row r="425" customFormat="false" ht="15" hidden="false" customHeight="false" outlineLevel="0" collapsed="false">
      <c r="A425" s="32"/>
      <c r="B425" s="32"/>
      <c r="C425" s="33"/>
      <c r="D425" s="32"/>
      <c r="E425" s="35"/>
      <c r="F425" s="32"/>
      <c r="G425" s="35"/>
      <c r="H425" s="37" t="str">
        <f aca="true">IF(B425="","",IF(OR(D425="Done"),"Done",IF(E425="","No Due Date",IF(E425&lt;TODAY(),"Overdue",IF(E425=TODAY(),"Due Today",IF(E425&lt;TODAY()+7,"Due This Week","Later"))))))</f>
        <v/>
      </c>
      <c r="I425" s="40" t="str">
        <f aca="false">IF(AND(B425&lt;&gt;"",D425&lt;&gt;"Done",E425&lt;&gt;""),E425+ROW()/100000,"")</f>
        <v/>
      </c>
    </row>
    <row r="426" customFormat="false" ht="15" hidden="false" customHeight="false" outlineLevel="0" collapsed="false">
      <c r="A426" s="32"/>
      <c r="B426" s="32"/>
      <c r="C426" s="33"/>
      <c r="D426" s="32"/>
      <c r="E426" s="35"/>
      <c r="F426" s="32"/>
      <c r="G426" s="35"/>
      <c r="H426" s="37" t="str">
        <f aca="true">IF(B426="","",IF(OR(D426="Done"),"Done",IF(E426="","No Due Date",IF(E426&lt;TODAY(),"Overdue",IF(E426=TODAY(),"Due Today",IF(E426&lt;TODAY()+7,"Due This Week","Later"))))))</f>
        <v/>
      </c>
      <c r="I426" s="40" t="str">
        <f aca="false">IF(AND(B426&lt;&gt;"",D426&lt;&gt;"Done",E426&lt;&gt;""),E426+ROW()/100000,"")</f>
        <v/>
      </c>
    </row>
    <row r="427" customFormat="false" ht="15" hidden="false" customHeight="false" outlineLevel="0" collapsed="false">
      <c r="A427" s="32"/>
      <c r="B427" s="32"/>
      <c r="C427" s="33"/>
      <c r="D427" s="32"/>
      <c r="E427" s="35"/>
      <c r="F427" s="32"/>
      <c r="G427" s="35"/>
      <c r="H427" s="37" t="str">
        <f aca="true">IF(B427="","",IF(OR(D427="Done"),"Done",IF(E427="","No Due Date",IF(E427&lt;TODAY(),"Overdue",IF(E427=TODAY(),"Due Today",IF(E427&lt;TODAY()+7,"Due This Week","Later"))))))</f>
        <v/>
      </c>
      <c r="I427" s="40" t="str">
        <f aca="false">IF(AND(B427&lt;&gt;"",D427&lt;&gt;"Done",E427&lt;&gt;""),E427+ROW()/100000,"")</f>
        <v/>
      </c>
    </row>
    <row r="428" customFormat="false" ht="15" hidden="false" customHeight="false" outlineLevel="0" collapsed="false">
      <c r="A428" s="32"/>
      <c r="B428" s="32"/>
      <c r="C428" s="33"/>
      <c r="D428" s="32"/>
      <c r="E428" s="35"/>
      <c r="F428" s="32"/>
      <c r="G428" s="35"/>
      <c r="H428" s="37" t="str">
        <f aca="true">IF(B428="","",IF(OR(D428="Done"),"Done",IF(E428="","No Due Date",IF(E428&lt;TODAY(),"Overdue",IF(E428=TODAY(),"Due Today",IF(E428&lt;TODAY()+7,"Due This Week","Later"))))))</f>
        <v/>
      </c>
      <c r="I428" s="40" t="str">
        <f aca="false">IF(AND(B428&lt;&gt;"",D428&lt;&gt;"Done",E428&lt;&gt;""),E428+ROW()/100000,"")</f>
        <v/>
      </c>
    </row>
    <row r="429" customFormat="false" ht="15" hidden="false" customHeight="false" outlineLevel="0" collapsed="false">
      <c r="A429" s="32"/>
      <c r="B429" s="32"/>
      <c r="C429" s="33"/>
      <c r="D429" s="32"/>
      <c r="E429" s="35"/>
      <c r="F429" s="32"/>
      <c r="G429" s="35"/>
      <c r="H429" s="37" t="str">
        <f aca="true">IF(B429="","",IF(OR(D429="Done"),"Done",IF(E429="","No Due Date",IF(E429&lt;TODAY(),"Overdue",IF(E429=TODAY(),"Due Today",IF(E429&lt;TODAY()+7,"Due This Week","Later"))))))</f>
        <v/>
      </c>
      <c r="I429" s="40" t="str">
        <f aca="false">IF(AND(B429&lt;&gt;"",D429&lt;&gt;"Done",E429&lt;&gt;""),E429+ROW()/100000,"")</f>
        <v/>
      </c>
    </row>
    <row r="430" customFormat="false" ht="15" hidden="false" customHeight="false" outlineLevel="0" collapsed="false">
      <c r="A430" s="32"/>
      <c r="B430" s="32"/>
      <c r="C430" s="33"/>
      <c r="D430" s="32"/>
      <c r="E430" s="35"/>
      <c r="F430" s="32"/>
      <c r="G430" s="35"/>
      <c r="H430" s="37" t="str">
        <f aca="true">IF(B430="","",IF(OR(D430="Done"),"Done",IF(E430="","No Due Date",IF(E430&lt;TODAY(),"Overdue",IF(E430=TODAY(),"Due Today",IF(E430&lt;TODAY()+7,"Due This Week","Later"))))))</f>
        <v/>
      </c>
      <c r="I430" s="40" t="str">
        <f aca="false">IF(AND(B430&lt;&gt;"",D430&lt;&gt;"Done",E430&lt;&gt;""),E430+ROW()/100000,"")</f>
        <v/>
      </c>
    </row>
    <row r="431" customFormat="false" ht="15" hidden="false" customHeight="false" outlineLevel="0" collapsed="false">
      <c r="A431" s="32"/>
      <c r="B431" s="32"/>
      <c r="C431" s="33"/>
      <c r="D431" s="32"/>
      <c r="E431" s="35"/>
      <c r="F431" s="32"/>
      <c r="G431" s="35"/>
      <c r="H431" s="37" t="str">
        <f aca="true">IF(B431="","",IF(OR(D431="Done"),"Done",IF(E431="","No Due Date",IF(E431&lt;TODAY(),"Overdue",IF(E431=TODAY(),"Due Today",IF(E431&lt;TODAY()+7,"Due This Week","Later"))))))</f>
        <v/>
      </c>
      <c r="I431" s="40" t="str">
        <f aca="false">IF(AND(B431&lt;&gt;"",D431&lt;&gt;"Done",E431&lt;&gt;""),E431+ROW()/100000,"")</f>
        <v/>
      </c>
    </row>
    <row r="432" customFormat="false" ht="15" hidden="false" customHeight="false" outlineLevel="0" collapsed="false">
      <c r="A432" s="32"/>
      <c r="B432" s="32"/>
      <c r="C432" s="33"/>
      <c r="D432" s="32"/>
      <c r="E432" s="35"/>
      <c r="F432" s="32"/>
      <c r="G432" s="35"/>
      <c r="H432" s="37" t="str">
        <f aca="true">IF(B432="","",IF(OR(D432="Done"),"Done",IF(E432="","No Due Date",IF(E432&lt;TODAY(),"Overdue",IF(E432=TODAY(),"Due Today",IF(E432&lt;TODAY()+7,"Due This Week","Later"))))))</f>
        <v/>
      </c>
      <c r="I432" s="40" t="str">
        <f aca="false">IF(AND(B432&lt;&gt;"",D432&lt;&gt;"Done",E432&lt;&gt;""),E432+ROW()/100000,"")</f>
        <v/>
      </c>
    </row>
    <row r="433" customFormat="false" ht="15" hidden="false" customHeight="false" outlineLevel="0" collapsed="false">
      <c r="A433" s="32"/>
      <c r="B433" s="32"/>
      <c r="C433" s="33"/>
      <c r="D433" s="32"/>
      <c r="E433" s="35"/>
      <c r="F433" s="32"/>
      <c r="G433" s="35"/>
      <c r="H433" s="37" t="str">
        <f aca="true">IF(B433="","",IF(OR(D433="Done"),"Done",IF(E433="","No Due Date",IF(E433&lt;TODAY(),"Overdue",IF(E433=TODAY(),"Due Today",IF(E433&lt;TODAY()+7,"Due This Week","Later"))))))</f>
        <v/>
      </c>
      <c r="I433" s="40" t="str">
        <f aca="false">IF(AND(B433&lt;&gt;"",D433&lt;&gt;"Done",E433&lt;&gt;""),E433+ROW()/100000,"")</f>
        <v/>
      </c>
    </row>
    <row r="434" customFormat="false" ht="15" hidden="false" customHeight="false" outlineLevel="0" collapsed="false">
      <c r="A434" s="32"/>
      <c r="B434" s="32"/>
      <c r="C434" s="33"/>
      <c r="D434" s="32"/>
      <c r="E434" s="35"/>
      <c r="F434" s="32"/>
      <c r="G434" s="35"/>
      <c r="H434" s="37" t="str">
        <f aca="true">IF(B434="","",IF(OR(D434="Done"),"Done",IF(E434="","No Due Date",IF(E434&lt;TODAY(),"Overdue",IF(E434=TODAY(),"Due Today",IF(E434&lt;TODAY()+7,"Due This Week","Later"))))))</f>
        <v/>
      </c>
      <c r="I434" s="40" t="str">
        <f aca="false">IF(AND(B434&lt;&gt;"",D434&lt;&gt;"Done",E434&lt;&gt;""),E434+ROW()/100000,"")</f>
        <v/>
      </c>
    </row>
    <row r="435" customFormat="false" ht="15" hidden="false" customHeight="false" outlineLevel="0" collapsed="false">
      <c r="A435" s="32"/>
      <c r="B435" s="32"/>
      <c r="C435" s="33"/>
      <c r="D435" s="32"/>
      <c r="E435" s="35"/>
      <c r="F435" s="32"/>
      <c r="G435" s="35"/>
      <c r="H435" s="37" t="str">
        <f aca="true">IF(B435="","",IF(OR(D435="Done"),"Done",IF(E435="","No Due Date",IF(E435&lt;TODAY(),"Overdue",IF(E435=TODAY(),"Due Today",IF(E435&lt;TODAY()+7,"Due This Week","Later"))))))</f>
        <v/>
      </c>
      <c r="I435" s="40" t="str">
        <f aca="false">IF(AND(B435&lt;&gt;"",D435&lt;&gt;"Done",E435&lt;&gt;""),E435+ROW()/100000,"")</f>
        <v/>
      </c>
    </row>
    <row r="436" customFormat="false" ht="15" hidden="false" customHeight="false" outlineLevel="0" collapsed="false">
      <c r="A436" s="32"/>
      <c r="B436" s="32"/>
      <c r="C436" s="33"/>
      <c r="D436" s="32"/>
      <c r="E436" s="35"/>
      <c r="F436" s="32"/>
      <c r="G436" s="35"/>
      <c r="H436" s="37" t="str">
        <f aca="true">IF(B436="","",IF(OR(D436="Done"),"Done",IF(E436="","No Due Date",IF(E436&lt;TODAY(),"Overdue",IF(E436=TODAY(),"Due Today",IF(E436&lt;TODAY()+7,"Due This Week","Later"))))))</f>
        <v/>
      </c>
      <c r="I436" s="40" t="str">
        <f aca="false">IF(AND(B436&lt;&gt;"",D436&lt;&gt;"Done",E436&lt;&gt;""),E436+ROW()/100000,"")</f>
        <v/>
      </c>
    </row>
    <row r="437" customFormat="false" ht="15" hidden="false" customHeight="false" outlineLevel="0" collapsed="false">
      <c r="A437" s="32"/>
      <c r="B437" s="32"/>
      <c r="C437" s="33"/>
      <c r="D437" s="32"/>
      <c r="E437" s="35"/>
      <c r="F437" s="32"/>
      <c r="G437" s="35"/>
      <c r="H437" s="37" t="str">
        <f aca="true">IF(B437="","",IF(OR(D437="Done"),"Done",IF(E437="","No Due Date",IF(E437&lt;TODAY(),"Overdue",IF(E437=TODAY(),"Due Today",IF(E437&lt;TODAY()+7,"Due This Week","Later"))))))</f>
        <v/>
      </c>
      <c r="I437" s="40" t="str">
        <f aca="false">IF(AND(B437&lt;&gt;"",D437&lt;&gt;"Done",E437&lt;&gt;""),E437+ROW()/100000,"")</f>
        <v/>
      </c>
    </row>
    <row r="438" customFormat="false" ht="15" hidden="false" customHeight="false" outlineLevel="0" collapsed="false">
      <c r="A438" s="32"/>
      <c r="B438" s="32"/>
      <c r="C438" s="33"/>
      <c r="D438" s="32"/>
      <c r="E438" s="35"/>
      <c r="F438" s="32"/>
      <c r="G438" s="35"/>
      <c r="H438" s="37" t="str">
        <f aca="true">IF(B438="","",IF(OR(D438="Done"),"Done",IF(E438="","No Due Date",IF(E438&lt;TODAY(),"Overdue",IF(E438=TODAY(),"Due Today",IF(E438&lt;TODAY()+7,"Due This Week","Later"))))))</f>
        <v/>
      </c>
      <c r="I438" s="40" t="str">
        <f aca="false">IF(AND(B438&lt;&gt;"",D438&lt;&gt;"Done",E438&lt;&gt;""),E438+ROW()/100000,"")</f>
        <v/>
      </c>
    </row>
    <row r="439" customFormat="false" ht="15" hidden="false" customHeight="false" outlineLevel="0" collapsed="false">
      <c r="A439" s="32"/>
      <c r="B439" s="32"/>
      <c r="C439" s="33"/>
      <c r="D439" s="32"/>
      <c r="E439" s="35"/>
      <c r="F439" s="32"/>
      <c r="G439" s="35"/>
      <c r="H439" s="37" t="str">
        <f aca="true">IF(B439="","",IF(OR(D439="Done"),"Done",IF(E439="","No Due Date",IF(E439&lt;TODAY(),"Overdue",IF(E439=TODAY(),"Due Today",IF(E439&lt;TODAY()+7,"Due This Week","Later"))))))</f>
        <v/>
      </c>
      <c r="I439" s="40" t="str">
        <f aca="false">IF(AND(B439&lt;&gt;"",D439&lt;&gt;"Done",E439&lt;&gt;""),E439+ROW()/100000,"")</f>
        <v/>
      </c>
    </row>
    <row r="440" customFormat="false" ht="15" hidden="false" customHeight="false" outlineLevel="0" collapsed="false">
      <c r="A440" s="32"/>
      <c r="B440" s="32"/>
      <c r="C440" s="33"/>
      <c r="D440" s="32"/>
      <c r="E440" s="35"/>
      <c r="F440" s="32"/>
      <c r="G440" s="35"/>
      <c r="H440" s="37" t="str">
        <f aca="true">IF(B440="","",IF(OR(D440="Done"),"Done",IF(E440="","No Due Date",IF(E440&lt;TODAY(),"Overdue",IF(E440=TODAY(),"Due Today",IF(E440&lt;TODAY()+7,"Due This Week","Later"))))))</f>
        <v/>
      </c>
      <c r="I440" s="40" t="str">
        <f aca="false">IF(AND(B440&lt;&gt;"",D440&lt;&gt;"Done",E440&lt;&gt;""),E440+ROW()/100000,"")</f>
        <v/>
      </c>
    </row>
    <row r="441" customFormat="false" ht="15" hidden="false" customHeight="false" outlineLevel="0" collapsed="false">
      <c r="A441" s="32"/>
      <c r="B441" s="32"/>
      <c r="C441" s="33"/>
      <c r="D441" s="32"/>
      <c r="E441" s="35"/>
      <c r="F441" s="32"/>
      <c r="G441" s="35"/>
      <c r="H441" s="37" t="str">
        <f aca="true">IF(B441="","",IF(OR(D441="Done"),"Done",IF(E441="","No Due Date",IF(E441&lt;TODAY(),"Overdue",IF(E441=TODAY(),"Due Today",IF(E441&lt;TODAY()+7,"Due This Week","Later"))))))</f>
        <v/>
      </c>
      <c r="I441" s="40" t="str">
        <f aca="false">IF(AND(B441&lt;&gt;"",D441&lt;&gt;"Done",E441&lt;&gt;""),E441+ROW()/100000,"")</f>
        <v/>
      </c>
    </row>
    <row r="442" customFormat="false" ht="15" hidden="false" customHeight="false" outlineLevel="0" collapsed="false">
      <c r="A442" s="32"/>
      <c r="B442" s="32"/>
      <c r="C442" s="33"/>
      <c r="D442" s="32"/>
      <c r="E442" s="35"/>
      <c r="F442" s="32"/>
      <c r="G442" s="35"/>
      <c r="H442" s="37" t="str">
        <f aca="true">IF(B442="","",IF(OR(D442="Done"),"Done",IF(E442="","No Due Date",IF(E442&lt;TODAY(),"Overdue",IF(E442=TODAY(),"Due Today",IF(E442&lt;TODAY()+7,"Due This Week","Later"))))))</f>
        <v/>
      </c>
      <c r="I442" s="40" t="str">
        <f aca="false">IF(AND(B442&lt;&gt;"",D442&lt;&gt;"Done",E442&lt;&gt;""),E442+ROW()/100000,"")</f>
        <v/>
      </c>
    </row>
    <row r="443" customFormat="false" ht="15" hidden="false" customHeight="false" outlineLevel="0" collapsed="false">
      <c r="A443" s="32"/>
      <c r="B443" s="32"/>
      <c r="C443" s="33"/>
      <c r="D443" s="32"/>
      <c r="E443" s="35"/>
      <c r="F443" s="32"/>
      <c r="G443" s="35"/>
      <c r="H443" s="37" t="str">
        <f aca="true">IF(B443="","",IF(OR(D443="Done"),"Done",IF(E443="","No Due Date",IF(E443&lt;TODAY(),"Overdue",IF(E443=TODAY(),"Due Today",IF(E443&lt;TODAY()+7,"Due This Week","Later"))))))</f>
        <v/>
      </c>
      <c r="I443" s="40" t="str">
        <f aca="false">IF(AND(B443&lt;&gt;"",D443&lt;&gt;"Done",E443&lt;&gt;""),E443+ROW()/100000,"")</f>
        <v/>
      </c>
    </row>
    <row r="444" customFormat="false" ht="15" hidden="false" customHeight="false" outlineLevel="0" collapsed="false">
      <c r="A444" s="32"/>
      <c r="B444" s="32"/>
      <c r="C444" s="33"/>
      <c r="D444" s="32"/>
      <c r="E444" s="35"/>
      <c r="F444" s="32"/>
      <c r="G444" s="35"/>
      <c r="H444" s="37" t="str">
        <f aca="true">IF(B444="","",IF(OR(D444="Done"),"Done",IF(E444="","No Due Date",IF(E444&lt;TODAY(),"Overdue",IF(E444=TODAY(),"Due Today",IF(E444&lt;TODAY()+7,"Due This Week","Later"))))))</f>
        <v/>
      </c>
      <c r="I444" s="40" t="str">
        <f aca="false">IF(AND(B444&lt;&gt;"",D444&lt;&gt;"Done",E444&lt;&gt;""),E444+ROW()/100000,"")</f>
        <v/>
      </c>
    </row>
    <row r="445" customFormat="false" ht="15" hidden="false" customHeight="false" outlineLevel="0" collapsed="false">
      <c r="A445" s="32"/>
      <c r="B445" s="32"/>
      <c r="C445" s="33"/>
      <c r="D445" s="32"/>
      <c r="E445" s="35"/>
      <c r="F445" s="32"/>
      <c r="G445" s="35"/>
      <c r="H445" s="37" t="str">
        <f aca="true">IF(B445="","",IF(OR(D445="Done"),"Done",IF(E445="","No Due Date",IF(E445&lt;TODAY(),"Overdue",IF(E445=TODAY(),"Due Today",IF(E445&lt;TODAY()+7,"Due This Week","Later"))))))</f>
        <v/>
      </c>
      <c r="I445" s="40" t="str">
        <f aca="false">IF(AND(B445&lt;&gt;"",D445&lt;&gt;"Done",E445&lt;&gt;""),E445+ROW()/100000,"")</f>
        <v/>
      </c>
    </row>
    <row r="446" customFormat="false" ht="15" hidden="false" customHeight="false" outlineLevel="0" collapsed="false">
      <c r="A446" s="32"/>
      <c r="B446" s="32"/>
      <c r="C446" s="33"/>
      <c r="D446" s="32"/>
      <c r="E446" s="35"/>
      <c r="F446" s="32"/>
      <c r="G446" s="35"/>
      <c r="H446" s="37" t="str">
        <f aca="true">IF(B446="","",IF(OR(D446="Done"),"Done",IF(E446="","No Due Date",IF(E446&lt;TODAY(),"Overdue",IF(E446=TODAY(),"Due Today",IF(E446&lt;TODAY()+7,"Due This Week","Later"))))))</f>
        <v/>
      </c>
      <c r="I446" s="40" t="str">
        <f aca="false">IF(AND(B446&lt;&gt;"",D446&lt;&gt;"Done",E446&lt;&gt;""),E446+ROW()/100000,"")</f>
        <v/>
      </c>
    </row>
    <row r="447" customFormat="false" ht="15" hidden="false" customHeight="false" outlineLevel="0" collapsed="false">
      <c r="A447" s="32"/>
      <c r="B447" s="32"/>
      <c r="C447" s="33"/>
      <c r="D447" s="32"/>
      <c r="E447" s="35"/>
      <c r="F447" s="32"/>
      <c r="G447" s="35"/>
      <c r="H447" s="37" t="str">
        <f aca="true">IF(B447="","",IF(OR(D447="Done"),"Done",IF(E447="","No Due Date",IF(E447&lt;TODAY(),"Overdue",IF(E447=TODAY(),"Due Today",IF(E447&lt;TODAY()+7,"Due This Week","Later"))))))</f>
        <v/>
      </c>
      <c r="I447" s="40" t="str">
        <f aca="false">IF(AND(B447&lt;&gt;"",D447&lt;&gt;"Done",E447&lt;&gt;""),E447+ROW()/100000,"")</f>
        <v/>
      </c>
    </row>
    <row r="448" customFormat="false" ht="15" hidden="false" customHeight="false" outlineLevel="0" collapsed="false">
      <c r="A448" s="32"/>
      <c r="B448" s="32"/>
      <c r="C448" s="33"/>
      <c r="D448" s="32"/>
      <c r="E448" s="35"/>
      <c r="F448" s="32"/>
      <c r="G448" s="35"/>
      <c r="H448" s="37" t="str">
        <f aca="true">IF(B448="","",IF(OR(D448="Done"),"Done",IF(E448="","No Due Date",IF(E448&lt;TODAY(),"Overdue",IF(E448=TODAY(),"Due Today",IF(E448&lt;TODAY()+7,"Due This Week","Later"))))))</f>
        <v/>
      </c>
      <c r="I448" s="40" t="str">
        <f aca="false">IF(AND(B448&lt;&gt;"",D448&lt;&gt;"Done",E448&lt;&gt;""),E448+ROW()/100000,"")</f>
        <v/>
      </c>
    </row>
    <row r="449" customFormat="false" ht="15" hidden="false" customHeight="false" outlineLevel="0" collapsed="false">
      <c r="A449" s="32"/>
      <c r="B449" s="32"/>
      <c r="C449" s="33"/>
      <c r="D449" s="32"/>
      <c r="E449" s="35"/>
      <c r="F449" s="32"/>
      <c r="G449" s="35"/>
      <c r="H449" s="37" t="str">
        <f aca="true">IF(B449="","",IF(OR(D449="Done"),"Done",IF(E449="","No Due Date",IF(E449&lt;TODAY(),"Overdue",IF(E449=TODAY(),"Due Today",IF(E449&lt;TODAY()+7,"Due This Week","Later"))))))</f>
        <v/>
      </c>
      <c r="I449" s="40" t="str">
        <f aca="false">IF(AND(B449&lt;&gt;"",D449&lt;&gt;"Done",E449&lt;&gt;""),E449+ROW()/100000,"")</f>
        <v/>
      </c>
    </row>
    <row r="450" customFormat="false" ht="15" hidden="false" customHeight="false" outlineLevel="0" collapsed="false">
      <c r="A450" s="32"/>
      <c r="B450" s="32"/>
      <c r="C450" s="33"/>
      <c r="D450" s="32"/>
      <c r="E450" s="35"/>
      <c r="F450" s="32"/>
      <c r="G450" s="35"/>
      <c r="H450" s="37" t="str">
        <f aca="true">IF(B450="","",IF(OR(D450="Done"),"Done",IF(E450="","No Due Date",IF(E450&lt;TODAY(),"Overdue",IF(E450=TODAY(),"Due Today",IF(E450&lt;TODAY()+7,"Due This Week","Later"))))))</f>
        <v/>
      </c>
      <c r="I450" s="40" t="str">
        <f aca="false">IF(AND(B450&lt;&gt;"",D450&lt;&gt;"Done",E450&lt;&gt;""),E450+ROW()/100000,"")</f>
        <v/>
      </c>
    </row>
    <row r="451" customFormat="false" ht="15" hidden="false" customHeight="false" outlineLevel="0" collapsed="false">
      <c r="A451" s="32"/>
      <c r="B451" s="32"/>
      <c r="C451" s="33"/>
      <c r="D451" s="32"/>
      <c r="E451" s="35"/>
      <c r="F451" s="32"/>
      <c r="G451" s="35"/>
      <c r="H451" s="37" t="str">
        <f aca="true">IF(B451="","",IF(OR(D451="Done"),"Done",IF(E451="","No Due Date",IF(E451&lt;TODAY(),"Overdue",IF(E451=TODAY(),"Due Today",IF(E451&lt;TODAY()+7,"Due This Week","Later"))))))</f>
        <v/>
      </c>
      <c r="I451" s="40" t="str">
        <f aca="false">IF(AND(B451&lt;&gt;"",D451&lt;&gt;"Done",E451&lt;&gt;""),E451+ROW()/100000,"")</f>
        <v/>
      </c>
    </row>
    <row r="452" customFormat="false" ht="15" hidden="false" customHeight="false" outlineLevel="0" collapsed="false">
      <c r="A452" s="32"/>
      <c r="B452" s="32"/>
      <c r="C452" s="33"/>
      <c r="D452" s="32"/>
      <c r="E452" s="35"/>
      <c r="F452" s="32"/>
      <c r="G452" s="35"/>
      <c r="H452" s="37" t="str">
        <f aca="true">IF(B452="","",IF(OR(D452="Done"),"Done",IF(E452="","No Due Date",IF(E452&lt;TODAY(),"Overdue",IF(E452=TODAY(),"Due Today",IF(E452&lt;TODAY()+7,"Due This Week","Later"))))))</f>
        <v/>
      </c>
      <c r="I452" s="40" t="str">
        <f aca="false">IF(AND(B452&lt;&gt;"",D452&lt;&gt;"Done",E452&lt;&gt;""),E452+ROW()/100000,"")</f>
        <v/>
      </c>
    </row>
    <row r="453" customFormat="false" ht="15" hidden="false" customHeight="false" outlineLevel="0" collapsed="false">
      <c r="A453" s="32"/>
      <c r="B453" s="32"/>
      <c r="C453" s="33"/>
      <c r="D453" s="32"/>
      <c r="E453" s="35"/>
      <c r="F453" s="32"/>
      <c r="G453" s="35"/>
      <c r="H453" s="37" t="str">
        <f aca="true">IF(B453="","",IF(OR(D453="Done"),"Done",IF(E453="","No Due Date",IF(E453&lt;TODAY(),"Overdue",IF(E453=TODAY(),"Due Today",IF(E453&lt;TODAY()+7,"Due This Week","Later"))))))</f>
        <v/>
      </c>
      <c r="I453" s="40" t="str">
        <f aca="false">IF(AND(B453&lt;&gt;"",D453&lt;&gt;"Done",E453&lt;&gt;""),E453+ROW()/100000,"")</f>
        <v/>
      </c>
    </row>
    <row r="454" customFormat="false" ht="15" hidden="false" customHeight="false" outlineLevel="0" collapsed="false">
      <c r="A454" s="32"/>
      <c r="B454" s="32"/>
      <c r="C454" s="33"/>
      <c r="D454" s="32"/>
      <c r="E454" s="35"/>
      <c r="F454" s="32"/>
      <c r="G454" s="35"/>
      <c r="H454" s="37" t="str">
        <f aca="true">IF(B454="","",IF(OR(D454="Done"),"Done",IF(E454="","No Due Date",IF(E454&lt;TODAY(),"Overdue",IF(E454=TODAY(),"Due Today",IF(E454&lt;TODAY()+7,"Due This Week","Later"))))))</f>
        <v/>
      </c>
      <c r="I454" s="40" t="str">
        <f aca="false">IF(AND(B454&lt;&gt;"",D454&lt;&gt;"Done",E454&lt;&gt;""),E454+ROW()/100000,"")</f>
        <v/>
      </c>
    </row>
    <row r="455" customFormat="false" ht="15" hidden="false" customHeight="false" outlineLevel="0" collapsed="false">
      <c r="A455" s="32"/>
      <c r="B455" s="32"/>
      <c r="C455" s="33"/>
      <c r="D455" s="32"/>
      <c r="E455" s="35"/>
      <c r="F455" s="32"/>
      <c r="G455" s="35"/>
      <c r="H455" s="37" t="str">
        <f aca="true">IF(B455="","",IF(OR(D455="Done"),"Done",IF(E455="","No Due Date",IF(E455&lt;TODAY(),"Overdue",IF(E455=TODAY(),"Due Today",IF(E455&lt;TODAY()+7,"Due This Week","Later"))))))</f>
        <v/>
      </c>
      <c r="I455" s="40" t="str">
        <f aca="false">IF(AND(B455&lt;&gt;"",D455&lt;&gt;"Done",E455&lt;&gt;""),E455+ROW()/100000,"")</f>
        <v/>
      </c>
    </row>
    <row r="456" customFormat="false" ht="15" hidden="false" customHeight="false" outlineLevel="0" collapsed="false">
      <c r="A456" s="32"/>
      <c r="B456" s="32"/>
      <c r="C456" s="33"/>
      <c r="D456" s="32"/>
      <c r="E456" s="35"/>
      <c r="F456" s="32"/>
      <c r="G456" s="35"/>
      <c r="H456" s="37" t="str">
        <f aca="true">IF(B456="","",IF(OR(D456="Done"),"Done",IF(E456="","No Due Date",IF(E456&lt;TODAY(),"Overdue",IF(E456=TODAY(),"Due Today",IF(E456&lt;TODAY()+7,"Due This Week","Later"))))))</f>
        <v/>
      </c>
      <c r="I456" s="40" t="str">
        <f aca="false">IF(AND(B456&lt;&gt;"",D456&lt;&gt;"Done",E456&lt;&gt;""),E456+ROW()/100000,"")</f>
        <v/>
      </c>
    </row>
    <row r="457" customFormat="false" ht="15" hidden="false" customHeight="false" outlineLevel="0" collapsed="false">
      <c r="A457" s="32"/>
      <c r="B457" s="32"/>
      <c r="C457" s="33"/>
      <c r="D457" s="32"/>
      <c r="E457" s="35"/>
      <c r="F457" s="32"/>
      <c r="G457" s="35"/>
      <c r="H457" s="37" t="str">
        <f aca="true">IF(B457="","",IF(OR(D457="Done"),"Done",IF(E457="","No Due Date",IF(E457&lt;TODAY(),"Overdue",IF(E457=TODAY(),"Due Today",IF(E457&lt;TODAY()+7,"Due This Week","Later"))))))</f>
        <v/>
      </c>
      <c r="I457" s="40" t="str">
        <f aca="false">IF(AND(B457&lt;&gt;"",D457&lt;&gt;"Done",E457&lt;&gt;""),E457+ROW()/100000,"")</f>
        <v/>
      </c>
    </row>
    <row r="458" customFormat="false" ht="15" hidden="false" customHeight="false" outlineLevel="0" collapsed="false">
      <c r="A458" s="32"/>
      <c r="B458" s="32"/>
      <c r="C458" s="33"/>
      <c r="D458" s="32"/>
      <c r="E458" s="35"/>
      <c r="F458" s="32"/>
      <c r="G458" s="35"/>
      <c r="H458" s="37" t="str">
        <f aca="true">IF(B458="","",IF(OR(D458="Done"),"Done",IF(E458="","No Due Date",IF(E458&lt;TODAY(),"Overdue",IF(E458=TODAY(),"Due Today",IF(E458&lt;TODAY()+7,"Due This Week","Later"))))))</f>
        <v/>
      </c>
      <c r="I458" s="40" t="str">
        <f aca="false">IF(AND(B458&lt;&gt;"",D458&lt;&gt;"Done",E458&lt;&gt;""),E458+ROW()/100000,"")</f>
        <v/>
      </c>
    </row>
    <row r="459" customFormat="false" ht="15" hidden="false" customHeight="false" outlineLevel="0" collapsed="false">
      <c r="A459" s="32"/>
      <c r="B459" s="32"/>
      <c r="C459" s="33"/>
      <c r="D459" s="32"/>
      <c r="E459" s="35"/>
      <c r="F459" s="32"/>
      <c r="G459" s="35"/>
      <c r="H459" s="37" t="str">
        <f aca="true">IF(B459="","",IF(OR(D459="Done"),"Done",IF(E459="","No Due Date",IF(E459&lt;TODAY(),"Overdue",IF(E459=TODAY(),"Due Today",IF(E459&lt;TODAY()+7,"Due This Week","Later"))))))</f>
        <v/>
      </c>
      <c r="I459" s="40" t="str">
        <f aca="false">IF(AND(B459&lt;&gt;"",D459&lt;&gt;"Done",E459&lt;&gt;""),E459+ROW()/100000,"")</f>
        <v/>
      </c>
    </row>
    <row r="460" customFormat="false" ht="15" hidden="false" customHeight="false" outlineLevel="0" collapsed="false">
      <c r="A460" s="32"/>
      <c r="B460" s="32"/>
      <c r="C460" s="33"/>
      <c r="D460" s="32"/>
      <c r="E460" s="35"/>
      <c r="F460" s="32"/>
      <c r="G460" s="35"/>
      <c r="H460" s="37" t="str">
        <f aca="true">IF(B460="","",IF(OR(D460="Done"),"Done",IF(E460="","No Due Date",IF(E460&lt;TODAY(),"Overdue",IF(E460=TODAY(),"Due Today",IF(E460&lt;TODAY()+7,"Due This Week","Later"))))))</f>
        <v/>
      </c>
      <c r="I460" s="40" t="str">
        <f aca="false">IF(AND(B460&lt;&gt;"",D460&lt;&gt;"Done",E460&lt;&gt;""),E460+ROW()/100000,"")</f>
        <v/>
      </c>
    </row>
    <row r="461" customFormat="false" ht="15" hidden="false" customHeight="false" outlineLevel="0" collapsed="false">
      <c r="A461" s="32"/>
      <c r="B461" s="32"/>
      <c r="C461" s="33"/>
      <c r="D461" s="32"/>
      <c r="E461" s="35"/>
      <c r="F461" s="32"/>
      <c r="G461" s="35"/>
      <c r="H461" s="37" t="str">
        <f aca="true">IF(B461="","",IF(OR(D461="Done"),"Done",IF(E461="","No Due Date",IF(E461&lt;TODAY(),"Overdue",IF(E461=TODAY(),"Due Today",IF(E461&lt;TODAY()+7,"Due This Week","Later"))))))</f>
        <v/>
      </c>
      <c r="I461" s="40" t="str">
        <f aca="false">IF(AND(B461&lt;&gt;"",D461&lt;&gt;"Done",E461&lt;&gt;""),E461+ROW()/100000,"")</f>
        <v/>
      </c>
    </row>
    <row r="462" customFormat="false" ht="15" hidden="false" customHeight="false" outlineLevel="0" collapsed="false">
      <c r="A462" s="32"/>
      <c r="B462" s="32"/>
      <c r="C462" s="33"/>
      <c r="D462" s="32"/>
      <c r="E462" s="35"/>
      <c r="F462" s="32"/>
      <c r="G462" s="35"/>
      <c r="H462" s="37" t="str">
        <f aca="true">IF(B462="","",IF(OR(D462="Done"),"Done",IF(E462="","No Due Date",IF(E462&lt;TODAY(),"Overdue",IF(E462=TODAY(),"Due Today",IF(E462&lt;TODAY()+7,"Due This Week","Later"))))))</f>
        <v/>
      </c>
      <c r="I462" s="40" t="str">
        <f aca="false">IF(AND(B462&lt;&gt;"",D462&lt;&gt;"Done",E462&lt;&gt;""),E462+ROW()/100000,"")</f>
        <v/>
      </c>
    </row>
    <row r="463" customFormat="false" ht="15" hidden="false" customHeight="false" outlineLevel="0" collapsed="false">
      <c r="A463" s="32"/>
      <c r="B463" s="32"/>
      <c r="C463" s="33"/>
      <c r="D463" s="32"/>
      <c r="E463" s="35"/>
      <c r="F463" s="32"/>
      <c r="G463" s="35"/>
      <c r="H463" s="37" t="str">
        <f aca="true">IF(B463="","",IF(OR(D463="Done"),"Done",IF(E463="","No Due Date",IF(E463&lt;TODAY(),"Overdue",IF(E463=TODAY(),"Due Today",IF(E463&lt;TODAY()+7,"Due This Week","Later"))))))</f>
        <v/>
      </c>
      <c r="I463" s="40" t="str">
        <f aca="false">IF(AND(B463&lt;&gt;"",D463&lt;&gt;"Done",E463&lt;&gt;""),E463+ROW()/100000,"")</f>
        <v/>
      </c>
    </row>
    <row r="464" customFormat="false" ht="15" hidden="false" customHeight="false" outlineLevel="0" collapsed="false">
      <c r="A464" s="32"/>
      <c r="B464" s="32"/>
      <c r="C464" s="33"/>
      <c r="D464" s="32"/>
      <c r="E464" s="35"/>
      <c r="F464" s="32"/>
      <c r="G464" s="35"/>
      <c r="H464" s="37" t="str">
        <f aca="true">IF(B464="","",IF(OR(D464="Done"),"Done",IF(E464="","No Due Date",IF(E464&lt;TODAY(),"Overdue",IF(E464=TODAY(),"Due Today",IF(E464&lt;TODAY()+7,"Due This Week","Later"))))))</f>
        <v/>
      </c>
      <c r="I464" s="40" t="str">
        <f aca="false">IF(AND(B464&lt;&gt;"",D464&lt;&gt;"Done",E464&lt;&gt;""),E464+ROW()/100000,"")</f>
        <v/>
      </c>
    </row>
    <row r="465" customFormat="false" ht="15" hidden="false" customHeight="false" outlineLevel="0" collapsed="false">
      <c r="A465" s="32"/>
      <c r="B465" s="32"/>
      <c r="C465" s="33"/>
      <c r="D465" s="32"/>
      <c r="E465" s="35"/>
      <c r="F465" s="32"/>
      <c r="G465" s="35"/>
      <c r="H465" s="37" t="str">
        <f aca="true">IF(B465="","",IF(OR(D465="Done"),"Done",IF(E465="","No Due Date",IF(E465&lt;TODAY(),"Overdue",IF(E465=TODAY(),"Due Today",IF(E465&lt;TODAY()+7,"Due This Week","Later"))))))</f>
        <v/>
      </c>
      <c r="I465" s="40" t="str">
        <f aca="false">IF(AND(B465&lt;&gt;"",D465&lt;&gt;"Done",E465&lt;&gt;""),E465+ROW()/100000,"")</f>
        <v/>
      </c>
    </row>
    <row r="466" customFormat="false" ht="15" hidden="false" customHeight="false" outlineLevel="0" collapsed="false">
      <c r="A466" s="32"/>
      <c r="B466" s="32"/>
      <c r="C466" s="33"/>
      <c r="D466" s="32"/>
      <c r="E466" s="35"/>
      <c r="F466" s="32"/>
      <c r="G466" s="35"/>
      <c r="H466" s="37" t="str">
        <f aca="true">IF(B466="","",IF(OR(D466="Done"),"Done",IF(E466="","No Due Date",IF(E466&lt;TODAY(),"Overdue",IF(E466=TODAY(),"Due Today",IF(E466&lt;TODAY()+7,"Due This Week","Later"))))))</f>
        <v/>
      </c>
      <c r="I466" s="40" t="str">
        <f aca="false">IF(AND(B466&lt;&gt;"",D466&lt;&gt;"Done",E466&lt;&gt;""),E466+ROW()/100000,"")</f>
        <v/>
      </c>
    </row>
    <row r="467" customFormat="false" ht="15" hidden="false" customHeight="false" outlineLevel="0" collapsed="false">
      <c r="A467" s="32"/>
      <c r="B467" s="32"/>
      <c r="C467" s="33"/>
      <c r="D467" s="32"/>
      <c r="E467" s="35"/>
      <c r="F467" s="32"/>
      <c r="G467" s="35"/>
      <c r="H467" s="37" t="str">
        <f aca="true">IF(B467="","",IF(OR(D467="Done"),"Done",IF(E467="","No Due Date",IF(E467&lt;TODAY(),"Overdue",IF(E467=TODAY(),"Due Today",IF(E467&lt;TODAY()+7,"Due This Week","Later"))))))</f>
        <v/>
      </c>
      <c r="I467" s="40" t="str">
        <f aca="false">IF(AND(B467&lt;&gt;"",D467&lt;&gt;"Done",E467&lt;&gt;""),E467+ROW()/100000,"")</f>
        <v/>
      </c>
    </row>
    <row r="468" customFormat="false" ht="15" hidden="false" customHeight="false" outlineLevel="0" collapsed="false">
      <c r="A468" s="32"/>
      <c r="B468" s="32"/>
      <c r="C468" s="33"/>
      <c r="D468" s="32"/>
      <c r="E468" s="35"/>
      <c r="F468" s="32"/>
      <c r="G468" s="35"/>
      <c r="H468" s="37" t="str">
        <f aca="true">IF(B468="","",IF(OR(D468="Done"),"Done",IF(E468="","No Due Date",IF(E468&lt;TODAY(),"Overdue",IF(E468=TODAY(),"Due Today",IF(E468&lt;TODAY()+7,"Due This Week","Later"))))))</f>
        <v/>
      </c>
      <c r="I468" s="40" t="str">
        <f aca="false">IF(AND(B468&lt;&gt;"",D468&lt;&gt;"Done",E468&lt;&gt;""),E468+ROW()/100000,"")</f>
        <v/>
      </c>
    </row>
    <row r="469" customFormat="false" ht="15" hidden="false" customHeight="false" outlineLevel="0" collapsed="false">
      <c r="A469" s="32"/>
      <c r="B469" s="32"/>
      <c r="C469" s="33"/>
      <c r="D469" s="32"/>
      <c r="E469" s="35"/>
      <c r="F469" s="32"/>
      <c r="G469" s="35"/>
      <c r="H469" s="37" t="str">
        <f aca="true">IF(B469="","",IF(OR(D469="Done"),"Done",IF(E469="","No Due Date",IF(E469&lt;TODAY(),"Overdue",IF(E469=TODAY(),"Due Today",IF(E469&lt;TODAY()+7,"Due This Week","Later"))))))</f>
        <v/>
      </c>
      <c r="I469" s="40" t="str">
        <f aca="false">IF(AND(B469&lt;&gt;"",D469&lt;&gt;"Done",E469&lt;&gt;""),E469+ROW()/100000,"")</f>
        <v/>
      </c>
    </row>
    <row r="470" customFormat="false" ht="15" hidden="false" customHeight="false" outlineLevel="0" collapsed="false">
      <c r="A470" s="32"/>
      <c r="B470" s="32"/>
      <c r="C470" s="33"/>
      <c r="D470" s="32"/>
      <c r="E470" s="35"/>
      <c r="F470" s="32"/>
      <c r="G470" s="35"/>
      <c r="H470" s="37" t="str">
        <f aca="true">IF(B470="","",IF(OR(D470="Done"),"Done",IF(E470="","No Due Date",IF(E470&lt;TODAY(),"Overdue",IF(E470=TODAY(),"Due Today",IF(E470&lt;TODAY()+7,"Due This Week","Later"))))))</f>
        <v/>
      </c>
      <c r="I470" s="40" t="str">
        <f aca="false">IF(AND(B470&lt;&gt;"",D470&lt;&gt;"Done",E470&lt;&gt;""),E470+ROW()/100000,"")</f>
        <v/>
      </c>
    </row>
    <row r="471" customFormat="false" ht="15" hidden="false" customHeight="false" outlineLevel="0" collapsed="false">
      <c r="A471" s="32"/>
      <c r="B471" s="32"/>
      <c r="C471" s="33"/>
      <c r="D471" s="32"/>
      <c r="E471" s="35"/>
      <c r="F471" s="32"/>
      <c r="G471" s="35"/>
      <c r="H471" s="37" t="str">
        <f aca="true">IF(B471="","",IF(OR(D471="Done"),"Done",IF(E471="","No Due Date",IF(E471&lt;TODAY(),"Overdue",IF(E471=TODAY(),"Due Today",IF(E471&lt;TODAY()+7,"Due This Week","Later"))))))</f>
        <v/>
      </c>
      <c r="I471" s="40" t="str">
        <f aca="false">IF(AND(B471&lt;&gt;"",D471&lt;&gt;"Done",E471&lt;&gt;""),E471+ROW()/100000,"")</f>
        <v/>
      </c>
    </row>
    <row r="472" customFormat="false" ht="15" hidden="false" customHeight="false" outlineLevel="0" collapsed="false">
      <c r="A472" s="32"/>
      <c r="B472" s="32"/>
      <c r="C472" s="33"/>
      <c r="D472" s="32"/>
      <c r="E472" s="35"/>
      <c r="F472" s="32"/>
      <c r="G472" s="35"/>
      <c r="H472" s="37" t="str">
        <f aca="true">IF(B472="","",IF(OR(D472="Done"),"Done",IF(E472="","No Due Date",IF(E472&lt;TODAY(),"Overdue",IF(E472=TODAY(),"Due Today",IF(E472&lt;TODAY()+7,"Due This Week","Later"))))))</f>
        <v/>
      </c>
      <c r="I472" s="40" t="str">
        <f aca="false">IF(AND(B472&lt;&gt;"",D472&lt;&gt;"Done",E472&lt;&gt;""),E472+ROW()/100000,"")</f>
        <v/>
      </c>
    </row>
    <row r="473" customFormat="false" ht="15" hidden="false" customHeight="false" outlineLevel="0" collapsed="false">
      <c r="A473" s="32"/>
      <c r="B473" s="32"/>
      <c r="C473" s="33"/>
      <c r="D473" s="32"/>
      <c r="E473" s="35"/>
      <c r="F473" s="32"/>
      <c r="G473" s="35"/>
      <c r="H473" s="37" t="str">
        <f aca="true">IF(B473="","",IF(OR(D473="Done"),"Done",IF(E473="","No Due Date",IF(E473&lt;TODAY(),"Overdue",IF(E473=TODAY(),"Due Today",IF(E473&lt;TODAY()+7,"Due This Week","Later"))))))</f>
        <v/>
      </c>
      <c r="I473" s="40" t="str">
        <f aca="false">IF(AND(B473&lt;&gt;"",D473&lt;&gt;"Done",E473&lt;&gt;""),E473+ROW()/100000,"")</f>
        <v/>
      </c>
    </row>
    <row r="474" customFormat="false" ht="15" hidden="false" customHeight="false" outlineLevel="0" collapsed="false">
      <c r="A474" s="32"/>
      <c r="B474" s="32"/>
      <c r="C474" s="33"/>
      <c r="D474" s="32"/>
      <c r="E474" s="35"/>
      <c r="F474" s="32"/>
      <c r="G474" s="35"/>
      <c r="H474" s="37" t="str">
        <f aca="true">IF(B474="","",IF(OR(D474="Done"),"Done",IF(E474="","No Due Date",IF(E474&lt;TODAY(),"Overdue",IF(E474=TODAY(),"Due Today",IF(E474&lt;TODAY()+7,"Due This Week","Later"))))))</f>
        <v/>
      </c>
      <c r="I474" s="40" t="str">
        <f aca="false">IF(AND(B474&lt;&gt;"",D474&lt;&gt;"Done",E474&lt;&gt;""),E474+ROW()/100000,"")</f>
        <v/>
      </c>
    </row>
    <row r="475" customFormat="false" ht="15" hidden="false" customHeight="false" outlineLevel="0" collapsed="false">
      <c r="A475" s="32"/>
      <c r="B475" s="32"/>
      <c r="C475" s="33"/>
      <c r="D475" s="32"/>
      <c r="E475" s="35"/>
      <c r="F475" s="32"/>
      <c r="G475" s="35"/>
      <c r="H475" s="37" t="str">
        <f aca="true">IF(B475="","",IF(OR(D475="Done"),"Done",IF(E475="","No Due Date",IF(E475&lt;TODAY(),"Overdue",IF(E475=TODAY(),"Due Today",IF(E475&lt;TODAY()+7,"Due This Week","Later"))))))</f>
        <v/>
      </c>
      <c r="I475" s="40" t="str">
        <f aca="false">IF(AND(B475&lt;&gt;"",D475&lt;&gt;"Done",E475&lt;&gt;""),E475+ROW()/100000,"")</f>
        <v/>
      </c>
    </row>
    <row r="476" customFormat="false" ht="15" hidden="false" customHeight="false" outlineLevel="0" collapsed="false">
      <c r="A476" s="32"/>
      <c r="B476" s="32"/>
      <c r="C476" s="33"/>
      <c r="D476" s="32"/>
      <c r="E476" s="35"/>
      <c r="F476" s="32"/>
      <c r="G476" s="35"/>
      <c r="H476" s="37" t="str">
        <f aca="true">IF(B476="","",IF(OR(D476="Done"),"Done",IF(E476="","No Due Date",IF(E476&lt;TODAY(),"Overdue",IF(E476=TODAY(),"Due Today",IF(E476&lt;TODAY()+7,"Due This Week","Later"))))))</f>
        <v/>
      </c>
      <c r="I476" s="40" t="str">
        <f aca="false">IF(AND(B476&lt;&gt;"",D476&lt;&gt;"Done",E476&lt;&gt;""),E476+ROW()/100000,"")</f>
        <v/>
      </c>
    </row>
    <row r="477" customFormat="false" ht="15" hidden="false" customHeight="false" outlineLevel="0" collapsed="false">
      <c r="A477" s="32"/>
      <c r="B477" s="32"/>
      <c r="C477" s="33"/>
      <c r="D477" s="32"/>
      <c r="E477" s="35"/>
      <c r="F477" s="32"/>
      <c r="G477" s="35"/>
      <c r="H477" s="37" t="str">
        <f aca="true">IF(B477="","",IF(OR(D477="Done"),"Done",IF(E477="","No Due Date",IF(E477&lt;TODAY(),"Overdue",IF(E477=TODAY(),"Due Today",IF(E477&lt;TODAY()+7,"Due This Week","Later"))))))</f>
        <v/>
      </c>
      <c r="I477" s="40" t="str">
        <f aca="false">IF(AND(B477&lt;&gt;"",D477&lt;&gt;"Done",E477&lt;&gt;""),E477+ROW()/100000,"")</f>
        <v/>
      </c>
    </row>
    <row r="478" customFormat="false" ht="15" hidden="false" customHeight="false" outlineLevel="0" collapsed="false">
      <c r="A478" s="32"/>
      <c r="B478" s="32"/>
      <c r="C478" s="33"/>
      <c r="D478" s="32"/>
      <c r="E478" s="35"/>
      <c r="F478" s="32"/>
      <c r="G478" s="35"/>
      <c r="H478" s="37" t="str">
        <f aca="true">IF(B478="","",IF(OR(D478="Done"),"Done",IF(E478="","No Due Date",IF(E478&lt;TODAY(),"Overdue",IF(E478=TODAY(),"Due Today",IF(E478&lt;TODAY()+7,"Due This Week","Later"))))))</f>
        <v/>
      </c>
      <c r="I478" s="40" t="str">
        <f aca="false">IF(AND(B478&lt;&gt;"",D478&lt;&gt;"Done",E478&lt;&gt;""),E478+ROW()/100000,"")</f>
        <v/>
      </c>
    </row>
    <row r="479" customFormat="false" ht="15" hidden="false" customHeight="false" outlineLevel="0" collapsed="false">
      <c r="A479" s="32"/>
      <c r="B479" s="32"/>
      <c r="C479" s="33"/>
      <c r="D479" s="32"/>
      <c r="E479" s="35"/>
      <c r="F479" s="32"/>
      <c r="G479" s="35"/>
      <c r="H479" s="37" t="str">
        <f aca="true">IF(B479="","",IF(OR(D479="Done"),"Done",IF(E479="","No Due Date",IF(E479&lt;TODAY(),"Overdue",IF(E479=TODAY(),"Due Today",IF(E479&lt;TODAY()+7,"Due This Week","Later"))))))</f>
        <v/>
      </c>
      <c r="I479" s="40" t="str">
        <f aca="false">IF(AND(B479&lt;&gt;"",D479&lt;&gt;"Done",E479&lt;&gt;""),E479+ROW()/100000,"")</f>
        <v/>
      </c>
    </row>
    <row r="480" customFormat="false" ht="15" hidden="false" customHeight="false" outlineLevel="0" collapsed="false">
      <c r="A480" s="32"/>
      <c r="B480" s="32"/>
      <c r="C480" s="33"/>
      <c r="D480" s="32"/>
      <c r="E480" s="35"/>
      <c r="F480" s="32"/>
      <c r="G480" s="35"/>
      <c r="H480" s="37" t="str">
        <f aca="true">IF(B480="","",IF(OR(D480="Done"),"Done",IF(E480="","No Due Date",IF(E480&lt;TODAY(),"Overdue",IF(E480=TODAY(),"Due Today",IF(E480&lt;TODAY()+7,"Due This Week","Later"))))))</f>
        <v/>
      </c>
      <c r="I480" s="40" t="str">
        <f aca="false">IF(AND(B480&lt;&gt;"",D480&lt;&gt;"Done",E480&lt;&gt;""),E480+ROW()/100000,"")</f>
        <v/>
      </c>
    </row>
    <row r="481" customFormat="false" ht="15" hidden="false" customHeight="false" outlineLevel="0" collapsed="false">
      <c r="A481" s="32"/>
      <c r="B481" s="32"/>
      <c r="C481" s="33"/>
      <c r="D481" s="32"/>
      <c r="E481" s="35"/>
      <c r="F481" s="32"/>
      <c r="G481" s="35"/>
      <c r="H481" s="37" t="str">
        <f aca="true">IF(B481="","",IF(OR(D481="Done"),"Done",IF(E481="","No Due Date",IF(E481&lt;TODAY(),"Overdue",IF(E481=TODAY(),"Due Today",IF(E481&lt;TODAY()+7,"Due This Week","Later"))))))</f>
        <v/>
      </c>
      <c r="I481" s="40" t="str">
        <f aca="false">IF(AND(B481&lt;&gt;"",D481&lt;&gt;"Done",E481&lt;&gt;""),E481+ROW()/100000,"")</f>
        <v/>
      </c>
    </row>
    <row r="482" customFormat="false" ht="15" hidden="false" customHeight="false" outlineLevel="0" collapsed="false">
      <c r="A482" s="32"/>
      <c r="B482" s="32"/>
      <c r="C482" s="33"/>
      <c r="D482" s="32"/>
      <c r="E482" s="35"/>
      <c r="F482" s="32"/>
      <c r="G482" s="35"/>
      <c r="H482" s="37" t="str">
        <f aca="true">IF(B482="","",IF(OR(D482="Done"),"Done",IF(E482="","No Due Date",IF(E482&lt;TODAY(),"Overdue",IF(E482=TODAY(),"Due Today",IF(E482&lt;TODAY()+7,"Due This Week","Later"))))))</f>
        <v/>
      </c>
      <c r="I482" s="40" t="str">
        <f aca="false">IF(AND(B482&lt;&gt;"",D482&lt;&gt;"Done",E482&lt;&gt;""),E482+ROW()/100000,"")</f>
        <v/>
      </c>
    </row>
    <row r="483" customFormat="false" ht="15" hidden="false" customHeight="false" outlineLevel="0" collapsed="false">
      <c r="A483" s="32"/>
      <c r="B483" s="32"/>
      <c r="C483" s="33"/>
      <c r="D483" s="32"/>
      <c r="E483" s="35"/>
      <c r="F483" s="32"/>
      <c r="G483" s="35"/>
      <c r="H483" s="37" t="str">
        <f aca="true">IF(B483="","",IF(OR(D483="Done"),"Done",IF(E483="","No Due Date",IF(E483&lt;TODAY(),"Overdue",IF(E483=TODAY(),"Due Today",IF(E483&lt;TODAY()+7,"Due This Week","Later"))))))</f>
        <v/>
      </c>
      <c r="I483" s="40" t="str">
        <f aca="false">IF(AND(B483&lt;&gt;"",D483&lt;&gt;"Done",E483&lt;&gt;""),E483+ROW()/100000,"")</f>
        <v/>
      </c>
    </row>
    <row r="484" customFormat="false" ht="15" hidden="false" customHeight="false" outlineLevel="0" collapsed="false">
      <c r="A484" s="32"/>
      <c r="B484" s="32"/>
      <c r="C484" s="33"/>
      <c r="D484" s="32"/>
      <c r="E484" s="35"/>
      <c r="F484" s="32"/>
      <c r="G484" s="35"/>
      <c r="H484" s="37" t="str">
        <f aca="true">IF(B484="","",IF(OR(D484="Done"),"Done",IF(E484="","No Due Date",IF(E484&lt;TODAY(),"Overdue",IF(E484=TODAY(),"Due Today",IF(E484&lt;TODAY()+7,"Due This Week","Later"))))))</f>
        <v/>
      </c>
      <c r="I484" s="40" t="str">
        <f aca="false">IF(AND(B484&lt;&gt;"",D484&lt;&gt;"Done",E484&lt;&gt;""),E484+ROW()/100000,"")</f>
        <v/>
      </c>
    </row>
    <row r="485" customFormat="false" ht="15" hidden="false" customHeight="false" outlineLevel="0" collapsed="false">
      <c r="A485" s="32"/>
      <c r="B485" s="32"/>
      <c r="C485" s="33"/>
      <c r="D485" s="32"/>
      <c r="E485" s="35"/>
      <c r="F485" s="32"/>
      <c r="G485" s="35"/>
      <c r="H485" s="37" t="str">
        <f aca="true">IF(B485="","",IF(OR(D485="Done"),"Done",IF(E485="","No Due Date",IF(E485&lt;TODAY(),"Overdue",IF(E485=TODAY(),"Due Today",IF(E485&lt;TODAY()+7,"Due This Week","Later"))))))</f>
        <v/>
      </c>
      <c r="I485" s="40" t="str">
        <f aca="false">IF(AND(B485&lt;&gt;"",D485&lt;&gt;"Done",E485&lt;&gt;""),E485+ROW()/100000,"")</f>
        <v/>
      </c>
    </row>
    <row r="486" customFormat="false" ht="15" hidden="false" customHeight="false" outlineLevel="0" collapsed="false">
      <c r="A486" s="32"/>
      <c r="B486" s="32"/>
      <c r="C486" s="33"/>
      <c r="D486" s="32"/>
      <c r="E486" s="35"/>
      <c r="F486" s="32"/>
      <c r="G486" s="35"/>
      <c r="H486" s="37" t="str">
        <f aca="true">IF(B486="","",IF(OR(D486="Done"),"Done",IF(E486="","No Due Date",IF(E486&lt;TODAY(),"Overdue",IF(E486=TODAY(),"Due Today",IF(E486&lt;TODAY()+7,"Due This Week","Later"))))))</f>
        <v/>
      </c>
      <c r="I486" s="40" t="str">
        <f aca="false">IF(AND(B486&lt;&gt;"",D486&lt;&gt;"Done",E486&lt;&gt;""),E486+ROW()/100000,"")</f>
        <v/>
      </c>
    </row>
    <row r="487" customFormat="false" ht="15" hidden="false" customHeight="false" outlineLevel="0" collapsed="false">
      <c r="A487" s="32"/>
      <c r="B487" s="32"/>
      <c r="C487" s="33"/>
      <c r="D487" s="32"/>
      <c r="E487" s="35"/>
      <c r="F487" s="32"/>
      <c r="G487" s="35"/>
      <c r="H487" s="37" t="str">
        <f aca="true">IF(B487="","",IF(OR(D487="Done"),"Done",IF(E487="","No Due Date",IF(E487&lt;TODAY(),"Overdue",IF(E487=TODAY(),"Due Today",IF(E487&lt;TODAY()+7,"Due This Week","Later"))))))</f>
        <v/>
      </c>
      <c r="I487" s="40" t="str">
        <f aca="false">IF(AND(B487&lt;&gt;"",D487&lt;&gt;"Done",E487&lt;&gt;""),E487+ROW()/100000,"")</f>
        <v/>
      </c>
    </row>
    <row r="488" customFormat="false" ht="15" hidden="false" customHeight="false" outlineLevel="0" collapsed="false">
      <c r="A488" s="32"/>
      <c r="B488" s="32"/>
      <c r="C488" s="33"/>
      <c r="D488" s="32"/>
      <c r="E488" s="35"/>
      <c r="F488" s="32"/>
      <c r="G488" s="35"/>
      <c r="H488" s="37" t="str">
        <f aca="true">IF(B488="","",IF(OR(D488="Done"),"Done",IF(E488="","No Due Date",IF(E488&lt;TODAY(),"Overdue",IF(E488=TODAY(),"Due Today",IF(E488&lt;TODAY()+7,"Due This Week","Later"))))))</f>
        <v/>
      </c>
      <c r="I488" s="40" t="str">
        <f aca="false">IF(AND(B488&lt;&gt;"",D488&lt;&gt;"Done",E488&lt;&gt;""),E488+ROW()/100000,"")</f>
        <v/>
      </c>
    </row>
    <row r="489" customFormat="false" ht="15" hidden="false" customHeight="false" outlineLevel="0" collapsed="false">
      <c r="A489" s="32"/>
      <c r="B489" s="32"/>
      <c r="C489" s="33"/>
      <c r="D489" s="32"/>
      <c r="E489" s="35"/>
      <c r="F489" s="32"/>
      <c r="G489" s="35"/>
      <c r="H489" s="37" t="str">
        <f aca="true">IF(B489="","",IF(OR(D489="Done"),"Done",IF(E489="","No Due Date",IF(E489&lt;TODAY(),"Overdue",IF(E489=TODAY(),"Due Today",IF(E489&lt;TODAY()+7,"Due This Week","Later"))))))</f>
        <v/>
      </c>
      <c r="I489" s="40" t="str">
        <f aca="false">IF(AND(B489&lt;&gt;"",D489&lt;&gt;"Done",E489&lt;&gt;""),E489+ROW()/100000,"")</f>
        <v/>
      </c>
    </row>
    <row r="490" customFormat="false" ht="15" hidden="false" customHeight="false" outlineLevel="0" collapsed="false">
      <c r="A490" s="32"/>
      <c r="B490" s="32"/>
      <c r="C490" s="33"/>
      <c r="D490" s="32"/>
      <c r="E490" s="35"/>
      <c r="F490" s="32"/>
      <c r="G490" s="35"/>
      <c r="H490" s="37" t="str">
        <f aca="true">IF(B490="","",IF(OR(D490="Done"),"Done",IF(E490="","No Due Date",IF(E490&lt;TODAY(),"Overdue",IF(E490=TODAY(),"Due Today",IF(E490&lt;TODAY()+7,"Due This Week","Later"))))))</f>
        <v/>
      </c>
      <c r="I490" s="40" t="str">
        <f aca="false">IF(AND(B490&lt;&gt;"",D490&lt;&gt;"Done",E490&lt;&gt;""),E490+ROW()/100000,"")</f>
        <v/>
      </c>
    </row>
    <row r="491" customFormat="false" ht="15" hidden="false" customHeight="false" outlineLevel="0" collapsed="false">
      <c r="A491" s="32"/>
      <c r="B491" s="32"/>
      <c r="C491" s="33"/>
      <c r="D491" s="32"/>
      <c r="E491" s="35"/>
      <c r="F491" s="32"/>
      <c r="G491" s="35"/>
      <c r="H491" s="37" t="str">
        <f aca="true">IF(B491="","",IF(OR(D491="Done"),"Done",IF(E491="","No Due Date",IF(E491&lt;TODAY(),"Overdue",IF(E491=TODAY(),"Due Today",IF(E491&lt;TODAY()+7,"Due This Week","Later"))))))</f>
        <v/>
      </c>
      <c r="I491" s="40" t="str">
        <f aca="false">IF(AND(B491&lt;&gt;"",D491&lt;&gt;"Done",E491&lt;&gt;""),E491+ROW()/100000,"")</f>
        <v/>
      </c>
    </row>
    <row r="492" customFormat="false" ht="15" hidden="false" customHeight="false" outlineLevel="0" collapsed="false">
      <c r="A492" s="32"/>
      <c r="B492" s="32"/>
      <c r="C492" s="33"/>
      <c r="D492" s="32"/>
      <c r="E492" s="35"/>
      <c r="F492" s="32"/>
      <c r="G492" s="35"/>
      <c r="H492" s="37" t="str">
        <f aca="true">IF(B492="","",IF(OR(D492="Done"),"Done",IF(E492="","No Due Date",IF(E492&lt;TODAY(),"Overdue",IF(E492=TODAY(),"Due Today",IF(E492&lt;TODAY()+7,"Due This Week","Later"))))))</f>
        <v/>
      </c>
      <c r="I492" s="40" t="str">
        <f aca="false">IF(AND(B492&lt;&gt;"",D492&lt;&gt;"Done",E492&lt;&gt;""),E492+ROW()/100000,"")</f>
        <v/>
      </c>
    </row>
    <row r="493" customFormat="false" ht="15" hidden="false" customHeight="false" outlineLevel="0" collapsed="false">
      <c r="A493" s="32"/>
      <c r="B493" s="32"/>
      <c r="C493" s="33"/>
      <c r="D493" s="32"/>
      <c r="E493" s="35"/>
      <c r="F493" s="32"/>
      <c r="G493" s="35"/>
      <c r="H493" s="37" t="str">
        <f aca="true">IF(B493="","",IF(OR(D493="Done"),"Done",IF(E493="","No Due Date",IF(E493&lt;TODAY(),"Overdue",IF(E493=TODAY(),"Due Today",IF(E493&lt;TODAY()+7,"Due This Week","Later"))))))</f>
        <v/>
      </c>
      <c r="I493" s="40" t="str">
        <f aca="false">IF(AND(B493&lt;&gt;"",D493&lt;&gt;"Done",E493&lt;&gt;""),E493+ROW()/100000,"")</f>
        <v/>
      </c>
    </row>
    <row r="494" customFormat="false" ht="15" hidden="false" customHeight="false" outlineLevel="0" collapsed="false">
      <c r="A494" s="32"/>
      <c r="B494" s="32"/>
      <c r="C494" s="33"/>
      <c r="D494" s="32"/>
      <c r="E494" s="35"/>
      <c r="F494" s="32"/>
      <c r="G494" s="35"/>
      <c r="H494" s="37" t="str">
        <f aca="true">IF(B494="","",IF(OR(D494="Done"),"Done",IF(E494="","No Due Date",IF(E494&lt;TODAY(),"Overdue",IF(E494=TODAY(),"Due Today",IF(E494&lt;TODAY()+7,"Due This Week","Later"))))))</f>
        <v/>
      </c>
      <c r="I494" s="40" t="str">
        <f aca="false">IF(AND(B494&lt;&gt;"",D494&lt;&gt;"Done",E494&lt;&gt;""),E494+ROW()/100000,"")</f>
        <v/>
      </c>
    </row>
    <row r="495" customFormat="false" ht="15" hidden="false" customHeight="false" outlineLevel="0" collapsed="false">
      <c r="A495" s="32"/>
      <c r="B495" s="32"/>
      <c r="C495" s="33"/>
      <c r="D495" s="32"/>
      <c r="E495" s="35"/>
      <c r="F495" s="32"/>
      <c r="G495" s="35"/>
      <c r="H495" s="37" t="str">
        <f aca="true">IF(B495="","",IF(OR(D495="Done"),"Done",IF(E495="","No Due Date",IF(E495&lt;TODAY(),"Overdue",IF(E495=TODAY(),"Due Today",IF(E495&lt;TODAY()+7,"Due This Week","Later"))))))</f>
        <v/>
      </c>
      <c r="I495" s="40" t="str">
        <f aca="false">IF(AND(B495&lt;&gt;"",D495&lt;&gt;"Done",E495&lt;&gt;""),E495+ROW()/100000,"")</f>
        <v/>
      </c>
    </row>
    <row r="496" customFormat="false" ht="15" hidden="false" customHeight="false" outlineLevel="0" collapsed="false">
      <c r="A496" s="32"/>
      <c r="B496" s="32"/>
      <c r="C496" s="33"/>
      <c r="D496" s="32"/>
      <c r="E496" s="35"/>
      <c r="F496" s="32"/>
      <c r="G496" s="35"/>
      <c r="H496" s="37" t="str">
        <f aca="true">IF(B496="","",IF(OR(D496="Done"),"Done",IF(E496="","No Due Date",IF(E496&lt;TODAY(),"Overdue",IF(E496=TODAY(),"Due Today",IF(E496&lt;TODAY()+7,"Due This Week","Later"))))))</f>
        <v/>
      </c>
      <c r="I496" s="40" t="str">
        <f aca="false">IF(AND(B496&lt;&gt;"",D496&lt;&gt;"Done",E496&lt;&gt;""),E496+ROW()/100000,"")</f>
        <v/>
      </c>
    </row>
    <row r="497" customFormat="false" ht="15" hidden="false" customHeight="false" outlineLevel="0" collapsed="false">
      <c r="A497" s="32"/>
      <c r="B497" s="32"/>
      <c r="C497" s="33"/>
      <c r="D497" s="32"/>
      <c r="E497" s="35"/>
      <c r="F497" s="32"/>
      <c r="G497" s="35"/>
      <c r="H497" s="37" t="str">
        <f aca="true">IF(B497="","",IF(OR(D497="Done"),"Done",IF(E497="","No Due Date",IF(E497&lt;TODAY(),"Overdue",IF(E497=TODAY(),"Due Today",IF(E497&lt;TODAY()+7,"Due This Week","Later"))))))</f>
        <v/>
      </c>
      <c r="I497" s="40" t="str">
        <f aca="false">IF(AND(B497&lt;&gt;"",D497&lt;&gt;"Done",E497&lt;&gt;""),E497+ROW()/100000,"")</f>
        <v/>
      </c>
    </row>
    <row r="498" customFormat="false" ht="15" hidden="false" customHeight="false" outlineLevel="0" collapsed="false">
      <c r="A498" s="32"/>
      <c r="B498" s="32"/>
      <c r="C498" s="33"/>
      <c r="D498" s="32"/>
      <c r="E498" s="35"/>
      <c r="F498" s="32"/>
      <c r="G498" s="35"/>
      <c r="H498" s="37" t="str">
        <f aca="true">IF(B498="","",IF(OR(D498="Done"),"Done",IF(E498="","No Due Date",IF(E498&lt;TODAY(),"Overdue",IF(E498=TODAY(),"Due Today",IF(E498&lt;TODAY()+7,"Due This Week","Later"))))))</f>
        <v/>
      </c>
      <c r="I498" s="40" t="str">
        <f aca="false">IF(AND(B498&lt;&gt;"",D498&lt;&gt;"Done",E498&lt;&gt;""),E498+ROW()/100000,"")</f>
        <v/>
      </c>
    </row>
    <row r="499" customFormat="false" ht="15" hidden="false" customHeight="false" outlineLevel="0" collapsed="false">
      <c r="A499" s="32"/>
      <c r="B499" s="32"/>
      <c r="C499" s="33"/>
      <c r="D499" s="32"/>
      <c r="E499" s="35"/>
      <c r="F499" s="32"/>
      <c r="G499" s="35"/>
      <c r="H499" s="37" t="str">
        <f aca="true">IF(B499="","",IF(OR(D499="Done"),"Done",IF(E499="","No Due Date",IF(E499&lt;TODAY(),"Overdue",IF(E499=TODAY(),"Due Today",IF(E499&lt;TODAY()+7,"Due This Week","Later"))))))</f>
        <v/>
      </c>
      <c r="I499" s="40" t="str">
        <f aca="false">IF(AND(B499&lt;&gt;"",D499&lt;&gt;"Done",E499&lt;&gt;""),E499+ROW()/100000,"")</f>
        <v/>
      </c>
    </row>
    <row r="500" customFormat="false" ht="15" hidden="false" customHeight="false" outlineLevel="0" collapsed="false">
      <c r="A500" s="32"/>
      <c r="B500" s="32"/>
      <c r="C500" s="33"/>
      <c r="D500" s="32"/>
      <c r="E500" s="35"/>
      <c r="F500" s="32"/>
      <c r="G500" s="35"/>
      <c r="H500" s="37" t="str">
        <f aca="true">IF(B500="","",IF(OR(D500="Done"),"Done",IF(E500="","No Due Date",IF(E500&lt;TODAY(),"Overdue",IF(E500=TODAY(),"Due Today",IF(E500&lt;TODAY()+7,"Due This Week","Later"))))))</f>
        <v/>
      </c>
      <c r="I500" s="40" t="str">
        <f aca="false">IF(AND(B500&lt;&gt;"",D500&lt;&gt;"Done",E500&lt;&gt;""),E500+ROW()/100000,"")</f>
        <v/>
      </c>
    </row>
    <row r="501" customFormat="false" ht="15" hidden="false" customHeight="false" outlineLevel="0" collapsed="false">
      <c r="A501" s="32"/>
      <c r="B501" s="32"/>
      <c r="C501" s="33"/>
      <c r="D501" s="32"/>
      <c r="E501" s="35"/>
      <c r="F501" s="32"/>
      <c r="G501" s="35"/>
      <c r="H501" s="37" t="str">
        <f aca="true">IF(B501="","",IF(OR(D501="Done"),"Done",IF(E501="","No Due Date",IF(E501&lt;TODAY(),"Overdue",IF(E501=TODAY(),"Due Today",IF(E501&lt;TODAY()+7,"Due This Week","Later"))))))</f>
        <v/>
      </c>
      <c r="I501" s="40" t="str">
        <f aca="false">IF(AND(B501&lt;&gt;"",D501&lt;&gt;"Done",E501&lt;&gt;""),E501+ROW()/100000,"")</f>
        <v/>
      </c>
    </row>
    <row r="502" customFormat="false" ht="15" hidden="false" customHeight="false" outlineLevel="0" collapsed="false">
      <c r="A502" s="32"/>
      <c r="B502" s="32"/>
      <c r="C502" s="33"/>
      <c r="D502" s="32"/>
      <c r="E502" s="35"/>
      <c r="F502" s="32"/>
      <c r="G502" s="35"/>
      <c r="H502" s="37" t="str">
        <f aca="true">IF(B502="","",IF(OR(D502="Done"),"Done",IF(E502="","No Due Date",IF(E502&lt;TODAY(),"Overdue",IF(E502=TODAY(),"Due Today",IF(E502&lt;TODAY()+7,"Due This Week","Later"))))))</f>
        <v/>
      </c>
      <c r="I502" s="40" t="str">
        <f aca="false">IF(AND(B502&lt;&gt;"",D502&lt;&gt;"Done",E502&lt;&gt;""),E502+ROW()/100000,"")</f>
        <v/>
      </c>
    </row>
    <row r="503" customFormat="false" ht="15" hidden="false" customHeight="false" outlineLevel="0" collapsed="false">
      <c r="A503" s="32"/>
      <c r="B503" s="32"/>
      <c r="C503" s="33"/>
      <c r="D503" s="32"/>
      <c r="E503" s="35"/>
      <c r="F503" s="32"/>
      <c r="G503" s="35"/>
      <c r="H503" s="37" t="str">
        <f aca="true">IF(B503="","",IF(OR(D503="Done"),"Done",IF(E503="","No Due Date",IF(E503&lt;TODAY(),"Overdue",IF(E503=TODAY(),"Due Today",IF(E503&lt;TODAY()+7,"Due This Week","Later"))))))</f>
        <v/>
      </c>
      <c r="I503" s="40" t="str">
        <f aca="false">IF(AND(B503&lt;&gt;"",D503&lt;&gt;"Done",E503&lt;&gt;""),E503+ROW()/100000,"")</f>
        <v/>
      </c>
    </row>
    <row r="504" customFormat="false" ht="15" hidden="false" customHeight="false" outlineLevel="0" collapsed="false">
      <c r="A504" s="32"/>
      <c r="B504" s="32"/>
      <c r="C504" s="33"/>
      <c r="D504" s="32"/>
      <c r="E504" s="35"/>
      <c r="F504" s="32"/>
      <c r="G504" s="35"/>
      <c r="H504" s="37" t="str">
        <f aca="true">IF(B504="","",IF(OR(D504="Done"),"Done",IF(E504="","No Due Date",IF(E504&lt;TODAY(),"Overdue",IF(E504=TODAY(),"Due Today",IF(E504&lt;TODAY()+7,"Due This Week","Later"))))))</f>
        <v/>
      </c>
      <c r="I504" s="40" t="str">
        <f aca="false">IF(AND(B504&lt;&gt;"",D504&lt;&gt;"Done",E504&lt;&gt;""),E504+ROW()/100000,"")</f>
        <v/>
      </c>
    </row>
    <row r="505" customFormat="false" ht="15" hidden="false" customHeight="false" outlineLevel="0" collapsed="false">
      <c r="A505" s="32"/>
      <c r="B505" s="32"/>
      <c r="C505" s="33"/>
      <c r="D505" s="32"/>
      <c r="E505" s="35"/>
      <c r="F505" s="32"/>
      <c r="G505" s="35"/>
      <c r="H505" s="37" t="str">
        <f aca="true">IF(B505="","",IF(OR(D505="Done"),"Done",IF(E505="","No Due Date",IF(E505&lt;TODAY(),"Overdue",IF(E505=TODAY(),"Due Today",IF(E505&lt;TODAY()+7,"Due This Week","Later"))))))</f>
        <v/>
      </c>
      <c r="I505" s="40" t="str">
        <f aca="false">IF(AND(B505&lt;&gt;"",D505&lt;&gt;"Done",E505&lt;&gt;""),E505+ROW()/100000,"")</f>
        <v/>
      </c>
    </row>
    <row r="506" customFormat="false" ht="15" hidden="false" customHeight="false" outlineLevel="0" collapsed="false">
      <c r="A506" s="32"/>
      <c r="B506" s="32"/>
      <c r="C506" s="33"/>
      <c r="D506" s="32"/>
      <c r="E506" s="35"/>
      <c r="F506" s="32"/>
      <c r="G506" s="35"/>
      <c r="H506" s="37" t="str">
        <f aca="true">IF(B506="","",IF(OR(D506="Done"),"Done",IF(E506="","No Due Date",IF(E506&lt;TODAY(),"Overdue",IF(E506=TODAY(),"Due Today",IF(E506&lt;TODAY()+7,"Due This Week","Later"))))))</f>
        <v/>
      </c>
      <c r="I506" s="40" t="str">
        <f aca="false">IF(AND(B506&lt;&gt;"",D506&lt;&gt;"Done",E506&lt;&gt;""),E506+ROW()/100000,"")</f>
        <v/>
      </c>
    </row>
    <row r="507" customFormat="false" ht="15" hidden="false" customHeight="false" outlineLevel="0" collapsed="false">
      <c r="A507" s="32"/>
      <c r="B507" s="32"/>
      <c r="C507" s="33"/>
      <c r="D507" s="32"/>
      <c r="E507" s="35"/>
      <c r="F507" s="32"/>
      <c r="G507" s="35"/>
      <c r="H507" s="37" t="str">
        <f aca="true">IF(B507="","",IF(OR(D507="Done"),"Done",IF(E507="","No Due Date",IF(E507&lt;TODAY(),"Overdue",IF(E507=TODAY(),"Due Today",IF(E507&lt;TODAY()+7,"Due This Week","Later"))))))</f>
        <v/>
      </c>
      <c r="I507" s="40" t="str">
        <f aca="false">IF(AND(B507&lt;&gt;"",D507&lt;&gt;"Done",E507&lt;&gt;""),E507+ROW()/100000,"")</f>
        <v/>
      </c>
    </row>
    <row r="508" customFormat="false" ht="15" hidden="false" customHeight="false" outlineLevel="0" collapsed="false">
      <c r="A508" s="32"/>
      <c r="B508" s="32"/>
      <c r="C508" s="33"/>
      <c r="D508" s="32"/>
      <c r="E508" s="35"/>
      <c r="F508" s="32"/>
      <c r="G508" s="35"/>
      <c r="H508" s="37" t="str">
        <f aca="true">IF(B508="","",IF(OR(D508="Done"),"Done",IF(E508="","No Due Date",IF(E508&lt;TODAY(),"Overdue",IF(E508=TODAY(),"Due Today",IF(E508&lt;TODAY()+7,"Due This Week","Later"))))))</f>
        <v/>
      </c>
      <c r="I508" s="40" t="str">
        <f aca="false">IF(AND(B508&lt;&gt;"",D508&lt;&gt;"Done",E508&lt;&gt;""),E508+ROW()/100000,"")</f>
        <v/>
      </c>
    </row>
    <row r="509" customFormat="false" ht="15" hidden="false" customHeight="false" outlineLevel="0" collapsed="false">
      <c r="A509" s="32"/>
      <c r="B509" s="32"/>
      <c r="C509" s="33"/>
      <c r="D509" s="32"/>
      <c r="E509" s="35"/>
      <c r="F509" s="32"/>
      <c r="G509" s="35"/>
      <c r="H509" s="37" t="str">
        <f aca="true">IF(B509="","",IF(OR(D509="Done"),"Done",IF(E509="","No Due Date",IF(E509&lt;TODAY(),"Overdue",IF(E509=TODAY(),"Due Today",IF(E509&lt;TODAY()+7,"Due This Week","Later"))))))</f>
        <v/>
      </c>
      <c r="I509" s="40" t="str">
        <f aca="false">IF(AND(B509&lt;&gt;"",D509&lt;&gt;"Done",E509&lt;&gt;""),E509+ROW()/100000,"")</f>
        <v/>
      </c>
    </row>
    <row r="510" customFormat="false" ht="15" hidden="false" customHeight="false" outlineLevel="0" collapsed="false">
      <c r="A510" s="32"/>
      <c r="B510" s="32"/>
      <c r="C510" s="33"/>
      <c r="D510" s="32"/>
      <c r="E510" s="35"/>
      <c r="F510" s="32"/>
      <c r="G510" s="35"/>
      <c r="H510" s="37" t="str">
        <f aca="true">IF(B510="","",IF(OR(D510="Done"),"Done",IF(E510="","No Due Date",IF(E510&lt;TODAY(),"Overdue",IF(E510=TODAY(),"Due Today",IF(E510&lt;TODAY()+7,"Due This Week","Later"))))))</f>
        <v/>
      </c>
      <c r="I510" s="40" t="str">
        <f aca="false">IF(AND(B510&lt;&gt;"",D510&lt;&gt;"Done",E510&lt;&gt;""),E510+ROW()/100000,"")</f>
        <v/>
      </c>
    </row>
    <row r="511" customFormat="false" ht="15" hidden="false" customHeight="false" outlineLevel="0" collapsed="false">
      <c r="A511" s="32"/>
      <c r="B511" s="32"/>
      <c r="C511" s="33"/>
      <c r="D511" s="32"/>
      <c r="E511" s="35"/>
      <c r="F511" s="32"/>
      <c r="G511" s="35"/>
      <c r="H511" s="37" t="str">
        <f aca="true">IF(B511="","",IF(OR(D511="Done"),"Done",IF(E511="","No Due Date",IF(E511&lt;TODAY(),"Overdue",IF(E511=TODAY(),"Due Today",IF(E511&lt;TODAY()+7,"Due This Week","Later"))))))</f>
        <v/>
      </c>
      <c r="I511" s="40" t="str">
        <f aca="false">IF(AND(B511&lt;&gt;"",D511&lt;&gt;"Done",E511&lt;&gt;""),E511+ROW()/100000,"")</f>
        <v/>
      </c>
    </row>
    <row r="512" customFormat="false" ht="15" hidden="false" customHeight="false" outlineLevel="0" collapsed="false">
      <c r="A512" s="32"/>
      <c r="B512" s="32"/>
      <c r="C512" s="33"/>
      <c r="D512" s="32"/>
      <c r="E512" s="35"/>
      <c r="F512" s="32"/>
      <c r="G512" s="35"/>
      <c r="H512" s="37" t="str">
        <f aca="true">IF(B512="","",IF(OR(D512="Done"),"Done",IF(E512="","No Due Date",IF(E512&lt;TODAY(),"Overdue",IF(E512=TODAY(),"Due Today",IF(E512&lt;TODAY()+7,"Due This Week","Later"))))))</f>
        <v/>
      </c>
      <c r="I512" s="40" t="str">
        <f aca="false">IF(AND(B512&lt;&gt;"",D512&lt;&gt;"Done",E512&lt;&gt;""),E512+ROW()/100000,"")</f>
        <v/>
      </c>
    </row>
    <row r="513" customFormat="false" ht="15" hidden="false" customHeight="false" outlineLevel="0" collapsed="false">
      <c r="A513" s="32"/>
      <c r="B513" s="32"/>
      <c r="C513" s="33"/>
      <c r="D513" s="32"/>
      <c r="E513" s="35"/>
      <c r="F513" s="32"/>
      <c r="G513" s="35"/>
      <c r="H513" s="37" t="str">
        <f aca="true">IF(B513="","",IF(OR(D513="Done"),"Done",IF(E513="","No Due Date",IF(E513&lt;TODAY(),"Overdue",IF(E513=TODAY(),"Due Today",IF(E513&lt;TODAY()+7,"Due This Week","Later"))))))</f>
        <v/>
      </c>
      <c r="I513" s="40" t="str">
        <f aca="false">IF(AND(B513&lt;&gt;"",D513&lt;&gt;"Done",E513&lt;&gt;""),E513+ROW()/100000,"")</f>
        <v/>
      </c>
    </row>
    <row r="514" customFormat="false" ht="15" hidden="false" customHeight="false" outlineLevel="0" collapsed="false">
      <c r="A514" s="32"/>
      <c r="B514" s="32"/>
      <c r="C514" s="33"/>
      <c r="D514" s="32"/>
      <c r="E514" s="35"/>
      <c r="F514" s="32"/>
      <c r="G514" s="35"/>
      <c r="H514" s="37" t="str">
        <f aca="true">IF(B514="","",IF(OR(D514="Done"),"Done",IF(E514="","No Due Date",IF(E514&lt;TODAY(),"Overdue",IF(E514=TODAY(),"Due Today",IF(E514&lt;TODAY()+7,"Due This Week","Later"))))))</f>
        <v/>
      </c>
      <c r="I514" s="40" t="str">
        <f aca="false">IF(AND(B514&lt;&gt;"",D514&lt;&gt;"Done",E514&lt;&gt;""),E514+ROW()/100000,"")</f>
        <v/>
      </c>
    </row>
    <row r="515" customFormat="false" ht="15" hidden="false" customHeight="false" outlineLevel="0" collapsed="false">
      <c r="A515" s="32"/>
      <c r="B515" s="32"/>
      <c r="C515" s="33"/>
      <c r="D515" s="32"/>
      <c r="E515" s="35"/>
      <c r="F515" s="32"/>
      <c r="G515" s="35"/>
      <c r="H515" s="37" t="str">
        <f aca="true">IF(B515="","",IF(OR(D515="Done"),"Done",IF(E515="","No Due Date",IF(E515&lt;TODAY(),"Overdue",IF(E515=TODAY(),"Due Today",IF(E515&lt;TODAY()+7,"Due This Week","Later"))))))</f>
        <v/>
      </c>
      <c r="I515" s="40" t="str">
        <f aca="false">IF(AND(B515&lt;&gt;"",D515&lt;&gt;"Done",E515&lt;&gt;""),E515+ROW()/100000,"")</f>
        <v/>
      </c>
    </row>
    <row r="516" customFormat="false" ht="15" hidden="false" customHeight="false" outlineLevel="0" collapsed="false">
      <c r="A516" s="32"/>
      <c r="B516" s="32"/>
      <c r="C516" s="33"/>
      <c r="D516" s="32"/>
      <c r="E516" s="35"/>
      <c r="F516" s="32"/>
      <c r="G516" s="35"/>
      <c r="H516" s="37" t="str">
        <f aca="true">IF(B516="","",IF(OR(D516="Done"),"Done",IF(E516="","No Due Date",IF(E516&lt;TODAY(),"Overdue",IF(E516=TODAY(),"Due Today",IF(E516&lt;TODAY()+7,"Due This Week","Later"))))))</f>
        <v/>
      </c>
      <c r="I516" s="40" t="str">
        <f aca="false">IF(AND(B516&lt;&gt;"",D516&lt;&gt;"Done",E516&lt;&gt;""),E516+ROW()/100000,"")</f>
        <v/>
      </c>
    </row>
    <row r="517" customFormat="false" ht="15" hidden="false" customHeight="false" outlineLevel="0" collapsed="false">
      <c r="A517" s="32"/>
      <c r="B517" s="32"/>
      <c r="C517" s="33"/>
      <c r="D517" s="32"/>
      <c r="E517" s="35"/>
      <c r="F517" s="32"/>
      <c r="G517" s="35"/>
      <c r="H517" s="37" t="str">
        <f aca="true">IF(B517="","",IF(OR(D517="Done"),"Done",IF(E517="","No Due Date",IF(E517&lt;TODAY(),"Overdue",IF(E517=TODAY(),"Due Today",IF(E517&lt;TODAY()+7,"Due This Week","Later"))))))</f>
        <v/>
      </c>
      <c r="I517" s="40" t="str">
        <f aca="false">IF(AND(B517&lt;&gt;"",D517&lt;&gt;"Done",E517&lt;&gt;""),E517+ROW()/100000,"")</f>
        <v/>
      </c>
    </row>
    <row r="518" customFormat="false" ht="15" hidden="false" customHeight="false" outlineLevel="0" collapsed="false">
      <c r="A518" s="32"/>
      <c r="B518" s="32"/>
      <c r="C518" s="33"/>
      <c r="D518" s="32"/>
      <c r="E518" s="35"/>
      <c r="F518" s="32"/>
      <c r="G518" s="35"/>
      <c r="H518" s="37" t="str">
        <f aca="true">IF(B518="","",IF(OR(D518="Done"),"Done",IF(E518="","No Due Date",IF(E518&lt;TODAY(),"Overdue",IF(E518=TODAY(),"Due Today",IF(E518&lt;TODAY()+7,"Due This Week","Later"))))))</f>
        <v/>
      </c>
      <c r="I518" s="40" t="str">
        <f aca="false">IF(AND(B518&lt;&gt;"",D518&lt;&gt;"Done",E518&lt;&gt;""),E518+ROW()/100000,"")</f>
        <v/>
      </c>
    </row>
    <row r="519" customFormat="false" ht="15" hidden="false" customHeight="false" outlineLevel="0" collapsed="false">
      <c r="A519" s="32"/>
      <c r="B519" s="32"/>
      <c r="C519" s="33"/>
      <c r="D519" s="32"/>
      <c r="E519" s="35"/>
      <c r="F519" s="32"/>
      <c r="G519" s="35"/>
      <c r="H519" s="37" t="str">
        <f aca="true">IF(B519="","",IF(OR(D519="Done"),"Done",IF(E519="","No Due Date",IF(E519&lt;TODAY(),"Overdue",IF(E519=TODAY(),"Due Today",IF(E519&lt;TODAY()+7,"Due This Week","Later"))))))</f>
        <v/>
      </c>
      <c r="I519" s="40" t="str">
        <f aca="false">IF(AND(B519&lt;&gt;"",D519&lt;&gt;"Done",E519&lt;&gt;""),E519+ROW()/100000,"")</f>
        <v/>
      </c>
    </row>
    <row r="520" customFormat="false" ht="15" hidden="false" customHeight="false" outlineLevel="0" collapsed="false">
      <c r="A520" s="32"/>
      <c r="B520" s="32"/>
      <c r="C520" s="33"/>
      <c r="D520" s="32"/>
      <c r="E520" s="35"/>
      <c r="F520" s="32"/>
      <c r="G520" s="35"/>
      <c r="H520" s="37" t="str">
        <f aca="true">IF(B520="","",IF(OR(D520="Done"),"Done",IF(E520="","No Due Date",IF(E520&lt;TODAY(),"Overdue",IF(E520=TODAY(),"Due Today",IF(E520&lt;TODAY()+7,"Due This Week","Later"))))))</f>
        <v/>
      </c>
      <c r="I520" s="40" t="str">
        <f aca="false">IF(AND(B520&lt;&gt;"",D520&lt;&gt;"Done",E520&lt;&gt;""),E520+ROW()/100000,"")</f>
        <v/>
      </c>
    </row>
    <row r="521" customFormat="false" ht="15" hidden="false" customHeight="false" outlineLevel="0" collapsed="false">
      <c r="A521" s="32"/>
      <c r="B521" s="32"/>
      <c r="C521" s="33"/>
      <c r="D521" s="32"/>
      <c r="E521" s="35"/>
      <c r="F521" s="32"/>
      <c r="G521" s="35"/>
      <c r="H521" s="37" t="str">
        <f aca="true">IF(B521="","",IF(OR(D521="Done"),"Done",IF(E521="","No Due Date",IF(E521&lt;TODAY(),"Overdue",IF(E521=TODAY(),"Due Today",IF(E521&lt;TODAY()+7,"Due This Week","Later"))))))</f>
        <v/>
      </c>
      <c r="I521" s="40" t="str">
        <f aca="false">IF(AND(B521&lt;&gt;"",D521&lt;&gt;"Done",E521&lt;&gt;""),E521+ROW()/100000,"")</f>
        <v/>
      </c>
    </row>
    <row r="522" customFormat="false" ht="15" hidden="false" customHeight="false" outlineLevel="0" collapsed="false">
      <c r="A522" s="32"/>
      <c r="B522" s="32"/>
      <c r="C522" s="33"/>
      <c r="D522" s="32"/>
      <c r="E522" s="35"/>
      <c r="F522" s="32"/>
      <c r="G522" s="35"/>
      <c r="H522" s="37" t="str">
        <f aca="true">IF(B522="","",IF(OR(D522="Done"),"Done",IF(E522="","No Due Date",IF(E522&lt;TODAY(),"Overdue",IF(E522=TODAY(),"Due Today",IF(E522&lt;TODAY()+7,"Due This Week","Later"))))))</f>
        <v/>
      </c>
      <c r="I522" s="40" t="str">
        <f aca="false">IF(AND(B522&lt;&gt;"",D522&lt;&gt;"Done",E522&lt;&gt;""),E522+ROW()/100000,"")</f>
        <v/>
      </c>
    </row>
    <row r="523" customFormat="false" ht="15" hidden="false" customHeight="false" outlineLevel="0" collapsed="false">
      <c r="A523" s="32"/>
      <c r="B523" s="32"/>
      <c r="C523" s="33"/>
      <c r="D523" s="32"/>
      <c r="E523" s="35"/>
      <c r="F523" s="32"/>
      <c r="G523" s="35"/>
      <c r="H523" s="37" t="str">
        <f aca="true">IF(B523="","",IF(OR(D523="Done"),"Done",IF(E523="","No Due Date",IF(E523&lt;TODAY(),"Overdue",IF(E523=TODAY(),"Due Today",IF(E523&lt;TODAY()+7,"Due This Week","Later"))))))</f>
        <v/>
      </c>
      <c r="I523" s="40" t="str">
        <f aca="false">IF(AND(B523&lt;&gt;"",D523&lt;&gt;"Done",E523&lt;&gt;""),E523+ROW()/100000,"")</f>
        <v/>
      </c>
    </row>
    <row r="524" customFormat="false" ht="15" hidden="false" customHeight="false" outlineLevel="0" collapsed="false">
      <c r="A524" s="32"/>
      <c r="B524" s="32"/>
      <c r="C524" s="33"/>
      <c r="D524" s="32"/>
      <c r="E524" s="35"/>
      <c r="F524" s="32"/>
      <c r="G524" s="35"/>
      <c r="H524" s="37" t="str">
        <f aca="true">IF(B524="","",IF(OR(D524="Done"),"Done",IF(E524="","No Due Date",IF(E524&lt;TODAY(),"Overdue",IF(E524=TODAY(),"Due Today",IF(E524&lt;TODAY()+7,"Due This Week","Later"))))))</f>
        <v/>
      </c>
      <c r="I524" s="40" t="str">
        <f aca="false">IF(AND(B524&lt;&gt;"",D524&lt;&gt;"Done",E524&lt;&gt;""),E524+ROW()/100000,"")</f>
        <v/>
      </c>
    </row>
    <row r="525" customFormat="false" ht="15" hidden="false" customHeight="false" outlineLevel="0" collapsed="false">
      <c r="A525" s="32"/>
      <c r="B525" s="32"/>
      <c r="C525" s="33"/>
      <c r="D525" s="32"/>
      <c r="E525" s="35"/>
      <c r="F525" s="32"/>
      <c r="G525" s="35"/>
      <c r="H525" s="37" t="str">
        <f aca="true">IF(B525="","",IF(OR(D525="Done"),"Done",IF(E525="","No Due Date",IF(E525&lt;TODAY(),"Overdue",IF(E525=TODAY(),"Due Today",IF(E525&lt;TODAY()+7,"Due This Week","Later"))))))</f>
        <v/>
      </c>
      <c r="I525" s="40" t="str">
        <f aca="false">IF(AND(B525&lt;&gt;"",D525&lt;&gt;"Done",E525&lt;&gt;""),E525+ROW()/100000,"")</f>
        <v/>
      </c>
    </row>
    <row r="526" customFormat="false" ht="15" hidden="false" customHeight="false" outlineLevel="0" collapsed="false">
      <c r="A526" s="32"/>
      <c r="B526" s="32"/>
      <c r="C526" s="33"/>
      <c r="D526" s="32"/>
      <c r="E526" s="35"/>
      <c r="F526" s="32"/>
      <c r="G526" s="35"/>
      <c r="H526" s="37" t="str">
        <f aca="true">IF(B526="","",IF(OR(D526="Done"),"Done",IF(E526="","No Due Date",IF(E526&lt;TODAY(),"Overdue",IF(E526=TODAY(),"Due Today",IF(E526&lt;TODAY()+7,"Due This Week","Later"))))))</f>
        <v/>
      </c>
      <c r="I526" s="40" t="str">
        <f aca="false">IF(AND(B526&lt;&gt;"",D526&lt;&gt;"Done",E526&lt;&gt;""),E526+ROW()/100000,"")</f>
        <v/>
      </c>
    </row>
    <row r="527" customFormat="false" ht="15" hidden="false" customHeight="false" outlineLevel="0" collapsed="false">
      <c r="A527" s="32"/>
      <c r="B527" s="32"/>
      <c r="C527" s="33"/>
      <c r="D527" s="32"/>
      <c r="E527" s="35"/>
      <c r="F527" s="32"/>
      <c r="G527" s="35"/>
      <c r="H527" s="37" t="str">
        <f aca="true">IF(B527="","",IF(OR(D527="Done"),"Done",IF(E527="","No Due Date",IF(E527&lt;TODAY(),"Overdue",IF(E527=TODAY(),"Due Today",IF(E527&lt;TODAY()+7,"Due This Week","Later"))))))</f>
        <v/>
      </c>
      <c r="I527" s="40" t="str">
        <f aca="false">IF(AND(B527&lt;&gt;"",D527&lt;&gt;"Done",E527&lt;&gt;""),E527+ROW()/100000,"")</f>
        <v/>
      </c>
    </row>
    <row r="528" customFormat="false" ht="15" hidden="false" customHeight="false" outlineLevel="0" collapsed="false">
      <c r="A528" s="32"/>
      <c r="B528" s="32"/>
      <c r="C528" s="33"/>
      <c r="D528" s="32"/>
      <c r="E528" s="35"/>
      <c r="F528" s="32"/>
      <c r="G528" s="35"/>
      <c r="H528" s="37" t="str">
        <f aca="true">IF(B528="","",IF(OR(D528="Done"),"Done",IF(E528="","No Due Date",IF(E528&lt;TODAY(),"Overdue",IF(E528=TODAY(),"Due Today",IF(E528&lt;TODAY()+7,"Due This Week","Later"))))))</f>
        <v/>
      </c>
      <c r="I528" s="40" t="str">
        <f aca="false">IF(AND(B528&lt;&gt;"",D528&lt;&gt;"Done",E528&lt;&gt;""),E528+ROW()/100000,"")</f>
        <v/>
      </c>
    </row>
    <row r="529" customFormat="false" ht="15" hidden="false" customHeight="false" outlineLevel="0" collapsed="false">
      <c r="A529" s="32"/>
      <c r="B529" s="32"/>
      <c r="C529" s="33"/>
      <c r="D529" s="32"/>
      <c r="E529" s="35"/>
      <c r="F529" s="32"/>
      <c r="G529" s="35"/>
      <c r="H529" s="37" t="str">
        <f aca="true">IF(B529="","",IF(OR(D529="Done"),"Done",IF(E529="","No Due Date",IF(E529&lt;TODAY(),"Overdue",IF(E529=TODAY(),"Due Today",IF(E529&lt;TODAY()+7,"Due This Week","Later"))))))</f>
        <v/>
      </c>
      <c r="I529" s="40" t="str">
        <f aca="false">IF(AND(B529&lt;&gt;"",D529&lt;&gt;"Done",E529&lt;&gt;""),E529+ROW()/100000,"")</f>
        <v/>
      </c>
    </row>
    <row r="530" customFormat="false" ht="15" hidden="false" customHeight="false" outlineLevel="0" collapsed="false">
      <c r="A530" s="32"/>
      <c r="B530" s="32"/>
      <c r="C530" s="33"/>
      <c r="D530" s="32"/>
      <c r="E530" s="35"/>
      <c r="F530" s="32"/>
      <c r="G530" s="35"/>
      <c r="H530" s="37" t="str">
        <f aca="true">IF(B530="","",IF(OR(D530="Done"),"Done",IF(E530="","No Due Date",IF(E530&lt;TODAY(),"Overdue",IF(E530=TODAY(),"Due Today",IF(E530&lt;TODAY()+7,"Due This Week","Later"))))))</f>
        <v/>
      </c>
      <c r="I530" s="40" t="str">
        <f aca="false">IF(AND(B530&lt;&gt;"",D530&lt;&gt;"Done",E530&lt;&gt;""),E530+ROW()/100000,"")</f>
        <v/>
      </c>
    </row>
    <row r="531" customFormat="false" ht="15" hidden="false" customHeight="false" outlineLevel="0" collapsed="false">
      <c r="A531" s="32"/>
      <c r="B531" s="32"/>
      <c r="C531" s="33"/>
      <c r="D531" s="32"/>
      <c r="E531" s="35"/>
      <c r="F531" s="32"/>
      <c r="G531" s="35"/>
      <c r="H531" s="37" t="str">
        <f aca="true">IF(B531="","",IF(OR(D531="Done"),"Done",IF(E531="","No Due Date",IF(E531&lt;TODAY(),"Overdue",IF(E531=TODAY(),"Due Today",IF(E531&lt;TODAY()+7,"Due This Week","Later"))))))</f>
        <v/>
      </c>
      <c r="I531" s="40" t="str">
        <f aca="false">IF(AND(B531&lt;&gt;"",D531&lt;&gt;"Done",E531&lt;&gt;""),E531+ROW()/100000,"")</f>
        <v/>
      </c>
    </row>
    <row r="532" customFormat="false" ht="15" hidden="false" customHeight="false" outlineLevel="0" collapsed="false">
      <c r="A532" s="32"/>
      <c r="B532" s="32"/>
      <c r="C532" s="33"/>
      <c r="D532" s="32"/>
      <c r="E532" s="35"/>
      <c r="F532" s="32"/>
      <c r="G532" s="35"/>
      <c r="H532" s="37" t="str">
        <f aca="true">IF(B532="","",IF(OR(D532="Done"),"Done",IF(E532="","No Due Date",IF(E532&lt;TODAY(),"Overdue",IF(E532=TODAY(),"Due Today",IF(E532&lt;TODAY()+7,"Due This Week","Later"))))))</f>
        <v/>
      </c>
      <c r="I532" s="40" t="str">
        <f aca="false">IF(AND(B532&lt;&gt;"",D532&lt;&gt;"Done",E532&lt;&gt;""),E532+ROW()/100000,"")</f>
        <v/>
      </c>
    </row>
    <row r="533" customFormat="false" ht="15" hidden="false" customHeight="false" outlineLevel="0" collapsed="false">
      <c r="A533" s="32"/>
      <c r="B533" s="32"/>
      <c r="C533" s="33"/>
      <c r="D533" s="32"/>
      <c r="E533" s="35"/>
      <c r="F533" s="32"/>
      <c r="G533" s="35"/>
      <c r="H533" s="37" t="str">
        <f aca="true">IF(B533="","",IF(OR(D533="Done"),"Done",IF(E533="","No Due Date",IF(E533&lt;TODAY(),"Overdue",IF(E533=TODAY(),"Due Today",IF(E533&lt;TODAY()+7,"Due This Week","Later"))))))</f>
        <v/>
      </c>
      <c r="I533" s="40" t="str">
        <f aca="false">IF(AND(B533&lt;&gt;"",D533&lt;&gt;"Done",E533&lt;&gt;""),E533+ROW()/100000,"")</f>
        <v/>
      </c>
    </row>
    <row r="534" customFormat="false" ht="15" hidden="false" customHeight="false" outlineLevel="0" collapsed="false">
      <c r="A534" s="32"/>
      <c r="B534" s="32"/>
      <c r="C534" s="33"/>
      <c r="D534" s="32"/>
      <c r="E534" s="35"/>
      <c r="F534" s="32"/>
      <c r="G534" s="35"/>
      <c r="H534" s="37" t="str">
        <f aca="true">IF(B534="","",IF(OR(D534="Done"),"Done",IF(E534="","No Due Date",IF(E534&lt;TODAY(),"Overdue",IF(E534=TODAY(),"Due Today",IF(E534&lt;TODAY()+7,"Due This Week","Later"))))))</f>
        <v/>
      </c>
      <c r="I534" s="40" t="str">
        <f aca="false">IF(AND(B534&lt;&gt;"",D534&lt;&gt;"Done",E534&lt;&gt;""),E534+ROW()/100000,"")</f>
        <v/>
      </c>
    </row>
    <row r="535" customFormat="false" ht="15" hidden="false" customHeight="false" outlineLevel="0" collapsed="false">
      <c r="A535" s="32"/>
      <c r="B535" s="32"/>
      <c r="C535" s="33"/>
      <c r="D535" s="32"/>
      <c r="E535" s="35"/>
      <c r="F535" s="32"/>
      <c r="G535" s="35"/>
      <c r="H535" s="37" t="str">
        <f aca="true">IF(B535="","",IF(OR(D535="Done"),"Done",IF(E535="","No Due Date",IF(E535&lt;TODAY(),"Overdue",IF(E535=TODAY(),"Due Today",IF(E535&lt;TODAY()+7,"Due This Week","Later"))))))</f>
        <v/>
      </c>
      <c r="I535" s="40" t="str">
        <f aca="false">IF(AND(B535&lt;&gt;"",D535&lt;&gt;"Done",E535&lt;&gt;""),E535+ROW()/100000,"")</f>
        <v/>
      </c>
    </row>
    <row r="536" customFormat="false" ht="15" hidden="false" customHeight="false" outlineLevel="0" collapsed="false">
      <c r="A536" s="32"/>
      <c r="B536" s="32"/>
      <c r="C536" s="33"/>
      <c r="D536" s="32"/>
      <c r="E536" s="35"/>
      <c r="F536" s="32"/>
      <c r="G536" s="35"/>
      <c r="H536" s="37" t="str">
        <f aca="true">IF(B536="","",IF(OR(D536="Done"),"Done",IF(E536="","No Due Date",IF(E536&lt;TODAY(),"Overdue",IF(E536=TODAY(),"Due Today",IF(E536&lt;TODAY()+7,"Due This Week","Later"))))))</f>
        <v/>
      </c>
      <c r="I536" s="40" t="str">
        <f aca="false">IF(AND(B536&lt;&gt;"",D536&lt;&gt;"Done",E536&lt;&gt;""),E536+ROW()/100000,"")</f>
        <v/>
      </c>
    </row>
    <row r="537" customFormat="false" ht="15" hidden="false" customHeight="false" outlineLevel="0" collapsed="false">
      <c r="A537" s="32"/>
      <c r="B537" s="32"/>
      <c r="C537" s="33"/>
      <c r="D537" s="32"/>
      <c r="E537" s="35"/>
      <c r="F537" s="32"/>
      <c r="G537" s="35"/>
      <c r="H537" s="37" t="str">
        <f aca="true">IF(B537="","",IF(OR(D537="Done"),"Done",IF(E537="","No Due Date",IF(E537&lt;TODAY(),"Overdue",IF(E537=TODAY(),"Due Today",IF(E537&lt;TODAY()+7,"Due This Week","Later"))))))</f>
        <v/>
      </c>
      <c r="I537" s="40" t="str">
        <f aca="false">IF(AND(B537&lt;&gt;"",D537&lt;&gt;"Done",E537&lt;&gt;""),E537+ROW()/100000,"")</f>
        <v/>
      </c>
    </row>
    <row r="538" customFormat="false" ht="15" hidden="false" customHeight="false" outlineLevel="0" collapsed="false">
      <c r="A538" s="32"/>
      <c r="B538" s="32"/>
      <c r="C538" s="33"/>
      <c r="D538" s="32"/>
      <c r="E538" s="35"/>
      <c r="F538" s="32"/>
      <c r="G538" s="35"/>
      <c r="H538" s="37" t="str">
        <f aca="true">IF(B538="","",IF(OR(D538="Done"),"Done",IF(E538="","No Due Date",IF(E538&lt;TODAY(),"Overdue",IF(E538=TODAY(),"Due Today",IF(E538&lt;TODAY()+7,"Due This Week","Later"))))))</f>
        <v/>
      </c>
      <c r="I538" s="40" t="str">
        <f aca="false">IF(AND(B538&lt;&gt;"",D538&lt;&gt;"Done",E538&lt;&gt;""),E538+ROW()/100000,"")</f>
        <v/>
      </c>
    </row>
    <row r="539" customFormat="false" ht="15" hidden="false" customHeight="false" outlineLevel="0" collapsed="false">
      <c r="A539" s="32"/>
      <c r="B539" s="32"/>
      <c r="C539" s="33"/>
      <c r="D539" s="32"/>
      <c r="E539" s="35"/>
      <c r="F539" s="32"/>
      <c r="G539" s="35"/>
      <c r="H539" s="37" t="str">
        <f aca="true">IF(B539="","",IF(OR(D539="Done"),"Done",IF(E539="","No Due Date",IF(E539&lt;TODAY(),"Overdue",IF(E539=TODAY(),"Due Today",IF(E539&lt;TODAY()+7,"Due This Week","Later"))))))</f>
        <v/>
      </c>
      <c r="I539" s="40" t="str">
        <f aca="false">IF(AND(B539&lt;&gt;"",D539&lt;&gt;"Done",E539&lt;&gt;""),E539+ROW()/100000,"")</f>
        <v/>
      </c>
    </row>
    <row r="540" customFormat="false" ht="15" hidden="false" customHeight="false" outlineLevel="0" collapsed="false">
      <c r="A540" s="32"/>
      <c r="B540" s="32"/>
      <c r="C540" s="33"/>
      <c r="D540" s="32"/>
      <c r="E540" s="35"/>
      <c r="F540" s="32"/>
      <c r="G540" s="35"/>
      <c r="H540" s="37" t="str">
        <f aca="true">IF(B540="","",IF(OR(D540="Done"),"Done",IF(E540="","No Due Date",IF(E540&lt;TODAY(),"Overdue",IF(E540=TODAY(),"Due Today",IF(E540&lt;TODAY()+7,"Due This Week","Later"))))))</f>
        <v/>
      </c>
      <c r="I540" s="40" t="str">
        <f aca="false">IF(AND(B540&lt;&gt;"",D540&lt;&gt;"Done",E540&lt;&gt;""),E540+ROW()/100000,"")</f>
        <v/>
      </c>
    </row>
    <row r="541" customFormat="false" ht="15" hidden="false" customHeight="false" outlineLevel="0" collapsed="false">
      <c r="A541" s="32"/>
      <c r="B541" s="32"/>
      <c r="C541" s="33"/>
      <c r="D541" s="32"/>
      <c r="E541" s="35"/>
      <c r="F541" s="32"/>
      <c r="G541" s="35"/>
      <c r="H541" s="37" t="str">
        <f aca="true">IF(B541="","",IF(OR(D541="Done"),"Done",IF(E541="","No Due Date",IF(E541&lt;TODAY(),"Overdue",IF(E541=TODAY(),"Due Today",IF(E541&lt;TODAY()+7,"Due This Week","Later"))))))</f>
        <v/>
      </c>
      <c r="I541" s="40" t="str">
        <f aca="false">IF(AND(B541&lt;&gt;"",D541&lt;&gt;"Done",E541&lt;&gt;""),E541+ROW()/100000,"")</f>
        <v/>
      </c>
    </row>
    <row r="542" customFormat="false" ht="15" hidden="false" customHeight="false" outlineLevel="0" collapsed="false">
      <c r="A542" s="32"/>
      <c r="B542" s="32"/>
      <c r="C542" s="33"/>
      <c r="D542" s="32"/>
      <c r="E542" s="35"/>
      <c r="F542" s="32"/>
      <c r="G542" s="35"/>
      <c r="H542" s="37" t="str">
        <f aca="true">IF(B542="","",IF(OR(D542="Done"),"Done",IF(E542="","No Due Date",IF(E542&lt;TODAY(),"Overdue",IF(E542=TODAY(),"Due Today",IF(E542&lt;TODAY()+7,"Due This Week","Later"))))))</f>
        <v/>
      </c>
      <c r="I542" s="40" t="str">
        <f aca="false">IF(AND(B542&lt;&gt;"",D542&lt;&gt;"Done",E542&lt;&gt;""),E542+ROW()/100000,"")</f>
        <v/>
      </c>
    </row>
    <row r="543" customFormat="false" ht="15" hidden="false" customHeight="false" outlineLevel="0" collapsed="false">
      <c r="A543" s="32"/>
      <c r="B543" s="32"/>
      <c r="C543" s="33"/>
      <c r="D543" s="32"/>
      <c r="E543" s="35"/>
      <c r="F543" s="32"/>
      <c r="G543" s="35"/>
      <c r="H543" s="37" t="str">
        <f aca="true">IF(B543="","",IF(OR(D543="Done"),"Done",IF(E543="","No Due Date",IF(E543&lt;TODAY(),"Overdue",IF(E543=TODAY(),"Due Today",IF(E543&lt;TODAY()+7,"Due This Week","Later"))))))</f>
        <v/>
      </c>
      <c r="I543" s="40" t="str">
        <f aca="false">IF(AND(B543&lt;&gt;"",D543&lt;&gt;"Done",E543&lt;&gt;""),E543+ROW()/100000,"")</f>
        <v/>
      </c>
    </row>
    <row r="544" customFormat="false" ht="15" hidden="false" customHeight="false" outlineLevel="0" collapsed="false">
      <c r="A544" s="32"/>
      <c r="B544" s="32"/>
      <c r="C544" s="33"/>
      <c r="D544" s="32"/>
      <c r="E544" s="35"/>
      <c r="F544" s="32"/>
      <c r="G544" s="35"/>
      <c r="H544" s="37" t="str">
        <f aca="true">IF(B544="","",IF(OR(D544="Done"),"Done",IF(E544="","No Due Date",IF(E544&lt;TODAY(),"Overdue",IF(E544=TODAY(),"Due Today",IF(E544&lt;TODAY()+7,"Due This Week","Later"))))))</f>
        <v/>
      </c>
      <c r="I544" s="40" t="str">
        <f aca="false">IF(AND(B544&lt;&gt;"",D544&lt;&gt;"Done",E544&lt;&gt;""),E544+ROW()/100000,"")</f>
        <v/>
      </c>
    </row>
    <row r="545" customFormat="false" ht="15" hidden="false" customHeight="false" outlineLevel="0" collapsed="false">
      <c r="A545" s="32"/>
      <c r="B545" s="32"/>
      <c r="C545" s="33"/>
      <c r="D545" s="32"/>
      <c r="E545" s="35"/>
      <c r="F545" s="32"/>
      <c r="G545" s="35"/>
      <c r="H545" s="37" t="str">
        <f aca="true">IF(B545="","",IF(OR(D545="Done"),"Done",IF(E545="","No Due Date",IF(E545&lt;TODAY(),"Overdue",IF(E545=TODAY(),"Due Today",IF(E545&lt;TODAY()+7,"Due This Week","Later"))))))</f>
        <v/>
      </c>
      <c r="I545" s="40" t="str">
        <f aca="false">IF(AND(B545&lt;&gt;"",D545&lt;&gt;"Done",E545&lt;&gt;""),E545+ROW()/100000,"")</f>
        <v/>
      </c>
    </row>
    <row r="546" customFormat="false" ht="15" hidden="false" customHeight="false" outlineLevel="0" collapsed="false">
      <c r="A546" s="32"/>
      <c r="B546" s="32"/>
      <c r="C546" s="33"/>
      <c r="D546" s="32"/>
      <c r="E546" s="35"/>
      <c r="F546" s="32"/>
      <c r="G546" s="35"/>
      <c r="H546" s="37" t="str">
        <f aca="true">IF(B546="","",IF(OR(D546="Done"),"Done",IF(E546="","No Due Date",IF(E546&lt;TODAY(),"Overdue",IF(E546=TODAY(),"Due Today",IF(E546&lt;TODAY()+7,"Due This Week","Later"))))))</f>
        <v/>
      </c>
      <c r="I546" s="40" t="str">
        <f aca="false">IF(AND(B546&lt;&gt;"",D546&lt;&gt;"Done",E546&lt;&gt;""),E546+ROW()/100000,"")</f>
        <v/>
      </c>
    </row>
    <row r="547" customFormat="false" ht="15" hidden="false" customHeight="false" outlineLevel="0" collapsed="false">
      <c r="A547" s="32"/>
      <c r="B547" s="32"/>
      <c r="C547" s="33"/>
      <c r="D547" s="32"/>
      <c r="E547" s="35"/>
      <c r="F547" s="32"/>
      <c r="G547" s="35"/>
      <c r="H547" s="37" t="str">
        <f aca="true">IF(B547="","",IF(OR(D547="Done"),"Done",IF(E547="","No Due Date",IF(E547&lt;TODAY(),"Overdue",IF(E547=TODAY(),"Due Today",IF(E547&lt;TODAY()+7,"Due This Week","Later"))))))</f>
        <v/>
      </c>
      <c r="I547" s="40" t="str">
        <f aca="false">IF(AND(B547&lt;&gt;"",D547&lt;&gt;"Done",E547&lt;&gt;""),E547+ROW()/100000,"")</f>
        <v/>
      </c>
    </row>
    <row r="548" customFormat="false" ht="15" hidden="false" customHeight="false" outlineLevel="0" collapsed="false">
      <c r="A548" s="32"/>
      <c r="B548" s="32"/>
      <c r="C548" s="33"/>
      <c r="D548" s="32"/>
      <c r="E548" s="35"/>
      <c r="F548" s="32"/>
      <c r="G548" s="35"/>
      <c r="H548" s="37" t="str">
        <f aca="true">IF(B548="","",IF(OR(D548="Done"),"Done",IF(E548="","No Due Date",IF(E548&lt;TODAY(),"Overdue",IF(E548=TODAY(),"Due Today",IF(E548&lt;TODAY()+7,"Due This Week","Later"))))))</f>
        <v/>
      </c>
      <c r="I548" s="40" t="str">
        <f aca="false">IF(AND(B548&lt;&gt;"",D548&lt;&gt;"Done",E548&lt;&gt;""),E548+ROW()/100000,"")</f>
        <v/>
      </c>
    </row>
    <row r="549" customFormat="false" ht="15" hidden="false" customHeight="false" outlineLevel="0" collapsed="false">
      <c r="A549" s="32"/>
      <c r="B549" s="32"/>
      <c r="C549" s="33"/>
      <c r="D549" s="32"/>
      <c r="E549" s="35"/>
      <c r="F549" s="32"/>
      <c r="G549" s="35"/>
      <c r="H549" s="37" t="str">
        <f aca="true">IF(B549="","",IF(OR(D549="Done"),"Done",IF(E549="","No Due Date",IF(E549&lt;TODAY(),"Overdue",IF(E549=TODAY(),"Due Today",IF(E549&lt;TODAY()+7,"Due This Week","Later"))))))</f>
        <v/>
      </c>
      <c r="I549" s="40" t="str">
        <f aca="false">IF(AND(B549&lt;&gt;"",D549&lt;&gt;"Done",E549&lt;&gt;""),E549+ROW()/100000,"")</f>
        <v/>
      </c>
    </row>
    <row r="550" customFormat="false" ht="15" hidden="false" customHeight="false" outlineLevel="0" collapsed="false">
      <c r="A550" s="32"/>
      <c r="B550" s="32"/>
      <c r="C550" s="33"/>
      <c r="D550" s="32"/>
      <c r="E550" s="35"/>
      <c r="F550" s="32"/>
      <c r="G550" s="35"/>
      <c r="H550" s="37" t="str">
        <f aca="true">IF(B550="","",IF(OR(D550="Done"),"Done",IF(E550="","No Due Date",IF(E550&lt;TODAY(),"Overdue",IF(E550=TODAY(),"Due Today",IF(E550&lt;TODAY()+7,"Due This Week","Later"))))))</f>
        <v/>
      </c>
      <c r="I550" s="40" t="str">
        <f aca="false">IF(AND(B550&lt;&gt;"",D550&lt;&gt;"Done",E550&lt;&gt;""),E550+ROW()/100000,"")</f>
        <v/>
      </c>
    </row>
    <row r="551" customFormat="false" ht="15" hidden="false" customHeight="false" outlineLevel="0" collapsed="false">
      <c r="A551" s="32"/>
      <c r="B551" s="32"/>
      <c r="C551" s="33"/>
      <c r="D551" s="32"/>
      <c r="E551" s="35"/>
      <c r="F551" s="32"/>
      <c r="G551" s="35"/>
      <c r="H551" s="37" t="str">
        <f aca="true">IF(B551="","",IF(OR(D551="Done"),"Done",IF(E551="","No Due Date",IF(E551&lt;TODAY(),"Overdue",IF(E551=TODAY(),"Due Today",IF(E551&lt;TODAY()+7,"Due This Week","Later"))))))</f>
        <v/>
      </c>
      <c r="I551" s="40" t="str">
        <f aca="false">IF(AND(B551&lt;&gt;"",D551&lt;&gt;"Done",E551&lt;&gt;""),E551+ROW()/100000,"")</f>
        <v/>
      </c>
    </row>
    <row r="552" customFormat="false" ht="15" hidden="false" customHeight="false" outlineLevel="0" collapsed="false">
      <c r="A552" s="32"/>
      <c r="B552" s="32"/>
      <c r="C552" s="33"/>
      <c r="D552" s="32"/>
      <c r="E552" s="35"/>
      <c r="F552" s="32"/>
      <c r="G552" s="35"/>
      <c r="H552" s="37" t="str">
        <f aca="true">IF(B552="","",IF(OR(D552="Done"),"Done",IF(E552="","No Due Date",IF(E552&lt;TODAY(),"Overdue",IF(E552=TODAY(),"Due Today",IF(E552&lt;TODAY()+7,"Due This Week","Later"))))))</f>
        <v/>
      </c>
      <c r="I552" s="40" t="str">
        <f aca="false">IF(AND(B552&lt;&gt;"",D552&lt;&gt;"Done",E552&lt;&gt;""),E552+ROW()/100000,"")</f>
        <v/>
      </c>
    </row>
    <row r="553" customFormat="false" ht="15" hidden="false" customHeight="false" outlineLevel="0" collapsed="false">
      <c r="A553" s="32"/>
      <c r="B553" s="32"/>
      <c r="C553" s="33"/>
      <c r="D553" s="32"/>
      <c r="E553" s="35"/>
      <c r="F553" s="32"/>
      <c r="G553" s="35"/>
      <c r="H553" s="37" t="str">
        <f aca="true">IF(B553="","",IF(OR(D553="Done"),"Done",IF(E553="","No Due Date",IF(E553&lt;TODAY(),"Overdue",IF(E553=TODAY(),"Due Today",IF(E553&lt;TODAY()+7,"Due This Week","Later"))))))</f>
        <v/>
      </c>
      <c r="I553" s="40" t="str">
        <f aca="false">IF(AND(B553&lt;&gt;"",D553&lt;&gt;"Done",E553&lt;&gt;""),E553+ROW()/100000,"")</f>
        <v/>
      </c>
    </row>
    <row r="554" customFormat="false" ht="15" hidden="false" customHeight="false" outlineLevel="0" collapsed="false">
      <c r="A554" s="32"/>
      <c r="B554" s="32"/>
      <c r="C554" s="33"/>
      <c r="D554" s="32"/>
      <c r="E554" s="35"/>
      <c r="F554" s="32"/>
      <c r="G554" s="35"/>
      <c r="H554" s="37" t="str">
        <f aca="true">IF(B554="","",IF(OR(D554="Done"),"Done",IF(E554="","No Due Date",IF(E554&lt;TODAY(),"Overdue",IF(E554=TODAY(),"Due Today",IF(E554&lt;TODAY()+7,"Due This Week","Later"))))))</f>
        <v/>
      </c>
      <c r="I554" s="40" t="str">
        <f aca="false">IF(AND(B554&lt;&gt;"",D554&lt;&gt;"Done",E554&lt;&gt;""),E554+ROW()/100000,"")</f>
        <v/>
      </c>
    </row>
    <row r="555" customFormat="false" ht="15" hidden="false" customHeight="false" outlineLevel="0" collapsed="false">
      <c r="A555" s="32"/>
      <c r="B555" s="32"/>
      <c r="C555" s="33"/>
      <c r="D555" s="32"/>
      <c r="E555" s="35"/>
      <c r="F555" s="32"/>
      <c r="G555" s="35"/>
      <c r="H555" s="37" t="str">
        <f aca="true">IF(B555="","",IF(OR(D555="Done"),"Done",IF(E555="","No Due Date",IF(E555&lt;TODAY(),"Overdue",IF(E555=TODAY(),"Due Today",IF(E555&lt;TODAY()+7,"Due This Week","Later"))))))</f>
        <v/>
      </c>
      <c r="I555" s="40" t="str">
        <f aca="false">IF(AND(B555&lt;&gt;"",D555&lt;&gt;"Done",E555&lt;&gt;""),E555+ROW()/100000,"")</f>
        <v/>
      </c>
    </row>
    <row r="556" customFormat="false" ht="15" hidden="false" customHeight="false" outlineLevel="0" collapsed="false">
      <c r="A556" s="32"/>
      <c r="B556" s="32"/>
      <c r="C556" s="33"/>
      <c r="D556" s="32"/>
      <c r="E556" s="35"/>
      <c r="F556" s="32"/>
      <c r="G556" s="35"/>
      <c r="H556" s="37" t="str">
        <f aca="true">IF(B556="","",IF(OR(D556="Done"),"Done",IF(E556="","No Due Date",IF(E556&lt;TODAY(),"Overdue",IF(E556=TODAY(),"Due Today",IF(E556&lt;TODAY()+7,"Due This Week","Later"))))))</f>
        <v/>
      </c>
      <c r="I556" s="40" t="str">
        <f aca="false">IF(AND(B556&lt;&gt;"",D556&lt;&gt;"Done",E556&lt;&gt;""),E556+ROW()/100000,"")</f>
        <v/>
      </c>
    </row>
    <row r="557" customFormat="false" ht="15" hidden="false" customHeight="false" outlineLevel="0" collapsed="false">
      <c r="A557" s="32"/>
      <c r="B557" s="32"/>
      <c r="C557" s="33"/>
      <c r="D557" s="32"/>
      <c r="E557" s="35"/>
      <c r="F557" s="32"/>
      <c r="G557" s="35"/>
      <c r="H557" s="37" t="str">
        <f aca="true">IF(B557="","",IF(OR(D557="Done"),"Done",IF(E557="","No Due Date",IF(E557&lt;TODAY(),"Overdue",IF(E557=TODAY(),"Due Today",IF(E557&lt;TODAY()+7,"Due This Week","Later"))))))</f>
        <v/>
      </c>
      <c r="I557" s="40" t="str">
        <f aca="false">IF(AND(B557&lt;&gt;"",D557&lt;&gt;"Done",E557&lt;&gt;""),E557+ROW()/100000,"")</f>
        <v/>
      </c>
    </row>
    <row r="558" customFormat="false" ht="15" hidden="false" customHeight="false" outlineLevel="0" collapsed="false">
      <c r="A558" s="32"/>
      <c r="B558" s="32"/>
      <c r="C558" s="33"/>
      <c r="D558" s="32"/>
      <c r="E558" s="35"/>
      <c r="F558" s="32"/>
      <c r="G558" s="35"/>
      <c r="H558" s="37" t="str">
        <f aca="true">IF(B558="","",IF(OR(D558="Done"),"Done",IF(E558="","No Due Date",IF(E558&lt;TODAY(),"Overdue",IF(E558=TODAY(),"Due Today",IF(E558&lt;TODAY()+7,"Due This Week","Later"))))))</f>
        <v/>
      </c>
      <c r="I558" s="40" t="str">
        <f aca="false">IF(AND(B558&lt;&gt;"",D558&lt;&gt;"Done",E558&lt;&gt;""),E558+ROW()/100000,"")</f>
        <v/>
      </c>
    </row>
    <row r="559" customFormat="false" ht="15" hidden="false" customHeight="false" outlineLevel="0" collapsed="false">
      <c r="A559" s="32"/>
      <c r="B559" s="32"/>
      <c r="C559" s="33"/>
      <c r="D559" s="32"/>
      <c r="E559" s="35"/>
      <c r="F559" s="32"/>
      <c r="G559" s="35"/>
      <c r="H559" s="37" t="str">
        <f aca="true">IF(B559="","",IF(OR(D559="Done"),"Done",IF(E559="","No Due Date",IF(E559&lt;TODAY(),"Overdue",IF(E559=TODAY(),"Due Today",IF(E559&lt;TODAY()+7,"Due This Week","Later"))))))</f>
        <v/>
      </c>
      <c r="I559" s="40" t="str">
        <f aca="false">IF(AND(B559&lt;&gt;"",D559&lt;&gt;"Done",E559&lt;&gt;""),E559+ROW()/100000,"")</f>
        <v/>
      </c>
    </row>
    <row r="560" customFormat="false" ht="15" hidden="false" customHeight="false" outlineLevel="0" collapsed="false">
      <c r="A560" s="32"/>
      <c r="B560" s="32"/>
      <c r="C560" s="33"/>
      <c r="D560" s="32"/>
      <c r="E560" s="35"/>
      <c r="F560" s="32"/>
      <c r="G560" s="35"/>
      <c r="H560" s="37" t="str">
        <f aca="true">IF(B560="","",IF(OR(D560="Done"),"Done",IF(E560="","No Due Date",IF(E560&lt;TODAY(),"Overdue",IF(E560=TODAY(),"Due Today",IF(E560&lt;TODAY()+7,"Due This Week","Later"))))))</f>
        <v/>
      </c>
      <c r="I560" s="40" t="str">
        <f aca="false">IF(AND(B560&lt;&gt;"",D560&lt;&gt;"Done",E560&lt;&gt;""),E560+ROW()/100000,"")</f>
        <v/>
      </c>
    </row>
    <row r="561" customFormat="false" ht="15" hidden="false" customHeight="false" outlineLevel="0" collapsed="false">
      <c r="A561" s="32"/>
      <c r="B561" s="32"/>
      <c r="C561" s="33"/>
      <c r="D561" s="32"/>
      <c r="E561" s="35"/>
      <c r="F561" s="32"/>
      <c r="G561" s="35"/>
      <c r="H561" s="37" t="str">
        <f aca="true">IF(B561="","",IF(OR(D561="Done"),"Done",IF(E561="","No Due Date",IF(E561&lt;TODAY(),"Overdue",IF(E561=TODAY(),"Due Today",IF(E561&lt;TODAY()+7,"Due This Week","Later"))))))</f>
        <v/>
      </c>
      <c r="I561" s="40" t="str">
        <f aca="false">IF(AND(B561&lt;&gt;"",D561&lt;&gt;"Done",E561&lt;&gt;""),E561+ROW()/100000,"")</f>
        <v/>
      </c>
    </row>
    <row r="562" customFormat="false" ht="15" hidden="false" customHeight="false" outlineLevel="0" collapsed="false">
      <c r="A562" s="32"/>
      <c r="B562" s="32"/>
      <c r="C562" s="33"/>
      <c r="D562" s="32"/>
      <c r="E562" s="35"/>
      <c r="F562" s="32"/>
      <c r="G562" s="35"/>
      <c r="H562" s="37" t="str">
        <f aca="true">IF(B562="","",IF(OR(D562="Done"),"Done",IF(E562="","No Due Date",IF(E562&lt;TODAY(),"Overdue",IF(E562=TODAY(),"Due Today",IF(E562&lt;TODAY()+7,"Due This Week","Later"))))))</f>
        <v/>
      </c>
      <c r="I562" s="40" t="str">
        <f aca="false">IF(AND(B562&lt;&gt;"",D562&lt;&gt;"Done",E562&lt;&gt;""),E562+ROW()/100000,"")</f>
        <v/>
      </c>
    </row>
    <row r="563" customFormat="false" ht="15" hidden="false" customHeight="false" outlineLevel="0" collapsed="false">
      <c r="A563" s="32"/>
      <c r="B563" s="32"/>
      <c r="C563" s="33"/>
      <c r="D563" s="32"/>
      <c r="E563" s="35"/>
      <c r="F563" s="32"/>
      <c r="G563" s="35"/>
      <c r="H563" s="37" t="str">
        <f aca="true">IF(B563="","",IF(OR(D563="Done"),"Done",IF(E563="","No Due Date",IF(E563&lt;TODAY(),"Overdue",IF(E563=TODAY(),"Due Today",IF(E563&lt;TODAY()+7,"Due This Week","Later"))))))</f>
        <v/>
      </c>
      <c r="I563" s="40" t="str">
        <f aca="false">IF(AND(B563&lt;&gt;"",D563&lt;&gt;"Done",E563&lt;&gt;""),E563+ROW()/100000,"")</f>
        <v/>
      </c>
    </row>
    <row r="564" customFormat="false" ht="15" hidden="false" customHeight="false" outlineLevel="0" collapsed="false">
      <c r="A564" s="32"/>
      <c r="B564" s="32"/>
      <c r="C564" s="33"/>
      <c r="D564" s="32"/>
      <c r="E564" s="35"/>
      <c r="F564" s="32"/>
      <c r="G564" s="35"/>
      <c r="H564" s="37" t="str">
        <f aca="true">IF(B564="","",IF(OR(D564="Done"),"Done",IF(E564="","No Due Date",IF(E564&lt;TODAY(),"Overdue",IF(E564=TODAY(),"Due Today",IF(E564&lt;TODAY()+7,"Due This Week","Later"))))))</f>
        <v/>
      </c>
      <c r="I564" s="40" t="str">
        <f aca="false">IF(AND(B564&lt;&gt;"",D564&lt;&gt;"Done",E564&lt;&gt;""),E564+ROW()/100000,"")</f>
        <v/>
      </c>
    </row>
    <row r="565" customFormat="false" ht="15" hidden="false" customHeight="false" outlineLevel="0" collapsed="false">
      <c r="A565" s="32"/>
      <c r="B565" s="32"/>
      <c r="C565" s="33"/>
      <c r="D565" s="32"/>
      <c r="E565" s="35"/>
      <c r="F565" s="32"/>
      <c r="G565" s="35"/>
      <c r="H565" s="37" t="str">
        <f aca="true">IF(B565="","",IF(OR(D565="Done"),"Done",IF(E565="","No Due Date",IF(E565&lt;TODAY(),"Overdue",IF(E565=TODAY(),"Due Today",IF(E565&lt;TODAY()+7,"Due This Week","Later"))))))</f>
        <v/>
      </c>
      <c r="I565" s="40" t="str">
        <f aca="false">IF(AND(B565&lt;&gt;"",D565&lt;&gt;"Done",E565&lt;&gt;""),E565+ROW()/100000,"")</f>
        <v/>
      </c>
    </row>
    <row r="566" customFormat="false" ht="15" hidden="false" customHeight="false" outlineLevel="0" collapsed="false">
      <c r="A566" s="32"/>
      <c r="B566" s="32"/>
      <c r="C566" s="33"/>
      <c r="D566" s="32"/>
      <c r="E566" s="35"/>
      <c r="F566" s="32"/>
      <c r="G566" s="35"/>
      <c r="H566" s="37" t="str">
        <f aca="true">IF(B566="","",IF(OR(D566="Done"),"Done",IF(E566="","No Due Date",IF(E566&lt;TODAY(),"Overdue",IF(E566=TODAY(),"Due Today",IF(E566&lt;TODAY()+7,"Due This Week","Later"))))))</f>
        <v/>
      </c>
      <c r="I566" s="40" t="str">
        <f aca="false">IF(AND(B566&lt;&gt;"",D566&lt;&gt;"Done",E566&lt;&gt;""),E566+ROW()/100000,"")</f>
        <v/>
      </c>
    </row>
    <row r="567" customFormat="false" ht="15" hidden="false" customHeight="false" outlineLevel="0" collapsed="false">
      <c r="A567" s="32"/>
      <c r="B567" s="32"/>
      <c r="C567" s="33"/>
      <c r="D567" s="32"/>
      <c r="E567" s="35"/>
      <c r="F567" s="32"/>
      <c r="G567" s="35"/>
      <c r="H567" s="37" t="str">
        <f aca="true">IF(B567="","",IF(OR(D567="Done"),"Done",IF(E567="","No Due Date",IF(E567&lt;TODAY(),"Overdue",IF(E567=TODAY(),"Due Today",IF(E567&lt;TODAY()+7,"Due This Week","Later"))))))</f>
        <v/>
      </c>
      <c r="I567" s="40" t="str">
        <f aca="false">IF(AND(B567&lt;&gt;"",D567&lt;&gt;"Done",E567&lt;&gt;""),E567+ROW()/100000,"")</f>
        <v/>
      </c>
    </row>
    <row r="568" customFormat="false" ht="15" hidden="false" customHeight="false" outlineLevel="0" collapsed="false">
      <c r="A568" s="32"/>
      <c r="B568" s="32"/>
      <c r="C568" s="33"/>
      <c r="D568" s="32"/>
      <c r="E568" s="35"/>
      <c r="F568" s="32"/>
      <c r="G568" s="35"/>
      <c r="H568" s="37" t="str">
        <f aca="true">IF(B568="","",IF(OR(D568="Done"),"Done",IF(E568="","No Due Date",IF(E568&lt;TODAY(),"Overdue",IF(E568=TODAY(),"Due Today",IF(E568&lt;TODAY()+7,"Due This Week","Later"))))))</f>
        <v/>
      </c>
      <c r="I568" s="40" t="str">
        <f aca="false">IF(AND(B568&lt;&gt;"",D568&lt;&gt;"Done",E568&lt;&gt;""),E568+ROW()/100000,"")</f>
        <v/>
      </c>
    </row>
    <row r="569" customFormat="false" ht="15" hidden="false" customHeight="false" outlineLevel="0" collapsed="false">
      <c r="A569" s="32"/>
      <c r="B569" s="32"/>
      <c r="C569" s="33"/>
      <c r="D569" s="32"/>
      <c r="E569" s="35"/>
      <c r="F569" s="32"/>
      <c r="G569" s="35"/>
      <c r="H569" s="37" t="str">
        <f aca="true">IF(B569="","",IF(OR(D569="Done"),"Done",IF(E569="","No Due Date",IF(E569&lt;TODAY(),"Overdue",IF(E569=TODAY(),"Due Today",IF(E569&lt;TODAY()+7,"Due This Week","Later"))))))</f>
        <v/>
      </c>
      <c r="I569" s="40" t="str">
        <f aca="false">IF(AND(B569&lt;&gt;"",D569&lt;&gt;"Done",E569&lt;&gt;""),E569+ROW()/100000,"")</f>
        <v/>
      </c>
    </row>
    <row r="570" customFormat="false" ht="15" hidden="false" customHeight="false" outlineLevel="0" collapsed="false">
      <c r="A570" s="32"/>
      <c r="B570" s="32"/>
      <c r="C570" s="33"/>
      <c r="D570" s="32"/>
      <c r="E570" s="35"/>
      <c r="F570" s="32"/>
      <c r="G570" s="35"/>
      <c r="H570" s="37" t="str">
        <f aca="true">IF(B570="","",IF(OR(D570="Done"),"Done",IF(E570="","No Due Date",IF(E570&lt;TODAY(),"Overdue",IF(E570=TODAY(),"Due Today",IF(E570&lt;TODAY()+7,"Due This Week","Later"))))))</f>
        <v/>
      </c>
      <c r="I570" s="40" t="str">
        <f aca="false">IF(AND(B570&lt;&gt;"",D570&lt;&gt;"Done",E570&lt;&gt;""),E570+ROW()/100000,"")</f>
        <v/>
      </c>
    </row>
    <row r="571" customFormat="false" ht="15" hidden="false" customHeight="false" outlineLevel="0" collapsed="false">
      <c r="A571" s="32"/>
      <c r="B571" s="32"/>
      <c r="C571" s="33"/>
      <c r="D571" s="32"/>
      <c r="E571" s="35"/>
      <c r="F571" s="32"/>
      <c r="G571" s="35"/>
      <c r="H571" s="37" t="str">
        <f aca="true">IF(B571="","",IF(OR(D571="Done"),"Done",IF(E571="","No Due Date",IF(E571&lt;TODAY(),"Overdue",IF(E571=TODAY(),"Due Today",IF(E571&lt;TODAY()+7,"Due This Week","Later"))))))</f>
        <v/>
      </c>
      <c r="I571" s="40" t="str">
        <f aca="false">IF(AND(B571&lt;&gt;"",D571&lt;&gt;"Done",E571&lt;&gt;""),E571+ROW()/100000,"")</f>
        <v/>
      </c>
    </row>
    <row r="572" customFormat="false" ht="15" hidden="false" customHeight="false" outlineLevel="0" collapsed="false">
      <c r="A572" s="32"/>
      <c r="B572" s="32"/>
      <c r="C572" s="33"/>
      <c r="D572" s="32"/>
      <c r="E572" s="35"/>
      <c r="F572" s="32"/>
      <c r="G572" s="35"/>
      <c r="H572" s="37" t="str">
        <f aca="true">IF(B572="","",IF(OR(D572="Done"),"Done",IF(E572="","No Due Date",IF(E572&lt;TODAY(),"Overdue",IF(E572=TODAY(),"Due Today",IF(E572&lt;TODAY()+7,"Due This Week","Later"))))))</f>
        <v/>
      </c>
      <c r="I572" s="40" t="str">
        <f aca="false">IF(AND(B572&lt;&gt;"",D572&lt;&gt;"Done",E572&lt;&gt;""),E572+ROW()/100000,"")</f>
        <v/>
      </c>
    </row>
    <row r="573" customFormat="false" ht="15" hidden="false" customHeight="false" outlineLevel="0" collapsed="false">
      <c r="A573" s="32"/>
      <c r="B573" s="32"/>
      <c r="C573" s="33"/>
      <c r="D573" s="32"/>
      <c r="E573" s="35"/>
      <c r="F573" s="32"/>
      <c r="G573" s="35"/>
      <c r="H573" s="37" t="str">
        <f aca="true">IF(B573="","",IF(OR(D573="Done"),"Done",IF(E573="","No Due Date",IF(E573&lt;TODAY(),"Overdue",IF(E573=TODAY(),"Due Today",IF(E573&lt;TODAY()+7,"Due This Week","Later"))))))</f>
        <v/>
      </c>
      <c r="I573" s="40" t="str">
        <f aca="false">IF(AND(B573&lt;&gt;"",D573&lt;&gt;"Done",E573&lt;&gt;""),E573+ROW()/100000,"")</f>
        <v/>
      </c>
    </row>
    <row r="574" customFormat="false" ht="15" hidden="false" customHeight="false" outlineLevel="0" collapsed="false">
      <c r="A574" s="32"/>
      <c r="B574" s="32"/>
      <c r="C574" s="33"/>
      <c r="D574" s="32"/>
      <c r="E574" s="35"/>
      <c r="F574" s="32"/>
      <c r="G574" s="35"/>
      <c r="H574" s="37" t="str">
        <f aca="true">IF(B574="","",IF(OR(D574="Done"),"Done",IF(E574="","No Due Date",IF(E574&lt;TODAY(),"Overdue",IF(E574=TODAY(),"Due Today",IF(E574&lt;TODAY()+7,"Due This Week","Later"))))))</f>
        <v/>
      </c>
      <c r="I574" s="40" t="str">
        <f aca="false">IF(AND(B574&lt;&gt;"",D574&lt;&gt;"Done",E574&lt;&gt;""),E574+ROW()/100000,"")</f>
        <v/>
      </c>
    </row>
    <row r="575" customFormat="false" ht="15" hidden="false" customHeight="false" outlineLevel="0" collapsed="false">
      <c r="A575" s="32"/>
      <c r="B575" s="32"/>
      <c r="C575" s="33"/>
      <c r="D575" s="32"/>
      <c r="E575" s="35"/>
      <c r="F575" s="32"/>
      <c r="G575" s="35"/>
      <c r="H575" s="37" t="str">
        <f aca="true">IF(B575="","",IF(OR(D575="Done"),"Done",IF(E575="","No Due Date",IF(E575&lt;TODAY(),"Overdue",IF(E575=TODAY(),"Due Today",IF(E575&lt;TODAY()+7,"Due This Week","Later"))))))</f>
        <v/>
      </c>
      <c r="I575" s="40" t="str">
        <f aca="false">IF(AND(B575&lt;&gt;"",D575&lt;&gt;"Done",E575&lt;&gt;""),E575+ROW()/100000,"")</f>
        <v/>
      </c>
    </row>
    <row r="576" customFormat="false" ht="15" hidden="false" customHeight="false" outlineLevel="0" collapsed="false">
      <c r="A576" s="32"/>
      <c r="B576" s="32"/>
      <c r="C576" s="33"/>
      <c r="D576" s="32"/>
      <c r="E576" s="35"/>
      <c r="F576" s="32"/>
      <c r="G576" s="35"/>
      <c r="H576" s="37" t="str">
        <f aca="true">IF(B576="","",IF(OR(D576="Done"),"Done",IF(E576="","No Due Date",IF(E576&lt;TODAY(),"Overdue",IF(E576=TODAY(),"Due Today",IF(E576&lt;TODAY()+7,"Due This Week","Later"))))))</f>
        <v/>
      </c>
      <c r="I576" s="40" t="str">
        <f aca="false">IF(AND(B576&lt;&gt;"",D576&lt;&gt;"Done",E576&lt;&gt;""),E576+ROW()/100000,"")</f>
        <v/>
      </c>
    </row>
    <row r="577" customFormat="false" ht="15" hidden="false" customHeight="false" outlineLevel="0" collapsed="false">
      <c r="A577" s="32"/>
      <c r="B577" s="32"/>
      <c r="C577" s="33"/>
      <c r="D577" s="32"/>
      <c r="E577" s="35"/>
      <c r="F577" s="32"/>
      <c r="G577" s="35"/>
      <c r="H577" s="37" t="str">
        <f aca="true">IF(B577="","",IF(OR(D577="Done"),"Done",IF(E577="","No Due Date",IF(E577&lt;TODAY(),"Overdue",IF(E577=TODAY(),"Due Today",IF(E577&lt;TODAY()+7,"Due This Week","Later"))))))</f>
        <v/>
      </c>
      <c r="I577" s="40" t="str">
        <f aca="false">IF(AND(B577&lt;&gt;"",D577&lt;&gt;"Done",E577&lt;&gt;""),E577+ROW()/100000,"")</f>
        <v/>
      </c>
    </row>
    <row r="578" customFormat="false" ht="15" hidden="false" customHeight="false" outlineLevel="0" collapsed="false">
      <c r="A578" s="32"/>
      <c r="B578" s="32"/>
      <c r="C578" s="33"/>
      <c r="D578" s="32"/>
      <c r="E578" s="35"/>
      <c r="F578" s="32"/>
      <c r="G578" s="35"/>
      <c r="H578" s="37" t="str">
        <f aca="true">IF(B578="","",IF(OR(D578="Done"),"Done",IF(E578="","No Due Date",IF(E578&lt;TODAY(),"Overdue",IF(E578=TODAY(),"Due Today",IF(E578&lt;TODAY()+7,"Due This Week","Later"))))))</f>
        <v/>
      </c>
      <c r="I578" s="40" t="str">
        <f aca="false">IF(AND(B578&lt;&gt;"",D578&lt;&gt;"Done",E578&lt;&gt;""),E578+ROW()/100000,"")</f>
        <v/>
      </c>
    </row>
    <row r="579" customFormat="false" ht="15" hidden="false" customHeight="false" outlineLevel="0" collapsed="false">
      <c r="A579" s="32"/>
      <c r="B579" s="32"/>
      <c r="C579" s="33"/>
      <c r="D579" s="32"/>
      <c r="E579" s="35"/>
      <c r="F579" s="32"/>
      <c r="G579" s="35"/>
      <c r="H579" s="37" t="str">
        <f aca="true">IF(B579="","",IF(OR(D579="Done"),"Done",IF(E579="","No Due Date",IF(E579&lt;TODAY(),"Overdue",IF(E579=TODAY(),"Due Today",IF(E579&lt;TODAY()+7,"Due This Week","Later"))))))</f>
        <v/>
      </c>
      <c r="I579" s="40" t="str">
        <f aca="false">IF(AND(B579&lt;&gt;"",D579&lt;&gt;"Done",E579&lt;&gt;""),E579+ROW()/100000,"")</f>
        <v/>
      </c>
    </row>
    <row r="580" customFormat="false" ht="15" hidden="false" customHeight="false" outlineLevel="0" collapsed="false">
      <c r="A580" s="32"/>
      <c r="B580" s="32"/>
      <c r="C580" s="33"/>
      <c r="D580" s="32"/>
      <c r="E580" s="35"/>
      <c r="F580" s="32"/>
      <c r="G580" s="35"/>
      <c r="H580" s="37" t="str">
        <f aca="true">IF(B580="","",IF(OR(D580="Done"),"Done",IF(E580="","No Due Date",IF(E580&lt;TODAY(),"Overdue",IF(E580=TODAY(),"Due Today",IF(E580&lt;TODAY()+7,"Due This Week","Later"))))))</f>
        <v/>
      </c>
      <c r="I580" s="40" t="str">
        <f aca="false">IF(AND(B580&lt;&gt;"",D580&lt;&gt;"Done",E580&lt;&gt;""),E580+ROW()/100000,"")</f>
        <v/>
      </c>
    </row>
    <row r="581" customFormat="false" ht="15" hidden="false" customHeight="false" outlineLevel="0" collapsed="false">
      <c r="A581" s="32"/>
      <c r="B581" s="32"/>
      <c r="C581" s="33"/>
      <c r="D581" s="32"/>
      <c r="E581" s="35"/>
      <c r="F581" s="32"/>
      <c r="G581" s="35"/>
      <c r="H581" s="37" t="str">
        <f aca="true">IF(B581="","",IF(OR(D581="Done"),"Done",IF(E581="","No Due Date",IF(E581&lt;TODAY(),"Overdue",IF(E581=TODAY(),"Due Today",IF(E581&lt;TODAY()+7,"Due This Week","Later"))))))</f>
        <v/>
      </c>
      <c r="I581" s="40" t="str">
        <f aca="false">IF(AND(B581&lt;&gt;"",D581&lt;&gt;"Done",E581&lt;&gt;""),E581+ROW()/100000,"")</f>
        <v/>
      </c>
    </row>
    <row r="582" customFormat="false" ht="15" hidden="false" customHeight="false" outlineLevel="0" collapsed="false">
      <c r="A582" s="32"/>
      <c r="B582" s="32"/>
      <c r="C582" s="33"/>
      <c r="D582" s="32"/>
      <c r="E582" s="35"/>
      <c r="F582" s="32"/>
      <c r="G582" s="35"/>
      <c r="H582" s="37" t="str">
        <f aca="true">IF(B582="","",IF(OR(D582="Done"),"Done",IF(E582="","No Due Date",IF(E582&lt;TODAY(),"Overdue",IF(E582=TODAY(),"Due Today",IF(E582&lt;TODAY()+7,"Due This Week","Later"))))))</f>
        <v/>
      </c>
      <c r="I582" s="40" t="str">
        <f aca="false">IF(AND(B582&lt;&gt;"",D582&lt;&gt;"Done",E582&lt;&gt;""),E582+ROW()/100000,"")</f>
        <v/>
      </c>
    </row>
    <row r="583" customFormat="false" ht="15" hidden="false" customHeight="false" outlineLevel="0" collapsed="false">
      <c r="A583" s="32"/>
      <c r="B583" s="32"/>
      <c r="C583" s="33"/>
      <c r="D583" s="32"/>
      <c r="E583" s="35"/>
      <c r="F583" s="32"/>
      <c r="G583" s="35"/>
      <c r="H583" s="37" t="str">
        <f aca="true">IF(B583="","",IF(OR(D583="Done"),"Done",IF(E583="","No Due Date",IF(E583&lt;TODAY(),"Overdue",IF(E583=TODAY(),"Due Today",IF(E583&lt;TODAY()+7,"Due This Week","Later"))))))</f>
        <v/>
      </c>
      <c r="I583" s="40" t="str">
        <f aca="false">IF(AND(B583&lt;&gt;"",D583&lt;&gt;"Done",E583&lt;&gt;""),E583+ROW()/100000,"")</f>
        <v/>
      </c>
    </row>
    <row r="584" customFormat="false" ht="15" hidden="false" customHeight="false" outlineLevel="0" collapsed="false">
      <c r="A584" s="32"/>
      <c r="B584" s="32"/>
      <c r="C584" s="33"/>
      <c r="D584" s="32"/>
      <c r="E584" s="35"/>
      <c r="F584" s="32"/>
      <c r="G584" s="35"/>
      <c r="H584" s="37" t="str">
        <f aca="true">IF(B584="","",IF(OR(D584="Done"),"Done",IF(E584="","No Due Date",IF(E584&lt;TODAY(),"Overdue",IF(E584=TODAY(),"Due Today",IF(E584&lt;TODAY()+7,"Due This Week","Later"))))))</f>
        <v/>
      </c>
      <c r="I584" s="40" t="str">
        <f aca="false">IF(AND(B584&lt;&gt;"",D584&lt;&gt;"Done",E584&lt;&gt;""),E584+ROW()/100000,"")</f>
        <v/>
      </c>
    </row>
    <row r="585" customFormat="false" ht="15" hidden="false" customHeight="false" outlineLevel="0" collapsed="false">
      <c r="A585" s="32"/>
      <c r="B585" s="32"/>
      <c r="C585" s="33"/>
      <c r="D585" s="32"/>
      <c r="E585" s="35"/>
      <c r="F585" s="32"/>
      <c r="G585" s="35"/>
      <c r="H585" s="37" t="str">
        <f aca="true">IF(B585="","",IF(OR(D585="Done"),"Done",IF(E585="","No Due Date",IF(E585&lt;TODAY(),"Overdue",IF(E585=TODAY(),"Due Today",IF(E585&lt;TODAY()+7,"Due This Week","Later"))))))</f>
        <v/>
      </c>
      <c r="I585" s="40" t="str">
        <f aca="false">IF(AND(B585&lt;&gt;"",D585&lt;&gt;"Done",E585&lt;&gt;""),E585+ROW()/100000,"")</f>
        <v/>
      </c>
    </row>
    <row r="586" customFormat="false" ht="15" hidden="false" customHeight="false" outlineLevel="0" collapsed="false">
      <c r="A586" s="32"/>
      <c r="B586" s="32"/>
      <c r="C586" s="33"/>
      <c r="D586" s="32"/>
      <c r="E586" s="35"/>
      <c r="F586" s="32"/>
      <c r="G586" s="35"/>
      <c r="H586" s="37" t="str">
        <f aca="true">IF(B586="","",IF(OR(D586="Done"),"Done",IF(E586="","No Due Date",IF(E586&lt;TODAY(),"Overdue",IF(E586=TODAY(),"Due Today",IF(E586&lt;TODAY()+7,"Due This Week","Later"))))))</f>
        <v/>
      </c>
      <c r="I586" s="40" t="str">
        <f aca="false">IF(AND(B586&lt;&gt;"",D586&lt;&gt;"Done",E586&lt;&gt;""),E586+ROW()/100000,"")</f>
        <v/>
      </c>
    </row>
    <row r="587" customFormat="false" ht="15" hidden="false" customHeight="false" outlineLevel="0" collapsed="false">
      <c r="A587" s="32"/>
      <c r="B587" s="32"/>
      <c r="C587" s="33"/>
      <c r="D587" s="32"/>
      <c r="E587" s="35"/>
      <c r="F587" s="32"/>
      <c r="G587" s="35"/>
      <c r="H587" s="37" t="str">
        <f aca="true">IF(B587="","",IF(OR(D587="Done"),"Done",IF(E587="","No Due Date",IF(E587&lt;TODAY(),"Overdue",IF(E587=TODAY(),"Due Today",IF(E587&lt;TODAY()+7,"Due This Week","Later"))))))</f>
        <v/>
      </c>
      <c r="I587" s="40" t="str">
        <f aca="false">IF(AND(B587&lt;&gt;"",D587&lt;&gt;"Done",E587&lt;&gt;""),E587+ROW()/100000,"")</f>
        <v/>
      </c>
    </row>
    <row r="588" customFormat="false" ht="15" hidden="false" customHeight="false" outlineLevel="0" collapsed="false">
      <c r="A588" s="32"/>
      <c r="B588" s="32"/>
      <c r="C588" s="33"/>
      <c r="D588" s="32"/>
      <c r="E588" s="35"/>
      <c r="F588" s="32"/>
      <c r="G588" s="35"/>
      <c r="H588" s="37" t="str">
        <f aca="true">IF(B588="","",IF(OR(D588="Done"),"Done",IF(E588="","No Due Date",IF(E588&lt;TODAY(),"Overdue",IF(E588=TODAY(),"Due Today",IF(E588&lt;TODAY()+7,"Due This Week","Later"))))))</f>
        <v/>
      </c>
      <c r="I588" s="40" t="str">
        <f aca="false">IF(AND(B588&lt;&gt;"",D588&lt;&gt;"Done",E588&lt;&gt;""),E588+ROW()/100000,"")</f>
        <v/>
      </c>
    </row>
    <row r="589" customFormat="false" ht="15" hidden="false" customHeight="false" outlineLevel="0" collapsed="false">
      <c r="A589" s="32"/>
      <c r="B589" s="32"/>
      <c r="C589" s="33"/>
      <c r="D589" s="32"/>
      <c r="E589" s="35"/>
      <c r="F589" s="32"/>
      <c r="G589" s="35"/>
      <c r="H589" s="37" t="str">
        <f aca="true">IF(B589="","",IF(OR(D589="Done"),"Done",IF(E589="","No Due Date",IF(E589&lt;TODAY(),"Overdue",IF(E589=TODAY(),"Due Today",IF(E589&lt;TODAY()+7,"Due This Week","Later"))))))</f>
        <v/>
      </c>
      <c r="I589" s="40" t="str">
        <f aca="false">IF(AND(B589&lt;&gt;"",D589&lt;&gt;"Done",E589&lt;&gt;""),E589+ROW()/100000,"")</f>
        <v/>
      </c>
    </row>
    <row r="590" customFormat="false" ht="15" hidden="false" customHeight="false" outlineLevel="0" collapsed="false">
      <c r="A590" s="32"/>
      <c r="B590" s="32"/>
      <c r="C590" s="33"/>
      <c r="D590" s="32"/>
      <c r="E590" s="35"/>
      <c r="F590" s="32"/>
      <c r="G590" s="35"/>
      <c r="H590" s="37" t="str">
        <f aca="true">IF(B590="","",IF(OR(D590="Done"),"Done",IF(E590="","No Due Date",IF(E590&lt;TODAY(),"Overdue",IF(E590=TODAY(),"Due Today",IF(E590&lt;TODAY()+7,"Due This Week","Later"))))))</f>
        <v/>
      </c>
      <c r="I590" s="40" t="str">
        <f aca="false">IF(AND(B590&lt;&gt;"",D590&lt;&gt;"Done",E590&lt;&gt;""),E590+ROW()/100000,"")</f>
        <v/>
      </c>
    </row>
    <row r="591" customFormat="false" ht="15" hidden="false" customHeight="false" outlineLevel="0" collapsed="false">
      <c r="A591" s="32"/>
      <c r="B591" s="32"/>
      <c r="C591" s="33"/>
      <c r="D591" s="32"/>
      <c r="E591" s="35"/>
      <c r="F591" s="32"/>
      <c r="G591" s="35"/>
      <c r="H591" s="37" t="str">
        <f aca="true">IF(B591="","",IF(OR(D591="Done"),"Done",IF(E591="","No Due Date",IF(E591&lt;TODAY(),"Overdue",IF(E591=TODAY(),"Due Today",IF(E591&lt;TODAY()+7,"Due This Week","Later"))))))</f>
        <v/>
      </c>
      <c r="I591" s="40" t="str">
        <f aca="false">IF(AND(B591&lt;&gt;"",D591&lt;&gt;"Done",E591&lt;&gt;""),E591+ROW()/100000,"")</f>
        <v/>
      </c>
    </row>
    <row r="592" customFormat="false" ht="15" hidden="false" customHeight="false" outlineLevel="0" collapsed="false">
      <c r="A592" s="32"/>
      <c r="B592" s="32"/>
      <c r="C592" s="33"/>
      <c r="D592" s="32"/>
      <c r="E592" s="35"/>
      <c r="F592" s="32"/>
      <c r="G592" s="35"/>
      <c r="H592" s="37" t="str">
        <f aca="true">IF(B592="","",IF(OR(D592="Done"),"Done",IF(E592="","No Due Date",IF(E592&lt;TODAY(),"Overdue",IF(E592=TODAY(),"Due Today",IF(E592&lt;TODAY()+7,"Due This Week","Later"))))))</f>
        <v/>
      </c>
      <c r="I592" s="40" t="str">
        <f aca="false">IF(AND(B592&lt;&gt;"",D592&lt;&gt;"Done",E592&lt;&gt;""),E592+ROW()/100000,"")</f>
        <v/>
      </c>
    </row>
    <row r="593" customFormat="false" ht="15" hidden="false" customHeight="false" outlineLevel="0" collapsed="false">
      <c r="A593" s="32"/>
      <c r="B593" s="32"/>
      <c r="C593" s="33"/>
      <c r="D593" s="32"/>
      <c r="E593" s="35"/>
      <c r="F593" s="32"/>
      <c r="G593" s="35"/>
      <c r="H593" s="37" t="str">
        <f aca="true">IF(B593="","",IF(OR(D593="Done"),"Done",IF(E593="","No Due Date",IF(E593&lt;TODAY(),"Overdue",IF(E593=TODAY(),"Due Today",IF(E593&lt;TODAY()+7,"Due This Week","Later"))))))</f>
        <v/>
      </c>
      <c r="I593" s="40" t="str">
        <f aca="false">IF(AND(B593&lt;&gt;"",D593&lt;&gt;"Done",E593&lt;&gt;""),E593+ROW()/100000,"")</f>
        <v/>
      </c>
    </row>
    <row r="594" customFormat="false" ht="15" hidden="false" customHeight="false" outlineLevel="0" collapsed="false">
      <c r="A594" s="32"/>
      <c r="B594" s="32"/>
      <c r="C594" s="33"/>
      <c r="D594" s="32"/>
      <c r="E594" s="35"/>
      <c r="F594" s="32"/>
      <c r="G594" s="35"/>
      <c r="H594" s="37" t="str">
        <f aca="true">IF(B594="","",IF(OR(D594="Done"),"Done",IF(E594="","No Due Date",IF(E594&lt;TODAY(),"Overdue",IF(E594=TODAY(),"Due Today",IF(E594&lt;TODAY()+7,"Due This Week","Later"))))))</f>
        <v/>
      </c>
      <c r="I594" s="40" t="str">
        <f aca="false">IF(AND(B594&lt;&gt;"",D594&lt;&gt;"Done",E594&lt;&gt;""),E594+ROW()/100000,"")</f>
        <v/>
      </c>
    </row>
    <row r="595" customFormat="false" ht="15" hidden="false" customHeight="false" outlineLevel="0" collapsed="false">
      <c r="A595" s="32"/>
      <c r="B595" s="32"/>
      <c r="C595" s="33"/>
      <c r="D595" s="32"/>
      <c r="E595" s="35"/>
      <c r="F595" s="32"/>
      <c r="G595" s="35"/>
      <c r="H595" s="37" t="str">
        <f aca="true">IF(B595="","",IF(OR(D595="Done"),"Done",IF(E595="","No Due Date",IF(E595&lt;TODAY(),"Overdue",IF(E595=TODAY(),"Due Today",IF(E595&lt;TODAY()+7,"Due This Week","Later"))))))</f>
        <v/>
      </c>
      <c r="I595" s="40" t="str">
        <f aca="false">IF(AND(B595&lt;&gt;"",D595&lt;&gt;"Done",E595&lt;&gt;""),E595+ROW()/100000,"")</f>
        <v/>
      </c>
    </row>
    <row r="596" customFormat="false" ht="15" hidden="false" customHeight="false" outlineLevel="0" collapsed="false">
      <c r="A596" s="32"/>
      <c r="B596" s="32"/>
      <c r="C596" s="33"/>
      <c r="D596" s="32"/>
      <c r="E596" s="35"/>
      <c r="F596" s="32"/>
      <c r="G596" s="35"/>
      <c r="H596" s="37" t="str">
        <f aca="true">IF(B596="","",IF(OR(D596="Done"),"Done",IF(E596="","No Due Date",IF(E596&lt;TODAY(),"Overdue",IF(E596=TODAY(),"Due Today",IF(E596&lt;TODAY()+7,"Due This Week","Later"))))))</f>
        <v/>
      </c>
      <c r="I596" s="40" t="str">
        <f aca="false">IF(AND(B596&lt;&gt;"",D596&lt;&gt;"Done",E596&lt;&gt;""),E596+ROW()/100000,"")</f>
        <v/>
      </c>
    </row>
    <row r="597" customFormat="false" ht="15" hidden="false" customHeight="false" outlineLevel="0" collapsed="false">
      <c r="A597" s="32"/>
      <c r="B597" s="32"/>
      <c r="C597" s="33"/>
      <c r="D597" s="32"/>
      <c r="E597" s="35"/>
      <c r="F597" s="32"/>
      <c r="G597" s="35"/>
      <c r="H597" s="37" t="str">
        <f aca="true">IF(B597="","",IF(OR(D597="Done"),"Done",IF(E597="","No Due Date",IF(E597&lt;TODAY(),"Overdue",IF(E597=TODAY(),"Due Today",IF(E597&lt;TODAY()+7,"Due This Week","Later"))))))</f>
        <v/>
      </c>
      <c r="I597" s="40" t="str">
        <f aca="false">IF(AND(B597&lt;&gt;"",D597&lt;&gt;"Done",E597&lt;&gt;""),E597+ROW()/100000,"")</f>
        <v/>
      </c>
    </row>
    <row r="598" customFormat="false" ht="15" hidden="false" customHeight="false" outlineLevel="0" collapsed="false">
      <c r="A598" s="32"/>
      <c r="B598" s="32"/>
      <c r="C598" s="33"/>
      <c r="D598" s="32"/>
      <c r="E598" s="35"/>
      <c r="F598" s="32"/>
      <c r="G598" s="35"/>
      <c r="H598" s="37" t="str">
        <f aca="true">IF(B598="","",IF(OR(D598="Done"),"Done",IF(E598="","No Due Date",IF(E598&lt;TODAY(),"Overdue",IF(E598=TODAY(),"Due Today",IF(E598&lt;TODAY()+7,"Due This Week","Later"))))))</f>
        <v/>
      </c>
      <c r="I598" s="40" t="str">
        <f aca="false">IF(AND(B598&lt;&gt;"",D598&lt;&gt;"Done",E598&lt;&gt;""),E598+ROW()/100000,"")</f>
        <v/>
      </c>
    </row>
    <row r="599" customFormat="false" ht="15" hidden="false" customHeight="false" outlineLevel="0" collapsed="false">
      <c r="A599" s="32"/>
      <c r="B599" s="32"/>
      <c r="C599" s="33"/>
      <c r="D599" s="32"/>
      <c r="E599" s="35"/>
      <c r="F599" s="32"/>
      <c r="G599" s="35"/>
      <c r="H599" s="37" t="str">
        <f aca="true">IF(B599="","",IF(OR(D599="Done"),"Done",IF(E599="","No Due Date",IF(E599&lt;TODAY(),"Overdue",IF(E599=TODAY(),"Due Today",IF(E599&lt;TODAY()+7,"Due This Week","Later"))))))</f>
        <v/>
      </c>
      <c r="I599" s="40" t="str">
        <f aca="false">IF(AND(B599&lt;&gt;"",D599&lt;&gt;"Done",E599&lt;&gt;""),E599+ROW()/100000,"")</f>
        <v/>
      </c>
    </row>
    <row r="600" customFormat="false" ht="15" hidden="false" customHeight="false" outlineLevel="0" collapsed="false">
      <c r="A600" s="32"/>
      <c r="B600" s="32"/>
      <c r="C600" s="33"/>
      <c r="D600" s="32"/>
      <c r="E600" s="35"/>
      <c r="F600" s="32"/>
      <c r="G600" s="35"/>
      <c r="H600" s="37" t="str">
        <f aca="true">IF(B600="","",IF(OR(D600="Done"),"Done",IF(E600="","No Due Date",IF(E600&lt;TODAY(),"Overdue",IF(E600=TODAY(),"Due Today",IF(E600&lt;TODAY()+7,"Due This Week","Later"))))))</f>
        <v/>
      </c>
      <c r="I600" s="40" t="str">
        <f aca="false">IF(AND(B600&lt;&gt;"",D600&lt;&gt;"Done",E600&lt;&gt;""),E600+ROW()/100000,"")</f>
        <v/>
      </c>
    </row>
    <row r="601" customFormat="false" ht="15" hidden="false" customHeight="false" outlineLevel="0" collapsed="false">
      <c r="A601" s="32"/>
      <c r="B601" s="32"/>
      <c r="C601" s="33"/>
      <c r="D601" s="32"/>
      <c r="E601" s="35"/>
      <c r="F601" s="32"/>
      <c r="G601" s="35"/>
      <c r="H601" s="37" t="str">
        <f aca="true">IF(B601="","",IF(OR(D601="Done"),"Done",IF(E601="","No Due Date",IF(E601&lt;TODAY(),"Overdue",IF(E601=TODAY(),"Due Today",IF(E601&lt;TODAY()+7,"Due This Week","Later"))))))</f>
        <v/>
      </c>
      <c r="I601" s="40" t="str">
        <f aca="false">IF(AND(B601&lt;&gt;"",D601&lt;&gt;"Done",E601&lt;&gt;""),E601+ROW()/100000,"")</f>
        <v/>
      </c>
    </row>
    <row r="602" customFormat="false" ht="15" hidden="false" customHeight="false" outlineLevel="0" collapsed="false">
      <c r="A602" s="32"/>
      <c r="B602" s="32"/>
      <c r="C602" s="33"/>
      <c r="D602" s="32"/>
      <c r="E602" s="35"/>
      <c r="F602" s="32"/>
      <c r="G602" s="35"/>
      <c r="H602" s="37" t="str">
        <f aca="true">IF(B602="","",IF(OR(D602="Done"),"Done",IF(E602="","No Due Date",IF(E602&lt;TODAY(),"Overdue",IF(E602=TODAY(),"Due Today",IF(E602&lt;TODAY()+7,"Due This Week","Later"))))))</f>
        <v/>
      </c>
      <c r="I602" s="40" t="str">
        <f aca="false">IF(AND(B602&lt;&gt;"",D602&lt;&gt;"Done",E602&lt;&gt;""),E602+ROW()/100000,"")</f>
        <v/>
      </c>
    </row>
    <row r="603" customFormat="false" ht="15" hidden="false" customHeight="false" outlineLevel="0" collapsed="false">
      <c r="A603" s="32"/>
      <c r="B603" s="32"/>
      <c r="C603" s="33"/>
      <c r="D603" s="32"/>
      <c r="E603" s="35"/>
      <c r="F603" s="32"/>
      <c r="G603" s="35"/>
      <c r="H603" s="37" t="str">
        <f aca="true">IF(B603="","",IF(OR(D603="Done"),"Done",IF(E603="","No Due Date",IF(E603&lt;TODAY(),"Overdue",IF(E603=TODAY(),"Due Today",IF(E603&lt;TODAY()+7,"Due This Week","Later"))))))</f>
        <v/>
      </c>
      <c r="I603" s="40" t="str">
        <f aca="false">IF(AND(B603&lt;&gt;"",D603&lt;&gt;"Done",E603&lt;&gt;""),E603+ROW()/100000,"")</f>
        <v/>
      </c>
    </row>
    <row r="604" customFormat="false" ht="15" hidden="false" customHeight="false" outlineLevel="0" collapsed="false">
      <c r="A604" s="32"/>
      <c r="B604" s="32"/>
      <c r="C604" s="33"/>
      <c r="D604" s="32"/>
      <c r="E604" s="35"/>
      <c r="F604" s="32"/>
      <c r="G604" s="35"/>
      <c r="H604" s="37" t="str">
        <f aca="true">IF(B604="","",IF(OR(D604="Done"),"Done",IF(E604="","No Due Date",IF(E604&lt;TODAY(),"Overdue",IF(E604=TODAY(),"Due Today",IF(E604&lt;TODAY()+7,"Due This Week","Later"))))))</f>
        <v/>
      </c>
      <c r="I604" s="40" t="str">
        <f aca="false">IF(AND(B604&lt;&gt;"",D604&lt;&gt;"Done",E604&lt;&gt;""),E604+ROW()/100000,"")</f>
        <v/>
      </c>
    </row>
    <row r="605" customFormat="false" ht="15" hidden="false" customHeight="false" outlineLevel="0" collapsed="false">
      <c r="A605" s="32"/>
      <c r="B605" s="32"/>
      <c r="C605" s="33"/>
      <c r="D605" s="32"/>
      <c r="E605" s="35"/>
      <c r="F605" s="32"/>
      <c r="G605" s="35"/>
      <c r="H605" s="37" t="str">
        <f aca="true">IF(B605="","",IF(OR(D605="Done"),"Done",IF(E605="","No Due Date",IF(E605&lt;TODAY(),"Overdue",IF(E605=TODAY(),"Due Today",IF(E605&lt;TODAY()+7,"Due This Week","Later"))))))</f>
        <v/>
      </c>
      <c r="I605" s="40" t="str">
        <f aca="false">IF(AND(B605&lt;&gt;"",D605&lt;&gt;"Done",E605&lt;&gt;""),E605+ROW()/100000,"")</f>
        <v/>
      </c>
    </row>
    <row r="606" customFormat="false" ht="15" hidden="false" customHeight="false" outlineLevel="0" collapsed="false">
      <c r="A606" s="32"/>
      <c r="B606" s="32"/>
      <c r="C606" s="33"/>
      <c r="D606" s="32"/>
      <c r="E606" s="35"/>
      <c r="F606" s="32"/>
      <c r="G606" s="35"/>
      <c r="H606" s="37" t="str">
        <f aca="true">IF(B606="","",IF(OR(D606="Done"),"Done",IF(E606="","No Due Date",IF(E606&lt;TODAY(),"Overdue",IF(E606=TODAY(),"Due Today",IF(E606&lt;TODAY()+7,"Due This Week","Later"))))))</f>
        <v/>
      </c>
      <c r="I606" s="40" t="str">
        <f aca="false">IF(AND(B606&lt;&gt;"",D606&lt;&gt;"Done",E606&lt;&gt;""),E606+ROW()/100000,"")</f>
        <v/>
      </c>
    </row>
    <row r="607" customFormat="false" ht="15" hidden="false" customHeight="false" outlineLevel="0" collapsed="false">
      <c r="A607" s="32"/>
      <c r="B607" s="32"/>
      <c r="C607" s="33"/>
      <c r="D607" s="32"/>
      <c r="E607" s="35"/>
      <c r="F607" s="32"/>
      <c r="G607" s="35"/>
      <c r="H607" s="37" t="str">
        <f aca="true">IF(B607="","",IF(OR(D607="Done"),"Done",IF(E607="","No Due Date",IF(E607&lt;TODAY(),"Overdue",IF(E607=TODAY(),"Due Today",IF(E607&lt;TODAY()+7,"Due This Week","Later"))))))</f>
        <v/>
      </c>
      <c r="I607" s="40" t="str">
        <f aca="false">IF(AND(B607&lt;&gt;"",D607&lt;&gt;"Done",E607&lt;&gt;""),E607+ROW()/100000,"")</f>
        <v/>
      </c>
    </row>
    <row r="608" customFormat="false" ht="15" hidden="false" customHeight="false" outlineLevel="0" collapsed="false">
      <c r="A608" s="32"/>
      <c r="B608" s="32"/>
      <c r="C608" s="33"/>
      <c r="D608" s="32"/>
      <c r="E608" s="35"/>
      <c r="F608" s="32"/>
      <c r="G608" s="35"/>
      <c r="H608" s="37" t="str">
        <f aca="true">IF(B608="","",IF(OR(D608="Done"),"Done",IF(E608="","No Due Date",IF(E608&lt;TODAY(),"Overdue",IF(E608=TODAY(),"Due Today",IF(E608&lt;TODAY()+7,"Due This Week","Later"))))))</f>
        <v/>
      </c>
      <c r="I608" s="40" t="str">
        <f aca="false">IF(AND(B608&lt;&gt;"",D608&lt;&gt;"Done",E608&lt;&gt;""),E608+ROW()/100000,"")</f>
        <v/>
      </c>
    </row>
    <row r="609" customFormat="false" ht="15" hidden="false" customHeight="false" outlineLevel="0" collapsed="false">
      <c r="A609" s="32"/>
      <c r="B609" s="32"/>
      <c r="C609" s="33"/>
      <c r="D609" s="32"/>
      <c r="E609" s="35"/>
      <c r="F609" s="32"/>
      <c r="G609" s="35"/>
      <c r="H609" s="37" t="str">
        <f aca="true">IF(B609="","",IF(OR(D609="Done"),"Done",IF(E609="","No Due Date",IF(E609&lt;TODAY(),"Overdue",IF(E609=TODAY(),"Due Today",IF(E609&lt;TODAY()+7,"Due This Week","Later"))))))</f>
        <v/>
      </c>
      <c r="I609" s="40" t="str">
        <f aca="false">IF(AND(B609&lt;&gt;"",D609&lt;&gt;"Done",E609&lt;&gt;""),E609+ROW()/100000,"")</f>
        <v/>
      </c>
    </row>
    <row r="610" customFormat="false" ht="15" hidden="false" customHeight="false" outlineLevel="0" collapsed="false">
      <c r="A610" s="32"/>
      <c r="B610" s="32"/>
      <c r="C610" s="33"/>
      <c r="D610" s="32"/>
      <c r="E610" s="35"/>
      <c r="F610" s="32"/>
      <c r="G610" s="35"/>
      <c r="H610" s="37" t="str">
        <f aca="true">IF(B610="","",IF(OR(D610="Done"),"Done",IF(E610="","No Due Date",IF(E610&lt;TODAY(),"Overdue",IF(E610=TODAY(),"Due Today",IF(E610&lt;TODAY()+7,"Due This Week","Later"))))))</f>
        <v/>
      </c>
      <c r="I610" s="40" t="str">
        <f aca="false">IF(AND(B610&lt;&gt;"",D610&lt;&gt;"Done",E610&lt;&gt;""),E610+ROW()/100000,"")</f>
        <v/>
      </c>
    </row>
    <row r="611" customFormat="false" ht="15" hidden="false" customHeight="false" outlineLevel="0" collapsed="false">
      <c r="A611" s="32"/>
      <c r="B611" s="32"/>
      <c r="C611" s="33"/>
      <c r="D611" s="32"/>
      <c r="E611" s="35"/>
      <c r="F611" s="32"/>
      <c r="G611" s="35"/>
      <c r="H611" s="37" t="str">
        <f aca="true">IF(B611="","",IF(OR(D611="Done"),"Done",IF(E611="","No Due Date",IF(E611&lt;TODAY(),"Overdue",IF(E611=TODAY(),"Due Today",IF(E611&lt;TODAY()+7,"Due This Week","Later"))))))</f>
        <v/>
      </c>
      <c r="I611" s="40" t="str">
        <f aca="false">IF(AND(B611&lt;&gt;"",D611&lt;&gt;"Done",E611&lt;&gt;""),E611+ROW()/100000,"")</f>
        <v/>
      </c>
    </row>
    <row r="612" customFormat="false" ht="15" hidden="false" customHeight="false" outlineLevel="0" collapsed="false">
      <c r="A612" s="32"/>
      <c r="B612" s="32"/>
      <c r="C612" s="33"/>
      <c r="D612" s="32"/>
      <c r="E612" s="35"/>
      <c r="F612" s="32"/>
      <c r="G612" s="35"/>
      <c r="H612" s="37" t="str">
        <f aca="true">IF(B612="","",IF(OR(D612="Done"),"Done",IF(E612="","No Due Date",IF(E612&lt;TODAY(),"Overdue",IF(E612=TODAY(),"Due Today",IF(E612&lt;TODAY()+7,"Due This Week","Later"))))))</f>
        <v/>
      </c>
      <c r="I612" s="40" t="str">
        <f aca="false">IF(AND(B612&lt;&gt;"",D612&lt;&gt;"Done",E612&lt;&gt;""),E612+ROW()/100000,"")</f>
        <v/>
      </c>
    </row>
    <row r="613" customFormat="false" ht="15" hidden="false" customHeight="false" outlineLevel="0" collapsed="false">
      <c r="A613" s="32"/>
      <c r="B613" s="32"/>
      <c r="C613" s="33"/>
      <c r="D613" s="32"/>
      <c r="E613" s="35"/>
      <c r="F613" s="32"/>
      <c r="G613" s="35"/>
      <c r="H613" s="37" t="str">
        <f aca="true">IF(B613="","",IF(OR(D613="Done"),"Done",IF(E613="","No Due Date",IF(E613&lt;TODAY(),"Overdue",IF(E613=TODAY(),"Due Today",IF(E613&lt;TODAY()+7,"Due This Week","Later"))))))</f>
        <v/>
      </c>
      <c r="I613" s="40" t="str">
        <f aca="false">IF(AND(B613&lt;&gt;"",D613&lt;&gt;"Done",E613&lt;&gt;""),E613+ROW()/100000,"")</f>
        <v/>
      </c>
    </row>
    <row r="614" customFormat="false" ht="15" hidden="false" customHeight="false" outlineLevel="0" collapsed="false">
      <c r="A614" s="32"/>
      <c r="B614" s="32"/>
      <c r="C614" s="33"/>
      <c r="D614" s="32"/>
      <c r="E614" s="35"/>
      <c r="F614" s="32"/>
      <c r="G614" s="35"/>
      <c r="H614" s="37" t="str">
        <f aca="true">IF(B614="","",IF(OR(D614="Done"),"Done",IF(E614="","No Due Date",IF(E614&lt;TODAY(),"Overdue",IF(E614=TODAY(),"Due Today",IF(E614&lt;TODAY()+7,"Due This Week","Later"))))))</f>
        <v/>
      </c>
      <c r="I614" s="40" t="str">
        <f aca="false">IF(AND(B614&lt;&gt;"",D614&lt;&gt;"Done",E614&lt;&gt;""),E614+ROW()/100000,"")</f>
        <v/>
      </c>
    </row>
    <row r="615" customFormat="false" ht="15" hidden="false" customHeight="false" outlineLevel="0" collapsed="false">
      <c r="A615" s="32"/>
      <c r="B615" s="32"/>
      <c r="C615" s="33"/>
      <c r="D615" s="32"/>
      <c r="E615" s="35"/>
      <c r="F615" s="32"/>
      <c r="G615" s="35"/>
      <c r="H615" s="37" t="str">
        <f aca="true">IF(B615="","",IF(OR(D615="Done"),"Done",IF(E615="","No Due Date",IF(E615&lt;TODAY(),"Overdue",IF(E615=TODAY(),"Due Today",IF(E615&lt;TODAY()+7,"Due This Week","Later"))))))</f>
        <v/>
      </c>
      <c r="I615" s="40" t="str">
        <f aca="false">IF(AND(B615&lt;&gt;"",D615&lt;&gt;"Done",E615&lt;&gt;""),E615+ROW()/100000,"")</f>
        <v/>
      </c>
    </row>
    <row r="616" customFormat="false" ht="15" hidden="false" customHeight="false" outlineLevel="0" collapsed="false">
      <c r="A616" s="32"/>
      <c r="B616" s="32"/>
      <c r="C616" s="33"/>
      <c r="D616" s="32"/>
      <c r="E616" s="35"/>
      <c r="F616" s="32"/>
      <c r="G616" s="35"/>
      <c r="H616" s="37" t="str">
        <f aca="true">IF(B616="","",IF(OR(D616="Done"),"Done",IF(E616="","No Due Date",IF(E616&lt;TODAY(),"Overdue",IF(E616=TODAY(),"Due Today",IF(E616&lt;TODAY()+7,"Due This Week","Later"))))))</f>
        <v/>
      </c>
      <c r="I616" s="40" t="str">
        <f aca="false">IF(AND(B616&lt;&gt;"",D616&lt;&gt;"Done",E616&lt;&gt;""),E616+ROW()/100000,"")</f>
        <v/>
      </c>
    </row>
    <row r="617" customFormat="false" ht="15" hidden="false" customHeight="false" outlineLevel="0" collapsed="false">
      <c r="A617" s="32"/>
      <c r="B617" s="32"/>
      <c r="C617" s="33"/>
      <c r="D617" s="32"/>
      <c r="E617" s="35"/>
      <c r="F617" s="32"/>
      <c r="G617" s="35"/>
      <c r="H617" s="37" t="str">
        <f aca="true">IF(B617="","",IF(OR(D617="Done"),"Done",IF(E617="","No Due Date",IF(E617&lt;TODAY(),"Overdue",IF(E617=TODAY(),"Due Today",IF(E617&lt;TODAY()+7,"Due This Week","Later"))))))</f>
        <v/>
      </c>
      <c r="I617" s="40" t="str">
        <f aca="false">IF(AND(B617&lt;&gt;"",D617&lt;&gt;"Done",E617&lt;&gt;""),E617+ROW()/100000,"")</f>
        <v/>
      </c>
    </row>
    <row r="618" customFormat="false" ht="15" hidden="false" customHeight="false" outlineLevel="0" collapsed="false">
      <c r="A618" s="32"/>
      <c r="B618" s="32"/>
      <c r="C618" s="33"/>
      <c r="D618" s="32"/>
      <c r="E618" s="35"/>
      <c r="F618" s="32"/>
      <c r="G618" s="35"/>
      <c r="H618" s="37" t="str">
        <f aca="true">IF(B618="","",IF(OR(D618="Done"),"Done",IF(E618="","No Due Date",IF(E618&lt;TODAY(),"Overdue",IF(E618=TODAY(),"Due Today",IF(E618&lt;TODAY()+7,"Due This Week","Later"))))))</f>
        <v/>
      </c>
      <c r="I618" s="40" t="str">
        <f aca="false">IF(AND(B618&lt;&gt;"",D618&lt;&gt;"Done",E618&lt;&gt;""),E618+ROW()/100000,"")</f>
        <v/>
      </c>
    </row>
    <row r="619" customFormat="false" ht="15" hidden="false" customHeight="false" outlineLevel="0" collapsed="false">
      <c r="A619" s="32"/>
      <c r="B619" s="32"/>
      <c r="C619" s="33"/>
      <c r="D619" s="32"/>
      <c r="E619" s="35"/>
      <c r="F619" s="32"/>
      <c r="G619" s="35"/>
      <c r="H619" s="37" t="str">
        <f aca="true">IF(B619="","",IF(OR(D619="Done"),"Done",IF(E619="","No Due Date",IF(E619&lt;TODAY(),"Overdue",IF(E619=TODAY(),"Due Today",IF(E619&lt;TODAY()+7,"Due This Week","Later"))))))</f>
        <v/>
      </c>
      <c r="I619" s="40" t="str">
        <f aca="false">IF(AND(B619&lt;&gt;"",D619&lt;&gt;"Done",E619&lt;&gt;""),E619+ROW()/100000,"")</f>
        <v/>
      </c>
    </row>
    <row r="620" customFormat="false" ht="15" hidden="false" customHeight="false" outlineLevel="0" collapsed="false">
      <c r="A620" s="32"/>
      <c r="B620" s="32"/>
      <c r="C620" s="33"/>
      <c r="D620" s="32"/>
      <c r="E620" s="35"/>
      <c r="F620" s="32"/>
      <c r="G620" s="35"/>
      <c r="H620" s="37" t="str">
        <f aca="true">IF(B620="","",IF(OR(D620="Done"),"Done",IF(E620="","No Due Date",IF(E620&lt;TODAY(),"Overdue",IF(E620=TODAY(),"Due Today",IF(E620&lt;TODAY()+7,"Due This Week","Later"))))))</f>
        <v/>
      </c>
      <c r="I620" s="40" t="str">
        <f aca="false">IF(AND(B620&lt;&gt;"",D620&lt;&gt;"Done",E620&lt;&gt;""),E620+ROW()/100000,"")</f>
        <v/>
      </c>
    </row>
    <row r="621" customFormat="false" ht="15" hidden="false" customHeight="false" outlineLevel="0" collapsed="false">
      <c r="A621" s="32"/>
      <c r="B621" s="32"/>
      <c r="C621" s="33"/>
      <c r="D621" s="32"/>
      <c r="E621" s="35"/>
      <c r="F621" s="32"/>
      <c r="G621" s="35"/>
      <c r="H621" s="37" t="str">
        <f aca="true">IF(B621="","",IF(OR(D621="Done"),"Done",IF(E621="","No Due Date",IF(E621&lt;TODAY(),"Overdue",IF(E621=TODAY(),"Due Today",IF(E621&lt;TODAY()+7,"Due This Week","Later"))))))</f>
        <v/>
      </c>
      <c r="I621" s="40" t="str">
        <f aca="false">IF(AND(B621&lt;&gt;"",D621&lt;&gt;"Done",E621&lt;&gt;""),E621+ROW()/100000,"")</f>
        <v/>
      </c>
    </row>
    <row r="622" customFormat="false" ht="15" hidden="false" customHeight="false" outlineLevel="0" collapsed="false">
      <c r="A622" s="32"/>
      <c r="B622" s="32"/>
      <c r="C622" s="33"/>
      <c r="D622" s="32"/>
      <c r="E622" s="35"/>
      <c r="F622" s="32"/>
      <c r="G622" s="35"/>
      <c r="H622" s="37" t="str">
        <f aca="true">IF(B622="","",IF(OR(D622="Done"),"Done",IF(E622="","No Due Date",IF(E622&lt;TODAY(),"Overdue",IF(E622=TODAY(),"Due Today",IF(E622&lt;TODAY()+7,"Due This Week","Later"))))))</f>
        <v/>
      </c>
      <c r="I622" s="40" t="str">
        <f aca="false">IF(AND(B622&lt;&gt;"",D622&lt;&gt;"Done",E622&lt;&gt;""),E622+ROW()/100000,"")</f>
        <v/>
      </c>
    </row>
    <row r="623" customFormat="false" ht="15" hidden="false" customHeight="false" outlineLevel="0" collapsed="false">
      <c r="A623" s="32"/>
      <c r="B623" s="32"/>
      <c r="C623" s="33"/>
      <c r="D623" s="32"/>
      <c r="E623" s="35"/>
      <c r="F623" s="32"/>
      <c r="G623" s="35"/>
      <c r="H623" s="37" t="str">
        <f aca="true">IF(B623="","",IF(OR(D623="Done"),"Done",IF(E623="","No Due Date",IF(E623&lt;TODAY(),"Overdue",IF(E623=TODAY(),"Due Today",IF(E623&lt;TODAY()+7,"Due This Week","Later"))))))</f>
        <v/>
      </c>
      <c r="I623" s="40" t="str">
        <f aca="false">IF(AND(B623&lt;&gt;"",D623&lt;&gt;"Done",E623&lt;&gt;""),E623+ROW()/100000,"")</f>
        <v/>
      </c>
    </row>
    <row r="624" customFormat="false" ht="15" hidden="false" customHeight="false" outlineLevel="0" collapsed="false">
      <c r="A624" s="32"/>
      <c r="B624" s="32"/>
      <c r="C624" s="33"/>
      <c r="D624" s="32"/>
      <c r="E624" s="35"/>
      <c r="F624" s="32"/>
      <c r="G624" s="35"/>
      <c r="H624" s="37" t="str">
        <f aca="true">IF(B624="","",IF(OR(D624="Done"),"Done",IF(E624="","No Due Date",IF(E624&lt;TODAY(),"Overdue",IF(E624=TODAY(),"Due Today",IF(E624&lt;TODAY()+7,"Due This Week","Later"))))))</f>
        <v/>
      </c>
      <c r="I624" s="40" t="str">
        <f aca="false">IF(AND(B624&lt;&gt;"",D624&lt;&gt;"Done",E624&lt;&gt;""),E624+ROW()/100000,"")</f>
        <v/>
      </c>
    </row>
    <row r="625" customFormat="false" ht="15" hidden="false" customHeight="false" outlineLevel="0" collapsed="false">
      <c r="A625" s="32"/>
      <c r="B625" s="32"/>
      <c r="C625" s="33"/>
      <c r="D625" s="32"/>
      <c r="E625" s="35"/>
      <c r="F625" s="32"/>
      <c r="G625" s="35"/>
      <c r="H625" s="37" t="str">
        <f aca="true">IF(B625="","",IF(OR(D625="Done"),"Done",IF(E625="","No Due Date",IF(E625&lt;TODAY(),"Overdue",IF(E625=TODAY(),"Due Today",IF(E625&lt;TODAY()+7,"Due This Week","Later"))))))</f>
        <v/>
      </c>
      <c r="I625" s="40" t="str">
        <f aca="false">IF(AND(B625&lt;&gt;"",D625&lt;&gt;"Done",E625&lt;&gt;""),E625+ROW()/100000,"")</f>
        <v/>
      </c>
    </row>
    <row r="626" customFormat="false" ht="15" hidden="false" customHeight="false" outlineLevel="0" collapsed="false">
      <c r="A626" s="32"/>
      <c r="B626" s="32"/>
      <c r="C626" s="33"/>
      <c r="D626" s="32"/>
      <c r="E626" s="35"/>
      <c r="F626" s="32"/>
      <c r="G626" s="35"/>
      <c r="H626" s="37" t="str">
        <f aca="true">IF(B626="","",IF(OR(D626="Done"),"Done",IF(E626="","No Due Date",IF(E626&lt;TODAY(),"Overdue",IF(E626=TODAY(),"Due Today",IF(E626&lt;TODAY()+7,"Due This Week","Later"))))))</f>
        <v/>
      </c>
      <c r="I626" s="40" t="str">
        <f aca="false">IF(AND(B626&lt;&gt;"",D626&lt;&gt;"Done",E626&lt;&gt;""),E626+ROW()/100000,"")</f>
        <v/>
      </c>
    </row>
    <row r="627" customFormat="false" ht="15" hidden="false" customHeight="false" outlineLevel="0" collapsed="false">
      <c r="A627" s="32"/>
      <c r="B627" s="32"/>
      <c r="C627" s="33"/>
      <c r="D627" s="32"/>
      <c r="E627" s="35"/>
      <c r="F627" s="32"/>
      <c r="G627" s="35"/>
      <c r="H627" s="37" t="str">
        <f aca="true">IF(B627="","",IF(OR(D627="Done"),"Done",IF(E627="","No Due Date",IF(E627&lt;TODAY(),"Overdue",IF(E627=TODAY(),"Due Today",IF(E627&lt;TODAY()+7,"Due This Week","Later"))))))</f>
        <v/>
      </c>
      <c r="I627" s="40" t="str">
        <f aca="false">IF(AND(B627&lt;&gt;"",D627&lt;&gt;"Done",E627&lt;&gt;""),E627+ROW()/100000,"")</f>
        <v/>
      </c>
    </row>
    <row r="628" customFormat="false" ht="15" hidden="false" customHeight="false" outlineLevel="0" collapsed="false">
      <c r="A628" s="32"/>
      <c r="B628" s="32"/>
      <c r="C628" s="33"/>
      <c r="D628" s="32"/>
      <c r="E628" s="35"/>
      <c r="F628" s="32"/>
      <c r="G628" s="35"/>
      <c r="H628" s="37" t="str">
        <f aca="true">IF(B628="","",IF(OR(D628="Done"),"Done",IF(E628="","No Due Date",IF(E628&lt;TODAY(),"Overdue",IF(E628=TODAY(),"Due Today",IF(E628&lt;TODAY()+7,"Due This Week","Later"))))))</f>
        <v/>
      </c>
      <c r="I628" s="40" t="str">
        <f aca="false">IF(AND(B628&lt;&gt;"",D628&lt;&gt;"Done",E628&lt;&gt;""),E628+ROW()/100000,"")</f>
        <v/>
      </c>
    </row>
    <row r="629" customFormat="false" ht="15" hidden="false" customHeight="false" outlineLevel="0" collapsed="false">
      <c r="A629" s="32"/>
      <c r="B629" s="32"/>
      <c r="C629" s="33"/>
      <c r="D629" s="32"/>
      <c r="E629" s="35"/>
      <c r="F629" s="32"/>
      <c r="G629" s="35"/>
      <c r="H629" s="37" t="str">
        <f aca="true">IF(B629="","",IF(OR(D629="Done"),"Done",IF(E629="","No Due Date",IF(E629&lt;TODAY(),"Overdue",IF(E629=TODAY(),"Due Today",IF(E629&lt;TODAY()+7,"Due This Week","Later"))))))</f>
        <v/>
      </c>
      <c r="I629" s="40" t="str">
        <f aca="false">IF(AND(B629&lt;&gt;"",D629&lt;&gt;"Done",E629&lt;&gt;""),E629+ROW()/100000,"")</f>
        <v/>
      </c>
    </row>
    <row r="630" customFormat="false" ht="15" hidden="false" customHeight="false" outlineLevel="0" collapsed="false">
      <c r="A630" s="32"/>
      <c r="B630" s="32"/>
      <c r="C630" s="33"/>
      <c r="D630" s="32"/>
      <c r="E630" s="35"/>
      <c r="F630" s="32"/>
      <c r="G630" s="35"/>
      <c r="H630" s="37" t="str">
        <f aca="true">IF(B630="","",IF(OR(D630="Done"),"Done",IF(E630="","No Due Date",IF(E630&lt;TODAY(),"Overdue",IF(E630=TODAY(),"Due Today",IF(E630&lt;TODAY()+7,"Due This Week","Later"))))))</f>
        <v/>
      </c>
      <c r="I630" s="40" t="str">
        <f aca="false">IF(AND(B630&lt;&gt;"",D630&lt;&gt;"Done",E630&lt;&gt;""),E630+ROW()/100000,"")</f>
        <v/>
      </c>
    </row>
    <row r="631" customFormat="false" ht="15" hidden="false" customHeight="false" outlineLevel="0" collapsed="false">
      <c r="A631" s="32"/>
      <c r="B631" s="32"/>
      <c r="C631" s="33"/>
      <c r="D631" s="32"/>
      <c r="E631" s="35"/>
      <c r="F631" s="32"/>
      <c r="G631" s="35"/>
      <c r="H631" s="37" t="str">
        <f aca="true">IF(B631="","",IF(OR(D631="Done"),"Done",IF(E631="","No Due Date",IF(E631&lt;TODAY(),"Overdue",IF(E631=TODAY(),"Due Today",IF(E631&lt;TODAY()+7,"Due This Week","Later"))))))</f>
        <v/>
      </c>
      <c r="I631" s="40" t="str">
        <f aca="false">IF(AND(B631&lt;&gt;"",D631&lt;&gt;"Done",E631&lt;&gt;""),E631+ROW()/100000,"")</f>
        <v/>
      </c>
    </row>
    <row r="632" customFormat="false" ht="15" hidden="false" customHeight="false" outlineLevel="0" collapsed="false">
      <c r="A632" s="32"/>
      <c r="B632" s="32"/>
      <c r="C632" s="33"/>
      <c r="D632" s="32"/>
      <c r="E632" s="35"/>
      <c r="F632" s="32"/>
      <c r="G632" s="35"/>
      <c r="H632" s="37" t="str">
        <f aca="true">IF(B632="","",IF(OR(D632="Done"),"Done",IF(E632="","No Due Date",IF(E632&lt;TODAY(),"Overdue",IF(E632=TODAY(),"Due Today",IF(E632&lt;TODAY()+7,"Due This Week","Later"))))))</f>
        <v/>
      </c>
      <c r="I632" s="40" t="str">
        <f aca="false">IF(AND(B632&lt;&gt;"",D632&lt;&gt;"Done",E632&lt;&gt;""),E632+ROW()/100000,"")</f>
        <v/>
      </c>
    </row>
    <row r="633" customFormat="false" ht="15" hidden="false" customHeight="false" outlineLevel="0" collapsed="false">
      <c r="A633" s="32"/>
      <c r="B633" s="32"/>
      <c r="C633" s="33"/>
      <c r="D633" s="32"/>
      <c r="E633" s="35"/>
      <c r="F633" s="32"/>
      <c r="G633" s="35"/>
      <c r="H633" s="37" t="str">
        <f aca="true">IF(B633="","",IF(OR(D633="Done"),"Done",IF(E633="","No Due Date",IF(E633&lt;TODAY(),"Overdue",IF(E633=TODAY(),"Due Today",IF(E633&lt;TODAY()+7,"Due This Week","Later"))))))</f>
        <v/>
      </c>
      <c r="I633" s="40" t="str">
        <f aca="false">IF(AND(B633&lt;&gt;"",D633&lt;&gt;"Done",E633&lt;&gt;""),E633+ROW()/100000,"")</f>
        <v/>
      </c>
    </row>
    <row r="634" customFormat="false" ht="15" hidden="false" customHeight="false" outlineLevel="0" collapsed="false">
      <c r="A634" s="32"/>
      <c r="B634" s="32"/>
      <c r="C634" s="33"/>
      <c r="D634" s="32"/>
      <c r="E634" s="35"/>
      <c r="F634" s="32"/>
      <c r="G634" s="35"/>
      <c r="H634" s="37" t="str">
        <f aca="true">IF(B634="","",IF(OR(D634="Done"),"Done",IF(E634="","No Due Date",IF(E634&lt;TODAY(),"Overdue",IF(E634=TODAY(),"Due Today",IF(E634&lt;TODAY()+7,"Due This Week","Later"))))))</f>
        <v/>
      </c>
      <c r="I634" s="40" t="str">
        <f aca="false">IF(AND(B634&lt;&gt;"",D634&lt;&gt;"Done",E634&lt;&gt;""),E634+ROW()/100000,"")</f>
        <v/>
      </c>
    </row>
    <row r="635" customFormat="false" ht="15" hidden="false" customHeight="false" outlineLevel="0" collapsed="false">
      <c r="A635" s="32"/>
      <c r="B635" s="32"/>
      <c r="C635" s="33"/>
      <c r="D635" s="32"/>
      <c r="E635" s="35"/>
      <c r="F635" s="32"/>
      <c r="G635" s="35"/>
      <c r="H635" s="37" t="str">
        <f aca="true">IF(B635="","",IF(OR(D635="Done"),"Done",IF(E635="","No Due Date",IF(E635&lt;TODAY(),"Overdue",IF(E635=TODAY(),"Due Today",IF(E635&lt;TODAY()+7,"Due This Week","Later"))))))</f>
        <v/>
      </c>
      <c r="I635" s="40" t="str">
        <f aca="false">IF(AND(B635&lt;&gt;"",D635&lt;&gt;"Done",E635&lt;&gt;""),E635+ROW()/100000,"")</f>
        <v/>
      </c>
    </row>
    <row r="636" customFormat="false" ht="15" hidden="false" customHeight="false" outlineLevel="0" collapsed="false">
      <c r="A636" s="32"/>
      <c r="B636" s="32"/>
      <c r="C636" s="33"/>
      <c r="D636" s="32"/>
      <c r="E636" s="35"/>
      <c r="F636" s="32"/>
      <c r="G636" s="35"/>
      <c r="H636" s="37" t="str">
        <f aca="true">IF(B636="","",IF(OR(D636="Done"),"Done",IF(E636="","No Due Date",IF(E636&lt;TODAY(),"Overdue",IF(E636=TODAY(),"Due Today",IF(E636&lt;TODAY()+7,"Due This Week","Later"))))))</f>
        <v/>
      </c>
      <c r="I636" s="40" t="str">
        <f aca="false">IF(AND(B636&lt;&gt;"",D636&lt;&gt;"Done",E636&lt;&gt;""),E636+ROW()/100000,"")</f>
        <v/>
      </c>
    </row>
    <row r="637" customFormat="false" ht="15" hidden="false" customHeight="false" outlineLevel="0" collapsed="false">
      <c r="A637" s="32"/>
      <c r="B637" s="32"/>
      <c r="C637" s="33"/>
      <c r="D637" s="32"/>
      <c r="E637" s="35"/>
      <c r="F637" s="32"/>
      <c r="G637" s="35"/>
      <c r="H637" s="37" t="str">
        <f aca="true">IF(B637="","",IF(OR(D637="Done"),"Done",IF(E637="","No Due Date",IF(E637&lt;TODAY(),"Overdue",IF(E637=TODAY(),"Due Today",IF(E637&lt;TODAY()+7,"Due This Week","Later"))))))</f>
        <v/>
      </c>
      <c r="I637" s="40" t="str">
        <f aca="false">IF(AND(B637&lt;&gt;"",D637&lt;&gt;"Done",E637&lt;&gt;""),E637+ROW()/100000,"")</f>
        <v/>
      </c>
    </row>
    <row r="638" customFormat="false" ht="15" hidden="false" customHeight="false" outlineLevel="0" collapsed="false">
      <c r="A638" s="32"/>
      <c r="B638" s="32"/>
      <c r="C638" s="33"/>
      <c r="D638" s="32"/>
      <c r="E638" s="35"/>
      <c r="F638" s="32"/>
      <c r="G638" s="35"/>
      <c r="H638" s="37" t="str">
        <f aca="true">IF(B638="","",IF(OR(D638="Done"),"Done",IF(E638="","No Due Date",IF(E638&lt;TODAY(),"Overdue",IF(E638=TODAY(),"Due Today",IF(E638&lt;TODAY()+7,"Due This Week","Later"))))))</f>
        <v/>
      </c>
      <c r="I638" s="40" t="str">
        <f aca="false">IF(AND(B638&lt;&gt;"",D638&lt;&gt;"Done",E638&lt;&gt;""),E638+ROW()/100000,"")</f>
        <v/>
      </c>
    </row>
    <row r="639" customFormat="false" ht="15" hidden="false" customHeight="false" outlineLevel="0" collapsed="false">
      <c r="A639" s="32"/>
      <c r="B639" s="32"/>
      <c r="C639" s="33"/>
      <c r="D639" s="32"/>
      <c r="E639" s="35"/>
      <c r="F639" s="32"/>
      <c r="G639" s="35"/>
      <c r="H639" s="37" t="str">
        <f aca="true">IF(B639="","",IF(OR(D639="Done"),"Done",IF(E639="","No Due Date",IF(E639&lt;TODAY(),"Overdue",IF(E639=TODAY(),"Due Today",IF(E639&lt;TODAY()+7,"Due This Week","Later"))))))</f>
        <v/>
      </c>
      <c r="I639" s="40" t="str">
        <f aca="false">IF(AND(B639&lt;&gt;"",D639&lt;&gt;"Done",E639&lt;&gt;""),E639+ROW()/100000,"")</f>
        <v/>
      </c>
    </row>
    <row r="640" customFormat="false" ht="15" hidden="false" customHeight="false" outlineLevel="0" collapsed="false">
      <c r="A640" s="32"/>
      <c r="B640" s="32"/>
      <c r="C640" s="33"/>
      <c r="D640" s="32"/>
      <c r="E640" s="35"/>
      <c r="F640" s="32"/>
      <c r="G640" s="35"/>
      <c r="H640" s="37" t="str">
        <f aca="true">IF(B640="","",IF(OR(D640="Done"),"Done",IF(E640="","No Due Date",IF(E640&lt;TODAY(),"Overdue",IF(E640=TODAY(),"Due Today",IF(E640&lt;TODAY()+7,"Due This Week","Later"))))))</f>
        <v/>
      </c>
      <c r="I640" s="40" t="str">
        <f aca="false">IF(AND(B640&lt;&gt;"",D640&lt;&gt;"Done",E640&lt;&gt;""),E640+ROW()/100000,"")</f>
        <v/>
      </c>
    </row>
    <row r="641" customFormat="false" ht="15" hidden="false" customHeight="false" outlineLevel="0" collapsed="false">
      <c r="A641" s="32"/>
      <c r="B641" s="32"/>
      <c r="C641" s="33"/>
      <c r="D641" s="32"/>
      <c r="E641" s="35"/>
      <c r="F641" s="32"/>
      <c r="G641" s="35"/>
      <c r="H641" s="37" t="str">
        <f aca="true">IF(B641="","",IF(OR(D641="Done"),"Done",IF(E641="","No Due Date",IF(E641&lt;TODAY(),"Overdue",IF(E641=TODAY(),"Due Today",IF(E641&lt;TODAY()+7,"Due This Week","Later"))))))</f>
        <v/>
      </c>
      <c r="I641" s="40" t="str">
        <f aca="false">IF(AND(B641&lt;&gt;"",D641&lt;&gt;"Done",E641&lt;&gt;""),E641+ROW()/100000,"")</f>
        <v/>
      </c>
    </row>
    <row r="642" customFormat="false" ht="15" hidden="false" customHeight="false" outlineLevel="0" collapsed="false">
      <c r="A642" s="32"/>
      <c r="B642" s="32"/>
      <c r="C642" s="33"/>
      <c r="D642" s="32"/>
      <c r="E642" s="35"/>
      <c r="F642" s="32"/>
      <c r="G642" s="35"/>
      <c r="H642" s="37" t="str">
        <f aca="true">IF(B642="","",IF(OR(D642="Done"),"Done",IF(E642="","No Due Date",IF(E642&lt;TODAY(),"Overdue",IF(E642=TODAY(),"Due Today",IF(E642&lt;TODAY()+7,"Due This Week","Later"))))))</f>
        <v/>
      </c>
      <c r="I642" s="40" t="str">
        <f aca="false">IF(AND(B642&lt;&gt;"",D642&lt;&gt;"Done",E642&lt;&gt;""),E642+ROW()/100000,"")</f>
        <v/>
      </c>
    </row>
    <row r="643" customFormat="false" ht="15" hidden="false" customHeight="false" outlineLevel="0" collapsed="false">
      <c r="A643" s="32"/>
      <c r="B643" s="32"/>
      <c r="C643" s="33"/>
      <c r="D643" s="32"/>
      <c r="E643" s="35"/>
      <c r="F643" s="32"/>
      <c r="G643" s="35"/>
      <c r="H643" s="37" t="str">
        <f aca="true">IF(B643="","",IF(OR(D643="Done"),"Done",IF(E643="","No Due Date",IF(E643&lt;TODAY(),"Overdue",IF(E643=TODAY(),"Due Today",IF(E643&lt;TODAY()+7,"Due This Week","Later"))))))</f>
        <v/>
      </c>
      <c r="I643" s="40" t="str">
        <f aca="false">IF(AND(B643&lt;&gt;"",D643&lt;&gt;"Done",E643&lt;&gt;""),E643+ROW()/100000,"")</f>
        <v/>
      </c>
    </row>
    <row r="644" customFormat="false" ht="15" hidden="false" customHeight="false" outlineLevel="0" collapsed="false">
      <c r="A644" s="32"/>
      <c r="B644" s="32"/>
      <c r="C644" s="33"/>
      <c r="D644" s="32"/>
      <c r="E644" s="35"/>
      <c r="F644" s="32"/>
      <c r="G644" s="35"/>
      <c r="H644" s="37" t="str">
        <f aca="true">IF(B644="","",IF(OR(D644="Done"),"Done",IF(E644="","No Due Date",IF(E644&lt;TODAY(),"Overdue",IF(E644=TODAY(),"Due Today",IF(E644&lt;TODAY()+7,"Due This Week","Later"))))))</f>
        <v/>
      </c>
      <c r="I644" s="40" t="str">
        <f aca="false">IF(AND(B644&lt;&gt;"",D644&lt;&gt;"Done",E644&lt;&gt;""),E644+ROW()/100000,"")</f>
        <v/>
      </c>
    </row>
    <row r="645" customFormat="false" ht="15" hidden="false" customHeight="false" outlineLevel="0" collapsed="false">
      <c r="A645" s="32"/>
      <c r="B645" s="32"/>
      <c r="C645" s="33"/>
      <c r="D645" s="32"/>
      <c r="E645" s="35"/>
      <c r="F645" s="32"/>
      <c r="G645" s="35"/>
      <c r="H645" s="37" t="str">
        <f aca="true">IF(B645="","",IF(OR(D645="Done"),"Done",IF(E645="","No Due Date",IF(E645&lt;TODAY(),"Overdue",IF(E645=TODAY(),"Due Today",IF(E645&lt;TODAY()+7,"Due This Week","Later"))))))</f>
        <v/>
      </c>
      <c r="I645" s="40" t="str">
        <f aca="false">IF(AND(B645&lt;&gt;"",D645&lt;&gt;"Done",E645&lt;&gt;""),E645+ROW()/100000,"")</f>
        <v/>
      </c>
    </row>
    <row r="646" customFormat="false" ht="15" hidden="false" customHeight="false" outlineLevel="0" collapsed="false">
      <c r="A646" s="32"/>
      <c r="B646" s="32"/>
      <c r="C646" s="33"/>
      <c r="D646" s="32"/>
      <c r="E646" s="35"/>
      <c r="F646" s="32"/>
      <c r="G646" s="35"/>
      <c r="H646" s="37" t="str">
        <f aca="true">IF(B646="","",IF(OR(D646="Done"),"Done",IF(E646="","No Due Date",IF(E646&lt;TODAY(),"Overdue",IF(E646=TODAY(),"Due Today",IF(E646&lt;TODAY()+7,"Due This Week","Later"))))))</f>
        <v/>
      </c>
      <c r="I646" s="40" t="str">
        <f aca="false">IF(AND(B646&lt;&gt;"",D646&lt;&gt;"Done",E646&lt;&gt;""),E646+ROW()/100000,"")</f>
        <v/>
      </c>
    </row>
    <row r="647" customFormat="false" ht="15" hidden="false" customHeight="false" outlineLevel="0" collapsed="false">
      <c r="A647" s="32"/>
      <c r="B647" s="32"/>
      <c r="C647" s="33"/>
      <c r="D647" s="32"/>
      <c r="E647" s="35"/>
      <c r="F647" s="32"/>
      <c r="G647" s="35"/>
      <c r="H647" s="37" t="str">
        <f aca="true">IF(B647="","",IF(OR(D647="Done"),"Done",IF(E647="","No Due Date",IF(E647&lt;TODAY(),"Overdue",IF(E647=TODAY(),"Due Today",IF(E647&lt;TODAY()+7,"Due This Week","Later"))))))</f>
        <v/>
      </c>
      <c r="I647" s="40" t="str">
        <f aca="false">IF(AND(B647&lt;&gt;"",D647&lt;&gt;"Done",E647&lt;&gt;""),E647+ROW()/100000,"")</f>
        <v/>
      </c>
    </row>
    <row r="648" customFormat="false" ht="15" hidden="false" customHeight="false" outlineLevel="0" collapsed="false">
      <c r="A648" s="32"/>
      <c r="B648" s="32"/>
      <c r="C648" s="33"/>
      <c r="D648" s="32"/>
      <c r="E648" s="35"/>
      <c r="F648" s="32"/>
      <c r="G648" s="35"/>
      <c r="H648" s="37" t="str">
        <f aca="true">IF(B648="","",IF(OR(D648="Done"),"Done",IF(E648="","No Due Date",IF(E648&lt;TODAY(),"Overdue",IF(E648=TODAY(),"Due Today",IF(E648&lt;TODAY()+7,"Due This Week","Later"))))))</f>
        <v/>
      </c>
      <c r="I648" s="40" t="str">
        <f aca="false">IF(AND(B648&lt;&gt;"",D648&lt;&gt;"Done",E648&lt;&gt;""),E648+ROW()/100000,"")</f>
        <v/>
      </c>
    </row>
    <row r="649" customFormat="false" ht="15" hidden="false" customHeight="false" outlineLevel="0" collapsed="false">
      <c r="A649" s="32"/>
      <c r="B649" s="32"/>
      <c r="C649" s="33"/>
      <c r="D649" s="32"/>
      <c r="E649" s="35"/>
      <c r="F649" s="32"/>
      <c r="G649" s="35"/>
      <c r="H649" s="37" t="str">
        <f aca="true">IF(B649="","",IF(OR(D649="Done"),"Done",IF(E649="","No Due Date",IF(E649&lt;TODAY(),"Overdue",IF(E649=TODAY(),"Due Today",IF(E649&lt;TODAY()+7,"Due This Week","Later"))))))</f>
        <v/>
      </c>
      <c r="I649" s="40" t="str">
        <f aca="false">IF(AND(B649&lt;&gt;"",D649&lt;&gt;"Done",E649&lt;&gt;""),E649+ROW()/100000,"")</f>
        <v/>
      </c>
    </row>
    <row r="650" customFormat="false" ht="15" hidden="false" customHeight="false" outlineLevel="0" collapsed="false">
      <c r="A650" s="32"/>
      <c r="B650" s="32"/>
      <c r="C650" s="33"/>
      <c r="D650" s="32"/>
      <c r="E650" s="35"/>
      <c r="F650" s="32"/>
      <c r="G650" s="35"/>
      <c r="H650" s="37" t="str">
        <f aca="true">IF(B650="","",IF(OR(D650="Done"),"Done",IF(E650="","No Due Date",IF(E650&lt;TODAY(),"Overdue",IF(E650=TODAY(),"Due Today",IF(E650&lt;TODAY()+7,"Due This Week","Later"))))))</f>
        <v/>
      </c>
      <c r="I650" s="40" t="str">
        <f aca="false">IF(AND(B650&lt;&gt;"",D650&lt;&gt;"Done",E650&lt;&gt;""),E650+ROW()/100000,"")</f>
        <v/>
      </c>
    </row>
    <row r="651" customFormat="false" ht="15" hidden="false" customHeight="false" outlineLevel="0" collapsed="false">
      <c r="A651" s="32"/>
      <c r="B651" s="32"/>
      <c r="C651" s="33"/>
      <c r="D651" s="32"/>
      <c r="E651" s="35"/>
      <c r="F651" s="32"/>
      <c r="G651" s="35"/>
      <c r="H651" s="37" t="str">
        <f aca="true">IF(B651="","",IF(OR(D651="Done"),"Done",IF(E651="","No Due Date",IF(E651&lt;TODAY(),"Overdue",IF(E651=TODAY(),"Due Today",IF(E651&lt;TODAY()+7,"Due This Week","Later"))))))</f>
        <v/>
      </c>
      <c r="I651" s="40" t="str">
        <f aca="false">IF(AND(B651&lt;&gt;"",D651&lt;&gt;"Done",E651&lt;&gt;""),E651+ROW()/100000,"")</f>
        <v/>
      </c>
    </row>
    <row r="652" customFormat="false" ht="15" hidden="false" customHeight="false" outlineLevel="0" collapsed="false">
      <c r="A652" s="32"/>
      <c r="B652" s="32"/>
      <c r="C652" s="33"/>
      <c r="D652" s="32"/>
      <c r="E652" s="35"/>
      <c r="F652" s="32"/>
      <c r="G652" s="35"/>
      <c r="H652" s="37" t="str">
        <f aca="true">IF(B652="","",IF(OR(D652="Done"),"Done",IF(E652="","No Due Date",IF(E652&lt;TODAY(),"Overdue",IF(E652=TODAY(),"Due Today",IF(E652&lt;TODAY()+7,"Due This Week","Later"))))))</f>
        <v/>
      </c>
      <c r="I652" s="40" t="str">
        <f aca="false">IF(AND(B652&lt;&gt;"",D652&lt;&gt;"Done",E652&lt;&gt;""),E652+ROW()/100000,"")</f>
        <v/>
      </c>
    </row>
    <row r="653" customFormat="false" ht="15" hidden="false" customHeight="false" outlineLevel="0" collapsed="false">
      <c r="A653" s="32"/>
      <c r="B653" s="32"/>
      <c r="C653" s="33"/>
      <c r="D653" s="32"/>
      <c r="E653" s="35"/>
      <c r="F653" s="32"/>
      <c r="G653" s="35"/>
      <c r="H653" s="37" t="str">
        <f aca="true">IF(B653="","",IF(OR(D653="Done"),"Done",IF(E653="","No Due Date",IF(E653&lt;TODAY(),"Overdue",IF(E653=TODAY(),"Due Today",IF(E653&lt;TODAY()+7,"Due This Week","Later"))))))</f>
        <v/>
      </c>
      <c r="I653" s="40" t="str">
        <f aca="false">IF(AND(B653&lt;&gt;"",D653&lt;&gt;"Done",E653&lt;&gt;""),E653+ROW()/100000,"")</f>
        <v/>
      </c>
    </row>
    <row r="654" customFormat="false" ht="15" hidden="false" customHeight="false" outlineLevel="0" collapsed="false">
      <c r="A654" s="32"/>
      <c r="B654" s="32"/>
      <c r="C654" s="33"/>
      <c r="D654" s="32"/>
      <c r="E654" s="35"/>
      <c r="F654" s="32"/>
      <c r="G654" s="35"/>
      <c r="H654" s="37" t="str">
        <f aca="true">IF(B654="","",IF(OR(D654="Done"),"Done",IF(E654="","No Due Date",IF(E654&lt;TODAY(),"Overdue",IF(E654=TODAY(),"Due Today",IF(E654&lt;TODAY()+7,"Due This Week","Later"))))))</f>
        <v/>
      </c>
      <c r="I654" s="40" t="str">
        <f aca="false">IF(AND(B654&lt;&gt;"",D654&lt;&gt;"Done",E654&lt;&gt;""),E654+ROW()/100000,"")</f>
        <v/>
      </c>
    </row>
    <row r="655" customFormat="false" ht="15" hidden="false" customHeight="false" outlineLevel="0" collapsed="false">
      <c r="A655" s="32"/>
      <c r="B655" s="32"/>
      <c r="C655" s="33"/>
      <c r="D655" s="32"/>
      <c r="E655" s="35"/>
      <c r="F655" s="32"/>
      <c r="G655" s="35"/>
      <c r="H655" s="37" t="str">
        <f aca="true">IF(B655="","",IF(OR(D655="Done"),"Done",IF(E655="","No Due Date",IF(E655&lt;TODAY(),"Overdue",IF(E655=TODAY(),"Due Today",IF(E655&lt;TODAY()+7,"Due This Week","Later"))))))</f>
        <v/>
      </c>
      <c r="I655" s="40" t="str">
        <f aca="false">IF(AND(B655&lt;&gt;"",D655&lt;&gt;"Done",E655&lt;&gt;""),E655+ROW()/100000,"")</f>
        <v/>
      </c>
    </row>
    <row r="656" customFormat="false" ht="15" hidden="false" customHeight="false" outlineLevel="0" collapsed="false">
      <c r="A656" s="32"/>
      <c r="B656" s="32"/>
      <c r="C656" s="33"/>
      <c r="D656" s="32"/>
      <c r="E656" s="35"/>
      <c r="F656" s="32"/>
      <c r="G656" s="35"/>
      <c r="H656" s="37" t="str">
        <f aca="true">IF(B656="","",IF(OR(D656="Done"),"Done",IF(E656="","No Due Date",IF(E656&lt;TODAY(),"Overdue",IF(E656=TODAY(),"Due Today",IF(E656&lt;TODAY()+7,"Due This Week","Later"))))))</f>
        <v/>
      </c>
      <c r="I656" s="40" t="str">
        <f aca="false">IF(AND(B656&lt;&gt;"",D656&lt;&gt;"Done",E656&lt;&gt;""),E656+ROW()/100000,"")</f>
        <v/>
      </c>
    </row>
    <row r="657" customFormat="false" ht="15" hidden="false" customHeight="false" outlineLevel="0" collapsed="false">
      <c r="A657" s="32"/>
      <c r="B657" s="32"/>
      <c r="C657" s="33"/>
      <c r="D657" s="32"/>
      <c r="E657" s="35"/>
      <c r="F657" s="32"/>
      <c r="G657" s="35"/>
      <c r="H657" s="37" t="str">
        <f aca="true">IF(B657="","",IF(OR(D657="Done"),"Done",IF(E657="","No Due Date",IF(E657&lt;TODAY(),"Overdue",IF(E657=TODAY(),"Due Today",IF(E657&lt;TODAY()+7,"Due This Week","Later"))))))</f>
        <v/>
      </c>
      <c r="I657" s="40" t="str">
        <f aca="false">IF(AND(B657&lt;&gt;"",D657&lt;&gt;"Done",E657&lt;&gt;""),E657+ROW()/100000,"")</f>
        <v/>
      </c>
    </row>
    <row r="658" customFormat="false" ht="15" hidden="false" customHeight="false" outlineLevel="0" collapsed="false">
      <c r="A658" s="32"/>
      <c r="B658" s="32"/>
      <c r="C658" s="33"/>
      <c r="D658" s="32"/>
      <c r="E658" s="35"/>
      <c r="F658" s="32"/>
      <c r="G658" s="35"/>
      <c r="H658" s="37" t="str">
        <f aca="true">IF(B658="","",IF(OR(D658="Done"),"Done",IF(E658="","No Due Date",IF(E658&lt;TODAY(),"Overdue",IF(E658=TODAY(),"Due Today",IF(E658&lt;TODAY()+7,"Due This Week","Later"))))))</f>
        <v/>
      </c>
      <c r="I658" s="40" t="str">
        <f aca="false">IF(AND(B658&lt;&gt;"",D658&lt;&gt;"Done",E658&lt;&gt;""),E658+ROW()/100000,"")</f>
        <v/>
      </c>
    </row>
    <row r="659" customFormat="false" ht="15" hidden="false" customHeight="false" outlineLevel="0" collapsed="false">
      <c r="A659" s="32"/>
      <c r="B659" s="32"/>
      <c r="C659" s="33"/>
      <c r="D659" s="32"/>
      <c r="E659" s="35"/>
      <c r="F659" s="32"/>
      <c r="G659" s="35"/>
      <c r="H659" s="37" t="str">
        <f aca="true">IF(B659="","",IF(OR(D659="Done"),"Done",IF(E659="","No Due Date",IF(E659&lt;TODAY(),"Overdue",IF(E659=TODAY(),"Due Today",IF(E659&lt;TODAY()+7,"Due This Week","Later"))))))</f>
        <v/>
      </c>
      <c r="I659" s="40" t="str">
        <f aca="false">IF(AND(B659&lt;&gt;"",D659&lt;&gt;"Done",E659&lt;&gt;""),E659+ROW()/100000,"")</f>
        <v/>
      </c>
    </row>
    <row r="660" customFormat="false" ht="15" hidden="false" customHeight="false" outlineLevel="0" collapsed="false">
      <c r="A660" s="32"/>
      <c r="B660" s="32"/>
      <c r="C660" s="33"/>
      <c r="D660" s="32"/>
      <c r="E660" s="35"/>
      <c r="F660" s="32"/>
      <c r="G660" s="35"/>
      <c r="H660" s="37" t="str">
        <f aca="true">IF(B660="","",IF(OR(D660="Done"),"Done",IF(E660="","No Due Date",IF(E660&lt;TODAY(),"Overdue",IF(E660=TODAY(),"Due Today",IF(E660&lt;TODAY()+7,"Due This Week","Later"))))))</f>
        <v/>
      </c>
      <c r="I660" s="40" t="str">
        <f aca="false">IF(AND(B660&lt;&gt;"",D660&lt;&gt;"Done",E660&lt;&gt;""),E660+ROW()/100000,"")</f>
        <v/>
      </c>
    </row>
    <row r="661" customFormat="false" ht="15" hidden="false" customHeight="false" outlineLevel="0" collapsed="false">
      <c r="A661" s="32"/>
      <c r="B661" s="32"/>
      <c r="C661" s="33"/>
      <c r="D661" s="32"/>
      <c r="E661" s="35"/>
      <c r="F661" s="32"/>
      <c r="G661" s="35"/>
      <c r="H661" s="37" t="str">
        <f aca="true">IF(B661="","",IF(OR(D661="Done"),"Done",IF(E661="","No Due Date",IF(E661&lt;TODAY(),"Overdue",IF(E661=TODAY(),"Due Today",IF(E661&lt;TODAY()+7,"Due This Week","Later"))))))</f>
        <v/>
      </c>
      <c r="I661" s="40" t="str">
        <f aca="false">IF(AND(B661&lt;&gt;"",D661&lt;&gt;"Done",E661&lt;&gt;""),E661+ROW()/100000,"")</f>
        <v/>
      </c>
    </row>
    <row r="662" customFormat="false" ht="15" hidden="false" customHeight="false" outlineLevel="0" collapsed="false">
      <c r="A662" s="32"/>
      <c r="B662" s="32"/>
      <c r="C662" s="33"/>
      <c r="D662" s="32"/>
      <c r="E662" s="35"/>
      <c r="F662" s="32"/>
      <c r="G662" s="35"/>
      <c r="H662" s="37" t="str">
        <f aca="true">IF(B662="","",IF(OR(D662="Done"),"Done",IF(E662="","No Due Date",IF(E662&lt;TODAY(),"Overdue",IF(E662=TODAY(),"Due Today",IF(E662&lt;TODAY()+7,"Due This Week","Later"))))))</f>
        <v/>
      </c>
      <c r="I662" s="40" t="str">
        <f aca="false">IF(AND(B662&lt;&gt;"",D662&lt;&gt;"Done",E662&lt;&gt;""),E662+ROW()/100000,"")</f>
        <v/>
      </c>
    </row>
    <row r="663" customFormat="false" ht="15" hidden="false" customHeight="false" outlineLevel="0" collapsed="false">
      <c r="A663" s="32"/>
      <c r="B663" s="32"/>
      <c r="C663" s="33"/>
      <c r="D663" s="32"/>
      <c r="E663" s="35"/>
      <c r="F663" s="32"/>
      <c r="G663" s="35"/>
      <c r="H663" s="37" t="str">
        <f aca="true">IF(B663="","",IF(OR(D663="Done"),"Done",IF(E663="","No Due Date",IF(E663&lt;TODAY(),"Overdue",IF(E663=TODAY(),"Due Today",IF(E663&lt;TODAY()+7,"Due This Week","Later"))))))</f>
        <v/>
      </c>
      <c r="I663" s="40" t="str">
        <f aca="false">IF(AND(B663&lt;&gt;"",D663&lt;&gt;"Done",E663&lt;&gt;""),E663+ROW()/100000,"")</f>
        <v/>
      </c>
    </row>
    <row r="664" customFormat="false" ht="15" hidden="false" customHeight="false" outlineLevel="0" collapsed="false">
      <c r="A664" s="32"/>
      <c r="B664" s="32"/>
      <c r="C664" s="33"/>
      <c r="D664" s="32"/>
      <c r="E664" s="35"/>
      <c r="F664" s="32"/>
      <c r="G664" s="35"/>
      <c r="H664" s="37" t="str">
        <f aca="true">IF(B664="","",IF(OR(D664="Done"),"Done",IF(E664="","No Due Date",IF(E664&lt;TODAY(),"Overdue",IF(E664=TODAY(),"Due Today",IF(E664&lt;TODAY()+7,"Due This Week","Later"))))))</f>
        <v/>
      </c>
      <c r="I664" s="40" t="str">
        <f aca="false">IF(AND(B664&lt;&gt;"",D664&lt;&gt;"Done",E664&lt;&gt;""),E664+ROW()/100000,"")</f>
        <v/>
      </c>
    </row>
    <row r="665" customFormat="false" ht="15" hidden="false" customHeight="false" outlineLevel="0" collapsed="false">
      <c r="A665" s="32"/>
      <c r="B665" s="32"/>
      <c r="C665" s="33"/>
      <c r="D665" s="32"/>
      <c r="E665" s="35"/>
      <c r="F665" s="32"/>
      <c r="G665" s="35"/>
      <c r="H665" s="37" t="str">
        <f aca="true">IF(B665="","",IF(OR(D665="Done"),"Done",IF(E665="","No Due Date",IF(E665&lt;TODAY(),"Overdue",IF(E665=TODAY(),"Due Today",IF(E665&lt;TODAY()+7,"Due This Week","Later"))))))</f>
        <v/>
      </c>
      <c r="I665" s="40" t="str">
        <f aca="false">IF(AND(B665&lt;&gt;"",D665&lt;&gt;"Done",E665&lt;&gt;""),E665+ROW()/100000,"")</f>
        <v/>
      </c>
    </row>
    <row r="666" customFormat="false" ht="15" hidden="false" customHeight="false" outlineLevel="0" collapsed="false">
      <c r="A666" s="32"/>
      <c r="B666" s="32"/>
      <c r="C666" s="33"/>
      <c r="D666" s="32"/>
      <c r="E666" s="35"/>
      <c r="F666" s="32"/>
      <c r="G666" s="35"/>
      <c r="H666" s="37" t="str">
        <f aca="true">IF(B666="","",IF(OR(D666="Done"),"Done",IF(E666="","No Due Date",IF(E666&lt;TODAY(),"Overdue",IF(E666=TODAY(),"Due Today",IF(E666&lt;TODAY()+7,"Due This Week","Later"))))))</f>
        <v/>
      </c>
      <c r="I666" s="40" t="str">
        <f aca="false">IF(AND(B666&lt;&gt;"",D666&lt;&gt;"Done",E666&lt;&gt;""),E666+ROW()/100000,"")</f>
        <v/>
      </c>
    </row>
    <row r="667" customFormat="false" ht="15" hidden="false" customHeight="false" outlineLevel="0" collapsed="false">
      <c r="A667" s="32"/>
      <c r="B667" s="32"/>
      <c r="C667" s="33"/>
      <c r="D667" s="32"/>
      <c r="E667" s="35"/>
      <c r="F667" s="32"/>
      <c r="G667" s="35"/>
      <c r="H667" s="37" t="str">
        <f aca="true">IF(B667="","",IF(OR(D667="Done"),"Done",IF(E667="","No Due Date",IF(E667&lt;TODAY(),"Overdue",IF(E667=TODAY(),"Due Today",IF(E667&lt;TODAY()+7,"Due This Week","Later"))))))</f>
        <v/>
      </c>
      <c r="I667" s="40" t="str">
        <f aca="false">IF(AND(B667&lt;&gt;"",D667&lt;&gt;"Done",E667&lt;&gt;""),E667+ROW()/100000,"")</f>
        <v/>
      </c>
    </row>
    <row r="668" customFormat="false" ht="15" hidden="false" customHeight="false" outlineLevel="0" collapsed="false">
      <c r="A668" s="32"/>
      <c r="B668" s="32"/>
      <c r="C668" s="33"/>
      <c r="D668" s="32"/>
      <c r="E668" s="35"/>
      <c r="F668" s="32"/>
      <c r="G668" s="35"/>
      <c r="H668" s="37" t="str">
        <f aca="true">IF(B668="","",IF(OR(D668="Done"),"Done",IF(E668="","No Due Date",IF(E668&lt;TODAY(),"Overdue",IF(E668=TODAY(),"Due Today",IF(E668&lt;TODAY()+7,"Due This Week","Later"))))))</f>
        <v/>
      </c>
      <c r="I668" s="40" t="str">
        <f aca="false">IF(AND(B668&lt;&gt;"",D668&lt;&gt;"Done",E668&lt;&gt;""),E668+ROW()/100000,"")</f>
        <v/>
      </c>
    </row>
    <row r="669" customFormat="false" ht="15" hidden="false" customHeight="false" outlineLevel="0" collapsed="false">
      <c r="A669" s="32"/>
      <c r="B669" s="32"/>
      <c r="C669" s="33"/>
      <c r="D669" s="32"/>
      <c r="E669" s="35"/>
      <c r="F669" s="32"/>
      <c r="G669" s="35"/>
      <c r="H669" s="37" t="str">
        <f aca="true">IF(B669="","",IF(OR(D669="Done"),"Done",IF(E669="","No Due Date",IF(E669&lt;TODAY(),"Overdue",IF(E669=TODAY(),"Due Today",IF(E669&lt;TODAY()+7,"Due This Week","Later"))))))</f>
        <v/>
      </c>
      <c r="I669" s="40" t="str">
        <f aca="false">IF(AND(B669&lt;&gt;"",D669&lt;&gt;"Done",E669&lt;&gt;""),E669+ROW()/100000,"")</f>
        <v/>
      </c>
    </row>
    <row r="670" customFormat="false" ht="15" hidden="false" customHeight="false" outlineLevel="0" collapsed="false">
      <c r="A670" s="32"/>
      <c r="B670" s="32"/>
      <c r="C670" s="33"/>
      <c r="D670" s="32"/>
      <c r="E670" s="35"/>
      <c r="F670" s="32"/>
      <c r="G670" s="35"/>
      <c r="H670" s="37" t="str">
        <f aca="true">IF(B670="","",IF(OR(D670="Done"),"Done",IF(E670="","No Due Date",IF(E670&lt;TODAY(),"Overdue",IF(E670=TODAY(),"Due Today",IF(E670&lt;TODAY()+7,"Due This Week","Later"))))))</f>
        <v/>
      </c>
      <c r="I670" s="40" t="str">
        <f aca="false">IF(AND(B670&lt;&gt;"",D670&lt;&gt;"Done",E670&lt;&gt;""),E670+ROW()/100000,"")</f>
        <v/>
      </c>
    </row>
    <row r="671" customFormat="false" ht="15" hidden="false" customHeight="false" outlineLevel="0" collapsed="false">
      <c r="A671" s="32"/>
      <c r="B671" s="32"/>
      <c r="C671" s="33"/>
      <c r="D671" s="32"/>
      <c r="E671" s="35"/>
      <c r="F671" s="32"/>
      <c r="G671" s="35"/>
      <c r="H671" s="37" t="str">
        <f aca="true">IF(B671="","",IF(OR(D671="Done"),"Done",IF(E671="","No Due Date",IF(E671&lt;TODAY(),"Overdue",IF(E671=TODAY(),"Due Today",IF(E671&lt;TODAY()+7,"Due This Week","Later"))))))</f>
        <v/>
      </c>
      <c r="I671" s="40" t="str">
        <f aca="false">IF(AND(B671&lt;&gt;"",D671&lt;&gt;"Done",E671&lt;&gt;""),E671+ROW()/100000,"")</f>
        <v/>
      </c>
    </row>
    <row r="672" customFormat="false" ht="15" hidden="false" customHeight="false" outlineLevel="0" collapsed="false">
      <c r="A672" s="32"/>
      <c r="B672" s="32"/>
      <c r="C672" s="33"/>
      <c r="D672" s="32"/>
      <c r="E672" s="35"/>
      <c r="F672" s="32"/>
      <c r="G672" s="35"/>
      <c r="H672" s="37" t="str">
        <f aca="true">IF(B672="","",IF(OR(D672="Done"),"Done",IF(E672="","No Due Date",IF(E672&lt;TODAY(),"Overdue",IF(E672=TODAY(),"Due Today",IF(E672&lt;TODAY()+7,"Due This Week","Later"))))))</f>
        <v/>
      </c>
      <c r="I672" s="40" t="str">
        <f aca="false">IF(AND(B672&lt;&gt;"",D672&lt;&gt;"Done",E672&lt;&gt;""),E672+ROW()/100000,"")</f>
        <v/>
      </c>
    </row>
    <row r="673" customFormat="false" ht="15" hidden="false" customHeight="false" outlineLevel="0" collapsed="false">
      <c r="A673" s="32"/>
      <c r="B673" s="32"/>
      <c r="C673" s="33"/>
      <c r="D673" s="32"/>
      <c r="E673" s="35"/>
      <c r="F673" s="32"/>
      <c r="G673" s="35"/>
      <c r="H673" s="37" t="str">
        <f aca="true">IF(B673="","",IF(OR(D673="Done"),"Done",IF(E673="","No Due Date",IF(E673&lt;TODAY(),"Overdue",IF(E673=TODAY(),"Due Today",IF(E673&lt;TODAY()+7,"Due This Week","Later"))))))</f>
        <v/>
      </c>
      <c r="I673" s="40" t="str">
        <f aca="false">IF(AND(B673&lt;&gt;"",D673&lt;&gt;"Done",E673&lt;&gt;""),E673+ROW()/100000,"")</f>
        <v/>
      </c>
    </row>
    <row r="674" customFormat="false" ht="15" hidden="false" customHeight="false" outlineLevel="0" collapsed="false">
      <c r="A674" s="32"/>
      <c r="B674" s="32"/>
      <c r="C674" s="33"/>
      <c r="D674" s="32"/>
      <c r="E674" s="35"/>
      <c r="F674" s="32"/>
      <c r="G674" s="35"/>
      <c r="H674" s="37" t="str">
        <f aca="true">IF(B674="","",IF(OR(D674="Done"),"Done",IF(E674="","No Due Date",IF(E674&lt;TODAY(),"Overdue",IF(E674=TODAY(),"Due Today",IF(E674&lt;TODAY()+7,"Due This Week","Later"))))))</f>
        <v/>
      </c>
      <c r="I674" s="40" t="str">
        <f aca="false">IF(AND(B674&lt;&gt;"",D674&lt;&gt;"Done",E674&lt;&gt;""),E674+ROW()/100000,"")</f>
        <v/>
      </c>
    </row>
    <row r="675" customFormat="false" ht="15" hidden="false" customHeight="false" outlineLevel="0" collapsed="false">
      <c r="A675" s="32"/>
      <c r="B675" s="32"/>
      <c r="C675" s="33"/>
      <c r="D675" s="32"/>
      <c r="E675" s="35"/>
      <c r="F675" s="32"/>
      <c r="G675" s="35"/>
      <c r="H675" s="37" t="str">
        <f aca="true">IF(B675="","",IF(OR(D675="Done"),"Done",IF(E675="","No Due Date",IF(E675&lt;TODAY(),"Overdue",IF(E675=TODAY(),"Due Today",IF(E675&lt;TODAY()+7,"Due This Week","Later"))))))</f>
        <v/>
      </c>
      <c r="I675" s="40" t="str">
        <f aca="false">IF(AND(B675&lt;&gt;"",D675&lt;&gt;"Done",E675&lt;&gt;""),E675+ROW()/100000,"")</f>
        <v/>
      </c>
    </row>
    <row r="676" customFormat="false" ht="15" hidden="false" customHeight="false" outlineLevel="0" collapsed="false">
      <c r="A676" s="32"/>
      <c r="B676" s="32"/>
      <c r="C676" s="33"/>
      <c r="D676" s="32"/>
      <c r="E676" s="35"/>
      <c r="F676" s="32"/>
      <c r="G676" s="35"/>
      <c r="H676" s="37" t="str">
        <f aca="true">IF(B676="","",IF(OR(D676="Done"),"Done",IF(E676="","No Due Date",IF(E676&lt;TODAY(),"Overdue",IF(E676=TODAY(),"Due Today",IF(E676&lt;TODAY()+7,"Due This Week","Later"))))))</f>
        <v/>
      </c>
      <c r="I676" s="40" t="str">
        <f aca="false">IF(AND(B676&lt;&gt;"",D676&lt;&gt;"Done",E676&lt;&gt;""),E676+ROW()/100000,"")</f>
        <v/>
      </c>
    </row>
    <row r="677" customFormat="false" ht="15" hidden="false" customHeight="false" outlineLevel="0" collapsed="false">
      <c r="A677" s="32"/>
      <c r="B677" s="32"/>
      <c r="C677" s="33"/>
      <c r="D677" s="32"/>
      <c r="E677" s="35"/>
      <c r="F677" s="32"/>
      <c r="G677" s="35"/>
      <c r="H677" s="37" t="str">
        <f aca="true">IF(B677="","",IF(OR(D677="Done"),"Done",IF(E677="","No Due Date",IF(E677&lt;TODAY(),"Overdue",IF(E677=TODAY(),"Due Today",IF(E677&lt;TODAY()+7,"Due This Week","Later"))))))</f>
        <v/>
      </c>
      <c r="I677" s="40" t="str">
        <f aca="false">IF(AND(B677&lt;&gt;"",D677&lt;&gt;"Done",E677&lt;&gt;""),E677+ROW()/100000,"")</f>
        <v/>
      </c>
    </row>
    <row r="678" customFormat="false" ht="15" hidden="false" customHeight="false" outlineLevel="0" collapsed="false">
      <c r="A678" s="32"/>
      <c r="B678" s="32"/>
      <c r="C678" s="33"/>
      <c r="D678" s="32"/>
      <c r="E678" s="35"/>
      <c r="F678" s="32"/>
      <c r="G678" s="35"/>
      <c r="H678" s="37" t="str">
        <f aca="true">IF(B678="","",IF(OR(D678="Done"),"Done",IF(E678="","No Due Date",IF(E678&lt;TODAY(),"Overdue",IF(E678=TODAY(),"Due Today",IF(E678&lt;TODAY()+7,"Due This Week","Later"))))))</f>
        <v/>
      </c>
      <c r="I678" s="40" t="str">
        <f aca="false">IF(AND(B678&lt;&gt;"",D678&lt;&gt;"Done",E678&lt;&gt;""),E678+ROW()/100000,"")</f>
        <v/>
      </c>
    </row>
    <row r="679" customFormat="false" ht="15" hidden="false" customHeight="false" outlineLevel="0" collapsed="false">
      <c r="A679" s="32"/>
      <c r="B679" s="32"/>
      <c r="C679" s="33"/>
      <c r="D679" s="32"/>
      <c r="E679" s="35"/>
      <c r="F679" s="32"/>
      <c r="G679" s="35"/>
      <c r="H679" s="37" t="str">
        <f aca="true">IF(B679="","",IF(OR(D679="Done"),"Done",IF(E679="","No Due Date",IF(E679&lt;TODAY(),"Overdue",IF(E679=TODAY(),"Due Today",IF(E679&lt;TODAY()+7,"Due This Week","Later"))))))</f>
        <v/>
      </c>
      <c r="I679" s="40" t="str">
        <f aca="false">IF(AND(B679&lt;&gt;"",D679&lt;&gt;"Done",E679&lt;&gt;""),E679+ROW()/100000,"")</f>
        <v/>
      </c>
    </row>
    <row r="680" customFormat="false" ht="15" hidden="false" customHeight="false" outlineLevel="0" collapsed="false">
      <c r="A680" s="32"/>
      <c r="B680" s="32"/>
      <c r="C680" s="33"/>
      <c r="D680" s="32"/>
      <c r="E680" s="35"/>
      <c r="F680" s="32"/>
      <c r="G680" s="35"/>
      <c r="H680" s="37" t="str">
        <f aca="true">IF(B680="","",IF(OR(D680="Done"),"Done",IF(E680="","No Due Date",IF(E680&lt;TODAY(),"Overdue",IF(E680=TODAY(),"Due Today",IF(E680&lt;TODAY()+7,"Due This Week","Later"))))))</f>
        <v/>
      </c>
      <c r="I680" s="40" t="str">
        <f aca="false">IF(AND(B680&lt;&gt;"",D680&lt;&gt;"Done",E680&lt;&gt;""),E680+ROW()/100000,"")</f>
        <v/>
      </c>
    </row>
    <row r="681" customFormat="false" ht="15" hidden="false" customHeight="false" outlineLevel="0" collapsed="false">
      <c r="A681" s="32"/>
      <c r="B681" s="32"/>
      <c r="C681" s="33"/>
      <c r="D681" s="32"/>
      <c r="E681" s="35"/>
      <c r="F681" s="32"/>
      <c r="G681" s="35"/>
      <c r="H681" s="37" t="str">
        <f aca="true">IF(B681="","",IF(OR(D681="Done"),"Done",IF(E681="","No Due Date",IF(E681&lt;TODAY(),"Overdue",IF(E681=TODAY(),"Due Today",IF(E681&lt;TODAY()+7,"Due This Week","Later"))))))</f>
        <v/>
      </c>
      <c r="I681" s="40" t="str">
        <f aca="false">IF(AND(B681&lt;&gt;"",D681&lt;&gt;"Done",E681&lt;&gt;""),E681+ROW()/100000,"")</f>
        <v/>
      </c>
    </row>
    <row r="682" customFormat="false" ht="15" hidden="false" customHeight="false" outlineLevel="0" collapsed="false">
      <c r="A682" s="32"/>
      <c r="B682" s="32"/>
      <c r="C682" s="33"/>
      <c r="D682" s="32"/>
      <c r="E682" s="35"/>
      <c r="F682" s="32"/>
      <c r="G682" s="35"/>
      <c r="H682" s="37" t="str">
        <f aca="true">IF(B682="","",IF(OR(D682="Done"),"Done",IF(E682="","No Due Date",IF(E682&lt;TODAY(),"Overdue",IF(E682=TODAY(),"Due Today",IF(E682&lt;TODAY()+7,"Due This Week","Later"))))))</f>
        <v/>
      </c>
      <c r="I682" s="40" t="str">
        <f aca="false">IF(AND(B682&lt;&gt;"",D682&lt;&gt;"Done",E682&lt;&gt;""),E682+ROW()/100000,"")</f>
        <v/>
      </c>
    </row>
    <row r="683" customFormat="false" ht="15" hidden="false" customHeight="false" outlineLevel="0" collapsed="false">
      <c r="A683" s="32"/>
      <c r="B683" s="32"/>
      <c r="C683" s="33"/>
      <c r="D683" s="32"/>
      <c r="E683" s="35"/>
      <c r="F683" s="32"/>
      <c r="G683" s="35"/>
      <c r="H683" s="37" t="str">
        <f aca="true">IF(B683="","",IF(OR(D683="Done"),"Done",IF(E683="","No Due Date",IF(E683&lt;TODAY(),"Overdue",IF(E683=TODAY(),"Due Today",IF(E683&lt;TODAY()+7,"Due This Week","Later"))))))</f>
        <v/>
      </c>
      <c r="I683" s="40" t="str">
        <f aca="false">IF(AND(B683&lt;&gt;"",D683&lt;&gt;"Done",E683&lt;&gt;""),E683+ROW()/100000,"")</f>
        <v/>
      </c>
    </row>
    <row r="684" customFormat="false" ht="15" hidden="false" customHeight="false" outlineLevel="0" collapsed="false">
      <c r="A684" s="32"/>
      <c r="B684" s="32"/>
      <c r="C684" s="33"/>
      <c r="D684" s="32"/>
      <c r="E684" s="35"/>
      <c r="F684" s="32"/>
      <c r="G684" s="35"/>
      <c r="H684" s="37" t="str">
        <f aca="true">IF(B684="","",IF(OR(D684="Done"),"Done",IF(E684="","No Due Date",IF(E684&lt;TODAY(),"Overdue",IF(E684=TODAY(),"Due Today",IF(E684&lt;TODAY()+7,"Due This Week","Later"))))))</f>
        <v/>
      </c>
      <c r="I684" s="40" t="str">
        <f aca="false">IF(AND(B684&lt;&gt;"",D684&lt;&gt;"Done",E684&lt;&gt;""),E684+ROW()/100000,"")</f>
        <v/>
      </c>
    </row>
    <row r="685" customFormat="false" ht="15" hidden="false" customHeight="false" outlineLevel="0" collapsed="false">
      <c r="A685" s="32"/>
      <c r="B685" s="32"/>
      <c r="C685" s="33"/>
      <c r="D685" s="32"/>
      <c r="E685" s="35"/>
      <c r="F685" s="32"/>
      <c r="G685" s="35"/>
      <c r="H685" s="37" t="str">
        <f aca="true">IF(B685="","",IF(OR(D685="Done"),"Done",IF(E685="","No Due Date",IF(E685&lt;TODAY(),"Overdue",IF(E685=TODAY(),"Due Today",IF(E685&lt;TODAY()+7,"Due This Week","Later"))))))</f>
        <v/>
      </c>
      <c r="I685" s="40" t="str">
        <f aca="false">IF(AND(B685&lt;&gt;"",D685&lt;&gt;"Done",E685&lt;&gt;""),E685+ROW()/100000,"")</f>
        <v/>
      </c>
    </row>
    <row r="686" customFormat="false" ht="15" hidden="false" customHeight="false" outlineLevel="0" collapsed="false">
      <c r="A686" s="32"/>
      <c r="B686" s="32"/>
      <c r="C686" s="33"/>
      <c r="D686" s="32"/>
      <c r="E686" s="35"/>
      <c r="F686" s="32"/>
      <c r="G686" s="35"/>
      <c r="H686" s="37" t="str">
        <f aca="true">IF(B686="","",IF(OR(D686="Done"),"Done",IF(E686="","No Due Date",IF(E686&lt;TODAY(),"Overdue",IF(E686=TODAY(),"Due Today",IF(E686&lt;TODAY()+7,"Due This Week","Later"))))))</f>
        <v/>
      </c>
      <c r="I686" s="40" t="str">
        <f aca="false">IF(AND(B686&lt;&gt;"",D686&lt;&gt;"Done",E686&lt;&gt;""),E686+ROW()/100000,"")</f>
        <v/>
      </c>
    </row>
    <row r="687" customFormat="false" ht="15" hidden="false" customHeight="false" outlineLevel="0" collapsed="false">
      <c r="A687" s="32"/>
      <c r="B687" s="32"/>
      <c r="C687" s="33"/>
      <c r="D687" s="32"/>
      <c r="E687" s="35"/>
      <c r="F687" s="32"/>
      <c r="G687" s="35"/>
      <c r="H687" s="37" t="str">
        <f aca="true">IF(B687="","",IF(OR(D687="Done"),"Done",IF(E687="","No Due Date",IF(E687&lt;TODAY(),"Overdue",IF(E687=TODAY(),"Due Today",IF(E687&lt;TODAY()+7,"Due This Week","Later"))))))</f>
        <v/>
      </c>
      <c r="I687" s="40" t="str">
        <f aca="false">IF(AND(B687&lt;&gt;"",D687&lt;&gt;"Done",E687&lt;&gt;""),E687+ROW()/100000,"")</f>
        <v/>
      </c>
    </row>
    <row r="688" customFormat="false" ht="15" hidden="false" customHeight="false" outlineLevel="0" collapsed="false">
      <c r="A688" s="32"/>
      <c r="B688" s="32"/>
      <c r="C688" s="33"/>
      <c r="D688" s="32"/>
      <c r="E688" s="35"/>
      <c r="F688" s="32"/>
      <c r="G688" s="35"/>
      <c r="H688" s="37" t="str">
        <f aca="true">IF(B688="","",IF(OR(D688="Done"),"Done",IF(E688="","No Due Date",IF(E688&lt;TODAY(),"Overdue",IF(E688=TODAY(),"Due Today",IF(E688&lt;TODAY()+7,"Due This Week","Later"))))))</f>
        <v/>
      </c>
      <c r="I688" s="40" t="str">
        <f aca="false">IF(AND(B688&lt;&gt;"",D688&lt;&gt;"Done",E688&lt;&gt;""),E688+ROW()/100000,"")</f>
        <v/>
      </c>
    </row>
    <row r="689" customFormat="false" ht="15" hidden="false" customHeight="false" outlineLevel="0" collapsed="false">
      <c r="A689" s="32"/>
      <c r="B689" s="32"/>
      <c r="C689" s="33"/>
      <c r="D689" s="32"/>
      <c r="E689" s="35"/>
      <c r="F689" s="32"/>
      <c r="G689" s="35"/>
      <c r="H689" s="37" t="str">
        <f aca="true">IF(B689="","",IF(OR(D689="Done"),"Done",IF(E689="","No Due Date",IF(E689&lt;TODAY(),"Overdue",IF(E689=TODAY(),"Due Today",IF(E689&lt;TODAY()+7,"Due This Week","Later"))))))</f>
        <v/>
      </c>
      <c r="I689" s="40" t="str">
        <f aca="false">IF(AND(B689&lt;&gt;"",D689&lt;&gt;"Done",E689&lt;&gt;""),E689+ROW()/100000,"")</f>
        <v/>
      </c>
    </row>
    <row r="690" customFormat="false" ht="15" hidden="false" customHeight="false" outlineLevel="0" collapsed="false">
      <c r="A690" s="32"/>
      <c r="B690" s="32"/>
      <c r="C690" s="33"/>
      <c r="D690" s="32"/>
      <c r="E690" s="35"/>
      <c r="F690" s="32"/>
      <c r="G690" s="35"/>
      <c r="H690" s="37" t="str">
        <f aca="true">IF(B690="","",IF(OR(D690="Done"),"Done",IF(E690="","No Due Date",IF(E690&lt;TODAY(),"Overdue",IF(E690=TODAY(),"Due Today",IF(E690&lt;TODAY()+7,"Due This Week","Later"))))))</f>
        <v/>
      </c>
      <c r="I690" s="40" t="str">
        <f aca="false">IF(AND(B690&lt;&gt;"",D690&lt;&gt;"Done",E690&lt;&gt;""),E690+ROW()/100000,"")</f>
        <v/>
      </c>
    </row>
    <row r="691" customFormat="false" ht="15" hidden="false" customHeight="false" outlineLevel="0" collapsed="false">
      <c r="A691" s="32"/>
      <c r="B691" s="32"/>
      <c r="C691" s="33"/>
      <c r="D691" s="32"/>
      <c r="E691" s="35"/>
      <c r="F691" s="32"/>
      <c r="G691" s="35"/>
      <c r="H691" s="37" t="str">
        <f aca="true">IF(B691="","",IF(OR(D691="Done"),"Done",IF(E691="","No Due Date",IF(E691&lt;TODAY(),"Overdue",IF(E691=TODAY(),"Due Today",IF(E691&lt;TODAY()+7,"Due This Week","Later"))))))</f>
        <v/>
      </c>
      <c r="I691" s="40" t="str">
        <f aca="false">IF(AND(B691&lt;&gt;"",D691&lt;&gt;"Done",E691&lt;&gt;""),E691+ROW()/100000,"")</f>
        <v/>
      </c>
    </row>
    <row r="692" customFormat="false" ht="15" hidden="false" customHeight="false" outlineLevel="0" collapsed="false">
      <c r="A692" s="32"/>
      <c r="B692" s="32"/>
      <c r="C692" s="33"/>
      <c r="D692" s="32"/>
      <c r="E692" s="35"/>
      <c r="F692" s="32"/>
      <c r="G692" s="35"/>
      <c r="H692" s="37" t="str">
        <f aca="true">IF(B692="","",IF(OR(D692="Done"),"Done",IF(E692="","No Due Date",IF(E692&lt;TODAY(),"Overdue",IF(E692=TODAY(),"Due Today",IF(E692&lt;TODAY()+7,"Due This Week","Later"))))))</f>
        <v/>
      </c>
      <c r="I692" s="40" t="str">
        <f aca="false">IF(AND(B692&lt;&gt;"",D692&lt;&gt;"Done",E692&lt;&gt;""),E692+ROW()/100000,"")</f>
        <v/>
      </c>
    </row>
    <row r="693" customFormat="false" ht="15" hidden="false" customHeight="false" outlineLevel="0" collapsed="false">
      <c r="A693" s="32"/>
      <c r="B693" s="32"/>
      <c r="C693" s="33"/>
      <c r="D693" s="32"/>
      <c r="E693" s="35"/>
      <c r="F693" s="32"/>
      <c r="G693" s="35"/>
      <c r="H693" s="37" t="str">
        <f aca="true">IF(B693="","",IF(OR(D693="Done"),"Done",IF(E693="","No Due Date",IF(E693&lt;TODAY(),"Overdue",IF(E693=TODAY(),"Due Today",IF(E693&lt;TODAY()+7,"Due This Week","Later"))))))</f>
        <v/>
      </c>
      <c r="I693" s="40" t="str">
        <f aca="false">IF(AND(B693&lt;&gt;"",D693&lt;&gt;"Done",E693&lt;&gt;""),E693+ROW()/100000,"")</f>
        <v/>
      </c>
    </row>
    <row r="694" customFormat="false" ht="15" hidden="false" customHeight="false" outlineLevel="0" collapsed="false">
      <c r="A694" s="32"/>
      <c r="B694" s="32"/>
      <c r="C694" s="33"/>
      <c r="D694" s="32"/>
      <c r="E694" s="35"/>
      <c r="F694" s="32"/>
      <c r="G694" s="35"/>
      <c r="H694" s="37" t="str">
        <f aca="true">IF(B694="","",IF(OR(D694="Done"),"Done",IF(E694="","No Due Date",IF(E694&lt;TODAY(),"Overdue",IF(E694=TODAY(),"Due Today",IF(E694&lt;TODAY()+7,"Due This Week","Later"))))))</f>
        <v/>
      </c>
      <c r="I694" s="40" t="str">
        <f aca="false">IF(AND(B694&lt;&gt;"",D694&lt;&gt;"Done",E694&lt;&gt;""),E694+ROW()/100000,"")</f>
        <v/>
      </c>
    </row>
    <row r="695" customFormat="false" ht="15" hidden="false" customHeight="false" outlineLevel="0" collapsed="false">
      <c r="A695" s="32"/>
      <c r="B695" s="32"/>
      <c r="C695" s="33"/>
      <c r="D695" s="32"/>
      <c r="E695" s="35"/>
      <c r="F695" s="32"/>
      <c r="G695" s="35"/>
      <c r="H695" s="37" t="str">
        <f aca="true">IF(B695="","",IF(OR(D695="Done"),"Done",IF(E695="","No Due Date",IF(E695&lt;TODAY(),"Overdue",IF(E695=TODAY(),"Due Today",IF(E695&lt;TODAY()+7,"Due This Week","Later"))))))</f>
        <v/>
      </c>
      <c r="I695" s="40" t="str">
        <f aca="false">IF(AND(B695&lt;&gt;"",D695&lt;&gt;"Done",E695&lt;&gt;""),E695+ROW()/100000,"")</f>
        <v/>
      </c>
    </row>
    <row r="696" customFormat="false" ht="15" hidden="false" customHeight="false" outlineLevel="0" collapsed="false">
      <c r="A696" s="32"/>
      <c r="B696" s="32"/>
      <c r="C696" s="33"/>
      <c r="D696" s="32"/>
      <c r="E696" s="35"/>
      <c r="F696" s="32"/>
      <c r="G696" s="35"/>
      <c r="H696" s="37" t="str">
        <f aca="true">IF(B696="","",IF(OR(D696="Done"),"Done",IF(E696="","No Due Date",IF(E696&lt;TODAY(),"Overdue",IF(E696=TODAY(),"Due Today",IF(E696&lt;TODAY()+7,"Due This Week","Later"))))))</f>
        <v/>
      </c>
      <c r="I696" s="40" t="str">
        <f aca="false">IF(AND(B696&lt;&gt;"",D696&lt;&gt;"Done",E696&lt;&gt;""),E696+ROW()/100000,"")</f>
        <v/>
      </c>
    </row>
    <row r="697" customFormat="false" ht="15" hidden="false" customHeight="false" outlineLevel="0" collapsed="false">
      <c r="A697" s="32"/>
      <c r="B697" s="32"/>
      <c r="C697" s="33"/>
      <c r="D697" s="32"/>
      <c r="E697" s="35"/>
      <c r="F697" s="32"/>
      <c r="G697" s="35"/>
      <c r="H697" s="37" t="str">
        <f aca="true">IF(B697="","",IF(OR(D697="Done"),"Done",IF(E697="","No Due Date",IF(E697&lt;TODAY(),"Overdue",IF(E697=TODAY(),"Due Today",IF(E697&lt;TODAY()+7,"Due This Week","Later"))))))</f>
        <v/>
      </c>
      <c r="I697" s="40" t="str">
        <f aca="false">IF(AND(B697&lt;&gt;"",D697&lt;&gt;"Done",E697&lt;&gt;""),E697+ROW()/100000,"")</f>
        <v/>
      </c>
    </row>
    <row r="698" customFormat="false" ht="15" hidden="false" customHeight="false" outlineLevel="0" collapsed="false">
      <c r="A698" s="32"/>
      <c r="B698" s="32"/>
      <c r="C698" s="33"/>
      <c r="D698" s="32"/>
      <c r="E698" s="35"/>
      <c r="F698" s="32"/>
      <c r="G698" s="35"/>
      <c r="H698" s="37" t="str">
        <f aca="true">IF(B698="","",IF(OR(D698="Done"),"Done",IF(E698="","No Due Date",IF(E698&lt;TODAY(),"Overdue",IF(E698=TODAY(),"Due Today",IF(E698&lt;TODAY()+7,"Due This Week","Later"))))))</f>
        <v/>
      </c>
      <c r="I698" s="40" t="str">
        <f aca="false">IF(AND(B698&lt;&gt;"",D698&lt;&gt;"Done",E698&lt;&gt;""),E698+ROW()/100000,"")</f>
        <v/>
      </c>
    </row>
    <row r="699" customFormat="false" ht="15" hidden="false" customHeight="false" outlineLevel="0" collapsed="false">
      <c r="A699" s="32"/>
      <c r="B699" s="32"/>
      <c r="C699" s="33"/>
      <c r="D699" s="32"/>
      <c r="E699" s="35"/>
      <c r="F699" s="32"/>
      <c r="G699" s="35"/>
      <c r="H699" s="37" t="str">
        <f aca="true">IF(B699="","",IF(OR(D699="Done"),"Done",IF(E699="","No Due Date",IF(E699&lt;TODAY(),"Overdue",IF(E699=TODAY(),"Due Today",IF(E699&lt;TODAY()+7,"Due This Week","Later"))))))</f>
        <v/>
      </c>
      <c r="I699" s="40" t="str">
        <f aca="false">IF(AND(B699&lt;&gt;"",D699&lt;&gt;"Done",E699&lt;&gt;""),E699+ROW()/100000,"")</f>
        <v/>
      </c>
    </row>
    <row r="700" customFormat="false" ht="15" hidden="false" customHeight="false" outlineLevel="0" collapsed="false">
      <c r="A700" s="32"/>
      <c r="B700" s="32"/>
      <c r="C700" s="33"/>
      <c r="D700" s="32"/>
      <c r="E700" s="35"/>
      <c r="F700" s="32"/>
      <c r="G700" s="35"/>
      <c r="H700" s="37" t="str">
        <f aca="true">IF(B700="","",IF(OR(D700="Done"),"Done",IF(E700="","No Due Date",IF(E700&lt;TODAY(),"Overdue",IF(E700=TODAY(),"Due Today",IF(E700&lt;TODAY()+7,"Due This Week","Later"))))))</f>
        <v/>
      </c>
      <c r="I700" s="40" t="str">
        <f aca="false">IF(AND(B700&lt;&gt;"",D700&lt;&gt;"Done",E700&lt;&gt;""),E700+ROW()/100000,"")</f>
        <v/>
      </c>
    </row>
    <row r="701" customFormat="false" ht="15" hidden="false" customHeight="false" outlineLevel="0" collapsed="false">
      <c r="A701" s="32"/>
      <c r="B701" s="32"/>
      <c r="C701" s="33"/>
      <c r="D701" s="32"/>
      <c r="E701" s="35"/>
      <c r="F701" s="32"/>
      <c r="G701" s="35"/>
      <c r="H701" s="37" t="str">
        <f aca="true">IF(B701="","",IF(OR(D701="Done"),"Done",IF(E701="","No Due Date",IF(E701&lt;TODAY(),"Overdue",IF(E701=TODAY(),"Due Today",IF(E701&lt;TODAY()+7,"Due This Week","Later"))))))</f>
        <v/>
      </c>
      <c r="I701" s="40" t="str">
        <f aca="false">IF(AND(B701&lt;&gt;"",D701&lt;&gt;"Done",E701&lt;&gt;""),E701+ROW()/100000,"")</f>
        <v/>
      </c>
    </row>
    <row r="702" customFormat="false" ht="15" hidden="false" customHeight="false" outlineLevel="0" collapsed="false">
      <c r="A702" s="32"/>
      <c r="B702" s="32"/>
      <c r="C702" s="33"/>
      <c r="D702" s="32"/>
      <c r="E702" s="35"/>
      <c r="F702" s="32"/>
      <c r="G702" s="35"/>
      <c r="H702" s="37" t="str">
        <f aca="true">IF(B702="","",IF(OR(D702="Done"),"Done",IF(E702="","No Due Date",IF(E702&lt;TODAY(),"Overdue",IF(E702=TODAY(),"Due Today",IF(E702&lt;TODAY()+7,"Due This Week","Later"))))))</f>
        <v/>
      </c>
      <c r="I702" s="40" t="str">
        <f aca="false">IF(AND(B702&lt;&gt;"",D702&lt;&gt;"Done",E702&lt;&gt;""),E702+ROW()/100000,"")</f>
        <v/>
      </c>
    </row>
    <row r="703" customFormat="false" ht="15" hidden="false" customHeight="false" outlineLevel="0" collapsed="false">
      <c r="A703" s="32"/>
      <c r="B703" s="32"/>
      <c r="C703" s="33"/>
      <c r="D703" s="32"/>
      <c r="E703" s="35"/>
      <c r="F703" s="32"/>
      <c r="G703" s="35"/>
      <c r="H703" s="37" t="str">
        <f aca="true">IF(B703="","",IF(OR(D703="Done"),"Done",IF(E703="","No Due Date",IF(E703&lt;TODAY(),"Overdue",IF(E703=TODAY(),"Due Today",IF(E703&lt;TODAY()+7,"Due This Week","Later"))))))</f>
        <v/>
      </c>
      <c r="I703" s="40" t="str">
        <f aca="false">IF(AND(B703&lt;&gt;"",D703&lt;&gt;"Done",E703&lt;&gt;""),E703+ROW()/100000,"")</f>
        <v/>
      </c>
    </row>
    <row r="704" customFormat="false" ht="15" hidden="false" customHeight="false" outlineLevel="0" collapsed="false">
      <c r="A704" s="32"/>
      <c r="B704" s="32"/>
      <c r="C704" s="33"/>
      <c r="D704" s="32"/>
      <c r="E704" s="35"/>
      <c r="F704" s="32"/>
      <c r="G704" s="35"/>
      <c r="H704" s="37" t="str">
        <f aca="true">IF(B704="","",IF(OR(D704="Done"),"Done",IF(E704="","No Due Date",IF(E704&lt;TODAY(),"Overdue",IF(E704=TODAY(),"Due Today",IF(E704&lt;TODAY()+7,"Due This Week","Later"))))))</f>
        <v/>
      </c>
      <c r="I704" s="40" t="str">
        <f aca="false">IF(AND(B704&lt;&gt;"",D704&lt;&gt;"Done",E704&lt;&gt;""),E704+ROW()/100000,"")</f>
        <v/>
      </c>
    </row>
    <row r="705" customFormat="false" ht="15" hidden="false" customHeight="false" outlineLevel="0" collapsed="false">
      <c r="A705" s="32"/>
      <c r="B705" s="32"/>
      <c r="C705" s="33"/>
      <c r="D705" s="32"/>
      <c r="E705" s="35"/>
      <c r="F705" s="32"/>
      <c r="G705" s="35"/>
      <c r="H705" s="37" t="str">
        <f aca="true">IF(B705="","",IF(OR(D705="Done"),"Done",IF(E705="","No Due Date",IF(E705&lt;TODAY(),"Overdue",IF(E705=TODAY(),"Due Today",IF(E705&lt;TODAY()+7,"Due This Week","Later"))))))</f>
        <v/>
      </c>
      <c r="I705" s="40" t="str">
        <f aca="false">IF(AND(B705&lt;&gt;"",D705&lt;&gt;"Done",E705&lt;&gt;""),E705+ROW()/100000,"")</f>
        <v/>
      </c>
    </row>
    <row r="706" customFormat="false" ht="15" hidden="false" customHeight="false" outlineLevel="0" collapsed="false">
      <c r="A706" s="32"/>
      <c r="B706" s="32"/>
      <c r="C706" s="33"/>
      <c r="D706" s="32"/>
      <c r="E706" s="35"/>
      <c r="F706" s="32"/>
      <c r="G706" s="35"/>
      <c r="H706" s="37" t="str">
        <f aca="true">IF(B706="","",IF(OR(D706="Done"),"Done",IF(E706="","No Due Date",IF(E706&lt;TODAY(),"Overdue",IF(E706=TODAY(),"Due Today",IF(E706&lt;TODAY()+7,"Due This Week","Later"))))))</f>
        <v/>
      </c>
      <c r="I706" s="40" t="str">
        <f aca="false">IF(AND(B706&lt;&gt;"",D706&lt;&gt;"Done",E706&lt;&gt;""),E706+ROW()/100000,"")</f>
        <v/>
      </c>
    </row>
    <row r="707" customFormat="false" ht="15" hidden="false" customHeight="false" outlineLevel="0" collapsed="false">
      <c r="A707" s="32"/>
      <c r="B707" s="32"/>
      <c r="C707" s="33"/>
      <c r="D707" s="32"/>
      <c r="E707" s="35"/>
      <c r="F707" s="32"/>
      <c r="G707" s="35"/>
      <c r="H707" s="37" t="str">
        <f aca="true">IF(B707="","",IF(OR(D707="Done"),"Done",IF(E707="","No Due Date",IF(E707&lt;TODAY(),"Overdue",IF(E707=TODAY(),"Due Today",IF(E707&lt;TODAY()+7,"Due This Week","Later"))))))</f>
        <v/>
      </c>
      <c r="I707" s="40" t="str">
        <f aca="false">IF(AND(B707&lt;&gt;"",D707&lt;&gt;"Done",E707&lt;&gt;""),E707+ROW()/100000,"")</f>
        <v/>
      </c>
    </row>
    <row r="708" customFormat="false" ht="15" hidden="false" customHeight="false" outlineLevel="0" collapsed="false">
      <c r="A708" s="32"/>
      <c r="B708" s="32"/>
      <c r="C708" s="33"/>
      <c r="D708" s="32"/>
      <c r="E708" s="35"/>
      <c r="F708" s="32"/>
      <c r="G708" s="35"/>
      <c r="H708" s="37" t="str">
        <f aca="true">IF(B708="","",IF(OR(D708="Done"),"Done",IF(E708="","No Due Date",IF(E708&lt;TODAY(),"Overdue",IF(E708=TODAY(),"Due Today",IF(E708&lt;TODAY()+7,"Due This Week","Later"))))))</f>
        <v/>
      </c>
      <c r="I708" s="40" t="str">
        <f aca="false">IF(AND(B708&lt;&gt;"",D708&lt;&gt;"Done",E708&lt;&gt;""),E708+ROW()/100000,"")</f>
        <v/>
      </c>
    </row>
    <row r="709" customFormat="false" ht="15" hidden="false" customHeight="false" outlineLevel="0" collapsed="false">
      <c r="A709" s="32"/>
      <c r="B709" s="32"/>
      <c r="C709" s="33"/>
      <c r="D709" s="32"/>
      <c r="E709" s="35"/>
      <c r="F709" s="32"/>
      <c r="G709" s="35"/>
      <c r="H709" s="37" t="str">
        <f aca="true">IF(B709="","",IF(OR(D709="Done"),"Done",IF(E709="","No Due Date",IF(E709&lt;TODAY(),"Overdue",IF(E709=TODAY(),"Due Today",IF(E709&lt;TODAY()+7,"Due This Week","Later"))))))</f>
        <v/>
      </c>
      <c r="I709" s="40" t="str">
        <f aca="false">IF(AND(B709&lt;&gt;"",D709&lt;&gt;"Done",E709&lt;&gt;""),E709+ROW()/100000,"")</f>
        <v/>
      </c>
    </row>
    <row r="710" customFormat="false" ht="15" hidden="false" customHeight="false" outlineLevel="0" collapsed="false">
      <c r="A710" s="32"/>
      <c r="B710" s="32"/>
      <c r="C710" s="33"/>
      <c r="D710" s="32"/>
      <c r="E710" s="35"/>
      <c r="F710" s="32"/>
      <c r="G710" s="35"/>
      <c r="H710" s="37" t="str">
        <f aca="true">IF(B710="","",IF(OR(D710="Done"),"Done",IF(E710="","No Due Date",IF(E710&lt;TODAY(),"Overdue",IF(E710=TODAY(),"Due Today",IF(E710&lt;TODAY()+7,"Due This Week","Later"))))))</f>
        <v/>
      </c>
      <c r="I710" s="40" t="str">
        <f aca="false">IF(AND(B710&lt;&gt;"",D710&lt;&gt;"Done",E710&lt;&gt;""),E710+ROW()/100000,"")</f>
        <v/>
      </c>
    </row>
    <row r="711" customFormat="false" ht="15" hidden="false" customHeight="false" outlineLevel="0" collapsed="false">
      <c r="A711" s="32"/>
      <c r="B711" s="32"/>
      <c r="C711" s="33"/>
      <c r="D711" s="32"/>
      <c r="E711" s="35"/>
      <c r="F711" s="32"/>
      <c r="G711" s="35"/>
      <c r="H711" s="37" t="str">
        <f aca="true">IF(B711="","",IF(OR(D711="Done"),"Done",IF(E711="","No Due Date",IF(E711&lt;TODAY(),"Overdue",IF(E711=TODAY(),"Due Today",IF(E711&lt;TODAY()+7,"Due This Week","Later"))))))</f>
        <v/>
      </c>
      <c r="I711" s="40" t="str">
        <f aca="false">IF(AND(B711&lt;&gt;"",D711&lt;&gt;"Done",E711&lt;&gt;""),E711+ROW()/100000,"")</f>
        <v/>
      </c>
    </row>
    <row r="712" customFormat="false" ht="15" hidden="false" customHeight="false" outlineLevel="0" collapsed="false">
      <c r="A712" s="32"/>
      <c r="B712" s="32"/>
      <c r="C712" s="33"/>
      <c r="D712" s="32"/>
      <c r="E712" s="35"/>
      <c r="F712" s="32"/>
      <c r="G712" s="35"/>
      <c r="H712" s="37" t="str">
        <f aca="true">IF(B712="","",IF(OR(D712="Done"),"Done",IF(E712="","No Due Date",IF(E712&lt;TODAY(),"Overdue",IF(E712=TODAY(),"Due Today",IF(E712&lt;TODAY()+7,"Due This Week","Later"))))))</f>
        <v/>
      </c>
      <c r="I712" s="40" t="str">
        <f aca="false">IF(AND(B712&lt;&gt;"",D712&lt;&gt;"Done",E712&lt;&gt;""),E712+ROW()/100000,"")</f>
        <v/>
      </c>
    </row>
    <row r="713" customFormat="false" ht="15" hidden="false" customHeight="false" outlineLevel="0" collapsed="false">
      <c r="A713" s="32"/>
      <c r="B713" s="32"/>
      <c r="C713" s="33"/>
      <c r="D713" s="32"/>
      <c r="E713" s="35"/>
      <c r="F713" s="32"/>
      <c r="G713" s="35"/>
      <c r="H713" s="37" t="str">
        <f aca="true">IF(B713="","",IF(OR(D713="Done"),"Done",IF(E713="","No Due Date",IF(E713&lt;TODAY(),"Overdue",IF(E713=TODAY(),"Due Today",IF(E713&lt;TODAY()+7,"Due This Week","Later"))))))</f>
        <v/>
      </c>
      <c r="I713" s="40" t="str">
        <f aca="false">IF(AND(B713&lt;&gt;"",D713&lt;&gt;"Done",E713&lt;&gt;""),E713+ROW()/100000,"")</f>
        <v/>
      </c>
    </row>
    <row r="714" customFormat="false" ht="15" hidden="false" customHeight="false" outlineLevel="0" collapsed="false">
      <c r="A714" s="32"/>
      <c r="B714" s="32"/>
      <c r="C714" s="33"/>
      <c r="D714" s="32"/>
      <c r="E714" s="35"/>
      <c r="F714" s="32"/>
      <c r="G714" s="35"/>
      <c r="H714" s="37" t="str">
        <f aca="true">IF(B714="","",IF(OR(D714="Done"),"Done",IF(E714="","No Due Date",IF(E714&lt;TODAY(),"Overdue",IF(E714=TODAY(),"Due Today",IF(E714&lt;TODAY()+7,"Due This Week","Later"))))))</f>
        <v/>
      </c>
      <c r="I714" s="40" t="str">
        <f aca="false">IF(AND(B714&lt;&gt;"",D714&lt;&gt;"Done",E714&lt;&gt;""),E714+ROW()/100000,"")</f>
        <v/>
      </c>
    </row>
    <row r="715" customFormat="false" ht="15" hidden="false" customHeight="false" outlineLevel="0" collapsed="false">
      <c r="A715" s="32"/>
      <c r="B715" s="32"/>
      <c r="C715" s="33"/>
      <c r="D715" s="32"/>
      <c r="E715" s="35"/>
      <c r="F715" s="32"/>
      <c r="G715" s="35"/>
      <c r="H715" s="37" t="str">
        <f aca="true">IF(B715="","",IF(OR(D715="Done"),"Done",IF(E715="","No Due Date",IF(E715&lt;TODAY(),"Overdue",IF(E715=TODAY(),"Due Today",IF(E715&lt;TODAY()+7,"Due This Week","Later"))))))</f>
        <v/>
      </c>
      <c r="I715" s="40" t="str">
        <f aca="false">IF(AND(B715&lt;&gt;"",D715&lt;&gt;"Done",E715&lt;&gt;""),E715+ROW()/100000,"")</f>
        <v/>
      </c>
    </row>
    <row r="716" customFormat="false" ht="15" hidden="false" customHeight="false" outlineLevel="0" collapsed="false">
      <c r="A716" s="32"/>
      <c r="B716" s="32"/>
      <c r="C716" s="33"/>
      <c r="D716" s="32"/>
      <c r="E716" s="35"/>
      <c r="F716" s="32"/>
      <c r="G716" s="35"/>
      <c r="H716" s="37" t="str">
        <f aca="true">IF(B716="","",IF(OR(D716="Done"),"Done",IF(E716="","No Due Date",IF(E716&lt;TODAY(),"Overdue",IF(E716=TODAY(),"Due Today",IF(E716&lt;TODAY()+7,"Due This Week","Later"))))))</f>
        <v/>
      </c>
      <c r="I716" s="40" t="str">
        <f aca="false">IF(AND(B716&lt;&gt;"",D716&lt;&gt;"Done",E716&lt;&gt;""),E716+ROW()/100000,"")</f>
        <v/>
      </c>
    </row>
    <row r="717" customFormat="false" ht="15" hidden="false" customHeight="false" outlineLevel="0" collapsed="false">
      <c r="A717" s="32"/>
      <c r="B717" s="32"/>
      <c r="C717" s="33"/>
      <c r="D717" s="32"/>
      <c r="E717" s="35"/>
      <c r="F717" s="32"/>
      <c r="G717" s="35"/>
      <c r="H717" s="37" t="str">
        <f aca="true">IF(B717="","",IF(OR(D717="Done"),"Done",IF(E717="","No Due Date",IF(E717&lt;TODAY(),"Overdue",IF(E717=TODAY(),"Due Today",IF(E717&lt;TODAY()+7,"Due This Week","Later"))))))</f>
        <v/>
      </c>
      <c r="I717" s="40" t="str">
        <f aca="false">IF(AND(B717&lt;&gt;"",D717&lt;&gt;"Done",E717&lt;&gt;""),E717+ROW()/100000,"")</f>
        <v/>
      </c>
    </row>
    <row r="718" customFormat="false" ht="15" hidden="false" customHeight="false" outlineLevel="0" collapsed="false">
      <c r="A718" s="32"/>
      <c r="B718" s="32"/>
      <c r="C718" s="33"/>
      <c r="D718" s="32"/>
      <c r="E718" s="35"/>
      <c r="F718" s="32"/>
      <c r="G718" s="35"/>
      <c r="H718" s="37" t="str">
        <f aca="true">IF(B718="","",IF(OR(D718="Done"),"Done",IF(E718="","No Due Date",IF(E718&lt;TODAY(),"Overdue",IF(E718=TODAY(),"Due Today",IF(E718&lt;TODAY()+7,"Due This Week","Later"))))))</f>
        <v/>
      </c>
      <c r="I718" s="40" t="str">
        <f aca="false">IF(AND(B718&lt;&gt;"",D718&lt;&gt;"Done",E718&lt;&gt;""),E718+ROW()/100000,"")</f>
        <v/>
      </c>
    </row>
    <row r="719" customFormat="false" ht="15" hidden="false" customHeight="false" outlineLevel="0" collapsed="false">
      <c r="A719" s="32"/>
      <c r="B719" s="32"/>
      <c r="C719" s="33"/>
      <c r="D719" s="32"/>
      <c r="E719" s="35"/>
      <c r="F719" s="32"/>
      <c r="G719" s="35"/>
      <c r="H719" s="37" t="str">
        <f aca="true">IF(B719="","",IF(OR(D719="Done"),"Done",IF(E719="","No Due Date",IF(E719&lt;TODAY(),"Overdue",IF(E719=TODAY(),"Due Today",IF(E719&lt;TODAY()+7,"Due This Week","Later"))))))</f>
        <v/>
      </c>
      <c r="I719" s="40" t="str">
        <f aca="false">IF(AND(B719&lt;&gt;"",D719&lt;&gt;"Done",E719&lt;&gt;""),E719+ROW()/100000,"")</f>
        <v/>
      </c>
    </row>
    <row r="720" customFormat="false" ht="15" hidden="false" customHeight="false" outlineLevel="0" collapsed="false">
      <c r="A720" s="32"/>
      <c r="B720" s="32"/>
      <c r="C720" s="33"/>
      <c r="D720" s="32"/>
      <c r="E720" s="35"/>
      <c r="F720" s="32"/>
      <c r="G720" s="35"/>
      <c r="H720" s="37" t="str">
        <f aca="true">IF(B720="","",IF(OR(D720="Done"),"Done",IF(E720="","No Due Date",IF(E720&lt;TODAY(),"Overdue",IF(E720=TODAY(),"Due Today",IF(E720&lt;TODAY()+7,"Due This Week","Later"))))))</f>
        <v/>
      </c>
      <c r="I720" s="40" t="str">
        <f aca="false">IF(AND(B720&lt;&gt;"",D720&lt;&gt;"Done",E720&lt;&gt;""),E720+ROW()/100000,"")</f>
        <v/>
      </c>
    </row>
    <row r="721" customFormat="false" ht="15" hidden="false" customHeight="false" outlineLevel="0" collapsed="false">
      <c r="A721" s="32"/>
      <c r="B721" s="32"/>
      <c r="C721" s="33"/>
      <c r="D721" s="32"/>
      <c r="E721" s="35"/>
      <c r="F721" s="32"/>
      <c r="G721" s="35"/>
      <c r="H721" s="37" t="str">
        <f aca="true">IF(B721="","",IF(OR(D721="Done"),"Done",IF(E721="","No Due Date",IF(E721&lt;TODAY(),"Overdue",IF(E721=TODAY(),"Due Today",IF(E721&lt;TODAY()+7,"Due This Week","Later"))))))</f>
        <v/>
      </c>
      <c r="I721" s="40" t="str">
        <f aca="false">IF(AND(B721&lt;&gt;"",D721&lt;&gt;"Done",E721&lt;&gt;""),E721+ROW()/100000,"")</f>
        <v/>
      </c>
    </row>
    <row r="722" customFormat="false" ht="15" hidden="false" customHeight="false" outlineLevel="0" collapsed="false">
      <c r="A722" s="32"/>
      <c r="B722" s="32"/>
      <c r="C722" s="33"/>
      <c r="D722" s="32"/>
      <c r="E722" s="35"/>
      <c r="F722" s="32"/>
      <c r="G722" s="35"/>
      <c r="H722" s="37" t="str">
        <f aca="true">IF(B722="","",IF(OR(D722="Done"),"Done",IF(E722="","No Due Date",IF(E722&lt;TODAY(),"Overdue",IF(E722=TODAY(),"Due Today",IF(E722&lt;TODAY()+7,"Due This Week","Later"))))))</f>
        <v/>
      </c>
      <c r="I722" s="40" t="str">
        <f aca="false">IF(AND(B722&lt;&gt;"",D722&lt;&gt;"Done",E722&lt;&gt;""),E722+ROW()/100000,"")</f>
        <v/>
      </c>
    </row>
    <row r="723" customFormat="false" ht="15" hidden="false" customHeight="false" outlineLevel="0" collapsed="false">
      <c r="A723" s="32"/>
      <c r="B723" s="32"/>
      <c r="C723" s="33"/>
      <c r="D723" s="32"/>
      <c r="E723" s="35"/>
      <c r="F723" s="32"/>
      <c r="G723" s="35"/>
      <c r="H723" s="37" t="str">
        <f aca="true">IF(B723="","",IF(OR(D723="Done"),"Done",IF(E723="","No Due Date",IF(E723&lt;TODAY(),"Overdue",IF(E723=TODAY(),"Due Today",IF(E723&lt;TODAY()+7,"Due This Week","Later"))))))</f>
        <v/>
      </c>
      <c r="I723" s="40" t="str">
        <f aca="false">IF(AND(B723&lt;&gt;"",D723&lt;&gt;"Done",E723&lt;&gt;""),E723+ROW()/100000,"")</f>
        <v/>
      </c>
    </row>
    <row r="724" customFormat="false" ht="15" hidden="false" customHeight="false" outlineLevel="0" collapsed="false">
      <c r="A724" s="32"/>
      <c r="B724" s="32"/>
      <c r="C724" s="33"/>
      <c r="D724" s="32"/>
      <c r="E724" s="35"/>
      <c r="F724" s="32"/>
      <c r="G724" s="35"/>
      <c r="H724" s="37" t="str">
        <f aca="true">IF(B724="","",IF(OR(D724="Done"),"Done",IF(E724="","No Due Date",IF(E724&lt;TODAY(),"Overdue",IF(E724=TODAY(),"Due Today",IF(E724&lt;TODAY()+7,"Due This Week","Later"))))))</f>
        <v/>
      </c>
      <c r="I724" s="40" t="str">
        <f aca="false">IF(AND(B724&lt;&gt;"",D724&lt;&gt;"Done",E724&lt;&gt;""),E724+ROW()/100000,"")</f>
        <v/>
      </c>
    </row>
    <row r="725" customFormat="false" ht="15" hidden="false" customHeight="false" outlineLevel="0" collapsed="false">
      <c r="A725" s="32"/>
      <c r="B725" s="32"/>
      <c r="C725" s="33"/>
      <c r="D725" s="32"/>
      <c r="E725" s="35"/>
      <c r="F725" s="32"/>
      <c r="G725" s="35"/>
      <c r="H725" s="37" t="str">
        <f aca="true">IF(B725="","",IF(OR(D725="Done"),"Done",IF(E725="","No Due Date",IF(E725&lt;TODAY(),"Overdue",IF(E725=TODAY(),"Due Today",IF(E725&lt;TODAY()+7,"Due This Week","Later"))))))</f>
        <v/>
      </c>
      <c r="I725" s="40" t="str">
        <f aca="false">IF(AND(B725&lt;&gt;"",D725&lt;&gt;"Done",E725&lt;&gt;""),E725+ROW()/100000,"")</f>
        <v/>
      </c>
    </row>
    <row r="726" customFormat="false" ht="15" hidden="false" customHeight="false" outlineLevel="0" collapsed="false">
      <c r="A726" s="32"/>
      <c r="B726" s="32"/>
      <c r="C726" s="33"/>
      <c r="D726" s="32"/>
      <c r="E726" s="35"/>
      <c r="F726" s="32"/>
      <c r="G726" s="35"/>
      <c r="H726" s="37" t="str">
        <f aca="true">IF(B726="","",IF(OR(D726="Done"),"Done",IF(E726="","No Due Date",IF(E726&lt;TODAY(),"Overdue",IF(E726=TODAY(),"Due Today",IF(E726&lt;TODAY()+7,"Due This Week","Later"))))))</f>
        <v/>
      </c>
      <c r="I726" s="40" t="str">
        <f aca="false">IF(AND(B726&lt;&gt;"",D726&lt;&gt;"Done",E726&lt;&gt;""),E726+ROW()/100000,"")</f>
        <v/>
      </c>
    </row>
    <row r="727" customFormat="false" ht="15" hidden="false" customHeight="false" outlineLevel="0" collapsed="false">
      <c r="A727" s="32"/>
      <c r="B727" s="32"/>
      <c r="C727" s="33"/>
      <c r="D727" s="32"/>
      <c r="E727" s="35"/>
      <c r="F727" s="32"/>
      <c r="G727" s="35"/>
      <c r="H727" s="37" t="str">
        <f aca="true">IF(B727="","",IF(OR(D727="Done"),"Done",IF(E727="","No Due Date",IF(E727&lt;TODAY(),"Overdue",IF(E727=TODAY(),"Due Today",IF(E727&lt;TODAY()+7,"Due This Week","Later"))))))</f>
        <v/>
      </c>
      <c r="I727" s="40" t="str">
        <f aca="false">IF(AND(B727&lt;&gt;"",D727&lt;&gt;"Done",E727&lt;&gt;""),E727+ROW()/100000,"")</f>
        <v/>
      </c>
    </row>
    <row r="728" customFormat="false" ht="15" hidden="false" customHeight="false" outlineLevel="0" collapsed="false">
      <c r="A728" s="32"/>
      <c r="B728" s="32"/>
      <c r="C728" s="33"/>
      <c r="D728" s="32"/>
      <c r="E728" s="35"/>
      <c r="F728" s="32"/>
      <c r="G728" s="35"/>
      <c r="H728" s="37" t="str">
        <f aca="true">IF(B728="","",IF(OR(D728="Done"),"Done",IF(E728="","No Due Date",IF(E728&lt;TODAY(),"Overdue",IF(E728=TODAY(),"Due Today",IF(E728&lt;TODAY()+7,"Due This Week","Later"))))))</f>
        <v/>
      </c>
      <c r="I728" s="40" t="str">
        <f aca="false">IF(AND(B728&lt;&gt;"",D728&lt;&gt;"Done",E728&lt;&gt;""),E728+ROW()/100000,"")</f>
        <v/>
      </c>
    </row>
    <row r="729" customFormat="false" ht="15" hidden="false" customHeight="false" outlineLevel="0" collapsed="false">
      <c r="A729" s="32"/>
      <c r="B729" s="32"/>
      <c r="C729" s="33"/>
      <c r="D729" s="32"/>
      <c r="E729" s="35"/>
      <c r="F729" s="32"/>
      <c r="G729" s="35"/>
      <c r="H729" s="37" t="str">
        <f aca="true">IF(B729="","",IF(OR(D729="Done"),"Done",IF(E729="","No Due Date",IF(E729&lt;TODAY(),"Overdue",IF(E729=TODAY(),"Due Today",IF(E729&lt;TODAY()+7,"Due This Week","Later"))))))</f>
        <v/>
      </c>
      <c r="I729" s="40" t="str">
        <f aca="false">IF(AND(B729&lt;&gt;"",D729&lt;&gt;"Done",E729&lt;&gt;""),E729+ROW()/100000,"")</f>
        <v/>
      </c>
    </row>
    <row r="730" customFormat="false" ht="15" hidden="false" customHeight="false" outlineLevel="0" collapsed="false">
      <c r="A730" s="32"/>
      <c r="B730" s="32"/>
      <c r="C730" s="33"/>
      <c r="D730" s="32"/>
      <c r="E730" s="35"/>
      <c r="F730" s="32"/>
      <c r="G730" s="35"/>
      <c r="H730" s="37" t="str">
        <f aca="true">IF(B730="","",IF(OR(D730="Done"),"Done",IF(E730="","No Due Date",IF(E730&lt;TODAY(),"Overdue",IF(E730=TODAY(),"Due Today",IF(E730&lt;TODAY()+7,"Due This Week","Later"))))))</f>
        <v/>
      </c>
      <c r="I730" s="40" t="str">
        <f aca="false">IF(AND(B730&lt;&gt;"",D730&lt;&gt;"Done",E730&lt;&gt;""),E730+ROW()/100000,"")</f>
        <v/>
      </c>
    </row>
    <row r="731" customFormat="false" ht="15" hidden="false" customHeight="false" outlineLevel="0" collapsed="false">
      <c r="A731" s="32"/>
      <c r="B731" s="32"/>
      <c r="C731" s="33"/>
      <c r="D731" s="32"/>
      <c r="E731" s="35"/>
      <c r="F731" s="32"/>
      <c r="G731" s="35"/>
      <c r="H731" s="37" t="str">
        <f aca="true">IF(B731="","",IF(OR(D731="Done"),"Done",IF(E731="","No Due Date",IF(E731&lt;TODAY(),"Overdue",IF(E731=TODAY(),"Due Today",IF(E731&lt;TODAY()+7,"Due This Week","Later"))))))</f>
        <v/>
      </c>
      <c r="I731" s="40" t="str">
        <f aca="false">IF(AND(B731&lt;&gt;"",D731&lt;&gt;"Done",E731&lt;&gt;""),E731+ROW()/100000,"")</f>
        <v/>
      </c>
    </row>
    <row r="732" customFormat="false" ht="15" hidden="false" customHeight="false" outlineLevel="0" collapsed="false">
      <c r="A732" s="32"/>
      <c r="B732" s="32"/>
      <c r="C732" s="33"/>
      <c r="D732" s="32"/>
      <c r="E732" s="35"/>
      <c r="F732" s="32"/>
      <c r="G732" s="35"/>
      <c r="H732" s="37" t="str">
        <f aca="true">IF(B732="","",IF(OR(D732="Done"),"Done",IF(E732="","No Due Date",IF(E732&lt;TODAY(),"Overdue",IF(E732=TODAY(),"Due Today",IF(E732&lt;TODAY()+7,"Due This Week","Later"))))))</f>
        <v/>
      </c>
      <c r="I732" s="40" t="str">
        <f aca="false">IF(AND(B732&lt;&gt;"",D732&lt;&gt;"Done",E732&lt;&gt;""),E732+ROW()/100000,"")</f>
        <v/>
      </c>
    </row>
    <row r="733" customFormat="false" ht="15" hidden="false" customHeight="false" outlineLevel="0" collapsed="false">
      <c r="A733" s="32"/>
      <c r="B733" s="32"/>
      <c r="C733" s="33"/>
      <c r="D733" s="32"/>
      <c r="E733" s="35"/>
      <c r="F733" s="32"/>
      <c r="G733" s="35"/>
      <c r="H733" s="37" t="str">
        <f aca="true">IF(B733="","",IF(OR(D733="Done"),"Done",IF(E733="","No Due Date",IF(E733&lt;TODAY(),"Overdue",IF(E733=TODAY(),"Due Today",IF(E733&lt;TODAY()+7,"Due This Week","Later"))))))</f>
        <v/>
      </c>
      <c r="I733" s="40" t="str">
        <f aca="false">IF(AND(B733&lt;&gt;"",D733&lt;&gt;"Done",E733&lt;&gt;""),E733+ROW()/100000,"")</f>
        <v/>
      </c>
    </row>
    <row r="734" customFormat="false" ht="15" hidden="false" customHeight="false" outlineLevel="0" collapsed="false">
      <c r="A734" s="32"/>
      <c r="B734" s="32"/>
      <c r="C734" s="33"/>
      <c r="D734" s="32"/>
      <c r="E734" s="35"/>
      <c r="F734" s="32"/>
      <c r="G734" s="35"/>
      <c r="H734" s="37" t="str">
        <f aca="true">IF(B734="","",IF(OR(D734="Done"),"Done",IF(E734="","No Due Date",IF(E734&lt;TODAY(),"Overdue",IF(E734=TODAY(),"Due Today",IF(E734&lt;TODAY()+7,"Due This Week","Later"))))))</f>
        <v/>
      </c>
      <c r="I734" s="40" t="str">
        <f aca="false">IF(AND(B734&lt;&gt;"",D734&lt;&gt;"Done",E734&lt;&gt;""),E734+ROW()/100000,"")</f>
        <v/>
      </c>
    </row>
    <row r="735" customFormat="false" ht="15" hidden="false" customHeight="false" outlineLevel="0" collapsed="false">
      <c r="A735" s="32"/>
      <c r="B735" s="32"/>
      <c r="C735" s="33"/>
      <c r="D735" s="32"/>
      <c r="E735" s="35"/>
      <c r="F735" s="32"/>
      <c r="G735" s="35"/>
      <c r="H735" s="37" t="str">
        <f aca="true">IF(B735="","",IF(OR(D735="Done"),"Done",IF(E735="","No Due Date",IF(E735&lt;TODAY(),"Overdue",IF(E735=TODAY(),"Due Today",IF(E735&lt;TODAY()+7,"Due This Week","Later"))))))</f>
        <v/>
      </c>
      <c r="I735" s="40" t="str">
        <f aca="false">IF(AND(B735&lt;&gt;"",D735&lt;&gt;"Done",E735&lt;&gt;""),E735+ROW()/100000,"")</f>
        <v/>
      </c>
    </row>
    <row r="736" customFormat="false" ht="15" hidden="false" customHeight="false" outlineLevel="0" collapsed="false">
      <c r="A736" s="32"/>
      <c r="B736" s="32"/>
      <c r="C736" s="33"/>
      <c r="D736" s="32"/>
      <c r="E736" s="35"/>
      <c r="F736" s="32"/>
      <c r="G736" s="35"/>
      <c r="H736" s="37" t="str">
        <f aca="true">IF(B736="","",IF(OR(D736="Done"),"Done",IF(E736="","No Due Date",IF(E736&lt;TODAY(),"Overdue",IF(E736=TODAY(),"Due Today",IF(E736&lt;TODAY()+7,"Due This Week","Later"))))))</f>
        <v/>
      </c>
      <c r="I736" s="40" t="str">
        <f aca="false">IF(AND(B736&lt;&gt;"",D736&lt;&gt;"Done",E736&lt;&gt;""),E736+ROW()/100000,"")</f>
        <v/>
      </c>
    </row>
    <row r="737" customFormat="false" ht="15" hidden="false" customHeight="false" outlineLevel="0" collapsed="false">
      <c r="A737" s="32"/>
      <c r="B737" s="32"/>
      <c r="C737" s="33"/>
      <c r="D737" s="32"/>
      <c r="E737" s="35"/>
      <c r="F737" s="32"/>
      <c r="G737" s="35"/>
      <c r="H737" s="37" t="str">
        <f aca="true">IF(B737="","",IF(OR(D737="Done"),"Done",IF(E737="","No Due Date",IF(E737&lt;TODAY(),"Overdue",IF(E737=TODAY(),"Due Today",IF(E737&lt;TODAY()+7,"Due This Week","Later"))))))</f>
        <v/>
      </c>
      <c r="I737" s="40" t="str">
        <f aca="false">IF(AND(B737&lt;&gt;"",D737&lt;&gt;"Done",E737&lt;&gt;""),E737+ROW()/100000,"")</f>
        <v/>
      </c>
    </row>
    <row r="738" customFormat="false" ht="15" hidden="false" customHeight="false" outlineLevel="0" collapsed="false">
      <c r="A738" s="32"/>
      <c r="B738" s="32"/>
      <c r="C738" s="33"/>
      <c r="D738" s="32"/>
      <c r="E738" s="35"/>
      <c r="F738" s="32"/>
      <c r="G738" s="35"/>
      <c r="H738" s="37" t="str">
        <f aca="true">IF(B738="","",IF(OR(D738="Done"),"Done",IF(E738="","No Due Date",IF(E738&lt;TODAY(),"Overdue",IF(E738=TODAY(),"Due Today",IF(E738&lt;TODAY()+7,"Due This Week","Later"))))))</f>
        <v/>
      </c>
      <c r="I738" s="40" t="str">
        <f aca="false">IF(AND(B738&lt;&gt;"",D738&lt;&gt;"Done",E738&lt;&gt;""),E738+ROW()/100000,"")</f>
        <v/>
      </c>
    </row>
    <row r="739" customFormat="false" ht="15" hidden="false" customHeight="false" outlineLevel="0" collapsed="false">
      <c r="A739" s="32"/>
      <c r="B739" s="32"/>
      <c r="C739" s="33"/>
      <c r="D739" s="32"/>
      <c r="E739" s="35"/>
      <c r="F739" s="32"/>
      <c r="G739" s="35"/>
      <c r="H739" s="37" t="str">
        <f aca="true">IF(B739="","",IF(OR(D739="Done"),"Done",IF(E739="","No Due Date",IF(E739&lt;TODAY(),"Overdue",IF(E739=TODAY(),"Due Today",IF(E739&lt;TODAY()+7,"Due This Week","Later"))))))</f>
        <v/>
      </c>
      <c r="I739" s="40" t="str">
        <f aca="false">IF(AND(B739&lt;&gt;"",D739&lt;&gt;"Done",E739&lt;&gt;""),E739+ROW()/100000,"")</f>
        <v/>
      </c>
    </row>
    <row r="740" customFormat="false" ht="15" hidden="false" customHeight="false" outlineLevel="0" collapsed="false">
      <c r="A740" s="32"/>
      <c r="B740" s="32"/>
      <c r="C740" s="33"/>
      <c r="D740" s="32"/>
      <c r="E740" s="35"/>
      <c r="F740" s="32"/>
      <c r="G740" s="35"/>
      <c r="H740" s="37" t="str">
        <f aca="true">IF(B740="","",IF(OR(D740="Done"),"Done",IF(E740="","No Due Date",IF(E740&lt;TODAY(),"Overdue",IF(E740=TODAY(),"Due Today",IF(E740&lt;TODAY()+7,"Due This Week","Later"))))))</f>
        <v/>
      </c>
      <c r="I740" s="40" t="str">
        <f aca="false">IF(AND(B740&lt;&gt;"",D740&lt;&gt;"Done",E740&lt;&gt;""),E740+ROW()/100000,"")</f>
        <v/>
      </c>
    </row>
    <row r="741" customFormat="false" ht="15" hidden="false" customHeight="false" outlineLevel="0" collapsed="false">
      <c r="A741" s="32"/>
      <c r="B741" s="32"/>
      <c r="C741" s="33"/>
      <c r="D741" s="32"/>
      <c r="E741" s="35"/>
      <c r="F741" s="32"/>
      <c r="G741" s="35"/>
      <c r="H741" s="37" t="str">
        <f aca="true">IF(B741="","",IF(OR(D741="Done"),"Done",IF(E741="","No Due Date",IF(E741&lt;TODAY(),"Overdue",IF(E741=TODAY(),"Due Today",IF(E741&lt;TODAY()+7,"Due This Week","Later"))))))</f>
        <v/>
      </c>
      <c r="I741" s="40" t="str">
        <f aca="false">IF(AND(B741&lt;&gt;"",D741&lt;&gt;"Done",E741&lt;&gt;""),E741+ROW()/100000,"")</f>
        <v/>
      </c>
    </row>
    <row r="742" customFormat="false" ht="15" hidden="false" customHeight="false" outlineLevel="0" collapsed="false">
      <c r="A742" s="32"/>
      <c r="B742" s="32"/>
      <c r="C742" s="33"/>
      <c r="D742" s="32"/>
      <c r="E742" s="35"/>
      <c r="F742" s="32"/>
      <c r="G742" s="35"/>
      <c r="H742" s="37" t="str">
        <f aca="true">IF(B742="","",IF(OR(D742="Done"),"Done",IF(E742="","No Due Date",IF(E742&lt;TODAY(),"Overdue",IF(E742=TODAY(),"Due Today",IF(E742&lt;TODAY()+7,"Due This Week","Later"))))))</f>
        <v/>
      </c>
      <c r="I742" s="40" t="str">
        <f aca="false">IF(AND(B742&lt;&gt;"",D742&lt;&gt;"Done",E742&lt;&gt;""),E742+ROW()/100000,"")</f>
        <v/>
      </c>
    </row>
    <row r="743" customFormat="false" ht="15" hidden="false" customHeight="false" outlineLevel="0" collapsed="false">
      <c r="A743" s="32"/>
      <c r="B743" s="32"/>
      <c r="C743" s="33"/>
      <c r="D743" s="32"/>
      <c r="E743" s="35"/>
      <c r="F743" s="32"/>
      <c r="G743" s="35"/>
      <c r="H743" s="37" t="str">
        <f aca="true">IF(B743="","",IF(OR(D743="Done"),"Done",IF(E743="","No Due Date",IF(E743&lt;TODAY(),"Overdue",IF(E743=TODAY(),"Due Today",IF(E743&lt;TODAY()+7,"Due This Week","Later"))))))</f>
        <v/>
      </c>
      <c r="I743" s="40" t="str">
        <f aca="false">IF(AND(B743&lt;&gt;"",D743&lt;&gt;"Done",E743&lt;&gt;""),E743+ROW()/100000,"")</f>
        <v/>
      </c>
    </row>
    <row r="744" customFormat="false" ht="15" hidden="false" customHeight="false" outlineLevel="0" collapsed="false">
      <c r="A744" s="32"/>
      <c r="B744" s="32"/>
      <c r="C744" s="33"/>
      <c r="D744" s="32"/>
      <c r="E744" s="35"/>
      <c r="F744" s="32"/>
      <c r="G744" s="35"/>
      <c r="H744" s="37" t="str">
        <f aca="true">IF(B744="","",IF(OR(D744="Done"),"Done",IF(E744="","No Due Date",IF(E744&lt;TODAY(),"Overdue",IF(E744=TODAY(),"Due Today",IF(E744&lt;TODAY()+7,"Due This Week","Later"))))))</f>
        <v/>
      </c>
      <c r="I744" s="40" t="str">
        <f aca="false">IF(AND(B744&lt;&gt;"",D744&lt;&gt;"Done",E744&lt;&gt;""),E744+ROW()/100000,"")</f>
        <v/>
      </c>
    </row>
    <row r="745" customFormat="false" ht="15" hidden="false" customHeight="false" outlineLevel="0" collapsed="false">
      <c r="A745" s="32"/>
      <c r="B745" s="32"/>
      <c r="C745" s="33"/>
      <c r="D745" s="32"/>
      <c r="E745" s="35"/>
      <c r="F745" s="32"/>
      <c r="G745" s="35"/>
      <c r="H745" s="37" t="str">
        <f aca="true">IF(B745="","",IF(OR(D745="Done"),"Done",IF(E745="","No Due Date",IF(E745&lt;TODAY(),"Overdue",IF(E745=TODAY(),"Due Today",IF(E745&lt;TODAY()+7,"Due This Week","Later"))))))</f>
        <v/>
      </c>
      <c r="I745" s="40" t="str">
        <f aca="false">IF(AND(B745&lt;&gt;"",D745&lt;&gt;"Done",E745&lt;&gt;""),E745+ROW()/100000,"")</f>
        <v/>
      </c>
    </row>
    <row r="746" customFormat="false" ht="15" hidden="false" customHeight="false" outlineLevel="0" collapsed="false">
      <c r="A746" s="32"/>
      <c r="B746" s="32"/>
      <c r="C746" s="33"/>
      <c r="D746" s="32"/>
      <c r="E746" s="35"/>
      <c r="F746" s="32"/>
      <c r="G746" s="35"/>
      <c r="H746" s="37" t="str">
        <f aca="true">IF(B746="","",IF(OR(D746="Done"),"Done",IF(E746="","No Due Date",IF(E746&lt;TODAY(),"Overdue",IF(E746=TODAY(),"Due Today",IF(E746&lt;TODAY()+7,"Due This Week","Later"))))))</f>
        <v/>
      </c>
      <c r="I746" s="40" t="str">
        <f aca="false">IF(AND(B746&lt;&gt;"",D746&lt;&gt;"Done",E746&lt;&gt;""),E746+ROW()/100000,"")</f>
        <v/>
      </c>
    </row>
    <row r="747" customFormat="false" ht="15" hidden="false" customHeight="false" outlineLevel="0" collapsed="false">
      <c r="A747" s="32"/>
      <c r="B747" s="32"/>
      <c r="C747" s="33"/>
      <c r="D747" s="32"/>
      <c r="E747" s="35"/>
      <c r="F747" s="32"/>
      <c r="G747" s="35"/>
      <c r="H747" s="37" t="str">
        <f aca="true">IF(B747="","",IF(OR(D747="Done"),"Done",IF(E747="","No Due Date",IF(E747&lt;TODAY(),"Overdue",IF(E747=TODAY(),"Due Today",IF(E747&lt;TODAY()+7,"Due This Week","Later"))))))</f>
        <v/>
      </c>
      <c r="I747" s="40" t="str">
        <f aca="false">IF(AND(B747&lt;&gt;"",D747&lt;&gt;"Done",E747&lt;&gt;""),E747+ROW()/100000,"")</f>
        <v/>
      </c>
    </row>
    <row r="748" customFormat="false" ht="15" hidden="false" customHeight="false" outlineLevel="0" collapsed="false">
      <c r="A748" s="32"/>
      <c r="B748" s="32"/>
      <c r="C748" s="33"/>
      <c r="D748" s="32"/>
      <c r="E748" s="35"/>
      <c r="F748" s="32"/>
      <c r="G748" s="35"/>
      <c r="H748" s="37" t="str">
        <f aca="true">IF(B748="","",IF(OR(D748="Done"),"Done",IF(E748="","No Due Date",IF(E748&lt;TODAY(),"Overdue",IF(E748=TODAY(),"Due Today",IF(E748&lt;TODAY()+7,"Due This Week","Later"))))))</f>
        <v/>
      </c>
      <c r="I748" s="40" t="str">
        <f aca="false">IF(AND(B748&lt;&gt;"",D748&lt;&gt;"Done",E748&lt;&gt;""),E748+ROW()/100000,"")</f>
        <v/>
      </c>
    </row>
    <row r="749" customFormat="false" ht="15" hidden="false" customHeight="false" outlineLevel="0" collapsed="false">
      <c r="A749" s="32"/>
      <c r="B749" s="32"/>
      <c r="C749" s="33"/>
      <c r="D749" s="32"/>
      <c r="E749" s="35"/>
      <c r="F749" s="32"/>
      <c r="G749" s="35"/>
      <c r="H749" s="37" t="str">
        <f aca="true">IF(B749="","",IF(OR(D749="Done"),"Done",IF(E749="","No Due Date",IF(E749&lt;TODAY(),"Overdue",IF(E749=TODAY(),"Due Today",IF(E749&lt;TODAY()+7,"Due This Week","Later"))))))</f>
        <v/>
      </c>
      <c r="I749" s="40" t="str">
        <f aca="false">IF(AND(B749&lt;&gt;"",D749&lt;&gt;"Done",E749&lt;&gt;""),E749+ROW()/100000,"")</f>
        <v/>
      </c>
    </row>
    <row r="750" customFormat="false" ht="15" hidden="false" customHeight="false" outlineLevel="0" collapsed="false">
      <c r="A750" s="32"/>
      <c r="B750" s="32"/>
      <c r="C750" s="33"/>
      <c r="D750" s="32"/>
      <c r="E750" s="35"/>
      <c r="F750" s="32"/>
      <c r="G750" s="35"/>
      <c r="H750" s="37" t="str">
        <f aca="true">IF(B750="","",IF(OR(D750="Done"),"Done",IF(E750="","No Due Date",IF(E750&lt;TODAY(),"Overdue",IF(E750=TODAY(),"Due Today",IF(E750&lt;TODAY()+7,"Due This Week","Later"))))))</f>
        <v/>
      </c>
      <c r="I750" s="40" t="str">
        <f aca="false">IF(AND(B750&lt;&gt;"",D750&lt;&gt;"Done",E750&lt;&gt;""),E750+ROW()/100000,"")</f>
        <v/>
      </c>
    </row>
    <row r="751" customFormat="false" ht="15" hidden="false" customHeight="false" outlineLevel="0" collapsed="false">
      <c r="A751" s="32"/>
      <c r="B751" s="32"/>
      <c r="C751" s="33"/>
      <c r="D751" s="32"/>
      <c r="E751" s="35"/>
      <c r="F751" s="32"/>
      <c r="G751" s="35"/>
      <c r="H751" s="37" t="str">
        <f aca="true">IF(B751="","",IF(OR(D751="Done"),"Done",IF(E751="","No Due Date",IF(E751&lt;TODAY(),"Overdue",IF(E751=TODAY(),"Due Today",IF(E751&lt;TODAY()+7,"Due This Week","Later"))))))</f>
        <v/>
      </c>
      <c r="I751" s="40" t="str">
        <f aca="false">IF(AND(B751&lt;&gt;"",D751&lt;&gt;"Done",E751&lt;&gt;""),E751+ROW()/100000,"")</f>
        <v/>
      </c>
    </row>
    <row r="752" customFormat="false" ht="15" hidden="false" customHeight="false" outlineLevel="0" collapsed="false">
      <c r="A752" s="32"/>
      <c r="B752" s="32"/>
      <c r="C752" s="33"/>
      <c r="D752" s="32"/>
      <c r="E752" s="35"/>
      <c r="F752" s="32"/>
      <c r="G752" s="35"/>
      <c r="H752" s="37" t="str">
        <f aca="true">IF(B752="","",IF(OR(D752="Done"),"Done",IF(E752="","No Due Date",IF(E752&lt;TODAY(),"Overdue",IF(E752=TODAY(),"Due Today",IF(E752&lt;TODAY()+7,"Due This Week","Later"))))))</f>
        <v/>
      </c>
      <c r="I752" s="40" t="str">
        <f aca="false">IF(AND(B752&lt;&gt;"",D752&lt;&gt;"Done",E752&lt;&gt;""),E752+ROW()/100000,"")</f>
        <v/>
      </c>
    </row>
    <row r="753" customFormat="false" ht="15" hidden="false" customHeight="false" outlineLevel="0" collapsed="false">
      <c r="A753" s="32"/>
      <c r="B753" s="32"/>
      <c r="C753" s="33"/>
      <c r="D753" s="32"/>
      <c r="E753" s="35"/>
      <c r="F753" s="32"/>
      <c r="G753" s="35"/>
      <c r="H753" s="37" t="str">
        <f aca="true">IF(B753="","",IF(OR(D753="Done"),"Done",IF(E753="","No Due Date",IF(E753&lt;TODAY(),"Overdue",IF(E753=TODAY(),"Due Today",IF(E753&lt;TODAY()+7,"Due This Week","Later"))))))</f>
        <v/>
      </c>
      <c r="I753" s="40" t="str">
        <f aca="false">IF(AND(B753&lt;&gt;"",D753&lt;&gt;"Done",E753&lt;&gt;""),E753+ROW()/100000,"")</f>
        <v/>
      </c>
    </row>
    <row r="754" customFormat="false" ht="15" hidden="false" customHeight="false" outlineLevel="0" collapsed="false">
      <c r="A754" s="32"/>
      <c r="B754" s="32"/>
      <c r="C754" s="33"/>
      <c r="D754" s="32"/>
      <c r="E754" s="35"/>
      <c r="F754" s="32"/>
      <c r="G754" s="35"/>
      <c r="H754" s="37" t="str">
        <f aca="true">IF(B754="","",IF(OR(D754="Done"),"Done",IF(E754="","No Due Date",IF(E754&lt;TODAY(),"Overdue",IF(E754=TODAY(),"Due Today",IF(E754&lt;TODAY()+7,"Due This Week","Later"))))))</f>
        <v/>
      </c>
      <c r="I754" s="40" t="str">
        <f aca="false">IF(AND(B754&lt;&gt;"",D754&lt;&gt;"Done",E754&lt;&gt;""),E754+ROW()/100000,"")</f>
        <v/>
      </c>
    </row>
    <row r="755" customFormat="false" ht="15" hidden="false" customHeight="false" outlineLevel="0" collapsed="false">
      <c r="A755" s="32"/>
      <c r="B755" s="32"/>
      <c r="C755" s="33"/>
      <c r="D755" s="32"/>
      <c r="E755" s="35"/>
      <c r="F755" s="32"/>
      <c r="G755" s="35"/>
      <c r="H755" s="37" t="str">
        <f aca="true">IF(B755="","",IF(OR(D755="Done"),"Done",IF(E755="","No Due Date",IF(E755&lt;TODAY(),"Overdue",IF(E755=TODAY(),"Due Today",IF(E755&lt;TODAY()+7,"Due This Week","Later"))))))</f>
        <v/>
      </c>
      <c r="I755" s="40" t="str">
        <f aca="false">IF(AND(B755&lt;&gt;"",D755&lt;&gt;"Done",E755&lt;&gt;""),E755+ROW()/100000,"")</f>
        <v/>
      </c>
    </row>
    <row r="756" customFormat="false" ht="15" hidden="false" customHeight="false" outlineLevel="0" collapsed="false">
      <c r="A756" s="32"/>
      <c r="B756" s="32"/>
      <c r="C756" s="33"/>
      <c r="D756" s="32"/>
      <c r="E756" s="35"/>
      <c r="F756" s="32"/>
      <c r="G756" s="35"/>
      <c r="H756" s="37" t="str">
        <f aca="true">IF(B756="","",IF(OR(D756="Done"),"Done",IF(E756="","No Due Date",IF(E756&lt;TODAY(),"Overdue",IF(E756=TODAY(),"Due Today",IF(E756&lt;TODAY()+7,"Due This Week","Later"))))))</f>
        <v/>
      </c>
      <c r="I756" s="40" t="str">
        <f aca="false">IF(AND(B756&lt;&gt;"",D756&lt;&gt;"Done",E756&lt;&gt;""),E756+ROW()/100000,"")</f>
        <v/>
      </c>
    </row>
    <row r="757" customFormat="false" ht="15" hidden="false" customHeight="false" outlineLevel="0" collapsed="false">
      <c r="A757" s="32"/>
      <c r="B757" s="32"/>
      <c r="C757" s="33"/>
      <c r="D757" s="32"/>
      <c r="E757" s="35"/>
      <c r="F757" s="32"/>
      <c r="G757" s="35"/>
      <c r="H757" s="37" t="str">
        <f aca="true">IF(B757="","",IF(OR(D757="Done"),"Done",IF(E757="","No Due Date",IF(E757&lt;TODAY(),"Overdue",IF(E757=TODAY(),"Due Today",IF(E757&lt;TODAY()+7,"Due This Week","Later"))))))</f>
        <v/>
      </c>
      <c r="I757" s="40" t="str">
        <f aca="false">IF(AND(B757&lt;&gt;"",D757&lt;&gt;"Done",E757&lt;&gt;""),E757+ROW()/100000,"")</f>
        <v/>
      </c>
    </row>
    <row r="758" customFormat="false" ht="15" hidden="false" customHeight="false" outlineLevel="0" collapsed="false">
      <c r="A758" s="32"/>
      <c r="B758" s="32"/>
      <c r="C758" s="33"/>
      <c r="D758" s="32"/>
      <c r="E758" s="35"/>
      <c r="F758" s="32"/>
      <c r="G758" s="35"/>
      <c r="H758" s="37" t="str">
        <f aca="true">IF(B758="","",IF(OR(D758="Done"),"Done",IF(E758="","No Due Date",IF(E758&lt;TODAY(),"Overdue",IF(E758=TODAY(),"Due Today",IF(E758&lt;TODAY()+7,"Due This Week","Later"))))))</f>
        <v/>
      </c>
      <c r="I758" s="40" t="str">
        <f aca="false">IF(AND(B758&lt;&gt;"",D758&lt;&gt;"Done",E758&lt;&gt;""),E758+ROW()/100000,"")</f>
        <v/>
      </c>
    </row>
    <row r="759" customFormat="false" ht="15" hidden="false" customHeight="false" outlineLevel="0" collapsed="false">
      <c r="A759" s="32"/>
      <c r="B759" s="32"/>
      <c r="C759" s="33"/>
      <c r="D759" s="32"/>
      <c r="E759" s="35"/>
      <c r="F759" s="32"/>
      <c r="G759" s="35"/>
      <c r="H759" s="37" t="str">
        <f aca="true">IF(B759="","",IF(OR(D759="Done"),"Done",IF(E759="","No Due Date",IF(E759&lt;TODAY(),"Overdue",IF(E759=TODAY(),"Due Today",IF(E759&lt;TODAY()+7,"Due This Week","Later"))))))</f>
        <v/>
      </c>
      <c r="I759" s="40" t="str">
        <f aca="false">IF(AND(B759&lt;&gt;"",D759&lt;&gt;"Done",E759&lt;&gt;""),E759+ROW()/100000,"")</f>
        <v/>
      </c>
    </row>
    <row r="760" customFormat="false" ht="15" hidden="false" customHeight="false" outlineLevel="0" collapsed="false">
      <c r="A760" s="32"/>
      <c r="B760" s="32"/>
      <c r="C760" s="33"/>
      <c r="D760" s="32"/>
      <c r="E760" s="35"/>
      <c r="F760" s="32"/>
      <c r="G760" s="35"/>
      <c r="H760" s="37" t="str">
        <f aca="true">IF(B760="","",IF(OR(D760="Done"),"Done",IF(E760="","No Due Date",IF(E760&lt;TODAY(),"Overdue",IF(E760=TODAY(),"Due Today",IF(E760&lt;TODAY()+7,"Due This Week","Later"))))))</f>
        <v/>
      </c>
      <c r="I760" s="40" t="str">
        <f aca="false">IF(AND(B760&lt;&gt;"",D760&lt;&gt;"Done",E760&lt;&gt;""),E760+ROW()/100000,"")</f>
        <v/>
      </c>
    </row>
    <row r="761" customFormat="false" ht="15" hidden="false" customHeight="false" outlineLevel="0" collapsed="false">
      <c r="A761" s="32"/>
      <c r="B761" s="32"/>
      <c r="C761" s="33"/>
      <c r="D761" s="32"/>
      <c r="E761" s="35"/>
      <c r="F761" s="32"/>
      <c r="G761" s="35"/>
      <c r="H761" s="37" t="str">
        <f aca="true">IF(B761="","",IF(OR(D761="Done"),"Done",IF(E761="","No Due Date",IF(E761&lt;TODAY(),"Overdue",IF(E761=TODAY(),"Due Today",IF(E761&lt;TODAY()+7,"Due This Week","Later"))))))</f>
        <v/>
      </c>
      <c r="I761" s="40" t="str">
        <f aca="false">IF(AND(B761&lt;&gt;"",D761&lt;&gt;"Done",E761&lt;&gt;""),E761+ROW()/100000,"")</f>
        <v/>
      </c>
    </row>
    <row r="762" customFormat="false" ht="15" hidden="false" customHeight="false" outlineLevel="0" collapsed="false">
      <c r="A762" s="32"/>
      <c r="B762" s="32"/>
      <c r="C762" s="33"/>
      <c r="D762" s="32"/>
      <c r="E762" s="35"/>
      <c r="F762" s="32"/>
      <c r="G762" s="35"/>
      <c r="H762" s="37" t="str">
        <f aca="true">IF(B762="","",IF(OR(D762="Done"),"Done",IF(E762="","No Due Date",IF(E762&lt;TODAY(),"Overdue",IF(E762=TODAY(),"Due Today",IF(E762&lt;TODAY()+7,"Due This Week","Later"))))))</f>
        <v/>
      </c>
      <c r="I762" s="40" t="str">
        <f aca="false">IF(AND(B762&lt;&gt;"",D762&lt;&gt;"Done",E762&lt;&gt;""),E762+ROW()/100000,"")</f>
        <v/>
      </c>
    </row>
    <row r="763" customFormat="false" ht="15" hidden="false" customHeight="false" outlineLevel="0" collapsed="false">
      <c r="A763" s="32"/>
      <c r="B763" s="32"/>
      <c r="C763" s="33"/>
      <c r="D763" s="32"/>
      <c r="E763" s="35"/>
      <c r="F763" s="32"/>
      <c r="G763" s="35"/>
      <c r="H763" s="37" t="str">
        <f aca="true">IF(B763="","",IF(OR(D763="Done"),"Done",IF(E763="","No Due Date",IF(E763&lt;TODAY(),"Overdue",IF(E763=TODAY(),"Due Today",IF(E763&lt;TODAY()+7,"Due This Week","Later"))))))</f>
        <v/>
      </c>
      <c r="I763" s="40" t="str">
        <f aca="false">IF(AND(B763&lt;&gt;"",D763&lt;&gt;"Done",E763&lt;&gt;""),E763+ROW()/100000,"")</f>
        <v/>
      </c>
    </row>
    <row r="764" customFormat="false" ht="15" hidden="false" customHeight="false" outlineLevel="0" collapsed="false">
      <c r="A764" s="32"/>
      <c r="B764" s="32"/>
      <c r="C764" s="33"/>
      <c r="D764" s="32"/>
      <c r="E764" s="35"/>
      <c r="F764" s="32"/>
      <c r="G764" s="35"/>
      <c r="H764" s="37" t="str">
        <f aca="true">IF(B764="","",IF(OR(D764="Done"),"Done",IF(E764="","No Due Date",IF(E764&lt;TODAY(),"Overdue",IF(E764=TODAY(),"Due Today",IF(E764&lt;TODAY()+7,"Due This Week","Later"))))))</f>
        <v/>
      </c>
      <c r="I764" s="40" t="str">
        <f aca="false">IF(AND(B764&lt;&gt;"",D764&lt;&gt;"Done",E764&lt;&gt;""),E764+ROW()/100000,"")</f>
        <v/>
      </c>
    </row>
    <row r="765" customFormat="false" ht="15" hidden="false" customHeight="false" outlineLevel="0" collapsed="false">
      <c r="A765" s="32"/>
      <c r="B765" s="32"/>
      <c r="C765" s="33"/>
      <c r="D765" s="32"/>
      <c r="E765" s="35"/>
      <c r="F765" s="32"/>
      <c r="G765" s="35"/>
      <c r="H765" s="37" t="str">
        <f aca="true">IF(B765="","",IF(OR(D765="Done"),"Done",IF(E765="","No Due Date",IF(E765&lt;TODAY(),"Overdue",IF(E765=TODAY(),"Due Today",IF(E765&lt;TODAY()+7,"Due This Week","Later"))))))</f>
        <v/>
      </c>
      <c r="I765" s="40" t="str">
        <f aca="false">IF(AND(B765&lt;&gt;"",D765&lt;&gt;"Done",E765&lt;&gt;""),E765+ROW()/100000,"")</f>
        <v/>
      </c>
    </row>
    <row r="766" customFormat="false" ht="15" hidden="false" customHeight="false" outlineLevel="0" collapsed="false">
      <c r="A766" s="32"/>
      <c r="B766" s="32"/>
      <c r="C766" s="33"/>
      <c r="D766" s="32"/>
      <c r="E766" s="35"/>
      <c r="F766" s="32"/>
      <c r="G766" s="35"/>
      <c r="H766" s="37" t="str">
        <f aca="true">IF(B766="","",IF(OR(D766="Done"),"Done",IF(E766="","No Due Date",IF(E766&lt;TODAY(),"Overdue",IF(E766=TODAY(),"Due Today",IF(E766&lt;TODAY()+7,"Due This Week","Later"))))))</f>
        <v/>
      </c>
      <c r="I766" s="40" t="str">
        <f aca="false">IF(AND(B766&lt;&gt;"",D766&lt;&gt;"Done",E766&lt;&gt;""),E766+ROW()/100000,"")</f>
        <v/>
      </c>
    </row>
    <row r="767" customFormat="false" ht="15" hidden="false" customHeight="false" outlineLevel="0" collapsed="false">
      <c r="A767" s="32"/>
      <c r="B767" s="32"/>
      <c r="C767" s="33"/>
      <c r="D767" s="32"/>
      <c r="E767" s="35"/>
      <c r="F767" s="32"/>
      <c r="G767" s="35"/>
      <c r="H767" s="37" t="str">
        <f aca="true">IF(B767="","",IF(OR(D767="Done"),"Done",IF(E767="","No Due Date",IF(E767&lt;TODAY(),"Overdue",IF(E767=TODAY(),"Due Today",IF(E767&lt;TODAY()+7,"Due This Week","Later"))))))</f>
        <v/>
      </c>
      <c r="I767" s="40" t="str">
        <f aca="false">IF(AND(B767&lt;&gt;"",D767&lt;&gt;"Done",E767&lt;&gt;""),E767+ROW()/100000,"")</f>
        <v/>
      </c>
    </row>
    <row r="768" customFormat="false" ht="15" hidden="false" customHeight="false" outlineLevel="0" collapsed="false">
      <c r="A768" s="32"/>
      <c r="B768" s="32"/>
      <c r="C768" s="33"/>
      <c r="D768" s="32"/>
      <c r="E768" s="35"/>
      <c r="F768" s="32"/>
      <c r="G768" s="35"/>
      <c r="H768" s="37" t="str">
        <f aca="true">IF(B768="","",IF(OR(D768="Done"),"Done",IF(E768="","No Due Date",IF(E768&lt;TODAY(),"Overdue",IF(E768=TODAY(),"Due Today",IF(E768&lt;TODAY()+7,"Due This Week","Later"))))))</f>
        <v/>
      </c>
      <c r="I768" s="40" t="str">
        <f aca="false">IF(AND(B768&lt;&gt;"",D768&lt;&gt;"Done",E768&lt;&gt;""),E768+ROW()/100000,"")</f>
        <v/>
      </c>
    </row>
    <row r="769" customFormat="false" ht="15" hidden="false" customHeight="false" outlineLevel="0" collapsed="false">
      <c r="A769" s="32"/>
      <c r="B769" s="32"/>
      <c r="C769" s="33"/>
      <c r="D769" s="32"/>
      <c r="E769" s="35"/>
      <c r="F769" s="32"/>
      <c r="G769" s="35"/>
      <c r="H769" s="37" t="str">
        <f aca="true">IF(B769="","",IF(OR(D769="Done"),"Done",IF(E769="","No Due Date",IF(E769&lt;TODAY(),"Overdue",IF(E769=TODAY(),"Due Today",IF(E769&lt;TODAY()+7,"Due This Week","Later"))))))</f>
        <v/>
      </c>
      <c r="I769" s="40" t="str">
        <f aca="false">IF(AND(B769&lt;&gt;"",D769&lt;&gt;"Done",E769&lt;&gt;""),E769+ROW()/100000,"")</f>
        <v/>
      </c>
    </row>
    <row r="770" customFormat="false" ht="15" hidden="false" customHeight="false" outlineLevel="0" collapsed="false">
      <c r="A770" s="32"/>
      <c r="B770" s="32"/>
      <c r="C770" s="33"/>
      <c r="D770" s="32"/>
      <c r="E770" s="35"/>
      <c r="F770" s="32"/>
      <c r="G770" s="35"/>
      <c r="H770" s="37" t="str">
        <f aca="true">IF(B770="","",IF(OR(D770="Done"),"Done",IF(E770="","No Due Date",IF(E770&lt;TODAY(),"Overdue",IF(E770=TODAY(),"Due Today",IF(E770&lt;TODAY()+7,"Due This Week","Later"))))))</f>
        <v/>
      </c>
      <c r="I770" s="40" t="str">
        <f aca="false">IF(AND(B770&lt;&gt;"",D770&lt;&gt;"Done",E770&lt;&gt;""),E770+ROW()/100000,"")</f>
        <v/>
      </c>
    </row>
    <row r="771" customFormat="false" ht="15" hidden="false" customHeight="false" outlineLevel="0" collapsed="false">
      <c r="A771" s="32"/>
      <c r="B771" s="32"/>
      <c r="C771" s="33"/>
      <c r="D771" s="32"/>
      <c r="E771" s="35"/>
      <c r="F771" s="32"/>
      <c r="G771" s="35"/>
      <c r="H771" s="37" t="str">
        <f aca="true">IF(B771="","",IF(OR(D771="Done"),"Done",IF(E771="","No Due Date",IF(E771&lt;TODAY(),"Overdue",IF(E771=TODAY(),"Due Today",IF(E771&lt;TODAY()+7,"Due This Week","Later"))))))</f>
        <v/>
      </c>
      <c r="I771" s="40" t="str">
        <f aca="false">IF(AND(B771&lt;&gt;"",D771&lt;&gt;"Done",E771&lt;&gt;""),E771+ROW()/100000,"")</f>
        <v/>
      </c>
    </row>
    <row r="772" customFormat="false" ht="15" hidden="false" customHeight="false" outlineLevel="0" collapsed="false">
      <c r="A772" s="32"/>
      <c r="B772" s="32"/>
      <c r="C772" s="33"/>
      <c r="D772" s="32"/>
      <c r="E772" s="35"/>
      <c r="F772" s="32"/>
      <c r="G772" s="35"/>
      <c r="H772" s="37" t="str">
        <f aca="true">IF(B772="","",IF(OR(D772="Done"),"Done",IF(E772="","No Due Date",IF(E772&lt;TODAY(),"Overdue",IF(E772=TODAY(),"Due Today",IF(E772&lt;TODAY()+7,"Due This Week","Later"))))))</f>
        <v/>
      </c>
      <c r="I772" s="40" t="str">
        <f aca="false">IF(AND(B772&lt;&gt;"",D772&lt;&gt;"Done",E772&lt;&gt;""),E772+ROW()/100000,"")</f>
        <v/>
      </c>
    </row>
    <row r="773" customFormat="false" ht="15" hidden="false" customHeight="false" outlineLevel="0" collapsed="false">
      <c r="A773" s="32"/>
      <c r="B773" s="32"/>
      <c r="C773" s="33"/>
      <c r="D773" s="32"/>
      <c r="E773" s="35"/>
      <c r="F773" s="32"/>
      <c r="G773" s="35"/>
      <c r="H773" s="37" t="str">
        <f aca="true">IF(B773="","",IF(OR(D773="Done"),"Done",IF(E773="","No Due Date",IF(E773&lt;TODAY(),"Overdue",IF(E773=TODAY(),"Due Today",IF(E773&lt;TODAY()+7,"Due This Week","Later"))))))</f>
        <v/>
      </c>
      <c r="I773" s="40" t="str">
        <f aca="false">IF(AND(B773&lt;&gt;"",D773&lt;&gt;"Done",E773&lt;&gt;""),E773+ROW()/100000,"")</f>
        <v/>
      </c>
    </row>
    <row r="774" customFormat="false" ht="15" hidden="false" customHeight="false" outlineLevel="0" collapsed="false">
      <c r="A774" s="32"/>
      <c r="B774" s="32"/>
      <c r="C774" s="33"/>
      <c r="D774" s="32"/>
      <c r="E774" s="35"/>
      <c r="F774" s="32"/>
      <c r="G774" s="35"/>
      <c r="H774" s="37" t="str">
        <f aca="true">IF(B774="","",IF(OR(D774="Done"),"Done",IF(E774="","No Due Date",IF(E774&lt;TODAY(),"Overdue",IF(E774=TODAY(),"Due Today",IF(E774&lt;TODAY()+7,"Due This Week","Later"))))))</f>
        <v/>
      </c>
      <c r="I774" s="40" t="str">
        <f aca="false">IF(AND(B774&lt;&gt;"",D774&lt;&gt;"Done",E774&lt;&gt;""),E774+ROW()/100000,"")</f>
        <v/>
      </c>
    </row>
    <row r="775" customFormat="false" ht="15" hidden="false" customHeight="false" outlineLevel="0" collapsed="false">
      <c r="A775" s="32"/>
      <c r="B775" s="32"/>
      <c r="C775" s="33"/>
      <c r="D775" s="32"/>
      <c r="E775" s="35"/>
      <c r="F775" s="32"/>
      <c r="G775" s="35"/>
      <c r="H775" s="37" t="str">
        <f aca="true">IF(B775="","",IF(OR(D775="Done"),"Done",IF(E775="","No Due Date",IF(E775&lt;TODAY(),"Overdue",IF(E775=TODAY(),"Due Today",IF(E775&lt;TODAY()+7,"Due This Week","Later"))))))</f>
        <v/>
      </c>
      <c r="I775" s="40" t="str">
        <f aca="false">IF(AND(B775&lt;&gt;"",D775&lt;&gt;"Done",E775&lt;&gt;""),E775+ROW()/100000,"")</f>
        <v/>
      </c>
    </row>
    <row r="776" customFormat="false" ht="15" hidden="false" customHeight="false" outlineLevel="0" collapsed="false">
      <c r="A776" s="32"/>
      <c r="B776" s="32"/>
      <c r="C776" s="33"/>
      <c r="D776" s="32"/>
      <c r="E776" s="35"/>
      <c r="F776" s="32"/>
      <c r="G776" s="35"/>
      <c r="H776" s="37" t="str">
        <f aca="true">IF(B776="","",IF(OR(D776="Done"),"Done",IF(E776="","No Due Date",IF(E776&lt;TODAY(),"Overdue",IF(E776=TODAY(),"Due Today",IF(E776&lt;TODAY()+7,"Due This Week","Later"))))))</f>
        <v/>
      </c>
      <c r="I776" s="40" t="str">
        <f aca="false">IF(AND(B776&lt;&gt;"",D776&lt;&gt;"Done",E776&lt;&gt;""),E776+ROW()/100000,"")</f>
        <v/>
      </c>
    </row>
    <row r="777" customFormat="false" ht="15" hidden="false" customHeight="false" outlineLevel="0" collapsed="false">
      <c r="A777" s="32"/>
      <c r="B777" s="32"/>
      <c r="C777" s="33"/>
      <c r="D777" s="32"/>
      <c r="E777" s="35"/>
      <c r="F777" s="32"/>
      <c r="G777" s="35"/>
      <c r="H777" s="37" t="str">
        <f aca="true">IF(B777="","",IF(OR(D777="Done"),"Done",IF(E777="","No Due Date",IF(E777&lt;TODAY(),"Overdue",IF(E777=TODAY(),"Due Today",IF(E777&lt;TODAY()+7,"Due This Week","Later"))))))</f>
        <v/>
      </c>
      <c r="I777" s="40" t="str">
        <f aca="false">IF(AND(B777&lt;&gt;"",D777&lt;&gt;"Done",E777&lt;&gt;""),E777+ROW()/100000,"")</f>
        <v/>
      </c>
    </row>
    <row r="778" customFormat="false" ht="15" hidden="false" customHeight="false" outlineLevel="0" collapsed="false">
      <c r="A778" s="32"/>
      <c r="B778" s="32"/>
      <c r="C778" s="33"/>
      <c r="D778" s="32"/>
      <c r="E778" s="35"/>
      <c r="F778" s="32"/>
      <c r="G778" s="35"/>
      <c r="H778" s="37" t="str">
        <f aca="true">IF(B778="","",IF(OR(D778="Done"),"Done",IF(E778="","No Due Date",IF(E778&lt;TODAY(),"Overdue",IF(E778=TODAY(),"Due Today",IF(E778&lt;TODAY()+7,"Due This Week","Later"))))))</f>
        <v/>
      </c>
      <c r="I778" s="40" t="str">
        <f aca="false">IF(AND(B778&lt;&gt;"",D778&lt;&gt;"Done",E778&lt;&gt;""),E778+ROW()/100000,"")</f>
        <v/>
      </c>
    </row>
    <row r="779" customFormat="false" ht="15" hidden="false" customHeight="false" outlineLevel="0" collapsed="false">
      <c r="A779" s="32"/>
      <c r="B779" s="32"/>
      <c r="C779" s="33"/>
      <c r="D779" s="32"/>
      <c r="E779" s="35"/>
      <c r="F779" s="32"/>
      <c r="G779" s="35"/>
      <c r="H779" s="37" t="str">
        <f aca="true">IF(B779="","",IF(OR(D779="Done"),"Done",IF(E779="","No Due Date",IF(E779&lt;TODAY(),"Overdue",IF(E779=TODAY(),"Due Today",IF(E779&lt;TODAY()+7,"Due This Week","Later"))))))</f>
        <v/>
      </c>
      <c r="I779" s="40" t="str">
        <f aca="false">IF(AND(B779&lt;&gt;"",D779&lt;&gt;"Done",E779&lt;&gt;""),E779+ROW()/100000,"")</f>
        <v/>
      </c>
    </row>
    <row r="780" customFormat="false" ht="15" hidden="false" customHeight="false" outlineLevel="0" collapsed="false">
      <c r="A780" s="32"/>
      <c r="B780" s="32"/>
      <c r="C780" s="33"/>
      <c r="D780" s="32"/>
      <c r="E780" s="35"/>
      <c r="F780" s="32"/>
      <c r="G780" s="35"/>
      <c r="H780" s="37" t="str">
        <f aca="true">IF(B780="","",IF(OR(D780="Done"),"Done",IF(E780="","No Due Date",IF(E780&lt;TODAY(),"Overdue",IF(E780=TODAY(),"Due Today",IF(E780&lt;TODAY()+7,"Due This Week","Later"))))))</f>
        <v/>
      </c>
      <c r="I780" s="40" t="str">
        <f aca="false">IF(AND(B780&lt;&gt;"",D780&lt;&gt;"Done",E780&lt;&gt;""),E780+ROW()/100000,"")</f>
        <v/>
      </c>
    </row>
    <row r="781" customFormat="false" ht="15" hidden="false" customHeight="false" outlineLevel="0" collapsed="false">
      <c r="A781" s="32"/>
      <c r="B781" s="32"/>
      <c r="C781" s="33"/>
      <c r="D781" s="32"/>
      <c r="E781" s="35"/>
      <c r="F781" s="32"/>
      <c r="G781" s="35"/>
      <c r="H781" s="37" t="str">
        <f aca="true">IF(B781="","",IF(OR(D781="Done"),"Done",IF(E781="","No Due Date",IF(E781&lt;TODAY(),"Overdue",IF(E781=TODAY(),"Due Today",IF(E781&lt;TODAY()+7,"Due This Week","Later"))))))</f>
        <v/>
      </c>
      <c r="I781" s="40" t="str">
        <f aca="false">IF(AND(B781&lt;&gt;"",D781&lt;&gt;"Done",E781&lt;&gt;""),E781+ROW()/100000,"")</f>
        <v/>
      </c>
    </row>
    <row r="782" customFormat="false" ht="15" hidden="false" customHeight="false" outlineLevel="0" collapsed="false">
      <c r="A782" s="32"/>
      <c r="B782" s="32"/>
      <c r="C782" s="33"/>
      <c r="D782" s="32"/>
      <c r="E782" s="35"/>
      <c r="F782" s="32"/>
      <c r="G782" s="35"/>
      <c r="H782" s="37" t="str">
        <f aca="true">IF(B782="","",IF(OR(D782="Done"),"Done",IF(E782="","No Due Date",IF(E782&lt;TODAY(),"Overdue",IF(E782=TODAY(),"Due Today",IF(E782&lt;TODAY()+7,"Due This Week","Later"))))))</f>
        <v/>
      </c>
      <c r="I782" s="40" t="str">
        <f aca="false">IF(AND(B782&lt;&gt;"",D782&lt;&gt;"Done",E782&lt;&gt;""),E782+ROW()/100000,"")</f>
        <v/>
      </c>
    </row>
    <row r="783" customFormat="false" ht="15" hidden="false" customHeight="false" outlineLevel="0" collapsed="false">
      <c r="A783" s="32"/>
      <c r="B783" s="32"/>
      <c r="C783" s="33"/>
      <c r="D783" s="32"/>
      <c r="E783" s="35"/>
      <c r="F783" s="32"/>
      <c r="G783" s="35"/>
      <c r="H783" s="37" t="str">
        <f aca="true">IF(B783="","",IF(OR(D783="Done"),"Done",IF(E783="","No Due Date",IF(E783&lt;TODAY(),"Overdue",IF(E783=TODAY(),"Due Today",IF(E783&lt;TODAY()+7,"Due This Week","Later"))))))</f>
        <v/>
      </c>
      <c r="I783" s="40" t="str">
        <f aca="false">IF(AND(B783&lt;&gt;"",D783&lt;&gt;"Done",E783&lt;&gt;""),E783+ROW()/100000,"")</f>
        <v/>
      </c>
    </row>
    <row r="784" customFormat="false" ht="15" hidden="false" customHeight="false" outlineLevel="0" collapsed="false">
      <c r="A784" s="32"/>
      <c r="B784" s="32"/>
      <c r="C784" s="33"/>
      <c r="D784" s="32"/>
      <c r="E784" s="35"/>
      <c r="F784" s="32"/>
      <c r="G784" s="35"/>
      <c r="H784" s="37" t="str">
        <f aca="true">IF(B784="","",IF(OR(D784="Done"),"Done",IF(E784="","No Due Date",IF(E784&lt;TODAY(),"Overdue",IF(E784=TODAY(),"Due Today",IF(E784&lt;TODAY()+7,"Due This Week","Later"))))))</f>
        <v/>
      </c>
      <c r="I784" s="40" t="str">
        <f aca="false">IF(AND(B784&lt;&gt;"",D784&lt;&gt;"Done",E784&lt;&gt;""),E784+ROW()/100000,"")</f>
        <v/>
      </c>
    </row>
    <row r="785" customFormat="false" ht="15" hidden="false" customHeight="false" outlineLevel="0" collapsed="false">
      <c r="A785" s="32"/>
      <c r="B785" s="32"/>
      <c r="C785" s="33"/>
      <c r="D785" s="32"/>
      <c r="E785" s="35"/>
      <c r="F785" s="32"/>
      <c r="G785" s="35"/>
      <c r="H785" s="37" t="str">
        <f aca="true">IF(B785="","",IF(OR(D785="Done"),"Done",IF(E785="","No Due Date",IF(E785&lt;TODAY(),"Overdue",IF(E785=TODAY(),"Due Today",IF(E785&lt;TODAY()+7,"Due This Week","Later"))))))</f>
        <v/>
      </c>
      <c r="I785" s="40" t="str">
        <f aca="false">IF(AND(B785&lt;&gt;"",D785&lt;&gt;"Done",E785&lt;&gt;""),E785+ROW()/100000,"")</f>
        <v/>
      </c>
    </row>
    <row r="786" customFormat="false" ht="15" hidden="false" customHeight="false" outlineLevel="0" collapsed="false">
      <c r="A786" s="32"/>
      <c r="B786" s="32"/>
      <c r="C786" s="33"/>
      <c r="D786" s="32"/>
      <c r="E786" s="35"/>
      <c r="F786" s="32"/>
      <c r="G786" s="35"/>
      <c r="H786" s="37" t="str">
        <f aca="true">IF(B786="","",IF(OR(D786="Done"),"Done",IF(E786="","No Due Date",IF(E786&lt;TODAY(),"Overdue",IF(E786=TODAY(),"Due Today",IF(E786&lt;TODAY()+7,"Due This Week","Later"))))))</f>
        <v/>
      </c>
      <c r="I786" s="40" t="str">
        <f aca="false">IF(AND(B786&lt;&gt;"",D786&lt;&gt;"Done",E786&lt;&gt;""),E786+ROW()/100000,"")</f>
        <v/>
      </c>
    </row>
    <row r="787" customFormat="false" ht="15" hidden="false" customHeight="false" outlineLevel="0" collapsed="false">
      <c r="A787" s="32"/>
      <c r="B787" s="32"/>
      <c r="C787" s="33"/>
      <c r="D787" s="32"/>
      <c r="E787" s="35"/>
      <c r="F787" s="32"/>
      <c r="G787" s="35"/>
      <c r="H787" s="37" t="str">
        <f aca="true">IF(B787="","",IF(OR(D787="Done"),"Done",IF(E787="","No Due Date",IF(E787&lt;TODAY(),"Overdue",IF(E787=TODAY(),"Due Today",IF(E787&lt;TODAY()+7,"Due This Week","Later"))))))</f>
        <v/>
      </c>
      <c r="I787" s="40" t="str">
        <f aca="false">IF(AND(B787&lt;&gt;"",D787&lt;&gt;"Done",E787&lt;&gt;""),E787+ROW()/100000,"")</f>
        <v/>
      </c>
    </row>
    <row r="788" customFormat="false" ht="15" hidden="false" customHeight="false" outlineLevel="0" collapsed="false">
      <c r="A788" s="32"/>
      <c r="B788" s="32"/>
      <c r="C788" s="33"/>
      <c r="D788" s="32"/>
      <c r="E788" s="35"/>
      <c r="F788" s="32"/>
      <c r="G788" s="35"/>
      <c r="H788" s="37" t="str">
        <f aca="true">IF(B788="","",IF(OR(D788="Done"),"Done",IF(E788="","No Due Date",IF(E788&lt;TODAY(),"Overdue",IF(E788=TODAY(),"Due Today",IF(E788&lt;TODAY()+7,"Due This Week","Later"))))))</f>
        <v/>
      </c>
      <c r="I788" s="40" t="str">
        <f aca="false">IF(AND(B788&lt;&gt;"",D788&lt;&gt;"Done",E788&lt;&gt;""),E788+ROW()/100000,"")</f>
        <v/>
      </c>
    </row>
    <row r="789" customFormat="false" ht="15" hidden="false" customHeight="false" outlineLevel="0" collapsed="false">
      <c r="A789" s="32"/>
      <c r="B789" s="32"/>
      <c r="C789" s="33"/>
      <c r="D789" s="32"/>
      <c r="E789" s="35"/>
      <c r="F789" s="32"/>
      <c r="G789" s="35"/>
      <c r="H789" s="37" t="str">
        <f aca="true">IF(B789="","",IF(OR(D789="Done"),"Done",IF(E789="","No Due Date",IF(E789&lt;TODAY(),"Overdue",IF(E789=TODAY(),"Due Today",IF(E789&lt;TODAY()+7,"Due This Week","Later"))))))</f>
        <v/>
      </c>
      <c r="I789" s="40" t="str">
        <f aca="false">IF(AND(B789&lt;&gt;"",D789&lt;&gt;"Done",E789&lt;&gt;""),E789+ROW()/100000,"")</f>
        <v/>
      </c>
    </row>
    <row r="790" customFormat="false" ht="15" hidden="false" customHeight="false" outlineLevel="0" collapsed="false">
      <c r="A790" s="32"/>
      <c r="B790" s="32"/>
      <c r="C790" s="33"/>
      <c r="D790" s="32"/>
      <c r="E790" s="35"/>
      <c r="F790" s="32"/>
      <c r="G790" s="35"/>
      <c r="H790" s="37" t="str">
        <f aca="true">IF(B790="","",IF(OR(D790="Done"),"Done",IF(E790="","No Due Date",IF(E790&lt;TODAY(),"Overdue",IF(E790=TODAY(),"Due Today",IF(E790&lt;TODAY()+7,"Due This Week","Later"))))))</f>
        <v/>
      </c>
      <c r="I790" s="40" t="str">
        <f aca="false">IF(AND(B790&lt;&gt;"",D790&lt;&gt;"Done",E790&lt;&gt;""),E790+ROW()/100000,"")</f>
        <v/>
      </c>
    </row>
    <row r="791" customFormat="false" ht="15" hidden="false" customHeight="false" outlineLevel="0" collapsed="false">
      <c r="A791" s="32"/>
      <c r="B791" s="32"/>
      <c r="C791" s="33"/>
      <c r="D791" s="32"/>
      <c r="E791" s="35"/>
      <c r="F791" s="32"/>
      <c r="G791" s="35"/>
      <c r="H791" s="37" t="str">
        <f aca="true">IF(B791="","",IF(OR(D791="Done"),"Done",IF(E791="","No Due Date",IF(E791&lt;TODAY(),"Overdue",IF(E791=TODAY(),"Due Today",IF(E791&lt;TODAY()+7,"Due This Week","Later"))))))</f>
        <v/>
      </c>
      <c r="I791" s="40" t="str">
        <f aca="false">IF(AND(B791&lt;&gt;"",D791&lt;&gt;"Done",E791&lt;&gt;""),E791+ROW()/100000,"")</f>
        <v/>
      </c>
    </row>
    <row r="792" customFormat="false" ht="15" hidden="false" customHeight="false" outlineLevel="0" collapsed="false">
      <c r="A792" s="32"/>
      <c r="B792" s="32"/>
      <c r="C792" s="33"/>
      <c r="D792" s="32"/>
      <c r="E792" s="35"/>
      <c r="F792" s="32"/>
      <c r="G792" s="35"/>
      <c r="H792" s="37" t="str">
        <f aca="true">IF(B792="","",IF(OR(D792="Done"),"Done",IF(E792="","No Due Date",IF(E792&lt;TODAY(),"Overdue",IF(E792=TODAY(),"Due Today",IF(E792&lt;TODAY()+7,"Due This Week","Later"))))))</f>
        <v/>
      </c>
      <c r="I792" s="40" t="str">
        <f aca="false">IF(AND(B792&lt;&gt;"",D792&lt;&gt;"Done",E792&lt;&gt;""),E792+ROW()/100000,"")</f>
        <v/>
      </c>
    </row>
    <row r="793" customFormat="false" ht="15" hidden="false" customHeight="false" outlineLevel="0" collapsed="false">
      <c r="A793" s="32"/>
      <c r="B793" s="32"/>
      <c r="C793" s="33"/>
      <c r="D793" s="32"/>
      <c r="E793" s="35"/>
      <c r="F793" s="32"/>
      <c r="G793" s="35"/>
      <c r="H793" s="37" t="str">
        <f aca="true">IF(B793="","",IF(OR(D793="Done"),"Done",IF(E793="","No Due Date",IF(E793&lt;TODAY(),"Overdue",IF(E793=TODAY(),"Due Today",IF(E793&lt;TODAY()+7,"Due This Week","Later"))))))</f>
        <v/>
      </c>
      <c r="I793" s="40" t="str">
        <f aca="false">IF(AND(B793&lt;&gt;"",D793&lt;&gt;"Done",E793&lt;&gt;""),E793+ROW()/100000,"")</f>
        <v/>
      </c>
    </row>
    <row r="794" customFormat="false" ht="15" hidden="false" customHeight="false" outlineLevel="0" collapsed="false">
      <c r="A794" s="32"/>
      <c r="B794" s="32"/>
      <c r="C794" s="33"/>
      <c r="D794" s="32"/>
      <c r="E794" s="35"/>
      <c r="F794" s="32"/>
      <c r="G794" s="35"/>
      <c r="H794" s="37" t="str">
        <f aca="true">IF(B794="","",IF(OR(D794="Done"),"Done",IF(E794="","No Due Date",IF(E794&lt;TODAY(),"Overdue",IF(E794=TODAY(),"Due Today",IF(E794&lt;TODAY()+7,"Due This Week","Later"))))))</f>
        <v/>
      </c>
      <c r="I794" s="40" t="str">
        <f aca="false">IF(AND(B794&lt;&gt;"",D794&lt;&gt;"Done",E794&lt;&gt;""),E794+ROW()/100000,"")</f>
        <v/>
      </c>
    </row>
    <row r="795" customFormat="false" ht="15" hidden="false" customHeight="false" outlineLevel="0" collapsed="false">
      <c r="A795" s="32"/>
      <c r="B795" s="32"/>
      <c r="C795" s="33"/>
      <c r="D795" s="32"/>
      <c r="E795" s="35"/>
      <c r="F795" s="32"/>
      <c r="G795" s="35"/>
      <c r="H795" s="37" t="str">
        <f aca="true">IF(B795="","",IF(OR(D795="Done"),"Done",IF(E795="","No Due Date",IF(E795&lt;TODAY(),"Overdue",IF(E795=TODAY(),"Due Today",IF(E795&lt;TODAY()+7,"Due This Week","Later"))))))</f>
        <v/>
      </c>
      <c r="I795" s="40" t="str">
        <f aca="false">IF(AND(B795&lt;&gt;"",D795&lt;&gt;"Done",E795&lt;&gt;""),E795+ROW()/100000,"")</f>
        <v/>
      </c>
    </row>
    <row r="796" customFormat="false" ht="15" hidden="false" customHeight="false" outlineLevel="0" collapsed="false">
      <c r="A796" s="32"/>
      <c r="B796" s="32"/>
      <c r="C796" s="33"/>
      <c r="D796" s="32"/>
      <c r="E796" s="35"/>
      <c r="F796" s="32"/>
      <c r="G796" s="35"/>
      <c r="H796" s="37" t="str">
        <f aca="true">IF(B796="","",IF(OR(D796="Done"),"Done",IF(E796="","No Due Date",IF(E796&lt;TODAY(),"Overdue",IF(E796=TODAY(),"Due Today",IF(E796&lt;TODAY()+7,"Due This Week","Later"))))))</f>
        <v/>
      </c>
      <c r="I796" s="40" t="str">
        <f aca="false">IF(AND(B796&lt;&gt;"",D796&lt;&gt;"Done",E796&lt;&gt;""),E796+ROW()/100000,"")</f>
        <v/>
      </c>
    </row>
    <row r="797" customFormat="false" ht="15" hidden="false" customHeight="false" outlineLevel="0" collapsed="false">
      <c r="A797" s="32"/>
      <c r="B797" s="32"/>
      <c r="C797" s="33"/>
      <c r="D797" s="32"/>
      <c r="E797" s="35"/>
      <c r="F797" s="32"/>
      <c r="G797" s="35"/>
      <c r="H797" s="37" t="str">
        <f aca="true">IF(B797="","",IF(OR(D797="Done"),"Done",IF(E797="","No Due Date",IF(E797&lt;TODAY(),"Overdue",IF(E797=TODAY(),"Due Today",IF(E797&lt;TODAY()+7,"Due This Week","Later"))))))</f>
        <v/>
      </c>
      <c r="I797" s="40" t="str">
        <f aca="false">IF(AND(B797&lt;&gt;"",D797&lt;&gt;"Done",E797&lt;&gt;""),E797+ROW()/100000,"")</f>
        <v/>
      </c>
    </row>
    <row r="798" customFormat="false" ht="15" hidden="false" customHeight="false" outlineLevel="0" collapsed="false">
      <c r="A798" s="32"/>
      <c r="B798" s="32"/>
      <c r="C798" s="33"/>
      <c r="D798" s="32"/>
      <c r="E798" s="35"/>
      <c r="F798" s="32"/>
      <c r="G798" s="35"/>
      <c r="H798" s="37" t="str">
        <f aca="true">IF(B798="","",IF(OR(D798="Done"),"Done",IF(E798="","No Due Date",IF(E798&lt;TODAY(),"Overdue",IF(E798=TODAY(),"Due Today",IF(E798&lt;TODAY()+7,"Due This Week","Later"))))))</f>
        <v/>
      </c>
      <c r="I798" s="40" t="str">
        <f aca="false">IF(AND(B798&lt;&gt;"",D798&lt;&gt;"Done",E798&lt;&gt;""),E798+ROW()/100000,"")</f>
        <v/>
      </c>
    </row>
    <row r="799" customFormat="false" ht="15" hidden="false" customHeight="false" outlineLevel="0" collapsed="false">
      <c r="A799" s="32"/>
      <c r="B799" s="32"/>
      <c r="C799" s="33"/>
      <c r="D799" s="32"/>
      <c r="E799" s="35"/>
      <c r="F799" s="32"/>
      <c r="G799" s="35"/>
      <c r="H799" s="37" t="str">
        <f aca="true">IF(B799="","",IF(OR(D799="Done"),"Done",IF(E799="","No Due Date",IF(E799&lt;TODAY(),"Overdue",IF(E799=TODAY(),"Due Today",IF(E799&lt;TODAY()+7,"Due This Week","Later"))))))</f>
        <v/>
      </c>
      <c r="I799" s="40" t="str">
        <f aca="false">IF(AND(B799&lt;&gt;"",D799&lt;&gt;"Done",E799&lt;&gt;""),E799+ROW()/100000,"")</f>
        <v/>
      </c>
    </row>
    <row r="800" customFormat="false" ht="15" hidden="false" customHeight="false" outlineLevel="0" collapsed="false">
      <c r="A800" s="32"/>
      <c r="B800" s="32"/>
      <c r="C800" s="33"/>
      <c r="D800" s="32"/>
      <c r="E800" s="35"/>
      <c r="F800" s="32"/>
      <c r="G800" s="35"/>
      <c r="H800" s="37" t="str">
        <f aca="true">IF(B800="","",IF(OR(D800="Done"),"Done",IF(E800="","No Due Date",IF(E800&lt;TODAY(),"Overdue",IF(E800=TODAY(),"Due Today",IF(E800&lt;TODAY()+7,"Due This Week","Later"))))))</f>
        <v/>
      </c>
      <c r="I800" s="40" t="str">
        <f aca="false">IF(AND(B800&lt;&gt;"",D800&lt;&gt;"Done",E800&lt;&gt;""),E800+ROW()/100000,"")</f>
        <v/>
      </c>
    </row>
    <row r="801" customFormat="false" ht="15" hidden="false" customHeight="false" outlineLevel="0" collapsed="false">
      <c r="A801" s="32"/>
      <c r="B801" s="32"/>
      <c r="C801" s="33"/>
      <c r="D801" s="32"/>
      <c r="E801" s="35"/>
      <c r="F801" s="32"/>
      <c r="G801" s="35"/>
      <c r="H801" s="37" t="str">
        <f aca="true">IF(B801="","",IF(OR(D801="Done"),"Done",IF(E801="","No Due Date",IF(E801&lt;TODAY(),"Overdue",IF(E801=TODAY(),"Due Today",IF(E801&lt;TODAY()+7,"Due This Week","Later"))))))</f>
        <v/>
      </c>
      <c r="I801" s="40" t="str">
        <f aca="false">IF(AND(B801&lt;&gt;"",D801&lt;&gt;"Done",E801&lt;&gt;""),E801+ROW()/100000,"")</f>
        <v/>
      </c>
    </row>
    <row r="802" customFormat="false" ht="15" hidden="false" customHeight="false" outlineLevel="0" collapsed="false">
      <c r="A802" s="32"/>
      <c r="B802" s="32"/>
      <c r="C802" s="33"/>
      <c r="D802" s="32"/>
      <c r="E802" s="35"/>
      <c r="F802" s="32"/>
      <c r="G802" s="35"/>
      <c r="H802" s="37" t="str">
        <f aca="true">IF(B802="","",IF(OR(D802="Done"),"Done",IF(E802="","No Due Date",IF(E802&lt;TODAY(),"Overdue",IF(E802=TODAY(),"Due Today",IF(E802&lt;TODAY()+7,"Due This Week","Later"))))))</f>
        <v/>
      </c>
      <c r="I802" s="40" t="str">
        <f aca="false">IF(AND(B802&lt;&gt;"",D802&lt;&gt;"Done",E802&lt;&gt;""),E802+ROW()/100000,"")</f>
        <v/>
      </c>
    </row>
    <row r="803" customFormat="false" ht="15" hidden="false" customHeight="false" outlineLevel="0" collapsed="false">
      <c r="A803" s="32"/>
      <c r="B803" s="32"/>
      <c r="C803" s="33"/>
      <c r="D803" s="32"/>
      <c r="E803" s="35"/>
      <c r="F803" s="32"/>
      <c r="G803" s="35"/>
      <c r="H803" s="37" t="str">
        <f aca="true">IF(B803="","",IF(OR(D803="Done"),"Done",IF(E803="","No Due Date",IF(E803&lt;TODAY(),"Overdue",IF(E803=TODAY(),"Due Today",IF(E803&lt;TODAY()+7,"Due This Week","Later"))))))</f>
        <v/>
      </c>
      <c r="I803" s="40" t="str">
        <f aca="false">IF(AND(B803&lt;&gt;"",D803&lt;&gt;"Done",E803&lt;&gt;""),E803+ROW()/100000,"")</f>
        <v/>
      </c>
    </row>
    <row r="804" customFormat="false" ht="15" hidden="false" customHeight="false" outlineLevel="0" collapsed="false">
      <c r="A804" s="32"/>
      <c r="B804" s="32"/>
      <c r="C804" s="33"/>
      <c r="D804" s="32"/>
      <c r="E804" s="35"/>
      <c r="F804" s="32"/>
      <c r="G804" s="35"/>
      <c r="H804" s="37" t="str">
        <f aca="true">IF(B804="","",IF(OR(D804="Done"),"Done",IF(E804="","No Due Date",IF(E804&lt;TODAY(),"Overdue",IF(E804=TODAY(),"Due Today",IF(E804&lt;TODAY()+7,"Due This Week","Later"))))))</f>
        <v/>
      </c>
      <c r="I804" s="40" t="str">
        <f aca="false">IF(AND(B804&lt;&gt;"",D804&lt;&gt;"Done",E804&lt;&gt;""),E804+ROW()/100000,"")</f>
        <v/>
      </c>
    </row>
    <row r="805" customFormat="false" ht="15" hidden="false" customHeight="false" outlineLevel="0" collapsed="false">
      <c r="A805" s="32"/>
      <c r="B805" s="32"/>
      <c r="C805" s="33"/>
      <c r="D805" s="32"/>
      <c r="E805" s="35"/>
      <c r="F805" s="32"/>
      <c r="G805" s="35"/>
      <c r="H805" s="37" t="str">
        <f aca="true">IF(B805="","",IF(OR(D805="Done"),"Done",IF(E805="","No Due Date",IF(E805&lt;TODAY(),"Overdue",IF(E805=TODAY(),"Due Today",IF(E805&lt;TODAY()+7,"Due This Week","Later"))))))</f>
        <v/>
      </c>
      <c r="I805" s="40" t="str">
        <f aca="false">IF(AND(B805&lt;&gt;"",D805&lt;&gt;"Done",E805&lt;&gt;""),E805+ROW()/100000,"")</f>
        <v/>
      </c>
    </row>
    <row r="806" customFormat="false" ht="15" hidden="false" customHeight="false" outlineLevel="0" collapsed="false">
      <c r="A806" s="32"/>
      <c r="B806" s="32"/>
      <c r="C806" s="33"/>
      <c r="D806" s="32"/>
      <c r="E806" s="35"/>
      <c r="F806" s="32"/>
      <c r="G806" s="35"/>
      <c r="H806" s="37" t="str">
        <f aca="true">IF(B806="","",IF(OR(D806="Done"),"Done",IF(E806="","No Due Date",IF(E806&lt;TODAY(),"Overdue",IF(E806=TODAY(),"Due Today",IF(E806&lt;TODAY()+7,"Due This Week","Later"))))))</f>
        <v/>
      </c>
      <c r="I806" s="40" t="str">
        <f aca="false">IF(AND(B806&lt;&gt;"",D806&lt;&gt;"Done",E806&lt;&gt;""),E806+ROW()/100000,"")</f>
        <v/>
      </c>
    </row>
    <row r="807" customFormat="false" ht="15" hidden="false" customHeight="false" outlineLevel="0" collapsed="false">
      <c r="A807" s="32"/>
      <c r="B807" s="32"/>
      <c r="C807" s="33"/>
      <c r="D807" s="32"/>
      <c r="E807" s="35"/>
      <c r="F807" s="32"/>
      <c r="G807" s="35"/>
      <c r="H807" s="37" t="str">
        <f aca="true">IF(B807="","",IF(OR(D807="Done"),"Done",IF(E807="","No Due Date",IF(E807&lt;TODAY(),"Overdue",IF(E807=TODAY(),"Due Today",IF(E807&lt;TODAY()+7,"Due This Week","Later"))))))</f>
        <v/>
      </c>
      <c r="I807" s="40" t="str">
        <f aca="false">IF(AND(B807&lt;&gt;"",D807&lt;&gt;"Done",E807&lt;&gt;""),E807+ROW()/100000,"")</f>
        <v/>
      </c>
    </row>
    <row r="808" customFormat="false" ht="15" hidden="false" customHeight="false" outlineLevel="0" collapsed="false">
      <c r="A808" s="32"/>
      <c r="B808" s="32"/>
      <c r="C808" s="33"/>
      <c r="D808" s="32"/>
      <c r="E808" s="35"/>
      <c r="F808" s="32"/>
      <c r="G808" s="35"/>
      <c r="H808" s="37" t="str">
        <f aca="true">IF(B808="","",IF(OR(D808="Done"),"Done",IF(E808="","No Due Date",IF(E808&lt;TODAY(),"Overdue",IF(E808=TODAY(),"Due Today",IF(E808&lt;TODAY()+7,"Due This Week","Later"))))))</f>
        <v/>
      </c>
      <c r="I808" s="40" t="str">
        <f aca="false">IF(AND(B808&lt;&gt;"",D808&lt;&gt;"Done",E808&lt;&gt;""),E808+ROW()/100000,"")</f>
        <v/>
      </c>
    </row>
    <row r="809" customFormat="false" ht="15" hidden="false" customHeight="false" outlineLevel="0" collapsed="false">
      <c r="A809" s="32"/>
      <c r="B809" s="32"/>
      <c r="C809" s="33"/>
      <c r="D809" s="32"/>
      <c r="E809" s="35"/>
      <c r="F809" s="32"/>
      <c r="G809" s="35"/>
      <c r="H809" s="37" t="str">
        <f aca="true">IF(B809="","",IF(OR(D809="Done"),"Done",IF(E809="","No Due Date",IF(E809&lt;TODAY(),"Overdue",IF(E809=TODAY(),"Due Today",IF(E809&lt;TODAY()+7,"Due This Week","Later"))))))</f>
        <v/>
      </c>
      <c r="I809" s="40" t="str">
        <f aca="false">IF(AND(B809&lt;&gt;"",D809&lt;&gt;"Done",E809&lt;&gt;""),E809+ROW()/100000,"")</f>
        <v/>
      </c>
    </row>
    <row r="810" customFormat="false" ht="15" hidden="false" customHeight="false" outlineLevel="0" collapsed="false">
      <c r="A810" s="32"/>
      <c r="B810" s="32"/>
      <c r="C810" s="33"/>
      <c r="D810" s="32"/>
      <c r="E810" s="35"/>
      <c r="F810" s="32"/>
      <c r="G810" s="35"/>
      <c r="H810" s="37" t="str">
        <f aca="true">IF(B810="","",IF(OR(D810="Done"),"Done",IF(E810="","No Due Date",IF(E810&lt;TODAY(),"Overdue",IF(E810=TODAY(),"Due Today",IF(E810&lt;TODAY()+7,"Due This Week","Later"))))))</f>
        <v/>
      </c>
      <c r="I810" s="40" t="str">
        <f aca="false">IF(AND(B810&lt;&gt;"",D810&lt;&gt;"Done",E810&lt;&gt;""),E810+ROW()/100000,"")</f>
        <v/>
      </c>
    </row>
    <row r="811" customFormat="false" ht="15" hidden="false" customHeight="false" outlineLevel="0" collapsed="false">
      <c r="A811" s="32"/>
      <c r="B811" s="32"/>
      <c r="C811" s="33"/>
      <c r="D811" s="32"/>
      <c r="E811" s="35"/>
      <c r="F811" s="32"/>
      <c r="G811" s="35"/>
      <c r="H811" s="37" t="str">
        <f aca="true">IF(B811="","",IF(OR(D811="Done"),"Done",IF(E811="","No Due Date",IF(E811&lt;TODAY(),"Overdue",IF(E811=TODAY(),"Due Today",IF(E811&lt;TODAY()+7,"Due This Week","Later"))))))</f>
        <v/>
      </c>
      <c r="I811" s="40" t="str">
        <f aca="false">IF(AND(B811&lt;&gt;"",D811&lt;&gt;"Done",E811&lt;&gt;""),E811+ROW()/100000,"")</f>
        <v/>
      </c>
    </row>
    <row r="812" customFormat="false" ht="15" hidden="false" customHeight="false" outlineLevel="0" collapsed="false">
      <c r="A812" s="32"/>
      <c r="B812" s="32"/>
      <c r="C812" s="33"/>
      <c r="D812" s="32"/>
      <c r="E812" s="35"/>
      <c r="F812" s="32"/>
      <c r="G812" s="35"/>
      <c r="H812" s="37" t="str">
        <f aca="true">IF(B812="","",IF(OR(D812="Done"),"Done",IF(E812="","No Due Date",IF(E812&lt;TODAY(),"Overdue",IF(E812=TODAY(),"Due Today",IF(E812&lt;TODAY()+7,"Due This Week","Later"))))))</f>
        <v/>
      </c>
      <c r="I812" s="40" t="str">
        <f aca="false">IF(AND(B812&lt;&gt;"",D812&lt;&gt;"Done",E812&lt;&gt;""),E812+ROW()/100000,"")</f>
        <v/>
      </c>
    </row>
    <row r="813" customFormat="false" ht="15" hidden="false" customHeight="false" outlineLevel="0" collapsed="false">
      <c r="A813" s="32"/>
      <c r="B813" s="32"/>
      <c r="C813" s="33"/>
      <c r="D813" s="32"/>
      <c r="E813" s="35"/>
      <c r="F813" s="32"/>
      <c r="G813" s="35"/>
      <c r="H813" s="37" t="str">
        <f aca="true">IF(B813="","",IF(OR(D813="Done"),"Done",IF(E813="","No Due Date",IF(E813&lt;TODAY(),"Overdue",IF(E813=TODAY(),"Due Today",IF(E813&lt;TODAY()+7,"Due This Week","Later"))))))</f>
        <v/>
      </c>
      <c r="I813" s="40" t="str">
        <f aca="false">IF(AND(B813&lt;&gt;"",D813&lt;&gt;"Done",E813&lt;&gt;""),E813+ROW()/100000,"")</f>
        <v/>
      </c>
    </row>
    <row r="814" customFormat="false" ht="15" hidden="false" customHeight="false" outlineLevel="0" collapsed="false">
      <c r="A814" s="32"/>
      <c r="B814" s="32"/>
      <c r="C814" s="33"/>
      <c r="D814" s="32"/>
      <c r="E814" s="35"/>
      <c r="F814" s="32"/>
      <c r="G814" s="35"/>
      <c r="H814" s="37" t="str">
        <f aca="true">IF(B814="","",IF(OR(D814="Done"),"Done",IF(E814="","No Due Date",IF(E814&lt;TODAY(),"Overdue",IF(E814=TODAY(),"Due Today",IF(E814&lt;TODAY()+7,"Due This Week","Later"))))))</f>
        <v/>
      </c>
      <c r="I814" s="40" t="str">
        <f aca="false">IF(AND(B814&lt;&gt;"",D814&lt;&gt;"Done",E814&lt;&gt;""),E814+ROW()/100000,"")</f>
        <v/>
      </c>
    </row>
    <row r="815" customFormat="false" ht="15" hidden="false" customHeight="false" outlineLevel="0" collapsed="false">
      <c r="A815" s="32"/>
      <c r="B815" s="32"/>
      <c r="C815" s="33"/>
      <c r="D815" s="32"/>
      <c r="E815" s="35"/>
      <c r="F815" s="32"/>
      <c r="G815" s="35"/>
      <c r="H815" s="37" t="str">
        <f aca="true">IF(B815="","",IF(OR(D815="Done"),"Done",IF(E815="","No Due Date",IF(E815&lt;TODAY(),"Overdue",IF(E815=TODAY(),"Due Today",IF(E815&lt;TODAY()+7,"Due This Week","Later"))))))</f>
        <v/>
      </c>
      <c r="I815" s="40" t="str">
        <f aca="false">IF(AND(B815&lt;&gt;"",D815&lt;&gt;"Done",E815&lt;&gt;""),E815+ROW()/100000,"")</f>
        <v/>
      </c>
    </row>
    <row r="816" customFormat="false" ht="15" hidden="false" customHeight="false" outlineLevel="0" collapsed="false">
      <c r="A816" s="32"/>
      <c r="B816" s="32"/>
      <c r="C816" s="33"/>
      <c r="D816" s="32"/>
      <c r="E816" s="35"/>
      <c r="F816" s="32"/>
      <c r="G816" s="35"/>
      <c r="H816" s="37" t="str">
        <f aca="true">IF(B816="","",IF(OR(D816="Done"),"Done",IF(E816="","No Due Date",IF(E816&lt;TODAY(),"Overdue",IF(E816=TODAY(),"Due Today",IF(E816&lt;TODAY()+7,"Due This Week","Later"))))))</f>
        <v/>
      </c>
      <c r="I816" s="40" t="str">
        <f aca="false">IF(AND(B816&lt;&gt;"",D816&lt;&gt;"Done",E816&lt;&gt;""),E816+ROW()/100000,"")</f>
        <v/>
      </c>
    </row>
    <row r="817" customFormat="false" ht="15" hidden="false" customHeight="false" outlineLevel="0" collapsed="false">
      <c r="A817" s="32"/>
      <c r="B817" s="32"/>
      <c r="C817" s="33"/>
      <c r="D817" s="32"/>
      <c r="E817" s="35"/>
      <c r="F817" s="32"/>
      <c r="G817" s="35"/>
      <c r="H817" s="37" t="str">
        <f aca="true">IF(B817="","",IF(OR(D817="Done"),"Done",IF(E817="","No Due Date",IF(E817&lt;TODAY(),"Overdue",IF(E817=TODAY(),"Due Today",IF(E817&lt;TODAY()+7,"Due This Week","Later"))))))</f>
        <v/>
      </c>
      <c r="I817" s="40" t="str">
        <f aca="false">IF(AND(B817&lt;&gt;"",D817&lt;&gt;"Done",E817&lt;&gt;""),E817+ROW()/100000,"")</f>
        <v/>
      </c>
    </row>
    <row r="818" customFormat="false" ht="15" hidden="false" customHeight="false" outlineLevel="0" collapsed="false">
      <c r="A818" s="32"/>
      <c r="B818" s="32"/>
      <c r="C818" s="33"/>
      <c r="D818" s="32"/>
      <c r="E818" s="35"/>
      <c r="F818" s="32"/>
      <c r="G818" s="35"/>
      <c r="H818" s="37" t="str">
        <f aca="true">IF(B818="","",IF(OR(D818="Done"),"Done",IF(E818="","No Due Date",IF(E818&lt;TODAY(),"Overdue",IF(E818=TODAY(),"Due Today",IF(E818&lt;TODAY()+7,"Due This Week","Later"))))))</f>
        <v/>
      </c>
      <c r="I818" s="40" t="str">
        <f aca="false">IF(AND(B818&lt;&gt;"",D818&lt;&gt;"Done",E818&lt;&gt;""),E818+ROW()/100000,"")</f>
        <v/>
      </c>
    </row>
    <row r="819" customFormat="false" ht="15" hidden="false" customHeight="false" outlineLevel="0" collapsed="false">
      <c r="A819" s="32"/>
      <c r="B819" s="32"/>
      <c r="C819" s="33"/>
      <c r="D819" s="32"/>
      <c r="E819" s="35"/>
      <c r="F819" s="32"/>
      <c r="G819" s="35"/>
      <c r="H819" s="37" t="str">
        <f aca="true">IF(B819="","",IF(OR(D819="Done"),"Done",IF(E819="","No Due Date",IF(E819&lt;TODAY(),"Overdue",IF(E819=TODAY(),"Due Today",IF(E819&lt;TODAY()+7,"Due This Week","Later"))))))</f>
        <v/>
      </c>
      <c r="I819" s="40" t="str">
        <f aca="false">IF(AND(B819&lt;&gt;"",D819&lt;&gt;"Done",E819&lt;&gt;""),E819+ROW()/100000,"")</f>
        <v/>
      </c>
    </row>
    <row r="820" customFormat="false" ht="15" hidden="false" customHeight="false" outlineLevel="0" collapsed="false">
      <c r="A820" s="32"/>
      <c r="B820" s="32"/>
      <c r="C820" s="33"/>
      <c r="D820" s="32"/>
      <c r="E820" s="35"/>
      <c r="F820" s="32"/>
      <c r="G820" s="35"/>
      <c r="H820" s="37" t="str">
        <f aca="true">IF(B820="","",IF(OR(D820="Done"),"Done",IF(E820="","No Due Date",IF(E820&lt;TODAY(),"Overdue",IF(E820=TODAY(),"Due Today",IF(E820&lt;TODAY()+7,"Due This Week","Later"))))))</f>
        <v/>
      </c>
      <c r="I820" s="40" t="str">
        <f aca="false">IF(AND(B820&lt;&gt;"",D820&lt;&gt;"Done",E820&lt;&gt;""),E820+ROW()/100000,"")</f>
        <v/>
      </c>
    </row>
    <row r="821" customFormat="false" ht="15" hidden="false" customHeight="false" outlineLevel="0" collapsed="false">
      <c r="A821" s="32"/>
      <c r="B821" s="32"/>
      <c r="C821" s="33"/>
      <c r="D821" s="32"/>
      <c r="E821" s="35"/>
      <c r="F821" s="32"/>
      <c r="G821" s="35"/>
      <c r="H821" s="37" t="str">
        <f aca="true">IF(B821="","",IF(OR(D821="Done"),"Done",IF(E821="","No Due Date",IF(E821&lt;TODAY(),"Overdue",IF(E821=TODAY(),"Due Today",IF(E821&lt;TODAY()+7,"Due This Week","Later"))))))</f>
        <v/>
      </c>
      <c r="I821" s="40" t="str">
        <f aca="false">IF(AND(B821&lt;&gt;"",D821&lt;&gt;"Done",E821&lt;&gt;""),E821+ROW()/100000,"")</f>
        <v/>
      </c>
    </row>
    <row r="822" customFormat="false" ht="15" hidden="false" customHeight="false" outlineLevel="0" collapsed="false">
      <c r="A822" s="32"/>
      <c r="B822" s="32"/>
      <c r="C822" s="33"/>
      <c r="D822" s="32"/>
      <c r="E822" s="35"/>
      <c r="F822" s="32"/>
      <c r="G822" s="35"/>
      <c r="H822" s="37" t="str">
        <f aca="true">IF(B822="","",IF(OR(D822="Done"),"Done",IF(E822="","No Due Date",IF(E822&lt;TODAY(),"Overdue",IF(E822=TODAY(),"Due Today",IF(E822&lt;TODAY()+7,"Due This Week","Later"))))))</f>
        <v/>
      </c>
      <c r="I822" s="40" t="str">
        <f aca="false">IF(AND(B822&lt;&gt;"",D822&lt;&gt;"Done",E822&lt;&gt;""),E822+ROW()/100000,"")</f>
        <v/>
      </c>
    </row>
    <row r="823" customFormat="false" ht="15" hidden="false" customHeight="false" outlineLevel="0" collapsed="false">
      <c r="A823" s="32"/>
      <c r="B823" s="32"/>
      <c r="C823" s="33"/>
      <c r="D823" s="32"/>
      <c r="E823" s="35"/>
      <c r="F823" s="32"/>
      <c r="G823" s="35"/>
      <c r="H823" s="37" t="str">
        <f aca="true">IF(B823="","",IF(OR(D823="Done"),"Done",IF(E823="","No Due Date",IF(E823&lt;TODAY(),"Overdue",IF(E823=TODAY(),"Due Today",IF(E823&lt;TODAY()+7,"Due This Week","Later"))))))</f>
        <v/>
      </c>
      <c r="I823" s="40" t="str">
        <f aca="false">IF(AND(B823&lt;&gt;"",D823&lt;&gt;"Done",E823&lt;&gt;""),E823+ROW()/100000,"")</f>
        <v/>
      </c>
    </row>
    <row r="824" customFormat="false" ht="15" hidden="false" customHeight="false" outlineLevel="0" collapsed="false">
      <c r="A824" s="32"/>
      <c r="B824" s="32"/>
      <c r="C824" s="33"/>
      <c r="D824" s="32"/>
      <c r="E824" s="35"/>
      <c r="F824" s="32"/>
      <c r="G824" s="35"/>
      <c r="H824" s="37" t="str">
        <f aca="true">IF(B824="","",IF(OR(D824="Done"),"Done",IF(E824="","No Due Date",IF(E824&lt;TODAY(),"Overdue",IF(E824=TODAY(),"Due Today",IF(E824&lt;TODAY()+7,"Due This Week","Later"))))))</f>
        <v/>
      </c>
      <c r="I824" s="40" t="str">
        <f aca="false">IF(AND(B824&lt;&gt;"",D824&lt;&gt;"Done",E824&lt;&gt;""),E824+ROW()/100000,"")</f>
        <v/>
      </c>
    </row>
    <row r="825" customFormat="false" ht="15" hidden="false" customHeight="false" outlineLevel="0" collapsed="false">
      <c r="A825" s="32"/>
      <c r="B825" s="32"/>
      <c r="C825" s="33"/>
      <c r="D825" s="32"/>
      <c r="E825" s="35"/>
      <c r="F825" s="32"/>
      <c r="G825" s="35"/>
      <c r="H825" s="37" t="str">
        <f aca="true">IF(B825="","",IF(OR(D825="Done"),"Done",IF(E825="","No Due Date",IF(E825&lt;TODAY(),"Overdue",IF(E825=TODAY(),"Due Today",IF(E825&lt;TODAY()+7,"Due This Week","Later"))))))</f>
        <v/>
      </c>
      <c r="I825" s="40" t="str">
        <f aca="false">IF(AND(B825&lt;&gt;"",D825&lt;&gt;"Done",E825&lt;&gt;""),E825+ROW()/100000,"")</f>
        <v/>
      </c>
    </row>
    <row r="826" customFormat="false" ht="15" hidden="false" customHeight="false" outlineLevel="0" collapsed="false">
      <c r="A826" s="32"/>
      <c r="B826" s="32"/>
      <c r="C826" s="33"/>
      <c r="D826" s="32"/>
      <c r="E826" s="35"/>
      <c r="F826" s="32"/>
      <c r="G826" s="35"/>
      <c r="H826" s="37" t="str">
        <f aca="true">IF(B826="","",IF(OR(D826="Done"),"Done",IF(E826="","No Due Date",IF(E826&lt;TODAY(),"Overdue",IF(E826=TODAY(),"Due Today",IF(E826&lt;TODAY()+7,"Due This Week","Later"))))))</f>
        <v/>
      </c>
      <c r="I826" s="40" t="str">
        <f aca="false">IF(AND(B826&lt;&gt;"",D826&lt;&gt;"Done",E826&lt;&gt;""),E826+ROW()/100000,"")</f>
        <v/>
      </c>
    </row>
    <row r="827" customFormat="false" ht="15" hidden="false" customHeight="false" outlineLevel="0" collapsed="false">
      <c r="A827" s="32"/>
      <c r="B827" s="32"/>
      <c r="C827" s="33"/>
      <c r="D827" s="32"/>
      <c r="E827" s="35"/>
      <c r="F827" s="32"/>
      <c r="G827" s="35"/>
      <c r="H827" s="37" t="str">
        <f aca="true">IF(B827="","",IF(OR(D827="Done"),"Done",IF(E827="","No Due Date",IF(E827&lt;TODAY(),"Overdue",IF(E827=TODAY(),"Due Today",IF(E827&lt;TODAY()+7,"Due This Week","Later"))))))</f>
        <v/>
      </c>
      <c r="I827" s="40" t="str">
        <f aca="false">IF(AND(B827&lt;&gt;"",D827&lt;&gt;"Done",E827&lt;&gt;""),E827+ROW()/100000,"")</f>
        <v/>
      </c>
    </row>
    <row r="828" customFormat="false" ht="15" hidden="false" customHeight="false" outlineLevel="0" collapsed="false">
      <c r="A828" s="32"/>
      <c r="B828" s="32"/>
      <c r="C828" s="33"/>
      <c r="D828" s="32"/>
      <c r="E828" s="35"/>
      <c r="F828" s="32"/>
      <c r="G828" s="35"/>
      <c r="H828" s="37" t="str">
        <f aca="true">IF(B828="","",IF(OR(D828="Done"),"Done",IF(E828="","No Due Date",IF(E828&lt;TODAY(),"Overdue",IF(E828=TODAY(),"Due Today",IF(E828&lt;TODAY()+7,"Due This Week","Later"))))))</f>
        <v/>
      </c>
      <c r="I828" s="40" t="str">
        <f aca="false">IF(AND(B828&lt;&gt;"",D828&lt;&gt;"Done",E828&lt;&gt;""),E828+ROW()/100000,"")</f>
        <v/>
      </c>
    </row>
    <row r="829" customFormat="false" ht="15" hidden="false" customHeight="false" outlineLevel="0" collapsed="false">
      <c r="A829" s="32"/>
      <c r="B829" s="32"/>
      <c r="C829" s="33"/>
      <c r="D829" s="32"/>
      <c r="E829" s="35"/>
      <c r="F829" s="32"/>
      <c r="G829" s="35"/>
      <c r="H829" s="37" t="str">
        <f aca="true">IF(B829="","",IF(OR(D829="Done"),"Done",IF(E829="","No Due Date",IF(E829&lt;TODAY(),"Overdue",IF(E829=TODAY(),"Due Today",IF(E829&lt;TODAY()+7,"Due This Week","Later"))))))</f>
        <v/>
      </c>
      <c r="I829" s="40" t="str">
        <f aca="false">IF(AND(B829&lt;&gt;"",D829&lt;&gt;"Done",E829&lt;&gt;""),E829+ROW()/100000,"")</f>
        <v/>
      </c>
    </row>
    <row r="830" customFormat="false" ht="15" hidden="false" customHeight="false" outlineLevel="0" collapsed="false">
      <c r="A830" s="32"/>
      <c r="B830" s="32"/>
      <c r="C830" s="33"/>
      <c r="D830" s="32"/>
      <c r="E830" s="35"/>
      <c r="F830" s="32"/>
      <c r="G830" s="35"/>
      <c r="H830" s="37" t="str">
        <f aca="true">IF(B830="","",IF(OR(D830="Done"),"Done",IF(E830="","No Due Date",IF(E830&lt;TODAY(),"Overdue",IF(E830=TODAY(),"Due Today",IF(E830&lt;TODAY()+7,"Due This Week","Later"))))))</f>
        <v/>
      </c>
      <c r="I830" s="40" t="str">
        <f aca="false">IF(AND(B830&lt;&gt;"",D830&lt;&gt;"Done",E830&lt;&gt;""),E830+ROW()/100000,"")</f>
        <v/>
      </c>
    </row>
    <row r="831" customFormat="false" ht="15" hidden="false" customHeight="false" outlineLevel="0" collapsed="false">
      <c r="A831" s="32"/>
      <c r="B831" s="32"/>
      <c r="C831" s="33"/>
      <c r="D831" s="32"/>
      <c r="E831" s="35"/>
      <c r="F831" s="32"/>
      <c r="G831" s="35"/>
      <c r="H831" s="37" t="str">
        <f aca="true">IF(B831="","",IF(OR(D831="Done"),"Done",IF(E831="","No Due Date",IF(E831&lt;TODAY(),"Overdue",IF(E831=TODAY(),"Due Today",IF(E831&lt;TODAY()+7,"Due This Week","Later"))))))</f>
        <v/>
      </c>
      <c r="I831" s="40" t="str">
        <f aca="false">IF(AND(B831&lt;&gt;"",D831&lt;&gt;"Done",E831&lt;&gt;""),E831+ROW()/100000,"")</f>
        <v/>
      </c>
    </row>
    <row r="832" customFormat="false" ht="15" hidden="false" customHeight="false" outlineLevel="0" collapsed="false">
      <c r="A832" s="32"/>
      <c r="B832" s="32"/>
      <c r="C832" s="33"/>
      <c r="D832" s="32"/>
      <c r="E832" s="35"/>
      <c r="F832" s="32"/>
      <c r="G832" s="35"/>
      <c r="H832" s="37" t="str">
        <f aca="true">IF(B832="","",IF(OR(D832="Done"),"Done",IF(E832="","No Due Date",IF(E832&lt;TODAY(),"Overdue",IF(E832=TODAY(),"Due Today",IF(E832&lt;TODAY()+7,"Due This Week","Later"))))))</f>
        <v/>
      </c>
      <c r="I832" s="40" t="str">
        <f aca="false">IF(AND(B832&lt;&gt;"",D832&lt;&gt;"Done",E832&lt;&gt;""),E832+ROW()/100000,"")</f>
        <v/>
      </c>
    </row>
    <row r="833" customFormat="false" ht="15" hidden="false" customHeight="false" outlineLevel="0" collapsed="false">
      <c r="A833" s="32"/>
      <c r="B833" s="32"/>
      <c r="C833" s="33"/>
      <c r="D833" s="32"/>
      <c r="E833" s="35"/>
      <c r="F833" s="32"/>
      <c r="G833" s="35"/>
      <c r="H833" s="37" t="str">
        <f aca="true">IF(B833="","",IF(OR(D833="Done"),"Done",IF(E833="","No Due Date",IF(E833&lt;TODAY(),"Overdue",IF(E833=TODAY(),"Due Today",IF(E833&lt;TODAY()+7,"Due This Week","Later"))))))</f>
        <v/>
      </c>
      <c r="I833" s="40" t="str">
        <f aca="false">IF(AND(B833&lt;&gt;"",D833&lt;&gt;"Done",E833&lt;&gt;""),E833+ROW()/100000,"")</f>
        <v/>
      </c>
    </row>
    <row r="834" customFormat="false" ht="15" hidden="false" customHeight="false" outlineLevel="0" collapsed="false">
      <c r="A834" s="32"/>
      <c r="B834" s="32"/>
      <c r="C834" s="33"/>
      <c r="D834" s="32"/>
      <c r="E834" s="35"/>
      <c r="F834" s="32"/>
      <c r="G834" s="35"/>
      <c r="H834" s="37" t="str">
        <f aca="true">IF(B834="","",IF(OR(D834="Done"),"Done",IF(E834="","No Due Date",IF(E834&lt;TODAY(),"Overdue",IF(E834=TODAY(),"Due Today",IF(E834&lt;TODAY()+7,"Due This Week","Later"))))))</f>
        <v/>
      </c>
      <c r="I834" s="40" t="str">
        <f aca="false">IF(AND(B834&lt;&gt;"",D834&lt;&gt;"Done",E834&lt;&gt;""),E834+ROW()/100000,"")</f>
        <v/>
      </c>
    </row>
    <row r="835" customFormat="false" ht="15" hidden="false" customHeight="false" outlineLevel="0" collapsed="false">
      <c r="A835" s="32"/>
      <c r="B835" s="32"/>
      <c r="C835" s="33"/>
      <c r="D835" s="32"/>
      <c r="E835" s="35"/>
      <c r="F835" s="32"/>
      <c r="G835" s="35"/>
      <c r="H835" s="37" t="str">
        <f aca="true">IF(B835="","",IF(OR(D835="Done"),"Done",IF(E835="","No Due Date",IF(E835&lt;TODAY(),"Overdue",IF(E835=TODAY(),"Due Today",IF(E835&lt;TODAY()+7,"Due This Week","Later"))))))</f>
        <v/>
      </c>
      <c r="I835" s="40" t="str">
        <f aca="false">IF(AND(B835&lt;&gt;"",D835&lt;&gt;"Done",E835&lt;&gt;""),E835+ROW()/100000,"")</f>
        <v/>
      </c>
    </row>
    <row r="836" customFormat="false" ht="15" hidden="false" customHeight="false" outlineLevel="0" collapsed="false">
      <c r="A836" s="32"/>
      <c r="B836" s="32"/>
      <c r="C836" s="33"/>
      <c r="D836" s="32"/>
      <c r="E836" s="35"/>
      <c r="F836" s="32"/>
      <c r="G836" s="35"/>
      <c r="H836" s="37" t="str">
        <f aca="true">IF(B836="","",IF(OR(D836="Done"),"Done",IF(E836="","No Due Date",IF(E836&lt;TODAY(),"Overdue",IF(E836=TODAY(),"Due Today",IF(E836&lt;TODAY()+7,"Due This Week","Later"))))))</f>
        <v/>
      </c>
      <c r="I836" s="40" t="str">
        <f aca="false">IF(AND(B836&lt;&gt;"",D836&lt;&gt;"Done",E836&lt;&gt;""),E836+ROW()/100000,"")</f>
        <v/>
      </c>
    </row>
    <row r="837" customFormat="false" ht="15" hidden="false" customHeight="false" outlineLevel="0" collapsed="false">
      <c r="A837" s="32"/>
      <c r="B837" s="32"/>
      <c r="C837" s="33"/>
      <c r="D837" s="32"/>
      <c r="E837" s="35"/>
      <c r="F837" s="32"/>
      <c r="G837" s="35"/>
      <c r="H837" s="37" t="str">
        <f aca="true">IF(B837="","",IF(OR(D837="Done"),"Done",IF(E837="","No Due Date",IF(E837&lt;TODAY(),"Overdue",IF(E837=TODAY(),"Due Today",IF(E837&lt;TODAY()+7,"Due This Week","Later"))))))</f>
        <v/>
      </c>
      <c r="I837" s="40" t="str">
        <f aca="false">IF(AND(B837&lt;&gt;"",D837&lt;&gt;"Done",E837&lt;&gt;""),E837+ROW()/100000,"")</f>
        <v/>
      </c>
    </row>
    <row r="838" customFormat="false" ht="15" hidden="false" customHeight="false" outlineLevel="0" collapsed="false">
      <c r="A838" s="32"/>
      <c r="B838" s="32"/>
      <c r="C838" s="33"/>
      <c r="D838" s="32"/>
      <c r="E838" s="35"/>
      <c r="F838" s="32"/>
      <c r="G838" s="35"/>
      <c r="H838" s="37" t="str">
        <f aca="true">IF(B838="","",IF(OR(D838="Done"),"Done",IF(E838="","No Due Date",IF(E838&lt;TODAY(),"Overdue",IF(E838=TODAY(),"Due Today",IF(E838&lt;TODAY()+7,"Due This Week","Later"))))))</f>
        <v/>
      </c>
      <c r="I838" s="40" t="str">
        <f aca="false">IF(AND(B838&lt;&gt;"",D838&lt;&gt;"Done",E838&lt;&gt;""),E838+ROW()/100000,"")</f>
        <v/>
      </c>
    </row>
    <row r="839" customFormat="false" ht="15" hidden="false" customHeight="false" outlineLevel="0" collapsed="false">
      <c r="A839" s="32"/>
      <c r="B839" s="32"/>
      <c r="C839" s="33"/>
      <c r="D839" s="32"/>
      <c r="E839" s="35"/>
      <c r="F839" s="32"/>
      <c r="G839" s="35"/>
      <c r="H839" s="37" t="str">
        <f aca="true">IF(B839="","",IF(OR(D839="Done"),"Done",IF(E839="","No Due Date",IF(E839&lt;TODAY(),"Overdue",IF(E839=TODAY(),"Due Today",IF(E839&lt;TODAY()+7,"Due This Week","Later"))))))</f>
        <v/>
      </c>
      <c r="I839" s="40" t="str">
        <f aca="false">IF(AND(B839&lt;&gt;"",D839&lt;&gt;"Done",E839&lt;&gt;""),E839+ROW()/100000,"")</f>
        <v/>
      </c>
    </row>
    <row r="840" customFormat="false" ht="15" hidden="false" customHeight="false" outlineLevel="0" collapsed="false">
      <c r="A840" s="32"/>
      <c r="B840" s="32"/>
      <c r="C840" s="33"/>
      <c r="D840" s="32"/>
      <c r="E840" s="35"/>
      <c r="F840" s="32"/>
      <c r="G840" s="35"/>
      <c r="H840" s="37" t="str">
        <f aca="true">IF(B840="","",IF(OR(D840="Done"),"Done",IF(E840="","No Due Date",IF(E840&lt;TODAY(),"Overdue",IF(E840=TODAY(),"Due Today",IF(E840&lt;TODAY()+7,"Due This Week","Later"))))))</f>
        <v/>
      </c>
      <c r="I840" s="40" t="str">
        <f aca="false">IF(AND(B840&lt;&gt;"",D840&lt;&gt;"Done",E840&lt;&gt;""),E840+ROW()/100000,"")</f>
        <v/>
      </c>
    </row>
    <row r="841" customFormat="false" ht="15" hidden="false" customHeight="false" outlineLevel="0" collapsed="false">
      <c r="A841" s="32"/>
      <c r="B841" s="32"/>
      <c r="C841" s="33"/>
      <c r="D841" s="32"/>
      <c r="E841" s="35"/>
      <c r="F841" s="32"/>
      <c r="G841" s="35"/>
      <c r="H841" s="37" t="str">
        <f aca="true">IF(B841="","",IF(OR(D841="Done"),"Done",IF(E841="","No Due Date",IF(E841&lt;TODAY(),"Overdue",IF(E841=TODAY(),"Due Today",IF(E841&lt;TODAY()+7,"Due This Week","Later"))))))</f>
        <v/>
      </c>
      <c r="I841" s="40" t="str">
        <f aca="false">IF(AND(B841&lt;&gt;"",D841&lt;&gt;"Done",E841&lt;&gt;""),E841+ROW()/100000,"")</f>
        <v/>
      </c>
    </row>
    <row r="842" customFormat="false" ht="15" hidden="false" customHeight="false" outlineLevel="0" collapsed="false">
      <c r="A842" s="32"/>
      <c r="B842" s="32"/>
      <c r="C842" s="33"/>
      <c r="D842" s="32"/>
      <c r="E842" s="35"/>
      <c r="F842" s="32"/>
      <c r="G842" s="35"/>
      <c r="H842" s="37" t="str">
        <f aca="true">IF(B842="","",IF(OR(D842="Done"),"Done",IF(E842="","No Due Date",IF(E842&lt;TODAY(),"Overdue",IF(E842=TODAY(),"Due Today",IF(E842&lt;TODAY()+7,"Due This Week","Later"))))))</f>
        <v/>
      </c>
      <c r="I842" s="40" t="str">
        <f aca="false">IF(AND(B842&lt;&gt;"",D842&lt;&gt;"Done",E842&lt;&gt;""),E842+ROW()/100000,"")</f>
        <v/>
      </c>
    </row>
    <row r="843" customFormat="false" ht="15" hidden="false" customHeight="false" outlineLevel="0" collapsed="false">
      <c r="A843" s="32"/>
      <c r="B843" s="32"/>
      <c r="C843" s="33"/>
      <c r="D843" s="32"/>
      <c r="E843" s="35"/>
      <c r="F843" s="32"/>
      <c r="G843" s="35"/>
      <c r="H843" s="37" t="str">
        <f aca="true">IF(B843="","",IF(OR(D843="Done"),"Done",IF(E843="","No Due Date",IF(E843&lt;TODAY(),"Overdue",IF(E843=TODAY(),"Due Today",IF(E843&lt;TODAY()+7,"Due This Week","Later"))))))</f>
        <v/>
      </c>
      <c r="I843" s="40" t="str">
        <f aca="false">IF(AND(B843&lt;&gt;"",D843&lt;&gt;"Done",E843&lt;&gt;""),E843+ROW()/100000,"")</f>
        <v/>
      </c>
    </row>
    <row r="844" customFormat="false" ht="15" hidden="false" customHeight="false" outlineLevel="0" collapsed="false">
      <c r="A844" s="32"/>
      <c r="B844" s="32"/>
      <c r="C844" s="33"/>
      <c r="D844" s="32"/>
      <c r="E844" s="35"/>
      <c r="F844" s="32"/>
      <c r="G844" s="35"/>
      <c r="H844" s="37" t="str">
        <f aca="true">IF(B844="","",IF(OR(D844="Done"),"Done",IF(E844="","No Due Date",IF(E844&lt;TODAY(),"Overdue",IF(E844=TODAY(),"Due Today",IF(E844&lt;TODAY()+7,"Due This Week","Later"))))))</f>
        <v/>
      </c>
      <c r="I844" s="40" t="str">
        <f aca="false">IF(AND(B844&lt;&gt;"",D844&lt;&gt;"Done",E844&lt;&gt;""),E844+ROW()/100000,"")</f>
        <v/>
      </c>
    </row>
    <row r="845" customFormat="false" ht="15" hidden="false" customHeight="false" outlineLevel="0" collapsed="false">
      <c r="A845" s="32"/>
      <c r="B845" s="32"/>
      <c r="C845" s="33"/>
      <c r="D845" s="32"/>
      <c r="E845" s="35"/>
      <c r="F845" s="32"/>
      <c r="G845" s="35"/>
      <c r="H845" s="37" t="str">
        <f aca="true">IF(B845="","",IF(OR(D845="Done"),"Done",IF(E845="","No Due Date",IF(E845&lt;TODAY(),"Overdue",IF(E845=TODAY(),"Due Today",IF(E845&lt;TODAY()+7,"Due This Week","Later"))))))</f>
        <v/>
      </c>
      <c r="I845" s="40" t="str">
        <f aca="false">IF(AND(B845&lt;&gt;"",D845&lt;&gt;"Done",E845&lt;&gt;""),E845+ROW()/100000,"")</f>
        <v/>
      </c>
    </row>
    <row r="846" customFormat="false" ht="15" hidden="false" customHeight="false" outlineLevel="0" collapsed="false">
      <c r="A846" s="32"/>
      <c r="B846" s="32"/>
      <c r="C846" s="33"/>
      <c r="D846" s="32"/>
      <c r="E846" s="35"/>
      <c r="F846" s="32"/>
      <c r="G846" s="35"/>
      <c r="H846" s="37" t="str">
        <f aca="true">IF(B846="","",IF(OR(D846="Done"),"Done",IF(E846="","No Due Date",IF(E846&lt;TODAY(),"Overdue",IF(E846=TODAY(),"Due Today",IF(E846&lt;TODAY()+7,"Due This Week","Later"))))))</f>
        <v/>
      </c>
      <c r="I846" s="40" t="str">
        <f aca="false">IF(AND(B846&lt;&gt;"",D846&lt;&gt;"Done",E846&lt;&gt;""),E846+ROW()/100000,"")</f>
        <v/>
      </c>
    </row>
    <row r="847" customFormat="false" ht="15" hidden="false" customHeight="false" outlineLevel="0" collapsed="false">
      <c r="A847" s="32"/>
      <c r="B847" s="32"/>
      <c r="C847" s="33"/>
      <c r="D847" s="32"/>
      <c r="E847" s="35"/>
      <c r="F847" s="32"/>
      <c r="G847" s="35"/>
      <c r="H847" s="37" t="str">
        <f aca="true">IF(B847="","",IF(OR(D847="Done"),"Done",IF(E847="","No Due Date",IF(E847&lt;TODAY(),"Overdue",IF(E847=TODAY(),"Due Today",IF(E847&lt;TODAY()+7,"Due This Week","Later"))))))</f>
        <v/>
      </c>
      <c r="I847" s="40" t="str">
        <f aca="false">IF(AND(B847&lt;&gt;"",D847&lt;&gt;"Done",E847&lt;&gt;""),E847+ROW()/100000,"")</f>
        <v/>
      </c>
    </row>
    <row r="848" customFormat="false" ht="15" hidden="false" customHeight="false" outlineLevel="0" collapsed="false">
      <c r="A848" s="32"/>
      <c r="B848" s="32"/>
      <c r="C848" s="33"/>
      <c r="D848" s="32"/>
      <c r="E848" s="35"/>
      <c r="F848" s="32"/>
      <c r="G848" s="35"/>
      <c r="H848" s="37" t="str">
        <f aca="true">IF(B848="","",IF(OR(D848="Done"),"Done",IF(E848="","No Due Date",IF(E848&lt;TODAY(),"Overdue",IF(E848=TODAY(),"Due Today",IF(E848&lt;TODAY()+7,"Due This Week","Later"))))))</f>
        <v/>
      </c>
      <c r="I848" s="40" t="str">
        <f aca="false">IF(AND(B848&lt;&gt;"",D848&lt;&gt;"Done",E848&lt;&gt;""),E848+ROW()/100000,"")</f>
        <v/>
      </c>
    </row>
    <row r="849" customFormat="false" ht="15" hidden="false" customHeight="false" outlineLevel="0" collapsed="false">
      <c r="A849" s="32"/>
      <c r="B849" s="32"/>
      <c r="C849" s="33"/>
      <c r="D849" s="32"/>
      <c r="E849" s="35"/>
      <c r="F849" s="32"/>
      <c r="G849" s="35"/>
      <c r="H849" s="37" t="str">
        <f aca="true">IF(B849="","",IF(OR(D849="Done"),"Done",IF(E849="","No Due Date",IF(E849&lt;TODAY(),"Overdue",IF(E849=TODAY(),"Due Today",IF(E849&lt;TODAY()+7,"Due This Week","Later"))))))</f>
        <v/>
      </c>
      <c r="I849" s="40" t="str">
        <f aca="false">IF(AND(B849&lt;&gt;"",D849&lt;&gt;"Done",E849&lt;&gt;""),E849+ROW()/100000,"")</f>
        <v/>
      </c>
    </row>
    <row r="850" customFormat="false" ht="15" hidden="false" customHeight="false" outlineLevel="0" collapsed="false">
      <c r="A850" s="32"/>
      <c r="B850" s="32"/>
      <c r="C850" s="33"/>
      <c r="D850" s="32"/>
      <c r="E850" s="35"/>
      <c r="F850" s="32"/>
      <c r="G850" s="35"/>
      <c r="H850" s="37" t="str">
        <f aca="true">IF(B850="","",IF(OR(D850="Done"),"Done",IF(E850="","No Due Date",IF(E850&lt;TODAY(),"Overdue",IF(E850=TODAY(),"Due Today",IF(E850&lt;TODAY()+7,"Due This Week","Later"))))))</f>
        <v/>
      </c>
      <c r="I850" s="40" t="str">
        <f aca="false">IF(AND(B850&lt;&gt;"",D850&lt;&gt;"Done",E850&lt;&gt;""),E850+ROW()/100000,"")</f>
        <v/>
      </c>
    </row>
    <row r="851" customFormat="false" ht="15" hidden="false" customHeight="false" outlineLevel="0" collapsed="false">
      <c r="A851" s="32"/>
      <c r="B851" s="32"/>
      <c r="C851" s="33"/>
      <c r="D851" s="32"/>
      <c r="E851" s="35"/>
      <c r="F851" s="32"/>
      <c r="G851" s="35"/>
      <c r="H851" s="37" t="str">
        <f aca="true">IF(B851="","",IF(OR(D851="Done"),"Done",IF(E851="","No Due Date",IF(E851&lt;TODAY(),"Overdue",IF(E851=TODAY(),"Due Today",IF(E851&lt;TODAY()+7,"Due This Week","Later"))))))</f>
        <v/>
      </c>
      <c r="I851" s="40" t="str">
        <f aca="false">IF(AND(B851&lt;&gt;"",D851&lt;&gt;"Done",E851&lt;&gt;""),E851+ROW()/100000,"")</f>
        <v/>
      </c>
    </row>
    <row r="852" customFormat="false" ht="15" hidden="false" customHeight="false" outlineLevel="0" collapsed="false">
      <c r="A852" s="32"/>
      <c r="B852" s="32"/>
      <c r="C852" s="33"/>
      <c r="D852" s="32"/>
      <c r="E852" s="35"/>
      <c r="F852" s="32"/>
      <c r="G852" s="35"/>
      <c r="H852" s="37" t="str">
        <f aca="true">IF(B852="","",IF(OR(D852="Done"),"Done",IF(E852="","No Due Date",IF(E852&lt;TODAY(),"Overdue",IF(E852=TODAY(),"Due Today",IF(E852&lt;TODAY()+7,"Due This Week","Later"))))))</f>
        <v/>
      </c>
      <c r="I852" s="40" t="str">
        <f aca="false">IF(AND(B852&lt;&gt;"",D852&lt;&gt;"Done",E852&lt;&gt;""),E852+ROW()/100000,"")</f>
        <v/>
      </c>
    </row>
    <row r="853" customFormat="false" ht="15" hidden="false" customHeight="false" outlineLevel="0" collapsed="false">
      <c r="A853" s="32"/>
      <c r="B853" s="32"/>
      <c r="C853" s="33"/>
      <c r="D853" s="32"/>
      <c r="E853" s="35"/>
      <c r="F853" s="32"/>
      <c r="G853" s="35"/>
      <c r="H853" s="37" t="str">
        <f aca="true">IF(B853="","",IF(OR(D853="Done"),"Done",IF(E853="","No Due Date",IF(E853&lt;TODAY(),"Overdue",IF(E853=TODAY(),"Due Today",IF(E853&lt;TODAY()+7,"Due This Week","Later"))))))</f>
        <v/>
      </c>
      <c r="I853" s="40" t="str">
        <f aca="false">IF(AND(B853&lt;&gt;"",D853&lt;&gt;"Done",E853&lt;&gt;""),E853+ROW()/100000,"")</f>
        <v/>
      </c>
    </row>
    <row r="854" customFormat="false" ht="15" hidden="false" customHeight="false" outlineLevel="0" collapsed="false">
      <c r="A854" s="32"/>
      <c r="B854" s="32"/>
      <c r="C854" s="33"/>
      <c r="D854" s="32"/>
      <c r="E854" s="35"/>
      <c r="F854" s="32"/>
      <c r="G854" s="35"/>
      <c r="H854" s="37" t="str">
        <f aca="true">IF(B854="","",IF(OR(D854="Done"),"Done",IF(E854="","No Due Date",IF(E854&lt;TODAY(),"Overdue",IF(E854=TODAY(),"Due Today",IF(E854&lt;TODAY()+7,"Due This Week","Later"))))))</f>
        <v/>
      </c>
      <c r="I854" s="40" t="str">
        <f aca="false">IF(AND(B854&lt;&gt;"",D854&lt;&gt;"Done",E854&lt;&gt;""),E854+ROW()/100000,"")</f>
        <v/>
      </c>
    </row>
    <row r="855" customFormat="false" ht="15" hidden="false" customHeight="false" outlineLevel="0" collapsed="false">
      <c r="A855" s="32"/>
      <c r="B855" s="32"/>
      <c r="C855" s="33"/>
      <c r="D855" s="32"/>
      <c r="E855" s="35"/>
      <c r="F855" s="32"/>
      <c r="G855" s="35"/>
      <c r="H855" s="37" t="str">
        <f aca="true">IF(B855="","",IF(OR(D855="Done"),"Done",IF(E855="","No Due Date",IF(E855&lt;TODAY(),"Overdue",IF(E855=TODAY(),"Due Today",IF(E855&lt;TODAY()+7,"Due This Week","Later"))))))</f>
        <v/>
      </c>
      <c r="I855" s="40" t="str">
        <f aca="false">IF(AND(B855&lt;&gt;"",D855&lt;&gt;"Done",E855&lt;&gt;""),E855+ROW()/100000,"")</f>
        <v/>
      </c>
    </row>
    <row r="856" customFormat="false" ht="15" hidden="false" customHeight="false" outlineLevel="0" collapsed="false">
      <c r="A856" s="32"/>
      <c r="B856" s="32"/>
      <c r="C856" s="33"/>
      <c r="D856" s="32"/>
      <c r="E856" s="35"/>
      <c r="F856" s="32"/>
      <c r="G856" s="35"/>
      <c r="H856" s="37" t="str">
        <f aca="true">IF(B856="","",IF(OR(D856="Done"),"Done",IF(E856="","No Due Date",IF(E856&lt;TODAY(),"Overdue",IF(E856=TODAY(),"Due Today",IF(E856&lt;TODAY()+7,"Due This Week","Later"))))))</f>
        <v/>
      </c>
      <c r="I856" s="40" t="str">
        <f aca="false">IF(AND(B856&lt;&gt;"",D856&lt;&gt;"Done",E856&lt;&gt;""),E856+ROW()/100000,"")</f>
        <v/>
      </c>
    </row>
    <row r="857" customFormat="false" ht="15" hidden="false" customHeight="false" outlineLevel="0" collapsed="false">
      <c r="A857" s="32"/>
      <c r="B857" s="32"/>
      <c r="C857" s="33"/>
      <c r="D857" s="32"/>
      <c r="E857" s="35"/>
      <c r="F857" s="32"/>
      <c r="G857" s="35"/>
      <c r="H857" s="37" t="str">
        <f aca="true">IF(B857="","",IF(OR(D857="Done"),"Done",IF(E857="","No Due Date",IF(E857&lt;TODAY(),"Overdue",IF(E857=TODAY(),"Due Today",IF(E857&lt;TODAY()+7,"Due This Week","Later"))))))</f>
        <v/>
      </c>
      <c r="I857" s="40" t="str">
        <f aca="false">IF(AND(B857&lt;&gt;"",D857&lt;&gt;"Done",E857&lt;&gt;""),E857+ROW()/100000,"")</f>
        <v/>
      </c>
    </row>
    <row r="858" customFormat="false" ht="15" hidden="false" customHeight="false" outlineLevel="0" collapsed="false">
      <c r="A858" s="32"/>
      <c r="B858" s="32"/>
      <c r="C858" s="33"/>
      <c r="D858" s="32"/>
      <c r="E858" s="35"/>
      <c r="F858" s="32"/>
      <c r="G858" s="35"/>
      <c r="H858" s="37" t="str">
        <f aca="true">IF(B858="","",IF(OR(D858="Done"),"Done",IF(E858="","No Due Date",IF(E858&lt;TODAY(),"Overdue",IF(E858=TODAY(),"Due Today",IF(E858&lt;TODAY()+7,"Due This Week","Later"))))))</f>
        <v/>
      </c>
      <c r="I858" s="40" t="str">
        <f aca="false">IF(AND(B858&lt;&gt;"",D858&lt;&gt;"Done",E858&lt;&gt;""),E858+ROW()/100000,"")</f>
        <v/>
      </c>
    </row>
    <row r="859" customFormat="false" ht="15" hidden="false" customHeight="false" outlineLevel="0" collapsed="false">
      <c r="A859" s="32"/>
      <c r="B859" s="32"/>
      <c r="C859" s="33"/>
      <c r="D859" s="32"/>
      <c r="E859" s="35"/>
      <c r="F859" s="32"/>
      <c r="G859" s="35"/>
      <c r="H859" s="37" t="str">
        <f aca="true">IF(B859="","",IF(OR(D859="Done"),"Done",IF(E859="","No Due Date",IF(E859&lt;TODAY(),"Overdue",IF(E859=TODAY(),"Due Today",IF(E859&lt;TODAY()+7,"Due This Week","Later"))))))</f>
        <v/>
      </c>
      <c r="I859" s="40" t="str">
        <f aca="false">IF(AND(B859&lt;&gt;"",D859&lt;&gt;"Done",E859&lt;&gt;""),E859+ROW()/100000,"")</f>
        <v/>
      </c>
    </row>
    <row r="860" customFormat="false" ht="15" hidden="false" customHeight="false" outlineLevel="0" collapsed="false">
      <c r="A860" s="32"/>
      <c r="B860" s="32"/>
      <c r="C860" s="33"/>
      <c r="D860" s="32"/>
      <c r="E860" s="35"/>
      <c r="F860" s="32"/>
      <c r="G860" s="35"/>
      <c r="H860" s="37" t="str">
        <f aca="true">IF(B860="","",IF(OR(D860="Done"),"Done",IF(E860="","No Due Date",IF(E860&lt;TODAY(),"Overdue",IF(E860=TODAY(),"Due Today",IF(E860&lt;TODAY()+7,"Due This Week","Later"))))))</f>
        <v/>
      </c>
      <c r="I860" s="40" t="str">
        <f aca="false">IF(AND(B860&lt;&gt;"",D860&lt;&gt;"Done",E860&lt;&gt;""),E860+ROW()/100000,"")</f>
        <v/>
      </c>
    </row>
    <row r="861" customFormat="false" ht="15" hidden="false" customHeight="false" outlineLevel="0" collapsed="false">
      <c r="A861" s="32"/>
      <c r="B861" s="32"/>
      <c r="C861" s="33"/>
      <c r="D861" s="32"/>
      <c r="E861" s="35"/>
      <c r="F861" s="32"/>
      <c r="G861" s="35"/>
      <c r="H861" s="37" t="str">
        <f aca="true">IF(B861="","",IF(OR(D861="Done"),"Done",IF(E861="","No Due Date",IF(E861&lt;TODAY(),"Overdue",IF(E861=TODAY(),"Due Today",IF(E861&lt;TODAY()+7,"Due This Week","Later"))))))</f>
        <v/>
      </c>
      <c r="I861" s="40" t="str">
        <f aca="false">IF(AND(B861&lt;&gt;"",D861&lt;&gt;"Done",E861&lt;&gt;""),E861+ROW()/100000,"")</f>
        <v/>
      </c>
    </row>
    <row r="862" customFormat="false" ht="15" hidden="false" customHeight="false" outlineLevel="0" collapsed="false">
      <c r="A862" s="32"/>
      <c r="B862" s="32"/>
      <c r="C862" s="33"/>
      <c r="D862" s="32"/>
      <c r="E862" s="35"/>
      <c r="F862" s="32"/>
      <c r="G862" s="35"/>
      <c r="H862" s="37" t="str">
        <f aca="true">IF(B862="","",IF(OR(D862="Done"),"Done",IF(E862="","No Due Date",IF(E862&lt;TODAY(),"Overdue",IF(E862=TODAY(),"Due Today",IF(E862&lt;TODAY()+7,"Due This Week","Later"))))))</f>
        <v/>
      </c>
      <c r="I862" s="40" t="str">
        <f aca="false">IF(AND(B862&lt;&gt;"",D862&lt;&gt;"Done",E862&lt;&gt;""),E862+ROW()/100000,"")</f>
        <v/>
      </c>
    </row>
    <row r="863" customFormat="false" ht="15" hidden="false" customHeight="false" outlineLevel="0" collapsed="false">
      <c r="A863" s="32"/>
      <c r="B863" s="32"/>
      <c r="C863" s="33"/>
      <c r="D863" s="32"/>
      <c r="E863" s="35"/>
      <c r="F863" s="32"/>
      <c r="G863" s="35"/>
      <c r="H863" s="37" t="str">
        <f aca="true">IF(B863="","",IF(OR(D863="Done"),"Done",IF(E863="","No Due Date",IF(E863&lt;TODAY(),"Overdue",IF(E863=TODAY(),"Due Today",IF(E863&lt;TODAY()+7,"Due This Week","Later"))))))</f>
        <v/>
      </c>
      <c r="I863" s="40" t="str">
        <f aca="false">IF(AND(B863&lt;&gt;"",D863&lt;&gt;"Done",E863&lt;&gt;""),E863+ROW()/100000,"")</f>
        <v/>
      </c>
    </row>
    <row r="864" customFormat="false" ht="15" hidden="false" customHeight="false" outlineLevel="0" collapsed="false">
      <c r="A864" s="32"/>
      <c r="B864" s="32"/>
      <c r="C864" s="33"/>
      <c r="D864" s="32"/>
      <c r="E864" s="35"/>
      <c r="F864" s="32"/>
      <c r="G864" s="35"/>
      <c r="H864" s="37" t="str">
        <f aca="true">IF(B864="","",IF(OR(D864="Done"),"Done",IF(E864="","No Due Date",IF(E864&lt;TODAY(),"Overdue",IF(E864=TODAY(),"Due Today",IF(E864&lt;TODAY()+7,"Due This Week","Later"))))))</f>
        <v/>
      </c>
      <c r="I864" s="40" t="str">
        <f aca="false">IF(AND(B864&lt;&gt;"",D864&lt;&gt;"Done",E864&lt;&gt;""),E864+ROW()/100000,"")</f>
        <v/>
      </c>
    </row>
    <row r="865" customFormat="false" ht="15" hidden="false" customHeight="false" outlineLevel="0" collapsed="false">
      <c r="A865" s="32"/>
      <c r="B865" s="32"/>
      <c r="C865" s="33"/>
      <c r="D865" s="32"/>
      <c r="E865" s="35"/>
      <c r="F865" s="32"/>
      <c r="G865" s="35"/>
      <c r="H865" s="37" t="str">
        <f aca="true">IF(B865="","",IF(OR(D865="Done"),"Done",IF(E865="","No Due Date",IF(E865&lt;TODAY(),"Overdue",IF(E865=TODAY(),"Due Today",IF(E865&lt;TODAY()+7,"Due This Week","Later"))))))</f>
        <v/>
      </c>
      <c r="I865" s="40" t="str">
        <f aca="false">IF(AND(B865&lt;&gt;"",D865&lt;&gt;"Done",E865&lt;&gt;""),E865+ROW()/100000,"")</f>
        <v/>
      </c>
    </row>
    <row r="866" customFormat="false" ht="15" hidden="false" customHeight="false" outlineLevel="0" collapsed="false">
      <c r="A866" s="32"/>
      <c r="B866" s="32"/>
      <c r="C866" s="33"/>
      <c r="D866" s="32"/>
      <c r="E866" s="35"/>
      <c r="F866" s="32"/>
      <c r="G866" s="35"/>
      <c r="H866" s="37" t="str">
        <f aca="true">IF(B866="","",IF(OR(D866="Done"),"Done",IF(E866="","No Due Date",IF(E866&lt;TODAY(),"Overdue",IF(E866=TODAY(),"Due Today",IF(E866&lt;TODAY()+7,"Due This Week","Later"))))))</f>
        <v/>
      </c>
      <c r="I866" s="40" t="str">
        <f aca="false">IF(AND(B866&lt;&gt;"",D866&lt;&gt;"Done",E866&lt;&gt;""),E866+ROW()/100000,"")</f>
        <v/>
      </c>
    </row>
    <row r="867" customFormat="false" ht="15" hidden="false" customHeight="false" outlineLevel="0" collapsed="false">
      <c r="A867" s="32"/>
      <c r="B867" s="32"/>
      <c r="C867" s="33"/>
      <c r="D867" s="32"/>
      <c r="E867" s="35"/>
      <c r="F867" s="32"/>
      <c r="G867" s="35"/>
      <c r="H867" s="37" t="str">
        <f aca="true">IF(B867="","",IF(OR(D867="Done"),"Done",IF(E867="","No Due Date",IF(E867&lt;TODAY(),"Overdue",IF(E867=TODAY(),"Due Today",IF(E867&lt;TODAY()+7,"Due This Week","Later"))))))</f>
        <v/>
      </c>
      <c r="I867" s="40" t="str">
        <f aca="false">IF(AND(B867&lt;&gt;"",D867&lt;&gt;"Done",E867&lt;&gt;""),E867+ROW()/100000,"")</f>
        <v/>
      </c>
    </row>
    <row r="868" customFormat="false" ht="15" hidden="false" customHeight="false" outlineLevel="0" collapsed="false">
      <c r="A868" s="32"/>
      <c r="B868" s="32"/>
      <c r="C868" s="33"/>
      <c r="D868" s="32"/>
      <c r="E868" s="35"/>
      <c r="F868" s="32"/>
      <c r="G868" s="35"/>
      <c r="H868" s="37" t="str">
        <f aca="true">IF(B868="","",IF(OR(D868="Done"),"Done",IF(E868="","No Due Date",IF(E868&lt;TODAY(),"Overdue",IF(E868=TODAY(),"Due Today",IF(E868&lt;TODAY()+7,"Due This Week","Later"))))))</f>
        <v/>
      </c>
      <c r="I868" s="40" t="str">
        <f aca="false">IF(AND(B868&lt;&gt;"",D868&lt;&gt;"Done",E868&lt;&gt;""),E868+ROW()/100000,"")</f>
        <v/>
      </c>
    </row>
    <row r="869" customFormat="false" ht="15" hidden="false" customHeight="false" outlineLevel="0" collapsed="false">
      <c r="A869" s="32"/>
      <c r="B869" s="32"/>
      <c r="C869" s="33"/>
      <c r="D869" s="32"/>
      <c r="E869" s="35"/>
      <c r="F869" s="32"/>
      <c r="G869" s="35"/>
      <c r="H869" s="37" t="str">
        <f aca="true">IF(B869="","",IF(OR(D869="Done"),"Done",IF(E869="","No Due Date",IF(E869&lt;TODAY(),"Overdue",IF(E869=TODAY(),"Due Today",IF(E869&lt;TODAY()+7,"Due This Week","Later"))))))</f>
        <v/>
      </c>
      <c r="I869" s="40" t="str">
        <f aca="false">IF(AND(B869&lt;&gt;"",D869&lt;&gt;"Done",E869&lt;&gt;""),E869+ROW()/100000,"")</f>
        <v/>
      </c>
    </row>
    <row r="870" customFormat="false" ht="15" hidden="false" customHeight="false" outlineLevel="0" collapsed="false">
      <c r="A870" s="32"/>
      <c r="B870" s="32"/>
      <c r="C870" s="33"/>
      <c r="D870" s="32"/>
      <c r="E870" s="35"/>
      <c r="F870" s="32"/>
      <c r="G870" s="35"/>
      <c r="H870" s="37" t="str">
        <f aca="true">IF(B870="","",IF(OR(D870="Done"),"Done",IF(E870="","No Due Date",IF(E870&lt;TODAY(),"Overdue",IF(E870=TODAY(),"Due Today",IF(E870&lt;TODAY()+7,"Due This Week","Later"))))))</f>
        <v/>
      </c>
      <c r="I870" s="40" t="str">
        <f aca="false">IF(AND(B870&lt;&gt;"",D870&lt;&gt;"Done",E870&lt;&gt;""),E870+ROW()/100000,"")</f>
        <v/>
      </c>
    </row>
    <row r="871" customFormat="false" ht="15" hidden="false" customHeight="false" outlineLevel="0" collapsed="false">
      <c r="A871" s="32"/>
      <c r="B871" s="32"/>
      <c r="C871" s="33"/>
      <c r="D871" s="32"/>
      <c r="E871" s="35"/>
      <c r="F871" s="32"/>
      <c r="G871" s="35"/>
      <c r="H871" s="37" t="str">
        <f aca="true">IF(B871="","",IF(OR(D871="Done"),"Done",IF(E871="","No Due Date",IF(E871&lt;TODAY(),"Overdue",IF(E871=TODAY(),"Due Today",IF(E871&lt;TODAY()+7,"Due This Week","Later"))))))</f>
        <v/>
      </c>
      <c r="I871" s="40" t="str">
        <f aca="false">IF(AND(B871&lt;&gt;"",D871&lt;&gt;"Done",E871&lt;&gt;""),E871+ROW()/100000,"")</f>
        <v/>
      </c>
    </row>
    <row r="872" customFormat="false" ht="15" hidden="false" customHeight="false" outlineLevel="0" collapsed="false">
      <c r="A872" s="32"/>
      <c r="B872" s="32"/>
      <c r="C872" s="33"/>
      <c r="D872" s="32"/>
      <c r="E872" s="35"/>
      <c r="F872" s="32"/>
      <c r="G872" s="35"/>
      <c r="H872" s="37" t="str">
        <f aca="true">IF(B872="","",IF(OR(D872="Done"),"Done",IF(E872="","No Due Date",IF(E872&lt;TODAY(),"Overdue",IF(E872=TODAY(),"Due Today",IF(E872&lt;TODAY()+7,"Due This Week","Later"))))))</f>
        <v/>
      </c>
      <c r="I872" s="40" t="str">
        <f aca="false">IF(AND(B872&lt;&gt;"",D872&lt;&gt;"Done",E872&lt;&gt;""),E872+ROW()/100000,"")</f>
        <v/>
      </c>
    </row>
    <row r="873" customFormat="false" ht="15" hidden="false" customHeight="false" outlineLevel="0" collapsed="false">
      <c r="A873" s="32"/>
      <c r="B873" s="32"/>
      <c r="C873" s="33"/>
      <c r="D873" s="32"/>
      <c r="E873" s="35"/>
      <c r="F873" s="32"/>
      <c r="G873" s="35"/>
      <c r="H873" s="37" t="str">
        <f aca="true">IF(B873="","",IF(OR(D873="Done"),"Done",IF(E873="","No Due Date",IF(E873&lt;TODAY(),"Overdue",IF(E873=TODAY(),"Due Today",IF(E873&lt;TODAY()+7,"Due This Week","Later"))))))</f>
        <v/>
      </c>
      <c r="I873" s="40" t="str">
        <f aca="false">IF(AND(B873&lt;&gt;"",D873&lt;&gt;"Done",E873&lt;&gt;""),E873+ROW()/100000,"")</f>
        <v/>
      </c>
    </row>
    <row r="874" customFormat="false" ht="15" hidden="false" customHeight="false" outlineLevel="0" collapsed="false">
      <c r="A874" s="32"/>
      <c r="B874" s="32"/>
      <c r="C874" s="33"/>
      <c r="D874" s="32"/>
      <c r="E874" s="35"/>
      <c r="F874" s="32"/>
      <c r="G874" s="35"/>
      <c r="H874" s="37" t="str">
        <f aca="true">IF(B874="","",IF(OR(D874="Done"),"Done",IF(E874="","No Due Date",IF(E874&lt;TODAY(),"Overdue",IF(E874=TODAY(),"Due Today",IF(E874&lt;TODAY()+7,"Due This Week","Later"))))))</f>
        <v/>
      </c>
      <c r="I874" s="40" t="str">
        <f aca="false">IF(AND(B874&lt;&gt;"",D874&lt;&gt;"Done",E874&lt;&gt;""),E874+ROW()/100000,"")</f>
        <v/>
      </c>
    </row>
    <row r="875" customFormat="false" ht="15" hidden="false" customHeight="false" outlineLevel="0" collapsed="false">
      <c r="A875" s="32"/>
      <c r="B875" s="32"/>
      <c r="C875" s="33"/>
      <c r="D875" s="32"/>
      <c r="E875" s="35"/>
      <c r="F875" s="32"/>
      <c r="G875" s="35"/>
      <c r="H875" s="37" t="str">
        <f aca="true">IF(B875="","",IF(OR(D875="Done"),"Done",IF(E875="","No Due Date",IF(E875&lt;TODAY(),"Overdue",IF(E875=TODAY(),"Due Today",IF(E875&lt;TODAY()+7,"Due This Week","Later"))))))</f>
        <v/>
      </c>
      <c r="I875" s="40" t="str">
        <f aca="false">IF(AND(B875&lt;&gt;"",D875&lt;&gt;"Done",E875&lt;&gt;""),E875+ROW()/100000,"")</f>
        <v/>
      </c>
    </row>
    <row r="876" customFormat="false" ht="15" hidden="false" customHeight="false" outlineLevel="0" collapsed="false">
      <c r="A876" s="32"/>
      <c r="B876" s="32"/>
      <c r="C876" s="33"/>
      <c r="D876" s="32"/>
      <c r="E876" s="35"/>
      <c r="F876" s="32"/>
      <c r="G876" s="35"/>
      <c r="H876" s="37" t="str">
        <f aca="true">IF(B876="","",IF(OR(D876="Done"),"Done",IF(E876="","No Due Date",IF(E876&lt;TODAY(),"Overdue",IF(E876=TODAY(),"Due Today",IF(E876&lt;TODAY()+7,"Due This Week","Later"))))))</f>
        <v/>
      </c>
      <c r="I876" s="40" t="str">
        <f aca="false">IF(AND(B876&lt;&gt;"",D876&lt;&gt;"Done",E876&lt;&gt;""),E876+ROW()/100000,"")</f>
        <v/>
      </c>
    </row>
    <row r="877" customFormat="false" ht="15" hidden="false" customHeight="false" outlineLevel="0" collapsed="false">
      <c r="A877" s="32"/>
      <c r="B877" s="32"/>
      <c r="C877" s="33"/>
      <c r="D877" s="32"/>
      <c r="E877" s="35"/>
      <c r="F877" s="32"/>
      <c r="G877" s="35"/>
      <c r="H877" s="37" t="str">
        <f aca="true">IF(B877="","",IF(OR(D877="Done"),"Done",IF(E877="","No Due Date",IF(E877&lt;TODAY(),"Overdue",IF(E877=TODAY(),"Due Today",IF(E877&lt;TODAY()+7,"Due This Week","Later"))))))</f>
        <v/>
      </c>
      <c r="I877" s="40" t="str">
        <f aca="false">IF(AND(B877&lt;&gt;"",D877&lt;&gt;"Done",E877&lt;&gt;""),E877+ROW()/100000,"")</f>
        <v/>
      </c>
    </row>
    <row r="878" customFormat="false" ht="15" hidden="false" customHeight="false" outlineLevel="0" collapsed="false">
      <c r="A878" s="32"/>
      <c r="B878" s="32"/>
      <c r="C878" s="33"/>
      <c r="D878" s="32"/>
      <c r="E878" s="35"/>
      <c r="F878" s="32"/>
      <c r="G878" s="35"/>
      <c r="H878" s="37" t="str">
        <f aca="true">IF(B878="","",IF(OR(D878="Done"),"Done",IF(E878="","No Due Date",IF(E878&lt;TODAY(),"Overdue",IF(E878=TODAY(),"Due Today",IF(E878&lt;TODAY()+7,"Due This Week","Later"))))))</f>
        <v/>
      </c>
      <c r="I878" s="40" t="str">
        <f aca="false">IF(AND(B878&lt;&gt;"",D878&lt;&gt;"Done",E878&lt;&gt;""),E878+ROW()/100000,"")</f>
        <v/>
      </c>
    </row>
    <row r="879" customFormat="false" ht="15" hidden="false" customHeight="false" outlineLevel="0" collapsed="false">
      <c r="A879" s="32"/>
      <c r="B879" s="32"/>
      <c r="C879" s="33"/>
      <c r="D879" s="32"/>
      <c r="E879" s="35"/>
      <c r="F879" s="32"/>
      <c r="G879" s="35"/>
      <c r="H879" s="37" t="str">
        <f aca="true">IF(B879="","",IF(OR(D879="Done"),"Done",IF(E879="","No Due Date",IF(E879&lt;TODAY(),"Overdue",IF(E879=TODAY(),"Due Today",IF(E879&lt;TODAY()+7,"Due This Week","Later"))))))</f>
        <v/>
      </c>
      <c r="I879" s="40" t="str">
        <f aca="false">IF(AND(B879&lt;&gt;"",D879&lt;&gt;"Done",E879&lt;&gt;""),E879+ROW()/100000,"")</f>
        <v/>
      </c>
    </row>
    <row r="880" customFormat="false" ht="15" hidden="false" customHeight="false" outlineLevel="0" collapsed="false">
      <c r="A880" s="32"/>
      <c r="B880" s="32"/>
      <c r="C880" s="33"/>
      <c r="D880" s="32"/>
      <c r="E880" s="35"/>
      <c r="F880" s="32"/>
      <c r="G880" s="35"/>
      <c r="H880" s="37" t="str">
        <f aca="true">IF(B880="","",IF(OR(D880="Done"),"Done",IF(E880="","No Due Date",IF(E880&lt;TODAY(),"Overdue",IF(E880=TODAY(),"Due Today",IF(E880&lt;TODAY()+7,"Due This Week","Later"))))))</f>
        <v/>
      </c>
      <c r="I880" s="40" t="str">
        <f aca="false">IF(AND(B880&lt;&gt;"",D880&lt;&gt;"Done",E880&lt;&gt;""),E880+ROW()/100000,"")</f>
        <v/>
      </c>
    </row>
    <row r="881" customFormat="false" ht="15" hidden="false" customHeight="false" outlineLevel="0" collapsed="false">
      <c r="A881" s="32"/>
      <c r="B881" s="32"/>
      <c r="C881" s="33"/>
      <c r="D881" s="32"/>
      <c r="E881" s="35"/>
      <c r="F881" s="32"/>
      <c r="G881" s="35"/>
      <c r="H881" s="37" t="str">
        <f aca="true">IF(B881="","",IF(OR(D881="Done"),"Done",IF(E881="","No Due Date",IF(E881&lt;TODAY(),"Overdue",IF(E881=TODAY(),"Due Today",IF(E881&lt;TODAY()+7,"Due This Week","Later"))))))</f>
        <v/>
      </c>
      <c r="I881" s="40" t="str">
        <f aca="false">IF(AND(B881&lt;&gt;"",D881&lt;&gt;"Done",E881&lt;&gt;""),E881+ROW()/100000,"")</f>
        <v/>
      </c>
    </row>
    <row r="882" customFormat="false" ht="15" hidden="false" customHeight="false" outlineLevel="0" collapsed="false">
      <c r="A882" s="32"/>
      <c r="B882" s="32"/>
      <c r="C882" s="33"/>
      <c r="D882" s="32"/>
      <c r="E882" s="35"/>
      <c r="F882" s="32"/>
      <c r="G882" s="35"/>
      <c r="H882" s="37" t="str">
        <f aca="true">IF(B882="","",IF(OR(D882="Done"),"Done",IF(E882="","No Due Date",IF(E882&lt;TODAY(),"Overdue",IF(E882=TODAY(),"Due Today",IF(E882&lt;TODAY()+7,"Due This Week","Later"))))))</f>
        <v/>
      </c>
      <c r="I882" s="40" t="str">
        <f aca="false">IF(AND(B882&lt;&gt;"",D882&lt;&gt;"Done",E882&lt;&gt;""),E882+ROW()/100000,"")</f>
        <v/>
      </c>
    </row>
    <row r="883" customFormat="false" ht="15" hidden="false" customHeight="false" outlineLevel="0" collapsed="false">
      <c r="A883" s="32"/>
      <c r="B883" s="32"/>
      <c r="C883" s="33"/>
      <c r="D883" s="32"/>
      <c r="E883" s="35"/>
      <c r="F883" s="32"/>
      <c r="G883" s="35"/>
      <c r="H883" s="37" t="str">
        <f aca="true">IF(B883="","",IF(OR(D883="Done"),"Done",IF(E883="","No Due Date",IF(E883&lt;TODAY(),"Overdue",IF(E883=TODAY(),"Due Today",IF(E883&lt;TODAY()+7,"Due This Week","Later"))))))</f>
        <v/>
      </c>
      <c r="I883" s="40" t="str">
        <f aca="false">IF(AND(B883&lt;&gt;"",D883&lt;&gt;"Done",E883&lt;&gt;""),E883+ROW()/100000,"")</f>
        <v/>
      </c>
    </row>
    <row r="884" customFormat="false" ht="15" hidden="false" customHeight="false" outlineLevel="0" collapsed="false">
      <c r="A884" s="32"/>
      <c r="B884" s="32"/>
      <c r="C884" s="33"/>
      <c r="D884" s="32"/>
      <c r="E884" s="35"/>
      <c r="F884" s="32"/>
      <c r="G884" s="35"/>
      <c r="H884" s="37" t="str">
        <f aca="true">IF(B884="","",IF(OR(D884="Done"),"Done",IF(E884="","No Due Date",IF(E884&lt;TODAY(),"Overdue",IF(E884=TODAY(),"Due Today",IF(E884&lt;TODAY()+7,"Due This Week","Later"))))))</f>
        <v/>
      </c>
      <c r="I884" s="40" t="str">
        <f aca="false">IF(AND(B884&lt;&gt;"",D884&lt;&gt;"Done",E884&lt;&gt;""),E884+ROW()/100000,"")</f>
        <v/>
      </c>
    </row>
    <row r="885" customFormat="false" ht="15" hidden="false" customHeight="false" outlineLevel="0" collapsed="false">
      <c r="A885" s="32"/>
      <c r="B885" s="32"/>
      <c r="C885" s="33"/>
      <c r="D885" s="32"/>
      <c r="E885" s="35"/>
      <c r="F885" s="32"/>
      <c r="G885" s="35"/>
      <c r="H885" s="37" t="str">
        <f aca="true">IF(B885="","",IF(OR(D885="Done"),"Done",IF(E885="","No Due Date",IF(E885&lt;TODAY(),"Overdue",IF(E885=TODAY(),"Due Today",IF(E885&lt;TODAY()+7,"Due This Week","Later"))))))</f>
        <v/>
      </c>
      <c r="I885" s="40" t="str">
        <f aca="false">IF(AND(B885&lt;&gt;"",D885&lt;&gt;"Done",E885&lt;&gt;""),E885+ROW()/100000,"")</f>
        <v/>
      </c>
    </row>
    <row r="886" customFormat="false" ht="15" hidden="false" customHeight="false" outlineLevel="0" collapsed="false">
      <c r="A886" s="32"/>
      <c r="B886" s="32"/>
      <c r="C886" s="33"/>
      <c r="D886" s="32"/>
      <c r="E886" s="35"/>
      <c r="F886" s="32"/>
      <c r="G886" s="35"/>
      <c r="H886" s="37" t="str">
        <f aca="true">IF(B886="","",IF(OR(D886="Done"),"Done",IF(E886="","No Due Date",IF(E886&lt;TODAY(),"Overdue",IF(E886=TODAY(),"Due Today",IF(E886&lt;TODAY()+7,"Due This Week","Later"))))))</f>
        <v/>
      </c>
      <c r="I886" s="40" t="str">
        <f aca="false">IF(AND(B886&lt;&gt;"",D886&lt;&gt;"Done",E886&lt;&gt;""),E886+ROW()/100000,"")</f>
        <v/>
      </c>
    </row>
    <row r="887" customFormat="false" ht="15" hidden="false" customHeight="false" outlineLevel="0" collapsed="false">
      <c r="A887" s="32"/>
      <c r="B887" s="32"/>
      <c r="C887" s="33"/>
      <c r="D887" s="32"/>
      <c r="E887" s="35"/>
      <c r="F887" s="32"/>
      <c r="G887" s="35"/>
      <c r="H887" s="37" t="str">
        <f aca="true">IF(B887="","",IF(OR(D887="Done"),"Done",IF(E887="","No Due Date",IF(E887&lt;TODAY(),"Overdue",IF(E887=TODAY(),"Due Today",IF(E887&lt;TODAY()+7,"Due This Week","Later"))))))</f>
        <v/>
      </c>
      <c r="I887" s="40" t="str">
        <f aca="false">IF(AND(B887&lt;&gt;"",D887&lt;&gt;"Done",E887&lt;&gt;""),E887+ROW()/100000,"")</f>
        <v/>
      </c>
    </row>
    <row r="888" customFormat="false" ht="15" hidden="false" customHeight="false" outlineLevel="0" collapsed="false">
      <c r="A888" s="32"/>
      <c r="B888" s="32"/>
      <c r="C888" s="33"/>
      <c r="D888" s="32"/>
      <c r="E888" s="35"/>
      <c r="F888" s="32"/>
      <c r="G888" s="35"/>
      <c r="H888" s="37" t="str">
        <f aca="true">IF(B888="","",IF(OR(D888="Done"),"Done",IF(E888="","No Due Date",IF(E888&lt;TODAY(),"Overdue",IF(E888=TODAY(),"Due Today",IF(E888&lt;TODAY()+7,"Due This Week","Later"))))))</f>
        <v/>
      </c>
      <c r="I888" s="40" t="str">
        <f aca="false">IF(AND(B888&lt;&gt;"",D888&lt;&gt;"Done",E888&lt;&gt;""),E888+ROW()/100000,"")</f>
        <v/>
      </c>
    </row>
    <row r="889" customFormat="false" ht="15" hidden="false" customHeight="false" outlineLevel="0" collapsed="false">
      <c r="A889" s="32"/>
      <c r="B889" s="32"/>
      <c r="C889" s="33"/>
      <c r="D889" s="32"/>
      <c r="E889" s="35"/>
      <c r="F889" s="32"/>
      <c r="G889" s="35"/>
      <c r="H889" s="37" t="str">
        <f aca="true">IF(B889="","",IF(OR(D889="Done"),"Done",IF(E889="","No Due Date",IF(E889&lt;TODAY(),"Overdue",IF(E889=TODAY(),"Due Today",IF(E889&lt;TODAY()+7,"Due This Week","Later"))))))</f>
        <v/>
      </c>
      <c r="I889" s="40" t="str">
        <f aca="false">IF(AND(B889&lt;&gt;"",D889&lt;&gt;"Done",E889&lt;&gt;""),E889+ROW()/100000,"")</f>
        <v/>
      </c>
    </row>
    <row r="890" customFormat="false" ht="15" hidden="false" customHeight="false" outlineLevel="0" collapsed="false">
      <c r="A890" s="32"/>
      <c r="B890" s="32"/>
      <c r="C890" s="33"/>
      <c r="D890" s="32"/>
      <c r="E890" s="35"/>
      <c r="F890" s="32"/>
      <c r="G890" s="35"/>
      <c r="H890" s="37" t="str">
        <f aca="true">IF(B890="","",IF(OR(D890="Done"),"Done",IF(E890="","No Due Date",IF(E890&lt;TODAY(),"Overdue",IF(E890=TODAY(),"Due Today",IF(E890&lt;TODAY()+7,"Due This Week","Later"))))))</f>
        <v/>
      </c>
      <c r="I890" s="40" t="str">
        <f aca="false">IF(AND(B890&lt;&gt;"",D890&lt;&gt;"Done",E890&lt;&gt;""),E890+ROW()/100000,"")</f>
        <v/>
      </c>
    </row>
    <row r="891" customFormat="false" ht="15" hidden="false" customHeight="false" outlineLevel="0" collapsed="false">
      <c r="A891" s="32"/>
      <c r="B891" s="32"/>
      <c r="C891" s="33"/>
      <c r="D891" s="32"/>
      <c r="E891" s="35"/>
      <c r="F891" s="32"/>
      <c r="G891" s="35"/>
      <c r="H891" s="37" t="str">
        <f aca="true">IF(B891="","",IF(OR(D891="Done"),"Done",IF(E891="","No Due Date",IF(E891&lt;TODAY(),"Overdue",IF(E891=TODAY(),"Due Today",IF(E891&lt;TODAY()+7,"Due This Week","Later"))))))</f>
        <v/>
      </c>
      <c r="I891" s="40" t="str">
        <f aca="false">IF(AND(B891&lt;&gt;"",D891&lt;&gt;"Done",E891&lt;&gt;""),E891+ROW()/100000,"")</f>
        <v/>
      </c>
    </row>
    <row r="892" customFormat="false" ht="15" hidden="false" customHeight="false" outlineLevel="0" collapsed="false">
      <c r="A892" s="32"/>
      <c r="B892" s="32"/>
      <c r="C892" s="33"/>
      <c r="D892" s="32"/>
      <c r="E892" s="35"/>
      <c r="F892" s="32"/>
      <c r="G892" s="35"/>
      <c r="H892" s="37" t="str">
        <f aca="true">IF(B892="","",IF(OR(D892="Done"),"Done",IF(E892="","No Due Date",IF(E892&lt;TODAY(),"Overdue",IF(E892=TODAY(),"Due Today",IF(E892&lt;TODAY()+7,"Due This Week","Later"))))))</f>
        <v/>
      </c>
      <c r="I892" s="40" t="str">
        <f aca="false">IF(AND(B892&lt;&gt;"",D892&lt;&gt;"Done",E892&lt;&gt;""),E892+ROW()/100000,"")</f>
        <v/>
      </c>
    </row>
    <row r="893" customFormat="false" ht="15" hidden="false" customHeight="false" outlineLevel="0" collapsed="false">
      <c r="A893" s="32"/>
      <c r="B893" s="32"/>
      <c r="C893" s="33"/>
      <c r="D893" s="32"/>
      <c r="E893" s="35"/>
      <c r="F893" s="32"/>
      <c r="G893" s="35"/>
      <c r="H893" s="37" t="str">
        <f aca="true">IF(B893="","",IF(OR(D893="Done"),"Done",IF(E893="","No Due Date",IF(E893&lt;TODAY(),"Overdue",IF(E893=TODAY(),"Due Today",IF(E893&lt;TODAY()+7,"Due This Week","Later"))))))</f>
        <v/>
      </c>
      <c r="I893" s="40" t="str">
        <f aca="false">IF(AND(B893&lt;&gt;"",D893&lt;&gt;"Done",E893&lt;&gt;""),E893+ROW()/100000,"")</f>
        <v/>
      </c>
    </row>
    <row r="894" customFormat="false" ht="15" hidden="false" customHeight="false" outlineLevel="0" collapsed="false">
      <c r="A894" s="32"/>
      <c r="B894" s="32"/>
      <c r="C894" s="33"/>
      <c r="D894" s="32"/>
      <c r="E894" s="35"/>
      <c r="F894" s="32"/>
      <c r="G894" s="35"/>
      <c r="H894" s="37" t="str">
        <f aca="true">IF(B894="","",IF(OR(D894="Done"),"Done",IF(E894="","No Due Date",IF(E894&lt;TODAY(),"Overdue",IF(E894=TODAY(),"Due Today",IF(E894&lt;TODAY()+7,"Due This Week","Later"))))))</f>
        <v/>
      </c>
      <c r="I894" s="40" t="str">
        <f aca="false">IF(AND(B894&lt;&gt;"",D894&lt;&gt;"Done",E894&lt;&gt;""),E894+ROW()/100000,"")</f>
        <v/>
      </c>
    </row>
    <row r="895" customFormat="false" ht="15" hidden="false" customHeight="false" outlineLevel="0" collapsed="false">
      <c r="A895" s="32"/>
      <c r="B895" s="32"/>
      <c r="C895" s="33"/>
      <c r="D895" s="32"/>
      <c r="E895" s="35"/>
      <c r="F895" s="32"/>
      <c r="G895" s="35"/>
      <c r="H895" s="37" t="str">
        <f aca="true">IF(B895="","",IF(OR(D895="Done"),"Done",IF(E895="","No Due Date",IF(E895&lt;TODAY(),"Overdue",IF(E895=TODAY(),"Due Today",IF(E895&lt;TODAY()+7,"Due This Week","Later"))))))</f>
        <v/>
      </c>
      <c r="I895" s="40" t="str">
        <f aca="false">IF(AND(B895&lt;&gt;"",D895&lt;&gt;"Done",E895&lt;&gt;""),E895+ROW()/100000,"")</f>
        <v/>
      </c>
    </row>
    <row r="896" customFormat="false" ht="15" hidden="false" customHeight="false" outlineLevel="0" collapsed="false">
      <c r="A896" s="32"/>
      <c r="B896" s="32"/>
      <c r="C896" s="33"/>
      <c r="D896" s="32"/>
      <c r="E896" s="35"/>
      <c r="F896" s="32"/>
      <c r="G896" s="35"/>
      <c r="H896" s="37" t="str">
        <f aca="true">IF(B896="","",IF(OR(D896="Done"),"Done",IF(E896="","No Due Date",IF(E896&lt;TODAY(),"Overdue",IF(E896=TODAY(),"Due Today",IF(E896&lt;TODAY()+7,"Due This Week","Later"))))))</f>
        <v/>
      </c>
      <c r="I896" s="40" t="str">
        <f aca="false">IF(AND(B896&lt;&gt;"",D896&lt;&gt;"Done",E896&lt;&gt;""),E896+ROW()/100000,"")</f>
        <v/>
      </c>
    </row>
    <row r="897" customFormat="false" ht="15" hidden="false" customHeight="false" outlineLevel="0" collapsed="false">
      <c r="A897" s="32"/>
      <c r="B897" s="32"/>
      <c r="C897" s="33"/>
      <c r="D897" s="32"/>
      <c r="E897" s="35"/>
      <c r="F897" s="32"/>
      <c r="G897" s="35"/>
      <c r="H897" s="37" t="str">
        <f aca="true">IF(B897="","",IF(OR(D897="Done"),"Done",IF(E897="","No Due Date",IF(E897&lt;TODAY(),"Overdue",IF(E897=TODAY(),"Due Today",IF(E897&lt;TODAY()+7,"Due This Week","Later"))))))</f>
        <v/>
      </c>
      <c r="I897" s="40" t="str">
        <f aca="false">IF(AND(B897&lt;&gt;"",D897&lt;&gt;"Done",E897&lt;&gt;""),E897+ROW()/100000,"")</f>
        <v/>
      </c>
    </row>
    <row r="898" customFormat="false" ht="15" hidden="false" customHeight="false" outlineLevel="0" collapsed="false">
      <c r="A898" s="32"/>
      <c r="B898" s="32"/>
      <c r="C898" s="33"/>
      <c r="D898" s="32"/>
      <c r="E898" s="35"/>
      <c r="F898" s="32"/>
      <c r="G898" s="35"/>
      <c r="H898" s="37" t="str">
        <f aca="true">IF(B898="","",IF(OR(D898="Done"),"Done",IF(E898="","No Due Date",IF(E898&lt;TODAY(),"Overdue",IF(E898=TODAY(),"Due Today",IF(E898&lt;TODAY()+7,"Due This Week","Later"))))))</f>
        <v/>
      </c>
      <c r="I898" s="40" t="str">
        <f aca="false">IF(AND(B898&lt;&gt;"",D898&lt;&gt;"Done",E898&lt;&gt;""),E898+ROW()/100000,"")</f>
        <v/>
      </c>
    </row>
    <row r="899" customFormat="false" ht="15" hidden="false" customHeight="false" outlineLevel="0" collapsed="false">
      <c r="A899" s="32"/>
      <c r="B899" s="32"/>
      <c r="C899" s="33"/>
      <c r="D899" s="32"/>
      <c r="E899" s="35"/>
      <c r="F899" s="32"/>
      <c r="G899" s="35"/>
      <c r="H899" s="37" t="str">
        <f aca="true">IF(B899="","",IF(OR(D899="Done"),"Done",IF(E899="","No Due Date",IF(E899&lt;TODAY(),"Overdue",IF(E899=TODAY(),"Due Today",IF(E899&lt;TODAY()+7,"Due This Week","Later"))))))</f>
        <v/>
      </c>
      <c r="I899" s="40" t="str">
        <f aca="false">IF(AND(B899&lt;&gt;"",D899&lt;&gt;"Done",E899&lt;&gt;""),E899+ROW()/100000,"")</f>
        <v/>
      </c>
    </row>
    <row r="900" customFormat="false" ht="15" hidden="false" customHeight="false" outlineLevel="0" collapsed="false">
      <c r="A900" s="32"/>
      <c r="B900" s="32"/>
      <c r="C900" s="33"/>
      <c r="D900" s="32"/>
      <c r="E900" s="35"/>
      <c r="F900" s="32"/>
      <c r="G900" s="35"/>
      <c r="H900" s="37" t="str">
        <f aca="true">IF(B900="","",IF(OR(D900="Done"),"Done",IF(E900="","No Due Date",IF(E900&lt;TODAY(),"Overdue",IF(E900=TODAY(),"Due Today",IF(E900&lt;TODAY()+7,"Due This Week","Later"))))))</f>
        <v/>
      </c>
      <c r="I900" s="40" t="str">
        <f aca="false">IF(AND(B900&lt;&gt;"",D900&lt;&gt;"Done",E900&lt;&gt;""),E900+ROW()/100000,"")</f>
        <v/>
      </c>
    </row>
    <row r="901" customFormat="false" ht="15" hidden="false" customHeight="false" outlineLevel="0" collapsed="false">
      <c r="A901" s="32"/>
      <c r="B901" s="32"/>
      <c r="C901" s="33"/>
      <c r="D901" s="32"/>
      <c r="E901" s="35"/>
      <c r="F901" s="32"/>
      <c r="G901" s="35"/>
      <c r="H901" s="37" t="str">
        <f aca="true">IF(B901="","",IF(OR(D901="Done"),"Done",IF(E901="","No Due Date",IF(E901&lt;TODAY(),"Overdue",IF(E901=TODAY(),"Due Today",IF(E901&lt;TODAY()+7,"Due This Week","Later"))))))</f>
        <v/>
      </c>
      <c r="I901" s="40" t="str">
        <f aca="false">IF(AND(B901&lt;&gt;"",D901&lt;&gt;"Done",E901&lt;&gt;""),E901+ROW()/100000,"")</f>
        <v/>
      </c>
    </row>
    <row r="902" customFormat="false" ht="15" hidden="false" customHeight="false" outlineLevel="0" collapsed="false">
      <c r="A902" s="32"/>
      <c r="B902" s="32"/>
      <c r="C902" s="33"/>
      <c r="D902" s="32"/>
      <c r="E902" s="35"/>
      <c r="F902" s="32"/>
      <c r="G902" s="35"/>
      <c r="H902" s="37" t="str">
        <f aca="true">IF(B902="","",IF(OR(D902="Done"),"Done",IF(E902="","No Due Date",IF(E902&lt;TODAY(),"Overdue",IF(E902=TODAY(),"Due Today",IF(E902&lt;TODAY()+7,"Due This Week","Later"))))))</f>
        <v/>
      </c>
      <c r="I902" s="40" t="str">
        <f aca="false">IF(AND(B902&lt;&gt;"",D902&lt;&gt;"Done",E902&lt;&gt;""),E902+ROW()/100000,"")</f>
        <v/>
      </c>
    </row>
    <row r="903" customFormat="false" ht="15" hidden="false" customHeight="false" outlineLevel="0" collapsed="false">
      <c r="A903" s="32"/>
      <c r="B903" s="32"/>
      <c r="C903" s="33"/>
      <c r="D903" s="32"/>
      <c r="E903" s="35"/>
      <c r="F903" s="32"/>
      <c r="G903" s="35"/>
      <c r="H903" s="37" t="str">
        <f aca="true">IF(B903="","",IF(OR(D903="Done"),"Done",IF(E903="","No Due Date",IF(E903&lt;TODAY(),"Overdue",IF(E903=TODAY(),"Due Today",IF(E903&lt;TODAY()+7,"Due This Week","Later"))))))</f>
        <v/>
      </c>
      <c r="I903" s="40" t="str">
        <f aca="false">IF(AND(B903&lt;&gt;"",D903&lt;&gt;"Done",E903&lt;&gt;""),E903+ROW()/100000,"")</f>
        <v/>
      </c>
    </row>
    <row r="904" customFormat="false" ht="15" hidden="false" customHeight="false" outlineLevel="0" collapsed="false">
      <c r="A904" s="32"/>
      <c r="B904" s="32"/>
      <c r="C904" s="33"/>
      <c r="D904" s="32"/>
      <c r="E904" s="35"/>
      <c r="F904" s="32"/>
      <c r="G904" s="35"/>
      <c r="H904" s="37" t="str">
        <f aca="true">IF(B904="","",IF(OR(D904="Done"),"Done",IF(E904="","No Due Date",IF(E904&lt;TODAY(),"Overdue",IF(E904=TODAY(),"Due Today",IF(E904&lt;TODAY()+7,"Due This Week","Later"))))))</f>
        <v/>
      </c>
      <c r="I904" s="40" t="str">
        <f aca="false">IF(AND(B904&lt;&gt;"",D904&lt;&gt;"Done",E904&lt;&gt;""),E904+ROW()/100000,"")</f>
        <v/>
      </c>
    </row>
    <row r="905" customFormat="false" ht="15" hidden="false" customHeight="false" outlineLevel="0" collapsed="false">
      <c r="A905" s="32"/>
      <c r="B905" s="32"/>
      <c r="C905" s="33"/>
      <c r="D905" s="32"/>
      <c r="E905" s="35"/>
      <c r="F905" s="32"/>
      <c r="G905" s="35"/>
      <c r="H905" s="37" t="str">
        <f aca="true">IF(B905="","",IF(OR(D905="Done"),"Done",IF(E905="","No Due Date",IF(E905&lt;TODAY(),"Overdue",IF(E905=TODAY(),"Due Today",IF(E905&lt;TODAY()+7,"Due This Week","Later"))))))</f>
        <v/>
      </c>
      <c r="I905" s="40" t="str">
        <f aca="false">IF(AND(B905&lt;&gt;"",D905&lt;&gt;"Done",E905&lt;&gt;""),E905+ROW()/100000,"")</f>
        <v/>
      </c>
    </row>
    <row r="906" customFormat="false" ht="15" hidden="false" customHeight="false" outlineLevel="0" collapsed="false">
      <c r="A906" s="32"/>
      <c r="B906" s="32"/>
      <c r="C906" s="33"/>
      <c r="D906" s="32"/>
      <c r="E906" s="35"/>
      <c r="F906" s="32"/>
      <c r="G906" s="35"/>
      <c r="H906" s="37" t="str">
        <f aca="true">IF(B906="","",IF(OR(D906="Done"),"Done",IF(E906="","No Due Date",IF(E906&lt;TODAY(),"Overdue",IF(E906=TODAY(),"Due Today",IF(E906&lt;TODAY()+7,"Due This Week","Later"))))))</f>
        <v/>
      </c>
      <c r="I906" s="40" t="str">
        <f aca="false">IF(AND(B906&lt;&gt;"",D906&lt;&gt;"Done",E906&lt;&gt;""),E906+ROW()/100000,"")</f>
        <v/>
      </c>
    </row>
    <row r="907" customFormat="false" ht="15" hidden="false" customHeight="false" outlineLevel="0" collapsed="false">
      <c r="A907" s="32"/>
      <c r="B907" s="32"/>
      <c r="C907" s="33"/>
      <c r="D907" s="32"/>
      <c r="E907" s="35"/>
      <c r="F907" s="32"/>
      <c r="G907" s="35"/>
      <c r="H907" s="37" t="str">
        <f aca="true">IF(B907="","",IF(OR(D907="Done"),"Done",IF(E907="","No Due Date",IF(E907&lt;TODAY(),"Overdue",IF(E907=TODAY(),"Due Today",IF(E907&lt;TODAY()+7,"Due This Week","Later"))))))</f>
        <v/>
      </c>
      <c r="I907" s="40" t="str">
        <f aca="false">IF(AND(B907&lt;&gt;"",D907&lt;&gt;"Done",E907&lt;&gt;""),E907+ROW()/100000,"")</f>
        <v/>
      </c>
    </row>
    <row r="908" customFormat="false" ht="15" hidden="false" customHeight="false" outlineLevel="0" collapsed="false">
      <c r="A908" s="32"/>
      <c r="B908" s="32"/>
      <c r="C908" s="33"/>
      <c r="D908" s="32"/>
      <c r="E908" s="35"/>
      <c r="F908" s="32"/>
      <c r="G908" s="35"/>
      <c r="H908" s="37" t="str">
        <f aca="true">IF(B908="","",IF(OR(D908="Done"),"Done",IF(E908="","No Due Date",IF(E908&lt;TODAY(),"Overdue",IF(E908=TODAY(),"Due Today",IF(E908&lt;TODAY()+7,"Due This Week","Later"))))))</f>
        <v/>
      </c>
      <c r="I908" s="40" t="str">
        <f aca="false">IF(AND(B908&lt;&gt;"",D908&lt;&gt;"Done",E908&lt;&gt;""),E908+ROW()/100000,"")</f>
        <v/>
      </c>
    </row>
    <row r="909" customFormat="false" ht="15" hidden="false" customHeight="false" outlineLevel="0" collapsed="false">
      <c r="A909" s="32"/>
      <c r="B909" s="32"/>
      <c r="C909" s="33"/>
      <c r="D909" s="32"/>
      <c r="E909" s="35"/>
      <c r="F909" s="32"/>
      <c r="G909" s="35"/>
      <c r="H909" s="37" t="str">
        <f aca="true">IF(B909="","",IF(OR(D909="Done"),"Done",IF(E909="","No Due Date",IF(E909&lt;TODAY(),"Overdue",IF(E909=TODAY(),"Due Today",IF(E909&lt;TODAY()+7,"Due This Week","Later"))))))</f>
        <v/>
      </c>
      <c r="I909" s="40" t="str">
        <f aca="false">IF(AND(B909&lt;&gt;"",D909&lt;&gt;"Done",E909&lt;&gt;""),E909+ROW()/100000,"")</f>
        <v/>
      </c>
    </row>
    <row r="910" customFormat="false" ht="15" hidden="false" customHeight="false" outlineLevel="0" collapsed="false">
      <c r="A910" s="32"/>
      <c r="B910" s="32"/>
      <c r="C910" s="33"/>
      <c r="D910" s="32"/>
      <c r="E910" s="35"/>
      <c r="F910" s="32"/>
      <c r="G910" s="35"/>
      <c r="H910" s="37" t="str">
        <f aca="true">IF(B910="","",IF(OR(D910="Done"),"Done",IF(E910="","No Due Date",IF(E910&lt;TODAY(),"Overdue",IF(E910=TODAY(),"Due Today",IF(E910&lt;TODAY()+7,"Due This Week","Later"))))))</f>
        <v/>
      </c>
      <c r="I910" s="40" t="str">
        <f aca="false">IF(AND(B910&lt;&gt;"",D910&lt;&gt;"Done",E910&lt;&gt;""),E910+ROW()/100000,"")</f>
        <v/>
      </c>
    </row>
    <row r="911" customFormat="false" ht="15" hidden="false" customHeight="false" outlineLevel="0" collapsed="false">
      <c r="A911" s="32"/>
      <c r="B911" s="32"/>
      <c r="C911" s="33"/>
      <c r="D911" s="32"/>
      <c r="E911" s="35"/>
      <c r="F911" s="32"/>
      <c r="G911" s="35"/>
      <c r="H911" s="37" t="str">
        <f aca="true">IF(B911="","",IF(OR(D911="Done"),"Done",IF(E911="","No Due Date",IF(E911&lt;TODAY(),"Overdue",IF(E911=TODAY(),"Due Today",IF(E911&lt;TODAY()+7,"Due This Week","Later"))))))</f>
        <v/>
      </c>
      <c r="I911" s="40" t="str">
        <f aca="false">IF(AND(B911&lt;&gt;"",D911&lt;&gt;"Done",E911&lt;&gt;""),E911+ROW()/100000,"")</f>
        <v/>
      </c>
    </row>
    <row r="912" customFormat="false" ht="15" hidden="false" customHeight="false" outlineLevel="0" collapsed="false">
      <c r="A912" s="32"/>
      <c r="B912" s="32"/>
      <c r="C912" s="33"/>
      <c r="D912" s="32"/>
      <c r="E912" s="35"/>
      <c r="F912" s="32"/>
      <c r="G912" s="35"/>
      <c r="H912" s="37" t="str">
        <f aca="true">IF(B912="","",IF(OR(D912="Done"),"Done",IF(E912="","No Due Date",IF(E912&lt;TODAY(),"Overdue",IF(E912=TODAY(),"Due Today",IF(E912&lt;TODAY()+7,"Due This Week","Later"))))))</f>
        <v/>
      </c>
      <c r="I912" s="40" t="str">
        <f aca="false">IF(AND(B912&lt;&gt;"",D912&lt;&gt;"Done",E912&lt;&gt;""),E912+ROW()/100000,"")</f>
        <v/>
      </c>
    </row>
    <row r="913" customFormat="false" ht="15" hidden="false" customHeight="false" outlineLevel="0" collapsed="false">
      <c r="A913" s="32"/>
      <c r="B913" s="32"/>
      <c r="C913" s="33"/>
      <c r="D913" s="32"/>
      <c r="E913" s="35"/>
      <c r="F913" s="32"/>
      <c r="G913" s="35"/>
      <c r="H913" s="37" t="str">
        <f aca="true">IF(B913="","",IF(OR(D913="Done"),"Done",IF(E913="","No Due Date",IF(E913&lt;TODAY(),"Overdue",IF(E913=TODAY(),"Due Today",IF(E913&lt;TODAY()+7,"Due This Week","Later"))))))</f>
        <v/>
      </c>
      <c r="I913" s="40" t="str">
        <f aca="false">IF(AND(B913&lt;&gt;"",D913&lt;&gt;"Done",E913&lt;&gt;""),E913+ROW()/100000,"")</f>
        <v/>
      </c>
    </row>
    <row r="914" customFormat="false" ht="15" hidden="false" customHeight="false" outlineLevel="0" collapsed="false">
      <c r="A914" s="32"/>
      <c r="B914" s="32"/>
      <c r="C914" s="33"/>
      <c r="D914" s="32"/>
      <c r="E914" s="35"/>
      <c r="F914" s="32"/>
      <c r="G914" s="35"/>
      <c r="H914" s="37" t="str">
        <f aca="true">IF(B914="","",IF(OR(D914="Done"),"Done",IF(E914="","No Due Date",IF(E914&lt;TODAY(),"Overdue",IF(E914=TODAY(),"Due Today",IF(E914&lt;TODAY()+7,"Due This Week","Later"))))))</f>
        <v/>
      </c>
      <c r="I914" s="40" t="str">
        <f aca="false">IF(AND(B914&lt;&gt;"",D914&lt;&gt;"Done",E914&lt;&gt;""),E914+ROW()/100000,"")</f>
        <v/>
      </c>
    </row>
    <row r="915" customFormat="false" ht="15" hidden="false" customHeight="false" outlineLevel="0" collapsed="false">
      <c r="A915" s="32"/>
      <c r="B915" s="32"/>
      <c r="C915" s="33"/>
      <c r="D915" s="32"/>
      <c r="E915" s="35"/>
      <c r="F915" s="32"/>
      <c r="G915" s="35"/>
      <c r="H915" s="37" t="str">
        <f aca="true">IF(B915="","",IF(OR(D915="Done"),"Done",IF(E915="","No Due Date",IF(E915&lt;TODAY(),"Overdue",IF(E915=TODAY(),"Due Today",IF(E915&lt;TODAY()+7,"Due This Week","Later"))))))</f>
        <v/>
      </c>
      <c r="I915" s="40" t="str">
        <f aca="false">IF(AND(B915&lt;&gt;"",D915&lt;&gt;"Done",E915&lt;&gt;""),E915+ROW()/100000,"")</f>
        <v/>
      </c>
    </row>
    <row r="916" customFormat="false" ht="15" hidden="false" customHeight="false" outlineLevel="0" collapsed="false">
      <c r="A916" s="32"/>
      <c r="B916" s="32"/>
      <c r="C916" s="33"/>
      <c r="D916" s="32"/>
      <c r="E916" s="35"/>
      <c r="F916" s="32"/>
      <c r="G916" s="35"/>
      <c r="H916" s="37" t="str">
        <f aca="true">IF(B916="","",IF(OR(D916="Done"),"Done",IF(E916="","No Due Date",IF(E916&lt;TODAY(),"Overdue",IF(E916=TODAY(),"Due Today",IF(E916&lt;TODAY()+7,"Due This Week","Later"))))))</f>
        <v/>
      </c>
      <c r="I916" s="40" t="str">
        <f aca="false">IF(AND(B916&lt;&gt;"",D916&lt;&gt;"Done",E916&lt;&gt;""),E916+ROW()/100000,"")</f>
        <v/>
      </c>
    </row>
    <row r="917" customFormat="false" ht="15" hidden="false" customHeight="false" outlineLevel="0" collapsed="false">
      <c r="A917" s="32"/>
      <c r="B917" s="32"/>
      <c r="C917" s="33"/>
      <c r="D917" s="32"/>
      <c r="E917" s="35"/>
      <c r="F917" s="32"/>
      <c r="G917" s="35"/>
      <c r="H917" s="37" t="str">
        <f aca="true">IF(B917="","",IF(OR(D917="Done"),"Done",IF(E917="","No Due Date",IF(E917&lt;TODAY(),"Overdue",IF(E917=TODAY(),"Due Today",IF(E917&lt;TODAY()+7,"Due This Week","Later"))))))</f>
        <v/>
      </c>
      <c r="I917" s="40" t="str">
        <f aca="false">IF(AND(B917&lt;&gt;"",D917&lt;&gt;"Done",E917&lt;&gt;""),E917+ROW()/100000,"")</f>
        <v/>
      </c>
    </row>
    <row r="918" customFormat="false" ht="15" hidden="false" customHeight="false" outlineLevel="0" collapsed="false">
      <c r="A918" s="32"/>
      <c r="B918" s="32"/>
      <c r="C918" s="33"/>
      <c r="D918" s="32"/>
      <c r="E918" s="35"/>
      <c r="F918" s="32"/>
      <c r="G918" s="35"/>
      <c r="H918" s="37" t="str">
        <f aca="true">IF(B918="","",IF(OR(D918="Done"),"Done",IF(E918="","No Due Date",IF(E918&lt;TODAY(),"Overdue",IF(E918=TODAY(),"Due Today",IF(E918&lt;TODAY()+7,"Due This Week","Later"))))))</f>
        <v/>
      </c>
      <c r="I918" s="40" t="str">
        <f aca="false">IF(AND(B918&lt;&gt;"",D918&lt;&gt;"Done",E918&lt;&gt;""),E918+ROW()/100000,"")</f>
        <v/>
      </c>
    </row>
    <row r="919" customFormat="false" ht="15" hidden="false" customHeight="false" outlineLevel="0" collapsed="false">
      <c r="A919" s="32"/>
      <c r="B919" s="32"/>
      <c r="C919" s="33"/>
      <c r="D919" s="32"/>
      <c r="E919" s="35"/>
      <c r="F919" s="32"/>
      <c r="G919" s="35"/>
      <c r="H919" s="37" t="str">
        <f aca="true">IF(B919="","",IF(OR(D919="Done"),"Done",IF(E919="","No Due Date",IF(E919&lt;TODAY(),"Overdue",IF(E919=TODAY(),"Due Today",IF(E919&lt;TODAY()+7,"Due This Week","Later"))))))</f>
        <v/>
      </c>
      <c r="I919" s="40" t="str">
        <f aca="false">IF(AND(B919&lt;&gt;"",D919&lt;&gt;"Done",E919&lt;&gt;""),E919+ROW()/100000,"")</f>
        <v/>
      </c>
    </row>
    <row r="920" customFormat="false" ht="15" hidden="false" customHeight="false" outlineLevel="0" collapsed="false">
      <c r="A920" s="32"/>
      <c r="B920" s="32"/>
      <c r="C920" s="33"/>
      <c r="D920" s="32"/>
      <c r="E920" s="35"/>
      <c r="F920" s="32"/>
      <c r="G920" s="35"/>
      <c r="H920" s="37" t="str">
        <f aca="true">IF(B920="","",IF(OR(D920="Done"),"Done",IF(E920="","No Due Date",IF(E920&lt;TODAY(),"Overdue",IF(E920=TODAY(),"Due Today",IF(E920&lt;TODAY()+7,"Due This Week","Later"))))))</f>
        <v/>
      </c>
      <c r="I920" s="40" t="str">
        <f aca="false">IF(AND(B920&lt;&gt;"",D920&lt;&gt;"Done",E920&lt;&gt;""),E920+ROW()/100000,"")</f>
        <v/>
      </c>
    </row>
    <row r="921" customFormat="false" ht="15" hidden="false" customHeight="false" outlineLevel="0" collapsed="false">
      <c r="A921" s="32"/>
      <c r="B921" s="32"/>
      <c r="C921" s="33"/>
      <c r="D921" s="32"/>
      <c r="E921" s="35"/>
      <c r="F921" s="32"/>
      <c r="G921" s="35"/>
      <c r="H921" s="37" t="str">
        <f aca="true">IF(B921="","",IF(OR(D921="Done"),"Done",IF(E921="","No Due Date",IF(E921&lt;TODAY(),"Overdue",IF(E921=TODAY(),"Due Today",IF(E921&lt;TODAY()+7,"Due This Week","Later"))))))</f>
        <v/>
      </c>
      <c r="I921" s="40" t="str">
        <f aca="false">IF(AND(B921&lt;&gt;"",D921&lt;&gt;"Done",E921&lt;&gt;""),E921+ROW()/100000,"")</f>
        <v/>
      </c>
    </row>
    <row r="922" customFormat="false" ht="15" hidden="false" customHeight="false" outlineLevel="0" collapsed="false">
      <c r="A922" s="32"/>
      <c r="B922" s="32"/>
      <c r="C922" s="33"/>
      <c r="D922" s="32"/>
      <c r="E922" s="35"/>
      <c r="F922" s="32"/>
      <c r="G922" s="35"/>
      <c r="H922" s="37" t="str">
        <f aca="true">IF(B922="","",IF(OR(D922="Done"),"Done",IF(E922="","No Due Date",IF(E922&lt;TODAY(),"Overdue",IF(E922=TODAY(),"Due Today",IF(E922&lt;TODAY()+7,"Due This Week","Later"))))))</f>
        <v/>
      </c>
      <c r="I922" s="40" t="str">
        <f aca="false">IF(AND(B922&lt;&gt;"",D922&lt;&gt;"Done",E922&lt;&gt;""),E922+ROW()/100000,"")</f>
        <v/>
      </c>
    </row>
    <row r="923" customFormat="false" ht="15" hidden="false" customHeight="false" outlineLevel="0" collapsed="false">
      <c r="A923" s="32"/>
      <c r="B923" s="32"/>
      <c r="C923" s="33"/>
      <c r="D923" s="32"/>
      <c r="E923" s="35"/>
      <c r="F923" s="32"/>
      <c r="G923" s="35"/>
      <c r="H923" s="37" t="str">
        <f aca="true">IF(B923="","",IF(OR(D923="Done"),"Done",IF(E923="","No Due Date",IF(E923&lt;TODAY(),"Overdue",IF(E923=TODAY(),"Due Today",IF(E923&lt;TODAY()+7,"Due This Week","Later"))))))</f>
        <v/>
      </c>
      <c r="I923" s="40" t="str">
        <f aca="false">IF(AND(B923&lt;&gt;"",D923&lt;&gt;"Done",E923&lt;&gt;""),E923+ROW()/100000,"")</f>
        <v/>
      </c>
    </row>
    <row r="924" customFormat="false" ht="15" hidden="false" customHeight="false" outlineLevel="0" collapsed="false">
      <c r="A924" s="32"/>
      <c r="B924" s="32"/>
      <c r="C924" s="33"/>
      <c r="D924" s="32"/>
      <c r="E924" s="35"/>
      <c r="F924" s="32"/>
      <c r="G924" s="35"/>
      <c r="H924" s="37" t="str">
        <f aca="true">IF(B924="","",IF(OR(D924="Done"),"Done",IF(E924="","No Due Date",IF(E924&lt;TODAY(),"Overdue",IF(E924=TODAY(),"Due Today",IF(E924&lt;TODAY()+7,"Due This Week","Later"))))))</f>
        <v/>
      </c>
      <c r="I924" s="40" t="str">
        <f aca="false">IF(AND(B924&lt;&gt;"",D924&lt;&gt;"Done",E924&lt;&gt;""),E924+ROW()/100000,"")</f>
        <v/>
      </c>
    </row>
    <row r="925" customFormat="false" ht="15" hidden="false" customHeight="false" outlineLevel="0" collapsed="false">
      <c r="A925" s="32"/>
      <c r="B925" s="32"/>
      <c r="C925" s="33"/>
      <c r="D925" s="32"/>
      <c r="E925" s="35"/>
      <c r="F925" s="32"/>
      <c r="G925" s="35"/>
      <c r="H925" s="37" t="str">
        <f aca="true">IF(B925="","",IF(OR(D925="Done"),"Done",IF(E925="","No Due Date",IF(E925&lt;TODAY(),"Overdue",IF(E925=TODAY(),"Due Today",IF(E925&lt;TODAY()+7,"Due This Week","Later"))))))</f>
        <v/>
      </c>
      <c r="I925" s="40" t="str">
        <f aca="false">IF(AND(B925&lt;&gt;"",D925&lt;&gt;"Done",E925&lt;&gt;""),E925+ROW()/100000,"")</f>
        <v/>
      </c>
    </row>
    <row r="926" customFormat="false" ht="15" hidden="false" customHeight="false" outlineLevel="0" collapsed="false">
      <c r="A926" s="32"/>
      <c r="B926" s="32"/>
      <c r="C926" s="33"/>
      <c r="D926" s="32"/>
      <c r="E926" s="35"/>
      <c r="F926" s="32"/>
      <c r="G926" s="35"/>
      <c r="H926" s="37" t="str">
        <f aca="true">IF(B926="","",IF(OR(D926="Done"),"Done",IF(E926="","No Due Date",IF(E926&lt;TODAY(),"Overdue",IF(E926=TODAY(),"Due Today",IF(E926&lt;TODAY()+7,"Due This Week","Later"))))))</f>
        <v/>
      </c>
      <c r="I926" s="40" t="str">
        <f aca="false">IF(AND(B926&lt;&gt;"",D926&lt;&gt;"Done",E926&lt;&gt;""),E926+ROW()/100000,"")</f>
        <v/>
      </c>
    </row>
    <row r="927" customFormat="false" ht="15" hidden="false" customHeight="false" outlineLevel="0" collapsed="false">
      <c r="A927" s="32"/>
      <c r="B927" s="32"/>
      <c r="C927" s="33"/>
      <c r="D927" s="32"/>
      <c r="E927" s="35"/>
      <c r="F927" s="32"/>
      <c r="G927" s="35"/>
      <c r="H927" s="37" t="str">
        <f aca="true">IF(B927="","",IF(OR(D927="Done"),"Done",IF(E927="","No Due Date",IF(E927&lt;TODAY(),"Overdue",IF(E927=TODAY(),"Due Today",IF(E927&lt;TODAY()+7,"Due This Week","Later"))))))</f>
        <v/>
      </c>
      <c r="I927" s="40" t="str">
        <f aca="false">IF(AND(B927&lt;&gt;"",D927&lt;&gt;"Done",E927&lt;&gt;""),E927+ROW()/100000,"")</f>
        <v/>
      </c>
    </row>
    <row r="928" customFormat="false" ht="15" hidden="false" customHeight="false" outlineLevel="0" collapsed="false">
      <c r="A928" s="32"/>
      <c r="B928" s="32"/>
      <c r="C928" s="33"/>
      <c r="D928" s="32"/>
      <c r="E928" s="35"/>
      <c r="F928" s="32"/>
      <c r="G928" s="35"/>
      <c r="H928" s="37" t="str">
        <f aca="true">IF(B928="","",IF(OR(D928="Done"),"Done",IF(E928="","No Due Date",IF(E928&lt;TODAY(),"Overdue",IF(E928=TODAY(),"Due Today",IF(E928&lt;TODAY()+7,"Due This Week","Later"))))))</f>
        <v/>
      </c>
      <c r="I928" s="40" t="str">
        <f aca="false">IF(AND(B928&lt;&gt;"",D928&lt;&gt;"Done",E928&lt;&gt;""),E928+ROW()/100000,"")</f>
        <v/>
      </c>
    </row>
    <row r="929" customFormat="false" ht="15" hidden="false" customHeight="false" outlineLevel="0" collapsed="false">
      <c r="A929" s="32"/>
      <c r="B929" s="32"/>
      <c r="C929" s="33"/>
      <c r="D929" s="32"/>
      <c r="E929" s="35"/>
      <c r="F929" s="32"/>
      <c r="G929" s="35"/>
      <c r="H929" s="37" t="str">
        <f aca="true">IF(B929="","",IF(OR(D929="Done"),"Done",IF(E929="","No Due Date",IF(E929&lt;TODAY(),"Overdue",IF(E929=TODAY(),"Due Today",IF(E929&lt;TODAY()+7,"Due This Week","Later"))))))</f>
        <v/>
      </c>
      <c r="I929" s="40" t="str">
        <f aca="false">IF(AND(B929&lt;&gt;"",D929&lt;&gt;"Done",E929&lt;&gt;""),E929+ROW()/100000,"")</f>
        <v/>
      </c>
    </row>
    <row r="930" customFormat="false" ht="15" hidden="false" customHeight="false" outlineLevel="0" collapsed="false">
      <c r="A930" s="32"/>
      <c r="B930" s="32"/>
      <c r="C930" s="33"/>
      <c r="D930" s="32"/>
      <c r="E930" s="35"/>
      <c r="F930" s="32"/>
      <c r="G930" s="35"/>
      <c r="H930" s="37" t="str">
        <f aca="true">IF(B930="","",IF(OR(D930="Done"),"Done",IF(E930="","No Due Date",IF(E930&lt;TODAY(),"Overdue",IF(E930=TODAY(),"Due Today",IF(E930&lt;TODAY()+7,"Due This Week","Later"))))))</f>
        <v/>
      </c>
      <c r="I930" s="40" t="str">
        <f aca="false">IF(AND(B930&lt;&gt;"",D930&lt;&gt;"Done",E930&lt;&gt;""),E930+ROW()/100000,"")</f>
        <v/>
      </c>
    </row>
    <row r="931" customFormat="false" ht="15" hidden="false" customHeight="false" outlineLevel="0" collapsed="false">
      <c r="A931" s="32"/>
      <c r="B931" s="32"/>
      <c r="C931" s="33"/>
      <c r="D931" s="32"/>
      <c r="E931" s="35"/>
      <c r="F931" s="32"/>
      <c r="G931" s="35"/>
      <c r="H931" s="37" t="str">
        <f aca="true">IF(B931="","",IF(OR(D931="Done"),"Done",IF(E931="","No Due Date",IF(E931&lt;TODAY(),"Overdue",IF(E931=TODAY(),"Due Today",IF(E931&lt;TODAY()+7,"Due This Week","Later"))))))</f>
        <v/>
      </c>
      <c r="I931" s="40" t="str">
        <f aca="false">IF(AND(B931&lt;&gt;"",D931&lt;&gt;"Done",E931&lt;&gt;""),E931+ROW()/100000,"")</f>
        <v/>
      </c>
    </row>
    <row r="932" customFormat="false" ht="15" hidden="false" customHeight="false" outlineLevel="0" collapsed="false">
      <c r="A932" s="32"/>
      <c r="B932" s="32"/>
      <c r="C932" s="33"/>
      <c r="D932" s="32"/>
      <c r="E932" s="35"/>
      <c r="F932" s="32"/>
      <c r="G932" s="35"/>
      <c r="H932" s="37" t="str">
        <f aca="true">IF(B932="","",IF(OR(D932="Done"),"Done",IF(E932="","No Due Date",IF(E932&lt;TODAY(),"Overdue",IF(E932=TODAY(),"Due Today",IF(E932&lt;TODAY()+7,"Due This Week","Later"))))))</f>
        <v/>
      </c>
      <c r="I932" s="40" t="str">
        <f aca="false">IF(AND(B932&lt;&gt;"",D932&lt;&gt;"Done",E932&lt;&gt;""),E932+ROW()/100000,"")</f>
        <v/>
      </c>
    </row>
    <row r="933" customFormat="false" ht="15" hidden="false" customHeight="false" outlineLevel="0" collapsed="false">
      <c r="A933" s="32"/>
      <c r="B933" s="32"/>
      <c r="C933" s="33"/>
      <c r="D933" s="32"/>
      <c r="E933" s="35"/>
      <c r="F933" s="32"/>
      <c r="G933" s="35"/>
      <c r="H933" s="37" t="str">
        <f aca="true">IF(B933="","",IF(OR(D933="Done"),"Done",IF(E933="","No Due Date",IF(E933&lt;TODAY(),"Overdue",IF(E933=TODAY(),"Due Today",IF(E933&lt;TODAY()+7,"Due This Week","Later"))))))</f>
        <v/>
      </c>
      <c r="I933" s="40" t="str">
        <f aca="false">IF(AND(B933&lt;&gt;"",D933&lt;&gt;"Done",E933&lt;&gt;""),E933+ROW()/100000,"")</f>
        <v/>
      </c>
    </row>
    <row r="934" customFormat="false" ht="15" hidden="false" customHeight="false" outlineLevel="0" collapsed="false">
      <c r="A934" s="32"/>
      <c r="B934" s="32"/>
      <c r="C934" s="33"/>
      <c r="D934" s="32"/>
      <c r="E934" s="35"/>
      <c r="F934" s="32"/>
      <c r="G934" s="35"/>
      <c r="H934" s="37" t="str">
        <f aca="true">IF(B934="","",IF(OR(D934="Done"),"Done",IF(E934="","No Due Date",IF(E934&lt;TODAY(),"Overdue",IF(E934=TODAY(),"Due Today",IF(E934&lt;TODAY()+7,"Due This Week","Later"))))))</f>
        <v/>
      </c>
      <c r="I934" s="40" t="str">
        <f aca="false">IF(AND(B934&lt;&gt;"",D934&lt;&gt;"Done",E934&lt;&gt;""),E934+ROW()/100000,"")</f>
        <v/>
      </c>
    </row>
    <row r="935" customFormat="false" ht="15" hidden="false" customHeight="false" outlineLevel="0" collapsed="false">
      <c r="A935" s="32"/>
      <c r="B935" s="32"/>
      <c r="C935" s="33"/>
      <c r="D935" s="32"/>
      <c r="E935" s="35"/>
      <c r="F935" s="32"/>
      <c r="G935" s="35"/>
      <c r="H935" s="37" t="str">
        <f aca="true">IF(B935="","",IF(OR(D935="Done"),"Done",IF(E935="","No Due Date",IF(E935&lt;TODAY(),"Overdue",IF(E935=TODAY(),"Due Today",IF(E935&lt;TODAY()+7,"Due This Week","Later"))))))</f>
        <v/>
      </c>
      <c r="I935" s="40" t="str">
        <f aca="false">IF(AND(B935&lt;&gt;"",D935&lt;&gt;"Done",E935&lt;&gt;""),E935+ROW()/100000,"")</f>
        <v/>
      </c>
    </row>
    <row r="936" customFormat="false" ht="15" hidden="false" customHeight="false" outlineLevel="0" collapsed="false">
      <c r="A936" s="32"/>
      <c r="B936" s="32"/>
      <c r="C936" s="33"/>
      <c r="D936" s="32"/>
      <c r="E936" s="35"/>
      <c r="F936" s="32"/>
      <c r="G936" s="35"/>
      <c r="H936" s="37" t="str">
        <f aca="true">IF(B936="","",IF(OR(D936="Done"),"Done",IF(E936="","No Due Date",IF(E936&lt;TODAY(),"Overdue",IF(E936=TODAY(),"Due Today",IF(E936&lt;TODAY()+7,"Due This Week","Later"))))))</f>
        <v/>
      </c>
      <c r="I936" s="40" t="str">
        <f aca="false">IF(AND(B936&lt;&gt;"",D936&lt;&gt;"Done",E936&lt;&gt;""),E936+ROW()/100000,"")</f>
        <v/>
      </c>
    </row>
    <row r="937" customFormat="false" ht="15" hidden="false" customHeight="false" outlineLevel="0" collapsed="false">
      <c r="A937" s="32"/>
      <c r="B937" s="32"/>
      <c r="C937" s="33"/>
      <c r="D937" s="32"/>
      <c r="E937" s="35"/>
      <c r="F937" s="32"/>
      <c r="G937" s="35"/>
      <c r="H937" s="37" t="str">
        <f aca="true">IF(B937="","",IF(OR(D937="Done"),"Done",IF(E937="","No Due Date",IF(E937&lt;TODAY(),"Overdue",IF(E937=TODAY(),"Due Today",IF(E937&lt;TODAY()+7,"Due This Week","Later"))))))</f>
        <v/>
      </c>
      <c r="I937" s="40" t="str">
        <f aca="false">IF(AND(B937&lt;&gt;"",D937&lt;&gt;"Done",E937&lt;&gt;""),E937+ROW()/100000,"")</f>
        <v/>
      </c>
    </row>
    <row r="938" customFormat="false" ht="15" hidden="false" customHeight="false" outlineLevel="0" collapsed="false">
      <c r="A938" s="32"/>
      <c r="B938" s="32"/>
      <c r="C938" s="33"/>
      <c r="D938" s="32"/>
      <c r="E938" s="35"/>
      <c r="F938" s="32"/>
      <c r="G938" s="35"/>
      <c r="H938" s="37" t="str">
        <f aca="true">IF(B938="","",IF(OR(D938="Done"),"Done",IF(E938="","No Due Date",IF(E938&lt;TODAY(),"Overdue",IF(E938=TODAY(),"Due Today",IF(E938&lt;TODAY()+7,"Due This Week","Later"))))))</f>
        <v/>
      </c>
      <c r="I938" s="40" t="str">
        <f aca="false">IF(AND(B938&lt;&gt;"",D938&lt;&gt;"Done",E938&lt;&gt;""),E938+ROW()/100000,"")</f>
        <v/>
      </c>
    </row>
    <row r="939" customFormat="false" ht="15" hidden="false" customHeight="false" outlineLevel="0" collapsed="false">
      <c r="A939" s="32"/>
      <c r="B939" s="32"/>
      <c r="C939" s="33"/>
      <c r="D939" s="32"/>
      <c r="E939" s="35"/>
      <c r="F939" s="32"/>
      <c r="G939" s="35"/>
      <c r="H939" s="37" t="str">
        <f aca="true">IF(B939="","",IF(OR(D939="Done"),"Done",IF(E939="","No Due Date",IF(E939&lt;TODAY(),"Overdue",IF(E939=TODAY(),"Due Today",IF(E939&lt;TODAY()+7,"Due This Week","Later"))))))</f>
        <v/>
      </c>
      <c r="I939" s="40" t="str">
        <f aca="false">IF(AND(B939&lt;&gt;"",D939&lt;&gt;"Done",E939&lt;&gt;""),E939+ROW()/100000,"")</f>
        <v/>
      </c>
    </row>
    <row r="940" customFormat="false" ht="15" hidden="false" customHeight="false" outlineLevel="0" collapsed="false">
      <c r="A940" s="32"/>
      <c r="B940" s="32"/>
      <c r="C940" s="33"/>
      <c r="D940" s="32"/>
      <c r="E940" s="35"/>
      <c r="F940" s="32"/>
      <c r="G940" s="35"/>
      <c r="H940" s="37" t="str">
        <f aca="true">IF(B940="","",IF(OR(D940="Done"),"Done",IF(E940="","No Due Date",IF(E940&lt;TODAY(),"Overdue",IF(E940=TODAY(),"Due Today",IF(E940&lt;TODAY()+7,"Due This Week","Later"))))))</f>
        <v/>
      </c>
      <c r="I940" s="40" t="str">
        <f aca="false">IF(AND(B940&lt;&gt;"",D940&lt;&gt;"Done",E940&lt;&gt;""),E940+ROW()/100000,"")</f>
        <v/>
      </c>
    </row>
    <row r="941" customFormat="false" ht="15" hidden="false" customHeight="false" outlineLevel="0" collapsed="false">
      <c r="A941" s="32"/>
      <c r="B941" s="32"/>
      <c r="C941" s="33"/>
      <c r="D941" s="32"/>
      <c r="E941" s="35"/>
      <c r="F941" s="32"/>
      <c r="G941" s="35"/>
      <c r="H941" s="37" t="str">
        <f aca="true">IF(B941="","",IF(OR(D941="Done"),"Done",IF(E941="","No Due Date",IF(E941&lt;TODAY(),"Overdue",IF(E941=TODAY(),"Due Today",IF(E941&lt;TODAY()+7,"Due This Week","Later"))))))</f>
        <v/>
      </c>
      <c r="I941" s="40" t="str">
        <f aca="false">IF(AND(B941&lt;&gt;"",D941&lt;&gt;"Done",E941&lt;&gt;""),E941+ROW()/100000,"")</f>
        <v/>
      </c>
    </row>
    <row r="942" customFormat="false" ht="15" hidden="false" customHeight="false" outlineLevel="0" collapsed="false">
      <c r="A942" s="32"/>
      <c r="B942" s="32"/>
      <c r="C942" s="33"/>
      <c r="D942" s="32"/>
      <c r="E942" s="35"/>
      <c r="F942" s="32"/>
      <c r="G942" s="35"/>
      <c r="H942" s="37" t="str">
        <f aca="true">IF(B942="","",IF(OR(D942="Done"),"Done",IF(E942="","No Due Date",IF(E942&lt;TODAY(),"Overdue",IF(E942=TODAY(),"Due Today",IF(E942&lt;TODAY()+7,"Due This Week","Later"))))))</f>
        <v/>
      </c>
      <c r="I942" s="40" t="str">
        <f aca="false">IF(AND(B942&lt;&gt;"",D942&lt;&gt;"Done",E942&lt;&gt;""),E942+ROW()/100000,"")</f>
        <v/>
      </c>
    </row>
    <row r="943" customFormat="false" ht="15" hidden="false" customHeight="false" outlineLevel="0" collapsed="false">
      <c r="A943" s="32"/>
      <c r="B943" s="32"/>
      <c r="C943" s="33"/>
      <c r="D943" s="32"/>
      <c r="E943" s="35"/>
      <c r="F943" s="32"/>
      <c r="G943" s="35"/>
      <c r="H943" s="37" t="str">
        <f aca="true">IF(B943="","",IF(OR(D943="Done"),"Done",IF(E943="","No Due Date",IF(E943&lt;TODAY(),"Overdue",IF(E943=TODAY(),"Due Today",IF(E943&lt;TODAY()+7,"Due This Week","Later"))))))</f>
        <v/>
      </c>
      <c r="I943" s="40" t="str">
        <f aca="false">IF(AND(B943&lt;&gt;"",D943&lt;&gt;"Done",E943&lt;&gt;""),E943+ROW()/100000,"")</f>
        <v/>
      </c>
    </row>
    <row r="944" customFormat="false" ht="15" hidden="false" customHeight="false" outlineLevel="0" collapsed="false">
      <c r="A944" s="32"/>
      <c r="B944" s="32"/>
      <c r="C944" s="33"/>
      <c r="D944" s="32"/>
      <c r="E944" s="35"/>
      <c r="F944" s="32"/>
      <c r="G944" s="35"/>
      <c r="H944" s="37" t="str">
        <f aca="true">IF(B944="","",IF(OR(D944="Done"),"Done",IF(E944="","No Due Date",IF(E944&lt;TODAY(),"Overdue",IF(E944=TODAY(),"Due Today",IF(E944&lt;TODAY()+7,"Due This Week","Later"))))))</f>
        <v/>
      </c>
      <c r="I944" s="40" t="str">
        <f aca="false">IF(AND(B944&lt;&gt;"",D944&lt;&gt;"Done",E944&lt;&gt;""),E944+ROW()/100000,"")</f>
        <v/>
      </c>
    </row>
    <row r="945" customFormat="false" ht="15" hidden="false" customHeight="false" outlineLevel="0" collapsed="false">
      <c r="A945" s="32"/>
      <c r="B945" s="32"/>
      <c r="C945" s="33"/>
      <c r="D945" s="32"/>
      <c r="E945" s="35"/>
      <c r="F945" s="32"/>
      <c r="G945" s="35"/>
      <c r="H945" s="37" t="str">
        <f aca="true">IF(B945="","",IF(OR(D945="Done"),"Done",IF(E945="","No Due Date",IF(E945&lt;TODAY(),"Overdue",IF(E945=TODAY(),"Due Today",IF(E945&lt;TODAY()+7,"Due This Week","Later"))))))</f>
        <v/>
      </c>
      <c r="I945" s="40" t="str">
        <f aca="false">IF(AND(B945&lt;&gt;"",D945&lt;&gt;"Done",E945&lt;&gt;""),E945+ROW()/100000,"")</f>
        <v/>
      </c>
    </row>
    <row r="946" customFormat="false" ht="15" hidden="false" customHeight="false" outlineLevel="0" collapsed="false">
      <c r="A946" s="32"/>
      <c r="B946" s="32"/>
      <c r="C946" s="33"/>
      <c r="D946" s="32"/>
      <c r="E946" s="35"/>
      <c r="F946" s="32"/>
      <c r="G946" s="35"/>
      <c r="H946" s="37" t="str">
        <f aca="true">IF(B946="","",IF(OR(D946="Done"),"Done",IF(E946="","No Due Date",IF(E946&lt;TODAY(),"Overdue",IF(E946=TODAY(),"Due Today",IF(E946&lt;TODAY()+7,"Due This Week","Later"))))))</f>
        <v/>
      </c>
      <c r="I946" s="40" t="str">
        <f aca="false">IF(AND(B946&lt;&gt;"",D946&lt;&gt;"Done",E946&lt;&gt;""),E946+ROW()/100000,"")</f>
        <v/>
      </c>
    </row>
    <row r="947" customFormat="false" ht="15" hidden="false" customHeight="false" outlineLevel="0" collapsed="false">
      <c r="A947" s="32"/>
      <c r="B947" s="32"/>
      <c r="C947" s="33"/>
      <c r="D947" s="32"/>
      <c r="E947" s="35"/>
      <c r="F947" s="32"/>
      <c r="G947" s="35"/>
      <c r="H947" s="37" t="str">
        <f aca="true">IF(B947="","",IF(OR(D947="Done"),"Done",IF(E947="","No Due Date",IF(E947&lt;TODAY(),"Overdue",IF(E947=TODAY(),"Due Today",IF(E947&lt;TODAY()+7,"Due This Week","Later"))))))</f>
        <v/>
      </c>
      <c r="I947" s="40" t="str">
        <f aca="false">IF(AND(B947&lt;&gt;"",D947&lt;&gt;"Done",E947&lt;&gt;""),E947+ROW()/100000,"")</f>
        <v/>
      </c>
    </row>
    <row r="948" customFormat="false" ht="15" hidden="false" customHeight="false" outlineLevel="0" collapsed="false">
      <c r="A948" s="32"/>
      <c r="B948" s="32"/>
      <c r="C948" s="33"/>
      <c r="D948" s="32"/>
      <c r="E948" s="35"/>
      <c r="F948" s="32"/>
      <c r="G948" s="35"/>
      <c r="H948" s="37" t="str">
        <f aca="true">IF(B948="","",IF(OR(D948="Done"),"Done",IF(E948="","No Due Date",IF(E948&lt;TODAY(),"Overdue",IF(E948=TODAY(),"Due Today",IF(E948&lt;TODAY()+7,"Due This Week","Later"))))))</f>
        <v/>
      </c>
      <c r="I948" s="40" t="str">
        <f aca="false">IF(AND(B948&lt;&gt;"",D948&lt;&gt;"Done",E948&lt;&gt;""),E948+ROW()/100000,"")</f>
        <v/>
      </c>
    </row>
    <row r="949" customFormat="false" ht="15" hidden="false" customHeight="false" outlineLevel="0" collapsed="false">
      <c r="A949" s="32"/>
      <c r="B949" s="32"/>
      <c r="C949" s="33"/>
      <c r="D949" s="32"/>
      <c r="E949" s="35"/>
      <c r="F949" s="32"/>
      <c r="G949" s="35"/>
      <c r="H949" s="37" t="str">
        <f aca="true">IF(B949="","",IF(OR(D949="Done"),"Done",IF(E949="","No Due Date",IF(E949&lt;TODAY(),"Overdue",IF(E949=TODAY(),"Due Today",IF(E949&lt;TODAY()+7,"Due This Week","Later"))))))</f>
        <v/>
      </c>
      <c r="I949" s="40" t="str">
        <f aca="false">IF(AND(B949&lt;&gt;"",D949&lt;&gt;"Done",E949&lt;&gt;""),E949+ROW()/100000,"")</f>
        <v/>
      </c>
    </row>
    <row r="950" customFormat="false" ht="15" hidden="false" customHeight="false" outlineLevel="0" collapsed="false">
      <c r="A950" s="32"/>
      <c r="B950" s="32"/>
      <c r="C950" s="33"/>
      <c r="D950" s="32"/>
      <c r="E950" s="35"/>
      <c r="F950" s="32"/>
      <c r="G950" s="35"/>
      <c r="H950" s="37" t="str">
        <f aca="true">IF(B950="","",IF(OR(D950="Done"),"Done",IF(E950="","No Due Date",IF(E950&lt;TODAY(),"Overdue",IF(E950=TODAY(),"Due Today",IF(E950&lt;TODAY()+7,"Due This Week","Later"))))))</f>
        <v/>
      </c>
      <c r="I950" s="40" t="str">
        <f aca="false">IF(AND(B950&lt;&gt;"",D950&lt;&gt;"Done",E950&lt;&gt;""),E950+ROW()/100000,"")</f>
        <v/>
      </c>
    </row>
    <row r="951" customFormat="false" ht="15" hidden="false" customHeight="false" outlineLevel="0" collapsed="false">
      <c r="A951" s="32"/>
      <c r="B951" s="32"/>
      <c r="C951" s="33"/>
      <c r="D951" s="32"/>
      <c r="E951" s="35"/>
      <c r="F951" s="32"/>
      <c r="G951" s="35"/>
      <c r="H951" s="37" t="str">
        <f aca="true">IF(B951="","",IF(OR(D951="Done"),"Done",IF(E951="","No Due Date",IF(E951&lt;TODAY(),"Overdue",IF(E951=TODAY(),"Due Today",IF(E951&lt;TODAY()+7,"Due This Week","Later"))))))</f>
        <v/>
      </c>
      <c r="I951" s="40" t="str">
        <f aca="false">IF(AND(B951&lt;&gt;"",D951&lt;&gt;"Done",E951&lt;&gt;""),E951+ROW()/100000,"")</f>
        <v/>
      </c>
    </row>
    <row r="952" customFormat="false" ht="15" hidden="false" customHeight="false" outlineLevel="0" collapsed="false">
      <c r="A952" s="32"/>
      <c r="B952" s="32"/>
      <c r="C952" s="33"/>
      <c r="D952" s="32"/>
      <c r="E952" s="35"/>
      <c r="F952" s="32"/>
      <c r="G952" s="35"/>
      <c r="H952" s="37" t="str">
        <f aca="true">IF(B952="","",IF(OR(D952="Done"),"Done",IF(E952="","No Due Date",IF(E952&lt;TODAY(),"Overdue",IF(E952=TODAY(),"Due Today",IF(E952&lt;TODAY()+7,"Due This Week","Later"))))))</f>
        <v/>
      </c>
      <c r="I952" s="40" t="str">
        <f aca="false">IF(AND(B952&lt;&gt;"",D952&lt;&gt;"Done",E952&lt;&gt;""),E952+ROW()/100000,"")</f>
        <v/>
      </c>
    </row>
    <row r="953" customFormat="false" ht="15" hidden="false" customHeight="false" outlineLevel="0" collapsed="false">
      <c r="A953" s="32"/>
      <c r="B953" s="32"/>
      <c r="C953" s="33"/>
      <c r="D953" s="32"/>
      <c r="E953" s="35"/>
      <c r="F953" s="32"/>
      <c r="G953" s="35"/>
      <c r="H953" s="37" t="str">
        <f aca="true">IF(B953="","",IF(OR(D953="Done"),"Done",IF(E953="","No Due Date",IF(E953&lt;TODAY(),"Overdue",IF(E953=TODAY(),"Due Today",IF(E953&lt;TODAY()+7,"Due This Week","Later"))))))</f>
        <v/>
      </c>
      <c r="I953" s="40" t="str">
        <f aca="false">IF(AND(B953&lt;&gt;"",D953&lt;&gt;"Done",E953&lt;&gt;""),E953+ROW()/100000,"")</f>
        <v/>
      </c>
    </row>
    <row r="954" customFormat="false" ht="15" hidden="false" customHeight="false" outlineLevel="0" collapsed="false">
      <c r="A954" s="32"/>
      <c r="B954" s="32"/>
      <c r="C954" s="33"/>
      <c r="D954" s="32"/>
      <c r="E954" s="35"/>
      <c r="F954" s="32"/>
      <c r="G954" s="35"/>
      <c r="H954" s="37" t="str">
        <f aca="true">IF(B954="","",IF(OR(D954="Done"),"Done",IF(E954="","No Due Date",IF(E954&lt;TODAY(),"Overdue",IF(E954=TODAY(),"Due Today",IF(E954&lt;TODAY()+7,"Due This Week","Later"))))))</f>
        <v/>
      </c>
      <c r="I954" s="40" t="str">
        <f aca="false">IF(AND(B954&lt;&gt;"",D954&lt;&gt;"Done",E954&lt;&gt;""),E954+ROW()/100000,"")</f>
        <v/>
      </c>
    </row>
    <row r="955" customFormat="false" ht="15" hidden="false" customHeight="false" outlineLevel="0" collapsed="false">
      <c r="A955" s="32"/>
      <c r="B955" s="32"/>
      <c r="C955" s="33"/>
      <c r="D955" s="32"/>
      <c r="E955" s="35"/>
      <c r="F955" s="32"/>
      <c r="G955" s="35"/>
      <c r="H955" s="37" t="str">
        <f aca="true">IF(B955="","",IF(OR(D955="Done"),"Done",IF(E955="","No Due Date",IF(E955&lt;TODAY(),"Overdue",IF(E955=TODAY(),"Due Today",IF(E955&lt;TODAY()+7,"Due This Week","Later"))))))</f>
        <v/>
      </c>
      <c r="I955" s="40" t="str">
        <f aca="false">IF(AND(B955&lt;&gt;"",D955&lt;&gt;"Done",E955&lt;&gt;""),E955+ROW()/100000,"")</f>
        <v/>
      </c>
    </row>
    <row r="956" customFormat="false" ht="15" hidden="false" customHeight="false" outlineLevel="0" collapsed="false">
      <c r="A956" s="32"/>
      <c r="B956" s="32"/>
      <c r="C956" s="33"/>
      <c r="D956" s="32"/>
      <c r="E956" s="35"/>
      <c r="F956" s="32"/>
      <c r="G956" s="35"/>
      <c r="H956" s="37" t="str">
        <f aca="true">IF(B956="","",IF(OR(D956="Done"),"Done",IF(E956="","No Due Date",IF(E956&lt;TODAY(),"Overdue",IF(E956=TODAY(),"Due Today",IF(E956&lt;TODAY()+7,"Due This Week","Later"))))))</f>
        <v/>
      </c>
      <c r="I956" s="40" t="str">
        <f aca="false">IF(AND(B956&lt;&gt;"",D956&lt;&gt;"Done",E956&lt;&gt;""),E956+ROW()/100000,"")</f>
        <v/>
      </c>
    </row>
    <row r="957" customFormat="false" ht="15" hidden="false" customHeight="false" outlineLevel="0" collapsed="false">
      <c r="A957" s="32"/>
      <c r="B957" s="32"/>
      <c r="C957" s="33"/>
      <c r="D957" s="32"/>
      <c r="E957" s="35"/>
      <c r="F957" s="32"/>
      <c r="G957" s="35"/>
      <c r="H957" s="37" t="str">
        <f aca="true">IF(B957="","",IF(OR(D957="Done"),"Done",IF(E957="","No Due Date",IF(E957&lt;TODAY(),"Overdue",IF(E957=TODAY(),"Due Today",IF(E957&lt;TODAY()+7,"Due This Week","Later"))))))</f>
        <v/>
      </c>
      <c r="I957" s="40" t="str">
        <f aca="false">IF(AND(B957&lt;&gt;"",D957&lt;&gt;"Done",E957&lt;&gt;""),E957+ROW()/100000,"")</f>
        <v/>
      </c>
    </row>
    <row r="958" customFormat="false" ht="15" hidden="false" customHeight="false" outlineLevel="0" collapsed="false">
      <c r="A958" s="32"/>
      <c r="B958" s="32"/>
      <c r="C958" s="33"/>
      <c r="D958" s="32"/>
      <c r="E958" s="35"/>
      <c r="F958" s="32"/>
      <c r="G958" s="35"/>
      <c r="H958" s="37" t="str">
        <f aca="true">IF(B958="","",IF(OR(D958="Done"),"Done",IF(E958="","No Due Date",IF(E958&lt;TODAY(),"Overdue",IF(E958=TODAY(),"Due Today",IF(E958&lt;TODAY()+7,"Due This Week","Later"))))))</f>
        <v/>
      </c>
      <c r="I958" s="40" t="str">
        <f aca="false">IF(AND(B958&lt;&gt;"",D958&lt;&gt;"Done",E958&lt;&gt;""),E958+ROW()/100000,"")</f>
        <v/>
      </c>
    </row>
    <row r="959" customFormat="false" ht="15" hidden="false" customHeight="false" outlineLevel="0" collapsed="false">
      <c r="A959" s="32"/>
      <c r="B959" s="32"/>
      <c r="C959" s="33"/>
      <c r="D959" s="32"/>
      <c r="E959" s="35"/>
      <c r="F959" s="32"/>
      <c r="G959" s="35"/>
      <c r="H959" s="37" t="str">
        <f aca="true">IF(B959="","",IF(OR(D959="Done"),"Done",IF(E959="","No Due Date",IF(E959&lt;TODAY(),"Overdue",IF(E959=TODAY(),"Due Today",IF(E959&lt;TODAY()+7,"Due This Week","Later"))))))</f>
        <v/>
      </c>
      <c r="I959" s="40" t="str">
        <f aca="false">IF(AND(B959&lt;&gt;"",D959&lt;&gt;"Done",E959&lt;&gt;""),E959+ROW()/100000,"")</f>
        <v/>
      </c>
    </row>
    <row r="960" customFormat="false" ht="15" hidden="false" customHeight="false" outlineLevel="0" collapsed="false">
      <c r="A960" s="32"/>
      <c r="B960" s="32"/>
      <c r="C960" s="33"/>
      <c r="D960" s="32"/>
      <c r="E960" s="35"/>
      <c r="F960" s="32"/>
      <c r="G960" s="35"/>
      <c r="H960" s="37" t="str">
        <f aca="true">IF(B960="","",IF(OR(D960="Done"),"Done",IF(E960="","No Due Date",IF(E960&lt;TODAY(),"Overdue",IF(E960=TODAY(),"Due Today",IF(E960&lt;TODAY()+7,"Due This Week","Later"))))))</f>
        <v/>
      </c>
      <c r="I960" s="40" t="str">
        <f aca="false">IF(AND(B960&lt;&gt;"",D960&lt;&gt;"Done",E960&lt;&gt;""),E960+ROW()/100000,"")</f>
        <v/>
      </c>
    </row>
    <row r="961" customFormat="false" ht="15" hidden="false" customHeight="false" outlineLevel="0" collapsed="false">
      <c r="A961" s="32"/>
      <c r="B961" s="32"/>
      <c r="C961" s="33"/>
      <c r="D961" s="32"/>
      <c r="E961" s="35"/>
      <c r="F961" s="32"/>
      <c r="G961" s="35"/>
      <c r="H961" s="37" t="str">
        <f aca="true">IF(B961="","",IF(OR(D961="Done"),"Done",IF(E961="","No Due Date",IF(E961&lt;TODAY(),"Overdue",IF(E961=TODAY(),"Due Today",IF(E961&lt;TODAY()+7,"Due This Week","Later"))))))</f>
        <v/>
      </c>
      <c r="I961" s="40" t="str">
        <f aca="false">IF(AND(B961&lt;&gt;"",D961&lt;&gt;"Done",E961&lt;&gt;""),E961+ROW()/100000,"")</f>
        <v/>
      </c>
    </row>
    <row r="962" customFormat="false" ht="15" hidden="false" customHeight="false" outlineLevel="0" collapsed="false">
      <c r="A962" s="32"/>
      <c r="B962" s="32"/>
      <c r="C962" s="33"/>
      <c r="D962" s="32"/>
      <c r="E962" s="35"/>
      <c r="F962" s="32"/>
      <c r="G962" s="35"/>
      <c r="H962" s="37" t="str">
        <f aca="true">IF(B962="","",IF(OR(D962="Done"),"Done",IF(E962="","No Due Date",IF(E962&lt;TODAY(),"Overdue",IF(E962=TODAY(),"Due Today",IF(E962&lt;TODAY()+7,"Due This Week","Later"))))))</f>
        <v/>
      </c>
      <c r="I962" s="40" t="str">
        <f aca="false">IF(AND(B962&lt;&gt;"",D962&lt;&gt;"Done",E962&lt;&gt;""),E962+ROW()/100000,"")</f>
        <v/>
      </c>
    </row>
    <row r="963" customFormat="false" ht="15" hidden="false" customHeight="false" outlineLevel="0" collapsed="false">
      <c r="A963" s="32"/>
      <c r="B963" s="32"/>
      <c r="C963" s="33"/>
      <c r="D963" s="32"/>
      <c r="E963" s="35"/>
      <c r="F963" s="32"/>
      <c r="G963" s="35"/>
      <c r="H963" s="37" t="str">
        <f aca="true">IF(B963="","",IF(OR(D963="Done"),"Done",IF(E963="","No Due Date",IF(E963&lt;TODAY(),"Overdue",IF(E963=TODAY(),"Due Today",IF(E963&lt;TODAY()+7,"Due This Week","Later"))))))</f>
        <v/>
      </c>
      <c r="I963" s="40" t="str">
        <f aca="false">IF(AND(B963&lt;&gt;"",D963&lt;&gt;"Done",E963&lt;&gt;""),E963+ROW()/100000,"")</f>
        <v/>
      </c>
    </row>
    <row r="964" customFormat="false" ht="15" hidden="false" customHeight="false" outlineLevel="0" collapsed="false">
      <c r="A964" s="32"/>
      <c r="B964" s="32"/>
      <c r="C964" s="33"/>
      <c r="D964" s="32"/>
      <c r="E964" s="35"/>
      <c r="F964" s="32"/>
      <c r="G964" s="35"/>
      <c r="H964" s="37" t="str">
        <f aca="true">IF(B964="","",IF(OR(D964="Done"),"Done",IF(E964="","No Due Date",IF(E964&lt;TODAY(),"Overdue",IF(E964=TODAY(),"Due Today",IF(E964&lt;TODAY()+7,"Due This Week","Later"))))))</f>
        <v/>
      </c>
      <c r="I964" s="40" t="str">
        <f aca="false">IF(AND(B964&lt;&gt;"",D964&lt;&gt;"Done",E964&lt;&gt;""),E964+ROW()/100000,"")</f>
        <v/>
      </c>
    </row>
    <row r="965" customFormat="false" ht="15" hidden="false" customHeight="false" outlineLevel="0" collapsed="false">
      <c r="A965" s="32"/>
      <c r="B965" s="32"/>
      <c r="C965" s="33"/>
      <c r="D965" s="32"/>
      <c r="E965" s="35"/>
      <c r="F965" s="32"/>
      <c r="G965" s="35"/>
      <c r="H965" s="37" t="str">
        <f aca="true">IF(B965="","",IF(OR(D965="Done"),"Done",IF(E965="","No Due Date",IF(E965&lt;TODAY(),"Overdue",IF(E965=TODAY(),"Due Today",IF(E965&lt;TODAY()+7,"Due This Week","Later"))))))</f>
        <v/>
      </c>
      <c r="I965" s="40" t="str">
        <f aca="false">IF(AND(B965&lt;&gt;"",D965&lt;&gt;"Done",E965&lt;&gt;""),E965+ROW()/100000,"")</f>
        <v/>
      </c>
    </row>
    <row r="966" customFormat="false" ht="15" hidden="false" customHeight="false" outlineLevel="0" collapsed="false">
      <c r="A966" s="32"/>
      <c r="B966" s="32"/>
      <c r="C966" s="33"/>
      <c r="D966" s="32"/>
      <c r="E966" s="35"/>
      <c r="F966" s="32"/>
      <c r="G966" s="35"/>
      <c r="H966" s="37" t="str">
        <f aca="true">IF(B966="","",IF(OR(D966="Done"),"Done",IF(E966="","No Due Date",IF(E966&lt;TODAY(),"Overdue",IF(E966=TODAY(),"Due Today",IF(E966&lt;TODAY()+7,"Due This Week","Later"))))))</f>
        <v/>
      </c>
      <c r="I966" s="40" t="str">
        <f aca="false">IF(AND(B966&lt;&gt;"",D966&lt;&gt;"Done",E966&lt;&gt;""),E966+ROW()/100000,"")</f>
        <v/>
      </c>
    </row>
    <row r="967" customFormat="false" ht="15" hidden="false" customHeight="false" outlineLevel="0" collapsed="false">
      <c r="A967" s="32"/>
      <c r="B967" s="32"/>
      <c r="C967" s="33"/>
      <c r="D967" s="32"/>
      <c r="E967" s="35"/>
      <c r="F967" s="32"/>
      <c r="G967" s="35"/>
      <c r="H967" s="37" t="str">
        <f aca="true">IF(B967="","",IF(OR(D967="Done"),"Done",IF(E967="","No Due Date",IF(E967&lt;TODAY(),"Overdue",IF(E967=TODAY(),"Due Today",IF(E967&lt;TODAY()+7,"Due This Week","Later"))))))</f>
        <v/>
      </c>
      <c r="I967" s="40" t="str">
        <f aca="false">IF(AND(B967&lt;&gt;"",D967&lt;&gt;"Done",E967&lt;&gt;""),E967+ROW()/100000,"")</f>
        <v/>
      </c>
    </row>
    <row r="968" customFormat="false" ht="15" hidden="false" customHeight="false" outlineLevel="0" collapsed="false">
      <c r="A968" s="32"/>
      <c r="B968" s="32"/>
      <c r="C968" s="33"/>
      <c r="D968" s="32"/>
      <c r="E968" s="35"/>
      <c r="F968" s="32"/>
      <c r="G968" s="35"/>
      <c r="H968" s="37" t="str">
        <f aca="true">IF(B968="","",IF(OR(D968="Done"),"Done",IF(E968="","No Due Date",IF(E968&lt;TODAY(),"Overdue",IF(E968=TODAY(),"Due Today",IF(E968&lt;TODAY()+7,"Due This Week","Later"))))))</f>
        <v/>
      </c>
      <c r="I968" s="40" t="str">
        <f aca="false">IF(AND(B968&lt;&gt;"",D968&lt;&gt;"Done",E968&lt;&gt;""),E968+ROW()/100000,"")</f>
        <v/>
      </c>
    </row>
    <row r="969" customFormat="false" ht="15" hidden="false" customHeight="false" outlineLevel="0" collapsed="false">
      <c r="A969" s="32"/>
      <c r="B969" s="32"/>
      <c r="C969" s="33"/>
      <c r="D969" s="32"/>
      <c r="E969" s="35"/>
      <c r="F969" s="32"/>
      <c r="G969" s="35"/>
      <c r="H969" s="37" t="str">
        <f aca="true">IF(B969="","",IF(OR(D969="Done"),"Done",IF(E969="","No Due Date",IF(E969&lt;TODAY(),"Overdue",IF(E969=TODAY(),"Due Today",IF(E969&lt;TODAY()+7,"Due This Week","Later"))))))</f>
        <v/>
      </c>
      <c r="I969" s="40" t="str">
        <f aca="false">IF(AND(B969&lt;&gt;"",D969&lt;&gt;"Done",E969&lt;&gt;""),E969+ROW()/100000,"")</f>
        <v/>
      </c>
    </row>
    <row r="970" customFormat="false" ht="15" hidden="false" customHeight="false" outlineLevel="0" collapsed="false">
      <c r="A970" s="32"/>
      <c r="B970" s="32"/>
      <c r="C970" s="33"/>
      <c r="D970" s="32"/>
      <c r="E970" s="35"/>
      <c r="F970" s="32"/>
      <c r="G970" s="35"/>
      <c r="H970" s="37" t="str">
        <f aca="true">IF(B970="","",IF(OR(D970="Done"),"Done",IF(E970="","No Due Date",IF(E970&lt;TODAY(),"Overdue",IF(E970=TODAY(),"Due Today",IF(E970&lt;TODAY()+7,"Due This Week","Later"))))))</f>
        <v/>
      </c>
      <c r="I970" s="40" t="str">
        <f aca="false">IF(AND(B970&lt;&gt;"",D970&lt;&gt;"Done",E970&lt;&gt;""),E970+ROW()/100000,"")</f>
        <v/>
      </c>
    </row>
    <row r="971" customFormat="false" ht="15" hidden="false" customHeight="false" outlineLevel="0" collapsed="false">
      <c r="A971" s="32"/>
      <c r="B971" s="32"/>
      <c r="C971" s="33"/>
      <c r="D971" s="32"/>
      <c r="E971" s="35"/>
      <c r="F971" s="32"/>
      <c r="G971" s="35"/>
      <c r="H971" s="37" t="str">
        <f aca="true">IF(B971="","",IF(OR(D971="Done"),"Done",IF(E971="","No Due Date",IF(E971&lt;TODAY(),"Overdue",IF(E971=TODAY(),"Due Today",IF(E971&lt;TODAY()+7,"Due This Week","Later"))))))</f>
        <v/>
      </c>
      <c r="I971" s="40" t="str">
        <f aca="false">IF(AND(B971&lt;&gt;"",D971&lt;&gt;"Done",E971&lt;&gt;""),E971+ROW()/100000,"")</f>
        <v/>
      </c>
    </row>
    <row r="972" customFormat="false" ht="15" hidden="false" customHeight="false" outlineLevel="0" collapsed="false">
      <c r="A972" s="32"/>
      <c r="B972" s="32"/>
      <c r="C972" s="33"/>
      <c r="D972" s="32"/>
      <c r="E972" s="35"/>
      <c r="F972" s="32"/>
      <c r="G972" s="35"/>
      <c r="H972" s="37" t="str">
        <f aca="true">IF(B972="","",IF(OR(D972="Done"),"Done",IF(E972="","No Due Date",IF(E972&lt;TODAY(),"Overdue",IF(E972=TODAY(),"Due Today",IF(E972&lt;TODAY()+7,"Due This Week","Later"))))))</f>
        <v/>
      </c>
      <c r="I972" s="40" t="str">
        <f aca="false">IF(AND(B972&lt;&gt;"",D972&lt;&gt;"Done",E972&lt;&gt;""),E972+ROW()/100000,"")</f>
        <v/>
      </c>
    </row>
    <row r="973" customFormat="false" ht="15" hidden="false" customHeight="false" outlineLevel="0" collapsed="false">
      <c r="A973" s="32"/>
      <c r="B973" s="32"/>
      <c r="C973" s="33"/>
      <c r="D973" s="32"/>
      <c r="E973" s="35"/>
      <c r="F973" s="32"/>
      <c r="G973" s="35"/>
      <c r="H973" s="37" t="str">
        <f aca="true">IF(B973="","",IF(OR(D973="Done"),"Done",IF(E973="","No Due Date",IF(E973&lt;TODAY(),"Overdue",IF(E973=TODAY(),"Due Today",IF(E973&lt;TODAY()+7,"Due This Week","Later"))))))</f>
        <v/>
      </c>
      <c r="I973" s="40" t="str">
        <f aca="false">IF(AND(B973&lt;&gt;"",D973&lt;&gt;"Done",E973&lt;&gt;""),E973+ROW()/100000,"")</f>
        <v/>
      </c>
    </row>
    <row r="974" customFormat="false" ht="15" hidden="false" customHeight="false" outlineLevel="0" collapsed="false">
      <c r="A974" s="32"/>
      <c r="B974" s="32"/>
      <c r="C974" s="33"/>
      <c r="D974" s="32"/>
      <c r="E974" s="35"/>
      <c r="F974" s="32"/>
      <c r="G974" s="35"/>
      <c r="H974" s="37" t="str">
        <f aca="true">IF(B974="","",IF(OR(D974="Done"),"Done",IF(E974="","No Due Date",IF(E974&lt;TODAY(),"Overdue",IF(E974=TODAY(),"Due Today",IF(E974&lt;TODAY()+7,"Due This Week","Later"))))))</f>
        <v/>
      </c>
      <c r="I974" s="40" t="str">
        <f aca="false">IF(AND(B974&lt;&gt;"",D974&lt;&gt;"Done",E974&lt;&gt;""),E974+ROW()/100000,"")</f>
        <v/>
      </c>
    </row>
    <row r="975" customFormat="false" ht="15" hidden="false" customHeight="false" outlineLevel="0" collapsed="false">
      <c r="A975" s="32"/>
      <c r="B975" s="32"/>
      <c r="C975" s="33"/>
      <c r="D975" s="32"/>
      <c r="E975" s="35"/>
      <c r="F975" s="32"/>
      <c r="G975" s="35"/>
      <c r="H975" s="37" t="str">
        <f aca="true">IF(B975="","",IF(OR(D975="Done"),"Done",IF(E975="","No Due Date",IF(E975&lt;TODAY(),"Overdue",IF(E975=TODAY(),"Due Today",IF(E975&lt;TODAY()+7,"Due This Week","Later"))))))</f>
        <v/>
      </c>
      <c r="I975" s="40" t="str">
        <f aca="false">IF(AND(B975&lt;&gt;"",D975&lt;&gt;"Done",E975&lt;&gt;""),E975+ROW()/100000,"")</f>
        <v/>
      </c>
    </row>
    <row r="976" customFormat="false" ht="15" hidden="false" customHeight="false" outlineLevel="0" collapsed="false">
      <c r="A976" s="32"/>
      <c r="B976" s="32"/>
      <c r="C976" s="33"/>
      <c r="D976" s="32"/>
      <c r="E976" s="35"/>
      <c r="F976" s="32"/>
      <c r="G976" s="35"/>
      <c r="H976" s="37" t="str">
        <f aca="true">IF(B976="","",IF(OR(D976="Done"),"Done",IF(E976="","No Due Date",IF(E976&lt;TODAY(),"Overdue",IF(E976=TODAY(),"Due Today",IF(E976&lt;TODAY()+7,"Due This Week","Later"))))))</f>
        <v/>
      </c>
      <c r="I976" s="40" t="str">
        <f aca="false">IF(AND(B976&lt;&gt;"",D976&lt;&gt;"Done",E976&lt;&gt;""),E976+ROW()/100000,"")</f>
        <v/>
      </c>
    </row>
    <row r="977" customFormat="false" ht="15" hidden="false" customHeight="false" outlineLevel="0" collapsed="false">
      <c r="A977" s="32"/>
      <c r="B977" s="32"/>
      <c r="C977" s="33"/>
      <c r="D977" s="32"/>
      <c r="E977" s="35"/>
      <c r="F977" s="32"/>
      <c r="G977" s="35"/>
      <c r="H977" s="37" t="str">
        <f aca="true">IF(B977="","",IF(OR(D977="Done"),"Done",IF(E977="","No Due Date",IF(E977&lt;TODAY(),"Overdue",IF(E977=TODAY(),"Due Today",IF(E977&lt;TODAY()+7,"Due This Week","Later"))))))</f>
        <v/>
      </c>
      <c r="I977" s="40" t="str">
        <f aca="false">IF(AND(B977&lt;&gt;"",D977&lt;&gt;"Done",E977&lt;&gt;""),E977+ROW()/100000,"")</f>
        <v/>
      </c>
    </row>
    <row r="978" customFormat="false" ht="15" hidden="false" customHeight="false" outlineLevel="0" collapsed="false">
      <c r="A978" s="32"/>
      <c r="B978" s="32"/>
      <c r="C978" s="33"/>
      <c r="D978" s="32"/>
      <c r="E978" s="35"/>
      <c r="F978" s="32"/>
      <c r="G978" s="35"/>
      <c r="H978" s="37" t="str">
        <f aca="true">IF(B978="","",IF(OR(D978="Done"),"Done",IF(E978="","No Due Date",IF(E978&lt;TODAY(),"Overdue",IF(E978=TODAY(),"Due Today",IF(E978&lt;TODAY()+7,"Due This Week","Later"))))))</f>
        <v/>
      </c>
      <c r="I978" s="40" t="str">
        <f aca="false">IF(AND(B978&lt;&gt;"",D978&lt;&gt;"Done",E978&lt;&gt;""),E978+ROW()/100000,"")</f>
        <v/>
      </c>
    </row>
    <row r="979" customFormat="false" ht="15" hidden="false" customHeight="false" outlineLevel="0" collapsed="false">
      <c r="A979" s="32"/>
      <c r="B979" s="32"/>
      <c r="C979" s="33"/>
      <c r="D979" s="32"/>
      <c r="E979" s="35"/>
      <c r="F979" s="32"/>
      <c r="G979" s="35"/>
      <c r="H979" s="37" t="str">
        <f aca="true">IF(B979="","",IF(OR(D979="Done"),"Done",IF(E979="","No Due Date",IF(E979&lt;TODAY(),"Overdue",IF(E979=TODAY(),"Due Today",IF(E979&lt;TODAY()+7,"Due This Week","Later"))))))</f>
        <v/>
      </c>
      <c r="I979" s="40" t="str">
        <f aca="false">IF(AND(B979&lt;&gt;"",D979&lt;&gt;"Done",E979&lt;&gt;""),E979+ROW()/100000,"")</f>
        <v/>
      </c>
    </row>
    <row r="980" customFormat="false" ht="15" hidden="false" customHeight="false" outlineLevel="0" collapsed="false">
      <c r="A980" s="32"/>
      <c r="B980" s="32"/>
      <c r="C980" s="33"/>
      <c r="D980" s="32"/>
      <c r="E980" s="35"/>
      <c r="F980" s="32"/>
      <c r="G980" s="35"/>
      <c r="H980" s="37" t="str">
        <f aca="true">IF(B980="","",IF(OR(D980="Done"),"Done",IF(E980="","No Due Date",IF(E980&lt;TODAY(),"Overdue",IF(E980=TODAY(),"Due Today",IF(E980&lt;TODAY()+7,"Due This Week","Later"))))))</f>
        <v/>
      </c>
      <c r="I980" s="40" t="str">
        <f aca="false">IF(AND(B980&lt;&gt;"",D980&lt;&gt;"Done",E980&lt;&gt;""),E980+ROW()/100000,"")</f>
        <v/>
      </c>
    </row>
    <row r="981" customFormat="false" ht="15" hidden="false" customHeight="false" outlineLevel="0" collapsed="false">
      <c r="A981" s="32"/>
      <c r="B981" s="32"/>
      <c r="C981" s="33"/>
      <c r="D981" s="32"/>
      <c r="E981" s="35"/>
      <c r="F981" s="32"/>
      <c r="G981" s="35"/>
      <c r="H981" s="37" t="str">
        <f aca="true">IF(B981="","",IF(OR(D981="Done"),"Done",IF(E981="","No Due Date",IF(E981&lt;TODAY(),"Overdue",IF(E981=TODAY(),"Due Today",IF(E981&lt;TODAY()+7,"Due This Week","Later"))))))</f>
        <v/>
      </c>
      <c r="I981" s="40" t="str">
        <f aca="false">IF(AND(B981&lt;&gt;"",D981&lt;&gt;"Done",E981&lt;&gt;""),E981+ROW()/100000,"")</f>
        <v/>
      </c>
    </row>
    <row r="982" customFormat="false" ht="15" hidden="false" customHeight="false" outlineLevel="0" collapsed="false">
      <c r="A982" s="32"/>
      <c r="B982" s="32"/>
      <c r="C982" s="33"/>
      <c r="D982" s="32"/>
      <c r="E982" s="35"/>
      <c r="F982" s="32"/>
      <c r="G982" s="35"/>
      <c r="H982" s="37" t="str">
        <f aca="true">IF(B982="","",IF(OR(D982="Done"),"Done",IF(E982="","No Due Date",IF(E982&lt;TODAY(),"Overdue",IF(E982=TODAY(),"Due Today",IF(E982&lt;TODAY()+7,"Due This Week","Later"))))))</f>
        <v/>
      </c>
      <c r="I982" s="40" t="str">
        <f aca="false">IF(AND(B982&lt;&gt;"",D982&lt;&gt;"Done",E982&lt;&gt;""),E982+ROW()/100000,"")</f>
        <v/>
      </c>
    </row>
    <row r="983" customFormat="false" ht="15" hidden="false" customHeight="false" outlineLevel="0" collapsed="false">
      <c r="A983" s="32"/>
      <c r="B983" s="32"/>
      <c r="C983" s="33"/>
      <c r="D983" s="32"/>
      <c r="E983" s="35"/>
      <c r="F983" s="32"/>
      <c r="G983" s="35"/>
      <c r="H983" s="37" t="str">
        <f aca="true">IF(B983="","",IF(OR(D983="Done"),"Done",IF(E983="","No Due Date",IF(E983&lt;TODAY(),"Overdue",IF(E983=TODAY(),"Due Today",IF(E983&lt;TODAY()+7,"Due This Week","Later"))))))</f>
        <v/>
      </c>
      <c r="I983" s="40" t="str">
        <f aca="false">IF(AND(B983&lt;&gt;"",D983&lt;&gt;"Done",E983&lt;&gt;""),E983+ROW()/100000,"")</f>
        <v/>
      </c>
    </row>
    <row r="984" customFormat="false" ht="15" hidden="false" customHeight="false" outlineLevel="0" collapsed="false">
      <c r="A984" s="32"/>
      <c r="B984" s="32"/>
      <c r="C984" s="33"/>
      <c r="D984" s="32"/>
      <c r="E984" s="35"/>
      <c r="F984" s="32"/>
      <c r="G984" s="35"/>
      <c r="H984" s="37" t="str">
        <f aca="true">IF(B984="","",IF(OR(D984="Done"),"Done",IF(E984="","No Due Date",IF(E984&lt;TODAY(),"Overdue",IF(E984=TODAY(),"Due Today",IF(E984&lt;TODAY()+7,"Due This Week","Later"))))))</f>
        <v/>
      </c>
      <c r="I984" s="40" t="str">
        <f aca="false">IF(AND(B984&lt;&gt;"",D984&lt;&gt;"Done",E984&lt;&gt;""),E984+ROW()/100000,"")</f>
        <v/>
      </c>
    </row>
    <row r="985" customFormat="false" ht="15" hidden="false" customHeight="false" outlineLevel="0" collapsed="false">
      <c r="A985" s="32"/>
      <c r="B985" s="32"/>
      <c r="C985" s="33"/>
      <c r="D985" s="32"/>
      <c r="E985" s="35"/>
      <c r="F985" s="32"/>
      <c r="G985" s="35"/>
      <c r="H985" s="37" t="str">
        <f aca="true">IF(B985="","",IF(OR(D985="Done"),"Done",IF(E985="","No Due Date",IF(E985&lt;TODAY(),"Overdue",IF(E985=TODAY(),"Due Today",IF(E985&lt;TODAY()+7,"Due This Week","Later"))))))</f>
        <v/>
      </c>
      <c r="I985" s="40" t="str">
        <f aca="false">IF(AND(B985&lt;&gt;"",D985&lt;&gt;"Done",E985&lt;&gt;""),E985+ROW()/100000,"")</f>
        <v/>
      </c>
    </row>
    <row r="986" customFormat="false" ht="15" hidden="false" customHeight="false" outlineLevel="0" collapsed="false">
      <c r="A986" s="32"/>
      <c r="B986" s="32"/>
      <c r="C986" s="33"/>
      <c r="D986" s="32"/>
      <c r="E986" s="35"/>
      <c r="F986" s="32"/>
      <c r="G986" s="35"/>
      <c r="H986" s="37" t="str">
        <f aca="true">IF(B986="","",IF(OR(D986="Done"),"Done",IF(E986="","No Due Date",IF(E986&lt;TODAY(),"Overdue",IF(E986=TODAY(),"Due Today",IF(E986&lt;TODAY()+7,"Due This Week","Later"))))))</f>
        <v/>
      </c>
      <c r="I986" s="40" t="str">
        <f aca="false">IF(AND(B986&lt;&gt;"",D986&lt;&gt;"Done",E986&lt;&gt;""),E986+ROW()/100000,"")</f>
        <v/>
      </c>
    </row>
    <row r="987" customFormat="false" ht="15" hidden="false" customHeight="false" outlineLevel="0" collapsed="false">
      <c r="A987" s="32"/>
      <c r="B987" s="32"/>
      <c r="C987" s="33"/>
      <c r="D987" s="32"/>
      <c r="E987" s="35"/>
      <c r="F987" s="32"/>
      <c r="G987" s="35"/>
      <c r="H987" s="37" t="str">
        <f aca="true">IF(B987="","",IF(OR(D987="Done"),"Done",IF(E987="","No Due Date",IF(E987&lt;TODAY(),"Overdue",IF(E987=TODAY(),"Due Today",IF(E987&lt;TODAY()+7,"Due This Week","Later"))))))</f>
        <v/>
      </c>
      <c r="I987" s="40" t="str">
        <f aca="false">IF(AND(B987&lt;&gt;"",D987&lt;&gt;"Done",E987&lt;&gt;""),E987+ROW()/100000,"")</f>
        <v/>
      </c>
    </row>
    <row r="988" customFormat="false" ht="15" hidden="false" customHeight="false" outlineLevel="0" collapsed="false">
      <c r="A988" s="32"/>
      <c r="B988" s="32"/>
      <c r="C988" s="33"/>
      <c r="D988" s="32"/>
      <c r="E988" s="35"/>
      <c r="F988" s="32"/>
      <c r="G988" s="35"/>
      <c r="H988" s="37" t="str">
        <f aca="true">IF(B988="","",IF(OR(D988="Done"),"Done",IF(E988="","No Due Date",IF(E988&lt;TODAY(),"Overdue",IF(E988=TODAY(),"Due Today",IF(E988&lt;TODAY()+7,"Due This Week","Later"))))))</f>
        <v/>
      </c>
      <c r="I988" s="40" t="str">
        <f aca="false">IF(AND(B988&lt;&gt;"",D988&lt;&gt;"Done",E988&lt;&gt;""),E988+ROW()/100000,"")</f>
        <v/>
      </c>
    </row>
    <row r="989" customFormat="false" ht="15" hidden="false" customHeight="false" outlineLevel="0" collapsed="false">
      <c r="A989" s="32"/>
      <c r="B989" s="32"/>
      <c r="C989" s="33"/>
      <c r="D989" s="32"/>
      <c r="E989" s="35"/>
      <c r="F989" s="32"/>
      <c r="G989" s="35"/>
      <c r="H989" s="37" t="str">
        <f aca="true">IF(B989="","",IF(OR(D989="Done"),"Done",IF(E989="","No Due Date",IF(E989&lt;TODAY(),"Overdue",IF(E989=TODAY(),"Due Today",IF(E989&lt;TODAY()+7,"Due This Week","Later"))))))</f>
        <v/>
      </c>
      <c r="I989" s="40" t="str">
        <f aca="false">IF(AND(B989&lt;&gt;"",D989&lt;&gt;"Done",E989&lt;&gt;""),E989+ROW()/100000,"")</f>
        <v/>
      </c>
    </row>
    <row r="990" customFormat="false" ht="15" hidden="false" customHeight="false" outlineLevel="0" collapsed="false">
      <c r="A990" s="32"/>
      <c r="B990" s="32"/>
      <c r="C990" s="33"/>
      <c r="D990" s="32"/>
      <c r="E990" s="35"/>
      <c r="F990" s="32"/>
      <c r="G990" s="35"/>
      <c r="H990" s="37" t="str">
        <f aca="true">IF(B990="","",IF(OR(D990="Done"),"Done",IF(E990="","No Due Date",IF(E990&lt;TODAY(),"Overdue",IF(E990=TODAY(),"Due Today",IF(E990&lt;TODAY()+7,"Due This Week","Later"))))))</f>
        <v/>
      </c>
      <c r="I990" s="40" t="str">
        <f aca="false">IF(AND(B990&lt;&gt;"",D990&lt;&gt;"Done",E990&lt;&gt;""),E990+ROW()/100000,"")</f>
        <v/>
      </c>
    </row>
    <row r="991" customFormat="false" ht="15" hidden="false" customHeight="false" outlineLevel="0" collapsed="false">
      <c r="A991" s="32"/>
      <c r="B991" s="32"/>
      <c r="C991" s="33"/>
      <c r="D991" s="32"/>
      <c r="E991" s="35"/>
      <c r="F991" s="32"/>
      <c r="G991" s="35"/>
      <c r="H991" s="37" t="str">
        <f aca="true">IF(B991="","",IF(OR(D991="Done"),"Done",IF(E991="","No Due Date",IF(E991&lt;TODAY(),"Overdue",IF(E991=TODAY(),"Due Today",IF(E991&lt;TODAY()+7,"Due This Week","Later"))))))</f>
        <v/>
      </c>
      <c r="I991" s="40" t="str">
        <f aca="false">IF(AND(B991&lt;&gt;"",D991&lt;&gt;"Done",E991&lt;&gt;""),E991+ROW()/100000,"")</f>
        <v/>
      </c>
    </row>
    <row r="992" customFormat="false" ht="15" hidden="false" customHeight="false" outlineLevel="0" collapsed="false">
      <c r="A992" s="32"/>
      <c r="B992" s="32"/>
      <c r="C992" s="33"/>
      <c r="D992" s="32"/>
      <c r="E992" s="35"/>
      <c r="F992" s="32"/>
      <c r="G992" s="35"/>
      <c r="H992" s="37" t="str">
        <f aca="true">IF(B992="","",IF(OR(D992="Done"),"Done",IF(E992="","No Due Date",IF(E992&lt;TODAY(),"Overdue",IF(E992=TODAY(),"Due Today",IF(E992&lt;TODAY()+7,"Due This Week","Later"))))))</f>
        <v/>
      </c>
      <c r="I992" s="40" t="str">
        <f aca="false">IF(AND(B992&lt;&gt;"",D992&lt;&gt;"Done",E992&lt;&gt;""),E992+ROW()/100000,"")</f>
        <v/>
      </c>
    </row>
    <row r="993" customFormat="false" ht="15" hidden="false" customHeight="false" outlineLevel="0" collapsed="false">
      <c r="A993" s="32"/>
      <c r="B993" s="32"/>
      <c r="C993" s="33"/>
      <c r="D993" s="32"/>
      <c r="E993" s="35"/>
      <c r="F993" s="32"/>
      <c r="G993" s="35"/>
      <c r="H993" s="37" t="str">
        <f aca="true">IF(B993="","",IF(OR(D993="Done"),"Done",IF(E993="","No Due Date",IF(E993&lt;TODAY(),"Overdue",IF(E993=TODAY(),"Due Today",IF(E993&lt;TODAY()+7,"Due This Week","Later"))))))</f>
        <v/>
      </c>
      <c r="I993" s="40" t="str">
        <f aca="false">IF(AND(B993&lt;&gt;"",D993&lt;&gt;"Done",E993&lt;&gt;""),E993+ROW()/100000,"")</f>
        <v/>
      </c>
    </row>
    <row r="994" customFormat="false" ht="15" hidden="false" customHeight="false" outlineLevel="0" collapsed="false">
      <c r="A994" s="32"/>
      <c r="B994" s="32"/>
      <c r="C994" s="33"/>
      <c r="D994" s="32"/>
      <c r="E994" s="35"/>
      <c r="F994" s="32"/>
      <c r="G994" s="35"/>
      <c r="H994" s="37" t="str">
        <f aca="true">IF(B994="","",IF(OR(D994="Done"),"Done",IF(E994="","No Due Date",IF(E994&lt;TODAY(),"Overdue",IF(E994=TODAY(),"Due Today",IF(E994&lt;TODAY()+7,"Due This Week","Later"))))))</f>
        <v/>
      </c>
      <c r="I994" s="40" t="str">
        <f aca="false">IF(AND(B994&lt;&gt;"",D994&lt;&gt;"Done",E994&lt;&gt;""),E994+ROW()/100000,"")</f>
        <v/>
      </c>
    </row>
    <row r="995" customFormat="false" ht="15" hidden="false" customHeight="false" outlineLevel="0" collapsed="false">
      <c r="A995" s="32"/>
      <c r="B995" s="32"/>
      <c r="C995" s="33"/>
      <c r="D995" s="32"/>
      <c r="E995" s="35"/>
      <c r="F995" s="32"/>
      <c r="G995" s="35"/>
      <c r="H995" s="37" t="str">
        <f aca="true">IF(B995="","",IF(OR(D995="Done"),"Done",IF(E995="","No Due Date",IF(E995&lt;TODAY(),"Overdue",IF(E995=TODAY(),"Due Today",IF(E995&lt;TODAY()+7,"Due This Week","Later"))))))</f>
        <v/>
      </c>
      <c r="I995" s="40" t="str">
        <f aca="false">IF(AND(B995&lt;&gt;"",D995&lt;&gt;"Done",E995&lt;&gt;""),E995+ROW()/100000,"")</f>
        <v/>
      </c>
    </row>
    <row r="996" customFormat="false" ht="15" hidden="false" customHeight="false" outlineLevel="0" collapsed="false">
      <c r="A996" s="32"/>
      <c r="B996" s="32"/>
      <c r="C996" s="33"/>
      <c r="D996" s="32"/>
      <c r="E996" s="35"/>
      <c r="F996" s="32"/>
      <c r="G996" s="35"/>
      <c r="H996" s="37" t="str">
        <f aca="true">IF(B996="","",IF(OR(D996="Done"),"Done",IF(E996="","No Due Date",IF(E996&lt;TODAY(),"Overdue",IF(E996=TODAY(),"Due Today",IF(E996&lt;TODAY()+7,"Due This Week","Later"))))))</f>
        <v/>
      </c>
      <c r="I996" s="40" t="str">
        <f aca="false">IF(AND(B996&lt;&gt;"",D996&lt;&gt;"Done",E996&lt;&gt;""),E996+ROW()/100000,"")</f>
        <v/>
      </c>
    </row>
    <row r="997" customFormat="false" ht="15" hidden="false" customHeight="false" outlineLevel="0" collapsed="false">
      <c r="A997" s="32"/>
      <c r="B997" s="32"/>
      <c r="C997" s="33"/>
      <c r="D997" s="32"/>
      <c r="E997" s="35"/>
      <c r="F997" s="32"/>
      <c r="G997" s="35"/>
      <c r="H997" s="37" t="str">
        <f aca="true">IF(B997="","",IF(OR(D997="Done"),"Done",IF(E997="","No Due Date",IF(E997&lt;TODAY(),"Overdue",IF(E997=TODAY(),"Due Today",IF(E997&lt;TODAY()+7,"Due This Week","Later"))))))</f>
        <v/>
      </c>
      <c r="I997" s="40" t="str">
        <f aca="false">IF(AND(B997&lt;&gt;"",D997&lt;&gt;"Done",E997&lt;&gt;""),E997+ROW()/100000,"")</f>
        <v/>
      </c>
    </row>
    <row r="998" customFormat="false" ht="15" hidden="false" customHeight="false" outlineLevel="0" collapsed="false">
      <c r="A998" s="32"/>
      <c r="B998" s="32"/>
      <c r="C998" s="33"/>
      <c r="D998" s="32"/>
      <c r="E998" s="35"/>
      <c r="F998" s="32"/>
      <c r="G998" s="35"/>
      <c r="H998" s="37" t="str">
        <f aca="true">IF(B998="","",IF(OR(D998="Done"),"Done",IF(E998="","No Due Date",IF(E998&lt;TODAY(),"Overdue",IF(E998=TODAY(),"Due Today",IF(E998&lt;TODAY()+7,"Due This Week","Later"))))))</f>
        <v/>
      </c>
      <c r="I998" s="40" t="str">
        <f aca="false">IF(AND(B998&lt;&gt;"",D998&lt;&gt;"Done",E998&lt;&gt;""),E998+ROW()/100000,"")</f>
        <v/>
      </c>
    </row>
    <row r="999" customFormat="false" ht="15" hidden="false" customHeight="false" outlineLevel="0" collapsed="false">
      <c r="A999" s="32"/>
      <c r="B999" s="32"/>
      <c r="C999" s="33"/>
      <c r="D999" s="32"/>
      <c r="E999" s="35"/>
      <c r="F999" s="32"/>
      <c r="G999" s="35"/>
      <c r="H999" s="37" t="str">
        <f aca="true">IF(B999="","",IF(OR(D999="Done"),"Done",IF(E999="","No Due Date",IF(E999&lt;TODAY(),"Overdue",IF(E999=TODAY(),"Due Today",IF(E999&lt;TODAY()+7,"Due This Week","Later"))))))</f>
        <v/>
      </c>
      <c r="I999" s="40" t="str">
        <f aca="false">IF(AND(B999&lt;&gt;"",D999&lt;&gt;"Done",E999&lt;&gt;""),E999+ROW()/100000,"")</f>
        <v/>
      </c>
    </row>
    <row r="1000" customFormat="false" ht="15" hidden="false" customHeight="false" outlineLevel="0" collapsed="false">
      <c r="A1000" s="32"/>
      <c r="B1000" s="32"/>
      <c r="C1000" s="33"/>
      <c r="D1000" s="32"/>
      <c r="E1000" s="35"/>
      <c r="F1000" s="32"/>
      <c r="G1000" s="35"/>
      <c r="H1000" s="37" t="str">
        <f aca="true">IF(B1000="","",IF(OR(D1000="Done"),"Done",IF(E1000="","No Due Date",IF(E1000&lt;TODAY(),"Overdue",IF(E1000=TODAY(),"Due Today",IF(E1000&lt;TODAY()+7,"Due This Week","Later"))))))</f>
        <v/>
      </c>
      <c r="I1000" s="40" t="str">
        <f aca="false">IF(AND(B1000&lt;&gt;"",D1000&lt;&gt;"Done",E1000&lt;&gt;""),E1000+ROW()/100000,"")</f>
        <v/>
      </c>
    </row>
    <row r="1001" customFormat="false" ht="15" hidden="false" customHeight="false" outlineLevel="0" collapsed="false">
      <c r="A1001" s="32"/>
      <c r="B1001" s="32"/>
      <c r="C1001" s="33"/>
      <c r="D1001" s="32"/>
      <c r="E1001" s="35"/>
      <c r="F1001" s="32"/>
      <c r="G1001" s="35"/>
      <c r="H1001" s="37" t="str">
        <f aca="true">IF(B1001="","",IF(OR(D1001="Done"),"Done",IF(E1001="","No Due Date",IF(E1001&lt;TODAY(),"Overdue",IF(E1001=TODAY(),"Due Today",IF(E1001&lt;TODAY()+7,"Due This Week","Later"))))))</f>
        <v/>
      </c>
      <c r="I1001" s="40" t="str">
        <f aca="false">IF(AND(B1001&lt;&gt;"",D1001&lt;&gt;"Done",E1001&lt;&gt;""),E1001+ROW()/100000,"")</f>
        <v/>
      </c>
    </row>
  </sheetData>
  <autoFilter ref="A1:I1001"/>
  <conditionalFormatting sqref="D2:D1001">
    <cfRule type="expression" priority="2" aboveAverage="0" equalAverage="0" bottom="0" percent="0" rank="0" text="" dxfId="16">
      <formula>OR(D2="Done",D2="Closed",D2="Complete",D2="Paid")</formula>
    </cfRule>
  </conditionalFormatting>
  <conditionalFormatting sqref="H2:H10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E2:E1001 G2:G10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10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D2:D1001" type="list">
      <formula1>lst_TaskStatus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1001" type="list">
      <formula1>lst_Recurrence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33.75" hidden="false" customHeight="true" outlineLevel="0" collapsed="false">
      <c r="A1" s="17" t="s">
        <v>110</v>
      </c>
      <c r="B1" s="17" t="s">
        <v>199</v>
      </c>
      <c r="C1" s="17" t="s">
        <v>193</v>
      </c>
      <c r="D1" s="17" t="s">
        <v>214</v>
      </c>
      <c r="E1" s="17" t="s">
        <v>232</v>
      </c>
      <c r="F1" s="17" t="s">
        <v>158</v>
      </c>
      <c r="G1" s="17" t="s">
        <v>228</v>
      </c>
      <c r="H1" s="17" t="s">
        <v>111</v>
      </c>
      <c r="I1" s="17" t="s">
        <v>197</v>
      </c>
      <c r="J1" s="17" t="s">
        <v>233</v>
      </c>
      <c r="K1" s="17" t="s">
        <v>234</v>
      </c>
      <c r="L1" s="17" t="s">
        <v>235</v>
      </c>
      <c r="M1" s="31" t="s">
        <v>156</v>
      </c>
      <c r="N1" s="31" t="s">
        <v>231</v>
      </c>
      <c r="O1" s="31" t="s">
        <v>236</v>
      </c>
    </row>
    <row r="2" customFormat="false" ht="15" hidden="false" customHeight="false" outlineLevel="0" collapsed="false">
      <c r="A2" s="32"/>
      <c r="B2" s="32"/>
      <c r="C2" s="32"/>
      <c r="D2" s="33"/>
      <c r="E2" s="32"/>
      <c r="F2" s="32"/>
      <c r="G2" s="35"/>
      <c r="H2" s="32"/>
      <c r="I2" s="35"/>
      <c r="J2" s="35"/>
      <c r="K2" s="32"/>
      <c r="L2" s="33"/>
      <c r="M2" s="37" t="str">
        <f aca="true">IF(C2="","",IF(OR(H2="Done"),"Done",IF(G2="","No Due Date",IF(G2&lt;TODAY(),"Overdue",IF(G2=TODAY(),"Due Today",IF(G2&lt;TODAY()+7,"Due This Week","Later"))))))</f>
        <v/>
      </c>
      <c r="N2" s="40" t="str">
        <f aca="false">IF(AND(C2&lt;&gt;"",H2&lt;&gt;"Done",G2&lt;&gt;""),G2+ROW()/100000,"")</f>
        <v/>
      </c>
      <c r="O2" s="37" t="str">
        <f aca="false">IF(AND(A2&lt;&gt;"",A2='Project Summary'!$C$3,H2&lt;&gt;"Done",C2&lt;&gt;""),COUNTIFS($A$2:$A2,'Project Summary'!$C$3,$H$2:$H2,"&lt;&gt;Done",$C$2:$C2,"&lt;&gt;"),"")</f>
        <v/>
      </c>
    </row>
    <row r="3" customFormat="false" ht="15" hidden="false" customHeight="false" outlineLevel="0" collapsed="false">
      <c r="A3" s="32"/>
      <c r="B3" s="32"/>
      <c r="C3" s="32"/>
      <c r="D3" s="33"/>
      <c r="E3" s="32"/>
      <c r="F3" s="32"/>
      <c r="G3" s="35"/>
      <c r="H3" s="32"/>
      <c r="I3" s="35"/>
      <c r="J3" s="35"/>
      <c r="K3" s="32"/>
      <c r="L3" s="33"/>
      <c r="M3" s="37" t="str">
        <f aca="true">IF(C3="","",IF(OR(H3="Done"),"Done",IF(G3="","No Due Date",IF(G3&lt;TODAY(),"Overdue",IF(G3=TODAY(),"Due Today",IF(G3&lt;TODAY()+7,"Due This Week","Later"))))))</f>
        <v/>
      </c>
      <c r="N3" s="40" t="str">
        <f aca="false">IF(AND(C3&lt;&gt;"",H3&lt;&gt;"Done",G3&lt;&gt;""),G3+ROW()/100000,"")</f>
        <v/>
      </c>
      <c r="O3" s="37" t="str">
        <f aca="false">IF(AND(A3&lt;&gt;"",A3='Project Summary'!$C$3,H3&lt;&gt;"Done",C3&lt;&gt;""),COUNTIFS($A$2:$A3,'Project Summary'!$C$3,$H$2:$H3,"&lt;&gt;Done",$C$2:$C3,"&lt;&gt;"),"")</f>
        <v/>
      </c>
    </row>
    <row r="4" customFormat="false" ht="15" hidden="false" customHeight="false" outlineLevel="0" collapsed="false">
      <c r="A4" s="32"/>
      <c r="B4" s="32"/>
      <c r="C4" s="32"/>
      <c r="D4" s="33"/>
      <c r="E4" s="32"/>
      <c r="F4" s="32"/>
      <c r="G4" s="35"/>
      <c r="H4" s="32"/>
      <c r="I4" s="35"/>
      <c r="J4" s="35"/>
      <c r="K4" s="32"/>
      <c r="L4" s="33"/>
      <c r="M4" s="37" t="str">
        <f aca="true">IF(C4="","",IF(OR(H4="Done"),"Done",IF(G4="","No Due Date",IF(G4&lt;TODAY(),"Overdue",IF(G4=TODAY(),"Due Today",IF(G4&lt;TODAY()+7,"Due This Week","Later"))))))</f>
        <v/>
      </c>
      <c r="N4" s="40" t="str">
        <f aca="false">IF(AND(C4&lt;&gt;"",H4&lt;&gt;"Done",G4&lt;&gt;""),G4+ROW()/100000,"")</f>
        <v/>
      </c>
      <c r="O4" s="37" t="str">
        <f aca="false">IF(AND(A4&lt;&gt;"",A4='Project Summary'!$C$3,H4&lt;&gt;"Done",C4&lt;&gt;""),COUNTIFS($A$2:$A4,'Project Summary'!$C$3,$H$2:$H4,"&lt;&gt;Done",$C$2:$C4,"&lt;&gt;"),"")</f>
        <v/>
      </c>
    </row>
    <row r="5" customFormat="false" ht="15" hidden="false" customHeight="false" outlineLevel="0" collapsed="false">
      <c r="A5" s="32"/>
      <c r="B5" s="32"/>
      <c r="C5" s="32"/>
      <c r="D5" s="33"/>
      <c r="E5" s="32"/>
      <c r="F5" s="32"/>
      <c r="G5" s="35"/>
      <c r="H5" s="32"/>
      <c r="I5" s="35"/>
      <c r="J5" s="35"/>
      <c r="K5" s="32"/>
      <c r="L5" s="33"/>
      <c r="M5" s="37" t="str">
        <f aca="true">IF(C5="","",IF(OR(H5="Done"),"Done",IF(G5="","No Due Date",IF(G5&lt;TODAY(),"Overdue",IF(G5=TODAY(),"Due Today",IF(G5&lt;TODAY()+7,"Due This Week","Later"))))))</f>
        <v/>
      </c>
      <c r="N5" s="40" t="str">
        <f aca="false">IF(AND(C5&lt;&gt;"",H5&lt;&gt;"Done",G5&lt;&gt;""),G5+ROW()/100000,"")</f>
        <v/>
      </c>
      <c r="O5" s="37" t="str">
        <f aca="false">IF(AND(A5&lt;&gt;"",A5='Project Summary'!$C$3,H5&lt;&gt;"Done",C5&lt;&gt;""),COUNTIFS($A$2:$A5,'Project Summary'!$C$3,$H$2:$H5,"&lt;&gt;Done",$C$2:$C5,"&lt;&gt;"),"")</f>
        <v/>
      </c>
    </row>
    <row r="6" customFormat="false" ht="15" hidden="false" customHeight="false" outlineLevel="0" collapsed="false">
      <c r="A6" s="32"/>
      <c r="B6" s="32"/>
      <c r="C6" s="32"/>
      <c r="D6" s="33"/>
      <c r="E6" s="32"/>
      <c r="F6" s="32"/>
      <c r="G6" s="35"/>
      <c r="H6" s="32"/>
      <c r="I6" s="35"/>
      <c r="J6" s="35"/>
      <c r="K6" s="32"/>
      <c r="L6" s="33"/>
      <c r="M6" s="37" t="str">
        <f aca="true">IF(C6="","",IF(OR(H6="Done"),"Done",IF(G6="","No Due Date",IF(G6&lt;TODAY(),"Overdue",IF(G6=TODAY(),"Due Today",IF(G6&lt;TODAY()+7,"Due This Week","Later"))))))</f>
        <v/>
      </c>
      <c r="N6" s="40" t="str">
        <f aca="false">IF(AND(C6&lt;&gt;"",H6&lt;&gt;"Done",G6&lt;&gt;""),G6+ROW()/100000,"")</f>
        <v/>
      </c>
      <c r="O6" s="37" t="str">
        <f aca="false">IF(AND(A6&lt;&gt;"",A6='Project Summary'!$C$3,H6&lt;&gt;"Done",C6&lt;&gt;""),COUNTIFS($A$2:$A6,'Project Summary'!$C$3,$H$2:$H6,"&lt;&gt;Done",$C$2:$C6,"&lt;&gt;"),"")</f>
        <v/>
      </c>
    </row>
    <row r="7" customFormat="false" ht="15" hidden="false" customHeight="false" outlineLevel="0" collapsed="false">
      <c r="A7" s="32"/>
      <c r="B7" s="32"/>
      <c r="C7" s="32"/>
      <c r="D7" s="33"/>
      <c r="E7" s="32"/>
      <c r="F7" s="32"/>
      <c r="G7" s="35"/>
      <c r="H7" s="32"/>
      <c r="I7" s="35"/>
      <c r="J7" s="35"/>
      <c r="K7" s="32"/>
      <c r="L7" s="33"/>
      <c r="M7" s="37" t="str">
        <f aca="true">IF(C7="","",IF(OR(H7="Done"),"Done",IF(G7="","No Due Date",IF(G7&lt;TODAY(),"Overdue",IF(G7=TODAY(),"Due Today",IF(G7&lt;TODAY()+7,"Due This Week","Later"))))))</f>
        <v/>
      </c>
      <c r="N7" s="40" t="str">
        <f aca="false">IF(AND(C7&lt;&gt;"",H7&lt;&gt;"Done",G7&lt;&gt;""),G7+ROW()/100000,"")</f>
        <v/>
      </c>
      <c r="O7" s="37" t="str">
        <f aca="false">IF(AND(A7&lt;&gt;"",A7='Project Summary'!$C$3,H7&lt;&gt;"Done",C7&lt;&gt;""),COUNTIFS($A$2:$A7,'Project Summary'!$C$3,$H$2:$H7,"&lt;&gt;Done",$C$2:$C7,"&lt;&gt;"),"")</f>
        <v/>
      </c>
    </row>
    <row r="8" customFormat="false" ht="15" hidden="false" customHeight="false" outlineLevel="0" collapsed="false">
      <c r="A8" s="32"/>
      <c r="B8" s="32"/>
      <c r="C8" s="32"/>
      <c r="D8" s="33"/>
      <c r="E8" s="32"/>
      <c r="F8" s="32"/>
      <c r="G8" s="35"/>
      <c r="H8" s="32"/>
      <c r="I8" s="35"/>
      <c r="J8" s="35"/>
      <c r="K8" s="32"/>
      <c r="L8" s="33"/>
      <c r="M8" s="37" t="str">
        <f aca="true">IF(C8="","",IF(OR(H8="Done"),"Done",IF(G8="","No Due Date",IF(G8&lt;TODAY(),"Overdue",IF(G8=TODAY(),"Due Today",IF(G8&lt;TODAY()+7,"Due This Week","Later"))))))</f>
        <v/>
      </c>
      <c r="N8" s="40" t="str">
        <f aca="false">IF(AND(C8&lt;&gt;"",H8&lt;&gt;"Done",G8&lt;&gt;""),G8+ROW()/100000,"")</f>
        <v/>
      </c>
      <c r="O8" s="37" t="str">
        <f aca="false">IF(AND(A8&lt;&gt;"",A8='Project Summary'!$C$3,H8&lt;&gt;"Done",C8&lt;&gt;""),COUNTIFS($A$2:$A8,'Project Summary'!$C$3,$H$2:$H8,"&lt;&gt;Done",$C$2:$C8,"&lt;&gt;"),"")</f>
        <v/>
      </c>
    </row>
    <row r="9" customFormat="false" ht="15" hidden="false" customHeight="false" outlineLevel="0" collapsed="false">
      <c r="A9" s="32"/>
      <c r="B9" s="32"/>
      <c r="C9" s="32"/>
      <c r="D9" s="33"/>
      <c r="E9" s="32"/>
      <c r="F9" s="32"/>
      <c r="G9" s="35"/>
      <c r="H9" s="32"/>
      <c r="I9" s="35"/>
      <c r="J9" s="35"/>
      <c r="K9" s="32"/>
      <c r="L9" s="33"/>
      <c r="M9" s="37" t="str">
        <f aca="true">IF(C9="","",IF(OR(H9="Done"),"Done",IF(G9="","No Due Date",IF(G9&lt;TODAY(),"Overdue",IF(G9=TODAY(),"Due Today",IF(G9&lt;TODAY()+7,"Due This Week","Later"))))))</f>
        <v/>
      </c>
      <c r="N9" s="40" t="str">
        <f aca="false">IF(AND(C9&lt;&gt;"",H9&lt;&gt;"Done",G9&lt;&gt;""),G9+ROW()/100000,"")</f>
        <v/>
      </c>
      <c r="O9" s="37" t="str">
        <f aca="false">IF(AND(A9&lt;&gt;"",A9='Project Summary'!$C$3,H9&lt;&gt;"Done",C9&lt;&gt;""),COUNTIFS($A$2:$A9,'Project Summary'!$C$3,$H$2:$H9,"&lt;&gt;Done",$C$2:$C9,"&lt;&gt;"),"")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2"/>
      <c r="G10" s="35"/>
      <c r="H10" s="32"/>
      <c r="I10" s="35"/>
      <c r="J10" s="35"/>
      <c r="K10" s="32"/>
      <c r="L10" s="33"/>
      <c r="M10" s="37" t="str">
        <f aca="true">IF(C10="","",IF(OR(H10="Done"),"Done",IF(G10="","No Due Date",IF(G10&lt;TODAY(),"Overdue",IF(G10=TODAY(),"Due Today",IF(G10&lt;TODAY()+7,"Due This Week","Later"))))))</f>
        <v/>
      </c>
      <c r="N10" s="40" t="str">
        <f aca="false">IF(AND(C10&lt;&gt;"",H10&lt;&gt;"Done",G10&lt;&gt;""),G10+ROW()/100000,"")</f>
        <v/>
      </c>
      <c r="O10" s="37" t="str">
        <f aca="false">IF(AND(A10&lt;&gt;"",A10='Project Summary'!$C$3,H10&lt;&gt;"Done",C10&lt;&gt;""),COUNTIFS($A$2:$A10,'Project Summary'!$C$3,$H$2:$H10,"&lt;&gt;Done",$C$2:$C10,"&lt;&gt;"),"")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2"/>
      <c r="G11" s="35"/>
      <c r="H11" s="32"/>
      <c r="I11" s="35"/>
      <c r="J11" s="35"/>
      <c r="K11" s="32"/>
      <c r="L11" s="33"/>
      <c r="M11" s="37" t="str">
        <f aca="true">IF(C11="","",IF(OR(H11="Done"),"Done",IF(G11="","No Due Date",IF(G11&lt;TODAY(),"Overdue",IF(G11=TODAY(),"Due Today",IF(G11&lt;TODAY()+7,"Due This Week","Later"))))))</f>
        <v/>
      </c>
      <c r="N11" s="40" t="str">
        <f aca="false">IF(AND(C11&lt;&gt;"",H11&lt;&gt;"Done",G11&lt;&gt;""),G11+ROW()/100000,"")</f>
        <v/>
      </c>
      <c r="O11" s="37" t="str">
        <f aca="false">IF(AND(A11&lt;&gt;"",A11='Project Summary'!$C$3,H11&lt;&gt;"Done",C11&lt;&gt;""),COUNTIFS($A$2:$A11,'Project Summary'!$C$3,$H$2:$H11,"&lt;&gt;Done",$C$2:$C11,"&lt;&gt;"),"")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2"/>
      <c r="G12" s="35"/>
      <c r="H12" s="32"/>
      <c r="I12" s="35"/>
      <c r="J12" s="35"/>
      <c r="K12" s="32"/>
      <c r="L12" s="33"/>
      <c r="M12" s="37" t="str">
        <f aca="true">IF(C12="","",IF(OR(H12="Done"),"Done",IF(G12="","No Due Date",IF(G12&lt;TODAY(),"Overdue",IF(G12=TODAY(),"Due Today",IF(G12&lt;TODAY()+7,"Due This Week","Later"))))))</f>
        <v/>
      </c>
      <c r="N12" s="40" t="str">
        <f aca="false">IF(AND(C12&lt;&gt;"",H12&lt;&gt;"Done",G12&lt;&gt;""),G12+ROW()/100000,"")</f>
        <v/>
      </c>
      <c r="O12" s="37" t="str">
        <f aca="false">IF(AND(A12&lt;&gt;"",A12='Project Summary'!$C$3,H12&lt;&gt;"Done",C12&lt;&gt;""),COUNTIFS($A$2:$A12,'Project Summary'!$C$3,$H$2:$H12,"&lt;&gt;Done",$C$2:$C12,"&lt;&gt;"),"")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2"/>
      <c r="G13" s="35"/>
      <c r="H13" s="32"/>
      <c r="I13" s="35"/>
      <c r="J13" s="35"/>
      <c r="K13" s="32"/>
      <c r="L13" s="33"/>
      <c r="M13" s="37" t="str">
        <f aca="true">IF(C13="","",IF(OR(H13="Done"),"Done",IF(G13="","No Due Date",IF(G13&lt;TODAY(),"Overdue",IF(G13=TODAY(),"Due Today",IF(G13&lt;TODAY()+7,"Due This Week","Later"))))))</f>
        <v/>
      </c>
      <c r="N13" s="40" t="str">
        <f aca="false">IF(AND(C13&lt;&gt;"",H13&lt;&gt;"Done",G13&lt;&gt;""),G13+ROW()/100000,"")</f>
        <v/>
      </c>
      <c r="O13" s="37" t="str">
        <f aca="false">IF(AND(A13&lt;&gt;"",A13='Project Summary'!$C$3,H13&lt;&gt;"Done",C13&lt;&gt;""),COUNTIFS($A$2:$A13,'Project Summary'!$C$3,$H$2:$H13,"&lt;&gt;Done",$C$2:$C13,"&lt;&gt;"),"")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2"/>
      <c r="G14" s="35"/>
      <c r="H14" s="32"/>
      <c r="I14" s="35"/>
      <c r="J14" s="35"/>
      <c r="K14" s="32"/>
      <c r="L14" s="33"/>
      <c r="M14" s="37" t="str">
        <f aca="true">IF(C14="","",IF(OR(H14="Done"),"Done",IF(G14="","No Due Date",IF(G14&lt;TODAY(),"Overdue",IF(G14=TODAY(),"Due Today",IF(G14&lt;TODAY()+7,"Due This Week","Later"))))))</f>
        <v/>
      </c>
      <c r="N14" s="40" t="str">
        <f aca="false">IF(AND(C14&lt;&gt;"",H14&lt;&gt;"Done",G14&lt;&gt;""),G14+ROW()/100000,"")</f>
        <v/>
      </c>
      <c r="O14" s="37" t="str">
        <f aca="false">IF(AND(A14&lt;&gt;"",A14='Project Summary'!$C$3,H14&lt;&gt;"Done",C14&lt;&gt;""),COUNTIFS($A$2:$A14,'Project Summary'!$C$3,$H$2:$H14,"&lt;&gt;Done",$C$2:$C14,"&lt;&gt;"),"")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2"/>
      <c r="G15" s="35"/>
      <c r="H15" s="32"/>
      <c r="I15" s="35"/>
      <c r="J15" s="35"/>
      <c r="K15" s="32"/>
      <c r="L15" s="33"/>
      <c r="M15" s="37" t="str">
        <f aca="true">IF(C15="","",IF(OR(H15="Done"),"Done",IF(G15="","No Due Date",IF(G15&lt;TODAY(),"Overdue",IF(G15=TODAY(),"Due Today",IF(G15&lt;TODAY()+7,"Due This Week","Later"))))))</f>
        <v/>
      </c>
      <c r="N15" s="40" t="str">
        <f aca="false">IF(AND(C15&lt;&gt;"",H15&lt;&gt;"Done",G15&lt;&gt;""),G15+ROW()/100000,"")</f>
        <v/>
      </c>
      <c r="O15" s="37" t="str">
        <f aca="false">IF(AND(A15&lt;&gt;"",A15='Project Summary'!$C$3,H15&lt;&gt;"Done",C15&lt;&gt;""),COUNTIFS($A$2:$A15,'Project Summary'!$C$3,$H$2:$H15,"&lt;&gt;Done",$C$2:$C15,"&lt;&gt;"),"")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2"/>
      <c r="G16" s="35"/>
      <c r="H16" s="32"/>
      <c r="I16" s="35"/>
      <c r="J16" s="35"/>
      <c r="K16" s="32"/>
      <c r="L16" s="33"/>
      <c r="M16" s="37" t="str">
        <f aca="true">IF(C16="","",IF(OR(H16="Done"),"Done",IF(G16="","No Due Date",IF(G16&lt;TODAY(),"Overdue",IF(G16=TODAY(),"Due Today",IF(G16&lt;TODAY()+7,"Due This Week","Later"))))))</f>
        <v/>
      </c>
      <c r="N16" s="40" t="str">
        <f aca="false">IF(AND(C16&lt;&gt;"",H16&lt;&gt;"Done",G16&lt;&gt;""),G16+ROW()/100000,"")</f>
        <v/>
      </c>
      <c r="O16" s="37" t="str">
        <f aca="false">IF(AND(A16&lt;&gt;"",A16='Project Summary'!$C$3,H16&lt;&gt;"Done",C16&lt;&gt;""),COUNTIFS($A$2:$A16,'Project Summary'!$C$3,$H$2:$H16,"&lt;&gt;Done",$C$2:$C16,"&lt;&gt;"),"")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2"/>
      <c r="G17" s="35"/>
      <c r="H17" s="32"/>
      <c r="I17" s="35"/>
      <c r="J17" s="35"/>
      <c r="K17" s="32"/>
      <c r="L17" s="33"/>
      <c r="M17" s="37" t="str">
        <f aca="true">IF(C17="","",IF(OR(H17="Done"),"Done",IF(G17="","No Due Date",IF(G17&lt;TODAY(),"Overdue",IF(G17=TODAY(),"Due Today",IF(G17&lt;TODAY()+7,"Due This Week","Later"))))))</f>
        <v/>
      </c>
      <c r="N17" s="40" t="str">
        <f aca="false">IF(AND(C17&lt;&gt;"",H17&lt;&gt;"Done",G17&lt;&gt;""),G17+ROW()/100000,"")</f>
        <v/>
      </c>
      <c r="O17" s="37" t="str">
        <f aca="false">IF(AND(A17&lt;&gt;"",A17='Project Summary'!$C$3,H17&lt;&gt;"Done",C17&lt;&gt;""),COUNTIFS($A$2:$A17,'Project Summary'!$C$3,$H$2:$H17,"&lt;&gt;Done",$C$2:$C17,"&lt;&gt;"),"")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2"/>
      <c r="G18" s="35"/>
      <c r="H18" s="32"/>
      <c r="I18" s="35"/>
      <c r="J18" s="35"/>
      <c r="K18" s="32"/>
      <c r="L18" s="33"/>
      <c r="M18" s="37" t="str">
        <f aca="true">IF(C18="","",IF(OR(H18="Done"),"Done",IF(G18="","No Due Date",IF(G18&lt;TODAY(),"Overdue",IF(G18=TODAY(),"Due Today",IF(G18&lt;TODAY()+7,"Due This Week","Later"))))))</f>
        <v/>
      </c>
      <c r="N18" s="40" t="str">
        <f aca="false">IF(AND(C18&lt;&gt;"",H18&lt;&gt;"Done",G18&lt;&gt;""),G18+ROW()/100000,"")</f>
        <v/>
      </c>
      <c r="O18" s="37" t="str">
        <f aca="false">IF(AND(A18&lt;&gt;"",A18='Project Summary'!$C$3,H18&lt;&gt;"Done",C18&lt;&gt;""),COUNTIFS($A$2:$A18,'Project Summary'!$C$3,$H$2:$H18,"&lt;&gt;Done",$C$2:$C18,"&lt;&gt;"),"")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2"/>
      <c r="G19" s="35"/>
      <c r="H19" s="32"/>
      <c r="I19" s="35"/>
      <c r="J19" s="35"/>
      <c r="K19" s="32"/>
      <c r="L19" s="33"/>
      <c r="M19" s="37" t="str">
        <f aca="true">IF(C19="","",IF(OR(H19="Done"),"Done",IF(G19="","No Due Date",IF(G19&lt;TODAY(),"Overdue",IF(G19=TODAY(),"Due Today",IF(G19&lt;TODAY()+7,"Due This Week","Later"))))))</f>
        <v/>
      </c>
      <c r="N19" s="40" t="str">
        <f aca="false">IF(AND(C19&lt;&gt;"",H19&lt;&gt;"Done",G19&lt;&gt;""),G19+ROW()/100000,"")</f>
        <v/>
      </c>
      <c r="O19" s="37" t="str">
        <f aca="false">IF(AND(A19&lt;&gt;"",A19='Project Summary'!$C$3,H19&lt;&gt;"Done",C19&lt;&gt;""),COUNTIFS($A$2:$A19,'Project Summary'!$C$3,$H$2:$H19,"&lt;&gt;Done",$C$2:$C19,"&lt;&gt;"),"")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2"/>
      <c r="G20" s="35"/>
      <c r="H20" s="32"/>
      <c r="I20" s="35"/>
      <c r="J20" s="35"/>
      <c r="K20" s="32"/>
      <c r="L20" s="33"/>
      <c r="M20" s="37" t="str">
        <f aca="true">IF(C20="","",IF(OR(H20="Done"),"Done",IF(G20="","No Due Date",IF(G20&lt;TODAY(),"Overdue",IF(G20=TODAY(),"Due Today",IF(G20&lt;TODAY()+7,"Due This Week","Later"))))))</f>
        <v/>
      </c>
      <c r="N20" s="40" t="str">
        <f aca="false">IF(AND(C20&lt;&gt;"",H20&lt;&gt;"Done",G20&lt;&gt;""),G20+ROW()/100000,"")</f>
        <v/>
      </c>
      <c r="O20" s="37" t="str">
        <f aca="false">IF(AND(A20&lt;&gt;"",A20='Project Summary'!$C$3,H20&lt;&gt;"Done",C20&lt;&gt;""),COUNTIFS($A$2:$A20,'Project Summary'!$C$3,$H$2:$H20,"&lt;&gt;Done",$C$2:$C20,"&lt;&gt;"),"")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2"/>
      <c r="G21" s="35"/>
      <c r="H21" s="32"/>
      <c r="I21" s="35"/>
      <c r="J21" s="35"/>
      <c r="K21" s="32"/>
      <c r="L21" s="33"/>
      <c r="M21" s="37" t="str">
        <f aca="true">IF(C21="","",IF(OR(H21="Done"),"Done",IF(G21="","No Due Date",IF(G21&lt;TODAY(),"Overdue",IF(G21=TODAY(),"Due Today",IF(G21&lt;TODAY()+7,"Due This Week","Later"))))))</f>
        <v/>
      </c>
      <c r="N21" s="40" t="str">
        <f aca="false">IF(AND(C21&lt;&gt;"",H21&lt;&gt;"Done",G21&lt;&gt;""),G21+ROW()/100000,"")</f>
        <v/>
      </c>
      <c r="O21" s="37" t="str">
        <f aca="false">IF(AND(A21&lt;&gt;"",A21='Project Summary'!$C$3,H21&lt;&gt;"Done",C21&lt;&gt;""),COUNTIFS($A$2:$A21,'Project Summary'!$C$3,$H$2:$H21,"&lt;&gt;Done",$C$2:$C21,"&lt;&gt;"),"")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2"/>
      <c r="G22" s="35"/>
      <c r="H22" s="32"/>
      <c r="I22" s="35"/>
      <c r="J22" s="35"/>
      <c r="K22" s="32"/>
      <c r="L22" s="33"/>
      <c r="M22" s="37" t="str">
        <f aca="true">IF(C22="","",IF(OR(H22="Done"),"Done",IF(G22="","No Due Date",IF(G22&lt;TODAY(),"Overdue",IF(G22=TODAY(),"Due Today",IF(G22&lt;TODAY()+7,"Due This Week","Later"))))))</f>
        <v/>
      </c>
      <c r="N22" s="40" t="str">
        <f aca="false">IF(AND(C22&lt;&gt;"",H22&lt;&gt;"Done",G22&lt;&gt;""),G22+ROW()/100000,"")</f>
        <v/>
      </c>
      <c r="O22" s="37" t="str">
        <f aca="false">IF(AND(A22&lt;&gt;"",A22='Project Summary'!$C$3,H22&lt;&gt;"Done",C22&lt;&gt;""),COUNTIFS($A$2:$A22,'Project Summary'!$C$3,$H$2:$H22,"&lt;&gt;Done",$C$2:$C22,"&lt;&gt;"),"")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2"/>
      <c r="G23" s="35"/>
      <c r="H23" s="32"/>
      <c r="I23" s="35"/>
      <c r="J23" s="35"/>
      <c r="K23" s="32"/>
      <c r="L23" s="33"/>
      <c r="M23" s="37" t="str">
        <f aca="true">IF(C23="","",IF(OR(H23="Done"),"Done",IF(G23="","No Due Date",IF(G23&lt;TODAY(),"Overdue",IF(G23=TODAY(),"Due Today",IF(G23&lt;TODAY()+7,"Due This Week","Later"))))))</f>
        <v/>
      </c>
      <c r="N23" s="40" t="str">
        <f aca="false">IF(AND(C23&lt;&gt;"",H23&lt;&gt;"Done",G23&lt;&gt;""),G23+ROW()/100000,"")</f>
        <v/>
      </c>
      <c r="O23" s="37" t="str">
        <f aca="false">IF(AND(A23&lt;&gt;"",A23='Project Summary'!$C$3,H23&lt;&gt;"Done",C23&lt;&gt;""),COUNTIFS($A$2:$A23,'Project Summary'!$C$3,$H$2:$H23,"&lt;&gt;Done",$C$2:$C23,"&lt;&gt;"),"")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2"/>
      <c r="G24" s="35"/>
      <c r="H24" s="32"/>
      <c r="I24" s="35"/>
      <c r="J24" s="35"/>
      <c r="K24" s="32"/>
      <c r="L24" s="33"/>
      <c r="M24" s="37" t="str">
        <f aca="true">IF(C24="","",IF(OR(H24="Done"),"Done",IF(G24="","No Due Date",IF(G24&lt;TODAY(),"Overdue",IF(G24=TODAY(),"Due Today",IF(G24&lt;TODAY()+7,"Due This Week","Later"))))))</f>
        <v/>
      </c>
      <c r="N24" s="40" t="str">
        <f aca="false">IF(AND(C24&lt;&gt;"",H24&lt;&gt;"Done",G24&lt;&gt;""),G24+ROW()/100000,"")</f>
        <v/>
      </c>
      <c r="O24" s="37" t="str">
        <f aca="false">IF(AND(A24&lt;&gt;"",A24='Project Summary'!$C$3,H24&lt;&gt;"Done",C24&lt;&gt;""),COUNTIFS($A$2:$A24,'Project Summary'!$C$3,$H$2:$H24,"&lt;&gt;Done",$C$2:$C24,"&lt;&gt;"),"")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2"/>
      <c r="G25" s="35"/>
      <c r="H25" s="32"/>
      <c r="I25" s="35"/>
      <c r="J25" s="35"/>
      <c r="K25" s="32"/>
      <c r="L25" s="33"/>
      <c r="M25" s="37" t="str">
        <f aca="true">IF(C25="","",IF(OR(H25="Done"),"Done",IF(G25="","No Due Date",IF(G25&lt;TODAY(),"Overdue",IF(G25=TODAY(),"Due Today",IF(G25&lt;TODAY()+7,"Due This Week","Later"))))))</f>
        <v/>
      </c>
      <c r="N25" s="40" t="str">
        <f aca="false">IF(AND(C25&lt;&gt;"",H25&lt;&gt;"Done",G25&lt;&gt;""),G25+ROW()/100000,"")</f>
        <v/>
      </c>
      <c r="O25" s="37" t="str">
        <f aca="false">IF(AND(A25&lt;&gt;"",A25='Project Summary'!$C$3,H25&lt;&gt;"Done",C25&lt;&gt;""),COUNTIFS($A$2:$A25,'Project Summary'!$C$3,$H$2:$H25,"&lt;&gt;Done",$C$2:$C25,"&lt;&gt;"),"")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2"/>
      <c r="G26" s="35"/>
      <c r="H26" s="32"/>
      <c r="I26" s="35"/>
      <c r="J26" s="35"/>
      <c r="K26" s="32"/>
      <c r="L26" s="33"/>
      <c r="M26" s="37" t="str">
        <f aca="true">IF(C26="","",IF(OR(H26="Done"),"Done",IF(G26="","No Due Date",IF(G26&lt;TODAY(),"Overdue",IF(G26=TODAY(),"Due Today",IF(G26&lt;TODAY()+7,"Due This Week","Later"))))))</f>
        <v/>
      </c>
      <c r="N26" s="40" t="str">
        <f aca="false">IF(AND(C26&lt;&gt;"",H26&lt;&gt;"Done",G26&lt;&gt;""),G26+ROW()/100000,"")</f>
        <v/>
      </c>
      <c r="O26" s="37" t="str">
        <f aca="false">IF(AND(A26&lt;&gt;"",A26='Project Summary'!$C$3,H26&lt;&gt;"Done",C26&lt;&gt;""),COUNTIFS($A$2:$A26,'Project Summary'!$C$3,$H$2:$H26,"&lt;&gt;Done",$C$2:$C26,"&lt;&gt;"),"")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2"/>
      <c r="G27" s="35"/>
      <c r="H27" s="32"/>
      <c r="I27" s="35"/>
      <c r="J27" s="35"/>
      <c r="K27" s="32"/>
      <c r="L27" s="33"/>
      <c r="M27" s="37" t="str">
        <f aca="true">IF(C27="","",IF(OR(H27="Done"),"Done",IF(G27="","No Due Date",IF(G27&lt;TODAY(),"Overdue",IF(G27=TODAY(),"Due Today",IF(G27&lt;TODAY()+7,"Due This Week","Later"))))))</f>
        <v/>
      </c>
      <c r="N27" s="40" t="str">
        <f aca="false">IF(AND(C27&lt;&gt;"",H27&lt;&gt;"Done",G27&lt;&gt;""),G27+ROW()/100000,"")</f>
        <v/>
      </c>
      <c r="O27" s="37" t="str">
        <f aca="false">IF(AND(A27&lt;&gt;"",A27='Project Summary'!$C$3,H27&lt;&gt;"Done",C27&lt;&gt;""),COUNTIFS($A$2:$A27,'Project Summary'!$C$3,$H$2:$H27,"&lt;&gt;Done",$C$2:$C27,"&lt;&gt;"),"")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2"/>
      <c r="G28" s="35"/>
      <c r="H28" s="32"/>
      <c r="I28" s="35"/>
      <c r="J28" s="35"/>
      <c r="K28" s="32"/>
      <c r="L28" s="33"/>
      <c r="M28" s="37" t="str">
        <f aca="true">IF(C28="","",IF(OR(H28="Done"),"Done",IF(G28="","No Due Date",IF(G28&lt;TODAY(),"Overdue",IF(G28=TODAY(),"Due Today",IF(G28&lt;TODAY()+7,"Due This Week","Later"))))))</f>
        <v/>
      </c>
      <c r="N28" s="40" t="str">
        <f aca="false">IF(AND(C28&lt;&gt;"",H28&lt;&gt;"Done",G28&lt;&gt;""),G28+ROW()/100000,"")</f>
        <v/>
      </c>
      <c r="O28" s="37" t="str">
        <f aca="false">IF(AND(A28&lt;&gt;"",A28='Project Summary'!$C$3,H28&lt;&gt;"Done",C28&lt;&gt;""),COUNTIFS($A$2:$A28,'Project Summary'!$C$3,$H$2:$H28,"&lt;&gt;Done",$C$2:$C28,"&lt;&gt;"),"")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2"/>
      <c r="G29" s="35"/>
      <c r="H29" s="32"/>
      <c r="I29" s="35"/>
      <c r="J29" s="35"/>
      <c r="K29" s="32"/>
      <c r="L29" s="33"/>
      <c r="M29" s="37" t="str">
        <f aca="true">IF(C29="","",IF(OR(H29="Done"),"Done",IF(G29="","No Due Date",IF(G29&lt;TODAY(),"Overdue",IF(G29=TODAY(),"Due Today",IF(G29&lt;TODAY()+7,"Due This Week","Later"))))))</f>
        <v/>
      </c>
      <c r="N29" s="40" t="str">
        <f aca="false">IF(AND(C29&lt;&gt;"",H29&lt;&gt;"Done",G29&lt;&gt;""),G29+ROW()/100000,"")</f>
        <v/>
      </c>
      <c r="O29" s="37" t="str">
        <f aca="false">IF(AND(A29&lt;&gt;"",A29='Project Summary'!$C$3,H29&lt;&gt;"Done",C29&lt;&gt;""),COUNTIFS($A$2:$A29,'Project Summary'!$C$3,$H$2:$H29,"&lt;&gt;Done",$C$2:$C29,"&lt;&gt;"),"")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2"/>
      <c r="G30" s="35"/>
      <c r="H30" s="32"/>
      <c r="I30" s="35"/>
      <c r="J30" s="35"/>
      <c r="K30" s="32"/>
      <c r="L30" s="33"/>
      <c r="M30" s="37" t="str">
        <f aca="true">IF(C30="","",IF(OR(H30="Done"),"Done",IF(G30="","No Due Date",IF(G30&lt;TODAY(),"Overdue",IF(G30=TODAY(),"Due Today",IF(G30&lt;TODAY()+7,"Due This Week","Later"))))))</f>
        <v/>
      </c>
      <c r="N30" s="40" t="str">
        <f aca="false">IF(AND(C30&lt;&gt;"",H30&lt;&gt;"Done",G30&lt;&gt;""),G30+ROW()/100000,"")</f>
        <v/>
      </c>
      <c r="O30" s="37" t="str">
        <f aca="false">IF(AND(A30&lt;&gt;"",A30='Project Summary'!$C$3,H30&lt;&gt;"Done",C30&lt;&gt;""),COUNTIFS($A$2:$A30,'Project Summary'!$C$3,$H$2:$H30,"&lt;&gt;Done",$C$2:$C30,"&lt;&gt;"),"")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2"/>
      <c r="G31" s="35"/>
      <c r="H31" s="32"/>
      <c r="I31" s="35"/>
      <c r="J31" s="35"/>
      <c r="K31" s="32"/>
      <c r="L31" s="33"/>
      <c r="M31" s="37" t="str">
        <f aca="true">IF(C31="","",IF(OR(H31="Done"),"Done",IF(G31="","No Due Date",IF(G31&lt;TODAY(),"Overdue",IF(G31=TODAY(),"Due Today",IF(G31&lt;TODAY()+7,"Due This Week","Later"))))))</f>
        <v/>
      </c>
      <c r="N31" s="40" t="str">
        <f aca="false">IF(AND(C31&lt;&gt;"",H31&lt;&gt;"Done",G31&lt;&gt;""),G31+ROW()/100000,"")</f>
        <v/>
      </c>
      <c r="O31" s="37" t="str">
        <f aca="false">IF(AND(A31&lt;&gt;"",A31='Project Summary'!$C$3,H31&lt;&gt;"Done",C31&lt;&gt;""),COUNTIFS($A$2:$A31,'Project Summary'!$C$3,$H$2:$H31,"&lt;&gt;Done",$C$2:$C31,"&lt;&gt;"),"")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2"/>
      <c r="G32" s="35"/>
      <c r="H32" s="32"/>
      <c r="I32" s="35"/>
      <c r="J32" s="35"/>
      <c r="K32" s="32"/>
      <c r="L32" s="33"/>
      <c r="M32" s="37" t="str">
        <f aca="true">IF(C32="","",IF(OR(H32="Done"),"Done",IF(G32="","No Due Date",IF(G32&lt;TODAY(),"Overdue",IF(G32=TODAY(),"Due Today",IF(G32&lt;TODAY()+7,"Due This Week","Later"))))))</f>
        <v/>
      </c>
      <c r="N32" s="40" t="str">
        <f aca="false">IF(AND(C32&lt;&gt;"",H32&lt;&gt;"Done",G32&lt;&gt;""),G32+ROW()/100000,"")</f>
        <v/>
      </c>
      <c r="O32" s="37" t="str">
        <f aca="false">IF(AND(A32&lt;&gt;"",A32='Project Summary'!$C$3,H32&lt;&gt;"Done",C32&lt;&gt;""),COUNTIFS($A$2:$A32,'Project Summary'!$C$3,$H$2:$H32,"&lt;&gt;Done",$C$2:$C32,"&lt;&gt;"),"")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2"/>
      <c r="G33" s="35"/>
      <c r="H33" s="32"/>
      <c r="I33" s="35"/>
      <c r="J33" s="35"/>
      <c r="K33" s="32"/>
      <c r="L33" s="33"/>
      <c r="M33" s="37" t="str">
        <f aca="true">IF(C33="","",IF(OR(H33="Done"),"Done",IF(G33="","No Due Date",IF(G33&lt;TODAY(),"Overdue",IF(G33=TODAY(),"Due Today",IF(G33&lt;TODAY()+7,"Due This Week","Later"))))))</f>
        <v/>
      </c>
      <c r="N33" s="40" t="str">
        <f aca="false">IF(AND(C33&lt;&gt;"",H33&lt;&gt;"Done",G33&lt;&gt;""),G33+ROW()/100000,"")</f>
        <v/>
      </c>
      <c r="O33" s="37" t="str">
        <f aca="false">IF(AND(A33&lt;&gt;"",A33='Project Summary'!$C$3,H33&lt;&gt;"Done",C33&lt;&gt;""),COUNTIFS($A$2:$A33,'Project Summary'!$C$3,$H$2:$H33,"&lt;&gt;Done",$C$2:$C33,"&lt;&gt;"),"")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2"/>
      <c r="G34" s="35"/>
      <c r="H34" s="32"/>
      <c r="I34" s="35"/>
      <c r="J34" s="35"/>
      <c r="K34" s="32"/>
      <c r="L34" s="33"/>
      <c r="M34" s="37" t="str">
        <f aca="true">IF(C34="","",IF(OR(H34="Done"),"Done",IF(G34="","No Due Date",IF(G34&lt;TODAY(),"Overdue",IF(G34=TODAY(),"Due Today",IF(G34&lt;TODAY()+7,"Due This Week","Later"))))))</f>
        <v/>
      </c>
      <c r="N34" s="40" t="str">
        <f aca="false">IF(AND(C34&lt;&gt;"",H34&lt;&gt;"Done",G34&lt;&gt;""),G34+ROW()/100000,"")</f>
        <v/>
      </c>
      <c r="O34" s="37" t="str">
        <f aca="false">IF(AND(A34&lt;&gt;"",A34='Project Summary'!$C$3,H34&lt;&gt;"Done",C34&lt;&gt;""),COUNTIFS($A$2:$A34,'Project Summary'!$C$3,$H$2:$H34,"&lt;&gt;Done",$C$2:$C34,"&lt;&gt;"),"")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2"/>
      <c r="G35" s="35"/>
      <c r="H35" s="32"/>
      <c r="I35" s="35"/>
      <c r="J35" s="35"/>
      <c r="K35" s="32"/>
      <c r="L35" s="33"/>
      <c r="M35" s="37" t="str">
        <f aca="true">IF(C35="","",IF(OR(H35="Done"),"Done",IF(G35="","No Due Date",IF(G35&lt;TODAY(),"Overdue",IF(G35=TODAY(),"Due Today",IF(G35&lt;TODAY()+7,"Due This Week","Later"))))))</f>
        <v/>
      </c>
      <c r="N35" s="40" t="str">
        <f aca="false">IF(AND(C35&lt;&gt;"",H35&lt;&gt;"Done",G35&lt;&gt;""),G35+ROW()/100000,"")</f>
        <v/>
      </c>
      <c r="O35" s="37" t="str">
        <f aca="false">IF(AND(A35&lt;&gt;"",A35='Project Summary'!$C$3,H35&lt;&gt;"Done",C35&lt;&gt;""),COUNTIFS($A$2:$A35,'Project Summary'!$C$3,$H$2:$H35,"&lt;&gt;Done",$C$2:$C35,"&lt;&gt;"),"")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2"/>
      <c r="G36" s="35"/>
      <c r="H36" s="32"/>
      <c r="I36" s="35"/>
      <c r="J36" s="35"/>
      <c r="K36" s="32"/>
      <c r="L36" s="33"/>
      <c r="M36" s="37" t="str">
        <f aca="true">IF(C36="","",IF(OR(H36="Done"),"Done",IF(G36="","No Due Date",IF(G36&lt;TODAY(),"Overdue",IF(G36=TODAY(),"Due Today",IF(G36&lt;TODAY()+7,"Due This Week","Later"))))))</f>
        <v/>
      </c>
      <c r="N36" s="40" t="str">
        <f aca="false">IF(AND(C36&lt;&gt;"",H36&lt;&gt;"Done",G36&lt;&gt;""),G36+ROW()/100000,"")</f>
        <v/>
      </c>
      <c r="O36" s="37" t="str">
        <f aca="false">IF(AND(A36&lt;&gt;"",A36='Project Summary'!$C$3,H36&lt;&gt;"Done",C36&lt;&gt;""),COUNTIFS($A$2:$A36,'Project Summary'!$C$3,$H$2:$H36,"&lt;&gt;Done",$C$2:$C36,"&lt;&gt;"),"")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2"/>
      <c r="G37" s="35"/>
      <c r="H37" s="32"/>
      <c r="I37" s="35"/>
      <c r="J37" s="35"/>
      <c r="K37" s="32"/>
      <c r="L37" s="33"/>
      <c r="M37" s="37" t="str">
        <f aca="true">IF(C37="","",IF(OR(H37="Done"),"Done",IF(G37="","No Due Date",IF(G37&lt;TODAY(),"Overdue",IF(G37=TODAY(),"Due Today",IF(G37&lt;TODAY()+7,"Due This Week","Later"))))))</f>
        <v/>
      </c>
      <c r="N37" s="40" t="str">
        <f aca="false">IF(AND(C37&lt;&gt;"",H37&lt;&gt;"Done",G37&lt;&gt;""),G37+ROW()/100000,"")</f>
        <v/>
      </c>
      <c r="O37" s="37" t="str">
        <f aca="false">IF(AND(A37&lt;&gt;"",A37='Project Summary'!$C$3,H37&lt;&gt;"Done",C37&lt;&gt;""),COUNTIFS($A$2:$A37,'Project Summary'!$C$3,$H$2:$H37,"&lt;&gt;Done",$C$2:$C37,"&lt;&gt;"),"")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2"/>
      <c r="G38" s="35"/>
      <c r="H38" s="32"/>
      <c r="I38" s="35"/>
      <c r="J38" s="35"/>
      <c r="K38" s="32"/>
      <c r="L38" s="33"/>
      <c r="M38" s="37" t="str">
        <f aca="true">IF(C38="","",IF(OR(H38="Done"),"Done",IF(G38="","No Due Date",IF(G38&lt;TODAY(),"Overdue",IF(G38=TODAY(),"Due Today",IF(G38&lt;TODAY()+7,"Due This Week","Later"))))))</f>
        <v/>
      </c>
      <c r="N38" s="40" t="str">
        <f aca="false">IF(AND(C38&lt;&gt;"",H38&lt;&gt;"Done",G38&lt;&gt;""),G38+ROW()/100000,"")</f>
        <v/>
      </c>
      <c r="O38" s="37" t="str">
        <f aca="false">IF(AND(A38&lt;&gt;"",A38='Project Summary'!$C$3,H38&lt;&gt;"Done",C38&lt;&gt;""),COUNTIFS($A$2:$A38,'Project Summary'!$C$3,$H$2:$H38,"&lt;&gt;Done",$C$2:$C38,"&lt;&gt;"),"")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2"/>
      <c r="G39" s="35"/>
      <c r="H39" s="32"/>
      <c r="I39" s="35"/>
      <c r="J39" s="35"/>
      <c r="K39" s="32"/>
      <c r="L39" s="33"/>
      <c r="M39" s="37" t="str">
        <f aca="true">IF(C39="","",IF(OR(H39="Done"),"Done",IF(G39="","No Due Date",IF(G39&lt;TODAY(),"Overdue",IF(G39=TODAY(),"Due Today",IF(G39&lt;TODAY()+7,"Due This Week","Later"))))))</f>
        <v/>
      </c>
      <c r="N39" s="40" t="str">
        <f aca="false">IF(AND(C39&lt;&gt;"",H39&lt;&gt;"Done",G39&lt;&gt;""),G39+ROW()/100000,"")</f>
        <v/>
      </c>
      <c r="O39" s="37" t="str">
        <f aca="false">IF(AND(A39&lt;&gt;"",A39='Project Summary'!$C$3,H39&lt;&gt;"Done",C39&lt;&gt;""),COUNTIFS($A$2:$A39,'Project Summary'!$C$3,$H$2:$H39,"&lt;&gt;Done",$C$2:$C39,"&lt;&gt;"),"")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2"/>
      <c r="G40" s="35"/>
      <c r="H40" s="32"/>
      <c r="I40" s="35"/>
      <c r="J40" s="35"/>
      <c r="K40" s="32"/>
      <c r="L40" s="33"/>
      <c r="M40" s="37" t="str">
        <f aca="true">IF(C40="","",IF(OR(H40="Done"),"Done",IF(G40="","No Due Date",IF(G40&lt;TODAY(),"Overdue",IF(G40=TODAY(),"Due Today",IF(G40&lt;TODAY()+7,"Due This Week","Later"))))))</f>
        <v/>
      </c>
      <c r="N40" s="40" t="str">
        <f aca="false">IF(AND(C40&lt;&gt;"",H40&lt;&gt;"Done",G40&lt;&gt;""),G40+ROW()/100000,"")</f>
        <v/>
      </c>
      <c r="O40" s="37" t="str">
        <f aca="false">IF(AND(A40&lt;&gt;"",A40='Project Summary'!$C$3,H40&lt;&gt;"Done",C40&lt;&gt;""),COUNTIFS($A$2:$A40,'Project Summary'!$C$3,$H$2:$H40,"&lt;&gt;Done",$C$2:$C40,"&lt;&gt;"),"")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2"/>
      <c r="G41" s="35"/>
      <c r="H41" s="32"/>
      <c r="I41" s="35"/>
      <c r="J41" s="35"/>
      <c r="K41" s="32"/>
      <c r="L41" s="33"/>
      <c r="M41" s="37" t="str">
        <f aca="true">IF(C41="","",IF(OR(H41="Done"),"Done",IF(G41="","No Due Date",IF(G41&lt;TODAY(),"Overdue",IF(G41=TODAY(),"Due Today",IF(G41&lt;TODAY()+7,"Due This Week","Later"))))))</f>
        <v/>
      </c>
      <c r="N41" s="40" t="str">
        <f aca="false">IF(AND(C41&lt;&gt;"",H41&lt;&gt;"Done",G41&lt;&gt;""),G41+ROW()/100000,"")</f>
        <v/>
      </c>
      <c r="O41" s="37" t="str">
        <f aca="false">IF(AND(A41&lt;&gt;"",A41='Project Summary'!$C$3,H41&lt;&gt;"Done",C41&lt;&gt;""),COUNTIFS($A$2:$A41,'Project Summary'!$C$3,$H$2:$H41,"&lt;&gt;Done",$C$2:$C41,"&lt;&gt;"),"")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2"/>
      <c r="G42" s="35"/>
      <c r="H42" s="32"/>
      <c r="I42" s="35"/>
      <c r="J42" s="35"/>
      <c r="K42" s="32"/>
      <c r="L42" s="33"/>
      <c r="M42" s="37" t="str">
        <f aca="true">IF(C42="","",IF(OR(H42="Done"),"Done",IF(G42="","No Due Date",IF(G42&lt;TODAY(),"Overdue",IF(G42=TODAY(),"Due Today",IF(G42&lt;TODAY()+7,"Due This Week","Later"))))))</f>
        <v/>
      </c>
      <c r="N42" s="40" t="str">
        <f aca="false">IF(AND(C42&lt;&gt;"",H42&lt;&gt;"Done",G42&lt;&gt;""),G42+ROW()/100000,"")</f>
        <v/>
      </c>
      <c r="O42" s="37" t="str">
        <f aca="false">IF(AND(A42&lt;&gt;"",A42='Project Summary'!$C$3,H42&lt;&gt;"Done",C42&lt;&gt;""),COUNTIFS($A$2:$A42,'Project Summary'!$C$3,$H$2:$H42,"&lt;&gt;Done",$C$2:$C42,"&lt;&gt;"),"")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2"/>
      <c r="G43" s="35"/>
      <c r="H43" s="32"/>
      <c r="I43" s="35"/>
      <c r="J43" s="35"/>
      <c r="K43" s="32"/>
      <c r="L43" s="33"/>
      <c r="M43" s="37" t="str">
        <f aca="true">IF(C43="","",IF(OR(H43="Done"),"Done",IF(G43="","No Due Date",IF(G43&lt;TODAY(),"Overdue",IF(G43=TODAY(),"Due Today",IF(G43&lt;TODAY()+7,"Due This Week","Later"))))))</f>
        <v/>
      </c>
      <c r="N43" s="40" t="str">
        <f aca="false">IF(AND(C43&lt;&gt;"",H43&lt;&gt;"Done",G43&lt;&gt;""),G43+ROW()/100000,"")</f>
        <v/>
      </c>
      <c r="O43" s="37" t="str">
        <f aca="false">IF(AND(A43&lt;&gt;"",A43='Project Summary'!$C$3,H43&lt;&gt;"Done",C43&lt;&gt;""),COUNTIFS($A$2:$A43,'Project Summary'!$C$3,$H$2:$H43,"&lt;&gt;Done",$C$2:$C43,"&lt;&gt;"),"")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2"/>
      <c r="G44" s="35"/>
      <c r="H44" s="32"/>
      <c r="I44" s="35"/>
      <c r="J44" s="35"/>
      <c r="K44" s="32"/>
      <c r="L44" s="33"/>
      <c r="M44" s="37" t="str">
        <f aca="true">IF(C44="","",IF(OR(H44="Done"),"Done",IF(G44="","No Due Date",IF(G44&lt;TODAY(),"Overdue",IF(G44=TODAY(),"Due Today",IF(G44&lt;TODAY()+7,"Due This Week","Later"))))))</f>
        <v/>
      </c>
      <c r="N44" s="40" t="str">
        <f aca="false">IF(AND(C44&lt;&gt;"",H44&lt;&gt;"Done",G44&lt;&gt;""),G44+ROW()/100000,"")</f>
        <v/>
      </c>
      <c r="O44" s="37" t="str">
        <f aca="false">IF(AND(A44&lt;&gt;"",A44='Project Summary'!$C$3,H44&lt;&gt;"Done",C44&lt;&gt;""),COUNTIFS($A$2:$A44,'Project Summary'!$C$3,$H$2:$H44,"&lt;&gt;Done",$C$2:$C44,"&lt;&gt;"),"")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2"/>
      <c r="G45" s="35"/>
      <c r="H45" s="32"/>
      <c r="I45" s="35"/>
      <c r="J45" s="35"/>
      <c r="K45" s="32"/>
      <c r="L45" s="33"/>
      <c r="M45" s="37" t="str">
        <f aca="true">IF(C45="","",IF(OR(H45="Done"),"Done",IF(G45="","No Due Date",IF(G45&lt;TODAY(),"Overdue",IF(G45=TODAY(),"Due Today",IF(G45&lt;TODAY()+7,"Due This Week","Later"))))))</f>
        <v/>
      </c>
      <c r="N45" s="40" t="str">
        <f aca="false">IF(AND(C45&lt;&gt;"",H45&lt;&gt;"Done",G45&lt;&gt;""),G45+ROW()/100000,"")</f>
        <v/>
      </c>
      <c r="O45" s="37" t="str">
        <f aca="false">IF(AND(A45&lt;&gt;"",A45='Project Summary'!$C$3,H45&lt;&gt;"Done",C45&lt;&gt;""),COUNTIFS($A$2:$A45,'Project Summary'!$C$3,$H$2:$H45,"&lt;&gt;Done",$C$2:$C45,"&lt;&gt;"),"")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2"/>
      <c r="G46" s="35"/>
      <c r="H46" s="32"/>
      <c r="I46" s="35"/>
      <c r="J46" s="35"/>
      <c r="K46" s="32"/>
      <c r="L46" s="33"/>
      <c r="M46" s="37" t="str">
        <f aca="true">IF(C46="","",IF(OR(H46="Done"),"Done",IF(G46="","No Due Date",IF(G46&lt;TODAY(),"Overdue",IF(G46=TODAY(),"Due Today",IF(G46&lt;TODAY()+7,"Due This Week","Later"))))))</f>
        <v/>
      </c>
      <c r="N46" s="40" t="str">
        <f aca="false">IF(AND(C46&lt;&gt;"",H46&lt;&gt;"Done",G46&lt;&gt;""),G46+ROW()/100000,"")</f>
        <v/>
      </c>
      <c r="O46" s="37" t="str">
        <f aca="false">IF(AND(A46&lt;&gt;"",A46='Project Summary'!$C$3,H46&lt;&gt;"Done",C46&lt;&gt;""),COUNTIFS($A$2:$A46,'Project Summary'!$C$3,$H$2:$H46,"&lt;&gt;Done",$C$2:$C46,"&lt;&gt;"),"")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2"/>
      <c r="G47" s="35"/>
      <c r="H47" s="32"/>
      <c r="I47" s="35"/>
      <c r="J47" s="35"/>
      <c r="K47" s="32"/>
      <c r="L47" s="33"/>
      <c r="M47" s="37" t="str">
        <f aca="true">IF(C47="","",IF(OR(H47="Done"),"Done",IF(G47="","No Due Date",IF(G47&lt;TODAY(),"Overdue",IF(G47=TODAY(),"Due Today",IF(G47&lt;TODAY()+7,"Due This Week","Later"))))))</f>
        <v/>
      </c>
      <c r="N47" s="40" t="str">
        <f aca="false">IF(AND(C47&lt;&gt;"",H47&lt;&gt;"Done",G47&lt;&gt;""),G47+ROW()/100000,"")</f>
        <v/>
      </c>
      <c r="O47" s="37" t="str">
        <f aca="false">IF(AND(A47&lt;&gt;"",A47='Project Summary'!$C$3,H47&lt;&gt;"Done",C47&lt;&gt;""),COUNTIFS($A$2:$A47,'Project Summary'!$C$3,$H$2:$H47,"&lt;&gt;Done",$C$2:$C47,"&lt;&gt;"),"")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2"/>
      <c r="G48" s="35"/>
      <c r="H48" s="32"/>
      <c r="I48" s="35"/>
      <c r="J48" s="35"/>
      <c r="K48" s="32"/>
      <c r="L48" s="33"/>
      <c r="M48" s="37" t="str">
        <f aca="true">IF(C48="","",IF(OR(H48="Done"),"Done",IF(G48="","No Due Date",IF(G48&lt;TODAY(),"Overdue",IF(G48=TODAY(),"Due Today",IF(G48&lt;TODAY()+7,"Due This Week","Later"))))))</f>
        <v/>
      </c>
      <c r="N48" s="40" t="str">
        <f aca="false">IF(AND(C48&lt;&gt;"",H48&lt;&gt;"Done",G48&lt;&gt;""),G48+ROW()/100000,"")</f>
        <v/>
      </c>
      <c r="O48" s="37" t="str">
        <f aca="false">IF(AND(A48&lt;&gt;"",A48='Project Summary'!$C$3,H48&lt;&gt;"Done",C48&lt;&gt;""),COUNTIFS($A$2:$A48,'Project Summary'!$C$3,$H$2:$H48,"&lt;&gt;Done",$C$2:$C48,"&lt;&gt;"),"")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2"/>
      <c r="G49" s="35"/>
      <c r="H49" s="32"/>
      <c r="I49" s="35"/>
      <c r="J49" s="35"/>
      <c r="K49" s="32"/>
      <c r="L49" s="33"/>
      <c r="M49" s="37" t="str">
        <f aca="true">IF(C49="","",IF(OR(H49="Done"),"Done",IF(G49="","No Due Date",IF(G49&lt;TODAY(),"Overdue",IF(G49=TODAY(),"Due Today",IF(G49&lt;TODAY()+7,"Due This Week","Later"))))))</f>
        <v/>
      </c>
      <c r="N49" s="40" t="str">
        <f aca="false">IF(AND(C49&lt;&gt;"",H49&lt;&gt;"Done",G49&lt;&gt;""),G49+ROW()/100000,"")</f>
        <v/>
      </c>
      <c r="O49" s="37" t="str">
        <f aca="false">IF(AND(A49&lt;&gt;"",A49='Project Summary'!$C$3,H49&lt;&gt;"Done",C49&lt;&gt;""),COUNTIFS($A$2:$A49,'Project Summary'!$C$3,$H$2:$H49,"&lt;&gt;Done",$C$2:$C49,"&lt;&gt;"),"")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2"/>
      <c r="G50" s="35"/>
      <c r="H50" s="32"/>
      <c r="I50" s="35"/>
      <c r="J50" s="35"/>
      <c r="K50" s="32"/>
      <c r="L50" s="33"/>
      <c r="M50" s="37" t="str">
        <f aca="true">IF(C50="","",IF(OR(H50="Done"),"Done",IF(G50="","No Due Date",IF(G50&lt;TODAY(),"Overdue",IF(G50=TODAY(),"Due Today",IF(G50&lt;TODAY()+7,"Due This Week","Later"))))))</f>
        <v/>
      </c>
      <c r="N50" s="40" t="str">
        <f aca="false">IF(AND(C50&lt;&gt;"",H50&lt;&gt;"Done",G50&lt;&gt;""),G50+ROW()/100000,"")</f>
        <v/>
      </c>
      <c r="O50" s="37" t="str">
        <f aca="false">IF(AND(A50&lt;&gt;"",A50='Project Summary'!$C$3,H50&lt;&gt;"Done",C50&lt;&gt;""),COUNTIFS($A$2:$A50,'Project Summary'!$C$3,$H$2:$H50,"&lt;&gt;Done",$C$2:$C50,"&lt;&gt;"),"")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2"/>
      <c r="G51" s="35"/>
      <c r="H51" s="32"/>
      <c r="I51" s="35"/>
      <c r="J51" s="35"/>
      <c r="K51" s="32"/>
      <c r="L51" s="33"/>
      <c r="M51" s="37" t="str">
        <f aca="true">IF(C51="","",IF(OR(H51="Done"),"Done",IF(G51="","No Due Date",IF(G51&lt;TODAY(),"Overdue",IF(G51=TODAY(),"Due Today",IF(G51&lt;TODAY()+7,"Due This Week","Later"))))))</f>
        <v/>
      </c>
      <c r="N51" s="40" t="str">
        <f aca="false">IF(AND(C51&lt;&gt;"",H51&lt;&gt;"Done",G51&lt;&gt;""),G51+ROW()/100000,"")</f>
        <v/>
      </c>
      <c r="O51" s="37" t="str">
        <f aca="false">IF(AND(A51&lt;&gt;"",A51='Project Summary'!$C$3,H51&lt;&gt;"Done",C51&lt;&gt;""),COUNTIFS($A$2:$A51,'Project Summary'!$C$3,$H$2:$H51,"&lt;&gt;Done",$C$2:$C51,"&lt;&gt;"),"")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2"/>
      <c r="G52" s="35"/>
      <c r="H52" s="32"/>
      <c r="I52" s="35"/>
      <c r="J52" s="35"/>
      <c r="K52" s="32"/>
      <c r="L52" s="33"/>
      <c r="M52" s="37" t="str">
        <f aca="true">IF(C52="","",IF(OR(H52="Done"),"Done",IF(G52="","No Due Date",IF(G52&lt;TODAY(),"Overdue",IF(G52=TODAY(),"Due Today",IF(G52&lt;TODAY()+7,"Due This Week","Later"))))))</f>
        <v/>
      </c>
      <c r="N52" s="40" t="str">
        <f aca="false">IF(AND(C52&lt;&gt;"",H52&lt;&gt;"Done",G52&lt;&gt;""),G52+ROW()/100000,"")</f>
        <v/>
      </c>
      <c r="O52" s="37" t="str">
        <f aca="false">IF(AND(A52&lt;&gt;"",A52='Project Summary'!$C$3,H52&lt;&gt;"Done",C52&lt;&gt;""),COUNTIFS($A$2:$A52,'Project Summary'!$C$3,$H$2:$H52,"&lt;&gt;Done",$C$2:$C52,"&lt;&gt;"),"")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2"/>
      <c r="G53" s="35"/>
      <c r="H53" s="32"/>
      <c r="I53" s="35"/>
      <c r="J53" s="35"/>
      <c r="K53" s="32"/>
      <c r="L53" s="33"/>
      <c r="M53" s="37" t="str">
        <f aca="true">IF(C53="","",IF(OR(H53="Done"),"Done",IF(G53="","No Due Date",IF(G53&lt;TODAY(),"Overdue",IF(G53=TODAY(),"Due Today",IF(G53&lt;TODAY()+7,"Due This Week","Later"))))))</f>
        <v/>
      </c>
      <c r="N53" s="40" t="str">
        <f aca="false">IF(AND(C53&lt;&gt;"",H53&lt;&gt;"Done",G53&lt;&gt;""),G53+ROW()/100000,"")</f>
        <v/>
      </c>
      <c r="O53" s="37" t="str">
        <f aca="false">IF(AND(A53&lt;&gt;"",A53='Project Summary'!$C$3,H53&lt;&gt;"Done",C53&lt;&gt;""),COUNTIFS($A$2:$A53,'Project Summary'!$C$3,$H$2:$H53,"&lt;&gt;Done",$C$2:$C53,"&lt;&gt;"),"")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2"/>
      <c r="G54" s="35"/>
      <c r="H54" s="32"/>
      <c r="I54" s="35"/>
      <c r="J54" s="35"/>
      <c r="K54" s="32"/>
      <c r="L54" s="33"/>
      <c r="M54" s="37" t="str">
        <f aca="true">IF(C54="","",IF(OR(H54="Done"),"Done",IF(G54="","No Due Date",IF(G54&lt;TODAY(),"Overdue",IF(G54=TODAY(),"Due Today",IF(G54&lt;TODAY()+7,"Due This Week","Later"))))))</f>
        <v/>
      </c>
      <c r="N54" s="40" t="str">
        <f aca="false">IF(AND(C54&lt;&gt;"",H54&lt;&gt;"Done",G54&lt;&gt;""),G54+ROW()/100000,"")</f>
        <v/>
      </c>
      <c r="O54" s="37" t="str">
        <f aca="false">IF(AND(A54&lt;&gt;"",A54='Project Summary'!$C$3,H54&lt;&gt;"Done",C54&lt;&gt;""),COUNTIFS($A$2:$A54,'Project Summary'!$C$3,$H$2:$H54,"&lt;&gt;Done",$C$2:$C54,"&lt;&gt;"),"")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2"/>
      <c r="G55" s="35"/>
      <c r="H55" s="32"/>
      <c r="I55" s="35"/>
      <c r="J55" s="35"/>
      <c r="K55" s="32"/>
      <c r="L55" s="33"/>
      <c r="M55" s="37" t="str">
        <f aca="true">IF(C55="","",IF(OR(H55="Done"),"Done",IF(G55="","No Due Date",IF(G55&lt;TODAY(),"Overdue",IF(G55=TODAY(),"Due Today",IF(G55&lt;TODAY()+7,"Due This Week","Later"))))))</f>
        <v/>
      </c>
      <c r="N55" s="40" t="str">
        <f aca="false">IF(AND(C55&lt;&gt;"",H55&lt;&gt;"Done",G55&lt;&gt;""),G55+ROW()/100000,"")</f>
        <v/>
      </c>
      <c r="O55" s="37" t="str">
        <f aca="false">IF(AND(A55&lt;&gt;"",A55='Project Summary'!$C$3,H55&lt;&gt;"Done",C55&lt;&gt;""),COUNTIFS($A$2:$A55,'Project Summary'!$C$3,$H$2:$H55,"&lt;&gt;Done",$C$2:$C55,"&lt;&gt;"),"")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2"/>
      <c r="G56" s="35"/>
      <c r="H56" s="32"/>
      <c r="I56" s="35"/>
      <c r="J56" s="35"/>
      <c r="K56" s="32"/>
      <c r="L56" s="33"/>
      <c r="M56" s="37" t="str">
        <f aca="true">IF(C56="","",IF(OR(H56="Done"),"Done",IF(G56="","No Due Date",IF(G56&lt;TODAY(),"Overdue",IF(G56=TODAY(),"Due Today",IF(G56&lt;TODAY()+7,"Due This Week","Later"))))))</f>
        <v/>
      </c>
      <c r="N56" s="40" t="str">
        <f aca="false">IF(AND(C56&lt;&gt;"",H56&lt;&gt;"Done",G56&lt;&gt;""),G56+ROW()/100000,"")</f>
        <v/>
      </c>
      <c r="O56" s="37" t="str">
        <f aca="false">IF(AND(A56&lt;&gt;"",A56='Project Summary'!$C$3,H56&lt;&gt;"Done",C56&lt;&gt;""),COUNTIFS($A$2:$A56,'Project Summary'!$C$3,$H$2:$H56,"&lt;&gt;Done",$C$2:$C56,"&lt;&gt;"),"")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2"/>
      <c r="G57" s="35"/>
      <c r="H57" s="32"/>
      <c r="I57" s="35"/>
      <c r="J57" s="35"/>
      <c r="K57" s="32"/>
      <c r="L57" s="33"/>
      <c r="M57" s="37" t="str">
        <f aca="true">IF(C57="","",IF(OR(H57="Done"),"Done",IF(G57="","No Due Date",IF(G57&lt;TODAY(),"Overdue",IF(G57=TODAY(),"Due Today",IF(G57&lt;TODAY()+7,"Due This Week","Later"))))))</f>
        <v/>
      </c>
      <c r="N57" s="40" t="str">
        <f aca="false">IF(AND(C57&lt;&gt;"",H57&lt;&gt;"Done",G57&lt;&gt;""),G57+ROW()/100000,"")</f>
        <v/>
      </c>
      <c r="O57" s="37" t="str">
        <f aca="false">IF(AND(A57&lt;&gt;"",A57='Project Summary'!$C$3,H57&lt;&gt;"Done",C57&lt;&gt;""),COUNTIFS($A$2:$A57,'Project Summary'!$C$3,$H$2:$H57,"&lt;&gt;Done",$C$2:$C57,"&lt;&gt;"),"")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2"/>
      <c r="G58" s="35"/>
      <c r="H58" s="32"/>
      <c r="I58" s="35"/>
      <c r="J58" s="35"/>
      <c r="K58" s="32"/>
      <c r="L58" s="33"/>
      <c r="M58" s="37" t="str">
        <f aca="true">IF(C58="","",IF(OR(H58="Done"),"Done",IF(G58="","No Due Date",IF(G58&lt;TODAY(),"Overdue",IF(G58=TODAY(),"Due Today",IF(G58&lt;TODAY()+7,"Due This Week","Later"))))))</f>
        <v/>
      </c>
      <c r="N58" s="40" t="str">
        <f aca="false">IF(AND(C58&lt;&gt;"",H58&lt;&gt;"Done",G58&lt;&gt;""),G58+ROW()/100000,"")</f>
        <v/>
      </c>
      <c r="O58" s="37" t="str">
        <f aca="false">IF(AND(A58&lt;&gt;"",A58='Project Summary'!$C$3,H58&lt;&gt;"Done",C58&lt;&gt;""),COUNTIFS($A$2:$A58,'Project Summary'!$C$3,$H$2:$H58,"&lt;&gt;Done",$C$2:$C58,"&lt;&gt;"),"")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2"/>
      <c r="G59" s="35"/>
      <c r="H59" s="32"/>
      <c r="I59" s="35"/>
      <c r="J59" s="35"/>
      <c r="K59" s="32"/>
      <c r="L59" s="33"/>
      <c r="M59" s="37" t="str">
        <f aca="true">IF(C59="","",IF(OR(H59="Done"),"Done",IF(G59="","No Due Date",IF(G59&lt;TODAY(),"Overdue",IF(G59=TODAY(),"Due Today",IF(G59&lt;TODAY()+7,"Due This Week","Later"))))))</f>
        <v/>
      </c>
      <c r="N59" s="40" t="str">
        <f aca="false">IF(AND(C59&lt;&gt;"",H59&lt;&gt;"Done",G59&lt;&gt;""),G59+ROW()/100000,"")</f>
        <v/>
      </c>
      <c r="O59" s="37" t="str">
        <f aca="false">IF(AND(A59&lt;&gt;"",A59='Project Summary'!$C$3,H59&lt;&gt;"Done",C59&lt;&gt;""),COUNTIFS($A$2:$A59,'Project Summary'!$C$3,$H$2:$H59,"&lt;&gt;Done",$C$2:$C59,"&lt;&gt;"),"")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2"/>
      <c r="G60" s="35"/>
      <c r="H60" s="32"/>
      <c r="I60" s="35"/>
      <c r="J60" s="35"/>
      <c r="K60" s="32"/>
      <c r="L60" s="33"/>
      <c r="M60" s="37" t="str">
        <f aca="true">IF(C60="","",IF(OR(H60="Done"),"Done",IF(G60="","No Due Date",IF(G60&lt;TODAY(),"Overdue",IF(G60=TODAY(),"Due Today",IF(G60&lt;TODAY()+7,"Due This Week","Later"))))))</f>
        <v/>
      </c>
      <c r="N60" s="40" t="str">
        <f aca="false">IF(AND(C60&lt;&gt;"",H60&lt;&gt;"Done",G60&lt;&gt;""),G60+ROW()/100000,"")</f>
        <v/>
      </c>
      <c r="O60" s="37" t="str">
        <f aca="false">IF(AND(A60&lt;&gt;"",A60='Project Summary'!$C$3,H60&lt;&gt;"Done",C60&lt;&gt;""),COUNTIFS($A$2:$A60,'Project Summary'!$C$3,$H$2:$H60,"&lt;&gt;Done",$C$2:$C60,"&lt;&gt;"),"")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2"/>
      <c r="G61" s="35"/>
      <c r="H61" s="32"/>
      <c r="I61" s="35"/>
      <c r="J61" s="35"/>
      <c r="K61" s="32"/>
      <c r="L61" s="33"/>
      <c r="M61" s="37" t="str">
        <f aca="true">IF(C61="","",IF(OR(H61="Done"),"Done",IF(G61="","No Due Date",IF(G61&lt;TODAY(),"Overdue",IF(G61=TODAY(),"Due Today",IF(G61&lt;TODAY()+7,"Due This Week","Later"))))))</f>
        <v/>
      </c>
      <c r="N61" s="40" t="str">
        <f aca="false">IF(AND(C61&lt;&gt;"",H61&lt;&gt;"Done",G61&lt;&gt;""),G61+ROW()/100000,"")</f>
        <v/>
      </c>
      <c r="O61" s="37" t="str">
        <f aca="false">IF(AND(A61&lt;&gt;"",A61='Project Summary'!$C$3,H61&lt;&gt;"Done",C61&lt;&gt;""),COUNTIFS($A$2:$A61,'Project Summary'!$C$3,$H$2:$H61,"&lt;&gt;Done",$C$2:$C61,"&lt;&gt;"),"")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2"/>
      <c r="G62" s="35"/>
      <c r="H62" s="32"/>
      <c r="I62" s="35"/>
      <c r="J62" s="35"/>
      <c r="K62" s="32"/>
      <c r="L62" s="33"/>
      <c r="M62" s="37" t="str">
        <f aca="true">IF(C62="","",IF(OR(H62="Done"),"Done",IF(G62="","No Due Date",IF(G62&lt;TODAY(),"Overdue",IF(G62=TODAY(),"Due Today",IF(G62&lt;TODAY()+7,"Due This Week","Later"))))))</f>
        <v/>
      </c>
      <c r="N62" s="40" t="str">
        <f aca="false">IF(AND(C62&lt;&gt;"",H62&lt;&gt;"Done",G62&lt;&gt;""),G62+ROW()/100000,"")</f>
        <v/>
      </c>
      <c r="O62" s="37" t="str">
        <f aca="false">IF(AND(A62&lt;&gt;"",A62='Project Summary'!$C$3,H62&lt;&gt;"Done",C62&lt;&gt;""),COUNTIFS($A$2:$A62,'Project Summary'!$C$3,$H$2:$H62,"&lt;&gt;Done",$C$2:$C62,"&lt;&gt;"),"")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2"/>
      <c r="G63" s="35"/>
      <c r="H63" s="32"/>
      <c r="I63" s="35"/>
      <c r="J63" s="35"/>
      <c r="K63" s="32"/>
      <c r="L63" s="33"/>
      <c r="M63" s="37" t="str">
        <f aca="true">IF(C63="","",IF(OR(H63="Done"),"Done",IF(G63="","No Due Date",IF(G63&lt;TODAY(),"Overdue",IF(G63=TODAY(),"Due Today",IF(G63&lt;TODAY()+7,"Due This Week","Later"))))))</f>
        <v/>
      </c>
      <c r="N63" s="40" t="str">
        <f aca="false">IF(AND(C63&lt;&gt;"",H63&lt;&gt;"Done",G63&lt;&gt;""),G63+ROW()/100000,"")</f>
        <v/>
      </c>
      <c r="O63" s="37" t="str">
        <f aca="false">IF(AND(A63&lt;&gt;"",A63='Project Summary'!$C$3,H63&lt;&gt;"Done",C63&lt;&gt;""),COUNTIFS($A$2:$A63,'Project Summary'!$C$3,$H$2:$H63,"&lt;&gt;Done",$C$2:$C63,"&lt;&gt;"),"")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2"/>
      <c r="G64" s="35"/>
      <c r="H64" s="32"/>
      <c r="I64" s="35"/>
      <c r="J64" s="35"/>
      <c r="K64" s="32"/>
      <c r="L64" s="33"/>
      <c r="M64" s="37" t="str">
        <f aca="true">IF(C64="","",IF(OR(H64="Done"),"Done",IF(G64="","No Due Date",IF(G64&lt;TODAY(),"Overdue",IF(G64=TODAY(),"Due Today",IF(G64&lt;TODAY()+7,"Due This Week","Later"))))))</f>
        <v/>
      </c>
      <c r="N64" s="40" t="str">
        <f aca="false">IF(AND(C64&lt;&gt;"",H64&lt;&gt;"Done",G64&lt;&gt;""),G64+ROW()/100000,"")</f>
        <v/>
      </c>
      <c r="O64" s="37" t="str">
        <f aca="false">IF(AND(A64&lt;&gt;"",A64='Project Summary'!$C$3,H64&lt;&gt;"Done",C64&lt;&gt;""),COUNTIFS($A$2:$A64,'Project Summary'!$C$3,$H$2:$H64,"&lt;&gt;Done",$C$2:$C64,"&lt;&gt;"),"")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2"/>
      <c r="G65" s="35"/>
      <c r="H65" s="32"/>
      <c r="I65" s="35"/>
      <c r="J65" s="35"/>
      <c r="K65" s="32"/>
      <c r="L65" s="33"/>
      <c r="M65" s="37" t="str">
        <f aca="true">IF(C65="","",IF(OR(H65="Done"),"Done",IF(G65="","No Due Date",IF(G65&lt;TODAY(),"Overdue",IF(G65=TODAY(),"Due Today",IF(G65&lt;TODAY()+7,"Due This Week","Later"))))))</f>
        <v/>
      </c>
      <c r="N65" s="40" t="str">
        <f aca="false">IF(AND(C65&lt;&gt;"",H65&lt;&gt;"Done",G65&lt;&gt;""),G65+ROW()/100000,"")</f>
        <v/>
      </c>
      <c r="O65" s="37" t="str">
        <f aca="false">IF(AND(A65&lt;&gt;"",A65='Project Summary'!$C$3,H65&lt;&gt;"Done",C65&lt;&gt;""),COUNTIFS($A$2:$A65,'Project Summary'!$C$3,$H$2:$H65,"&lt;&gt;Done",$C$2:$C65,"&lt;&gt;"),"")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2"/>
      <c r="G66" s="35"/>
      <c r="H66" s="32"/>
      <c r="I66" s="35"/>
      <c r="J66" s="35"/>
      <c r="K66" s="32"/>
      <c r="L66" s="33"/>
      <c r="M66" s="37" t="str">
        <f aca="true">IF(C66="","",IF(OR(H66="Done"),"Done",IF(G66="","No Due Date",IF(G66&lt;TODAY(),"Overdue",IF(G66=TODAY(),"Due Today",IF(G66&lt;TODAY()+7,"Due This Week","Later"))))))</f>
        <v/>
      </c>
      <c r="N66" s="40" t="str">
        <f aca="false">IF(AND(C66&lt;&gt;"",H66&lt;&gt;"Done",G66&lt;&gt;""),G66+ROW()/100000,"")</f>
        <v/>
      </c>
      <c r="O66" s="37" t="str">
        <f aca="false">IF(AND(A66&lt;&gt;"",A66='Project Summary'!$C$3,H66&lt;&gt;"Done",C66&lt;&gt;""),COUNTIFS($A$2:$A66,'Project Summary'!$C$3,$H$2:$H66,"&lt;&gt;Done",$C$2:$C66,"&lt;&gt;"),"")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2"/>
      <c r="G67" s="35"/>
      <c r="H67" s="32"/>
      <c r="I67" s="35"/>
      <c r="J67" s="35"/>
      <c r="K67" s="32"/>
      <c r="L67" s="33"/>
      <c r="M67" s="37" t="str">
        <f aca="true">IF(C67="","",IF(OR(H67="Done"),"Done",IF(G67="","No Due Date",IF(G67&lt;TODAY(),"Overdue",IF(G67=TODAY(),"Due Today",IF(G67&lt;TODAY()+7,"Due This Week","Later"))))))</f>
        <v/>
      </c>
      <c r="N67" s="40" t="str">
        <f aca="false">IF(AND(C67&lt;&gt;"",H67&lt;&gt;"Done",G67&lt;&gt;""),G67+ROW()/100000,"")</f>
        <v/>
      </c>
      <c r="O67" s="37" t="str">
        <f aca="false">IF(AND(A67&lt;&gt;"",A67='Project Summary'!$C$3,H67&lt;&gt;"Done",C67&lt;&gt;""),COUNTIFS($A$2:$A67,'Project Summary'!$C$3,$H$2:$H67,"&lt;&gt;Done",$C$2:$C67,"&lt;&gt;"),"")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2"/>
      <c r="G68" s="35"/>
      <c r="H68" s="32"/>
      <c r="I68" s="35"/>
      <c r="J68" s="35"/>
      <c r="K68" s="32"/>
      <c r="L68" s="33"/>
      <c r="M68" s="37" t="str">
        <f aca="true">IF(C68="","",IF(OR(H68="Done"),"Done",IF(G68="","No Due Date",IF(G68&lt;TODAY(),"Overdue",IF(G68=TODAY(),"Due Today",IF(G68&lt;TODAY()+7,"Due This Week","Later"))))))</f>
        <v/>
      </c>
      <c r="N68" s="40" t="str">
        <f aca="false">IF(AND(C68&lt;&gt;"",H68&lt;&gt;"Done",G68&lt;&gt;""),G68+ROW()/100000,"")</f>
        <v/>
      </c>
      <c r="O68" s="37" t="str">
        <f aca="false">IF(AND(A68&lt;&gt;"",A68='Project Summary'!$C$3,H68&lt;&gt;"Done",C68&lt;&gt;""),COUNTIFS($A$2:$A68,'Project Summary'!$C$3,$H$2:$H68,"&lt;&gt;Done",$C$2:$C68,"&lt;&gt;"),"")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2"/>
      <c r="G69" s="35"/>
      <c r="H69" s="32"/>
      <c r="I69" s="35"/>
      <c r="J69" s="35"/>
      <c r="K69" s="32"/>
      <c r="L69" s="33"/>
      <c r="M69" s="37" t="str">
        <f aca="true">IF(C69="","",IF(OR(H69="Done"),"Done",IF(G69="","No Due Date",IF(G69&lt;TODAY(),"Overdue",IF(G69=TODAY(),"Due Today",IF(G69&lt;TODAY()+7,"Due This Week","Later"))))))</f>
        <v/>
      </c>
      <c r="N69" s="40" t="str">
        <f aca="false">IF(AND(C69&lt;&gt;"",H69&lt;&gt;"Done",G69&lt;&gt;""),G69+ROW()/100000,"")</f>
        <v/>
      </c>
      <c r="O69" s="37" t="str">
        <f aca="false">IF(AND(A69&lt;&gt;"",A69='Project Summary'!$C$3,H69&lt;&gt;"Done",C69&lt;&gt;""),COUNTIFS($A$2:$A69,'Project Summary'!$C$3,$H$2:$H69,"&lt;&gt;Done",$C$2:$C69,"&lt;&gt;"),"")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2"/>
      <c r="G70" s="35"/>
      <c r="H70" s="32"/>
      <c r="I70" s="35"/>
      <c r="J70" s="35"/>
      <c r="K70" s="32"/>
      <c r="L70" s="33"/>
      <c r="M70" s="37" t="str">
        <f aca="true">IF(C70="","",IF(OR(H70="Done"),"Done",IF(G70="","No Due Date",IF(G70&lt;TODAY(),"Overdue",IF(G70=TODAY(),"Due Today",IF(G70&lt;TODAY()+7,"Due This Week","Later"))))))</f>
        <v/>
      </c>
      <c r="N70" s="40" t="str">
        <f aca="false">IF(AND(C70&lt;&gt;"",H70&lt;&gt;"Done",G70&lt;&gt;""),G70+ROW()/100000,"")</f>
        <v/>
      </c>
      <c r="O70" s="37" t="str">
        <f aca="false">IF(AND(A70&lt;&gt;"",A70='Project Summary'!$C$3,H70&lt;&gt;"Done",C70&lt;&gt;""),COUNTIFS($A$2:$A70,'Project Summary'!$C$3,$H$2:$H70,"&lt;&gt;Done",$C$2:$C70,"&lt;&gt;"),"")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2"/>
      <c r="G71" s="35"/>
      <c r="H71" s="32"/>
      <c r="I71" s="35"/>
      <c r="J71" s="35"/>
      <c r="K71" s="32"/>
      <c r="L71" s="33"/>
      <c r="M71" s="37" t="str">
        <f aca="true">IF(C71="","",IF(OR(H71="Done"),"Done",IF(G71="","No Due Date",IF(G71&lt;TODAY(),"Overdue",IF(G71=TODAY(),"Due Today",IF(G71&lt;TODAY()+7,"Due This Week","Later"))))))</f>
        <v/>
      </c>
      <c r="N71" s="40" t="str">
        <f aca="false">IF(AND(C71&lt;&gt;"",H71&lt;&gt;"Done",G71&lt;&gt;""),G71+ROW()/100000,"")</f>
        <v/>
      </c>
      <c r="O71" s="37" t="str">
        <f aca="false">IF(AND(A71&lt;&gt;"",A71='Project Summary'!$C$3,H71&lt;&gt;"Done",C71&lt;&gt;""),COUNTIFS($A$2:$A71,'Project Summary'!$C$3,$H$2:$H71,"&lt;&gt;Done",$C$2:$C71,"&lt;&gt;"),"")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2"/>
      <c r="G72" s="35"/>
      <c r="H72" s="32"/>
      <c r="I72" s="35"/>
      <c r="J72" s="35"/>
      <c r="K72" s="32"/>
      <c r="L72" s="33"/>
      <c r="M72" s="37" t="str">
        <f aca="true">IF(C72="","",IF(OR(H72="Done"),"Done",IF(G72="","No Due Date",IF(G72&lt;TODAY(),"Overdue",IF(G72=TODAY(),"Due Today",IF(G72&lt;TODAY()+7,"Due This Week","Later"))))))</f>
        <v/>
      </c>
      <c r="N72" s="40" t="str">
        <f aca="false">IF(AND(C72&lt;&gt;"",H72&lt;&gt;"Done",G72&lt;&gt;""),G72+ROW()/100000,"")</f>
        <v/>
      </c>
      <c r="O72" s="37" t="str">
        <f aca="false">IF(AND(A72&lt;&gt;"",A72='Project Summary'!$C$3,H72&lt;&gt;"Done",C72&lt;&gt;""),COUNTIFS($A$2:$A72,'Project Summary'!$C$3,$H$2:$H72,"&lt;&gt;Done",$C$2:$C72,"&lt;&gt;"),"")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2"/>
      <c r="G73" s="35"/>
      <c r="H73" s="32"/>
      <c r="I73" s="35"/>
      <c r="J73" s="35"/>
      <c r="K73" s="32"/>
      <c r="L73" s="33"/>
      <c r="M73" s="37" t="str">
        <f aca="true">IF(C73="","",IF(OR(H73="Done"),"Done",IF(G73="","No Due Date",IF(G73&lt;TODAY(),"Overdue",IF(G73=TODAY(),"Due Today",IF(G73&lt;TODAY()+7,"Due This Week","Later"))))))</f>
        <v/>
      </c>
      <c r="N73" s="40" t="str">
        <f aca="false">IF(AND(C73&lt;&gt;"",H73&lt;&gt;"Done",G73&lt;&gt;""),G73+ROW()/100000,"")</f>
        <v/>
      </c>
      <c r="O73" s="37" t="str">
        <f aca="false">IF(AND(A73&lt;&gt;"",A73='Project Summary'!$C$3,H73&lt;&gt;"Done",C73&lt;&gt;""),COUNTIFS($A$2:$A73,'Project Summary'!$C$3,$H$2:$H73,"&lt;&gt;Done",$C$2:$C73,"&lt;&gt;"),"")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2"/>
      <c r="G74" s="35"/>
      <c r="H74" s="32"/>
      <c r="I74" s="35"/>
      <c r="J74" s="35"/>
      <c r="K74" s="32"/>
      <c r="L74" s="33"/>
      <c r="M74" s="37" t="str">
        <f aca="true">IF(C74="","",IF(OR(H74="Done"),"Done",IF(G74="","No Due Date",IF(G74&lt;TODAY(),"Overdue",IF(G74=TODAY(),"Due Today",IF(G74&lt;TODAY()+7,"Due This Week","Later"))))))</f>
        <v/>
      </c>
      <c r="N74" s="40" t="str">
        <f aca="false">IF(AND(C74&lt;&gt;"",H74&lt;&gt;"Done",G74&lt;&gt;""),G74+ROW()/100000,"")</f>
        <v/>
      </c>
      <c r="O74" s="37" t="str">
        <f aca="false">IF(AND(A74&lt;&gt;"",A74='Project Summary'!$C$3,H74&lt;&gt;"Done",C74&lt;&gt;""),COUNTIFS($A$2:$A74,'Project Summary'!$C$3,$H$2:$H74,"&lt;&gt;Done",$C$2:$C74,"&lt;&gt;"),"")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2"/>
      <c r="G75" s="35"/>
      <c r="H75" s="32"/>
      <c r="I75" s="35"/>
      <c r="J75" s="35"/>
      <c r="K75" s="32"/>
      <c r="L75" s="33"/>
      <c r="M75" s="37" t="str">
        <f aca="true">IF(C75="","",IF(OR(H75="Done"),"Done",IF(G75="","No Due Date",IF(G75&lt;TODAY(),"Overdue",IF(G75=TODAY(),"Due Today",IF(G75&lt;TODAY()+7,"Due This Week","Later"))))))</f>
        <v/>
      </c>
      <c r="N75" s="40" t="str">
        <f aca="false">IF(AND(C75&lt;&gt;"",H75&lt;&gt;"Done",G75&lt;&gt;""),G75+ROW()/100000,"")</f>
        <v/>
      </c>
      <c r="O75" s="37" t="str">
        <f aca="false">IF(AND(A75&lt;&gt;"",A75='Project Summary'!$C$3,H75&lt;&gt;"Done",C75&lt;&gt;""),COUNTIFS($A$2:$A75,'Project Summary'!$C$3,$H$2:$H75,"&lt;&gt;Done",$C$2:$C75,"&lt;&gt;"),"")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2"/>
      <c r="G76" s="35"/>
      <c r="H76" s="32"/>
      <c r="I76" s="35"/>
      <c r="J76" s="35"/>
      <c r="K76" s="32"/>
      <c r="L76" s="33"/>
      <c r="M76" s="37" t="str">
        <f aca="true">IF(C76="","",IF(OR(H76="Done"),"Done",IF(G76="","No Due Date",IF(G76&lt;TODAY(),"Overdue",IF(G76=TODAY(),"Due Today",IF(G76&lt;TODAY()+7,"Due This Week","Later"))))))</f>
        <v/>
      </c>
      <c r="N76" s="40" t="str">
        <f aca="false">IF(AND(C76&lt;&gt;"",H76&lt;&gt;"Done",G76&lt;&gt;""),G76+ROW()/100000,"")</f>
        <v/>
      </c>
      <c r="O76" s="37" t="str">
        <f aca="false">IF(AND(A76&lt;&gt;"",A76='Project Summary'!$C$3,H76&lt;&gt;"Done",C76&lt;&gt;""),COUNTIFS($A$2:$A76,'Project Summary'!$C$3,$H$2:$H76,"&lt;&gt;Done",$C$2:$C76,"&lt;&gt;"),"")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2"/>
      <c r="G77" s="35"/>
      <c r="H77" s="32"/>
      <c r="I77" s="35"/>
      <c r="J77" s="35"/>
      <c r="K77" s="32"/>
      <c r="L77" s="33"/>
      <c r="M77" s="37" t="str">
        <f aca="true">IF(C77="","",IF(OR(H77="Done"),"Done",IF(G77="","No Due Date",IF(G77&lt;TODAY(),"Overdue",IF(G77=TODAY(),"Due Today",IF(G77&lt;TODAY()+7,"Due This Week","Later"))))))</f>
        <v/>
      </c>
      <c r="N77" s="40" t="str">
        <f aca="false">IF(AND(C77&lt;&gt;"",H77&lt;&gt;"Done",G77&lt;&gt;""),G77+ROW()/100000,"")</f>
        <v/>
      </c>
      <c r="O77" s="37" t="str">
        <f aca="false">IF(AND(A77&lt;&gt;"",A77='Project Summary'!$C$3,H77&lt;&gt;"Done",C77&lt;&gt;""),COUNTIFS($A$2:$A77,'Project Summary'!$C$3,$H$2:$H77,"&lt;&gt;Done",$C$2:$C77,"&lt;&gt;"),"")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2"/>
      <c r="G78" s="35"/>
      <c r="H78" s="32"/>
      <c r="I78" s="35"/>
      <c r="J78" s="35"/>
      <c r="K78" s="32"/>
      <c r="L78" s="33"/>
      <c r="M78" s="37" t="str">
        <f aca="true">IF(C78="","",IF(OR(H78="Done"),"Done",IF(G78="","No Due Date",IF(G78&lt;TODAY(),"Overdue",IF(G78=TODAY(),"Due Today",IF(G78&lt;TODAY()+7,"Due This Week","Later"))))))</f>
        <v/>
      </c>
      <c r="N78" s="40" t="str">
        <f aca="false">IF(AND(C78&lt;&gt;"",H78&lt;&gt;"Done",G78&lt;&gt;""),G78+ROW()/100000,"")</f>
        <v/>
      </c>
      <c r="O78" s="37" t="str">
        <f aca="false">IF(AND(A78&lt;&gt;"",A78='Project Summary'!$C$3,H78&lt;&gt;"Done",C78&lt;&gt;""),COUNTIFS($A$2:$A78,'Project Summary'!$C$3,$H$2:$H78,"&lt;&gt;Done",$C$2:$C78,"&lt;&gt;"),"")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2"/>
      <c r="G79" s="35"/>
      <c r="H79" s="32"/>
      <c r="I79" s="35"/>
      <c r="J79" s="35"/>
      <c r="K79" s="32"/>
      <c r="L79" s="33"/>
      <c r="M79" s="37" t="str">
        <f aca="true">IF(C79="","",IF(OR(H79="Done"),"Done",IF(G79="","No Due Date",IF(G79&lt;TODAY(),"Overdue",IF(G79=TODAY(),"Due Today",IF(G79&lt;TODAY()+7,"Due This Week","Later"))))))</f>
        <v/>
      </c>
      <c r="N79" s="40" t="str">
        <f aca="false">IF(AND(C79&lt;&gt;"",H79&lt;&gt;"Done",G79&lt;&gt;""),G79+ROW()/100000,"")</f>
        <v/>
      </c>
      <c r="O79" s="37" t="str">
        <f aca="false">IF(AND(A79&lt;&gt;"",A79='Project Summary'!$C$3,H79&lt;&gt;"Done",C79&lt;&gt;""),COUNTIFS($A$2:$A79,'Project Summary'!$C$3,$H$2:$H79,"&lt;&gt;Done",$C$2:$C79,"&lt;&gt;"),"")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2"/>
      <c r="G80" s="35"/>
      <c r="H80" s="32"/>
      <c r="I80" s="35"/>
      <c r="J80" s="35"/>
      <c r="K80" s="32"/>
      <c r="L80" s="33"/>
      <c r="M80" s="37" t="str">
        <f aca="true">IF(C80="","",IF(OR(H80="Done"),"Done",IF(G80="","No Due Date",IF(G80&lt;TODAY(),"Overdue",IF(G80=TODAY(),"Due Today",IF(G80&lt;TODAY()+7,"Due This Week","Later"))))))</f>
        <v/>
      </c>
      <c r="N80" s="40" t="str">
        <f aca="false">IF(AND(C80&lt;&gt;"",H80&lt;&gt;"Done",G80&lt;&gt;""),G80+ROW()/100000,"")</f>
        <v/>
      </c>
      <c r="O80" s="37" t="str">
        <f aca="false">IF(AND(A80&lt;&gt;"",A80='Project Summary'!$C$3,H80&lt;&gt;"Done",C80&lt;&gt;""),COUNTIFS($A$2:$A80,'Project Summary'!$C$3,$H$2:$H80,"&lt;&gt;Done",$C$2:$C80,"&lt;&gt;"),"")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2"/>
      <c r="G81" s="35"/>
      <c r="H81" s="32"/>
      <c r="I81" s="35"/>
      <c r="J81" s="35"/>
      <c r="K81" s="32"/>
      <c r="L81" s="33"/>
      <c r="M81" s="37" t="str">
        <f aca="true">IF(C81="","",IF(OR(H81="Done"),"Done",IF(G81="","No Due Date",IF(G81&lt;TODAY(),"Overdue",IF(G81=TODAY(),"Due Today",IF(G81&lt;TODAY()+7,"Due This Week","Later"))))))</f>
        <v/>
      </c>
      <c r="N81" s="40" t="str">
        <f aca="false">IF(AND(C81&lt;&gt;"",H81&lt;&gt;"Done",G81&lt;&gt;""),G81+ROW()/100000,"")</f>
        <v/>
      </c>
      <c r="O81" s="37" t="str">
        <f aca="false">IF(AND(A81&lt;&gt;"",A81='Project Summary'!$C$3,H81&lt;&gt;"Done",C81&lt;&gt;""),COUNTIFS($A$2:$A81,'Project Summary'!$C$3,$H$2:$H81,"&lt;&gt;Done",$C$2:$C81,"&lt;&gt;"),"")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2"/>
      <c r="G82" s="35"/>
      <c r="H82" s="32"/>
      <c r="I82" s="35"/>
      <c r="J82" s="35"/>
      <c r="K82" s="32"/>
      <c r="L82" s="33"/>
      <c r="M82" s="37" t="str">
        <f aca="true">IF(C82="","",IF(OR(H82="Done"),"Done",IF(G82="","No Due Date",IF(G82&lt;TODAY(),"Overdue",IF(G82=TODAY(),"Due Today",IF(G82&lt;TODAY()+7,"Due This Week","Later"))))))</f>
        <v/>
      </c>
      <c r="N82" s="40" t="str">
        <f aca="false">IF(AND(C82&lt;&gt;"",H82&lt;&gt;"Done",G82&lt;&gt;""),G82+ROW()/100000,"")</f>
        <v/>
      </c>
      <c r="O82" s="37" t="str">
        <f aca="false">IF(AND(A82&lt;&gt;"",A82='Project Summary'!$C$3,H82&lt;&gt;"Done",C82&lt;&gt;""),COUNTIFS($A$2:$A82,'Project Summary'!$C$3,$H$2:$H82,"&lt;&gt;Done",$C$2:$C82,"&lt;&gt;"),"")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2"/>
      <c r="G83" s="35"/>
      <c r="H83" s="32"/>
      <c r="I83" s="35"/>
      <c r="J83" s="35"/>
      <c r="K83" s="32"/>
      <c r="L83" s="33"/>
      <c r="M83" s="37" t="str">
        <f aca="true">IF(C83="","",IF(OR(H83="Done"),"Done",IF(G83="","No Due Date",IF(G83&lt;TODAY(),"Overdue",IF(G83=TODAY(),"Due Today",IF(G83&lt;TODAY()+7,"Due This Week","Later"))))))</f>
        <v/>
      </c>
      <c r="N83" s="40" t="str">
        <f aca="false">IF(AND(C83&lt;&gt;"",H83&lt;&gt;"Done",G83&lt;&gt;""),G83+ROW()/100000,"")</f>
        <v/>
      </c>
      <c r="O83" s="37" t="str">
        <f aca="false">IF(AND(A83&lt;&gt;"",A83='Project Summary'!$C$3,H83&lt;&gt;"Done",C83&lt;&gt;""),COUNTIFS($A$2:$A83,'Project Summary'!$C$3,$H$2:$H83,"&lt;&gt;Done",$C$2:$C83,"&lt;&gt;"),"")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2"/>
      <c r="G84" s="35"/>
      <c r="H84" s="32"/>
      <c r="I84" s="35"/>
      <c r="J84" s="35"/>
      <c r="K84" s="32"/>
      <c r="L84" s="33"/>
      <c r="M84" s="37" t="str">
        <f aca="true">IF(C84="","",IF(OR(H84="Done"),"Done",IF(G84="","No Due Date",IF(G84&lt;TODAY(),"Overdue",IF(G84=TODAY(),"Due Today",IF(G84&lt;TODAY()+7,"Due This Week","Later"))))))</f>
        <v/>
      </c>
      <c r="N84" s="40" t="str">
        <f aca="false">IF(AND(C84&lt;&gt;"",H84&lt;&gt;"Done",G84&lt;&gt;""),G84+ROW()/100000,"")</f>
        <v/>
      </c>
      <c r="O84" s="37" t="str">
        <f aca="false">IF(AND(A84&lt;&gt;"",A84='Project Summary'!$C$3,H84&lt;&gt;"Done",C84&lt;&gt;""),COUNTIFS($A$2:$A84,'Project Summary'!$C$3,$H$2:$H84,"&lt;&gt;Done",$C$2:$C84,"&lt;&gt;"),"")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2"/>
      <c r="G85" s="35"/>
      <c r="H85" s="32"/>
      <c r="I85" s="35"/>
      <c r="J85" s="35"/>
      <c r="K85" s="32"/>
      <c r="L85" s="33"/>
      <c r="M85" s="37" t="str">
        <f aca="true">IF(C85="","",IF(OR(H85="Done"),"Done",IF(G85="","No Due Date",IF(G85&lt;TODAY(),"Overdue",IF(G85=TODAY(),"Due Today",IF(G85&lt;TODAY()+7,"Due This Week","Later"))))))</f>
        <v/>
      </c>
      <c r="N85" s="40" t="str">
        <f aca="false">IF(AND(C85&lt;&gt;"",H85&lt;&gt;"Done",G85&lt;&gt;""),G85+ROW()/100000,"")</f>
        <v/>
      </c>
      <c r="O85" s="37" t="str">
        <f aca="false">IF(AND(A85&lt;&gt;"",A85='Project Summary'!$C$3,H85&lt;&gt;"Done",C85&lt;&gt;""),COUNTIFS($A$2:$A85,'Project Summary'!$C$3,$H$2:$H85,"&lt;&gt;Done",$C$2:$C85,"&lt;&gt;"),"")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2"/>
      <c r="G86" s="35"/>
      <c r="H86" s="32"/>
      <c r="I86" s="35"/>
      <c r="J86" s="35"/>
      <c r="K86" s="32"/>
      <c r="L86" s="33"/>
      <c r="M86" s="37" t="str">
        <f aca="true">IF(C86="","",IF(OR(H86="Done"),"Done",IF(G86="","No Due Date",IF(G86&lt;TODAY(),"Overdue",IF(G86=TODAY(),"Due Today",IF(G86&lt;TODAY()+7,"Due This Week","Later"))))))</f>
        <v/>
      </c>
      <c r="N86" s="40" t="str">
        <f aca="false">IF(AND(C86&lt;&gt;"",H86&lt;&gt;"Done",G86&lt;&gt;""),G86+ROW()/100000,"")</f>
        <v/>
      </c>
      <c r="O86" s="37" t="str">
        <f aca="false">IF(AND(A86&lt;&gt;"",A86='Project Summary'!$C$3,H86&lt;&gt;"Done",C86&lt;&gt;""),COUNTIFS($A$2:$A86,'Project Summary'!$C$3,$H$2:$H86,"&lt;&gt;Done",$C$2:$C86,"&lt;&gt;"),"")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2"/>
      <c r="G87" s="35"/>
      <c r="H87" s="32"/>
      <c r="I87" s="35"/>
      <c r="J87" s="35"/>
      <c r="K87" s="32"/>
      <c r="L87" s="33"/>
      <c r="M87" s="37" t="str">
        <f aca="true">IF(C87="","",IF(OR(H87="Done"),"Done",IF(G87="","No Due Date",IF(G87&lt;TODAY(),"Overdue",IF(G87=TODAY(),"Due Today",IF(G87&lt;TODAY()+7,"Due This Week","Later"))))))</f>
        <v/>
      </c>
      <c r="N87" s="40" t="str">
        <f aca="false">IF(AND(C87&lt;&gt;"",H87&lt;&gt;"Done",G87&lt;&gt;""),G87+ROW()/100000,"")</f>
        <v/>
      </c>
      <c r="O87" s="37" t="str">
        <f aca="false">IF(AND(A87&lt;&gt;"",A87='Project Summary'!$C$3,H87&lt;&gt;"Done",C87&lt;&gt;""),COUNTIFS($A$2:$A87,'Project Summary'!$C$3,$H$2:$H87,"&lt;&gt;Done",$C$2:$C87,"&lt;&gt;"),"")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2"/>
      <c r="G88" s="35"/>
      <c r="H88" s="32"/>
      <c r="I88" s="35"/>
      <c r="J88" s="35"/>
      <c r="K88" s="32"/>
      <c r="L88" s="33"/>
      <c r="M88" s="37" t="str">
        <f aca="true">IF(C88="","",IF(OR(H88="Done"),"Done",IF(G88="","No Due Date",IF(G88&lt;TODAY(),"Overdue",IF(G88=TODAY(),"Due Today",IF(G88&lt;TODAY()+7,"Due This Week","Later"))))))</f>
        <v/>
      </c>
      <c r="N88" s="40" t="str">
        <f aca="false">IF(AND(C88&lt;&gt;"",H88&lt;&gt;"Done",G88&lt;&gt;""),G88+ROW()/100000,"")</f>
        <v/>
      </c>
      <c r="O88" s="37" t="str">
        <f aca="false">IF(AND(A88&lt;&gt;"",A88='Project Summary'!$C$3,H88&lt;&gt;"Done",C88&lt;&gt;""),COUNTIFS($A$2:$A88,'Project Summary'!$C$3,$H$2:$H88,"&lt;&gt;Done",$C$2:$C88,"&lt;&gt;"),"")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2"/>
      <c r="G89" s="35"/>
      <c r="H89" s="32"/>
      <c r="I89" s="35"/>
      <c r="J89" s="35"/>
      <c r="K89" s="32"/>
      <c r="L89" s="33"/>
      <c r="M89" s="37" t="str">
        <f aca="true">IF(C89="","",IF(OR(H89="Done"),"Done",IF(G89="","No Due Date",IF(G89&lt;TODAY(),"Overdue",IF(G89=TODAY(),"Due Today",IF(G89&lt;TODAY()+7,"Due This Week","Later"))))))</f>
        <v/>
      </c>
      <c r="N89" s="40" t="str">
        <f aca="false">IF(AND(C89&lt;&gt;"",H89&lt;&gt;"Done",G89&lt;&gt;""),G89+ROW()/100000,"")</f>
        <v/>
      </c>
      <c r="O89" s="37" t="str">
        <f aca="false">IF(AND(A89&lt;&gt;"",A89='Project Summary'!$C$3,H89&lt;&gt;"Done",C89&lt;&gt;""),COUNTIFS($A$2:$A89,'Project Summary'!$C$3,$H$2:$H89,"&lt;&gt;Done",$C$2:$C89,"&lt;&gt;"),"")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2"/>
      <c r="G90" s="35"/>
      <c r="H90" s="32"/>
      <c r="I90" s="35"/>
      <c r="J90" s="35"/>
      <c r="K90" s="32"/>
      <c r="L90" s="33"/>
      <c r="M90" s="37" t="str">
        <f aca="true">IF(C90="","",IF(OR(H90="Done"),"Done",IF(G90="","No Due Date",IF(G90&lt;TODAY(),"Overdue",IF(G90=TODAY(),"Due Today",IF(G90&lt;TODAY()+7,"Due This Week","Later"))))))</f>
        <v/>
      </c>
      <c r="N90" s="40" t="str">
        <f aca="false">IF(AND(C90&lt;&gt;"",H90&lt;&gt;"Done",G90&lt;&gt;""),G90+ROW()/100000,"")</f>
        <v/>
      </c>
      <c r="O90" s="37" t="str">
        <f aca="false">IF(AND(A90&lt;&gt;"",A90='Project Summary'!$C$3,H90&lt;&gt;"Done",C90&lt;&gt;""),COUNTIFS($A$2:$A90,'Project Summary'!$C$3,$H$2:$H90,"&lt;&gt;Done",$C$2:$C90,"&lt;&gt;"),"")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2"/>
      <c r="G91" s="35"/>
      <c r="H91" s="32"/>
      <c r="I91" s="35"/>
      <c r="J91" s="35"/>
      <c r="K91" s="32"/>
      <c r="L91" s="33"/>
      <c r="M91" s="37" t="str">
        <f aca="true">IF(C91="","",IF(OR(H91="Done"),"Done",IF(G91="","No Due Date",IF(G91&lt;TODAY(),"Overdue",IF(G91=TODAY(),"Due Today",IF(G91&lt;TODAY()+7,"Due This Week","Later"))))))</f>
        <v/>
      </c>
      <c r="N91" s="40" t="str">
        <f aca="false">IF(AND(C91&lt;&gt;"",H91&lt;&gt;"Done",G91&lt;&gt;""),G91+ROW()/100000,"")</f>
        <v/>
      </c>
      <c r="O91" s="37" t="str">
        <f aca="false">IF(AND(A91&lt;&gt;"",A91='Project Summary'!$C$3,H91&lt;&gt;"Done",C91&lt;&gt;""),COUNTIFS($A$2:$A91,'Project Summary'!$C$3,$H$2:$H91,"&lt;&gt;Done",$C$2:$C91,"&lt;&gt;"),"")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2"/>
      <c r="G92" s="35"/>
      <c r="H92" s="32"/>
      <c r="I92" s="35"/>
      <c r="J92" s="35"/>
      <c r="K92" s="32"/>
      <c r="L92" s="33"/>
      <c r="M92" s="37" t="str">
        <f aca="true">IF(C92="","",IF(OR(H92="Done"),"Done",IF(G92="","No Due Date",IF(G92&lt;TODAY(),"Overdue",IF(G92=TODAY(),"Due Today",IF(G92&lt;TODAY()+7,"Due This Week","Later"))))))</f>
        <v/>
      </c>
      <c r="N92" s="40" t="str">
        <f aca="false">IF(AND(C92&lt;&gt;"",H92&lt;&gt;"Done",G92&lt;&gt;""),G92+ROW()/100000,"")</f>
        <v/>
      </c>
      <c r="O92" s="37" t="str">
        <f aca="false">IF(AND(A92&lt;&gt;"",A92='Project Summary'!$C$3,H92&lt;&gt;"Done",C92&lt;&gt;""),COUNTIFS($A$2:$A92,'Project Summary'!$C$3,$H$2:$H92,"&lt;&gt;Done",$C$2:$C92,"&lt;&gt;"),"")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2"/>
      <c r="G93" s="35"/>
      <c r="H93" s="32"/>
      <c r="I93" s="35"/>
      <c r="J93" s="35"/>
      <c r="K93" s="32"/>
      <c r="L93" s="33"/>
      <c r="M93" s="37" t="str">
        <f aca="true">IF(C93="","",IF(OR(H93="Done"),"Done",IF(G93="","No Due Date",IF(G93&lt;TODAY(),"Overdue",IF(G93=TODAY(),"Due Today",IF(G93&lt;TODAY()+7,"Due This Week","Later"))))))</f>
        <v/>
      </c>
      <c r="N93" s="40" t="str">
        <f aca="false">IF(AND(C93&lt;&gt;"",H93&lt;&gt;"Done",G93&lt;&gt;""),G93+ROW()/100000,"")</f>
        <v/>
      </c>
      <c r="O93" s="37" t="str">
        <f aca="false">IF(AND(A93&lt;&gt;"",A93='Project Summary'!$C$3,H93&lt;&gt;"Done",C93&lt;&gt;""),COUNTIFS($A$2:$A93,'Project Summary'!$C$3,$H$2:$H93,"&lt;&gt;Done",$C$2:$C93,"&lt;&gt;"),"")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2"/>
      <c r="G94" s="35"/>
      <c r="H94" s="32"/>
      <c r="I94" s="35"/>
      <c r="J94" s="35"/>
      <c r="K94" s="32"/>
      <c r="L94" s="33"/>
      <c r="M94" s="37" t="str">
        <f aca="true">IF(C94="","",IF(OR(H94="Done"),"Done",IF(G94="","No Due Date",IF(G94&lt;TODAY(),"Overdue",IF(G94=TODAY(),"Due Today",IF(G94&lt;TODAY()+7,"Due This Week","Later"))))))</f>
        <v/>
      </c>
      <c r="N94" s="40" t="str">
        <f aca="false">IF(AND(C94&lt;&gt;"",H94&lt;&gt;"Done",G94&lt;&gt;""),G94+ROW()/100000,"")</f>
        <v/>
      </c>
      <c r="O94" s="37" t="str">
        <f aca="false">IF(AND(A94&lt;&gt;"",A94='Project Summary'!$C$3,H94&lt;&gt;"Done",C94&lt;&gt;""),COUNTIFS($A$2:$A94,'Project Summary'!$C$3,$H$2:$H94,"&lt;&gt;Done",$C$2:$C94,"&lt;&gt;"),"")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2"/>
      <c r="G95" s="35"/>
      <c r="H95" s="32"/>
      <c r="I95" s="35"/>
      <c r="J95" s="35"/>
      <c r="K95" s="32"/>
      <c r="L95" s="33"/>
      <c r="M95" s="37" t="str">
        <f aca="true">IF(C95="","",IF(OR(H95="Done"),"Done",IF(G95="","No Due Date",IF(G95&lt;TODAY(),"Overdue",IF(G95=TODAY(),"Due Today",IF(G95&lt;TODAY()+7,"Due This Week","Later"))))))</f>
        <v/>
      </c>
      <c r="N95" s="40" t="str">
        <f aca="false">IF(AND(C95&lt;&gt;"",H95&lt;&gt;"Done",G95&lt;&gt;""),G95+ROW()/100000,"")</f>
        <v/>
      </c>
      <c r="O95" s="37" t="str">
        <f aca="false">IF(AND(A95&lt;&gt;"",A95='Project Summary'!$C$3,H95&lt;&gt;"Done",C95&lt;&gt;""),COUNTIFS($A$2:$A95,'Project Summary'!$C$3,$H$2:$H95,"&lt;&gt;Done",$C$2:$C95,"&lt;&gt;"),"")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2"/>
      <c r="G96" s="35"/>
      <c r="H96" s="32"/>
      <c r="I96" s="35"/>
      <c r="J96" s="35"/>
      <c r="K96" s="32"/>
      <c r="L96" s="33"/>
      <c r="M96" s="37" t="str">
        <f aca="true">IF(C96="","",IF(OR(H96="Done"),"Done",IF(G96="","No Due Date",IF(G96&lt;TODAY(),"Overdue",IF(G96=TODAY(),"Due Today",IF(G96&lt;TODAY()+7,"Due This Week","Later"))))))</f>
        <v/>
      </c>
      <c r="N96" s="40" t="str">
        <f aca="false">IF(AND(C96&lt;&gt;"",H96&lt;&gt;"Done",G96&lt;&gt;""),G96+ROW()/100000,"")</f>
        <v/>
      </c>
      <c r="O96" s="37" t="str">
        <f aca="false">IF(AND(A96&lt;&gt;"",A96='Project Summary'!$C$3,H96&lt;&gt;"Done",C96&lt;&gt;""),COUNTIFS($A$2:$A96,'Project Summary'!$C$3,$H$2:$H96,"&lt;&gt;Done",$C$2:$C96,"&lt;&gt;"),"")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2"/>
      <c r="G97" s="35"/>
      <c r="H97" s="32"/>
      <c r="I97" s="35"/>
      <c r="J97" s="35"/>
      <c r="K97" s="32"/>
      <c r="L97" s="33"/>
      <c r="M97" s="37" t="str">
        <f aca="true">IF(C97="","",IF(OR(H97="Done"),"Done",IF(G97="","No Due Date",IF(G97&lt;TODAY(),"Overdue",IF(G97=TODAY(),"Due Today",IF(G97&lt;TODAY()+7,"Due This Week","Later"))))))</f>
        <v/>
      </c>
      <c r="N97" s="40" t="str">
        <f aca="false">IF(AND(C97&lt;&gt;"",H97&lt;&gt;"Done",G97&lt;&gt;""),G97+ROW()/100000,"")</f>
        <v/>
      </c>
      <c r="O97" s="37" t="str">
        <f aca="false">IF(AND(A97&lt;&gt;"",A97='Project Summary'!$C$3,H97&lt;&gt;"Done",C97&lt;&gt;""),COUNTIFS($A$2:$A97,'Project Summary'!$C$3,$H$2:$H97,"&lt;&gt;Done",$C$2:$C97,"&lt;&gt;"),"")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2"/>
      <c r="G98" s="35"/>
      <c r="H98" s="32"/>
      <c r="I98" s="35"/>
      <c r="J98" s="35"/>
      <c r="K98" s="32"/>
      <c r="L98" s="33"/>
      <c r="M98" s="37" t="str">
        <f aca="true">IF(C98="","",IF(OR(H98="Done"),"Done",IF(G98="","No Due Date",IF(G98&lt;TODAY(),"Overdue",IF(G98=TODAY(),"Due Today",IF(G98&lt;TODAY()+7,"Due This Week","Later"))))))</f>
        <v/>
      </c>
      <c r="N98" s="40" t="str">
        <f aca="false">IF(AND(C98&lt;&gt;"",H98&lt;&gt;"Done",G98&lt;&gt;""),G98+ROW()/100000,"")</f>
        <v/>
      </c>
      <c r="O98" s="37" t="str">
        <f aca="false">IF(AND(A98&lt;&gt;"",A98='Project Summary'!$C$3,H98&lt;&gt;"Done",C98&lt;&gt;""),COUNTIFS($A$2:$A98,'Project Summary'!$C$3,$H$2:$H98,"&lt;&gt;Done",$C$2:$C98,"&lt;&gt;"),"")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2"/>
      <c r="G99" s="35"/>
      <c r="H99" s="32"/>
      <c r="I99" s="35"/>
      <c r="J99" s="35"/>
      <c r="K99" s="32"/>
      <c r="L99" s="33"/>
      <c r="M99" s="37" t="str">
        <f aca="true">IF(C99="","",IF(OR(H99="Done"),"Done",IF(G99="","No Due Date",IF(G99&lt;TODAY(),"Overdue",IF(G99=TODAY(),"Due Today",IF(G99&lt;TODAY()+7,"Due This Week","Later"))))))</f>
        <v/>
      </c>
      <c r="N99" s="40" t="str">
        <f aca="false">IF(AND(C99&lt;&gt;"",H99&lt;&gt;"Done",G99&lt;&gt;""),G99+ROW()/100000,"")</f>
        <v/>
      </c>
      <c r="O99" s="37" t="str">
        <f aca="false">IF(AND(A99&lt;&gt;"",A99='Project Summary'!$C$3,H99&lt;&gt;"Done",C99&lt;&gt;""),COUNTIFS($A$2:$A99,'Project Summary'!$C$3,$H$2:$H99,"&lt;&gt;Done",$C$2:$C99,"&lt;&gt;"),"")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2"/>
      <c r="G100" s="35"/>
      <c r="H100" s="32"/>
      <c r="I100" s="35"/>
      <c r="J100" s="35"/>
      <c r="K100" s="32"/>
      <c r="L100" s="33"/>
      <c r="M100" s="37" t="str">
        <f aca="true">IF(C100="","",IF(OR(H100="Done"),"Done",IF(G100="","No Due Date",IF(G100&lt;TODAY(),"Overdue",IF(G100=TODAY(),"Due Today",IF(G100&lt;TODAY()+7,"Due This Week","Later"))))))</f>
        <v/>
      </c>
      <c r="N100" s="40" t="str">
        <f aca="false">IF(AND(C100&lt;&gt;"",H100&lt;&gt;"Done",G100&lt;&gt;""),G100+ROW()/100000,"")</f>
        <v/>
      </c>
      <c r="O100" s="37" t="str">
        <f aca="false">IF(AND(A100&lt;&gt;"",A100='Project Summary'!$C$3,H100&lt;&gt;"Done",C100&lt;&gt;""),COUNTIFS($A$2:$A100,'Project Summary'!$C$3,$H$2:$H100,"&lt;&gt;Done",$C$2:$C100,"&lt;&gt;"),"")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2"/>
      <c r="G101" s="35"/>
      <c r="H101" s="32"/>
      <c r="I101" s="35"/>
      <c r="J101" s="35"/>
      <c r="K101" s="32"/>
      <c r="L101" s="33"/>
      <c r="M101" s="37" t="str">
        <f aca="true">IF(C101="","",IF(OR(H101="Done"),"Done",IF(G101="","No Due Date",IF(G101&lt;TODAY(),"Overdue",IF(G101=TODAY(),"Due Today",IF(G101&lt;TODAY()+7,"Due This Week","Later"))))))</f>
        <v/>
      </c>
      <c r="N101" s="40" t="str">
        <f aca="false">IF(AND(C101&lt;&gt;"",H101&lt;&gt;"Done",G101&lt;&gt;""),G101+ROW()/100000,"")</f>
        <v/>
      </c>
      <c r="O101" s="37" t="str">
        <f aca="false">IF(AND(A101&lt;&gt;"",A101='Project Summary'!$C$3,H101&lt;&gt;"Done",C101&lt;&gt;""),COUNTIFS($A$2:$A101,'Project Summary'!$C$3,$H$2:$H101,"&lt;&gt;Done",$C$2:$C101,"&lt;&gt;"),"")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2"/>
      <c r="G102" s="35"/>
      <c r="H102" s="32"/>
      <c r="I102" s="35"/>
      <c r="J102" s="35"/>
      <c r="K102" s="32"/>
      <c r="L102" s="33"/>
      <c r="M102" s="37" t="str">
        <f aca="true">IF(C102="","",IF(OR(H102="Done"),"Done",IF(G102="","No Due Date",IF(G102&lt;TODAY(),"Overdue",IF(G102=TODAY(),"Due Today",IF(G102&lt;TODAY()+7,"Due This Week","Later"))))))</f>
        <v/>
      </c>
      <c r="N102" s="40" t="str">
        <f aca="false">IF(AND(C102&lt;&gt;"",H102&lt;&gt;"Done",G102&lt;&gt;""),G102+ROW()/100000,"")</f>
        <v/>
      </c>
      <c r="O102" s="37" t="str">
        <f aca="false">IF(AND(A102&lt;&gt;"",A102='Project Summary'!$C$3,H102&lt;&gt;"Done",C102&lt;&gt;""),COUNTIFS($A$2:$A102,'Project Summary'!$C$3,$H$2:$H102,"&lt;&gt;Done",$C$2:$C102,"&lt;&gt;"),"")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2"/>
      <c r="G103" s="35"/>
      <c r="H103" s="32"/>
      <c r="I103" s="35"/>
      <c r="J103" s="35"/>
      <c r="K103" s="32"/>
      <c r="L103" s="33"/>
      <c r="M103" s="37" t="str">
        <f aca="true">IF(C103="","",IF(OR(H103="Done"),"Done",IF(G103="","No Due Date",IF(G103&lt;TODAY(),"Overdue",IF(G103=TODAY(),"Due Today",IF(G103&lt;TODAY()+7,"Due This Week","Later"))))))</f>
        <v/>
      </c>
      <c r="N103" s="40" t="str">
        <f aca="false">IF(AND(C103&lt;&gt;"",H103&lt;&gt;"Done",G103&lt;&gt;""),G103+ROW()/100000,"")</f>
        <v/>
      </c>
      <c r="O103" s="37" t="str">
        <f aca="false">IF(AND(A103&lt;&gt;"",A103='Project Summary'!$C$3,H103&lt;&gt;"Done",C103&lt;&gt;""),COUNTIFS($A$2:$A103,'Project Summary'!$C$3,$H$2:$H103,"&lt;&gt;Done",$C$2:$C103,"&lt;&gt;"),"")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2"/>
      <c r="G104" s="35"/>
      <c r="H104" s="32"/>
      <c r="I104" s="35"/>
      <c r="J104" s="35"/>
      <c r="K104" s="32"/>
      <c r="L104" s="33"/>
      <c r="M104" s="37" t="str">
        <f aca="true">IF(C104="","",IF(OR(H104="Done"),"Done",IF(G104="","No Due Date",IF(G104&lt;TODAY(),"Overdue",IF(G104=TODAY(),"Due Today",IF(G104&lt;TODAY()+7,"Due This Week","Later"))))))</f>
        <v/>
      </c>
      <c r="N104" s="40" t="str">
        <f aca="false">IF(AND(C104&lt;&gt;"",H104&lt;&gt;"Done",G104&lt;&gt;""),G104+ROW()/100000,"")</f>
        <v/>
      </c>
      <c r="O104" s="37" t="str">
        <f aca="false">IF(AND(A104&lt;&gt;"",A104='Project Summary'!$C$3,H104&lt;&gt;"Done",C104&lt;&gt;""),COUNTIFS($A$2:$A104,'Project Summary'!$C$3,$H$2:$H104,"&lt;&gt;Done",$C$2:$C104,"&lt;&gt;"),"")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2"/>
      <c r="G105" s="35"/>
      <c r="H105" s="32"/>
      <c r="I105" s="35"/>
      <c r="J105" s="35"/>
      <c r="K105" s="32"/>
      <c r="L105" s="33"/>
      <c r="M105" s="37" t="str">
        <f aca="true">IF(C105="","",IF(OR(H105="Done"),"Done",IF(G105="","No Due Date",IF(G105&lt;TODAY(),"Overdue",IF(G105=TODAY(),"Due Today",IF(G105&lt;TODAY()+7,"Due This Week","Later"))))))</f>
        <v/>
      </c>
      <c r="N105" s="40" t="str">
        <f aca="false">IF(AND(C105&lt;&gt;"",H105&lt;&gt;"Done",G105&lt;&gt;""),G105+ROW()/100000,"")</f>
        <v/>
      </c>
      <c r="O105" s="37" t="str">
        <f aca="false">IF(AND(A105&lt;&gt;"",A105='Project Summary'!$C$3,H105&lt;&gt;"Done",C105&lt;&gt;""),COUNTIFS($A$2:$A105,'Project Summary'!$C$3,$H$2:$H105,"&lt;&gt;Done",$C$2:$C105,"&lt;&gt;"),"")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2"/>
      <c r="G106" s="35"/>
      <c r="H106" s="32"/>
      <c r="I106" s="35"/>
      <c r="J106" s="35"/>
      <c r="K106" s="32"/>
      <c r="L106" s="33"/>
      <c r="M106" s="37" t="str">
        <f aca="true">IF(C106="","",IF(OR(H106="Done"),"Done",IF(G106="","No Due Date",IF(G106&lt;TODAY(),"Overdue",IF(G106=TODAY(),"Due Today",IF(G106&lt;TODAY()+7,"Due This Week","Later"))))))</f>
        <v/>
      </c>
      <c r="N106" s="40" t="str">
        <f aca="false">IF(AND(C106&lt;&gt;"",H106&lt;&gt;"Done",G106&lt;&gt;""),G106+ROW()/100000,"")</f>
        <v/>
      </c>
      <c r="O106" s="37" t="str">
        <f aca="false">IF(AND(A106&lt;&gt;"",A106='Project Summary'!$C$3,H106&lt;&gt;"Done",C106&lt;&gt;""),COUNTIFS($A$2:$A106,'Project Summary'!$C$3,$H$2:$H106,"&lt;&gt;Done",$C$2:$C106,"&lt;&gt;"),"")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2"/>
      <c r="G107" s="35"/>
      <c r="H107" s="32"/>
      <c r="I107" s="35"/>
      <c r="J107" s="35"/>
      <c r="K107" s="32"/>
      <c r="L107" s="33"/>
      <c r="M107" s="37" t="str">
        <f aca="true">IF(C107="","",IF(OR(H107="Done"),"Done",IF(G107="","No Due Date",IF(G107&lt;TODAY(),"Overdue",IF(G107=TODAY(),"Due Today",IF(G107&lt;TODAY()+7,"Due This Week","Later"))))))</f>
        <v/>
      </c>
      <c r="N107" s="40" t="str">
        <f aca="false">IF(AND(C107&lt;&gt;"",H107&lt;&gt;"Done",G107&lt;&gt;""),G107+ROW()/100000,"")</f>
        <v/>
      </c>
      <c r="O107" s="37" t="str">
        <f aca="false">IF(AND(A107&lt;&gt;"",A107='Project Summary'!$C$3,H107&lt;&gt;"Done",C107&lt;&gt;""),COUNTIFS($A$2:$A107,'Project Summary'!$C$3,$H$2:$H107,"&lt;&gt;Done",$C$2:$C107,"&lt;&gt;"),"")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2"/>
      <c r="G108" s="35"/>
      <c r="H108" s="32"/>
      <c r="I108" s="35"/>
      <c r="J108" s="35"/>
      <c r="K108" s="32"/>
      <c r="L108" s="33"/>
      <c r="M108" s="37" t="str">
        <f aca="true">IF(C108="","",IF(OR(H108="Done"),"Done",IF(G108="","No Due Date",IF(G108&lt;TODAY(),"Overdue",IF(G108=TODAY(),"Due Today",IF(G108&lt;TODAY()+7,"Due This Week","Later"))))))</f>
        <v/>
      </c>
      <c r="N108" s="40" t="str">
        <f aca="false">IF(AND(C108&lt;&gt;"",H108&lt;&gt;"Done",G108&lt;&gt;""),G108+ROW()/100000,"")</f>
        <v/>
      </c>
      <c r="O108" s="37" t="str">
        <f aca="false">IF(AND(A108&lt;&gt;"",A108='Project Summary'!$C$3,H108&lt;&gt;"Done",C108&lt;&gt;""),COUNTIFS($A$2:$A108,'Project Summary'!$C$3,$H$2:$H108,"&lt;&gt;Done",$C$2:$C108,"&lt;&gt;"),"")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2"/>
      <c r="G109" s="35"/>
      <c r="H109" s="32"/>
      <c r="I109" s="35"/>
      <c r="J109" s="35"/>
      <c r="K109" s="32"/>
      <c r="L109" s="33"/>
      <c r="M109" s="37" t="str">
        <f aca="true">IF(C109="","",IF(OR(H109="Done"),"Done",IF(G109="","No Due Date",IF(G109&lt;TODAY(),"Overdue",IF(G109=TODAY(),"Due Today",IF(G109&lt;TODAY()+7,"Due This Week","Later"))))))</f>
        <v/>
      </c>
      <c r="N109" s="40" t="str">
        <f aca="false">IF(AND(C109&lt;&gt;"",H109&lt;&gt;"Done",G109&lt;&gt;""),G109+ROW()/100000,"")</f>
        <v/>
      </c>
      <c r="O109" s="37" t="str">
        <f aca="false">IF(AND(A109&lt;&gt;"",A109='Project Summary'!$C$3,H109&lt;&gt;"Done",C109&lt;&gt;""),COUNTIFS($A$2:$A109,'Project Summary'!$C$3,$H$2:$H109,"&lt;&gt;Done",$C$2:$C109,"&lt;&gt;"),"")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2"/>
      <c r="G110" s="35"/>
      <c r="H110" s="32"/>
      <c r="I110" s="35"/>
      <c r="J110" s="35"/>
      <c r="K110" s="32"/>
      <c r="L110" s="33"/>
      <c r="M110" s="37" t="str">
        <f aca="true">IF(C110="","",IF(OR(H110="Done"),"Done",IF(G110="","No Due Date",IF(G110&lt;TODAY(),"Overdue",IF(G110=TODAY(),"Due Today",IF(G110&lt;TODAY()+7,"Due This Week","Later"))))))</f>
        <v/>
      </c>
      <c r="N110" s="40" t="str">
        <f aca="false">IF(AND(C110&lt;&gt;"",H110&lt;&gt;"Done",G110&lt;&gt;""),G110+ROW()/100000,"")</f>
        <v/>
      </c>
      <c r="O110" s="37" t="str">
        <f aca="false">IF(AND(A110&lt;&gt;"",A110='Project Summary'!$C$3,H110&lt;&gt;"Done",C110&lt;&gt;""),COUNTIFS($A$2:$A110,'Project Summary'!$C$3,$H$2:$H110,"&lt;&gt;Done",$C$2:$C110,"&lt;&gt;"),"")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2"/>
      <c r="G111" s="35"/>
      <c r="H111" s="32"/>
      <c r="I111" s="35"/>
      <c r="J111" s="35"/>
      <c r="K111" s="32"/>
      <c r="L111" s="33"/>
      <c r="M111" s="37" t="str">
        <f aca="true">IF(C111="","",IF(OR(H111="Done"),"Done",IF(G111="","No Due Date",IF(G111&lt;TODAY(),"Overdue",IF(G111=TODAY(),"Due Today",IF(G111&lt;TODAY()+7,"Due This Week","Later"))))))</f>
        <v/>
      </c>
      <c r="N111" s="40" t="str">
        <f aca="false">IF(AND(C111&lt;&gt;"",H111&lt;&gt;"Done",G111&lt;&gt;""),G111+ROW()/100000,"")</f>
        <v/>
      </c>
      <c r="O111" s="37" t="str">
        <f aca="false">IF(AND(A111&lt;&gt;"",A111='Project Summary'!$C$3,H111&lt;&gt;"Done",C111&lt;&gt;""),COUNTIFS($A$2:$A111,'Project Summary'!$C$3,$H$2:$H111,"&lt;&gt;Done",$C$2:$C111,"&lt;&gt;"),"")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2"/>
      <c r="G112" s="35"/>
      <c r="H112" s="32"/>
      <c r="I112" s="35"/>
      <c r="J112" s="35"/>
      <c r="K112" s="32"/>
      <c r="L112" s="33"/>
      <c r="M112" s="37" t="str">
        <f aca="true">IF(C112="","",IF(OR(H112="Done"),"Done",IF(G112="","No Due Date",IF(G112&lt;TODAY(),"Overdue",IF(G112=TODAY(),"Due Today",IF(G112&lt;TODAY()+7,"Due This Week","Later"))))))</f>
        <v/>
      </c>
      <c r="N112" s="40" t="str">
        <f aca="false">IF(AND(C112&lt;&gt;"",H112&lt;&gt;"Done",G112&lt;&gt;""),G112+ROW()/100000,"")</f>
        <v/>
      </c>
      <c r="O112" s="37" t="str">
        <f aca="false">IF(AND(A112&lt;&gt;"",A112='Project Summary'!$C$3,H112&lt;&gt;"Done",C112&lt;&gt;""),COUNTIFS($A$2:$A112,'Project Summary'!$C$3,$H$2:$H112,"&lt;&gt;Done",$C$2:$C112,"&lt;&gt;"),"")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2"/>
      <c r="G113" s="35"/>
      <c r="H113" s="32"/>
      <c r="I113" s="35"/>
      <c r="J113" s="35"/>
      <c r="K113" s="32"/>
      <c r="L113" s="33"/>
      <c r="M113" s="37" t="str">
        <f aca="true">IF(C113="","",IF(OR(H113="Done"),"Done",IF(G113="","No Due Date",IF(G113&lt;TODAY(),"Overdue",IF(G113=TODAY(),"Due Today",IF(G113&lt;TODAY()+7,"Due This Week","Later"))))))</f>
        <v/>
      </c>
      <c r="N113" s="40" t="str">
        <f aca="false">IF(AND(C113&lt;&gt;"",H113&lt;&gt;"Done",G113&lt;&gt;""),G113+ROW()/100000,"")</f>
        <v/>
      </c>
      <c r="O113" s="37" t="str">
        <f aca="false">IF(AND(A113&lt;&gt;"",A113='Project Summary'!$C$3,H113&lt;&gt;"Done",C113&lt;&gt;""),COUNTIFS($A$2:$A113,'Project Summary'!$C$3,$H$2:$H113,"&lt;&gt;Done",$C$2:$C113,"&lt;&gt;"),"")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2"/>
      <c r="G114" s="35"/>
      <c r="H114" s="32"/>
      <c r="I114" s="35"/>
      <c r="J114" s="35"/>
      <c r="K114" s="32"/>
      <c r="L114" s="33"/>
      <c r="M114" s="37" t="str">
        <f aca="true">IF(C114="","",IF(OR(H114="Done"),"Done",IF(G114="","No Due Date",IF(G114&lt;TODAY(),"Overdue",IF(G114=TODAY(),"Due Today",IF(G114&lt;TODAY()+7,"Due This Week","Later"))))))</f>
        <v/>
      </c>
      <c r="N114" s="40" t="str">
        <f aca="false">IF(AND(C114&lt;&gt;"",H114&lt;&gt;"Done",G114&lt;&gt;""),G114+ROW()/100000,"")</f>
        <v/>
      </c>
      <c r="O114" s="37" t="str">
        <f aca="false">IF(AND(A114&lt;&gt;"",A114='Project Summary'!$C$3,H114&lt;&gt;"Done",C114&lt;&gt;""),COUNTIFS($A$2:$A114,'Project Summary'!$C$3,$H$2:$H114,"&lt;&gt;Done",$C$2:$C114,"&lt;&gt;"),"")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2"/>
      <c r="G115" s="35"/>
      <c r="H115" s="32"/>
      <c r="I115" s="35"/>
      <c r="J115" s="35"/>
      <c r="K115" s="32"/>
      <c r="L115" s="33"/>
      <c r="M115" s="37" t="str">
        <f aca="true">IF(C115="","",IF(OR(H115="Done"),"Done",IF(G115="","No Due Date",IF(G115&lt;TODAY(),"Overdue",IF(G115=TODAY(),"Due Today",IF(G115&lt;TODAY()+7,"Due This Week","Later"))))))</f>
        <v/>
      </c>
      <c r="N115" s="40" t="str">
        <f aca="false">IF(AND(C115&lt;&gt;"",H115&lt;&gt;"Done",G115&lt;&gt;""),G115+ROW()/100000,"")</f>
        <v/>
      </c>
      <c r="O115" s="37" t="str">
        <f aca="false">IF(AND(A115&lt;&gt;"",A115='Project Summary'!$C$3,H115&lt;&gt;"Done",C115&lt;&gt;""),COUNTIFS($A$2:$A115,'Project Summary'!$C$3,$H$2:$H115,"&lt;&gt;Done",$C$2:$C115,"&lt;&gt;"),"")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2"/>
      <c r="G116" s="35"/>
      <c r="H116" s="32"/>
      <c r="I116" s="35"/>
      <c r="J116" s="35"/>
      <c r="K116" s="32"/>
      <c r="L116" s="33"/>
      <c r="M116" s="37" t="str">
        <f aca="true">IF(C116="","",IF(OR(H116="Done"),"Done",IF(G116="","No Due Date",IF(G116&lt;TODAY(),"Overdue",IF(G116=TODAY(),"Due Today",IF(G116&lt;TODAY()+7,"Due This Week","Later"))))))</f>
        <v/>
      </c>
      <c r="N116" s="40" t="str">
        <f aca="false">IF(AND(C116&lt;&gt;"",H116&lt;&gt;"Done",G116&lt;&gt;""),G116+ROW()/100000,"")</f>
        <v/>
      </c>
      <c r="O116" s="37" t="str">
        <f aca="false">IF(AND(A116&lt;&gt;"",A116='Project Summary'!$C$3,H116&lt;&gt;"Done",C116&lt;&gt;""),COUNTIFS($A$2:$A116,'Project Summary'!$C$3,$H$2:$H116,"&lt;&gt;Done",$C$2:$C116,"&lt;&gt;"),"")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2"/>
      <c r="G117" s="35"/>
      <c r="H117" s="32"/>
      <c r="I117" s="35"/>
      <c r="J117" s="35"/>
      <c r="K117" s="32"/>
      <c r="L117" s="33"/>
      <c r="M117" s="37" t="str">
        <f aca="true">IF(C117="","",IF(OR(H117="Done"),"Done",IF(G117="","No Due Date",IF(G117&lt;TODAY(),"Overdue",IF(G117=TODAY(),"Due Today",IF(G117&lt;TODAY()+7,"Due This Week","Later"))))))</f>
        <v/>
      </c>
      <c r="N117" s="40" t="str">
        <f aca="false">IF(AND(C117&lt;&gt;"",H117&lt;&gt;"Done",G117&lt;&gt;""),G117+ROW()/100000,"")</f>
        <v/>
      </c>
      <c r="O117" s="37" t="str">
        <f aca="false">IF(AND(A117&lt;&gt;"",A117='Project Summary'!$C$3,H117&lt;&gt;"Done",C117&lt;&gt;""),COUNTIFS($A$2:$A117,'Project Summary'!$C$3,$H$2:$H117,"&lt;&gt;Done",$C$2:$C117,"&lt;&gt;"),"")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2"/>
      <c r="G118" s="35"/>
      <c r="H118" s="32"/>
      <c r="I118" s="35"/>
      <c r="J118" s="35"/>
      <c r="K118" s="32"/>
      <c r="L118" s="33"/>
      <c r="M118" s="37" t="str">
        <f aca="true">IF(C118="","",IF(OR(H118="Done"),"Done",IF(G118="","No Due Date",IF(G118&lt;TODAY(),"Overdue",IF(G118=TODAY(),"Due Today",IF(G118&lt;TODAY()+7,"Due This Week","Later"))))))</f>
        <v/>
      </c>
      <c r="N118" s="40" t="str">
        <f aca="false">IF(AND(C118&lt;&gt;"",H118&lt;&gt;"Done",G118&lt;&gt;""),G118+ROW()/100000,"")</f>
        <v/>
      </c>
      <c r="O118" s="37" t="str">
        <f aca="false">IF(AND(A118&lt;&gt;"",A118='Project Summary'!$C$3,H118&lt;&gt;"Done",C118&lt;&gt;""),COUNTIFS($A$2:$A118,'Project Summary'!$C$3,$H$2:$H118,"&lt;&gt;Done",$C$2:$C118,"&lt;&gt;"),"")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2"/>
      <c r="G119" s="35"/>
      <c r="H119" s="32"/>
      <c r="I119" s="35"/>
      <c r="J119" s="35"/>
      <c r="K119" s="32"/>
      <c r="L119" s="33"/>
      <c r="M119" s="37" t="str">
        <f aca="true">IF(C119="","",IF(OR(H119="Done"),"Done",IF(G119="","No Due Date",IF(G119&lt;TODAY(),"Overdue",IF(G119=TODAY(),"Due Today",IF(G119&lt;TODAY()+7,"Due This Week","Later"))))))</f>
        <v/>
      </c>
      <c r="N119" s="40" t="str">
        <f aca="false">IF(AND(C119&lt;&gt;"",H119&lt;&gt;"Done",G119&lt;&gt;""),G119+ROW()/100000,"")</f>
        <v/>
      </c>
      <c r="O119" s="37" t="str">
        <f aca="false">IF(AND(A119&lt;&gt;"",A119='Project Summary'!$C$3,H119&lt;&gt;"Done",C119&lt;&gt;""),COUNTIFS($A$2:$A119,'Project Summary'!$C$3,$H$2:$H119,"&lt;&gt;Done",$C$2:$C119,"&lt;&gt;"),"")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2"/>
      <c r="G120" s="35"/>
      <c r="H120" s="32"/>
      <c r="I120" s="35"/>
      <c r="J120" s="35"/>
      <c r="K120" s="32"/>
      <c r="L120" s="33"/>
      <c r="M120" s="37" t="str">
        <f aca="true">IF(C120="","",IF(OR(H120="Done"),"Done",IF(G120="","No Due Date",IF(G120&lt;TODAY(),"Overdue",IF(G120=TODAY(),"Due Today",IF(G120&lt;TODAY()+7,"Due This Week","Later"))))))</f>
        <v/>
      </c>
      <c r="N120" s="40" t="str">
        <f aca="false">IF(AND(C120&lt;&gt;"",H120&lt;&gt;"Done",G120&lt;&gt;""),G120+ROW()/100000,"")</f>
        <v/>
      </c>
      <c r="O120" s="37" t="str">
        <f aca="false">IF(AND(A120&lt;&gt;"",A120='Project Summary'!$C$3,H120&lt;&gt;"Done",C120&lt;&gt;""),COUNTIFS($A$2:$A120,'Project Summary'!$C$3,$H$2:$H120,"&lt;&gt;Done",$C$2:$C120,"&lt;&gt;"),"")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2"/>
      <c r="G121" s="35"/>
      <c r="H121" s="32"/>
      <c r="I121" s="35"/>
      <c r="J121" s="35"/>
      <c r="K121" s="32"/>
      <c r="L121" s="33"/>
      <c r="M121" s="37" t="str">
        <f aca="true">IF(C121="","",IF(OR(H121="Done"),"Done",IF(G121="","No Due Date",IF(G121&lt;TODAY(),"Overdue",IF(G121=TODAY(),"Due Today",IF(G121&lt;TODAY()+7,"Due This Week","Later"))))))</f>
        <v/>
      </c>
      <c r="N121" s="40" t="str">
        <f aca="false">IF(AND(C121&lt;&gt;"",H121&lt;&gt;"Done",G121&lt;&gt;""),G121+ROW()/100000,"")</f>
        <v/>
      </c>
      <c r="O121" s="37" t="str">
        <f aca="false">IF(AND(A121&lt;&gt;"",A121='Project Summary'!$C$3,H121&lt;&gt;"Done",C121&lt;&gt;""),COUNTIFS($A$2:$A121,'Project Summary'!$C$3,$H$2:$H121,"&lt;&gt;Done",$C$2:$C121,"&lt;&gt;"),"")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2"/>
      <c r="G122" s="35"/>
      <c r="H122" s="32"/>
      <c r="I122" s="35"/>
      <c r="J122" s="35"/>
      <c r="K122" s="32"/>
      <c r="L122" s="33"/>
      <c r="M122" s="37" t="str">
        <f aca="true">IF(C122="","",IF(OR(H122="Done"),"Done",IF(G122="","No Due Date",IF(G122&lt;TODAY(),"Overdue",IF(G122=TODAY(),"Due Today",IF(G122&lt;TODAY()+7,"Due This Week","Later"))))))</f>
        <v/>
      </c>
      <c r="N122" s="40" t="str">
        <f aca="false">IF(AND(C122&lt;&gt;"",H122&lt;&gt;"Done",G122&lt;&gt;""),G122+ROW()/100000,"")</f>
        <v/>
      </c>
      <c r="O122" s="37" t="str">
        <f aca="false">IF(AND(A122&lt;&gt;"",A122='Project Summary'!$C$3,H122&lt;&gt;"Done",C122&lt;&gt;""),COUNTIFS($A$2:$A122,'Project Summary'!$C$3,$H$2:$H122,"&lt;&gt;Done",$C$2:$C122,"&lt;&gt;"),"")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2"/>
      <c r="G123" s="35"/>
      <c r="H123" s="32"/>
      <c r="I123" s="35"/>
      <c r="J123" s="35"/>
      <c r="K123" s="32"/>
      <c r="L123" s="33"/>
      <c r="M123" s="37" t="str">
        <f aca="true">IF(C123="","",IF(OR(H123="Done"),"Done",IF(G123="","No Due Date",IF(G123&lt;TODAY(),"Overdue",IF(G123=TODAY(),"Due Today",IF(G123&lt;TODAY()+7,"Due This Week","Later"))))))</f>
        <v/>
      </c>
      <c r="N123" s="40" t="str">
        <f aca="false">IF(AND(C123&lt;&gt;"",H123&lt;&gt;"Done",G123&lt;&gt;""),G123+ROW()/100000,"")</f>
        <v/>
      </c>
      <c r="O123" s="37" t="str">
        <f aca="false">IF(AND(A123&lt;&gt;"",A123='Project Summary'!$C$3,H123&lt;&gt;"Done",C123&lt;&gt;""),COUNTIFS($A$2:$A123,'Project Summary'!$C$3,$H$2:$H123,"&lt;&gt;Done",$C$2:$C123,"&lt;&gt;"),"")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2"/>
      <c r="G124" s="35"/>
      <c r="H124" s="32"/>
      <c r="I124" s="35"/>
      <c r="J124" s="35"/>
      <c r="K124" s="32"/>
      <c r="L124" s="33"/>
      <c r="M124" s="37" t="str">
        <f aca="true">IF(C124="","",IF(OR(H124="Done"),"Done",IF(G124="","No Due Date",IF(G124&lt;TODAY(),"Overdue",IF(G124=TODAY(),"Due Today",IF(G124&lt;TODAY()+7,"Due This Week","Later"))))))</f>
        <v/>
      </c>
      <c r="N124" s="40" t="str">
        <f aca="false">IF(AND(C124&lt;&gt;"",H124&lt;&gt;"Done",G124&lt;&gt;""),G124+ROW()/100000,"")</f>
        <v/>
      </c>
      <c r="O124" s="37" t="str">
        <f aca="false">IF(AND(A124&lt;&gt;"",A124='Project Summary'!$C$3,H124&lt;&gt;"Done",C124&lt;&gt;""),COUNTIFS($A$2:$A124,'Project Summary'!$C$3,$H$2:$H124,"&lt;&gt;Done",$C$2:$C124,"&lt;&gt;"),"")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2"/>
      <c r="G125" s="35"/>
      <c r="H125" s="32"/>
      <c r="I125" s="35"/>
      <c r="J125" s="35"/>
      <c r="K125" s="32"/>
      <c r="L125" s="33"/>
      <c r="M125" s="37" t="str">
        <f aca="true">IF(C125="","",IF(OR(H125="Done"),"Done",IF(G125="","No Due Date",IF(G125&lt;TODAY(),"Overdue",IF(G125=TODAY(),"Due Today",IF(G125&lt;TODAY()+7,"Due This Week","Later"))))))</f>
        <v/>
      </c>
      <c r="N125" s="40" t="str">
        <f aca="false">IF(AND(C125&lt;&gt;"",H125&lt;&gt;"Done",G125&lt;&gt;""),G125+ROW()/100000,"")</f>
        <v/>
      </c>
      <c r="O125" s="37" t="str">
        <f aca="false">IF(AND(A125&lt;&gt;"",A125='Project Summary'!$C$3,H125&lt;&gt;"Done",C125&lt;&gt;""),COUNTIFS($A$2:$A125,'Project Summary'!$C$3,$H$2:$H125,"&lt;&gt;Done",$C$2:$C125,"&lt;&gt;"),"")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2"/>
      <c r="G126" s="35"/>
      <c r="H126" s="32"/>
      <c r="I126" s="35"/>
      <c r="J126" s="35"/>
      <c r="K126" s="32"/>
      <c r="L126" s="33"/>
      <c r="M126" s="37" t="str">
        <f aca="true">IF(C126="","",IF(OR(H126="Done"),"Done",IF(G126="","No Due Date",IF(G126&lt;TODAY(),"Overdue",IF(G126=TODAY(),"Due Today",IF(G126&lt;TODAY()+7,"Due This Week","Later"))))))</f>
        <v/>
      </c>
      <c r="N126" s="40" t="str">
        <f aca="false">IF(AND(C126&lt;&gt;"",H126&lt;&gt;"Done",G126&lt;&gt;""),G126+ROW()/100000,"")</f>
        <v/>
      </c>
      <c r="O126" s="37" t="str">
        <f aca="false">IF(AND(A126&lt;&gt;"",A126='Project Summary'!$C$3,H126&lt;&gt;"Done",C126&lt;&gt;""),COUNTIFS($A$2:$A126,'Project Summary'!$C$3,$H$2:$H126,"&lt;&gt;Done",$C$2:$C126,"&lt;&gt;"),"")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2"/>
      <c r="G127" s="35"/>
      <c r="H127" s="32"/>
      <c r="I127" s="35"/>
      <c r="J127" s="35"/>
      <c r="K127" s="32"/>
      <c r="L127" s="33"/>
      <c r="M127" s="37" t="str">
        <f aca="true">IF(C127="","",IF(OR(H127="Done"),"Done",IF(G127="","No Due Date",IF(G127&lt;TODAY(),"Overdue",IF(G127=TODAY(),"Due Today",IF(G127&lt;TODAY()+7,"Due This Week","Later"))))))</f>
        <v/>
      </c>
      <c r="N127" s="40" t="str">
        <f aca="false">IF(AND(C127&lt;&gt;"",H127&lt;&gt;"Done",G127&lt;&gt;""),G127+ROW()/100000,"")</f>
        <v/>
      </c>
      <c r="O127" s="37" t="str">
        <f aca="false">IF(AND(A127&lt;&gt;"",A127='Project Summary'!$C$3,H127&lt;&gt;"Done",C127&lt;&gt;""),COUNTIFS($A$2:$A127,'Project Summary'!$C$3,$H$2:$H127,"&lt;&gt;Done",$C$2:$C127,"&lt;&gt;"),"")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2"/>
      <c r="G128" s="35"/>
      <c r="H128" s="32"/>
      <c r="I128" s="35"/>
      <c r="J128" s="35"/>
      <c r="K128" s="32"/>
      <c r="L128" s="33"/>
      <c r="M128" s="37" t="str">
        <f aca="true">IF(C128="","",IF(OR(H128="Done"),"Done",IF(G128="","No Due Date",IF(G128&lt;TODAY(),"Overdue",IF(G128=TODAY(),"Due Today",IF(G128&lt;TODAY()+7,"Due This Week","Later"))))))</f>
        <v/>
      </c>
      <c r="N128" s="40" t="str">
        <f aca="false">IF(AND(C128&lt;&gt;"",H128&lt;&gt;"Done",G128&lt;&gt;""),G128+ROW()/100000,"")</f>
        <v/>
      </c>
      <c r="O128" s="37" t="str">
        <f aca="false">IF(AND(A128&lt;&gt;"",A128='Project Summary'!$C$3,H128&lt;&gt;"Done",C128&lt;&gt;""),COUNTIFS($A$2:$A128,'Project Summary'!$C$3,$H$2:$H128,"&lt;&gt;Done",$C$2:$C128,"&lt;&gt;"),"")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2"/>
      <c r="G129" s="35"/>
      <c r="H129" s="32"/>
      <c r="I129" s="35"/>
      <c r="J129" s="35"/>
      <c r="K129" s="32"/>
      <c r="L129" s="33"/>
      <c r="M129" s="37" t="str">
        <f aca="true">IF(C129="","",IF(OR(H129="Done"),"Done",IF(G129="","No Due Date",IF(G129&lt;TODAY(),"Overdue",IF(G129=TODAY(),"Due Today",IF(G129&lt;TODAY()+7,"Due This Week","Later"))))))</f>
        <v/>
      </c>
      <c r="N129" s="40" t="str">
        <f aca="false">IF(AND(C129&lt;&gt;"",H129&lt;&gt;"Done",G129&lt;&gt;""),G129+ROW()/100000,"")</f>
        <v/>
      </c>
      <c r="O129" s="37" t="str">
        <f aca="false">IF(AND(A129&lt;&gt;"",A129='Project Summary'!$C$3,H129&lt;&gt;"Done",C129&lt;&gt;""),COUNTIFS($A$2:$A129,'Project Summary'!$C$3,$H$2:$H129,"&lt;&gt;Done",$C$2:$C129,"&lt;&gt;"),"")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2"/>
      <c r="G130" s="35"/>
      <c r="H130" s="32"/>
      <c r="I130" s="35"/>
      <c r="J130" s="35"/>
      <c r="K130" s="32"/>
      <c r="L130" s="33"/>
      <c r="M130" s="37" t="str">
        <f aca="true">IF(C130="","",IF(OR(H130="Done"),"Done",IF(G130="","No Due Date",IF(G130&lt;TODAY(),"Overdue",IF(G130=TODAY(),"Due Today",IF(G130&lt;TODAY()+7,"Due This Week","Later"))))))</f>
        <v/>
      </c>
      <c r="N130" s="40" t="str">
        <f aca="false">IF(AND(C130&lt;&gt;"",H130&lt;&gt;"Done",G130&lt;&gt;""),G130+ROW()/100000,"")</f>
        <v/>
      </c>
      <c r="O130" s="37" t="str">
        <f aca="false">IF(AND(A130&lt;&gt;"",A130='Project Summary'!$C$3,H130&lt;&gt;"Done",C130&lt;&gt;""),COUNTIFS($A$2:$A130,'Project Summary'!$C$3,$H$2:$H130,"&lt;&gt;Done",$C$2:$C130,"&lt;&gt;"),"")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2"/>
      <c r="G131" s="35"/>
      <c r="H131" s="32"/>
      <c r="I131" s="35"/>
      <c r="J131" s="35"/>
      <c r="K131" s="32"/>
      <c r="L131" s="33"/>
      <c r="M131" s="37" t="str">
        <f aca="true">IF(C131="","",IF(OR(H131="Done"),"Done",IF(G131="","No Due Date",IF(G131&lt;TODAY(),"Overdue",IF(G131=TODAY(),"Due Today",IF(G131&lt;TODAY()+7,"Due This Week","Later"))))))</f>
        <v/>
      </c>
      <c r="N131" s="40" t="str">
        <f aca="false">IF(AND(C131&lt;&gt;"",H131&lt;&gt;"Done",G131&lt;&gt;""),G131+ROW()/100000,"")</f>
        <v/>
      </c>
      <c r="O131" s="37" t="str">
        <f aca="false">IF(AND(A131&lt;&gt;"",A131='Project Summary'!$C$3,H131&lt;&gt;"Done",C131&lt;&gt;""),COUNTIFS($A$2:$A131,'Project Summary'!$C$3,$H$2:$H131,"&lt;&gt;Done",$C$2:$C131,"&lt;&gt;"),"")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2"/>
      <c r="G132" s="35"/>
      <c r="H132" s="32"/>
      <c r="I132" s="35"/>
      <c r="J132" s="35"/>
      <c r="K132" s="32"/>
      <c r="L132" s="33"/>
      <c r="M132" s="37" t="str">
        <f aca="true">IF(C132="","",IF(OR(H132="Done"),"Done",IF(G132="","No Due Date",IF(G132&lt;TODAY(),"Overdue",IF(G132=TODAY(),"Due Today",IF(G132&lt;TODAY()+7,"Due This Week","Later"))))))</f>
        <v/>
      </c>
      <c r="N132" s="40" t="str">
        <f aca="false">IF(AND(C132&lt;&gt;"",H132&lt;&gt;"Done",G132&lt;&gt;""),G132+ROW()/100000,"")</f>
        <v/>
      </c>
      <c r="O132" s="37" t="str">
        <f aca="false">IF(AND(A132&lt;&gt;"",A132='Project Summary'!$C$3,H132&lt;&gt;"Done",C132&lt;&gt;""),COUNTIFS($A$2:$A132,'Project Summary'!$C$3,$H$2:$H132,"&lt;&gt;Done",$C$2:$C132,"&lt;&gt;"),"")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2"/>
      <c r="G133" s="35"/>
      <c r="H133" s="32"/>
      <c r="I133" s="35"/>
      <c r="J133" s="35"/>
      <c r="K133" s="32"/>
      <c r="L133" s="33"/>
      <c r="M133" s="37" t="str">
        <f aca="true">IF(C133="","",IF(OR(H133="Done"),"Done",IF(G133="","No Due Date",IF(G133&lt;TODAY(),"Overdue",IF(G133=TODAY(),"Due Today",IF(G133&lt;TODAY()+7,"Due This Week","Later"))))))</f>
        <v/>
      </c>
      <c r="N133" s="40" t="str">
        <f aca="false">IF(AND(C133&lt;&gt;"",H133&lt;&gt;"Done",G133&lt;&gt;""),G133+ROW()/100000,"")</f>
        <v/>
      </c>
      <c r="O133" s="37" t="str">
        <f aca="false">IF(AND(A133&lt;&gt;"",A133='Project Summary'!$C$3,H133&lt;&gt;"Done",C133&lt;&gt;""),COUNTIFS($A$2:$A133,'Project Summary'!$C$3,$H$2:$H133,"&lt;&gt;Done",$C$2:$C133,"&lt;&gt;"),"")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2"/>
      <c r="G134" s="35"/>
      <c r="H134" s="32"/>
      <c r="I134" s="35"/>
      <c r="J134" s="35"/>
      <c r="K134" s="32"/>
      <c r="L134" s="33"/>
      <c r="M134" s="37" t="str">
        <f aca="true">IF(C134="","",IF(OR(H134="Done"),"Done",IF(G134="","No Due Date",IF(G134&lt;TODAY(),"Overdue",IF(G134=TODAY(),"Due Today",IF(G134&lt;TODAY()+7,"Due This Week","Later"))))))</f>
        <v/>
      </c>
      <c r="N134" s="40" t="str">
        <f aca="false">IF(AND(C134&lt;&gt;"",H134&lt;&gt;"Done",G134&lt;&gt;""),G134+ROW()/100000,"")</f>
        <v/>
      </c>
      <c r="O134" s="37" t="str">
        <f aca="false">IF(AND(A134&lt;&gt;"",A134='Project Summary'!$C$3,H134&lt;&gt;"Done",C134&lt;&gt;""),COUNTIFS($A$2:$A134,'Project Summary'!$C$3,$H$2:$H134,"&lt;&gt;Done",$C$2:$C134,"&lt;&gt;"),"")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2"/>
      <c r="G135" s="35"/>
      <c r="H135" s="32"/>
      <c r="I135" s="35"/>
      <c r="J135" s="35"/>
      <c r="K135" s="32"/>
      <c r="L135" s="33"/>
      <c r="M135" s="37" t="str">
        <f aca="true">IF(C135="","",IF(OR(H135="Done"),"Done",IF(G135="","No Due Date",IF(G135&lt;TODAY(),"Overdue",IF(G135=TODAY(),"Due Today",IF(G135&lt;TODAY()+7,"Due This Week","Later"))))))</f>
        <v/>
      </c>
      <c r="N135" s="40" t="str">
        <f aca="false">IF(AND(C135&lt;&gt;"",H135&lt;&gt;"Done",G135&lt;&gt;""),G135+ROW()/100000,"")</f>
        <v/>
      </c>
      <c r="O135" s="37" t="str">
        <f aca="false">IF(AND(A135&lt;&gt;"",A135='Project Summary'!$C$3,H135&lt;&gt;"Done",C135&lt;&gt;""),COUNTIFS($A$2:$A135,'Project Summary'!$C$3,$H$2:$H135,"&lt;&gt;Done",$C$2:$C135,"&lt;&gt;"),"")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2"/>
      <c r="G136" s="35"/>
      <c r="H136" s="32"/>
      <c r="I136" s="35"/>
      <c r="J136" s="35"/>
      <c r="K136" s="32"/>
      <c r="L136" s="33"/>
      <c r="M136" s="37" t="str">
        <f aca="true">IF(C136="","",IF(OR(H136="Done"),"Done",IF(G136="","No Due Date",IF(G136&lt;TODAY(),"Overdue",IF(G136=TODAY(),"Due Today",IF(G136&lt;TODAY()+7,"Due This Week","Later"))))))</f>
        <v/>
      </c>
      <c r="N136" s="40" t="str">
        <f aca="false">IF(AND(C136&lt;&gt;"",H136&lt;&gt;"Done",G136&lt;&gt;""),G136+ROW()/100000,"")</f>
        <v/>
      </c>
      <c r="O136" s="37" t="str">
        <f aca="false">IF(AND(A136&lt;&gt;"",A136='Project Summary'!$C$3,H136&lt;&gt;"Done",C136&lt;&gt;""),COUNTIFS($A$2:$A136,'Project Summary'!$C$3,$H$2:$H136,"&lt;&gt;Done",$C$2:$C136,"&lt;&gt;"),"")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2"/>
      <c r="G137" s="35"/>
      <c r="H137" s="32"/>
      <c r="I137" s="35"/>
      <c r="J137" s="35"/>
      <c r="K137" s="32"/>
      <c r="L137" s="33"/>
      <c r="M137" s="37" t="str">
        <f aca="true">IF(C137="","",IF(OR(H137="Done"),"Done",IF(G137="","No Due Date",IF(G137&lt;TODAY(),"Overdue",IF(G137=TODAY(),"Due Today",IF(G137&lt;TODAY()+7,"Due This Week","Later"))))))</f>
        <v/>
      </c>
      <c r="N137" s="40" t="str">
        <f aca="false">IF(AND(C137&lt;&gt;"",H137&lt;&gt;"Done",G137&lt;&gt;""),G137+ROW()/100000,"")</f>
        <v/>
      </c>
      <c r="O137" s="37" t="str">
        <f aca="false">IF(AND(A137&lt;&gt;"",A137='Project Summary'!$C$3,H137&lt;&gt;"Done",C137&lt;&gt;""),COUNTIFS($A$2:$A137,'Project Summary'!$C$3,$H$2:$H137,"&lt;&gt;Done",$C$2:$C137,"&lt;&gt;"),"")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2"/>
      <c r="G138" s="35"/>
      <c r="H138" s="32"/>
      <c r="I138" s="35"/>
      <c r="J138" s="35"/>
      <c r="K138" s="32"/>
      <c r="L138" s="33"/>
      <c r="M138" s="37" t="str">
        <f aca="true">IF(C138="","",IF(OR(H138="Done"),"Done",IF(G138="","No Due Date",IF(G138&lt;TODAY(),"Overdue",IF(G138=TODAY(),"Due Today",IF(G138&lt;TODAY()+7,"Due This Week","Later"))))))</f>
        <v/>
      </c>
      <c r="N138" s="40" t="str">
        <f aca="false">IF(AND(C138&lt;&gt;"",H138&lt;&gt;"Done",G138&lt;&gt;""),G138+ROW()/100000,"")</f>
        <v/>
      </c>
      <c r="O138" s="37" t="str">
        <f aca="false">IF(AND(A138&lt;&gt;"",A138='Project Summary'!$C$3,H138&lt;&gt;"Done",C138&lt;&gt;""),COUNTIFS($A$2:$A138,'Project Summary'!$C$3,$H$2:$H138,"&lt;&gt;Done",$C$2:$C138,"&lt;&gt;"),"")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2"/>
      <c r="G139" s="35"/>
      <c r="H139" s="32"/>
      <c r="I139" s="35"/>
      <c r="J139" s="35"/>
      <c r="K139" s="32"/>
      <c r="L139" s="33"/>
      <c r="M139" s="37" t="str">
        <f aca="true">IF(C139="","",IF(OR(H139="Done"),"Done",IF(G139="","No Due Date",IF(G139&lt;TODAY(),"Overdue",IF(G139=TODAY(),"Due Today",IF(G139&lt;TODAY()+7,"Due This Week","Later"))))))</f>
        <v/>
      </c>
      <c r="N139" s="40" t="str">
        <f aca="false">IF(AND(C139&lt;&gt;"",H139&lt;&gt;"Done",G139&lt;&gt;""),G139+ROW()/100000,"")</f>
        <v/>
      </c>
      <c r="O139" s="37" t="str">
        <f aca="false">IF(AND(A139&lt;&gt;"",A139='Project Summary'!$C$3,H139&lt;&gt;"Done",C139&lt;&gt;""),COUNTIFS($A$2:$A139,'Project Summary'!$C$3,$H$2:$H139,"&lt;&gt;Done",$C$2:$C139,"&lt;&gt;"),"")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2"/>
      <c r="G140" s="35"/>
      <c r="H140" s="32"/>
      <c r="I140" s="35"/>
      <c r="J140" s="35"/>
      <c r="K140" s="32"/>
      <c r="L140" s="33"/>
      <c r="M140" s="37" t="str">
        <f aca="true">IF(C140="","",IF(OR(H140="Done"),"Done",IF(G140="","No Due Date",IF(G140&lt;TODAY(),"Overdue",IF(G140=TODAY(),"Due Today",IF(G140&lt;TODAY()+7,"Due This Week","Later"))))))</f>
        <v/>
      </c>
      <c r="N140" s="40" t="str">
        <f aca="false">IF(AND(C140&lt;&gt;"",H140&lt;&gt;"Done",G140&lt;&gt;""),G140+ROW()/100000,"")</f>
        <v/>
      </c>
      <c r="O140" s="37" t="str">
        <f aca="false">IF(AND(A140&lt;&gt;"",A140='Project Summary'!$C$3,H140&lt;&gt;"Done",C140&lt;&gt;""),COUNTIFS($A$2:$A140,'Project Summary'!$C$3,$H$2:$H140,"&lt;&gt;Done",$C$2:$C140,"&lt;&gt;"),"")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2"/>
      <c r="G141" s="35"/>
      <c r="H141" s="32"/>
      <c r="I141" s="35"/>
      <c r="J141" s="35"/>
      <c r="K141" s="32"/>
      <c r="L141" s="33"/>
      <c r="M141" s="37" t="str">
        <f aca="true">IF(C141="","",IF(OR(H141="Done"),"Done",IF(G141="","No Due Date",IF(G141&lt;TODAY(),"Overdue",IF(G141=TODAY(),"Due Today",IF(G141&lt;TODAY()+7,"Due This Week","Later"))))))</f>
        <v/>
      </c>
      <c r="N141" s="40" t="str">
        <f aca="false">IF(AND(C141&lt;&gt;"",H141&lt;&gt;"Done",G141&lt;&gt;""),G141+ROW()/100000,"")</f>
        <v/>
      </c>
      <c r="O141" s="37" t="str">
        <f aca="false">IF(AND(A141&lt;&gt;"",A141='Project Summary'!$C$3,H141&lt;&gt;"Done",C141&lt;&gt;""),COUNTIFS($A$2:$A141,'Project Summary'!$C$3,$H$2:$H141,"&lt;&gt;Done",$C$2:$C141,"&lt;&gt;"),"")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2"/>
      <c r="G142" s="35"/>
      <c r="H142" s="32"/>
      <c r="I142" s="35"/>
      <c r="J142" s="35"/>
      <c r="K142" s="32"/>
      <c r="L142" s="33"/>
      <c r="M142" s="37" t="str">
        <f aca="true">IF(C142="","",IF(OR(H142="Done"),"Done",IF(G142="","No Due Date",IF(G142&lt;TODAY(),"Overdue",IF(G142=TODAY(),"Due Today",IF(G142&lt;TODAY()+7,"Due This Week","Later"))))))</f>
        <v/>
      </c>
      <c r="N142" s="40" t="str">
        <f aca="false">IF(AND(C142&lt;&gt;"",H142&lt;&gt;"Done",G142&lt;&gt;""),G142+ROW()/100000,"")</f>
        <v/>
      </c>
      <c r="O142" s="37" t="str">
        <f aca="false">IF(AND(A142&lt;&gt;"",A142='Project Summary'!$C$3,H142&lt;&gt;"Done",C142&lt;&gt;""),COUNTIFS($A$2:$A142,'Project Summary'!$C$3,$H$2:$H142,"&lt;&gt;Done",$C$2:$C142,"&lt;&gt;"),"")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2"/>
      <c r="G143" s="35"/>
      <c r="H143" s="32"/>
      <c r="I143" s="35"/>
      <c r="J143" s="35"/>
      <c r="K143" s="32"/>
      <c r="L143" s="33"/>
      <c r="M143" s="37" t="str">
        <f aca="true">IF(C143="","",IF(OR(H143="Done"),"Done",IF(G143="","No Due Date",IF(G143&lt;TODAY(),"Overdue",IF(G143=TODAY(),"Due Today",IF(G143&lt;TODAY()+7,"Due This Week","Later"))))))</f>
        <v/>
      </c>
      <c r="N143" s="40" t="str">
        <f aca="false">IF(AND(C143&lt;&gt;"",H143&lt;&gt;"Done",G143&lt;&gt;""),G143+ROW()/100000,"")</f>
        <v/>
      </c>
      <c r="O143" s="37" t="str">
        <f aca="false">IF(AND(A143&lt;&gt;"",A143='Project Summary'!$C$3,H143&lt;&gt;"Done",C143&lt;&gt;""),COUNTIFS($A$2:$A143,'Project Summary'!$C$3,$H$2:$H143,"&lt;&gt;Done",$C$2:$C143,"&lt;&gt;"),"")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2"/>
      <c r="G144" s="35"/>
      <c r="H144" s="32"/>
      <c r="I144" s="35"/>
      <c r="J144" s="35"/>
      <c r="K144" s="32"/>
      <c r="L144" s="33"/>
      <c r="M144" s="37" t="str">
        <f aca="true">IF(C144="","",IF(OR(H144="Done"),"Done",IF(G144="","No Due Date",IF(G144&lt;TODAY(),"Overdue",IF(G144=TODAY(),"Due Today",IF(G144&lt;TODAY()+7,"Due This Week","Later"))))))</f>
        <v/>
      </c>
      <c r="N144" s="40" t="str">
        <f aca="false">IF(AND(C144&lt;&gt;"",H144&lt;&gt;"Done",G144&lt;&gt;""),G144+ROW()/100000,"")</f>
        <v/>
      </c>
      <c r="O144" s="37" t="str">
        <f aca="false">IF(AND(A144&lt;&gt;"",A144='Project Summary'!$C$3,H144&lt;&gt;"Done",C144&lt;&gt;""),COUNTIFS($A$2:$A144,'Project Summary'!$C$3,$H$2:$H144,"&lt;&gt;Done",$C$2:$C144,"&lt;&gt;"),"")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2"/>
      <c r="G145" s="35"/>
      <c r="H145" s="32"/>
      <c r="I145" s="35"/>
      <c r="J145" s="35"/>
      <c r="K145" s="32"/>
      <c r="L145" s="33"/>
      <c r="M145" s="37" t="str">
        <f aca="true">IF(C145="","",IF(OR(H145="Done"),"Done",IF(G145="","No Due Date",IF(G145&lt;TODAY(),"Overdue",IF(G145=TODAY(),"Due Today",IF(G145&lt;TODAY()+7,"Due This Week","Later"))))))</f>
        <v/>
      </c>
      <c r="N145" s="40" t="str">
        <f aca="false">IF(AND(C145&lt;&gt;"",H145&lt;&gt;"Done",G145&lt;&gt;""),G145+ROW()/100000,"")</f>
        <v/>
      </c>
      <c r="O145" s="37" t="str">
        <f aca="false">IF(AND(A145&lt;&gt;"",A145='Project Summary'!$C$3,H145&lt;&gt;"Done",C145&lt;&gt;""),COUNTIFS($A$2:$A145,'Project Summary'!$C$3,$H$2:$H145,"&lt;&gt;Done",$C$2:$C145,"&lt;&gt;"),"")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2"/>
      <c r="G146" s="35"/>
      <c r="H146" s="32"/>
      <c r="I146" s="35"/>
      <c r="J146" s="35"/>
      <c r="K146" s="32"/>
      <c r="L146" s="33"/>
      <c r="M146" s="37" t="str">
        <f aca="true">IF(C146="","",IF(OR(H146="Done"),"Done",IF(G146="","No Due Date",IF(G146&lt;TODAY(),"Overdue",IF(G146=TODAY(),"Due Today",IF(G146&lt;TODAY()+7,"Due This Week","Later"))))))</f>
        <v/>
      </c>
      <c r="N146" s="40" t="str">
        <f aca="false">IF(AND(C146&lt;&gt;"",H146&lt;&gt;"Done",G146&lt;&gt;""),G146+ROW()/100000,"")</f>
        <v/>
      </c>
      <c r="O146" s="37" t="str">
        <f aca="false">IF(AND(A146&lt;&gt;"",A146='Project Summary'!$C$3,H146&lt;&gt;"Done",C146&lt;&gt;""),COUNTIFS($A$2:$A146,'Project Summary'!$C$3,$H$2:$H146,"&lt;&gt;Done",$C$2:$C146,"&lt;&gt;"),"")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2"/>
      <c r="G147" s="35"/>
      <c r="H147" s="32"/>
      <c r="I147" s="35"/>
      <c r="J147" s="35"/>
      <c r="K147" s="32"/>
      <c r="L147" s="33"/>
      <c r="M147" s="37" t="str">
        <f aca="true">IF(C147="","",IF(OR(H147="Done"),"Done",IF(G147="","No Due Date",IF(G147&lt;TODAY(),"Overdue",IF(G147=TODAY(),"Due Today",IF(G147&lt;TODAY()+7,"Due This Week","Later"))))))</f>
        <v/>
      </c>
      <c r="N147" s="40" t="str">
        <f aca="false">IF(AND(C147&lt;&gt;"",H147&lt;&gt;"Done",G147&lt;&gt;""),G147+ROW()/100000,"")</f>
        <v/>
      </c>
      <c r="O147" s="37" t="str">
        <f aca="false">IF(AND(A147&lt;&gt;"",A147='Project Summary'!$C$3,H147&lt;&gt;"Done",C147&lt;&gt;""),COUNTIFS($A$2:$A147,'Project Summary'!$C$3,$H$2:$H147,"&lt;&gt;Done",$C$2:$C147,"&lt;&gt;"),"")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2"/>
      <c r="G148" s="35"/>
      <c r="H148" s="32"/>
      <c r="I148" s="35"/>
      <c r="J148" s="35"/>
      <c r="K148" s="32"/>
      <c r="L148" s="33"/>
      <c r="M148" s="37" t="str">
        <f aca="true">IF(C148="","",IF(OR(H148="Done"),"Done",IF(G148="","No Due Date",IF(G148&lt;TODAY(),"Overdue",IF(G148=TODAY(),"Due Today",IF(G148&lt;TODAY()+7,"Due This Week","Later"))))))</f>
        <v/>
      </c>
      <c r="N148" s="40" t="str">
        <f aca="false">IF(AND(C148&lt;&gt;"",H148&lt;&gt;"Done",G148&lt;&gt;""),G148+ROW()/100000,"")</f>
        <v/>
      </c>
      <c r="O148" s="37" t="str">
        <f aca="false">IF(AND(A148&lt;&gt;"",A148='Project Summary'!$C$3,H148&lt;&gt;"Done",C148&lt;&gt;""),COUNTIFS($A$2:$A148,'Project Summary'!$C$3,$H$2:$H148,"&lt;&gt;Done",$C$2:$C148,"&lt;&gt;"),"")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2"/>
      <c r="G149" s="35"/>
      <c r="H149" s="32"/>
      <c r="I149" s="35"/>
      <c r="J149" s="35"/>
      <c r="K149" s="32"/>
      <c r="L149" s="33"/>
      <c r="M149" s="37" t="str">
        <f aca="true">IF(C149="","",IF(OR(H149="Done"),"Done",IF(G149="","No Due Date",IF(G149&lt;TODAY(),"Overdue",IF(G149=TODAY(),"Due Today",IF(G149&lt;TODAY()+7,"Due This Week","Later"))))))</f>
        <v/>
      </c>
      <c r="N149" s="40" t="str">
        <f aca="false">IF(AND(C149&lt;&gt;"",H149&lt;&gt;"Done",G149&lt;&gt;""),G149+ROW()/100000,"")</f>
        <v/>
      </c>
      <c r="O149" s="37" t="str">
        <f aca="false">IF(AND(A149&lt;&gt;"",A149='Project Summary'!$C$3,H149&lt;&gt;"Done",C149&lt;&gt;""),COUNTIFS($A$2:$A149,'Project Summary'!$C$3,$H$2:$H149,"&lt;&gt;Done",$C$2:$C149,"&lt;&gt;"),"")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2"/>
      <c r="G150" s="35"/>
      <c r="H150" s="32"/>
      <c r="I150" s="35"/>
      <c r="J150" s="35"/>
      <c r="K150" s="32"/>
      <c r="L150" s="33"/>
      <c r="M150" s="37" t="str">
        <f aca="true">IF(C150="","",IF(OR(H150="Done"),"Done",IF(G150="","No Due Date",IF(G150&lt;TODAY(),"Overdue",IF(G150=TODAY(),"Due Today",IF(G150&lt;TODAY()+7,"Due This Week","Later"))))))</f>
        <v/>
      </c>
      <c r="N150" s="40" t="str">
        <f aca="false">IF(AND(C150&lt;&gt;"",H150&lt;&gt;"Done",G150&lt;&gt;""),G150+ROW()/100000,"")</f>
        <v/>
      </c>
      <c r="O150" s="37" t="str">
        <f aca="false">IF(AND(A150&lt;&gt;"",A150='Project Summary'!$C$3,H150&lt;&gt;"Done",C150&lt;&gt;""),COUNTIFS($A$2:$A150,'Project Summary'!$C$3,$H$2:$H150,"&lt;&gt;Done",$C$2:$C150,"&lt;&gt;"),"")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2"/>
      <c r="G151" s="35"/>
      <c r="H151" s="32"/>
      <c r="I151" s="35"/>
      <c r="J151" s="35"/>
      <c r="K151" s="32"/>
      <c r="L151" s="33"/>
      <c r="M151" s="37" t="str">
        <f aca="true">IF(C151="","",IF(OR(H151="Done"),"Done",IF(G151="","No Due Date",IF(G151&lt;TODAY(),"Overdue",IF(G151=TODAY(),"Due Today",IF(G151&lt;TODAY()+7,"Due This Week","Later"))))))</f>
        <v/>
      </c>
      <c r="N151" s="40" t="str">
        <f aca="false">IF(AND(C151&lt;&gt;"",H151&lt;&gt;"Done",G151&lt;&gt;""),G151+ROW()/100000,"")</f>
        <v/>
      </c>
      <c r="O151" s="37" t="str">
        <f aca="false">IF(AND(A151&lt;&gt;"",A151='Project Summary'!$C$3,H151&lt;&gt;"Done",C151&lt;&gt;""),COUNTIFS($A$2:$A151,'Project Summary'!$C$3,$H$2:$H151,"&lt;&gt;Done",$C$2:$C151,"&lt;&gt;"),"")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2"/>
      <c r="G152" s="35"/>
      <c r="H152" s="32"/>
      <c r="I152" s="35"/>
      <c r="J152" s="35"/>
      <c r="K152" s="32"/>
      <c r="L152" s="33"/>
      <c r="M152" s="37" t="str">
        <f aca="true">IF(C152="","",IF(OR(H152="Done"),"Done",IF(G152="","No Due Date",IF(G152&lt;TODAY(),"Overdue",IF(G152=TODAY(),"Due Today",IF(G152&lt;TODAY()+7,"Due This Week","Later"))))))</f>
        <v/>
      </c>
      <c r="N152" s="40" t="str">
        <f aca="false">IF(AND(C152&lt;&gt;"",H152&lt;&gt;"Done",G152&lt;&gt;""),G152+ROW()/100000,"")</f>
        <v/>
      </c>
      <c r="O152" s="37" t="str">
        <f aca="false">IF(AND(A152&lt;&gt;"",A152='Project Summary'!$C$3,H152&lt;&gt;"Done",C152&lt;&gt;""),COUNTIFS($A$2:$A152,'Project Summary'!$C$3,$H$2:$H152,"&lt;&gt;Done",$C$2:$C152,"&lt;&gt;"),"")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2"/>
      <c r="G153" s="35"/>
      <c r="H153" s="32"/>
      <c r="I153" s="35"/>
      <c r="J153" s="35"/>
      <c r="K153" s="32"/>
      <c r="L153" s="33"/>
      <c r="M153" s="37" t="str">
        <f aca="true">IF(C153="","",IF(OR(H153="Done"),"Done",IF(G153="","No Due Date",IF(G153&lt;TODAY(),"Overdue",IF(G153=TODAY(),"Due Today",IF(G153&lt;TODAY()+7,"Due This Week","Later"))))))</f>
        <v/>
      </c>
      <c r="N153" s="40" t="str">
        <f aca="false">IF(AND(C153&lt;&gt;"",H153&lt;&gt;"Done",G153&lt;&gt;""),G153+ROW()/100000,"")</f>
        <v/>
      </c>
      <c r="O153" s="37" t="str">
        <f aca="false">IF(AND(A153&lt;&gt;"",A153='Project Summary'!$C$3,H153&lt;&gt;"Done",C153&lt;&gt;""),COUNTIFS($A$2:$A153,'Project Summary'!$C$3,$H$2:$H153,"&lt;&gt;Done",$C$2:$C153,"&lt;&gt;"),"")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2"/>
      <c r="G154" s="35"/>
      <c r="H154" s="32"/>
      <c r="I154" s="35"/>
      <c r="J154" s="35"/>
      <c r="K154" s="32"/>
      <c r="L154" s="33"/>
      <c r="M154" s="37" t="str">
        <f aca="true">IF(C154="","",IF(OR(H154="Done"),"Done",IF(G154="","No Due Date",IF(G154&lt;TODAY(),"Overdue",IF(G154=TODAY(),"Due Today",IF(G154&lt;TODAY()+7,"Due This Week","Later"))))))</f>
        <v/>
      </c>
      <c r="N154" s="40" t="str">
        <f aca="false">IF(AND(C154&lt;&gt;"",H154&lt;&gt;"Done",G154&lt;&gt;""),G154+ROW()/100000,"")</f>
        <v/>
      </c>
      <c r="O154" s="37" t="str">
        <f aca="false">IF(AND(A154&lt;&gt;"",A154='Project Summary'!$C$3,H154&lt;&gt;"Done",C154&lt;&gt;""),COUNTIFS($A$2:$A154,'Project Summary'!$C$3,$H$2:$H154,"&lt;&gt;Done",$C$2:$C154,"&lt;&gt;"),"")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2"/>
      <c r="G155" s="35"/>
      <c r="H155" s="32"/>
      <c r="I155" s="35"/>
      <c r="J155" s="35"/>
      <c r="K155" s="32"/>
      <c r="L155" s="33"/>
      <c r="M155" s="37" t="str">
        <f aca="true">IF(C155="","",IF(OR(H155="Done"),"Done",IF(G155="","No Due Date",IF(G155&lt;TODAY(),"Overdue",IF(G155=TODAY(),"Due Today",IF(G155&lt;TODAY()+7,"Due This Week","Later"))))))</f>
        <v/>
      </c>
      <c r="N155" s="40" t="str">
        <f aca="false">IF(AND(C155&lt;&gt;"",H155&lt;&gt;"Done",G155&lt;&gt;""),G155+ROW()/100000,"")</f>
        <v/>
      </c>
      <c r="O155" s="37" t="str">
        <f aca="false">IF(AND(A155&lt;&gt;"",A155='Project Summary'!$C$3,H155&lt;&gt;"Done",C155&lt;&gt;""),COUNTIFS($A$2:$A155,'Project Summary'!$C$3,$H$2:$H155,"&lt;&gt;Done",$C$2:$C155,"&lt;&gt;"),"")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2"/>
      <c r="G156" s="35"/>
      <c r="H156" s="32"/>
      <c r="I156" s="35"/>
      <c r="J156" s="35"/>
      <c r="K156" s="32"/>
      <c r="L156" s="33"/>
      <c r="M156" s="37" t="str">
        <f aca="true">IF(C156="","",IF(OR(H156="Done"),"Done",IF(G156="","No Due Date",IF(G156&lt;TODAY(),"Overdue",IF(G156=TODAY(),"Due Today",IF(G156&lt;TODAY()+7,"Due This Week","Later"))))))</f>
        <v/>
      </c>
      <c r="N156" s="40" t="str">
        <f aca="false">IF(AND(C156&lt;&gt;"",H156&lt;&gt;"Done",G156&lt;&gt;""),G156+ROW()/100000,"")</f>
        <v/>
      </c>
      <c r="O156" s="37" t="str">
        <f aca="false">IF(AND(A156&lt;&gt;"",A156='Project Summary'!$C$3,H156&lt;&gt;"Done",C156&lt;&gt;""),COUNTIFS($A$2:$A156,'Project Summary'!$C$3,$H$2:$H156,"&lt;&gt;Done",$C$2:$C156,"&lt;&gt;"),"")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2"/>
      <c r="G157" s="35"/>
      <c r="H157" s="32"/>
      <c r="I157" s="35"/>
      <c r="J157" s="35"/>
      <c r="K157" s="32"/>
      <c r="L157" s="33"/>
      <c r="M157" s="37" t="str">
        <f aca="true">IF(C157="","",IF(OR(H157="Done"),"Done",IF(G157="","No Due Date",IF(G157&lt;TODAY(),"Overdue",IF(G157=TODAY(),"Due Today",IF(G157&lt;TODAY()+7,"Due This Week","Later"))))))</f>
        <v/>
      </c>
      <c r="N157" s="40" t="str">
        <f aca="false">IF(AND(C157&lt;&gt;"",H157&lt;&gt;"Done",G157&lt;&gt;""),G157+ROW()/100000,"")</f>
        <v/>
      </c>
      <c r="O157" s="37" t="str">
        <f aca="false">IF(AND(A157&lt;&gt;"",A157='Project Summary'!$C$3,H157&lt;&gt;"Done",C157&lt;&gt;""),COUNTIFS($A$2:$A157,'Project Summary'!$C$3,$H$2:$H157,"&lt;&gt;Done",$C$2:$C157,"&lt;&gt;"),"")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2"/>
      <c r="G158" s="35"/>
      <c r="H158" s="32"/>
      <c r="I158" s="35"/>
      <c r="J158" s="35"/>
      <c r="K158" s="32"/>
      <c r="L158" s="33"/>
      <c r="M158" s="37" t="str">
        <f aca="true">IF(C158="","",IF(OR(H158="Done"),"Done",IF(G158="","No Due Date",IF(G158&lt;TODAY(),"Overdue",IF(G158=TODAY(),"Due Today",IF(G158&lt;TODAY()+7,"Due This Week","Later"))))))</f>
        <v/>
      </c>
      <c r="N158" s="40" t="str">
        <f aca="false">IF(AND(C158&lt;&gt;"",H158&lt;&gt;"Done",G158&lt;&gt;""),G158+ROW()/100000,"")</f>
        <v/>
      </c>
      <c r="O158" s="37" t="str">
        <f aca="false">IF(AND(A158&lt;&gt;"",A158='Project Summary'!$C$3,H158&lt;&gt;"Done",C158&lt;&gt;""),COUNTIFS($A$2:$A158,'Project Summary'!$C$3,$H$2:$H158,"&lt;&gt;Done",$C$2:$C158,"&lt;&gt;"),"")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2"/>
      <c r="G159" s="35"/>
      <c r="H159" s="32"/>
      <c r="I159" s="35"/>
      <c r="J159" s="35"/>
      <c r="K159" s="32"/>
      <c r="L159" s="33"/>
      <c r="M159" s="37" t="str">
        <f aca="true">IF(C159="","",IF(OR(H159="Done"),"Done",IF(G159="","No Due Date",IF(G159&lt;TODAY(),"Overdue",IF(G159=TODAY(),"Due Today",IF(G159&lt;TODAY()+7,"Due This Week","Later"))))))</f>
        <v/>
      </c>
      <c r="N159" s="40" t="str">
        <f aca="false">IF(AND(C159&lt;&gt;"",H159&lt;&gt;"Done",G159&lt;&gt;""),G159+ROW()/100000,"")</f>
        <v/>
      </c>
      <c r="O159" s="37" t="str">
        <f aca="false">IF(AND(A159&lt;&gt;"",A159='Project Summary'!$C$3,H159&lt;&gt;"Done",C159&lt;&gt;""),COUNTIFS($A$2:$A159,'Project Summary'!$C$3,$H$2:$H159,"&lt;&gt;Done",$C$2:$C159,"&lt;&gt;"),"")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2"/>
      <c r="G160" s="35"/>
      <c r="H160" s="32"/>
      <c r="I160" s="35"/>
      <c r="J160" s="35"/>
      <c r="K160" s="32"/>
      <c r="L160" s="33"/>
      <c r="M160" s="37" t="str">
        <f aca="true">IF(C160="","",IF(OR(H160="Done"),"Done",IF(G160="","No Due Date",IF(G160&lt;TODAY(),"Overdue",IF(G160=TODAY(),"Due Today",IF(G160&lt;TODAY()+7,"Due This Week","Later"))))))</f>
        <v/>
      </c>
      <c r="N160" s="40" t="str">
        <f aca="false">IF(AND(C160&lt;&gt;"",H160&lt;&gt;"Done",G160&lt;&gt;""),G160+ROW()/100000,"")</f>
        <v/>
      </c>
      <c r="O160" s="37" t="str">
        <f aca="false">IF(AND(A160&lt;&gt;"",A160='Project Summary'!$C$3,H160&lt;&gt;"Done",C160&lt;&gt;""),COUNTIFS($A$2:$A160,'Project Summary'!$C$3,$H$2:$H160,"&lt;&gt;Done",$C$2:$C160,"&lt;&gt;"),"")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2"/>
      <c r="G161" s="35"/>
      <c r="H161" s="32"/>
      <c r="I161" s="35"/>
      <c r="J161" s="35"/>
      <c r="K161" s="32"/>
      <c r="L161" s="33"/>
      <c r="M161" s="37" t="str">
        <f aca="true">IF(C161="","",IF(OR(H161="Done"),"Done",IF(G161="","No Due Date",IF(G161&lt;TODAY(),"Overdue",IF(G161=TODAY(),"Due Today",IF(G161&lt;TODAY()+7,"Due This Week","Later"))))))</f>
        <v/>
      </c>
      <c r="N161" s="40" t="str">
        <f aca="false">IF(AND(C161&lt;&gt;"",H161&lt;&gt;"Done",G161&lt;&gt;""),G161+ROW()/100000,"")</f>
        <v/>
      </c>
      <c r="O161" s="37" t="str">
        <f aca="false">IF(AND(A161&lt;&gt;"",A161='Project Summary'!$C$3,H161&lt;&gt;"Done",C161&lt;&gt;""),COUNTIFS($A$2:$A161,'Project Summary'!$C$3,$H$2:$H161,"&lt;&gt;Done",$C$2:$C161,"&lt;&gt;"),"")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2"/>
      <c r="G162" s="35"/>
      <c r="H162" s="32"/>
      <c r="I162" s="35"/>
      <c r="J162" s="35"/>
      <c r="K162" s="32"/>
      <c r="L162" s="33"/>
      <c r="M162" s="37" t="str">
        <f aca="true">IF(C162="","",IF(OR(H162="Done"),"Done",IF(G162="","No Due Date",IF(G162&lt;TODAY(),"Overdue",IF(G162=TODAY(),"Due Today",IF(G162&lt;TODAY()+7,"Due This Week","Later"))))))</f>
        <v/>
      </c>
      <c r="N162" s="40" t="str">
        <f aca="false">IF(AND(C162&lt;&gt;"",H162&lt;&gt;"Done",G162&lt;&gt;""),G162+ROW()/100000,"")</f>
        <v/>
      </c>
      <c r="O162" s="37" t="str">
        <f aca="false">IF(AND(A162&lt;&gt;"",A162='Project Summary'!$C$3,H162&lt;&gt;"Done",C162&lt;&gt;""),COUNTIFS($A$2:$A162,'Project Summary'!$C$3,$H$2:$H162,"&lt;&gt;Done",$C$2:$C162,"&lt;&gt;"),"")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2"/>
      <c r="G163" s="35"/>
      <c r="H163" s="32"/>
      <c r="I163" s="35"/>
      <c r="J163" s="35"/>
      <c r="K163" s="32"/>
      <c r="L163" s="33"/>
      <c r="M163" s="37" t="str">
        <f aca="true">IF(C163="","",IF(OR(H163="Done"),"Done",IF(G163="","No Due Date",IF(G163&lt;TODAY(),"Overdue",IF(G163=TODAY(),"Due Today",IF(G163&lt;TODAY()+7,"Due This Week","Later"))))))</f>
        <v/>
      </c>
      <c r="N163" s="40" t="str">
        <f aca="false">IF(AND(C163&lt;&gt;"",H163&lt;&gt;"Done",G163&lt;&gt;""),G163+ROW()/100000,"")</f>
        <v/>
      </c>
      <c r="O163" s="37" t="str">
        <f aca="false">IF(AND(A163&lt;&gt;"",A163='Project Summary'!$C$3,H163&lt;&gt;"Done",C163&lt;&gt;""),COUNTIFS($A$2:$A163,'Project Summary'!$C$3,$H$2:$H163,"&lt;&gt;Done",$C$2:$C163,"&lt;&gt;"),"")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2"/>
      <c r="G164" s="35"/>
      <c r="H164" s="32"/>
      <c r="I164" s="35"/>
      <c r="J164" s="35"/>
      <c r="K164" s="32"/>
      <c r="L164" s="33"/>
      <c r="M164" s="37" t="str">
        <f aca="true">IF(C164="","",IF(OR(H164="Done"),"Done",IF(G164="","No Due Date",IF(G164&lt;TODAY(),"Overdue",IF(G164=TODAY(),"Due Today",IF(G164&lt;TODAY()+7,"Due This Week","Later"))))))</f>
        <v/>
      </c>
      <c r="N164" s="40" t="str">
        <f aca="false">IF(AND(C164&lt;&gt;"",H164&lt;&gt;"Done",G164&lt;&gt;""),G164+ROW()/100000,"")</f>
        <v/>
      </c>
      <c r="O164" s="37" t="str">
        <f aca="false">IF(AND(A164&lt;&gt;"",A164='Project Summary'!$C$3,H164&lt;&gt;"Done",C164&lt;&gt;""),COUNTIFS($A$2:$A164,'Project Summary'!$C$3,$H$2:$H164,"&lt;&gt;Done",$C$2:$C164,"&lt;&gt;"),"")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2"/>
      <c r="G165" s="35"/>
      <c r="H165" s="32"/>
      <c r="I165" s="35"/>
      <c r="J165" s="35"/>
      <c r="K165" s="32"/>
      <c r="L165" s="33"/>
      <c r="M165" s="37" t="str">
        <f aca="true">IF(C165="","",IF(OR(H165="Done"),"Done",IF(G165="","No Due Date",IF(G165&lt;TODAY(),"Overdue",IF(G165=TODAY(),"Due Today",IF(G165&lt;TODAY()+7,"Due This Week","Later"))))))</f>
        <v/>
      </c>
      <c r="N165" s="40" t="str">
        <f aca="false">IF(AND(C165&lt;&gt;"",H165&lt;&gt;"Done",G165&lt;&gt;""),G165+ROW()/100000,"")</f>
        <v/>
      </c>
      <c r="O165" s="37" t="str">
        <f aca="false">IF(AND(A165&lt;&gt;"",A165='Project Summary'!$C$3,H165&lt;&gt;"Done",C165&lt;&gt;""),COUNTIFS($A$2:$A165,'Project Summary'!$C$3,$H$2:$H165,"&lt;&gt;Done",$C$2:$C165,"&lt;&gt;"),"")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2"/>
      <c r="G166" s="35"/>
      <c r="H166" s="32"/>
      <c r="I166" s="35"/>
      <c r="J166" s="35"/>
      <c r="K166" s="32"/>
      <c r="L166" s="33"/>
      <c r="M166" s="37" t="str">
        <f aca="true">IF(C166="","",IF(OR(H166="Done"),"Done",IF(G166="","No Due Date",IF(G166&lt;TODAY(),"Overdue",IF(G166=TODAY(),"Due Today",IF(G166&lt;TODAY()+7,"Due This Week","Later"))))))</f>
        <v/>
      </c>
      <c r="N166" s="40" t="str">
        <f aca="false">IF(AND(C166&lt;&gt;"",H166&lt;&gt;"Done",G166&lt;&gt;""),G166+ROW()/100000,"")</f>
        <v/>
      </c>
      <c r="O166" s="37" t="str">
        <f aca="false">IF(AND(A166&lt;&gt;"",A166='Project Summary'!$C$3,H166&lt;&gt;"Done",C166&lt;&gt;""),COUNTIFS($A$2:$A166,'Project Summary'!$C$3,$H$2:$H166,"&lt;&gt;Done",$C$2:$C166,"&lt;&gt;"),"")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2"/>
      <c r="G167" s="35"/>
      <c r="H167" s="32"/>
      <c r="I167" s="35"/>
      <c r="J167" s="35"/>
      <c r="K167" s="32"/>
      <c r="L167" s="33"/>
      <c r="M167" s="37" t="str">
        <f aca="true">IF(C167="","",IF(OR(H167="Done"),"Done",IF(G167="","No Due Date",IF(G167&lt;TODAY(),"Overdue",IF(G167=TODAY(),"Due Today",IF(G167&lt;TODAY()+7,"Due This Week","Later"))))))</f>
        <v/>
      </c>
      <c r="N167" s="40" t="str">
        <f aca="false">IF(AND(C167&lt;&gt;"",H167&lt;&gt;"Done",G167&lt;&gt;""),G167+ROW()/100000,"")</f>
        <v/>
      </c>
      <c r="O167" s="37" t="str">
        <f aca="false">IF(AND(A167&lt;&gt;"",A167='Project Summary'!$C$3,H167&lt;&gt;"Done",C167&lt;&gt;""),COUNTIFS($A$2:$A167,'Project Summary'!$C$3,$H$2:$H167,"&lt;&gt;Done",$C$2:$C167,"&lt;&gt;"),"")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2"/>
      <c r="G168" s="35"/>
      <c r="H168" s="32"/>
      <c r="I168" s="35"/>
      <c r="J168" s="35"/>
      <c r="K168" s="32"/>
      <c r="L168" s="33"/>
      <c r="M168" s="37" t="str">
        <f aca="true">IF(C168="","",IF(OR(H168="Done"),"Done",IF(G168="","No Due Date",IF(G168&lt;TODAY(),"Overdue",IF(G168=TODAY(),"Due Today",IF(G168&lt;TODAY()+7,"Due This Week","Later"))))))</f>
        <v/>
      </c>
      <c r="N168" s="40" t="str">
        <f aca="false">IF(AND(C168&lt;&gt;"",H168&lt;&gt;"Done",G168&lt;&gt;""),G168+ROW()/100000,"")</f>
        <v/>
      </c>
      <c r="O168" s="37" t="str">
        <f aca="false">IF(AND(A168&lt;&gt;"",A168='Project Summary'!$C$3,H168&lt;&gt;"Done",C168&lt;&gt;""),COUNTIFS($A$2:$A168,'Project Summary'!$C$3,$H$2:$H168,"&lt;&gt;Done",$C$2:$C168,"&lt;&gt;"),"")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2"/>
      <c r="G169" s="35"/>
      <c r="H169" s="32"/>
      <c r="I169" s="35"/>
      <c r="J169" s="35"/>
      <c r="K169" s="32"/>
      <c r="L169" s="33"/>
      <c r="M169" s="37" t="str">
        <f aca="true">IF(C169="","",IF(OR(H169="Done"),"Done",IF(G169="","No Due Date",IF(G169&lt;TODAY(),"Overdue",IF(G169=TODAY(),"Due Today",IF(G169&lt;TODAY()+7,"Due This Week","Later"))))))</f>
        <v/>
      </c>
      <c r="N169" s="40" t="str">
        <f aca="false">IF(AND(C169&lt;&gt;"",H169&lt;&gt;"Done",G169&lt;&gt;""),G169+ROW()/100000,"")</f>
        <v/>
      </c>
      <c r="O169" s="37" t="str">
        <f aca="false">IF(AND(A169&lt;&gt;"",A169='Project Summary'!$C$3,H169&lt;&gt;"Done",C169&lt;&gt;""),COUNTIFS($A$2:$A169,'Project Summary'!$C$3,$H$2:$H169,"&lt;&gt;Done",$C$2:$C169,"&lt;&gt;"),"")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2"/>
      <c r="G170" s="35"/>
      <c r="H170" s="32"/>
      <c r="I170" s="35"/>
      <c r="J170" s="35"/>
      <c r="K170" s="32"/>
      <c r="L170" s="33"/>
      <c r="M170" s="37" t="str">
        <f aca="true">IF(C170="","",IF(OR(H170="Done"),"Done",IF(G170="","No Due Date",IF(G170&lt;TODAY(),"Overdue",IF(G170=TODAY(),"Due Today",IF(G170&lt;TODAY()+7,"Due This Week","Later"))))))</f>
        <v/>
      </c>
      <c r="N170" s="40" t="str">
        <f aca="false">IF(AND(C170&lt;&gt;"",H170&lt;&gt;"Done",G170&lt;&gt;""),G170+ROW()/100000,"")</f>
        <v/>
      </c>
      <c r="O170" s="37" t="str">
        <f aca="false">IF(AND(A170&lt;&gt;"",A170='Project Summary'!$C$3,H170&lt;&gt;"Done",C170&lt;&gt;""),COUNTIFS($A$2:$A170,'Project Summary'!$C$3,$H$2:$H170,"&lt;&gt;Done",$C$2:$C170,"&lt;&gt;"),"")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2"/>
      <c r="G171" s="35"/>
      <c r="H171" s="32"/>
      <c r="I171" s="35"/>
      <c r="J171" s="35"/>
      <c r="K171" s="32"/>
      <c r="L171" s="33"/>
      <c r="M171" s="37" t="str">
        <f aca="true">IF(C171="","",IF(OR(H171="Done"),"Done",IF(G171="","No Due Date",IF(G171&lt;TODAY(),"Overdue",IF(G171=TODAY(),"Due Today",IF(G171&lt;TODAY()+7,"Due This Week","Later"))))))</f>
        <v/>
      </c>
      <c r="N171" s="40" t="str">
        <f aca="false">IF(AND(C171&lt;&gt;"",H171&lt;&gt;"Done",G171&lt;&gt;""),G171+ROW()/100000,"")</f>
        <v/>
      </c>
      <c r="O171" s="37" t="str">
        <f aca="false">IF(AND(A171&lt;&gt;"",A171='Project Summary'!$C$3,H171&lt;&gt;"Done",C171&lt;&gt;""),COUNTIFS($A$2:$A171,'Project Summary'!$C$3,$H$2:$H171,"&lt;&gt;Done",$C$2:$C171,"&lt;&gt;"),"")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2"/>
      <c r="G172" s="35"/>
      <c r="H172" s="32"/>
      <c r="I172" s="35"/>
      <c r="J172" s="35"/>
      <c r="K172" s="32"/>
      <c r="L172" s="33"/>
      <c r="M172" s="37" t="str">
        <f aca="true">IF(C172="","",IF(OR(H172="Done"),"Done",IF(G172="","No Due Date",IF(G172&lt;TODAY(),"Overdue",IF(G172=TODAY(),"Due Today",IF(G172&lt;TODAY()+7,"Due This Week","Later"))))))</f>
        <v/>
      </c>
      <c r="N172" s="40" t="str">
        <f aca="false">IF(AND(C172&lt;&gt;"",H172&lt;&gt;"Done",G172&lt;&gt;""),G172+ROW()/100000,"")</f>
        <v/>
      </c>
      <c r="O172" s="37" t="str">
        <f aca="false">IF(AND(A172&lt;&gt;"",A172='Project Summary'!$C$3,H172&lt;&gt;"Done",C172&lt;&gt;""),COUNTIFS($A$2:$A172,'Project Summary'!$C$3,$H$2:$H172,"&lt;&gt;Done",$C$2:$C172,"&lt;&gt;"),"")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2"/>
      <c r="G173" s="35"/>
      <c r="H173" s="32"/>
      <c r="I173" s="35"/>
      <c r="J173" s="35"/>
      <c r="K173" s="32"/>
      <c r="L173" s="33"/>
      <c r="M173" s="37" t="str">
        <f aca="true">IF(C173="","",IF(OR(H173="Done"),"Done",IF(G173="","No Due Date",IF(G173&lt;TODAY(),"Overdue",IF(G173=TODAY(),"Due Today",IF(G173&lt;TODAY()+7,"Due This Week","Later"))))))</f>
        <v/>
      </c>
      <c r="N173" s="40" t="str">
        <f aca="false">IF(AND(C173&lt;&gt;"",H173&lt;&gt;"Done",G173&lt;&gt;""),G173+ROW()/100000,"")</f>
        <v/>
      </c>
      <c r="O173" s="37" t="str">
        <f aca="false">IF(AND(A173&lt;&gt;"",A173='Project Summary'!$C$3,H173&lt;&gt;"Done",C173&lt;&gt;""),COUNTIFS($A$2:$A173,'Project Summary'!$C$3,$H$2:$H173,"&lt;&gt;Done",$C$2:$C173,"&lt;&gt;"),"")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2"/>
      <c r="G174" s="35"/>
      <c r="H174" s="32"/>
      <c r="I174" s="35"/>
      <c r="J174" s="35"/>
      <c r="K174" s="32"/>
      <c r="L174" s="33"/>
      <c r="M174" s="37" t="str">
        <f aca="true">IF(C174="","",IF(OR(H174="Done"),"Done",IF(G174="","No Due Date",IF(G174&lt;TODAY(),"Overdue",IF(G174=TODAY(),"Due Today",IF(G174&lt;TODAY()+7,"Due This Week","Later"))))))</f>
        <v/>
      </c>
      <c r="N174" s="40" t="str">
        <f aca="false">IF(AND(C174&lt;&gt;"",H174&lt;&gt;"Done",G174&lt;&gt;""),G174+ROW()/100000,"")</f>
        <v/>
      </c>
      <c r="O174" s="37" t="str">
        <f aca="false">IF(AND(A174&lt;&gt;"",A174='Project Summary'!$C$3,H174&lt;&gt;"Done",C174&lt;&gt;""),COUNTIFS($A$2:$A174,'Project Summary'!$C$3,$H$2:$H174,"&lt;&gt;Done",$C$2:$C174,"&lt;&gt;"),"")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2"/>
      <c r="G175" s="35"/>
      <c r="H175" s="32"/>
      <c r="I175" s="35"/>
      <c r="J175" s="35"/>
      <c r="K175" s="32"/>
      <c r="L175" s="33"/>
      <c r="M175" s="37" t="str">
        <f aca="true">IF(C175="","",IF(OR(H175="Done"),"Done",IF(G175="","No Due Date",IF(G175&lt;TODAY(),"Overdue",IF(G175=TODAY(),"Due Today",IF(G175&lt;TODAY()+7,"Due This Week","Later"))))))</f>
        <v/>
      </c>
      <c r="N175" s="40" t="str">
        <f aca="false">IF(AND(C175&lt;&gt;"",H175&lt;&gt;"Done",G175&lt;&gt;""),G175+ROW()/100000,"")</f>
        <v/>
      </c>
      <c r="O175" s="37" t="str">
        <f aca="false">IF(AND(A175&lt;&gt;"",A175='Project Summary'!$C$3,H175&lt;&gt;"Done",C175&lt;&gt;""),COUNTIFS($A$2:$A175,'Project Summary'!$C$3,$H$2:$H175,"&lt;&gt;Done",$C$2:$C175,"&lt;&gt;"),"")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2"/>
      <c r="G176" s="35"/>
      <c r="H176" s="32"/>
      <c r="I176" s="35"/>
      <c r="J176" s="35"/>
      <c r="K176" s="32"/>
      <c r="L176" s="33"/>
      <c r="M176" s="37" t="str">
        <f aca="true">IF(C176="","",IF(OR(H176="Done"),"Done",IF(G176="","No Due Date",IF(G176&lt;TODAY(),"Overdue",IF(G176=TODAY(),"Due Today",IF(G176&lt;TODAY()+7,"Due This Week","Later"))))))</f>
        <v/>
      </c>
      <c r="N176" s="40" t="str">
        <f aca="false">IF(AND(C176&lt;&gt;"",H176&lt;&gt;"Done",G176&lt;&gt;""),G176+ROW()/100000,"")</f>
        <v/>
      </c>
      <c r="O176" s="37" t="str">
        <f aca="false">IF(AND(A176&lt;&gt;"",A176='Project Summary'!$C$3,H176&lt;&gt;"Done",C176&lt;&gt;""),COUNTIFS($A$2:$A176,'Project Summary'!$C$3,$H$2:$H176,"&lt;&gt;Done",$C$2:$C176,"&lt;&gt;"),"")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2"/>
      <c r="G177" s="35"/>
      <c r="H177" s="32"/>
      <c r="I177" s="35"/>
      <c r="J177" s="35"/>
      <c r="K177" s="32"/>
      <c r="L177" s="33"/>
      <c r="M177" s="37" t="str">
        <f aca="true">IF(C177="","",IF(OR(H177="Done"),"Done",IF(G177="","No Due Date",IF(G177&lt;TODAY(),"Overdue",IF(G177=TODAY(),"Due Today",IF(G177&lt;TODAY()+7,"Due This Week","Later"))))))</f>
        <v/>
      </c>
      <c r="N177" s="40" t="str">
        <f aca="false">IF(AND(C177&lt;&gt;"",H177&lt;&gt;"Done",G177&lt;&gt;""),G177+ROW()/100000,"")</f>
        <v/>
      </c>
      <c r="O177" s="37" t="str">
        <f aca="false">IF(AND(A177&lt;&gt;"",A177='Project Summary'!$C$3,H177&lt;&gt;"Done",C177&lt;&gt;""),COUNTIFS($A$2:$A177,'Project Summary'!$C$3,$H$2:$H177,"&lt;&gt;Done",$C$2:$C177,"&lt;&gt;"),"")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2"/>
      <c r="G178" s="35"/>
      <c r="H178" s="32"/>
      <c r="I178" s="35"/>
      <c r="J178" s="35"/>
      <c r="K178" s="32"/>
      <c r="L178" s="33"/>
      <c r="M178" s="37" t="str">
        <f aca="true">IF(C178="","",IF(OR(H178="Done"),"Done",IF(G178="","No Due Date",IF(G178&lt;TODAY(),"Overdue",IF(G178=TODAY(),"Due Today",IF(G178&lt;TODAY()+7,"Due This Week","Later"))))))</f>
        <v/>
      </c>
      <c r="N178" s="40" t="str">
        <f aca="false">IF(AND(C178&lt;&gt;"",H178&lt;&gt;"Done",G178&lt;&gt;""),G178+ROW()/100000,"")</f>
        <v/>
      </c>
      <c r="O178" s="37" t="str">
        <f aca="false">IF(AND(A178&lt;&gt;"",A178='Project Summary'!$C$3,H178&lt;&gt;"Done",C178&lt;&gt;""),COUNTIFS($A$2:$A178,'Project Summary'!$C$3,$H$2:$H178,"&lt;&gt;Done",$C$2:$C178,"&lt;&gt;"),"")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2"/>
      <c r="G179" s="35"/>
      <c r="H179" s="32"/>
      <c r="I179" s="35"/>
      <c r="J179" s="35"/>
      <c r="K179" s="32"/>
      <c r="L179" s="33"/>
      <c r="M179" s="37" t="str">
        <f aca="true">IF(C179="","",IF(OR(H179="Done"),"Done",IF(G179="","No Due Date",IF(G179&lt;TODAY(),"Overdue",IF(G179=TODAY(),"Due Today",IF(G179&lt;TODAY()+7,"Due This Week","Later"))))))</f>
        <v/>
      </c>
      <c r="N179" s="40" t="str">
        <f aca="false">IF(AND(C179&lt;&gt;"",H179&lt;&gt;"Done",G179&lt;&gt;""),G179+ROW()/100000,"")</f>
        <v/>
      </c>
      <c r="O179" s="37" t="str">
        <f aca="false">IF(AND(A179&lt;&gt;"",A179='Project Summary'!$C$3,H179&lt;&gt;"Done",C179&lt;&gt;""),COUNTIFS($A$2:$A179,'Project Summary'!$C$3,$H$2:$H179,"&lt;&gt;Done",$C$2:$C179,"&lt;&gt;"),"")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2"/>
      <c r="G180" s="35"/>
      <c r="H180" s="32"/>
      <c r="I180" s="35"/>
      <c r="J180" s="35"/>
      <c r="K180" s="32"/>
      <c r="L180" s="33"/>
      <c r="M180" s="37" t="str">
        <f aca="true">IF(C180="","",IF(OR(H180="Done"),"Done",IF(G180="","No Due Date",IF(G180&lt;TODAY(),"Overdue",IF(G180=TODAY(),"Due Today",IF(G180&lt;TODAY()+7,"Due This Week","Later"))))))</f>
        <v/>
      </c>
      <c r="N180" s="40" t="str">
        <f aca="false">IF(AND(C180&lt;&gt;"",H180&lt;&gt;"Done",G180&lt;&gt;""),G180+ROW()/100000,"")</f>
        <v/>
      </c>
      <c r="O180" s="37" t="str">
        <f aca="false">IF(AND(A180&lt;&gt;"",A180='Project Summary'!$C$3,H180&lt;&gt;"Done",C180&lt;&gt;""),COUNTIFS($A$2:$A180,'Project Summary'!$C$3,$H$2:$H180,"&lt;&gt;Done",$C$2:$C180,"&lt;&gt;"),"")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2"/>
      <c r="G181" s="35"/>
      <c r="H181" s="32"/>
      <c r="I181" s="35"/>
      <c r="J181" s="35"/>
      <c r="K181" s="32"/>
      <c r="L181" s="33"/>
      <c r="M181" s="37" t="str">
        <f aca="true">IF(C181="","",IF(OR(H181="Done"),"Done",IF(G181="","No Due Date",IF(G181&lt;TODAY(),"Overdue",IF(G181=TODAY(),"Due Today",IF(G181&lt;TODAY()+7,"Due This Week","Later"))))))</f>
        <v/>
      </c>
      <c r="N181" s="40" t="str">
        <f aca="false">IF(AND(C181&lt;&gt;"",H181&lt;&gt;"Done",G181&lt;&gt;""),G181+ROW()/100000,"")</f>
        <v/>
      </c>
      <c r="O181" s="37" t="str">
        <f aca="false">IF(AND(A181&lt;&gt;"",A181='Project Summary'!$C$3,H181&lt;&gt;"Done",C181&lt;&gt;""),COUNTIFS($A$2:$A181,'Project Summary'!$C$3,$H$2:$H181,"&lt;&gt;Done",$C$2:$C181,"&lt;&gt;"),"")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2"/>
      <c r="G182" s="35"/>
      <c r="H182" s="32"/>
      <c r="I182" s="35"/>
      <c r="J182" s="35"/>
      <c r="K182" s="32"/>
      <c r="L182" s="33"/>
      <c r="M182" s="37" t="str">
        <f aca="true">IF(C182="","",IF(OR(H182="Done"),"Done",IF(G182="","No Due Date",IF(G182&lt;TODAY(),"Overdue",IF(G182=TODAY(),"Due Today",IF(G182&lt;TODAY()+7,"Due This Week","Later"))))))</f>
        <v/>
      </c>
      <c r="N182" s="40" t="str">
        <f aca="false">IF(AND(C182&lt;&gt;"",H182&lt;&gt;"Done",G182&lt;&gt;""),G182+ROW()/100000,"")</f>
        <v/>
      </c>
      <c r="O182" s="37" t="str">
        <f aca="false">IF(AND(A182&lt;&gt;"",A182='Project Summary'!$C$3,H182&lt;&gt;"Done",C182&lt;&gt;""),COUNTIFS($A$2:$A182,'Project Summary'!$C$3,$H$2:$H182,"&lt;&gt;Done",$C$2:$C182,"&lt;&gt;"),"")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2"/>
      <c r="G183" s="35"/>
      <c r="H183" s="32"/>
      <c r="I183" s="35"/>
      <c r="J183" s="35"/>
      <c r="K183" s="32"/>
      <c r="L183" s="33"/>
      <c r="M183" s="37" t="str">
        <f aca="true">IF(C183="","",IF(OR(H183="Done"),"Done",IF(G183="","No Due Date",IF(G183&lt;TODAY(),"Overdue",IF(G183=TODAY(),"Due Today",IF(G183&lt;TODAY()+7,"Due This Week","Later"))))))</f>
        <v/>
      </c>
      <c r="N183" s="40" t="str">
        <f aca="false">IF(AND(C183&lt;&gt;"",H183&lt;&gt;"Done",G183&lt;&gt;""),G183+ROW()/100000,"")</f>
        <v/>
      </c>
      <c r="O183" s="37" t="str">
        <f aca="false">IF(AND(A183&lt;&gt;"",A183='Project Summary'!$C$3,H183&lt;&gt;"Done",C183&lt;&gt;""),COUNTIFS($A$2:$A183,'Project Summary'!$C$3,$H$2:$H183,"&lt;&gt;Done",$C$2:$C183,"&lt;&gt;"),"")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2"/>
      <c r="G184" s="35"/>
      <c r="H184" s="32"/>
      <c r="I184" s="35"/>
      <c r="J184" s="35"/>
      <c r="K184" s="32"/>
      <c r="L184" s="33"/>
      <c r="M184" s="37" t="str">
        <f aca="true">IF(C184="","",IF(OR(H184="Done"),"Done",IF(G184="","No Due Date",IF(G184&lt;TODAY(),"Overdue",IF(G184=TODAY(),"Due Today",IF(G184&lt;TODAY()+7,"Due This Week","Later"))))))</f>
        <v/>
      </c>
      <c r="N184" s="40" t="str">
        <f aca="false">IF(AND(C184&lt;&gt;"",H184&lt;&gt;"Done",G184&lt;&gt;""),G184+ROW()/100000,"")</f>
        <v/>
      </c>
      <c r="O184" s="37" t="str">
        <f aca="false">IF(AND(A184&lt;&gt;"",A184='Project Summary'!$C$3,H184&lt;&gt;"Done",C184&lt;&gt;""),COUNTIFS($A$2:$A184,'Project Summary'!$C$3,$H$2:$H184,"&lt;&gt;Done",$C$2:$C184,"&lt;&gt;"),"")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2"/>
      <c r="G185" s="35"/>
      <c r="H185" s="32"/>
      <c r="I185" s="35"/>
      <c r="J185" s="35"/>
      <c r="K185" s="32"/>
      <c r="L185" s="33"/>
      <c r="M185" s="37" t="str">
        <f aca="true">IF(C185="","",IF(OR(H185="Done"),"Done",IF(G185="","No Due Date",IF(G185&lt;TODAY(),"Overdue",IF(G185=TODAY(),"Due Today",IF(G185&lt;TODAY()+7,"Due This Week","Later"))))))</f>
        <v/>
      </c>
      <c r="N185" s="40" t="str">
        <f aca="false">IF(AND(C185&lt;&gt;"",H185&lt;&gt;"Done",G185&lt;&gt;""),G185+ROW()/100000,"")</f>
        <v/>
      </c>
      <c r="O185" s="37" t="str">
        <f aca="false">IF(AND(A185&lt;&gt;"",A185='Project Summary'!$C$3,H185&lt;&gt;"Done",C185&lt;&gt;""),COUNTIFS($A$2:$A185,'Project Summary'!$C$3,$H$2:$H185,"&lt;&gt;Done",$C$2:$C185,"&lt;&gt;"),"")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2"/>
      <c r="G186" s="35"/>
      <c r="H186" s="32"/>
      <c r="I186" s="35"/>
      <c r="J186" s="35"/>
      <c r="K186" s="32"/>
      <c r="L186" s="33"/>
      <c r="M186" s="37" t="str">
        <f aca="true">IF(C186="","",IF(OR(H186="Done"),"Done",IF(G186="","No Due Date",IF(G186&lt;TODAY(),"Overdue",IF(G186=TODAY(),"Due Today",IF(G186&lt;TODAY()+7,"Due This Week","Later"))))))</f>
        <v/>
      </c>
      <c r="N186" s="40" t="str">
        <f aca="false">IF(AND(C186&lt;&gt;"",H186&lt;&gt;"Done",G186&lt;&gt;""),G186+ROW()/100000,"")</f>
        <v/>
      </c>
      <c r="O186" s="37" t="str">
        <f aca="false">IF(AND(A186&lt;&gt;"",A186='Project Summary'!$C$3,H186&lt;&gt;"Done",C186&lt;&gt;""),COUNTIFS($A$2:$A186,'Project Summary'!$C$3,$H$2:$H186,"&lt;&gt;Done",$C$2:$C186,"&lt;&gt;"),"")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2"/>
      <c r="G187" s="35"/>
      <c r="H187" s="32"/>
      <c r="I187" s="35"/>
      <c r="J187" s="35"/>
      <c r="K187" s="32"/>
      <c r="L187" s="33"/>
      <c r="M187" s="37" t="str">
        <f aca="true">IF(C187="","",IF(OR(H187="Done"),"Done",IF(G187="","No Due Date",IF(G187&lt;TODAY(),"Overdue",IF(G187=TODAY(),"Due Today",IF(G187&lt;TODAY()+7,"Due This Week","Later"))))))</f>
        <v/>
      </c>
      <c r="N187" s="40" t="str">
        <f aca="false">IF(AND(C187&lt;&gt;"",H187&lt;&gt;"Done",G187&lt;&gt;""),G187+ROW()/100000,"")</f>
        <v/>
      </c>
      <c r="O187" s="37" t="str">
        <f aca="false">IF(AND(A187&lt;&gt;"",A187='Project Summary'!$C$3,H187&lt;&gt;"Done",C187&lt;&gt;""),COUNTIFS($A$2:$A187,'Project Summary'!$C$3,$H$2:$H187,"&lt;&gt;Done",$C$2:$C187,"&lt;&gt;"),"")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2"/>
      <c r="G188" s="35"/>
      <c r="H188" s="32"/>
      <c r="I188" s="35"/>
      <c r="J188" s="35"/>
      <c r="K188" s="32"/>
      <c r="L188" s="33"/>
      <c r="M188" s="37" t="str">
        <f aca="true">IF(C188="","",IF(OR(H188="Done"),"Done",IF(G188="","No Due Date",IF(G188&lt;TODAY(),"Overdue",IF(G188=TODAY(),"Due Today",IF(G188&lt;TODAY()+7,"Due This Week","Later"))))))</f>
        <v/>
      </c>
      <c r="N188" s="40" t="str">
        <f aca="false">IF(AND(C188&lt;&gt;"",H188&lt;&gt;"Done",G188&lt;&gt;""),G188+ROW()/100000,"")</f>
        <v/>
      </c>
      <c r="O188" s="37" t="str">
        <f aca="false">IF(AND(A188&lt;&gt;"",A188='Project Summary'!$C$3,H188&lt;&gt;"Done",C188&lt;&gt;""),COUNTIFS($A$2:$A188,'Project Summary'!$C$3,$H$2:$H188,"&lt;&gt;Done",$C$2:$C188,"&lt;&gt;"),"")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2"/>
      <c r="G189" s="35"/>
      <c r="H189" s="32"/>
      <c r="I189" s="35"/>
      <c r="J189" s="35"/>
      <c r="K189" s="32"/>
      <c r="L189" s="33"/>
      <c r="M189" s="37" t="str">
        <f aca="true">IF(C189="","",IF(OR(H189="Done"),"Done",IF(G189="","No Due Date",IF(G189&lt;TODAY(),"Overdue",IF(G189=TODAY(),"Due Today",IF(G189&lt;TODAY()+7,"Due This Week","Later"))))))</f>
        <v/>
      </c>
      <c r="N189" s="40" t="str">
        <f aca="false">IF(AND(C189&lt;&gt;"",H189&lt;&gt;"Done",G189&lt;&gt;""),G189+ROW()/100000,"")</f>
        <v/>
      </c>
      <c r="O189" s="37" t="str">
        <f aca="false">IF(AND(A189&lt;&gt;"",A189='Project Summary'!$C$3,H189&lt;&gt;"Done",C189&lt;&gt;""),COUNTIFS($A$2:$A189,'Project Summary'!$C$3,$H$2:$H189,"&lt;&gt;Done",$C$2:$C189,"&lt;&gt;"),"")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2"/>
      <c r="G190" s="35"/>
      <c r="H190" s="32"/>
      <c r="I190" s="35"/>
      <c r="J190" s="35"/>
      <c r="K190" s="32"/>
      <c r="L190" s="33"/>
      <c r="M190" s="37" t="str">
        <f aca="true">IF(C190="","",IF(OR(H190="Done"),"Done",IF(G190="","No Due Date",IF(G190&lt;TODAY(),"Overdue",IF(G190=TODAY(),"Due Today",IF(G190&lt;TODAY()+7,"Due This Week","Later"))))))</f>
        <v/>
      </c>
      <c r="N190" s="40" t="str">
        <f aca="false">IF(AND(C190&lt;&gt;"",H190&lt;&gt;"Done",G190&lt;&gt;""),G190+ROW()/100000,"")</f>
        <v/>
      </c>
      <c r="O190" s="37" t="str">
        <f aca="false">IF(AND(A190&lt;&gt;"",A190='Project Summary'!$C$3,H190&lt;&gt;"Done",C190&lt;&gt;""),COUNTIFS($A$2:$A190,'Project Summary'!$C$3,$H$2:$H190,"&lt;&gt;Done",$C$2:$C190,"&lt;&gt;"),"")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2"/>
      <c r="G191" s="35"/>
      <c r="H191" s="32"/>
      <c r="I191" s="35"/>
      <c r="J191" s="35"/>
      <c r="K191" s="32"/>
      <c r="L191" s="33"/>
      <c r="M191" s="37" t="str">
        <f aca="true">IF(C191="","",IF(OR(H191="Done"),"Done",IF(G191="","No Due Date",IF(G191&lt;TODAY(),"Overdue",IF(G191=TODAY(),"Due Today",IF(G191&lt;TODAY()+7,"Due This Week","Later"))))))</f>
        <v/>
      </c>
      <c r="N191" s="40" t="str">
        <f aca="false">IF(AND(C191&lt;&gt;"",H191&lt;&gt;"Done",G191&lt;&gt;""),G191+ROW()/100000,"")</f>
        <v/>
      </c>
      <c r="O191" s="37" t="str">
        <f aca="false">IF(AND(A191&lt;&gt;"",A191='Project Summary'!$C$3,H191&lt;&gt;"Done",C191&lt;&gt;""),COUNTIFS($A$2:$A191,'Project Summary'!$C$3,$H$2:$H191,"&lt;&gt;Done",$C$2:$C191,"&lt;&gt;"),"")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2"/>
      <c r="G192" s="35"/>
      <c r="H192" s="32"/>
      <c r="I192" s="35"/>
      <c r="J192" s="35"/>
      <c r="K192" s="32"/>
      <c r="L192" s="33"/>
      <c r="M192" s="37" t="str">
        <f aca="true">IF(C192="","",IF(OR(H192="Done"),"Done",IF(G192="","No Due Date",IF(G192&lt;TODAY(),"Overdue",IF(G192=TODAY(),"Due Today",IF(G192&lt;TODAY()+7,"Due This Week","Later"))))))</f>
        <v/>
      </c>
      <c r="N192" s="40" t="str">
        <f aca="false">IF(AND(C192&lt;&gt;"",H192&lt;&gt;"Done",G192&lt;&gt;""),G192+ROW()/100000,"")</f>
        <v/>
      </c>
      <c r="O192" s="37" t="str">
        <f aca="false">IF(AND(A192&lt;&gt;"",A192='Project Summary'!$C$3,H192&lt;&gt;"Done",C192&lt;&gt;""),COUNTIFS($A$2:$A192,'Project Summary'!$C$3,$H$2:$H192,"&lt;&gt;Done",$C$2:$C192,"&lt;&gt;"),"")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2"/>
      <c r="G193" s="35"/>
      <c r="H193" s="32"/>
      <c r="I193" s="35"/>
      <c r="J193" s="35"/>
      <c r="K193" s="32"/>
      <c r="L193" s="33"/>
      <c r="M193" s="37" t="str">
        <f aca="true">IF(C193="","",IF(OR(H193="Done"),"Done",IF(G193="","No Due Date",IF(G193&lt;TODAY(),"Overdue",IF(G193=TODAY(),"Due Today",IF(G193&lt;TODAY()+7,"Due This Week","Later"))))))</f>
        <v/>
      </c>
      <c r="N193" s="40" t="str">
        <f aca="false">IF(AND(C193&lt;&gt;"",H193&lt;&gt;"Done",G193&lt;&gt;""),G193+ROW()/100000,"")</f>
        <v/>
      </c>
      <c r="O193" s="37" t="str">
        <f aca="false">IF(AND(A193&lt;&gt;"",A193='Project Summary'!$C$3,H193&lt;&gt;"Done",C193&lt;&gt;""),COUNTIFS($A$2:$A193,'Project Summary'!$C$3,$H$2:$H193,"&lt;&gt;Done",$C$2:$C193,"&lt;&gt;"),"")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2"/>
      <c r="G194" s="35"/>
      <c r="H194" s="32"/>
      <c r="I194" s="35"/>
      <c r="J194" s="35"/>
      <c r="K194" s="32"/>
      <c r="L194" s="33"/>
      <c r="M194" s="37" t="str">
        <f aca="true">IF(C194="","",IF(OR(H194="Done"),"Done",IF(G194="","No Due Date",IF(G194&lt;TODAY(),"Overdue",IF(G194=TODAY(),"Due Today",IF(G194&lt;TODAY()+7,"Due This Week","Later"))))))</f>
        <v/>
      </c>
      <c r="N194" s="40" t="str">
        <f aca="false">IF(AND(C194&lt;&gt;"",H194&lt;&gt;"Done",G194&lt;&gt;""),G194+ROW()/100000,"")</f>
        <v/>
      </c>
      <c r="O194" s="37" t="str">
        <f aca="false">IF(AND(A194&lt;&gt;"",A194='Project Summary'!$C$3,H194&lt;&gt;"Done",C194&lt;&gt;""),COUNTIFS($A$2:$A194,'Project Summary'!$C$3,$H$2:$H194,"&lt;&gt;Done",$C$2:$C194,"&lt;&gt;"),"")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2"/>
      <c r="G195" s="35"/>
      <c r="H195" s="32"/>
      <c r="I195" s="35"/>
      <c r="J195" s="35"/>
      <c r="K195" s="32"/>
      <c r="L195" s="33"/>
      <c r="M195" s="37" t="str">
        <f aca="true">IF(C195="","",IF(OR(H195="Done"),"Done",IF(G195="","No Due Date",IF(G195&lt;TODAY(),"Overdue",IF(G195=TODAY(),"Due Today",IF(G195&lt;TODAY()+7,"Due This Week","Later"))))))</f>
        <v/>
      </c>
      <c r="N195" s="40" t="str">
        <f aca="false">IF(AND(C195&lt;&gt;"",H195&lt;&gt;"Done",G195&lt;&gt;""),G195+ROW()/100000,"")</f>
        <v/>
      </c>
      <c r="O195" s="37" t="str">
        <f aca="false">IF(AND(A195&lt;&gt;"",A195='Project Summary'!$C$3,H195&lt;&gt;"Done",C195&lt;&gt;""),COUNTIFS($A$2:$A195,'Project Summary'!$C$3,$H$2:$H195,"&lt;&gt;Done",$C$2:$C195,"&lt;&gt;"),"")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2"/>
      <c r="G196" s="35"/>
      <c r="H196" s="32"/>
      <c r="I196" s="35"/>
      <c r="J196" s="35"/>
      <c r="K196" s="32"/>
      <c r="L196" s="33"/>
      <c r="M196" s="37" t="str">
        <f aca="true">IF(C196="","",IF(OR(H196="Done"),"Done",IF(G196="","No Due Date",IF(G196&lt;TODAY(),"Overdue",IF(G196=TODAY(),"Due Today",IF(G196&lt;TODAY()+7,"Due This Week","Later"))))))</f>
        <v/>
      </c>
      <c r="N196" s="40" t="str">
        <f aca="false">IF(AND(C196&lt;&gt;"",H196&lt;&gt;"Done",G196&lt;&gt;""),G196+ROW()/100000,"")</f>
        <v/>
      </c>
      <c r="O196" s="37" t="str">
        <f aca="false">IF(AND(A196&lt;&gt;"",A196='Project Summary'!$C$3,H196&lt;&gt;"Done",C196&lt;&gt;""),COUNTIFS($A$2:$A196,'Project Summary'!$C$3,$H$2:$H196,"&lt;&gt;Done",$C$2:$C196,"&lt;&gt;"),"")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2"/>
      <c r="G197" s="35"/>
      <c r="H197" s="32"/>
      <c r="I197" s="35"/>
      <c r="J197" s="35"/>
      <c r="K197" s="32"/>
      <c r="L197" s="33"/>
      <c r="M197" s="37" t="str">
        <f aca="true">IF(C197="","",IF(OR(H197="Done"),"Done",IF(G197="","No Due Date",IF(G197&lt;TODAY(),"Overdue",IF(G197=TODAY(),"Due Today",IF(G197&lt;TODAY()+7,"Due This Week","Later"))))))</f>
        <v/>
      </c>
      <c r="N197" s="40" t="str">
        <f aca="false">IF(AND(C197&lt;&gt;"",H197&lt;&gt;"Done",G197&lt;&gt;""),G197+ROW()/100000,"")</f>
        <v/>
      </c>
      <c r="O197" s="37" t="str">
        <f aca="false">IF(AND(A197&lt;&gt;"",A197='Project Summary'!$C$3,H197&lt;&gt;"Done",C197&lt;&gt;""),COUNTIFS($A$2:$A197,'Project Summary'!$C$3,$H$2:$H197,"&lt;&gt;Done",$C$2:$C197,"&lt;&gt;"),"")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2"/>
      <c r="G198" s="35"/>
      <c r="H198" s="32"/>
      <c r="I198" s="35"/>
      <c r="J198" s="35"/>
      <c r="K198" s="32"/>
      <c r="L198" s="33"/>
      <c r="M198" s="37" t="str">
        <f aca="true">IF(C198="","",IF(OR(H198="Done"),"Done",IF(G198="","No Due Date",IF(G198&lt;TODAY(),"Overdue",IF(G198=TODAY(),"Due Today",IF(G198&lt;TODAY()+7,"Due This Week","Later"))))))</f>
        <v/>
      </c>
      <c r="N198" s="40" t="str">
        <f aca="false">IF(AND(C198&lt;&gt;"",H198&lt;&gt;"Done",G198&lt;&gt;""),G198+ROW()/100000,"")</f>
        <v/>
      </c>
      <c r="O198" s="37" t="str">
        <f aca="false">IF(AND(A198&lt;&gt;"",A198='Project Summary'!$C$3,H198&lt;&gt;"Done",C198&lt;&gt;""),COUNTIFS($A$2:$A198,'Project Summary'!$C$3,$H$2:$H198,"&lt;&gt;Done",$C$2:$C198,"&lt;&gt;"),"")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2"/>
      <c r="G199" s="35"/>
      <c r="H199" s="32"/>
      <c r="I199" s="35"/>
      <c r="J199" s="35"/>
      <c r="K199" s="32"/>
      <c r="L199" s="33"/>
      <c r="M199" s="37" t="str">
        <f aca="true">IF(C199="","",IF(OR(H199="Done"),"Done",IF(G199="","No Due Date",IF(G199&lt;TODAY(),"Overdue",IF(G199=TODAY(),"Due Today",IF(G199&lt;TODAY()+7,"Due This Week","Later"))))))</f>
        <v/>
      </c>
      <c r="N199" s="40" t="str">
        <f aca="false">IF(AND(C199&lt;&gt;"",H199&lt;&gt;"Done",G199&lt;&gt;""),G199+ROW()/100000,"")</f>
        <v/>
      </c>
      <c r="O199" s="37" t="str">
        <f aca="false">IF(AND(A199&lt;&gt;"",A199='Project Summary'!$C$3,H199&lt;&gt;"Done",C199&lt;&gt;""),COUNTIFS($A$2:$A199,'Project Summary'!$C$3,$H$2:$H199,"&lt;&gt;Done",$C$2:$C199,"&lt;&gt;"),"")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2"/>
      <c r="G200" s="35"/>
      <c r="H200" s="32"/>
      <c r="I200" s="35"/>
      <c r="J200" s="35"/>
      <c r="K200" s="32"/>
      <c r="L200" s="33"/>
      <c r="M200" s="37" t="str">
        <f aca="true">IF(C200="","",IF(OR(H200="Done"),"Done",IF(G200="","No Due Date",IF(G200&lt;TODAY(),"Overdue",IF(G200=TODAY(),"Due Today",IF(G200&lt;TODAY()+7,"Due This Week","Later"))))))</f>
        <v/>
      </c>
      <c r="N200" s="40" t="str">
        <f aca="false">IF(AND(C200&lt;&gt;"",H200&lt;&gt;"Done",G200&lt;&gt;""),G200+ROW()/100000,"")</f>
        <v/>
      </c>
      <c r="O200" s="37" t="str">
        <f aca="false">IF(AND(A200&lt;&gt;"",A200='Project Summary'!$C$3,H200&lt;&gt;"Done",C200&lt;&gt;""),COUNTIFS($A$2:$A200,'Project Summary'!$C$3,$H$2:$H200,"&lt;&gt;Done",$C$2:$C200,"&lt;&gt;"),"")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2"/>
      <c r="G201" s="35"/>
      <c r="H201" s="32"/>
      <c r="I201" s="35"/>
      <c r="J201" s="35"/>
      <c r="K201" s="32"/>
      <c r="L201" s="33"/>
      <c r="M201" s="37" t="str">
        <f aca="true">IF(C201="","",IF(OR(H201="Done"),"Done",IF(G201="","No Due Date",IF(G201&lt;TODAY(),"Overdue",IF(G201=TODAY(),"Due Today",IF(G201&lt;TODAY()+7,"Due This Week","Later"))))))</f>
        <v/>
      </c>
      <c r="N201" s="40" t="str">
        <f aca="false">IF(AND(C201&lt;&gt;"",H201&lt;&gt;"Done",G201&lt;&gt;""),G201+ROW()/100000,"")</f>
        <v/>
      </c>
      <c r="O201" s="37" t="str">
        <f aca="false">IF(AND(A201&lt;&gt;"",A201='Project Summary'!$C$3,H201&lt;&gt;"Done",C201&lt;&gt;""),COUNTIFS($A$2:$A201,'Project Summary'!$C$3,$H$2:$H201,"&lt;&gt;Done",$C$2:$C201,"&lt;&gt;"),"")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2"/>
      <c r="G202" s="35"/>
      <c r="H202" s="32"/>
      <c r="I202" s="35"/>
      <c r="J202" s="35"/>
      <c r="K202" s="32"/>
      <c r="L202" s="33"/>
      <c r="M202" s="37" t="str">
        <f aca="true">IF(C202="","",IF(OR(H202="Done"),"Done",IF(G202="","No Due Date",IF(G202&lt;TODAY(),"Overdue",IF(G202=TODAY(),"Due Today",IF(G202&lt;TODAY()+7,"Due This Week","Later"))))))</f>
        <v/>
      </c>
      <c r="N202" s="40" t="str">
        <f aca="false">IF(AND(C202&lt;&gt;"",H202&lt;&gt;"Done",G202&lt;&gt;""),G202+ROW()/100000,"")</f>
        <v/>
      </c>
      <c r="O202" s="37" t="str">
        <f aca="false">IF(AND(A202&lt;&gt;"",A202='Project Summary'!$C$3,H202&lt;&gt;"Done",C202&lt;&gt;""),COUNTIFS($A$2:$A202,'Project Summary'!$C$3,$H$2:$H202,"&lt;&gt;Done",$C$2:$C202,"&lt;&gt;"),"")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2"/>
      <c r="G203" s="35"/>
      <c r="H203" s="32"/>
      <c r="I203" s="35"/>
      <c r="J203" s="35"/>
      <c r="K203" s="32"/>
      <c r="L203" s="33"/>
      <c r="M203" s="37" t="str">
        <f aca="true">IF(C203="","",IF(OR(H203="Done"),"Done",IF(G203="","No Due Date",IF(G203&lt;TODAY(),"Overdue",IF(G203=TODAY(),"Due Today",IF(G203&lt;TODAY()+7,"Due This Week","Later"))))))</f>
        <v/>
      </c>
      <c r="N203" s="40" t="str">
        <f aca="false">IF(AND(C203&lt;&gt;"",H203&lt;&gt;"Done",G203&lt;&gt;""),G203+ROW()/100000,"")</f>
        <v/>
      </c>
      <c r="O203" s="37" t="str">
        <f aca="false">IF(AND(A203&lt;&gt;"",A203='Project Summary'!$C$3,H203&lt;&gt;"Done",C203&lt;&gt;""),COUNTIFS($A$2:$A203,'Project Summary'!$C$3,$H$2:$H203,"&lt;&gt;Done",$C$2:$C203,"&lt;&gt;"),"")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2"/>
      <c r="G204" s="35"/>
      <c r="H204" s="32"/>
      <c r="I204" s="35"/>
      <c r="J204" s="35"/>
      <c r="K204" s="32"/>
      <c r="L204" s="33"/>
      <c r="M204" s="37" t="str">
        <f aca="true">IF(C204="","",IF(OR(H204="Done"),"Done",IF(G204="","No Due Date",IF(G204&lt;TODAY(),"Overdue",IF(G204=TODAY(),"Due Today",IF(G204&lt;TODAY()+7,"Due This Week","Later"))))))</f>
        <v/>
      </c>
      <c r="N204" s="40" t="str">
        <f aca="false">IF(AND(C204&lt;&gt;"",H204&lt;&gt;"Done",G204&lt;&gt;""),G204+ROW()/100000,"")</f>
        <v/>
      </c>
      <c r="O204" s="37" t="str">
        <f aca="false">IF(AND(A204&lt;&gt;"",A204='Project Summary'!$C$3,H204&lt;&gt;"Done",C204&lt;&gt;""),COUNTIFS($A$2:$A204,'Project Summary'!$C$3,$H$2:$H204,"&lt;&gt;Done",$C$2:$C204,"&lt;&gt;"),"")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2"/>
      <c r="G205" s="35"/>
      <c r="H205" s="32"/>
      <c r="I205" s="35"/>
      <c r="J205" s="35"/>
      <c r="K205" s="32"/>
      <c r="L205" s="33"/>
      <c r="M205" s="37" t="str">
        <f aca="true">IF(C205="","",IF(OR(H205="Done"),"Done",IF(G205="","No Due Date",IF(G205&lt;TODAY(),"Overdue",IF(G205=TODAY(),"Due Today",IF(G205&lt;TODAY()+7,"Due This Week","Later"))))))</f>
        <v/>
      </c>
      <c r="N205" s="40" t="str">
        <f aca="false">IF(AND(C205&lt;&gt;"",H205&lt;&gt;"Done",G205&lt;&gt;""),G205+ROW()/100000,"")</f>
        <v/>
      </c>
      <c r="O205" s="37" t="str">
        <f aca="false">IF(AND(A205&lt;&gt;"",A205='Project Summary'!$C$3,H205&lt;&gt;"Done",C205&lt;&gt;""),COUNTIFS($A$2:$A205,'Project Summary'!$C$3,$H$2:$H205,"&lt;&gt;Done",$C$2:$C205,"&lt;&gt;"),"")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2"/>
      <c r="G206" s="35"/>
      <c r="H206" s="32"/>
      <c r="I206" s="35"/>
      <c r="J206" s="35"/>
      <c r="K206" s="32"/>
      <c r="L206" s="33"/>
      <c r="M206" s="37" t="str">
        <f aca="true">IF(C206="","",IF(OR(H206="Done"),"Done",IF(G206="","No Due Date",IF(G206&lt;TODAY(),"Overdue",IF(G206=TODAY(),"Due Today",IF(G206&lt;TODAY()+7,"Due This Week","Later"))))))</f>
        <v/>
      </c>
      <c r="N206" s="40" t="str">
        <f aca="false">IF(AND(C206&lt;&gt;"",H206&lt;&gt;"Done",G206&lt;&gt;""),G206+ROW()/100000,"")</f>
        <v/>
      </c>
      <c r="O206" s="37" t="str">
        <f aca="false">IF(AND(A206&lt;&gt;"",A206='Project Summary'!$C$3,H206&lt;&gt;"Done",C206&lt;&gt;""),COUNTIFS($A$2:$A206,'Project Summary'!$C$3,$H$2:$H206,"&lt;&gt;Done",$C$2:$C206,"&lt;&gt;"),"")</f>
        <v/>
      </c>
    </row>
    <row r="207" customFormat="false" ht="15" hidden="false" customHeight="false" outlineLevel="0" collapsed="false">
      <c r="A207" s="32"/>
      <c r="B207" s="32"/>
      <c r="C207" s="32"/>
      <c r="D207" s="33"/>
      <c r="E207" s="32"/>
      <c r="F207" s="32"/>
      <c r="G207" s="35"/>
      <c r="H207" s="32"/>
      <c r="I207" s="35"/>
      <c r="J207" s="35"/>
      <c r="K207" s="32"/>
      <c r="L207" s="33"/>
      <c r="M207" s="37" t="str">
        <f aca="true">IF(C207="","",IF(OR(H207="Done"),"Done",IF(G207="","No Due Date",IF(G207&lt;TODAY(),"Overdue",IF(G207=TODAY(),"Due Today",IF(G207&lt;TODAY()+7,"Due This Week","Later"))))))</f>
        <v/>
      </c>
      <c r="N207" s="40" t="str">
        <f aca="false">IF(AND(C207&lt;&gt;"",H207&lt;&gt;"Done",G207&lt;&gt;""),G207+ROW()/100000,"")</f>
        <v/>
      </c>
      <c r="O207" s="37" t="str">
        <f aca="false">IF(AND(A207&lt;&gt;"",A207='Project Summary'!$C$3,H207&lt;&gt;"Done",C207&lt;&gt;""),COUNTIFS($A$2:$A207,'Project Summary'!$C$3,$H$2:$H207,"&lt;&gt;Done",$C$2:$C207,"&lt;&gt;"),"")</f>
        <v/>
      </c>
    </row>
    <row r="208" customFormat="false" ht="15" hidden="false" customHeight="false" outlineLevel="0" collapsed="false">
      <c r="A208" s="32"/>
      <c r="B208" s="32"/>
      <c r="C208" s="32"/>
      <c r="D208" s="33"/>
      <c r="E208" s="32"/>
      <c r="F208" s="32"/>
      <c r="G208" s="35"/>
      <c r="H208" s="32"/>
      <c r="I208" s="35"/>
      <c r="J208" s="35"/>
      <c r="K208" s="32"/>
      <c r="L208" s="33"/>
      <c r="M208" s="37" t="str">
        <f aca="true">IF(C208="","",IF(OR(H208="Done"),"Done",IF(G208="","No Due Date",IF(G208&lt;TODAY(),"Overdue",IF(G208=TODAY(),"Due Today",IF(G208&lt;TODAY()+7,"Due This Week","Later"))))))</f>
        <v/>
      </c>
      <c r="N208" s="40" t="str">
        <f aca="false">IF(AND(C208&lt;&gt;"",H208&lt;&gt;"Done",G208&lt;&gt;""),G208+ROW()/100000,"")</f>
        <v/>
      </c>
      <c r="O208" s="37" t="str">
        <f aca="false">IF(AND(A208&lt;&gt;"",A208='Project Summary'!$C$3,H208&lt;&gt;"Done",C208&lt;&gt;""),COUNTIFS($A$2:$A208,'Project Summary'!$C$3,$H$2:$H208,"&lt;&gt;Done",$C$2:$C208,"&lt;&gt;"),"")</f>
        <v/>
      </c>
    </row>
    <row r="209" customFormat="false" ht="15" hidden="false" customHeight="false" outlineLevel="0" collapsed="false">
      <c r="A209" s="32"/>
      <c r="B209" s="32"/>
      <c r="C209" s="32"/>
      <c r="D209" s="33"/>
      <c r="E209" s="32"/>
      <c r="F209" s="32"/>
      <c r="G209" s="35"/>
      <c r="H209" s="32"/>
      <c r="I209" s="35"/>
      <c r="J209" s="35"/>
      <c r="K209" s="32"/>
      <c r="L209" s="33"/>
      <c r="M209" s="37" t="str">
        <f aca="true">IF(C209="","",IF(OR(H209="Done"),"Done",IF(G209="","No Due Date",IF(G209&lt;TODAY(),"Overdue",IF(G209=TODAY(),"Due Today",IF(G209&lt;TODAY()+7,"Due This Week","Later"))))))</f>
        <v/>
      </c>
      <c r="N209" s="40" t="str">
        <f aca="false">IF(AND(C209&lt;&gt;"",H209&lt;&gt;"Done",G209&lt;&gt;""),G209+ROW()/100000,"")</f>
        <v/>
      </c>
      <c r="O209" s="37" t="str">
        <f aca="false">IF(AND(A209&lt;&gt;"",A209='Project Summary'!$C$3,H209&lt;&gt;"Done",C209&lt;&gt;""),COUNTIFS($A$2:$A209,'Project Summary'!$C$3,$H$2:$H209,"&lt;&gt;Done",$C$2:$C209,"&lt;&gt;"),"")</f>
        <v/>
      </c>
    </row>
    <row r="210" customFormat="false" ht="15" hidden="false" customHeight="false" outlineLevel="0" collapsed="false">
      <c r="A210" s="32"/>
      <c r="B210" s="32"/>
      <c r="C210" s="32"/>
      <c r="D210" s="33"/>
      <c r="E210" s="32"/>
      <c r="F210" s="32"/>
      <c r="G210" s="35"/>
      <c r="H210" s="32"/>
      <c r="I210" s="35"/>
      <c r="J210" s="35"/>
      <c r="K210" s="32"/>
      <c r="L210" s="33"/>
      <c r="M210" s="37" t="str">
        <f aca="true">IF(C210="","",IF(OR(H210="Done"),"Done",IF(G210="","No Due Date",IF(G210&lt;TODAY(),"Overdue",IF(G210=TODAY(),"Due Today",IF(G210&lt;TODAY()+7,"Due This Week","Later"))))))</f>
        <v/>
      </c>
      <c r="N210" s="40" t="str">
        <f aca="false">IF(AND(C210&lt;&gt;"",H210&lt;&gt;"Done",G210&lt;&gt;""),G210+ROW()/100000,"")</f>
        <v/>
      </c>
      <c r="O210" s="37" t="str">
        <f aca="false">IF(AND(A210&lt;&gt;"",A210='Project Summary'!$C$3,H210&lt;&gt;"Done",C210&lt;&gt;""),COUNTIFS($A$2:$A210,'Project Summary'!$C$3,$H$2:$H210,"&lt;&gt;Done",$C$2:$C210,"&lt;&gt;"),"")</f>
        <v/>
      </c>
    </row>
    <row r="211" customFormat="false" ht="15" hidden="false" customHeight="false" outlineLevel="0" collapsed="false">
      <c r="A211" s="32"/>
      <c r="B211" s="32"/>
      <c r="C211" s="32"/>
      <c r="D211" s="33"/>
      <c r="E211" s="32"/>
      <c r="F211" s="32"/>
      <c r="G211" s="35"/>
      <c r="H211" s="32"/>
      <c r="I211" s="35"/>
      <c r="J211" s="35"/>
      <c r="K211" s="32"/>
      <c r="L211" s="33"/>
      <c r="M211" s="37" t="str">
        <f aca="true">IF(C211="","",IF(OR(H211="Done"),"Done",IF(G211="","No Due Date",IF(G211&lt;TODAY(),"Overdue",IF(G211=TODAY(),"Due Today",IF(G211&lt;TODAY()+7,"Due This Week","Later"))))))</f>
        <v/>
      </c>
      <c r="N211" s="40" t="str">
        <f aca="false">IF(AND(C211&lt;&gt;"",H211&lt;&gt;"Done",G211&lt;&gt;""),G211+ROW()/100000,"")</f>
        <v/>
      </c>
      <c r="O211" s="37" t="str">
        <f aca="false">IF(AND(A211&lt;&gt;"",A211='Project Summary'!$C$3,H211&lt;&gt;"Done",C211&lt;&gt;""),COUNTIFS($A$2:$A211,'Project Summary'!$C$3,$H$2:$H211,"&lt;&gt;Done",$C$2:$C211,"&lt;&gt;"),"")</f>
        <v/>
      </c>
    </row>
    <row r="212" customFormat="false" ht="15" hidden="false" customHeight="false" outlineLevel="0" collapsed="false">
      <c r="A212" s="32"/>
      <c r="B212" s="32"/>
      <c r="C212" s="32"/>
      <c r="D212" s="33"/>
      <c r="E212" s="32"/>
      <c r="F212" s="32"/>
      <c r="G212" s="35"/>
      <c r="H212" s="32"/>
      <c r="I212" s="35"/>
      <c r="J212" s="35"/>
      <c r="K212" s="32"/>
      <c r="L212" s="33"/>
      <c r="M212" s="37" t="str">
        <f aca="true">IF(C212="","",IF(OR(H212="Done"),"Done",IF(G212="","No Due Date",IF(G212&lt;TODAY(),"Overdue",IF(G212=TODAY(),"Due Today",IF(G212&lt;TODAY()+7,"Due This Week","Later"))))))</f>
        <v/>
      </c>
      <c r="N212" s="40" t="str">
        <f aca="false">IF(AND(C212&lt;&gt;"",H212&lt;&gt;"Done",G212&lt;&gt;""),G212+ROW()/100000,"")</f>
        <v/>
      </c>
      <c r="O212" s="37" t="str">
        <f aca="false">IF(AND(A212&lt;&gt;"",A212='Project Summary'!$C$3,H212&lt;&gt;"Done",C212&lt;&gt;""),COUNTIFS($A$2:$A212,'Project Summary'!$C$3,$H$2:$H212,"&lt;&gt;Done",$C$2:$C212,"&lt;&gt;"),"")</f>
        <v/>
      </c>
    </row>
    <row r="213" customFormat="false" ht="15" hidden="false" customHeight="false" outlineLevel="0" collapsed="false">
      <c r="A213" s="32"/>
      <c r="B213" s="32"/>
      <c r="C213" s="32"/>
      <c r="D213" s="33"/>
      <c r="E213" s="32"/>
      <c r="F213" s="32"/>
      <c r="G213" s="35"/>
      <c r="H213" s="32"/>
      <c r="I213" s="35"/>
      <c r="J213" s="35"/>
      <c r="K213" s="32"/>
      <c r="L213" s="33"/>
      <c r="M213" s="37" t="str">
        <f aca="true">IF(C213="","",IF(OR(H213="Done"),"Done",IF(G213="","No Due Date",IF(G213&lt;TODAY(),"Overdue",IF(G213=TODAY(),"Due Today",IF(G213&lt;TODAY()+7,"Due This Week","Later"))))))</f>
        <v/>
      </c>
      <c r="N213" s="40" t="str">
        <f aca="false">IF(AND(C213&lt;&gt;"",H213&lt;&gt;"Done",G213&lt;&gt;""),G213+ROW()/100000,"")</f>
        <v/>
      </c>
      <c r="O213" s="37" t="str">
        <f aca="false">IF(AND(A213&lt;&gt;"",A213='Project Summary'!$C$3,H213&lt;&gt;"Done",C213&lt;&gt;""),COUNTIFS($A$2:$A213,'Project Summary'!$C$3,$H$2:$H213,"&lt;&gt;Done",$C$2:$C213,"&lt;&gt;"),"")</f>
        <v/>
      </c>
    </row>
    <row r="214" customFormat="false" ht="15" hidden="false" customHeight="false" outlineLevel="0" collapsed="false">
      <c r="A214" s="32"/>
      <c r="B214" s="32"/>
      <c r="C214" s="32"/>
      <c r="D214" s="33"/>
      <c r="E214" s="32"/>
      <c r="F214" s="32"/>
      <c r="G214" s="35"/>
      <c r="H214" s="32"/>
      <c r="I214" s="35"/>
      <c r="J214" s="35"/>
      <c r="K214" s="32"/>
      <c r="L214" s="33"/>
      <c r="M214" s="37" t="str">
        <f aca="true">IF(C214="","",IF(OR(H214="Done"),"Done",IF(G214="","No Due Date",IF(G214&lt;TODAY(),"Overdue",IF(G214=TODAY(),"Due Today",IF(G214&lt;TODAY()+7,"Due This Week","Later"))))))</f>
        <v/>
      </c>
      <c r="N214" s="40" t="str">
        <f aca="false">IF(AND(C214&lt;&gt;"",H214&lt;&gt;"Done",G214&lt;&gt;""),G214+ROW()/100000,"")</f>
        <v/>
      </c>
      <c r="O214" s="37" t="str">
        <f aca="false">IF(AND(A214&lt;&gt;"",A214='Project Summary'!$C$3,H214&lt;&gt;"Done",C214&lt;&gt;""),COUNTIFS($A$2:$A214,'Project Summary'!$C$3,$H$2:$H214,"&lt;&gt;Done",$C$2:$C214,"&lt;&gt;"),"")</f>
        <v/>
      </c>
    </row>
    <row r="215" customFormat="false" ht="15" hidden="false" customHeight="false" outlineLevel="0" collapsed="false">
      <c r="A215" s="32"/>
      <c r="B215" s="32"/>
      <c r="C215" s="32"/>
      <c r="D215" s="33"/>
      <c r="E215" s="32"/>
      <c r="F215" s="32"/>
      <c r="G215" s="35"/>
      <c r="H215" s="32"/>
      <c r="I215" s="35"/>
      <c r="J215" s="35"/>
      <c r="K215" s="32"/>
      <c r="L215" s="33"/>
      <c r="M215" s="37" t="str">
        <f aca="true">IF(C215="","",IF(OR(H215="Done"),"Done",IF(G215="","No Due Date",IF(G215&lt;TODAY(),"Overdue",IF(G215=TODAY(),"Due Today",IF(G215&lt;TODAY()+7,"Due This Week","Later"))))))</f>
        <v/>
      </c>
      <c r="N215" s="40" t="str">
        <f aca="false">IF(AND(C215&lt;&gt;"",H215&lt;&gt;"Done",G215&lt;&gt;""),G215+ROW()/100000,"")</f>
        <v/>
      </c>
      <c r="O215" s="37" t="str">
        <f aca="false">IF(AND(A215&lt;&gt;"",A215='Project Summary'!$C$3,H215&lt;&gt;"Done",C215&lt;&gt;""),COUNTIFS($A$2:$A215,'Project Summary'!$C$3,$H$2:$H215,"&lt;&gt;Done",$C$2:$C215,"&lt;&gt;"),"")</f>
        <v/>
      </c>
    </row>
    <row r="216" customFormat="false" ht="15" hidden="false" customHeight="false" outlineLevel="0" collapsed="false">
      <c r="A216" s="32"/>
      <c r="B216" s="32"/>
      <c r="C216" s="32"/>
      <c r="D216" s="33"/>
      <c r="E216" s="32"/>
      <c r="F216" s="32"/>
      <c r="G216" s="35"/>
      <c r="H216" s="32"/>
      <c r="I216" s="35"/>
      <c r="J216" s="35"/>
      <c r="K216" s="32"/>
      <c r="L216" s="33"/>
      <c r="M216" s="37" t="str">
        <f aca="true">IF(C216="","",IF(OR(H216="Done"),"Done",IF(G216="","No Due Date",IF(G216&lt;TODAY(),"Overdue",IF(G216=TODAY(),"Due Today",IF(G216&lt;TODAY()+7,"Due This Week","Later"))))))</f>
        <v/>
      </c>
      <c r="N216" s="40" t="str">
        <f aca="false">IF(AND(C216&lt;&gt;"",H216&lt;&gt;"Done",G216&lt;&gt;""),G216+ROW()/100000,"")</f>
        <v/>
      </c>
      <c r="O216" s="37" t="str">
        <f aca="false">IF(AND(A216&lt;&gt;"",A216='Project Summary'!$C$3,H216&lt;&gt;"Done",C216&lt;&gt;""),COUNTIFS($A$2:$A216,'Project Summary'!$C$3,$H$2:$H216,"&lt;&gt;Done",$C$2:$C216,"&lt;&gt;"),"")</f>
        <v/>
      </c>
    </row>
    <row r="217" customFormat="false" ht="15" hidden="false" customHeight="false" outlineLevel="0" collapsed="false">
      <c r="A217" s="32"/>
      <c r="B217" s="32"/>
      <c r="C217" s="32"/>
      <c r="D217" s="33"/>
      <c r="E217" s="32"/>
      <c r="F217" s="32"/>
      <c r="G217" s="35"/>
      <c r="H217" s="32"/>
      <c r="I217" s="35"/>
      <c r="J217" s="35"/>
      <c r="K217" s="32"/>
      <c r="L217" s="33"/>
      <c r="M217" s="37" t="str">
        <f aca="true">IF(C217="","",IF(OR(H217="Done"),"Done",IF(G217="","No Due Date",IF(G217&lt;TODAY(),"Overdue",IF(G217=TODAY(),"Due Today",IF(G217&lt;TODAY()+7,"Due This Week","Later"))))))</f>
        <v/>
      </c>
      <c r="N217" s="40" t="str">
        <f aca="false">IF(AND(C217&lt;&gt;"",H217&lt;&gt;"Done",G217&lt;&gt;""),G217+ROW()/100000,"")</f>
        <v/>
      </c>
      <c r="O217" s="37" t="str">
        <f aca="false">IF(AND(A217&lt;&gt;"",A217='Project Summary'!$C$3,H217&lt;&gt;"Done",C217&lt;&gt;""),COUNTIFS($A$2:$A217,'Project Summary'!$C$3,$H$2:$H217,"&lt;&gt;Done",$C$2:$C217,"&lt;&gt;"),"")</f>
        <v/>
      </c>
    </row>
    <row r="218" customFormat="false" ht="15" hidden="false" customHeight="false" outlineLevel="0" collapsed="false">
      <c r="A218" s="32"/>
      <c r="B218" s="32"/>
      <c r="C218" s="32"/>
      <c r="D218" s="33"/>
      <c r="E218" s="32"/>
      <c r="F218" s="32"/>
      <c r="G218" s="35"/>
      <c r="H218" s="32"/>
      <c r="I218" s="35"/>
      <c r="J218" s="35"/>
      <c r="K218" s="32"/>
      <c r="L218" s="33"/>
      <c r="M218" s="37" t="str">
        <f aca="true">IF(C218="","",IF(OR(H218="Done"),"Done",IF(G218="","No Due Date",IF(G218&lt;TODAY(),"Overdue",IF(G218=TODAY(),"Due Today",IF(G218&lt;TODAY()+7,"Due This Week","Later"))))))</f>
        <v/>
      </c>
      <c r="N218" s="40" t="str">
        <f aca="false">IF(AND(C218&lt;&gt;"",H218&lt;&gt;"Done",G218&lt;&gt;""),G218+ROW()/100000,"")</f>
        <v/>
      </c>
      <c r="O218" s="37" t="str">
        <f aca="false">IF(AND(A218&lt;&gt;"",A218='Project Summary'!$C$3,H218&lt;&gt;"Done",C218&lt;&gt;""),COUNTIFS($A$2:$A218,'Project Summary'!$C$3,$H$2:$H218,"&lt;&gt;Done",$C$2:$C218,"&lt;&gt;"),"")</f>
        <v/>
      </c>
    </row>
    <row r="219" customFormat="false" ht="15" hidden="false" customHeight="false" outlineLevel="0" collapsed="false">
      <c r="A219" s="32"/>
      <c r="B219" s="32"/>
      <c r="C219" s="32"/>
      <c r="D219" s="33"/>
      <c r="E219" s="32"/>
      <c r="F219" s="32"/>
      <c r="G219" s="35"/>
      <c r="H219" s="32"/>
      <c r="I219" s="35"/>
      <c r="J219" s="35"/>
      <c r="K219" s="32"/>
      <c r="L219" s="33"/>
      <c r="M219" s="37" t="str">
        <f aca="true">IF(C219="","",IF(OR(H219="Done"),"Done",IF(G219="","No Due Date",IF(G219&lt;TODAY(),"Overdue",IF(G219=TODAY(),"Due Today",IF(G219&lt;TODAY()+7,"Due This Week","Later"))))))</f>
        <v/>
      </c>
      <c r="N219" s="40" t="str">
        <f aca="false">IF(AND(C219&lt;&gt;"",H219&lt;&gt;"Done",G219&lt;&gt;""),G219+ROW()/100000,"")</f>
        <v/>
      </c>
      <c r="O219" s="37" t="str">
        <f aca="false">IF(AND(A219&lt;&gt;"",A219='Project Summary'!$C$3,H219&lt;&gt;"Done",C219&lt;&gt;""),COUNTIFS($A$2:$A219,'Project Summary'!$C$3,$H$2:$H219,"&lt;&gt;Done",$C$2:$C219,"&lt;&gt;"),"")</f>
        <v/>
      </c>
    </row>
    <row r="220" customFormat="false" ht="15" hidden="false" customHeight="false" outlineLevel="0" collapsed="false">
      <c r="A220" s="32"/>
      <c r="B220" s="32"/>
      <c r="C220" s="32"/>
      <c r="D220" s="33"/>
      <c r="E220" s="32"/>
      <c r="F220" s="32"/>
      <c r="G220" s="35"/>
      <c r="H220" s="32"/>
      <c r="I220" s="35"/>
      <c r="J220" s="35"/>
      <c r="K220" s="32"/>
      <c r="L220" s="33"/>
      <c r="M220" s="37" t="str">
        <f aca="true">IF(C220="","",IF(OR(H220="Done"),"Done",IF(G220="","No Due Date",IF(G220&lt;TODAY(),"Overdue",IF(G220=TODAY(),"Due Today",IF(G220&lt;TODAY()+7,"Due This Week","Later"))))))</f>
        <v/>
      </c>
      <c r="N220" s="40" t="str">
        <f aca="false">IF(AND(C220&lt;&gt;"",H220&lt;&gt;"Done",G220&lt;&gt;""),G220+ROW()/100000,"")</f>
        <v/>
      </c>
      <c r="O220" s="37" t="str">
        <f aca="false">IF(AND(A220&lt;&gt;"",A220='Project Summary'!$C$3,H220&lt;&gt;"Done",C220&lt;&gt;""),COUNTIFS($A$2:$A220,'Project Summary'!$C$3,$H$2:$H220,"&lt;&gt;Done",$C$2:$C220,"&lt;&gt;"),"")</f>
        <v/>
      </c>
    </row>
    <row r="221" customFormat="false" ht="15" hidden="false" customHeight="false" outlineLevel="0" collapsed="false">
      <c r="A221" s="32"/>
      <c r="B221" s="32"/>
      <c r="C221" s="32"/>
      <c r="D221" s="33"/>
      <c r="E221" s="32"/>
      <c r="F221" s="32"/>
      <c r="G221" s="35"/>
      <c r="H221" s="32"/>
      <c r="I221" s="35"/>
      <c r="J221" s="35"/>
      <c r="K221" s="32"/>
      <c r="L221" s="33"/>
      <c r="M221" s="37" t="str">
        <f aca="true">IF(C221="","",IF(OR(H221="Done"),"Done",IF(G221="","No Due Date",IF(G221&lt;TODAY(),"Overdue",IF(G221=TODAY(),"Due Today",IF(G221&lt;TODAY()+7,"Due This Week","Later"))))))</f>
        <v/>
      </c>
      <c r="N221" s="40" t="str">
        <f aca="false">IF(AND(C221&lt;&gt;"",H221&lt;&gt;"Done",G221&lt;&gt;""),G221+ROW()/100000,"")</f>
        <v/>
      </c>
      <c r="O221" s="37" t="str">
        <f aca="false">IF(AND(A221&lt;&gt;"",A221='Project Summary'!$C$3,H221&lt;&gt;"Done",C221&lt;&gt;""),COUNTIFS($A$2:$A221,'Project Summary'!$C$3,$H$2:$H221,"&lt;&gt;Done",$C$2:$C221,"&lt;&gt;"),"")</f>
        <v/>
      </c>
    </row>
    <row r="222" customFormat="false" ht="15" hidden="false" customHeight="false" outlineLevel="0" collapsed="false">
      <c r="A222" s="32"/>
      <c r="B222" s="32"/>
      <c r="C222" s="32"/>
      <c r="D222" s="33"/>
      <c r="E222" s="32"/>
      <c r="F222" s="32"/>
      <c r="G222" s="35"/>
      <c r="H222" s="32"/>
      <c r="I222" s="35"/>
      <c r="J222" s="35"/>
      <c r="K222" s="32"/>
      <c r="L222" s="33"/>
      <c r="M222" s="37" t="str">
        <f aca="true">IF(C222="","",IF(OR(H222="Done"),"Done",IF(G222="","No Due Date",IF(G222&lt;TODAY(),"Overdue",IF(G222=TODAY(),"Due Today",IF(G222&lt;TODAY()+7,"Due This Week","Later"))))))</f>
        <v/>
      </c>
      <c r="N222" s="40" t="str">
        <f aca="false">IF(AND(C222&lt;&gt;"",H222&lt;&gt;"Done",G222&lt;&gt;""),G222+ROW()/100000,"")</f>
        <v/>
      </c>
      <c r="O222" s="37" t="str">
        <f aca="false">IF(AND(A222&lt;&gt;"",A222='Project Summary'!$C$3,H222&lt;&gt;"Done",C222&lt;&gt;""),COUNTIFS($A$2:$A222,'Project Summary'!$C$3,$H$2:$H222,"&lt;&gt;Done",$C$2:$C222,"&lt;&gt;"),"")</f>
        <v/>
      </c>
    </row>
    <row r="223" customFormat="false" ht="15" hidden="false" customHeight="false" outlineLevel="0" collapsed="false">
      <c r="A223" s="32"/>
      <c r="B223" s="32"/>
      <c r="C223" s="32"/>
      <c r="D223" s="33"/>
      <c r="E223" s="32"/>
      <c r="F223" s="32"/>
      <c r="G223" s="35"/>
      <c r="H223" s="32"/>
      <c r="I223" s="35"/>
      <c r="J223" s="35"/>
      <c r="K223" s="32"/>
      <c r="L223" s="33"/>
      <c r="M223" s="37" t="str">
        <f aca="true">IF(C223="","",IF(OR(H223="Done"),"Done",IF(G223="","No Due Date",IF(G223&lt;TODAY(),"Overdue",IF(G223=TODAY(),"Due Today",IF(G223&lt;TODAY()+7,"Due This Week","Later"))))))</f>
        <v/>
      </c>
      <c r="N223" s="40" t="str">
        <f aca="false">IF(AND(C223&lt;&gt;"",H223&lt;&gt;"Done",G223&lt;&gt;""),G223+ROW()/100000,"")</f>
        <v/>
      </c>
      <c r="O223" s="37" t="str">
        <f aca="false">IF(AND(A223&lt;&gt;"",A223='Project Summary'!$C$3,H223&lt;&gt;"Done",C223&lt;&gt;""),COUNTIFS($A$2:$A223,'Project Summary'!$C$3,$H$2:$H223,"&lt;&gt;Done",$C$2:$C223,"&lt;&gt;"),"")</f>
        <v/>
      </c>
    </row>
    <row r="224" customFormat="false" ht="15" hidden="false" customHeight="false" outlineLevel="0" collapsed="false">
      <c r="A224" s="32"/>
      <c r="B224" s="32"/>
      <c r="C224" s="32"/>
      <c r="D224" s="33"/>
      <c r="E224" s="32"/>
      <c r="F224" s="32"/>
      <c r="G224" s="35"/>
      <c r="H224" s="32"/>
      <c r="I224" s="35"/>
      <c r="J224" s="35"/>
      <c r="K224" s="32"/>
      <c r="L224" s="33"/>
      <c r="M224" s="37" t="str">
        <f aca="true">IF(C224="","",IF(OR(H224="Done"),"Done",IF(G224="","No Due Date",IF(G224&lt;TODAY(),"Overdue",IF(G224=TODAY(),"Due Today",IF(G224&lt;TODAY()+7,"Due This Week","Later"))))))</f>
        <v/>
      </c>
      <c r="N224" s="40" t="str">
        <f aca="false">IF(AND(C224&lt;&gt;"",H224&lt;&gt;"Done",G224&lt;&gt;""),G224+ROW()/100000,"")</f>
        <v/>
      </c>
      <c r="O224" s="37" t="str">
        <f aca="false">IF(AND(A224&lt;&gt;"",A224='Project Summary'!$C$3,H224&lt;&gt;"Done",C224&lt;&gt;""),COUNTIFS($A$2:$A224,'Project Summary'!$C$3,$H$2:$H224,"&lt;&gt;Done",$C$2:$C224,"&lt;&gt;"),"")</f>
        <v/>
      </c>
    </row>
    <row r="225" customFormat="false" ht="15" hidden="false" customHeight="false" outlineLevel="0" collapsed="false">
      <c r="A225" s="32"/>
      <c r="B225" s="32"/>
      <c r="C225" s="32"/>
      <c r="D225" s="33"/>
      <c r="E225" s="32"/>
      <c r="F225" s="32"/>
      <c r="G225" s="35"/>
      <c r="H225" s="32"/>
      <c r="I225" s="35"/>
      <c r="J225" s="35"/>
      <c r="K225" s="32"/>
      <c r="L225" s="33"/>
      <c r="M225" s="37" t="str">
        <f aca="true">IF(C225="","",IF(OR(H225="Done"),"Done",IF(G225="","No Due Date",IF(G225&lt;TODAY(),"Overdue",IF(G225=TODAY(),"Due Today",IF(G225&lt;TODAY()+7,"Due This Week","Later"))))))</f>
        <v/>
      </c>
      <c r="N225" s="40" t="str">
        <f aca="false">IF(AND(C225&lt;&gt;"",H225&lt;&gt;"Done",G225&lt;&gt;""),G225+ROW()/100000,"")</f>
        <v/>
      </c>
      <c r="O225" s="37" t="str">
        <f aca="false">IF(AND(A225&lt;&gt;"",A225='Project Summary'!$C$3,H225&lt;&gt;"Done",C225&lt;&gt;""),COUNTIFS($A$2:$A225,'Project Summary'!$C$3,$H$2:$H225,"&lt;&gt;Done",$C$2:$C225,"&lt;&gt;"),"")</f>
        <v/>
      </c>
    </row>
    <row r="226" customFormat="false" ht="15" hidden="false" customHeight="false" outlineLevel="0" collapsed="false">
      <c r="A226" s="32"/>
      <c r="B226" s="32"/>
      <c r="C226" s="32"/>
      <c r="D226" s="33"/>
      <c r="E226" s="32"/>
      <c r="F226" s="32"/>
      <c r="G226" s="35"/>
      <c r="H226" s="32"/>
      <c r="I226" s="35"/>
      <c r="J226" s="35"/>
      <c r="K226" s="32"/>
      <c r="L226" s="33"/>
      <c r="M226" s="37" t="str">
        <f aca="true">IF(C226="","",IF(OR(H226="Done"),"Done",IF(G226="","No Due Date",IF(G226&lt;TODAY(),"Overdue",IF(G226=TODAY(),"Due Today",IF(G226&lt;TODAY()+7,"Due This Week","Later"))))))</f>
        <v/>
      </c>
      <c r="N226" s="40" t="str">
        <f aca="false">IF(AND(C226&lt;&gt;"",H226&lt;&gt;"Done",G226&lt;&gt;""),G226+ROW()/100000,"")</f>
        <v/>
      </c>
      <c r="O226" s="37" t="str">
        <f aca="false">IF(AND(A226&lt;&gt;"",A226='Project Summary'!$C$3,H226&lt;&gt;"Done",C226&lt;&gt;""),COUNTIFS($A$2:$A226,'Project Summary'!$C$3,$H$2:$H226,"&lt;&gt;Done",$C$2:$C226,"&lt;&gt;"),"")</f>
        <v/>
      </c>
    </row>
    <row r="227" customFormat="false" ht="15" hidden="false" customHeight="false" outlineLevel="0" collapsed="false">
      <c r="A227" s="32"/>
      <c r="B227" s="32"/>
      <c r="C227" s="32"/>
      <c r="D227" s="33"/>
      <c r="E227" s="32"/>
      <c r="F227" s="32"/>
      <c r="G227" s="35"/>
      <c r="H227" s="32"/>
      <c r="I227" s="35"/>
      <c r="J227" s="35"/>
      <c r="K227" s="32"/>
      <c r="L227" s="33"/>
      <c r="M227" s="37" t="str">
        <f aca="true">IF(C227="","",IF(OR(H227="Done"),"Done",IF(G227="","No Due Date",IF(G227&lt;TODAY(),"Overdue",IF(G227=TODAY(),"Due Today",IF(G227&lt;TODAY()+7,"Due This Week","Later"))))))</f>
        <v/>
      </c>
      <c r="N227" s="40" t="str">
        <f aca="false">IF(AND(C227&lt;&gt;"",H227&lt;&gt;"Done",G227&lt;&gt;""),G227+ROW()/100000,"")</f>
        <v/>
      </c>
      <c r="O227" s="37" t="str">
        <f aca="false">IF(AND(A227&lt;&gt;"",A227='Project Summary'!$C$3,H227&lt;&gt;"Done",C227&lt;&gt;""),COUNTIFS($A$2:$A227,'Project Summary'!$C$3,$H$2:$H227,"&lt;&gt;Done",$C$2:$C227,"&lt;&gt;"),"")</f>
        <v/>
      </c>
    </row>
    <row r="228" customFormat="false" ht="15" hidden="false" customHeight="false" outlineLevel="0" collapsed="false">
      <c r="A228" s="32"/>
      <c r="B228" s="32"/>
      <c r="C228" s="32"/>
      <c r="D228" s="33"/>
      <c r="E228" s="32"/>
      <c r="F228" s="32"/>
      <c r="G228" s="35"/>
      <c r="H228" s="32"/>
      <c r="I228" s="35"/>
      <c r="J228" s="35"/>
      <c r="K228" s="32"/>
      <c r="L228" s="33"/>
      <c r="M228" s="37" t="str">
        <f aca="true">IF(C228="","",IF(OR(H228="Done"),"Done",IF(G228="","No Due Date",IF(G228&lt;TODAY(),"Overdue",IF(G228=TODAY(),"Due Today",IF(G228&lt;TODAY()+7,"Due This Week","Later"))))))</f>
        <v/>
      </c>
      <c r="N228" s="40" t="str">
        <f aca="false">IF(AND(C228&lt;&gt;"",H228&lt;&gt;"Done",G228&lt;&gt;""),G228+ROW()/100000,"")</f>
        <v/>
      </c>
      <c r="O228" s="37" t="str">
        <f aca="false">IF(AND(A228&lt;&gt;"",A228='Project Summary'!$C$3,H228&lt;&gt;"Done",C228&lt;&gt;""),COUNTIFS($A$2:$A228,'Project Summary'!$C$3,$H$2:$H228,"&lt;&gt;Done",$C$2:$C228,"&lt;&gt;"),"")</f>
        <v/>
      </c>
    </row>
    <row r="229" customFormat="false" ht="15" hidden="false" customHeight="false" outlineLevel="0" collapsed="false">
      <c r="A229" s="32"/>
      <c r="B229" s="32"/>
      <c r="C229" s="32"/>
      <c r="D229" s="33"/>
      <c r="E229" s="32"/>
      <c r="F229" s="32"/>
      <c r="G229" s="35"/>
      <c r="H229" s="32"/>
      <c r="I229" s="35"/>
      <c r="J229" s="35"/>
      <c r="K229" s="32"/>
      <c r="L229" s="33"/>
      <c r="M229" s="37" t="str">
        <f aca="true">IF(C229="","",IF(OR(H229="Done"),"Done",IF(G229="","No Due Date",IF(G229&lt;TODAY(),"Overdue",IF(G229=TODAY(),"Due Today",IF(G229&lt;TODAY()+7,"Due This Week","Later"))))))</f>
        <v/>
      </c>
      <c r="N229" s="40" t="str">
        <f aca="false">IF(AND(C229&lt;&gt;"",H229&lt;&gt;"Done",G229&lt;&gt;""),G229+ROW()/100000,"")</f>
        <v/>
      </c>
      <c r="O229" s="37" t="str">
        <f aca="false">IF(AND(A229&lt;&gt;"",A229='Project Summary'!$C$3,H229&lt;&gt;"Done",C229&lt;&gt;""),COUNTIFS($A$2:$A229,'Project Summary'!$C$3,$H$2:$H229,"&lt;&gt;Done",$C$2:$C229,"&lt;&gt;"),"")</f>
        <v/>
      </c>
    </row>
    <row r="230" customFormat="false" ht="15" hidden="false" customHeight="false" outlineLevel="0" collapsed="false">
      <c r="A230" s="32"/>
      <c r="B230" s="32"/>
      <c r="C230" s="32"/>
      <c r="D230" s="33"/>
      <c r="E230" s="32"/>
      <c r="F230" s="32"/>
      <c r="G230" s="35"/>
      <c r="H230" s="32"/>
      <c r="I230" s="35"/>
      <c r="J230" s="35"/>
      <c r="K230" s="32"/>
      <c r="L230" s="33"/>
      <c r="M230" s="37" t="str">
        <f aca="true">IF(C230="","",IF(OR(H230="Done"),"Done",IF(G230="","No Due Date",IF(G230&lt;TODAY(),"Overdue",IF(G230=TODAY(),"Due Today",IF(G230&lt;TODAY()+7,"Due This Week","Later"))))))</f>
        <v/>
      </c>
      <c r="N230" s="40" t="str">
        <f aca="false">IF(AND(C230&lt;&gt;"",H230&lt;&gt;"Done",G230&lt;&gt;""),G230+ROW()/100000,"")</f>
        <v/>
      </c>
      <c r="O230" s="37" t="str">
        <f aca="false">IF(AND(A230&lt;&gt;"",A230='Project Summary'!$C$3,H230&lt;&gt;"Done",C230&lt;&gt;""),COUNTIFS($A$2:$A230,'Project Summary'!$C$3,$H$2:$H230,"&lt;&gt;Done",$C$2:$C230,"&lt;&gt;"),"")</f>
        <v/>
      </c>
    </row>
    <row r="231" customFormat="false" ht="15" hidden="false" customHeight="false" outlineLevel="0" collapsed="false">
      <c r="A231" s="32"/>
      <c r="B231" s="32"/>
      <c r="C231" s="32"/>
      <c r="D231" s="33"/>
      <c r="E231" s="32"/>
      <c r="F231" s="32"/>
      <c r="G231" s="35"/>
      <c r="H231" s="32"/>
      <c r="I231" s="35"/>
      <c r="J231" s="35"/>
      <c r="K231" s="32"/>
      <c r="L231" s="33"/>
      <c r="M231" s="37" t="str">
        <f aca="true">IF(C231="","",IF(OR(H231="Done"),"Done",IF(G231="","No Due Date",IF(G231&lt;TODAY(),"Overdue",IF(G231=TODAY(),"Due Today",IF(G231&lt;TODAY()+7,"Due This Week","Later"))))))</f>
        <v/>
      </c>
      <c r="N231" s="40" t="str">
        <f aca="false">IF(AND(C231&lt;&gt;"",H231&lt;&gt;"Done",G231&lt;&gt;""),G231+ROW()/100000,"")</f>
        <v/>
      </c>
      <c r="O231" s="37" t="str">
        <f aca="false">IF(AND(A231&lt;&gt;"",A231='Project Summary'!$C$3,H231&lt;&gt;"Done",C231&lt;&gt;""),COUNTIFS($A$2:$A231,'Project Summary'!$C$3,$H$2:$H231,"&lt;&gt;Done",$C$2:$C231,"&lt;&gt;"),"")</f>
        <v/>
      </c>
    </row>
    <row r="232" customFormat="false" ht="15" hidden="false" customHeight="false" outlineLevel="0" collapsed="false">
      <c r="A232" s="32"/>
      <c r="B232" s="32"/>
      <c r="C232" s="32"/>
      <c r="D232" s="33"/>
      <c r="E232" s="32"/>
      <c r="F232" s="32"/>
      <c r="G232" s="35"/>
      <c r="H232" s="32"/>
      <c r="I232" s="35"/>
      <c r="J232" s="35"/>
      <c r="K232" s="32"/>
      <c r="L232" s="33"/>
      <c r="M232" s="37" t="str">
        <f aca="true">IF(C232="","",IF(OR(H232="Done"),"Done",IF(G232="","No Due Date",IF(G232&lt;TODAY(),"Overdue",IF(G232=TODAY(),"Due Today",IF(G232&lt;TODAY()+7,"Due This Week","Later"))))))</f>
        <v/>
      </c>
      <c r="N232" s="40" t="str">
        <f aca="false">IF(AND(C232&lt;&gt;"",H232&lt;&gt;"Done",G232&lt;&gt;""),G232+ROW()/100000,"")</f>
        <v/>
      </c>
      <c r="O232" s="37" t="str">
        <f aca="false">IF(AND(A232&lt;&gt;"",A232='Project Summary'!$C$3,H232&lt;&gt;"Done",C232&lt;&gt;""),COUNTIFS($A$2:$A232,'Project Summary'!$C$3,$H$2:$H232,"&lt;&gt;Done",$C$2:$C232,"&lt;&gt;"),"")</f>
        <v/>
      </c>
    </row>
    <row r="233" customFormat="false" ht="15" hidden="false" customHeight="false" outlineLevel="0" collapsed="false">
      <c r="A233" s="32"/>
      <c r="B233" s="32"/>
      <c r="C233" s="32"/>
      <c r="D233" s="33"/>
      <c r="E233" s="32"/>
      <c r="F233" s="32"/>
      <c r="G233" s="35"/>
      <c r="H233" s="32"/>
      <c r="I233" s="35"/>
      <c r="J233" s="35"/>
      <c r="K233" s="32"/>
      <c r="L233" s="33"/>
      <c r="M233" s="37" t="str">
        <f aca="true">IF(C233="","",IF(OR(H233="Done"),"Done",IF(G233="","No Due Date",IF(G233&lt;TODAY(),"Overdue",IF(G233=TODAY(),"Due Today",IF(G233&lt;TODAY()+7,"Due This Week","Later"))))))</f>
        <v/>
      </c>
      <c r="N233" s="40" t="str">
        <f aca="false">IF(AND(C233&lt;&gt;"",H233&lt;&gt;"Done",G233&lt;&gt;""),G233+ROW()/100000,"")</f>
        <v/>
      </c>
      <c r="O233" s="37" t="str">
        <f aca="false">IF(AND(A233&lt;&gt;"",A233='Project Summary'!$C$3,H233&lt;&gt;"Done",C233&lt;&gt;""),COUNTIFS($A$2:$A233,'Project Summary'!$C$3,$H$2:$H233,"&lt;&gt;Done",$C$2:$C233,"&lt;&gt;"),"")</f>
        <v/>
      </c>
    </row>
    <row r="234" customFormat="false" ht="15" hidden="false" customHeight="false" outlineLevel="0" collapsed="false">
      <c r="A234" s="32"/>
      <c r="B234" s="32"/>
      <c r="C234" s="32"/>
      <c r="D234" s="33"/>
      <c r="E234" s="32"/>
      <c r="F234" s="32"/>
      <c r="G234" s="35"/>
      <c r="H234" s="32"/>
      <c r="I234" s="35"/>
      <c r="J234" s="35"/>
      <c r="K234" s="32"/>
      <c r="L234" s="33"/>
      <c r="M234" s="37" t="str">
        <f aca="true">IF(C234="","",IF(OR(H234="Done"),"Done",IF(G234="","No Due Date",IF(G234&lt;TODAY(),"Overdue",IF(G234=TODAY(),"Due Today",IF(G234&lt;TODAY()+7,"Due This Week","Later"))))))</f>
        <v/>
      </c>
      <c r="N234" s="40" t="str">
        <f aca="false">IF(AND(C234&lt;&gt;"",H234&lt;&gt;"Done",G234&lt;&gt;""),G234+ROW()/100000,"")</f>
        <v/>
      </c>
      <c r="O234" s="37" t="str">
        <f aca="false">IF(AND(A234&lt;&gt;"",A234='Project Summary'!$C$3,H234&lt;&gt;"Done",C234&lt;&gt;""),COUNTIFS($A$2:$A234,'Project Summary'!$C$3,$H$2:$H234,"&lt;&gt;Done",$C$2:$C234,"&lt;&gt;"),"")</f>
        <v/>
      </c>
    </row>
    <row r="235" customFormat="false" ht="15" hidden="false" customHeight="false" outlineLevel="0" collapsed="false">
      <c r="A235" s="32"/>
      <c r="B235" s="32"/>
      <c r="C235" s="32"/>
      <c r="D235" s="33"/>
      <c r="E235" s="32"/>
      <c r="F235" s="32"/>
      <c r="G235" s="35"/>
      <c r="H235" s="32"/>
      <c r="I235" s="35"/>
      <c r="J235" s="35"/>
      <c r="K235" s="32"/>
      <c r="L235" s="33"/>
      <c r="M235" s="37" t="str">
        <f aca="true">IF(C235="","",IF(OR(H235="Done"),"Done",IF(G235="","No Due Date",IF(G235&lt;TODAY(),"Overdue",IF(G235=TODAY(),"Due Today",IF(G235&lt;TODAY()+7,"Due This Week","Later"))))))</f>
        <v/>
      </c>
      <c r="N235" s="40" t="str">
        <f aca="false">IF(AND(C235&lt;&gt;"",H235&lt;&gt;"Done",G235&lt;&gt;""),G235+ROW()/100000,"")</f>
        <v/>
      </c>
      <c r="O235" s="37" t="str">
        <f aca="false">IF(AND(A235&lt;&gt;"",A235='Project Summary'!$C$3,H235&lt;&gt;"Done",C235&lt;&gt;""),COUNTIFS($A$2:$A235,'Project Summary'!$C$3,$H$2:$H235,"&lt;&gt;Done",$C$2:$C235,"&lt;&gt;"),"")</f>
        <v/>
      </c>
    </row>
    <row r="236" customFormat="false" ht="15" hidden="false" customHeight="false" outlineLevel="0" collapsed="false">
      <c r="A236" s="32"/>
      <c r="B236" s="32"/>
      <c r="C236" s="32"/>
      <c r="D236" s="33"/>
      <c r="E236" s="32"/>
      <c r="F236" s="32"/>
      <c r="G236" s="35"/>
      <c r="H236" s="32"/>
      <c r="I236" s="35"/>
      <c r="J236" s="35"/>
      <c r="K236" s="32"/>
      <c r="L236" s="33"/>
      <c r="M236" s="37" t="str">
        <f aca="true">IF(C236="","",IF(OR(H236="Done"),"Done",IF(G236="","No Due Date",IF(G236&lt;TODAY(),"Overdue",IF(G236=TODAY(),"Due Today",IF(G236&lt;TODAY()+7,"Due This Week","Later"))))))</f>
        <v/>
      </c>
      <c r="N236" s="40" t="str">
        <f aca="false">IF(AND(C236&lt;&gt;"",H236&lt;&gt;"Done",G236&lt;&gt;""),G236+ROW()/100000,"")</f>
        <v/>
      </c>
      <c r="O236" s="37" t="str">
        <f aca="false">IF(AND(A236&lt;&gt;"",A236='Project Summary'!$C$3,H236&lt;&gt;"Done",C236&lt;&gt;""),COUNTIFS($A$2:$A236,'Project Summary'!$C$3,$H$2:$H236,"&lt;&gt;Done",$C$2:$C236,"&lt;&gt;"),"")</f>
        <v/>
      </c>
    </row>
    <row r="237" customFormat="false" ht="15" hidden="false" customHeight="false" outlineLevel="0" collapsed="false">
      <c r="A237" s="32"/>
      <c r="B237" s="32"/>
      <c r="C237" s="32"/>
      <c r="D237" s="33"/>
      <c r="E237" s="32"/>
      <c r="F237" s="32"/>
      <c r="G237" s="35"/>
      <c r="H237" s="32"/>
      <c r="I237" s="35"/>
      <c r="J237" s="35"/>
      <c r="K237" s="32"/>
      <c r="L237" s="33"/>
      <c r="M237" s="37" t="str">
        <f aca="true">IF(C237="","",IF(OR(H237="Done"),"Done",IF(G237="","No Due Date",IF(G237&lt;TODAY(),"Overdue",IF(G237=TODAY(),"Due Today",IF(G237&lt;TODAY()+7,"Due This Week","Later"))))))</f>
        <v/>
      </c>
      <c r="N237" s="40" t="str">
        <f aca="false">IF(AND(C237&lt;&gt;"",H237&lt;&gt;"Done",G237&lt;&gt;""),G237+ROW()/100000,"")</f>
        <v/>
      </c>
      <c r="O237" s="37" t="str">
        <f aca="false">IF(AND(A237&lt;&gt;"",A237='Project Summary'!$C$3,H237&lt;&gt;"Done",C237&lt;&gt;""),COUNTIFS($A$2:$A237,'Project Summary'!$C$3,$H$2:$H237,"&lt;&gt;Done",$C$2:$C237,"&lt;&gt;"),"")</f>
        <v/>
      </c>
    </row>
    <row r="238" customFormat="false" ht="15" hidden="false" customHeight="false" outlineLevel="0" collapsed="false">
      <c r="A238" s="32"/>
      <c r="B238" s="32"/>
      <c r="C238" s="32"/>
      <c r="D238" s="33"/>
      <c r="E238" s="32"/>
      <c r="F238" s="32"/>
      <c r="G238" s="35"/>
      <c r="H238" s="32"/>
      <c r="I238" s="35"/>
      <c r="J238" s="35"/>
      <c r="K238" s="32"/>
      <c r="L238" s="33"/>
      <c r="M238" s="37" t="str">
        <f aca="true">IF(C238="","",IF(OR(H238="Done"),"Done",IF(G238="","No Due Date",IF(G238&lt;TODAY(),"Overdue",IF(G238=TODAY(),"Due Today",IF(G238&lt;TODAY()+7,"Due This Week","Later"))))))</f>
        <v/>
      </c>
      <c r="N238" s="40" t="str">
        <f aca="false">IF(AND(C238&lt;&gt;"",H238&lt;&gt;"Done",G238&lt;&gt;""),G238+ROW()/100000,"")</f>
        <v/>
      </c>
      <c r="O238" s="37" t="str">
        <f aca="false">IF(AND(A238&lt;&gt;"",A238='Project Summary'!$C$3,H238&lt;&gt;"Done",C238&lt;&gt;""),COUNTIFS($A$2:$A238,'Project Summary'!$C$3,$H$2:$H238,"&lt;&gt;Done",$C$2:$C238,"&lt;&gt;"),"")</f>
        <v/>
      </c>
    </row>
    <row r="239" customFormat="false" ht="15" hidden="false" customHeight="false" outlineLevel="0" collapsed="false">
      <c r="A239" s="32"/>
      <c r="B239" s="32"/>
      <c r="C239" s="32"/>
      <c r="D239" s="33"/>
      <c r="E239" s="32"/>
      <c r="F239" s="32"/>
      <c r="G239" s="35"/>
      <c r="H239" s="32"/>
      <c r="I239" s="35"/>
      <c r="J239" s="35"/>
      <c r="K239" s="32"/>
      <c r="L239" s="33"/>
      <c r="M239" s="37" t="str">
        <f aca="true">IF(C239="","",IF(OR(H239="Done"),"Done",IF(G239="","No Due Date",IF(G239&lt;TODAY(),"Overdue",IF(G239=TODAY(),"Due Today",IF(G239&lt;TODAY()+7,"Due This Week","Later"))))))</f>
        <v/>
      </c>
      <c r="N239" s="40" t="str">
        <f aca="false">IF(AND(C239&lt;&gt;"",H239&lt;&gt;"Done",G239&lt;&gt;""),G239+ROW()/100000,"")</f>
        <v/>
      </c>
      <c r="O239" s="37" t="str">
        <f aca="false">IF(AND(A239&lt;&gt;"",A239='Project Summary'!$C$3,H239&lt;&gt;"Done",C239&lt;&gt;""),COUNTIFS($A$2:$A239,'Project Summary'!$C$3,$H$2:$H239,"&lt;&gt;Done",$C$2:$C239,"&lt;&gt;"),"")</f>
        <v/>
      </c>
    </row>
    <row r="240" customFormat="false" ht="15" hidden="false" customHeight="false" outlineLevel="0" collapsed="false">
      <c r="A240" s="32"/>
      <c r="B240" s="32"/>
      <c r="C240" s="32"/>
      <c r="D240" s="33"/>
      <c r="E240" s="32"/>
      <c r="F240" s="32"/>
      <c r="G240" s="35"/>
      <c r="H240" s="32"/>
      <c r="I240" s="35"/>
      <c r="J240" s="35"/>
      <c r="K240" s="32"/>
      <c r="L240" s="33"/>
      <c r="M240" s="37" t="str">
        <f aca="true">IF(C240="","",IF(OR(H240="Done"),"Done",IF(G240="","No Due Date",IF(G240&lt;TODAY(),"Overdue",IF(G240=TODAY(),"Due Today",IF(G240&lt;TODAY()+7,"Due This Week","Later"))))))</f>
        <v/>
      </c>
      <c r="N240" s="40" t="str">
        <f aca="false">IF(AND(C240&lt;&gt;"",H240&lt;&gt;"Done",G240&lt;&gt;""),G240+ROW()/100000,"")</f>
        <v/>
      </c>
      <c r="O240" s="37" t="str">
        <f aca="false">IF(AND(A240&lt;&gt;"",A240='Project Summary'!$C$3,H240&lt;&gt;"Done",C240&lt;&gt;""),COUNTIFS($A$2:$A240,'Project Summary'!$C$3,$H$2:$H240,"&lt;&gt;Done",$C$2:$C240,"&lt;&gt;"),"")</f>
        <v/>
      </c>
    </row>
    <row r="241" customFormat="false" ht="15" hidden="false" customHeight="false" outlineLevel="0" collapsed="false">
      <c r="A241" s="32"/>
      <c r="B241" s="32"/>
      <c r="C241" s="32"/>
      <c r="D241" s="33"/>
      <c r="E241" s="32"/>
      <c r="F241" s="32"/>
      <c r="G241" s="35"/>
      <c r="H241" s="32"/>
      <c r="I241" s="35"/>
      <c r="J241" s="35"/>
      <c r="K241" s="32"/>
      <c r="L241" s="33"/>
      <c r="M241" s="37" t="str">
        <f aca="true">IF(C241="","",IF(OR(H241="Done"),"Done",IF(G241="","No Due Date",IF(G241&lt;TODAY(),"Overdue",IF(G241=TODAY(),"Due Today",IF(G241&lt;TODAY()+7,"Due This Week","Later"))))))</f>
        <v/>
      </c>
      <c r="N241" s="40" t="str">
        <f aca="false">IF(AND(C241&lt;&gt;"",H241&lt;&gt;"Done",G241&lt;&gt;""),G241+ROW()/100000,"")</f>
        <v/>
      </c>
      <c r="O241" s="37" t="str">
        <f aca="false">IF(AND(A241&lt;&gt;"",A241='Project Summary'!$C$3,H241&lt;&gt;"Done",C241&lt;&gt;""),COUNTIFS($A$2:$A241,'Project Summary'!$C$3,$H$2:$H241,"&lt;&gt;Done",$C$2:$C241,"&lt;&gt;"),"")</f>
        <v/>
      </c>
    </row>
    <row r="242" customFormat="false" ht="15" hidden="false" customHeight="false" outlineLevel="0" collapsed="false">
      <c r="A242" s="32"/>
      <c r="B242" s="32"/>
      <c r="C242" s="32"/>
      <c r="D242" s="33"/>
      <c r="E242" s="32"/>
      <c r="F242" s="32"/>
      <c r="G242" s="35"/>
      <c r="H242" s="32"/>
      <c r="I242" s="35"/>
      <c r="J242" s="35"/>
      <c r="K242" s="32"/>
      <c r="L242" s="33"/>
      <c r="M242" s="37" t="str">
        <f aca="true">IF(C242="","",IF(OR(H242="Done"),"Done",IF(G242="","No Due Date",IF(G242&lt;TODAY(),"Overdue",IF(G242=TODAY(),"Due Today",IF(G242&lt;TODAY()+7,"Due This Week","Later"))))))</f>
        <v/>
      </c>
      <c r="N242" s="40" t="str">
        <f aca="false">IF(AND(C242&lt;&gt;"",H242&lt;&gt;"Done",G242&lt;&gt;""),G242+ROW()/100000,"")</f>
        <v/>
      </c>
      <c r="O242" s="37" t="str">
        <f aca="false">IF(AND(A242&lt;&gt;"",A242='Project Summary'!$C$3,H242&lt;&gt;"Done",C242&lt;&gt;""),COUNTIFS($A$2:$A242,'Project Summary'!$C$3,$H$2:$H242,"&lt;&gt;Done",$C$2:$C242,"&lt;&gt;"),"")</f>
        <v/>
      </c>
    </row>
    <row r="243" customFormat="false" ht="15" hidden="false" customHeight="false" outlineLevel="0" collapsed="false">
      <c r="A243" s="32"/>
      <c r="B243" s="32"/>
      <c r="C243" s="32"/>
      <c r="D243" s="33"/>
      <c r="E243" s="32"/>
      <c r="F243" s="32"/>
      <c r="G243" s="35"/>
      <c r="H243" s="32"/>
      <c r="I243" s="35"/>
      <c r="J243" s="35"/>
      <c r="K243" s="32"/>
      <c r="L243" s="33"/>
      <c r="M243" s="37" t="str">
        <f aca="true">IF(C243="","",IF(OR(H243="Done"),"Done",IF(G243="","No Due Date",IF(G243&lt;TODAY(),"Overdue",IF(G243=TODAY(),"Due Today",IF(G243&lt;TODAY()+7,"Due This Week","Later"))))))</f>
        <v/>
      </c>
      <c r="N243" s="40" t="str">
        <f aca="false">IF(AND(C243&lt;&gt;"",H243&lt;&gt;"Done",G243&lt;&gt;""),G243+ROW()/100000,"")</f>
        <v/>
      </c>
      <c r="O243" s="37" t="str">
        <f aca="false">IF(AND(A243&lt;&gt;"",A243='Project Summary'!$C$3,H243&lt;&gt;"Done",C243&lt;&gt;""),COUNTIFS($A$2:$A243,'Project Summary'!$C$3,$H$2:$H243,"&lt;&gt;Done",$C$2:$C243,"&lt;&gt;"),"")</f>
        <v/>
      </c>
    </row>
    <row r="244" customFormat="false" ht="15" hidden="false" customHeight="false" outlineLevel="0" collapsed="false">
      <c r="A244" s="32"/>
      <c r="B244" s="32"/>
      <c r="C244" s="32"/>
      <c r="D244" s="33"/>
      <c r="E244" s="32"/>
      <c r="F244" s="32"/>
      <c r="G244" s="35"/>
      <c r="H244" s="32"/>
      <c r="I244" s="35"/>
      <c r="J244" s="35"/>
      <c r="K244" s="32"/>
      <c r="L244" s="33"/>
      <c r="M244" s="37" t="str">
        <f aca="true">IF(C244="","",IF(OR(H244="Done"),"Done",IF(G244="","No Due Date",IF(G244&lt;TODAY(),"Overdue",IF(G244=TODAY(),"Due Today",IF(G244&lt;TODAY()+7,"Due This Week","Later"))))))</f>
        <v/>
      </c>
      <c r="N244" s="40" t="str">
        <f aca="false">IF(AND(C244&lt;&gt;"",H244&lt;&gt;"Done",G244&lt;&gt;""),G244+ROW()/100000,"")</f>
        <v/>
      </c>
      <c r="O244" s="37" t="str">
        <f aca="false">IF(AND(A244&lt;&gt;"",A244='Project Summary'!$C$3,H244&lt;&gt;"Done",C244&lt;&gt;""),COUNTIFS($A$2:$A244,'Project Summary'!$C$3,$H$2:$H244,"&lt;&gt;Done",$C$2:$C244,"&lt;&gt;"),"")</f>
        <v/>
      </c>
    </row>
    <row r="245" customFormat="false" ht="15" hidden="false" customHeight="false" outlineLevel="0" collapsed="false">
      <c r="A245" s="32"/>
      <c r="B245" s="32"/>
      <c r="C245" s="32"/>
      <c r="D245" s="33"/>
      <c r="E245" s="32"/>
      <c r="F245" s="32"/>
      <c r="G245" s="35"/>
      <c r="H245" s="32"/>
      <c r="I245" s="35"/>
      <c r="J245" s="35"/>
      <c r="K245" s="32"/>
      <c r="L245" s="33"/>
      <c r="M245" s="37" t="str">
        <f aca="true">IF(C245="","",IF(OR(H245="Done"),"Done",IF(G245="","No Due Date",IF(G245&lt;TODAY(),"Overdue",IF(G245=TODAY(),"Due Today",IF(G245&lt;TODAY()+7,"Due This Week","Later"))))))</f>
        <v/>
      </c>
      <c r="N245" s="40" t="str">
        <f aca="false">IF(AND(C245&lt;&gt;"",H245&lt;&gt;"Done",G245&lt;&gt;""),G245+ROW()/100000,"")</f>
        <v/>
      </c>
      <c r="O245" s="37" t="str">
        <f aca="false">IF(AND(A245&lt;&gt;"",A245='Project Summary'!$C$3,H245&lt;&gt;"Done",C245&lt;&gt;""),COUNTIFS($A$2:$A245,'Project Summary'!$C$3,$H$2:$H245,"&lt;&gt;Done",$C$2:$C245,"&lt;&gt;"),"")</f>
        <v/>
      </c>
    </row>
    <row r="246" customFormat="false" ht="15" hidden="false" customHeight="false" outlineLevel="0" collapsed="false">
      <c r="A246" s="32"/>
      <c r="B246" s="32"/>
      <c r="C246" s="32"/>
      <c r="D246" s="33"/>
      <c r="E246" s="32"/>
      <c r="F246" s="32"/>
      <c r="G246" s="35"/>
      <c r="H246" s="32"/>
      <c r="I246" s="35"/>
      <c r="J246" s="35"/>
      <c r="K246" s="32"/>
      <c r="L246" s="33"/>
      <c r="M246" s="37" t="str">
        <f aca="true">IF(C246="","",IF(OR(H246="Done"),"Done",IF(G246="","No Due Date",IF(G246&lt;TODAY(),"Overdue",IF(G246=TODAY(),"Due Today",IF(G246&lt;TODAY()+7,"Due This Week","Later"))))))</f>
        <v/>
      </c>
      <c r="N246" s="40" t="str">
        <f aca="false">IF(AND(C246&lt;&gt;"",H246&lt;&gt;"Done",G246&lt;&gt;""),G246+ROW()/100000,"")</f>
        <v/>
      </c>
      <c r="O246" s="37" t="str">
        <f aca="false">IF(AND(A246&lt;&gt;"",A246='Project Summary'!$C$3,H246&lt;&gt;"Done",C246&lt;&gt;""),COUNTIFS($A$2:$A246,'Project Summary'!$C$3,$H$2:$H246,"&lt;&gt;Done",$C$2:$C246,"&lt;&gt;"),"")</f>
        <v/>
      </c>
    </row>
    <row r="247" customFormat="false" ht="15" hidden="false" customHeight="false" outlineLevel="0" collapsed="false">
      <c r="A247" s="32"/>
      <c r="B247" s="32"/>
      <c r="C247" s="32"/>
      <c r="D247" s="33"/>
      <c r="E247" s="32"/>
      <c r="F247" s="32"/>
      <c r="G247" s="35"/>
      <c r="H247" s="32"/>
      <c r="I247" s="35"/>
      <c r="J247" s="35"/>
      <c r="K247" s="32"/>
      <c r="L247" s="33"/>
      <c r="M247" s="37" t="str">
        <f aca="true">IF(C247="","",IF(OR(H247="Done"),"Done",IF(G247="","No Due Date",IF(G247&lt;TODAY(),"Overdue",IF(G247=TODAY(),"Due Today",IF(G247&lt;TODAY()+7,"Due This Week","Later"))))))</f>
        <v/>
      </c>
      <c r="N247" s="40" t="str">
        <f aca="false">IF(AND(C247&lt;&gt;"",H247&lt;&gt;"Done",G247&lt;&gt;""),G247+ROW()/100000,"")</f>
        <v/>
      </c>
      <c r="O247" s="37" t="str">
        <f aca="false">IF(AND(A247&lt;&gt;"",A247='Project Summary'!$C$3,H247&lt;&gt;"Done",C247&lt;&gt;""),COUNTIFS($A$2:$A247,'Project Summary'!$C$3,$H$2:$H247,"&lt;&gt;Done",$C$2:$C247,"&lt;&gt;"),"")</f>
        <v/>
      </c>
    </row>
    <row r="248" customFormat="false" ht="15" hidden="false" customHeight="false" outlineLevel="0" collapsed="false">
      <c r="A248" s="32"/>
      <c r="B248" s="32"/>
      <c r="C248" s="32"/>
      <c r="D248" s="33"/>
      <c r="E248" s="32"/>
      <c r="F248" s="32"/>
      <c r="G248" s="35"/>
      <c r="H248" s="32"/>
      <c r="I248" s="35"/>
      <c r="J248" s="35"/>
      <c r="K248" s="32"/>
      <c r="L248" s="33"/>
      <c r="M248" s="37" t="str">
        <f aca="true">IF(C248="","",IF(OR(H248="Done"),"Done",IF(G248="","No Due Date",IF(G248&lt;TODAY(),"Overdue",IF(G248=TODAY(),"Due Today",IF(G248&lt;TODAY()+7,"Due This Week","Later"))))))</f>
        <v/>
      </c>
      <c r="N248" s="40" t="str">
        <f aca="false">IF(AND(C248&lt;&gt;"",H248&lt;&gt;"Done",G248&lt;&gt;""),G248+ROW()/100000,"")</f>
        <v/>
      </c>
      <c r="O248" s="37" t="str">
        <f aca="false">IF(AND(A248&lt;&gt;"",A248='Project Summary'!$C$3,H248&lt;&gt;"Done",C248&lt;&gt;""),COUNTIFS($A$2:$A248,'Project Summary'!$C$3,$H$2:$H248,"&lt;&gt;Done",$C$2:$C248,"&lt;&gt;"),"")</f>
        <v/>
      </c>
    </row>
    <row r="249" customFormat="false" ht="15" hidden="false" customHeight="false" outlineLevel="0" collapsed="false">
      <c r="A249" s="32"/>
      <c r="B249" s="32"/>
      <c r="C249" s="32"/>
      <c r="D249" s="33"/>
      <c r="E249" s="32"/>
      <c r="F249" s="32"/>
      <c r="G249" s="35"/>
      <c r="H249" s="32"/>
      <c r="I249" s="35"/>
      <c r="J249" s="35"/>
      <c r="K249" s="32"/>
      <c r="L249" s="33"/>
      <c r="M249" s="37" t="str">
        <f aca="true">IF(C249="","",IF(OR(H249="Done"),"Done",IF(G249="","No Due Date",IF(G249&lt;TODAY(),"Overdue",IF(G249=TODAY(),"Due Today",IF(G249&lt;TODAY()+7,"Due This Week","Later"))))))</f>
        <v/>
      </c>
      <c r="N249" s="40" t="str">
        <f aca="false">IF(AND(C249&lt;&gt;"",H249&lt;&gt;"Done",G249&lt;&gt;""),G249+ROW()/100000,"")</f>
        <v/>
      </c>
      <c r="O249" s="37" t="str">
        <f aca="false">IF(AND(A249&lt;&gt;"",A249='Project Summary'!$C$3,H249&lt;&gt;"Done",C249&lt;&gt;""),COUNTIFS($A$2:$A249,'Project Summary'!$C$3,$H$2:$H249,"&lt;&gt;Done",$C$2:$C249,"&lt;&gt;"),"")</f>
        <v/>
      </c>
    </row>
    <row r="250" customFormat="false" ht="15" hidden="false" customHeight="false" outlineLevel="0" collapsed="false">
      <c r="A250" s="32"/>
      <c r="B250" s="32"/>
      <c r="C250" s="32"/>
      <c r="D250" s="33"/>
      <c r="E250" s="32"/>
      <c r="F250" s="32"/>
      <c r="G250" s="35"/>
      <c r="H250" s="32"/>
      <c r="I250" s="35"/>
      <c r="J250" s="35"/>
      <c r="K250" s="32"/>
      <c r="L250" s="33"/>
      <c r="M250" s="37" t="str">
        <f aca="true">IF(C250="","",IF(OR(H250="Done"),"Done",IF(G250="","No Due Date",IF(G250&lt;TODAY(),"Overdue",IF(G250=TODAY(),"Due Today",IF(G250&lt;TODAY()+7,"Due This Week","Later"))))))</f>
        <v/>
      </c>
      <c r="N250" s="40" t="str">
        <f aca="false">IF(AND(C250&lt;&gt;"",H250&lt;&gt;"Done",G250&lt;&gt;""),G250+ROW()/100000,"")</f>
        <v/>
      </c>
      <c r="O250" s="37" t="str">
        <f aca="false">IF(AND(A250&lt;&gt;"",A250='Project Summary'!$C$3,H250&lt;&gt;"Done",C250&lt;&gt;""),COUNTIFS($A$2:$A250,'Project Summary'!$C$3,$H$2:$H250,"&lt;&gt;Done",$C$2:$C250,"&lt;&gt;"),"")</f>
        <v/>
      </c>
    </row>
    <row r="251" customFormat="false" ht="15" hidden="false" customHeight="false" outlineLevel="0" collapsed="false">
      <c r="A251" s="32"/>
      <c r="B251" s="32"/>
      <c r="C251" s="32"/>
      <c r="D251" s="33"/>
      <c r="E251" s="32"/>
      <c r="F251" s="32"/>
      <c r="G251" s="35"/>
      <c r="H251" s="32"/>
      <c r="I251" s="35"/>
      <c r="J251" s="35"/>
      <c r="K251" s="32"/>
      <c r="L251" s="33"/>
      <c r="M251" s="37" t="str">
        <f aca="true">IF(C251="","",IF(OR(H251="Done"),"Done",IF(G251="","No Due Date",IF(G251&lt;TODAY(),"Overdue",IF(G251=TODAY(),"Due Today",IF(G251&lt;TODAY()+7,"Due This Week","Later"))))))</f>
        <v/>
      </c>
      <c r="N251" s="40" t="str">
        <f aca="false">IF(AND(C251&lt;&gt;"",H251&lt;&gt;"Done",G251&lt;&gt;""),G251+ROW()/100000,"")</f>
        <v/>
      </c>
      <c r="O251" s="37" t="str">
        <f aca="false">IF(AND(A251&lt;&gt;"",A251='Project Summary'!$C$3,H251&lt;&gt;"Done",C251&lt;&gt;""),COUNTIFS($A$2:$A251,'Project Summary'!$C$3,$H$2:$H251,"&lt;&gt;Done",$C$2:$C251,"&lt;&gt;"),"")</f>
        <v/>
      </c>
    </row>
    <row r="252" customFormat="false" ht="15" hidden="false" customHeight="false" outlineLevel="0" collapsed="false">
      <c r="A252" s="32"/>
      <c r="B252" s="32"/>
      <c r="C252" s="32"/>
      <c r="D252" s="33"/>
      <c r="E252" s="32"/>
      <c r="F252" s="32"/>
      <c r="G252" s="35"/>
      <c r="H252" s="32"/>
      <c r="I252" s="35"/>
      <c r="J252" s="35"/>
      <c r="K252" s="32"/>
      <c r="L252" s="33"/>
      <c r="M252" s="37" t="str">
        <f aca="true">IF(C252="","",IF(OR(H252="Done"),"Done",IF(G252="","No Due Date",IF(G252&lt;TODAY(),"Overdue",IF(G252=TODAY(),"Due Today",IF(G252&lt;TODAY()+7,"Due This Week","Later"))))))</f>
        <v/>
      </c>
      <c r="N252" s="40" t="str">
        <f aca="false">IF(AND(C252&lt;&gt;"",H252&lt;&gt;"Done",G252&lt;&gt;""),G252+ROW()/100000,"")</f>
        <v/>
      </c>
      <c r="O252" s="37" t="str">
        <f aca="false">IF(AND(A252&lt;&gt;"",A252='Project Summary'!$C$3,H252&lt;&gt;"Done",C252&lt;&gt;""),COUNTIFS($A$2:$A252,'Project Summary'!$C$3,$H$2:$H252,"&lt;&gt;Done",$C$2:$C252,"&lt;&gt;"),"")</f>
        <v/>
      </c>
    </row>
    <row r="253" customFormat="false" ht="15" hidden="false" customHeight="false" outlineLevel="0" collapsed="false">
      <c r="A253" s="32"/>
      <c r="B253" s="32"/>
      <c r="C253" s="32"/>
      <c r="D253" s="33"/>
      <c r="E253" s="32"/>
      <c r="F253" s="32"/>
      <c r="G253" s="35"/>
      <c r="H253" s="32"/>
      <c r="I253" s="35"/>
      <c r="J253" s="35"/>
      <c r="K253" s="32"/>
      <c r="L253" s="33"/>
      <c r="M253" s="37" t="str">
        <f aca="true">IF(C253="","",IF(OR(H253="Done"),"Done",IF(G253="","No Due Date",IF(G253&lt;TODAY(),"Overdue",IF(G253=TODAY(),"Due Today",IF(G253&lt;TODAY()+7,"Due This Week","Later"))))))</f>
        <v/>
      </c>
      <c r="N253" s="40" t="str">
        <f aca="false">IF(AND(C253&lt;&gt;"",H253&lt;&gt;"Done",G253&lt;&gt;""),G253+ROW()/100000,"")</f>
        <v/>
      </c>
      <c r="O253" s="37" t="str">
        <f aca="false">IF(AND(A253&lt;&gt;"",A253='Project Summary'!$C$3,H253&lt;&gt;"Done",C253&lt;&gt;""),COUNTIFS($A$2:$A253,'Project Summary'!$C$3,$H$2:$H253,"&lt;&gt;Done",$C$2:$C253,"&lt;&gt;"),"")</f>
        <v/>
      </c>
    </row>
    <row r="254" customFormat="false" ht="15" hidden="false" customHeight="false" outlineLevel="0" collapsed="false">
      <c r="A254" s="32"/>
      <c r="B254" s="32"/>
      <c r="C254" s="32"/>
      <c r="D254" s="33"/>
      <c r="E254" s="32"/>
      <c r="F254" s="32"/>
      <c r="G254" s="35"/>
      <c r="H254" s="32"/>
      <c r="I254" s="35"/>
      <c r="J254" s="35"/>
      <c r="K254" s="32"/>
      <c r="L254" s="33"/>
      <c r="M254" s="37" t="str">
        <f aca="true">IF(C254="","",IF(OR(H254="Done"),"Done",IF(G254="","No Due Date",IF(G254&lt;TODAY(),"Overdue",IF(G254=TODAY(),"Due Today",IF(G254&lt;TODAY()+7,"Due This Week","Later"))))))</f>
        <v/>
      </c>
      <c r="N254" s="40" t="str">
        <f aca="false">IF(AND(C254&lt;&gt;"",H254&lt;&gt;"Done",G254&lt;&gt;""),G254+ROW()/100000,"")</f>
        <v/>
      </c>
      <c r="O254" s="37" t="str">
        <f aca="false">IF(AND(A254&lt;&gt;"",A254='Project Summary'!$C$3,H254&lt;&gt;"Done",C254&lt;&gt;""),COUNTIFS($A$2:$A254,'Project Summary'!$C$3,$H$2:$H254,"&lt;&gt;Done",$C$2:$C254,"&lt;&gt;"),"")</f>
        <v/>
      </c>
    </row>
    <row r="255" customFormat="false" ht="15" hidden="false" customHeight="false" outlineLevel="0" collapsed="false">
      <c r="A255" s="32"/>
      <c r="B255" s="32"/>
      <c r="C255" s="32"/>
      <c r="D255" s="33"/>
      <c r="E255" s="32"/>
      <c r="F255" s="32"/>
      <c r="G255" s="35"/>
      <c r="H255" s="32"/>
      <c r="I255" s="35"/>
      <c r="J255" s="35"/>
      <c r="K255" s="32"/>
      <c r="L255" s="33"/>
      <c r="M255" s="37" t="str">
        <f aca="true">IF(C255="","",IF(OR(H255="Done"),"Done",IF(G255="","No Due Date",IF(G255&lt;TODAY(),"Overdue",IF(G255=TODAY(),"Due Today",IF(G255&lt;TODAY()+7,"Due This Week","Later"))))))</f>
        <v/>
      </c>
      <c r="N255" s="40" t="str">
        <f aca="false">IF(AND(C255&lt;&gt;"",H255&lt;&gt;"Done",G255&lt;&gt;""),G255+ROW()/100000,"")</f>
        <v/>
      </c>
      <c r="O255" s="37" t="str">
        <f aca="false">IF(AND(A255&lt;&gt;"",A255='Project Summary'!$C$3,H255&lt;&gt;"Done",C255&lt;&gt;""),COUNTIFS($A$2:$A255,'Project Summary'!$C$3,$H$2:$H255,"&lt;&gt;Done",$C$2:$C255,"&lt;&gt;"),"")</f>
        <v/>
      </c>
    </row>
    <row r="256" customFormat="false" ht="15" hidden="false" customHeight="false" outlineLevel="0" collapsed="false">
      <c r="A256" s="32"/>
      <c r="B256" s="32"/>
      <c r="C256" s="32"/>
      <c r="D256" s="33"/>
      <c r="E256" s="32"/>
      <c r="F256" s="32"/>
      <c r="G256" s="35"/>
      <c r="H256" s="32"/>
      <c r="I256" s="35"/>
      <c r="J256" s="35"/>
      <c r="K256" s="32"/>
      <c r="L256" s="33"/>
      <c r="M256" s="37" t="str">
        <f aca="true">IF(C256="","",IF(OR(H256="Done"),"Done",IF(G256="","No Due Date",IF(G256&lt;TODAY(),"Overdue",IF(G256=TODAY(),"Due Today",IF(G256&lt;TODAY()+7,"Due This Week","Later"))))))</f>
        <v/>
      </c>
      <c r="N256" s="40" t="str">
        <f aca="false">IF(AND(C256&lt;&gt;"",H256&lt;&gt;"Done",G256&lt;&gt;""),G256+ROW()/100000,"")</f>
        <v/>
      </c>
      <c r="O256" s="37" t="str">
        <f aca="false">IF(AND(A256&lt;&gt;"",A256='Project Summary'!$C$3,H256&lt;&gt;"Done",C256&lt;&gt;""),COUNTIFS($A$2:$A256,'Project Summary'!$C$3,$H$2:$H256,"&lt;&gt;Done",$C$2:$C256,"&lt;&gt;"),"")</f>
        <v/>
      </c>
    </row>
    <row r="257" customFormat="false" ht="15" hidden="false" customHeight="false" outlineLevel="0" collapsed="false">
      <c r="A257" s="32"/>
      <c r="B257" s="32"/>
      <c r="C257" s="32"/>
      <c r="D257" s="33"/>
      <c r="E257" s="32"/>
      <c r="F257" s="32"/>
      <c r="G257" s="35"/>
      <c r="H257" s="32"/>
      <c r="I257" s="35"/>
      <c r="J257" s="35"/>
      <c r="K257" s="32"/>
      <c r="L257" s="33"/>
      <c r="M257" s="37" t="str">
        <f aca="true">IF(C257="","",IF(OR(H257="Done"),"Done",IF(G257="","No Due Date",IF(G257&lt;TODAY(),"Overdue",IF(G257=TODAY(),"Due Today",IF(G257&lt;TODAY()+7,"Due This Week","Later"))))))</f>
        <v/>
      </c>
      <c r="N257" s="40" t="str">
        <f aca="false">IF(AND(C257&lt;&gt;"",H257&lt;&gt;"Done",G257&lt;&gt;""),G257+ROW()/100000,"")</f>
        <v/>
      </c>
      <c r="O257" s="37" t="str">
        <f aca="false">IF(AND(A257&lt;&gt;"",A257='Project Summary'!$C$3,H257&lt;&gt;"Done",C257&lt;&gt;""),COUNTIFS($A$2:$A257,'Project Summary'!$C$3,$H$2:$H257,"&lt;&gt;Done",$C$2:$C257,"&lt;&gt;"),"")</f>
        <v/>
      </c>
    </row>
    <row r="258" customFormat="false" ht="15" hidden="false" customHeight="false" outlineLevel="0" collapsed="false">
      <c r="A258" s="32"/>
      <c r="B258" s="32"/>
      <c r="C258" s="32"/>
      <c r="D258" s="33"/>
      <c r="E258" s="32"/>
      <c r="F258" s="32"/>
      <c r="G258" s="35"/>
      <c r="H258" s="32"/>
      <c r="I258" s="35"/>
      <c r="J258" s="35"/>
      <c r="K258" s="32"/>
      <c r="L258" s="33"/>
      <c r="M258" s="37" t="str">
        <f aca="true">IF(C258="","",IF(OR(H258="Done"),"Done",IF(G258="","No Due Date",IF(G258&lt;TODAY(),"Overdue",IF(G258=TODAY(),"Due Today",IF(G258&lt;TODAY()+7,"Due This Week","Later"))))))</f>
        <v/>
      </c>
      <c r="N258" s="40" t="str">
        <f aca="false">IF(AND(C258&lt;&gt;"",H258&lt;&gt;"Done",G258&lt;&gt;""),G258+ROW()/100000,"")</f>
        <v/>
      </c>
      <c r="O258" s="37" t="str">
        <f aca="false">IF(AND(A258&lt;&gt;"",A258='Project Summary'!$C$3,H258&lt;&gt;"Done",C258&lt;&gt;""),COUNTIFS($A$2:$A258,'Project Summary'!$C$3,$H$2:$H258,"&lt;&gt;Done",$C$2:$C258,"&lt;&gt;"),"")</f>
        <v/>
      </c>
    </row>
    <row r="259" customFormat="false" ht="15" hidden="false" customHeight="false" outlineLevel="0" collapsed="false">
      <c r="A259" s="32"/>
      <c r="B259" s="32"/>
      <c r="C259" s="32"/>
      <c r="D259" s="33"/>
      <c r="E259" s="32"/>
      <c r="F259" s="32"/>
      <c r="G259" s="35"/>
      <c r="H259" s="32"/>
      <c r="I259" s="35"/>
      <c r="J259" s="35"/>
      <c r="K259" s="32"/>
      <c r="L259" s="33"/>
      <c r="M259" s="37" t="str">
        <f aca="true">IF(C259="","",IF(OR(H259="Done"),"Done",IF(G259="","No Due Date",IF(G259&lt;TODAY(),"Overdue",IF(G259=TODAY(),"Due Today",IF(G259&lt;TODAY()+7,"Due This Week","Later"))))))</f>
        <v/>
      </c>
      <c r="N259" s="40" t="str">
        <f aca="false">IF(AND(C259&lt;&gt;"",H259&lt;&gt;"Done",G259&lt;&gt;""),G259+ROW()/100000,"")</f>
        <v/>
      </c>
      <c r="O259" s="37" t="str">
        <f aca="false">IF(AND(A259&lt;&gt;"",A259='Project Summary'!$C$3,H259&lt;&gt;"Done",C259&lt;&gt;""),COUNTIFS($A$2:$A259,'Project Summary'!$C$3,$H$2:$H259,"&lt;&gt;Done",$C$2:$C259,"&lt;&gt;"),"")</f>
        <v/>
      </c>
    </row>
    <row r="260" customFormat="false" ht="15" hidden="false" customHeight="false" outlineLevel="0" collapsed="false">
      <c r="A260" s="32"/>
      <c r="B260" s="32"/>
      <c r="C260" s="32"/>
      <c r="D260" s="33"/>
      <c r="E260" s="32"/>
      <c r="F260" s="32"/>
      <c r="G260" s="35"/>
      <c r="H260" s="32"/>
      <c r="I260" s="35"/>
      <c r="J260" s="35"/>
      <c r="K260" s="32"/>
      <c r="L260" s="33"/>
      <c r="M260" s="37" t="str">
        <f aca="true">IF(C260="","",IF(OR(H260="Done"),"Done",IF(G260="","No Due Date",IF(G260&lt;TODAY(),"Overdue",IF(G260=TODAY(),"Due Today",IF(G260&lt;TODAY()+7,"Due This Week","Later"))))))</f>
        <v/>
      </c>
      <c r="N260" s="40" t="str">
        <f aca="false">IF(AND(C260&lt;&gt;"",H260&lt;&gt;"Done",G260&lt;&gt;""),G260+ROW()/100000,"")</f>
        <v/>
      </c>
      <c r="O260" s="37" t="str">
        <f aca="false">IF(AND(A260&lt;&gt;"",A260='Project Summary'!$C$3,H260&lt;&gt;"Done",C260&lt;&gt;""),COUNTIFS($A$2:$A260,'Project Summary'!$C$3,$H$2:$H260,"&lt;&gt;Done",$C$2:$C260,"&lt;&gt;"),"")</f>
        <v/>
      </c>
    </row>
    <row r="261" customFormat="false" ht="15" hidden="false" customHeight="false" outlineLevel="0" collapsed="false">
      <c r="A261" s="32"/>
      <c r="B261" s="32"/>
      <c r="C261" s="32"/>
      <c r="D261" s="33"/>
      <c r="E261" s="32"/>
      <c r="F261" s="32"/>
      <c r="G261" s="35"/>
      <c r="H261" s="32"/>
      <c r="I261" s="35"/>
      <c r="J261" s="35"/>
      <c r="K261" s="32"/>
      <c r="L261" s="33"/>
      <c r="M261" s="37" t="str">
        <f aca="true">IF(C261="","",IF(OR(H261="Done"),"Done",IF(G261="","No Due Date",IF(G261&lt;TODAY(),"Overdue",IF(G261=TODAY(),"Due Today",IF(G261&lt;TODAY()+7,"Due This Week","Later"))))))</f>
        <v/>
      </c>
      <c r="N261" s="40" t="str">
        <f aca="false">IF(AND(C261&lt;&gt;"",H261&lt;&gt;"Done",G261&lt;&gt;""),G261+ROW()/100000,"")</f>
        <v/>
      </c>
      <c r="O261" s="37" t="str">
        <f aca="false">IF(AND(A261&lt;&gt;"",A261='Project Summary'!$C$3,H261&lt;&gt;"Done",C261&lt;&gt;""),COUNTIFS($A$2:$A261,'Project Summary'!$C$3,$H$2:$H261,"&lt;&gt;Done",$C$2:$C261,"&lt;&gt;"),"")</f>
        <v/>
      </c>
    </row>
    <row r="262" customFormat="false" ht="15" hidden="false" customHeight="false" outlineLevel="0" collapsed="false">
      <c r="A262" s="32"/>
      <c r="B262" s="32"/>
      <c r="C262" s="32"/>
      <c r="D262" s="33"/>
      <c r="E262" s="32"/>
      <c r="F262" s="32"/>
      <c r="G262" s="35"/>
      <c r="H262" s="32"/>
      <c r="I262" s="35"/>
      <c r="J262" s="35"/>
      <c r="K262" s="32"/>
      <c r="L262" s="33"/>
      <c r="M262" s="37" t="str">
        <f aca="true">IF(C262="","",IF(OR(H262="Done"),"Done",IF(G262="","No Due Date",IF(G262&lt;TODAY(),"Overdue",IF(G262=TODAY(),"Due Today",IF(G262&lt;TODAY()+7,"Due This Week","Later"))))))</f>
        <v/>
      </c>
      <c r="N262" s="40" t="str">
        <f aca="false">IF(AND(C262&lt;&gt;"",H262&lt;&gt;"Done",G262&lt;&gt;""),G262+ROW()/100000,"")</f>
        <v/>
      </c>
      <c r="O262" s="37" t="str">
        <f aca="false">IF(AND(A262&lt;&gt;"",A262='Project Summary'!$C$3,H262&lt;&gt;"Done",C262&lt;&gt;""),COUNTIFS($A$2:$A262,'Project Summary'!$C$3,$H$2:$H262,"&lt;&gt;Done",$C$2:$C262,"&lt;&gt;"),"")</f>
        <v/>
      </c>
    </row>
    <row r="263" customFormat="false" ht="15" hidden="false" customHeight="false" outlineLevel="0" collapsed="false">
      <c r="A263" s="32"/>
      <c r="B263" s="32"/>
      <c r="C263" s="32"/>
      <c r="D263" s="33"/>
      <c r="E263" s="32"/>
      <c r="F263" s="32"/>
      <c r="G263" s="35"/>
      <c r="H263" s="32"/>
      <c r="I263" s="35"/>
      <c r="J263" s="35"/>
      <c r="K263" s="32"/>
      <c r="L263" s="33"/>
      <c r="M263" s="37" t="str">
        <f aca="true">IF(C263="","",IF(OR(H263="Done"),"Done",IF(G263="","No Due Date",IF(G263&lt;TODAY(),"Overdue",IF(G263=TODAY(),"Due Today",IF(G263&lt;TODAY()+7,"Due This Week","Later"))))))</f>
        <v/>
      </c>
      <c r="N263" s="40" t="str">
        <f aca="false">IF(AND(C263&lt;&gt;"",H263&lt;&gt;"Done",G263&lt;&gt;""),G263+ROW()/100000,"")</f>
        <v/>
      </c>
      <c r="O263" s="37" t="str">
        <f aca="false">IF(AND(A263&lt;&gt;"",A263='Project Summary'!$C$3,H263&lt;&gt;"Done",C263&lt;&gt;""),COUNTIFS($A$2:$A263,'Project Summary'!$C$3,$H$2:$H263,"&lt;&gt;Done",$C$2:$C263,"&lt;&gt;"),"")</f>
        <v/>
      </c>
    </row>
    <row r="264" customFormat="false" ht="15" hidden="false" customHeight="false" outlineLevel="0" collapsed="false">
      <c r="A264" s="32"/>
      <c r="B264" s="32"/>
      <c r="C264" s="32"/>
      <c r="D264" s="33"/>
      <c r="E264" s="32"/>
      <c r="F264" s="32"/>
      <c r="G264" s="35"/>
      <c r="H264" s="32"/>
      <c r="I264" s="35"/>
      <c r="J264" s="35"/>
      <c r="K264" s="32"/>
      <c r="L264" s="33"/>
      <c r="M264" s="37" t="str">
        <f aca="true">IF(C264="","",IF(OR(H264="Done"),"Done",IF(G264="","No Due Date",IF(G264&lt;TODAY(),"Overdue",IF(G264=TODAY(),"Due Today",IF(G264&lt;TODAY()+7,"Due This Week","Later"))))))</f>
        <v/>
      </c>
      <c r="N264" s="40" t="str">
        <f aca="false">IF(AND(C264&lt;&gt;"",H264&lt;&gt;"Done",G264&lt;&gt;""),G264+ROW()/100000,"")</f>
        <v/>
      </c>
      <c r="O264" s="37" t="str">
        <f aca="false">IF(AND(A264&lt;&gt;"",A264='Project Summary'!$C$3,H264&lt;&gt;"Done",C264&lt;&gt;""),COUNTIFS($A$2:$A264,'Project Summary'!$C$3,$H$2:$H264,"&lt;&gt;Done",$C$2:$C264,"&lt;&gt;"),"")</f>
        <v/>
      </c>
    </row>
    <row r="265" customFormat="false" ht="15" hidden="false" customHeight="false" outlineLevel="0" collapsed="false">
      <c r="A265" s="32"/>
      <c r="B265" s="32"/>
      <c r="C265" s="32"/>
      <c r="D265" s="33"/>
      <c r="E265" s="32"/>
      <c r="F265" s="32"/>
      <c r="G265" s="35"/>
      <c r="H265" s="32"/>
      <c r="I265" s="35"/>
      <c r="J265" s="35"/>
      <c r="K265" s="32"/>
      <c r="L265" s="33"/>
      <c r="M265" s="37" t="str">
        <f aca="true">IF(C265="","",IF(OR(H265="Done"),"Done",IF(G265="","No Due Date",IF(G265&lt;TODAY(),"Overdue",IF(G265=TODAY(),"Due Today",IF(G265&lt;TODAY()+7,"Due This Week","Later"))))))</f>
        <v/>
      </c>
      <c r="N265" s="40" t="str">
        <f aca="false">IF(AND(C265&lt;&gt;"",H265&lt;&gt;"Done",G265&lt;&gt;""),G265+ROW()/100000,"")</f>
        <v/>
      </c>
      <c r="O265" s="37" t="str">
        <f aca="false">IF(AND(A265&lt;&gt;"",A265='Project Summary'!$C$3,H265&lt;&gt;"Done",C265&lt;&gt;""),COUNTIFS($A$2:$A265,'Project Summary'!$C$3,$H$2:$H265,"&lt;&gt;Done",$C$2:$C265,"&lt;&gt;"),"")</f>
        <v/>
      </c>
    </row>
    <row r="266" customFormat="false" ht="15" hidden="false" customHeight="false" outlineLevel="0" collapsed="false">
      <c r="A266" s="32"/>
      <c r="B266" s="32"/>
      <c r="C266" s="32"/>
      <c r="D266" s="33"/>
      <c r="E266" s="32"/>
      <c r="F266" s="32"/>
      <c r="G266" s="35"/>
      <c r="H266" s="32"/>
      <c r="I266" s="35"/>
      <c r="J266" s="35"/>
      <c r="K266" s="32"/>
      <c r="L266" s="33"/>
      <c r="M266" s="37" t="str">
        <f aca="true">IF(C266="","",IF(OR(H266="Done"),"Done",IF(G266="","No Due Date",IF(G266&lt;TODAY(),"Overdue",IF(G266=TODAY(),"Due Today",IF(G266&lt;TODAY()+7,"Due This Week","Later"))))))</f>
        <v/>
      </c>
      <c r="N266" s="40" t="str">
        <f aca="false">IF(AND(C266&lt;&gt;"",H266&lt;&gt;"Done",G266&lt;&gt;""),G266+ROW()/100000,"")</f>
        <v/>
      </c>
      <c r="O266" s="37" t="str">
        <f aca="false">IF(AND(A266&lt;&gt;"",A266='Project Summary'!$C$3,H266&lt;&gt;"Done",C266&lt;&gt;""),COUNTIFS($A$2:$A266,'Project Summary'!$C$3,$H$2:$H266,"&lt;&gt;Done",$C$2:$C266,"&lt;&gt;"),"")</f>
        <v/>
      </c>
    </row>
    <row r="267" customFormat="false" ht="15" hidden="false" customHeight="false" outlineLevel="0" collapsed="false">
      <c r="A267" s="32"/>
      <c r="B267" s="32"/>
      <c r="C267" s="32"/>
      <c r="D267" s="33"/>
      <c r="E267" s="32"/>
      <c r="F267" s="32"/>
      <c r="G267" s="35"/>
      <c r="H267" s="32"/>
      <c r="I267" s="35"/>
      <c r="J267" s="35"/>
      <c r="K267" s="32"/>
      <c r="L267" s="33"/>
      <c r="M267" s="37" t="str">
        <f aca="true">IF(C267="","",IF(OR(H267="Done"),"Done",IF(G267="","No Due Date",IF(G267&lt;TODAY(),"Overdue",IF(G267=TODAY(),"Due Today",IF(G267&lt;TODAY()+7,"Due This Week","Later"))))))</f>
        <v/>
      </c>
      <c r="N267" s="40" t="str">
        <f aca="false">IF(AND(C267&lt;&gt;"",H267&lt;&gt;"Done",G267&lt;&gt;""),G267+ROW()/100000,"")</f>
        <v/>
      </c>
      <c r="O267" s="37" t="str">
        <f aca="false">IF(AND(A267&lt;&gt;"",A267='Project Summary'!$C$3,H267&lt;&gt;"Done",C267&lt;&gt;""),COUNTIFS($A$2:$A267,'Project Summary'!$C$3,$H$2:$H267,"&lt;&gt;Done",$C$2:$C267,"&lt;&gt;"),"")</f>
        <v/>
      </c>
    </row>
    <row r="268" customFormat="false" ht="15" hidden="false" customHeight="false" outlineLevel="0" collapsed="false">
      <c r="A268" s="32"/>
      <c r="B268" s="32"/>
      <c r="C268" s="32"/>
      <c r="D268" s="33"/>
      <c r="E268" s="32"/>
      <c r="F268" s="32"/>
      <c r="G268" s="35"/>
      <c r="H268" s="32"/>
      <c r="I268" s="35"/>
      <c r="J268" s="35"/>
      <c r="K268" s="32"/>
      <c r="L268" s="33"/>
      <c r="M268" s="37" t="str">
        <f aca="true">IF(C268="","",IF(OR(H268="Done"),"Done",IF(G268="","No Due Date",IF(G268&lt;TODAY(),"Overdue",IF(G268=TODAY(),"Due Today",IF(G268&lt;TODAY()+7,"Due This Week","Later"))))))</f>
        <v/>
      </c>
      <c r="N268" s="40" t="str">
        <f aca="false">IF(AND(C268&lt;&gt;"",H268&lt;&gt;"Done",G268&lt;&gt;""),G268+ROW()/100000,"")</f>
        <v/>
      </c>
      <c r="O268" s="37" t="str">
        <f aca="false">IF(AND(A268&lt;&gt;"",A268='Project Summary'!$C$3,H268&lt;&gt;"Done",C268&lt;&gt;""),COUNTIFS($A$2:$A268,'Project Summary'!$C$3,$H$2:$H268,"&lt;&gt;Done",$C$2:$C268,"&lt;&gt;"),"")</f>
        <v/>
      </c>
    </row>
    <row r="269" customFormat="false" ht="15" hidden="false" customHeight="false" outlineLevel="0" collapsed="false">
      <c r="A269" s="32"/>
      <c r="B269" s="32"/>
      <c r="C269" s="32"/>
      <c r="D269" s="33"/>
      <c r="E269" s="32"/>
      <c r="F269" s="32"/>
      <c r="G269" s="35"/>
      <c r="H269" s="32"/>
      <c r="I269" s="35"/>
      <c r="J269" s="35"/>
      <c r="K269" s="32"/>
      <c r="L269" s="33"/>
      <c r="M269" s="37" t="str">
        <f aca="true">IF(C269="","",IF(OR(H269="Done"),"Done",IF(G269="","No Due Date",IF(G269&lt;TODAY(),"Overdue",IF(G269=TODAY(),"Due Today",IF(G269&lt;TODAY()+7,"Due This Week","Later"))))))</f>
        <v/>
      </c>
      <c r="N269" s="40" t="str">
        <f aca="false">IF(AND(C269&lt;&gt;"",H269&lt;&gt;"Done",G269&lt;&gt;""),G269+ROW()/100000,"")</f>
        <v/>
      </c>
      <c r="O269" s="37" t="str">
        <f aca="false">IF(AND(A269&lt;&gt;"",A269='Project Summary'!$C$3,H269&lt;&gt;"Done",C269&lt;&gt;""),COUNTIFS($A$2:$A269,'Project Summary'!$C$3,$H$2:$H269,"&lt;&gt;Done",$C$2:$C269,"&lt;&gt;"),"")</f>
        <v/>
      </c>
    </row>
    <row r="270" customFormat="false" ht="15" hidden="false" customHeight="false" outlineLevel="0" collapsed="false">
      <c r="A270" s="32"/>
      <c r="B270" s="32"/>
      <c r="C270" s="32"/>
      <c r="D270" s="33"/>
      <c r="E270" s="32"/>
      <c r="F270" s="32"/>
      <c r="G270" s="35"/>
      <c r="H270" s="32"/>
      <c r="I270" s="35"/>
      <c r="J270" s="35"/>
      <c r="K270" s="32"/>
      <c r="L270" s="33"/>
      <c r="M270" s="37" t="str">
        <f aca="true">IF(C270="","",IF(OR(H270="Done"),"Done",IF(G270="","No Due Date",IF(G270&lt;TODAY(),"Overdue",IF(G270=TODAY(),"Due Today",IF(G270&lt;TODAY()+7,"Due This Week","Later"))))))</f>
        <v/>
      </c>
      <c r="N270" s="40" t="str">
        <f aca="false">IF(AND(C270&lt;&gt;"",H270&lt;&gt;"Done",G270&lt;&gt;""),G270+ROW()/100000,"")</f>
        <v/>
      </c>
      <c r="O270" s="37" t="str">
        <f aca="false">IF(AND(A270&lt;&gt;"",A270='Project Summary'!$C$3,H270&lt;&gt;"Done",C270&lt;&gt;""),COUNTIFS($A$2:$A270,'Project Summary'!$C$3,$H$2:$H270,"&lt;&gt;Done",$C$2:$C270,"&lt;&gt;"),"")</f>
        <v/>
      </c>
    </row>
    <row r="271" customFormat="false" ht="15" hidden="false" customHeight="false" outlineLevel="0" collapsed="false">
      <c r="A271" s="32"/>
      <c r="B271" s="32"/>
      <c r="C271" s="32"/>
      <c r="D271" s="33"/>
      <c r="E271" s="32"/>
      <c r="F271" s="32"/>
      <c r="G271" s="35"/>
      <c r="H271" s="32"/>
      <c r="I271" s="35"/>
      <c r="J271" s="35"/>
      <c r="K271" s="32"/>
      <c r="L271" s="33"/>
      <c r="M271" s="37" t="str">
        <f aca="true">IF(C271="","",IF(OR(H271="Done"),"Done",IF(G271="","No Due Date",IF(G271&lt;TODAY(),"Overdue",IF(G271=TODAY(),"Due Today",IF(G271&lt;TODAY()+7,"Due This Week","Later"))))))</f>
        <v/>
      </c>
      <c r="N271" s="40" t="str">
        <f aca="false">IF(AND(C271&lt;&gt;"",H271&lt;&gt;"Done",G271&lt;&gt;""),G271+ROW()/100000,"")</f>
        <v/>
      </c>
      <c r="O271" s="37" t="str">
        <f aca="false">IF(AND(A271&lt;&gt;"",A271='Project Summary'!$C$3,H271&lt;&gt;"Done",C271&lt;&gt;""),COUNTIFS($A$2:$A271,'Project Summary'!$C$3,$H$2:$H271,"&lt;&gt;Done",$C$2:$C271,"&lt;&gt;"),"")</f>
        <v/>
      </c>
    </row>
    <row r="272" customFormat="false" ht="15" hidden="false" customHeight="false" outlineLevel="0" collapsed="false">
      <c r="A272" s="32"/>
      <c r="B272" s="32"/>
      <c r="C272" s="32"/>
      <c r="D272" s="33"/>
      <c r="E272" s="32"/>
      <c r="F272" s="32"/>
      <c r="G272" s="35"/>
      <c r="H272" s="32"/>
      <c r="I272" s="35"/>
      <c r="J272" s="35"/>
      <c r="K272" s="32"/>
      <c r="L272" s="33"/>
      <c r="M272" s="37" t="str">
        <f aca="true">IF(C272="","",IF(OR(H272="Done"),"Done",IF(G272="","No Due Date",IF(G272&lt;TODAY(),"Overdue",IF(G272=TODAY(),"Due Today",IF(G272&lt;TODAY()+7,"Due This Week","Later"))))))</f>
        <v/>
      </c>
      <c r="N272" s="40" t="str">
        <f aca="false">IF(AND(C272&lt;&gt;"",H272&lt;&gt;"Done",G272&lt;&gt;""),G272+ROW()/100000,"")</f>
        <v/>
      </c>
      <c r="O272" s="37" t="str">
        <f aca="false">IF(AND(A272&lt;&gt;"",A272='Project Summary'!$C$3,H272&lt;&gt;"Done",C272&lt;&gt;""),COUNTIFS($A$2:$A272,'Project Summary'!$C$3,$H$2:$H272,"&lt;&gt;Done",$C$2:$C272,"&lt;&gt;"),"")</f>
        <v/>
      </c>
    </row>
    <row r="273" customFormat="false" ht="15" hidden="false" customHeight="false" outlineLevel="0" collapsed="false">
      <c r="A273" s="32"/>
      <c r="B273" s="32"/>
      <c r="C273" s="32"/>
      <c r="D273" s="33"/>
      <c r="E273" s="32"/>
      <c r="F273" s="32"/>
      <c r="G273" s="35"/>
      <c r="H273" s="32"/>
      <c r="I273" s="35"/>
      <c r="J273" s="35"/>
      <c r="K273" s="32"/>
      <c r="L273" s="33"/>
      <c r="M273" s="37" t="str">
        <f aca="true">IF(C273="","",IF(OR(H273="Done"),"Done",IF(G273="","No Due Date",IF(G273&lt;TODAY(),"Overdue",IF(G273=TODAY(),"Due Today",IF(G273&lt;TODAY()+7,"Due This Week","Later"))))))</f>
        <v/>
      </c>
      <c r="N273" s="40" t="str">
        <f aca="false">IF(AND(C273&lt;&gt;"",H273&lt;&gt;"Done",G273&lt;&gt;""),G273+ROW()/100000,"")</f>
        <v/>
      </c>
      <c r="O273" s="37" t="str">
        <f aca="false">IF(AND(A273&lt;&gt;"",A273='Project Summary'!$C$3,H273&lt;&gt;"Done",C273&lt;&gt;""),COUNTIFS($A$2:$A273,'Project Summary'!$C$3,$H$2:$H273,"&lt;&gt;Done",$C$2:$C273,"&lt;&gt;"),"")</f>
        <v/>
      </c>
    </row>
    <row r="274" customFormat="false" ht="15" hidden="false" customHeight="false" outlineLevel="0" collapsed="false">
      <c r="A274" s="32"/>
      <c r="B274" s="32"/>
      <c r="C274" s="32"/>
      <c r="D274" s="33"/>
      <c r="E274" s="32"/>
      <c r="F274" s="32"/>
      <c r="G274" s="35"/>
      <c r="H274" s="32"/>
      <c r="I274" s="35"/>
      <c r="J274" s="35"/>
      <c r="K274" s="32"/>
      <c r="L274" s="33"/>
      <c r="M274" s="37" t="str">
        <f aca="true">IF(C274="","",IF(OR(H274="Done"),"Done",IF(G274="","No Due Date",IF(G274&lt;TODAY(),"Overdue",IF(G274=TODAY(),"Due Today",IF(G274&lt;TODAY()+7,"Due This Week","Later"))))))</f>
        <v/>
      </c>
      <c r="N274" s="40" t="str">
        <f aca="false">IF(AND(C274&lt;&gt;"",H274&lt;&gt;"Done",G274&lt;&gt;""),G274+ROW()/100000,"")</f>
        <v/>
      </c>
      <c r="O274" s="37" t="str">
        <f aca="false">IF(AND(A274&lt;&gt;"",A274='Project Summary'!$C$3,H274&lt;&gt;"Done",C274&lt;&gt;""),COUNTIFS($A$2:$A274,'Project Summary'!$C$3,$H$2:$H274,"&lt;&gt;Done",$C$2:$C274,"&lt;&gt;"),"")</f>
        <v/>
      </c>
    </row>
    <row r="275" customFormat="false" ht="15" hidden="false" customHeight="false" outlineLevel="0" collapsed="false">
      <c r="A275" s="32"/>
      <c r="B275" s="32"/>
      <c r="C275" s="32"/>
      <c r="D275" s="33"/>
      <c r="E275" s="32"/>
      <c r="F275" s="32"/>
      <c r="G275" s="35"/>
      <c r="H275" s="32"/>
      <c r="I275" s="35"/>
      <c r="J275" s="35"/>
      <c r="K275" s="32"/>
      <c r="L275" s="33"/>
      <c r="M275" s="37" t="str">
        <f aca="true">IF(C275="","",IF(OR(H275="Done"),"Done",IF(G275="","No Due Date",IF(G275&lt;TODAY(),"Overdue",IF(G275=TODAY(),"Due Today",IF(G275&lt;TODAY()+7,"Due This Week","Later"))))))</f>
        <v/>
      </c>
      <c r="N275" s="40" t="str">
        <f aca="false">IF(AND(C275&lt;&gt;"",H275&lt;&gt;"Done",G275&lt;&gt;""),G275+ROW()/100000,"")</f>
        <v/>
      </c>
      <c r="O275" s="37" t="str">
        <f aca="false">IF(AND(A275&lt;&gt;"",A275='Project Summary'!$C$3,H275&lt;&gt;"Done",C275&lt;&gt;""),COUNTIFS($A$2:$A275,'Project Summary'!$C$3,$H$2:$H275,"&lt;&gt;Done",$C$2:$C275,"&lt;&gt;"),"")</f>
        <v/>
      </c>
    </row>
    <row r="276" customFormat="false" ht="15" hidden="false" customHeight="false" outlineLevel="0" collapsed="false">
      <c r="A276" s="32"/>
      <c r="B276" s="32"/>
      <c r="C276" s="32"/>
      <c r="D276" s="33"/>
      <c r="E276" s="32"/>
      <c r="F276" s="32"/>
      <c r="G276" s="35"/>
      <c r="H276" s="32"/>
      <c r="I276" s="35"/>
      <c r="J276" s="35"/>
      <c r="K276" s="32"/>
      <c r="L276" s="33"/>
      <c r="M276" s="37" t="str">
        <f aca="true">IF(C276="","",IF(OR(H276="Done"),"Done",IF(G276="","No Due Date",IF(G276&lt;TODAY(),"Overdue",IF(G276=TODAY(),"Due Today",IF(G276&lt;TODAY()+7,"Due This Week","Later"))))))</f>
        <v/>
      </c>
      <c r="N276" s="40" t="str">
        <f aca="false">IF(AND(C276&lt;&gt;"",H276&lt;&gt;"Done",G276&lt;&gt;""),G276+ROW()/100000,"")</f>
        <v/>
      </c>
      <c r="O276" s="37" t="str">
        <f aca="false">IF(AND(A276&lt;&gt;"",A276='Project Summary'!$C$3,H276&lt;&gt;"Done",C276&lt;&gt;""),COUNTIFS($A$2:$A276,'Project Summary'!$C$3,$H$2:$H276,"&lt;&gt;Done",$C$2:$C276,"&lt;&gt;"),"")</f>
        <v/>
      </c>
    </row>
    <row r="277" customFormat="false" ht="15" hidden="false" customHeight="false" outlineLevel="0" collapsed="false">
      <c r="A277" s="32"/>
      <c r="B277" s="32"/>
      <c r="C277" s="32"/>
      <c r="D277" s="33"/>
      <c r="E277" s="32"/>
      <c r="F277" s="32"/>
      <c r="G277" s="35"/>
      <c r="H277" s="32"/>
      <c r="I277" s="35"/>
      <c r="J277" s="35"/>
      <c r="K277" s="32"/>
      <c r="L277" s="33"/>
      <c r="M277" s="37" t="str">
        <f aca="true">IF(C277="","",IF(OR(H277="Done"),"Done",IF(G277="","No Due Date",IF(G277&lt;TODAY(),"Overdue",IF(G277=TODAY(),"Due Today",IF(G277&lt;TODAY()+7,"Due This Week","Later"))))))</f>
        <v/>
      </c>
      <c r="N277" s="40" t="str">
        <f aca="false">IF(AND(C277&lt;&gt;"",H277&lt;&gt;"Done",G277&lt;&gt;""),G277+ROW()/100000,"")</f>
        <v/>
      </c>
      <c r="O277" s="37" t="str">
        <f aca="false">IF(AND(A277&lt;&gt;"",A277='Project Summary'!$C$3,H277&lt;&gt;"Done",C277&lt;&gt;""),COUNTIFS($A$2:$A277,'Project Summary'!$C$3,$H$2:$H277,"&lt;&gt;Done",$C$2:$C277,"&lt;&gt;"),"")</f>
        <v/>
      </c>
    </row>
    <row r="278" customFormat="false" ht="15" hidden="false" customHeight="false" outlineLevel="0" collapsed="false">
      <c r="A278" s="32"/>
      <c r="B278" s="32"/>
      <c r="C278" s="32"/>
      <c r="D278" s="33"/>
      <c r="E278" s="32"/>
      <c r="F278" s="32"/>
      <c r="G278" s="35"/>
      <c r="H278" s="32"/>
      <c r="I278" s="35"/>
      <c r="J278" s="35"/>
      <c r="K278" s="32"/>
      <c r="L278" s="33"/>
      <c r="M278" s="37" t="str">
        <f aca="true">IF(C278="","",IF(OR(H278="Done"),"Done",IF(G278="","No Due Date",IF(G278&lt;TODAY(),"Overdue",IF(G278=TODAY(),"Due Today",IF(G278&lt;TODAY()+7,"Due This Week","Later"))))))</f>
        <v/>
      </c>
      <c r="N278" s="40" t="str">
        <f aca="false">IF(AND(C278&lt;&gt;"",H278&lt;&gt;"Done",G278&lt;&gt;""),G278+ROW()/100000,"")</f>
        <v/>
      </c>
      <c r="O278" s="37" t="str">
        <f aca="false">IF(AND(A278&lt;&gt;"",A278='Project Summary'!$C$3,H278&lt;&gt;"Done",C278&lt;&gt;""),COUNTIFS($A$2:$A278,'Project Summary'!$C$3,$H$2:$H278,"&lt;&gt;Done",$C$2:$C278,"&lt;&gt;"),"")</f>
        <v/>
      </c>
    </row>
    <row r="279" customFormat="false" ht="15" hidden="false" customHeight="false" outlineLevel="0" collapsed="false">
      <c r="A279" s="32"/>
      <c r="B279" s="32"/>
      <c r="C279" s="32"/>
      <c r="D279" s="33"/>
      <c r="E279" s="32"/>
      <c r="F279" s="32"/>
      <c r="G279" s="35"/>
      <c r="H279" s="32"/>
      <c r="I279" s="35"/>
      <c r="J279" s="35"/>
      <c r="K279" s="32"/>
      <c r="L279" s="33"/>
      <c r="M279" s="37" t="str">
        <f aca="true">IF(C279="","",IF(OR(H279="Done"),"Done",IF(G279="","No Due Date",IF(G279&lt;TODAY(),"Overdue",IF(G279=TODAY(),"Due Today",IF(G279&lt;TODAY()+7,"Due This Week","Later"))))))</f>
        <v/>
      </c>
      <c r="N279" s="40" t="str">
        <f aca="false">IF(AND(C279&lt;&gt;"",H279&lt;&gt;"Done",G279&lt;&gt;""),G279+ROW()/100000,"")</f>
        <v/>
      </c>
      <c r="O279" s="37" t="str">
        <f aca="false">IF(AND(A279&lt;&gt;"",A279='Project Summary'!$C$3,H279&lt;&gt;"Done",C279&lt;&gt;""),COUNTIFS($A$2:$A279,'Project Summary'!$C$3,$H$2:$H279,"&lt;&gt;Done",$C$2:$C279,"&lt;&gt;"),"")</f>
        <v/>
      </c>
    </row>
    <row r="280" customFormat="false" ht="15" hidden="false" customHeight="false" outlineLevel="0" collapsed="false">
      <c r="A280" s="32"/>
      <c r="B280" s="32"/>
      <c r="C280" s="32"/>
      <c r="D280" s="33"/>
      <c r="E280" s="32"/>
      <c r="F280" s="32"/>
      <c r="G280" s="35"/>
      <c r="H280" s="32"/>
      <c r="I280" s="35"/>
      <c r="J280" s="35"/>
      <c r="K280" s="32"/>
      <c r="L280" s="33"/>
      <c r="M280" s="37" t="str">
        <f aca="true">IF(C280="","",IF(OR(H280="Done"),"Done",IF(G280="","No Due Date",IF(G280&lt;TODAY(),"Overdue",IF(G280=TODAY(),"Due Today",IF(G280&lt;TODAY()+7,"Due This Week","Later"))))))</f>
        <v/>
      </c>
      <c r="N280" s="40" t="str">
        <f aca="false">IF(AND(C280&lt;&gt;"",H280&lt;&gt;"Done",G280&lt;&gt;""),G280+ROW()/100000,"")</f>
        <v/>
      </c>
      <c r="O280" s="37" t="str">
        <f aca="false">IF(AND(A280&lt;&gt;"",A280='Project Summary'!$C$3,H280&lt;&gt;"Done",C280&lt;&gt;""),COUNTIFS($A$2:$A280,'Project Summary'!$C$3,$H$2:$H280,"&lt;&gt;Done",$C$2:$C280,"&lt;&gt;"),"")</f>
        <v/>
      </c>
    </row>
    <row r="281" customFormat="false" ht="15" hidden="false" customHeight="false" outlineLevel="0" collapsed="false">
      <c r="A281" s="32"/>
      <c r="B281" s="32"/>
      <c r="C281" s="32"/>
      <c r="D281" s="33"/>
      <c r="E281" s="32"/>
      <c r="F281" s="32"/>
      <c r="G281" s="35"/>
      <c r="H281" s="32"/>
      <c r="I281" s="35"/>
      <c r="J281" s="35"/>
      <c r="K281" s="32"/>
      <c r="L281" s="33"/>
      <c r="M281" s="37" t="str">
        <f aca="true">IF(C281="","",IF(OR(H281="Done"),"Done",IF(G281="","No Due Date",IF(G281&lt;TODAY(),"Overdue",IF(G281=TODAY(),"Due Today",IF(G281&lt;TODAY()+7,"Due This Week","Later"))))))</f>
        <v/>
      </c>
      <c r="N281" s="40" t="str">
        <f aca="false">IF(AND(C281&lt;&gt;"",H281&lt;&gt;"Done",G281&lt;&gt;""),G281+ROW()/100000,"")</f>
        <v/>
      </c>
      <c r="O281" s="37" t="str">
        <f aca="false">IF(AND(A281&lt;&gt;"",A281='Project Summary'!$C$3,H281&lt;&gt;"Done",C281&lt;&gt;""),COUNTIFS($A$2:$A281,'Project Summary'!$C$3,$H$2:$H281,"&lt;&gt;Done",$C$2:$C281,"&lt;&gt;"),"")</f>
        <v/>
      </c>
    </row>
    <row r="282" customFormat="false" ht="15" hidden="false" customHeight="false" outlineLevel="0" collapsed="false">
      <c r="A282" s="32"/>
      <c r="B282" s="32"/>
      <c r="C282" s="32"/>
      <c r="D282" s="33"/>
      <c r="E282" s="32"/>
      <c r="F282" s="32"/>
      <c r="G282" s="35"/>
      <c r="H282" s="32"/>
      <c r="I282" s="35"/>
      <c r="J282" s="35"/>
      <c r="K282" s="32"/>
      <c r="L282" s="33"/>
      <c r="M282" s="37" t="str">
        <f aca="true">IF(C282="","",IF(OR(H282="Done"),"Done",IF(G282="","No Due Date",IF(G282&lt;TODAY(),"Overdue",IF(G282=TODAY(),"Due Today",IF(G282&lt;TODAY()+7,"Due This Week","Later"))))))</f>
        <v/>
      </c>
      <c r="N282" s="40" t="str">
        <f aca="false">IF(AND(C282&lt;&gt;"",H282&lt;&gt;"Done",G282&lt;&gt;""),G282+ROW()/100000,"")</f>
        <v/>
      </c>
      <c r="O282" s="37" t="str">
        <f aca="false">IF(AND(A282&lt;&gt;"",A282='Project Summary'!$C$3,H282&lt;&gt;"Done",C282&lt;&gt;""),COUNTIFS($A$2:$A282,'Project Summary'!$C$3,$H$2:$H282,"&lt;&gt;Done",$C$2:$C282,"&lt;&gt;"),"")</f>
        <v/>
      </c>
    </row>
    <row r="283" customFormat="false" ht="15" hidden="false" customHeight="false" outlineLevel="0" collapsed="false">
      <c r="A283" s="32"/>
      <c r="B283" s="32"/>
      <c r="C283" s="32"/>
      <c r="D283" s="33"/>
      <c r="E283" s="32"/>
      <c r="F283" s="32"/>
      <c r="G283" s="35"/>
      <c r="H283" s="32"/>
      <c r="I283" s="35"/>
      <c r="J283" s="35"/>
      <c r="K283" s="32"/>
      <c r="L283" s="33"/>
      <c r="M283" s="37" t="str">
        <f aca="true">IF(C283="","",IF(OR(H283="Done"),"Done",IF(G283="","No Due Date",IF(G283&lt;TODAY(),"Overdue",IF(G283=TODAY(),"Due Today",IF(G283&lt;TODAY()+7,"Due This Week","Later"))))))</f>
        <v/>
      </c>
      <c r="N283" s="40" t="str">
        <f aca="false">IF(AND(C283&lt;&gt;"",H283&lt;&gt;"Done",G283&lt;&gt;""),G283+ROW()/100000,"")</f>
        <v/>
      </c>
      <c r="O283" s="37" t="str">
        <f aca="false">IF(AND(A283&lt;&gt;"",A283='Project Summary'!$C$3,H283&lt;&gt;"Done",C283&lt;&gt;""),COUNTIFS($A$2:$A283,'Project Summary'!$C$3,$H$2:$H283,"&lt;&gt;Done",$C$2:$C283,"&lt;&gt;"),"")</f>
        <v/>
      </c>
    </row>
    <row r="284" customFormat="false" ht="15" hidden="false" customHeight="false" outlineLevel="0" collapsed="false">
      <c r="A284" s="32"/>
      <c r="B284" s="32"/>
      <c r="C284" s="32"/>
      <c r="D284" s="33"/>
      <c r="E284" s="32"/>
      <c r="F284" s="32"/>
      <c r="G284" s="35"/>
      <c r="H284" s="32"/>
      <c r="I284" s="35"/>
      <c r="J284" s="35"/>
      <c r="K284" s="32"/>
      <c r="L284" s="33"/>
      <c r="M284" s="37" t="str">
        <f aca="true">IF(C284="","",IF(OR(H284="Done"),"Done",IF(G284="","No Due Date",IF(G284&lt;TODAY(),"Overdue",IF(G284=TODAY(),"Due Today",IF(G284&lt;TODAY()+7,"Due This Week","Later"))))))</f>
        <v/>
      </c>
      <c r="N284" s="40" t="str">
        <f aca="false">IF(AND(C284&lt;&gt;"",H284&lt;&gt;"Done",G284&lt;&gt;""),G284+ROW()/100000,"")</f>
        <v/>
      </c>
      <c r="O284" s="37" t="str">
        <f aca="false">IF(AND(A284&lt;&gt;"",A284='Project Summary'!$C$3,H284&lt;&gt;"Done",C284&lt;&gt;""),COUNTIFS($A$2:$A284,'Project Summary'!$C$3,$H$2:$H284,"&lt;&gt;Done",$C$2:$C284,"&lt;&gt;"),"")</f>
        <v/>
      </c>
    </row>
    <row r="285" customFormat="false" ht="15" hidden="false" customHeight="false" outlineLevel="0" collapsed="false">
      <c r="A285" s="32"/>
      <c r="B285" s="32"/>
      <c r="C285" s="32"/>
      <c r="D285" s="33"/>
      <c r="E285" s="32"/>
      <c r="F285" s="32"/>
      <c r="G285" s="35"/>
      <c r="H285" s="32"/>
      <c r="I285" s="35"/>
      <c r="J285" s="35"/>
      <c r="K285" s="32"/>
      <c r="L285" s="33"/>
      <c r="M285" s="37" t="str">
        <f aca="true">IF(C285="","",IF(OR(H285="Done"),"Done",IF(G285="","No Due Date",IF(G285&lt;TODAY(),"Overdue",IF(G285=TODAY(),"Due Today",IF(G285&lt;TODAY()+7,"Due This Week","Later"))))))</f>
        <v/>
      </c>
      <c r="N285" s="40" t="str">
        <f aca="false">IF(AND(C285&lt;&gt;"",H285&lt;&gt;"Done",G285&lt;&gt;""),G285+ROW()/100000,"")</f>
        <v/>
      </c>
      <c r="O285" s="37" t="str">
        <f aca="false">IF(AND(A285&lt;&gt;"",A285='Project Summary'!$C$3,H285&lt;&gt;"Done",C285&lt;&gt;""),COUNTIFS($A$2:$A285,'Project Summary'!$C$3,$H$2:$H285,"&lt;&gt;Done",$C$2:$C285,"&lt;&gt;"),"")</f>
        <v/>
      </c>
    </row>
    <row r="286" customFormat="false" ht="15" hidden="false" customHeight="false" outlineLevel="0" collapsed="false">
      <c r="A286" s="32"/>
      <c r="B286" s="32"/>
      <c r="C286" s="32"/>
      <c r="D286" s="33"/>
      <c r="E286" s="32"/>
      <c r="F286" s="32"/>
      <c r="G286" s="35"/>
      <c r="H286" s="32"/>
      <c r="I286" s="35"/>
      <c r="J286" s="35"/>
      <c r="K286" s="32"/>
      <c r="L286" s="33"/>
      <c r="M286" s="37" t="str">
        <f aca="true">IF(C286="","",IF(OR(H286="Done"),"Done",IF(G286="","No Due Date",IF(G286&lt;TODAY(),"Overdue",IF(G286=TODAY(),"Due Today",IF(G286&lt;TODAY()+7,"Due This Week","Later"))))))</f>
        <v/>
      </c>
      <c r="N286" s="40" t="str">
        <f aca="false">IF(AND(C286&lt;&gt;"",H286&lt;&gt;"Done",G286&lt;&gt;""),G286+ROW()/100000,"")</f>
        <v/>
      </c>
      <c r="O286" s="37" t="str">
        <f aca="false">IF(AND(A286&lt;&gt;"",A286='Project Summary'!$C$3,H286&lt;&gt;"Done",C286&lt;&gt;""),COUNTIFS($A$2:$A286,'Project Summary'!$C$3,$H$2:$H286,"&lt;&gt;Done",$C$2:$C286,"&lt;&gt;"),"")</f>
        <v/>
      </c>
    </row>
    <row r="287" customFormat="false" ht="15" hidden="false" customHeight="false" outlineLevel="0" collapsed="false">
      <c r="A287" s="32"/>
      <c r="B287" s="32"/>
      <c r="C287" s="32"/>
      <c r="D287" s="33"/>
      <c r="E287" s="32"/>
      <c r="F287" s="32"/>
      <c r="G287" s="35"/>
      <c r="H287" s="32"/>
      <c r="I287" s="35"/>
      <c r="J287" s="35"/>
      <c r="K287" s="32"/>
      <c r="L287" s="33"/>
      <c r="M287" s="37" t="str">
        <f aca="true">IF(C287="","",IF(OR(H287="Done"),"Done",IF(G287="","No Due Date",IF(G287&lt;TODAY(),"Overdue",IF(G287=TODAY(),"Due Today",IF(G287&lt;TODAY()+7,"Due This Week","Later"))))))</f>
        <v/>
      </c>
      <c r="N287" s="40" t="str">
        <f aca="false">IF(AND(C287&lt;&gt;"",H287&lt;&gt;"Done",G287&lt;&gt;""),G287+ROW()/100000,"")</f>
        <v/>
      </c>
      <c r="O287" s="37" t="str">
        <f aca="false">IF(AND(A287&lt;&gt;"",A287='Project Summary'!$C$3,H287&lt;&gt;"Done",C287&lt;&gt;""),COUNTIFS($A$2:$A287,'Project Summary'!$C$3,$H$2:$H287,"&lt;&gt;Done",$C$2:$C287,"&lt;&gt;"),"")</f>
        <v/>
      </c>
    </row>
    <row r="288" customFormat="false" ht="15" hidden="false" customHeight="false" outlineLevel="0" collapsed="false">
      <c r="A288" s="32"/>
      <c r="B288" s="32"/>
      <c r="C288" s="32"/>
      <c r="D288" s="33"/>
      <c r="E288" s="32"/>
      <c r="F288" s="32"/>
      <c r="G288" s="35"/>
      <c r="H288" s="32"/>
      <c r="I288" s="35"/>
      <c r="J288" s="35"/>
      <c r="K288" s="32"/>
      <c r="L288" s="33"/>
      <c r="M288" s="37" t="str">
        <f aca="true">IF(C288="","",IF(OR(H288="Done"),"Done",IF(G288="","No Due Date",IF(G288&lt;TODAY(),"Overdue",IF(G288=TODAY(),"Due Today",IF(G288&lt;TODAY()+7,"Due This Week","Later"))))))</f>
        <v/>
      </c>
      <c r="N288" s="40" t="str">
        <f aca="false">IF(AND(C288&lt;&gt;"",H288&lt;&gt;"Done",G288&lt;&gt;""),G288+ROW()/100000,"")</f>
        <v/>
      </c>
      <c r="O288" s="37" t="str">
        <f aca="false">IF(AND(A288&lt;&gt;"",A288='Project Summary'!$C$3,H288&lt;&gt;"Done",C288&lt;&gt;""),COUNTIFS($A$2:$A288,'Project Summary'!$C$3,$H$2:$H288,"&lt;&gt;Done",$C$2:$C288,"&lt;&gt;"),"")</f>
        <v/>
      </c>
    </row>
    <row r="289" customFormat="false" ht="15" hidden="false" customHeight="false" outlineLevel="0" collapsed="false">
      <c r="A289" s="32"/>
      <c r="B289" s="32"/>
      <c r="C289" s="32"/>
      <c r="D289" s="33"/>
      <c r="E289" s="32"/>
      <c r="F289" s="32"/>
      <c r="G289" s="35"/>
      <c r="H289" s="32"/>
      <c r="I289" s="35"/>
      <c r="J289" s="35"/>
      <c r="K289" s="32"/>
      <c r="L289" s="33"/>
      <c r="M289" s="37" t="str">
        <f aca="true">IF(C289="","",IF(OR(H289="Done"),"Done",IF(G289="","No Due Date",IF(G289&lt;TODAY(),"Overdue",IF(G289=TODAY(),"Due Today",IF(G289&lt;TODAY()+7,"Due This Week","Later"))))))</f>
        <v/>
      </c>
      <c r="N289" s="40" t="str">
        <f aca="false">IF(AND(C289&lt;&gt;"",H289&lt;&gt;"Done",G289&lt;&gt;""),G289+ROW()/100000,"")</f>
        <v/>
      </c>
      <c r="O289" s="37" t="str">
        <f aca="false">IF(AND(A289&lt;&gt;"",A289='Project Summary'!$C$3,H289&lt;&gt;"Done",C289&lt;&gt;""),COUNTIFS($A$2:$A289,'Project Summary'!$C$3,$H$2:$H289,"&lt;&gt;Done",$C$2:$C289,"&lt;&gt;"),"")</f>
        <v/>
      </c>
    </row>
    <row r="290" customFormat="false" ht="15" hidden="false" customHeight="false" outlineLevel="0" collapsed="false">
      <c r="A290" s="32"/>
      <c r="B290" s="32"/>
      <c r="C290" s="32"/>
      <c r="D290" s="33"/>
      <c r="E290" s="32"/>
      <c r="F290" s="32"/>
      <c r="G290" s="35"/>
      <c r="H290" s="32"/>
      <c r="I290" s="35"/>
      <c r="J290" s="35"/>
      <c r="K290" s="32"/>
      <c r="L290" s="33"/>
      <c r="M290" s="37" t="str">
        <f aca="true">IF(C290="","",IF(OR(H290="Done"),"Done",IF(G290="","No Due Date",IF(G290&lt;TODAY(),"Overdue",IF(G290=TODAY(),"Due Today",IF(G290&lt;TODAY()+7,"Due This Week","Later"))))))</f>
        <v/>
      </c>
      <c r="N290" s="40" t="str">
        <f aca="false">IF(AND(C290&lt;&gt;"",H290&lt;&gt;"Done",G290&lt;&gt;""),G290+ROW()/100000,"")</f>
        <v/>
      </c>
      <c r="O290" s="37" t="str">
        <f aca="false">IF(AND(A290&lt;&gt;"",A290='Project Summary'!$C$3,H290&lt;&gt;"Done",C290&lt;&gt;""),COUNTIFS($A$2:$A290,'Project Summary'!$C$3,$H$2:$H290,"&lt;&gt;Done",$C$2:$C290,"&lt;&gt;"),"")</f>
        <v/>
      </c>
    </row>
    <row r="291" customFormat="false" ht="15" hidden="false" customHeight="false" outlineLevel="0" collapsed="false">
      <c r="A291" s="32"/>
      <c r="B291" s="32"/>
      <c r="C291" s="32"/>
      <c r="D291" s="33"/>
      <c r="E291" s="32"/>
      <c r="F291" s="32"/>
      <c r="G291" s="35"/>
      <c r="H291" s="32"/>
      <c r="I291" s="35"/>
      <c r="J291" s="35"/>
      <c r="K291" s="32"/>
      <c r="L291" s="33"/>
      <c r="M291" s="37" t="str">
        <f aca="true">IF(C291="","",IF(OR(H291="Done"),"Done",IF(G291="","No Due Date",IF(G291&lt;TODAY(),"Overdue",IF(G291=TODAY(),"Due Today",IF(G291&lt;TODAY()+7,"Due This Week","Later"))))))</f>
        <v/>
      </c>
      <c r="N291" s="40" t="str">
        <f aca="false">IF(AND(C291&lt;&gt;"",H291&lt;&gt;"Done",G291&lt;&gt;""),G291+ROW()/100000,"")</f>
        <v/>
      </c>
      <c r="O291" s="37" t="str">
        <f aca="false">IF(AND(A291&lt;&gt;"",A291='Project Summary'!$C$3,H291&lt;&gt;"Done",C291&lt;&gt;""),COUNTIFS($A$2:$A291,'Project Summary'!$C$3,$H$2:$H291,"&lt;&gt;Done",$C$2:$C291,"&lt;&gt;"),"")</f>
        <v/>
      </c>
    </row>
    <row r="292" customFormat="false" ht="15" hidden="false" customHeight="false" outlineLevel="0" collapsed="false">
      <c r="A292" s="32"/>
      <c r="B292" s="32"/>
      <c r="C292" s="32"/>
      <c r="D292" s="33"/>
      <c r="E292" s="32"/>
      <c r="F292" s="32"/>
      <c r="G292" s="35"/>
      <c r="H292" s="32"/>
      <c r="I292" s="35"/>
      <c r="J292" s="35"/>
      <c r="K292" s="32"/>
      <c r="L292" s="33"/>
      <c r="M292" s="37" t="str">
        <f aca="true">IF(C292="","",IF(OR(H292="Done"),"Done",IF(G292="","No Due Date",IF(G292&lt;TODAY(),"Overdue",IF(G292=TODAY(),"Due Today",IF(G292&lt;TODAY()+7,"Due This Week","Later"))))))</f>
        <v/>
      </c>
      <c r="N292" s="40" t="str">
        <f aca="false">IF(AND(C292&lt;&gt;"",H292&lt;&gt;"Done",G292&lt;&gt;""),G292+ROW()/100000,"")</f>
        <v/>
      </c>
      <c r="O292" s="37" t="str">
        <f aca="false">IF(AND(A292&lt;&gt;"",A292='Project Summary'!$C$3,H292&lt;&gt;"Done",C292&lt;&gt;""),COUNTIFS($A$2:$A292,'Project Summary'!$C$3,$H$2:$H292,"&lt;&gt;Done",$C$2:$C292,"&lt;&gt;"),"")</f>
        <v/>
      </c>
    </row>
    <row r="293" customFormat="false" ht="15" hidden="false" customHeight="false" outlineLevel="0" collapsed="false">
      <c r="A293" s="32"/>
      <c r="B293" s="32"/>
      <c r="C293" s="32"/>
      <c r="D293" s="33"/>
      <c r="E293" s="32"/>
      <c r="F293" s="32"/>
      <c r="G293" s="35"/>
      <c r="H293" s="32"/>
      <c r="I293" s="35"/>
      <c r="J293" s="35"/>
      <c r="K293" s="32"/>
      <c r="L293" s="33"/>
      <c r="M293" s="37" t="str">
        <f aca="true">IF(C293="","",IF(OR(H293="Done"),"Done",IF(G293="","No Due Date",IF(G293&lt;TODAY(),"Overdue",IF(G293=TODAY(),"Due Today",IF(G293&lt;TODAY()+7,"Due This Week","Later"))))))</f>
        <v/>
      </c>
      <c r="N293" s="40" t="str">
        <f aca="false">IF(AND(C293&lt;&gt;"",H293&lt;&gt;"Done",G293&lt;&gt;""),G293+ROW()/100000,"")</f>
        <v/>
      </c>
      <c r="O293" s="37" t="str">
        <f aca="false">IF(AND(A293&lt;&gt;"",A293='Project Summary'!$C$3,H293&lt;&gt;"Done",C293&lt;&gt;""),COUNTIFS($A$2:$A293,'Project Summary'!$C$3,$H$2:$H293,"&lt;&gt;Done",$C$2:$C293,"&lt;&gt;"),"")</f>
        <v/>
      </c>
    </row>
    <row r="294" customFormat="false" ht="15" hidden="false" customHeight="false" outlineLevel="0" collapsed="false">
      <c r="A294" s="32"/>
      <c r="B294" s="32"/>
      <c r="C294" s="32"/>
      <c r="D294" s="33"/>
      <c r="E294" s="32"/>
      <c r="F294" s="32"/>
      <c r="G294" s="35"/>
      <c r="H294" s="32"/>
      <c r="I294" s="35"/>
      <c r="J294" s="35"/>
      <c r="K294" s="32"/>
      <c r="L294" s="33"/>
      <c r="M294" s="37" t="str">
        <f aca="true">IF(C294="","",IF(OR(H294="Done"),"Done",IF(G294="","No Due Date",IF(G294&lt;TODAY(),"Overdue",IF(G294=TODAY(),"Due Today",IF(G294&lt;TODAY()+7,"Due This Week","Later"))))))</f>
        <v/>
      </c>
      <c r="N294" s="40" t="str">
        <f aca="false">IF(AND(C294&lt;&gt;"",H294&lt;&gt;"Done",G294&lt;&gt;""),G294+ROW()/100000,"")</f>
        <v/>
      </c>
      <c r="O294" s="37" t="str">
        <f aca="false">IF(AND(A294&lt;&gt;"",A294='Project Summary'!$C$3,H294&lt;&gt;"Done",C294&lt;&gt;""),COUNTIFS($A$2:$A294,'Project Summary'!$C$3,$H$2:$H294,"&lt;&gt;Done",$C$2:$C294,"&lt;&gt;"),"")</f>
        <v/>
      </c>
    </row>
    <row r="295" customFormat="false" ht="15" hidden="false" customHeight="false" outlineLevel="0" collapsed="false">
      <c r="A295" s="32"/>
      <c r="B295" s="32"/>
      <c r="C295" s="32"/>
      <c r="D295" s="33"/>
      <c r="E295" s="32"/>
      <c r="F295" s="32"/>
      <c r="G295" s="35"/>
      <c r="H295" s="32"/>
      <c r="I295" s="35"/>
      <c r="J295" s="35"/>
      <c r="K295" s="32"/>
      <c r="L295" s="33"/>
      <c r="M295" s="37" t="str">
        <f aca="true">IF(C295="","",IF(OR(H295="Done"),"Done",IF(G295="","No Due Date",IF(G295&lt;TODAY(),"Overdue",IF(G295=TODAY(),"Due Today",IF(G295&lt;TODAY()+7,"Due This Week","Later"))))))</f>
        <v/>
      </c>
      <c r="N295" s="40" t="str">
        <f aca="false">IF(AND(C295&lt;&gt;"",H295&lt;&gt;"Done",G295&lt;&gt;""),G295+ROW()/100000,"")</f>
        <v/>
      </c>
      <c r="O295" s="37" t="str">
        <f aca="false">IF(AND(A295&lt;&gt;"",A295='Project Summary'!$C$3,H295&lt;&gt;"Done",C295&lt;&gt;""),COUNTIFS($A$2:$A295,'Project Summary'!$C$3,$H$2:$H295,"&lt;&gt;Done",$C$2:$C295,"&lt;&gt;"),"")</f>
        <v/>
      </c>
    </row>
    <row r="296" customFormat="false" ht="15" hidden="false" customHeight="false" outlineLevel="0" collapsed="false">
      <c r="A296" s="32"/>
      <c r="B296" s="32"/>
      <c r="C296" s="32"/>
      <c r="D296" s="33"/>
      <c r="E296" s="32"/>
      <c r="F296" s="32"/>
      <c r="G296" s="35"/>
      <c r="H296" s="32"/>
      <c r="I296" s="35"/>
      <c r="J296" s="35"/>
      <c r="K296" s="32"/>
      <c r="L296" s="33"/>
      <c r="M296" s="37" t="str">
        <f aca="true">IF(C296="","",IF(OR(H296="Done"),"Done",IF(G296="","No Due Date",IF(G296&lt;TODAY(),"Overdue",IF(G296=TODAY(),"Due Today",IF(G296&lt;TODAY()+7,"Due This Week","Later"))))))</f>
        <v/>
      </c>
      <c r="N296" s="40" t="str">
        <f aca="false">IF(AND(C296&lt;&gt;"",H296&lt;&gt;"Done",G296&lt;&gt;""),G296+ROW()/100000,"")</f>
        <v/>
      </c>
      <c r="O296" s="37" t="str">
        <f aca="false">IF(AND(A296&lt;&gt;"",A296='Project Summary'!$C$3,H296&lt;&gt;"Done",C296&lt;&gt;""),COUNTIFS($A$2:$A296,'Project Summary'!$C$3,$H$2:$H296,"&lt;&gt;Done",$C$2:$C296,"&lt;&gt;"),"")</f>
        <v/>
      </c>
    </row>
    <row r="297" customFormat="false" ht="15" hidden="false" customHeight="false" outlineLevel="0" collapsed="false">
      <c r="A297" s="32"/>
      <c r="B297" s="32"/>
      <c r="C297" s="32"/>
      <c r="D297" s="33"/>
      <c r="E297" s="32"/>
      <c r="F297" s="32"/>
      <c r="G297" s="35"/>
      <c r="H297" s="32"/>
      <c r="I297" s="35"/>
      <c r="J297" s="35"/>
      <c r="K297" s="32"/>
      <c r="L297" s="33"/>
      <c r="M297" s="37" t="str">
        <f aca="true">IF(C297="","",IF(OR(H297="Done"),"Done",IF(G297="","No Due Date",IF(G297&lt;TODAY(),"Overdue",IF(G297=TODAY(),"Due Today",IF(G297&lt;TODAY()+7,"Due This Week","Later"))))))</f>
        <v/>
      </c>
      <c r="N297" s="40" t="str">
        <f aca="false">IF(AND(C297&lt;&gt;"",H297&lt;&gt;"Done",G297&lt;&gt;""),G297+ROW()/100000,"")</f>
        <v/>
      </c>
      <c r="O297" s="37" t="str">
        <f aca="false">IF(AND(A297&lt;&gt;"",A297='Project Summary'!$C$3,H297&lt;&gt;"Done",C297&lt;&gt;""),COUNTIFS($A$2:$A297,'Project Summary'!$C$3,$H$2:$H297,"&lt;&gt;Done",$C$2:$C297,"&lt;&gt;"),"")</f>
        <v/>
      </c>
    </row>
    <row r="298" customFormat="false" ht="15" hidden="false" customHeight="false" outlineLevel="0" collapsed="false">
      <c r="A298" s="32"/>
      <c r="B298" s="32"/>
      <c r="C298" s="32"/>
      <c r="D298" s="33"/>
      <c r="E298" s="32"/>
      <c r="F298" s="32"/>
      <c r="G298" s="35"/>
      <c r="H298" s="32"/>
      <c r="I298" s="35"/>
      <c r="J298" s="35"/>
      <c r="K298" s="32"/>
      <c r="L298" s="33"/>
      <c r="M298" s="37" t="str">
        <f aca="true">IF(C298="","",IF(OR(H298="Done"),"Done",IF(G298="","No Due Date",IF(G298&lt;TODAY(),"Overdue",IF(G298=TODAY(),"Due Today",IF(G298&lt;TODAY()+7,"Due This Week","Later"))))))</f>
        <v/>
      </c>
      <c r="N298" s="40" t="str">
        <f aca="false">IF(AND(C298&lt;&gt;"",H298&lt;&gt;"Done",G298&lt;&gt;""),G298+ROW()/100000,"")</f>
        <v/>
      </c>
      <c r="O298" s="37" t="str">
        <f aca="false">IF(AND(A298&lt;&gt;"",A298='Project Summary'!$C$3,H298&lt;&gt;"Done",C298&lt;&gt;""),COUNTIFS($A$2:$A298,'Project Summary'!$C$3,$H$2:$H298,"&lt;&gt;Done",$C$2:$C298,"&lt;&gt;"),"")</f>
        <v/>
      </c>
    </row>
    <row r="299" customFormat="false" ht="15" hidden="false" customHeight="false" outlineLevel="0" collapsed="false">
      <c r="A299" s="32"/>
      <c r="B299" s="32"/>
      <c r="C299" s="32"/>
      <c r="D299" s="33"/>
      <c r="E299" s="32"/>
      <c r="F299" s="32"/>
      <c r="G299" s="35"/>
      <c r="H299" s="32"/>
      <c r="I299" s="35"/>
      <c r="J299" s="35"/>
      <c r="K299" s="32"/>
      <c r="L299" s="33"/>
      <c r="M299" s="37" t="str">
        <f aca="true">IF(C299="","",IF(OR(H299="Done"),"Done",IF(G299="","No Due Date",IF(G299&lt;TODAY(),"Overdue",IF(G299=TODAY(),"Due Today",IF(G299&lt;TODAY()+7,"Due This Week","Later"))))))</f>
        <v/>
      </c>
      <c r="N299" s="40" t="str">
        <f aca="false">IF(AND(C299&lt;&gt;"",H299&lt;&gt;"Done",G299&lt;&gt;""),G299+ROW()/100000,"")</f>
        <v/>
      </c>
      <c r="O299" s="37" t="str">
        <f aca="false">IF(AND(A299&lt;&gt;"",A299='Project Summary'!$C$3,H299&lt;&gt;"Done",C299&lt;&gt;""),COUNTIFS($A$2:$A299,'Project Summary'!$C$3,$H$2:$H299,"&lt;&gt;Done",$C$2:$C299,"&lt;&gt;"),"")</f>
        <v/>
      </c>
    </row>
    <row r="300" customFormat="false" ht="15" hidden="false" customHeight="false" outlineLevel="0" collapsed="false">
      <c r="A300" s="32"/>
      <c r="B300" s="32"/>
      <c r="C300" s="32"/>
      <c r="D300" s="33"/>
      <c r="E300" s="32"/>
      <c r="F300" s="32"/>
      <c r="G300" s="35"/>
      <c r="H300" s="32"/>
      <c r="I300" s="35"/>
      <c r="J300" s="35"/>
      <c r="K300" s="32"/>
      <c r="L300" s="33"/>
      <c r="M300" s="37" t="str">
        <f aca="true">IF(C300="","",IF(OR(H300="Done"),"Done",IF(G300="","No Due Date",IF(G300&lt;TODAY(),"Overdue",IF(G300=TODAY(),"Due Today",IF(G300&lt;TODAY()+7,"Due This Week","Later"))))))</f>
        <v/>
      </c>
      <c r="N300" s="40" t="str">
        <f aca="false">IF(AND(C300&lt;&gt;"",H300&lt;&gt;"Done",G300&lt;&gt;""),G300+ROW()/100000,"")</f>
        <v/>
      </c>
      <c r="O300" s="37" t="str">
        <f aca="false">IF(AND(A300&lt;&gt;"",A300='Project Summary'!$C$3,H300&lt;&gt;"Done",C300&lt;&gt;""),COUNTIFS($A$2:$A300,'Project Summary'!$C$3,$H$2:$H300,"&lt;&gt;Done",$C$2:$C300,"&lt;&gt;"),"")</f>
        <v/>
      </c>
    </row>
    <row r="301" customFormat="false" ht="15" hidden="false" customHeight="false" outlineLevel="0" collapsed="false">
      <c r="A301" s="32"/>
      <c r="B301" s="32"/>
      <c r="C301" s="32"/>
      <c r="D301" s="33"/>
      <c r="E301" s="32"/>
      <c r="F301" s="32"/>
      <c r="G301" s="35"/>
      <c r="H301" s="32"/>
      <c r="I301" s="35"/>
      <c r="J301" s="35"/>
      <c r="K301" s="32"/>
      <c r="L301" s="33"/>
      <c r="M301" s="37" t="str">
        <f aca="true">IF(C301="","",IF(OR(H301="Done"),"Done",IF(G301="","No Due Date",IF(G301&lt;TODAY(),"Overdue",IF(G301=TODAY(),"Due Today",IF(G301&lt;TODAY()+7,"Due This Week","Later"))))))</f>
        <v/>
      </c>
      <c r="N301" s="40" t="str">
        <f aca="false">IF(AND(C301&lt;&gt;"",H301&lt;&gt;"Done",G301&lt;&gt;""),G301+ROW()/100000,"")</f>
        <v/>
      </c>
      <c r="O301" s="37" t="str">
        <f aca="false">IF(AND(A301&lt;&gt;"",A301='Project Summary'!$C$3,H301&lt;&gt;"Done",C301&lt;&gt;""),COUNTIFS($A$2:$A301,'Project Summary'!$C$3,$H$2:$H301,"&lt;&gt;Done",$C$2:$C301,"&lt;&gt;"),"")</f>
        <v/>
      </c>
    </row>
    <row r="302" customFormat="false" ht="15" hidden="false" customHeight="false" outlineLevel="0" collapsed="false">
      <c r="A302" s="32"/>
      <c r="B302" s="32"/>
      <c r="C302" s="32"/>
      <c r="D302" s="33"/>
      <c r="E302" s="32"/>
      <c r="F302" s="32"/>
      <c r="G302" s="35"/>
      <c r="H302" s="32"/>
      <c r="I302" s="35"/>
      <c r="J302" s="35"/>
      <c r="K302" s="32"/>
      <c r="L302" s="33"/>
      <c r="M302" s="37" t="str">
        <f aca="true">IF(C302="","",IF(OR(H302="Done"),"Done",IF(G302="","No Due Date",IF(G302&lt;TODAY(),"Overdue",IF(G302=TODAY(),"Due Today",IF(G302&lt;TODAY()+7,"Due This Week","Later"))))))</f>
        <v/>
      </c>
      <c r="N302" s="40" t="str">
        <f aca="false">IF(AND(C302&lt;&gt;"",H302&lt;&gt;"Done",G302&lt;&gt;""),G302+ROW()/100000,"")</f>
        <v/>
      </c>
      <c r="O302" s="37" t="str">
        <f aca="false">IF(AND(A302&lt;&gt;"",A302='Project Summary'!$C$3,H302&lt;&gt;"Done",C302&lt;&gt;""),COUNTIFS($A$2:$A302,'Project Summary'!$C$3,$H$2:$H302,"&lt;&gt;Done",$C$2:$C302,"&lt;&gt;"),"")</f>
        <v/>
      </c>
    </row>
    <row r="303" customFormat="false" ht="15" hidden="false" customHeight="false" outlineLevel="0" collapsed="false">
      <c r="A303" s="32"/>
      <c r="B303" s="32"/>
      <c r="C303" s="32"/>
      <c r="D303" s="33"/>
      <c r="E303" s="32"/>
      <c r="F303" s="32"/>
      <c r="G303" s="35"/>
      <c r="H303" s="32"/>
      <c r="I303" s="35"/>
      <c r="J303" s="35"/>
      <c r="K303" s="32"/>
      <c r="L303" s="33"/>
      <c r="M303" s="37" t="str">
        <f aca="true">IF(C303="","",IF(OR(H303="Done"),"Done",IF(G303="","No Due Date",IF(G303&lt;TODAY(),"Overdue",IF(G303=TODAY(),"Due Today",IF(G303&lt;TODAY()+7,"Due This Week","Later"))))))</f>
        <v/>
      </c>
      <c r="N303" s="40" t="str">
        <f aca="false">IF(AND(C303&lt;&gt;"",H303&lt;&gt;"Done",G303&lt;&gt;""),G303+ROW()/100000,"")</f>
        <v/>
      </c>
      <c r="O303" s="37" t="str">
        <f aca="false">IF(AND(A303&lt;&gt;"",A303='Project Summary'!$C$3,H303&lt;&gt;"Done",C303&lt;&gt;""),COUNTIFS($A$2:$A303,'Project Summary'!$C$3,$H$2:$H303,"&lt;&gt;Done",$C$2:$C303,"&lt;&gt;"),"")</f>
        <v/>
      </c>
    </row>
    <row r="304" customFormat="false" ht="15" hidden="false" customHeight="false" outlineLevel="0" collapsed="false">
      <c r="A304" s="32"/>
      <c r="B304" s="32"/>
      <c r="C304" s="32"/>
      <c r="D304" s="33"/>
      <c r="E304" s="32"/>
      <c r="F304" s="32"/>
      <c r="G304" s="35"/>
      <c r="H304" s="32"/>
      <c r="I304" s="35"/>
      <c r="J304" s="35"/>
      <c r="K304" s="32"/>
      <c r="L304" s="33"/>
      <c r="M304" s="37" t="str">
        <f aca="true">IF(C304="","",IF(OR(H304="Done"),"Done",IF(G304="","No Due Date",IF(G304&lt;TODAY(),"Overdue",IF(G304=TODAY(),"Due Today",IF(G304&lt;TODAY()+7,"Due This Week","Later"))))))</f>
        <v/>
      </c>
      <c r="N304" s="40" t="str">
        <f aca="false">IF(AND(C304&lt;&gt;"",H304&lt;&gt;"Done",G304&lt;&gt;""),G304+ROW()/100000,"")</f>
        <v/>
      </c>
      <c r="O304" s="37" t="str">
        <f aca="false">IF(AND(A304&lt;&gt;"",A304='Project Summary'!$C$3,H304&lt;&gt;"Done",C304&lt;&gt;""),COUNTIFS($A$2:$A304,'Project Summary'!$C$3,$H$2:$H304,"&lt;&gt;Done",$C$2:$C304,"&lt;&gt;"),"")</f>
        <v/>
      </c>
    </row>
    <row r="305" customFormat="false" ht="15" hidden="false" customHeight="false" outlineLevel="0" collapsed="false">
      <c r="A305" s="32"/>
      <c r="B305" s="32"/>
      <c r="C305" s="32"/>
      <c r="D305" s="33"/>
      <c r="E305" s="32"/>
      <c r="F305" s="32"/>
      <c r="G305" s="35"/>
      <c r="H305" s="32"/>
      <c r="I305" s="35"/>
      <c r="J305" s="35"/>
      <c r="K305" s="32"/>
      <c r="L305" s="33"/>
      <c r="M305" s="37" t="str">
        <f aca="true">IF(C305="","",IF(OR(H305="Done"),"Done",IF(G305="","No Due Date",IF(G305&lt;TODAY(),"Overdue",IF(G305=TODAY(),"Due Today",IF(G305&lt;TODAY()+7,"Due This Week","Later"))))))</f>
        <v/>
      </c>
      <c r="N305" s="40" t="str">
        <f aca="false">IF(AND(C305&lt;&gt;"",H305&lt;&gt;"Done",G305&lt;&gt;""),G305+ROW()/100000,"")</f>
        <v/>
      </c>
      <c r="O305" s="37" t="str">
        <f aca="false">IF(AND(A305&lt;&gt;"",A305='Project Summary'!$C$3,H305&lt;&gt;"Done",C305&lt;&gt;""),COUNTIFS($A$2:$A305,'Project Summary'!$C$3,$H$2:$H305,"&lt;&gt;Done",$C$2:$C305,"&lt;&gt;"),"")</f>
        <v/>
      </c>
    </row>
    <row r="306" customFormat="false" ht="15" hidden="false" customHeight="false" outlineLevel="0" collapsed="false">
      <c r="A306" s="32"/>
      <c r="B306" s="32"/>
      <c r="C306" s="32"/>
      <c r="D306" s="33"/>
      <c r="E306" s="32"/>
      <c r="F306" s="32"/>
      <c r="G306" s="35"/>
      <c r="H306" s="32"/>
      <c r="I306" s="35"/>
      <c r="J306" s="35"/>
      <c r="K306" s="32"/>
      <c r="L306" s="33"/>
      <c r="M306" s="37" t="str">
        <f aca="true">IF(C306="","",IF(OR(H306="Done"),"Done",IF(G306="","No Due Date",IF(G306&lt;TODAY(),"Overdue",IF(G306=TODAY(),"Due Today",IF(G306&lt;TODAY()+7,"Due This Week","Later"))))))</f>
        <v/>
      </c>
      <c r="N306" s="40" t="str">
        <f aca="false">IF(AND(C306&lt;&gt;"",H306&lt;&gt;"Done",G306&lt;&gt;""),G306+ROW()/100000,"")</f>
        <v/>
      </c>
      <c r="O306" s="37" t="str">
        <f aca="false">IF(AND(A306&lt;&gt;"",A306='Project Summary'!$C$3,H306&lt;&gt;"Done",C306&lt;&gt;""),COUNTIFS($A$2:$A306,'Project Summary'!$C$3,$H$2:$H306,"&lt;&gt;Done",$C$2:$C306,"&lt;&gt;"),"")</f>
        <v/>
      </c>
    </row>
    <row r="307" customFormat="false" ht="15" hidden="false" customHeight="false" outlineLevel="0" collapsed="false">
      <c r="A307" s="32"/>
      <c r="B307" s="32"/>
      <c r="C307" s="32"/>
      <c r="D307" s="33"/>
      <c r="E307" s="32"/>
      <c r="F307" s="32"/>
      <c r="G307" s="35"/>
      <c r="H307" s="32"/>
      <c r="I307" s="35"/>
      <c r="J307" s="35"/>
      <c r="K307" s="32"/>
      <c r="L307" s="33"/>
      <c r="M307" s="37" t="str">
        <f aca="true">IF(C307="","",IF(OR(H307="Done"),"Done",IF(G307="","No Due Date",IF(G307&lt;TODAY(),"Overdue",IF(G307=TODAY(),"Due Today",IF(G307&lt;TODAY()+7,"Due This Week","Later"))))))</f>
        <v/>
      </c>
      <c r="N307" s="40" t="str">
        <f aca="false">IF(AND(C307&lt;&gt;"",H307&lt;&gt;"Done",G307&lt;&gt;""),G307+ROW()/100000,"")</f>
        <v/>
      </c>
      <c r="O307" s="37" t="str">
        <f aca="false">IF(AND(A307&lt;&gt;"",A307='Project Summary'!$C$3,H307&lt;&gt;"Done",C307&lt;&gt;""),COUNTIFS($A$2:$A307,'Project Summary'!$C$3,$H$2:$H307,"&lt;&gt;Done",$C$2:$C307,"&lt;&gt;"),"")</f>
        <v/>
      </c>
    </row>
    <row r="308" customFormat="false" ht="15" hidden="false" customHeight="false" outlineLevel="0" collapsed="false">
      <c r="A308" s="32"/>
      <c r="B308" s="32"/>
      <c r="C308" s="32"/>
      <c r="D308" s="33"/>
      <c r="E308" s="32"/>
      <c r="F308" s="32"/>
      <c r="G308" s="35"/>
      <c r="H308" s="32"/>
      <c r="I308" s="35"/>
      <c r="J308" s="35"/>
      <c r="K308" s="32"/>
      <c r="L308" s="33"/>
      <c r="M308" s="37" t="str">
        <f aca="true">IF(C308="","",IF(OR(H308="Done"),"Done",IF(G308="","No Due Date",IF(G308&lt;TODAY(),"Overdue",IF(G308=TODAY(),"Due Today",IF(G308&lt;TODAY()+7,"Due This Week","Later"))))))</f>
        <v/>
      </c>
      <c r="N308" s="40" t="str">
        <f aca="false">IF(AND(C308&lt;&gt;"",H308&lt;&gt;"Done",G308&lt;&gt;""),G308+ROW()/100000,"")</f>
        <v/>
      </c>
      <c r="O308" s="37" t="str">
        <f aca="false">IF(AND(A308&lt;&gt;"",A308='Project Summary'!$C$3,H308&lt;&gt;"Done",C308&lt;&gt;""),COUNTIFS($A$2:$A308,'Project Summary'!$C$3,$H$2:$H308,"&lt;&gt;Done",$C$2:$C308,"&lt;&gt;"),"")</f>
        <v/>
      </c>
    </row>
    <row r="309" customFormat="false" ht="15" hidden="false" customHeight="false" outlineLevel="0" collapsed="false">
      <c r="A309" s="32"/>
      <c r="B309" s="32"/>
      <c r="C309" s="32"/>
      <c r="D309" s="33"/>
      <c r="E309" s="32"/>
      <c r="F309" s="32"/>
      <c r="G309" s="35"/>
      <c r="H309" s="32"/>
      <c r="I309" s="35"/>
      <c r="J309" s="35"/>
      <c r="K309" s="32"/>
      <c r="L309" s="33"/>
      <c r="M309" s="37" t="str">
        <f aca="true">IF(C309="","",IF(OR(H309="Done"),"Done",IF(G309="","No Due Date",IF(G309&lt;TODAY(),"Overdue",IF(G309=TODAY(),"Due Today",IF(G309&lt;TODAY()+7,"Due This Week","Later"))))))</f>
        <v/>
      </c>
      <c r="N309" s="40" t="str">
        <f aca="false">IF(AND(C309&lt;&gt;"",H309&lt;&gt;"Done",G309&lt;&gt;""),G309+ROW()/100000,"")</f>
        <v/>
      </c>
      <c r="O309" s="37" t="str">
        <f aca="false">IF(AND(A309&lt;&gt;"",A309='Project Summary'!$C$3,H309&lt;&gt;"Done",C309&lt;&gt;""),COUNTIFS($A$2:$A309,'Project Summary'!$C$3,$H$2:$H309,"&lt;&gt;Done",$C$2:$C309,"&lt;&gt;"),"")</f>
        <v/>
      </c>
    </row>
    <row r="310" customFormat="false" ht="15" hidden="false" customHeight="false" outlineLevel="0" collapsed="false">
      <c r="A310" s="32"/>
      <c r="B310" s="32"/>
      <c r="C310" s="32"/>
      <c r="D310" s="33"/>
      <c r="E310" s="32"/>
      <c r="F310" s="32"/>
      <c r="G310" s="35"/>
      <c r="H310" s="32"/>
      <c r="I310" s="35"/>
      <c r="J310" s="35"/>
      <c r="K310" s="32"/>
      <c r="L310" s="33"/>
      <c r="M310" s="37" t="str">
        <f aca="true">IF(C310="","",IF(OR(H310="Done"),"Done",IF(G310="","No Due Date",IF(G310&lt;TODAY(),"Overdue",IF(G310=TODAY(),"Due Today",IF(G310&lt;TODAY()+7,"Due This Week","Later"))))))</f>
        <v/>
      </c>
      <c r="N310" s="40" t="str">
        <f aca="false">IF(AND(C310&lt;&gt;"",H310&lt;&gt;"Done",G310&lt;&gt;""),G310+ROW()/100000,"")</f>
        <v/>
      </c>
      <c r="O310" s="37" t="str">
        <f aca="false">IF(AND(A310&lt;&gt;"",A310='Project Summary'!$C$3,H310&lt;&gt;"Done",C310&lt;&gt;""),COUNTIFS($A$2:$A310,'Project Summary'!$C$3,$H$2:$H310,"&lt;&gt;Done",$C$2:$C310,"&lt;&gt;"),"")</f>
        <v/>
      </c>
    </row>
    <row r="311" customFormat="false" ht="15" hidden="false" customHeight="false" outlineLevel="0" collapsed="false">
      <c r="A311" s="32"/>
      <c r="B311" s="32"/>
      <c r="C311" s="32"/>
      <c r="D311" s="33"/>
      <c r="E311" s="32"/>
      <c r="F311" s="32"/>
      <c r="G311" s="35"/>
      <c r="H311" s="32"/>
      <c r="I311" s="35"/>
      <c r="J311" s="35"/>
      <c r="K311" s="32"/>
      <c r="L311" s="33"/>
      <c r="M311" s="37" t="str">
        <f aca="true">IF(C311="","",IF(OR(H311="Done"),"Done",IF(G311="","No Due Date",IF(G311&lt;TODAY(),"Overdue",IF(G311=TODAY(),"Due Today",IF(G311&lt;TODAY()+7,"Due This Week","Later"))))))</f>
        <v/>
      </c>
      <c r="N311" s="40" t="str">
        <f aca="false">IF(AND(C311&lt;&gt;"",H311&lt;&gt;"Done",G311&lt;&gt;""),G311+ROW()/100000,"")</f>
        <v/>
      </c>
      <c r="O311" s="37" t="str">
        <f aca="false">IF(AND(A311&lt;&gt;"",A311='Project Summary'!$C$3,H311&lt;&gt;"Done",C311&lt;&gt;""),COUNTIFS($A$2:$A311,'Project Summary'!$C$3,$H$2:$H311,"&lt;&gt;Done",$C$2:$C311,"&lt;&gt;"),"")</f>
        <v/>
      </c>
    </row>
    <row r="312" customFormat="false" ht="15" hidden="false" customHeight="false" outlineLevel="0" collapsed="false">
      <c r="A312" s="32"/>
      <c r="B312" s="32"/>
      <c r="C312" s="32"/>
      <c r="D312" s="33"/>
      <c r="E312" s="32"/>
      <c r="F312" s="32"/>
      <c r="G312" s="35"/>
      <c r="H312" s="32"/>
      <c r="I312" s="35"/>
      <c r="J312" s="35"/>
      <c r="K312" s="32"/>
      <c r="L312" s="33"/>
      <c r="M312" s="37" t="str">
        <f aca="true">IF(C312="","",IF(OR(H312="Done"),"Done",IF(G312="","No Due Date",IF(G312&lt;TODAY(),"Overdue",IF(G312=TODAY(),"Due Today",IF(G312&lt;TODAY()+7,"Due This Week","Later"))))))</f>
        <v/>
      </c>
      <c r="N312" s="40" t="str">
        <f aca="false">IF(AND(C312&lt;&gt;"",H312&lt;&gt;"Done",G312&lt;&gt;""),G312+ROW()/100000,"")</f>
        <v/>
      </c>
      <c r="O312" s="37" t="str">
        <f aca="false">IF(AND(A312&lt;&gt;"",A312='Project Summary'!$C$3,H312&lt;&gt;"Done",C312&lt;&gt;""),COUNTIFS($A$2:$A312,'Project Summary'!$C$3,$H$2:$H312,"&lt;&gt;Done",$C$2:$C312,"&lt;&gt;"),"")</f>
        <v/>
      </c>
    </row>
    <row r="313" customFormat="false" ht="15" hidden="false" customHeight="false" outlineLevel="0" collapsed="false">
      <c r="A313" s="32"/>
      <c r="B313" s="32"/>
      <c r="C313" s="32"/>
      <c r="D313" s="33"/>
      <c r="E313" s="32"/>
      <c r="F313" s="32"/>
      <c r="G313" s="35"/>
      <c r="H313" s="32"/>
      <c r="I313" s="35"/>
      <c r="J313" s="35"/>
      <c r="K313" s="32"/>
      <c r="L313" s="33"/>
      <c r="M313" s="37" t="str">
        <f aca="true">IF(C313="","",IF(OR(H313="Done"),"Done",IF(G313="","No Due Date",IF(G313&lt;TODAY(),"Overdue",IF(G313=TODAY(),"Due Today",IF(G313&lt;TODAY()+7,"Due This Week","Later"))))))</f>
        <v/>
      </c>
      <c r="N313" s="40" t="str">
        <f aca="false">IF(AND(C313&lt;&gt;"",H313&lt;&gt;"Done",G313&lt;&gt;""),G313+ROW()/100000,"")</f>
        <v/>
      </c>
      <c r="O313" s="37" t="str">
        <f aca="false">IF(AND(A313&lt;&gt;"",A313='Project Summary'!$C$3,H313&lt;&gt;"Done",C313&lt;&gt;""),COUNTIFS($A$2:$A313,'Project Summary'!$C$3,$H$2:$H313,"&lt;&gt;Done",$C$2:$C313,"&lt;&gt;"),"")</f>
        <v/>
      </c>
    </row>
    <row r="314" customFormat="false" ht="15" hidden="false" customHeight="false" outlineLevel="0" collapsed="false">
      <c r="A314" s="32"/>
      <c r="B314" s="32"/>
      <c r="C314" s="32"/>
      <c r="D314" s="33"/>
      <c r="E314" s="32"/>
      <c r="F314" s="32"/>
      <c r="G314" s="35"/>
      <c r="H314" s="32"/>
      <c r="I314" s="35"/>
      <c r="J314" s="35"/>
      <c r="K314" s="32"/>
      <c r="L314" s="33"/>
      <c r="M314" s="37" t="str">
        <f aca="true">IF(C314="","",IF(OR(H314="Done"),"Done",IF(G314="","No Due Date",IF(G314&lt;TODAY(),"Overdue",IF(G314=TODAY(),"Due Today",IF(G314&lt;TODAY()+7,"Due This Week","Later"))))))</f>
        <v/>
      </c>
      <c r="N314" s="40" t="str">
        <f aca="false">IF(AND(C314&lt;&gt;"",H314&lt;&gt;"Done",G314&lt;&gt;""),G314+ROW()/100000,"")</f>
        <v/>
      </c>
      <c r="O314" s="37" t="str">
        <f aca="false">IF(AND(A314&lt;&gt;"",A314='Project Summary'!$C$3,H314&lt;&gt;"Done",C314&lt;&gt;""),COUNTIFS($A$2:$A314,'Project Summary'!$C$3,$H$2:$H314,"&lt;&gt;Done",$C$2:$C314,"&lt;&gt;"),"")</f>
        <v/>
      </c>
    </row>
    <row r="315" customFormat="false" ht="15" hidden="false" customHeight="false" outlineLevel="0" collapsed="false">
      <c r="A315" s="32"/>
      <c r="B315" s="32"/>
      <c r="C315" s="32"/>
      <c r="D315" s="33"/>
      <c r="E315" s="32"/>
      <c r="F315" s="32"/>
      <c r="G315" s="35"/>
      <c r="H315" s="32"/>
      <c r="I315" s="35"/>
      <c r="J315" s="35"/>
      <c r="K315" s="32"/>
      <c r="L315" s="33"/>
      <c r="M315" s="37" t="str">
        <f aca="true">IF(C315="","",IF(OR(H315="Done"),"Done",IF(G315="","No Due Date",IF(G315&lt;TODAY(),"Overdue",IF(G315=TODAY(),"Due Today",IF(G315&lt;TODAY()+7,"Due This Week","Later"))))))</f>
        <v/>
      </c>
      <c r="N315" s="40" t="str">
        <f aca="false">IF(AND(C315&lt;&gt;"",H315&lt;&gt;"Done",G315&lt;&gt;""),G315+ROW()/100000,"")</f>
        <v/>
      </c>
      <c r="O315" s="37" t="str">
        <f aca="false">IF(AND(A315&lt;&gt;"",A315='Project Summary'!$C$3,H315&lt;&gt;"Done",C315&lt;&gt;""),COUNTIFS($A$2:$A315,'Project Summary'!$C$3,$H$2:$H315,"&lt;&gt;Done",$C$2:$C315,"&lt;&gt;"),"")</f>
        <v/>
      </c>
    </row>
    <row r="316" customFormat="false" ht="15" hidden="false" customHeight="false" outlineLevel="0" collapsed="false">
      <c r="A316" s="32"/>
      <c r="B316" s="32"/>
      <c r="C316" s="32"/>
      <c r="D316" s="33"/>
      <c r="E316" s="32"/>
      <c r="F316" s="32"/>
      <c r="G316" s="35"/>
      <c r="H316" s="32"/>
      <c r="I316" s="35"/>
      <c r="J316" s="35"/>
      <c r="K316" s="32"/>
      <c r="L316" s="33"/>
      <c r="M316" s="37" t="str">
        <f aca="true">IF(C316="","",IF(OR(H316="Done"),"Done",IF(G316="","No Due Date",IF(G316&lt;TODAY(),"Overdue",IF(G316=TODAY(),"Due Today",IF(G316&lt;TODAY()+7,"Due This Week","Later"))))))</f>
        <v/>
      </c>
      <c r="N316" s="40" t="str">
        <f aca="false">IF(AND(C316&lt;&gt;"",H316&lt;&gt;"Done",G316&lt;&gt;""),G316+ROW()/100000,"")</f>
        <v/>
      </c>
      <c r="O316" s="37" t="str">
        <f aca="false">IF(AND(A316&lt;&gt;"",A316='Project Summary'!$C$3,H316&lt;&gt;"Done",C316&lt;&gt;""),COUNTIFS($A$2:$A316,'Project Summary'!$C$3,$H$2:$H316,"&lt;&gt;Done",$C$2:$C316,"&lt;&gt;"),"")</f>
        <v/>
      </c>
    </row>
    <row r="317" customFormat="false" ht="15" hidden="false" customHeight="false" outlineLevel="0" collapsed="false">
      <c r="A317" s="32"/>
      <c r="B317" s="32"/>
      <c r="C317" s="32"/>
      <c r="D317" s="33"/>
      <c r="E317" s="32"/>
      <c r="F317" s="32"/>
      <c r="G317" s="35"/>
      <c r="H317" s="32"/>
      <c r="I317" s="35"/>
      <c r="J317" s="35"/>
      <c r="K317" s="32"/>
      <c r="L317" s="33"/>
      <c r="M317" s="37" t="str">
        <f aca="true">IF(C317="","",IF(OR(H317="Done"),"Done",IF(G317="","No Due Date",IF(G317&lt;TODAY(),"Overdue",IF(G317=TODAY(),"Due Today",IF(G317&lt;TODAY()+7,"Due This Week","Later"))))))</f>
        <v/>
      </c>
      <c r="N317" s="40" t="str">
        <f aca="false">IF(AND(C317&lt;&gt;"",H317&lt;&gt;"Done",G317&lt;&gt;""),G317+ROW()/100000,"")</f>
        <v/>
      </c>
      <c r="O317" s="37" t="str">
        <f aca="false">IF(AND(A317&lt;&gt;"",A317='Project Summary'!$C$3,H317&lt;&gt;"Done",C317&lt;&gt;""),COUNTIFS($A$2:$A317,'Project Summary'!$C$3,$H$2:$H317,"&lt;&gt;Done",$C$2:$C317,"&lt;&gt;"),"")</f>
        <v/>
      </c>
    </row>
    <row r="318" customFormat="false" ht="15" hidden="false" customHeight="false" outlineLevel="0" collapsed="false">
      <c r="A318" s="32"/>
      <c r="B318" s="32"/>
      <c r="C318" s="32"/>
      <c r="D318" s="33"/>
      <c r="E318" s="32"/>
      <c r="F318" s="32"/>
      <c r="G318" s="35"/>
      <c r="H318" s="32"/>
      <c r="I318" s="35"/>
      <c r="J318" s="35"/>
      <c r="K318" s="32"/>
      <c r="L318" s="33"/>
      <c r="M318" s="37" t="str">
        <f aca="true">IF(C318="","",IF(OR(H318="Done"),"Done",IF(G318="","No Due Date",IF(G318&lt;TODAY(),"Overdue",IF(G318=TODAY(),"Due Today",IF(G318&lt;TODAY()+7,"Due This Week","Later"))))))</f>
        <v/>
      </c>
      <c r="N318" s="40" t="str">
        <f aca="false">IF(AND(C318&lt;&gt;"",H318&lt;&gt;"Done",G318&lt;&gt;""),G318+ROW()/100000,"")</f>
        <v/>
      </c>
      <c r="O318" s="37" t="str">
        <f aca="false">IF(AND(A318&lt;&gt;"",A318='Project Summary'!$C$3,H318&lt;&gt;"Done",C318&lt;&gt;""),COUNTIFS($A$2:$A318,'Project Summary'!$C$3,$H$2:$H318,"&lt;&gt;Done",$C$2:$C318,"&lt;&gt;"),"")</f>
        <v/>
      </c>
    </row>
    <row r="319" customFormat="false" ht="15" hidden="false" customHeight="false" outlineLevel="0" collapsed="false">
      <c r="A319" s="32"/>
      <c r="B319" s="32"/>
      <c r="C319" s="32"/>
      <c r="D319" s="33"/>
      <c r="E319" s="32"/>
      <c r="F319" s="32"/>
      <c r="G319" s="35"/>
      <c r="H319" s="32"/>
      <c r="I319" s="35"/>
      <c r="J319" s="35"/>
      <c r="K319" s="32"/>
      <c r="L319" s="33"/>
      <c r="M319" s="37" t="str">
        <f aca="true">IF(C319="","",IF(OR(H319="Done"),"Done",IF(G319="","No Due Date",IF(G319&lt;TODAY(),"Overdue",IF(G319=TODAY(),"Due Today",IF(G319&lt;TODAY()+7,"Due This Week","Later"))))))</f>
        <v/>
      </c>
      <c r="N319" s="40" t="str">
        <f aca="false">IF(AND(C319&lt;&gt;"",H319&lt;&gt;"Done",G319&lt;&gt;""),G319+ROW()/100000,"")</f>
        <v/>
      </c>
      <c r="O319" s="37" t="str">
        <f aca="false">IF(AND(A319&lt;&gt;"",A319='Project Summary'!$C$3,H319&lt;&gt;"Done",C319&lt;&gt;""),COUNTIFS($A$2:$A319,'Project Summary'!$C$3,$H$2:$H319,"&lt;&gt;Done",$C$2:$C319,"&lt;&gt;"),"")</f>
        <v/>
      </c>
    </row>
    <row r="320" customFormat="false" ht="15" hidden="false" customHeight="false" outlineLevel="0" collapsed="false">
      <c r="A320" s="32"/>
      <c r="B320" s="32"/>
      <c r="C320" s="32"/>
      <c r="D320" s="33"/>
      <c r="E320" s="32"/>
      <c r="F320" s="32"/>
      <c r="G320" s="35"/>
      <c r="H320" s="32"/>
      <c r="I320" s="35"/>
      <c r="J320" s="35"/>
      <c r="K320" s="32"/>
      <c r="L320" s="33"/>
      <c r="M320" s="37" t="str">
        <f aca="true">IF(C320="","",IF(OR(H320="Done"),"Done",IF(G320="","No Due Date",IF(G320&lt;TODAY(),"Overdue",IF(G320=TODAY(),"Due Today",IF(G320&lt;TODAY()+7,"Due This Week","Later"))))))</f>
        <v/>
      </c>
      <c r="N320" s="40" t="str">
        <f aca="false">IF(AND(C320&lt;&gt;"",H320&lt;&gt;"Done",G320&lt;&gt;""),G320+ROW()/100000,"")</f>
        <v/>
      </c>
      <c r="O320" s="37" t="str">
        <f aca="false">IF(AND(A320&lt;&gt;"",A320='Project Summary'!$C$3,H320&lt;&gt;"Done",C320&lt;&gt;""),COUNTIFS($A$2:$A320,'Project Summary'!$C$3,$H$2:$H320,"&lt;&gt;Done",$C$2:$C320,"&lt;&gt;"),"")</f>
        <v/>
      </c>
    </row>
    <row r="321" customFormat="false" ht="15" hidden="false" customHeight="false" outlineLevel="0" collapsed="false">
      <c r="A321" s="32"/>
      <c r="B321" s="32"/>
      <c r="C321" s="32"/>
      <c r="D321" s="33"/>
      <c r="E321" s="32"/>
      <c r="F321" s="32"/>
      <c r="G321" s="35"/>
      <c r="H321" s="32"/>
      <c r="I321" s="35"/>
      <c r="J321" s="35"/>
      <c r="K321" s="32"/>
      <c r="L321" s="33"/>
      <c r="M321" s="37" t="str">
        <f aca="true">IF(C321="","",IF(OR(H321="Done"),"Done",IF(G321="","No Due Date",IF(G321&lt;TODAY(),"Overdue",IF(G321=TODAY(),"Due Today",IF(G321&lt;TODAY()+7,"Due This Week","Later"))))))</f>
        <v/>
      </c>
      <c r="N321" s="40" t="str">
        <f aca="false">IF(AND(C321&lt;&gt;"",H321&lt;&gt;"Done",G321&lt;&gt;""),G321+ROW()/100000,"")</f>
        <v/>
      </c>
      <c r="O321" s="37" t="str">
        <f aca="false">IF(AND(A321&lt;&gt;"",A321='Project Summary'!$C$3,H321&lt;&gt;"Done",C321&lt;&gt;""),COUNTIFS($A$2:$A321,'Project Summary'!$C$3,$H$2:$H321,"&lt;&gt;Done",$C$2:$C321,"&lt;&gt;"),"")</f>
        <v/>
      </c>
    </row>
    <row r="322" customFormat="false" ht="15" hidden="false" customHeight="false" outlineLevel="0" collapsed="false">
      <c r="A322" s="32"/>
      <c r="B322" s="32"/>
      <c r="C322" s="32"/>
      <c r="D322" s="33"/>
      <c r="E322" s="32"/>
      <c r="F322" s="32"/>
      <c r="G322" s="35"/>
      <c r="H322" s="32"/>
      <c r="I322" s="35"/>
      <c r="J322" s="35"/>
      <c r="K322" s="32"/>
      <c r="L322" s="33"/>
      <c r="M322" s="37" t="str">
        <f aca="true">IF(C322="","",IF(OR(H322="Done"),"Done",IF(G322="","No Due Date",IF(G322&lt;TODAY(),"Overdue",IF(G322=TODAY(),"Due Today",IF(G322&lt;TODAY()+7,"Due This Week","Later"))))))</f>
        <v/>
      </c>
      <c r="N322" s="40" t="str">
        <f aca="false">IF(AND(C322&lt;&gt;"",H322&lt;&gt;"Done",G322&lt;&gt;""),G322+ROW()/100000,"")</f>
        <v/>
      </c>
      <c r="O322" s="37" t="str">
        <f aca="false">IF(AND(A322&lt;&gt;"",A322='Project Summary'!$C$3,H322&lt;&gt;"Done",C322&lt;&gt;""),COUNTIFS($A$2:$A322,'Project Summary'!$C$3,$H$2:$H322,"&lt;&gt;Done",$C$2:$C322,"&lt;&gt;"),"")</f>
        <v/>
      </c>
    </row>
    <row r="323" customFormat="false" ht="15" hidden="false" customHeight="false" outlineLevel="0" collapsed="false">
      <c r="A323" s="32"/>
      <c r="B323" s="32"/>
      <c r="C323" s="32"/>
      <c r="D323" s="33"/>
      <c r="E323" s="32"/>
      <c r="F323" s="32"/>
      <c r="G323" s="35"/>
      <c r="H323" s="32"/>
      <c r="I323" s="35"/>
      <c r="J323" s="35"/>
      <c r="K323" s="32"/>
      <c r="L323" s="33"/>
      <c r="M323" s="37" t="str">
        <f aca="true">IF(C323="","",IF(OR(H323="Done"),"Done",IF(G323="","No Due Date",IF(G323&lt;TODAY(),"Overdue",IF(G323=TODAY(),"Due Today",IF(G323&lt;TODAY()+7,"Due This Week","Later"))))))</f>
        <v/>
      </c>
      <c r="N323" s="40" t="str">
        <f aca="false">IF(AND(C323&lt;&gt;"",H323&lt;&gt;"Done",G323&lt;&gt;""),G323+ROW()/100000,"")</f>
        <v/>
      </c>
      <c r="O323" s="37" t="str">
        <f aca="false">IF(AND(A323&lt;&gt;"",A323='Project Summary'!$C$3,H323&lt;&gt;"Done",C323&lt;&gt;""),COUNTIFS($A$2:$A323,'Project Summary'!$C$3,$H$2:$H323,"&lt;&gt;Done",$C$2:$C323,"&lt;&gt;"),"")</f>
        <v/>
      </c>
    </row>
    <row r="324" customFormat="false" ht="15" hidden="false" customHeight="false" outlineLevel="0" collapsed="false">
      <c r="A324" s="32"/>
      <c r="B324" s="32"/>
      <c r="C324" s="32"/>
      <c r="D324" s="33"/>
      <c r="E324" s="32"/>
      <c r="F324" s="32"/>
      <c r="G324" s="35"/>
      <c r="H324" s="32"/>
      <c r="I324" s="35"/>
      <c r="J324" s="35"/>
      <c r="K324" s="32"/>
      <c r="L324" s="33"/>
      <c r="M324" s="37" t="str">
        <f aca="true">IF(C324="","",IF(OR(H324="Done"),"Done",IF(G324="","No Due Date",IF(G324&lt;TODAY(),"Overdue",IF(G324=TODAY(),"Due Today",IF(G324&lt;TODAY()+7,"Due This Week","Later"))))))</f>
        <v/>
      </c>
      <c r="N324" s="40" t="str">
        <f aca="false">IF(AND(C324&lt;&gt;"",H324&lt;&gt;"Done",G324&lt;&gt;""),G324+ROW()/100000,"")</f>
        <v/>
      </c>
      <c r="O324" s="37" t="str">
        <f aca="false">IF(AND(A324&lt;&gt;"",A324='Project Summary'!$C$3,H324&lt;&gt;"Done",C324&lt;&gt;""),COUNTIFS($A$2:$A324,'Project Summary'!$C$3,$H$2:$H324,"&lt;&gt;Done",$C$2:$C324,"&lt;&gt;"),"")</f>
        <v/>
      </c>
    </row>
    <row r="325" customFormat="false" ht="15" hidden="false" customHeight="false" outlineLevel="0" collapsed="false">
      <c r="A325" s="32"/>
      <c r="B325" s="32"/>
      <c r="C325" s="32"/>
      <c r="D325" s="33"/>
      <c r="E325" s="32"/>
      <c r="F325" s="32"/>
      <c r="G325" s="35"/>
      <c r="H325" s="32"/>
      <c r="I325" s="35"/>
      <c r="J325" s="35"/>
      <c r="K325" s="32"/>
      <c r="L325" s="33"/>
      <c r="M325" s="37" t="str">
        <f aca="true">IF(C325="","",IF(OR(H325="Done"),"Done",IF(G325="","No Due Date",IF(G325&lt;TODAY(),"Overdue",IF(G325=TODAY(),"Due Today",IF(G325&lt;TODAY()+7,"Due This Week","Later"))))))</f>
        <v/>
      </c>
      <c r="N325" s="40" t="str">
        <f aca="false">IF(AND(C325&lt;&gt;"",H325&lt;&gt;"Done",G325&lt;&gt;""),G325+ROW()/100000,"")</f>
        <v/>
      </c>
      <c r="O325" s="37" t="str">
        <f aca="false">IF(AND(A325&lt;&gt;"",A325='Project Summary'!$C$3,H325&lt;&gt;"Done",C325&lt;&gt;""),COUNTIFS($A$2:$A325,'Project Summary'!$C$3,$H$2:$H325,"&lt;&gt;Done",$C$2:$C325,"&lt;&gt;"),"")</f>
        <v/>
      </c>
    </row>
    <row r="326" customFormat="false" ht="15" hidden="false" customHeight="false" outlineLevel="0" collapsed="false">
      <c r="A326" s="32"/>
      <c r="B326" s="32"/>
      <c r="C326" s="32"/>
      <c r="D326" s="33"/>
      <c r="E326" s="32"/>
      <c r="F326" s="32"/>
      <c r="G326" s="35"/>
      <c r="H326" s="32"/>
      <c r="I326" s="35"/>
      <c r="J326" s="35"/>
      <c r="K326" s="32"/>
      <c r="L326" s="33"/>
      <c r="M326" s="37" t="str">
        <f aca="true">IF(C326="","",IF(OR(H326="Done"),"Done",IF(G326="","No Due Date",IF(G326&lt;TODAY(),"Overdue",IF(G326=TODAY(),"Due Today",IF(G326&lt;TODAY()+7,"Due This Week","Later"))))))</f>
        <v/>
      </c>
      <c r="N326" s="40" t="str">
        <f aca="false">IF(AND(C326&lt;&gt;"",H326&lt;&gt;"Done",G326&lt;&gt;""),G326+ROW()/100000,"")</f>
        <v/>
      </c>
      <c r="O326" s="37" t="str">
        <f aca="false">IF(AND(A326&lt;&gt;"",A326='Project Summary'!$C$3,H326&lt;&gt;"Done",C326&lt;&gt;""),COUNTIFS($A$2:$A326,'Project Summary'!$C$3,$H$2:$H326,"&lt;&gt;Done",$C$2:$C326,"&lt;&gt;"),"")</f>
        <v/>
      </c>
    </row>
    <row r="327" customFormat="false" ht="15" hidden="false" customHeight="false" outlineLevel="0" collapsed="false">
      <c r="A327" s="32"/>
      <c r="B327" s="32"/>
      <c r="C327" s="32"/>
      <c r="D327" s="33"/>
      <c r="E327" s="32"/>
      <c r="F327" s="32"/>
      <c r="G327" s="35"/>
      <c r="H327" s="32"/>
      <c r="I327" s="35"/>
      <c r="J327" s="35"/>
      <c r="K327" s="32"/>
      <c r="L327" s="33"/>
      <c r="M327" s="37" t="str">
        <f aca="true">IF(C327="","",IF(OR(H327="Done"),"Done",IF(G327="","No Due Date",IF(G327&lt;TODAY(),"Overdue",IF(G327=TODAY(),"Due Today",IF(G327&lt;TODAY()+7,"Due This Week","Later"))))))</f>
        <v/>
      </c>
      <c r="N327" s="40" t="str">
        <f aca="false">IF(AND(C327&lt;&gt;"",H327&lt;&gt;"Done",G327&lt;&gt;""),G327+ROW()/100000,"")</f>
        <v/>
      </c>
      <c r="O327" s="37" t="str">
        <f aca="false">IF(AND(A327&lt;&gt;"",A327='Project Summary'!$C$3,H327&lt;&gt;"Done",C327&lt;&gt;""),COUNTIFS($A$2:$A327,'Project Summary'!$C$3,$H$2:$H327,"&lt;&gt;Done",$C$2:$C327,"&lt;&gt;"),"")</f>
        <v/>
      </c>
    </row>
    <row r="328" customFormat="false" ht="15" hidden="false" customHeight="false" outlineLevel="0" collapsed="false">
      <c r="A328" s="32"/>
      <c r="B328" s="32"/>
      <c r="C328" s="32"/>
      <c r="D328" s="33"/>
      <c r="E328" s="32"/>
      <c r="F328" s="32"/>
      <c r="G328" s="35"/>
      <c r="H328" s="32"/>
      <c r="I328" s="35"/>
      <c r="J328" s="35"/>
      <c r="K328" s="32"/>
      <c r="L328" s="33"/>
      <c r="M328" s="37" t="str">
        <f aca="true">IF(C328="","",IF(OR(H328="Done"),"Done",IF(G328="","No Due Date",IF(G328&lt;TODAY(),"Overdue",IF(G328=TODAY(),"Due Today",IF(G328&lt;TODAY()+7,"Due This Week","Later"))))))</f>
        <v/>
      </c>
      <c r="N328" s="40" t="str">
        <f aca="false">IF(AND(C328&lt;&gt;"",H328&lt;&gt;"Done",G328&lt;&gt;""),G328+ROW()/100000,"")</f>
        <v/>
      </c>
      <c r="O328" s="37" t="str">
        <f aca="false">IF(AND(A328&lt;&gt;"",A328='Project Summary'!$C$3,H328&lt;&gt;"Done",C328&lt;&gt;""),COUNTIFS($A$2:$A328,'Project Summary'!$C$3,$H$2:$H328,"&lt;&gt;Done",$C$2:$C328,"&lt;&gt;"),"")</f>
        <v/>
      </c>
    </row>
    <row r="329" customFormat="false" ht="15" hidden="false" customHeight="false" outlineLevel="0" collapsed="false">
      <c r="A329" s="32"/>
      <c r="B329" s="32"/>
      <c r="C329" s="32"/>
      <c r="D329" s="33"/>
      <c r="E329" s="32"/>
      <c r="F329" s="32"/>
      <c r="G329" s="35"/>
      <c r="H329" s="32"/>
      <c r="I329" s="35"/>
      <c r="J329" s="35"/>
      <c r="K329" s="32"/>
      <c r="L329" s="33"/>
      <c r="M329" s="37" t="str">
        <f aca="true">IF(C329="","",IF(OR(H329="Done"),"Done",IF(G329="","No Due Date",IF(G329&lt;TODAY(),"Overdue",IF(G329=TODAY(),"Due Today",IF(G329&lt;TODAY()+7,"Due This Week","Later"))))))</f>
        <v/>
      </c>
      <c r="N329" s="40" t="str">
        <f aca="false">IF(AND(C329&lt;&gt;"",H329&lt;&gt;"Done",G329&lt;&gt;""),G329+ROW()/100000,"")</f>
        <v/>
      </c>
      <c r="O329" s="37" t="str">
        <f aca="false">IF(AND(A329&lt;&gt;"",A329='Project Summary'!$C$3,H329&lt;&gt;"Done",C329&lt;&gt;""),COUNTIFS($A$2:$A329,'Project Summary'!$C$3,$H$2:$H329,"&lt;&gt;Done",$C$2:$C329,"&lt;&gt;"),"")</f>
        <v/>
      </c>
    </row>
    <row r="330" customFormat="false" ht="15" hidden="false" customHeight="false" outlineLevel="0" collapsed="false">
      <c r="A330" s="32"/>
      <c r="B330" s="32"/>
      <c r="C330" s="32"/>
      <c r="D330" s="33"/>
      <c r="E330" s="32"/>
      <c r="F330" s="32"/>
      <c r="G330" s="35"/>
      <c r="H330" s="32"/>
      <c r="I330" s="35"/>
      <c r="J330" s="35"/>
      <c r="K330" s="32"/>
      <c r="L330" s="33"/>
      <c r="M330" s="37" t="str">
        <f aca="true">IF(C330="","",IF(OR(H330="Done"),"Done",IF(G330="","No Due Date",IF(G330&lt;TODAY(),"Overdue",IF(G330=TODAY(),"Due Today",IF(G330&lt;TODAY()+7,"Due This Week","Later"))))))</f>
        <v/>
      </c>
      <c r="N330" s="40" t="str">
        <f aca="false">IF(AND(C330&lt;&gt;"",H330&lt;&gt;"Done",G330&lt;&gt;""),G330+ROW()/100000,"")</f>
        <v/>
      </c>
      <c r="O330" s="37" t="str">
        <f aca="false">IF(AND(A330&lt;&gt;"",A330='Project Summary'!$C$3,H330&lt;&gt;"Done",C330&lt;&gt;""),COUNTIFS($A$2:$A330,'Project Summary'!$C$3,$H$2:$H330,"&lt;&gt;Done",$C$2:$C330,"&lt;&gt;"),"")</f>
        <v/>
      </c>
    </row>
    <row r="331" customFormat="false" ht="15" hidden="false" customHeight="false" outlineLevel="0" collapsed="false">
      <c r="A331" s="32"/>
      <c r="B331" s="32"/>
      <c r="C331" s="32"/>
      <c r="D331" s="33"/>
      <c r="E331" s="32"/>
      <c r="F331" s="32"/>
      <c r="G331" s="35"/>
      <c r="H331" s="32"/>
      <c r="I331" s="35"/>
      <c r="J331" s="35"/>
      <c r="K331" s="32"/>
      <c r="L331" s="33"/>
      <c r="M331" s="37" t="str">
        <f aca="true">IF(C331="","",IF(OR(H331="Done"),"Done",IF(G331="","No Due Date",IF(G331&lt;TODAY(),"Overdue",IF(G331=TODAY(),"Due Today",IF(G331&lt;TODAY()+7,"Due This Week","Later"))))))</f>
        <v/>
      </c>
      <c r="N331" s="40" t="str">
        <f aca="false">IF(AND(C331&lt;&gt;"",H331&lt;&gt;"Done",G331&lt;&gt;""),G331+ROW()/100000,"")</f>
        <v/>
      </c>
      <c r="O331" s="37" t="str">
        <f aca="false">IF(AND(A331&lt;&gt;"",A331='Project Summary'!$C$3,H331&lt;&gt;"Done",C331&lt;&gt;""),COUNTIFS($A$2:$A331,'Project Summary'!$C$3,$H$2:$H331,"&lt;&gt;Done",$C$2:$C331,"&lt;&gt;"),"")</f>
        <v/>
      </c>
    </row>
    <row r="332" customFormat="false" ht="15" hidden="false" customHeight="false" outlineLevel="0" collapsed="false">
      <c r="A332" s="32"/>
      <c r="B332" s="32"/>
      <c r="C332" s="32"/>
      <c r="D332" s="33"/>
      <c r="E332" s="32"/>
      <c r="F332" s="32"/>
      <c r="G332" s="35"/>
      <c r="H332" s="32"/>
      <c r="I332" s="35"/>
      <c r="J332" s="35"/>
      <c r="K332" s="32"/>
      <c r="L332" s="33"/>
      <c r="M332" s="37" t="str">
        <f aca="true">IF(C332="","",IF(OR(H332="Done"),"Done",IF(G332="","No Due Date",IF(G332&lt;TODAY(),"Overdue",IF(G332=TODAY(),"Due Today",IF(G332&lt;TODAY()+7,"Due This Week","Later"))))))</f>
        <v/>
      </c>
      <c r="N332" s="40" t="str">
        <f aca="false">IF(AND(C332&lt;&gt;"",H332&lt;&gt;"Done",G332&lt;&gt;""),G332+ROW()/100000,"")</f>
        <v/>
      </c>
      <c r="O332" s="37" t="str">
        <f aca="false">IF(AND(A332&lt;&gt;"",A332='Project Summary'!$C$3,H332&lt;&gt;"Done",C332&lt;&gt;""),COUNTIFS($A$2:$A332,'Project Summary'!$C$3,$H$2:$H332,"&lt;&gt;Done",$C$2:$C332,"&lt;&gt;"),"")</f>
        <v/>
      </c>
    </row>
    <row r="333" customFormat="false" ht="15" hidden="false" customHeight="false" outlineLevel="0" collapsed="false">
      <c r="A333" s="32"/>
      <c r="B333" s="32"/>
      <c r="C333" s="32"/>
      <c r="D333" s="33"/>
      <c r="E333" s="32"/>
      <c r="F333" s="32"/>
      <c r="G333" s="35"/>
      <c r="H333" s="32"/>
      <c r="I333" s="35"/>
      <c r="J333" s="35"/>
      <c r="K333" s="32"/>
      <c r="L333" s="33"/>
      <c r="M333" s="37" t="str">
        <f aca="true">IF(C333="","",IF(OR(H333="Done"),"Done",IF(G333="","No Due Date",IF(G333&lt;TODAY(),"Overdue",IF(G333=TODAY(),"Due Today",IF(G333&lt;TODAY()+7,"Due This Week","Later"))))))</f>
        <v/>
      </c>
      <c r="N333" s="40" t="str">
        <f aca="false">IF(AND(C333&lt;&gt;"",H333&lt;&gt;"Done",G333&lt;&gt;""),G333+ROW()/100000,"")</f>
        <v/>
      </c>
      <c r="O333" s="37" t="str">
        <f aca="false">IF(AND(A333&lt;&gt;"",A333='Project Summary'!$C$3,H333&lt;&gt;"Done",C333&lt;&gt;""),COUNTIFS($A$2:$A333,'Project Summary'!$C$3,$H$2:$H333,"&lt;&gt;Done",$C$2:$C333,"&lt;&gt;"),"")</f>
        <v/>
      </c>
    </row>
    <row r="334" customFormat="false" ht="15" hidden="false" customHeight="false" outlineLevel="0" collapsed="false">
      <c r="A334" s="32"/>
      <c r="B334" s="32"/>
      <c r="C334" s="32"/>
      <c r="D334" s="33"/>
      <c r="E334" s="32"/>
      <c r="F334" s="32"/>
      <c r="G334" s="35"/>
      <c r="H334" s="32"/>
      <c r="I334" s="35"/>
      <c r="J334" s="35"/>
      <c r="K334" s="32"/>
      <c r="L334" s="33"/>
      <c r="M334" s="37" t="str">
        <f aca="true">IF(C334="","",IF(OR(H334="Done"),"Done",IF(G334="","No Due Date",IF(G334&lt;TODAY(),"Overdue",IF(G334=TODAY(),"Due Today",IF(G334&lt;TODAY()+7,"Due This Week","Later"))))))</f>
        <v/>
      </c>
      <c r="N334" s="40" t="str">
        <f aca="false">IF(AND(C334&lt;&gt;"",H334&lt;&gt;"Done",G334&lt;&gt;""),G334+ROW()/100000,"")</f>
        <v/>
      </c>
      <c r="O334" s="37" t="str">
        <f aca="false">IF(AND(A334&lt;&gt;"",A334='Project Summary'!$C$3,H334&lt;&gt;"Done",C334&lt;&gt;""),COUNTIFS($A$2:$A334,'Project Summary'!$C$3,$H$2:$H334,"&lt;&gt;Done",$C$2:$C334,"&lt;&gt;"),"")</f>
        <v/>
      </c>
    </row>
    <row r="335" customFormat="false" ht="15" hidden="false" customHeight="false" outlineLevel="0" collapsed="false">
      <c r="A335" s="32"/>
      <c r="B335" s="32"/>
      <c r="C335" s="32"/>
      <c r="D335" s="33"/>
      <c r="E335" s="32"/>
      <c r="F335" s="32"/>
      <c r="G335" s="35"/>
      <c r="H335" s="32"/>
      <c r="I335" s="35"/>
      <c r="J335" s="35"/>
      <c r="K335" s="32"/>
      <c r="L335" s="33"/>
      <c r="M335" s="37" t="str">
        <f aca="true">IF(C335="","",IF(OR(H335="Done"),"Done",IF(G335="","No Due Date",IF(G335&lt;TODAY(),"Overdue",IF(G335=TODAY(),"Due Today",IF(G335&lt;TODAY()+7,"Due This Week","Later"))))))</f>
        <v/>
      </c>
      <c r="N335" s="40" t="str">
        <f aca="false">IF(AND(C335&lt;&gt;"",H335&lt;&gt;"Done",G335&lt;&gt;""),G335+ROW()/100000,"")</f>
        <v/>
      </c>
      <c r="O335" s="37" t="str">
        <f aca="false">IF(AND(A335&lt;&gt;"",A335='Project Summary'!$C$3,H335&lt;&gt;"Done",C335&lt;&gt;""),COUNTIFS($A$2:$A335,'Project Summary'!$C$3,$H$2:$H335,"&lt;&gt;Done",$C$2:$C335,"&lt;&gt;"),"")</f>
        <v/>
      </c>
    </row>
    <row r="336" customFormat="false" ht="15" hidden="false" customHeight="false" outlineLevel="0" collapsed="false">
      <c r="A336" s="32"/>
      <c r="B336" s="32"/>
      <c r="C336" s="32"/>
      <c r="D336" s="33"/>
      <c r="E336" s="32"/>
      <c r="F336" s="32"/>
      <c r="G336" s="35"/>
      <c r="H336" s="32"/>
      <c r="I336" s="35"/>
      <c r="J336" s="35"/>
      <c r="K336" s="32"/>
      <c r="L336" s="33"/>
      <c r="M336" s="37" t="str">
        <f aca="true">IF(C336="","",IF(OR(H336="Done"),"Done",IF(G336="","No Due Date",IF(G336&lt;TODAY(),"Overdue",IF(G336=TODAY(),"Due Today",IF(G336&lt;TODAY()+7,"Due This Week","Later"))))))</f>
        <v/>
      </c>
      <c r="N336" s="40" t="str">
        <f aca="false">IF(AND(C336&lt;&gt;"",H336&lt;&gt;"Done",G336&lt;&gt;""),G336+ROW()/100000,"")</f>
        <v/>
      </c>
      <c r="O336" s="37" t="str">
        <f aca="false">IF(AND(A336&lt;&gt;"",A336='Project Summary'!$C$3,H336&lt;&gt;"Done",C336&lt;&gt;""),COUNTIFS($A$2:$A336,'Project Summary'!$C$3,$H$2:$H336,"&lt;&gt;Done",$C$2:$C336,"&lt;&gt;"),"")</f>
        <v/>
      </c>
    </row>
    <row r="337" customFormat="false" ht="15" hidden="false" customHeight="false" outlineLevel="0" collapsed="false">
      <c r="A337" s="32"/>
      <c r="B337" s="32"/>
      <c r="C337" s="32"/>
      <c r="D337" s="33"/>
      <c r="E337" s="32"/>
      <c r="F337" s="32"/>
      <c r="G337" s="35"/>
      <c r="H337" s="32"/>
      <c r="I337" s="35"/>
      <c r="J337" s="35"/>
      <c r="K337" s="32"/>
      <c r="L337" s="33"/>
      <c r="M337" s="37" t="str">
        <f aca="true">IF(C337="","",IF(OR(H337="Done"),"Done",IF(G337="","No Due Date",IF(G337&lt;TODAY(),"Overdue",IF(G337=TODAY(),"Due Today",IF(G337&lt;TODAY()+7,"Due This Week","Later"))))))</f>
        <v/>
      </c>
      <c r="N337" s="40" t="str">
        <f aca="false">IF(AND(C337&lt;&gt;"",H337&lt;&gt;"Done",G337&lt;&gt;""),G337+ROW()/100000,"")</f>
        <v/>
      </c>
      <c r="O337" s="37" t="str">
        <f aca="false">IF(AND(A337&lt;&gt;"",A337='Project Summary'!$C$3,H337&lt;&gt;"Done",C337&lt;&gt;""),COUNTIFS($A$2:$A337,'Project Summary'!$C$3,$H$2:$H337,"&lt;&gt;Done",$C$2:$C337,"&lt;&gt;"),"")</f>
        <v/>
      </c>
    </row>
    <row r="338" customFormat="false" ht="15" hidden="false" customHeight="false" outlineLevel="0" collapsed="false">
      <c r="A338" s="32"/>
      <c r="B338" s="32"/>
      <c r="C338" s="32"/>
      <c r="D338" s="33"/>
      <c r="E338" s="32"/>
      <c r="F338" s="32"/>
      <c r="G338" s="35"/>
      <c r="H338" s="32"/>
      <c r="I338" s="35"/>
      <c r="J338" s="35"/>
      <c r="K338" s="32"/>
      <c r="L338" s="33"/>
      <c r="M338" s="37" t="str">
        <f aca="true">IF(C338="","",IF(OR(H338="Done"),"Done",IF(G338="","No Due Date",IF(G338&lt;TODAY(),"Overdue",IF(G338=TODAY(),"Due Today",IF(G338&lt;TODAY()+7,"Due This Week","Later"))))))</f>
        <v/>
      </c>
      <c r="N338" s="40" t="str">
        <f aca="false">IF(AND(C338&lt;&gt;"",H338&lt;&gt;"Done",G338&lt;&gt;""),G338+ROW()/100000,"")</f>
        <v/>
      </c>
      <c r="O338" s="37" t="str">
        <f aca="false">IF(AND(A338&lt;&gt;"",A338='Project Summary'!$C$3,H338&lt;&gt;"Done",C338&lt;&gt;""),COUNTIFS($A$2:$A338,'Project Summary'!$C$3,$H$2:$H338,"&lt;&gt;Done",$C$2:$C338,"&lt;&gt;"),"")</f>
        <v/>
      </c>
    </row>
    <row r="339" customFormat="false" ht="15" hidden="false" customHeight="false" outlineLevel="0" collapsed="false">
      <c r="A339" s="32"/>
      <c r="B339" s="32"/>
      <c r="C339" s="32"/>
      <c r="D339" s="33"/>
      <c r="E339" s="32"/>
      <c r="F339" s="32"/>
      <c r="G339" s="35"/>
      <c r="H339" s="32"/>
      <c r="I339" s="35"/>
      <c r="J339" s="35"/>
      <c r="K339" s="32"/>
      <c r="L339" s="33"/>
      <c r="M339" s="37" t="str">
        <f aca="true">IF(C339="","",IF(OR(H339="Done"),"Done",IF(G339="","No Due Date",IF(G339&lt;TODAY(),"Overdue",IF(G339=TODAY(),"Due Today",IF(G339&lt;TODAY()+7,"Due This Week","Later"))))))</f>
        <v/>
      </c>
      <c r="N339" s="40" t="str">
        <f aca="false">IF(AND(C339&lt;&gt;"",H339&lt;&gt;"Done",G339&lt;&gt;""),G339+ROW()/100000,"")</f>
        <v/>
      </c>
      <c r="O339" s="37" t="str">
        <f aca="false">IF(AND(A339&lt;&gt;"",A339='Project Summary'!$C$3,H339&lt;&gt;"Done",C339&lt;&gt;""),COUNTIFS($A$2:$A339,'Project Summary'!$C$3,$H$2:$H339,"&lt;&gt;Done",$C$2:$C339,"&lt;&gt;"),"")</f>
        <v/>
      </c>
    </row>
    <row r="340" customFormat="false" ht="15" hidden="false" customHeight="false" outlineLevel="0" collapsed="false">
      <c r="A340" s="32"/>
      <c r="B340" s="32"/>
      <c r="C340" s="32"/>
      <c r="D340" s="33"/>
      <c r="E340" s="32"/>
      <c r="F340" s="32"/>
      <c r="G340" s="35"/>
      <c r="H340" s="32"/>
      <c r="I340" s="35"/>
      <c r="J340" s="35"/>
      <c r="K340" s="32"/>
      <c r="L340" s="33"/>
      <c r="M340" s="37" t="str">
        <f aca="true">IF(C340="","",IF(OR(H340="Done"),"Done",IF(G340="","No Due Date",IF(G340&lt;TODAY(),"Overdue",IF(G340=TODAY(),"Due Today",IF(G340&lt;TODAY()+7,"Due This Week","Later"))))))</f>
        <v/>
      </c>
      <c r="N340" s="40" t="str">
        <f aca="false">IF(AND(C340&lt;&gt;"",H340&lt;&gt;"Done",G340&lt;&gt;""),G340+ROW()/100000,"")</f>
        <v/>
      </c>
      <c r="O340" s="37" t="str">
        <f aca="false">IF(AND(A340&lt;&gt;"",A340='Project Summary'!$C$3,H340&lt;&gt;"Done",C340&lt;&gt;""),COUNTIFS($A$2:$A340,'Project Summary'!$C$3,$H$2:$H340,"&lt;&gt;Done",$C$2:$C340,"&lt;&gt;"),"")</f>
        <v/>
      </c>
    </row>
    <row r="341" customFormat="false" ht="15" hidden="false" customHeight="false" outlineLevel="0" collapsed="false">
      <c r="A341" s="32"/>
      <c r="B341" s="32"/>
      <c r="C341" s="32"/>
      <c r="D341" s="33"/>
      <c r="E341" s="32"/>
      <c r="F341" s="32"/>
      <c r="G341" s="35"/>
      <c r="H341" s="32"/>
      <c r="I341" s="35"/>
      <c r="J341" s="35"/>
      <c r="K341" s="32"/>
      <c r="L341" s="33"/>
      <c r="M341" s="37" t="str">
        <f aca="true">IF(C341="","",IF(OR(H341="Done"),"Done",IF(G341="","No Due Date",IF(G341&lt;TODAY(),"Overdue",IF(G341=TODAY(),"Due Today",IF(G341&lt;TODAY()+7,"Due This Week","Later"))))))</f>
        <v/>
      </c>
      <c r="N341" s="40" t="str">
        <f aca="false">IF(AND(C341&lt;&gt;"",H341&lt;&gt;"Done",G341&lt;&gt;""),G341+ROW()/100000,"")</f>
        <v/>
      </c>
      <c r="O341" s="37" t="str">
        <f aca="false">IF(AND(A341&lt;&gt;"",A341='Project Summary'!$C$3,H341&lt;&gt;"Done",C341&lt;&gt;""),COUNTIFS($A$2:$A341,'Project Summary'!$C$3,$H$2:$H341,"&lt;&gt;Done",$C$2:$C341,"&lt;&gt;"),"")</f>
        <v/>
      </c>
    </row>
    <row r="342" customFormat="false" ht="15" hidden="false" customHeight="false" outlineLevel="0" collapsed="false">
      <c r="A342" s="32"/>
      <c r="B342" s="32"/>
      <c r="C342" s="32"/>
      <c r="D342" s="33"/>
      <c r="E342" s="32"/>
      <c r="F342" s="32"/>
      <c r="G342" s="35"/>
      <c r="H342" s="32"/>
      <c r="I342" s="35"/>
      <c r="J342" s="35"/>
      <c r="K342" s="32"/>
      <c r="L342" s="33"/>
      <c r="M342" s="37" t="str">
        <f aca="true">IF(C342="","",IF(OR(H342="Done"),"Done",IF(G342="","No Due Date",IF(G342&lt;TODAY(),"Overdue",IF(G342=TODAY(),"Due Today",IF(G342&lt;TODAY()+7,"Due This Week","Later"))))))</f>
        <v/>
      </c>
      <c r="N342" s="40" t="str">
        <f aca="false">IF(AND(C342&lt;&gt;"",H342&lt;&gt;"Done",G342&lt;&gt;""),G342+ROW()/100000,"")</f>
        <v/>
      </c>
      <c r="O342" s="37" t="str">
        <f aca="false">IF(AND(A342&lt;&gt;"",A342='Project Summary'!$C$3,H342&lt;&gt;"Done",C342&lt;&gt;""),COUNTIFS($A$2:$A342,'Project Summary'!$C$3,$H$2:$H342,"&lt;&gt;Done",$C$2:$C342,"&lt;&gt;"),"")</f>
        <v/>
      </c>
    </row>
    <row r="343" customFormat="false" ht="15" hidden="false" customHeight="false" outlineLevel="0" collapsed="false">
      <c r="A343" s="32"/>
      <c r="B343" s="32"/>
      <c r="C343" s="32"/>
      <c r="D343" s="33"/>
      <c r="E343" s="32"/>
      <c r="F343" s="32"/>
      <c r="G343" s="35"/>
      <c r="H343" s="32"/>
      <c r="I343" s="35"/>
      <c r="J343" s="35"/>
      <c r="K343" s="32"/>
      <c r="L343" s="33"/>
      <c r="M343" s="37" t="str">
        <f aca="true">IF(C343="","",IF(OR(H343="Done"),"Done",IF(G343="","No Due Date",IF(G343&lt;TODAY(),"Overdue",IF(G343=TODAY(),"Due Today",IF(G343&lt;TODAY()+7,"Due This Week","Later"))))))</f>
        <v/>
      </c>
      <c r="N343" s="40" t="str">
        <f aca="false">IF(AND(C343&lt;&gt;"",H343&lt;&gt;"Done",G343&lt;&gt;""),G343+ROW()/100000,"")</f>
        <v/>
      </c>
      <c r="O343" s="37" t="str">
        <f aca="false">IF(AND(A343&lt;&gt;"",A343='Project Summary'!$C$3,H343&lt;&gt;"Done",C343&lt;&gt;""),COUNTIFS($A$2:$A343,'Project Summary'!$C$3,$H$2:$H343,"&lt;&gt;Done",$C$2:$C343,"&lt;&gt;"),"")</f>
        <v/>
      </c>
    </row>
    <row r="344" customFormat="false" ht="15" hidden="false" customHeight="false" outlineLevel="0" collapsed="false">
      <c r="A344" s="32"/>
      <c r="B344" s="32"/>
      <c r="C344" s="32"/>
      <c r="D344" s="33"/>
      <c r="E344" s="32"/>
      <c r="F344" s="32"/>
      <c r="G344" s="35"/>
      <c r="H344" s="32"/>
      <c r="I344" s="35"/>
      <c r="J344" s="35"/>
      <c r="K344" s="32"/>
      <c r="L344" s="33"/>
      <c r="M344" s="37" t="str">
        <f aca="true">IF(C344="","",IF(OR(H344="Done"),"Done",IF(G344="","No Due Date",IF(G344&lt;TODAY(),"Overdue",IF(G344=TODAY(),"Due Today",IF(G344&lt;TODAY()+7,"Due This Week","Later"))))))</f>
        <v/>
      </c>
      <c r="N344" s="40" t="str">
        <f aca="false">IF(AND(C344&lt;&gt;"",H344&lt;&gt;"Done",G344&lt;&gt;""),G344+ROW()/100000,"")</f>
        <v/>
      </c>
      <c r="O344" s="37" t="str">
        <f aca="false">IF(AND(A344&lt;&gt;"",A344='Project Summary'!$C$3,H344&lt;&gt;"Done",C344&lt;&gt;""),COUNTIFS($A$2:$A344,'Project Summary'!$C$3,$H$2:$H344,"&lt;&gt;Done",$C$2:$C344,"&lt;&gt;"),"")</f>
        <v/>
      </c>
    </row>
    <row r="345" customFormat="false" ht="15" hidden="false" customHeight="false" outlineLevel="0" collapsed="false">
      <c r="A345" s="32"/>
      <c r="B345" s="32"/>
      <c r="C345" s="32"/>
      <c r="D345" s="33"/>
      <c r="E345" s="32"/>
      <c r="F345" s="32"/>
      <c r="G345" s="35"/>
      <c r="H345" s="32"/>
      <c r="I345" s="35"/>
      <c r="J345" s="35"/>
      <c r="K345" s="32"/>
      <c r="L345" s="33"/>
      <c r="M345" s="37" t="str">
        <f aca="true">IF(C345="","",IF(OR(H345="Done"),"Done",IF(G345="","No Due Date",IF(G345&lt;TODAY(),"Overdue",IF(G345=TODAY(),"Due Today",IF(G345&lt;TODAY()+7,"Due This Week","Later"))))))</f>
        <v/>
      </c>
      <c r="N345" s="40" t="str">
        <f aca="false">IF(AND(C345&lt;&gt;"",H345&lt;&gt;"Done",G345&lt;&gt;""),G345+ROW()/100000,"")</f>
        <v/>
      </c>
      <c r="O345" s="37" t="str">
        <f aca="false">IF(AND(A345&lt;&gt;"",A345='Project Summary'!$C$3,H345&lt;&gt;"Done",C345&lt;&gt;""),COUNTIFS($A$2:$A345,'Project Summary'!$C$3,$H$2:$H345,"&lt;&gt;Done",$C$2:$C345,"&lt;&gt;"),"")</f>
        <v/>
      </c>
    </row>
    <row r="346" customFormat="false" ht="15" hidden="false" customHeight="false" outlineLevel="0" collapsed="false">
      <c r="A346" s="32"/>
      <c r="B346" s="32"/>
      <c r="C346" s="32"/>
      <c r="D346" s="33"/>
      <c r="E346" s="32"/>
      <c r="F346" s="32"/>
      <c r="G346" s="35"/>
      <c r="H346" s="32"/>
      <c r="I346" s="35"/>
      <c r="J346" s="35"/>
      <c r="K346" s="32"/>
      <c r="L346" s="33"/>
      <c r="M346" s="37" t="str">
        <f aca="true">IF(C346="","",IF(OR(H346="Done"),"Done",IF(G346="","No Due Date",IF(G346&lt;TODAY(),"Overdue",IF(G346=TODAY(),"Due Today",IF(G346&lt;TODAY()+7,"Due This Week","Later"))))))</f>
        <v/>
      </c>
      <c r="N346" s="40" t="str">
        <f aca="false">IF(AND(C346&lt;&gt;"",H346&lt;&gt;"Done",G346&lt;&gt;""),G346+ROW()/100000,"")</f>
        <v/>
      </c>
      <c r="O346" s="37" t="str">
        <f aca="false">IF(AND(A346&lt;&gt;"",A346='Project Summary'!$C$3,H346&lt;&gt;"Done",C346&lt;&gt;""),COUNTIFS($A$2:$A346,'Project Summary'!$C$3,$H$2:$H346,"&lt;&gt;Done",$C$2:$C346,"&lt;&gt;"),"")</f>
        <v/>
      </c>
    </row>
    <row r="347" customFormat="false" ht="15" hidden="false" customHeight="false" outlineLevel="0" collapsed="false">
      <c r="A347" s="32"/>
      <c r="B347" s="32"/>
      <c r="C347" s="32"/>
      <c r="D347" s="33"/>
      <c r="E347" s="32"/>
      <c r="F347" s="32"/>
      <c r="G347" s="35"/>
      <c r="H347" s="32"/>
      <c r="I347" s="35"/>
      <c r="J347" s="35"/>
      <c r="K347" s="32"/>
      <c r="L347" s="33"/>
      <c r="M347" s="37" t="str">
        <f aca="true">IF(C347="","",IF(OR(H347="Done"),"Done",IF(G347="","No Due Date",IF(G347&lt;TODAY(),"Overdue",IF(G347=TODAY(),"Due Today",IF(G347&lt;TODAY()+7,"Due This Week","Later"))))))</f>
        <v/>
      </c>
      <c r="N347" s="40" t="str">
        <f aca="false">IF(AND(C347&lt;&gt;"",H347&lt;&gt;"Done",G347&lt;&gt;""),G347+ROW()/100000,"")</f>
        <v/>
      </c>
      <c r="O347" s="37" t="str">
        <f aca="false">IF(AND(A347&lt;&gt;"",A347='Project Summary'!$C$3,H347&lt;&gt;"Done",C347&lt;&gt;""),COUNTIFS($A$2:$A347,'Project Summary'!$C$3,$H$2:$H347,"&lt;&gt;Done",$C$2:$C347,"&lt;&gt;"),"")</f>
        <v/>
      </c>
    </row>
    <row r="348" customFormat="false" ht="15" hidden="false" customHeight="false" outlineLevel="0" collapsed="false">
      <c r="A348" s="32"/>
      <c r="B348" s="32"/>
      <c r="C348" s="32"/>
      <c r="D348" s="33"/>
      <c r="E348" s="32"/>
      <c r="F348" s="32"/>
      <c r="G348" s="35"/>
      <c r="H348" s="32"/>
      <c r="I348" s="35"/>
      <c r="J348" s="35"/>
      <c r="K348" s="32"/>
      <c r="L348" s="33"/>
      <c r="M348" s="37" t="str">
        <f aca="true">IF(C348="","",IF(OR(H348="Done"),"Done",IF(G348="","No Due Date",IF(G348&lt;TODAY(),"Overdue",IF(G348=TODAY(),"Due Today",IF(G348&lt;TODAY()+7,"Due This Week","Later"))))))</f>
        <v/>
      </c>
      <c r="N348" s="40" t="str">
        <f aca="false">IF(AND(C348&lt;&gt;"",H348&lt;&gt;"Done",G348&lt;&gt;""),G348+ROW()/100000,"")</f>
        <v/>
      </c>
      <c r="O348" s="37" t="str">
        <f aca="false">IF(AND(A348&lt;&gt;"",A348='Project Summary'!$C$3,H348&lt;&gt;"Done",C348&lt;&gt;""),COUNTIFS($A$2:$A348,'Project Summary'!$C$3,$H$2:$H348,"&lt;&gt;Done",$C$2:$C348,"&lt;&gt;"),"")</f>
        <v/>
      </c>
    </row>
    <row r="349" customFormat="false" ht="15" hidden="false" customHeight="false" outlineLevel="0" collapsed="false">
      <c r="A349" s="32"/>
      <c r="B349" s="32"/>
      <c r="C349" s="32"/>
      <c r="D349" s="33"/>
      <c r="E349" s="32"/>
      <c r="F349" s="32"/>
      <c r="G349" s="35"/>
      <c r="H349" s="32"/>
      <c r="I349" s="35"/>
      <c r="J349" s="35"/>
      <c r="K349" s="32"/>
      <c r="L349" s="33"/>
      <c r="M349" s="37" t="str">
        <f aca="true">IF(C349="","",IF(OR(H349="Done"),"Done",IF(G349="","No Due Date",IF(G349&lt;TODAY(),"Overdue",IF(G349=TODAY(),"Due Today",IF(G349&lt;TODAY()+7,"Due This Week","Later"))))))</f>
        <v/>
      </c>
      <c r="N349" s="40" t="str">
        <f aca="false">IF(AND(C349&lt;&gt;"",H349&lt;&gt;"Done",G349&lt;&gt;""),G349+ROW()/100000,"")</f>
        <v/>
      </c>
      <c r="O349" s="37" t="str">
        <f aca="false">IF(AND(A349&lt;&gt;"",A349='Project Summary'!$C$3,H349&lt;&gt;"Done",C349&lt;&gt;""),COUNTIFS($A$2:$A349,'Project Summary'!$C$3,$H$2:$H349,"&lt;&gt;Done",$C$2:$C349,"&lt;&gt;"),"")</f>
        <v/>
      </c>
    </row>
    <row r="350" customFormat="false" ht="15" hidden="false" customHeight="false" outlineLevel="0" collapsed="false">
      <c r="A350" s="32"/>
      <c r="B350" s="32"/>
      <c r="C350" s="32"/>
      <c r="D350" s="33"/>
      <c r="E350" s="32"/>
      <c r="F350" s="32"/>
      <c r="G350" s="35"/>
      <c r="H350" s="32"/>
      <c r="I350" s="35"/>
      <c r="J350" s="35"/>
      <c r="K350" s="32"/>
      <c r="L350" s="33"/>
      <c r="M350" s="37" t="str">
        <f aca="true">IF(C350="","",IF(OR(H350="Done"),"Done",IF(G350="","No Due Date",IF(G350&lt;TODAY(),"Overdue",IF(G350=TODAY(),"Due Today",IF(G350&lt;TODAY()+7,"Due This Week","Later"))))))</f>
        <v/>
      </c>
      <c r="N350" s="40" t="str">
        <f aca="false">IF(AND(C350&lt;&gt;"",H350&lt;&gt;"Done",G350&lt;&gt;""),G350+ROW()/100000,"")</f>
        <v/>
      </c>
      <c r="O350" s="37" t="str">
        <f aca="false">IF(AND(A350&lt;&gt;"",A350='Project Summary'!$C$3,H350&lt;&gt;"Done",C350&lt;&gt;""),COUNTIFS($A$2:$A350,'Project Summary'!$C$3,$H$2:$H350,"&lt;&gt;Done",$C$2:$C350,"&lt;&gt;"),"")</f>
        <v/>
      </c>
    </row>
    <row r="351" customFormat="false" ht="15" hidden="false" customHeight="false" outlineLevel="0" collapsed="false">
      <c r="A351" s="32"/>
      <c r="B351" s="32"/>
      <c r="C351" s="32"/>
      <c r="D351" s="33"/>
      <c r="E351" s="32"/>
      <c r="F351" s="32"/>
      <c r="G351" s="35"/>
      <c r="H351" s="32"/>
      <c r="I351" s="35"/>
      <c r="J351" s="35"/>
      <c r="K351" s="32"/>
      <c r="L351" s="33"/>
      <c r="M351" s="37" t="str">
        <f aca="true">IF(C351="","",IF(OR(H351="Done"),"Done",IF(G351="","No Due Date",IF(G351&lt;TODAY(),"Overdue",IF(G351=TODAY(),"Due Today",IF(G351&lt;TODAY()+7,"Due This Week","Later"))))))</f>
        <v/>
      </c>
      <c r="N351" s="40" t="str">
        <f aca="false">IF(AND(C351&lt;&gt;"",H351&lt;&gt;"Done",G351&lt;&gt;""),G351+ROW()/100000,"")</f>
        <v/>
      </c>
      <c r="O351" s="37" t="str">
        <f aca="false">IF(AND(A351&lt;&gt;"",A351='Project Summary'!$C$3,H351&lt;&gt;"Done",C351&lt;&gt;""),COUNTIFS($A$2:$A351,'Project Summary'!$C$3,$H$2:$H351,"&lt;&gt;Done",$C$2:$C351,"&lt;&gt;"),"")</f>
        <v/>
      </c>
    </row>
    <row r="352" customFormat="false" ht="15" hidden="false" customHeight="false" outlineLevel="0" collapsed="false">
      <c r="A352" s="32"/>
      <c r="B352" s="32"/>
      <c r="C352" s="32"/>
      <c r="D352" s="33"/>
      <c r="E352" s="32"/>
      <c r="F352" s="32"/>
      <c r="G352" s="35"/>
      <c r="H352" s="32"/>
      <c r="I352" s="35"/>
      <c r="J352" s="35"/>
      <c r="K352" s="32"/>
      <c r="L352" s="33"/>
      <c r="M352" s="37" t="str">
        <f aca="true">IF(C352="","",IF(OR(H352="Done"),"Done",IF(G352="","No Due Date",IF(G352&lt;TODAY(),"Overdue",IF(G352=TODAY(),"Due Today",IF(G352&lt;TODAY()+7,"Due This Week","Later"))))))</f>
        <v/>
      </c>
      <c r="N352" s="40" t="str">
        <f aca="false">IF(AND(C352&lt;&gt;"",H352&lt;&gt;"Done",G352&lt;&gt;""),G352+ROW()/100000,"")</f>
        <v/>
      </c>
      <c r="O352" s="37" t="str">
        <f aca="false">IF(AND(A352&lt;&gt;"",A352='Project Summary'!$C$3,H352&lt;&gt;"Done",C352&lt;&gt;""),COUNTIFS($A$2:$A352,'Project Summary'!$C$3,$H$2:$H352,"&lt;&gt;Done",$C$2:$C352,"&lt;&gt;"),"")</f>
        <v/>
      </c>
    </row>
    <row r="353" customFormat="false" ht="15" hidden="false" customHeight="false" outlineLevel="0" collapsed="false">
      <c r="A353" s="32"/>
      <c r="B353" s="32"/>
      <c r="C353" s="32"/>
      <c r="D353" s="33"/>
      <c r="E353" s="32"/>
      <c r="F353" s="32"/>
      <c r="G353" s="35"/>
      <c r="H353" s="32"/>
      <c r="I353" s="35"/>
      <c r="J353" s="35"/>
      <c r="K353" s="32"/>
      <c r="L353" s="33"/>
      <c r="M353" s="37" t="str">
        <f aca="true">IF(C353="","",IF(OR(H353="Done"),"Done",IF(G353="","No Due Date",IF(G353&lt;TODAY(),"Overdue",IF(G353=TODAY(),"Due Today",IF(G353&lt;TODAY()+7,"Due This Week","Later"))))))</f>
        <v/>
      </c>
      <c r="N353" s="40" t="str">
        <f aca="false">IF(AND(C353&lt;&gt;"",H353&lt;&gt;"Done",G353&lt;&gt;""),G353+ROW()/100000,"")</f>
        <v/>
      </c>
      <c r="O353" s="37" t="str">
        <f aca="false">IF(AND(A353&lt;&gt;"",A353='Project Summary'!$C$3,H353&lt;&gt;"Done",C353&lt;&gt;""),COUNTIFS($A$2:$A353,'Project Summary'!$C$3,$H$2:$H353,"&lt;&gt;Done",$C$2:$C353,"&lt;&gt;"),"")</f>
        <v/>
      </c>
    </row>
    <row r="354" customFormat="false" ht="15" hidden="false" customHeight="false" outlineLevel="0" collapsed="false">
      <c r="A354" s="32"/>
      <c r="B354" s="32"/>
      <c r="C354" s="32"/>
      <c r="D354" s="33"/>
      <c r="E354" s="32"/>
      <c r="F354" s="32"/>
      <c r="G354" s="35"/>
      <c r="H354" s="32"/>
      <c r="I354" s="35"/>
      <c r="J354" s="35"/>
      <c r="K354" s="32"/>
      <c r="L354" s="33"/>
      <c r="M354" s="37" t="str">
        <f aca="true">IF(C354="","",IF(OR(H354="Done"),"Done",IF(G354="","No Due Date",IF(G354&lt;TODAY(),"Overdue",IF(G354=TODAY(),"Due Today",IF(G354&lt;TODAY()+7,"Due This Week","Later"))))))</f>
        <v/>
      </c>
      <c r="N354" s="40" t="str">
        <f aca="false">IF(AND(C354&lt;&gt;"",H354&lt;&gt;"Done",G354&lt;&gt;""),G354+ROW()/100000,"")</f>
        <v/>
      </c>
      <c r="O354" s="37" t="str">
        <f aca="false">IF(AND(A354&lt;&gt;"",A354='Project Summary'!$C$3,H354&lt;&gt;"Done",C354&lt;&gt;""),COUNTIFS($A$2:$A354,'Project Summary'!$C$3,$H$2:$H354,"&lt;&gt;Done",$C$2:$C354,"&lt;&gt;"),"")</f>
        <v/>
      </c>
    </row>
    <row r="355" customFormat="false" ht="15" hidden="false" customHeight="false" outlineLevel="0" collapsed="false">
      <c r="A355" s="32"/>
      <c r="B355" s="32"/>
      <c r="C355" s="32"/>
      <c r="D355" s="33"/>
      <c r="E355" s="32"/>
      <c r="F355" s="32"/>
      <c r="G355" s="35"/>
      <c r="H355" s="32"/>
      <c r="I355" s="35"/>
      <c r="J355" s="35"/>
      <c r="K355" s="32"/>
      <c r="L355" s="33"/>
      <c r="M355" s="37" t="str">
        <f aca="true">IF(C355="","",IF(OR(H355="Done"),"Done",IF(G355="","No Due Date",IF(G355&lt;TODAY(),"Overdue",IF(G355=TODAY(),"Due Today",IF(G355&lt;TODAY()+7,"Due This Week","Later"))))))</f>
        <v/>
      </c>
      <c r="N355" s="40" t="str">
        <f aca="false">IF(AND(C355&lt;&gt;"",H355&lt;&gt;"Done",G355&lt;&gt;""),G355+ROW()/100000,"")</f>
        <v/>
      </c>
      <c r="O355" s="37" t="str">
        <f aca="false">IF(AND(A355&lt;&gt;"",A355='Project Summary'!$C$3,H355&lt;&gt;"Done",C355&lt;&gt;""),COUNTIFS($A$2:$A355,'Project Summary'!$C$3,$H$2:$H355,"&lt;&gt;Done",$C$2:$C355,"&lt;&gt;"),"")</f>
        <v/>
      </c>
    </row>
    <row r="356" customFormat="false" ht="15" hidden="false" customHeight="false" outlineLevel="0" collapsed="false">
      <c r="A356" s="32"/>
      <c r="B356" s="32"/>
      <c r="C356" s="32"/>
      <c r="D356" s="33"/>
      <c r="E356" s="32"/>
      <c r="F356" s="32"/>
      <c r="G356" s="35"/>
      <c r="H356" s="32"/>
      <c r="I356" s="35"/>
      <c r="J356" s="35"/>
      <c r="K356" s="32"/>
      <c r="L356" s="33"/>
      <c r="M356" s="37" t="str">
        <f aca="true">IF(C356="","",IF(OR(H356="Done"),"Done",IF(G356="","No Due Date",IF(G356&lt;TODAY(),"Overdue",IF(G356=TODAY(),"Due Today",IF(G356&lt;TODAY()+7,"Due This Week","Later"))))))</f>
        <v/>
      </c>
      <c r="N356" s="40" t="str">
        <f aca="false">IF(AND(C356&lt;&gt;"",H356&lt;&gt;"Done",G356&lt;&gt;""),G356+ROW()/100000,"")</f>
        <v/>
      </c>
      <c r="O356" s="37" t="str">
        <f aca="false">IF(AND(A356&lt;&gt;"",A356='Project Summary'!$C$3,H356&lt;&gt;"Done",C356&lt;&gt;""),COUNTIFS($A$2:$A356,'Project Summary'!$C$3,$H$2:$H356,"&lt;&gt;Done",$C$2:$C356,"&lt;&gt;"),"")</f>
        <v/>
      </c>
    </row>
    <row r="357" customFormat="false" ht="15" hidden="false" customHeight="false" outlineLevel="0" collapsed="false">
      <c r="A357" s="32"/>
      <c r="B357" s="32"/>
      <c r="C357" s="32"/>
      <c r="D357" s="33"/>
      <c r="E357" s="32"/>
      <c r="F357" s="32"/>
      <c r="G357" s="35"/>
      <c r="H357" s="32"/>
      <c r="I357" s="35"/>
      <c r="J357" s="35"/>
      <c r="K357" s="32"/>
      <c r="L357" s="33"/>
      <c r="M357" s="37" t="str">
        <f aca="true">IF(C357="","",IF(OR(H357="Done"),"Done",IF(G357="","No Due Date",IF(G357&lt;TODAY(),"Overdue",IF(G357=TODAY(),"Due Today",IF(G357&lt;TODAY()+7,"Due This Week","Later"))))))</f>
        <v/>
      </c>
      <c r="N357" s="40" t="str">
        <f aca="false">IF(AND(C357&lt;&gt;"",H357&lt;&gt;"Done",G357&lt;&gt;""),G357+ROW()/100000,"")</f>
        <v/>
      </c>
      <c r="O357" s="37" t="str">
        <f aca="false">IF(AND(A357&lt;&gt;"",A357='Project Summary'!$C$3,H357&lt;&gt;"Done",C357&lt;&gt;""),COUNTIFS($A$2:$A357,'Project Summary'!$C$3,$H$2:$H357,"&lt;&gt;Done",$C$2:$C357,"&lt;&gt;"),"")</f>
        <v/>
      </c>
    </row>
    <row r="358" customFormat="false" ht="15" hidden="false" customHeight="false" outlineLevel="0" collapsed="false">
      <c r="A358" s="32"/>
      <c r="B358" s="32"/>
      <c r="C358" s="32"/>
      <c r="D358" s="33"/>
      <c r="E358" s="32"/>
      <c r="F358" s="32"/>
      <c r="G358" s="35"/>
      <c r="H358" s="32"/>
      <c r="I358" s="35"/>
      <c r="J358" s="35"/>
      <c r="K358" s="32"/>
      <c r="L358" s="33"/>
      <c r="M358" s="37" t="str">
        <f aca="true">IF(C358="","",IF(OR(H358="Done"),"Done",IF(G358="","No Due Date",IF(G358&lt;TODAY(),"Overdue",IF(G358=TODAY(),"Due Today",IF(G358&lt;TODAY()+7,"Due This Week","Later"))))))</f>
        <v/>
      </c>
      <c r="N358" s="40" t="str">
        <f aca="false">IF(AND(C358&lt;&gt;"",H358&lt;&gt;"Done",G358&lt;&gt;""),G358+ROW()/100000,"")</f>
        <v/>
      </c>
      <c r="O358" s="37" t="str">
        <f aca="false">IF(AND(A358&lt;&gt;"",A358='Project Summary'!$C$3,H358&lt;&gt;"Done",C358&lt;&gt;""),COUNTIFS($A$2:$A358,'Project Summary'!$C$3,$H$2:$H358,"&lt;&gt;Done",$C$2:$C358,"&lt;&gt;"),"")</f>
        <v/>
      </c>
    </row>
    <row r="359" customFormat="false" ht="15" hidden="false" customHeight="false" outlineLevel="0" collapsed="false">
      <c r="A359" s="32"/>
      <c r="B359" s="32"/>
      <c r="C359" s="32"/>
      <c r="D359" s="33"/>
      <c r="E359" s="32"/>
      <c r="F359" s="32"/>
      <c r="G359" s="35"/>
      <c r="H359" s="32"/>
      <c r="I359" s="35"/>
      <c r="J359" s="35"/>
      <c r="K359" s="32"/>
      <c r="L359" s="33"/>
      <c r="M359" s="37" t="str">
        <f aca="true">IF(C359="","",IF(OR(H359="Done"),"Done",IF(G359="","No Due Date",IF(G359&lt;TODAY(),"Overdue",IF(G359=TODAY(),"Due Today",IF(G359&lt;TODAY()+7,"Due This Week","Later"))))))</f>
        <v/>
      </c>
      <c r="N359" s="40" t="str">
        <f aca="false">IF(AND(C359&lt;&gt;"",H359&lt;&gt;"Done",G359&lt;&gt;""),G359+ROW()/100000,"")</f>
        <v/>
      </c>
      <c r="O359" s="37" t="str">
        <f aca="false">IF(AND(A359&lt;&gt;"",A359='Project Summary'!$C$3,H359&lt;&gt;"Done",C359&lt;&gt;""),COUNTIFS($A$2:$A359,'Project Summary'!$C$3,$H$2:$H359,"&lt;&gt;Done",$C$2:$C359,"&lt;&gt;"),"")</f>
        <v/>
      </c>
    </row>
    <row r="360" customFormat="false" ht="15" hidden="false" customHeight="false" outlineLevel="0" collapsed="false">
      <c r="A360" s="32"/>
      <c r="B360" s="32"/>
      <c r="C360" s="32"/>
      <c r="D360" s="33"/>
      <c r="E360" s="32"/>
      <c r="F360" s="32"/>
      <c r="G360" s="35"/>
      <c r="H360" s="32"/>
      <c r="I360" s="35"/>
      <c r="J360" s="35"/>
      <c r="K360" s="32"/>
      <c r="L360" s="33"/>
      <c r="M360" s="37" t="str">
        <f aca="true">IF(C360="","",IF(OR(H360="Done"),"Done",IF(G360="","No Due Date",IF(G360&lt;TODAY(),"Overdue",IF(G360=TODAY(),"Due Today",IF(G360&lt;TODAY()+7,"Due This Week","Later"))))))</f>
        <v/>
      </c>
      <c r="N360" s="40" t="str">
        <f aca="false">IF(AND(C360&lt;&gt;"",H360&lt;&gt;"Done",G360&lt;&gt;""),G360+ROW()/100000,"")</f>
        <v/>
      </c>
      <c r="O360" s="37" t="str">
        <f aca="false">IF(AND(A360&lt;&gt;"",A360='Project Summary'!$C$3,H360&lt;&gt;"Done",C360&lt;&gt;""),COUNTIFS($A$2:$A360,'Project Summary'!$C$3,$H$2:$H360,"&lt;&gt;Done",$C$2:$C360,"&lt;&gt;"),"")</f>
        <v/>
      </c>
    </row>
    <row r="361" customFormat="false" ht="15" hidden="false" customHeight="false" outlineLevel="0" collapsed="false">
      <c r="A361" s="32"/>
      <c r="B361" s="32"/>
      <c r="C361" s="32"/>
      <c r="D361" s="33"/>
      <c r="E361" s="32"/>
      <c r="F361" s="32"/>
      <c r="G361" s="35"/>
      <c r="H361" s="32"/>
      <c r="I361" s="35"/>
      <c r="J361" s="35"/>
      <c r="K361" s="32"/>
      <c r="L361" s="33"/>
      <c r="M361" s="37" t="str">
        <f aca="true">IF(C361="","",IF(OR(H361="Done"),"Done",IF(G361="","No Due Date",IF(G361&lt;TODAY(),"Overdue",IF(G361=TODAY(),"Due Today",IF(G361&lt;TODAY()+7,"Due This Week","Later"))))))</f>
        <v/>
      </c>
      <c r="N361" s="40" t="str">
        <f aca="false">IF(AND(C361&lt;&gt;"",H361&lt;&gt;"Done",G361&lt;&gt;""),G361+ROW()/100000,"")</f>
        <v/>
      </c>
      <c r="O361" s="37" t="str">
        <f aca="false">IF(AND(A361&lt;&gt;"",A361='Project Summary'!$C$3,H361&lt;&gt;"Done",C361&lt;&gt;""),COUNTIFS($A$2:$A361,'Project Summary'!$C$3,$H$2:$H361,"&lt;&gt;Done",$C$2:$C361,"&lt;&gt;"),"")</f>
        <v/>
      </c>
    </row>
    <row r="362" customFormat="false" ht="15" hidden="false" customHeight="false" outlineLevel="0" collapsed="false">
      <c r="A362" s="32"/>
      <c r="B362" s="32"/>
      <c r="C362" s="32"/>
      <c r="D362" s="33"/>
      <c r="E362" s="32"/>
      <c r="F362" s="32"/>
      <c r="G362" s="35"/>
      <c r="H362" s="32"/>
      <c r="I362" s="35"/>
      <c r="J362" s="35"/>
      <c r="K362" s="32"/>
      <c r="L362" s="33"/>
      <c r="M362" s="37" t="str">
        <f aca="true">IF(C362="","",IF(OR(H362="Done"),"Done",IF(G362="","No Due Date",IF(G362&lt;TODAY(),"Overdue",IF(G362=TODAY(),"Due Today",IF(G362&lt;TODAY()+7,"Due This Week","Later"))))))</f>
        <v/>
      </c>
      <c r="N362" s="40" t="str">
        <f aca="false">IF(AND(C362&lt;&gt;"",H362&lt;&gt;"Done",G362&lt;&gt;""),G362+ROW()/100000,"")</f>
        <v/>
      </c>
      <c r="O362" s="37" t="str">
        <f aca="false">IF(AND(A362&lt;&gt;"",A362='Project Summary'!$C$3,H362&lt;&gt;"Done",C362&lt;&gt;""),COUNTIFS($A$2:$A362,'Project Summary'!$C$3,$H$2:$H362,"&lt;&gt;Done",$C$2:$C362,"&lt;&gt;"),"")</f>
        <v/>
      </c>
    </row>
    <row r="363" customFormat="false" ht="15" hidden="false" customHeight="false" outlineLevel="0" collapsed="false">
      <c r="A363" s="32"/>
      <c r="B363" s="32"/>
      <c r="C363" s="32"/>
      <c r="D363" s="33"/>
      <c r="E363" s="32"/>
      <c r="F363" s="32"/>
      <c r="G363" s="35"/>
      <c r="H363" s="32"/>
      <c r="I363" s="35"/>
      <c r="J363" s="35"/>
      <c r="K363" s="32"/>
      <c r="L363" s="33"/>
      <c r="M363" s="37" t="str">
        <f aca="true">IF(C363="","",IF(OR(H363="Done"),"Done",IF(G363="","No Due Date",IF(G363&lt;TODAY(),"Overdue",IF(G363=TODAY(),"Due Today",IF(G363&lt;TODAY()+7,"Due This Week","Later"))))))</f>
        <v/>
      </c>
      <c r="N363" s="40" t="str">
        <f aca="false">IF(AND(C363&lt;&gt;"",H363&lt;&gt;"Done",G363&lt;&gt;""),G363+ROW()/100000,"")</f>
        <v/>
      </c>
      <c r="O363" s="37" t="str">
        <f aca="false">IF(AND(A363&lt;&gt;"",A363='Project Summary'!$C$3,H363&lt;&gt;"Done",C363&lt;&gt;""),COUNTIFS($A$2:$A363,'Project Summary'!$C$3,$H$2:$H363,"&lt;&gt;Done",$C$2:$C363,"&lt;&gt;"),"")</f>
        <v/>
      </c>
    </row>
    <row r="364" customFormat="false" ht="15" hidden="false" customHeight="false" outlineLevel="0" collapsed="false">
      <c r="A364" s="32"/>
      <c r="B364" s="32"/>
      <c r="C364" s="32"/>
      <c r="D364" s="33"/>
      <c r="E364" s="32"/>
      <c r="F364" s="32"/>
      <c r="G364" s="35"/>
      <c r="H364" s="32"/>
      <c r="I364" s="35"/>
      <c r="J364" s="35"/>
      <c r="K364" s="32"/>
      <c r="L364" s="33"/>
      <c r="M364" s="37" t="str">
        <f aca="true">IF(C364="","",IF(OR(H364="Done"),"Done",IF(G364="","No Due Date",IF(G364&lt;TODAY(),"Overdue",IF(G364=TODAY(),"Due Today",IF(G364&lt;TODAY()+7,"Due This Week","Later"))))))</f>
        <v/>
      </c>
      <c r="N364" s="40" t="str">
        <f aca="false">IF(AND(C364&lt;&gt;"",H364&lt;&gt;"Done",G364&lt;&gt;""),G364+ROW()/100000,"")</f>
        <v/>
      </c>
      <c r="O364" s="37" t="str">
        <f aca="false">IF(AND(A364&lt;&gt;"",A364='Project Summary'!$C$3,H364&lt;&gt;"Done",C364&lt;&gt;""),COUNTIFS($A$2:$A364,'Project Summary'!$C$3,$H$2:$H364,"&lt;&gt;Done",$C$2:$C364,"&lt;&gt;"),"")</f>
        <v/>
      </c>
    </row>
    <row r="365" customFormat="false" ht="15" hidden="false" customHeight="false" outlineLevel="0" collapsed="false">
      <c r="A365" s="32"/>
      <c r="B365" s="32"/>
      <c r="C365" s="32"/>
      <c r="D365" s="33"/>
      <c r="E365" s="32"/>
      <c r="F365" s="32"/>
      <c r="G365" s="35"/>
      <c r="H365" s="32"/>
      <c r="I365" s="35"/>
      <c r="J365" s="35"/>
      <c r="K365" s="32"/>
      <c r="L365" s="33"/>
      <c r="M365" s="37" t="str">
        <f aca="true">IF(C365="","",IF(OR(H365="Done"),"Done",IF(G365="","No Due Date",IF(G365&lt;TODAY(),"Overdue",IF(G365=TODAY(),"Due Today",IF(G365&lt;TODAY()+7,"Due This Week","Later"))))))</f>
        <v/>
      </c>
      <c r="N365" s="40" t="str">
        <f aca="false">IF(AND(C365&lt;&gt;"",H365&lt;&gt;"Done",G365&lt;&gt;""),G365+ROW()/100000,"")</f>
        <v/>
      </c>
      <c r="O365" s="37" t="str">
        <f aca="false">IF(AND(A365&lt;&gt;"",A365='Project Summary'!$C$3,H365&lt;&gt;"Done",C365&lt;&gt;""),COUNTIFS($A$2:$A365,'Project Summary'!$C$3,$H$2:$H365,"&lt;&gt;Done",$C$2:$C365,"&lt;&gt;"),"")</f>
        <v/>
      </c>
    </row>
    <row r="366" customFormat="false" ht="15" hidden="false" customHeight="false" outlineLevel="0" collapsed="false">
      <c r="A366" s="32"/>
      <c r="B366" s="32"/>
      <c r="C366" s="32"/>
      <c r="D366" s="33"/>
      <c r="E366" s="32"/>
      <c r="F366" s="32"/>
      <c r="G366" s="35"/>
      <c r="H366" s="32"/>
      <c r="I366" s="35"/>
      <c r="J366" s="35"/>
      <c r="K366" s="32"/>
      <c r="L366" s="33"/>
      <c r="M366" s="37" t="str">
        <f aca="true">IF(C366="","",IF(OR(H366="Done"),"Done",IF(G366="","No Due Date",IF(G366&lt;TODAY(),"Overdue",IF(G366=TODAY(),"Due Today",IF(G366&lt;TODAY()+7,"Due This Week","Later"))))))</f>
        <v/>
      </c>
      <c r="N366" s="40" t="str">
        <f aca="false">IF(AND(C366&lt;&gt;"",H366&lt;&gt;"Done",G366&lt;&gt;""),G366+ROW()/100000,"")</f>
        <v/>
      </c>
      <c r="O366" s="37" t="str">
        <f aca="false">IF(AND(A366&lt;&gt;"",A366='Project Summary'!$C$3,H366&lt;&gt;"Done",C366&lt;&gt;""),COUNTIFS($A$2:$A366,'Project Summary'!$C$3,$H$2:$H366,"&lt;&gt;Done",$C$2:$C366,"&lt;&gt;"),"")</f>
        <v/>
      </c>
    </row>
    <row r="367" customFormat="false" ht="15" hidden="false" customHeight="false" outlineLevel="0" collapsed="false">
      <c r="A367" s="32"/>
      <c r="B367" s="32"/>
      <c r="C367" s="32"/>
      <c r="D367" s="33"/>
      <c r="E367" s="32"/>
      <c r="F367" s="32"/>
      <c r="G367" s="35"/>
      <c r="H367" s="32"/>
      <c r="I367" s="35"/>
      <c r="J367" s="35"/>
      <c r="K367" s="32"/>
      <c r="L367" s="33"/>
      <c r="M367" s="37" t="str">
        <f aca="true">IF(C367="","",IF(OR(H367="Done"),"Done",IF(G367="","No Due Date",IF(G367&lt;TODAY(),"Overdue",IF(G367=TODAY(),"Due Today",IF(G367&lt;TODAY()+7,"Due This Week","Later"))))))</f>
        <v/>
      </c>
      <c r="N367" s="40" t="str">
        <f aca="false">IF(AND(C367&lt;&gt;"",H367&lt;&gt;"Done",G367&lt;&gt;""),G367+ROW()/100000,"")</f>
        <v/>
      </c>
      <c r="O367" s="37" t="str">
        <f aca="false">IF(AND(A367&lt;&gt;"",A367='Project Summary'!$C$3,H367&lt;&gt;"Done",C367&lt;&gt;""),COUNTIFS($A$2:$A367,'Project Summary'!$C$3,$H$2:$H367,"&lt;&gt;Done",$C$2:$C367,"&lt;&gt;"),"")</f>
        <v/>
      </c>
    </row>
    <row r="368" customFormat="false" ht="15" hidden="false" customHeight="false" outlineLevel="0" collapsed="false">
      <c r="A368" s="32"/>
      <c r="B368" s="32"/>
      <c r="C368" s="32"/>
      <c r="D368" s="33"/>
      <c r="E368" s="32"/>
      <c r="F368" s="32"/>
      <c r="G368" s="35"/>
      <c r="H368" s="32"/>
      <c r="I368" s="35"/>
      <c r="J368" s="35"/>
      <c r="K368" s="32"/>
      <c r="L368" s="33"/>
      <c r="M368" s="37" t="str">
        <f aca="true">IF(C368="","",IF(OR(H368="Done"),"Done",IF(G368="","No Due Date",IF(G368&lt;TODAY(),"Overdue",IF(G368=TODAY(),"Due Today",IF(G368&lt;TODAY()+7,"Due This Week","Later"))))))</f>
        <v/>
      </c>
      <c r="N368" s="40" t="str">
        <f aca="false">IF(AND(C368&lt;&gt;"",H368&lt;&gt;"Done",G368&lt;&gt;""),G368+ROW()/100000,"")</f>
        <v/>
      </c>
      <c r="O368" s="37" t="str">
        <f aca="false">IF(AND(A368&lt;&gt;"",A368='Project Summary'!$C$3,H368&lt;&gt;"Done",C368&lt;&gt;""),COUNTIFS($A$2:$A368,'Project Summary'!$C$3,$H$2:$H368,"&lt;&gt;Done",$C$2:$C368,"&lt;&gt;"),"")</f>
        <v/>
      </c>
    </row>
    <row r="369" customFormat="false" ht="15" hidden="false" customHeight="false" outlineLevel="0" collapsed="false">
      <c r="A369" s="32"/>
      <c r="B369" s="32"/>
      <c r="C369" s="32"/>
      <c r="D369" s="33"/>
      <c r="E369" s="32"/>
      <c r="F369" s="32"/>
      <c r="G369" s="35"/>
      <c r="H369" s="32"/>
      <c r="I369" s="35"/>
      <c r="J369" s="35"/>
      <c r="K369" s="32"/>
      <c r="L369" s="33"/>
      <c r="M369" s="37" t="str">
        <f aca="true">IF(C369="","",IF(OR(H369="Done"),"Done",IF(G369="","No Due Date",IF(G369&lt;TODAY(),"Overdue",IF(G369=TODAY(),"Due Today",IF(G369&lt;TODAY()+7,"Due This Week","Later"))))))</f>
        <v/>
      </c>
      <c r="N369" s="40" t="str">
        <f aca="false">IF(AND(C369&lt;&gt;"",H369&lt;&gt;"Done",G369&lt;&gt;""),G369+ROW()/100000,"")</f>
        <v/>
      </c>
      <c r="O369" s="37" t="str">
        <f aca="false">IF(AND(A369&lt;&gt;"",A369='Project Summary'!$C$3,H369&lt;&gt;"Done",C369&lt;&gt;""),COUNTIFS($A$2:$A369,'Project Summary'!$C$3,$H$2:$H369,"&lt;&gt;Done",$C$2:$C369,"&lt;&gt;"),"")</f>
        <v/>
      </c>
    </row>
    <row r="370" customFormat="false" ht="15" hidden="false" customHeight="false" outlineLevel="0" collapsed="false">
      <c r="A370" s="32"/>
      <c r="B370" s="32"/>
      <c r="C370" s="32"/>
      <c r="D370" s="33"/>
      <c r="E370" s="32"/>
      <c r="F370" s="32"/>
      <c r="G370" s="35"/>
      <c r="H370" s="32"/>
      <c r="I370" s="35"/>
      <c r="J370" s="35"/>
      <c r="K370" s="32"/>
      <c r="L370" s="33"/>
      <c r="M370" s="37" t="str">
        <f aca="true">IF(C370="","",IF(OR(H370="Done"),"Done",IF(G370="","No Due Date",IF(G370&lt;TODAY(),"Overdue",IF(G370=TODAY(),"Due Today",IF(G370&lt;TODAY()+7,"Due This Week","Later"))))))</f>
        <v/>
      </c>
      <c r="N370" s="40" t="str">
        <f aca="false">IF(AND(C370&lt;&gt;"",H370&lt;&gt;"Done",G370&lt;&gt;""),G370+ROW()/100000,"")</f>
        <v/>
      </c>
      <c r="O370" s="37" t="str">
        <f aca="false">IF(AND(A370&lt;&gt;"",A370='Project Summary'!$C$3,H370&lt;&gt;"Done",C370&lt;&gt;""),COUNTIFS($A$2:$A370,'Project Summary'!$C$3,$H$2:$H370,"&lt;&gt;Done",$C$2:$C370,"&lt;&gt;"),"")</f>
        <v/>
      </c>
    </row>
    <row r="371" customFormat="false" ht="15" hidden="false" customHeight="false" outlineLevel="0" collapsed="false">
      <c r="A371" s="32"/>
      <c r="B371" s="32"/>
      <c r="C371" s="32"/>
      <c r="D371" s="33"/>
      <c r="E371" s="32"/>
      <c r="F371" s="32"/>
      <c r="G371" s="35"/>
      <c r="H371" s="32"/>
      <c r="I371" s="35"/>
      <c r="J371" s="35"/>
      <c r="K371" s="32"/>
      <c r="L371" s="33"/>
      <c r="M371" s="37" t="str">
        <f aca="true">IF(C371="","",IF(OR(H371="Done"),"Done",IF(G371="","No Due Date",IF(G371&lt;TODAY(),"Overdue",IF(G371=TODAY(),"Due Today",IF(G371&lt;TODAY()+7,"Due This Week","Later"))))))</f>
        <v/>
      </c>
      <c r="N371" s="40" t="str">
        <f aca="false">IF(AND(C371&lt;&gt;"",H371&lt;&gt;"Done",G371&lt;&gt;""),G371+ROW()/100000,"")</f>
        <v/>
      </c>
      <c r="O371" s="37" t="str">
        <f aca="false">IF(AND(A371&lt;&gt;"",A371='Project Summary'!$C$3,H371&lt;&gt;"Done",C371&lt;&gt;""),COUNTIFS($A$2:$A371,'Project Summary'!$C$3,$H$2:$H371,"&lt;&gt;Done",$C$2:$C371,"&lt;&gt;"),"")</f>
        <v/>
      </c>
    </row>
    <row r="372" customFormat="false" ht="15" hidden="false" customHeight="false" outlineLevel="0" collapsed="false">
      <c r="A372" s="32"/>
      <c r="B372" s="32"/>
      <c r="C372" s="32"/>
      <c r="D372" s="33"/>
      <c r="E372" s="32"/>
      <c r="F372" s="32"/>
      <c r="G372" s="35"/>
      <c r="H372" s="32"/>
      <c r="I372" s="35"/>
      <c r="J372" s="35"/>
      <c r="K372" s="32"/>
      <c r="L372" s="33"/>
      <c r="M372" s="37" t="str">
        <f aca="true">IF(C372="","",IF(OR(H372="Done"),"Done",IF(G372="","No Due Date",IF(G372&lt;TODAY(),"Overdue",IF(G372=TODAY(),"Due Today",IF(G372&lt;TODAY()+7,"Due This Week","Later"))))))</f>
        <v/>
      </c>
      <c r="N372" s="40" t="str">
        <f aca="false">IF(AND(C372&lt;&gt;"",H372&lt;&gt;"Done",G372&lt;&gt;""),G372+ROW()/100000,"")</f>
        <v/>
      </c>
      <c r="O372" s="37" t="str">
        <f aca="false">IF(AND(A372&lt;&gt;"",A372='Project Summary'!$C$3,H372&lt;&gt;"Done",C372&lt;&gt;""),COUNTIFS($A$2:$A372,'Project Summary'!$C$3,$H$2:$H372,"&lt;&gt;Done",$C$2:$C372,"&lt;&gt;"),"")</f>
        <v/>
      </c>
    </row>
    <row r="373" customFormat="false" ht="15" hidden="false" customHeight="false" outlineLevel="0" collapsed="false">
      <c r="A373" s="32"/>
      <c r="B373" s="32"/>
      <c r="C373" s="32"/>
      <c r="D373" s="33"/>
      <c r="E373" s="32"/>
      <c r="F373" s="32"/>
      <c r="G373" s="35"/>
      <c r="H373" s="32"/>
      <c r="I373" s="35"/>
      <c r="J373" s="35"/>
      <c r="K373" s="32"/>
      <c r="L373" s="33"/>
      <c r="M373" s="37" t="str">
        <f aca="true">IF(C373="","",IF(OR(H373="Done"),"Done",IF(G373="","No Due Date",IF(G373&lt;TODAY(),"Overdue",IF(G373=TODAY(),"Due Today",IF(G373&lt;TODAY()+7,"Due This Week","Later"))))))</f>
        <v/>
      </c>
      <c r="N373" s="40" t="str">
        <f aca="false">IF(AND(C373&lt;&gt;"",H373&lt;&gt;"Done",G373&lt;&gt;""),G373+ROW()/100000,"")</f>
        <v/>
      </c>
      <c r="O373" s="37" t="str">
        <f aca="false">IF(AND(A373&lt;&gt;"",A373='Project Summary'!$C$3,H373&lt;&gt;"Done",C373&lt;&gt;""),COUNTIFS($A$2:$A373,'Project Summary'!$C$3,$H$2:$H373,"&lt;&gt;Done",$C$2:$C373,"&lt;&gt;"),"")</f>
        <v/>
      </c>
    </row>
    <row r="374" customFormat="false" ht="15" hidden="false" customHeight="false" outlineLevel="0" collapsed="false">
      <c r="A374" s="32"/>
      <c r="B374" s="32"/>
      <c r="C374" s="32"/>
      <c r="D374" s="33"/>
      <c r="E374" s="32"/>
      <c r="F374" s="32"/>
      <c r="G374" s="35"/>
      <c r="H374" s="32"/>
      <c r="I374" s="35"/>
      <c r="J374" s="35"/>
      <c r="K374" s="32"/>
      <c r="L374" s="33"/>
      <c r="M374" s="37" t="str">
        <f aca="true">IF(C374="","",IF(OR(H374="Done"),"Done",IF(G374="","No Due Date",IF(G374&lt;TODAY(),"Overdue",IF(G374=TODAY(),"Due Today",IF(G374&lt;TODAY()+7,"Due This Week","Later"))))))</f>
        <v/>
      </c>
      <c r="N374" s="40" t="str">
        <f aca="false">IF(AND(C374&lt;&gt;"",H374&lt;&gt;"Done",G374&lt;&gt;""),G374+ROW()/100000,"")</f>
        <v/>
      </c>
      <c r="O374" s="37" t="str">
        <f aca="false">IF(AND(A374&lt;&gt;"",A374='Project Summary'!$C$3,H374&lt;&gt;"Done",C374&lt;&gt;""),COUNTIFS($A$2:$A374,'Project Summary'!$C$3,$H$2:$H374,"&lt;&gt;Done",$C$2:$C374,"&lt;&gt;"),"")</f>
        <v/>
      </c>
    </row>
    <row r="375" customFormat="false" ht="15" hidden="false" customHeight="false" outlineLevel="0" collapsed="false">
      <c r="A375" s="32"/>
      <c r="B375" s="32"/>
      <c r="C375" s="32"/>
      <c r="D375" s="33"/>
      <c r="E375" s="32"/>
      <c r="F375" s="32"/>
      <c r="G375" s="35"/>
      <c r="H375" s="32"/>
      <c r="I375" s="35"/>
      <c r="J375" s="35"/>
      <c r="K375" s="32"/>
      <c r="L375" s="33"/>
      <c r="M375" s="37" t="str">
        <f aca="true">IF(C375="","",IF(OR(H375="Done"),"Done",IF(G375="","No Due Date",IF(G375&lt;TODAY(),"Overdue",IF(G375=TODAY(),"Due Today",IF(G375&lt;TODAY()+7,"Due This Week","Later"))))))</f>
        <v/>
      </c>
      <c r="N375" s="40" t="str">
        <f aca="false">IF(AND(C375&lt;&gt;"",H375&lt;&gt;"Done",G375&lt;&gt;""),G375+ROW()/100000,"")</f>
        <v/>
      </c>
      <c r="O375" s="37" t="str">
        <f aca="false">IF(AND(A375&lt;&gt;"",A375='Project Summary'!$C$3,H375&lt;&gt;"Done",C375&lt;&gt;""),COUNTIFS($A$2:$A375,'Project Summary'!$C$3,$H$2:$H375,"&lt;&gt;Done",$C$2:$C375,"&lt;&gt;"),"")</f>
        <v/>
      </c>
    </row>
    <row r="376" customFormat="false" ht="15" hidden="false" customHeight="false" outlineLevel="0" collapsed="false">
      <c r="A376" s="32"/>
      <c r="B376" s="32"/>
      <c r="C376" s="32"/>
      <c r="D376" s="33"/>
      <c r="E376" s="32"/>
      <c r="F376" s="32"/>
      <c r="G376" s="35"/>
      <c r="H376" s="32"/>
      <c r="I376" s="35"/>
      <c r="J376" s="35"/>
      <c r="K376" s="32"/>
      <c r="L376" s="33"/>
      <c r="M376" s="37" t="str">
        <f aca="true">IF(C376="","",IF(OR(H376="Done"),"Done",IF(G376="","No Due Date",IF(G376&lt;TODAY(),"Overdue",IF(G376=TODAY(),"Due Today",IF(G376&lt;TODAY()+7,"Due This Week","Later"))))))</f>
        <v/>
      </c>
      <c r="N376" s="40" t="str">
        <f aca="false">IF(AND(C376&lt;&gt;"",H376&lt;&gt;"Done",G376&lt;&gt;""),G376+ROW()/100000,"")</f>
        <v/>
      </c>
      <c r="O376" s="37" t="str">
        <f aca="false">IF(AND(A376&lt;&gt;"",A376='Project Summary'!$C$3,H376&lt;&gt;"Done",C376&lt;&gt;""),COUNTIFS($A$2:$A376,'Project Summary'!$C$3,$H$2:$H376,"&lt;&gt;Done",$C$2:$C376,"&lt;&gt;"),"")</f>
        <v/>
      </c>
    </row>
    <row r="377" customFormat="false" ht="15" hidden="false" customHeight="false" outlineLevel="0" collapsed="false">
      <c r="A377" s="32"/>
      <c r="B377" s="32"/>
      <c r="C377" s="32"/>
      <c r="D377" s="33"/>
      <c r="E377" s="32"/>
      <c r="F377" s="32"/>
      <c r="G377" s="35"/>
      <c r="H377" s="32"/>
      <c r="I377" s="35"/>
      <c r="J377" s="35"/>
      <c r="K377" s="32"/>
      <c r="L377" s="33"/>
      <c r="M377" s="37" t="str">
        <f aca="true">IF(C377="","",IF(OR(H377="Done"),"Done",IF(G377="","No Due Date",IF(G377&lt;TODAY(),"Overdue",IF(G377=TODAY(),"Due Today",IF(G377&lt;TODAY()+7,"Due This Week","Later"))))))</f>
        <v/>
      </c>
      <c r="N377" s="40" t="str">
        <f aca="false">IF(AND(C377&lt;&gt;"",H377&lt;&gt;"Done",G377&lt;&gt;""),G377+ROW()/100000,"")</f>
        <v/>
      </c>
      <c r="O377" s="37" t="str">
        <f aca="false">IF(AND(A377&lt;&gt;"",A377='Project Summary'!$C$3,H377&lt;&gt;"Done",C377&lt;&gt;""),COUNTIFS($A$2:$A377,'Project Summary'!$C$3,$H$2:$H377,"&lt;&gt;Done",$C$2:$C377,"&lt;&gt;"),"")</f>
        <v/>
      </c>
    </row>
    <row r="378" customFormat="false" ht="15" hidden="false" customHeight="false" outlineLevel="0" collapsed="false">
      <c r="A378" s="32"/>
      <c r="B378" s="32"/>
      <c r="C378" s="32"/>
      <c r="D378" s="33"/>
      <c r="E378" s="32"/>
      <c r="F378" s="32"/>
      <c r="G378" s="35"/>
      <c r="H378" s="32"/>
      <c r="I378" s="35"/>
      <c r="J378" s="35"/>
      <c r="K378" s="32"/>
      <c r="L378" s="33"/>
      <c r="M378" s="37" t="str">
        <f aca="true">IF(C378="","",IF(OR(H378="Done"),"Done",IF(G378="","No Due Date",IF(G378&lt;TODAY(),"Overdue",IF(G378=TODAY(),"Due Today",IF(G378&lt;TODAY()+7,"Due This Week","Later"))))))</f>
        <v/>
      </c>
      <c r="N378" s="40" t="str">
        <f aca="false">IF(AND(C378&lt;&gt;"",H378&lt;&gt;"Done",G378&lt;&gt;""),G378+ROW()/100000,"")</f>
        <v/>
      </c>
      <c r="O378" s="37" t="str">
        <f aca="false">IF(AND(A378&lt;&gt;"",A378='Project Summary'!$C$3,H378&lt;&gt;"Done",C378&lt;&gt;""),COUNTIFS($A$2:$A378,'Project Summary'!$C$3,$H$2:$H378,"&lt;&gt;Done",$C$2:$C378,"&lt;&gt;"),"")</f>
        <v/>
      </c>
    </row>
    <row r="379" customFormat="false" ht="15" hidden="false" customHeight="false" outlineLevel="0" collapsed="false">
      <c r="A379" s="32"/>
      <c r="B379" s="32"/>
      <c r="C379" s="32"/>
      <c r="D379" s="33"/>
      <c r="E379" s="32"/>
      <c r="F379" s="32"/>
      <c r="G379" s="35"/>
      <c r="H379" s="32"/>
      <c r="I379" s="35"/>
      <c r="J379" s="35"/>
      <c r="K379" s="32"/>
      <c r="L379" s="33"/>
      <c r="M379" s="37" t="str">
        <f aca="true">IF(C379="","",IF(OR(H379="Done"),"Done",IF(G379="","No Due Date",IF(G379&lt;TODAY(),"Overdue",IF(G379=TODAY(),"Due Today",IF(G379&lt;TODAY()+7,"Due This Week","Later"))))))</f>
        <v/>
      </c>
      <c r="N379" s="40" t="str">
        <f aca="false">IF(AND(C379&lt;&gt;"",H379&lt;&gt;"Done",G379&lt;&gt;""),G379+ROW()/100000,"")</f>
        <v/>
      </c>
      <c r="O379" s="37" t="str">
        <f aca="false">IF(AND(A379&lt;&gt;"",A379='Project Summary'!$C$3,H379&lt;&gt;"Done",C379&lt;&gt;""),COUNTIFS($A$2:$A379,'Project Summary'!$C$3,$H$2:$H379,"&lt;&gt;Done",$C$2:$C379,"&lt;&gt;"),"")</f>
        <v/>
      </c>
    </row>
    <row r="380" customFormat="false" ht="15" hidden="false" customHeight="false" outlineLevel="0" collapsed="false">
      <c r="A380" s="32"/>
      <c r="B380" s="32"/>
      <c r="C380" s="32"/>
      <c r="D380" s="33"/>
      <c r="E380" s="32"/>
      <c r="F380" s="32"/>
      <c r="G380" s="35"/>
      <c r="H380" s="32"/>
      <c r="I380" s="35"/>
      <c r="J380" s="35"/>
      <c r="K380" s="32"/>
      <c r="L380" s="33"/>
      <c r="M380" s="37" t="str">
        <f aca="true">IF(C380="","",IF(OR(H380="Done"),"Done",IF(G380="","No Due Date",IF(G380&lt;TODAY(),"Overdue",IF(G380=TODAY(),"Due Today",IF(G380&lt;TODAY()+7,"Due This Week","Later"))))))</f>
        <v/>
      </c>
      <c r="N380" s="40" t="str">
        <f aca="false">IF(AND(C380&lt;&gt;"",H380&lt;&gt;"Done",G380&lt;&gt;""),G380+ROW()/100000,"")</f>
        <v/>
      </c>
      <c r="O380" s="37" t="str">
        <f aca="false">IF(AND(A380&lt;&gt;"",A380='Project Summary'!$C$3,H380&lt;&gt;"Done",C380&lt;&gt;""),COUNTIFS($A$2:$A380,'Project Summary'!$C$3,$H$2:$H380,"&lt;&gt;Done",$C$2:$C380,"&lt;&gt;"),"")</f>
        <v/>
      </c>
    </row>
    <row r="381" customFormat="false" ht="15" hidden="false" customHeight="false" outlineLevel="0" collapsed="false">
      <c r="A381" s="32"/>
      <c r="B381" s="32"/>
      <c r="C381" s="32"/>
      <c r="D381" s="33"/>
      <c r="E381" s="32"/>
      <c r="F381" s="32"/>
      <c r="G381" s="35"/>
      <c r="H381" s="32"/>
      <c r="I381" s="35"/>
      <c r="J381" s="35"/>
      <c r="K381" s="32"/>
      <c r="L381" s="33"/>
      <c r="M381" s="37" t="str">
        <f aca="true">IF(C381="","",IF(OR(H381="Done"),"Done",IF(G381="","No Due Date",IF(G381&lt;TODAY(),"Overdue",IF(G381=TODAY(),"Due Today",IF(G381&lt;TODAY()+7,"Due This Week","Later"))))))</f>
        <v/>
      </c>
      <c r="N381" s="40" t="str">
        <f aca="false">IF(AND(C381&lt;&gt;"",H381&lt;&gt;"Done",G381&lt;&gt;""),G381+ROW()/100000,"")</f>
        <v/>
      </c>
      <c r="O381" s="37" t="str">
        <f aca="false">IF(AND(A381&lt;&gt;"",A381='Project Summary'!$C$3,H381&lt;&gt;"Done",C381&lt;&gt;""),COUNTIFS($A$2:$A381,'Project Summary'!$C$3,$H$2:$H381,"&lt;&gt;Done",$C$2:$C381,"&lt;&gt;"),"")</f>
        <v/>
      </c>
    </row>
    <row r="382" customFormat="false" ht="15" hidden="false" customHeight="false" outlineLevel="0" collapsed="false">
      <c r="A382" s="32"/>
      <c r="B382" s="32"/>
      <c r="C382" s="32"/>
      <c r="D382" s="33"/>
      <c r="E382" s="32"/>
      <c r="F382" s="32"/>
      <c r="G382" s="35"/>
      <c r="H382" s="32"/>
      <c r="I382" s="35"/>
      <c r="J382" s="35"/>
      <c r="K382" s="32"/>
      <c r="L382" s="33"/>
      <c r="M382" s="37" t="str">
        <f aca="true">IF(C382="","",IF(OR(H382="Done"),"Done",IF(G382="","No Due Date",IF(G382&lt;TODAY(),"Overdue",IF(G382=TODAY(),"Due Today",IF(G382&lt;TODAY()+7,"Due This Week","Later"))))))</f>
        <v/>
      </c>
      <c r="N382" s="40" t="str">
        <f aca="false">IF(AND(C382&lt;&gt;"",H382&lt;&gt;"Done",G382&lt;&gt;""),G382+ROW()/100000,"")</f>
        <v/>
      </c>
      <c r="O382" s="37" t="str">
        <f aca="false">IF(AND(A382&lt;&gt;"",A382='Project Summary'!$C$3,H382&lt;&gt;"Done",C382&lt;&gt;""),COUNTIFS($A$2:$A382,'Project Summary'!$C$3,$H$2:$H382,"&lt;&gt;Done",$C$2:$C382,"&lt;&gt;"),"")</f>
        <v/>
      </c>
    </row>
    <row r="383" customFormat="false" ht="15" hidden="false" customHeight="false" outlineLevel="0" collapsed="false">
      <c r="A383" s="32"/>
      <c r="B383" s="32"/>
      <c r="C383" s="32"/>
      <c r="D383" s="33"/>
      <c r="E383" s="32"/>
      <c r="F383" s="32"/>
      <c r="G383" s="35"/>
      <c r="H383" s="32"/>
      <c r="I383" s="35"/>
      <c r="J383" s="35"/>
      <c r="K383" s="32"/>
      <c r="L383" s="33"/>
      <c r="M383" s="37" t="str">
        <f aca="true">IF(C383="","",IF(OR(H383="Done"),"Done",IF(G383="","No Due Date",IF(G383&lt;TODAY(),"Overdue",IF(G383=TODAY(),"Due Today",IF(G383&lt;TODAY()+7,"Due This Week","Later"))))))</f>
        <v/>
      </c>
      <c r="N383" s="40" t="str">
        <f aca="false">IF(AND(C383&lt;&gt;"",H383&lt;&gt;"Done",G383&lt;&gt;""),G383+ROW()/100000,"")</f>
        <v/>
      </c>
      <c r="O383" s="37" t="str">
        <f aca="false">IF(AND(A383&lt;&gt;"",A383='Project Summary'!$C$3,H383&lt;&gt;"Done",C383&lt;&gt;""),COUNTIFS($A$2:$A383,'Project Summary'!$C$3,$H$2:$H383,"&lt;&gt;Done",$C$2:$C383,"&lt;&gt;"),"")</f>
        <v/>
      </c>
    </row>
    <row r="384" customFormat="false" ht="15" hidden="false" customHeight="false" outlineLevel="0" collapsed="false">
      <c r="A384" s="32"/>
      <c r="B384" s="32"/>
      <c r="C384" s="32"/>
      <c r="D384" s="33"/>
      <c r="E384" s="32"/>
      <c r="F384" s="32"/>
      <c r="G384" s="35"/>
      <c r="H384" s="32"/>
      <c r="I384" s="35"/>
      <c r="J384" s="35"/>
      <c r="K384" s="32"/>
      <c r="L384" s="33"/>
      <c r="M384" s="37" t="str">
        <f aca="true">IF(C384="","",IF(OR(H384="Done"),"Done",IF(G384="","No Due Date",IF(G384&lt;TODAY(),"Overdue",IF(G384=TODAY(),"Due Today",IF(G384&lt;TODAY()+7,"Due This Week","Later"))))))</f>
        <v/>
      </c>
      <c r="N384" s="40" t="str">
        <f aca="false">IF(AND(C384&lt;&gt;"",H384&lt;&gt;"Done",G384&lt;&gt;""),G384+ROW()/100000,"")</f>
        <v/>
      </c>
      <c r="O384" s="37" t="str">
        <f aca="false">IF(AND(A384&lt;&gt;"",A384='Project Summary'!$C$3,H384&lt;&gt;"Done",C384&lt;&gt;""),COUNTIFS($A$2:$A384,'Project Summary'!$C$3,$H$2:$H384,"&lt;&gt;Done",$C$2:$C384,"&lt;&gt;"),"")</f>
        <v/>
      </c>
    </row>
    <row r="385" customFormat="false" ht="15" hidden="false" customHeight="false" outlineLevel="0" collapsed="false">
      <c r="A385" s="32"/>
      <c r="B385" s="32"/>
      <c r="C385" s="32"/>
      <c r="D385" s="33"/>
      <c r="E385" s="32"/>
      <c r="F385" s="32"/>
      <c r="G385" s="35"/>
      <c r="H385" s="32"/>
      <c r="I385" s="35"/>
      <c r="J385" s="35"/>
      <c r="K385" s="32"/>
      <c r="L385" s="33"/>
      <c r="M385" s="37" t="str">
        <f aca="true">IF(C385="","",IF(OR(H385="Done"),"Done",IF(G385="","No Due Date",IF(G385&lt;TODAY(),"Overdue",IF(G385=TODAY(),"Due Today",IF(G385&lt;TODAY()+7,"Due This Week","Later"))))))</f>
        <v/>
      </c>
      <c r="N385" s="40" t="str">
        <f aca="false">IF(AND(C385&lt;&gt;"",H385&lt;&gt;"Done",G385&lt;&gt;""),G385+ROW()/100000,"")</f>
        <v/>
      </c>
      <c r="O385" s="37" t="str">
        <f aca="false">IF(AND(A385&lt;&gt;"",A385='Project Summary'!$C$3,H385&lt;&gt;"Done",C385&lt;&gt;""),COUNTIFS($A$2:$A385,'Project Summary'!$C$3,$H$2:$H385,"&lt;&gt;Done",$C$2:$C385,"&lt;&gt;"),"")</f>
        <v/>
      </c>
    </row>
    <row r="386" customFormat="false" ht="15" hidden="false" customHeight="false" outlineLevel="0" collapsed="false">
      <c r="A386" s="32"/>
      <c r="B386" s="32"/>
      <c r="C386" s="32"/>
      <c r="D386" s="33"/>
      <c r="E386" s="32"/>
      <c r="F386" s="32"/>
      <c r="G386" s="35"/>
      <c r="H386" s="32"/>
      <c r="I386" s="35"/>
      <c r="J386" s="35"/>
      <c r="K386" s="32"/>
      <c r="L386" s="33"/>
      <c r="M386" s="37" t="str">
        <f aca="true">IF(C386="","",IF(OR(H386="Done"),"Done",IF(G386="","No Due Date",IF(G386&lt;TODAY(),"Overdue",IF(G386=TODAY(),"Due Today",IF(G386&lt;TODAY()+7,"Due This Week","Later"))))))</f>
        <v/>
      </c>
      <c r="N386" s="40" t="str">
        <f aca="false">IF(AND(C386&lt;&gt;"",H386&lt;&gt;"Done",G386&lt;&gt;""),G386+ROW()/100000,"")</f>
        <v/>
      </c>
      <c r="O386" s="37" t="str">
        <f aca="false">IF(AND(A386&lt;&gt;"",A386='Project Summary'!$C$3,H386&lt;&gt;"Done",C386&lt;&gt;""),COUNTIFS($A$2:$A386,'Project Summary'!$C$3,$H$2:$H386,"&lt;&gt;Done",$C$2:$C386,"&lt;&gt;"),"")</f>
        <v/>
      </c>
    </row>
    <row r="387" customFormat="false" ht="15" hidden="false" customHeight="false" outlineLevel="0" collapsed="false">
      <c r="A387" s="32"/>
      <c r="B387" s="32"/>
      <c r="C387" s="32"/>
      <c r="D387" s="33"/>
      <c r="E387" s="32"/>
      <c r="F387" s="32"/>
      <c r="G387" s="35"/>
      <c r="H387" s="32"/>
      <c r="I387" s="35"/>
      <c r="J387" s="35"/>
      <c r="K387" s="32"/>
      <c r="L387" s="33"/>
      <c r="M387" s="37" t="str">
        <f aca="true">IF(C387="","",IF(OR(H387="Done"),"Done",IF(G387="","No Due Date",IF(G387&lt;TODAY(),"Overdue",IF(G387=TODAY(),"Due Today",IF(G387&lt;TODAY()+7,"Due This Week","Later"))))))</f>
        <v/>
      </c>
      <c r="N387" s="40" t="str">
        <f aca="false">IF(AND(C387&lt;&gt;"",H387&lt;&gt;"Done",G387&lt;&gt;""),G387+ROW()/100000,"")</f>
        <v/>
      </c>
      <c r="O387" s="37" t="str">
        <f aca="false">IF(AND(A387&lt;&gt;"",A387='Project Summary'!$C$3,H387&lt;&gt;"Done",C387&lt;&gt;""),COUNTIFS($A$2:$A387,'Project Summary'!$C$3,$H$2:$H387,"&lt;&gt;Done",$C$2:$C387,"&lt;&gt;"),"")</f>
        <v/>
      </c>
    </row>
    <row r="388" customFormat="false" ht="15" hidden="false" customHeight="false" outlineLevel="0" collapsed="false">
      <c r="A388" s="32"/>
      <c r="B388" s="32"/>
      <c r="C388" s="32"/>
      <c r="D388" s="33"/>
      <c r="E388" s="32"/>
      <c r="F388" s="32"/>
      <c r="G388" s="35"/>
      <c r="H388" s="32"/>
      <c r="I388" s="35"/>
      <c r="J388" s="35"/>
      <c r="K388" s="32"/>
      <c r="L388" s="33"/>
      <c r="M388" s="37" t="str">
        <f aca="true">IF(C388="","",IF(OR(H388="Done"),"Done",IF(G388="","No Due Date",IF(G388&lt;TODAY(),"Overdue",IF(G388=TODAY(),"Due Today",IF(G388&lt;TODAY()+7,"Due This Week","Later"))))))</f>
        <v/>
      </c>
      <c r="N388" s="40" t="str">
        <f aca="false">IF(AND(C388&lt;&gt;"",H388&lt;&gt;"Done",G388&lt;&gt;""),G388+ROW()/100000,"")</f>
        <v/>
      </c>
      <c r="O388" s="37" t="str">
        <f aca="false">IF(AND(A388&lt;&gt;"",A388='Project Summary'!$C$3,H388&lt;&gt;"Done",C388&lt;&gt;""),COUNTIFS($A$2:$A388,'Project Summary'!$C$3,$H$2:$H388,"&lt;&gt;Done",$C$2:$C388,"&lt;&gt;"),"")</f>
        <v/>
      </c>
    </row>
    <row r="389" customFormat="false" ht="15" hidden="false" customHeight="false" outlineLevel="0" collapsed="false">
      <c r="A389" s="32"/>
      <c r="B389" s="32"/>
      <c r="C389" s="32"/>
      <c r="D389" s="33"/>
      <c r="E389" s="32"/>
      <c r="F389" s="32"/>
      <c r="G389" s="35"/>
      <c r="H389" s="32"/>
      <c r="I389" s="35"/>
      <c r="J389" s="35"/>
      <c r="K389" s="32"/>
      <c r="L389" s="33"/>
      <c r="M389" s="37" t="str">
        <f aca="true">IF(C389="","",IF(OR(H389="Done"),"Done",IF(G389="","No Due Date",IF(G389&lt;TODAY(),"Overdue",IF(G389=TODAY(),"Due Today",IF(G389&lt;TODAY()+7,"Due This Week","Later"))))))</f>
        <v/>
      </c>
      <c r="N389" s="40" t="str">
        <f aca="false">IF(AND(C389&lt;&gt;"",H389&lt;&gt;"Done",G389&lt;&gt;""),G389+ROW()/100000,"")</f>
        <v/>
      </c>
      <c r="O389" s="37" t="str">
        <f aca="false">IF(AND(A389&lt;&gt;"",A389='Project Summary'!$C$3,H389&lt;&gt;"Done",C389&lt;&gt;""),COUNTIFS($A$2:$A389,'Project Summary'!$C$3,$H$2:$H389,"&lt;&gt;Done",$C$2:$C389,"&lt;&gt;"),"")</f>
        <v/>
      </c>
    </row>
    <row r="390" customFormat="false" ht="15" hidden="false" customHeight="false" outlineLevel="0" collapsed="false">
      <c r="A390" s="32"/>
      <c r="B390" s="32"/>
      <c r="C390" s="32"/>
      <c r="D390" s="33"/>
      <c r="E390" s="32"/>
      <c r="F390" s="32"/>
      <c r="G390" s="35"/>
      <c r="H390" s="32"/>
      <c r="I390" s="35"/>
      <c r="J390" s="35"/>
      <c r="K390" s="32"/>
      <c r="L390" s="33"/>
      <c r="M390" s="37" t="str">
        <f aca="true">IF(C390="","",IF(OR(H390="Done"),"Done",IF(G390="","No Due Date",IF(G390&lt;TODAY(),"Overdue",IF(G390=TODAY(),"Due Today",IF(G390&lt;TODAY()+7,"Due This Week","Later"))))))</f>
        <v/>
      </c>
      <c r="N390" s="40" t="str">
        <f aca="false">IF(AND(C390&lt;&gt;"",H390&lt;&gt;"Done",G390&lt;&gt;""),G390+ROW()/100000,"")</f>
        <v/>
      </c>
      <c r="O390" s="37" t="str">
        <f aca="false">IF(AND(A390&lt;&gt;"",A390='Project Summary'!$C$3,H390&lt;&gt;"Done",C390&lt;&gt;""),COUNTIFS($A$2:$A390,'Project Summary'!$C$3,$H$2:$H390,"&lt;&gt;Done",$C$2:$C390,"&lt;&gt;"),"")</f>
        <v/>
      </c>
    </row>
    <row r="391" customFormat="false" ht="15" hidden="false" customHeight="false" outlineLevel="0" collapsed="false">
      <c r="A391" s="32"/>
      <c r="B391" s="32"/>
      <c r="C391" s="32"/>
      <c r="D391" s="33"/>
      <c r="E391" s="32"/>
      <c r="F391" s="32"/>
      <c r="G391" s="35"/>
      <c r="H391" s="32"/>
      <c r="I391" s="35"/>
      <c r="J391" s="35"/>
      <c r="K391" s="32"/>
      <c r="L391" s="33"/>
      <c r="M391" s="37" t="str">
        <f aca="true">IF(C391="","",IF(OR(H391="Done"),"Done",IF(G391="","No Due Date",IF(G391&lt;TODAY(),"Overdue",IF(G391=TODAY(),"Due Today",IF(G391&lt;TODAY()+7,"Due This Week","Later"))))))</f>
        <v/>
      </c>
      <c r="N391" s="40" t="str">
        <f aca="false">IF(AND(C391&lt;&gt;"",H391&lt;&gt;"Done",G391&lt;&gt;""),G391+ROW()/100000,"")</f>
        <v/>
      </c>
      <c r="O391" s="37" t="str">
        <f aca="false">IF(AND(A391&lt;&gt;"",A391='Project Summary'!$C$3,H391&lt;&gt;"Done",C391&lt;&gt;""),COUNTIFS($A$2:$A391,'Project Summary'!$C$3,$H$2:$H391,"&lt;&gt;Done",$C$2:$C391,"&lt;&gt;"),"")</f>
        <v/>
      </c>
    </row>
    <row r="392" customFormat="false" ht="15" hidden="false" customHeight="false" outlineLevel="0" collapsed="false">
      <c r="A392" s="32"/>
      <c r="B392" s="32"/>
      <c r="C392" s="32"/>
      <c r="D392" s="33"/>
      <c r="E392" s="32"/>
      <c r="F392" s="32"/>
      <c r="G392" s="35"/>
      <c r="H392" s="32"/>
      <c r="I392" s="35"/>
      <c r="J392" s="35"/>
      <c r="K392" s="32"/>
      <c r="L392" s="33"/>
      <c r="M392" s="37" t="str">
        <f aca="true">IF(C392="","",IF(OR(H392="Done"),"Done",IF(G392="","No Due Date",IF(G392&lt;TODAY(),"Overdue",IF(G392=TODAY(),"Due Today",IF(G392&lt;TODAY()+7,"Due This Week","Later"))))))</f>
        <v/>
      </c>
      <c r="N392" s="40" t="str">
        <f aca="false">IF(AND(C392&lt;&gt;"",H392&lt;&gt;"Done",G392&lt;&gt;""),G392+ROW()/100000,"")</f>
        <v/>
      </c>
      <c r="O392" s="37" t="str">
        <f aca="false">IF(AND(A392&lt;&gt;"",A392='Project Summary'!$C$3,H392&lt;&gt;"Done",C392&lt;&gt;""),COUNTIFS($A$2:$A392,'Project Summary'!$C$3,$H$2:$H392,"&lt;&gt;Done",$C$2:$C392,"&lt;&gt;"),"")</f>
        <v/>
      </c>
    </row>
    <row r="393" customFormat="false" ht="15" hidden="false" customHeight="false" outlineLevel="0" collapsed="false">
      <c r="A393" s="32"/>
      <c r="B393" s="32"/>
      <c r="C393" s="32"/>
      <c r="D393" s="33"/>
      <c r="E393" s="32"/>
      <c r="F393" s="32"/>
      <c r="G393" s="35"/>
      <c r="H393" s="32"/>
      <c r="I393" s="35"/>
      <c r="J393" s="35"/>
      <c r="K393" s="32"/>
      <c r="L393" s="33"/>
      <c r="M393" s="37" t="str">
        <f aca="true">IF(C393="","",IF(OR(H393="Done"),"Done",IF(G393="","No Due Date",IF(G393&lt;TODAY(),"Overdue",IF(G393=TODAY(),"Due Today",IF(G393&lt;TODAY()+7,"Due This Week","Later"))))))</f>
        <v/>
      </c>
      <c r="N393" s="40" t="str">
        <f aca="false">IF(AND(C393&lt;&gt;"",H393&lt;&gt;"Done",G393&lt;&gt;""),G393+ROW()/100000,"")</f>
        <v/>
      </c>
      <c r="O393" s="37" t="str">
        <f aca="false">IF(AND(A393&lt;&gt;"",A393='Project Summary'!$C$3,H393&lt;&gt;"Done",C393&lt;&gt;""),COUNTIFS($A$2:$A393,'Project Summary'!$C$3,$H$2:$H393,"&lt;&gt;Done",$C$2:$C393,"&lt;&gt;"),"")</f>
        <v/>
      </c>
    </row>
    <row r="394" customFormat="false" ht="15" hidden="false" customHeight="false" outlineLevel="0" collapsed="false">
      <c r="A394" s="32"/>
      <c r="B394" s="32"/>
      <c r="C394" s="32"/>
      <c r="D394" s="33"/>
      <c r="E394" s="32"/>
      <c r="F394" s="32"/>
      <c r="G394" s="35"/>
      <c r="H394" s="32"/>
      <c r="I394" s="35"/>
      <c r="J394" s="35"/>
      <c r="K394" s="32"/>
      <c r="L394" s="33"/>
      <c r="M394" s="37" t="str">
        <f aca="true">IF(C394="","",IF(OR(H394="Done"),"Done",IF(G394="","No Due Date",IF(G394&lt;TODAY(),"Overdue",IF(G394=TODAY(),"Due Today",IF(G394&lt;TODAY()+7,"Due This Week","Later"))))))</f>
        <v/>
      </c>
      <c r="N394" s="40" t="str">
        <f aca="false">IF(AND(C394&lt;&gt;"",H394&lt;&gt;"Done",G394&lt;&gt;""),G394+ROW()/100000,"")</f>
        <v/>
      </c>
      <c r="O394" s="37" t="str">
        <f aca="false">IF(AND(A394&lt;&gt;"",A394='Project Summary'!$C$3,H394&lt;&gt;"Done",C394&lt;&gt;""),COUNTIFS($A$2:$A394,'Project Summary'!$C$3,$H$2:$H394,"&lt;&gt;Done",$C$2:$C394,"&lt;&gt;"),"")</f>
        <v/>
      </c>
    </row>
    <row r="395" customFormat="false" ht="15" hidden="false" customHeight="false" outlineLevel="0" collapsed="false">
      <c r="A395" s="32"/>
      <c r="B395" s="32"/>
      <c r="C395" s="32"/>
      <c r="D395" s="33"/>
      <c r="E395" s="32"/>
      <c r="F395" s="32"/>
      <c r="G395" s="35"/>
      <c r="H395" s="32"/>
      <c r="I395" s="35"/>
      <c r="J395" s="35"/>
      <c r="K395" s="32"/>
      <c r="L395" s="33"/>
      <c r="M395" s="37" t="str">
        <f aca="true">IF(C395="","",IF(OR(H395="Done"),"Done",IF(G395="","No Due Date",IF(G395&lt;TODAY(),"Overdue",IF(G395=TODAY(),"Due Today",IF(G395&lt;TODAY()+7,"Due This Week","Later"))))))</f>
        <v/>
      </c>
      <c r="N395" s="40" t="str">
        <f aca="false">IF(AND(C395&lt;&gt;"",H395&lt;&gt;"Done",G395&lt;&gt;""),G395+ROW()/100000,"")</f>
        <v/>
      </c>
      <c r="O395" s="37" t="str">
        <f aca="false">IF(AND(A395&lt;&gt;"",A395='Project Summary'!$C$3,H395&lt;&gt;"Done",C395&lt;&gt;""),COUNTIFS($A$2:$A395,'Project Summary'!$C$3,$H$2:$H395,"&lt;&gt;Done",$C$2:$C395,"&lt;&gt;"),"")</f>
        <v/>
      </c>
    </row>
    <row r="396" customFormat="false" ht="15" hidden="false" customHeight="false" outlineLevel="0" collapsed="false">
      <c r="A396" s="32"/>
      <c r="B396" s="32"/>
      <c r="C396" s="32"/>
      <c r="D396" s="33"/>
      <c r="E396" s="32"/>
      <c r="F396" s="32"/>
      <c r="G396" s="35"/>
      <c r="H396" s="32"/>
      <c r="I396" s="35"/>
      <c r="J396" s="35"/>
      <c r="K396" s="32"/>
      <c r="L396" s="33"/>
      <c r="M396" s="37" t="str">
        <f aca="true">IF(C396="","",IF(OR(H396="Done"),"Done",IF(G396="","No Due Date",IF(G396&lt;TODAY(),"Overdue",IF(G396=TODAY(),"Due Today",IF(G396&lt;TODAY()+7,"Due This Week","Later"))))))</f>
        <v/>
      </c>
      <c r="N396" s="40" t="str">
        <f aca="false">IF(AND(C396&lt;&gt;"",H396&lt;&gt;"Done",G396&lt;&gt;""),G396+ROW()/100000,"")</f>
        <v/>
      </c>
      <c r="O396" s="37" t="str">
        <f aca="false">IF(AND(A396&lt;&gt;"",A396='Project Summary'!$C$3,H396&lt;&gt;"Done",C396&lt;&gt;""),COUNTIFS($A$2:$A396,'Project Summary'!$C$3,$H$2:$H396,"&lt;&gt;Done",$C$2:$C396,"&lt;&gt;"),"")</f>
        <v/>
      </c>
    </row>
    <row r="397" customFormat="false" ht="15" hidden="false" customHeight="false" outlineLevel="0" collapsed="false">
      <c r="A397" s="32"/>
      <c r="B397" s="32"/>
      <c r="C397" s="32"/>
      <c r="D397" s="33"/>
      <c r="E397" s="32"/>
      <c r="F397" s="32"/>
      <c r="G397" s="35"/>
      <c r="H397" s="32"/>
      <c r="I397" s="35"/>
      <c r="J397" s="35"/>
      <c r="K397" s="32"/>
      <c r="L397" s="33"/>
      <c r="M397" s="37" t="str">
        <f aca="true">IF(C397="","",IF(OR(H397="Done"),"Done",IF(G397="","No Due Date",IF(G397&lt;TODAY(),"Overdue",IF(G397=TODAY(),"Due Today",IF(G397&lt;TODAY()+7,"Due This Week","Later"))))))</f>
        <v/>
      </c>
      <c r="N397" s="40" t="str">
        <f aca="false">IF(AND(C397&lt;&gt;"",H397&lt;&gt;"Done",G397&lt;&gt;""),G397+ROW()/100000,"")</f>
        <v/>
      </c>
      <c r="O397" s="37" t="str">
        <f aca="false">IF(AND(A397&lt;&gt;"",A397='Project Summary'!$C$3,H397&lt;&gt;"Done",C397&lt;&gt;""),COUNTIFS($A$2:$A397,'Project Summary'!$C$3,$H$2:$H397,"&lt;&gt;Done",$C$2:$C397,"&lt;&gt;"),"")</f>
        <v/>
      </c>
    </row>
    <row r="398" customFormat="false" ht="15" hidden="false" customHeight="false" outlineLevel="0" collapsed="false">
      <c r="A398" s="32"/>
      <c r="B398" s="32"/>
      <c r="C398" s="32"/>
      <c r="D398" s="33"/>
      <c r="E398" s="32"/>
      <c r="F398" s="32"/>
      <c r="G398" s="35"/>
      <c r="H398" s="32"/>
      <c r="I398" s="35"/>
      <c r="J398" s="35"/>
      <c r="K398" s="32"/>
      <c r="L398" s="33"/>
      <c r="M398" s="37" t="str">
        <f aca="true">IF(C398="","",IF(OR(H398="Done"),"Done",IF(G398="","No Due Date",IF(G398&lt;TODAY(),"Overdue",IF(G398=TODAY(),"Due Today",IF(G398&lt;TODAY()+7,"Due This Week","Later"))))))</f>
        <v/>
      </c>
      <c r="N398" s="40" t="str">
        <f aca="false">IF(AND(C398&lt;&gt;"",H398&lt;&gt;"Done",G398&lt;&gt;""),G398+ROW()/100000,"")</f>
        <v/>
      </c>
      <c r="O398" s="37" t="str">
        <f aca="false">IF(AND(A398&lt;&gt;"",A398='Project Summary'!$C$3,H398&lt;&gt;"Done",C398&lt;&gt;""),COUNTIFS($A$2:$A398,'Project Summary'!$C$3,$H$2:$H398,"&lt;&gt;Done",$C$2:$C398,"&lt;&gt;"),"")</f>
        <v/>
      </c>
    </row>
    <row r="399" customFormat="false" ht="15" hidden="false" customHeight="false" outlineLevel="0" collapsed="false">
      <c r="A399" s="32"/>
      <c r="B399" s="32"/>
      <c r="C399" s="32"/>
      <c r="D399" s="33"/>
      <c r="E399" s="32"/>
      <c r="F399" s="32"/>
      <c r="G399" s="35"/>
      <c r="H399" s="32"/>
      <c r="I399" s="35"/>
      <c r="J399" s="35"/>
      <c r="K399" s="32"/>
      <c r="L399" s="33"/>
      <c r="M399" s="37" t="str">
        <f aca="true">IF(C399="","",IF(OR(H399="Done"),"Done",IF(G399="","No Due Date",IF(G399&lt;TODAY(),"Overdue",IF(G399=TODAY(),"Due Today",IF(G399&lt;TODAY()+7,"Due This Week","Later"))))))</f>
        <v/>
      </c>
      <c r="N399" s="40" t="str">
        <f aca="false">IF(AND(C399&lt;&gt;"",H399&lt;&gt;"Done",G399&lt;&gt;""),G399+ROW()/100000,"")</f>
        <v/>
      </c>
      <c r="O399" s="37" t="str">
        <f aca="false">IF(AND(A399&lt;&gt;"",A399='Project Summary'!$C$3,H399&lt;&gt;"Done",C399&lt;&gt;""),COUNTIFS($A$2:$A399,'Project Summary'!$C$3,$H$2:$H399,"&lt;&gt;Done",$C$2:$C399,"&lt;&gt;"),"")</f>
        <v/>
      </c>
    </row>
    <row r="400" customFormat="false" ht="15" hidden="false" customHeight="false" outlineLevel="0" collapsed="false">
      <c r="A400" s="32"/>
      <c r="B400" s="32"/>
      <c r="C400" s="32"/>
      <c r="D400" s="33"/>
      <c r="E400" s="32"/>
      <c r="F400" s="32"/>
      <c r="G400" s="35"/>
      <c r="H400" s="32"/>
      <c r="I400" s="35"/>
      <c r="J400" s="35"/>
      <c r="K400" s="32"/>
      <c r="L400" s="33"/>
      <c r="M400" s="37" t="str">
        <f aca="true">IF(C400="","",IF(OR(H400="Done"),"Done",IF(G400="","No Due Date",IF(G400&lt;TODAY(),"Overdue",IF(G400=TODAY(),"Due Today",IF(G400&lt;TODAY()+7,"Due This Week","Later"))))))</f>
        <v/>
      </c>
      <c r="N400" s="40" t="str">
        <f aca="false">IF(AND(C400&lt;&gt;"",H400&lt;&gt;"Done",G400&lt;&gt;""),G400+ROW()/100000,"")</f>
        <v/>
      </c>
      <c r="O400" s="37" t="str">
        <f aca="false">IF(AND(A400&lt;&gt;"",A400='Project Summary'!$C$3,H400&lt;&gt;"Done",C400&lt;&gt;""),COUNTIFS($A$2:$A400,'Project Summary'!$C$3,$H$2:$H400,"&lt;&gt;Done",$C$2:$C400,"&lt;&gt;"),"")</f>
        <v/>
      </c>
    </row>
    <row r="401" customFormat="false" ht="15" hidden="false" customHeight="false" outlineLevel="0" collapsed="false">
      <c r="A401" s="32"/>
      <c r="B401" s="32"/>
      <c r="C401" s="32"/>
      <c r="D401" s="33"/>
      <c r="E401" s="32"/>
      <c r="F401" s="32"/>
      <c r="G401" s="35"/>
      <c r="H401" s="32"/>
      <c r="I401" s="35"/>
      <c r="J401" s="35"/>
      <c r="K401" s="32"/>
      <c r="L401" s="33"/>
      <c r="M401" s="37" t="str">
        <f aca="true">IF(C401="","",IF(OR(H401="Done"),"Done",IF(G401="","No Due Date",IF(G401&lt;TODAY(),"Overdue",IF(G401=TODAY(),"Due Today",IF(G401&lt;TODAY()+7,"Due This Week","Later"))))))</f>
        <v/>
      </c>
      <c r="N401" s="40" t="str">
        <f aca="false">IF(AND(C401&lt;&gt;"",H401&lt;&gt;"Done",G401&lt;&gt;""),G401+ROW()/100000,"")</f>
        <v/>
      </c>
      <c r="O401" s="37" t="str">
        <f aca="false">IF(AND(A401&lt;&gt;"",A401='Project Summary'!$C$3,H401&lt;&gt;"Done",C401&lt;&gt;""),COUNTIFS($A$2:$A401,'Project Summary'!$C$3,$H$2:$H401,"&lt;&gt;Done",$C$2:$C401,"&lt;&gt;"),"")</f>
        <v/>
      </c>
    </row>
    <row r="402" customFormat="false" ht="15" hidden="false" customHeight="false" outlineLevel="0" collapsed="false">
      <c r="A402" s="32"/>
      <c r="B402" s="32"/>
      <c r="C402" s="32"/>
      <c r="D402" s="33"/>
      <c r="E402" s="32"/>
      <c r="F402" s="32"/>
      <c r="G402" s="35"/>
      <c r="H402" s="32"/>
      <c r="I402" s="35"/>
      <c r="J402" s="35"/>
      <c r="K402" s="32"/>
      <c r="L402" s="33"/>
      <c r="M402" s="37" t="str">
        <f aca="true">IF(C402="","",IF(OR(H402="Done"),"Done",IF(G402="","No Due Date",IF(G402&lt;TODAY(),"Overdue",IF(G402=TODAY(),"Due Today",IF(G402&lt;TODAY()+7,"Due This Week","Later"))))))</f>
        <v/>
      </c>
      <c r="N402" s="40" t="str">
        <f aca="false">IF(AND(C402&lt;&gt;"",H402&lt;&gt;"Done",G402&lt;&gt;""),G402+ROW()/100000,"")</f>
        <v/>
      </c>
      <c r="O402" s="37" t="str">
        <f aca="false">IF(AND(A402&lt;&gt;"",A402='Project Summary'!$C$3,H402&lt;&gt;"Done",C402&lt;&gt;""),COUNTIFS($A$2:$A402,'Project Summary'!$C$3,$H$2:$H402,"&lt;&gt;Done",$C$2:$C402,"&lt;&gt;"),"")</f>
        <v/>
      </c>
    </row>
    <row r="403" customFormat="false" ht="15" hidden="false" customHeight="false" outlineLevel="0" collapsed="false">
      <c r="A403" s="32"/>
      <c r="B403" s="32"/>
      <c r="C403" s="32"/>
      <c r="D403" s="33"/>
      <c r="E403" s="32"/>
      <c r="F403" s="32"/>
      <c r="G403" s="35"/>
      <c r="H403" s="32"/>
      <c r="I403" s="35"/>
      <c r="J403" s="35"/>
      <c r="K403" s="32"/>
      <c r="L403" s="33"/>
      <c r="M403" s="37" t="str">
        <f aca="true">IF(C403="","",IF(OR(H403="Done"),"Done",IF(G403="","No Due Date",IF(G403&lt;TODAY(),"Overdue",IF(G403=TODAY(),"Due Today",IF(G403&lt;TODAY()+7,"Due This Week","Later"))))))</f>
        <v/>
      </c>
      <c r="N403" s="40" t="str">
        <f aca="false">IF(AND(C403&lt;&gt;"",H403&lt;&gt;"Done",G403&lt;&gt;""),G403+ROW()/100000,"")</f>
        <v/>
      </c>
      <c r="O403" s="37" t="str">
        <f aca="false">IF(AND(A403&lt;&gt;"",A403='Project Summary'!$C$3,H403&lt;&gt;"Done",C403&lt;&gt;""),COUNTIFS($A$2:$A403,'Project Summary'!$C$3,$H$2:$H403,"&lt;&gt;Done",$C$2:$C403,"&lt;&gt;"),"")</f>
        <v/>
      </c>
    </row>
    <row r="404" customFormat="false" ht="15" hidden="false" customHeight="false" outlineLevel="0" collapsed="false">
      <c r="A404" s="32"/>
      <c r="B404" s="32"/>
      <c r="C404" s="32"/>
      <c r="D404" s="33"/>
      <c r="E404" s="32"/>
      <c r="F404" s="32"/>
      <c r="G404" s="35"/>
      <c r="H404" s="32"/>
      <c r="I404" s="35"/>
      <c r="J404" s="35"/>
      <c r="K404" s="32"/>
      <c r="L404" s="33"/>
      <c r="M404" s="37" t="str">
        <f aca="true">IF(C404="","",IF(OR(H404="Done"),"Done",IF(G404="","No Due Date",IF(G404&lt;TODAY(),"Overdue",IF(G404=TODAY(),"Due Today",IF(G404&lt;TODAY()+7,"Due This Week","Later"))))))</f>
        <v/>
      </c>
      <c r="N404" s="40" t="str">
        <f aca="false">IF(AND(C404&lt;&gt;"",H404&lt;&gt;"Done",G404&lt;&gt;""),G404+ROW()/100000,"")</f>
        <v/>
      </c>
      <c r="O404" s="37" t="str">
        <f aca="false">IF(AND(A404&lt;&gt;"",A404='Project Summary'!$C$3,H404&lt;&gt;"Done",C404&lt;&gt;""),COUNTIFS($A$2:$A404,'Project Summary'!$C$3,$H$2:$H404,"&lt;&gt;Done",$C$2:$C404,"&lt;&gt;"),"")</f>
        <v/>
      </c>
    </row>
    <row r="405" customFormat="false" ht="15" hidden="false" customHeight="false" outlineLevel="0" collapsed="false">
      <c r="A405" s="32"/>
      <c r="B405" s="32"/>
      <c r="C405" s="32"/>
      <c r="D405" s="33"/>
      <c r="E405" s="32"/>
      <c r="F405" s="32"/>
      <c r="G405" s="35"/>
      <c r="H405" s="32"/>
      <c r="I405" s="35"/>
      <c r="J405" s="35"/>
      <c r="K405" s="32"/>
      <c r="L405" s="33"/>
      <c r="M405" s="37" t="str">
        <f aca="true">IF(C405="","",IF(OR(H405="Done"),"Done",IF(G405="","No Due Date",IF(G405&lt;TODAY(),"Overdue",IF(G405=TODAY(),"Due Today",IF(G405&lt;TODAY()+7,"Due This Week","Later"))))))</f>
        <v/>
      </c>
      <c r="N405" s="40" t="str">
        <f aca="false">IF(AND(C405&lt;&gt;"",H405&lt;&gt;"Done",G405&lt;&gt;""),G405+ROW()/100000,"")</f>
        <v/>
      </c>
      <c r="O405" s="37" t="str">
        <f aca="false">IF(AND(A405&lt;&gt;"",A405='Project Summary'!$C$3,H405&lt;&gt;"Done",C405&lt;&gt;""),COUNTIFS($A$2:$A405,'Project Summary'!$C$3,$H$2:$H405,"&lt;&gt;Done",$C$2:$C405,"&lt;&gt;"),"")</f>
        <v/>
      </c>
    </row>
    <row r="406" customFormat="false" ht="15" hidden="false" customHeight="false" outlineLevel="0" collapsed="false">
      <c r="A406" s="32"/>
      <c r="B406" s="32"/>
      <c r="C406" s="32"/>
      <c r="D406" s="33"/>
      <c r="E406" s="32"/>
      <c r="F406" s="32"/>
      <c r="G406" s="35"/>
      <c r="H406" s="32"/>
      <c r="I406" s="35"/>
      <c r="J406" s="35"/>
      <c r="K406" s="32"/>
      <c r="L406" s="33"/>
      <c r="M406" s="37" t="str">
        <f aca="true">IF(C406="","",IF(OR(H406="Done"),"Done",IF(G406="","No Due Date",IF(G406&lt;TODAY(),"Overdue",IF(G406=TODAY(),"Due Today",IF(G406&lt;TODAY()+7,"Due This Week","Later"))))))</f>
        <v/>
      </c>
      <c r="N406" s="40" t="str">
        <f aca="false">IF(AND(C406&lt;&gt;"",H406&lt;&gt;"Done",G406&lt;&gt;""),G406+ROW()/100000,"")</f>
        <v/>
      </c>
      <c r="O406" s="37" t="str">
        <f aca="false">IF(AND(A406&lt;&gt;"",A406='Project Summary'!$C$3,H406&lt;&gt;"Done",C406&lt;&gt;""),COUNTIFS($A$2:$A406,'Project Summary'!$C$3,$H$2:$H406,"&lt;&gt;Done",$C$2:$C406,"&lt;&gt;"),"")</f>
        <v/>
      </c>
    </row>
    <row r="407" customFormat="false" ht="15" hidden="false" customHeight="false" outlineLevel="0" collapsed="false">
      <c r="A407" s="32"/>
      <c r="B407" s="32"/>
      <c r="C407" s="32"/>
      <c r="D407" s="33"/>
      <c r="E407" s="32"/>
      <c r="F407" s="32"/>
      <c r="G407" s="35"/>
      <c r="H407" s="32"/>
      <c r="I407" s="35"/>
      <c r="J407" s="35"/>
      <c r="K407" s="32"/>
      <c r="L407" s="33"/>
      <c r="M407" s="37" t="str">
        <f aca="true">IF(C407="","",IF(OR(H407="Done"),"Done",IF(G407="","No Due Date",IF(G407&lt;TODAY(),"Overdue",IF(G407=TODAY(),"Due Today",IF(G407&lt;TODAY()+7,"Due This Week","Later"))))))</f>
        <v/>
      </c>
      <c r="N407" s="40" t="str">
        <f aca="false">IF(AND(C407&lt;&gt;"",H407&lt;&gt;"Done",G407&lt;&gt;""),G407+ROW()/100000,"")</f>
        <v/>
      </c>
      <c r="O407" s="37" t="str">
        <f aca="false">IF(AND(A407&lt;&gt;"",A407='Project Summary'!$C$3,H407&lt;&gt;"Done",C407&lt;&gt;""),COUNTIFS($A$2:$A407,'Project Summary'!$C$3,$H$2:$H407,"&lt;&gt;Done",$C$2:$C407,"&lt;&gt;"),"")</f>
        <v/>
      </c>
    </row>
    <row r="408" customFormat="false" ht="15" hidden="false" customHeight="false" outlineLevel="0" collapsed="false">
      <c r="A408" s="32"/>
      <c r="B408" s="32"/>
      <c r="C408" s="32"/>
      <c r="D408" s="33"/>
      <c r="E408" s="32"/>
      <c r="F408" s="32"/>
      <c r="G408" s="35"/>
      <c r="H408" s="32"/>
      <c r="I408" s="35"/>
      <c r="J408" s="35"/>
      <c r="K408" s="32"/>
      <c r="L408" s="33"/>
      <c r="M408" s="37" t="str">
        <f aca="true">IF(C408="","",IF(OR(H408="Done"),"Done",IF(G408="","No Due Date",IF(G408&lt;TODAY(),"Overdue",IF(G408=TODAY(),"Due Today",IF(G408&lt;TODAY()+7,"Due This Week","Later"))))))</f>
        <v/>
      </c>
      <c r="N408" s="40" t="str">
        <f aca="false">IF(AND(C408&lt;&gt;"",H408&lt;&gt;"Done",G408&lt;&gt;""),G408+ROW()/100000,"")</f>
        <v/>
      </c>
      <c r="O408" s="37" t="str">
        <f aca="false">IF(AND(A408&lt;&gt;"",A408='Project Summary'!$C$3,H408&lt;&gt;"Done",C408&lt;&gt;""),COUNTIFS($A$2:$A408,'Project Summary'!$C$3,$H$2:$H408,"&lt;&gt;Done",$C$2:$C408,"&lt;&gt;"),"")</f>
        <v/>
      </c>
    </row>
    <row r="409" customFormat="false" ht="15" hidden="false" customHeight="false" outlineLevel="0" collapsed="false">
      <c r="A409" s="32"/>
      <c r="B409" s="32"/>
      <c r="C409" s="32"/>
      <c r="D409" s="33"/>
      <c r="E409" s="32"/>
      <c r="F409" s="32"/>
      <c r="G409" s="35"/>
      <c r="H409" s="32"/>
      <c r="I409" s="35"/>
      <c r="J409" s="35"/>
      <c r="K409" s="32"/>
      <c r="L409" s="33"/>
      <c r="M409" s="37" t="str">
        <f aca="true">IF(C409="","",IF(OR(H409="Done"),"Done",IF(G409="","No Due Date",IF(G409&lt;TODAY(),"Overdue",IF(G409=TODAY(),"Due Today",IF(G409&lt;TODAY()+7,"Due This Week","Later"))))))</f>
        <v/>
      </c>
      <c r="N409" s="40" t="str">
        <f aca="false">IF(AND(C409&lt;&gt;"",H409&lt;&gt;"Done",G409&lt;&gt;""),G409+ROW()/100000,"")</f>
        <v/>
      </c>
      <c r="O409" s="37" t="str">
        <f aca="false">IF(AND(A409&lt;&gt;"",A409='Project Summary'!$C$3,H409&lt;&gt;"Done",C409&lt;&gt;""),COUNTIFS($A$2:$A409,'Project Summary'!$C$3,$H$2:$H409,"&lt;&gt;Done",$C$2:$C409,"&lt;&gt;"),"")</f>
        <v/>
      </c>
    </row>
    <row r="410" customFormat="false" ht="15" hidden="false" customHeight="false" outlineLevel="0" collapsed="false">
      <c r="A410" s="32"/>
      <c r="B410" s="32"/>
      <c r="C410" s="32"/>
      <c r="D410" s="33"/>
      <c r="E410" s="32"/>
      <c r="F410" s="32"/>
      <c r="G410" s="35"/>
      <c r="H410" s="32"/>
      <c r="I410" s="35"/>
      <c r="J410" s="35"/>
      <c r="K410" s="32"/>
      <c r="L410" s="33"/>
      <c r="M410" s="37" t="str">
        <f aca="true">IF(C410="","",IF(OR(H410="Done"),"Done",IF(G410="","No Due Date",IF(G410&lt;TODAY(),"Overdue",IF(G410=TODAY(),"Due Today",IF(G410&lt;TODAY()+7,"Due This Week","Later"))))))</f>
        <v/>
      </c>
      <c r="N410" s="40" t="str">
        <f aca="false">IF(AND(C410&lt;&gt;"",H410&lt;&gt;"Done",G410&lt;&gt;""),G410+ROW()/100000,"")</f>
        <v/>
      </c>
      <c r="O410" s="37" t="str">
        <f aca="false">IF(AND(A410&lt;&gt;"",A410='Project Summary'!$C$3,H410&lt;&gt;"Done",C410&lt;&gt;""),COUNTIFS($A$2:$A410,'Project Summary'!$C$3,$H$2:$H410,"&lt;&gt;Done",$C$2:$C410,"&lt;&gt;"),"")</f>
        <v/>
      </c>
    </row>
    <row r="411" customFormat="false" ht="15" hidden="false" customHeight="false" outlineLevel="0" collapsed="false">
      <c r="A411" s="32"/>
      <c r="B411" s="32"/>
      <c r="C411" s="32"/>
      <c r="D411" s="33"/>
      <c r="E411" s="32"/>
      <c r="F411" s="32"/>
      <c r="G411" s="35"/>
      <c r="H411" s="32"/>
      <c r="I411" s="35"/>
      <c r="J411" s="35"/>
      <c r="K411" s="32"/>
      <c r="L411" s="33"/>
      <c r="M411" s="37" t="str">
        <f aca="true">IF(C411="","",IF(OR(H411="Done"),"Done",IF(G411="","No Due Date",IF(G411&lt;TODAY(),"Overdue",IF(G411=TODAY(),"Due Today",IF(G411&lt;TODAY()+7,"Due This Week","Later"))))))</f>
        <v/>
      </c>
      <c r="N411" s="40" t="str">
        <f aca="false">IF(AND(C411&lt;&gt;"",H411&lt;&gt;"Done",G411&lt;&gt;""),G411+ROW()/100000,"")</f>
        <v/>
      </c>
      <c r="O411" s="37" t="str">
        <f aca="false">IF(AND(A411&lt;&gt;"",A411='Project Summary'!$C$3,H411&lt;&gt;"Done",C411&lt;&gt;""),COUNTIFS($A$2:$A411,'Project Summary'!$C$3,$H$2:$H411,"&lt;&gt;Done",$C$2:$C411,"&lt;&gt;"),"")</f>
        <v/>
      </c>
    </row>
    <row r="412" customFormat="false" ht="15" hidden="false" customHeight="false" outlineLevel="0" collapsed="false">
      <c r="A412" s="32"/>
      <c r="B412" s="32"/>
      <c r="C412" s="32"/>
      <c r="D412" s="33"/>
      <c r="E412" s="32"/>
      <c r="F412" s="32"/>
      <c r="G412" s="35"/>
      <c r="H412" s="32"/>
      <c r="I412" s="35"/>
      <c r="J412" s="35"/>
      <c r="K412" s="32"/>
      <c r="L412" s="33"/>
      <c r="M412" s="37" t="str">
        <f aca="true">IF(C412="","",IF(OR(H412="Done"),"Done",IF(G412="","No Due Date",IF(G412&lt;TODAY(),"Overdue",IF(G412=TODAY(),"Due Today",IF(G412&lt;TODAY()+7,"Due This Week","Later"))))))</f>
        <v/>
      </c>
      <c r="N412" s="40" t="str">
        <f aca="false">IF(AND(C412&lt;&gt;"",H412&lt;&gt;"Done",G412&lt;&gt;""),G412+ROW()/100000,"")</f>
        <v/>
      </c>
      <c r="O412" s="37" t="str">
        <f aca="false">IF(AND(A412&lt;&gt;"",A412='Project Summary'!$C$3,H412&lt;&gt;"Done",C412&lt;&gt;""),COUNTIFS($A$2:$A412,'Project Summary'!$C$3,$H$2:$H412,"&lt;&gt;Done",$C$2:$C412,"&lt;&gt;"),"")</f>
        <v/>
      </c>
    </row>
    <row r="413" customFormat="false" ht="15" hidden="false" customHeight="false" outlineLevel="0" collapsed="false">
      <c r="A413" s="32"/>
      <c r="B413" s="32"/>
      <c r="C413" s="32"/>
      <c r="D413" s="33"/>
      <c r="E413" s="32"/>
      <c r="F413" s="32"/>
      <c r="G413" s="35"/>
      <c r="H413" s="32"/>
      <c r="I413" s="35"/>
      <c r="J413" s="35"/>
      <c r="K413" s="32"/>
      <c r="L413" s="33"/>
      <c r="M413" s="37" t="str">
        <f aca="true">IF(C413="","",IF(OR(H413="Done"),"Done",IF(G413="","No Due Date",IF(G413&lt;TODAY(),"Overdue",IF(G413=TODAY(),"Due Today",IF(G413&lt;TODAY()+7,"Due This Week","Later"))))))</f>
        <v/>
      </c>
      <c r="N413" s="40" t="str">
        <f aca="false">IF(AND(C413&lt;&gt;"",H413&lt;&gt;"Done",G413&lt;&gt;""),G413+ROW()/100000,"")</f>
        <v/>
      </c>
      <c r="O413" s="37" t="str">
        <f aca="false">IF(AND(A413&lt;&gt;"",A413='Project Summary'!$C$3,H413&lt;&gt;"Done",C413&lt;&gt;""),COUNTIFS($A$2:$A413,'Project Summary'!$C$3,$H$2:$H413,"&lt;&gt;Done",$C$2:$C413,"&lt;&gt;"),"")</f>
        <v/>
      </c>
    </row>
    <row r="414" customFormat="false" ht="15" hidden="false" customHeight="false" outlineLevel="0" collapsed="false">
      <c r="A414" s="32"/>
      <c r="B414" s="32"/>
      <c r="C414" s="32"/>
      <c r="D414" s="33"/>
      <c r="E414" s="32"/>
      <c r="F414" s="32"/>
      <c r="G414" s="35"/>
      <c r="H414" s="32"/>
      <c r="I414" s="35"/>
      <c r="J414" s="35"/>
      <c r="K414" s="32"/>
      <c r="L414" s="33"/>
      <c r="M414" s="37" t="str">
        <f aca="true">IF(C414="","",IF(OR(H414="Done"),"Done",IF(G414="","No Due Date",IF(G414&lt;TODAY(),"Overdue",IF(G414=TODAY(),"Due Today",IF(G414&lt;TODAY()+7,"Due This Week","Later"))))))</f>
        <v/>
      </c>
      <c r="N414" s="40" t="str">
        <f aca="false">IF(AND(C414&lt;&gt;"",H414&lt;&gt;"Done",G414&lt;&gt;""),G414+ROW()/100000,"")</f>
        <v/>
      </c>
      <c r="O414" s="37" t="str">
        <f aca="false">IF(AND(A414&lt;&gt;"",A414='Project Summary'!$C$3,H414&lt;&gt;"Done",C414&lt;&gt;""),COUNTIFS($A$2:$A414,'Project Summary'!$C$3,$H$2:$H414,"&lt;&gt;Done",$C$2:$C414,"&lt;&gt;"),"")</f>
        <v/>
      </c>
    </row>
    <row r="415" customFormat="false" ht="15" hidden="false" customHeight="false" outlineLevel="0" collapsed="false">
      <c r="A415" s="32"/>
      <c r="B415" s="32"/>
      <c r="C415" s="32"/>
      <c r="D415" s="33"/>
      <c r="E415" s="32"/>
      <c r="F415" s="32"/>
      <c r="G415" s="35"/>
      <c r="H415" s="32"/>
      <c r="I415" s="35"/>
      <c r="J415" s="35"/>
      <c r="K415" s="32"/>
      <c r="L415" s="33"/>
      <c r="M415" s="37" t="str">
        <f aca="true">IF(C415="","",IF(OR(H415="Done"),"Done",IF(G415="","No Due Date",IF(G415&lt;TODAY(),"Overdue",IF(G415=TODAY(),"Due Today",IF(G415&lt;TODAY()+7,"Due This Week","Later"))))))</f>
        <v/>
      </c>
      <c r="N415" s="40" t="str">
        <f aca="false">IF(AND(C415&lt;&gt;"",H415&lt;&gt;"Done",G415&lt;&gt;""),G415+ROW()/100000,"")</f>
        <v/>
      </c>
      <c r="O415" s="37" t="str">
        <f aca="false">IF(AND(A415&lt;&gt;"",A415='Project Summary'!$C$3,H415&lt;&gt;"Done",C415&lt;&gt;""),COUNTIFS($A$2:$A415,'Project Summary'!$C$3,$H$2:$H415,"&lt;&gt;Done",$C$2:$C415,"&lt;&gt;"),"")</f>
        <v/>
      </c>
    </row>
    <row r="416" customFormat="false" ht="15" hidden="false" customHeight="false" outlineLevel="0" collapsed="false">
      <c r="A416" s="32"/>
      <c r="B416" s="32"/>
      <c r="C416" s="32"/>
      <c r="D416" s="33"/>
      <c r="E416" s="32"/>
      <c r="F416" s="32"/>
      <c r="G416" s="35"/>
      <c r="H416" s="32"/>
      <c r="I416" s="35"/>
      <c r="J416" s="35"/>
      <c r="K416" s="32"/>
      <c r="L416" s="33"/>
      <c r="M416" s="37" t="str">
        <f aca="true">IF(C416="","",IF(OR(H416="Done"),"Done",IF(G416="","No Due Date",IF(G416&lt;TODAY(),"Overdue",IF(G416=TODAY(),"Due Today",IF(G416&lt;TODAY()+7,"Due This Week","Later"))))))</f>
        <v/>
      </c>
      <c r="N416" s="40" t="str">
        <f aca="false">IF(AND(C416&lt;&gt;"",H416&lt;&gt;"Done",G416&lt;&gt;""),G416+ROW()/100000,"")</f>
        <v/>
      </c>
      <c r="O416" s="37" t="str">
        <f aca="false">IF(AND(A416&lt;&gt;"",A416='Project Summary'!$C$3,H416&lt;&gt;"Done",C416&lt;&gt;""),COUNTIFS($A$2:$A416,'Project Summary'!$C$3,$H$2:$H416,"&lt;&gt;Done",$C$2:$C416,"&lt;&gt;"),"")</f>
        <v/>
      </c>
    </row>
    <row r="417" customFormat="false" ht="15" hidden="false" customHeight="false" outlineLevel="0" collapsed="false">
      <c r="A417" s="32"/>
      <c r="B417" s="32"/>
      <c r="C417" s="32"/>
      <c r="D417" s="33"/>
      <c r="E417" s="32"/>
      <c r="F417" s="32"/>
      <c r="G417" s="35"/>
      <c r="H417" s="32"/>
      <c r="I417" s="35"/>
      <c r="J417" s="35"/>
      <c r="K417" s="32"/>
      <c r="L417" s="33"/>
      <c r="M417" s="37" t="str">
        <f aca="true">IF(C417="","",IF(OR(H417="Done"),"Done",IF(G417="","No Due Date",IF(G417&lt;TODAY(),"Overdue",IF(G417=TODAY(),"Due Today",IF(G417&lt;TODAY()+7,"Due This Week","Later"))))))</f>
        <v/>
      </c>
      <c r="N417" s="40" t="str">
        <f aca="false">IF(AND(C417&lt;&gt;"",H417&lt;&gt;"Done",G417&lt;&gt;""),G417+ROW()/100000,"")</f>
        <v/>
      </c>
      <c r="O417" s="37" t="str">
        <f aca="false">IF(AND(A417&lt;&gt;"",A417='Project Summary'!$C$3,H417&lt;&gt;"Done",C417&lt;&gt;""),COUNTIFS($A$2:$A417,'Project Summary'!$C$3,$H$2:$H417,"&lt;&gt;Done",$C$2:$C417,"&lt;&gt;"),"")</f>
        <v/>
      </c>
    </row>
    <row r="418" customFormat="false" ht="15" hidden="false" customHeight="false" outlineLevel="0" collapsed="false">
      <c r="A418" s="32"/>
      <c r="B418" s="32"/>
      <c r="C418" s="32"/>
      <c r="D418" s="33"/>
      <c r="E418" s="32"/>
      <c r="F418" s="32"/>
      <c r="G418" s="35"/>
      <c r="H418" s="32"/>
      <c r="I418" s="35"/>
      <c r="J418" s="35"/>
      <c r="K418" s="32"/>
      <c r="L418" s="33"/>
      <c r="M418" s="37" t="str">
        <f aca="true">IF(C418="","",IF(OR(H418="Done"),"Done",IF(G418="","No Due Date",IF(G418&lt;TODAY(),"Overdue",IF(G418=TODAY(),"Due Today",IF(G418&lt;TODAY()+7,"Due This Week","Later"))))))</f>
        <v/>
      </c>
      <c r="N418" s="40" t="str">
        <f aca="false">IF(AND(C418&lt;&gt;"",H418&lt;&gt;"Done",G418&lt;&gt;""),G418+ROW()/100000,"")</f>
        <v/>
      </c>
      <c r="O418" s="37" t="str">
        <f aca="false">IF(AND(A418&lt;&gt;"",A418='Project Summary'!$C$3,H418&lt;&gt;"Done",C418&lt;&gt;""),COUNTIFS($A$2:$A418,'Project Summary'!$C$3,$H$2:$H418,"&lt;&gt;Done",$C$2:$C418,"&lt;&gt;"),"")</f>
        <v/>
      </c>
    </row>
    <row r="419" customFormat="false" ht="15" hidden="false" customHeight="false" outlineLevel="0" collapsed="false">
      <c r="A419" s="32"/>
      <c r="B419" s="32"/>
      <c r="C419" s="32"/>
      <c r="D419" s="33"/>
      <c r="E419" s="32"/>
      <c r="F419" s="32"/>
      <c r="G419" s="35"/>
      <c r="H419" s="32"/>
      <c r="I419" s="35"/>
      <c r="J419" s="35"/>
      <c r="K419" s="32"/>
      <c r="L419" s="33"/>
      <c r="M419" s="37" t="str">
        <f aca="true">IF(C419="","",IF(OR(H419="Done"),"Done",IF(G419="","No Due Date",IF(G419&lt;TODAY(),"Overdue",IF(G419=TODAY(),"Due Today",IF(G419&lt;TODAY()+7,"Due This Week","Later"))))))</f>
        <v/>
      </c>
      <c r="N419" s="40" t="str">
        <f aca="false">IF(AND(C419&lt;&gt;"",H419&lt;&gt;"Done",G419&lt;&gt;""),G419+ROW()/100000,"")</f>
        <v/>
      </c>
      <c r="O419" s="37" t="str">
        <f aca="false">IF(AND(A419&lt;&gt;"",A419='Project Summary'!$C$3,H419&lt;&gt;"Done",C419&lt;&gt;""),COUNTIFS($A$2:$A419,'Project Summary'!$C$3,$H$2:$H419,"&lt;&gt;Done",$C$2:$C419,"&lt;&gt;"),"")</f>
        <v/>
      </c>
    </row>
    <row r="420" customFormat="false" ht="15" hidden="false" customHeight="false" outlineLevel="0" collapsed="false">
      <c r="A420" s="32"/>
      <c r="B420" s="32"/>
      <c r="C420" s="32"/>
      <c r="D420" s="33"/>
      <c r="E420" s="32"/>
      <c r="F420" s="32"/>
      <c r="G420" s="35"/>
      <c r="H420" s="32"/>
      <c r="I420" s="35"/>
      <c r="J420" s="35"/>
      <c r="K420" s="32"/>
      <c r="L420" s="33"/>
      <c r="M420" s="37" t="str">
        <f aca="true">IF(C420="","",IF(OR(H420="Done"),"Done",IF(G420="","No Due Date",IF(G420&lt;TODAY(),"Overdue",IF(G420=TODAY(),"Due Today",IF(G420&lt;TODAY()+7,"Due This Week","Later"))))))</f>
        <v/>
      </c>
      <c r="N420" s="40" t="str">
        <f aca="false">IF(AND(C420&lt;&gt;"",H420&lt;&gt;"Done",G420&lt;&gt;""),G420+ROW()/100000,"")</f>
        <v/>
      </c>
      <c r="O420" s="37" t="str">
        <f aca="false">IF(AND(A420&lt;&gt;"",A420='Project Summary'!$C$3,H420&lt;&gt;"Done",C420&lt;&gt;""),COUNTIFS($A$2:$A420,'Project Summary'!$C$3,$H$2:$H420,"&lt;&gt;Done",$C$2:$C420,"&lt;&gt;"),"")</f>
        <v/>
      </c>
    </row>
    <row r="421" customFormat="false" ht="15" hidden="false" customHeight="false" outlineLevel="0" collapsed="false">
      <c r="A421" s="32"/>
      <c r="B421" s="32"/>
      <c r="C421" s="32"/>
      <c r="D421" s="33"/>
      <c r="E421" s="32"/>
      <c r="F421" s="32"/>
      <c r="G421" s="35"/>
      <c r="H421" s="32"/>
      <c r="I421" s="35"/>
      <c r="J421" s="35"/>
      <c r="K421" s="32"/>
      <c r="L421" s="33"/>
      <c r="M421" s="37" t="str">
        <f aca="true">IF(C421="","",IF(OR(H421="Done"),"Done",IF(G421="","No Due Date",IF(G421&lt;TODAY(),"Overdue",IF(G421=TODAY(),"Due Today",IF(G421&lt;TODAY()+7,"Due This Week","Later"))))))</f>
        <v/>
      </c>
      <c r="N421" s="40" t="str">
        <f aca="false">IF(AND(C421&lt;&gt;"",H421&lt;&gt;"Done",G421&lt;&gt;""),G421+ROW()/100000,"")</f>
        <v/>
      </c>
      <c r="O421" s="37" t="str">
        <f aca="false">IF(AND(A421&lt;&gt;"",A421='Project Summary'!$C$3,H421&lt;&gt;"Done",C421&lt;&gt;""),COUNTIFS($A$2:$A421,'Project Summary'!$C$3,$H$2:$H421,"&lt;&gt;Done",$C$2:$C421,"&lt;&gt;"),"")</f>
        <v/>
      </c>
    </row>
    <row r="422" customFormat="false" ht="15" hidden="false" customHeight="false" outlineLevel="0" collapsed="false">
      <c r="A422" s="32"/>
      <c r="B422" s="32"/>
      <c r="C422" s="32"/>
      <c r="D422" s="33"/>
      <c r="E422" s="32"/>
      <c r="F422" s="32"/>
      <c r="G422" s="35"/>
      <c r="H422" s="32"/>
      <c r="I422" s="35"/>
      <c r="J422" s="35"/>
      <c r="K422" s="32"/>
      <c r="L422" s="33"/>
      <c r="M422" s="37" t="str">
        <f aca="true">IF(C422="","",IF(OR(H422="Done"),"Done",IF(G422="","No Due Date",IF(G422&lt;TODAY(),"Overdue",IF(G422=TODAY(),"Due Today",IF(G422&lt;TODAY()+7,"Due This Week","Later"))))))</f>
        <v/>
      </c>
      <c r="N422" s="40" t="str">
        <f aca="false">IF(AND(C422&lt;&gt;"",H422&lt;&gt;"Done",G422&lt;&gt;""),G422+ROW()/100000,"")</f>
        <v/>
      </c>
      <c r="O422" s="37" t="str">
        <f aca="false">IF(AND(A422&lt;&gt;"",A422='Project Summary'!$C$3,H422&lt;&gt;"Done",C422&lt;&gt;""),COUNTIFS($A$2:$A422,'Project Summary'!$C$3,$H$2:$H422,"&lt;&gt;Done",$C$2:$C422,"&lt;&gt;"),"")</f>
        <v/>
      </c>
    </row>
    <row r="423" customFormat="false" ht="15" hidden="false" customHeight="false" outlineLevel="0" collapsed="false">
      <c r="A423" s="32"/>
      <c r="B423" s="32"/>
      <c r="C423" s="32"/>
      <c r="D423" s="33"/>
      <c r="E423" s="32"/>
      <c r="F423" s="32"/>
      <c r="G423" s="35"/>
      <c r="H423" s="32"/>
      <c r="I423" s="35"/>
      <c r="J423" s="35"/>
      <c r="K423" s="32"/>
      <c r="L423" s="33"/>
      <c r="M423" s="37" t="str">
        <f aca="true">IF(C423="","",IF(OR(H423="Done"),"Done",IF(G423="","No Due Date",IF(G423&lt;TODAY(),"Overdue",IF(G423=TODAY(),"Due Today",IF(G423&lt;TODAY()+7,"Due This Week","Later"))))))</f>
        <v/>
      </c>
      <c r="N423" s="40" t="str">
        <f aca="false">IF(AND(C423&lt;&gt;"",H423&lt;&gt;"Done",G423&lt;&gt;""),G423+ROW()/100000,"")</f>
        <v/>
      </c>
      <c r="O423" s="37" t="str">
        <f aca="false">IF(AND(A423&lt;&gt;"",A423='Project Summary'!$C$3,H423&lt;&gt;"Done",C423&lt;&gt;""),COUNTIFS($A$2:$A423,'Project Summary'!$C$3,$H$2:$H423,"&lt;&gt;Done",$C$2:$C423,"&lt;&gt;"),"")</f>
        <v/>
      </c>
    </row>
    <row r="424" customFormat="false" ht="15" hidden="false" customHeight="false" outlineLevel="0" collapsed="false">
      <c r="A424" s="32"/>
      <c r="B424" s="32"/>
      <c r="C424" s="32"/>
      <c r="D424" s="33"/>
      <c r="E424" s="32"/>
      <c r="F424" s="32"/>
      <c r="G424" s="35"/>
      <c r="H424" s="32"/>
      <c r="I424" s="35"/>
      <c r="J424" s="35"/>
      <c r="K424" s="32"/>
      <c r="L424" s="33"/>
      <c r="M424" s="37" t="str">
        <f aca="true">IF(C424="","",IF(OR(H424="Done"),"Done",IF(G424="","No Due Date",IF(G424&lt;TODAY(),"Overdue",IF(G424=TODAY(),"Due Today",IF(G424&lt;TODAY()+7,"Due This Week","Later"))))))</f>
        <v/>
      </c>
      <c r="N424" s="40" t="str">
        <f aca="false">IF(AND(C424&lt;&gt;"",H424&lt;&gt;"Done",G424&lt;&gt;""),G424+ROW()/100000,"")</f>
        <v/>
      </c>
      <c r="O424" s="37" t="str">
        <f aca="false">IF(AND(A424&lt;&gt;"",A424='Project Summary'!$C$3,H424&lt;&gt;"Done",C424&lt;&gt;""),COUNTIFS($A$2:$A424,'Project Summary'!$C$3,$H$2:$H424,"&lt;&gt;Done",$C$2:$C424,"&lt;&gt;"),"")</f>
        <v/>
      </c>
    </row>
    <row r="425" customFormat="false" ht="15" hidden="false" customHeight="false" outlineLevel="0" collapsed="false">
      <c r="A425" s="32"/>
      <c r="B425" s="32"/>
      <c r="C425" s="32"/>
      <c r="D425" s="33"/>
      <c r="E425" s="32"/>
      <c r="F425" s="32"/>
      <c r="G425" s="35"/>
      <c r="H425" s="32"/>
      <c r="I425" s="35"/>
      <c r="J425" s="35"/>
      <c r="K425" s="32"/>
      <c r="L425" s="33"/>
      <c r="M425" s="37" t="str">
        <f aca="true">IF(C425="","",IF(OR(H425="Done"),"Done",IF(G425="","No Due Date",IF(G425&lt;TODAY(),"Overdue",IF(G425=TODAY(),"Due Today",IF(G425&lt;TODAY()+7,"Due This Week","Later"))))))</f>
        <v/>
      </c>
      <c r="N425" s="40" t="str">
        <f aca="false">IF(AND(C425&lt;&gt;"",H425&lt;&gt;"Done",G425&lt;&gt;""),G425+ROW()/100000,"")</f>
        <v/>
      </c>
      <c r="O425" s="37" t="str">
        <f aca="false">IF(AND(A425&lt;&gt;"",A425='Project Summary'!$C$3,H425&lt;&gt;"Done",C425&lt;&gt;""),COUNTIFS($A$2:$A425,'Project Summary'!$C$3,$H$2:$H425,"&lt;&gt;Done",$C$2:$C425,"&lt;&gt;"),"")</f>
        <v/>
      </c>
    </row>
    <row r="426" customFormat="false" ht="15" hidden="false" customHeight="false" outlineLevel="0" collapsed="false">
      <c r="A426" s="32"/>
      <c r="B426" s="32"/>
      <c r="C426" s="32"/>
      <c r="D426" s="33"/>
      <c r="E426" s="32"/>
      <c r="F426" s="32"/>
      <c r="G426" s="35"/>
      <c r="H426" s="32"/>
      <c r="I426" s="35"/>
      <c r="J426" s="35"/>
      <c r="K426" s="32"/>
      <c r="L426" s="33"/>
      <c r="M426" s="37" t="str">
        <f aca="true">IF(C426="","",IF(OR(H426="Done"),"Done",IF(G426="","No Due Date",IF(G426&lt;TODAY(),"Overdue",IF(G426=TODAY(),"Due Today",IF(G426&lt;TODAY()+7,"Due This Week","Later"))))))</f>
        <v/>
      </c>
      <c r="N426" s="40" t="str">
        <f aca="false">IF(AND(C426&lt;&gt;"",H426&lt;&gt;"Done",G426&lt;&gt;""),G426+ROW()/100000,"")</f>
        <v/>
      </c>
      <c r="O426" s="37" t="str">
        <f aca="false">IF(AND(A426&lt;&gt;"",A426='Project Summary'!$C$3,H426&lt;&gt;"Done",C426&lt;&gt;""),COUNTIFS($A$2:$A426,'Project Summary'!$C$3,$H$2:$H426,"&lt;&gt;Done",$C$2:$C426,"&lt;&gt;"),"")</f>
        <v/>
      </c>
    </row>
    <row r="427" customFormat="false" ht="15" hidden="false" customHeight="false" outlineLevel="0" collapsed="false">
      <c r="A427" s="32"/>
      <c r="B427" s="32"/>
      <c r="C427" s="32"/>
      <c r="D427" s="33"/>
      <c r="E427" s="32"/>
      <c r="F427" s="32"/>
      <c r="G427" s="35"/>
      <c r="H427" s="32"/>
      <c r="I427" s="35"/>
      <c r="J427" s="35"/>
      <c r="K427" s="32"/>
      <c r="L427" s="33"/>
      <c r="M427" s="37" t="str">
        <f aca="true">IF(C427="","",IF(OR(H427="Done"),"Done",IF(G427="","No Due Date",IF(G427&lt;TODAY(),"Overdue",IF(G427=TODAY(),"Due Today",IF(G427&lt;TODAY()+7,"Due This Week","Later"))))))</f>
        <v/>
      </c>
      <c r="N427" s="40" t="str">
        <f aca="false">IF(AND(C427&lt;&gt;"",H427&lt;&gt;"Done",G427&lt;&gt;""),G427+ROW()/100000,"")</f>
        <v/>
      </c>
      <c r="O427" s="37" t="str">
        <f aca="false">IF(AND(A427&lt;&gt;"",A427='Project Summary'!$C$3,H427&lt;&gt;"Done",C427&lt;&gt;""),COUNTIFS($A$2:$A427,'Project Summary'!$C$3,$H$2:$H427,"&lt;&gt;Done",$C$2:$C427,"&lt;&gt;"),"")</f>
        <v/>
      </c>
    </row>
    <row r="428" customFormat="false" ht="15" hidden="false" customHeight="false" outlineLevel="0" collapsed="false">
      <c r="A428" s="32"/>
      <c r="B428" s="32"/>
      <c r="C428" s="32"/>
      <c r="D428" s="33"/>
      <c r="E428" s="32"/>
      <c r="F428" s="32"/>
      <c r="G428" s="35"/>
      <c r="H428" s="32"/>
      <c r="I428" s="35"/>
      <c r="J428" s="35"/>
      <c r="K428" s="32"/>
      <c r="L428" s="33"/>
      <c r="M428" s="37" t="str">
        <f aca="true">IF(C428="","",IF(OR(H428="Done"),"Done",IF(G428="","No Due Date",IF(G428&lt;TODAY(),"Overdue",IF(G428=TODAY(),"Due Today",IF(G428&lt;TODAY()+7,"Due This Week","Later"))))))</f>
        <v/>
      </c>
      <c r="N428" s="40" t="str">
        <f aca="false">IF(AND(C428&lt;&gt;"",H428&lt;&gt;"Done",G428&lt;&gt;""),G428+ROW()/100000,"")</f>
        <v/>
      </c>
      <c r="O428" s="37" t="str">
        <f aca="false">IF(AND(A428&lt;&gt;"",A428='Project Summary'!$C$3,H428&lt;&gt;"Done",C428&lt;&gt;""),COUNTIFS($A$2:$A428,'Project Summary'!$C$3,$H$2:$H428,"&lt;&gt;Done",$C$2:$C428,"&lt;&gt;"),"")</f>
        <v/>
      </c>
    </row>
    <row r="429" customFormat="false" ht="15" hidden="false" customHeight="false" outlineLevel="0" collapsed="false">
      <c r="A429" s="32"/>
      <c r="B429" s="32"/>
      <c r="C429" s="32"/>
      <c r="D429" s="33"/>
      <c r="E429" s="32"/>
      <c r="F429" s="32"/>
      <c r="G429" s="35"/>
      <c r="H429" s="32"/>
      <c r="I429" s="35"/>
      <c r="J429" s="35"/>
      <c r="K429" s="32"/>
      <c r="L429" s="33"/>
      <c r="M429" s="37" t="str">
        <f aca="true">IF(C429="","",IF(OR(H429="Done"),"Done",IF(G429="","No Due Date",IF(G429&lt;TODAY(),"Overdue",IF(G429=TODAY(),"Due Today",IF(G429&lt;TODAY()+7,"Due This Week","Later"))))))</f>
        <v/>
      </c>
      <c r="N429" s="40" t="str">
        <f aca="false">IF(AND(C429&lt;&gt;"",H429&lt;&gt;"Done",G429&lt;&gt;""),G429+ROW()/100000,"")</f>
        <v/>
      </c>
      <c r="O429" s="37" t="str">
        <f aca="false">IF(AND(A429&lt;&gt;"",A429='Project Summary'!$C$3,H429&lt;&gt;"Done",C429&lt;&gt;""),COUNTIFS($A$2:$A429,'Project Summary'!$C$3,$H$2:$H429,"&lt;&gt;Done",$C$2:$C429,"&lt;&gt;"),"")</f>
        <v/>
      </c>
    </row>
    <row r="430" customFormat="false" ht="15" hidden="false" customHeight="false" outlineLevel="0" collapsed="false">
      <c r="A430" s="32"/>
      <c r="B430" s="32"/>
      <c r="C430" s="32"/>
      <c r="D430" s="33"/>
      <c r="E430" s="32"/>
      <c r="F430" s="32"/>
      <c r="G430" s="35"/>
      <c r="H430" s="32"/>
      <c r="I430" s="35"/>
      <c r="J430" s="35"/>
      <c r="K430" s="32"/>
      <c r="L430" s="33"/>
      <c r="M430" s="37" t="str">
        <f aca="true">IF(C430="","",IF(OR(H430="Done"),"Done",IF(G430="","No Due Date",IF(G430&lt;TODAY(),"Overdue",IF(G430=TODAY(),"Due Today",IF(G430&lt;TODAY()+7,"Due This Week","Later"))))))</f>
        <v/>
      </c>
      <c r="N430" s="40" t="str">
        <f aca="false">IF(AND(C430&lt;&gt;"",H430&lt;&gt;"Done",G430&lt;&gt;""),G430+ROW()/100000,"")</f>
        <v/>
      </c>
      <c r="O430" s="37" t="str">
        <f aca="false">IF(AND(A430&lt;&gt;"",A430='Project Summary'!$C$3,H430&lt;&gt;"Done",C430&lt;&gt;""),COUNTIFS($A$2:$A430,'Project Summary'!$C$3,$H$2:$H430,"&lt;&gt;Done",$C$2:$C430,"&lt;&gt;"),"")</f>
        <v/>
      </c>
    </row>
    <row r="431" customFormat="false" ht="15" hidden="false" customHeight="false" outlineLevel="0" collapsed="false">
      <c r="A431" s="32"/>
      <c r="B431" s="32"/>
      <c r="C431" s="32"/>
      <c r="D431" s="33"/>
      <c r="E431" s="32"/>
      <c r="F431" s="32"/>
      <c r="G431" s="35"/>
      <c r="H431" s="32"/>
      <c r="I431" s="35"/>
      <c r="J431" s="35"/>
      <c r="K431" s="32"/>
      <c r="L431" s="33"/>
      <c r="M431" s="37" t="str">
        <f aca="true">IF(C431="","",IF(OR(H431="Done"),"Done",IF(G431="","No Due Date",IF(G431&lt;TODAY(),"Overdue",IF(G431=TODAY(),"Due Today",IF(G431&lt;TODAY()+7,"Due This Week","Later"))))))</f>
        <v/>
      </c>
      <c r="N431" s="40" t="str">
        <f aca="false">IF(AND(C431&lt;&gt;"",H431&lt;&gt;"Done",G431&lt;&gt;""),G431+ROW()/100000,"")</f>
        <v/>
      </c>
      <c r="O431" s="37" t="str">
        <f aca="false">IF(AND(A431&lt;&gt;"",A431='Project Summary'!$C$3,H431&lt;&gt;"Done",C431&lt;&gt;""),COUNTIFS($A$2:$A431,'Project Summary'!$C$3,$H$2:$H431,"&lt;&gt;Done",$C$2:$C431,"&lt;&gt;"),"")</f>
        <v/>
      </c>
    </row>
    <row r="432" customFormat="false" ht="15" hidden="false" customHeight="false" outlineLevel="0" collapsed="false">
      <c r="A432" s="32"/>
      <c r="B432" s="32"/>
      <c r="C432" s="32"/>
      <c r="D432" s="33"/>
      <c r="E432" s="32"/>
      <c r="F432" s="32"/>
      <c r="G432" s="35"/>
      <c r="H432" s="32"/>
      <c r="I432" s="35"/>
      <c r="J432" s="35"/>
      <c r="K432" s="32"/>
      <c r="L432" s="33"/>
      <c r="M432" s="37" t="str">
        <f aca="true">IF(C432="","",IF(OR(H432="Done"),"Done",IF(G432="","No Due Date",IF(G432&lt;TODAY(),"Overdue",IF(G432=TODAY(),"Due Today",IF(G432&lt;TODAY()+7,"Due This Week","Later"))))))</f>
        <v/>
      </c>
      <c r="N432" s="40" t="str">
        <f aca="false">IF(AND(C432&lt;&gt;"",H432&lt;&gt;"Done",G432&lt;&gt;""),G432+ROW()/100000,"")</f>
        <v/>
      </c>
      <c r="O432" s="37" t="str">
        <f aca="false">IF(AND(A432&lt;&gt;"",A432='Project Summary'!$C$3,H432&lt;&gt;"Done",C432&lt;&gt;""),COUNTIFS($A$2:$A432,'Project Summary'!$C$3,$H$2:$H432,"&lt;&gt;Done",$C$2:$C432,"&lt;&gt;"),"")</f>
        <v/>
      </c>
    </row>
    <row r="433" customFormat="false" ht="15" hidden="false" customHeight="false" outlineLevel="0" collapsed="false">
      <c r="A433" s="32"/>
      <c r="B433" s="32"/>
      <c r="C433" s="32"/>
      <c r="D433" s="33"/>
      <c r="E433" s="32"/>
      <c r="F433" s="32"/>
      <c r="G433" s="35"/>
      <c r="H433" s="32"/>
      <c r="I433" s="35"/>
      <c r="J433" s="35"/>
      <c r="K433" s="32"/>
      <c r="L433" s="33"/>
      <c r="M433" s="37" t="str">
        <f aca="true">IF(C433="","",IF(OR(H433="Done"),"Done",IF(G433="","No Due Date",IF(G433&lt;TODAY(),"Overdue",IF(G433=TODAY(),"Due Today",IF(G433&lt;TODAY()+7,"Due This Week","Later"))))))</f>
        <v/>
      </c>
      <c r="N433" s="40" t="str">
        <f aca="false">IF(AND(C433&lt;&gt;"",H433&lt;&gt;"Done",G433&lt;&gt;""),G433+ROW()/100000,"")</f>
        <v/>
      </c>
      <c r="O433" s="37" t="str">
        <f aca="false">IF(AND(A433&lt;&gt;"",A433='Project Summary'!$C$3,H433&lt;&gt;"Done",C433&lt;&gt;""),COUNTIFS($A$2:$A433,'Project Summary'!$C$3,$H$2:$H433,"&lt;&gt;Done",$C$2:$C433,"&lt;&gt;"),"")</f>
        <v/>
      </c>
    </row>
    <row r="434" customFormat="false" ht="15" hidden="false" customHeight="false" outlineLevel="0" collapsed="false">
      <c r="A434" s="32"/>
      <c r="B434" s="32"/>
      <c r="C434" s="32"/>
      <c r="D434" s="33"/>
      <c r="E434" s="32"/>
      <c r="F434" s="32"/>
      <c r="G434" s="35"/>
      <c r="H434" s="32"/>
      <c r="I434" s="35"/>
      <c r="J434" s="35"/>
      <c r="K434" s="32"/>
      <c r="L434" s="33"/>
      <c r="M434" s="37" t="str">
        <f aca="true">IF(C434="","",IF(OR(H434="Done"),"Done",IF(G434="","No Due Date",IF(G434&lt;TODAY(),"Overdue",IF(G434=TODAY(),"Due Today",IF(G434&lt;TODAY()+7,"Due This Week","Later"))))))</f>
        <v/>
      </c>
      <c r="N434" s="40" t="str">
        <f aca="false">IF(AND(C434&lt;&gt;"",H434&lt;&gt;"Done",G434&lt;&gt;""),G434+ROW()/100000,"")</f>
        <v/>
      </c>
      <c r="O434" s="37" t="str">
        <f aca="false">IF(AND(A434&lt;&gt;"",A434='Project Summary'!$C$3,H434&lt;&gt;"Done",C434&lt;&gt;""),COUNTIFS($A$2:$A434,'Project Summary'!$C$3,$H$2:$H434,"&lt;&gt;Done",$C$2:$C434,"&lt;&gt;"),"")</f>
        <v/>
      </c>
    </row>
    <row r="435" customFormat="false" ht="15" hidden="false" customHeight="false" outlineLevel="0" collapsed="false">
      <c r="A435" s="32"/>
      <c r="B435" s="32"/>
      <c r="C435" s="32"/>
      <c r="D435" s="33"/>
      <c r="E435" s="32"/>
      <c r="F435" s="32"/>
      <c r="G435" s="35"/>
      <c r="H435" s="32"/>
      <c r="I435" s="35"/>
      <c r="J435" s="35"/>
      <c r="K435" s="32"/>
      <c r="L435" s="33"/>
      <c r="M435" s="37" t="str">
        <f aca="true">IF(C435="","",IF(OR(H435="Done"),"Done",IF(G435="","No Due Date",IF(G435&lt;TODAY(),"Overdue",IF(G435=TODAY(),"Due Today",IF(G435&lt;TODAY()+7,"Due This Week","Later"))))))</f>
        <v/>
      </c>
      <c r="N435" s="40" t="str">
        <f aca="false">IF(AND(C435&lt;&gt;"",H435&lt;&gt;"Done",G435&lt;&gt;""),G435+ROW()/100000,"")</f>
        <v/>
      </c>
      <c r="O435" s="37" t="str">
        <f aca="false">IF(AND(A435&lt;&gt;"",A435='Project Summary'!$C$3,H435&lt;&gt;"Done",C435&lt;&gt;""),COUNTIFS($A$2:$A435,'Project Summary'!$C$3,$H$2:$H435,"&lt;&gt;Done",$C$2:$C435,"&lt;&gt;"),"")</f>
        <v/>
      </c>
    </row>
    <row r="436" customFormat="false" ht="15" hidden="false" customHeight="false" outlineLevel="0" collapsed="false">
      <c r="A436" s="32"/>
      <c r="B436" s="32"/>
      <c r="C436" s="32"/>
      <c r="D436" s="33"/>
      <c r="E436" s="32"/>
      <c r="F436" s="32"/>
      <c r="G436" s="35"/>
      <c r="H436" s="32"/>
      <c r="I436" s="35"/>
      <c r="J436" s="35"/>
      <c r="K436" s="32"/>
      <c r="L436" s="33"/>
      <c r="M436" s="37" t="str">
        <f aca="true">IF(C436="","",IF(OR(H436="Done"),"Done",IF(G436="","No Due Date",IF(G436&lt;TODAY(),"Overdue",IF(G436=TODAY(),"Due Today",IF(G436&lt;TODAY()+7,"Due This Week","Later"))))))</f>
        <v/>
      </c>
      <c r="N436" s="40" t="str">
        <f aca="false">IF(AND(C436&lt;&gt;"",H436&lt;&gt;"Done",G436&lt;&gt;""),G436+ROW()/100000,"")</f>
        <v/>
      </c>
      <c r="O436" s="37" t="str">
        <f aca="false">IF(AND(A436&lt;&gt;"",A436='Project Summary'!$C$3,H436&lt;&gt;"Done",C436&lt;&gt;""),COUNTIFS($A$2:$A436,'Project Summary'!$C$3,$H$2:$H436,"&lt;&gt;Done",$C$2:$C436,"&lt;&gt;"),"")</f>
        <v/>
      </c>
    </row>
    <row r="437" customFormat="false" ht="15" hidden="false" customHeight="false" outlineLevel="0" collapsed="false">
      <c r="A437" s="32"/>
      <c r="B437" s="32"/>
      <c r="C437" s="32"/>
      <c r="D437" s="33"/>
      <c r="E437" s="32"/>
      <c r="F437" s="32"/>
      <c r="G437" s="35"/>
      <c r="H437" s="32"/>
      <c r="I437" s="35"/>
      <c r="J437" s="35"/>
      <c r="K437" s="32"/>
      <c r="L437" s="33"/>
      <c r="M437" s="37" t="str">
        <f aca="true">IF(C437="","",IF(OR(H437="Done"),"Done",IF(G437="","No Due Date",IF(G437&lt;TODAY(),"Overdue",IF(G437=TODAY(),"Due Today",IF(G437&lt;TODAY()+7,"Due This Week","Later"))))))</f>
        <v/>
      </c>
      <c r="N437" s="40" t="str">
        <f aca="false">IF(AND(C437&lt;&gt;"",H437&lt;&gt;"Done",G437&lt;&gt;""),G437+ROW()/100000,"")</f>
        <v/>
      </c>
      <c r="O437" s="37" t="str">
        <f aca="false">IF(AND(A437&lt;&gt;"",A437='Project Summary'!$C$3,H437&lt;&gt;"Done",C437&lt;&gt;""),COUNTIFS($A$2:$A437,'Project Summary'!$C$3,$H$2:$H437,"&lt;&gt;Done",$C$2:$C437,"&lt;&gt;"),"")</f>
        <v/>
      </c>
    </row>
    <row r="438" customFormat="false" ht="15" hidden="false" customHeight="false" outlineLevel="0" collapsed="false">
      <c r="A438" s="32"/>
      <c r="B438" s="32"/>
      <c r="C438" s="32"/>
      <c r="D438" s="33"/>
      <c r="E438" s="32"/>
      <c r="F438" s="32"/>
      <c r="G438" s="35"/>
      <c r="H438" s="32"/>
      <c r="I438" s="35"/>
      <c r="J438" s="35"/>
      <c r="K438" s="32"/>
      <c r="L438" s="33"/>
      <c r="M438" s="37" t="str">
        <f aca="true">IF(C438="","",IF(OR(H438="Done"),"Done",IF(G438="","No Due Date",IF(G438&lt;TODAY(),"Overdue",IF(G438=TODAY(),"Due Today",IF(G438&lt;TODAY()+7,"Due This Week","Later"))))))</f>
        <v/>
      </c>
      <c r="N438" s="40" t="str">
        <f aca="false">IF(AND(C438&lt;&gt;"",H438&lt;&gt;"Done",G438&lt;&gt;""),G438+ROW()/100000,"")</f>
        <v/>
      </c>
      <c r="O438" s="37" t="str">
        <f aca="false">IF(AND(A438&lt;&gt;"",A438='Project Summary'!$C$3,H438&lt;&gt;"Done",C438&lt;&gt;""),COUNTIFS($A$2:$A438,'Project Summary'!$C$3,$H$2:$H438,"&lt;&gt;Done",$C$2:$C438,"&lt;&gt;"),"")</f>
        <v/>
      </c>
    </row>
    <row r="439" customFormat="false" ht="15" hidden="false" customHeight="false" outlineLevel="0" collapsed="false">
      <c r="A439" s="32"/>
      <c r="B439" s="32"/>
      <c r="C439" s="32"/>
      <c r="D439" s="33"/>
      <c r="E439" s="32"/>
      <c r="F439" s="32"/>
      <c r="G439" s="35"/>
      <c r="H439" s="32"/>
      <c r="I439" s="35"/>
      <c r="J439" s="35"/>
      <c r="K439" s="32"/>
      <c r="L439" s="33"/>
      <c r="M439" s="37" t="str">
        <f aca="true">IF(C439="","",IF(OR(H439="Done"),"Done",IF(G439="","No Due Date",IF(G439&lt;TODAY(),"Overdue",IF(G439=TODAY(),"Due Today",IF(G439&lt;TODAY()+7,"Due This Week","Later"))))))</f>
        <v/>
      </c>
      <c r="N439" s="40" t="str">
        <f aca="false">IF(AND(C439&lt;&gt;"",H439&lt;&gt;"Done",G439&lt;&gt;""),G439+ROW()/100000,"")</f>
        <v/>
      </c>
      <c r="O439" s="37" t="str">
        <f aca="false">IF(AND(A439&lt;&gt;"",A439='Project Summary'!$C$3,H439&lt;&gt;"Done",C439&lt;&gt;""),COUNTIFS($A$2:$A439,'Project Summary'!$C$3,$H$2:$H439,"&lt;&gt;Done",$C$2:$C439,"&lt;&gt;"),"")</f>
        <v/>
      </c>
    </row>
    <row r="440" customFormat="false" ht="15" hidden="false" customHeight="false" outlineLevel="0" collapsed="false">
      <c r="A440" s="32"/>
      <c r="B440" s="32"/>
      <c r="C440" s="32"/>
      <c r="D440" s="33"/>
      <c r="E440" s="32"/>
      <c r="F440" s="32"/>
      <c r="G440" s="35"/>
      <c r="H440" s="32"/>
      <c r="I440" s="35"/>
      <c r="J440" s="35"/>
      <c r="K440" s="32"/>
      <c r="L440" s="33"/>
      <c r="M440" s="37" t="str">
        <f aca="true">IF(C440="","",IF(OR(H440="Done"),"Done",IF(G440="","No Due Date",IF(G440&lt;TODAY(),"Overdue",IF(G440=TODAY(),"Due Today",IF(G440&lt;TODAY()+7,"Due This Week","Later"))))))</f>
        <v/>
      </c>
      <c r="N440" s="40" t="str">
        <f aca="false">IF(AND(C440&lt;&gt;"",H440&lt;&gt;"Done",G440&lt;&gt;""),G440+ROW()/100000,"")</f>
        <v/>
      </c>
      <c r="O440" s="37" t="str">
        <f aca="false">IF(AND(A440&lt;&gt;"",A440='Project Summary'!$C$3,H440&lt;&gt;"Done",C440&lt;&gt;""),COUNTIFS($A$2:$A440,'Project Summary'!$C$3,$H$2:$H440,"&lt;&gt;Done",$C$2:$C440,"&lt;&gt;"),"")</f>
        <v/>
      </c>
    </row>
    <row r="441" customFormat="false" ht="15" hidden="false" customHeight="false" outlineLevel="0" collapsed="false">
      <c r="A441" s="32"/>
      <c r="B441" s="32"/>
      <c r="C441" s="32"/>
      <c r="D441" s="33"/>
      <c r="E441" s="32"/>
      <c r="F441" s="32"/>
      <c r="G441" s="35"/>
      <c r="H441" s="32"/>
      <c r="I441" s="35"/>
      <c r="J441" s="35"/>
      <c r="K441" s="32"/>
      <c r="L441" s="33"/>
      <c r="M441" s="37" t="str">
        <f aca="true">IF(C441="","",IF(OR(H441="Done"),"Done",IF(G441="","No Due Date",IF(G441&lt;TODAY(),"Overdue",IF(G441=TODAY(),"Due Today",IF(G441&lt;TODAY()+7,"Due This Week","Later"))))))</f>
        <v/>
      </c>
      <c r="N441" s="40" t="str">
        <f aca="false">IF(AND(C441&lt;&gt;"",H441&lt;&gt;"Done",G441&lt;&gt;""),G441+ROW()/100000,"")</f>
        <v/>
      </c>
      <c r="O441" s="37" t="str">
        <f aca="false">IF(AND(A441&lt;&gt;"",A441='Project Summary'!$C$3,H441&lt;&gt;"Done",C441&lt;&gt;""),COUNTIFS($A$2:$A441,'Project Summary'!$C$3,$H$2:$H441,"&lt;&gt;Done",$C$2:$C441,"&lt;&gt;"),"")</f>
        <v/>
      </c>
    </row>
    <row r="442" customFormat="false" ht="15" hidden="false" customHeight="false" outlineLevel="0" collapsed="false">
      <c r="A442" s="32"/>
      <c r="B442" s="32"/>
      <c r="C442" s="32"/>
      <c r="D442" s="33"/>
      <c r="E442" s="32"/>
      <c r="F442" s="32"/>
      <c r="G442" s="35"/>
      <c r="H442" s="32"/>
      <c r="I442" s="35"/>
      <c r="J442" s="35"/>
      <c r="K442" s="32"/>
      <c r="L442" s="33"/>
      <c r="M442" s="37" t="str">
        <f aca="true">IF(C442="","",IF(OR(H442="Done"),"Done",IF(G442="","No Due Date",IF(G442&lt;TODAY(),"Overdue",IF(G442=TODAY(),"Due Today",IF(G442&lt;TODAY()+7,"Due This Week","Later"))))))</f>
        <v/>
      </c>
      <c r="N442" s="40" t="str">
        <f aca="false">IF(AND(C442&lt;&gt;"",H442&lt;&gt;"Done",G442&lt;&gt;""),G442+ROW()/100000,"")</f>
        <v/>
      </c>
      <c r="O442" s="37" t="str">
        <f aca="false">IF(AND(A442&lt;&gt;"",A442='Project Summary'!$C$3,H442&lt;&gt;"Done",C442&lt;&gt;""),COUNTIFS($A$2:$A442,'Project Summary'!$C$3,$H$2:$H442,"&lt;&gt;Done",$C$2:$C442,"&lt;&gt;"),"")</f>
        <v/>
      </c>
    </row>
    <row r="443" customFormat="false" ht="15" hidden="false" customHeight="false" outlineLevel="0" collapsed="false">
      <c r="A443" s="32"/>
      <c r="B443" s="32"/>
      <c r="C443" s="32"/>
      <c r="D443" s="33"/>
      <c r="E443" s="32"/>
      <c r="F443" s="32"/>
      <c r="G443" s="35"/>
      <c r="H443" s="32"/>
      <c r="I443" s="35"/>
      <c r="J443" s="35"/>
      <c r="K443" s="32"/>
      <c r="L443" s="33"/>
      <c r="M443" s="37" t="str">
        <f aca="true">IF(C443="","",IF(OR(H443="Done"),"Done",IF(G443="","No Due Date",IF(G443&lt;TODAY(),"Overdue",IF(G443=TODAY(),"Due Today",IF(G443&lt;TODAY()+7,"Due This Week","Later"))))))</f>
        <v/>
      </c>
      <c r="N443" s="40" t="str">
        <f aca="false">IF(AND(C443&lt;&gt;"",H443&lt;&gt;"Done",G443&lt;&gt;""),G443+ROW()/100000,"")</f>
        <v/>
      </c>
      <c r="O443" s="37" t="str">
        <f aca="false">IF(AND(A443&lt;&gt;"",A443='Project Summary'!$C$3,H443&lt;&gt;"Done",C443&lt;&gt;""),COUNTIFS($A$2:$A443,'Project Summary'!$C$3,$H$2:$H443,"&lt;&gt;Done",$C$2:$C443,"&lt;&gt;"),"")</f>
        <v/>
      </c>
    </row>
    <row r="444" customFormat="false" ht="15" hidden="false" customHeight="false" outlineLevel="0" collapsed="false">
      <c r="A444" s="32"/>
      <c r="B444" s="32"/>
      <c r="C444" s="32"/>
      <c r="D444" s="33"/>
      <c r="E444" s="32"/>
      <c r="F444" s="32"/>
      <c r="G444" s="35"/>
      <c r="H444" s="32"/>
      <c r="I444" s="35"/>
      <c r="J444" s="35"/>
      <c r="K444" s="32"/>
      <c r="L444" s="33"/>
      <c r="M444" s="37" t="str">
        <f aca="true">IF(C444="","",IF(OR(H444="Done"),"Done",IF(G444="","No Due Date",IF(G444&lt;TODAY(),"Overdue",IF(G444=TODAY(),"Due Today",IF(G444&lt;TODAY()+7,"Due This Week","Later"))))))</f>
        <v/>
      </c>
      <c r="N444" s="40" t="str">
        <f aca="false">IF(AND(C444&lt;&gt;"",H444&lt;&gt;"Done",G444&lt;&gt;""),G444+ROW()/100000,"")</f>
        <v/>
      </c>
      <c r="O444" s="37" t="str">
        <f aca="false">IF(AND(A444&lt;&gt;"",A444='Project Summary'!$C$3,H444&lt;&gt;"Done",C444&lt;&gt;""),COUNTIFS($A$2:$A444,'Project Summary'!$C$3,$H$2:$H444,"&lt;&gt;Done",$C$2:$C444,"&lt;&gt;"),"")</f>
        <v/>
      </c>
    </row>
    <row r="445" customFormat="false" ht="15" hidden="false" customHeight="false" outlineLevel="0" collapsed="false">
      <c r="A445" s="32"/>
      <c r="B445" s="32"/>
      <c r="C445" s="32"/>
      <c r="D445" s="33"/>
      <c r="E445" s="32"/>
      <c r="F445" s="32"/>
      <c r="G445" s="35"/>
      <c r="H445" s="32"/>
      <c r="I445" s="35"/>
      <c r="J445" s="35"/>
      <c r="K445" s="32"/>
      <c r="L445" s="33"/>
      <c r="M445" s="37" t="str">
        <f aca="true">IF(C445="","",IF(OR(H445="Done"),"Done",IF(G445="","No Due Date",IF(G445&lt;TODAY(),"Overdue",IF(G445=TODAY(),"Due Today",IF(G445&lt;TODAY()+7,"Due This Week","Later"))))))</f>
        <v/>
      </c>
      <c r="N445" s="40" t="str">
        <f aca="false">IF(AND(C445&lt;&gt;"",H445&lt;&gt;"Done",G445&lt;&gt;""),G445+ROW()/100000,"")</f>
        <v/>
      </c>
      <c r="O445" s="37" t="str">
        <f aca="false">IF(AND(A445&lt;&gt;"",A445='Project Summary'!$C$3,H445&lt;&gt;"Done",C445&lt;&gt;""),COUNTIFS($A$2:$A445,'Project Summary'!$C$3,$H$2:$H445,"&lt;&gt;Done",$C$2:$C445,"&lt;&gt;"),"")</f>
        <v/>
      </c>
    </row>
    <row r="446" customFormat="false" ht="15" hidden="false" customHeight="false" outlineLevel="0" collapsed="false">
      <c r="A446" s="32"/>
      <c r="B446" s="32"/>
      <c r="C446" s="32"/>
      <c r="D446" s="33"/>
      <c r="E446" s="32"/>
      <c r="F446" s="32"/>
      <c r="G446" s="35"/>
      <c r="H446" s="32"/>
      <c r="I446" s="35"/>
      <c r="J446" s="35"/>
      <c r="K446" s="32"/>
      <c r="L446" s="33"/>
      <c r="M446" s="37" t="str">
        <f aca="true">IF(C446="","",IF(OR(H446="Done"),"Done",IF(G446="","No Due Date",IF(G446&lt;TODAY(),"Overdue",IF(G446=TODAY(),"Due Today",IF(G446&lt;TODAY()+7,"Due This Week","Later"))))))</f>
        <v/>
      </c>
      <c r="N446" s="40" t="str">
        <f aca="false">IF(AND(C446&lt;&gt;"",H446&lt;&gt;"Done",G446&lt;&gt;""),G446+ROW()/100000,"")</f>
        <v/>
      </c>
      <c r="O446" s="37" t="str">
        <f aca="false">IF(AND(A446&lt;&gt;"",A446='Project Summary'!$C$3,H446&lt;&gt;"Done",C446&lt;&gt;""),COUNTIFS($A$2:$A446,'Project Summary'!$C$3,$H$2:$H446,"&lt;&gt;Done",$C$2:$C446,"&lt;&gt;"),"")</f>
        <v/>
      </c>
    </row>
    <row r="447" customFormat="false" ht="15" hidden="false" customHeight="false" outlineLevel="0" collapsed="false">
      <c r="A447" s="32"/>
      <c r="B447" s="32"/>
      <c r="C447" s="32"/>
      <c r="D447" s="33"/>
      <c r="E447" s="32"/>
      <c r="F447" s="32"/>
      <c r="G447" s="35"/>
      <c r="H447" s="32"/>
      <c r="I447" s="35"/>
      <c r="J447" s="35"/>
      <c r="K447" s="32"/>
      <c r="L447" s="33"/>
      <c r="M447" s="37" t="str">
        <f aca="true">IF(C447="","",IF(OR(H447="Done"),"Done",IF(G447="","No Due Date",IF(G447&lt;TODAY(),"Overdue",IF(G447=TODAY(),"Due Today",IF(G447&lt;TODAY()+7,"Due This Week","Later"))))))</f>
        <v/>
      </c>
      <c r="N447" s="40" t="str">
        <f aca="false">IF(AND(C447&lt;&gt;"",H447&lt;&gt;"Done",G447&lt;&gt;""),G447+ROW()/100000,"")</f>
        <v/>
      </c>
      <c r="O447" s="37" t="str">
        <f aca="false">IF(AND(A447&lt;&gt;"",A447='Project Summary'!$C$3,H447&lt;&gt;"Done",C447&lt;&gt;""),COUNTIFS($A$2:$A447,'Project Summary'!$C$3,$H$2:$H447,"&lt;&gt;Done",$C$2:$C447,"&lt;&gt;"),"")</f>
        <v/>
      </c>
    </row>
    <row r="448" customFormat="false" ht="15" hidden="false" customHeight="false" outlineLevel="0" collapsed="false">
      <c r="A448" s="32"/>
      <c r="B448" s="32"/>
      <c r="C448" s="32"/>
      <c r="D448" s="33"/>
      <c r="E448" s="32"/>
      <c r="F448" s="32"/>
      <c r="G448" s="35"/>
      <c r="H448" s="32"/>
      <c r="I448" s="35"/>
      <c r="J448" s="35"/>
      <c r="K448" s="32"/>
      <c r="L448" s="33"/>
      <c r="M448" s="37" t="str">
        <f aca="true">IF(C448="","",IF(OR(H448="Done"),"Done",IF(G448="","No Due Date",IF(G448&lt;TODAY(),"Overdue",IF(G448=TODAY(),"Due Today",IF(G448&lt;TODAY()+7,"Due This Week","Later"))))))</f>
        <v/>
      </c>
      <c r="N448" s="40" t="str">
        <f aca="false">IF(AND(C448&lt;&gt;"",H448&lt;&gt;"Done",G448&lt;&gt;""),G448+ROW()/100000,"")</f>
        <v/>
      </c>
      <c r="O448" s="37" t="str">
        <f aca="false">IF(AND(A448&lt;&gt;"",A448='Project Summary'!$C$3,H448&lt;&gt;"Done",C448&lt;&gt;""),COUNTIFS($A$2:$A448,'Project Summary'!$C$3,$H$2:$H448,"&lt;&gt;Done",$C$2:$C448,"&lt;&gt;"),"")</f>
        <v/>
      </c>
    </row>
    <row r="449" customFormat="false" ht="15" hidden="false" customHeight="false" outlineLevel="0" collapsed="false">
      <c r="A449" s="32"/>
      <c r="B449" s="32"/>
      <c r="C449" s="32"/>
      <c r="D449" s="33"/>
      <c r="E449" s="32"/>
      <c r="F449" s="32"/>
      <c r="G449" s="35"/>
      <c r="H449" s="32"/>
      <c r="I449" s="35"/>
      <c r="J449" s="35"/>
      <c r="K449" s="32"/>
      <c r="L449" s="33"/>
      <c r="M449" s="37" t="str">
        <f aca="true">IF(C449="","",IF(OR(H449="Done"),"Done",IF(G449="","No Due Date",IF(G449&lt;TODAY(),"Overdue",IF(G449=TODAY(),"Due Today",IF(G449&lt;TODAY()+7,"Due This Week","Later"))))))</f>
        <v/>
      </c>
      <c r="N449" s="40" t="str">
        <f aca="false">IF(AND(C449&lt;&gt;"",H449&lt;&gt;"Done",G449&lt;&gt;""),G449+ROW()/100000,"")</f>
        <v/>
      </c>
      <c r="O449" s="37" t="str">
        <f aca="false">IF(AND(A449&lt;&gt;"",A449='Project Summary'!$C$3,H449&lt;&gt;"Done",C449&lt;&gt;""),COUNTIFS($A$2:$A449,'Project Summary'!$C$3,$H$2:$H449,"&lt;&gt;Done",$C$2:$C449,"&lt;&gt;"),"")</f>
        <v/>
      </c>
    </row>
    <row r="450" customFormat="false" ht="15" hidden="false" customHeight="false" outlineLevel="0" collapsed="false">
      <c r="A450" s="32"/>
      <c r="B450" s="32"/>
      <c r="C450" s="32"/>
      <c r="D450" s="33"/>
      <c r="E450" s="32"/>
      <c r="F450" s="32"/>
      <c r="G450" s="35"/>
      <c r="H450" s="32"/>
      <c r="I450" s="35"/>
      <c r="J450" s="35"/>
      <c r="K450" s="32"/>
      <c r="L450" s="33"/>
      <c r="M450" s="37" t="str">
        <f aca="true">IF(C450="","",IF(OR(H450="Done"),"Done",IF(G450="","No Due Date",IF(G450&lt;TODAY(),"Overdue",IF(G450=TODAY(),"Due Today",IF(G450&lt;TODAY()+7,"Due This Week","Later"))))))</f>
        <v/>
      </c>
      <c r="N450" s="40" t="str">
        <f aca="false">IF(AND(C450&lt;&gt;"",H450&lt;&gt;"Done",G450&lt;&gt;""),G450+ROW()/100000,"")</f>
        <v/>
      </c>
      <c r="O450" s="37" t="str">
        <f aca="false">IF(AND(A450&lt;&gt;"",A450='Project Summary'!$C$3,H450&lt;&gt;"Done",C450&lt;&gt;""),COUNTIFS($A$2:$A450,'Project Summary'!$C$3,$H$2:$H450,"&lt;&gt;Done",$C$2:$C450,"&lt;&gt;"),"")</f>
        <v/>
      </c>
    </row>
    <row r="451" customFormat="false" ht="15" hidden="false" customHeight="false" outlineLevel="0" collapsed="false">
      <c r="A451" s="32"/>
      <c r="B451" s="32"/>
      <c r="C451" s="32"/>
      <c r="D451" s="33"/>
      <c r="E451" s="32"/>
      <c r="F451" s="32"/>
      <c r="G451" s="35"/>
      <c r="H451" s="32"/>
      <c r="I451" s="35"/>
      <c r="J451" s="35"/>
      <c r="K451" s="32"/>
      <c r="L451" s="33"/>
      <c r="M451" s="37" t="str">
        <f aca="true">IF(C451="","",IF(OR(H451="Done"),"Done",IF(G451="","No Due Date",IF(G451&lt;TODAY(),"Overdue",IF(G451=TODAY(),"Due Today",IF(G451&lt;TODAY()+7,"Due This Week","Later"))))))</f>
        <v/>
      </c>
      <c r="N451" s="40" t="str">
        <f aca="false">IF(AND(C451&lt;&gt;"",H451&lt;&gt;"Done",G451&lt;&gt;""),G451+ROW()/100000,"")</f>
        <v/>
      </c>
      <c r="O451" s="37" t="str">
        <f aca="false">IF(AND(A451&lt;&gt;"",A451='Project Summary'!$C$3,H451&lt;&gt;"Done",C451&lt;&gt;""),COUNTIFS($A$2:$A451,'Project Summary'!$C$3,$H$2:$H451,"&lt;&gt;Done",$C$2:$C451,"&lt;&gt;"),"")</f>
        <v/>
      </c>
    </row>
    <row r="452" customFormat="false" ht="15" hidden="false" customHeight="false" outlineLevel="0" collapsed="false">
      <c r="A452" s="32"/>
      <c r="B452" s="32"/>
      <c r="C452" s="32"/>
      <c r="D452" s="33"/>
      <c r="E452" s="32"/>
      <c r="F452" s="32"/>
      <c r="G452" s="35"/>
      <c r="H452" s="32"/>
      <c r="I452" s="35"/>
      <c r="J452" s="35"/>
      <c r="K452" s="32"/>
      <c r="L452" s="33"/>
      <c r="M452" s="37" t="str">
        <f aca="true">IF(C452="","",IF(OR(H452="Done"),"Done",IF(G452="","No Due Date",IF(G452&lt;TODAY(),"Overdue",IF(G452=TODAY(),"Due Today",IF(G452&lt;TODAY()+7,"Due This Week","Later"))))))</f>
        <v/>
      </c>
      <c r="N452" s="40" t="str">
        <f aca="false">IF(AND(C452&lt;&gt;"",H452&lt;&gt;"Done",G452&lt;&gt;""),G452+ROW()/100000,"")</f>
        <v/>
      </c>
      <c r="O452" s="37" t="str">
        <f aca="false">IF(AND(A452&lt;&gt;"",A452='Project Summary'!$C$3,H452&lt;&gt;"Done",C452&lt;&gt;""),COUNTIFS($A$2:$A452,'Project Summary'!$C$3,$H$2:$H452,"&lt;&gt;Done",$C$2:$C452,"&lt;&gt;"),"")</f>
        <v/>
      </c>
    </row>
    <row r="453" customFormat="false" ht="15" hidden="false" customHeight="false" outlineLevel="0" collapsed="false">
      <c r="A453" s="32"/>
      <c r="B453" s="32"/>
      <c r="C453" s="32"/>
      <c r="D453" s="33"/>
      <c r="E453" s="32"/>
      <c r="F453" s="32"/>
      <c r="G453" s="35"/>
      <c r="H453" s="32"/>
      <c r="I453" s="35"/>
      <c r="J453" s="35"/>
      <c r="K453" s="32"/>
      <c r="L453" s="33"/>
      <c r="M453" s="37" t="str">
        <f aca="true">IF(C453="","",IF(OR(H453="Done"),"Done",IF(G453="","No Due Date",IF(G453&lt;TODAY(),"Overdue",IF(G453=TODAY(),"Due Today",IF(G453&lt;TODAY()+7,"Due This Week","Later"))))))</f>
        <v/>
      </c>
      <c r="N453" s="40" t="str">
        <f aca="false">IF(AND(C453&lt;&gt;"",H453&lt;&gt;"Done",G453&lt;&gt;""),G453+ROW()/100000,"")</f>
        <v/>
      </c>
      <c r="O453" s="37" t="str">
        <f aca="false">IF(AND(A453&lt;&gt;"",A453='Project Summary'!$C$3,H453&lt;&gt;"Done",C453&lt;&gt;""),COUNTIFS($A$2:$A453,'Project Summary'!$C$3,$H$2:$H453,"&lt;&gt;Done",$C$2:$C453,"&lt;&gt;"),"")</f>
        <v/>
      </c>
    </row>
    <row r="454" customFormat="false" ht="15" hidden="false" customHeight="false" outlineLevel="0" collapsed="false">
      <c r="A454" s="32"/>
      <c r="B454" s="32"/>
      <c r="C454" s="32"/>
      <c r="D454" s="33"/>
      <c r="E454" s="32"/>
      <c r="F454" s="32"/>
      <c r="G454" s="35"/>
      <c r="H454" s="32"/>
      <c r="I454" s="35"/>
      <c r="J454" s="35"/>
      <c r="K454" s="32"/>
      <c r="L454" s="33"/>
      <c r="M454" s="37" t="str">
        <f aca="true">IF(C454="","",IF(OR(H454="Done"),"Done",IF(G454="","No Due Date",IF(G454&lt;TODAY(),"Overdue",IF(G454=TODAY(),"Due Today",IF(G454&lt;TODAY()+7,"Due This Week","Later"))))))</f>
        <v/>
      </c>
      <c r="N454" s="40" t="str">
        <f aca="false">IF(AND(C454&lt;&gt;"",H454&lt;&gt;"Done",G454&lt;&gt;""),G454+ROW()/100000,"")</f>
        <v/>
      </c>
      <c r="O454" s="37" t="str">
        <f aca="false">IF(AND(A454&lt;&gt;"",A454='Project Summary'!$C$3,H454&lt;&gt;"Done",C454&lt;&gt;""),COUNTIFS($A$2:$A454,'Project Summary'!$C$3,$H$2:$H454,"&lt;&gt;Done",$C$2:$C454,"&lt;&gt;"),"")</f>
        <v/>
      </c>
    </row>
    <row r="455" customFormat="false" ht="15" hidden="false" customHeight="false" outlineLevel="0" collapsed="false">
      <c r="A455" s="32"/>
      <c r="B455" s="32"/>
      <c r="C455" s="32"/>
      <c r="D455" s="33"/>
      <c r="E455" s="32"/>
      <c r="F455" s="32"/>
      <c r="G455" s="35"/>
      <c r="H455" s="32"/>
      <c r="I455" s="35"/>
      <c r="J455" s="35"/>
      <c r="K455" s="32"/>
      <c r="L455" s="33"/>
      <c r="M455" s="37" t="str">
        <f aca="true">IF(C455="","",IF(OR(H455="Done"),"Done",IF(G455="","No Due Date",IF(G455&lt;TODAY(),"Overdue",IF(G455=TODAY(),"Due Today",IF(G455&lt;TODAY()+7,"Due This Week","Later"))))))</f>
        <v/>
      </c>
      <c r="N455" s="40" t="str">
        <f aca="false">IF(AND(C455&lt;&gt;"",H455&lt;&gt;"Done",G455&lt;&gt;""),G455+ROW()/100000,"")</f>
        <v/>
      </c>
      <c r="O455" s="37" t="str">
        <f aca="false">IF(AND(A455&lt;&gt;"",A455='Project Summary'!$C$3,H455&lt;&gt;"Done",C455&lt;&gt;""),COUNTIFS($A$2:$A455,'Project Summary'!$C$3,$H$2:$H455,"&lt;&gt;Done",$C$2:$C455,"&lt;&gt;"),"")</f>
        <v/>
      </c>
    </row>
    <row r="456" customFormat="false" ht="15" hidden="false" customHeight="false" outlineLevel="0" collapsed="false">
      <c r="A456" s="32"/>
      <c r="B456" s="32"/>
      <c r="C456" s="32"/>
      <c r="D456" s="33"/>
      <c r="E456" s="32"/>
      <c r="F456" s="32"/>
      <c r="G456" s="35"/>
      <c r="H456" s="32"/>
      <c r="I456" s="35"/>
      <c r="J456" s="35"/>
      <c r="K456" s="32"/>
      <c r="L456" s="33"/>
      <c r="M456" s="37" t="str">
        <f aca="true">IF(C456="","",IF(OR(H456="Done"),"Done",IF(G456="","No Due Date",IF(G456&lt;TODAY(),"Overdue",IF(G456=TODAY(),"Due Today",IF(G456&lt;TODAY()+7,"Due This Week","Later"))))))</f>
        <v/>
      </c>
      <c r="N456" s="40" t="str">
        <f aca="false">IF(AND(C456&lt;&gt;"",H456&lt;&gt;"Done",G456&lt;&gt;""),G456+ROW()/100000,"")</f>
        <v/>
      </c>
      <c r="O456" s="37" t="str">
        <f aca="false">IF(AND(A456&lt;&gt;"",A456='Project Summary'!$C$3,H456&lt;&gt;"Done",C456&lt;&gt;""),COUNTIFS($A$2:$A456,'Project Summary'!$C$3,$H$2:$H456,"&lt;&gt;Done",$C$2:$C456,"&lt;&gt;"),"")</f>
        <v/>
      </c>
    </row>
    <row r="457" customFormat="false" ht="15" hidden="false" customHeight="false" outlineLevel="0" collapsed="false">
      <c r="A457" s="32"/>
      <c r="B457" s="32"/>
      <c r="C457" s="32"/>
      <c r="D457" s="33"/>
      <c r="E457" s="32"/>
      <c r="F457" s="32"/>
      <c r="G457" s="35"/>
      <c r="H457" s="32"/>
      <c r="I457" s="35"/>
      <c r="J457" s="35"/>
      <c r="K457" s="32"/>
      <c r="L457" s="33"/>
      <c r="M457" s="37" t="str">
        <f aca="true">IF(C457="","",IF(OR(H457="Done"),"Done",IF(G457="","No Due Date",IF(G457&lt;TODAY(),"Overdue",IF(G457=TODAY(),"Due Today",IF(G457&lt;TODAY()+7,"Due This Week","Later"))))))</f>
        <v/>
      </c>
      <c r="N457" s="40" t="str">
        <f aca="false">IF(AND(C457&lt;&gt;"",H457&lt;&gt;"Done",G457&lt;&gt;""),G457+ROW()/100000,"")</f>
        <v/>
      </c>
      <c r="O457" s="37" t="str">
        <f aca="false">IF(AND(A457&lt;&gt;"",A457='Project Summary'!$C$3,H457&lt;&gt;"Done",C457&lt;&gt;""),COUNTIFS($A$2:$A457,'Project Summary'!$C$3,$H$2:$H457,"&lt;&gt;Done",$C$2:$C457,"&lt;&gt;"),"")</f>
        <v/>
      </c>
    </row>
    <row r="458" customFormat="false" ht="15" hidden="false" customHeight="false" outlineLevel="0" collapsed="false">
      <c r="A458" s="32"/>
      <c r="B458" s="32"/>
      <c r="C458" s="32"/>
      <c r="D458" s="33"/>
      <c r="E458" s="32"/>
      <c r="F458" s="32"/>
      <c r="G458" s="35"/>
      <c r="H458" s="32"/>
      <c r="I458" s="35"/>
      <c r="J458" s="35"/>
      <c r="K458" s="32"/>
      <c r="L458" s="33"/>
      <c r="M458" s="37" t="str">
        <f aca="true">IF(C458="","",IF(OR(H458="Done"),"Done",IF(G458="","No Due Date",IF(G458&lt;TODAY(),"Overdue",IF(G458=TODAY(),"Due Today",IF(G458&lt;TODAY()+7,"Due This Week","Later"))))))</f>
        <v/>
      </c>
      <c r="N458" s="40" t="str">
        <f aca="false">IF(AND(C458&lt;&gt;"",H458&lt;&gt;"Done",G458&lt;&gt;""),G458+ROW()/100000,"")</f>
        <v/>
      </c>
      <c r="O458" s="37" t="str">
        <f aca="false">IF(AND(A458&lt;&gt;"",A458='Project Summary'!$C$3,H458&lt;&gt;"Done",C458&lt;&gt;""),COUNTIFS($A$2:$A458,'Project Summary'!$C$3,$H$2:$H458,"&lt;&gt;Done",$C$2:$C458,"&lt;&gt;"),"")</f>
        <v/>
      </c>
    </row>
    <row r="459" customFormat="false" ht="15" hidden="false" customHeight="false" outlineLevel="0" collapsed="false">
      <c r="A459" s="32"/>
      <c r="B459" s="32"/>
      <c r="C459" s="32"/>
      <c r="D459" s="33"/>
      <c r="E459" s="32"/>
      <c r="F459" s="32"/>
      <c r="G459" s="35"/>
      <c r="H459" s="32"/>
      <c r="I459" s="35"/>
      <c r="J459" s="35"/>
      <c r="K459" s="32"/>
      <c r="L459" s="33"/>
      <c r="M459" s="37" t="str">
        <f aca="true">IF(C459="","",IF(OR(H459="Done"),"Done",IF(G459="","No Due Date",IF(G459&lt;TODAY(),"Overdue",IF(G459=TODAY(),"Due Today",IF(G459&lt;TODAY()+7,"Due This Week","Later"))))))</f>
        <v/>
      </c>
      <c r="N459" s="40" t="str">
        <f aca="false">IF(AND(C459&lt;&gt;"",H459&lt;&gt;"Done",G459&lt;&gt;""),G459+ROW()/100000,"")</f>
        <v/>
      </c>
      <c r="O459" s="37" t="str">
        <f aca="false">IF(AND(A459&lt;&gt;"",A459='Project Summary'!$C$3,H459&lt;&gt;"Done",C459&lt;&gt;""),COUNTIFS($A$2:$A459,'Project Summary'!$C$3,$H$2:$H459,"&lt;&gt;Done",$C$2:$C459,"&lt;&gt;"),"")</f>
        <v/>
      </c>
    </row>
    <row r="460" customFormat="false" ht="15" hidden="false" customHeight="false" outlineLevel="0" collapsed="false">
      <c r="A460" s="32"/>
      <c r="B460" s="32"/>
      <c r="C460" s="32"/>
      <c r="D460" s="33"/>
      <c r="E460" s="32"/>
      <c r="F460" s="32"/>
      <c r="G460" s="35"/>
      <c r="H460" s="32"/>
      <c r="I460" s="35"/>
      <c r="J460" s="35"/>
      <c r="K460" s="32"/>
      <c r="L460" s="33"/>
      <c r="M460" s="37" t="str">
        <f aca="true">IF(C460="","",IF(OR(H460="Done"),"Done",IF(G460="","No Due Date",IF(G460&lt;TODAY(),"Overdue",IF(G460=TODAY(),"Due Today",IF(G460&lt;TODAY()+7,"Due This Week","Later"))))))</f>
        <v/>
      </c>
      <c r="N460" s="40" t="str">
        <f aca="false">IF(AND(C460&lt;&gt;"",H460&lt;&gt;"Done",G460&lt;&gt;""),G460+ROW()/100000,"")</f>
        <v/>
      </c>
      <c r="O460" s="37" t="str">
        <f aca="false">IF(AND(A460&lt;&gt;"",A460='Project Summary'!$C$3,H460&lt;&gt;"Done",C460&lt;&gt;""),COUNTIFS($A$2:$A460,'Project Summary'!$C$3,$H$2:$H460,"&lt;&gt;Done",$C$2:$C460,"&lt;&gt;"),"")</f>
        <v/>
      </c>
    </row>
    <row r="461" customFormat="false" ht="15" hidden="false" customHeight="false" outlineLevel="0" collapsed="false">
      <c r="A461" s="32"/>
      <c r="B461" s="32"/>
      <c r="C461" s="32"/>
      <c r="D461" s="33"/>
      <c r="E461" s="32"/>
      <c r="F461" s="32"/>
      <c r="G461" s="35"/>
      <c r="H461" s="32"/>
      <c r="I461" s="35"/>
      <c r="J461" s="35"/>
      <c r="K461" s="32"/>
      <c r="L461" s="33"/>
      <c r="M461" s="37" t="str">
        <f aca="true">IF(C461="","",IF(OR(H461="Done"),"Done",IF(G461="","No Due Date",IF(G461&lt;TODAY(),"Overdue",IF(G461=TODAY(),"Due Today",IF(G461&lt;TODAY()+7,"Due This Week","Later"))))))</f>
        <v/>
      </c>
      <c r="N461" s="40" t="str">
        <f aca="false">IF(AND(C461&lt;&gt;"",H461&lt;&gt;"Done",G461&lt;&gt;""),G461+ROW()/100000,"")</f>
        <v/>
      </c>
      <c r="O461" s="37" t="str">
        <f aca="false">IF(AND(A461&lt;&gt;"",A461='Project Summary'!$C$3,H461&lt;&gt;"Done",C461&lt;&gt;""),COUNTIFS($A$2:$A461,'Project Summary'!$C$3,$H$2:$H461,"&lt;&gt;Done",$C$2:$C461,"&lt;&gt;"),"")</f>
        <v/>
      </c>
    </row>
    <row r="462" customFormat="false" ht="15" hidden="false" customHeight="false" outlineLevel="0" collapsed="false">
      <c r="A462" s="32"/>
      <c r="B462" s="32"/>
      <c r="C462" s="32"/>
      <c r="D462" s="33"/>
      <c r="E462" s="32"/>
      <c r="F462" s="32"/>
      <c r="G462" s="35"/>
      <c r="H462" s="32"/>
      <c r="I462" s="35"/>
      <c r="J462" s="35"/>
      <c r="K462" s="32"/>
      <c r="L462" s="33"/>
      <c r="M462" s="37" t="str">
        <f aca="true">IF(C462="","",IF(OR(H462="Done"),"Done",IF(G462="","No Due Date",IF(G462&lt;TODAY(),"Overdue",IF(G462=TODAY(),"Due Today",IF(G462&lt;TODAY()+7,"Due This Week","Later"))))))</f>
        <v/>
      </c>
      <c r="N462" s="40" t="str">
        <f aca="false">IF(AND(C462&lt;&gt;"",H462&lt;&gt;"Done",G462&lt;&gt;""),G462+ROW()/100000,"")</f>
        <v/>
      </c>
      <c r="O462" s="37" t="str">
        <f aca="false">IF(AND(A462&lt;&gt;"",A462='Project Summary'!$C$3,H462&lt;&gt;"Done",C462&lt;&gt;""),COUNTIFS($A$2:$A462,'Project Summary'!$C$3,$H$2:$H462,"&lt;&gt;Done",$C$2:$C462,"&lt;&gt;"),"")</f>
        <v/>
      </c>
    </row>
    <row r="463" customFormat="false" ht="15" hidden="false" customHeight="false" outlineLevel="0" collapsed="false">
      <c r="A463" s="32"/>
      <c r="B463" s="32"/>
      <c r="C463" s="32"/>
      <c r="D463" s="33"/>
      <c r="E463" s="32"/>
      <c r="F463" s="32"/>
      <c r="G463" s="35"/>
      <c r="H463" s="32"/>
      <c r="I463" s="35"/>
      <c r="J463" s="35"/>
      <c r="K463" s="32"/>
      <c r="L463" s="33"/>
      <c r="M463" s="37" t="str">
        <f aca="true">IF(C463="","",IF(OR(H463="Done"),"Done",IF(G463="","No Due Date",IF(G463&lt;TODAY(),"Overdue",IF(G463=TODAY(),"Due Today",IF(G463&lt;TODAY()+7,"Due This Week","Later"))))))</f>
        <v/>
      </c>
      <c r="N463" s="40" t="str">
        <f aca="false">IF(AND(C463&lt;&gt;"",H463&lt;&gt;"Done",G463&lt;&gt;""),G463+ROW()/100000,"")</f>
        <v/>
      </c>
      <c r="O463" s="37" t="str">
        <f aca="false">IF(AND(A463&lt;&gt;"",A463='Project Summary'!$C$3,H463&lt;&gt;"Done",C463&lt;&gt;""),COUNTIFS($A$2:$A463,'Project Summary'!$C$3,$H$2:$H463,"&lt;&gt;Done",$C$2:$C463,"&lt;&gt;"),"")</f>
        <v/>
      </c>
    </row>
    <row r="464" customFormat="false" ht="15" hidden="false" customHeight="false" outlineLevel="0" collapsed="false">
      <c r="A464" s="32"/>
      <c r="B464" s="32"/>
      <c r="C464" s="32"/>
      <c r="D464" s="33"/>
      <c r="E464" s="32"/>
      <c r="F464" s="32"/>
      <c r="G464" s="35"/>
      <c r="H464" s="32"/>
      <c r="I464" s="35"/>
      <c r="J464" s="35"/>
      <c r="K464" s="32"/>
      <c r="L464" s="33"/>
      <c r="M464" s="37" t="str">
        <f aca="true">IF(C464="","",IF(OR(H464="Done"),"Done",IF(G464="","No Due Date",IF(G464&lt;TODAY(),"Overdue",IF(G464=TODAY(),"Due Today",IF(G464&lt;TODAY()+7,"Due This Week","Later"))))))</f>
        <v/>
      </c>
      <c r="N464" s="40" t="str">
        <f aca="false">IF(AND(C464&lt;&gt;"",H464&lt;&gt;"Done",G464&lt;&gt;""),G464+ROW()/100000,"")</f>
        <v/>
      </c>
      <c r="O464" s="37" t="str">
        <f aca="false">IF(AND(A464&lt;&gt;"",A464='Project Summary'!$C$3,H464&lt;&gt;"Done",C464&lt;&gt;""),COUNTIFS($A$2:$A464,'Project Summary'!$C$3,$H$2:$H464,"&lt;&gt;Done",$C$2:$C464,"&lt;&gt;"),"")</f>
        <v/>
      </c>
    </row>
    <row r="465" customFormat="false" ht="15" hidden="false" customHeight="false" outlineLevel="0" collapsed="false">
      <c r="A465" s="32"/>
      <c r="B465" s="32"/>
      <c r="C465" s="32"/>
      <c r="D465" s="33"/>
      <c r="E465" s="32"/>
      <c r="F465" s="32"/>
      <c r="G465" s="35"/>
      <c r="H465" s="32"/>
      <c r="I465" s="35"/>
      <c r="J465" s="35"/>
      <c r="K465" s="32"/>
      <c r="L465" s="33"/>
      <c r="M465" s="37" t="str">
        <f aca="true">IF(C465="","",IF(OR(H465="Done"),"Done",IF(G465="","No Due Date",IF(G465&lt;TODAY(),"Overdue",IF(G465=TODAY(),"Due Today",IF(G465&lt;TODAY()+7,"Due This Week","Later"))))))</f>
        <v/>
      </c>
      <c r="N465" s="40" t="str">
        <f aca="false">IF(AND(C465&lt;&gt;"",H465&lt;&gt;"Done",G465&lt;&gt;""),G465+ROW()/100000,"")</f>
        <v/>
      </c>
      <c r="O465" s="37" t="str">
        <f aca="false">IF(AND(A465&lt;&gt;"",A465='Project Summary'!$C$3,H465&lt;&gt;"Done",C465&lt;&gt;""),COUNTIFS($A$2:$A465,'Project Summary'!$C$3,$H$2:$H465,"&lt;&gt;Done",$C$2:$C465,"&lt;&gt;"),"")</f>
        <v/>
      </c>
    </row>
    <row r="466" customFormat="false" ht="15" hidden="false" customHeight="false" outlineLevel="0" collapsed="false">
      <c r="A466" s="32"/>
      <c r="B466" s="32"/>
      <c r="C466" s="32"/>
      <c r="D466" s="33"/>
      <c r="E466" s="32"/>
      <c r="F466" s="32"/>
      <c r="G466" s="35"/>
      <c r="H466" s="32"/>
      <c r="I466" s="35"/>
      <c r="J466" s="35"/>
      <c r="K466" s="32"/>
      <c r="L466" s="33"/>
      <c r="M466" s="37" t="str">
        <f aca="true">IF(C466="","",IF(OR(H466="Done"),"Done",IF(G466="","No Due Date",IF(G466&lt;TODAY(),"Overdue",IF(G466=TODAY(),"Due Today",IF(G466&lt;TODAY()+7,"Due This Week","Later"))))))</f>
        <v/>
      </c>
      <c r="N466" s="40" t="str">
        <f aca="false">IF(AND(C466&lt;&gt;"",H466&lt;&gt;"Done",G466&lt;&gt;""),G466+ROW()/100000,"")</f>
        <v/>
      </c>
      <c r="O466" s="37" t="str">
        <f aca="false">IF(AND(A466&lt;&gt;"",A466='Project Summary'!$C$3,H466&lt;&gt;"Done",C466&lt;&gt;""),COUNTIFS($A$2:$A466,'Project Summary'!$C$3,$H$2:$H466,"&lt;&gt;Done",$C$2:$C466,"&lt;&gt;"),"")</f>
        <v/>
      </c>
    </row>
    <row r="467" customFormat="false" ht="15" hidden="false" customHeight="false" outlineLevel="0" collapsed="false">
      <c r="A467" s="32"/>
      <c r="B467" s="32"/>
      <c r="C467" s="32"/>
      <c r="D467" s="33"/>
      <c r="E467" s="32"/>
      <c r="F467" s="32"/>
      <c r="G467" s="35"/>
      <c r="H467" s="32"/>
      <c r="I467" s="35"/>
      <c r="J467" s="35"/>
      <c r="K467" s="32"/>
      <c r="L467" s="33"/>
      <c r="M467" s="37" t="str">
        <f aca="true">IF(C467="","",IF(OR(H467="Done"),"Done",IF(G467="","No Due Date",IF(G467&lt;TODAY(),"Overdue",IF(G467=TODAY(),"Due Today",IF(G467&lt;TODAY()+7,"Due This Week","Later"))))))</f>
        <v/>
      </c>
      <c r="N467" s="40" t="str">
        <f aca="false">IF(AND(C467&lt;&gt;"",H467&lt;&gt;"Done",G467&lt;&gt;""),G467+ROW()/100000,"")</f>
        <v/>
      </c>
      <c r="O467" s="37" t="str">
        <f aca="false">IF(AND(A467&lt;&gt;"",A467='Project Summary'!$C$3,H467&lt;&gt;"Done",C467&lt;&gt;""),COUNTIFS($A$2:$A467,'Project Summary'!$C$3,$H$2:$H467,"&lt;&gt;Done",$C$2:$C467,"&lt;&gt;"),"")</f>
        <v/>
      </c>
    </row>
    <row r="468" customFormat="false" ht="15" hidden="false" customHeight="false" outlineLevel="0" collapsed="false">
      <c r="A468" s="32"/>
      <c r="B468" s="32"/>
      <c r="C468" s="32"/>
      <c r="D468" s="33"/>
      <c r="E468" s="32"/>
      <c r="F468" s="32"/>
      <c r="G468" s="35"/>
      <c r="H468" s="32"/>
      <c r="I468" s="35"/>
      <c r="J468" s="35"/>
      <c r="K468" s="32"/>
      <c r="L468" s="33"/>
      <c r="M468" s="37" t="str">
        <f aca="true">IF(C468="","",IF(OR(H468="Done"),"Done",IF(G468="","No Due Date",IF(G468&lt;TODAY(),"Overdue",IF(G468=TODAY(),"Due Today",IF(G468&lt;TODAY()+7,"Due This Week","Later"))))))</f>
        <v/>
      </c>
      <c r="N468" s="40" t="str">
        <f aca="false">IF(AND(C468&lt;&gt;"",H468&lt;&gt;"Done",G468&lt;&gt;""),G468+ROW()/100000,"")</f>
        <v/>
      </c>
      <c r="O468" s="37" t="str">
        <f aca="false">IF(AND(A468&lt;&gt;"",A468='Project Summary'!$C$3,H468&lt;&gt;"Done",C468&lt;&gt;""),COUNTIFS($A$2:$A468,'Project Summary'!$C$3,$H$2:$H468,"&lt;&gt;Done",$C$2:$C468,"&lt;&gt;"),"")</f>
        <v/>
      </c>
    </row>
    <row r="469" customFormat="false" ht="15" hidden="false" customHeight="false" outlineLevel="0" collapsed="false">
      <c r="A469" s="32"/>
      <c r="B469" s="32"/>
      <c r="C469" s="32"/>
      <c r="D469" s="33"/>
      <c r="E469" s="32"/>
      <c r="F469" s="32"/>
      <c r="G469" s="35"/>
      <c r="H469" s="32"/>
      <c r="I469" s="35"/>
      <c r="J469" s="35"/>
      <c r="K469" s="32"/>
      <c r="L469" s="33"/>
      <c r="M469" s="37" t="str">
        <f aca="true">IF(C469="","",IF(OR(H469="Done"),"Done",IF(G469="","No Due Date",IF(G469&lt;TODAY(),"Overdue",IF(G469=TODAY(),"Due Today",IF(G469&lt;TODAY()+7,"Due This Week","Later"))))))</f>
        <v/>
      </c>
      <c r="N469" s="40" t="str">
        <f aca="false">IF(AND(C469&lt;&gt;"",H469&lt;&gt;"Done",G469&lt;&gt;""),G469+ROW()/100000,"")</f>
        <v/>
      </c>
      <c r="O469" s="37" t="str">
        <f aca="false">IF(AND(A469&lt;&gt;"",A469='Project Summary'!$C$3,H469&lt;&gt;"Done",C469&lt;&gt;""),COUNTIFS($A$2:$A469,'Project Summary'!$C$3,$H$2:$H469,"&lt;&gt;Done",$C$2:$C469,"&lt;&gt;"),"")</f>
        <v/>
      </c>
    </row>
    <row r="470" customFormat="false" ht="15" hidden="false" customHeight="false" outlineLevel="0" collapsed="false">
      <c r="A470" s="32"/>
      <c r="B470" s="32"/>
      <c r="C470" s="32"/>
      <c r="D470" s="33"/>
      <c r="E470" s="32"/>
      <c r="F470" s="32"/>
      <c r="G470" s="35"/>
      <c r="H470" s="32"/>
      <c r="I470" s="35"/>
      <c r="J470" s="35"/>
      <c r="K470" s="32"/>
      <c r="L470" s="33"/>
      <c r="M470" s="37" t="str">
        <f aca="true">IF(C470="","",IF(OR(H470="Done"),"Done",IF(G470="","No Due Date",IF(G470&lt;TODAY(),"Overdue",IF(G470=TODAY(),"Due Today",IF(G470&lt;TODAY()+7,"Due This Week","Later"))))))</f>
        <v/>
      </c>
      <c r="N470" s="40" t="str">
        <f aca="false">IF(AND(C470&lt;&gt;"",H470&lt;&gt;"Done",G470&lt;&gt;""),G470+ROW()/100000,"")</f>
        <v/>
      </c>
      <c r="O470" s="37" t="str">
        <f aca="false">IF(AND(A470&lt;&gt;"",A470='Project Summary'!$C$3,H470&lt;&gt;"Done",C470&lt;&gt;""),COUNTIFS($A$2:$A470,'Project Summary'!$C$3,$H$2:$H470,"&lt;&gt;Done",$C$2:$C470,"&lt;&gt;"),"")</f>
        <v/>
      </c>
    </row>
    <row r="471" customFormat="false" ht="15" hidden="false" customHeight="false" outlineLevel="0" collapsed="false">
      <c r="A471" s="32"/>
      <c r="B471" s="32"/>
      <c r="C471" s="32"/>
      <c r="D471" s="33"/>
      <c r="E471" s="32"/>
      <c r="F471" s="32"/>
      <c r="G471" s="35"/>
      <c r="H471" s="32"/>
      <c r="I471" s="35"/>
      <c r="J471" s="35"/>
      <c r="K471" s="32"/>
      <c r="L471" s="33"/>
      <c r="M471" s="37" t="str">
        <f aca="true">IF(C471="","",IF(OR(H471="Done"),"Done",IF(G471="","No Due Date",IF(G471&lt;TODAY(),"Overdue",IF(G471=TODAY(),"Due Today",IF(G471&lt;TODAY()+7,"Due This Week","Later"))))))</f>
        <v/>
      </c>
      <c r="N471" s="40" t="str">
        <f aca="false">IF(AND(C471&lt;&gt;"",H471&lt;&gt;"Done",G471&lt;&gt;""),G471+ROW()/100000,"")</f>
        <v/>
      </c>
      <c r="O471" s="37" t="str">
        <f aca="false">IF(AND(A471&lt;&gt;"",A471='Project Summary'!$C$3,H471&lt;&gt;"Done",C471&lt;&gt;""),COUNTIFS($A$2:$A471,'Project Summary'!$C$3,$H$2:$H471,"&lt;&gt;Done",$C$2:$C471,"&lt;&gt;"),"")</f>
        <v/>
      </c>
    </row>
    <row r="472" customFormat="false" ht="15" hidden="false" customHeight="false" outlineLevel="0" collapsed="false">
      <c r="A472" s="32"/>
      <c r="B472" s="32"/>
      <c r="C472" s="32"/>
      <c r="D472" s="33"/>
      <c r="E472" s="32"/>
      <c r="F472" s="32"/>
      <c r="G472" s="35"/>
      <c r="H472" s="32"/>
      <c r="I472" s="35"/>
      <c r="J472" s="35"/>
      <c r="K472" s="32"/>
      <c r="L472" s="33"/>
      <c r="M472" s="37" t="str">
        <f aca="true">IF(C472="","",IF(OR(H472="Done"),"Done",IF(G472="","No Due Date",IF(G472&lt;TODAY(),"Overdue",IF(G472=TODAY(),"Due Today",IF(G472&lt;TODAY()+7,"Due This Week","Later"))))))</f>
        <v/>
      </c>
      <c r="N472" s="40" t="str">
        <f aca="false">IF(AND(C472&lt;&gt;"",H472&lt;&gt;"Done",G472&lt;&gt;""),G472+ROW()/100000,"")</f>
        <v/>
      </c>
      <c r="O472" s="37" t="str">
        <f aca="false">IF(AND(A472&lt;&gt;"",A472='Project Summary'!$C$3,H472&lt;&gt;"Done",C472&lt;&gt;""),COUNTIFS($A$2:$A472,'Project Summary'!$C$3,$H$2:$H472,"&lt;&gt;Done",$C$2:$C472,"&lt;&gt;"),"")</f>
        <v/>
      </c>
    </row>
    <row r="473" customFormat="false" ht="15" hidden="false" customHeight="false" outlineLevel="0" collapsed="false">
      <c r="A473" s="32"/>
      <c r="B473" s="32"/>
      <c r="C473" s="32"/>
      <c r="D473" s="33"/>
      <c r="E473" s="32"/>
      <c r="F473" s="32"/>
      <c r="G473" s="35"/>
      <c r="H473" s="32"/>
      <c r="I473" s="35"/>
      <c r="J473" s="35"/>
      <c r="K473" s="32"/>
      <c r="L473" s="33"/>
      <c r="M473" s="37" t="str">
        <f aca="true">IF(C473="","",IF(OR(H473="Done"),"Done",IF(G473="","No Due Date",IF(G473&lt;TODAY(),"Overdue",IF(G473=TODAY(),"Due Today",IF(G473&lt;TODAY()+7,"Due This Week","Later"))))))</f>
        <v/>
      </c>
      <c r="N473" s="40" t="str">
        <f aca="false">IF(AND(C473&lt;&gt;"",H473&lt;&gt;"Done",G473&lt;&gt;""),G473+ROW()/100000,"")</f>
        <v/>
      </c>
      <c r="O473" s="37" t="str">
        <f aca="false">IF(AND(A473&lt;&gt;"",A473='Project Summary'!$C$3,H473&lt;&gt;"Done",C473&lt;&gt;""),COUNTIFS($A$2:$A473,'Project Summary'!$C$3,$H$2:$H473,"&lt;&gt;Done",$C$2:$C473,"&lt;&gt;"),"")</f>
        <v/>
      </c>
    </row>
    <row r="474" customFormat="false" ht="15" hidden="false" customHeight="false" outlineLevel="0" collapsed="false">
      <c r="A474" s="32"/>
      <c r="B474" s="32"/>
      <c r="C474" s="32"/>
      <c r="D474" s="33"/>
      <c r="E474" s="32"/>
      <c r="F474" s="32"/>
      <c r="G474" s="35"/>
      <c r="H474" s="32"/>
      <c r="I474" s="35"/>
      <c r="J474" s="35"/>
      <c r="K474" s="32"/>
      <c r="L474" s="33"/>
      <c r="M474" s="37" t="str">
        <f aca="true">IF(C474="","",IF(OR(H474="Done"),"Done",IF(G474="","No Due Date",IF(G474&lt;TODAY(),"Overdue",IF(G474=TODAY(),"Due Today",IF(G474&lt;TODAY()+7,"Due This Week","Later"))))))</f>
        <v/>
      </c>
      <c r="N474" s="40" t="str">
        <f aca="false">IF(AND(C474&lt;&gt;"",H474&lt;&gt;"Done",G474&lt;&gt;""),G474+ROW()/100000,"")</f>
        <v/>
      </c>
      <c r="O474" s="37" t="str">
        <f aca="false">IF(AND(A474&lt;&gt;"",A474='Project Summary'!$C$3,H474&lt;&gt;"Done",C474&lt;&gt;""),COUNTIFS($A$2:$A474,'Project Summary'!$C$3,$H$2:$H474,"&lt;&gt;Done",$C$2:$C474,"&lt;&gt;"),"")</f>
        <v/>
      </c>
    </row>
    <row r="475" customFormat="false" ht="15" hidden="false" customHeight="false" outlineLevel="0" collapsed="false">
      <c r="A475" s="32"/>
      <c r="B475" s="32"/>
      <c r="C475" s="32"/>
      <c r="D475" s="33"/>
      <c r="E475" s="32"/>
      <c r="F475" s="32"/>
      <c r="G475" s="35"/>
      <c r="H475" s="32"/>
      <c r="I475" s="35"/>
      <c r="J475" s="35"/>
      <c r="K475" s="32"/>
      <c r="L475" s="33"/>
      <c r="M475" s="37" t="str">
        <f aca="true">IF(C475="","",IF(OR(H475="Done"),"Done",IF(G475="","No Due Date",IF(G475&lt;TODAY(),"Overdue",IF(G475=TODAY(),"Due Today",IF(G475&lt;TODAY()+7,"Due This Week","Later"))))))</f>
        <v/>
      </c>
      <c r="N475" s="40" t="str">
        <f aca="false">IF(AND(C475&lt;&gt;"",H475&lt;&gt;"Done",G475&lt;&gt;""),G475+ROW()/100000,"")</f>
        <v/>
      </c>
      <c r="O475" s="37" t="str">
        <f aca="false">IF(AND(A475&lt;&gt;"",A475='Project Summary'!$C$3,H475&lt;&gt;"Done",C475&lt;&gt;""),COUNTIFS($A$2:$A475,'Project Summary'!$C$3,$H$2:$H475,"&lt;&gt;Done",$C$2:$C475,"&lt;&gt;"),"")</f>
        <v/>
      </c>
    </row>
    <row r="476" customFormat="false" ht="15" hidden="false" customHeight="false" outlineLevel="0" collapsed="false">
      <c r="A476" s="32"/>
      <c r="B476" s="32"/>
      <c r="C476" s="32"/>
      <c r="D476" s="33"/>
      <c r="E476" s="32"/>
      <c r="F476" s="32"/>
      <c r="G476" s="35"/>
      <c r="H476" s="32"/>
      <c r="I476" s="35"/>
      <c r="J476" s="35"/>
      <c r="K476" s="32"/>
      <c r="L476" s="33"/>
      <c r="M476" s="37" t="str">
        <f aca="true">IF(C476="","",IF(OR(H476="Done"),"Done",IF(G476="","No Due Date",IF(G476&lt;TODAY(),"Overdue",IF(G476=TODAY(),"Due Today",IF(G476&lt;TODAY()+7,"Due This Week","Later"))))))</f>
        <v/>
      </c>
      <c r="N476" s="40" t="str">
        <f aca="false">IF(AND(C476&lt;&gt;"",H476&lt;&gt;"Done",G476&lt;&gt;""),G476+ROW()/100000,"")</f>
        <v/>
      </c>
      <c r="O476" s="37" t="str">
        <f aca="false">IF(AND(A476&lt;&gt;"",A476='Project Summary'!$C$3,H476&lt;&gt;"Done",C476&lt;&gt;""),COUNTIFS($A$2:$A476,'Project Summary'!$C$3,$H$2:$H476,"&lt;&gt;Done",$C$2:$C476,"&lt;&gt;"),"")</f>
        <v/>
      </c>
    </row>
    <row r="477" customFormat="false" ht="15" hidden="false" customHeight="false" outlineLevel="0" collapsed="false">
      <c r="A477" s="32"/>
      <c r="B477" s="32"/>
      <c r="C477" s="32"/>
      <c r="D477" s="33"/>
      <c r="E477" s="32"/>
      <c r="F477" s="32"/>
      <c r="G477" s="35"/>
      <c r="H477" s="32"/>
      <c r="I477" s="35"/>
      <c r="J477" s="35"/>
      <c r="K477" s="32"/>
      <c r="L477" s="33"/>
      <c r="M477" s="37" t="str">
        <f aca="true">IF(C477="","",IF(OR(H477="Done"),"Done",IF(G477="","No Due Date",IF(G477&lt;TODAY(),"Overdue",IF(G477=TODAY(),"Due Today",IF(G477&lt;TODAY()+7,"Due This Week","Later"))))))</f>
        <v/>
      </c>
      <c r="N477" s="40" t="str">
        <f aca="false">IF(AND(C477&lt;&gt;"",H477&lt;&gt;"Done",G477&lt;&gt;""),G477+ROW()/100000,"")</f>
        <v/>
      </c>
      <c r="O477" s="37" t="str">
        <f aca="false">IF(AND(A477&lt;&gt;"",A477='Project Summary'!$C$3,H477&lt;&gt;"Done",C477&lt;&gt;""),COUNTIFS($A$2:$A477,'Project Summary'!$C$3,$H$2:$H477,"&lt;&gt;Done",$C$2:$C477,"&lt;&gt;"),"")</f>
        <v/>
      </c>
    </row>
    <row r="478" customFormat="false" ht="15" hidden="false" customHeight="false" outlineLevel="0" collapsed="false">
      <c r="A478" s="32"/>
      <c r="B478" s="32"/>
      <c r="C478" s="32"/>
      <c r="D478" s="33"/>
      <c r="E478" s="32"/>
      <c r="F478" s="32"/>
      <c r="G478" s="35"/>
      <c r="H478" s="32"/>
      <c r="I478" s="35"/>
      <c r="J478" s="35"/>
      <c r="K478" s="32"/>
      <c r="L478" s="33"/>
      <c r="M478" s="37" t="str">
        <f aca="true">IF(C478="","",IF(OR(H478="Done"),"Done",IF(G478="","No Due Date",IF(G478&lt;TODAY(),"Overdue",IF(G478=TODAY(),"Due Today",IF(G478&lt;TODAY()+7,"Due This Week","Later"))))))</f>
        <v/>
      </c>
      <c r="N478" s="40" t="str">
        <f aca="false">IF(AND(C478&lt;&gt;"",H478&lt;&gt;"Done",G478&lt;&gt;""),G478+ROW()/100000,"")</f>
        <v/>
      </c>
      <c r="O478" s="37" t="str">
        <f aca="false">IF(AND(A478&lt;&gt;"",A478='Project Summary'!$C$3,H478&lt;&gt;"Done",C478&lt;&gt;""),COUNTIFS($A$2:$A478,'Project Summary'!$C$3,$H$2:$H478,"&lt;&gt;Done",$C$2:$C478,"&lt;&gt;"),"")</f>
        <v/>
      </c>
    </row>
    <row r="479" customFormat="false" ht="15" hidden="false" customHeight="false" outlineLevel="0" collapsed="false">
      <c r="A479" s="32"/>
      <c r="B479" s="32"/>
      <c r="C479" s="32"/>
      <c r="D479" s="33"/>
      <c r="E479" s="32"/>
      <c r="F479" s="32"/>
      <c r="G479" s="35"/>
      <c r="H479" s="32"/>
      <c r="I479" s="35"/>
      <c r="J479" s="35"/>
      <c r="K479" s="32"/>
      <c r="L479" s="33"/>
      <c r="M479" s="37" t="str">
        <f aca="true">IF(C479="","",IF(OR(H479="Done"),"Done",IF(G479="","No Due Date",IF(G479&lt;TODAY(),"Overdue",IF(G479=TODAY(),"Due Today",IF(G479&lt;TODAY()+7,"Due This Week","Later"))))))</f>
        <v/>
      </c>
      <c r="N479" s="40" t="str">
        <f aca="false">IF(AND(C479&lt;&gt;"",H479&lt;&gt;"Done",G479&lt;&gt;""),G479+ROW()/100000,"")</f>
        <v/>
      </c>
      <c r="O479" s="37" t="str">
        <f aca="false">IF(AND(A479&lt;&gt;"",A479='Project Summary'!$C$3,H479&lt;&gt;"Done",C479&lt;&gt;""),COUNTIFS($A$2:$A479,'Project Summary'!$C$3,$H$2:$H479,"&lt;&gt;Done",$C$2:$C479,"&lt;&gt;"),"")</f>
        <v/>
      </c>
    </row>
    <row r="480" customFormat="false" ht="15" hidden="false" customHeight="false" outlineLevel="0" collapsed="false">
      <c r="A480" s="32"/>
      <c r="B480" s="32"/>
      <c r="C480" s="32"/>
      <c r="D480" s="33"/>
      <c r="E480" s="32"/>
      <c r="F480" s="32"/>
      <c r="G480" s="35"/>
      <c r="H480" s="32"/>
      <c r="I480" s="35"/>
      <c r="J480" s="35"/>
      <c r="K480" s="32"/>
      <c r="L480" s="33"/>
      <c r="M480" s="37" t="str">
        <f aca="true">IF(C480="","",IF(OR(H480="Done"),"Done",IF(G480="","No Due Date",IF(G480&lt;TODAY(),"Overdue",IF(G480=TODAY(),"Due Today",IF(G480&lt;TODAY()+7,"Due This Week","Later"))))))</f>
        <v/>
      </c>
      <c r="N480" s="40" t="str">
        <f aca="false">IF(AND(C480&lt;&gt;"",H480&lt;&gt;"Done",G480&lt;&gt;""),G480+ROW()/100000,"")</f>
        <v/>
      </c>
      <c r="O480" s="37" t="str">
        <f aca="false">IF(AND(A480&lt;&gt;"",A480='Project Summary'!$C$3,H480&lt;&gt;"Done",C480&lt;&gt;""),COUNTIFS($A$2:$A480,'Project Summary'!$C$3,$H$2:$H480,"&lt;&gt;Done",$C$2:$C480,"&lt;&gt;"),"")</f>
        <v/>
      </c>
    </row>
    <row r="481" customFormat="false" ht="15" hidden="false" customHeight="false" outlineLevel="0" collapsed="false">
      <c r="A481" s="32"/>
      <c r="B481" s="32"/>
      <c r="C481" s="32"/>
      <c r="D481" s="33"/>
      <c r="E481" s="32"/>
      <c r="F481" s="32"/>
      <c r="G481" s="35"/>
      <c r="H481" s="32"/>
      <c r="I481" s="35"/>
      <c r="J481" s="35"/>
      <c r="K481" s="32"/>
      <c r="L481" s="33"/>
      <c r="M481" s="37" t="str">
        <f aca="true">IF(C481="","",IF(OR(H481="Done"),"Done",IF(G481="","No Due Date",IF(G481&lt;TODAY(),"Overdue",IF(G481=TODAY(),"Due Today",IF(G481&lt;TODAY()+7,"Due This Week","Later"))))))</f>
        <v/>
      </c>
      <c r="N481" s="40" t="str">
        <f aca="false">IF(AND(C481&lt;&gt;"",H481&lt;&gt;"Done",G481&lt;&gt;""),G481+ROW()/100000,"")</f>
        <v/>
      </c>
      <c r="O481" s="37" t="str">
        <f aca="false">IF(AND(A481&lt;&gt;"",A481='Project Summary'!$C$3,H481&lt;&gt;"Done",C481&lt;&gt;""),COUNTIFS($A$2:$A481,'Project Summary'!$C$3,$H$2:$H481,"&lt;&gt;Done",$C$2:$C481,"&lt;&gt;"),"")</f>
        <v/>
      </c>
    </row>
    <row r="482" customFormat="false" ht="15" hidden="false" customHeight="false" outlineLevel="0" collapsed="false">
      <c r="A482" s="32"/>
      <c r="B482" s="32"/>
      <c r="C482" s="32"/>
      <c r="D482" s="33"/>
      <c r="E482" s="32"/>
      <c r="F482" s="32"/>
      <c r="G482" s="35"/>
      <c r="H482" s="32"/>
      <c r="I482" s="35"/>
      <c r="J482" s="35"/>
      <c r="K482" s="32"/>
      <c r="L482" s="33"/>
      <c r="M482" s="37" t="str">
        <f aca="true">IF(C482="","",IF(OR(H482="Done"),"Done",IF(G482="","No Due Date",IF(G482&lt;TODAY(),"Overdue",IF(G482=TODAY(),"Due Today",IF(G482&lt;TODAY()+7,"Due This Week","Later"))))))</f>
        <v/>
      </c>
      <c r="N482" s="40" t="str">
        <f aca="false">IF(AND(C482&lt;&gt;"",H482&lt;&gt;"Done",G482&lt;&gt;""),G482+ROW()/100000,"")</f>
        <v/>
      </c>
      <c r="O482" s="37" t="str">
        <f aca="false">IF(AND(A482&lt;&gt;"",A482='Project Summary'!$C$3,H482&lt;&gt;"Done",C482&lt;&gt;""),COUNTIFS($A$2:$A482,'Project Summary'!$C$3,$H$2:$H482,"&lt;&gt;Done",$C$2:$C482,"&lt;&gt;"),"")</f>
        <v/>
      </c>
    </row>
    <row r="483" customFormat="false" ht="15" hidden="false" customHeight="false" outlineLevel="0" collapsed="false">
      <c r="A483" s="32"/>
      <c r="B483" s="32"/>
      <c r="C483" s="32"/>
      <c r="D483" s="33"/>
      <c r="E483" s="32"/>
      <c r="F483" s="32"/>
      <c r="G483" s="35"/>
      <c r="H483" s="32"/>
      <c r="I483" s="35"/>
      <c r="J483" s="35"/>
      <c r="K483" s="32"/>
      <c r="L483" s="33"/>
      <c r="M483" s="37" t="str">
        <f aca="true">IF(C483="","",IF(OR(H483="Done"),"Done",IF(G483="","No Due Date",IF(G483&lt;TODAY(),"Overdue",IF(G483=TODAY(),"Due Today",IF(G483&lt;TODAY()+7,"Due This Week","Later"))))))</f>
        <v/>
      </c>
      <c r="N483" s="40" t="str">
        <f aca="false">IF(AND(C483&lt;&gt;"",H483&lt;&gt;"Done",G483&lt;&gt;""),G483+ROW()/100000,"")</f>
        <v/>
      </c>
      <c r="O483" s="37" t="str">
        <f aca="false">IF(AND(A483&lt;&gt;"",A483='Project Summary'!$C$3,H483&lt;&gt;"Done",C483&lt;&gt;""),COUNTIFS($A$2:$A483,'Project Summary'!$C$3,$H$2:$H483,"&lt;&gt;Done",$C$2:$C483,"&lt;&gt;"),"")</f>
        <v/>
      </c>
    </row>
    <row r="484" customFormat="false" ht="15" hidden="false" customHeight="false" outlineLevel="0" collapsed="false">
      <c r="A484" s="32"/>
      <c r="B484" s="32"/>
      <c r="C484" s="32"/>
      <c r="D484" s="33"/>
      <c r="E484" s="32"/>
      <c r="F484" s="32"/>
      <c r="G484" s="35"/>
      <c r="H484" s="32"/>
      <c r="I484" s="35"/>
      <c r="J484" s="35"/>
      <c r="K484" s="32"/>
      <c r="L484" s="33"/>
      <c r="M484" s="37" t="str">
        <f aca="true">IF(C484="","",IF(OR(H484="Done"),"Done",IF(G484="","No Due Date",IF(G484&lt;TODAY(),"Overdue",IF(G484=TODAY(),"Due Today",IF(G484&lt;TODAY()+7,"Due This Week","Later"))))))</f>
        <v/>
      </c>
      <c r="N484" s="40" t="str">
        <f aca="false">IF(AND(C484&lt;&gt;"",H484&lt;&gt;"Done",G484&lt;&gt;""),G484+ROW()/100000,"")</f>
        <v/>
      </c>
      <c r="O484" s="37" t="str">
        <f aca="false">IF(AND(A484&lt;&gt;"",A484='Project Summary'!$C$3,H484&lt;&gt;"Done",C484&lt;&gt;""),COUNTIFS($A$2:$A484,'Project Summary'!$C$3,$H$2:$H484,"&lt;&gt;Done",$C$2:$C484,"&lt;&gt;"),"")</f>
        <v/>
      </c>
    </row>
    <row r="485" customFormat="false" ht="15" hidden="false" customHeight="false" outlineLevel="0" collapsed="false">
      <c r="A485" s="32"/>
      <c r="B485" s="32"/>
      <c r="C485" s="32"/>
      <c r="D485" s="33"/>
      <c r="E485" s="32"/>
      <c r="F485" s="32"/>
      <c r="G485" s="35"/>
      <c r="H485" s="32"/>
      <c r="I485" s="35"/>
      <c r="J485" s="35"/>
      <c r="K485" s="32"/>
      <c r="L485" s="33"/>
      <c r="M485" s="37" t="str">
        <f aca="true">IF(C485="","",IF(OR(H485="Done"),"Done",IF(G485="","No Due Date",IF(G485&lt;TODAY(),"Overdue",IF(G485=TODAY(),"Due Today",IF(G485&lt;TODAY()+7,"Due This Week","Later"))))))</f>
        <v/>
      </c>
      <c r="N485" s="40" t="str">
        <f aca="false">IF(AND(C485&lt;&gt;"",H485&lt;&gt;"Done",G485&lt;&gt;""),G485+ROW()/100000,"")</f>
        <v/>
      </c>
      <c r="O485" s="37" t="str">
        <f aca="false">IF(AND(A485&lt;&gt;"",A485='Project Summary'!$C$3,H485&lt;&gt;"Done",C485&lt;&gt;""),COUNTIFS($A$2:$A485,'Project Summary'!$C$3,$H$2:$H485,"&lt;&gt;Done",$C$2:$C485,"&lt;&gt;"),"")</f>
        <v/>
      </c>
    </row>
    <row r="486" customFormat="false" ht="15" hidden="false" customHeight="false" outlineLevel="0" collapsed="false">
      <c r="A486" s="32"/>
      <c r="B486" s="32"/>
      <c r="C486" s="32"/>
      <c r="D486" s="33"/>
      <c r="E486" s="32"/>
      <c r="F486" s="32"/>
      <c r="G486" s="35"/>
      <c r="H486" s="32"/>
      <c r="I486" s="35"/>
      <c r="J486" s="35"/>
      <c r="K486" s="32"/>
      <c r="L486" s="33"/>
      <c r="M486" s="37" t="str">
        <f aca="true">IF(C486="","",IF(OR(H486="Done"),"Done",IF(G486="","No Due Date",IF(G486&lt;TODAY(),"Overdue",IF(G486=TODAY(),"Due Today",IF(G486&lt;TODAY()+7,"Due This Week","Later"))))))</f>
        <v/>
      </c>
      <c r="N486" s="40" t="str">
        <f aca="false">IF(AND(C486&lt;&gt;"",H486&lt;&gt;"Done",G486&lt;&gt;""),G486+ROW()/100000,"")</f>
        <v/>
      </c>
      <c r="O486" s="37" t="str">
        <f aca="false">IF(AND(A486&lt;&gt;"",A486='Project Summary'!$C$3,H486&lt;&gt;"Done",C486&lt;&gt;""),COUNTIFS($A$2:$A486,'Project Summary'!$C$3,$H$2:$H486,"&lt;&gt;Done",$C$2:$C486,"&lt;&gt;"),"")</f>
        <v/>
      </c>
    </row>
    <row r="487" customFormat="false" ht="15" hidden="false" customHeight="false" outlineLevel="0" collapsed="false">
      <c r="A487" s="32"/>
      <c r="B487" s="32"/>
      <c r="C487" s="32"/>
      <c r="D487" s="33"/>
      <c r="E487" s="32"/>
      <c r="F487" s="32"/>
      <c r="G487" s="35"/>
      <c r="H487" s="32"/>
      <c r="I487" s="35"/>
      <c r="J487" s="35"/>
      <c r="K487" s="32"/>
      <c r="L487" s="33"/>
      <c r="M487" s="37" t="str">
        <f aca="true">IF(C487="","",IF(OR(H487="Done"),"Done",IF(G487="","No Due Date",IF(G487&lt;TODAY(),"Overdue",IF(G487=TODAY(),"Due Today",IF(G487&lt;TODAY()+7,"Due This Week","Later"))))))</f>
        <v/>
      </c>
      <c r="N487" s="40" t="str">
        <f aca="false">IF(AND(C487&lt;&gt;"",H487&lt;&gt;"Done",G487&lt;&gt;""),G487+ROW()/100000,"")</f>
        <v/>
      </c>
      <c r="O487" s="37" t="str">
        <f aca="false">IF(AND(A487&lt;&gt;"",A487='Project Summary'!$C$3,H487&lt;&gt;"Done",C487&lt;&gt;""),COUNTIFS($A$2:$A487,'Project Summary'!$C$3,$H$2:$H487,"&lt;&gt;Done",$C$2:$C487,"&lt;&gt;"),"")</f>
        <v/>
      </c>
    </row>
    <row r="488" customFormat="false" ht="15" hidden="false" customHeight="false" outlineLevel="0" collapsed="false">
      <c r="A488" s="32"/>
      <c r="B488" s="32"/>
      <c r="C488" s="32"/>
      <c r="D488" s="33"/>
      <c r="E488" s="32"/>
      <c r="F488" s="32"/>
      <c r="G488" s="35"/>
      <c r="H488" s="32"/>
      <c r="I488" s="35"/>
      <c r="J488" s="35"/>
      <c r="K488" s="32"/>
      <c r="L488" s="33"/>
      <c r="M488" s="37" t="str">
        <f aca="true">IF(C488="","",IF(OR(H488="Done"),"Done",IF(G488="","No Due Date",IF(G488&lt;TODAY(),"Overdue",IF(G488=TODAY(),"Due Today",IF(G488&lt;TODAY()+7,"Due This Week","Later"))))))</f>
        <v/>
      </c>
      <c r="N488" s="40" t="str">
        <f aca="false">IF(AND(C488&lt;&gt;"",H488&lt;&gt;"Done",G488&lt;&gt;""),G488+ROW()/100000,"")</f>
        <v/>
      </c>
      <c r="O488" s="37" t="str">
        <f aca="false">IF(AND(A488&lt;&gt;"",A488='Project Summary'!$C$3,H488&lt;&gt;"Done",C488&lt;&gt;""),COUNTIFS($A$2:$A488,'Project Summary'!$C$3,$H$2:$H488,"&lt;&gt;Done",$C$2:$C488,"&lt;&gt;"),"")</f>
        <v/>
      </c>
    </row>
    <row r="489" customFormat="false" ht="15" hidden="false" customHeight="false" outlineLevel="0" collapsed="false">
      <c r="A489" s="32"/>
      <c r="B489" s="32"/>
      <c r="C489" s="32"/>
      <c r="D489" s="33"/>
      <c r="E489" s="32"/>
      <c r="F489" s="32"/>
      <c r="G489" s="35"/>
      <c r="H489" s="32"/>
      <c r="I489" s="35"/>
      <c r="J489" s="35"/>
      <c r="K489" s="32"/>
      <c r="L489" s="33"/>
      <c r="M489" s="37" t="str">
        <f aca="true">IF(C489="","",IF(OR(H489="Done"),"Done",IF(G489="","No Due Date",IF(G489&lt;TODAY(),"Overdue",IF(G489=TODAY(),"Due Today",IF(G489&lt;TODAY()+7,"Due This Week","Later"))))))</f>
        <v/>
      </c>
      <c r="N489" s="40" t="str">
        <f aca="false">IF(AND(C489&lt;&gt;"",H489&lt;&gt;"Done",G489&lt;&gt;""),G489+ROW()/100000,"")</f>
        <v/>
      </c>
      <c r="O489" s="37" t="str">
        <f aca="false">IF(AND(A489&lt;&gt;"",A489='Project Summary'!$C$3,H489&lt;&gt;"Done",C489&lt;&gt;""),COUNTIFS($A$2:$A489,'Project Summary'!$C$3,$H$2:$H489,"&lt;&gt;Done",$C$2:$C489,"&lt;&gt;"),"")</f>
        <v/>
      </c>
    </row>
    <row r="490" customFormat="false" ht="15" hidden="false" customHeight="false" outlineLevel="0" collapsed="false">
      <c r="A490" s="32"/>
      <c r="B490" s="32"/>
      <c r="C490" s="32"/>
      <c r="D490" s="33"/>
      <c r="E490" s="32"/>
      <c r="F490" s="32"/>
      <c r="G490" s="35"/>
      <c r="H490" s="32"/>
      <c r="I490" s="35"/>
      <c r="J490" s="35"/>
      <c r="K490" s="32"/>
      <c r="L490" s="33"/>
      <c r="M490" s="37" t="str">
        <f aca="true">IF(C490="","",IF(OR(H490="Done"),"Done",IF(G490="","No Due Date",IF(G490&lt;TODAY(),"Overdue",IF(G490=TODAY(),"Due Today",IF(G490&lt;TODAY()+7,"Due This Week","Later"))))))</f>
        <v/>
      </c>
      <c r="N490" s="40" t="str">
        <f aca="false">IF(AND(C490&lt;&gt;"",H490&lt;&gt;"Done",G490&lt;&gt;""),G490+ROW()/100000,"")</f>
        <v/>
      </c>
      <c r="O490" s="37" t="str">
        <f aca="false">IF(AND(A490&lt;&gt;"",A490='Project Summary'!$C$3,H490&lt;&gt;"Done",C490&lt;&gt;""),COUNTIFS($A$2:$A490,'Project Summary'!$C$3,$H$2:$H490,"&lt;&gt;Done",$C$2:$C490,"&lt;&gt;"),"")</f>
        <v/>
      </c>
    </row>
    <row r="491" customFormat="false" ht="15" hidden="false" customHeight="false" outlineLevel="0" collapsed="false">
      <c r="A491" s="32"/>
      <c r="B491" s="32"/>
      <c r="C491" s="32"/>
      <c r="D491" s="33"/>
      <c r="E491" s="32"/>
      <c r="F491" s="32"/>
      <c r="G491" s="35"/>
      <c r="H491" s="32"/>
      <c r="I491" s="35"/>
      <c r="J491" s="35"/>
      <c r="K491" s="32"/>
      <c r="L491" s="33"/>
      <c r="M491" s="37" t="str">
        <f aca="true">IF(C491="","",IF(OR(H491="Done"),"Done",IF(G491="","No Due Date",IF(G491&lt;TODAY(),"Overdue",IF(G491=TODAY(),"Due Today",IF(G491&lt;TODAY()+7,"Due This Week","Later"))))))</f>
        <v/>
      </c>
      <c r="N491" s="40" t="str">
        <f aca="false">IF(AND(C491&lt;&gt;"",H491&lt;&gt;"Done",G491&lt;&gt;""),G491+ROW()/100000,"")</f>
        <v/>
      </c>
      <c r="O491" s="37" t="str">
        <f aca="false">IF(AND(A491&lt;&gt;"",A491='Project Summary'!$C$3,H491&lt;&gt;"Done",C491&lt;&gt;""),COUNTIFS($A$2:$A491,'Project Summary'!$C$3,$H$2:$H491,"&lt;&gt;Done",$C$2:$C491,"&lt;&gt;"),"")</f>
        <v/>
      </c>
    </row>
    <row r="492" customFormat="false" ht="15" hidden="false" customHeight="false" outlineLevel="0" collapsed="false">
      <c r="A492" s="32"/>
      <c r="B492" s="32"/>
      <c r="C492" s="32"/>
      <c r="D492" s="33"/>
      <c r="E492" s="32"/>
      <c r="F492" s="32"/>
      <c r="G492" s="35"/>
      <c r="H492" s="32"/>
      <c r="I492" s="35"/>
      <c r="J492" s="35"/>
      <c r="K492" s="32"/>
      <c r="L492" s="33"/>
      <c r="M492" s="37" t="str">
        <f aca="true">IF(C492="","",IF(OR(H492="Done"),"Done",IF(G492="","No Due Date",IF(G492&lt;TODAY(),"Overdue",IF(G492=TODAY(),"Due Today",IF(G492&lt;TODAY()+7,"Due This Week","Later"))))))</f>
        <v/>
      </c>
      <c r="N492" s="40" t="str">
        <f aca="false">IF(AND(C492&lt;&gt;"",H492&lt;&gt;"Done",G492&lt;&gt;""),G492+ROW()/100000,"")</f>
        <v/>
      </c>
      <c r="O492" s="37" t="str">
        <f aca="false">IF(AND(A492&lt;&gt;"",A492='Project Summary'!$C$3,H492&lt;&gt;"Done",C492&lt;&gt;""),COUNTIFS($A$2:$A492,'Project Summary'!$C$3,$H$2:$H492,"&lt;&gt;Done",$C$2:$C492,"&lt;&gt;"),"")</f>
        <v/>
      </c>
    </row>
    <row r="493" customFormat="false" ht="15" hidden="false" customHeight="false" outlineLevel="0" collapsed="false">
      <c r="A493" s="32"/>
      <c r="B493" s="32"/>
      <c r="C493" s="32"/>
      <c r="D493" s="33"/>
      <c r="E493" s="32"/>
      <c r="F493" s="32"/>
      <c r="G493" s="35"/>
      <c r="H493" s="32"/>
      <c r="I493" s="35"/>
      <c r="J493" s="35"/>
      <c r="K493" s="32"/>
      <c r="L493" s="33"/>
      <c r="M493" s="37" t="str">
        <f aca="true">IF(C493="","",IF(OR(H493="Done"),"Done",IF(G493="","No Due Date",IF(G493&lt;TODAY(),"Overdue",IF(G493=TODAY(),"Due Today",IF(G493&lt;TODAY()+7,"Due This Week","Later"))))))</f>
        <v/>
      </c>
      <c r="N493" s="40" t="str">
        <f aca="false">IF(AND(C493&lt;&gt;"",H493&lt;&gt;"Done",G493&lt;&gt;""),G493+ROW()/100000,"")</f>
        <v/>
      </c>
      <c r="O493" s="37" t="str">
        <f aca="false">IF(AND(A493&lt;&gt;"",A493='Project Summary'!$C$3,H493&lt;&gt;"Done",C493&lt;&gt;""),COUNTIFS($A$2:$A493,'Project Summary'!$C$3,$H$2:$H493,"&lt;&gt;Done",$C$2:$C493,"&lt;&gt;"),"")</f>
        <v/>
      </c>
    </row>
    <row r="494" customFormat="false" ht="15" hidden="false" customHeight="false" outlineLevel="0" collapsed="false">
      <c r="A494" s="32"/>
      <c r="B494" s="32"/>
      <c r="C494" s="32"/>
      <c r="D494" s="33"/>
      <c r="E494" s="32"/>
      <c r="F494" s="32"/>
      <c r="G494" s="35"/>
      <c r="H494" s="32"/>
      <c r="I494" s="35"/>
      <c r="J494" s="35"/>
      <c r="K494" s="32"/>
      <c r="L494" s="33"/>
      <c r="M494" s="37" t="str">
        <f aca="true">IF(C494="","",IF(OR(H494="Done"),"Done",IF(G494="","No Due Date",IF(G494&lt;TODAY(),"Overdue",IF(G494=TODAY(),"Due Today",IF(G494&lt;TODAY()+7,"Due This Week","Later"))))))</f>
        <v/>
      </c>
      <c r="N494" s="40" t="str">
        <f aca="false">IF(AND(C494&lt;&gt;"",H494&lt;&gt;"Done",G494&lt;&gt;""),G494+ROW()/100000,"")</f>
        <v/>
      </c>
      <c r="O494" s="37" t="str">
        <f aca="false">IF(AND(A494&lt;&gt;"",A494='Project Summary'!$C$3,H494&lt;&gt;"Done",C494&lt;&gt;""),COUNTIFS($A$2:$A494,'Project Summary'!$C$3,$H$2:$H494,"&lt;&gt;Done",$C$2:$C494,"&lt;&gt;"),"")</f>
        <v/>
      </c>
    </row>
    <row r="495" customFormat="false" ht="15" hidden="false" customHeight="false" outlineLevel="0" collapsed="false">
      <c r="A495" s="32"/>
      <c r="B495" s="32"/>
      <c r="C495" s="32"/>
      <c r="D495" s="33"/>
      <c r="E495" s="32"/>
      <c r="F495" s="32"/>
      <c r="G495" s="35"/>
      <c r="H495" s="32"/>
      <c r="I495" s="35"/>
      <c r="J495" s="35"/>
      <c r="K495" s="32"/>
      <c r="L495" s="33"/>
      <c r="M495" s="37" t="str">
        <f aca="true">IF(C495="","",IF(OR(H495="Done"),"Done",IF(G495="","No Due Date",IF(G495&lt;TODAY(),"Overdue",IF(G495=TODAY(),"Due Today",IF(G495&lt;TODAY()+7,"Due This Week","Later"))))))</f>
        <v/>
      </c>
      <c r="N495" s="40" t="str">
        <f aca="false">IF(AND(C495&lt;&gt;"",H495&lt;&gt;"Done",G495&lt;&gt;""),G495+ROW()/100000,"")</f>
        <v/>
      </c>
      <c r="O495" s="37" t="str">
        <f aca="false">IF(AND(A495&lt;&gt;"",A495='Project Summary'!$C$3,H495&lt;&gt;"Done",C495&lt;&gt;""),COUNTIFS($A$2:$A495,'Project Summary'!$C$3,$H$2:$H495,"&lt;&gt;Done",$C$2:$C495,"&lt;&gt;"),"")</f>
        <v/>
      </c>
    </row>
    <row r="496" customFormat="false" ht="15" hidden="false" customHeight="false" outlineLevel="0" collapsed="false">
      <c r="A496" s="32"/>
      <c r="B496" s="32"/>
      <c r="C496" s="32"/>
      <c r="D496" s="33"/>
      <c r="E496" s="32"/>
      <c r="F496" s="32"/>
      <c r="G496" s="35"/>
      <c r="H496" s="32"/>
      <c r="I496" s="35"/>
      <c r="J496" s="35"/>
      <c r="K496" s="32"/>
      <c r="L496" s="33"/>
      <c r="M496" s="37" t="str">
        <f aca="true">IF(C496="","",IF(OR(H496="Done"),"Done",IF(G496="","No Due Date",IF(G496&lt;TODAY(),"Overdue",IF(G496=TODAY(),"Due Today",IF(G496&lt;TODAY()+7,"Due This Week","Later"))))))</f>
        <v/>
      </c>
      <c r="N496" s="40" t="str">
        <f aca="false">IF(AND(C496&lt;&gt;"",H496&lt;&gt;"Done",G496&lt;&gt;""),G496+ROW()/100000,"")</f>
        <v/>
      </c>
      <c r="O496" s="37" t="str">
        <f aca="false">IF(AND(A496&lt;&gt;"",A496='Project Summary'!$C$3,H496&lt;&gt;"Done",C496&lt;&gt;""),COUNTIFS($A$2:$A496,'Project Summary'!$C$3,$H$2:$H496,"&lt;&gt;Done",$C$2:$C496,"&lt;&gt;"),"")</f>
        <v/>
      </c>
    </row>
    <row r="497" customFormat="false" ht="15" hidden="false" customHeight="false" outlineLevel="0" collapsed="false">
      <c r="A497" s="32"/>
      <c r="B497" s="32"/>
      <c r="C497" s="32"/>
      <c r="D497" s="33"/>
      <c r="E497" s="32"/>
      <c r="F497" s="32"/>
      <c r="G497" s="35"/>
      <c r="H497" s="32"/>
      <c r="I497" s="35"/>
      <c r="J497" s="35"/>
      <c r="K497" s="32"/>
      <c r="L497" s="33"/>
      <c r="M497" s="37" t="str">
        <f aca="true">IF(C497="","",IF(OR(H497="Done"),"Done",IF(G497="","No Due Date",IF(G497&lt;TODAY(),"Overdue",IF(G497=TODAY(),"Due Today",IF(G497&lt;TODAY()+7,"Due This Week","Later"))))))</f>
        <v/>
      </c>
      <c r="N497" s="40" t="str">
        <f aca="false">IF(AND(C497&lt;&gt;"",H497&lt;&gt;"Done",G497&lt;&gt;""),G497+ROW()/100000,"")</f>
        <v/>
      </c>
      <c r="O497" s="37" t="str">
        <f aca="false">IF(AND(A497&lt;&gt;"",A497='Project Summary'!$C$3,H497&lt;&gt;"Done",C497&lt;&gt;""),COUNTIFS($A$2:$A497,'Project Summary'!$C$3,$H$2:$H497,"&lt;&gt;Done",$C$2:$C497,"&lt;&gt;"),"")</f>
        <v/>
      </c>
    </row>
    <row r="498" customFormat="false" ht="15" hidden="false" customHeight="false" outlineLevel="0" collapsed="false">
      <c r="A498" s="32"/>
      <c r="B498" s="32"/>
      <c r="C498" s="32"/>
      <c r="D498" s="33"/>
      <c r="E498" s="32"/>
      <c r="F498" s="32"/>
      <c r="G498" s="35"/>
      <c r="H498" s="32"/>
      <c r="I498" s="35"/>
      <c r="J498" s="35"/>
      <c r="K498" s="32"/>
      <c r="L498" s="33"/>
      <c r="M498" s="37" t="str">
        <f aca="true">IF(C498="","",IF(OR(H498="Done"),"Done",IF(G498="","No Due Date",IF(G498&lt;TODAY(),"Overdue",IF(G498=TODAY(),"Due Today",IF(G498&lt;TODAY()+7,"Due This Week","Later"))))))</f>
        <v/>
      </c>
      <c r="N498" s="40" t="str">
        <f aca="false">IF(AND(C498&lt;&gt;"",H498&lt;&gt;"Done",G498&lt;&gt;""),G498+ROW()/100000,"")</f>
        <v/>
      </c>
      <c r="O498" s="37" t="str">
        <f aca="false">IF(AND(A498&lt;&gt;"",A498='Project Summary'!$C$3,H498&lt;&gt;"Done",C498&lt;&gt;""),COUNTIFS($A$2:$A498,'Project Summary'!$C$3,$H$2:$H498,"&lt;&gt;Done",$C$2:$C498,"&lt;&gt;"),"")</f>
        <v/>
      </c>
    </row>
    <row r="499" customFormat="false" ht="15" hidden="false" customHeight="false" outlineLevel="0" collapsed="false">
      <c r="A499" s="32"/>
      <c r="B499" s="32"/>
      <c r="C499" s="32"/>
      <c r="D499" s="33"/>
      <c r="E499" s="32"/>
      <c r="F499" s="32"/>
      <c r="G499" s="35"/>
      <c r="H499" s="32"/>
      <c r="I499" s="35"/>
      <c r="J499" s="35"/>
      <c r="K499" s="32"/>
      <c r="L499" s="33"/>
      <c r="M499" s="37" t="str">
        <f aca="true">IF(C499="","",IF(OR(H499="Done"),"Done",IF(G499="","No Due Date",IF(G499&lt;TODAY(),"Overdue",IF(G499=TODAY(),"Due Today",IF(G499&lt;TODAY()+7,"Due This Week","Later"))))))</f>
        <v/>
      </c>
      <c r="N499" s="40" t="str">
        <f aca="false">IF(AND(C499&lt;&gt;"",H499&lt;&gt;"Done",G499&lt;&gt;""),G499+ROW()/100000,"")</f>
        <v/>
      </c>
      <c r="O499" s="37" t="str">
        <f aca="false">IF(AND(A499&lt;&gt;"",A499='Project Summary'!$C$3,H499&lt;&gt;"Done",C499&lt;&gt;""),COUNTIFS($A$2:$A499,'Project Summary'!$C$3,$H$2:$H499,"&lt;&gt;Done",$C$2:$C499,"&lt;&gt;"),"")</f>
        <v/>
      </c>
    </row>
    <row r="500" customFormat="false" ht="15" hidden="false" customHeight="false" outlineLevel="0" collapsed="false">
      <c r="A500" s="32"/>
      <c r="B500" s="32"/>
      <c r="C500" s="32"/>
      <c r="D500" s="33"/>
      <c r="E500" s="32"/>
      <c r="F500" s="32"/>
      <c r="G500" s="35"/>
      <c r="H500" s="32"/>
      <c r="I500" s="35"/>
      <c r="J500" s="35"/>
      <c r="K500" s="32"/>
      <c r="L500" s="33"/>
      <c r="M500" s="37" t="str">
        <f aca="true">IF(C500="","",IF(OR(H500="Done"),"Done",IF(G500="","No Due Date",IF(G500&lt;TODAY(),"Overdue",IF(G500=TODAY(),"Due Today",IF(G500&lt;TODAY()+7,"Due This Week","Later"))))))</f>
        <v/>
      </c>
      <c r="N500" s="40" t="str">
        <f aca="false">IF(AND(C500&lt;&gt;"",H500&lt;&gt;"Done",G500&lt;&gt;""),G500+ROW()/100000,"")</f>
        <v/>
      </c>
      <c r="O500" s="37" t="str">
        <f aca="false">IF(AND(A500&lt;&gt;"",A500='Project Summary'!$C$3,H500&lt;&gt;"Done",C500&lt;&gt;""),COUNTIFS($A$2:$A500,'Project Summary'!$C$3,$H$2:$H500,"&lt;&gt;Done",$C$2:$C500,"&lt;&gt;"),"")</f>
        <v/>
      </c>
    </row>
    <row r="501" customFormat="false" ht="15" hidden="false" customHeight="false" outlineLevel="0" collapsed="false">
      <c r="A501" s="32"/>
      <c r="B501" s="32"/>
      <c r="C501" s="32"/>
      <c r="D501" s="33"/>
      <c r="E501" s="32"/>
      <c r="F501" s="32"/>
      <c r="G501" s="35"/>
      <c r="H501" s="32"/>
      <c r="I501" s="35"/>
      <c r="J501" s="35"/>
      <c r="K501" s="32"/>
      <c r="L501" s="33"/>
      <c r="M501" s="37" t="str">
        <f aca="true">IF(C501="","",IF(OR(H501="Done"),"Done",IF(G501="","No Due Date",IF(G501&lt;TODAY(),"Overdue",IF(G501=TODAY(),"Due Today",IF(G501&lt;TODAY()+7,"Due This Week","Later"))))))</f>
        <v/>
      </c>
      <c r="N501" s="40" t="str">
        <f aca="false">IF(AND(C501&lt;&gt;"",H501&lt;&gt;"Done",G501&lt;&gt;""),G501+ROW()/100000,"")</f>
        <v/>
      </c>
      <c r="O501" s="37" t="str">
        <f aca="false">IF(AND(A501&lt;&gt;"",A501='Project Summary'!$C$3,H501&lt;&gt;"Done",C501&lt;&gt;""),COUNTIFS($A$2:$A501,'Project Summary'!$C$3,$H$2:$H501,"&lt;&gt;Done",$C$2:$C501,"&lt;&gt;"),"")</f>
        <v/>
      </c>
    </row>
  </sheetData>
  <autoFilter ref="A1:O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conditionalFormatting sqref="M2:M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G501 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lst_ActionType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lst_ActionStatus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9" min="6" style="0" width="15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20" min="18" style="0" width="10"/>
  </cols>
  <sheetData>
    <row r="1" customFormat="false" ht="33.75" hidden="false" customHeight="true" outlineLevel="0" collapsed="false">
      <c r="A1" s="17" t="s">
        <v>110</v>
      </c>
      <c r="B1" s="17" t="s">
        <v>199</v>
      </c>
      <c r="C1" s="17" t="s">
        <v>193</v>
      </c>
      <c r="D1" s="17" t="s">
        <v>214</v>
      </c>
      <c r="E1" s="17" t="s">
        <v>232</v>
      </c>
      <c r="F1" s="17" t="s">
        <v>237</v>
      </c>
      <c r="G1" s="17" t="s">
        <v>238</v>
      </c>
      <c r="H1" s="17" t="s">
        <v>239</v>
      </c>
      <c r="I1" s="17" t="s">
        <v>240</v>
      </c>
      <c r="J1" s="17" t="s">
        <v>192</v>
      </c>
      <c r="K1" s="17" t="s">
        <v>158</v>
      </c>
      <c r="L1" s="17" t="s">
        <v>228</v>
      </c>
      <c r="M1" s="17" t="s">
        <v>111</v>
      </c>
      <c r="N1" s="31" t="s">
        <v>241</v>
      </c>
      <c r="O1" s="31" t="s">
        <v>242</v>
      </c>
      <c r="P1" s="31" t="s">
        <v>243</v>
      </c>
      <c r="Q1" s="31" t="s">
        <v>244</v>
      </c>
      <c r="R1" s="31" t="s">
        <v>132</v>
      </c>
      <c r="S1" s="31" t="s">
        <v>245</v>
      </c>
      <c r="T1" s="31" t="s">
        <v>246</v>
      </c>
    </row>
    <row r="2" customFormat="false" ht="15" hidden="false" customHeight="false" outlineLevel="0" collapsed="false">
      <c r="A2" s="32"/>
      <c r="B2" s="32"/>
      <c r="C2" s="32"/>
      <c r="D2" s="33"/>
      <c r="E2" s="32"/>
      <c r="F2" s="32"/>
      <c r="G2" s="32"/>
      <c r="H2" s="32"/>
      <c r="I2" s="32"/>
      <c r="J2" s="33"/>
      <c r="K2" s="32"/>
      <c r="L2" s="35"/>
      <c r="M2" s="32"/>
      <c r="N2" s="37" t="str">
        <f aca="false">IF(OR(C2="",F2="",G2=""),"",MATCH(F2,lst_Likelihood,0)*MATCH(G2,lst_Consequence,0))</f>
        <v/>
      </c>
      <c r="O2" s="37" t="str">
        <f aca="false">IF(N2="","",IF(N2&gt;=16,"Critical",IF(N2&gt;=10,"High",IF(N2&gt;=5,"Medium","Low"))))</f>
        <v/>
      </c>
      <c r="P2" s="37" t="str">
        <f aca="false">IF(OR(C2="",H2="",I2=""),"",MATCH(H2,lst_Likelihood,0)*MATCH(I2,lst_Consequence,0))</f>
        <v/>
      </c>
      <c r="Q2" s="37" t="str">
        <f aca="false">IF(P2="","",IF(P2&gt;=16,"Critical",IF(P2&gt;=10,"High",IF(P2&gt;=5,"Medium","Low"))))</f>
        <v/>
      </c>
      <c r="R2" s="37" t="str">
        <f aca="true">IF(AND(C2&lt;&gt;"",M2&lt;&gt;"Closed",L2&lt;&gt;"",L2&lt;TODAY()),"Overdue","")</f>
        <v/>
      </c>
      <c r="S2" s="40" t="str">
        <f aca="false">IF(AND(N2&lt;&gt;"",B2="Risk",M2&lt;&gt;"Closed"),N2+(1-ROW()/100000),"")</f>
        <v/>
      </c>
      <c r="T2" s="40" t="str">
        <f aca="false">IF(AND(S2&lt;&gt;"",A2='Project Summary'!$C$3),S2,"")</f>
        <v/>
      </c>
    </row>
    <row r="3" customFormat="false" ht="15" hidden="false" customHeight="false" outlineLevel="0" collapsed="false">
      <c r="A3" s="32"/>
      <c r="B3" s="32"/>
      <c r="C3" s="32"/>
      <c r="D3" s="33"/>
      <c r="E3" s="32"/>
      <c r="F3" s="32"/>
      <c r="G3" s="32"/>
      <c r="H3" s="32"/>
      <c r="I3" s="32"/>
      <c r="J3" s="33"/>
      <c r="K3" s="32"/>
      <c r="L3" s="35"/>
      <c r="M3" s="32"/>
      <c r="N3" s="37" t="str">
        <f aca="false">IF(OR(C3="",F3="",G3=""),"",MATCH(F3,lst_Likelihood,0)*MATCH(G3,lst_Consequence,0))</f>
        <v/>
      </c>
      <c r="O3" s="37" t="str">
        <f aca="false">IF(N3="","",IF(N3&gt;=16,"Critical",IF(N3&gt;=10,"High",IF(N3&gt;=5,"Medium","Low"))))</f>
        <v/>
      </c>
      <c r="P3" s="37" t="str">
        <f aca="false">IF(OR(C3="",H3="",I3=""),"",MATCH(H3,lst_Likelihood,0)*MATCH(I3,lst_Consequence,0))</f>
        <v/>
      </c>
      <c r="Q3" s="37" t="str">
        <f aca="false">IF(P3="","",IF(P3&gt;=16,"Critical",IF(P3&gt;=10,"High",IF(P3&gt;=5,"Medium","Low"))))</f>
        <v/>
      </c>
      <c r="R3" s="37" t="str">
        <f aca="true">IF(AND(C3&lt;&gt;"",M3&lt;&gt;"Closed",L3&lt;&gt;"",L3&lt;TODAY()),"Overdue","")</f>
        <v/>
      </c>
      <c r="S3" s="40" t="str">
        <f aca="false">IF(AND(N3&lt;&gt;"",B3="Risk",M3&lt;&gt;"Closed"),N3+(1-ROW()/100000),"")</f>
        <v/>
      </c>
      <c r="T3" s="40" t="str">
        <f aca="false">IF(AND(S3&lt;&gt;"",A3='Project Summary'!$C$3),S3,"")</f>
        <v/>
      </c>
    </row>
    <row r="4" customFormat="false" ht="15" hidden="false" customHeight="false" outlineLevel="0" collapsed="false">
      <c r="A4" s="32"/>
      <c r="B4" s="32"/>
      <c r="C4" s="32"/>
      <c r="D4" s="33"/>
      <c r="E4" s="32"/>
      <c r="F4" s="32"/>
      <c r="G4" s="32"/>
      <c r="H4" s="32"/>
      <c r="I4" s="32"/>
      <c r="J4" s="33"/>
      <c r="K4" s="32"/>
      <c r="L4" s="35"/>
      <c r="M4" s="32"/>
      <c r="N4" s="37" t="str">
        <f aca="false">IF(OR(C4="",F4="",G4=""),"",MATCH(F4,lst_Likelihood,0)*MATCH(G4,lst_Consequence,0))</f>
        <v/>
      </c>
      <c r="O4" s="37" t="str">
        <f aca="false">IF(N4="","",IF(N4&gt;=16,"Critical",IF(N4&gt;=10,"High",IF(N4&gt;=5,"Medium","Low"))))</f>
        <v/>
      </c>
      <c r="P4" s="37" t="str">
        <f aca="false">IF(OR(C4="",H4="",I4=""),"",MATCH(H4,lst_Likelihood,0)*MATCH(I4,lst_Consequence,0))</f>
        <v/>
      </c>
      <c r="Q4" s="37" t="str">
        <f aca="false">IF(P4="","",IF(P4&gt;=16,"Critical",IF(P4&gt;=10,"High",IF(P4&gt;=5,"Medium","Low"))))</f>
        <v/>
      </c>
      <c r="R4" s="37" t="str">
        <f aca="true">IF(AND(C4&lt;&gt;"",M4&lt;&gt;"Closed",L4&lt;&gt;"",L4&lt;TODAY()),"Overdue","")</f>
        <v/>
      </c>
      <c r="S4" s="40" t="str">
        <f aca="false">IF(AND(N4&lt;&gt;"",B4="Risk",M4&lt;&gt;"Closed"),N4+(1-ROW()/100000),"")</f>
        <v/>
      </c>
      <c r="T4" s="40" t="str">
        <f aca="false">IF(AND(S4&lt;&gt;"",A4='Project Summary'!$C$3),S4,"")</f>
        <v/>
      </c>
    </row>
    <row r="5" customFormat="false" ht="15" hidden="false" customHeight="false" outlineLevel="0" collapsed="false">
      <c r="A5" s="32"/>
      <c r="B5" s="32"/>
      <c r="C5" s="32"/>
      <c r="D5" s="33"/>
      <c r="E5" s="32"/>
      <c r="F5" s="32"/>
      <c r="G5" s="32"/>
      <c r="H5" s="32"/>
      <c r="I5" s="32"/>
      <c r="J5" s="33"/>
      <c r="K5" s="32"/>
      <c r="L5" s="35"/>
      <c r="M5" s="32"/>
      <c r="N5" s="37" t="str">
        <f aca="false">IF(OR(C5="",F5="",G5=""),"",MATCH(F5,lst_Likelihood,0)*MATCH(G5,lst_Consequence,0))</f>
        <v/>
      </c>
      <c r="O5" s="37" t="str">
        <f aca="false">IF(N5="","",IF(N5&gt;=16,"Critical",IF(N5&gt;=10,"High",IF(N5&gt;=5,"Medium","Low"))))</f>
        <v/>
      </c>
      <c r="P5" s="37" t="str">
        <f aca="false">IF(OR(C5="",H5="",I5=""),"",MATCH(H5,lst_Likelihood,0)*MATCH(I5,lst_Consequence,0))</f>
        <v/>
      </c>
      <c r="Q5" s="37" t="str">
        <f aca="false">IF(P5="","",IF(P5&gt;=16,"Critical",IF(P5&gt;=10,"High",IF(P5&gt;=5,"Medium","Low"))))</f>
        <v/>
      </c>
      <c r="R5" s="37" t="str">
        <f aca="true">IF(AND(C5&lt;&gt;"",M5&lt;&gt;"Closed",L5&lt;&gt;"",L5&lt;TODAY()),"Overdue","")</f>
        <v/>
      </c>
      <c r="S5" s="40" t="str">
        <f aca="false">IF(AND(N5&lt;&gt;"",B5="Risk",M5&lt;&gt;"Closed"),N5+(1-ROW()/100000),"")</f>
        <v/>
      </c>
      <c r="T5" s="40" t="str">
        <f aca="false">IF(AND(S5&lt;&gt;"",A5='Project Summary'!$C$3),S5,"")</f>
        <v/>
      </c>
    </row>
    <row r="6" customFormat="false" ht="15" hidden="false" customHeight="false" outlineLevel="0" collapsed="false">
      <c r="A6" s="32"/>
      <c r="B6" s="32"/>
      <c r="C6" s="32"/>
      <c r="D6" s="33"/>
      <c r="E6" s="32"/>
      <c r="F6" s="32"/>
      <c r="G6" s="32"/>
      <c r="H6" s="32"/>
      <c r="I6" s="32"/>
      <c r="J6" s="33"/>
      <c r="K6" s="32"/>
      <c r="L6" s="35"/>
      <c r="M6" s="32"/>
      <c r="N6" s="37" t="str">
        <f aca="false">IF(OR(C6="",F6="",G6=""),"",MATCH(F6,lst_Likelihood,0)*MATCH(G6,lst_Consequence,0))</f>
        <v/>
      </c>
      <c r="O6" s="37" t="str">
        <f aca="false">IF(N6="","",IF(N6&gt;=16,"Critical",IF(N6&gt;=10,"High",IF(N6&gt;=5,"Medium","Low"))))</f>
        <v/>
      </c>
      <c r="P6" s="37" t="str">
        <f aca="false">IF(OR(C6="",H6="",I6=""),"",MATCH(H6,lst_Likelihood,0)*MATCH(I6,lst_Consequence,0))</f>
        <v/>
      </c>
      <c r="Q6" s="37" t="str">
        <f aca="false">IF(P6="","",IF(P6&gt;=16,"Critical",IF(P6&gt;=10,"High",IF(P6&gt;=5,"Medium","Low"))))</f>
        <v/>
      </c>
      <c r="R6" s="37" t="str">
        <f aca="true">IF(AND(C6&lt;&gt;"",M6&lt;&gt;"Closed",L6&lt;&gt;"",L6&lt;TODAY()),"Overdue","")</f>
        <v/>
      </c>
      <c r="S6" s="40" t="str">
        <f aca="false">IF(AND(N6&lt;&gt;"",B6="Risk",M6&lt;&gt;"Closed"),N6+(1-ROW()/100000),"")</f>
        <v/>
      </c>
      <c r="T6" s="40" t="str">
        <f aca="false">IF(AND(S6&lt;&gt;"",A6='Project Summary'!$C$3),S6,"")</f>
        <v/>
      </c>
    </row>
    <row r="7" customFormat="false" ht="15" hidden="false" customHeight="false" outlineLevel="0" collapsed="false">
      <c r="A7" s="32"/>
      <c r="B7" s="32"/>
      <c r="C7" s="32"/>
      <c r="D7" s="33"/>
      <c r="E7" s="32"/>
      <c r="F7" s="32"/>
      <c r="G7" s="32"/>
      <c r="H7" s="32"/>
      <c r="I7" s="32"/>
      <c r="J7" s="33"/>
      <c r="K7" s="32"/>
      <c r="L7" s="35"/>
      <c r="M7" s="32"/>
      <c r="N7" s="37" t="str">
        <f aca="false">IF(OR(C7="",F7="",G7=""),"",MATCH(F7,lst_Likelihood,0)*MATCH(G7,lst_Consequence,0))</f>
        <v/>
      </c>
      <c r="O7" s="37" t="str">
        <f aca="false">IF(N7="","",IF(N7&gt;=16,"Critical",IF(N7&gt;=10,"High",IF(N7&gt;=5,"Medium","Low"))))</f>
        <v/>
      </c>
      <c r="P7" s="37" t="str">
        <f aca="false">IF(OR(C7="",H7="",I7=""),"",MATCH(H7,lst_Likelihood,0)*MATCH(I7,lst_Consequence,0))</f>
        <v/>
      </c>
      <c r="Q7" s="37" t="str">
        <f aca="false">IF(P7="","",IF(P7&gt;=16,"Critical",IF(P7&gt;=10,"High",IF(P7&gt;=5,"Medium","Low"))))</f>
        <v/>
      </c>
      <c r="R7" s="37" t="str">
        <f aca="true">IF(AND(C7&lt;&gt;"",M7&lt;&gt;"Closed",L7&lt;&gt;"",L7&lt;TODAY()),"Overdue","")</f>
        <v/>
      </c>
      <c r="S7" s="40" t="str">
        <f aca="false">IF(AND(N7&lt;&gt;"",B7="Risk",M7&lt;&gt;"Closed"),N7+(1-ROW()/100000),"")</f>
        <v/>
      </c>
      <c r="T7" s="40" t="str">
        <f aca="false">IF(AND(S7&lt;&gt;"",A7='Project Summary'!$C$3),S7,"")</f>
        <v/>
      </c>
    </row>
    <row r="8" customFormat="false" ht="15" hidden="false" customHeight="false" outlineLevel="0" collapsed="false">
      <c r="A8" s="32"/>
      <c r="B8" s="32"/>
      <c r="C8" s="32"/>
      <c r="D8" s="33"/>
      <c r="E8" s="32"/>
      <c r="F8" s="32"/>
      <c r="G8" s="32"/>
      <c r="H8" s="32"/>
      <c r="I8" s="32"/>
      <c r="J8" s="33"/>
      <c r="K8" s="32"/>
      <c r="L8" s="35"/>
      <c r="M8" s="32"/>
      <c r="N8" s="37" t="str">
        <f aca="false">IF(OR(C8="",F8="",G8=""),"",MATCH(F8,lst_Likelihood,0)*MATCH(G8,lst_Consequence,0))</f>
        <v/>
      </c>
      <c r="O8" s="37" t="str">
        <f aca="false">IF(N8="","",IF(N8&gt;=16,"Critical",IF(N8&gt;=10,"High",IF(N8&gt;=5,"Medium","Low"))))</f>
        <v/>
      </c>
      <c r="P8" s="37" t="str">
        <f aca="false">IF(OR(C8="",H8="",I8=""),"",MATCH(H8,lst_Likelihood,0)*MATCH(I8,lst_Consequence,0))</f>
        <v/>
      </c>
      <c r="Q8" s="37" t="str">
        <f aca="false">IF(P8="","",IF(P8&gt;=16,"Critical",IF(P8&gt;=10,"High",IF(P8&gt;=5,"Medium","Low"))))</f>
        <v/>
      </c>
      <c r="R8" s="37" t="str">
        <f aca="true">IF(AND(C8&lt;&gt;"",M8&lt;&gt;"Closed",L8&lt;&gt;"",L8&lt;TODAY()),"Overdue","")</f>
        <v/>
      </c>
      <c r="S8" s="40" t="str">
        <f aca="false">IF(AND(N8&lt;&gt;"",B8="Risk",M8&lt;&gt;"Closed"),N8+(1-ROW()/100000),"")</f>
        <v/>
      </c>
      <c r="T8" s="40" t="str">
        <f aca="false">IF(AND(S8&lt;&gt;"",A8='Project Summary'!$C$3),S8,"")</f>
        <v/>
      </c>
    </row>
    <row r="9" customFormat="false" ht="15" hidden="false" customHeight="false" outlineLevel="0" collapsed="false">
      <c r="A9" s="32"/>
      <c r="B9" s="32"/>
      <c r="C9" s="32"/>
      <c r="D9" s="33"/>
      <c r="E9" s="32"/>
      <c r="F9" s="32"/>
      <c r="G9" s="32"/>
      <c r="H9" s="32"/>
      <c r="I9" s="32"/>
      <c r="J9" s="33"/>
      <c r="K9" s="32"/>
      <c r="L9" s="35"/>
      <c r="M9" s="32"/>
      <c r="N9" s="37" t="str">
        <f aca="false">IF(OR(C9="",F9="",G9=""),"",MATCH(F9,lst_Likelihood,0)*MATCH(G9,lst_Consequence,0))</f>
        <v/>
      </c>
      <c r="O9" s="37" t="str">
        <f aca="false">IF(N9="","",IF(N9&gt;=16,"Critical",IF(N9&gt;=10,"High",IF(N9&gt;=5,"Medium","Low"))))</f>
        <v/>
      </c>
      <c r="P9" s="37" t="str">
        <f aca="false">IF(OR(C9="",H9="",I9=""),"",MATCH(H9,lst_Likelihood,0)*MATCH(I9,lst_Consequence,0))</f>
        <v/>
      </c>
      <c r="Q9" s="37" t="str">
        <f aca="false">IF(P9="","",IF(P9&gt;=16,"Critical",IF(P9&gt;=10,"High",IF(P9&gt;=5,"Medium","Low"))))</f>
        <v/>
      </c>
      <c r="R9" s="37" t="str">
        <f aca="true">IF(AND(C9&lt;&gt;"",M9&lt;&gt;"Closed",L9&lt;&gt;"",L9&lt;TODAY()),"Overdue","")</f>
        <v/>
      </c>
      <c r="S9" s="40" t="str">
        <f aca="false">IF(AND(N9&lt;&gt;"",B9="Risk",M9&lt;&gt;"Closed"),N9+(1-ROW()/100000),"")</f>
        <v/>
      </c>
      <c r="T9" s="40" t="str">
        <f aca="false">IF(AND(S9&lt;&gt;"",A9='Project Summary'!$C$3),S9,"")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2"/>
      <c r="G10" s="32"/>
      <c r="H10" s="32"/>
      <c r="I10" s="32"/>
      <c r="J10" s="33"/>
      <c r="K10" s="32"/>
      <c r="L10" s="35"/>
      <c r="M10" s="32"/>
      <c r="N10" s="37" t="str">
        <f aca="false">IF(OR(C10="",F10="",G10=""),"",MATCH(F10,lst_Likelihood,0)*MATCH(G10,lst_Consequence,0))</f>
        <v/>
      </c>
      <c r="O10" s="37" t="str">
        <f aca="false">IF(N10="","",IF(N10&gt;=16,"Critical",IF(N10&gt;=10,"High",IF(N10&gt;=5,"Medium","Low"))))</f>
        <v/>
      </c>
      <c r="P10" s="37" t="str">
        <f aca="false">IF(OR(C10="",H10="",I10=""),"",MATCH(H10,lst_Likelihood,0)*MATCH(I10,lst_Consequence,0))</f>
        <v/>
      </c>
      <c r="Q10" s="37" t="str">
        <f aca="false">IF(P10="","",IF(P10&gt;=16,"Critical",IF(P10&gt;=10,"High",IF(P10&gt;=5,"Medium","Low"))))</f>
        <v/>
      </c>
      <c r="R10" s="37" t="str">
        <f aca="true">IF(AND(C10&lt;&gt;"",M10&lt;&gt;"Closed",L10&lt;&gt;"",L10&lt;TODAY()),"Overdue","")</f>
        <v/>
      </c>
      <c r="S10" s="40" t="str">
        <f aca="false">IF(AND(N10&lt;&gt;"",B10="Risk",M10&lt;&gt;"Closed"),N10+(1-ROW()/100000),"")</f>
        <v/>
      </c>
      <c r="T10" s="40" t="str">
        <f aca="false">IF(AND(S10&lt;&gt;"",A10='Project Summary'!$C$3),S10,"")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2"/>
      <c r="G11" s="32"/>
      <c r="H11" s="32"/>
      <c r="I11" s="32"/>
      <c r="J11" s="33"/>
      <c r="K11" s="32"/>
      <c r="L11" s="35"/>
      <c r="M11" s="32"/>
      <c r="N11" s="37" t="str">
        <f aca="false">IF(OR(C11="",F11="",G11=""),"",MATCH(F11,lst_Likelihood,0)*MATCH(G11,lst_Consequence,0))</f>
        <v/>
      </c>
      <c r="O11" s="37" t="str">
        <f aca="false">IF(N11="","",IF(N11&gt;=16,"Critical",IF(N11&gt;=10,"High",IF(N11&gt;=5,"Medium","Low"))))</f>
        <v/>
      </c>
      <c r="P11" s="37" t="str">
        <f aca="false">IF(OR(C11="",H11="",I11=""),"",MATCH(H11,lst_Likelihood,0)*MATCH(I11,lst_Consequence,0))</f>
        <v/>
      </c>
      <c r="Q11" s="37" t="str">
        <f aca="false">IF(P11="","",IF(P11&gt;=16,"Critical",IF(P11&gt;=10,"High",IF(P11&gt;=5,"Medium","Low"))))</f>
        <v/>
      </c>
      <c r="R11" s="37" t="str">
        <f aca="true">IF(AND(C11&lt;&gt;"",M11&lt;&gt;"Closed",L11&lt;&gt;"",L11&lt;TODAY()),"Overdue","")</f>
        <v/>
      </c>
      <c r="S11" s="40" t="str">
        <f aca="false">IF(AND(N11&lt;&gt;"",B11="Risk",M11&lt;&gt;"Closed"),N11+(1-ROW()/100000),"")</f>
        <v/>
      </c>
      <c r="T11" s="40" t="str">
        <f aca="false">IF(AND(S11&lt;&gt;"",A11='Project Summary'!$C$3),S11,"")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2"/>
      <c r="G12" s="32"/>
      <c r="H12" s="32"/>
      <c r="I12" s="32"/>
      <c r="J12" s="33"/>
      <c r="K12" s="32"/>
      <c r="L12" s="35"/>
      <c r="M12" s="32"/>
      <c r="N12" s="37" t="str">
        <f aca="false">IF(OR(C12="",F12="",G12=""),"",MATCH(F12,lst_Likelihood,0)*MATCH(G12,lst_Consequence,0))</f>
        <v/>
      </c>
      <c r="O12" s="37" t="str">
        <f aca="false">IF(N12="","",IF(N12&gt;=16,"Critical",IF(N12&gt;=10,"High",IF(N12&gt;=5,"Medium","Low"))))</f>
        <v/>
      </c>
      <c r="P12" s="37" t="str">
        <f aca="false">IF(OR(C12="",H12="",I12=""),"",MATCH(H12,lst_Likelihood,0)*MATCH(I12,lst_Consequence,0))</f>
        <v/>
      </c>
      <c r="Q12" s="37" t="str">
        <f aca="false">IF(P12="","",IF(P12&gt;=16,"Critical",IF(P12&gt;=10,"High",IF(P12&gt;=5,"Medium","Low"))))</f>
        <v/>
      </c>
      <c r="R12" s="37" t="str">
        <f aca="true">IF(AND(C12&lt;&gt;"",M12&lt;&gt;"Closed",L12&lt;&gt;"",L12&lt;TODAY()),"Overdue","")</f>
        <v/>
      </c>
      <c r="S12" s="40" t="str">
        <f aca="false">IF(AND(N12&lt;&gt;"",B12="Risk",M12&lt;&gt;"Closed"),N12+(1-ROW()/100000),"")</f>
        <v/>
      </c>
      <c r="T12" s="40" t="str">
        <f aca="false">IF(AND(S12&lt;&gt;"",A12='Project Summary'!$C$3),S12,"")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2"/>
      <c r="G13" s="32"/>
      <c r="H13" s="32"/>
      <c r="I13" s="32"/>
      <c r="J13" s="33"/>
      <c r="K13" s="32"/>
      <c r="L13" s="35"/>
      <c r="M13" s="32"/>
      <c r="N13" s="37" t="str">
        <f aca="false">IF(OR(C13="",F13="",G13=""),"",MATCH(F13,lst_Likelihood,0)*MATCH(G13,lst_Consequence,0))</f>
        <v/>
      </c>
      <c r="O13" s="37" t="str">
        <f aca="false">IF(N13="","",IF(N13&gt;=16,"Critical",IF(N13&gt;=10,"High",IF(N13&gt;=5,"Medium","Low"))))</f>
        <v/>
      </c>
      <c r="P13" s="37" t="str">
        <f aca="false">IF(OR(C13="",H13="",I13=""),"",MATCH(H13,lst_Likelihood,0)*MATCH(I13,lst_Consequence,0))</f>
        <v/>
      </c>
      <c r="Q13" s="37" t="str">
        <f aca="false">IF(P13="","",IF(P13&gt;=16,"Critical",IF(P13&gt;=10,"High",IF(P13&gt;=5,"Medium","Low"))))</f>
        <v/>
      </c>
      <c r="R13" s="37" t="str">
        <f aca="true">IF(AND(C13&lt;&gt;"",M13&lt;&gt;"Closed",L13&lt;&gt;"",L13&lt;TODAY()),"Overdue","")</f>
        <v/>
      </c>
      <c r="S13" s="40" t="str">
        <f aca="false">IF(AND(N13&lt;&gt;"",B13="Risk",M13&lt;&gt;"Closed"),N13+(1-ROW()/100000),"")</f>
        <v/>
      </c>
      <c r="T13" s="40" t="str">
        <f aca="false">IF(AND(S13&lt;&gt;"",A13='Project Summary'!$C$3),S13,"")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2"/>
      <c r="G14" s="32"/>
      <c r="H14" s="32"/>
      <c r="I14" s="32"/>
      <c r="J14" s="33"/>
      <c r="K14" s="32"/>
      <c r="L14" s="35"/>
      <c r="M14" s="32"/>
      <c r="N14" s="37" t="str">
        <f aca="false">IF(OR(C14="",F14="",G14=""),"",MATCH(F14,lst_Likelihood,0)*MATCH(G14,lst_Consequence,0))</f>
        <v/>
      </c>
      <c r="O14" s="37" t="str">
        <f aca="false">IF(N14="","",IF(N14&gt;=16,"Critical",IF(N14&gt;=10,"High",IF(N14&gt;=5,"Medium","Low"))))</f>
        <v/>
      </c>
      <c r="P14" s="37" t="str">
        <f aca="false">IF(OR(C14="",H14="",I14=""),"",MATCH(H14,lst_Likelihood,0)*MATCH(I14,lst_Consequence,0))</f>
        <v/>
      </c>
      <c r="Q14" s="37" t="str">
        <f aca="false">IF(P14="","",IF(P14&gt;=16,"Critical",IF(P14&gt;=10,"High",IF(P14&gt;=5,"Medium","Low"))))</f>
        <v/>
      </c>
      <c r="R14" s="37" t="str">
        <f aca="true">IF(AND(C14&lt;&gt;"",M14&lt;&gt;"Closed",L14&lt;&gt;"",L14&lt;TODAY()),"Overdue","")</f>
        <v/>
      </c>
      <c r="S14" s="40" t="str">
        <f aca="false">IF(AND(N14&lt;&gt;"",B14="Risk",M14&lt;&gt;"Closed"),N14+(1-ROW()/100000),"")</f>
        <v/>
      </c>
      <c r="T14" s="40" t="str">
        <f aca="false">IF(AND(S14&lt;&gt;"",A14='Project Summary'!$C$3),S14,"")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2"/>
      <c r="G15" s="32"/>
      <c r="H15" s="32"/>
      <c r="I15" s="32"/>
      <c r="J15" s="33"/>
      <c r="K15" s="32"/>
      <c r="L15" s="35"/>
      <c r="M15" s="32"/>
      <c r="N15" s="37" t="str">
        <f aca="false">IF(OR(C15="",F15="",G15=""),"",MATCH(F15,lst_Likelihood,0)*MATCH(G15,lst_Consequence,0))</f>
        <v/>
      </c>
      <c r="O15" s="37" t="str">
        <f aca="false">IF(N15="","",IF(N15&gt;=16,"Critical",IF(N15&gt;=10,"High",IF(N15&gt;=5,"Medium","Low"))))</f>
        <v/>
      </c>
      <c r="P15" s="37" t="str">
        <f aca="false">IF(OR(C15="",H15="",I15=""),"",MATCH(H15,lst_Likelihood,0)*MATCH(I15,lst_Consequence,0))</f>
        <v/>
      </c>
      <c r="Q15" s="37" t="str">
        <f aca="false">IF(P15="","",IF(P15&gt;=16,"Critical",IF(P15&gt;=10,"High",IF(P15&gt;=5,"Medium","Low"))))</f>
        <v/>
      </c>
      <c r="R15" s="37" t="str">
        <f aca="true">IF(AND(C15&lt;&gt;"",M15&lt;&gt;"Closed",L15&lt;&gt;"",L15&lt;TODAY()),"Overdue","")</f>
        <v/>
      </c>
      <c r="S15" s="40" t="str">
        <f aca="false">IF(AND(N15&lt;&gt;"",B15="Risk",M15&lt;&gt;"Closed"),N15+(1-ROW()/100000),"")</f>
        <v/>
      </c>
      <c r="T15" s="40" t="str">
        <f aca="false">IF(AND(S15&lt;&gt;"",A15='Project Summary'!$C$3),S15,"")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2"/>
      <c r="G16" s="32"/>
      <c r="H16" s="32"/>
      <c r="I16" s="32"/>
      <c r="J16" s="33"/>
      <c r="K16" s="32"/>
      <c r="L16" s="35"/>
      <c r="M16" s="32"/>
      <c r="N16" s="37" t="str">
        <f aca="false">IF(OR(C16="",F16="",G16=""),"",MATCH(F16,lst_Likelihood,0)*MATCH(G16,lst_Consequence,0))</f>
        <v/>
      </c>
      <c r="O16" s="37" t="str">
        <f aca="false">IF(N16="","",IF(N16&gt;=16,"Critical",IF(N16&gt;=10,"High",IF(N16&gt;=5,"Medium","Low"))))</f>
        <v/>
      </c>
      <c r="P16" s="37" t="str">
        <f aca="false">IF(OR(C16="",H16="",I16=""),"",MATCH(H16,lst_Likelihood,0)*MATCH(I16,lst_Consequence,0))</f>
        <v/>
      </c>
      <c r="Q16" s="37" t="str">
        <f aca="false">IF(P16="","",IF(P16&gt;=16,"Critical",IF(P16&gt;=10,"High",IF(P16&gt;=5,"Medium","Low"))))</f>
        <v/>
      </c>
      <c r="R16" s="37" t="str">
        <f aca="true">IF(AND(C16&lt;&gt;"",M16&lt;&gt;"Closed",L16&lt;&gt;"",L16&lt;TODAY()),"Overdue","")</f>
        <v/>
      </c>
      <c r="S16" s="40" t="str">
        <f aca="false">IF(AND(N16&lt;&gt;"",B16="Risk",M16&lt;&gt;"Closed"),N16+(1-ROW()/100000),"")</f>
        <v/>
      </c>
      <c r="T16" s="40" t="str">
        <f aca="false">IF(AND(S16&lt;&gt;"",A16='Project Summary'!$C$3),S16,"")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2"/>
      <c r="G17" s="32"/>
      <c r="H17" s="32"/>
      <c r="I17" s="32"/>
      <c r="J17" s="33"/>
      <c r="K17" s="32"/>
      <c r="L17" s="35"/>
      <c r="M17" s="32"/>
      <c r="N17" s="37" t="str">
        <f aca="false">IF(OR(C17="",F17="",G17=""),"",MATCH(F17,lst_Likelihood,0)*MATCH(G17,lst_Consequence,0))</f>
        <v/>
      </c>
      <c r="O17" s="37" t="str">
        <f aca="false">IF(N17="","",IF(N17&gt;=16,"Critical",IF(N17&gt;=10,"High",IF(N17&gt;=5,"Medium","Low"))))</f>
        <v/>
      </c>
      <c r="P17" s="37" t="str">
        <f aca="false">IF(OR(C17="",H17="",I17=""),"",MATCH(H17,lst_Likelihood,0)*MATCH(I17,lst_Consequence,0))</f>
        <v/>
      </c>
      <c r="Q17" s="37" t="str">
        <f aca="false">IF(P17="","",IF(P17&gt;=16,"Critical",IF(P17&gt;=10,"High",IF(P17&gt;=5,"Medium","Low"))))</f>
        <v/>
      </c>
      <c r="R17" s="37" t="str">
        <f aca="true">IF(AND(C17&lt;&gt;"",M17&lt;&gt;"Closed",L17&lt;&gt;"",L17&lt;TODAY()),"Overdue","")</f>
        <v/>
      </c>
      <c r="S17" s="40" t="str">
        <f aca="false">IF(AND(N17&lt;&gt;"",B17="Risk",M17&lt;&gt;"Closed"),N17+(1-ROW()/100000),"")</f>
        <v/>
      </c>
      <c r="T17" s="40" t="str">
        <f aca="false">IF(AND(S17&lt;&gt;"",A17='Project Summary'!$C$3),S17,"")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2"/>
      <c r="G18" s="32"/>
      <c r="H18" s="32"/>
      <c r="I18" s="32"/>
      <c r="J18" s="33"/>
      <c r="K18" s="32"/>
      <c r="L18" s="35"/>
      <c r="M18" s="32"/>
      <c r="N18" s="37" t="str">
        <f aca="false">IF(OR(C18="",F18="",G18=""),"",MATCH(F18,lst_Likelihood,0)*MATCH(G18,lst_Consequence,0))</f>
        <v/>
      </c>
      <c r="O18" s="37" t="str">
        <f aca="false">IF(N18="","",IF(N18&gt;=16,"Critical",IF(N18&gt;=10,"High",IF(N18&gt;=5,"Medium","Low"))))</f>
        <v/>
      </c>
      <c r="P18" s="37" t="str">
        <f aca="false">IF(OR(C18="",H18="",I18=""),"",MATCH(H18,lst_Likelihood,0)*MATCH(I18,lst_Consequence,0))</f>
        <v/>
      </c>
      <c r="Q18" s="37" t="str">
        <f aca="false">IF(P18="","",IF(P18&gt;=16,"Critical",IF(P18&gt;=10,"High",IF(P18&gt;=5,"Medium","Low"))))</f>
        <v/>
      </c>
      <c r="R18" s="37" t="str">
        <f aca="true">IF(AND(C18&lt;&gt;"",M18&lt;&gt;"Closed",L18&lt;&gt;"",L18&lt;TODAY()),"Overdue","")</f>
        <v/>
      </c>
      <c r="S18" s="40" t="str">
        <f aca="false">IF(AND(N18&lt;&gt;"",B18="Risk",M18&lt;&gt;"Closed"),N18+(1-ROW()/100000),"")</f>
        <v/>
      </c>
      <c r="T18" s="40" t="str">
        <f aca="false">IF(AND(S18&lt;&gt;"",A18='Project Summary'!$C$3),S18,"")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2"/>
      <c r="G19" s="32"/>
      <c r="H19" s="32"/>
      <c r="I19" s="32"/>
      <c r="J19" s="33"/>
      <c r="K19" s="32"/>
      <c r="L19" s="35"/>
      <c r="M19" s="32"/>
      <c r="N19" s="37" t="str">
        <f aca="false">IF(OR(C19="",F19="",G19=""),"",MATCH(F19,lst_Likelihood,0)*MATCH(G19,lst_Consequence,0))</f>
        <v/>
      </c>
      <c r="O19" s="37" t="str">
        <f aca="false">IF(N19="","",IF(N19&gt;=16,"Critical",IF(N19&gt;=10,"High",IF(N19&gt;=5,"Medium","Low"))))</f>
        <v/>
      </c>
      <c r="P19" s="37" t="str">
        <f aca="false">IF(OR(C19="",H19="",I19=""),"",MATCH(H19,lst_Likelihood,0)*MATCH(I19,lst_Consequence,0))</f>
        <v/>
      </c>
      <c r="Q19" s="37" t="str">
        <f aca="false">IF(P19="","",IF(P19&gt;=16,"Critical",IF(P19&gt;=10,"High",IF(P19&gt;=5,"Medium","Low"))))</f>
        <v/>
      </c>
      <c r="R19" s="37" t="str">
        <f aca="true">IF(AND(C19&lt;&gt;"",M19&lt;&gt;"Closed",L19&lt;&gt;"",L19&lt;TODAY()),"Overdue","")</f>
        <v/>
      </c>
      <c r="S19" s="40" t="str">
        <f aca="false">IF(AND(N19&lt;&gt;"",B19="Risk",M19&lt;&gt;"Closed"),N19+(1-ROW()/100000),"")</f>
        <v/>
      </c>
      <c r="T19" s="40" t="str">
        <f aca="false">IF(AND(S19&lt;&gt;"",A19='Project Summary'!$C$3),S19,"")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2"/>
      <c r="G20" s="32"/>
      <c r="H20" s="32"/>
      <c r="I20" s="32"/>
      <c r="J20" s="33"/>
      <c r="K20" s="32"/>
      <c r="L20" s="35"/>
      <c r="M20" s="32"/>
      <c r="N20" s="37" t="str">
        <f aca="false">IF(OR(C20="",F20="",G20=""),"",MATCH(F20,lst_Likelihood,0)*MATCH(G20,lst_Consequence,0))</f>
        <v/>
      </c>
      <c r="O20" s="37" t="str">
        <f aca="false">IF(N20="","",IF(N20&gt;=16,"Critical",IF(N20&gt;=10,"High",IF(N20&gt;=5,"Medium","Low"))))</f>
        <v/>
      </c>
      <c r="P20" s="37" t="str">
        <f aca="false">IF(OR(C20="",H20="",I20=""),"",MATCH(H20,lst_Likelihood,0)*MATCH(I20,lst_Consequence,0))</f>
        <v/>
      </c>
      <c r="Q20" s="37" t="str">
        <f aca="false">IF(P20="","",IF(P20&gt;=16,"Critical",IF(P20&gt;=10,"High",IF(P20&gt;=5,"Medium","Low"))))</f>
        <v/>
      </c>
      <c r="R20" s="37" t="str">
        <f aca="true">IF(AND(C20&lt;&gt;"",M20&lt;&gt;"Closed",L20&lt;&gt;"",L20&lt;TODAY()),"Overdue","")</f>
        <v/>
      </c>
      <c r="S20" s="40" t="str">
        <f aca="false">IF(AND(N20&lt;&gt;"",B20="Risk",M20&lt;&gt;"Closed"),N20+(1-ROW()/100000),"")</f>
        <v/>
      </c>
      <c r="T20" s="40" t="str">
        <f aca="false">IF(AND(S20&lt;&gt;"",A20='Project Summary'!$C$3),S20,"")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2"/>
      <c r="G21" s="32"/>
      <c r="H21" s="32"/>
      <c r="I21" s="32"/>
      <c r="J21" s="33"/>
      <c r="K21" s="32"/>
      <c r="L21" s="35"/>
      <c r="M21" s="32"/>
      <c r="N21" s="37" t="str">
        <f aca="false">IF(OR(C21="",F21="",G21=""),"",MATCH(F21,lst_Likelihood,0)*MATCH(G21,lst_Consequence,0))</f>
        <v/>
      </c>
      <c r="O21" s="37" t="str">
        <f aca="false">IF(N21="","",IF(N21&gt;=16,"Critical",IF(N21&gt;=10,"High",IF(N21&gt;=5,"Medium","Low"))))</f>
        <v/>
      </c>
      <c r="P21" s="37" t="str">
        <f aca="false">IF(OR(C21="",H21="",I21=""),"",MATCH(H21,lst_Likelihood,0)*MATCH(I21,lst_Consequence,0))</f>
        <v/>
      </c>
      <c r="Q21" s="37" t="str">
        <f aca="false">IF(P21="","",IF(P21&gt;=16,"Critical",IF(P21&gt;=10,"High",IF(P21&gt;=5,"Medium","Low"))))</f>
        <v/>
      </c>
      <c r="R21" s="37" t="str">
        <f aca="true">IF(AND(C21&lt;&gt;"",M21&lt;&gt;"Closed",L21&lt;&gt;"",L21&lt;TODAY()),"Overdue","")</f>
        <v/>
      </c>
      <c r="S21" s="40" t="str">
        <f aca="false">IF(AND(N21&lt;&gt;"",B21="Risk",M21&lt;&gt;"Closed"),N21+(1-ROW()/100000),"")</f>
        <v/>
      </c>
      <c r="T21" s="40" t="str">
        <f aca="false">IF(AND(S21&lt;&gt;"",A21='Project Summary'!$C$3),S21,"")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2"/>
      <c r="G22" s="32"/>
      <c r="H22" s="32"/>
      <c r="I22" s="32"/>
      <c r="J22" s="33"/>
      <c r="K22" s="32"/>
      <c r="L22" s="35"/>
      <c r="M22" s="32"/>
      <c r="N22" s="37" t="str">
        <f aca="false">IF(OR(C22="",F22="",G22=""),"",MATCH(F22,lst_Likelihood,0)*MATCH(G22,lst_Consequence,0))</f>
        <v/>
      </c>
      <c r="O22" s="37" t="str">
        <f aca="false">IF(N22="","",IF(N22&gt;=16,"Critical",IF(N22&gt;=10,"High",IF(N22&gt;=5,"Medium","Low"))))</f>
        <v/>
      </c>
      <c r="P22" s="37" t="str">
        <f aca="false">IF(OR(C22="",H22="",I22=""),"",MATCH(H22,lst_Likelihood,0)*MATCH(I22,lst_Consequence,0))</f>
        <v/>
      </c>
      <c r="Q22" s="37" t="str">
        <f aca="false">IF(P22="","",IF(P22&gt;=16,"Critical",IF(P22&gt;=10,"High",IF(P22&gt;=5,"Medium","Low"))))</f>
        <v/>
      </c>
      <c r="R22" s="37" t="str">
        <f aca="true">IF(AND(C22&lt;&gt;"",M22&lt;&gt;"Closed",L22&lt;&gt;"",L22&lt;TODAY()),"Overdue","")</f>
        <v/>
      </c>
      <c r="S22" s="40" t="str">
        <f aca="false">IF(AND(N22&lt;&gt;"",B22="Risk",M22&lt;&gt;"Closed"),N22+(1-ROW()/100000),"")</f>
        <v/>
      </c>
      <c r="T22" s="40" t="str">
        <f aca="false">IF(AND(S22&lt;&gt;"",A22='Project Summary'!$C$3),S22,"")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2"/>
      <c r="G23" s="32"/>
      <c r="H23" s="32"/>
      <c r="I23" s="32"/>
      <c r="J23" s="33"/>
      <c r="K23" s="32"/>
      <c r="L23" s="35"/>
      <c r="M23" s="32"/>
      <c r="N23" s="37" t="str">
        <f aca="false">IF(OR(C23="",F23="",G23=""),"",MATCH(F23,lst_Likelihood,0)*MATCH(G23,lst_Consequence,0))</f>
        <v/>
      </c>
      <c r="O23" s="37" t="str">
        <f aca="false">IF(N23="","",IF(N23&gt;=16,"Critical",IF(N23&gt;=10,"High",IF(N23&gt;=5,"Medium","Low"))))</f>
        <v/>
      </c>
      <c r="P23" s="37" t="str">
        <f aca="false">IF(OR(C23="",H23="",I23=""),"",MATCH(H23,lst_Likelihood,0)*MATCH(I23,lst_Consequence,0))</f>
        <v/>
      </c>
      <c r="Q23" s="37" t="str">
        <f aca="false">IF(P23="","",IF(P23&gt;=16,"Critical",IF(P23&gt;=10,"High",IF(P23&gt;=5,"Medium","Low"))))</f>
        <v/>
      </c>
      <c r="R23" s="37" t="str">
        <f aca="true">IF(AND(C23&lt;&gt;"",M23&lt;&gt;"Closed",L23&lt;&gt;"",L23&lt;TODAY()),"Overdue","")</f>
        <v/>
      </c>
      <c r="S23" s="40" t="str">
        <f aca="false">IF(AND(N23&lt;&gt;"",B23="Risk",M23&lt;&gt;"Closed"),N23+(1-ROW()/100000),"")</f>
        <v/>
      </c>
      <c r="T23" s="40" t="str">
        <f aca="false">IF(AND(S23&lt;&gt;"",A23='Project Summary'!$C$3),S23,"")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2"/>
      <c r="G24" s="32"/>
      <c r="H24" s="32"/>
      <c r="I24" s="32"/>
      <c r="J24" s="33"/>
      <c r="K24" s="32"/>
      <c r="L24" s="35"/>
      <c r="M24" s="32"/>
      <c r="N24" s="37" t="str">
        <f aca="false">IF(OR(C24="",F24="",G24=""),"",MATCH(F24,lst_Likelihood,0)*MATCH(G24,lst_Consequence,0))</f>
        <v/>
      </c>
      <c r="O24" s="37" t="str">
        <f aca="false">IF(N24="","",IF(N24&gt;=16,"Critical",IF(N24&gt;=10,"High",IF(N24&gt;=5,"Medium","Low"))))</f>
        <v/>
      </c>
      <c r="P24" s="37" t="str">
        <f aca="false">IF(OR(C24="",H24="",I24=""),"",MATCH(H24,lst_Likelihood,0)*MATCH(I24,lst_Consequence,0))</f>
        <v/>
      </c>
      <c r="Q24" s="37" t="str">
        <f aca="false">IF(P24="","",IF(P24&gt;=16,"Critical",IF(P24&gt;=10,"High",IF(P24&gt;=5,"Medium","Low"))))</f>
        <v/>
      </c>
      <c r="R24" s="37" t="str">
        <f aca="true">IF(AND(C24&lt;&gt;"",M24&lt;&gt;"Closed",L24&lt;&gt;"",L24&lt;TODAY()),"Overdue","")</f>
        <v/>
      </c>
      <c r="S24" s="40" t="str">
        <f aca="false">IF(AND(N24&lt;&gt;"",B24="Risk",M24&lt;&gt;"Closed"),N24+(1-ROW()/100000),"")</f>
        <v/>
      </c>
      <c r="T24" s="40" t="str">
        <f aca="false">IF(AND(S24&lt;&gt;"",A24='Project Summary'!$C$3),S24,"")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2"/>
      <c r="G25" s="32"/>
      <c r="H25" s="32"/>
      <c r="I25" s="32"/>
      <c r="J25" s="33"/>
      <c r="K25" s="32"/>
      <c r="L25" s="35"/>
      <c r="M25" s="32"/>
      <c r="N25" s="37" t="str">
        <f aca="false">IF(OR(C25="",F25="",G25=""),"",MATCH(F25,lst_Likelihood,0)*MATCH(G25,lst_Consequence,0))</f>
        <v/>
      </c>
      <c r="O25" s="37" t="str">
        <f aca="false">IF(N25="","",IF(N25&gt;=16,"Critical",IF(N25&gt;=10,"High",IF(N25&gt;=5,"Medium","Low"))))</f>
        <v/>
      </c>
      <c r="P25" s="37" t="str">
        <f aca="false">IF(OR(C25="",H25="",I25=""),"",MATCH(H25,lst_Likelihood,0)*MATCH(I25,lst_Consequence,0))</f>
        <v/>
      </c>
      <c r="Q25" s="37" t="str">
        <f aca="false">IF(P25="","",IF(P25&gt;=16,"Critical",IF(P25&gt;=10,"High",IF(P25&gt;=5,"Medium","Low"))))</f>
        <v/>
      </c>
      <c r="R25" s="37" t="str">
        <f aca="true">IF(AND(C25&lt;&gt;"",M25&lt;&gt;"Closed",L25&lt;&gt;"",L25&lt;TODAY()),"Overdue","")</f>
        <v/>
      </c>
      <c r="S25" s="40" t="str">
        <f aca="false">IF(AND(N25&lt;&gt;"",B25="Risk",M25&lt;&gt;"Closed"),N25+(1-ROW()/100000),"")</f>
        <v/>
      </c>
      <c r="T25" s="40" t="str">
        <f aca="false">IF(AND(S25&lt;&gt;"",A25='Project Summary'!$C$3),S25,"")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2"/>
      <c r="G26" s="32"/>
      <c r="H26" s="32"/>
      <c r="I26" s="32"/>
      <c r="J26" s="33"/>
      <c r="K26" s="32"/>
      <c r="L26" s="35"/>
      <c r="M26" s="32"/>
      <c r="N26" s="37" t="str">
        <f aca="false">IF(OR(C26="",F26="",G26=""),"",MATCH(F26,lst_Likelihood,0)*MATCH(G26,lst_Consequence,0))</f>
        <v/>
      </c>
      <c r="O26" s="37" t="str">
        <f aca="false">IF(N26="","",IF(N26&gt;=16,"Critical",IF(N26&gt;=10,"High",IF(N26&gt;=5,"Medium","Low"))))</f>
        <v/>
      </c>
      <c r="P26" s="37" t="str">
        <f aca="false">IF(OR(C26="",H26="",I26=""),"",MATCH(H26,lst_Likelihood,0)*MATCH(I26,lst_Consequence,0))</f>
        <v/>
      </c>
      <c r="Q26" s="37" t="str">
        <f aca="false">IF(P26="","",IF(P26&gt;=16,"Critical",IF(P26&gt;=10,"High",IF(P26&gt;=5,"Medium","Low"))))</f>
        <v/>
      </c>
      <c r="R26" s="37" t="str">
        <f aca="true">IF(AND(C26&lt;&gt;"",M26&lt;&gt;"Closed",L26&lt;&gt;"",L26&lt;TODAY()),"Overdue","")</f>
        <v/>
      </c>
      <c r="S26" s="40" t="str">
        <f aca="false">IF(AND(N26&lt;&gt;"",B26="Risk",M26&lt;&gt;"Closed"),N26+(1-ROW()/100000),"")</f>
        <v/>
      </c>
      <c r="T26" s="40" t="str">
        <f aca="false">IF(AND(S26&lt;&gt;"",A26='Project Summary'!$C$3),S26,"")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2"/>
      <c r="G27" s="32"/>
      <c r="H27" s="32"/>
      <c r="I27" s="32"/>
      <c r="J27" s="33"/>
      <c r="K27" s="32"/>
      <c r="L27" s="35"/>
      <c r="M27" s="32"/>
      <c r="N27" s="37" t="str">
        <f aca="false">IF(OR(C27="",F27="",G27=""),"",MATCH(F27,lst_Likelihood,0)*MATCH(G27,lst_Consequence,0))</f>
        <v/>
      </c>
      <c r="O27" s="37" t="str">
        <f aca="false">IF(N27="","",IF(N27&gt;=16,"Critical",IF(N27&gt;=10,"High",IF(N27&gt;=5,"Medium","Low"))))</f>
        <v/>
      </c>
      <c r="P27" s="37" t="str">
        <f aca="false">IF(OR(C27="",H27="",I27=""),"",MATCH(H27,lst_Likelihood,0)*MATCH(I27,lst_Consequence,0))</f>
        <v/>
      </c>
      <c r="Q27" s="37" t="str">
        <f aca="false">IF(P27="","",IF(P27&gt;=16,"Critical",IF(P27&gt;=10,"High",IF(P27&gt;=5,"Medium","Low"))))</f>
        <v/>
      </c>
      <c r="R27" s="37" t="str">
        <f aca="true">IF(AND(C27&lt;&gt;"",M27&lt;&gt;"Closed",L27&lt;&gt;"",L27&lt;TODAY()),"Overdue","")</f>
        <v/>
      </c>
      <c r="S27" s="40" t="str">
        <f aca="false">IF(AND(N27&lt;&gt;"",B27="Risk",M27&lt;&gt;"Closed"),N27+(1-ROW()/100000),"")</f>
        <v/>
      </c>
      <c r="T27" s="40" t="str">
        <f aca="false">IF(AND(S27&lt;&gt;"",A27='Project Summary'!$C$3),S27,"")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2"/>
      <c r="G28" s="32"/>
      <c r="H28" s="32"/>
      <c r="I28" s="32"/>
      <c r="J28" s="33"/>
      <c r="K28" s="32"/>
      <c r="L28" s="35"/>
      <c r="M28" s="32"/>
      <c r="N28" s="37" t="str">
        <f aca="false">IF(OR(C28="",F28="",G28=""),"",MATCH(F28,lst_Likelihood,0)*MATCH(G28,lst_Consequence,0))</f>
        <v/>
      </c>
      <c r="O28" s="37" t="str">
        <f aca="false">IF(N28="","",IF(N28&gt;=16,"Critical",IF(N28&gt;=10,"High",IF(N28&gt;=5,"Medium","Low"))))</f>
        <v/>
      </c>
      <c r="P28" s="37" t="str">
        <f aca="false">IF(OR(C28="",H28="",I28=""),"",MATCH(H28,lst_Likelihood,0)*MATCH(I28,lst_Consequence,0))</f>
        <v/>
      </c>
      <c r="Q28" s="37" t="str">
        <f aca="false">IF(P28="","",IF(P28&gt;=16,"Critical",IF(P28&gt;=10,"High",IF(P28&gt;=5,"Medium","Low"))))</f>
        <v/>
      </c>
      <c r="R28" s="37" t="str">
        <f aca="true">IF(AND(C28&lt;&gt;"",M28&lt;&gt;"Closed",L28&lt;&gt;"",L28&lt;TODAY()),"Overdue","")</f>
        <v/>
      </c>
      <c r="S28" s="40" t="str">
        <f aca="false">IF(AND(N28&lt;&gt;"",B28="Risk",M28&lt;&gt;"Closed"),N28+(1-ROW()/100000),"")</f>
        <v/>
      </c>
      <c r="T28" s="40" t="str">
        <f aca="false">IF(AND(S28&lt;&gt;"",A28='Project Summary'!$C$3),S28,"")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2"/>
      <c r="G29" s="32"/>
      <c r="H29" s="32"/>
      <c r="I29" s="32"/>
      <c r="J29" s="33"/>
      <c r="K29" s="32"/>
      <c r="L29" s="35"/>
      <c r="M29" s="32"/>
      <c r="N29" s="37" t="str">
        <f aca="false">IF(OR(C29="",F29="",G29=""),"",MATCH(F29,lst_Likelihood,0)*MATCH(G29,lst_Consequence,0))</f>
        <v/>
      </c>
      <c r="O29" s="37" t="str">
        <f aca="false">IF(N29="","",IF(N29&gt;=16,"Critical",IF(N29&gt;=10,"High",IF(N29&gt;=5,"Medium","Low"))))</f>
        <v/>
      </c>
      <c r="P29" s="37" t="str">
        <f aca="false">IF(OR(C29="",H29="",I29=""),"",MATCH(H29,lst_Likelihood,0)*MATCH(I29,lst_Consequence,0))</f>
        <v/>
      </c>
      <c r="Q29" s="37" t="str">
        <f aca="false">IF(P29="","",IF(P29&gt;=16,"Critical",IF(P29&gt;=10,"High",IF(P29&gt;=5,"Medium","Low"))))</f>
        <v/>
      </c>
      <c r="R29" s="37" t="str">
        <f aca="true">IF(AND(C29&lt;&gt;"",M29&lt;&gt;"Closed",L29&lt;&gt;"",L29&lt;TODAY()),"Overdue","")</f>
        <v/>
      </c>
      <c r="S29" s="40" t="str">
        <f aca="false">IF(AND(N29&lt;&gt;"",B29="Risk",M29&lt;&gt;"Closed"),N29+(1-ROW()/100000),"")</f>
        <v/>
      </c>
      <c r="T29" s="40" t="str">
        <f aca="false">IF(AND(S29&lt;&gt;"",A29='Project Summary'!$C$3),S29,"")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2"/>
      <c r="G30" s="32"/>
      <c r="H30" s="32"/>
      <c r="I30" s="32"/>
      <c r="J30" s="33"/>
      <c r="K30" s="32"/>
      <c r="L30" s="35"/>
      <c r="M30" s="32"/>
      <c r="N30" s="37" t="str">
        <f aca="false">IF(OR(C30="",F30="",G30=""),"",MATCH(F30,lst_Likelihood,0)*MATCH(G30,lst_Consequence,0))</f>
        <v/>
      </c>
      <c r="O30" s="37" t="str">
        <f aca="false">IF(N30="","",IF(N30&gt;=16,"Critical",IF(N30&gt;=10,"High",IF(N30&gt;=5,"Medium","Low"))))</f>
        <v/>
      </c>
      <c r="P30" s="37" t="str">
        <f aca="false">IF(OR(C30="",H30="",I30=""),"",MATCH(H30,lst_Likelihood,0)*MATCH(I30,lst_Consequence,0))</f>
        <v/>
      </c>
      <c r="Q30" s="37" t="str">
        <f aca="false">IF(P30="","",IF(P30&gt;=16,"Critical",IF(P30&gt;=10,"High",IF(P30&gt;=5,"Medium","Low"))))</f>
        <v/>
      </c>
      <c r="R30" s="37" t="str">
        <f aca="true">IF(AND(C30&lt;&gt;"",M30&lt;&gt;"Closed",L30&lt;&gt;"",L30&lt;TODAY()),"Overdue","")</f>
        <v/>
      </c>
      <c r="S30" s="40" t="str">
        <f aca="false">IF(AND(N30&lt;&gt;"",B30="Risk",M30&lt;&gt;"Closed"),N30+(1-ROW()/100000),"")</f>
        <v/>
      </c>
      <c r="T30" s="40" t="str">
        <f aca="false">IF(AND(S30&lt;&gt;"",A30='Project Summary'!$C$3),S30,"")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2"/>
      <c r="G31" s="32"/>
      <c r="H31" s="32"/>
      <c r="I31" s="32"/>
      <c r="J31" s="33"/>
      <c r="K31" s="32"/>
      <c r="L31" s="35"/>
      <c r="M31" s="32"/>
      <c r="N31" s="37" t="str">
        <f aca="false">IF(OR(C31="",F31="",G31=""),"",MATCH(F31,lst_Likelihood,0)*MATCH(G31,lst_Consequence,0))</f>
        <v/>
      </c>
      <c r="O31" s="37" t="str">
        <f aca="false">IF(N31="","",IF(N31&gt;=16,"Critical",IF(N31&gt;=10,"High",IF(N31&gt;=5,"Medium","Low"))))</f>
        <v/>
      </c>
      <c r="P31" s="37" t="str">
        <f aca="false">IF(OR(C31="",H31="",I31=""),"",MATCH(H31,lst_Likelihood,0)*MATCH(I31,lst_Consequence,0))</f>
        <v/>
      </c>
      <c r="Q31" s="37" t="str">
        <f aca="false">IF(P31="","",IF(P31&gt;=16,"Critical",IF(P31&gt;=10,"High",IF(P31&gt;=5,"Medium","Low"))))</f>
        <v/>
      </c>
      <c r="R31" s="37" t="str">
        <f aca="true">IF(AND(C31&lt;&gt;"",M31&lt;&gt;"Closed",L31&lt;&gt;"",L31&lt;TODAY()),"Overdue","")</f>
        <v/>
      </c>
      <c r="S31" s="40" t="str">
        <f aca="false">IF(AND(N31&lt;&gt;"",B31="Risk",M31&lt;&gt;"Closed"),N31+(1-ROW()/100000),"")</f>
        <v/>
      </c>
      <c r="T31" s="40" t="str">
        <f aca="false">IF(AND(S31&lt;&gt;"",A31='Project Summary'!$C$3),S31,"")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2"/>
      <c r="G32" s="32"/>
      <c r="H32" s="32"/>
      <c r="I32" s="32"/>
      <c r="J32" s="33"/>
      <c r="K32" s="32"/>
      <c r="L32" s="35"/>
      <c r="M32" s="32"/>
      <c r="N32" s="37" t="str">
        <f aca="false">IF(OR(C32="",F32="",G32=""),"",MATCH(F32,lst_Likelihood,0)*MATCH(G32,lst_Consequence,0))</f>
        <v/>
      </c>
      <c r="O32" s="37" t="str">
        <f aca="false">IF(N32="","",IF(N32&gt;=16,"Critical",IF(N32&gt;=10,"High",IF(N32&gt;=5,"Medium","Low"))))</f>
        <v/>
      </c>
      <c r="P32" s="37" t="str">
        <f aca="false">IF(OR(C32="",H32="",I32=""),"",MATCH(H32,lst_Likelihood,0)*MATCH(I32,lst_Consequence,0))</f>
        <v/>
      </c>
      <c r="Q32" s="37" t="str">
        <f aca="false">IF(P32="","",IF(P32&gt;=16,"Critical",IF(P32&gt;=10,"High",IF(P32&gt;=5,"Medium","Low"))))</f>
        <v/>
      </c>
      <c r="R32" s="37" t="str">
        <f aca="true">IF(AND(C32&lt;&gt;"",M32&lt;&gt;"Closed",L32&lt;&gt;"",L32&lt;TODAY()),"Overdue","")</f>
        <v/>
      </c>
      <c r="S32" s="40" t="str">
        <f aca="false">IF(AND(N32&lt;&gt;"",B32="Risk",M32&lt;&gt;"Closed"),N32+(1-ROW()/100000),"")</f>
        <v/>
      </c>
      <c r="T32" s="40" t="str">
        <f aca="false">IF(AND(S32&lt;&gt;"",A32='Project Summary'!$C$3),S32,"")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2"/>
      <c r="G33" s="32"/>
      <c r="H33" s="32"/>
      <c r="I33" s="32"/>
      <c r="J33" s="33"/>
      <c r="K33" s="32"/>
      <c r="L33" s="35"/>
      <c r="M33" s="32"/>
      <c r="N33" s="37" t="str">
        <f aca="false">IF(OR(C33="",F33="",G33=""),"",MATCH(F33,lst_Likelihood,0)*MATCH(G33,lst_Consequence,0))</f>
        <v/>
      </c>
      <c r="O33" s="37" t="str">
        <f aca="false">IF(N33="","",IF(N33&gt;=16,"Critical",IF(N33&gt;=10,"High",IF(N33&gt;=5,"Medium","Low"))))</f>
        <v/>
      </c>
      <c r="P33" s="37" t="str">
        <f aca="false">IF(OR(C33="",H33="",I33=""),"",MATCH(H33,lst_Likelihood,0)*MATCH(I33,lst_Consequence,0))</f>
        <v/>
      </c>
      <c r="Q33" s="37" t="str">
        <f aca="false">IF(P33="","",IF(P33&gt;=16,"Critical",IF(P33&gt;=10,"High",IF(P33&gt;=5,"Medium","Low"))))</f>
        <v/>
      </c>
      <c r="R33" s="37" t="str">
        <f aca="true">IF(AND(C33&lt;&gt;"",M33&lt;&gt;"Closed",L33&lt;&gt;"",L33&lt;TODAY()),"Overdue","")</f>
        <v/>
      </c>
      <c r="S33" s="40" t="str">
        <f aca="false">IF(AND(N33&lt;&gt;"",B33="Risk",M33&lt;&gt;"Closed"),N33+(1-ROW()/100000),"")</f>
        <v/>
      </c>
      <c r="T33" s="40" t="str">
        <f aca="false">IF(AND(S33&lt;&gt;"",A33='Project Summary'!$C$3),S33,"")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2"/>
      <c r="G34" s="32"/>
      <c r="H34" s="32"/>
      <c r="I34" s="32"/>
      <c r="J34" s="33"/>
      <c r="K34" s="32"/>
      <c r="L34" s="35"/>
      <c r="M34" s="32"/>
      <c r="N34" s="37" t="str">
        <f aca="false">IF(OR(C34="",F34="",G34=""),"",MATCH(F34,lst_Likelihood,0)*MATCH(G34,lst_Consequence,0))</f>
        <v/>
      </c>
      <c r="O34" s="37" t="str">
        <f aca="false">IF(N34="","",IF(N34&gt;=16,"Critical",IF(N34&gt;=10,"High",IF(N34&gt;=5,"Medium","Low"))))</f>
        <v/>
      </c>
      <c r="P34" s="37" t="str">
        <f aca="false">IF(OR(C34="",H34="",I34=""),"",MATCH(H34,lst_Likelihood,0)*MATCH(I34,lst_Consequence,0))</f>
        <v/>
      </c>
      <c r="Q34" s="37" t="str">
        <f aca="false">IF(P34="","",IF(P34&gt;=16,"Critical",IF(P34&gt;=10,"High",IF(P34&gt;=5,"Medium","Low"))))</f>
        <v/>
      </c>
      <c r="R34" s="37" t="str">
        <f aca="true">IF(AND(C34&lt;&gt;"",M34&lt;&gt;"Closed",L34&lt;&gt;"",L34&lt;TODAY()),"Overdue","")</f>
        <v/>
      </c>
      <c r="S34" s="40" t="str">
        <f aca="false">IF(AND(N34&lt;&gt;"",B34="Risk",M34&lt;&gt;"Closed"),N34+(1-ROW()/100000),"")</f>
        <v/>
      </c>
      <c r="T34" s="40" t="str">
        <f aca="false">IF(AND(S34&lt;&gt;"",A34='Project Summary'!$C$3),S34,"")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2"/>
      <c r="G35" s="32"/>
      <c r="H35" s="32"/>
      <c r="I35" s="32"/>
      <c r="J35" s="33"/>
      <c r="K35" s="32"/>
      <c r="L35" s="35"/>
      <c r="M35" s="32"/>
      <c r="N35" s="37" t="str">
        <f aca="false">IF(OR(C35="",F35="",G35=""),"",MATCH(F35,lst_Likelihood,0)*MATCH(G35,lst_Consequence,0))</f>
        <v/>
      </c>
      <c r="O35" s="37" t="str">
        <f aca="false">IF(N35="","",IF(N35&gt;=16,"Critical",IF(N35&gt;=10,"High",IF(N35&gt;=5,"Medium","Low"))))</f>
        <v/>
      </c>
      <c r="P35" s="37" t="str">
        <f aca="false">IF(OR(C35="",H35="",I35=""),"",MATCH(H35,lst_Likelihood,0)*MATCH(I35,lst_Consequence,0))</f>
        <v/>
      </c>
      <c r="Q35" s="37" t="str">
        <f aca="false">IF(P35="","",IF(P35&gt;=16,"Critical",IF(P35&gt;=10,"High",IF(P35&gt;=5,"Medium","Low"))))</f>
        <v/>
      </c>
      <c r="R35" s="37" t="str">
        <f aca="true">IF(AND(C35&lt;&gt;"",M35&lt;&gt;"Closed",L35&lt;&gt;"",L35&lt;TODAY()),"Overdue","")</f>
        <v/>
      </c>
      <c r="S35" s="40" t="str">
        <f aca="false">IF(AND(N35&lt;&gt;"",B35="Risk",M35&lt;&gt;"Closed"),N35+(1-ROW()/100000),"")</f>
        <v/>
      </c>
      <c r="T35" s="40" t="str">
        <f aca="false">IF(AND(S35&lt;&gt;"",A35='Project Summary'!$C$3),S35,"")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2"/>
      <c r="G36" s="32"/>
      <c r="H36" s="32"/>
      <c r="I36" s="32"/>
      <c r="J36" s="33"/>
      <c r="K36" s="32"/>
      <c r="L36" s="35"/>
      <c r="M36" s="32"/>
      <c r="N36" s="37" t="str">
        <f aca="false">IF(OR(C36="",F36="",G36=""),"",MATCH(F36,lst_Likelihood,0)*MATCH(G36,lst_Consequence,0))</f>
        <v/>
      </c>
      <c r="O36" s="37" t="str">
        <f aca="false">IF(N36="","",IF(N36&gt;=16,"Critical",IF(N36&gt;=10,"High",IF(N36&gt;=5,"Medium","Low"))))</f>
        <v/>
      </c>
      <c r="P36" s="37" t="str">
        <f aca="false">IF(OR(C36="",H36="",I36=""),"",MATCH(H36,lst_Likelihood,0)*MATCH(I36,lst_Consequence,0))</f>
        <v/>
      </c>
      <c r="Q36" s="37" t="str">
        <f aca="false">IF(P36="","",IF(P36&gt;=16,"Critical",IF(P36&gt;=10,"High",IF(P36&gt;=5,"Medium","Low"))))</f>
        <v/>
      </c>
      <c r="R36" s="37" t="str">
        <f aca="true">IF(AND(C36&lt;&gt;"",M36&lt;&gt;"Closed",L36&lt;&gt;"",L36&lt;TODAY()),"Overdue","")</f>
        <v/>
      </c>
      <c r="S36" s="40" t="str">
        <f aca="false">IF(AND(N36&lt;&gt;"",B36="Risk",M36&lt;&gt;"Closed"),N36+(1-ROW()/100000),"")</f>
        <v/>
      </c>
      <c r="T36" s="40" t="str">
        <f aca="false">IF(AND(S36&lt;&gt;"",A36='Project Summary'!$C$3),S36,"")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2"/>
      <c r="G37" s="32"/>
      <c r="H37" s="32"/>
      <c r="I37" s="32"/>
      <c r="J37" s="33"/>
      <c r="K37" s="32"/>
      <c r="L37" s="35"/>
      <c r="M37" s="32"/>
      <c r="N37" s="37" t="str">
        <f aca="false">IF(OR(C37="",F37="",G37=""),"",MATCH(F37,lst_Likelihood,0)*MATCH(G37,lst_Consequence,0))</f>
        <v/>
      </c>
      <c r="O37" s="37" t="str">
        <f aca="false">IF(N37="","",IF(N37&gt;=16,"Critical",IF(N37&gt;=10,"High",IF(N37&gt;=5,"Medium","Low"))))</f>
        <v/>
      </c>
      <c r="P37" s="37" t="str">
        <f aca="false">IF(OR(C37="",H37="",I37=""),"",MATCH(H37,lst_Likelihood,0)*MATCH(I37,lst_Consequence,0))</f>
        <v/>
      </c>
      <c r="Q37" s="37" t="str">
        <f aca="false">IF(P37="","",IF(P37&gt;=16,"Critical",IF(P37&gt;=10,"High",IF(P37&gt;=5,"Medium","Low"))))</f>
        <v/>
      </c>
      <c r="R37" s="37" t="str">
        <f aca="true">IF(AND(C37&lt;&gt;"",M37&lt;&gt;"Closed",L37&lt;&gt;"",L37&lt;TODAY()),"Overdue","")</f>
        <v/>
      </c>
      <c r="S37" s="40" t="str">
        <f aca="false">IF(AND(N37&lt;&gt;"",B37="Risk",M37&lt;&gt;"Closed"),N37+(1-ROW()/100000),"")</f>
        <v/>
      </c>
      <c r="T37" s="40" t="str">
        <f aca="false">IF(AND(S37&lt;&gt;"",A37='Project Summary'!$C$3),S37,"")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2"/>
      <c r="G38" s="32"/>
      <c r="H38" s="32"/>
      <c r="I38" s="32"/>
      <c r="J38" s="33"/>
      <c r="K38" s="32"/>
      <c r="L38" s="35"/>
      <c r="M38" s="32"/>
      <c r="N38" s="37" t="str">
        <f aca="false">IF(OR(C38="",F38="",G38=""),"",MATCH(F38,lst_Likelihood,0)*MATCH(G38,lst_Consequence,0))</f>
        <v/>
      </c>
      <c r="O38" s="37" t="str">
        <f aca="false">IF(N38="","",IF(N38&gt;=16,"Critical",IF(N38&gt;=10,"High",IF(N38&gt;=5,"Medium","Low"))))</f>
        <v/>
      </c>
      <c r="P38" s="37" t="str">
        <f aca="false">IF(OR(C38="",H38="",I38=""),"",MATCH(H38,lst_Likelihood,0)*MATCH(I38,lst_Consequence,0))</f>
        <v/>
      </c>
      <c r="Q38" s="37" t="str">
        <f aca="false">IF(P38="","",IF(P38&gt;=16,"Critical",IF(P38&gt;=10,"High",IF(P38&gt;=5,"Medium","Low"))))</f>
        <v/>
      </c>
      <c r="R38" s="37" t="str">
        <f aca="true">IF(AND(C38&lt;&gt;"",M38&lt;&gt;"Closed",L38&lt;&gt;"",L38&lt;TODAY()),"Overdue","")</f>
        <v/>
      </c>
      <c r="S38" s="40" t="str">
        <f aca="false">IF(AND(N38&lt;&gt;"",B38="Risk",M38&lt;&gt;"Closed"),N38+(1-ROW()/100000),"")</f>
        <v/>
      </c>
      <c r="T38" s="40" t="str">
        <f aca="false">IF(AND(S38&lt;&gt;"",A38='Project Summary'!$C$3),S38,"")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2"/>
      <c r="G39" s="32"/>
      <c r="H39" s="32"/>
      <c r="I39" s="32"/>
      <c r="J39" s="33"/>
      <c r="K39" s="32"/>
      <c r="L39" s="35"/>
      <c r="M39" s="32"/>
      <c r="N39" s="37" t="str">
        <f aca="false">IF(OR(C39="",F39="",G39=""),"",MATCH(F39,lst_Likelihood,0)*MATCH(G39,lst_Consequence,0))</f>
        <v/>
      </c>
      <c r="O39" s="37" t="str">
        <f aca="false">IF(N39="","",IF(N39&gt;=16,"Critical",IF(N39&gt;=10,"High",IF(N39&gt;=5,"Medium","Low"))))</f>
        <v/>
      </c>
      <c r="P39" s="37" t="str">
        <f aca="false">IF(OR(C39="",H39="",I39=""),"",MATCH(H39,lst_Likelihood,0)*MATCH(I39,lst_Consequence,0))</f>
        <v/>
      </c>
      <c r="Q39" s="37" t="str">
        <f aca="false">IF(P39="","",IF(P39&gt;=16,"Critical",IF(P39&gt;=10,"High",IF(P39&gt;=5,"Medium","Low"))))</f>
        <v/>
      </c>
      <c r="R39" s="37" t="str">
        <f aca="true">IF(AND(C39&lt;&gt;"",M39&lt;&gt;"Closed",L39&lt;&gt;"",L39&lt;TODAY()),"Overdue","")</f>
        <v/>
      </c>
      <c r="S39" s="40" t="str">
        <f aca="false">IF(AND(N39&lt;&gt;"",B39="Risk",M39&lt;&gt;"Closed"),N39+(1-ROW()/100000),"")</f>
        <v/>
      </c>
      <c r="T39" s="40" t="str">
        <f aca="false">IF(AND(S39&lt;&gt;"",A39='Project Summary'!$C$3),S39,"")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2"/>
      <c r="G40" s="32"/>
      <c r="H40" s="32"/>
      <c r="I40" s="32"/>
      <c r="J40" s="33"/>
      <c r="K40" s="32"/>
      <c r="L40" s="35"/>
      <c r="M40" s="32"/>
      <c r="N40" s="37" t="str">
        <f aca="false">IF(OR(C40="",F40="",G40=""),"",MATCH(F40,lst_Likelihood,0)*MATCH(G40,lst_Consequence,0))</f>
        <v/>
      </c>
      <c r="O40" s="37" t="str">
        <f aca="false">IF(N40="","",IF(N40&gt;=16,"Critical",IF(N40&gt;=10,"High",IF(N40&gt;=5,"Medium","Low"))))</f>
        <v/>
      </c>
      <c r="P40" s="37" t="str">
        <f aca="false">IF(OR(C40="",H40="",I40=""),"",MATCH(H40,lst_Likelihood,0)*MATCH(I40,lst_Consequence,0))</f>
        <v/>
      </c>
      <c r="Q40" s="37" t="str">
        <f aca="false">IF(P40="","",IF(P40&gt;=16,"Critical",IF(P40&gt;=10,"High",IF(P40&gt;=5,"Medium","Low"))))</f>
        <v/>
      </c>
      <c r="R40" s="37" t="str">
        <f aca="true">IF(AND(C40&lt;&gt;"",M40&lt;&gt;"Closed",L40&lt;&gt;"",L40&lt;TODAY()),"Overdue","")</f>
        <v/>
      </c>
      <c r="S40" s="40" t="str">
        <f aca="false">IF(AND(N40&lt;&gt;"",B40="Risk",M40&lt;&gt;"Closed"),N40+(1-ROW()/100000),"")</f>
        <v/>
      </c>
      <c r="T40" s="40" t="str">
        <f aca="false">IF(AND(S40&lt;&gt;"",A40='Project Summary'!$C$3),S40,"")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2"/>
      <c r="G41" s="32"/>
      <c r="H41" s="32"/>
      <c r="I41" s="32"/>
      <c r="J41" s="33"/>
      <c r="K41" s="32"/>
      <c r="L41" s="35"/>
      <c r="M41" s="32"/>
      <c r="N41" s="37" t="str">
        <f aca="false">IF(OR(C41="",F41="",G41=""),"",MATCH(F41,lst_Likelihood,0)*MATCH(G41,lst_Consequence,0))</f>
        <v/>
      </c>
      <c r="O41" s="37" t="str">
        <f aca="false">IF(N41="","",IF(N41&gt;=16,"Critical",IF(N41&gt;=10,"High",IF(N41&gt;=5,"Medium","Low"))))</f>
        <v/>
      </c>
      <c r="P41" s="37" t="str">
        <f aca="false">IF(OR(C41="",H41="",I41=""),"",MATCH(H41,lst_Likelihood,0)*MATCH(I41,lst_Consequence,0))</f>
        <v/>
      </c>
      <c r="Q41" s="37" t="str">
        <f aca="false">IF(P41="","",IF(P41&gt;=16,"Critical",IF(P41&gt;=10,"High",IF(P41&gt;=5,"Medium","Low"))))</f>
        <v/>
      </c>
      <c r="R41" s="37" t="str">
        <f aca="true">IF(AND(C41&lt;&gt;"",M41&lt;&gt;"Closed",L41&lt;&gt;"",L41&lt;TODAY()),"Overdue","")</f>
        <v/>
      </c>
      <c r="S41" s="40" t="str">
        <f aca="false">IF(AND(N41&lt;&gt;"",B41="Risk",M41&lt;&gt;"Closed"),N41+(1-ROW()/100000),"")</f>
        <v/>
      </c>
      <c r="T41" s="40" t="str">
        <f aca="false">IF(AND(S41&lt;&gt;"",A41='Project Summary'!$C$3),S41,"")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2"/>
      <c r="G42" s="32"/>
      <c r="H42" s="32"/>
      <c r="I42" s="32"/>
      <c r="J42" s="33"/>
      <c r="K42" s="32"/>
      <c r="L42" s="35"/>
      <c r="M42" s="32"/>
      <c r="N42" s="37" t="str">
        <f aca="false">IF(OR(C42="",F42="",G42=""),"",MATCH(F42,lst_Likelihood,0)*MATCH(G42,lst_Consequence,0))</f>
        <v/>
      </c>
      <c r="O42" s="37" t="str">
        <f aca="false">IF(N42="","",IF(N42&gt;=16,"Critical",IF(N42&gt;=10,"High",IF(N42&gt;=5,"Medium","Low"))))</f>
        <v/>
      </c>
      <c r="P42" s="37" t="str">
        <f aca="false">IF(OR(C42="",H42="",I42=""),"",MATCH(H42,lst_Likelihood,0)*MATCH(I42,lst_Consequence,0))</f>
        <v/>
      </c>
      <c r="Q42" s="37" t="str">
        <f aca="false">IF(P42="","",IF(P42&gt;=16,"Critical",IF(P42&gt;=10,"High",IF(P42&gt;=5,"Medium","Low"))))</f>
        <v/>
      </c>
      <c r="R42" s="37" t="str">
        <f aca="true">IF(AND(C42&lt;&gt;"",M42&lt;&gt;"Closed",L42&lt;&gt;"",L42&lt;TODAY()),"Overdue","")</f>
        <v/>
      </c>
      <c r="S42" s="40" t="str">
        <f aca="false">IF(AND(N42&lt;&gt;"",B42="Risk",M42&lt;&gt;"Closed"),N42+(1-ROW()/100000),"")</f>
        <v/>
      </c>
      <c r="T42" s="40" t="str">
        <f aca="false">IF(AND(S42&lt;&gt;"",A42='Project Summary'!$C$3),S42,"")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2"/>
      <c r="G43" s="32"/>
      <c r="H43" s="32"/>
      <c r="I43" s="32"/>
      <c r="J43" s="33"/>
      <c r="K43" s="32"/>
      <c r="L43" s="35"/>
      <c r="M43" s="32"/>
      <c r="N43" s="37" t="str">
        <f aca="false">IF(OR(C43="",F43="",G43=""),"",MATCH(F43,lst_Likelihood,0)*MATCH(G43,lst_Consequence,0))</f>
        <v/>
      </c>
      <c r="O43" s="37" t="str">
        <f aca="false">IF(N43="","",IF(N43&gt;=16,"Critical",IF(N43&gt;=10,"High",IF(N43&gt;=5,"Medium","Low"))))</f>
        <v/>
      </c>
      <c r="P43" s="37" t="str">
        <f aca="false">IF(OR(C43="",H43="",I43=""),"",MATCH(H43,lst_Likelihood,0)*MATCH(I43,lst_Consequence,0))</f>
        <v/>
      </c>
      <c r="Q43" s="37" t="str">
        <f aca="false">IF(P43="","",IF(P43&gt;=16,"Critical",IF(P43&gt;=10,"High",IF(P43&gt;=5,"Medium","Low"))))</f>
        <v/>
      </c>
      <c r="R43" s="37" t="str">
        <f aca="true">IF(AND(C43&lt;&gt;"",M43&lt;&gt;"Closed",L43&lt;&gt;"",L43&lt;TODAY()),"Overdue","")</f>
        <v/>
      </c>
      <c r="S43" s="40" t="str">
        <f aca="false">IF(AND(N43&lt;&gt;"",B43="Risk",M43&lt;&gt;"Closed"),N43+(1-ROW()/100000),"")</f>
        <v/>
      </c>
      <c r="T43" s="40" t="str">
        <f aca="false">IF(AND(S43&lt;&gt;"",A43='Project Summary'!$C$3),S43,"")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2"/>
      <c r="G44" s="32"/>
      <c r="H44" s="32"/>
      <c r="I44" s="32"/>
      <c r="J44" s="33"/>
      <c r="K44" s="32"/>
      <c r="L44" s="35"/>
      <c r="M44" s="32"/>
      <c r="N44" s="37" t="str">
        <f aca="false">IF(OR(C44="",F44="",G44=""),"",MATCH(F44,lst_Likelihood,0)*MATCH(G44,lst_Consequence,0))</f>
        <v/>
      </c>
      <c r="O44" s="37" t="str">
        <f aca="false">IF(N44="","",IF(N44&gt;=16,"Critical",IF(N44&gt;=10,"High",IF(N44&gt;=5,"Medium","Low"))))</f>
        <v/>
      </c>
      <c r="P44" s="37" t="str">
        <f aca="false">IF(OR(C44="",H44="",I44=""),"",MATCH(H44,lst_Likelihood,0)*MATCH(I44,lst_Consequence,0))</f>
        <v/>
      </c>
      <c r="Q44" s="37" t="str">
        <f aca="false">IF(P44="","",IF(P44&gt;=16,"Critical",IF(P44&gt;=10,"High",IF(P44&gt;=5,"Medium","Low"))))</f>
        <v/>
      </c>
      <c r="R44" s="37" t="str">
        <f aca="true">IF(AND(C44&lt;&gt;"",M44&lt;&gt;"Closed",L44&lt;&gt;"",L44&lt;TODAY()),"Overdue","")</f>
        <v/>
      </c>
      <c r="S44" s="40" t="str">
        <f aca="false">IF(AND(N44&lt;&gt;"",B44="Risk",M44&lt;&gt;"Closed"),N44+(1-ROW()/100000),"")</f>
        <v/>
      </c>
      <c r="T44" s="40" t="str">
        <f aca="false">IF(AND(S44&lt;&gt;"",A44='Project Summary'!$C$3),S44,"")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2"/>
      <c r="G45" s="32"/>
      <c r="H45" s="32"/>
      <c r="I45" s="32"/>
      <c r="J45" s="33"/>
      <c r="K45" s="32"/>
      <c r="L45" s="35"/>
      <c r="M45" s="32"/>
      <c r="N45" s="37" t="str">
        <f aca="false">IF(OR(C45="",F45="",G45=""),"",MATCH(F45,lst_Likelihood,0)*MATCH(G45,lst_Consequence,0))</f>
        <v/>
      </c>
      <c r="O45" s="37" t="str">
        <f aca="false">IF(N45="","",IF(N45&gt;=16,"Critical",IF(N45&gt;=10,"High",IF(N45&gt;=5,"Medium","Low"))))</f>
        <v/>
      </c>
      <c r="P45" s="37" t="str">
        <f aca="false">IF(OR(C45="",H45="",I45=""),"",MATCH(H45,lst_Likelihood,0)*MATCH(I45,lst_Consequence,0))</f>
        <v/>
      </c>
      <c r="Q45" s="37" t="str">
        <f aca="false">IF(P45="","",IF(P45&gt;=16,"Critical",IF(P45&gt;=10,"High",IF(P45&gt;=5,"Medium","Low"))))</f>
        <v/>
      </c>
      <c r="R45" s="37" t="str">
        <f aca="true">IF(AND(C45&lt;&gt;"",M45&lt;&gt;"Closed",L45&lt;&gt;"",L45&lt;TODAY()),"Overdue","")</f>
        <v/>
      </c>
      <c r="S45" s="40" t="str">
        <f aca="false">IF(AND(N45&lt;&gt;"",B45="Risk",M45&lt;&gt;"Closed"),N45+(1-ROW()/100000),"")</f>
        <v/>
      </c>
      <c r="T45" s="40" t="str">
        <f aca="false">IF(AND(S45&lt;&gt;"",A45='Project Summary'!$C$3),S45,"")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2"/>
      <c r="G46" s="32"/>
      <c r="H46" s="32"/>
      <c r="I46" s="32"/>
      <c r="J46" s="33"/>
      <c r="K46" s="32"/>
      <c r="L46" s="35"/>
      <c r="M46" s="32"/>
      <c r="N46" s="37" t="str">
        <f aca="false">IF(OR(C46="",F46="",G46=""),"",MATCH(F46,lst_Likelihood,0)*MATCH(G46,lst_Consequence,0))</f>
        <v/>
      </c>
      <c r="O46" s="37" t="str">
        <f aca="false">IF(N46="","",IF(N46&gt;=16,"Critical",IF(N46&gt;=10,"High",IF(N46&gt;=5,"Medium","Low"))))</f>
        <v/>
      </c>
      <c r="P46" s="37" t="str">
        <f aca="false">IF(OR(C46="",H46="",I46=""),"",MATCH(H46,lst_Likelihood,0)*MATCH(I46,lst_Consequence,0))</f>
        <v/>
      </c>
      <c r="Q46" s="37" t="str">
        <f aca="false">IF(P46="","",IF(P46&gt;=16,"Critical",IF(P46&gt;=10,"High",IF(P46&gt;=5,"Medium","Low"))))</f>
        <v/>
      </c>
      <c r="R46" s="37" t="str">
        <f aca="true">IF(AND(C46&lt;&gt;"",M46&lt;&gt;"Closed",L46&lt;&gt;"",L46&lt;TODAY()),"Overdue","")</f>
        <v/>
      </c>
      <c r="S46" s="40" t="str">
        <f aca="false">IF(AND(N46&lt;&gt;"",B46="Risk",M46&lt;&gt;"Closed"),N46+(1-ROW()/100000),"")</f>
        <v/>
      </c>
      <c r="T46" s="40" t="str">
        <f aca="false">IF(AND(S46&lt;&gt;"",A46='Project Summary'!$C$3),S46,"")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2"/>
      <c r="G47" s="32"/>
      <c r="H47" s="32"/>
      <c r="I47" s="32"/>
      <c r="J47" s="33"/>
      <c r="K47" s="32"/>
      <c r="L47" s="35"/>
      <c r="M47" s="32"/>
      <c r="N47" s="37" t="str">
        <f aca="false">IF(OR(C47="",F47="",G47=""),"",MATCH(F47,lst_Likelihood,0)*MATCH(G47,lst_Consequence,0))</f>
        <v/>
      </c>
      <c r="O47" s="37" t="str">
        <f aca="false">IF(N47="","",IF(N47&gt;=16,"Critical",IF(N47&gt;=10,"High",IF(N47&gt;=5,"Medium","Low"))))</f>
        <v/>
      </c>
      <c r="P47" s="37" t="str">
        <f aca="false">IF(OR(C47="",H47="",I47=""),"",MATCH(H47,lst_Likelihood,0)*MATCH(I47,lst_Consequence,0))</f>
        <v/>
      </c>
      <c r="Q47" s="37" t="str">
        <f aca="false">IF(P47="","",IF(P47&gt;=16,"Critical",IF(P47&gt;=10,"High",IF(P47&gt;=5,"Medium","Low"))))</f>
        <v/>
      </c>
      <c r="R47" s="37" t="str">
        <f aca="true">IF(AND(C47&lt;&gt;"",M47&lt;&gt;"Closed",L47&lt;&gt;"",L47&lt;TODAY()),"Overdue","")</f>
        <v/>
      </c>
      <c r="S47" s="40" t="str">
        <f aca="false">IF(AND(N47&lt;&gt;"",B47="Risk",M47&lt;&gt;"Closed"),N47+(1-ROW()/100000),"")</f>
        <v/>
      </c>
      <c r="T47" s="40" t="str">
        <f aca="false">IF(AND(S47&lt;&gt;"",A47='Project Summary'!$C$3),S47,"")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2"/>
      <c r="G48" s="32"/>
      <c r="H48" s="32"/>
      <c r="I48" s="32"/>
      <c r="J48" s="33"/>
      <c r="K48" s="32"/>
      <c r="L48" s="35"/>
      <c r="M48" s="32"/>
      <c r="N48" s="37" t="str">
        <f aca="false">IF(OR(C48="",F48="",G48=""),"",MATCH(F48,lst_Likelihood,0)*MATCH(G48,lst_Consequence,0))</f>
        <v/>
      </c>
      <c r="O48" s="37" t="str">
        <f aca="false">IF(N48="","",IF(N48&gt;=16,"Critical",IF(N48&gt;=10,"High",IF(N48&gt;=5,"Medium","Low"))))</f>
        <v/>
      </c>
      <c r="P48" s="37" t="str">
        <f aca="false">IF(OR(C48="",H48="",I48=""),"",MATCH(H48,lst_Likelihood,0)*MATCH(I48,lst_Consequence,0))</f>
        <v/>
      </c>
      <c r="Q48" s="37" t="str">
        <f aca="false">IF(P48="","",IF(P48&gt;=16,"Critical",IF(P48&gt;=10,"High",IF(P48&gt;=5,"Medium","Low"))))</f>
        <v/>
      </c>
      <c r="R48" s="37" t="str">
        <f aca="true">IF(AND(C48&lt;&gt;"",M48&lt;&gt;"Closed",L48&lt;&gt;"",L48&lt;TODAY()),"Overdue","")</f>
        <v/>
      </c>
      <c r="S48" s="40" t="str">
        <f aca="false">IF(AND(N48&lt;&gt;"",B48="Risk",M48&lt;&gt;"Closed"),N48+(1-ROW()/100000),"")</f>
        <v/>
      </c>
      <c r="T48" s="40" t="str">
        <f aca="false">IF(AND(S48&lt;&gt;"",A48='Project Summary'!$C$3),S48,"")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2"/>
      <c r="G49" s="32"/>
      <c r="H49" s="32"/>
      <c r="I49" s="32"/>
      <c r="J49" s="33"/>
      <c r="K49" s="32"/>
      <c r="L49" s="35"/>
      <c r="M49" s="32"/>
      <c r="N49" s="37" t="str">
        <f aca="false">IF(OR(C49="",F49="",G49=""),"",MATCH(F49,lst_Likelihood,0)*MATCH(G49,lst_Consequence,0))</f>
        <v/>
      </c>
      <c r="O49" s="37" t="str">
        <f aca="false">IF(N49="","",IF(N49&gt;=16,"Critical",IF(N49&gt;=10,"High",IF(N49&gt;=5,"Medium","Low"))))</f>
        <v/>
      </c>
      <c r="P49" s="37" t="str">
        <f aca="false">IF(OR(C49="",H49="",I49=""),"",MATCH(H49,lst_Likelihood,0)*MATCH(I49,lst_Consequence,0))</f>
        <v/>
      </c>
      <c r="Q49" s="37" t="str">
        <f aca="false">IF(P49="","",IF(P49&gt;=16,"Critical",IF(P49&gt;=10,"High",IF(P49&gt;=5,"Medium","Low"))))</f>
        <v/>
      </c>
      <c r="R49" s="37" t="str">
        <f aca="true">IF(AND(C49&lt;&gt;"",M49&lt;&gt;"Closed",L49&lt;&gt;"",L49&lt;TODAY()),"Overdue","")</f>
        <v/>
      </c>
      <c r="S49" s="40" t="str">
        <f aca="false">IF(AND(N49&lt;&gt;"",B49="Risk",M49&lt;&gt;"Closed"),N49+(1-ROW()/100000),"")</f>
        <v/>
      </c>
      <c r="T49" s="40" t="str">
        <f aca="false">IF(AND(S49&lt;&gt;"",A49='Project Summary'!$C$3),S49,"")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2"/>
      <c r="G50" s="32"/>
      <c r="H50" s="32"/>
      <c r="I50" s="32"/>
      <c r="J50" s="33"/>
      <c r="K50" s="32"/>
      <c r="L50" s="35"/>
      <c r="M50" s="32"/>
      <c r="N50" s="37" t="str">
        <f aca="false">IF(OR(C50="",F50="",G50=""),"",MATCH(F50,lst_Likelihood,0)*MATCH(G50,lst_Consequence,0))</f>
        <v/>
      </c>
      <c r="O50" s="37" t="str">
        <f aca="false">IF(N50="","",IF(N50&gt;=16,"Critical",IF(N50&gt;=10,"High",IF(N50&gt;=5,"Medium","Low"))))</f>
        <v/>
      </c>
      <c r="P50" s="37" t="str">
        <f aca="false">IF(OR(C50="",H50="",I50=""),"",MATCH(H50,lst_Likelihood,0)*MATCH(I50,lst_Consequence,0))</f>
        <v/>
      </c>
      <c r="Q50" s="37" t="str">
        <f aca="false">IF(P50="","",IF(P50&gt;=16,"Critical",IF(P50&gt;=10,"High",IF(P50&gt;=5,"Medium","Low"))))</f>
        <v/>
      </c>
      <c r="R50" s="37" t="str">
        <f aca="true">IF(AND(C50&lt;&gt;"",M50&lt;&gt;"Closed",L50&lt;&gt;"",L50&lt;TODAY()),"Overdue","")</f>
        <v/>
      </c>
      <c r="S50" s="40" t="str">
        <f aca="false">IF(AND(N50&lt;&gt;"",B50="Risk",M50&lt;&gt;"Closed"),N50+(1-ROW()/100000),"")</f>
        <v/>
      </c>
      <c r="T50" s="40" t="str">
        <f aca="false">IF(AND(S50&lt;&gt;"",A50='Project Summary'!$C$3),S50,"")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2"/>
      <c r="G51" s="32"/>
      <c r="H51" s="32"/>
      <c r="I51" s="32"/>
      <c r="J51" s="33"/>
      <c r="K51" s="32"/>
      <c r="L51" s="35"/>
      <c r="M51" s="32"/>
      <c r="N51" s="37" t="str">
        <f aca="false">IF(OR(C51="",F51="",G51=""),"",MATCH(F51,lst_Likelihood,0)*MATCH(G51,lst_Consequence,0))</f>
        <v/>
      </c>
      <c r="O51" s="37" t="str">
        <f aca="false">IF(N51="","",IF(N51&gt;=16,"Critical",IF(N51&gt;=10,"High",IF(N51&gt;=5,"Medium","Low"))))</f>
        <v/>
      </c>
      <c r="P51" s="37" t="str">
        <f aca="false">IF(OR(C51="",H51="",I51=""),"",MATCH(H51,lst_Likelihood,0)*MATCH(I51,lst_Consequence,0))</f>
        <v/>
      </c>
      <c r="Q51" s="37" t="str">
        <f aca="false">IF(P51="","",IF(P51&gt;=16,"Critical",IF(P51&gt;=10,"High",IF(P51&gt;=5,"Medium","Low"))))</f>
        <v/>
      </c>
      <c r="R51" s="37" t="str">
        <f aca="true">IF(AND(C51&lt;&gt;"",M51&lt;&gt;"Closed",L51&lt;&gt;"",L51&lt;TODAY()),"Overdue","")</f>
        <v/>
      </c>
      <c r="S51" s="40" t="str">
        <f aca="false">IF(AND(N51&lt;&gt;"",B51="Risk",M51&lt;&gt;"Closed"),N51+(1-ROW()/100000),"")</f>
        <v/>
      </c>
      <c r="T51" s="40" t="str">
        <f aca="false">IF(AND(S51&lt;&gt;"",A51='Project Summary'!$C$3),S51,"")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2"/>
      <c r="G52" s="32"/>
      <c r="H52" s="32"/>
      <c r="I52" s="32"/>
      <c r="J52" s="33"/>
      <c r="K52" s="32"/>
      <c r="L52" s="35"/>
      <c r="M52" s="32"/>
      <c r="N52" s="37" t="str">
        <f aca="false">IF(OR(C52="",F52="",G52=""),"",MATCH(F52,lst_Likelihood,0)*MATCH(G52,lst_Consequence,0))</f>
        <v/>
      </c>
      <c r="O52" s="37" t="str">
        <f aca="false">IF(N52="","",IF(N52&gt;=16,"Critical",IF(N52&gt;=10,"High",IF(N52&gt;=5,"Medium","Low"))))</f>
        <v/>
      </c>
      <c r="P52" s="37" t="str">
        <f aca="false">IF(OR(C52="",H52="",I52=""),"",MATCH(H52,lst_Likelihood,0)*MATCH(I52,lst_Consequence,0))</f>
        <v/>
      </c>
      <c r="Q52" s="37" t="str">
        <f aca="false">IF(P52="","",IF(P52&gt;=16,"Critical",IF(P52&gt;=10,"High",IF(P52&gt;=5,"Medium","Low"))))</f>
        <v/>
      </c>
      <c r="R52" s="37" t="str">
        <f aca="true">IF(AND(C52&lt;&gt;"",M52&lt;&gt;"Closed",L52&lt;&gt;"",L52&lt;TODAY()),"Overdue","")</f>
        <v/>
      </c>
      <c r="S52" s="40" t="str">
        <f aca="false">IF(AND(N52&lt;&gt;"",B52="Risk",M52&lt;&gt;"Closed"),N52+(1-ROW()/100000),"")</f>
        <v/>
      </c>
      <c r="T52" s="40" t="str">
        <f aca="false">IF(AND(S52&lt;&gt;"",A52='Project Summary'!$C$3),S52,"")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2"/>
      <c r="G53" s="32"/>
      <c r="H53" s="32"/>
      <c r="I53" s="32"/>
      <c r="J53" s="33"/>
      <c r="K53" s="32"/>
      <c r="L53" s="35"/>
      <c r="M53" s="32"/>
      <c r="N53" s="37" t="str">
        <f aca="false">IF(OR(C53="",F53="",G53=""),"",MATCH(F53,lst_Likelihood,0)*MATCH(G53,lst_Consequence,0))</f>
        <v/>
      </c>
      <c r="O53" s="37" t="str">
        <f aca="false">IF(N53="","",IF(N53&gt;=16,"Critical",IF(N53&gt;=10,"High",IF(N53&gt;=5,"Medium","Low"))))</f>
        <v/>
      </c>
      <c r="P53" s="37" t="str">
        <f aca="false">IF(OR(C53="",H53="",I53=""),"",MATCH(H53,lst_Likelihood,0)*MATCH(I53,lst_Consequence,0))</f>
        <v/>
      </c>
      <c r="Q53" s="37" t="str">
        <f aca="false">IF(P53="","",IF(P53&gt;=16,"Critical",IF(P53&gt;=10,"High",IF(P53&gt;=5,"Medium","Low"))))</f>
        <v/>
      </c>
      <c r="R53" s="37" t="str">
        <f aca="true">IF(AND(C53&lt;&gt;"",M53&lt;&gt;"Closed",L53&lt;&gt;"",L53&lt;TODAY()),"Overdue","")</f>
        <v/>
      </c>
      <c r="S53" s="40" t="str">
        <f aca="false">IF(AND(N53&lt;&gt;"",B53="Risk",M53&lt;&gt;"Closed"),N53+(1-ROW()/100000),"")</f>
        <v/>
      </c>
      <c r="T53" s="40" t="str">
        <f aca="false">IF(AND(S53&lt;&gt;"",A53='Project Summary'!$C$3),S53,"")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2"/>
      <c r="G54" s="32"/>
      <c r="H54" s="32"/>
      <c r="I54" s="32"/>
      <c r="J54" s="33"/>
      <c r="K54" s="32"/>
      <c r="L54" s="35"/>
      <c r="M54" s="32"/>
      <c r="N54" s="37" t="str">
        <f aca="false">IF(OR(C54="",F54="",G54=""),"",MATCH(F54,lst_Likelihood,0)*MATCH(G54,lst_Consequence,0))</f>
        <v/>
      </c>
      <c r="O54" s="37" t="str">
        <f aca="false">IF(N54="","",IF(N54&gt;=16,"Critical",IF(N54&gt;=10,"High",IF(N54&gt;=5,"Medium","Low"))))</f>
        <v/>
      </c>
      <c r="P54" s="37" t="str">
        <f aca="false">IF(OR(C54="",H54="",I54=""),"",MATCH(H54,lst_Likelihood,0)*MATCH(I54,lst_Consequence,0))</f>
        <v/>
      </c>
      <c r="Q54" s="37" t="str">
        <f aca="false">IF(P54="","",IF(P54&gt;=16,"Critical",IF(P54&gt;=10,"High",IF(P54&gt;=5,"Medium","Low"))))</f>
        <v/>
      </c>
      <c r="R54" s="37" t="str">
        <f aca="true">IF(AND(C54&lt;&gt;"",M54&lt;&gt;"Closed",L54&lt;&gt;"",L54&lt;TODAY()),"Overdue","")</f>
        <v/>
      </c>
      <c r="S54" s="40" t="str">
        <f aca="false">IF(AND(N54&lt;&gt;"",B54="Risk",M54&lt;&gt;"Closed"),N54+(1-ROW()/100000),"")</f>
        <v/>
      </c>
      <c r="T54" s="40" t="str">
        <f aca="false">IF(AND(S54&lt;&gt;"",A54='Project Summary'!$C$3),S54,"")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2"/>
      <c r="G55" s="32"/>
      <c r="H55" s="32"/>
      <c r="I55" s="32"/>
      <c r="J55" s="33"/>
      <c r="K55" s="32"/>
      <c r="L55" s="35"/>
      <c r="M55" s="32"/>
      <c r="N55" s="37" t="str">
        <f aca="false">IF(OR(C55="",F55="",G55=""),"",MATCH(F55,lst_Likelihood,0)*MATCH(G55,lst_Consequence,0))</f>
        <v/>
      </c>
      <c r="O55" s="37" t="str">
        <f aca="false">IF(N55="","",IF(N55&gt;=16,"Critical",IF(N55&gt;=10,"High",IF(N55&gt;=5,"Medium","Low"))))</f>
        <v/>
      </c>
      <c r="P55" s="37" t="str">
        <f aca="false">IF(OR(C55="",H55="",I55=""),"",MATCH(H55,lst_Likelihood,0)*MATCH(I55,lst_Consequence,0))</f>
        <v/>
      </c>
      <c r="Q55" s="37" t="str">
        <f aca="false">IF(P55="","",IF(P55&gt;=16,"Critical",IF(P55&gt;=10,"High",IF(P55&gt;=5,"Medium","Low"))))</f>
        <v/>
      </c>
      <c r="R55" s="37" t="str">
        <f aca="true">IF(AND(C55&lt;&gt;"",M55&lt;&gt;"Closed",L55&lt;&gt;"",L55&lt;TODAY()),"Overdue","")</f>
        <v/>
      </c>
      <c r="S55" s="40" t="str">
        <f aca="false">IF(AND(N55&lt;&gt;"",B55="Risk",M55&lt;&gt;"Closed"),N55+(1-ROW()/100000),"")</f>
        <v/>
      </c>
      <c r="T55" s="40" t="str">
        <f aca="false">IF(AND(S55&lt;&gt;"",A55='Project Summary'!$C$3),S55,"")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2"/>
      <c r="G56" s="32"/>
      <c r="H56" s="32"/>
      <c r="I56" s="32"/>
      <c r="J56" s="33"/>
      <c r="K56" s="32"/>
      <c r="L56" s="35"/>
      <c r="M56" s="32"/>
      <c r="N56" s="37" t="str">
        <f aca="false">IF(OR(C56="",F56="",G56=""),"",MATCH(F56,lst_Likelihood,0)*MATCH(G56,lst_Consequence,0))</f>
        <v/>
      </c>
      <c r="O56" s="37" t="str">
        <f aca="false">IF(N56="","",IF(N56&gt;=16,"Critical",IF(N56&gt;=10,"High",IF(N56&gt;=5,"Medium","Low"))))</f>
        <v/>
      </c>
      <c r="P56" s="37" t="str">
        <f aca="false">IF(OR(C56="",H56="",I56=""),"",MATCH(H56,lst_Likelihood,0)*MATCH(I56,lst_Consequence,0))</f>
        <v/>
      </c>
      <c r="Q56" s="37" t="str">
        <f aca="false">IF(P56="","",IF(P56&gt;=16,"Critical",IF(P56&gt;=10,"High",IF(P56&gt;=5,"Medium","Low"))))</f>
        <v/>
      </c>
      <c r="R56" s="37" t="str">
        <f aca="true">IF(AND(C56&lt;&gt;"",M56&lt;&gt;"Closed",L56&lt;&gt;"",L56&lt;TODAY()),"Overdue","")</f>
        <v/>
      </c>
      <c r="S56" s="40" t="str">
        <f aca="false">IF(AND(N56&lt;&gt;"",B56="Risk",M56&lt;&gt;"Closed"),N56+(1-ROW()/100000),"")</f>
        <v/>
      </c>
      <c r="T56" s="40" t="str">
        <f aca="false">IF(AND(S56&lt;&gt;"",A56='Project Summary'!$C$3),S56,"")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2"/>
      <c r="G57" s="32"/>
      <c r="H57" s="32"/>
      <c r="I57" s="32"/>
      <c r="J57" s="33"/>
      <c r="K57" s="32"/>
      <c r="L57" s="35"/>
      <c r="M57" s="32"/>
      <c r="N57" s="37" t="str">
        <f aca="false">IF(OR(C57="",F57="",G57=""),"",MATCH(F57,lst_Likelihood,0)*MATCH(G57,lst_Consequence,0))</f>
        <v/>
      </c>
      <c r="O57" s="37" t="str">
        <f aca="false">IF(N57="","",IF(N57&gt;=16,"Critical",IF(N57&gt;=10,"High",IF(N57&gt;=5,"Medium","Low"))))</f>
        <v/>
      </c>
      <c r="P57" s="37" t="str">
        <f aca="false">IF(OR(C57="",H57="",I57=""),"",MATCH(H57,lst_Likelihood,0)*MATCH(I57,lst_Consequence,0))</f>
        <v/>
      </c>
      <c r="Q57" s="37" t="str">
        <f aca="false">IF(P57="","",IF(P57&gt;=16,"Critical",IF(P57&gt;=10,"High",IF(P57&gt;=5,"Medium","Low"))))</f>
        <v/>
      </c>
      <c r="R57" s="37" t="str">
        <f aca="true">IF(AND(C57&lt;&gt;"",M57&lt;&gt;"Closed",L57&lt;&gt;"",L57&lt;TODAY()),"Overdue","")</f>
        <v/>
      </c>
      <c r="S57" s="40" t="str">
        <f aca="false">IF(AND(N57&lt;&gt;"",B57="Risk",M57&lt;&gt;"Closed"),N57+(1-ROW()/100000),"")</f>
        <v/>
      </c>
      <c r="T57" s="40" t="str">
        <f aca="false">IF(AND(S57&lt;&gt;"",A57='Project Summary'!$C$3),S57,"")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2"/>
      <c r="G58" s="32"/>
      <c r="H58" s="32"/>
      <c r="I58" s="32"/>
      <c r="J58" s="33"/>
      <c r="K58" s="32"/>
      <c r="L58" s="35"/>
      <c r="M58" s="32"/>
      <c r="N58" s="37" t="str">
        <f aca="false">IF(OR(C58="",F58="",G58=""),"",MATCH(F58,lst_Likelihood,0)*MATCH(G58,lst_Consequence,0))</f>
        <v/>
      </c>
      <c r="O58" s="37" t="str">
        <f aca="false">IF(N58="","",IF(N58&gt;=16,"Critical",IF(N58&gt;=10,"High",IF(N58&gt;=5,"Medium","Low"))))</f>
        <v/>
      </c>
      <c r="P58" s="37" t="str">
        <f aca="false">IF(OR(C58="",H58="",I58=""),"",MATCH(H58,lst_Likelihood,0)*MATCH(I58,lst_Consequence,0))</f>
        <v/>
      </c>
      <c r="Q58" s="37" t="str">
        <f aca="false">IF(P58="","",IF(P58&gt;=16,"Critical",IF(P58&gt;=10,"High",IF(P58&gt;=5,"Medium","Low"))))</f>
        <v/>
      </c>
      <c r="R58" s="37" t="str">
        <f aca="true">IF(AND(C58&lt;&gt;"",M58&lt;&gt;"Closed",L58&lt;&gt;"",L58&lt;TODAY()),"Overdue","")</f>
        <v/>
      </c>
      <c r="S58" s="40" t="str">
        <f aca="false">IF(AND(N58&lt;&gt;"",B58="Risk",M58&lt;&gt;"Closed"),N58+(1-ROW()/100000),"")</f>
        <v/>
      </c>
      <c r="T58" s="40" t="str">
        <f aca="false">IF(AND(S58&lt;&gt;"",A58='Project Summary'!$C$3),S58,"")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2"/>
      <c r="G59" s="32"/>
      <c r="H59" s="32"/>
      <c r="I59" s="32"/>
      <c r="J59" s="33"/>
      <c r="K59" s="32"/>
      <c r="L59" s="35"/>
      <c r="M59" s="32"/>
      <c r="N59" s="37" t="str">
        <f aca="false">IF(OR(C59="",F59="",G59=""),"",MATCH(F59,lst_Likelihood,0)*MATCH(G59,lst_Consequence,0))</f>
        <v/>
      </c>
      <c r="O59" s="37" t="str">
        <f aca="false">IF(N59="","",IF(N59&gt;=16,"Critical",IF(N59&gt;=10,"High",IF(N59&gt;=5,"Medium","Low"))))</f>
        <v/>
      </c>
      <c r="P59" s="37" t="str">
        <f aca="false">IF(OR(C59="",H59="",I59=""),"",MATCH(H59,lst_Likelihood,0)*MATCH(I59,lst_Consequence,0))</f>
        <v/>
      </c>
      <c r="Q59" s="37" t="str">
        <f aca="false">IF(P59="","",IF(P59&gt;=16,"Critical",IF(P59&gt;=10,"High",IF(P59&gt;=5,"Medium","Low"))))</f>
        <v/>
      </c>
      <c r="R59" s="37" t="str">
        <f aca="true">IF(AND(C59&lt;&gt;"",M59&lt;&gt;"Closed",L59&lt;&gt;"",L59&lt;TODAY()),"Overdue","")</f>
        <v/>
      </c>
      <c r="S59" s="40" t="str">
        <f aca="false">IF(AND(N59&lt;&gt;"",B59="Risk",M59&lt;&gt;"Closed"),N59+(1-ROW()/100000),"")</f>
        <v/>
      </c>
      <c r="T59" s="40" t="str">
        <f aca="false">IF(AND(S59&lt;&gt;"",A59='Project Summary'!$C$3),S59,"")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2"/>
      <c r="G60" s="32"/>
      <c r="H60" s="32"/>
      <c r="I60" s="32"/>
      <c r="J60" s="33"/>
      <c r="K60" s="32"/>
      <c r="L60" s="35"/>
      <c r="M60" s="32"/>
      <c r="N60" s="37" t="str">
        <f aca="false">IF(OR(C60="",F60="",G60=""),"",MATCH(F60,lst_Likelihood,0)*MATCH(G60,lst_Consequence,0))</f>
        <v/>
      </c>
      <c r="O60" s="37" t="str">
        <f aca="false">IF(N60="","",IF(N60&gt;=16,"Critical",IF(N60&gt;=10,"High",IF(N60&gt;=5,"Medium","Low"))))</f>
        <v/>
      </c>
      <c r="P60" s="37" t="str">
        <f aca="false">IF(OR(C60="",H60="",I60=""),"",MATCH(H60,lst_Likelihood,0)*MATCH(I60,lst_Consequence,0))</f>
        <v/>
      </c>
      <c r="Q60" s="37" t="str">
        <f aca="false">IF(P60="","",IF(P60&gt;=16,"Critical",IF(P60&gt;=10,"High",IF(P60&gt;=5,"Medium","Low"))))</f>
        <v/>
      </c>
      <c r="R60" s="37" t="str">
        <f aca="true">IF(AND(C60&lt;&gt;"",M60&lt;&gt;"Closed",L60&lt;&gt;"",L60&lt;TODAY()),"Overdue","")</f>
        <v/>
      </c>
      <c r="S60" s="40" t="str">
        <f aca="false">IF(AND(N60&lt;&gt;"",B60="Risk",M60&lt;&gt;"Closed"),N60+(1-ROW()/100000),"")</f>
        <v/>
      </c>
      <c r="T60" s="40" t="str">
        <f aca="false">IF(AND(S60&lt;&gt;"",A60='Project Summary'!$C$3),S60,"")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2"/>
      <c r="G61" s="32"/>
      <c r="H61" s="32"/>
      <c r="I61" s="32"/>
      <c r="J61" s="33"/>
      <c r="K61" s="32"/>
      <c r="L61" s="35"/>
      <c r="M61" s="32"/>
      <c r="N61" s="37" t="str">
        <f aca="false">IF(OR(C61="",F61="",G61=""),"",MATCH(F61,lst_Likelihood,0)*MATCH(G61,lst_Consequence,0))</f>
        <v/>
      </c>
      <c r="O61" s="37" t="str">
        <f aca="false">IF(N61="","",IF(N61&gt;=16,"Critical",IF(N61&gt;=10,"High",IF(N61&gt;=5,"Medium","Low"))))</f>
        <v/>
      </c>
      <c r="P61" s="37" t="str">
        <f aca="false">IF(OR(C61="",H61="",I61=""),"",MATCH(H61,lst_Likelihood,0)*MATCH(I61,lst_Consequence,0))</f>
        <v/>
      </c>
      <c r="Q61" s="37" t="str">
        <f aca="false">IF(P61="","",IF(P61&gt;=16,"Critical",IF(P61&gt;=10,"High",IF(P61&gt;=5,"Medium","Low"))))</f>
        <v/>
      </c>
      <c r="R61" s="37" t="str">
        <f aca="true">IF(AND(C61&lt;&gt;"",M61&lt;&gt;"Closed",L61&lt;&gt;"",L61&lt;TODAY()),"Overdue","")</f>
        <v/>
      </c>
      <c r="S61" s="40" t="str">
        <f aca="false">IF(AND(N61&lt;&gt;"",B61="Risk",M61&lt;&gt;"Closed"),N61+(1-ROW()/100000),"")</f>
        <v/>
      </c>
      <c r="T61" s="40" t="str">
        <f aca="false">IF(AND(S61&lt;&gt;"",A61='Project Summary'!$C$3),S61,"")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2"/>
      <c r="G62" s="32"/>
      <c r="H62" s="32"/>
      <c r="I62" s="32"/>
      <c r="J62" s="33"/>
      <c r="K62" s="32"/>
      <c r="L62" s="35"/>
      <c r="M62" s="32"/>
      <c r="N62" s="37" t="str">
        <f aca="false">IF(OR(C62="",F62="",G62=""),"",MATCH(F62,lst_Likelihood,0)*MATCH(G62,lst_Consequence,0))</f>
        <v/>
      </c>
      <c r="O62" s="37" t="str">
        <f aca="false">IF(N62="","",IF(N62&gt;=16,"Critical",IF(N62&gt;=10,"High",IF(N62&gt;=5,"Medium","Low"))))</f>
        <v/>
      </c>
      <c r="P62" s="37" t="str">
        <f aca="false">IF(OR(C62="",H62="",I62=""),"",MATCH(H62,lst_Likelihood,0)*MATCH(I62,lst_Consequence,0))</f>
        <v/>
      </c>
      <c r="Q62" s="37" t="str">
        <f aca="false">IF(P62="","",IF(P62&gt;=16,"Critical",IF(P62&gt;=10,"High",IF(P62&gt;=5,"Medium","Low"))))</f>
        <v/>
      </c>
      <c r="R62" s="37" t="str">
        <f aca="true">IF(AND(C62&lt;&gt;"",M62&lt;&gt;"Closed",L62&lt;&gt;"",L62&lt;TODAY()),"Overdue","")</f>
        <v/>
      </c>
      <c r="S62" s="40" t="str">
        <f aca="false">IF(AND(N62&lt;&gt;"",B62="Risk",M62&lt;&gt;"Closed"),N62+(1-ROW()/100000),"")</f>
        <v/>
      </c>
      <c r="T62" s="40" t="str">
        <f aca="false">IF(AND(S62&lt;&gt;"",A62='Project Summary'!$C$3),S62,"")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2"/>
      <c r="G63" s="32"/>
      <c r="H63" s="32"/>
      <c r="I63" s="32"/>
      <c r="J63" s="33"/>
      <c r="K63" s="32"/>
      <c r="L63" s="35"/>
      <c r="M63" s="32"/>
      <c r="N63" s="37" t="str">
        <f aca="false">IF(OR(C63="",F63="",G63=""),"",MATCH(F63,lst_Likelihood,0)*MATCH(G63,lst_Consequence,0))</f>
        <v/>
      </c>
      <c r="O63" s="37" t="str">
        <f aca="false">IF(N63="","",IF(N63&gt;=16,"Critical",IF(N63&gt;=10,"High",IF(N63&gt;=5,"Medium","Low"))))</f>
        <v/>
      </c>
      <c r="P63" s="37" t="str">
        <f aca="false">IF(OR(C63="",H63="",I63=""),"",MATCH(H63,lst_Likelihood,0)*MATCH(I63,lst_Consequence,0))</f>
        <v/>
      </c>
      <c r="Q63" s="37" t="str">
        <f aca="false">IF(P63="","",IF(P63&gt;=16,"Critical",IF(P63&gt;=10,"High",IF(P63&gt;=5,"Medium","Low"))))</f>
        <v/>
      </c>
      <c r="R63" s="37" t="str">
        <f aca="true">IF(AND(C63&lt;&gt;"",M63&lt;&gt;"Closed",L63&lt;&gt;"",L63&lt;TODAY()),"Overdue","")</f>
        <v/>
      </c>
      <c r="S63" s="40" t="str">
        <f aca="false">IF(AND(N63&lt;&gt;"",B63="Risk",M63&lt;&gt;"Closed"),N63+(1-ROW()/100000),"")</f>
        <v/>
      </c>
      <c r="T63" s="40" t="str">
        <f aca="false">IF(AND(S63&lt;&gt;"",A63='Project Summary'!$C$3),S63,"")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2"/>
      <c r="G64" s="32"/>
      <c r="H64" s="32"/>
      <c r="I64" s="32"/>
      <c r="J64" s="33"/>
      <c r="K64" s="32"/>
      <c r="L64" s="35"/>
      <c r="M64" s="32"/>
      <c r="N64" s="37" t="str">
        <f aca="false">IF(OR(C64="",F64="",G64=""),"",MATCH(F64,lst_Likelihood,0)*MATCH(G64,lst_Consequence,0))</f>
        <v/>
      </c>
      <c r="O64" s="37" t="str">
        <f aca="false">IF(N64="","",IF(N64&gt;=16,"Critical",IF(N64&gt;=10,"High",IF(N64&gt;=5,"Medium","Low"))))</f>
        <v/>
      </c>
      <c r="P64" s="37" t="str">
        <f aca="false">IF(OR(C64="",H64="",I64=""),"",MATCH(H64,lst_Likelihood,0)*MATCH(I64,lst_Consequence,0))</f>
        <v/>
      </c>
      <c r="Q64" s="37" t="str">
        <f aca="false">IF(P64="","",IF(P64&gt;=16,"Critical",IF(P64&gt;=10,"High",IF(P64&gt;=5,"Medium","Low"))))</f>
        <v/>
      </c>
      <c r="R64" s="37" t="str">
        <f aca="true">IF(AND(C64&lt;&gt;"",M64&lt;&gt;"Closed",L64&lt;&gt;"",L64&lt;TODAY()),"Overdue","")</f>
        <v/>
      </c>
      <c r="S64" s="40" t="str">
        <f aca="false">IF(AND(N64&lt;&gt;"",B64="Risk",M64&lt;&gt;"Closed"),N64+(1-ROW()/100000),"")</f>
        <v/>
      </c>
      <c r="T64" s="40" t="str">
        <f aca="false">IF(AND(S64&lt;&gt;"",A64='Project Summary'!$C$3),S64,"")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2"/>
      <c r="G65" s="32"/>
      <c r="H65" s="32"/>
      <c r="I65" s="32"/>
      <c r="J65" s="33"/>
      <c r="K65" s="32"/>
      <c r="L65" s="35"/>
      <c r="M65" s="32"/>
      <c r="N65" s="37" t="str">
        <f aca="false">IF(OR(C65="",F65="",G65=""),"",MATCH(F65,lst_Likelihood,0)*MATCH(G65,lst_Consequence,0))</f>
        <v/>
      </c>
      <c r="O65" s="37" t="str">
        <f aca="false">IF(N65="","",IF(N65&gt;=16,"Critical",IF(N65&gt;=10,"High",IF(N65&gt;=5,"Medium","Low"))))</f>
        <v/>
      </c>
      <c r="P65" s="37" t="str">
        <f aca="false">IF(OR(C65="",H65="",I65=""),"",MATCH(H65,lst_Likelihood,0)*MATCH(I65,lst_Consequence,0))</f>
        <v/>
      </c>
      <c r="Q65" s="37" t="str">
        <f aca="false">IF(P65="","",IF(P65&gt;=16,"Critical",IF(P65&gt;=10,"High",IF(P65&gt;=5,"Medium","Low"))))</f>
        <v/>
      </c>
      <c r="R65" s="37" t="str">
        <f aca="true">IF(AND(C65&lt;&gt;"",M65&lt;&gt;"Closed",L65&lt;&gt;"",L65&lt;TODAY()),"Overdue","")</f>
        <v/>
      </c>
      <c r="S65" s="40" t="str">
        <f aca="false">IF(AND(N65&lt;&gt;"",B65="Risk",M65&lt;&gt;"Closed"),N65+(1-ROW()/100000),"")</f>
        <v/>
      </c>
      <c r="T65" s="40" t="str">
        <f aca="false">IF(AND(S65&lt;&gt;"",A65='Project Summary'!$C$3),S65,"")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2"/>
      <c r="G66" s="32"/>
      <c r="H66" s="32"/>
      <c r="I66" s="32"/>
      <c r="J66" s="33"/>
      <c r="K66" s="32"/>
      <c r="L66" s="35"/>
      <c r="M66" s="32"/>
      <c r="N66" s="37" t="str">
        <f aca="false">IF(OR(C66="",F66="",G66=""),"",MATCH(F66,lst_Likelihood,0)*MATCH(G66,lst_Consequence,0))</f>
        <v/>
      </c>
      <c r="O66" s="37" t="str">
        <f aca="false">IF(N66="","",IF(N66&gt;=16,"Critical",IF(N66&gt;=10,"High",IF(N66&gt;=5,"Medium","Low"))))</f>
        <v/>
      </c>
      <c r="P66" s="37" t="str">
        <f aca="false">IF(OR(C66="",H66="",I66=""),"",MATCH(H66,lst_Likelihood,0)*MATCH(I66,lst_Consequence,0))</f>
        <v/>
      </c>
      <c r="Q66" s="37" t="str">
        <f aca="false">IF(P66="","",IF(P66&gt;=16,"Critical",IF(P66&gt;=10,"High",IF(P66&gt;=5,"Medium","Low"))))</f>
        <v/>
      </c>
      <c r="R66" s="37" t="str">
        <f aca="true">IF(AND(C66&lt;&gt;"",M66&lt;&gt;"Closed",L66&lt;&gt;"",L66&lt;TODAY()),"Overdue","")</f>
        <v/>
      </c>
      <c r="S66" s="40" t="str">
        <f aca="false">IF(AND(N66&lt;&gt;"",B66="Risk",M66&lt;&gt;"Closed"),N66+(1-ROW()/100000),"")</f>
        <v/>
      </c>
      <c r="T66" s="40" t="str">
        <f aca="false">IF(AND(S66&lt;&gt;"",A66='Project Summary'!$C$3),S66,"")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2"/>
      <c r="G67" s="32"/>
      <c r="H67" s="32"/>
      <c r="I67" s="32"/>
      <c r="J67" s="33"/>
      <c r="K67" s="32"/>
      <c r="L67" s="35"/>
      <c r="M67" s="32"/>
      <c r="N67" s="37" t="str">
        <f aca="false">IF(OR(C67="",F67="",G67=""),"",MATCH(F67,lst_Likelihood,0)*MATCH(G67,lst_Consequence,0))</f>
        <v/>
      </c>
      <c r="O67" s="37" t="str">
        <f aca="false">IF(N67="","",IF(N67&gt;=16,"Critical",IF(N67&gt;=10,"High",IF(N67&gt;=5,"Medium","Low"))))</f>
        <v/>
      </c>
      <c r="P67" s="37" t="str">
        <f aca="false">IF(OR(C67="",H67="",I67=""),"",MATCH(H67,lst_Likelihood,0)*MATCH(I67,lst_Consequence,0))</f>
        <v/>
      </c>
      <c r="Q67" s="37" t="str">
        <f aca="false">IF(P67="","",IF(P67&gt;=16,"Critical",IF(P67&gt;=10,"High",IF(P67&gt;=5,"Medium","Low"))))</f>
        <v/>
      </c>
      <c r="R67" s="37" t="str">
        <f aca="true">IF(AND(C67&lt;&gt;"",M67&lt;&gt;"Closed",L67&lt;&gt;"",L67&lt;TODAY()),"Overdue","")</f>
        <v/>
      </c>
      <c r="S67" s="40" t="str">
        <f aca="false">IF(AND(N67&lt;&gt;"",B67="Risk",M67&lt;&gt;"Closed"),N67+(1-ROW()/100000),"")</f>
        <v/>
      </c>
      <c r="T67" s="40" t="str">
        <f aca="false">IF(AND(S67&lt;&gt;"",A67='Project Summary'!$C$3),S67,"")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2"/>
      <c r="G68" s="32"/>
      <c r="H68" s="32"/>
      <c r="I68" s="32"/>
      <c r="J68" s="33"/>
      <c r="K68" s="32"/>
      <c r="L68" s="35"/>
      <c r="M68" s="32"/>
      <c r="N68" s="37" t="str">
        <f aca="false">IF(OR(C68="",F68="",G68=""),"",MATCH(F68,lst_Likelihood,0)*MATCH(G68,lst_Consequence,0))</f>
        <v/>
      </c>
      <c r="O68" s="37" t="str">
        <f aca="false">IF(N68="","",IF(N68&gt;=16,"Critical",IF(N68&gt;=10,"High",IF(N68&gt;=5,"Medium","Low"))))</f>
        <v/>
      </c>
      <c r="P68" s="37" t="str">
        <f aca="false">IF(OR(C68="",H68="",I68=""),"",MATCH(H68,lst_Likelihood,0)*MATCH(I68,lst_Consequence,0))</f>
        <v/>
      </c>
      <c r="Q68" s="37" t="str">
        <f aca="false">IF(P68="","",IF(P68&gt;=16,"Critical",IF(P68&gt;=10,"High",IF(P68&gt;=5,"Medium","Low"))))</f>
        <v/>
      </c>
      <c r="R68" s="37" t="str">
        <f aca="true">IF(AND(C68&lt;&gt;"",M68&lt;&gt;"Closed",L68&lt;&gt;"",L68&lt;TODAY()),"Overdue","")</f>
        <v/>
      </c>
      <c r="S68" s="40" t="str">
        <f aca="false">IF(AND(N68&lt;&gt;"",B68="Risk",M68&lt;&gt;"Closed"),N68+(1-ROW()/100000),"")</f>
        <v/>
      </c>
      <c r="T68" s="40" t="str">
        <f aca="false">IF(AND(S68&lt;&gt;"",A68='Project Summary'!$C$3),S68,"")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2"/>
      <c r="G69" s="32"/>
      <c r="H69" s="32"/>
      <c r="I69" s="32"/>
      <c r="J69" s="33"/>
      <c r="K69" s="32"/>
      <c r="L69" s="35"/>
      <c r="M69" s="32"/>
      <c r="N69" s="37" t="str">
        <f aca="false">IF(OR(C69="",F69="",G69=""),"",MATCH(F69,lst_Likelihood,0)*MATCH(G69,lst_Consequence,0))</f>
        <v/>
      </c>
      <c r="O69" s="37" t="str">
        <f aca="false">IF(N69="","",IF(N69&gt;=16,"Critical",IF(N69&gt;=10,"High",IF(N69&gt;=5,"Medium","Low"))))</f>
        <v/>
      </c>
      <c r="P69" s="37" t="str">
        <f aca="false">IF(OR(C69="",H69="",I69=""),"",MATCH(H69,lst_Likelihood,0)*MATCH(I69,lst_Consequence,0))</f>
        <v/>
      </c>
      <c r="Q69" s="37" t="str">
        <f aca="false">IF(P69="","",IF(P69&gt;=16,"Critical",IF(P69&gt;=10,"High",IF(P69&gt;=5,"Medium","Low"))))</f>
        <v/>
      </c>
      <c r="R69" s="37" t="str">
        <f aca="true">IF(AND(C69&lt;&gt;"",M69&lt;&gt;"Closed",L69&lt;&gt;"",L69&lt;TODAY()),"Overdue","")</f>
        <v/>
      </c>
      <c r="S69" s="40" t="str">
        <f aca="false">IF(AND(N69&lt;&gt;"",B69="Risk",M69&lt;&gt;"Closed"),N69+(1-ROW()/100000),"")</f>
        <v/>
      </c>
      <c r="T69" s="40" t="str">
        <f aca="false">IF(AND(S69&lt;&gt;"",A69='Project Summary'!$C$3),S69,"")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2"/>
      <c r="G70" s="32"/>
      <c r="H70" s="32"/>
      <c r="I70" s="32"/>
      <c r="J70" s="33"/>
      <c r="K70" s="32"/>
      <c r="L70" s="35"/>
      <c r="M70" s="32"/>
      <c r="N70" s="37" t="str">
        <f aca="false">IF(OR(C70="",F70="",G70=""),"",MATCH(F70,lst_Likelihood,0)*MATCH(G70,lst_Consequence,0))</f>
        <v/>
      </c>
      <c r="O70" s="37" t="str">
        <f aca="false">IF(N70="","",IF(N70&gt;=16,"Critical",IF(N70&gt;=10,"High",IF(N70&gt;=5,"Medium","Low"))))</f>
        <v/>
      </c>
      <c r="P70" s="37" t="str">
        <f aca="false">IF(OR(C70="",H70="",I70=""),"",MATCH(H70,lst_Likelihood,0)*MATCH(I70,lst_Consequence,0))</f>
        <v/>
      </c>
      <c r="Q70" s="37" t="str">
        <f aca="false">IF(P70="","",IF(P70&gt;=16,"Critical",IF(P70&gt;=10,"High",IF(P70&gt;=5,"Medium","Low"))))</f>
        <v/>
      </c>
      <c r="R70" s="37" t="str">
        <f aca="true">IF(AND(C70&lt;&gt;"",M70&lt;&gt;"Closed",L70&lt;&gt;"",L70&lt;TODAY()),"Overdue","")</f>
        <v/>
      </c>
      <c r="S70" s="40" t="str">
        <f aca="false">IF(AND(N70&lt;&gt;"",B70="Risk",M70&lt;&gt;"Closed"),N70+(1-ROW()/100000),"")</f>
        <v/>
      </c>
      <c r="T70" s="40" t="str">
        <f aca="false">IF(AND(S70&lt;&gt;"",A70='Project Summary'!$C$3),S70,"")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2"/>
      <c r="G71" s="32"/>
      <c r="H71" s="32"/>
      <c r="I71" s="32"/>
      <c r="J71" s="33"/>
      <c r="K71" s="32"/>
      <c r="L71" s="35"/>
      <c r="M71" s="32"/>
      <c r="N71" s="37" t="str">
        <f aca="false">IF(OR(C71="",F71="",G71=""),"",MATCH(F71,lst_Likelihood,0)*MATCH(G71,lst_Consequence,0))</f>
        <v/>
      </c>
      <c r="O71" s="37" t="str">
        <f aca="false">IF(N71="","",IF(N71&gt;=16,"Critical",IF(N71&gt;=10,"High",IF(N71&gt;=5,"Medium","Low"))))</f>
        <v/>
      </c>
      <c r="P71" s="37" t="str">
        <f aca="false">IF(OR(C71="",H71="",I71=""),"",MATCH(H71,lst_Likelihood,0)*MATCH(I71,lst_Consequence,0))</f>
        <v/>
      </c>
      <c r="Q71" s="37" t="str">
        <f aca="false">IF(P71="","",IF(P71&gt;=16,"Critical",IF(P71&gt;=10,"High",IF(P71&gt;=5,"Medium","Low"))))</f>
        <v/>
      </c>
      <c r="R71" s="37" t="str">
        <f aca="true">IF(AND(C71&lt;&gt;"",M71&lt;&gt;"Closed",L71&lt;&gt;"",L71&lt;TODAY()),"Overdue","")</f>
        <v/>
      </c>
      <c r="S71" s="40" t="str">
        <f aca="false">IF(AND(N71&lt;&gt;"",B71="Risk",M71&lt;&gt;"Closed"),N71+(1-ROW()/100000),"")</f>
        <v/>
      </c>
      <c r="T71" s="40" t="str">
        <f aca="false">IF(AND(S71&lt;&gt;"",A71='Project Summary'!$C$3),S71,"")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2"/>
      <c r="G72" s="32"/>
      <c r="H72" s="32"/>
      <c r="I72" s="32"/>
      <c r="J72" s="33"/>
      <c r="K72" s="32"/>
      <c r="L72" s="35"/>
      <c r="M72" s="32"/>
      <c r="N72" s="37" t="str">
        <f aca="false">IF(OR(C72="",F72="",G72=""),"",MATCH(F72,lst_Likelihood,0)*MATCH(G72,lst_Consequence,0))</f>
        <v/>
      </c>
      <c r="O72" s="37" t="str">
        <f aca="false">IF(N72="","",IF(N72&gt;=16,"Critical",IF(N72&gt;=10,"High",IF(N72&gt;=5,"Medium","Low"))))</f>
        <v/>
      </c>
      <c r="P72" s="37" t="str">
        <f aca="false">IF(OR(C72="",H72="",I72=""),"",MATCH(H72,lst_Likelihood,0)*MATCH(I72,lst_Consequence,0))</f>
        <v/>
      </c>
      <c r="Q72" s="37" t="str">
        <f aca="false">IF(P72="","",IF(P72&gt;=16,"Critical",IF(P72&gt;=10,"High",IF(P72&gt;=5,"Medium","Low"))))</f>
        <v/>
      </c>
      <c r="R72" s="37" t="str">
        <f aca="true">IF(AND(C72&lt;&gt;"",M72&lt;&gt;"Closed",L72&lt;&gt;"",L72&lt;TODAY()),"Overdue","")</f>
        <v/>
      </c>
      <c r="S72" s="40" t="str">
        <f aca="false">IF(AND(N72&lt;&gt;"",B72="Risk",M72&lt;&gt;"Closed"),N72+(1-ROW()/100000),"")</f>
        <v/>
      </c>
      <c r="T72" s="40" t="str">
        <f aca="false">IF(AND(S72&lt;&gt;"",A72='Project Summary'!$C$3),S72,"")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2"/>
      <c r="G73" s="32"/>
      <c r="H73" s="32"/>
      <c r="I73" s="32"/>
      <c r="J73" s="33"/>
      <c r="K73" s="32"/>
      <c r="L73" s="35"/>
      <c r="M73" s="32"/>
      <c r="N73" s="37" t="str">
        <f aca="false">IF(OR(C73="",F73="",G73=""),"",MATCH(F73,lst_Likelihood,0)*MATCH(G73,lst_Consequence,0))</f>
        <v/>
      </c>
      <c r="O73" s="37" t="str">
        <f aca="false">IF(N73="","",IF(N73&gt;=16,"Critical",IF(N73&gt;=10,"High",IF(N73&gt;=5,"Medium","Low"))))</f>
        <v/>
      </c>
      <c r="P73" s="37" t="str">
        <f aca="false">IF(OR(C73="",H73="",I73=""),"",MATCH(H73,lst_Likelihood,0)*MATCH(I73,lst_Consequence,0))</f>
        <v/>
      </c>
      <c r="Q73" s="37" t="str">
        <f aca="false">IF(P73="","",IF(P73&gt;=16,"Critical",IF(P73&gt;=10,"High",IF(P73&gt;=5,"Medium","Low"))))</f>
        <v/>
      </c>
      <c r="R73" s="37" t="str">
        <f aca="true">IF(AND(C73&lt;&gt;"",M73&lt;&gt;"Closed",L73&lt;&gt;"",L73&lt;TODAY()),"Overdue","")</f>
        <v/>
      </c>
      <c r="S73" s="40" t="str">
        <f aca="false">IF(AND(N73&lt;&gt;"",B73="Risk",M73&lt;&gt;"Closed"),N73+(1-ROW()/100000),"")</f>
        <v/>
      </c>
      <c r="T73" s="40" t="str">
        <f aca="false">IF(AND(S73&lt;&gt;"",A73='Project Summary'!$C$3),S73,"")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2"/>
      <c r="G74" s="32"/>
      <c r="H74" s="32"/>
      <c r="I74" s="32"/>
      <c r="J74" s="33"/>
      <c r="K74" s="32"/>
      <c r="L74" s="35"/>
      <c r="M74" s="32"/>
      <c r="N74" s="37" t="str">
        <f aca="false">IF(OR(C74="",F74="",G74=""),"",MATCH(F74,lst_Likelihood,0)*MATCH(G74,lst_Consequence,0))</f>
        <v/>
      </c>
      <c r="O74" s="37" t="str">
        <f aca="false">IF(N74="","",IF(N74&gt;=16,"Critical",IF(N74&gt;=10,"High",IF(N74&gt;=5,"Medium","Low"))))</f>
        <v/>
      </c>
      <c r="P74" s="37" t="str">
        <f aca="false">IF(OR(C74="",H74="",I74=""),"",MATCH(H74,lst_Likelihood,0)*MATCH(I74,lst_Consequence,0))</f>
        <v/>
      </c>
      <c r="Q74" s="37" t="str">
        <f aca="false">IF(P74="","",IF(P74&gt;=16,"Critical",IF(P74&gt;=10,"High",IF(P74&gt;=5,"Medium","Low"))))</f>
        <v/>
      </c>
      <c r="R74" s="37" t="str">
        <f aca="true">IF(AND(C74&lt;&gt;"",M74&lt;&gt;"Closed",L74&lt;&gt;"",L74&lt;TODAY()),"Overdue","")</f>
        <v/>
      </c>
      <c r="S74" s="40" t="str">
        <f aca="false">IF(AND(N74&lt;&gt;"",B74="Risk",M74&lt;&gt;"Closed"),N74+(1-ROW()/100000),"")</f>
        <v/>
      </c>
      <c r="T74" s="40" t="str">
        <f aca="false">IF(AND(S74&lt;&gt;"",A74='Project Summary'!$C$3),S74,"")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2"/>
      <c r="G75" s="32"/>
      <c r="H75" s="32"/>
      <c r="I75" s="32"/>
      <c r="J75" s="33"/>
      <c r="K75" s="32"/>
      <c r="L75" s="35"/>
      <c r="M75" s="32"/>
      <c r="N75" s="37" t="str">
        <f aca="false">IF(OR(C75="",F75="",G75=""),"",MATCH(F75,lst_Likelihood,0)*MATCH(G75,lst_Consequence,0))</f>
        <v/>
      </c>
      <c r="O75" s="37" t="str">
        <f aca="false">IF(N75="","",IF(N75&gt;=16,"Critical",IF(N75&gt;=10,"High",IF(N75&gt;=5,"Medium","Low"))))</f>
        <v/>
      </c>
      <c r="P75" s="37" t="str">
        <f aca="false">IF(OR(C75="",H75="",I75=""),"",MATCH(H75,lst_Likelihood,0)*MATCH(I75,lst_Consequence,0))</f>
        <v/>
      </c>
      <c r="Q75" s="37" t="str">
        <f aca="false">IF(P75="","",IF(P75&gt;=16,"Critical",IF(P75&gt;=10,"High",IF(P75&gt;=5,"Medium","Low"))))</f>
        <v/>
      </c>
      <c r="R75" s="37" t="str">
        <f aca="true">IF(AND(C75&lt;&gt;"",M75&lt;&gt;"Closed",L75&lt;&gt;"",L75&lt;TODAY()),"Overdue","")</f>
        <v/>
      </c>
      <c r="S75" s="40" t="str">
        <f aca="false">IF(AND(N75&lt;&gt;"",B75="Risk",M75&lt;&gt;"Closed"),N75+(1-ROW()/100000),"")</f>
        <v/>
      </c>
      <c r="T75" s="40" t="str">
        <f aca="false">IF(AND(S75&lt;&gt;"",A75='Project Summary'!$C$3),S75,"")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2"/>
      <c r="G76" s="32"/>
      <c r="H76" s="32"/>
      <c r="I76" s="32"/>
      <c r="J76" s="33"/>
      <c r="K76" s="32"/>
      <c r="L76" s="35"/>
      <c r="M76" s="32"/>
      <c r="N76" s="37" t="str">
        <f aca="false">IF(OR(C76="",F76="",G76=""),"",MATCH(F76,lst_Likelihood,0)*MATCH(G76,lst_Consequence,0))</f>
        <v/>
      </c>
      <c r="O76" s="37" t="str">
        <f aca="false">IF(N76="","",IF(N76&gt;=16,"Critical",IF(N76&gt;=10,"High",IF(N76&gt;=5,"Medium","Low"))))</f>
        <v/>
      </c>
      <c r="P76" s="37" t="str">
        <f aca="false">IF(OR(C76="",H76="",I76=""),"",MATCH(H76,lst_Likelihood,0)*MATCH(I76,lst_Consequence,0))</f>
        <v/>
      </c>
      <c r="Q76" s="37" t="str">
        <f aca="false">IF(P76="","",IF(P76&gt;=16,"Critical",IF(P76&gt;=10,"High",IF(P76&gt;=5,"Medium","Low"))))</f>
        <v/>
      </c>
      <c r="R76" s="37" t="str">
        <f aca="true">IF(AND(C76&lt;&gt;"",M76&lt;&gt;"Closed",L76&lt;&gt;"",L76&lt;TODAY()),"Overdue","")</f>
        <v/>
      </c>
      <c r="S76" s="40" t="str">
        <f aca="false">IF(AND(N76&lt;&gt;"",B76="Risk",M76&lt;&gt;"Closed"),N76+(1-ROW()/100000),"")</f>
        <v/>
      </c>
      <c r="T76" s="40" t="str">
        <f aca="false">IF(AND(S76&lt;&gt;"",A76='Project Summary'!$C$3),S76,"")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2"/>
      <c r="G77" s="32"/>
      <c r="H77" s="32"/>
      <c r="I77" s="32"/>
      <c r="J77" s="33"/>
      <c r="K77" s="32"/>
      <c r="L77" s="35"/>
      <c r="M77" s="32"/>
      <c r="N77" s="37" t="str">
        <f aca="false">IF(OR(C77="",F77="",G77=""),"",MATCH(F77,lst_Likelihood,0)*MATCH(G77,lst_Consequence,0))</f>
        <v/>
      </c>
      <c r="O77" s="37" t="str">
        <f aca="false">IF(N77="","",IF(N77&gt;=16,"Critical",IF(N77&gt;=10,"High",IF(N77&gt;=5,"Medium","Low"))))</f>
        <v/>
      </c>
      <c r="P77" s="37" t="str">
        <f aca="false">IF(OR(C77="",H77="",I77=""),"",MATCH(H77,lst_Likelihood,0)*MATCH(I77,lst_Consequence,0))</f>
        <v/>
      </c>
      <c r="Q77" s="37" t="str">
        <f aca="false">IF(P77="","",IF(P77&gt;=16,"Critical",IF(P77&gt;=10,"High",IF(P77&gt;=5,"Medium","Low"))))</f>
        <v/>
      </c>
      <c r="R77" s="37" t="str">
        <f aca="true">IF(AND(C77&lt;&gt;"",M77&lt;&gt;"Closed",L77&lt;&gt;"",L77&lt;TODAY()),"Overdue","")</f>
        <v/>
      </c>
      <c r="S77" s="40" t="str">
        <f aca="false">IF(AND(N77&lt;&gt;"",B77="Risk",M77&lt;&gt;"Closed"),N77+(1-ROW()/100000),"")</f>
        <v/>
      </c>
      <c r="T77" s="40" t="str">
        <f aca="false">IF(AND(S77&lt;&gt;"",A77='Project Summary'!$C$3),S77,"")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2"/>
      <c r="G78" s="32"/>
      <c r="H78" s="32"/>
      <c r="I78" s="32"/>
      <c r="J78" s="33"/>
      <c r="K78" s="32"/>
      <c r="L78" s="35"/>
      <c r="M78" s="32"/>
      <c r="N78" s="37" t="str">
        <f aca="false">IF(OR(C78="",F78="",G78=""),"",MATCH(F78,lst_Likelihood,0)*MATCH(G78,lst_Consequence,0))</f>
        <v/>
      </c>
      <c r="O78" s="37" t="str">
        <f aca="false">IF(N78="","",IF(N78&gt;=16,"Critical",IF(N78&gt;=10,"High",IF(N78&gt;=5,"Medium","Low"))))</f>
        <v/>
      </c>
      <c r="P78" s="37" t="str">
        <f aca="false">IF(OR(C78="",H78="",I78=""),"",MATCH(H78,lst_Likelihood,0)*MATCH(I78,lst_Consequence,0))</f>
        <v/>
      </c>
      <c r="Q78" s="37" t="str">
        <f aca="false">IF(P78="","",IF(P78&gt;=16,"Critical",IF(P78&gt;=10,"High",IF(P78&gt;=5,"Medium","Low"))))</f>
        <v/>
      </c>
      <c r="R78" s="37" t="str">
        <f aca="true">IF(AND(C78&lt;&gt;"",M78&lt;&gt;"Closed",L78&lt;&gt;"",L78&lt;TODAY()),"Overdue","")</f>
        <v/>
      </c>
      <c r="S78" s="40" t="str">
        <f aca="false">IF(AND(N78&lt;&gt;"",B78="Risk",M78&lt;&gt;"Closed"),N78+(1-ROW()/100000),"")</f>
        <v/>
      </c>
      <c r="T78" s="40" t="str">
        <f aca="false">IF(AND(S78&lt;&gt;"",A78='Project Summary'!$C$3),S78,"")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2"/>
      <c r="G79" s="32"/>
      <c r="H79" s="32"/>
      <c r="I79" s="32"/>
      <c r="J79" s="33"/>
      <c r="K79" s="32"/>
      <c r="L79" s="35"/>
      <c r="M79" s="32"/>
      <c r="N79" s="37" t="str">
        <f aca="false">IF(OR(C79="",F79="",G79=""),"",MATCH(F79,lst_Likelihood,0)*MATCH(G79,lst_Consequence,0))</f>
        <v/>
      </c>
      <c r="O79" s="37" t="str">
        <f aca="false">IF(N79="","",IF(N79&gt;=16,"Critical",IF(N79&gt;=10,"High",IF(N79&gt;=5,"Medium","Low"))))</f>
        <v/>
      </c>
      <c r="P79" s="37" t="str">
        <f aca="false">IF(OR(C79="",H79="",I79=""),"",MATCH(H79,lst_Likelihood,0)*MATCH(I79,lst_Consequence,0))</f>
        <v/>
      </c>
      <c r="Q79" s="37" t="str">
        <f aca="false">IF(P79="","",IF(P79&gt;=16,"Critical",IF(P79&gt;=10,"High",IF(P79&gt;=5,"Medium","Low"))))</f>
        <v/>
      </c>
      <c r="R79" s="37" t="str">
        <f aca="true">IF(AND(C79&lt;&gt;"",M79&lt;&gt;"Closed",L79&lt;&gt;"",L79&lt;TODAY()),"Overdue","")</f>
        <v/>
      </c>
      <c r="S79" s="40" t="str">
        <f aca="false">IF(AND(N79&lt;&gt;"",B79="Risk",M79&lt;&gt;"Closed"),N79+(1-ROW()/100000),"")</f>
        <v/>
      </c>
      <c r="T79" s="40" t="str">
        <f aca="false">IF(AND(S79&lt;&gt;"",A79='Project Summary'!$C$3),S79,"")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2"/>
      <c r="G80" s="32"/>
      <c r="H80" s="32"/>
      <c r="I80" s="32"/>
      <c r="J80" s="33"/>
      <c r="K80" s="32"/>
      <c r="L80" s="35"/>
      <c r="M80" s="32"/>
      <c r="N80" s="37" t="str">
        <f aca="false">IF(OR(C80="",F80="",G80=""),"",MATCH(F80,lst_Likelihood,0)*MATCH(G80,lst_Consequence,0))</f>
        <v/>
      </c>
      <c r="O80" s="37" t="str">
        <f aca="false">IF(N80="","",IF(N80&gt;=16,"Critical",IF(N80&gt;=10,"High",IF(N80&gt;=5,"Medium","Low"))))</f>
        <v/>
      </c>
      <c r="P80" s="37" t="str">
        <f aca="false">IF(OR(C80="",H80="",I80=""),"",MATCH(H80,lst_Likelihood,0)*MATCH(I80,lst_Consequence,0))</f>
        <v/>
      </c>
      <c r="Q80" s="37" t="str">
        <f aca="false">IF(P80="","",IF(P80&gt;=16,"Critical",IF(P80&gt;=10,"High",IF(P80&gt;=5,"Medium","Low"))))</f>
        <v/>
      </c>
      <c r="R80" s="37" t="str">
        <f aca="true">IF(AND(C80&lt;&gt;"",M80&lt;&gt;"Closed",L80&lt;&gt;"",L80&lt;TODAY()),"Overdue","")</f>
        <v/>
      </c>
      <c r="S80" s="40" t="str">
        <f aca="false">IF(AND(N80&lt;&gt;"",B80="Risk",M80&lt;&gt;"Closed"),N80+(1-ROW()/100000),"")</f>
        <v/>
      </c>
      <c r="T80" s="40" t="str">
        <f aca="false">IF(AND(S80&lt;&gt;"",A80='Project Summary'!$C$3),S80,"")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2"/>
      <c r="G81" s="32"/>
      <c r="H81" s="32"/>
      <c r="I81" s="32"/>
      <c r="J81" s="33"/>
      <c r="K81" s="32"/>
      <c r="L81" s="35"/>
      <c r="M81" s="32"/>
      <c r="N81" s="37" t="str">
        <f aca="false">IF(OR(C81="",F81="",G81=""),"",MATCH(F81,lst_Likelihood,0)*MATCH(G81,lst_Consequence,0))</f>
        <v/>
      </c>
      <c r="O81" s="37" t="str">
        <f aca="false">IF(N81="","",IF(N81&gt;=16,"Critical",IF(N81&gt;=10,"High",IF(N81&gt;=5,"Medium","Low"))))</f>
        <v/>
      </c>
      <c r="P81" s="37" t="str">
        <f aca="false">IF(OR(C81="",H81="",I81=""),"",MATCH(H81,lst_Likelihood,0)*MATCH(I81,lst_Consequence,0))</f>
        <v/>
      </c>
      <c r="Q81" s="37" t="str">
        <f aca="false">IF(P81="","",IF(P81&gt;=16,"Critical",IF(P81&gt;=10,"High",IF(P81&gt;=5,"Medium","Low"))))</f>
        <v/>
      </c>
      <c r="R81" s="37" t="str">
        <f aca="true">IF(AND(C81&lt;&gt;"",M81&lt;&gt;"Closed",L81&lt;&gt;"",L81&lt;TODAY()),"Overdue","")</f>
        <v/>
      </c>
      <c r="S81" s="40" t="str">
        <f aca="false">IF(AND(N81&lt;&gt;"",B81="Risk",M81&lt;&gt;"Closed"),N81+(1-ROW()/100000),"")</f>
        <v/>
      </c>
      <c r="T81" s="40" t="str">
        <f aca="false">IF(AND(S81&lt;&gt;"",A81='Project Summary'!$C$3),S81,"")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2"/>
      <c r="G82" s="32"/>
      <c r="H82" s="32"/>
      <c r="I82" s="32"/>
      <c r="J82" s="33"/>
      <c r="K82" s="32"/>
      <c r="L82" s="35"/>
      <c r="M82" s="32"/>
      <c r="N82" s="37" t="str">
        <f aca="false">IF(OR(C82="",F82="",G82=""),"",MATCH(F82,lst_Likelihood,0)*MATCH(G82,lst_Consequence,0))</f>
        <v/>
      </c>
      <c r="O82" s="37" t="str">
        <f aca="false">IF(N82="","",IF(N82&gt;=16,"Critical",IF(N82&gt;=10,"High",IF(N82&gt;=5,"Medium","Low"))))</f>
        <v/>
      </c>
      <c r="P82" s="37" t="str">
        <f aca="false">IF(OR(C82="",H82="",I82=""),"",MATCH(H82,lst_Likelihood,0)*MATCH(I82,lst_Consequence,0))</f>
        <v/>
      </c>
      <c r="Q82" s="37" t="str">
        <f aca="false">IF(P82="","",IF(P82&gt;=16,"Critical",IF(P82&gt;=10,"High",IF(P82&gt;=5,"Medium","Low"))))</f>
        <v/>
      </c>
      <c r="R82" s="37" t="str">
        <f aca="true">IF(AND(C82&lt;&gt;"",M82&lt;&gt;"Closed",L82&lt;&gt;"",L82&lt;TODAY()),"Overdue","")</f>
        <v/>
      </c>
      <c r="S82" s="40" t="str">
        <f aca="false">IF(AND(N82&lt;&gt;"",B82="Risk",M82&lt;&gt;"Closed"),N82+(1-ROW()/100000),"")</f>
        <v/>
      </c>
      <c r="T82" s="40" t="str">
        <f aca="false">IF(AND(S82&lt;&gt;"",A82='Project Summary'!$C$3),S82,"")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2"/>
      <c r="G83" s="32"/>
      <c r="H83" s="32"/>
      <c r="I83" s="32"/>
      <c r="J83" s="33"/>
      <c r="K83" s="32"/>
      <c r="L83" s="35"/>
      <c r="M83" s="32"/>
      <c r="N83" s="37" t="str">
        <f aca="false">IF(OR(C83="",F83="",G83=""),"",MATCH(F83,lst_Likelihood,0)*MATCH(G83,lst_Consequence,0))</f>
        <v/>
      </c>
      <c r="O83" s="37" t="str">
        <f aca="false">IF(N83="","",IF(N83&gt;=16,"Critical",IF(N83&gt;=10,"High",IF(N83&gt;=5,"Medium","Low"))))</f>
        <v/>
      </c>
      <c r="P83" s="37" t="str">
        <f aca="false">IF(OR(C83="",H83="",I83=""),"",MATCH(H83,lst_Likelihood,0)*MATCH(I83,lst_Consequence,0))</f>
        <v/>
      </c>
      <c r="Q83" s="37" t="str">
        <f aca="false">IF(P83="","",IF(P83&gt;=16,"Critical",IF(P83&gt;=10,"High",IF(P83&gt;=5,"Medium","Low"))))</f>
        <v/>
      </c>
      <c r="R83" s="37" t="str">
        <f aca="true">IF(AND(C83&lt;&gt;"",M83&lt;&gt;"Closed",L83&lt;&gt;"",L83&lt;TODAY()),"Overdue","")</f>
        <v/>
      </c>
      <c r="S83" s="40" t="str">
        <f aca="false">IF(AND(N83&lt;&gt;"",B83="Risk",M83&lt;&gt;"Closed"),N83+(1-ROW()/100000),"")</f>
        <v/>
      </c>
      <c r="T83" s="40" t="str">
        <f aca="false">IF(AND(S83&lt;&gt;"",A83='Project Summary'!$C$3),S83,"")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2"/>
      <c r="G84" s="32"/>
      <c r="H84" s="32"/>
      <c r="I84" s="32"/>
      <c r="J84" s="33"/>
      <c r="K84" s="32"/>
      <c r="L84" s="35"/>
      <c r="M84" s="32"/>
      <c r="N84" s="37" t="str">
        <f aca="false">IF(OR(C84="",F84="",G84=""),"",MATCH(F84,lst_Likelihood,0)*MATCH(G84,lst_Consequence,0))</f>
        <v/>
      </c>
      <c r="O84" s="37" t="str">
        <f aca="false">IF(N84="","",IF(N84&gt;=16,"Critical",IF(N84&gt;=10,"High",IF(N84&gt;=5,"Medium","Low"))))</f>
        <v/>
      </c>
      <c r="P84" s="37" t="str">
        <f aca="false">IF(OR(C84="",H84="",I84=""),"",MATCH(H84,lst_Likelihood,0)*MATCH(I84,lst_Consequence,0))</f>
        <v/>
      </c>
      <c r="Q84" s="37" t="str">
        <f aca="false">IF(P84="","",IF(P84&gt;=16,"Critical",IF(P84&gt;=10,"High",IF(P84&gt;=5,"Medium","Low"))))</f>
        <v/>
      </c>
      <c r="R84" s="37" t="str">
        <f aca="true">IF(AND(C84&lt;&gt;"",M84&lt;&gt;"Closed",L84&lt;&gt;"",L84&lt;TODAY()),"Overdue","")</f>
        <v/>
      </c>
      <c r="S84" s="40" t="str">
        <f aca="false">IF(AND(N84&lt;&gt;"",B84="Risk",M84&lt;&gt;"Closed"),N84+(1-ROW()/100000),"")</f>
        <v/>
      </c>
      <c r="T84" s="40" t="str">
        <f aca="false">IF(AND(S84&lt;&gt;"",A84='Project Summary'!$C$3),S84,"")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2"/>
      <c r="G85" s="32"/>
      <c r="H85" s="32"/>
      <c r="I85" s="32"/>
      <c r="J85" s="33"/>
      <c r="K85" s="32"/>
      <c r="L85" s="35"/>
      <c r="M85" s="32"/>
      <c r="N85" s="37" t="str">
        <f aca="false">IF(OR(C85="",F85="",G85=""),"",MATCH(F85,lst_Likelihood,0)*MATCH(G85,lst_Consequence,0))</f>
        <v/>
      </c>
      <c r="O85" s="37" t="str">
        <f aca="false">IF(N85="","",IF(N85&gt;=16,"Critical",IF(N85&gt;=10,"High",IF(N85&gt;=5,"Medium","Low"))))</f>
        <v/>
      </c>
      <c r="P85" s="37" t="str">
        <f aca="false">IF(OR(C85="",H85="",I85=""),"",MATCH(H85,lst_Likelihood,0)*MATCH(I85,lst_Consequence,0))</f>
        <v/>
      </c>
      <c r="Q85" s="37" t="str">
        <f aca="false">IF(P85="","",IF(P85&gt;=16,"Critical",IF(P85&gt;=10,"High",IF(P85&gt;=5,"Medium","Low"))))</f>
        <v/>
      </c>
      <c r="R85" s="37" t="str">
        <f aca="true">IF(AND(C85&lt;&gt;"",M85&lt;&gt;"Closed",L85&lt;&gt;"",L85&lt;TODAY()),"Overdue","")</f>
        <v/>
      </c>
      <c r="S85" s="40" t="str">
        <f aca="false">IF(AND(N85&lt;&gt;"",B85="Risk",M85&lt;&gt;"Closed"),N85+(1-ROW()/100000),"")</f>
        <v/>
      </c>
      <c r="T85" s="40" t="str">
        <f aca="false">IF(AND(S85&lt;&gt;"",A85='Project Summary'!$C$3),S85,"")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2"/>
      <c r="G86" s="32"/>
      <c r="H86" s="32"/>
      <c r="I86" s="32"/>
      <c r="J86" s="33"/>
      <c r="K86" s="32"/>
      <c r="L86" s="35"/>
      <c r="M86" s="32"/>
      <c r="N86" s="37" t="str">
        <f aca="false">IF(OR(C86="",F86="",G86=""),"",MATCH(F86,lst_Likelihood,0)*MATCH(G86,lst_Consequence,0))</f>
        <v/>
      </c>
      <c r="O86" s="37" t="str">
        <f aca="false">IF(N86="","",IF(N86&gt;=16,"Critical",IF(N86&gt;=10,"High",IF(N86&gt;=5,"Medium","Low"))))</f>
        <v/>
      </c>
      <c r="P86" s="37" t="str">
        <f aca="false">IF(OR(C86="",H86="",I86=""),"",MATCH(H86,lst_Likelihood,0)*MATCH(I86,lst_Consequence,0))</f>
        <v/>
      </c>
      <c r="Q86" s="37" t="str">
        <f aca="false">IF(P86="","",IF(P86&gt;=16,"Critical",IF(P86&gt;=10,"High",IF(P86&gt;=5,"Medium","Low"))))</f>
        <v/>
      </c>
      <c r="R86" s="37" t="str">
        <f aca="true">IF(AND(C86&lt;&gt;"",M86&lt;&gt;"Closed",L86&lt;&gt;"",L86&lt;TODAY()),"Overdue","")</f>
        <v/>
      </c>
      <c r="S86" s="40" t="str">
        <f aca="false">IF(AND(N86&lt;&gt;"",B86="Risk",M86&lt;&gt;"Closed"),N86+(1-ROW()/100000),"")</f>
        <v/>
      </c>
      <c r="T86" s="40" t="str">
        <f aca="false">IF(AND(S86&lt;&gt;"",A86='Project Summary'!$C$3),S86,"")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2"/>
      <c r="G87" s="32"/>
      <c r="H87" s="32"/>
      <c r="I87" s="32"/>
      <c r="J87" s="33"/>
      <c r="K87" s="32"/>
      <c r="L87" s="35"/>
      <c r="M87" s="32"/>
      <c r="N87" s="37" t="str">
        <f aca="false">IF(OR(C87="",F87="",G87=""),"",MATCH(F87,lst_Likelihood,0)*MATCH(G87,lst_Consequence,0))</f>
        <v/>
      </c>
      <c r="O87" s="37" t="str">
        <f aca="false">IF(N87="","",IF(N87&gt;=16,"Critical",IF(N87&gt;=10,"High",IF(N87&gt;=5,"Medium","Low"))))</f>
        <v/>
      </c>
      <c r="P87" s="37" t="str">
        <f aca="false">IF(OR(C87="",H87="",I87=""),"",MATCH(H87,lst_Likelihood,0)*MATCH(I87,lst_Consequence,0))</f>
        <v/>
      </c>
      <c r="Q87" s="37" t="str">
        <f aca="false">IF(P87="","",IF(P87&gt;=16,"Critical",IF(P87&gt;=10,"High",IF(P87&gt;=5,"Medium","Low"))))</f>
        <v/>
      </c>
      <c r="R87" s="37" t="str">
        <f aca="true">IF(AND(C87&lt;&gt;"",M87&lt;&gt;"Closed",L87&lt;&gt;"",L87&lt;TODAY()),"Overdue","")</f>
        <v/>
      </c>
      <c r="S87" s="40" t="str">
        <f aca="false">IF(AND(N87&lt;&gt;"",B87="Risk",M87&lt;&gt;"Closed"),N87+(1-ROW()/100000),"")</f>
        <v/>
      </c>
      <c r="T87" s="40" t="str">
        <f aca="false">IF(AND(S87&lt;&gt;"",A87='Project Summary'!$C$3),S87,"")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2"/>
      <c r="G88" s="32"/>
      <c r="H88" s="32"/>
      <c r="I88" s="32"/>
      <c r="J88" s="33"/>
      <c r="K88" s="32"/>
      <c r="L88" s="35"/>
      <c r="M88" s="32"/>
      <c r="N88" s="37" t="str">
        <f aca="false">IF(OR(C88="",F88="",G88=""),"",MATCH(F88,lst_Likelihood,0)*MATCH(G88,lst_Consequence,0))</f>
        <v/>
      </c>
      <c r="O88" s="37" t="str">
        <f aca="false">IF(N88="","",IF(N88&gt;=16,"Critical",IF(N88&gt;=10,"High",IF(N88&gt;=5,"Medium","Low"))))</f>
        <v/>
      </c>
      <c r="P88" s="37" t="str">
        <f aca="false">IF(OR(C88="",H88="",I88=""),"",MATCH(H88,lst_Likelihood,0)*MATCH(I88,lst_Consequence,0))</f>
        <v/>
      </c>
      <c r="Q88" s="37" t="str">
        <f aca="false">IF(P88="","",IF(P88&gt;=16,"Critical",IF(P88&gt;=10,"High",IF(P88&gt;=5,"Medium","Low"))))</f>
        <v/>
      </c>
      <c r="R88" s="37" t="str">
        <f aca="true">IF(AND(C88&lt;&gt;"",M88&lt;&gt;"Closed",L88&lt;&gt;"",L88&lt;TODAY()),"Overdue","")</f>
        <v/>
      </c>
      <c r="S88" s="40" t="str">
        <f aca="false">IF(AND(N88&lt;&gt;"",B88="Risk",M88&lt;&gt;"Closed"),N88+(1-ROW()/100000),"")</f>
        <v/>
      </c>
      <c r="T88" s="40" t="str">
        <f aca="false">IF(AND(S88&lt;&gt;"",A88='Project Summary'!$C$3),S88,"")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2"/>
      <c r="G89" s="32"/>
      <c r="H89" s="32"/>
      <c r="I89" s="32"/>
      <c r="J89" s="33"/>
      <c r="K89" s="32"/>
      <c r="L89" s="35"/>
      <c r="M89" s="32"/>
      <c r="N89" s="37" t="str">
        <f aca="false">IF(OR(C89="",F89="",G89=""),"",MATCH(F89,lst_Likelihood,0)*MATCH(G89,lst_Consequence,0))</f>
        <v/>
      </c>
      <c r="O89" s="37" t="str">
        <f aca="false">IF(N89="","",IF(N89&gt;=16,"Critical",IF(N89&gt;=10,"High",IF(N89&gt;=5,"Medium","Low"))))</f>
        <v/>
      </c>
      <c r="P89" s="37" t="str">
        <f aca="false">IF(OR(C89="",H89="",I89=""),"",MATCH(H89,lst_Likelihood,0)*MATCH(I89,lst_Consequence,0))</f>
        <v/>
      </c>
      <c r="Q89" s="37" t="str">
        <f aca="false">IF(P89="","",IF(P89&gt;=16,"Critical",IF(P89&gt;=10,"High",IF(P89&gt;=5,"Medium","Low"))))</f>
        <v/>
      </c>
      <c r="R89" s="37" t="str">
        <f aca="true">IF(AND(C89&lt;&gt;"",M89&lt;&gt;"Closed",L89&lt;&gt;"",L89&lt;TODAY()),"Overdue","")</f>
        <v/>
      </c>
      <c r="S89" s="40" t="str">
        <f aca="false">IF(AND(N89&lt;&gt;"",B89="Risk",M89&lt;&gt;"Closed"),N89+(1-ROW()/100000),"")</f>
        <v/>
      </c>
      <c r="T89" s="40" t="str">
        <f aca="false">IF(AND(S89&lt;&gt;"",A89='Project Summary'!$C$3),S89,"")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2"/>
      <c r="G90" s="32"/>
      <c r="H90" s="32"/>
      <c r="I90" s="32"/>
      <c r="J90" s="33"/>
      <c r="K90" s="32"/>
      <c r="L90" s="35"/>
      <c r="M90" s="32"/>
      <c r="N90" s="37" t="str">
        <f aca="false">IF(OR(C90="",F90="",G90=""),"",MATCH(F90,lst_Likelihood,0)*MATCH(G90,lst_Consequence,0))</f>
        <v/>
      </c>
      <c r="O90" s="37" t="str">
        <f aca="false">IF(N90="","",IF(N90&gt;=16,"Critical",IF(N90&gt;=10,"High",IF(N90&gt;=5,"Medium","Low"))))</f>
        <v/>
      </c>
      <c r="P90" s="37" t="str">
        <f aca="false">IF(OR(C90="",H90="",I90=""),"",MATCH(H90,lst_Likelihood,0)*MATCH(I90,lst_Consequence,0))</f>
        <v/>
      </c>
      <c r="Q90" s="37" t="str">
        <f aca="false">IF(P90="","",IF(P90&gt;=16,"Critical",IF(P90&gt;=10,"High",IF(P90&gt;=5,"Medium","Low"))))</f>
        <v/>
      </c>
      <c r="R90" s="37" t="str">
        <f aca="true">IF(AND(C90&lt;&gt;"",M90&lt;&gt;"Closed",L90&lt;&gt;"",L90&lt;TODAY()),"Overdue","")</f>
        <v/>
      </c>
      <c r="S90" s="40" t="str">
        <f aca="false">IF(AND(N90&lt;&gt;"",B90="Risk",M90&lt;&gt;"Closed"),N90+(1-ROW()/100000),"")</f>
        <v/>
      </c>
      <c r="T90" s="40" t="str">
        <f aca="false">IF(AND(S90&lt;&gt;"",A90='Project Summary'!$C$3),S90,"")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2"/>
      <c r="G91" s="32"/>
      <c r="H91" s="32"/>
      <c r="I91" s="32"/>
      <c r="J91" s="33"/>
      <c r="K91" s="32"/>
      <c r="L91" s="35"/>
      <c r="M91" s="32"/>
      <c r="N91" s="37" t="str">
        <f aca="false">IF(OR(C91="",F91="",G91=""),"",MATCH(F91,lst_Likelihood,0)*MATCH(G91,lst_Consequence,0))</f>
        <v/>
      </c>
      <c r="O91" s="37" t="str">
        <f aca="false">IF(N91="","",IF(N91&gt;=16,"Critical",IF(N91&gt;=10,"High",IF(N91&gt;=5,"Medium","Low"))))</f>
        <v/>
      </c>
      <c r="P91" s="37" t="str">
        <f aca="false">IF(OR(C91="",H91="",I91=""),"",MATCH(H91,lst_Likelihood,0)*MATCH(I91,lst_Consequence,0))</f>
        <v/>
      </c>
      <c r="Q91" s="37" t="str">
        <f aca="false">IF(P91="","",IF(P91&gt;=16,"Critical",IF(P91&gt;=10,"High",IF(P91&gt;=5,"Medium","Low"))))</f>
        <v/>
      </c>
      <c r="R91" s="37" t="str">
        <f aca="true">IF(AND(C91&lt;&gt;"",M91&lt;&gt;"Closed",L91&lt;&gt;"",L91&lt;TODAY()),"Overdue","")</f>
        <v/>
      </c>
      <c r="S91" s="40" t="str">
        <f aca="false">IF(AND(N91&lt;&gt;"",B91="Risk",M91&lt;&gt;"Closed"),N91+(1-ROW()/100000),"")</f>
        <v/>
      </c>
      <c r="T91" s="40" t="str">
        <f aca="false">IF(AND(S91&lt;&gt;"",A91='Project Summary'!$C$3),S91,"")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2"/>
      <c r="G92" s="32"/>
      <c r="H92" s="32"/>
      <c r="I92" s="32"/>
      <c r="J92" s="33"/>
      <c r="K92" s="32"/>
      <c r="L92" s="35"/>
      <c r="M92" s="32"/>
      <c r="N92" s="37" t="str">
        <f aca="false">IF(OR(C92="",F92="",G92=""),"",MATCH(F92,lst_Likelihood,0)*MATCH(G92,lst_Consequence,0))</f>
        <v/>
      </c>
      <c r="O92" s="37" t="str">
        <f aca="false">IF(N92="","",IF(N92&gt;=16,"Critical",IF(N92&gt;=10,"High",IF(N92&gt;=5,"Medium","Low"))))</f>
        <v/>
      </c>
      <c r="P92" s="37" t="str">
        <f aca="false">IF(OR(C92="",H92="",I92=""),"",MATCH(H92,lst_Likelihood,0)*MATCH(I92,lst_Consequence,0))</f>
        <v/>
      </c>
      <c r="Q92" s="37" t="str">
        <f aca="false">IF(P92="","",IF(P92&gt;=16,"Critical",IF(P92&gt;=10,"High",IF(P92&gt;=5,"Medium","Low"))))</f>
        <v/>
      </c>
      <c r="R92" s="37" t="str">
        <f aca="true">IF(AND(C92&lt;&gt;"",M92&lt;&gt;"Closed",L92&lt;&gt;"",L92&lt;TODAY()),"Overdue","")</f>
        <v/>
      </c>
      <c r="S92" s="40" t="str">
        <f aca="false">IF(AND(N92&lt;&gt;"",B92="Risk",M92&lt;&gt;"Closed"),N92+(1-ROW()/100000),"")</f>
        <v/>
      </c>
      <c r="T92" s="40" t="str">
        <f aca="false">IF(AND(S92&lt;&gt;"",A92='Project Summary'!$C$3),S92,"")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2"/>
      <c r="G93" s="32"/>
      <c r="H93" s="32"/>
      <c r="I93" s="32"/>
      <c r="J93" s="33"/>
      <c r="K93" s="32"/>
      <c r="L93" s="35"/>
      <c r="M93" s="32"/>
      <c r="N93" s="37" t="str">
        <f aca="false">IF(OR(C93="",F93="",G93=""),"",MATCH(F93,lst_Likelihood,0)*MATCH(G93,lst_Consequence,0))</f>
        <v/>
      </c>
      <c r="O93" s="37" t="str">
        <f aca="false">IF(N93="","",IF(N93&gt;=16,"Critical",IF(N93&gt;=10,"High",IF(N93&gt;=5,"Medium","Low"))))</f>
        <v/>
      </c>
      <c r="P93" s="37" t="str">
        <f aca="false">IF(OR(C93="",H93="",I93=""),"",MATCH(H93,lst_Likelihood,0)*MATCH(I93,lst_Consequence,0))</f>
        <v/>
      </c>
      <c r="Q93" s="37" t="str">
        <f aca="false">IF(P93="","",IF(P93&gt;=16,"Critical",IF(P93&gt;=10,"High",IF(P93&gt;=5,"Medium","Low"))))</f>
        <v/>
      </c>
      <c r="R93" s="37" t="str">
        <f aca="true">IF(AND(C93&lt;&gt;"",M93&lt;&gt;"Closed",L93&lt;&gt;"",L93&lt;TODAY()),"Overdue","")</f>
        <v/>
      </c>
      <c r="S93" s="40" t="str">
        <f aca="false">IF(AND(N93&lt;&gt;"",B93="Risk",M93&lt;&gt;"Closed"),N93+(1-ROW()/100000),"")</f>
        <v/>
      </c>
      <c r="T93" s="40" t="str">
        <f aca="false">IF(AND(S93&lt;&gt;"",A93='Project Summary'!$C$3),S93,"")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2"/>
      <c r="G94" s="32"/>
      <c r="H94" s="32"/>
      <c r="I94" s="32"/>
      <c r="J94" s="33"/>
      <c r="K94" s="32"/>
      <c r="L94" s="35"/>
      <c r="M94" s="32"/>
      <c r="N94" s="37" t="str">
        <f aca="false">IF(OR(C94="",F94="",G94=""),"",MATCH(F94,lst_Likelihood,0)*MATCH(G94,lst_Consequence,0))</f>
        <v/>
      </c>
      <c r="O94" s="37" t="str">
        <f aca="false">IF(N94="","",IF(N94&gt;=16,"Critical",IF(N94&gt;=10,"High",IF(N94&gt;=5,"Medium","Low"))))</f>
        <v/>
      </c>
      <c r="P94" s="37" t="str">
        <f aca="false">IF(OR(C94="",H94="",I94=""),"",MATCH(H94,lst_Likelihood,0)*MATCH(I94,lst_Consequence,0))</f>
        <v/>
      </c>
      <c r="Q94" s="37" t="str">
        <f aca="false">IF(P94="","",IF(P94&gt;=16,"Critical",IF(P94&gt;=10,"High",IF(P94&gt;=5,"Medium","Low"))))</f>
        <v/>
      </c>
      <c r="R94" s="37" t="str">
        <f aca="true">IF(AND(C94&lt;&gt;"",M94&lt;&gt;"Closed",L94&lt;&gt;"",L94&lt;TODAY()),"Overdue","")</f>
        <v/>
      </c>
      <c r="S94" s="40" t="str">
        <f aca="false">IF(AND(N94&lt;&gt;"",B94="Risk",M94&lt;&gt;"Closed"),N94+(1-ROW()/100000),"")</f>
        <v/>
      </c>
      <c r="T94" s="40" t="str">
        <f aca="false">IF(AND(S94&lt;&gt;"",A94='Project Summary'!$C$3),S94,"")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2"/>
      <c r="G95" s="32"/>
      <c r="H95" s="32"/>
      <c r="I95" s="32"/>
      <c r="J95" s="33"/>
      <c r="K95" s="32"/>
      <c r="L95" s="35"/>
      <c r="M95" s="32"/>
      <c r="N95" s="37" t="str">
        <f aca="false">IF(OR(C95="",F95="",G95=""),"",MATCH(F95,lst_Likelihood,0)*MATCH(G95,lst_Consequence,0))</f>
        <v/>
      </c>
      <c r="O95" s="37" t="str">
        <f aca="false">IF(N95="","",IF(N95&gt;=16,"Critical",IF(N95&gt;=10,"High",IF(N95&gt;=5,"Medium","Low"))))</f>
        <v/>
      </c>
      <c r="P95" s="37" t="str">
        <f aca="false">IF(OR(C95="",H95="",I95=""),"",MATCH(H95,lst_Likelihood,0)*MATCH(I95,lst_Consequence,0))</f>
        <v/>
      </c>
      <c r="Q95" s="37" t="str">
        <f aca="false">IF(P95="","",IF(P95&gt;=16,"Critical",IF(P95&gt;=10,"High",IF(P95&gt;=5,"Medium","Low"))))</f>
        <v/>
      </c>
      <c r="R95" s="37" t="str">
        <f aca="true">IF(AND(C95&lt;&gt;"",M95&lt;&gt;"Closed",L95&lt;&gt;"",L95&lt;TODAY()),"Overdue","")</f>
        <v/>
      </c>
      <c r="S95" s="40" t="str">
        <f aca="false">IF(AND(N95&lt;&gt;"",B95="Risk",M95&lt;&gt;"Closed"),N95+(1-ROW()/100000),"")</f>
        <v/>
      </c>
      <c r="T95" s="40" t="str">
        <f aca="false">IF(AND(S95&lt;&gt;"",A95='Project Summary'!$C$3),S95,"")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2"/>
      <c r="G96" s="32"/>
      <c r="H96" s="32"/>
      <c r="I96" s="32"/>
      <c r="J96" s="33"/>
      <c r="K96" s="32"/>
      <c r="L96" s="35"/>
      <c r="M96" s="32"/>
      <c r="N96" s="37" t="str">
        <f aca="false">IF(OR(C96="",F96="",G96=""),"",MATCH(F96,lst_Likelihood,0)*MATCH(G96,lst_Consequence,0))</f>
        <v/>
      </c>
      <c r="O96" s="37" t="str">
        <f aca="false">IF(N96="","",IF(N96&gt;=16,"Critical",IF(N96&gt;=10,"High",IF(N96&gt;=5,"Medium","Low"))))</f>
        <v/>
      </c>
      <c r="P96" s="37" t="str">
        <f aca="false">IF(OR(C96="",H96="",I96=""),"",MATCH(H96,lst_Likelihood,0)*MATCH(I96,lst_Consequence,0))</f>
        <v/>
      </c>
      <c r="Q96" s="37" t="str">
        <f aca="false">IF(P96="","",IF(P96&gt;=16,"Critical",IF(P96&gt;=10,"High",IF(P96&gt;=5,"Medium","Low"))))</f>
        <v/>
      </c>
      <c r="R96" s="37" t="str">
        <f aca="true">IF(AND(C96&lt;&gt;"",M96&lt;&gt;"Closed",L96&lt;&gt;"",L96&lt;TODAY()),"Overdue","")</f>
        <v/>
      </c>
      <c r="S96" s="40" t="str">
        <f aca="false">IF(AND(N96&lt;&gt;"",B96="Risk",M96&lt;&gt;"Closed"),N96+(1-ROW()/100000),"")</f>
        <v/>
      </c>
      <c r="T96" s="40" t="str">
        <f aca="false">IF(AND(S96&lt;&gt;"",A96='Project Summary'!$C$3),S96,"")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2"/>
      <c r="G97" s="32"/>
      <c r="H97" s="32"/>
      <c r="I97" s="32"/>
      <c r="J97" s="33"/>
      <c r="K97" s="32"/>
      <c r="L97" s="35"/>
      <c r="M97" s="32"/>
      <c r="N97" s="37" t="str">
        <f aca="false">IF(OR(C97="",F97="",G97=""),"",MATCH(F97,lst_Likelihood,0)*MATCH(G97,lst_Consequence,0))</f>
        <v/>
      </c>
      <c r="O97" s="37" t="str">
        <f aca="false">IF(N97="","",IF(N97&gt;=16,"Critical",IF(N97&gt;=10,"High",IF(N97&gt;=5,"Medium","Low"))))</f>
        <v/>
      </c>
      <c r="P97" s="37" t="str">
        <f aca="false">IF(OR(C97="",H97="",I97=""),"",MATCH(H97,lst_Likelihood,0)*MATCH(I97,lst_Consequence,0))</f>
        <v/>
      </c>
      <c r="Q97" s="37" t="str">
        <f aca="false">IF(P97="","",IF(P97&gt;=16,"Critical",IF(P97&gt;=10,"High",IF(P97&gt;=5,"Medium","Low"))))</f>
        <v/>
      </c>
      <c r="R97" s="37" t="str">
        <f aca="true">IF(AND(C97&lt;&gt;"",M97&lt;&gt;"Closed",L97&lt;&gt;"",L97&lt;TODAY()),"Overdue","")</f>
        <v/>
      </c>
      <c r="S97" s="40" t="str">
        <f aca="false">IF(AND(N97&lt;&gt;"",B97="Risk",M97&lt;&gt;"Closed"),N97+(1-ROW()/100000),"")</f>
        <v/>
      </c>
      <c r="T97" s="40" t="str">
        <f aca="false">IF(AND(S97&lt;&gt;"",A97='Project Summary'!$C$3),S97,"")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2"/>
      <c r="G98" s="32"/>
      <c r="H98" s="32"/>
      <c r="I98" s="32"/>
      <c r="J98" s="33"/>
      <c r="K98" s="32"/>
      <c r="L98" s="35"/>
      <c r="M98" s="32"/>
      <c r="N98" s="37" t="str">
        <f aca="false">IF(OR(C98="",F98="",G98=""),"",MATCH(F98,lst_Likelihood,0)*MATCH(G98,lst_Consequence,0))</f>
        <v/>
      </c>
      <c r="O98" s="37" t="str">
        <f aca="false">IF(N98="","",IF(N98&gt;=16,"Critical",IF(N98&gt;=10,"High",IF(N98&gt;=5,"Medium","Low"))))</f>
        <v/>
      </c>
      <c r="P98" s="37" t="str">
        <f aca="false">IF(OR(C98="",H98="",I98=""),"",MATCH(H98,lst_Likelihood,0)*MATCH(I98,lst_Consequence,0))</f>
        <v/>
      </c>
      <c r="Q98" s="37" t="str">
        <f aca="false">IF(P98="","",IF(P98&gt;=16,"Critical",IF(P98&gt;=10,"High",IF(P98&gt;=5,"Medium","Low"))))</f>
        <v/>
      </c>
      <c r="R98" s="37" t="str">
        <f aca="true">IF(AND(C98&lt;&gt;"",M98&lt;&gt;"Closed",L98&lt;&gt;"",L98&lt;TODAY()),"Overdue","")</f>
        <v/>
      </c>
      <c r="S98" s="40" t="str">
        <f aca="false">IF(AND(N98&lt;&gt;"",B98="Risk",M98&lt;&gt;"Closed"),N98+(1-ROW()/100000),"")</f>
        <v/>
      </c>
      <c r="T98" s="40" t="str">
        <f aca="false">IF(AND(S98&lt;&gt;"",A98='Project Summary'!$C$3),S98,"")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2"/>
      <c r="G99" s="32"/>
      <c r="H99" s="32"/>
      <c r="I99" s="32"/>
      <c r="J99" s="33"/>
      <c r="K99" s="32"/>
      <c r="L99" s="35"/>
      <c r="M99" s="32"/>
      <c r="N99" s="37" t="str">
        <f aca="false">IF(OR(C99="",F99="",G99=""),"",MATCH(F99,lst_Likelihood,0)*MATCH(G99,lst_Consequence,0))</f>
        <v/>
      </c>
      <c r="O99" s="37" t="str">
        <f aca="false">IF(N99="","",IF(N99&gt;=16,"Critical",IF(N99&gt;=10,"High",IF(N99&gt;=5,"Medium","Low"))))</f>
        <v/>
      </c>
      <c r="P99" s="37" t="str">
        <f aca="false">IF(OR(C99="",H99="",I99=""),"",MATCH(H99,lst_Likelihood,0)*MATCH(I99,lst_Consequence,0))</f>
        <v/>
      </c>
      <c r="Q99" s="37" t="str">
        <f aca="false">IF(P99="","",IF(P99&gt;=16,"Critical",IF(P99&gt;=10,"High",IF(P99&gt;=5,"Medium","Low"))))</f>
        <v/>
      </c>
      <c r="R99" s="37" t="str">
        <f aca="true">IF(AND(C99&lt;&gt;"",M99&lt;&gt;"Closed",L99&lt;&gt;"",L99&lt;TODAY()),"Overdue","")</f>
        <v/>
      </c>
      <c r="S99" s="40" t="str">
        <f aca="false">IF(AND(N99&lt;&gt;"",B99="Risk",M99&lt;&gt;"Closed"),N99+(1-ROW()/100000),"")</f>
        <v/>
      </c>
      <c r="T99" s="40" t="str">
        <f aca="false">IF(AND(S99&lt;&gt;"",A99='Project Summary'!$C$3),S99,"")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2"/>
      <c r="G100" s="32"/>
      <c r="H100" s="32"/>
      <c r="I100" s="32"/>
      <c r="J100" s="33"/>
      <c r="K100" s="32"/>
      <c r="L100" s="35"/>
      <c r="M100" s="32"/>
      <c r="N100" s="37" t="str">
        <f aca="false">IF(OR(C100="",F100="",G100=""),"",MATCH(F100,lst_Likelihood,0)*MATCH(G100,lst_Consequence,0))</f>
        <v/>
      </c>
      <c r="O100" s="37" t="str">
        <f aca="false">IF(N100="","",IF(N100&gt;=16,"Critical",IF(N100&gt;=10,"High",IF(N100&gt;=5,"Medium","Low"))))</f>
        <v/>
      </c>
      <c r="P100" s="37" t="str">
        <f aca="false">IF(OR(C100="",H100="",I100=""),"",MATCH(H100,lst_Likelihood,0)*MATCH(I100,lst_Consequence,0))</f>
        <v/>
      </c>
      <c r="Q100" s="37" t="str">
        <f aca="false">IF(P100="","",IF(P100&gt;=16,"Critical",IF(P100&gt;=10,"High",IF(P100&gt;=5,"Medium","Low"))))</f>
        <v/>
      </c>
      <c r="R100" s="37" t="str">
        <f aca="true">IF(AND(C100&lt;&gt;"",M100&lt;&gt;"Closed",L100&lt;&gt;"",L100&lt;TODAY()),"Overdue","")</f>
        <v/>
      </c>
      <c r="S100" s="40" t="str">
        <f aca="false">IF(AND(N100&lt;&gt;"",B100="Risk",M100&lt;&gt;"Closed"),N100+(1-ROW()/100000),"")</f>
        <v/>
      </c>
      <c r="T100" s="40" t="str">
        <f aca="false">IF(AND(S100&lt;&gt;"",A100='Project Summary'!$C$3),S100,"")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2"/>
      <c r="G101" s="32"/>
      <c r="H101" s="32"/>
      <c r="I101" s="32"/>
      <c r="J101" s="33"/>
      <c r="K101" s="32"/>
      <c r="L101" s="35"/>
      <c r="M101" s="32"/>
      <c r="N101" s="37" t="str">
        <f aca="false">IF(OR(C101="",F101="",G101=""),"",MATCH(F101,lst_Likelihood,0)*MATCH(G101,lst_Consequence,0))</f>
        <v/>
      </c>
      <c r="O101" s="37" t="str">
        <f aca="false">IF(N101="","",IF(N101&gt;=16,"Critical",IF(N101&gt;=10,"High",IF(N101&gt;=5,"Medium","Low"))))</f>
        <v/>
      </c>
      <c r="P101" s="37" t="str">
        <f aca="false">IF(OR(C101="",H101="",I101=""),"",MATCH(H101,lst_Likelihood,0)*MATCH(I101,lst_Consequence,0))</f>
        <v/>
      </c>
      <c r="Q101" s="37" t="str">
        <f aca="false">IF(P101="","",IF(P101&gt;=16,"Critical",IF(P101&gt;=10,"High",IF(P101&gt;=5,"Medium","Low"))))</f>
        <v/>
      </c>
      <c r="R101" s="37" t="str">
        <f aca="true">IF(AND(C101&lt;&gt;"",M101&lt;&gt;"Closed",L101&lt;&gt;"",L101&lt;TODAY()),"Overdue","")</f>
        <v/>
      </c>
      <c r="S101" s="40" t="str">
        <f aca="false">IF(AND(N101&lt;&gt;"",B101="Risk",M101&lt;&gt;"Closed"),N101+(1-ROW()/100000),"")</f>
        <v/>
      </c>
      <c r="T101" s="40" t="str">
        <f aca="false">IF(AND(S101&lt;&gt;"",A101='Project Summary'!$C$3),S101,"")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2"/>
      <c r="G102" s="32"/>
      <c r="H102" s="32"/>
      <c r="I102" s="32"/>
      <c r="J102" s="33"/>
      <c r="K102" s="32"/>
      <c r="L102" s="35"/>
      <c r="M102" s="32"/>
      <c r="N102" s="37" t="str">
        <f aca="false">IF(OR(C102="",F102="",G102=""),"",MATCH(F102,lst_Likelihood,0)*MATCH(G102,lst_Consequence,0))</f>
        <v/>
      </c>
      <c r="O102" s="37" t="str">
        <f aca="false">IF(N102="","",IF(N102&gt;=16,"Critical",IF(N102&gt;=10,"High",IF(N102&gt;=5,"Medium","Low"))))</f>
        <v/>
      </c>
      <c r="P102" s="37" t="str">
        <f aca="false">IF(OR(C102="",H102="",I102=""),"",MATCH(H102,lst_Likelihood,0)*MATCH(I102,lst_Consequence,0))</f>
        <v/>
      </c>
      <c r="Q102" s="37" t="str">
        <f aca="false">IF(P102="","",IF(P102&gt;=16,"Critical",IF(P102&gt;=10,"High",IF(P102&gt;=5,"Medium","Low"))))</f>
        <v/>
      </c>
      <c r="R102" s="37" t="str">
        <f aca="true">IF(AND(C102&lt;&gt;"",M102&lt;&gt;"Closed",L102&lt;&gt;"",L102&lt;TODAY()),"Overdue","")</f>
        <v/>
      </c>
      <c r="S102" s="40" t="str">
        <f aca="false">IF(AND(N102&lt;&gt;"",B102="Risk",M102&lt;&gt;"Closed"),N102+(1-ROW()/100000),"")</f>
        <v/>
      </c>
      <c r="T102" s="40" t="str">
        <f aca="false">IF(AND(S102&lt;&gt;"",A102='Project Summary'!$C$3),S102,"")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2"/>
      <c r="G103" s="32"/>
      <c r="H103" s="32"/>
      <c r="I103" s="32"/>
      <c r="J103" s="33"/>
      <c r="K103" s="32"/>
      <c r="L103" s="35"/>
      <c r="M103" s="32"/>
      <c r="N103" s="37" t="str">
        <f aca="false">IF(OR(C103="",F103="",G103=""),"",MATCH(F103,lst_Likelihood,0)*MATCH(G103,lst_Consequence,0))</f>
        <v/>
      </c>
      <c r="O103" s="37" t="str">
        <f aca="false">IF(N103="","",IF(N103&gt;=16,"Critical",IF(N103&gt;=10,"High",IF(N103&gt;=5,"Medium","Low"))))</f>
        <v/>
      </c>
      <c r="P103" s="37" t="str">
        <f aca="false">IF(OR(C103="",H103="",I103=""),"",MATCH(H103,lst_Likelihood,0)*MATCH(I103,lst_Consequence,0))</f>
        <v/>
      </c>
      <c r="Q103" s="37" t="str">
        <f aca="false">IF(P103="","",IF(P103&gt;=16,"Critical",IF(P103&gt;=10,"High",IF(P103&gt;=5,"Medium","Low"))))</f>
        <v/>
      </c>
      <c r="R103" s="37" t="str">
        <f aca="true">IF(AND(C103&lt;&gt;"",M103&lt;&gt;"Closed",L103&lt;&gt;"",L103&lt;TODAY()),"Overdue","")</f>
        <v/>
      </c>
      <c r="S103" s="40" t="str">
        <f aca="false">IF(AND(N103&lt;&gt;"",B103="Risk",M103&lt;&gt;"Closed"),N103+(1-ROW()/100000),"")</f>
        <v/>
      </c>
      <c r="T103" s="40" t="str">
        <f aca="false">IF(AND(S103&lt;&gt;"",A103='Project Summary'!$C$3),S103,"")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2"/>
      <c r="G104" s="32"/>
      <c r="H104" s="32"/>
      <c r="I104" s="32"/>
      <c r="J104" s="33"/>
      <c r="K104" s="32"/>
      <c r="L104" s="35"/>
      <c r="M104" s="32"/>
      <c r="N104" s="37" t="str">
        <f aca="false">IF(OR(C104="",F104="",G104=""),"",MATCH(F104,lst_Likelihood,0)*MATCH(G104,lst_Consequence,0))</f>
        <v/>
      </c>
      <c r="O104" s="37" t="str">
        <f aca="false">IF(N104="","",IF(N104&gt;=16,"Critical",IF(N104&gt;=10,"High",IF(N104&gt;=5,"Medium","Low"))))</f>
        <v/>
      </c>
      <c r="P104" s="37" t="str">
        <f aca="false">IF(OR(C104="",H104="",I104=""),"",MATCH(H104,lst_Likelihood,0)*MATCH(I104,lst_Consequence,0))</f>
        <v/>
      </c>
      <c r="Q104" s="37" t="str">
        <f aca="false">IF(P104="","",IF(P104&gt;=16,"Critical",IF(P104&gt;=10,"High",IF(P104&gt;=5,"Medium","Low"))))</f>
        <v/>
      </c>
      <c r="R104" s="37" t="str">
        <f aca="true">IF(AND(C104&lt;&gt;"",M104&lt;&gt;"Closed",L104&lt;&gt;"",L104&lt;TODAY()),"Overdue","")</f>
        <v/>
      </c>
      <c r="S104" s="40" t="str">
        <f aca="false">IF(AND(N104&lt;&gt;"",B104="Risk",M104&lt;&gt;"Closed"),N104+(1-ROW()/100000),"")</f>
        <v/>
      </c>
      <c r="T104" s="40" t="str">
        <f aca="false">IF(AND(S104&lt;&gt;"",A104='Project Summary'!$C$3),S104,"")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2"/>
      <c r="G105" s="32"/>
      <c r="H105" s="32"/>
      <c r="I105" s="32"/>
      <c r="J105" s="33"/>
      <c r="K105" s="32"/>
      <c r="L105" s="35"/>
      <c r="M105" s="32"/>
      <c r="N105" s="37" t="str">
        <f aca="false">IF(OR(C105="",F105="",G105=""),"",MATCH(F105,lst_Likelihood,0)*MATCH(G105,lst_Consequence,0))</f>
        <v/>
      </c>
      <c r="O105" s="37" t="str">
        <f aca="false">IF(N105="","",IF(N105&gt;=16,"Critical",IF(N105&gt;=10,"High",IF(N105&gt;=5,"Medium","Low"))))</f>
        <v/>
      </c>
      <c r="P105" s="37" t="str">
        <f aca="false">IF(OR(C105="",H105="",I105=""),"",MATCH(H105,lst_Likelihood,0)*MATCH(I105,lst_Consequence,0))</f>
        <v/>
      </c>
      <c r="Q105" s="37" t="str">
        <f aca="false">IF(P105="","",IF(P105&gt;=16,"Critical",IF(P105&gt;=10,"High",IF(P105&gt;=5,"Medium","Low"))))</f>
        <v/>
      </c>
      <c r="R105" s="37" t="str">
        <f aca="true">IF(AND(C105&lt;&gt;"",M105&lt;&gt;"Closed",L105&lt;&gt;"",L105&lt;TODAY()),"Overdue","")</f>
        <v/>
      </c>
      <c r="S105" s="40" t="str">
        <f aca="false">IF(AND(N105&lt;&gt;"",B105="Risk",M105&lt;&gt;"Closed"),N105+(1-ROW()/100000),"")</f>
        <v/>
      </c>
      <c r="T105" s="40" t="str">
        <f aca="false">IF(AND(S105&lt;&gt;"",A105='Project Summary'!$C$3),S105,"")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2"/>
      <c r="G106" s="32"/>
      <c r="H106" s="32"/>
      <c r="I106" s="32"/>
      <c r="J106" s="33"/>
      <c r="K106" s="32"/>
      <c r="L106" s="35"/>
      <c r="M106" s="32"/>
      <c r="N106" s="37" t="str">
        <f aca="false">IF(OR(C106="",F106="",G106=""),"",MATCH(F106,lst_Likelihood,0)*MATCH(G106,lst_Consequence,0))</f>
        <v/>
      </c>
      <c r="O106" s="37" t="str">
        <f aca="false">IF(N106="","",IF(N106&gt;=16,"Critical",IF(N106&gt;=10,"High",IF(N106&gt;=5,"Medium","Low"))))</f>
        <v/>
      </c>
      <c r="P106" s="37" t="str">
        <f aca="false">IF(OR(C106="",H106="",I106=""),"",MATCH(H106,lst_Likelihood,0)*MATCH(I106,lst_Consequence,0))</f>
        <v/>
      </c>
      <c r="Q106" s="37" t="str">
        <f aca="false">IF(P106="","",IF(P106&gt;=16,"Critical",IF(P106&gt;=10,"High",IF(P106&gt;=5,"Medium","Low"))))</f>
        <v/>
      </c>
      <c r="R106" s="37" t="str">
        <f aca="true">IF(AND(C106&lt;&gt;"",M106&lt;&gt;"Closed",L106&lt;&gt;"",L106&lt;TODAY()),"Overdue","")</f>
        <v/>
      </c>
      <c r="S106" s="40" t="str">
        <f aca="false">IF(AND(N106&lt;&gt;"",B106="Risk",M106&lt;&gt;"Closed"),N106+(1-ROW()/100000),"")</f>
        <v/>
      </c>
      <c r="T106" s="40" t="str">
        <f aca="false">IF(AND(S106&lt;&gt;"",A106='Project Summary'!$C$3),S106,"")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2"/>
      <c r="G107" s="32"/>
      <c r="H107" s="32"/>
      <c r="I107" s="32"/>
      <c r="J107" s="33"/>
      <c r="K107" s="32"/>
      <c r="L107" s="35"/>
      <c r="M107" s="32"/>
      <c r="N107" s="37" t="str">
        <f aca="false">IF(OR(C107="",F107="",G107=""),"",MATCH(F107,lst_Likelihood,0)*MATCH(G107,lst_Consequence,0))</f>
        <v/>
      </c>
      <c r="O107" s="37" t="str">
        <f aca="false">IF(N107="","",IF(N107&gt;=16,"Critical",IF(N107&gt;=10,"High",IF(N107&gt;=5,"Medium","Low"))))</f>
        <v/>
      </c>
      <c r="P107" s="37" t="str">
        <f aca="false">IF(OR(C107="",H107="",I107=""),"",MATCH(H107,lst_Likelihood,0)*MATCH(I107,lst_Consequence,0))</f>
        <v/>
      </c>
      <c r="Q107" s="37" t="str">
        <f aca="false">IF(P107="","",IF(P107&gt;=16,"Critical",IF(P107&gt;=10,"High",IF(P107&gt;=5,"Medium","Low"))))</f>
        <v/>
      </c>
      <c r="R107" s="37" t="str">
        <f aca="true">IF(AND(C107&lt;&gt;"",M107&lt;&gt;"Closed",L107&lt;&gt;"",L107&lt;TODAY()),"Overdue","")</f>
        <v/>
      </c>
      <c r="S107" s="40" t="str">
        <f aca="false">IF(AND(N107&lt;&gt;"",B107="Risk",M107&lt;&gt;"Closed"),N107+(1-ROW()/100000),"")</f>
        <v/>
      </c>
      <c r="T107" s="40" t="str">
        <f aca="false">IF(AND(S107&lt;&gt;"",A107='Project Summary'!$C$3),S107,"")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2"/>
      <c r="G108" s="32"/>
      <c r="H108" s="32"/>
      <c r="I108" s="32"/>
      <c r="J108" s="33"/>
      <c r="K108" s="32"/>
      <c r="L108" s="35"/>
      <c r="M108" s="32"/>
      <c r="N108" s="37" t="str">
        <f aca="false">IF(OR(C108="",F108="",G108=""),"",MATCH(F108,lst_Likelihood,0)*MATCH(G108,lst_Consequence,0))</f>
        <v/>
      </c>
      <c r="O108" s="37" t="str">
        <f aca="false">IF(N108="","",IF(N108&gt;=16,"Critical",IF(N108&gt;=10,"High",IF(N108&gt;=5,"Medium","Low"))))</f>
        <v/>
      </c>
      <c r="P108" s="37" t="str">
        <f aca="false">IF(OR(C108="",H108="",I108=""),"",MATCH(H108,lst_Likelihood,0)*MATCH(I108,lst_Consequence,0))</f>
        <v/>
      </c>
      <c r="Q108" s="37" t="str">
        <f aca="false">IF(P108="","",IF(P108&gt;=16,"Critical",IF(P108&gt;=10,"High",IF(P108&gt;=5,"Medium","Low"))))</f>
        <v/>
      </c>
      <c r="R108" s="37" t="str">
        <f aca="true">IF(AND(C108&lt;&gt;"",M108&lt;&gt;"Closed",L108&lt;&gt;"",L108&lt;TODAY()),"Overdue","")</f>
        <v/>
      </c>
      <c r="S108" s="40" t="str">
        <f aca="false">IF(AND(N108&lt;&gt;"",B108="Risk",M108&lt;&gt;"Closed"),N108+(1-ROW()/100000),"")</f>
        <v/>
      </c>
      <c r="T108" s="40" t="str">
        <f aca="false">IF(AND(S108&lt;&gt;"",A108='Project Summary'!$C$3),S108,"")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2"/>
      <c r="G109" s="32"/>
      <c r="H109" s="32"/>
      <c r="I109" s="32"/>
      <c r="J109" s="33"/>
      <c r="K109" s="32"/>
      <c r="L109" s="35"/>
      <c r="M109" s="32"/>
      <c r="N109" s="37" t="str">
        <f aca="false">IF(OR(C109="",F109="",G109=""),"",MATCH(F109,lst_Likelihood,0)*MATCH(G109,lst_Consequence,0))</f>
        <v/>
      </c>
      <c r="O109" s="37" t="str">
        <f aca="false">IF(N109="","",IF(N109&gt;=16,"Critical",IF(N109&gt;=10,"High",IF(N109&gt;=5,"Medium","Low"))))</f>
        <v/>
      </c>
      <c r="P109" s="37" t="str">
        <f aca="false">IF(OR(C109="",H109="",I109=""),"",MATCH(H109,lst_Likelihood,0)*MATCH(I109,lst_Consequence,0))</f>
        <v/>
      </c>
      <c r="Q109" s="37" t="str">
        <f aca="false">IF(P109="","",IF(P109&gt;=16,"Critical",IF(P109&gt;=10,"High",IF(P109&gt;=5,"Medium","Low"))))</f>
        <v/>
      </c>
      <c r="R109" s="37" t="str">
        <f aca="true">IF(AND(C109&lt;&gt;"",M109&lt;&gt;"Closed",L109&lt;&gt;"",L109&lt;TODAY()),"Overdue","")</f>
        <v/>
      </c>
      <c r="S109" s="40" t="str">
        <f aca="false">IF(AND(N109&lt;&gt;"",B109="Risk",M109&lt;&gt;"Closed"),N109+(1-ROW()/100000),"")</f>
        <v/>
      </c>
      <c r="T109" s="40" t="str">
        <f aca="false">IF(AND(S109&lt;&gt;"",A109='Project Summary'!$C$3),S109,"")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2"/>
      <c r="G110" s="32"/>
      <c r="H110" s="32"/>
      <c r="I110" s="32"/>
      <c r="J110" s="33"/>
      <c r="K110" s="32"/>
      <c r="L110" s="35"/>
      <c r="M110" s="32"/>
      <c r="N110" s="37" t="str">
        <f aca="false">IF(OR(C110="",F110="",G110=""),"",MATCH(F110,lst_Likelihood,0)*MATCH(G110,lst_Consequence,0))</f>
        <v/>
      </c>
      <c r="O110" s="37" t="str">
        <f aca="false">IF(N110="","",IF(N110&gt;=16,"Critical",IF(N110&gt;=10,"High",IF(N110&gt;=5,"Medium","Low"))))</f>
        <v/>
      </c>
      <c r="P110" s="37" t="str">
        <f aca="false">IF(OR(C110="",H110="",I110=""),"",MATCH(H110,lst_Likelihood,0)*MATCH(I110,lst_Consequence,0))</f>
        <v/>
      </c>
      <c r="Q110" s="37" t="str">
        <f aca="false">IF(P110="","",IF(P110&gt;=16,"Critical",IF(P110&gt;=10,"High",IF(P110&gt;=5,"Medium","Low"))))</f>
        <v/>
      </c>
      <c r="R110" s="37" t="str">
        <f aca="true">IF(AND(C110&lt;&gt;"",M110&lt;&gt;"Closed",L110&lt;&gt;"",L110&lt;TODAY()),"Overdue","")</f>
        <v/>
      </c>
      <c r="S110" s="40" t="str">
        <f aca="false">IF(AND(N110&lt;&gt;"",B110="Risk",M110&lt;&gt;"Closed"),N110+(1-ROW()/100000),"")</f>
        <v/>
      </c>
      <c r="T110" s="40" t="str">
        <f aca="false">IF(AND(S110&lt;&gt;"",A110='Project Summary'!$C$3),S110,"")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2"/>
      <c r="G111" s="32"/>
      <c r="H111" s="32"/>
      <c r="I111" s="32"/>
      <c r="J111" s="33"/>
      <c r="K111" s="32"/>
      <c r="L111" s="35"/>
      <c r="M111" s="32"/>
      <c r="N111" s="37" t="str">
        <f aca="false">IF(OR(C111="",F111="",G111=""),"",MATCH(F111,lst_Likelihood,0)*MATCH(G111,lst_Consequence,0))</f>
        <v/>
      </c>
      <c r="O111" s="37" t="str">
        <f aca="false">IF(N111="","",IF(N111&gt;=16,"Critical",IF(N111&gt;=10,"High",IF(N111&gt;=5,"Medium","Low"))))</f>
        <v/>
      </c>
      <c r="P111" s="37" t="str">
        <f aca="false">IF(OR(C111="",H111="",I111=""),"",MATCH(H111,lst_Likelihood,0)*MATCH(I111,lst_Consequence,0))</f>
        <v/>
      </c>
      <c r="Q111" s="37" t="str">
        <f aca="false">IF(P111="","",IF(P111&gt;=16,"Critical",IF(P111&gt;=10,"High",IF(P111&gt;=5,"Medium","Low"))))</f>
        <v/>
      </c>
      <c r="R111" s="37" t="str">
        <f aca="true">IF(AND(C111&lt;&gt;"",M111&lt;&gt;"Closed",L111&lt;&gt;"",L111&lt;TODAY()),"Overdue","")</f>
        <v/>
      </c>
      <c r="S111" s="40" t="str">
        <f aca="false">IF(AND(N111&lt;&gt;"",B111="Risk",M111&lt;&gt;"Closed"),N111+(1-ROW()/100000),"")</f>
        <v/>
      </c>
      <c r="T111" s="40" t="str">
        <f aca="false">IF(AND(S111&lt;&gt;"",A111='Project Summary'!$C$3),S111,"")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2"/>
      <c r="G112" s="32"/>
      <c r="H112" s="32"/>
      <c r="I112" s="32"/>
      <c r="J112" s="33"/>
      <c r="K112" s="32"/>
      <c r="L112" s="35"/>
      <c r="M112" s="32"/>
      <c r="N112" s="37" t="str">
        <f aca="false">IF(OR(C112="",F112="",G112=""),"",MATCH(F112,lst_Likelihood,0)*MATCH(G112,lst_Consequence,0))</f>
        <v/>
      </c>
      <c r="O112" s="37" t="str">
        <f aca="false">IF(N112="","",IF(N112&gt;=16,"Critical",IF(N112&gt;=10,"High",IF(N112&gt;=5,"Medium","Low"))))</f>
        <v/>
      </c>
      <c r="P112" s="37" t="str">
        <f aca="false">IF(OR(C112="",H112="",I112=""),"",MATCH(H112,lst_Likelihood,0)*MATCH(I112,lst_Consequence,0))</f>
        <v/>
      </c>
      <c r="Q112" s="37" t="str">
        <f aca="false">IF(P112="","",IF(P112&gt;=16,"Critical",IF(P112&gt;=10,"High",IF(P112&gt;=5,"Medium","Low"))))</f>
        <v/>
      </c>
      <c r="R112" s="37" t="str">
        <f aca="true">IF(AND(C112&lt;&gt;"",M112&lt;&gt;"Closed",L112&lt;&gt;"",L112&lt;TODAY()),"Overdue","")</f>
        <v/>
      </c>
      <c r="S112" s="40" t="str">
        <f aca="false">IF(AND(N112&lt;&gt;"",B112="Risk",M112&lt;&gt;"Closed"),N112+(1-ROW()/100000),"")</f>
        <v/>
      </c>
      <c r="T112" s="40" t="str">
        <f aca="false">IF(AND(S112&lt;&gt;"",A112='Project Summary'!$C$3),S112,"")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2"/>
      <c r="G113" s="32"/>
      <c r="H113" s="32"/>
      <c r="I113" s="32"/>
      <c r="J113" s="33"/>
      <c r="K113" s="32"/>
      <c r="L113" s="35"/>
      <c r="M113" s="32"/>
      <c r="N113" s="37" t="str">
        <f aca="false">IF(OR(C113="",F113="",G113=""),"",MATCH(F113,lst_Likelihood,0)*MATCH(G113,lst_Consequence,0))</f>
        <v/>
      </c>
      <c r="O113" s="37" t="str">
        <f aca="false">IF(N113="","",IF(N113&gt;=16,"Critical",IF(N113&gt;=10,"High",IF(N113&gt;=5,"Medium","Low"))))</f>
        <v/>
      </c>
      <c r="P113" s="37" t="str">
        <f aca="false">IF(OR(C113="",H113="",I113=""),"",MATCH(H113,lst_Likelihood,0)*MATCH(I113,lst_Consequence,0))</f>
        <v/>
      </c>
      <c r="Q113" s="37" t="str">
        <f aca="false">IF(P113="","",IF(P113&gt;=16,"Critical",IF(P113&gt;=10,"High",IF(P113&gt;=5,"Medium","Low"))))</f>
        <v/>
      </c>
      <c r="R113" s="37" t="str">
        <f aca="true">IF(AND(C113&lt;&gt;"",M113&lt;&gt;"Closed",L113&lt;&gt;"",L113&lt;TODAY()),"Overdue","")</f>
        <v/>
      </c>
      <c r="S113" s="40" t="str">
        <f aca="false">IF(AND(N113&lt;&gt;"",B113="Risk",M113&lt;&gt;"Closed"),N113+(1-ROW()/100000),"")</f>
        <v/>
      </c>
      <c r="T113" s="40" t="str">
        <f aca="false">IF(AND(S113&lt;&gt;"",A113='Project Summary'!$C$3),S113,"")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2"/>
      <c r="G114" s="32"/>
      <c r="H114" s="32"/>
      <c r="I114" s="32"/>
      <c r="J114" s="33"/>
      <c r="K114" s="32"/>
      <c r="L114" s="35"/>
      <c r="M114" s="32"/>
      <c r="N114" s="37" t="str">
        <f aca="false">IF(OR(C114="",F114="",G114=""),"",MATCH(F114,lst_Likelihood,0)*MATCH(G114,lst_Consequence,0))</f>
        <v/>
      </c>
      <c r="O114" s="37" t="str">
        <f aca="false">IF(N114="","",IF(N114&gt;=16,"Critical",IF(N114&gt;=10,"High",IF(N114&gt;=5,"Medium","Low"))))</f>
        <v/>
      </c>
      <c r="P114" s="37" t="str">
        <f aca="false">IF(OR(C114="",H114="",I114=""),"",MATCH(H114,lst_Likelihood,0)*MATCH(I114,lst_Consequence,0))</f>
        <v/>
      </c>
      <c r="Q114" s="37" t="str">
        <f aca="false">IF(P114="","",IF(P114&gt;=16,"Critical",IF(P114&gt;=10,"High",IF(P114&gt;=5,"Medium","Low"))))</f>
        <v/>
      </c>
      <c r="R114" s="37" t="str">
        <f aca="true">IF(AND(C114&lt;&gt;"",M114&lt;&gt;"Closed",L114&lt;&gt;"",L114&lt;TODAY()),"Overdue","")</f>
        <v/>
      </c>
      <c r="S114" s="40" t="str">
        <f aca="false">IF(AND(N114&lt;&gt;"",B114="Risk",M114&lt;&gt;"Closed"),N114+(1-ROW()/100000),"")</f>
        <v/>
      </c>
      <c r="T114" s="40" t="str">
        <f aca="false">IF(AND(S114&lt;&gt;"",A114='Project Summary'!$C$3),S114,"")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2"/>
      <c r="G115" s="32"/>
      <c r="H115" s="32"/>
      <c r="I115" s="32"/>
      <c r="J115" s="33"/>
      <c r="K115" s="32"/>
      <c r="L115" s="35"/>
      <c r="M115" s="32"/>
      <c r="N115" s="37" t="str">
        <f aca="false">IF(OR(C115="",F115="",G115=""),"",MATCH(F115,lst_Likelihood,0)*MATCH(G115,lst_Consequence,0))</f>
        <v/>
      </c>
      <c r="O115" s="37" t="str">
        <f aca="false">IF(N115="","",IF(N115&gt;=16,"Critical",IF(N115&gt;=10,"High",IF(N115&gt;=5,"Medium","Low"))))</f>
        <v/>
      </c>
      <c r="P115" s="37" t="str">
        <f aca="false">IF(OR(C115="",H115="",I115=""),"",MATCH(H115,lst_Likelihood,0)*MATCH(I115,lst_Consequence,0))</f>
        <v/>
      </c>
      <c r="Q115" s="37" t="str">
        <f aca="false">IF(P115="","",IF(P115&gt;=16,"Critical",IF(P115&gt;=10,"High",IF(P115&gt;=5,"Medium","Low"))))</f>
        <v/>
      </c>
      <c r="R115" s="37" t="str">
        <f aca="true">IF(AND(C115&lt;&gt;"",M115&lt;&gt;"Closed",L115&lt;&gt;"",L115&lt;TODAY()),"Overdue","")</f>
        <v/>
      </c>
      <c r="S115" s="40" t="str">
        <f aca="false">IF(AND(N115&lt;&gt;"",B115="Risk",M115&lt;&gt;"Closed"),N115+(1-ROW()/100000),"")</f>
        <v/>
      </c>
      <c r="T115" s="40" t="str">
        <f aca="false">IF(AND(S115&lt;&gt;"",A115='Project Summary'!$C$3),S115,"")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2"/>
      <c r="G116" s="32"/>
      <c r="H116" s="32"/>
      <c r="I116" s="32"/>
      <c r="J116" s="33"/>
      <c r="K116" s="32"/>
      <c r="L116" s="35"/>
      <c r="M116" s="32"/>
      <c r="N116" s="37" t="str">
        <f aca="false">IF(OR(C116="",F116="",G116=""),"",MATCH(F116,lst_Likelihood,0)*MATCH(G116,lst_Consequence,0))</f>
        <v/>
      </c>
      <c r="O116" s="37" t="str">
        <f aca="false">IF(N116="","",IF(N116&gt;=16,"Critical",IF(N116&gt;=10,"High",IF(N116&gt;=5,"Medium","Low"))))</f>
        <v/>
      </c>
      <c r="P116" s="37" t="str">
        <f aca="false">IF(OR(C116="",H116="",I116=""),"",MATCH(H116,lst_Likelihood,0)*MATCH(I116,lst_Consequence,0))</f>
        <v/>
      </c>
      <c r="Q116" s="37" t="str">
        <f aca="false">IF(P116="","",IF(P116&gt;=16,"Critical",IF(P116&gt;=10,"High",IF(P116&gt;=5,"Medium","Low"))))</f>
        <v/>
      </c>
      <c r="R116" s="37" t="str">
        <f aca="true">IF(AND(C116&lt;&gt;"",M116&lt;&gt;"Closed",L116&lt;&gt;"",L116&lt;TODAY()),"Overdue","")</f>
        <v/>
      </c>
      <c r="S116" s="40" t="str">
        <f aca="false">IF(AND(N116&lt;&gt;"",B116="Risk",M116&lt;&gt;"Closed"),N116+(1-ROW()/100000),"")</f>
        <v/>
      </c>
      <c r="T116" s="40" t="str">
        <f aca="false">IF(AND(S116&lt;&gt;"",A116='Project Summary'!$C$3),S116,"")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2"/>
      <c r="G117" s="32"/>
      <c r="H117" s="32"/>
      <c r="I117" s="32"/>
      <c r="J117" s="33"/>
      <c r="K117" s="32"/>
      <c r="L117" s="35"/>
      <c r="M117" s="32"/>
      <c r="N117" s="37" t="str">
        <f aca="false">IF(OR(C117="",F117="",G117=""),"",MATCH(F117,lst_Likelihood,0)*MATCH(G117,lst_Consequence,0))</f>
        <v/>
      </c>
      <c r="O117" s="37" t="str">
        <f aca="false">IF(N117="","",IF(N117&gt;=16,"Critical",IF(N117&gt;=10,"High",IF(N117&gt;=5,"Medium","Low"))))</f>
        <v/>
      </c>
      <c r="P117" s="37" t="str">
        <f aca="false">IF(OR(C117="",H117="",I117=""),"",MATCH(H117,lst_Likelihood,0)*MATCH(I117,lst_Consequence,0))</f>
        <v/>
      </c>
      <c r="Q117" s="37" t="str">
        <f aca="false">IF(P117="","",IF(P117&gt;=16,"Critical",IF(P117&gt;=10,"High",IF(P117&gt;=5,"Medium","Low"))))</f>
        <v/>
      </c>
      <c r="R117" s="37" t="str">
        <f aca="true">IF(AND(C117&lt;&gt;"",M117&lt;&gt;"Closed",L117&lt;&gt;"",L117&lt;TODAY()),"Overdue","")</f>
        <v/>
      </c>
      <c r="S117" s="40" t="str">
        <f aca="false">IF(AND(N117&lt;&gt;"",B117="Risk",M117&lt;&gt;"Closed"),N117+(1-ROW()/100000),"")</f>
        <v/>
      </c>
      <c r="T117" s="40" t="str">
        <f aca="false">IF(AND(S117&lt;&gt;"",A117='Project Summary'!$C$3),S117,"")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2"/>
      <c r="G118" s="32"/>
      <c r="H118" s="32"/>
      <c r="I118" s="32"/>
      <c r="J118" s="33"/>
      <c r="K118" s="32"/>
      <c r="L118" s="35"/>
      <c r="M118" s="32"/>
      <c r="N118" s="37" t="str">
        <f aca="false">IF(OR(C118="",F118="",G118=""),"",MATCH(F118,lst_Likelihood,0)*MATCH(G118,lst_Consequence,0))</f>
        <v/>
      </c>
      <c r="O118" s="37" t="str">
        <f aca="false">IF(N118="","",IF(N118&gt;=16,"Critical",IF(N118&gt;=10,"High",IF(N118&gt;=5,"Medium","Low"))))</f>
        <v/>
      </c>
      <c r="P118" s="37" t="str">
        <f aca="false">IF(OR(C118="",H118="",I118=""),"",MATCH(H118,lst_Likelihood,0)*MATCH(I118,lst_Consequence,0))</f>
        <v/>
      </c>
      <c r="Q118" s="37" t="str">
        <f aca="false">IF(P118="","",IF(P118&gt;=16,"Critical",IF(P118&gt;=10,"High",IF(P118&gt;=5,"Medium","Low"))))</f>
        <v/>
      </c>
      <c r="R118" s="37" t="str">
        <f aca="true">IF(AND(C118&lt;&gt;"",M118&lt;&gt;"Closed",L118&lt;&gt;"",L118&lt;TODAY()),"Overdue","")</f>
        <v/>
      </c>
      <c r="S118" s="40" t="str">
        <f aca="false">IF(AND(N118&lt;&gt;"",B118="Risk",M118&lt;&gt;"Closed"),N118+(1-ROW()/100000),"")</f>
        <v/>
      </c>
      <c r="T118" s="40" t="str">
        <f aca="false">IF(AND(S118&lt;&gt;"",A118='Project Summary'!$C$3),S118,"")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2"/>
      <c r="G119" s="32"/>
      <c r="H119" s="32"/>
      <c r="I119" s="32"/>
      <c r="J119" s="33"/>
      <c r="K119" s="32"/>
      <c r="L119" s="35"/>
      <c r="M119" s="32"/>
      <c r="N119" s="37" t="str">
        <f aca="false">IF(OR(C119="",F119="",G119=""),"",MATCH(F119,lst_Likelihood,0)*MATCH(G119,lst_Consequence,0))</f>
        <v/>
      </c>
      <c r="O119" s="37" t="str">
        <f aca="false">IF(N119="","",IF(N119&gt;=16,"Critical",IF(N119&gt;=10,"High",IF(N119&gt;=5,"Medium","Low"))))</f>
        <v/>
      </c>
      <c r="P119" s="37" t="str">
        <f aca="false">IF(OR(C119="",H119="",I119=""),"",MATCH(H119,lst_Likelihood,0)*MATCH(I119,lst_Consequence,0))</f>
        <v/>
      </c>
      <c r="Q119" s="37" t="str">
        <f aca="false">IF(P119="","",IF(P119&gt;=16,"Critical",IF(P119&gt;=10,"High",IF(P119&gt;=5,"Medium","Low"))))</f>
        <v/>
      </c>
      <c r="R119" s="37" t="str">
        <f aca="true">IF(AND(C119&lt;&gt;"",M119&lt;&gt;"Closed",L119&lt;&gt;"",L119&lt;TODAY()),"Overdue","")</f>
        <v/>
      </c>
      <c r="S119" s="40" t="str">
        <f aca="false">IF(AND(N119&lt;&gt;"",B119="Risk",M119&lt;&gt;"Closed"),N119+(1-ROW()/100000),"")</f>
        <v/>
      </c>
      <c r="T119" s="40" t="str">
        <f aca="false">IF(AND(S119&lt;&gt;"",A119='Project Summary'!$C$3),S119,"")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2"/>
      <c r="G120" s="32"/>
      <c r="H120" s="32"/>
      <c r="I120" s="32"/>
      <c r="J120" s="33"/>
      <c r="K120" s="32"/>
      <c r="L120" s="35"/>
      <c r="M120" s="32"/>
      <c r="N120" s="37" t="str">
        <f aca="false">IF(OR(C120="",F120="",G120=""),"",MATCH(F120,lst_Likelihood,0)*MATCH(G120,lst_Consequence,0))</f>
        <v/>
      </c>
      <c r="O120" s="37" t="str">
        <f aca="false">IF(N120="","",IF(N120&gt;=16,"Critical",IF(N120&gt;=10,"High",IF(N120&gt;=5,"Medium","Low"))))</f>
        <v/>
      </c>
      <c r="P120" s="37" t="str">
        <f aca="false">IF(OR(C120="",H120="",I120=""),"",MATCH(H120,lst_Likelihood,0)*MATCH(I120,lst_Consequence,0))</f>
        <v/>
      </c>
      <c r="Q120" s="37" t="str">
        <f aca="false">IF(P120="","",IF(P120&gt;=16,"Critical",IF(P120&gt;=10,"High",IF(P120&gt;=5,"Medium","Low"))))</f>
        <v/>
      </c>
      <c r="R120" s="37" t="str">
        <f aca="true">IF(AND(C120&lt;&gt;"",M120&lt;&gt;"Closed",L120&lt;&gt;"",L120&lt;TODAY()),"Overdue","")</f>
        <v/>
      </c>
      <c r="S120" s="40" t="str">
        <f aca="false">IF(AND(N120&lt;&gt;"",B120="Risk",M120&lt;&gt;"Closed"),N120+(1-ROW()/100000),"")</f>
        <v/>
      </c>
      <c r="T120" s="40" t="str">
        <f aca="false">IF(AND(S120&lt;&gt;"",A120='Project Summary'!$C$3),S120,"")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2"/>
      <c r="G121" s="32"/>
      <c r="H121" s="32"/>
      <c r="I121" s="32"/>
      <c r="J121" s="33"/>
      <c r="K121" s="32"/>
      <c r="L121" s="35"/>
      <c r="M121" s="32"/>
      <c r="N121" s="37" t="str">
        <f aca="false">IF(OR(C121="",F121="",G121=""),"",MATCH(F121,lst_Likelihood,0)*MATCH(G121,lst_Consequence,0))</f>
        <v/>
      </c>
      <c r="O121" s="37" t="str">
        <f aca="false">IF(N121="","",IF(N121&gt;=16,"Critical",IF(N121&gt;=10,"High",IF(N121&gt;=5,"Medium","Low"))))</f>
        <v/>
      </c>
      <c r="P121" s="37" t="str">
        <f aca="false">IF(OR(C121="",H121="",I121=""),"",MATCH(H121,lst_Likelihood,0)*MATCH(I121,lst_Consequence,0))</f>
        <v/>
      </c>
      <c r="Q121" s="37" t="str">
        <f aca="false">IF(P121="","",IF(P121&gt;=16,"Critical",IF(P121&gt;=10,"High",IF(P121&gt;=5,"Medium","Low"))))</f>
        <v/>
      </c>
      <c r="R121" s="37" t="str">
        <f aca="true">IF(AND(C121&lt;&gt;"",M121&lt;&gt;"Closed",L121&lt;&gt;"",L121&lt;TODAY()),"Overdue","")</f>
        <v/>
      </c>
      <c r="S121" s="40" t="str">
        <f aca="false">IF(AND(N121&lt;&gt;"",B121="Risk",M121&lt;&gt;"Closed"),N121+(1-ROW()/100000),"")</f>
        <v/>
      </c>
      <c r="T121" s="40" t="str">
        <f aca="false">IF(AND(S121&lt;&gt;"",A121='Project Summary'!$C$3),S121,"")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2"/>
      <c r="G122" s="32"/>
      <c r="H122" s="32"/>
      <c r="I122" s="32"/>
      <c r="J122" s="33"/>
      <c r="K122" s="32"/>
      <c r="L122" s="35"/>
      <c r="M122" s="32"/>
      <c r="N122" s="37" t="str">
        <f aca="false">IF(OR(C122="",F122="",G122=""),"",MATCH(F122,lst_Likelihood,0)*MATCH(G122,lst_Consequence,0))</f>
        <v/>
      </c>
      <c r="O122" s="37" t="str">
        <f aca="false">IF(N122="","",IF(N122&gt;=16,"Critical",IF(N122&gt;=10,"High",IF(N122&gt;=5,"Medium","Low"))))</f>
        <v/>
      </c>
      <c r="P122" s="37" t="str">
        <f aca="false">IF(OR(C122="",H122="",I122=""),"",MATCH(H122,lst_Likelihood,0)*MATCH(I122,lst_Consequence,0))</f>
        <v/>
      </c>
      <c r="Q122" s="37" t="str">
        <f aca="false">IF(P122="","",IF(P122&gt;=16,"Critical",IF(P122&gt;=10,"High",IF(P122&gt;=5,"Medium","Low"))))</f>
        <v/>
      </c>
      <c r="R122" s="37" t="str">
        <f aca="true">IF(AND(C122&lt;&gt;"",M122&lt;&gt;"Closed",L122&lt;&gt;"",L122&lt;TODAY()),"Overdue","")</f>
        <v/>
      </c>
      <c r="S122" s="40" t="str">
        <f aca="false">IF(AND(N122&lt;&gt;"",B122="Risk",M122&lt;&gt;"Closed"),N122+(1-ROW()/100000),"")</f>
        <v/>
      </c>
      <c r="T122" s="40" t="str">
        <f aca="false">IF(AND(S122&lt;&gt;"",A122='Project Summary'!$C$3),S122,"")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2"/>
      <c r="G123" s="32"/>
      <c r="H123" s="32"/>
      <c r="I123" s="32"/>
      <c r="J123" s="33"/>
      <c r="K123" s="32"/>
      <c r="L123" s="35"/>
      <c r="M123" s="32"/>
      <c r="N123" s="37" t="str">
        <f aca="false">IF(OR(C123="",F123="",G123=""),"",MATCH(F123,lst_Likelihood,0)*MATCH(G123,lst_Consequence,0))</f>
        <v/>
      </c>
      <c r="O123" s="37" t="str">
        <f aca="false">IF(N123="","",IF(N123&gt;=16,"Critical",IF(N123&gt;=10,"High",IF(N123&gt;=5,"Medium","Low"))))</f>
        <v/>
      </c>
      <c r="P123" s="37" t="str">
        <f aca="false">IF(OR(C123="",H123="",I123=""),"",MATCH(H123,lst_Likelihood,0)*MATCH(I123,lst_Consequence,0))</f>
        <v/>
      </c>
      <c r="Q123" s="37" t="str">
        <f aca="false">IF(P123="","",IF(P123&gt;=16,"Critical",IF(P123&gt;=10,"High",IF(P123&gt;=5,"Medium","Low"))))</f>
        <v/>
      </c>
      <c r="R123" s="37" t="str">
        <f aca="true">IF(AND(C123&lt;&gt;"",M123&lt;&gt;"Closed",L123&lt;&gt;"",L123&lt;TODAY()),"Overdue","")</f>
        <v/>
      </c>
      <c r="S123" s="40" t="str">
        <f aca="false">IF(AND(N123&lt;&gt;"",B123="Risk",M123&lt;&gt;"Closed"),N123+(1-ROW()/100000),"")</f>
        <v/>
      </c>
      <c r="T123" s="40" t="str">
        <f aca="false">IF(AND(S123&lt;&gt;"",A123='Project Summary'!$C$3),S123,"")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2"/>
      <c r="G124" s="32"/>
      <c r="H124" s="32"/>
      <c r="I124" s="32"/>
      <c r="J124" s="33"/>
      <c r="K124" s="32"/>
      <c r="L124" s="35"/>
      <c r="M124" s="32"/>
      <c r="N124" s="37" t="str">
        <f aca="false">IF(OR(C124="",F124="",G124=""),"",MATCH(F124,lst_Likelihood,0)*MATCH(G124,lst_Consequence,0))</f>
        <v/>
      </c>
      <c r="O124" s="37" t="str">
        <f aca="false">IF(N124="","",IF(N124&gt;=16,"Critical",IF(N124&gt;=10,"High",IF(N124&gt;=5,"Medium","Low"))))</f>
        <v/>
      </c>
      <c r="P124" s="37" t="str">
        <f aca="false">IF(OR(C124="",H124="",I124=""),"",MATCH(H124,lst_Likelihood,0)*MATCH(I124,lst_Consequence,0))</f>
        <v/>
      </c>
      <c r="Q124" s="37" t="str">
        <f aca="false">IF(P124="","",IF(P124&gt;=16,"Critical",IF(P124&gt;=10,"High",IF(P124&gt;=5,"Medium","Low"))))</f>
        <v/>
      </c>
      <c r="R124" s="37" t="str">
        <f aca="true">IF(AND(C124&lt;&gt;"",M124&lt;&gt;"Closed",L124&lt;&gt;"",L124&lt;TODAY()),"Overdue","")</f>
        <v/>
      </c>
      <c r="S124" s="40" t="str">
        <f aca="false">IF(AND(N124&lt;&gt;"",B124="Risk",M124&lt;&gt;"Closed"),N124+(1-ROW()/100000),"")</f>
        <v/>
      </c>
      <c r="T124" s="40" t="str">
        <f aca="false">IF(AND(S124&lt;&gt;"",A124='Project Summary'!$C$3),S124,"")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2"/>
      <c r="G125" s="32"/>
      <c r="H125" s="32"/>
      <c r="I125" s="32"/>
      <c r="J125" s="33"/>
      <c r="K125" s="32"/>
      <c r="L125" s="35"/>
      <c r="M125" s="32"/>
      <c r="N125" s="37" t="str">
        <f aca="false">IF(OR(C125="",F125="",G125=""),"",MATCH(F125,lst_Likelihood,0)*MATCH(G125,lst_Consequence,0))</f>
        <v/>
      </c>
      <c r="O125" s="37" t="str">
        <f aca="false">IF(N125="","",IF(N125&gt;=16,"Critical",IF(N125&gt;=10,"High",IF(N125&gt;=5,"Medium","Low"))))</f>
        <v/>
      </c>
      <c r="P125" s="37" t="str">
        <f aca="false">IF(OR(C125="",H125="",I125=""),"",MATCH(H125,lst_Likelihood,0)*MATCH(I125,lst_Consequence,0))</f>
        <v/>
      </c>
      <c r="Q125" s="37" t="str">
        <f aca="false">IF(P125="","",IF(P125&gt;=16,"Critical",IF(P125&gt;=10,"High",IF(P125&gt;=5,"Medium","Low"))))</f>
        <v/>
      </c>
      <c r="R125" s="37" t="str">
        <f aca="true">IF(AND(C125&lt;&gt;"",M125&lt;&gt;"Closed",L125&lt;&gt;"",L125&lt;TODAY()),"Overdue","")</f>
        <v/>
      </c>
      <c r="S125" s="40" t="str">
        <f aca="false">IF(AND(N125&lt;&gt;"",B125="Risk",M125&lt;&gt;"Closed"),N125+(1-ROW()/100000),"")</f>
        <v/>
      </c>
      <c r="T125" s="40" t="str">
        <f aca="false">IF(AND(S125&lt;&gt;"",A125='Project Summary'!$C$3),S125,"")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2"/>
      <c r="G126" s="32"/>
      <c r="H126" s="32"/>
      <c r="I126" s="32"/>
      <c r="J126" s="33"/>
      <c r="K126" s="32"/>
      <c r="L126" s="35"/>
      <c r="M126" s="32"/>
      <c r="N126" s="37" t="str">
        <f aca="false">IF(OR(C126="",F126="",G126=""),"",MATCH(F126,lst_Likelihood,0)*MATCH(G126,lst_Consequence,0))</f>
        <v/>
      </c>
      <c r="O126" s="37" t="str">
        <f aca="false">IF(N126="","",IF(N126&gt;=16,"Critical",IF(N126&gt;=10,"High",IF(N126&gt;=5,"Medium","Low"))))</f>
        <v/>
      </c>
      <c r="P126" s="37" t="str">
        <f aca="false">IF(OR(C126="",H126="",I126=""),"",MATCH(H126,lst_Likelihood,0)*MATCH(I126,lst_Consequence,0))</f>
        <v/>
      </c>
      <c r="Q126" s="37" t="str">
        <f aca="false">IF(P126="","",IF(P126&gt;=16,"Critical",IF(P126&gt;=10,"High",IF(P126&gt;=5,"Medium","Low"))))</f>
        <v/>
      </c>
      <c r="R126" s="37" t="str">
        <f aca="true">IF(AND(C126&lt;&gt;"",M126&lt;&gt;"Closed",L126&lt;&gt;"",L126&lt;TODAY()),"Overdue","")</f>
        <v/>
      </c>
      <c r="S126" s="40" t="str">
        <f aca="false">IF(AND(N126&lt;&gt;"",B126="Risk",M126&lt;&gt;"Closed"),N126+(1-ROW()/100000),"")</f>
        <v/>
      </c>
      <c r="T126" s="40" t="str">
        <f aca="false">IF(AND(S126&lt;&gt;"",A126='Project Summary'!$C$3),S126,"")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2"/>
      <c r="G127" s="32"/>
      <c r="H127" s="32"/>
      <c r="I127" s="32"/>
      <c r="J127" s="33"/>
      <c r="K127" s="32"/>
      <c r="L127" s="35"/>
      <c r="M127" s="32"/>
      <c r="N127" s="37" t="str">
        <f aca="false">IF(OR(C127="",F127="",G127=""),"",MATCH(F127,lst_Likelihood,0)*MATCH(G127,lst_Consequence,0))</f>
        <v/>
      </c>
      <c r="O127" s="37" t="str">
        <f aca="false">IF(N127="","",IF(N127&gt;=16,"Critical",IF(N127&gt;=10,"High",IF(N127&gt;=5,"Medium","Low"))))</f>
        <v/>
      </c>
      <c r="P127" s="37" t="str">
        <f aca="false">IF(OR(C127="",H127="",I127=""),"",MATCH(H127,lst_Likelihood,0)*MATCH(I127,lst_Consequence,0))</f>
        <v/>
      </c>
      <c r="Q127" s="37" t="str">
        <f aca="false">IF(P127="","",IF(P127&gt;=16,"Critical",IF(P127&gt;=10,"High",IF(P127&gt;=5,"Medium","Low"))))</f>
        <v/>
      </c>
      <c r="R127" s="37" t="str">
        <f aca="true">IF(AND(C127&lt;&gt;"",M127&lt;&gt;"Closed",L127&lt;&gt;"",L127&lt;TODAY()),"Overdue","")</f>
        <v/>
      </c>
      <c r="S127" s="40" t="str">
        <f aca="false">IF(AND(N127&lt;&gt;"",B127="Risk",M127&lt;&gt;"Closed"),N127+(1-ROW()/100000),"")</f>
        <v/>
      </c>
      <c r="T127" s="40" t="str">
        <f aca="false">IF(AND(S127&lt;&gt;"",A127='Project Summary'!$C$3),S127,"")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2"/>
      <c r="G128" s="32"/>
      <c r="H128" s="32"/>
      <c r="I128" s="32"/>
      <c r="J128" s="33"/>
      <c r="K128" s="32"/>
      <c r="L128" s="35"/>
      <c r="M128" s="32"/>
      <c r="N128" s="37" t="str">
        <f aca="false">IF(OR(C128="",F128="",G128=""),"",MATCH(F128,lst_Likelihood,0)*MATCH(G128,lst_Consequence,0))</f>
        <v/>
      </c>
      <c r="O128" s="37" t="str">
        <f aca="false">IF(N128="","",IF(N128&gt;=16,"Critical",IF(N128&gt;=10,"High",IF(N128&gt;=5,"Medium","Low"))))</f>
        <v/>
      </c>
      <c r="P128" s="37" t="str">
        <f aca="false">IF(OR(C128="",H128="",I128=""),"",MATCH(H128,lst_Likelihood,0)*MATCH(I128,lst_Consequence,0))</f>
        <v/>
      </c>
      <c r="Q128" s="37" t="str">
        <f aca="false">IF(P128="","",IF(P128&gt;=16,"Critical",IF(P128&gt;=10,"High",IF(P128&gt;=5,"Medium","Low"))))</f>
        <v/>
      </c>
      <c r="R128" s="37" t="str">
        <f aca="true">IF(AND(C128&lt;&gt;"",M128&lt;&gt;"Closed",L128&lt;&gt;"",L128&lt;TODAY()),"Overdue","")</f>
        <v/>
      </c>
      <c r="S128" s="40" t="str">
        <f aca="false">IF(AND(N128&lt;&gt;"",B128="Risk",M128&lt;&gt;"Closed"),N128+(1-ROW()/100000),"")</f>
        <v/>
      </c>
      <c r="T128" s="40" t="str">
        <f aca="false">IF(AND(S128&lt;&gt;"",A128='Project Summary'!$C$3),S128,"")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2"/>
      <c r="G129" s="32"/>
      <c r="H129" s="32"/>
      <c r="I129" s="32"/>
      <c r="J129" s="33"/>
      <c r="K129" s="32"/>
      <c r="L129" s="35"/>
      <c r="M129" s="32"/>
      <c r="N129" s="37" t="str">
        <f aca="false">IF(OR(C129="",F129="",G129=""),"",MATCH(F129,lst_Likelihood,0)*MATCH(G129,lst_Consequence,0))</f>
        <v/>
      </c>
      <c r="O129" s="37" t="str">
        <f aca="false">IF(N129="","",IF(N129&gt;=16,"Critical",IF(N129&gt;=10,"High",IF(N129&gt;=5,"Medium","Low"))))</f>
        <v/>
      </c>
      <c r="P129" s="37" t="str">
        <f aca="false">IF(OR(C129="",H129="",I129=""),"",MATCH(H129,lst_Likelihood,0)*MATCH(I129,lst_Consequence,0))</f>
        <v/>
      </c>
      <c r="Q129" s="37" t="str">
        <f aca="false">IF(P129="","",IF(P129&gt;=16,"Critical",IF(P129&gt;=10,"High",IF(P129&gt;=5,"Medium","Low"))))</f>
        <v/>
      </c>
      <c r="R129" s="37" t="str">
        <f aca="true">IF(AND(C129&lt;&gt;"",M129&lt;&gt;"Closed",L129&lt;&gt;"",L129&lt;TODAY()),"Overdue","")</f>
        <v/>
      </c>
      <c r="S129" s="40" t="str">
        <f aca="false">IF(AND(N129&lt;&gt;"",B129="Risk",M129&lt;&gt;"Closed"),N129+(1-ROW()/100000),"")</f>
        <v/>
      </c>
      <c r="T129" s="40" t="str">
        <f aca="false">IF(AND(S129&lt;&gt;"",A129='Project Summary'!$C$3),S129,"")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2"/>
      <c r="G130" s="32"/>
      <c r="H130" s="32"/>
      <c r="I130" s="32"/>
      <c r="J130" s="33"/>
      <c r="K130" s="32"/>
      <c r="L130" s="35"/>
      <c r="M130" s="32"/>
      <c r="N130" s="37" t="str">
        <f aca="false">IF(OR(C130="",F130="",G130=""),"",MATCH(F130,lst_Likelihood,0)*MATCH(G130,lst_Consequence,0))</f>
        <v/>
      </c>
      <c r="O130" s="37" t="str">
        <f aca="false">IF(N130="","",IF(N130&gt;=16,"Critical",IF(N130&gt;=10,"High",IF(N130&gt;=5,"Medium","Low"))))</f>
        <v/>
      </c>
      <c r="P130" s="37" t="str">
        <f aca="false">IF(OR(C130="",H130="",I130=""),"",MATCH(H130,lst_Likelihood,0)*MATCH(I130,lst_Consequence,0))</f>
        <v/>
      </c>
      <c r="Q130" s="37" t="str">
        <f aca="false">IF(P130="","",IF(P130&gt;=16,"Critical",IF(P130&gt;=10,"High",IF(P130&gt;=5,"Medium","Low"))))</f>
        <v/>
      </c>
      <c r="R130" s="37" t="str">
        <f aca="true">IF(AND(C130&lt;&gt;"",M130&lt;&gt;"Closed",L130&lt;&gt;"",L130&lt;TODAY()),"Overdue","")</f>
        <v/>
      </c>
      <c r="S130" s="40" t="str">
        <f aca="false">IF(AND(N130&lt;&gt;"",B130="Risk",M130&lt;&gt;"Closed"),N130+(1-ROW()/100000),"")</f>
        <v/>
      </c>
      <c r="T130" s="40" t="str">
        <f aca="false">IF(AND(S130&lt;&gt;"",A130='Project Summary'!$C$3),S130,"")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2"/>
      <c r="G131" s="32"/>
      <c r="H131" s="32"/>
      <c r="I131" s="32"/>
      <c r="J131" s="33"/>
      <c r="K131" s="32"/>
      <c r="L131" s="35"/>
      <c r="M131" s="32"/>
      <c r="N131" s="37" t="str">
        <f aca="false">IF(OR(C131="",F131="",G131=""),"",MATCH(F131,lst_Likelihood,0)*MATCH(G131,lst_Consequence,0))</f>
        <v/>
      </c>
      <c r="O131" s="37" t="str">
        <f aca="false">IF(N131="","",IF(N131&gt;=16,"Critical",IF(N131&gt;=10,"High",IF(N131&gt;=5,"Medium","Low"))))</f>
        <v/>
      </c>
      <c r="P131" s="37" t="str">
        <f aca="false">IF(OR(C131="",H131="",I131=""),"",MATCH(H131,lst_Likelihood,0)*MATCH(I131,lst_Consequence,0))</f>
        <v/>
      </c>
      <c r="Q131" s="37" t="str">
        <f aca="false">IF(P131="","",IF(P131&gt;=16,"Critical",IF(P131&gt;=10,"High",IF(P131&gt;=5,"Medium","Low"))))</f>
        <v/>
      </c>
      <c r="R131" s="37" t="str">
        <f aca="true">IF(AND(C131&lt;&gt;"",M131&lt;&gt;"Closed",L131&lt;&gt;"",L131&lt;TODAY()),"Overdue","")</f>
        <v/>
      </c>
      <c r="S131" s="40" t="str">
        <f aca="false">IF(AND(N131&lt;&gt;"",B131="Risk",M131&lt;&gt;"Closed"),N131+(1-ROW()/100000),"")</f>
        <v/>
      </c>
      <c r="T131" s="40" t="str">
        <f aca="false">IF(AND(S131&lt;&gt;"",A131='Project Summary'!$C$3),S131,"")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2"/>
      <c r="G132" s="32"/>
      <c r="H132" s="32"/>
      <c r="I132" s="32"/>
      <c r="J132" s="33"/>
      <c r="K132" s="32"/>
      <c r="L132" s="35"/>
      <c r="M132" s="32"/>
      <c r="N132" s="37" t="str">
        <f aca="false">IF(OR(C132="",F132="",G132=""),"",MATCH(F132,lst_Likelihood,0)*MATCH(G132,lst_Consequence,0))</f>
        <v/>
      </c>
      <c r="O132" s="37" t="str">
        <f aca="false">IF(N132="","",IF(N132&gt;=16,"Critical",IF(N132&gt;=10,"High",IF(N132&gt;=5,"Medium","Low"))))</f>
        <v/>
      </c>
      <c r="P132" s="37" t="str">
        <f aca="false">IF(OR(C132="",H132="",I132=""),"",MATCH(H132,lst_Likelihood,0)*MATCH(I132,lst_Consequence,0))</f>
        <v/>
      </c>
      <c r="Q132" s="37" t="str">
        <f aca="false">IF(P132="","",IF(P132&gt;=16,"Critical",IF(P132&gt;=10,"High",IF(P132&gt;=5,"Medium","Low"))))</f>
        <v/>
      </c>
      <c r="R132" s="37" t="str">
        <f aca="true">IF(AND(C132&lt;&gt;"",M132&lt;&gt;"Closed",L132&lt;&gt;"",L132&lt;TODAY()),"Overdue","")</f>
        <v/>
      </c>
      <c r="S132" s="40" t="str">
        <f aca="false">IF(AND(N132&lt;&gt;"",B132="Risk",M132&lt;&gt;"Closed"),N132+(1-ROW()/100000),"")</f>
        <v/>
      </c>
      <c r="T132" s="40" t="str">
        <f aca="false">IF(AND(S132&lt;&gt;"",A132='Project Summary'!$C$3),S132,"")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2"/>
      <c r="G133" s="32"/>
      <c r="H133" s="32"/>
      <c r="I133" s="32"/>
      <c r="J133" s="33"/>
      <c r="K133" s="32"/>
      <c r="L133" s="35"/>
      <c r="M133" s="32"/>
      <c r="N133" s="37" t="str">
        <f aca="false">IF(OR(C133="",F133="",G133=""),"",MATCH(F133,lst_Likelihood,0)*MATCH(G133,lst_Consequence,0))</f>
        <v/>
      </c>
      <c r="O133" s="37" t="str">
        <f aca="false">IF(N133="","",IF(N133&gt;=16,"Critical",IF(N133&gt;=10,"High",IF(N133&gt;=5,"Medium","Low"))))</f>
        <v/>
      </c>
      <c r="P133" s="37" t="str">
        <f aca="false">IF(OR(C133="",H133="",I133=""),"",MATCH(H133,lst_Likelihood,0)*MATCH(I133,lst_Consequence,0))</f>
        <v/>
      </c>
      <c r="Q133" s="37" t="str">
        <f aca="false">IF(P133="","",IF(P133&gt;=16,"Critical",IF(P133&gt;=10,"High",IF(P133&gt;=5,"Medium","Low"))))</f>
        <v/>
      </c>
      <c r="R133" s="37" t="str">
        <f aca="true">IF(AND(C133&lt;&gt;"",M133&lt;&gt;"Closed",L133&lt;&gt;"",L133&lt;TODAY()),"Overdue","")</f>
        <v/>
      </c>
      <c r="S133" s="40" t="str">
        <f aca="false">IF(AND(N133&lt;&gt;"",B133="Risk",M133&lt;&gt;"Closed"),N133+(1-ROW()/100000),"")</f>
        <v/>
      </c>
      <c r="T133" s="40" t="str">
        <f aca="false">IF(AND(S133&lt;&gt;"",A133='Project Summary'!$C$3),S133,"")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2"/>
      <c r="G134" s="32"/>
      <c r="H134" s="32"/>
      <c r="I134" s="32"/>
      <c r="J134" s="33"/>
      <c r="K134" s="32"/>
      <c r="L134" s="35"/>
      <c r="M134" s="32"/>
      <c r="N134" s="37" t="str">
        <f aca="false">IF(OR(C134="",F134="",G134=""),"",MATCH(F134,lst_Likelihood,0)*MATCH(G134,lst_Consequence,0))</f>
        <v/>
      </c>
      <c r="O134" s="37" t="str">
        <f aca="false">IF(N134="","",IF(N134&gt;=16,"Critical",IF(N134&gt;=10,"High",IF(N134&gt;=5,"Medium","Low"))))</f>
        <v/>
      </c>
      <c r="P134" s="37" t="str">
        <f aca="false">IF(OR(C134="",H134="",I134=""),"",MATCH(H134,lst_Likelihood,0)*MATCH(I134,lst_Consequence,0))</f>
        <v/>
      </c>
      <c r="Q134" s="37" t="str">
        <f aca="false">IF(P134="","",IF(P134&gt;=16,"Critical",IF(P134&gt;=10,"High",IF(P134&gt;=5,"Medium","Low"))))</f>
        <v/>
      </c>
      <c r="R134" s="37" t="str">
        <f aca="true">IF(AND(C134&lt;&gt;"",M134&lt;&gt;"Closed",L134&lt;&gt;"",L134&lt;TODAY()),"Overdue","")</f>
        <v/>
      </c>
      <c r="S134" s="40" t="str">
        <f aca="false">IF(AND(N134&lt;&gt;"",B134="Risk",M134&lt;&gt;"Closed"),N134+(1-ROW()/100000),"")</f>
        <v/>
      </c>
      <c r="T134" s="40" t="str">
        <f aca="false">IF(AND(S134&lt;&gt;"",A134='Project Summary'!$C$3),S134,"")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2"/>
      <c r="G135" s="32"/>
      <c r="H135" s="32"/>
      <c r="I135" s="32"/>
      <c r="J135" s="33"/>
      <c r="K135" s="32"/>
      <c r="L135" s="35"/>
      <c r="M135" s="32"/>
      <c r="N135" s="37" t="str">
        <f aca="false">IF(OR(C135="",F135="",G135=""),"",MATCH(F135,lst_Likelihood,0)*MATCH(G135,lst_Consequence,0))</f>
        <v/>
      </c>
      <c r="O135" s="37" t="str">
        <f aca="false">IF(N135="","",IF(N135&gt;=16,"Critical",IF(N135&gt;=10,"High",IF(N135&gt;=5,"Medium","Low"))))</f>
        <v/>
      </c>
      <c r="P135" s="37" t="str">
        <f aca="false">IF(OR(C135="",H135="",I135=""),"",MATCH(H135,lst_Likelihood,0)*MATCH(I135,lst_Consequence,0))</f>
        <v/>
      </c>
      <c r="Q135" s="37" t="str">
        <f aca="false">IF(P135="","",IF(P135&gt;=16,"Critical",IF(P135&gt;=10,"High",IF(P135&gt;=5,"Medium","Low"))))</f>
        <v/>
      </c>
      <c r="R135" s="37" t="str">
        <f aca="true">IF(AND(C135&lt;&gt;"",M135&lt;&gt;"Closed",L135&lt;&gt;"",L135&lt;TODAY()),"Overdue","")</f>
        <v/>
      </c>
      <c r="S135" s="40" t="str">
        <f aca="false">IF(AND(N135&lt;&gt;"",B135="Risk",M135&lt;&gt;"Closed"),N135+(1-ROW()/100000),"")</f>
        <v/>
      </c>
      <c r="T135" s="40" t="str">
        <f aca="false">IF(AND(S135&lt;&gt;"",A135='Project Summary'!$C$3),S135,"")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2"/>
      <c r="G136" s="32"/>
      <c r="H136" s="32"/>
      <c r="I136" s="32"/>
      <c r="J136" s="33"/>
      <c r="K136" s="32"/>
      <c r="L136" s="35"/>
      <c r="M136" s="32"/>
      <c r="N136" s="37" t="str">
        <f aca="false">IF(OR(C136="",F136="",G136=""),"",MATCH(F136,lst_Likelihood,0)*MATCH(G136,lst_Consequence,0))</f>
        <v/>
      </c>
      <c r="O136" s="37" t="str">
        <f aca="false">IF(N136="","",IF(N136&gt;=16,"Critical",IF(N136&gt;=10,"High",IF(N136&gt;=5,"Medium","Low"))))</f>
        <v/>
      </c>
      <c r="P136" s="37" t="str">
        <f aca="false">IF(OR(C136="",H136="",I136=""),"",MATCH(H136,lst_Likelihood,0)*MATCH(I136,lst_Consequence,0))</f>
        <v/>
      </c>
      <c r="Q136" s="37" t="str">
        <f aca="false">IF(P136="","",IF(P136&gt;=16,"Critical",IF(P136&gt;=10,"High",IF(P136&gt;=5,"Medium","Low"))))</f>
        <v/>
      </c>
      <c r="R136" s="37" t="str">
        <f aca="true">IF(AND(C136&lt;&gt;"",M136&lt;&gt;"Closed",L136&lt;&gt;"",L136&lt;TODAY()),"Overdue","")</f>
        <v/>
      </c>
      <c r="S136" s="40" t="str">
        <f aca="false">IF(AND(N136&lt;&gt;"",B136="Risk",M136&lt;&gt;"Closed"),N136+(1-ROW()/100000),"")</f>
        <v/>
      </c>
      <c r="T136" s="40" t="str">
        <f aca="false">IF(AND(S136&lt;&gt;"",A136='Project Summary'!$C$3),S136,"")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2"/>
      <c r="G137" s="32"/>
      <c r="H137" s="32"/>
      <c r="I137" s="32"/>
      <c r="J137" s="33"/>
      <c r="K137" s="32"/>
      <c r="L137" s="35"/>
      <c r="M137" s="32"/>
      <c r="N137" s="37" t="str">
        <f aca="false">IF(OR(C137="",F137="",G137=""),"",MATCH(F137,lst_Likelihood,0)*MATCH(G137,lst_Consequence,0))</f>
        <v/>
      </c>
      <c r="O137" s="37" t="str">
        <f aca="false">IF(N137="","",IF(N137&gt;=16,"Critical",IF(N137&gt;=10,"High",IF(N137&gt;=5,"Medium","Low"))))</f>
        <v/>
      </c>
      <c r="P137" s="37" t="str">
        <f aca="false">IF(OR(C137="",H137="",I137=""),"",MATCH(H137,lst_Likelihood,0)*MATCH(I137,lst_Consequence,0))</f>
        <v/>
      </c>
      <c r="Q137" s="37" t="str">
        <f aca="false">IF(P137="","",IF(P137&gt;=16,"Critical",IF(P137&gt;=10,"High",IF(P137&gt;=5,"Medium","Low"))))</f>
        <v/>
      </c>
      <c r="R137" s="37" t="str">
        <f aca="true">IF(AND(C137&lt;&gt;"",M137&lt;&gt;"Closed",L137&lt;&gt;"",L137&lt;TODAY()),"Overdue","")</f>
        <v/>
      </c>
      <c r="S137" s="40" t="str">
        <f aca="false">IF(AND(N137&lt;&gt;"",B137="Risk",M137&lt;&gt;"Closed"),N137+(1-ROW()/100000),"")</f>
        <v/>
      </c>
      <c r="T137" s="40" t="str">
        <f aca="false">IF(AND(S137&lt;&gt;"",A137='Project Summary'!$C$3),S137,"")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2"/>
      <c r="G138" s="32"/>
      <c r="H138" s="32"/>
      <c r="I138" s="32"/>
      <c r="J138" s="33"/>
      <c r="K138" s="32"/>
      <c r="L138" s="35"/>
      <c r="M138" s="32"/>
      <c r="N138" s="37" t="str">
        <f aca="false">IF(OR(C138="",F138="",G138=""),"",MATCH(F138,lst_Likelihood,0)*MATCH(G138,lst_Consequence,0))</f>
        <v/>
      </c>
      <c r="O138" s="37" t="str">
        <f aca="false">IF(N138="","",IF(N138&gt;=16,"Critical",IF(N138&gt;=10,"High",IF(N138&gt;=5,"Medium","Low"))))</f>
        <v/>
      </c>
      <c r="P138" s="37" t="str">
        <f aca="false">IF(OR(C138="",H138="",I138=""),"",MATCH(H138,lst_Likelihood,0)*MATCH(I138,lst_Consequence,0))</f>
        <v/>
      </c>
      <c r="Q138" s="37" t="str">
        <f aca="false">IF(P138="","",IF(P138&gt;=16,"Critical",IF(P138&gt;=10,"High",IF(P138&gt;=5,"Medium","Low"))))</f>
        <v/>
      </c>
      <c r="R138" s="37" t="str">
        <f aca="true">IF(AND(C138&lt;&gt;"",M138&lt;&gt;"Closed",L138&lt;&gt;"",L138&lt;TODAY()),"Overdue","")</f>
        <v/>
      </c>
      <c r="S138" s="40" t="str">
        <f aca="false">IF(AND(N138&lt;&gt;"",B138="Risk",M138&lt;&gt;"Closed"),N138+(1-ROW()/100000),"")</f>
        <v/>
      </c>
      <c r="T138" s="40" t="str">
        <f aca="false">IF(AND(S138&lt;&gt;"",A138='Project Summary'!$C$3),S138,"")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2"/>
      <c r="G139" s="32"/>
      <c r="H139" s="32"/>
      <c r="I139" s="32"/>
      <c r="J139" s="33"/>
      <c r="K139" s="32"/>
      <c r="L139" s="35"/>
      <c r="M139" s="32"/>
      <c r="N139" s="37" t="str">
        <f aca="false">IF(OR(C139="",F139="",G139=""),"",MATCH(F139,lst_Likelihood,0)*MATCH(G139,lst_Consequence,0))</f>
        <v/>
      </c>
      <c r="O139" s="37" t="str">
        <f aca="false">IF(N139="","",IF(N139&gt;=16,"Critical",IF(N139&gt;=10,"High",IF(N139&gt;=5,"Medium","Low"))))</f>
        <v/>
      </c>
      <c r="P139" s="37" t="str">
        <f aca="false">IF(OR(C139="",H139="",I139=""),"",MATCH(H139,lst_Likelihood,0)*MATCH(I139,lst_Consequence,0))</f>
        <v/>
      </c>
      <c r="Q139" s="37" t="str">
        <f aca="false">IF(P139="","",IF(P139&gt;=16,"Critical",IF(P139&gt;=10,"High",IF(P139&gt;=5,"Medium","Low"))))</f>
        <v/>
      </c>
      <c r="R139" s="37" t="str">
        <f aca="true">IF(AND(C139&lt;&gt;"",M139&lt;&gt;"Closed",L139&lt;&gt;"",L139&lt;TODAY()),"Overdue","")</f>
        <v/>
      </c>
      <c r="S139" s="40" t="str">
        <f aca="false">IF(AND(N139&lt;&gt;"",B139="Risk",M139&lt;&gt;"Closed"),N139+(1-ROW()/100000),"")</f>
        <v/>
      </c>
      <c r="T139" s="40" t="str">
        <f aca="false">IF(AND(S139&lt;&gt;"",A139='Project Summary'!$C$3),S139,"")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2"/>
      <c r="G140" s="32"/>
      <c r="H140" s="32"/>
      <c r="I140" s="32"/>
      <c r="J140" s="33"/>
      <c r="K140" s="32"/>
      <c r="L140" s="35"/>
      <c r="M140" s="32"/>
      <c r="N140" s="37" t="str">
        <f aca="false">IF(OR(C140="",F140="",G140=""),"",MATCH(F140,lst_Likelihood,0)*MATCH(G140,lst_Consequence,0))</f>
        <v/>
      </c>
      <c r="O140" s="37" t="str">
        <f aca="false">IF(N140="","",IF(N140&gt;=16,"Critical",IF(N140&gt;=10,"High",IF(N140&gt;=5,"Medium","Low"))))</f>
        <v/>
      </c>
      <c r="P140" s="37" t="str">
        <f aca="false">IF(OR(C140="",H140="",I140=""),"",MATCH(H140,lst_Likelihood,0)*MATCH(I140,lst_Consequence,0))</f>
        <v/>
      </c>
      <c r="Q140" s="37" t="str">
        <f aca="false">IF(P140="","",IF(P140&gt;=16,"Critical",IF(P140&gt;=10,"High",IF(P140&gt;=5,"Medium","Low"))))</f>
        <v/>
      </c>
      <c r="R140" s="37" t="str">
        <f aca="true">IF(AND(C140&lt;&gt;"",M140&lt;&gt;"Closed",L140&lt;&gt;"",L140&lt;TODAY()),"Overdue","")</f>
        <v/>
      </c>
      <c r="S140" s="40" t="str">
        <f aca="false">IF(AND(N140&lt;&gt;"",B140="Risk",M140&lt;&gt;"Closed"),N140+(1-ROW()/100000),"")</f>
        <v/>
      </c>
      <c r="T140" s="40" t="str">
        <f aca="false">IF(AND(S140&lt;&gt;"",A140='Project Summary'!$C$3),S140,"")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2"/>
      <c r="G141" s="32"/>
      <c r="H141" s="32"/>
      <c r="I141" s="32"/>
      <c r="J141" s="33"/>
      <c r="K141" s="32"/>
      <c r="L141" s="35"/>
      <c r="M141" s="32"/>
      <c r="N141" s="37" t="str">
        <f aca="false">IF(OR(C141="",F141="",G141=""),"",MATCH(F141,lst_Likelihood,0)*MATCH(G141,lst_Consequence,0))</f>
        <v/>
      </c>
      <c r="O141" s="37" t="str">
        <f aca="false">IF(N141="","",IF(N141&gt;=16,"Critical",IF(N141&gt;=10,"High",IF(N141&gt;=5,"Medium","Low"))))</f>
        <v/>
      </c>
      <c r="P141" s="37" t="str">
        <f aca="false">IF(OR(C141="",H141="",I141=""),"",MATCH(H141,lst_Likelihood,0)*MATCH(I141,lst_Consequence,0))</f>
        <v/>
      </c>
      <c r="Q141" s="37" t="str">
        <f aca="false">IF(P141="","",IF(P141&gt;=16,"Critical",IF(P141&gt;=10,"High",IF(P141&gt;=5,"Medium","Low"))))</f>
        <v/>
      </c>
      <c r="R141" s="37" t="str">
        <f aca="true">IF(AND(C141&lt;&gt;"",M141&lt;&gt;"Closed",L141&lt;&gt;"",L141&lt;TODAY()),"Overdue","")</f>
        <v/>
      </c>
      <c r="S141" s="40" t="str">
        <f aca="false">IF(AND(N141&lt;&gt;"",B141="Risk",M141&lt;&gt;"Closed"),N141+(1-ROW()/100000),"")</f>
        <v/>
      </c>
      <c r="T141" s="40" t="str">
        <f aca="false">IF(AND(S141&lt;&gt;"",A141='Project Summary'!$C$3),S141,"")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2"/>
      <c r="G142" s="32"/>
      <c r="H142" s="32"/>
      <c r="I142" s="32"/>
      <c r="J142" s="33"/>
      <c r="K142" s="32"/>
      <c r="L142" s="35"/>
      <c r="M142" s="32"/>
      <c r="N142" s="37" t="str">
        <f aca="false">IF(OR(C142="",F142="",G142=""),"",MATCH(F142,lst_Likelihood,0)*MATCH(G142,lst_Consequence,0))</f>
        <v/>
      </c>
      <c r="O142" s="37" t="str">
        <f aca="false">IF(N142="","",IF(N142&gt;=16,"Critical",IF(N142&gt;=10,"High",IF(N142&gt;=5,"Medium","Low"))))</f>
        <v/>
      </c>
      <c r="P142" s="37" t="str">
        <f aca="false">IF(OR(C142="",H142="",I142=""),"",MATCH(H142,lst_Likelihood,0)*MATCH(I142,lst_Consequence,0))</f>
        <v/>
      </c>
      <c r="Q142" s="37" t="str">
        <f aca="false">IF(P142="","",IF(P142&gt;=16,"Critical",IF(P142&gt;=10,"High",IF(P142&gt;=5,"Medium","Low"))))</f>
        <v/>
      </c>
      <c r="R142" s="37" t="str">
        <f aca="true">IF(AND(C142&lt;&gt;"",M142&lt;&gt;"Closed",L142&lt;&gt;"",L142&lt;TODAY()),"Overdue","")</f>
        <v/>
      </c>
      <c r="S142" s="40" t="str">
        <f aca="false">IF(AND(N142&lt;&gt;"",B142="Risk",M142&lt;&gt;"Closed"),N142+(1-ROW()/100000),"")</f>
        <v/>
      </c>
      <c r="T142" s="40" t="str">
        <f aca="false">IF(AND(S142&lt;&gt;"",A142='Project Summary'!$C$3),S142,"")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2"/>
      <c r="G143" s="32"/>
      <c r="H143" s="32"/>
      <c r="I143" s="32"/>
      <c r="J143" s="33"/>
      <c r="K143" s="32"/>
      <c r="L143" s="35"/>
      <c r="M143" s="32"/>
      <c r="N143" s="37" t="str">
        <f aca="false">IF(OR(C143="",F143="",G143=""),"",MATCH(F143,lst_Likelihood,0)*MATCH(G143,lst_Consequence,0))</f>
        <v/>
      </c>
      <c r="O143" s="37" t="str">
        <f aca="false">IF(N143="","",IF(N143&gt;=16,"Critical",IF(N143&gt;=10,"High",IF(N143&gt;=5,"Medium","Low"))))</f>
        <v/>
      </c>
      <c r="P143" s="37" t="str">
        <f aca="false">IF(OR(C143="",H143="",I143=""),"",MATCH(H143,lst_Likelihood,0)*MATCH(I143,lst_Consequence,0))</f>
        <v/>
      </c>
      <c r="Q143" s="37" t="str">
        <f aca="false">IF(P143="","",IF(P143&gt;=16,"Critical",IF(P143&gt;=10,"High",IF(P143&gt;=5,"Medium","Low"))))</f>
        <v/>
      </c>
      <c r="R143" s="37" t="str">
        <f aca="true">IF(AND(C143&lt;&gt;"",M143&lt;&gt;"Closed",L143&lt;&gt;"",L143&lt;TODAY()),"Overdue","")</f>
        <v/>
      </c>
      <c r="S143" s="40" t="str">
        <f aca="false">IF(AND(N143&lt;&gt;"",B143="Risk",M143&lt;&gt;"Closed"),N143+(1-ROW()/100000),"")</f>
        <v/>
      </c>
      <c r="T143" s="40" t="str">
        <f aca="false">IF(AND(S143&lt;&gt;"",A143='Project Summary'!$C$3),S143,"")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2"/>
      <c r="G144" s="32"/>
      <c r="H144" s="32"/>
      <c r="I144" s="32"/>
      <c r="J144" s="33"/>
      <c r="K144" s="32"/>
      <c r="L144" s="35"/>
      <c r="M144" s="32"/>
      <c r="N144" s="37" t="str">
        <f aca="false">IF(OR(C144="",F144="",G144=""),"",MATCH(F144,lst_Likelihood,0)*MATCH(G144,lst_Consequence,0))</f>
        <v/>
      </c>
      <c r="O144" s="37" t="str">
        <f aca="false">IF(N144="","",IF(N144&gt;=16,"Critical",IF(N144&gt;=10,"High",IF(N144&gt;=5,"Medium","Low"))))</f>
        <v/>
      </c>
      <c r="P144" s="37" t="str">
        <f aca="false">IF(OR(C144="",H144="",I144=""),"",MATCH(H144,lst_Likelihood,0)*MATCH(I144,lst_Consequence,0))</f>
        <v/>
      </c>
      <c r="Q144" s="37" t="str">
        <f aca="false">IF(P144="","",IF(P144&gt;=16,"Critical",IF(P144&gt;=10,"High",IF(P144&gt;=5,"Medium","Low"))))</f>
        <v/>
      </c>
      <c r="R144" s="37" t="str">
        <f aca="true">IF(AND(C144&lt;&gt;"",M144&lt;&gt;"Closed",L144&lt;&gt;"",L144&lt;TODAY()),"Overdue","")</f>
        <v/>
      </c>
      <c r="S144" s="40" t="str">
        <f aca="false">IF(AND(N144&lt;&gt;"",B144="Risk",M144&lt;&gt;"Closed"),N144+(1-ROW()/100000),"")</f>
        <v/>
      </c>
      <c r="T144" s="40" t="str">
        <f aca="false">IF(AND(S144&lt;&gt;"",A144='Project Summary'!$C$3),S144,"")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2"/>
      <c r="G145" s="32"/>
      <c r="H145" s="32"/>
      <c r="I145" s="32"/>
      <c r="J145" s="33"/>
      <c r="K145" s="32"/>
      <c r="L145" s="35"/>
      <c r="M145" s="32"/>
      <c r="N145" s="37" t="str">
        <f aca="false">IF(OR(C145="",F145="",G145=""),"",MATCH(F145,lst_Likelihood,0)*MATCH(G145,lst_Consequence,0))</f>
        <v/>
      </c>
      <c r="O145" s="37" t="str">
        <f aca="false">IF(N145="","",IF(N145&gt;=16,"Critical",IF(N145&gt;=10,"High",IF(N145&gt;=5,"Medium","Low"))))</f>
        <v/>
      </c>
      <c r="P145" s="37" t="str">
        <f aca="false">IF(OR(C145="",H145="",I145=""),"",MATCH(H145,lst_Likelihood,0)*MATCH(I145,lst_Consequence,0))</f>
        <v/>
      </c>
      <c r="Q145" s="37" t="str">
        <f aca="false">IF(P145="","",IF(P145&gt;=16,"Critical",IF(P145&gt;=10,"High",IF(P145&gt;=5,"Medium","Low"))))</f>
        <v/>
      </c>
      <c r="R145" s="37" t="str">
        <f aca="true">IF(AND(C145&lt;&gt;"",M145&lt;&gt;"Closed",L145&lt;&gt;"",L145&lt;TODAY()),"Overdue","")</f>
        <v/>
      </c>
      <c r="S145" s="40" t="str">
        <f aca="false">IF(AND(N145&lt;&gt;"",B145="Risk",M145&lt;&gt;"Closed"),N145+(1-ROW()/100000),"")</f>
        <v/>
      </c>
      <c r="T145" s="40" t="str">
        <f aca="false">IF(AND(S145&lt;&gt;"",A145='Project Summary'!$C$3),S145,"")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2"/>
      <c r="G146" s="32"/>
      <c r="H146" s="32"/>
      <c r="I146" s="32"/>
      <c r="J146" s="33"/>
      <c r="K146" s="32"/>
      <c r="L146" s="35"/>
      <c r="M146" s="32"/>
      <c r="N146" s="37" t="str">
        <f aca="false">IF(OR(C146="",F146="",G146=""),"",MATCH(F146,lst_Likelihood,0)*MATCH(G146,lst_Consequence,0))</f>
        <v/>
      </c>
      <c r="O146" s="37" t="str">
        <f aca="false">IF(N146="","",IF(N146&gt;=16,"Critical",IF(N146&gt;=10,"High",IF(N146&gt;=5,"Medium","Low"))))</f>
        <v/>
      </c>
      <c r="P146" s="37" t="str">
        <f aca="false">IF(OR(C146="",H146="",I146=""),"",MATCH(H146,lst_Likelihood,0)*MATCH(I146,lst_Consequence,0))</f>
        <v/>
      </c>
      <c r="Q146" s="37" t="str">
        <f aca="false">IF(P146="","",IF(P146&gt;=16,"Critical",IF(P146&gt;=10,"High",IF(P146&gt;=5,"Medium","Low"))))</f>
        <v/>
      </c>
      <c r="R146" s="37" t="str">
        <f aca="true">IF(AND(C146&lt;&gt;"",M146&lt;&gt;"Closed",L146&lt;&gt;"",L146&lt;TODAY()),"Overdue","")</f>
        <v/>
      </c>
      <c r="S146" s="40" t="str">
        <f aca="false">IF(AND(N146&lt;&gt;"",B146="Risk",M146&lt;&gt;"Closed"),N146+(1-ROW()/100000),"")</f>
        <v/>
      </c>
      <c r="T146" s="40" t="str">
        <f aca="false">IF(AND(S146&lt;&gt;"",A146='Project Summary'!$C$3),S146,"")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2"/>
      <c r="G147" s="32"/>
      <c r="H147" s="32"/>
      <c r="I147" s="32"/>
      <c r="J147" s="33"/>
      <c r="K147" s="32"/>
      <c r="L147" s="35"/>
      <c r="M147" s="32"/>
      <c r="N147" s="37" t="str">
        <f aca="false">IF(OR(C147="",F147="",G147=""),"",MATCH(F147,lst_Likelihood,0)*MATCH(G147,lst_Consequence,0))</f>
        <v/>
      </c>
      <c r="O147" s="37" t="str">
        <f aca="false">IF(N147="","",IF(N147&gt;=16,"Critical",IF(N147&gt;=10,"High",IF(N147&gt;=5,"Medium","Low"))))</f>
        <v/>
      </c>
      <c r="P147" s="37" t="str">
        <f aca="false">IF(OR(C147="",H147="",I147=""),"",MATCH(H147,lst_Likelihood,0)*MATCH(I147,lst_Consequence,0))</f>
        <v/>
      </c>
      <c r="Q147" s="37" t="str">
        <f aca="false">IF(P147="","",IF(P147&gt;=16,"Critical",IF(P147&gt;=10,"High",IF(P147&gt;=5,"Medium","Low"))))</f>
        <v/>
      </c>
      <c r="R147" s="37" t="str">
        <f aca="true">IF(AND(C147&lt;&gt;"",M147&lt;&gt;"Closed",L147&lt;&gt;"",L147&lt;TODAY()),"Overdue","")</f>
        <v/>
      </c>
      <c r="S147" s="40" t="str">
        <f aca="false">IF(AND(N147&lt;&gt;"",B147="Risk",M147&lt;&gt;"Closed"),N147+(1-ROW()/100000),"")</f>
        <v/>
      </c>
      <c r="T147" s="40" t="str">
        <f aca="false">IF(AND(S147&lt;&gt;"",A147='Project Summary'!$C$3),S147,"")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2"/>
      <c r="G148" s="32"/>
      <c r="H148" s="32"/>
      <c r="I148" s="32"/>
      <c r="J148" s="33"/>
      <c r="K148" s="32"/>
      <c r="L148" s="35"/>
      <c r="M148" s="32"/>
      <c r="N148" s="37" t="str">
        <f aca="false">IF(OR(C148="",F148="",G148=""),"",MATCH(F148,lst_Likelihood,0)*MATCH(G148,lst_Consequence,0))</f>
        <v/>
      </c>
      <c r="O148" s="37" t="str">
        <f aca="false">IF(N148="","",IF(N148&gt;=16,"Critical",IF(N148&gt;=10,"High",IF(N148&gt;=5,"Medium","Low"))))</f>
        <v/>
      </c>
      <c r="P148" s="37" t="str">
        <f aca="false">IF(OR(C148="",H148="",I148=""),"",MATCH(H148,lst_Likelihood,0)*MATCH(I148,lst_Consequence,0))</f>
        <v/>
      </c>
      <c r="Q148" s="37" t="str">
        <f aca="false">IF(P148="","",IF(P148&gt;=16,"Critical",IF(P148&gt;=10,"High",IF(P148&gt;=5,"Medium","Low"))))</f>
        <v/>
      </c>
      <c r="R148" s="37" t="str">
        <f aca="true">IF(AND(C148&lt;&gt;"",M148&lt;&gt;"Closed",L148&lt;&gt;"",L148&lt;TODAY()),"Overdue","")</f>
        <v/>
      </c>
      <c r="S148" s="40" t="str">
        <f aca="false">IF(AND(N148&lt;&gt;"",B148="Risk",M148&lt;&gt;"Closed"),N148+(1-ROW()/100000),"")</f>
        <v/>
      </c>
      <c r="T148" s="40" t="str">
        <f aca="false">IF(AND(S148&lt;&gt;"",A148='Project Summary'!$C$3),S148,"")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2"/>
      <c r="G149" s="32"/>
      <c r="H149" s="32"/>
      <c r="I149" s="32"/>
      <c r="J149" s="33"/>
      <c r="K149" s="32"/>
      <c r="L149" s="35"/>
      <c r="M149" s="32"/>
      <c r="N149" s="37" t="str">
        <f aca="false">IF(OR(C149="",F149="",G149=""),"",MATCH(F149,lst_Likelihood,0)*MATCH(G149,lst_Consequence,0))</f>
        <v/>
      </c>
      <c r="O149" s="37" t="str">
        <f aca="false">IF(N149="","",IF(N149&gt;=16,"Critical",IF(N149&gt;=10,"High",IF(N149&gt;=5,"Medium","Low"))))</f>
        <v/>
      </c>
      <c r="P149" s="37" t="str">
        <f aca="false">IF(OR(C149="",H149="",I149=""),"",MATCH(H149,lst_Likelihood,0)*MATCH(I149,lst_Consequence,0))</f>
        <v/>
      </c>
      <c r="Q149" s="37" t="str">
        <f aca="false">IF(P149="","",IF(P149&gt;=16,"Critical",IF(P149&gt;=10,"High",IF(P149&gt;=5,"Medium","Low"))))</f>
        <v/>
      </c>
      <c r="R149" s="37" t="str">
        <f aca="true">IF(AND(C149&lt;&gt;"",M149&lt;&gt;"Closed",L149&lt;&gt;"",L149&lt;TODAY()),"Overdue","")</f>
        <v/>
      </c>
      <c r="S149" s="40" t="str">
        <f aca="false">IF(AND(N149&lt;&gt;"",B149="Risk",M149&lt;&gt;"Closed"),N149+(1-ROW()/100000),"")</f>
        <v/>
      </c>
      <c r="T149" s="40" t="str">
        <f aca="false">IF(AND(S149&lt;&gt;"",A149='Project Summary'!$C$3),S149,"")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2"/>
      <c r="G150" s="32"/>
      <c r="H150" s="32"/>
      <c r="I150" s="32"/>
      <c r="J150" s="33"/>
      <c r="K150" s="32"/>
      <c r="L150" s="35"/>
      <c r="M150" s="32"/>
      <c r="N150" s="37" t="str">
        <f aca="false">IF(OR(C150="",F150="",G150=""),"",MATCH(F150,lst_Likelihood,0)*MATCH(G150,lst_Consequence,0))</f>
        <v/>
      </c>
      <c r="O150" s="37" t="str">
        <f aca="false">IF(N150="","",IF(N150&gt;=16,"Critical",IF(N150&gt;=10,"High",IF(N150&gt;=5,"Medium","Low"))))</f>
        <v/>
      </c>
      <c r="P150" s="37" t="str">
        <f aca="false">IF(OR(C150="",H150="",I150=""),"",MATCH(H150,lst_Likelihood,0)*MATCH(I150,lst_Consequence,0))</f>
        <v/>
      </c>
      <c r="Q150" s="37" t="str">
        <f aca="false">IF(P150="","",IF(P150&gt;=16,"Critical",IF(P150&gt;=10,"High",IF(P150&gt;=5,"Medium","Low"))))</f>
        <v/>
      </c>
      <c r="R150" s="37" t="str">
        <f aca="true">IF(AND(C150&lt;&gt;"",M150&lt;&gt;"Closed",L150&lt;&gt;"",L150&lt;TODAY()),"Overdue","")</f>
        <v/>
      </c>
      <c r="S150" s="40" t="str">
        <f aca="false">IF(AND(N150&lt;&gt;"",B150="Risk",M150&lt;&gt;"Closed"),N150+(1-ROW()/100000),"")</f>
        <v/>
      </c>
      <c r="T150" s="40" t="str">
        <f aca="false">IF(AND(S150&lt;&gt;"",A150='Project Summary'!$C$3),S150,"")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2"/>
      <c r="G151" s="32"/>
      <c r="H151" s="32"/>
      <c r="I151" s="32"/>
      <c r="J151" s="33"/>
      <c r="K151" s="32"/>
      <c r="L151" s="35"/>
      <c r="M151" s="32"/>
      <c r="N151" s="37" t="str">
        <f aca="false">IF(OR(C151="",F151="",G151=""),"",MATCH(F151,lst_Likelihood,0)*MATCH(G151,lst_Consequence,0))</f>
        <v/>
      </c>
      <c r="O151" s="37" t="str">
        <f aca="false">IF(N151="","",IF(N151&gt;=16,"Critical",IF(N151&gt;=10,"High",IF(N151&gt;=5,"Medium","Low"))))</f>
        <v/>
      </c>
      <c r="P151" s="37" t="str">
        <f aca="false">IF(OR(C151="",H151="",I151=""),"",MATCH(H151,lst_Likelihood,0)*MATCH(I151,lst_Consequence,0))</f>
        <v/>
      </c>
      <c r="Q151" s="37" t="str">
        <f aca="false">IF(P151="","",IF(P151&gt;=16,"Critical",IF(P151&gt;=10,"High",IF(P151&gt;=5,"Medium","Low"))))</f>
        <v/>
      </c>
      <c r="R151" s="37" t="str">
        <f aca="true">IF(AND(C151&lt;&gt;"",M151&lt;&gt;"Closed",L151&lt;&gt;"",L151&lt;TODAY()),"Overdue","")</f>
        <v/>
      </c>
      <c r="S151" s="40" t="str">
        <f aca="false">IF(AND(N151&lt;&gt;"",B151="Risk",M151&lt;&gt;"Closed"),N151+(1-ROW()/100000),"")</f>
        <v/>
      </c>
      <c r="T151" s="40" t="str">
        <f aca="false">IF(AND(S151&lt;&gt;"",A151='Project Summary'!$C$3),S151,"")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2"/>
      <c r="G152" s="32"/>
      <c r="H152" s="32"/>
      <c r="I152" s="32"/>
      <c r="J152" s="33"/>
      <c r="K152" s="32"/>
      <c r="L152" s="35"/>
      <c r="M152" s="32"/>
      <c r="N152" s="37" t="str">
        <f aca="false">IF(OR(C152="",F152="",G152=""),"",MATCH(F152,lst_Likelihood,0)*MATCH(G152,lst_Consequence,0))</f>
        <v/>
      </c>
      <c r="O152" s="37" t="str">
        <f aca="false">IF(N152="","",IF(N152&gt;=16,"Critical",IF(N152&gt;=10,"High",IF(N152&gt;=5,"Medium","Low"))))</f>
        <v/>
      </c>
      <c r="P152" s="37" t="str">
        <f aca="false">IF(OR(C152="",H152="",I152=""),"",MATCH(H152,lst_Likelihood,0)*MATCH(I152,lst_Consequence,0))</f>
        <v/>
      </c>
      <c r="Q152" s="37" t="str">
        <f aca="false">IF(P152="","",IF(P152&gt;=16,"Critical",IF(P152&gt;=10,"High",IF(P152&gt;=5,"Medium","Low"))))</f>
        <v/>
      </c>
      <c r="R152" s="37" t="str">
        <f aca="true">IF(AND(C152&lt;&gt;"",M152&lt;&gt;"Closed",L152&lt;&gt;"",L152&lt;TODAY()),"Overdue","")</f>
        <v/>
      </c>
      <c r="S152" s="40" t="str">
        <f aca="false">IF(AND(N152&lt;&gt;"",B152="Risk",M152&lt;&gt;"Closed"),N152+(1-ROW()/100000),"")</f>
        <v/>
      </c>
      <c r="T152" s="40" t="str">
        <f aca="false">IF(AND(S152&lt;&gt;"",A152='Project Summary'!$C$3),S152,"")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2"/>
      <c r="G153" s="32"/>
      <c r="H153" s="32"/>
      <c r="I153" s="32"/>
      <c r="J153" s="33"/>
      <c r="K153" s="32"/>
      <c r="L153" s="35"/>
      <c r="M153" s="32"/>
      <c r="N153" s="37" t="str">
        <f aca="false">IF(OR(C153="",F153="",G153=""),"",MATCH(F153,lst_Likelihood,0)*MATCH(G153,lst_Consequence,0))</f>
        <v/>
      </c>
      <c r="O153" s="37" t="str">
        <f aca="false">IF(N153="","",IF(N153&gt;=16,"Critical",IF(N153&gt;=10,"High",IF(N153&gt;=5,"Medium","Low"))))</f>
        <v/>
      </c>
      <c r="P153" s="37" t="str">
        <f aca="false">IF(OR(C153="",H153="",I153=""),"",MATCH(H153,lst_Likelihood,0)*MATCH(I153,lst_Consequence,0))</f>
        <v/>
      </c>
      <c r="Q153" s="37" t="str">
        <f aca="false">IF(P153="","",IF(P153&gt;=16,"Critical",IF(P153&gt;=10,"High",IF(P153&gt;=5,"Medium","Low"))))</f>
        <v/>
      </c>
      <c r="R153" s="37" t="str">
        <f aca="true">IF(AND(C153&lt;&gt;"",M153&lt;&gt;"Closed",L153&lt;&gt;"",L153&lt;TODAY()),"Overdue","")</f>
        <v/>
      </c>
      <c r="S153" s="40" t="str">
        <f aca="false">IF(AND(N153&lt;&gt;"",B153="Risk",M153&lt;&gt;"Closed"),N153+(1-ROW()/100000),"")</f>
        <v/>
      </c>
      <c r="T153" s="40" t="str">
        <f aca="false">IF(AND(S153&lt;&gt;"",A153='Project Summary'!$C$3),S153,"")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2"/>
      <c r="G154" s="32"/>
      <c r="H154" s="32"/>
      <c r="I154" s="32"/>
      <c r="J154" s="33"/>
      <c r="K154" s="32"/>
      <c r="L154" s="35"/>
      <c r="M154" s="32"/>
      <c r="N154" s="37" t="str">
        <f aca="false">IF(OR(C154="",F154="",G154=""),"",MATCH(F154,lst_Likelihood,0)*MATCH(G154,lst_Consequence,0))</f>
        <v/>
      </c>
      <c r="O154" s="37" t="str">
        <f aca="false">IF(N154="","",IF(N154&gt;=16,"Critical",IF(N154&gt;=10,"High",IF(N154&gt;=5,"Medium","Low"))))</f>
        <v/>
      </c>
      <c r="P154" s="37" t="str">
        <f aca="false">IF(OR(C154="",H154="",I154=""),"",MATCH(H154,lst_Likelihood,0)*MATCH(I154,lst_Consequence,0))</f>
        <v/>
      </c>
      <c r="Q154" s="37" t="str">
        <f aca="false">IF(P154="","",IF(P154&gt;=16,"Critical",IF(P154&gt;=10,"High",IF(P154&gt;=5,"Medium","Low"))))</f>
        <v/>
      </c>
      <c r="R154" s="37" t="str">
        <f aca="true">IF(AND(C154&lt;&gt;"",M154&lt;&gt;"Closed",L154&lt;&gt;"",L154&lt;TODAY()),"Overdue","")</f>
        <v/>
      </c>
      <c r="S154" s="40" t="str">
        <f aca="false">IF(AND(N154&lt;&gt;"",B154="Risk",M154&lt;&gt;"Closed"),N154+(1-ROW()/100000),"")</f>
        <v/>
      </c>
      <c r="T154" s="40" t="str">
        <f aca="false">IF(AND(S154&lt;&gt;"",A154='Project Summary'!$C$3),S154,"")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2"/>
      <c r="G155" s="32"/>
      <c r="H155" s="32"/>
      <c r="I155" s="32"/>
      <c r="J155" s="33"/>
      <c r="K155" s="32"/>
      <c r="L155" s="35"/>
      <c r="M155" s="32"/>
      <c r="N155" s="37" t="str">
        <f aca="false">IF(OR(C155="",F155="",G155=""),"",MATCH(F155,lst_Likelihood,0)*MATCH(G155,lst_Consequence,0))</f>
        <v/>
      </c>
      <c r="O155" s="37" t="str">
        <f aca="false">IF(N155="","",IF(N155&gt;=16,"Critical",IF(N155&gt;=10,"High",IF(N155&gt;=5,"Medium","Low"))))</f>
        <v/>
      </c>
      <c r="P155" s="37" t="str">
        <f aca="false">IF(OR(C155="",H155="",I155=""),"",MATCH(H155,lst_Likelihood,0)*MATCH(I155,lst_Consequence,0))</f>
        <v/>
      </c>
      <c r="Q155" s="37" t="str">
        <f aca="false">IF(P155="","",IF(P155&gt;=16,"Critical",IF(P155&gt;=10,"High",IF(P155&gt;=5,"Medium","Low"))))</f>
        <v/>
      </c>
      <c r="R155" s="37" t="str">
        <f aca="true">IF(AND(C155&lt;&gt;"",M155&lt;&gt;"Closed",L155&lt;&gt;"",L155&lt;TODAY()),"Overdue","")</f>
        <v/>
      </c>
      <c r="S155" s="40" t="str">
        <f aca="false">IF(AND(N155&lt;&gt;"",B155="Risk",M155&lt;&gt;"Closed"),N155+(1-ROW()/100000),"")</f>
        <v/>
      </c>
      <c r="T155" s="40" t="str">
        <f aca="false">IF(AND(S155&lt;&gt;"",A155='Project Summary'!$C$3),S155,"")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2"/>
      <c r="G156" s="32"/>
      <c r="H156" s="32"/>
      <c r="I156" s="32"/>
      <c r="J156" s="33"/>
      <c r="K156" s="32"/>
      <c r="L156" s="35"/>
      <c r="M156" s="32"/>
      <c r="N156" s="37" t="str">
        <f aca="false">IF(OR(C156="",F156="",G156=""),"",MATCH(F156,lst_Likelihood,0)*MATCH(G156,lst_Consequence,0))</f>
        <v/>
      </c>
      <c r="O156" s="37" t="str">
        <f aca="false">IF(N156="","",IF(N156&gt;=16,"Critical",IF(N156&gt;=10,"High",IF(N156&gt;=5,"Medium","Low"))))</f>
        <v/>
      </c>
      <c r="P156" s="37" t="str">
        <f aca="false">IF(OR(C156="",H156="",I156=""),"",MATCH(H156,lst_Likelihood,0)*MATCH(I156,lst_Consequence,0))</f>
        <v/>
      </c>
      <c r="Q156" s="37" t="str">
        <f aca="false">IF(P156="","",IF(P156&gt;=16,"Critical",IF(P156&gt;=10,"High",IF(P156&gt;=5,"Medium","Low"))))</f>
        <v/>
      </c>
      <c r="R156" s="37" t="str">
        <f aca="true">IF(AND(C156&lt;&gt;"",M156&lt;&gt;"Closed",L156&lt;&gt;"",L156&lt;TODAY()),"Overdue","")</f>
        <v/>
      </c>
      <c r="S156" s="40" t="str">
        <f aca="false">IF(AND(N156&lt;&gt;"",B156="Risk",M156&lt;&gt;"Closed"),N156+(1-ROW()/100000),"")</f>
        <v/>
      </c>
      <c r="T156" s="40" t="str">
        <f aca="false">IF(AND(S156&lt;&gt;"",A156='Project Summary'!$C$3),S156,"")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2"/>
      <c r="G157" s="32"/>
      <c r="H157" s="32"/>
      <c r="I157" s="32"/>
      <c r="J157" s="33"/>
      <c r="K157" s="32"/>
      <c r="L157" s="35"/>
      <c r="M157" s="32"/>
      <c r="N157" s="37" t="str">
        <f aca="false">IF(OR(C157="",F157="",G157=""),"",MATCH(F157,lst_Likelihood,0)*MATCH(G157,lst_Consequence,0))</f>
        <v/>
      </c>
      <c r="O157" s="37" t="str">
        <f aca="false">IF(N157="","",IF(N157&gt;=16,"Critical",IF(N157&gt;=10,"High",IF(N157&gt;=5,"Medium","Low"))))</f>
        <v/>
      </c>
      <c r="P157" s="37" t="str">
        <f aca="false">IF(OR(C157="",H157="",I157=""),"",MATCH(H157,lst_Likelihood,0)*MATCH(I157,lst_Consequence,0))</f>
        <v/>
      </c>
      <c r="Q157" s="37" t="str">
        <f aca="false">IF(P157="","",IF(P157&gt;=16,"Critical",IF(P157&gt;=10,"High",IF(P157&gt;=5,"Medium","Low"))))</f>
        <v/>
      </c>
      <c r="R157" s="37" t="str">
        <f aca="true">IF(AND(C157&lt;&gt;"",M157&lt;&gt;"Closed",L157&lt;&gt;"",L157&lt;TODAY()),"Overdue","")</f>
        <v/>
      </c>
      <c r="S157" s="40" t="str">
        <f aca="false">IF(AND(N157&lt;&gt;"",B157="Risk",M157&lt;&gt;"Closed"),N157+(1-ROW()/100000),"")</f>
        <v/>
      </c>
      <c r="T157" s="40" t="str">
        <f aca="false">IF(AND(S157&lt;&gt;"",A157='Project Summary'!$C$3),S157,"")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2"/>
      <c r="G158" s="32"/>
      <c r="H158" s="32"/>
      <c r="I158" s="32"/>
      <c r="J158" s="33"/>
      <c r="K158" s="32"/>
      <c r="L158" s="35"/>
      <c r="M158" s="32"/>
      <c r="N158" s="37" t="str">
        <f aca="false">IF(OR(C158="",F158="",G158=""),"",MATCH(F158,lst_Likelihood,0)*MATCH(G158,lst_Consequence,0))</f>
        <v/>
      </c>
      <c r="O158" s="37" t="str">
        <f aca="false">IF(N158="","",IF(N158&gt;=16,"Critical",IF(N158&gt;=10,"High",IF(N158&gt;=5,"Medium","Low"))))</f>
        <v/>
      </c>
      <c r="P158" s="37" t="str">
        <f aca="false">IF(OR(C158="",H158="",I158=""),"",MATCH(H158,lst_Likelihood,0)*MATCH(I158,lst_Consequence,0))</f>
        <v/>
      </c>
      <c r="Q158" s="37" t="str">
        <f aca="false">IF(P158="","",IF(P158&gt;=16,"Critical",IF(P158&gt;=10,"High",IF(P158&gt;=5,"Medium","Low"))))</f>
        <v/>
      </c>
      <c r="R158" s="37" t="str">
        <f aca="true">IF(AND(C158&lt;&gt;"",M158&lt;&gt;"Closed",L158&lt;&gt;"",L158&lt;TODAY()),"Overdue","")</f>
        <v/>
      </c>
      <c r="S158" s="40" t="str">
        <f aca="false">IF(AND(N158&lt;&gt;"",B158="Risk",M158&lt;&gt;"Closed"),N158+(1-ROW()/100000),"")</f>
        <v/>
      </c>
      <c r="T158" s="40" t="str">
        <f aca="false">IF(AND(S158&lt;&gt;"",A158='Project Summary'!$C$3),S158,"")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2"/>
      <c r="G159" s="32"/>
      <c r="H159" s="32"/>
      <c r="I159" s="32"/>
      <c r="J159" s="33"/>
      <c r="K159" s="32"/>
      <c r="L159" s="35"/>
      <c r="M159" s="32"/>
      <c r="N159" s="37" t="str">
        <f aca="false">IF(OR(C159="",F159="",G159=""),"",MATCH(F159,lst_Likelihood,0)*MATCH(G159,lst_Consequence,0))</f>
        <v/>
      </c>
      <c r="O159" s="37" t="str">
        <f aca="false">IF(N159="","",IF(N159&gt;=16,"Critical",IF(N159&gt;=10,"High",IF(N159&gt;=5,"Medium","Low"))))</f>
        <v/>
      </c>
      <c r="P159" s="37" t="str">
        <f aca="false">IF(OR(C159="",H159="",I159=""),"",MATCH(H159,lst_Likelihood,0)*MATCH(I159,lst_Consequence,0))</f>
        <v/>
      </c>
      <c r="Q159" s="37" t="str">
        <f aca="false">IF(P159="","",IF(P159&gt;=16,"Critical",IF(P159&gt;=10,"High",IF(P159&gt;=5,"Medium","Low"))))</f>
        <v/>
      </c>
      <c r="R159" s="37" t="str">
        <f aca="true">IF(AND(C159&lt;&gt;"",M159&lt;&gt;"Closed",L159&lt;&gt;"",L159&lt;TODAY()),"Overdue","")</f>
        <v/>
      </c>
      <c r="S159" s="40" t="str">
        <f aca="false">IF(AND(N159&lt;&gt;"",B159="Risk",M159&lt;&gt;"Closed"),N159+(1-ROW()/100000),"")</f>
        <v/>
      </c>
      <c r="T159" s="40" t="str">
        <f aca="false">IF(AND(S159&lt;&gt;"",A159='Project Summary'!$C$3),S159,"")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2"/>
      <c r="G160" s="32"/>
      <c r="H160" s="32"/>
      <c r="I160" s="32"/>
      <c r="J160" s="33"/>
      <c r="K160" s="32"/>
      <c r="L160" s="35"/>
      <c r="M160" s="32"/>
      <c r="N160" s="37" t="str">
        <f aca="false">IF(OR(C160="",F160="",G160=""),"",MATCH(F160,lst_Likelihood,0)*MATCH(G160,lst_Consequence,0))</f>
        <v/>
      </c>
      <c r="O160" s="37" t="str">
        <f aca="false">IF(N160="","",IF(N160&gt;=16,"Critical",IF(N160&gt;=10,"High",IF(N160&gt;=5,"Medium","Low"))))</f>
        <v/>
      </c>
      <c r="P160" s="37" t="str">
        <f aca="false">IF(OR(C160="",H160="",I160=""),"",MATCH(H160,lst_Likelihood,0)*MATCH(I160,lst_Consequence,0))</f>
        <v/>
      </c>
      <c r="Q160" s="37" t="str">
        <f aca="false">IF(P160="","",IF(P160&gt;=16,"Critical",IF(P160&gt;=10,"High",IF(P160&gt;=5,"Medium","Low"))))</f>
        <v/>
      </c>
      <c r="R160" s="37" t="str">
        <f aca="true">IF(AND(C160&lt;&gt;"",M160&lt;&gt;"Closed",L160&lt;&gt;"",L160&lt;TODAY()),"Overdue","")</f>
        <v/>
      </c>
      <c r="S160" s="40" t="str">
        <f aca="false">IF(AND(N160&lt;&gt;"",B160="Risk",M160&lt;&gt;"Closed"),N160+(1-ROW()/100000),"")</f>
        <v/>
      </c>
      <c r="T160" s="40" t="str">
        <f aca="false">IF(AND(S160&lt;&gt;"",A160='Project Summary'!$C$3),S160,"")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2"/>
      <c r="G161" s="32"/>
      <c r="H161" s="32"/>
      <c r="I161" s="32"/>
      <c r="J161" s="33"/>
      <c r="K161" s="32"/>
      <c r="L161" s="35"/>
      <c r="M161" s="32"/>
      <c r="N161" s="37" t="str">
        <f aca="false">IF(OR(C161="",F161="",G161=""),"",MATCH(F161,lst_Likelihood,0)*MATCH(G161,lst_Consequence,0))</f>
        <v/>
      </c>
      <c r="O161" s="37" t="str">
        <f aca="false">IF(N161="","",IF(N161&gt;=16,"Critical",IF(N161&gt;=10,"High",IF(N161&gt;=5,"Medium","Low"))))</f>
        <v/>
      </c>
      <c r="P161" s="37" t="str">
        <f aca="false">IF(OR(C161="",H161="",I161=""),"",MATCH(H161,lst_Likelihood,0)*MATCH(I161,lst_Consequence,0))</f>
        <v/>
      </c>
      <c r="Q161" s="37" t="str">
        <f aca="false">IF(P161="","",IF(P161&gt;=16,"Critical",IF(P161&gt;=10,"High",IF(P161&gt;=5,"Medium","Low"))))</f>
        <v/>
      </c>
      <c r="R161" s="37" t="str">
        <f aca="true">IF(AND(C161&lt;&gt;"",M161&lt;&gt;"Closed",L161&lt;&gt;"",L161&lt;TODAY()),"Overdue","")</f>
        <v/>
      </c>
      <c r="S161" s="40" t="str">
        <f aca="false">IF(AND(N161&lt;&gt;"",B161="Risk",M161&lt;&gt;"Closed"),N161+(1-ROW()/100000),"")</f>
        <v/>
      </c>
      <c r="T161" s="40" t="str">
        <f aca="false">IF(AND(S161&lt;&gt;"",A161='Project Summary'!$C$3),S161,"")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2"/>
      <c r="G162" s="32"/>
      <c r="H162" s="32"/>
      <c r="I162" s="32"/>
      <c r="J162" s="33"/>
      <c r="K162" s="32"/>
      <c r="L162" s="35"/>
      <c r="M162" s="32"/>
      <c r="N162" s="37" t="str">
        <f aca="false">IF(OR(C162="",F162="",G162=""),"",MATCH(F162,lst_Likelihood,0)*MATCH(G162,lst_Consequence,0))</f>
        <v/>
      </c>
      <c r="O162" s="37" t="str">
        <f aca="false">IF(N162="","",IF(N162&gt;=16,"Critical",IF(N162&gt;=10,"High",IF(N162&gt;=5,"Medium","Low"))))</f>
        <v/>
      </c>
      <c r="P162" s="37" t="str">
        <f aca="false">IF(OR(C162="",H162="",I162=""),"",MATCH(H162,lst_Likelihood,0)*MATCH(I162,lst_Consequence,0))</f>
        <v/>
      </c>
      <c r="Q162" s="37" t="str">
        <f aca="false">IF(P162="","",IF(P162&gt;=16,"Critical",IF(P162&gt;=10,"High",IF(P162&gt;=5,"Medium","Low"))))</f>
        <v/>
      </c>
      <c r="R162" s="37" t="str">
        <f aca="true">IF(AND(C162&lt;&gt;"",M162&lt;&gt;"Closed",L162&lt;&gt;"",L162&lt;TODAY()),"Overdue","")</f>
        <v/>
      </c>
      <c r="S162" s="40" t="str">
        <f aca="false">IF(AND(N162&lt;&gt;"",B162="Risk",M162&lt;&gt;"Closed"),N162+(1-ROW()/100000),"")</f>
        <v/>
      </c>
      <c r="T162" s="40" t="str">
        <f aca="false">IF(AND(S162&lt;&gt;"",A162='Project Summary'!$C$3),S162,"")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2"/>
      <c r="G163" s="32"/>
      <c r="H163" s="32"/>
      <c r="I163" s="32"/>
      <c r="J163" s="33"/>
      <c r="K163" s="32"/>
      <c r="L163" s="35"/>
      <c r="M163" s="32"/>
      <c r="N163" s="37" t="str">
        <f aca="false">IF(OR(C163="",F163="",G163=""),"",MATCH(F163,lst_Likelihood,0)*MATCH(G163,lst_Consequence,0))</f>
        <v/>
      </c>
      <c r="O163" s="37" t="str">
        <f aca="false">IF(N163="","",IF(N163&gt;=16,"Critical",IF(N163&gt;=10,"High",IF(N163&gt;=5,"Medium","Low"))))</f>
        <v/>
      </c>
      <c r="P163" s="37" t="str">
        <f aca="false">IF(OR(C163="",H163="",I163=""),"",MATCH(H163,lst_Likelihood,0)*MATCH(I163,lst_Consequence,0))</f>
        <v/>
      </c>
      <c r="Q163" s="37" t="str">
        <f aca="false">IF(P163="","",IF(P163&gt;=16,"Critical",IF(P163&gt;=10,"High",IF(P163&gt;=5,"Medium","Low"))))</f>
        <v/>
      </c>
      <c r="R163" s="37" t="str">
        <f aca="true">IF(AND(C163&lt;&gt;"",M163&lt;&gt;"Closed",L163&lt;&gt;"",L163&lt;TODAY()),"Overdue","")</f>
        <v/>
      </c>
      <c r="S163" s="40" t="str">
        <f aca="false">IF(AND(N163&lt;&gt;"",B163="Risk",M163&lt;&gt;"Closed"),N163+(1-ROW()/100000),"")</f>
        <v/>
      </c>
      <c r="T163" s="40" t="str">
        <f aca="false">IF(AND(S163&lt;&gt;"",A163='Project Summary'!$C$3),S163,"")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2"/>
      <c r="G164" s="32"/>
      <c r="H164" s="32"/>
      <c r="I164" s="32"/>
      <c r="J164" s="33"/>
      <c r="K164" s="32"/>
      <c r="L164" s="35"/>
      <c r="M164" s="32"/>
      <c r="N164" s="37" t="str">
        <f aca="false">IF(OR(C164="",F164="",G164=""),"",MATCH(F164,lst_Likelihood,0)*MATCH(G164,lst_Consequence,0))</f>
        <v/>
      </c>
      <c r="O164" s="37" t="str">
        <f aca="false">IF(N164="","",IF(N164&gt;=16,"Critical",IF(N164&gt;=10,"High",IF(N164&gt;=5,"Medium","Low"))))</f>
        <v/>
      </c>
      <c r="P164" s="37" t="str">
        <f aca="false">IF(OR(C164="",H164="",I164=""),"",MATCH(H164,lst_Likelihood,0)*MATCH(I164,lst_Consequence,0))</f>
        <v/>
      </c>
      <c r="Q164" s="37" t="str">
        <f aca="false">IF(P164="","",IF(P164&gt;=16,"Critical",IF(P164&gt;=10,"High",IF(P164&gt;=5,"Medium","Low"))))</f>
        <v/>
      </c>
      <c r="R164" s="37" t="str">
        <f aca="true">IF(AND(C164&lt;&gt;"",M164&lt;&gt;"Closed",L164&lt;&gt;"",L164&lt;TODAY()),"Overdue","")</f>
        <v/>
      </c>
      <c r="S164" s="40" t="str">
        <f aca="false">IF(AND(N164&lt;&gt;"",B164="Risk",M164&lt;&gt;"Closed"),N164+(1-ROW()/100000),"")</f>
        <v/>
      </c>
      <c r="T164" s="40" t="str">
        <f aca="false">IF(AND(S164&lt;&gt;"",A164='Project Summary'!$C$3),S164,"")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2"/>
      <c r="G165" s="32"/>
      <c r="H165" s="32"/>
      <c r="I165" s="32"/>
      <c r="J165" s="33"/>
      <c r="K165" s="32"/>
      <c r="L165" s="35"/>
      <c r="M165" s="32"/>
      <c r="N165" s="37" t="str">
        <f aca="false">IF(OR(C165="",F165="",G165=""),"",MATCH(F165,lst_Likelihood,0)*MATCH(G165,lst_Consequence,0))</f>
        <v/>
      </c>
      <c r="O165" s="37" t="str">
        <f aca="false">IF(N165="","",IF(N165&gt;=16,"Critical",IF(N165&gt;=10,"High",IF(N165&gt;=5,"Medium","Low"))))</f>
        <v/>
      </c>
      <c r="P165" s="37" t="str">
        <f aca="false">IF(OR(C165="",H165="",I165=""),"",MATCH(H165,lst_Likelihood,0)*MATCH(I165,lst_Consequence,0))</f>
        <v/>
      </c>
      <c r="Q165" s="37" t="str">
        <f aca="false">IF(P165="","",IF(P165&gt;=16,"Critical",IF(P165&gt;=10,"High",IF(P165&gt;=5,"Medium","Low"))))</f>
        <v/>
      </c>
      <c r="R165" s="37" t="str">
        <f aca="true">IF(AND(C165&lt;&gt;"",M165&lt;&gt;"Closed",L165&lt;&gt;"",L165&lt;TODAY()),"Overdue","")</f>
        <v/>
      </c>
      <c r="S165" s="40" t="str">
        <f aca="false">IF(AND(N165&lt;&gt;"",B165="Risk",M165&lt;&gt;"Closed"),N165+(1-ROW()/100000),"")</f>
        <v/>
      </c>
      <c r="T165" s="40" t="str">
        <f aca="false">IF(AND(S165&lt;&gt;"",A165='Project Summary'!$C$3),S165,"")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2"/>
      <c r="G166" s="32"/>
      <c r="H166" s="32"/>
      <c r="I166" s="32"/>
      <c r="J166" s="33"/>
      <c r="K166" s="32"/>
      <c r="L166" s="35"/>
      <c r="M166" s="32"/>
      <c r="N166" s="37" t="str">
        <f aca="false">IF(OR(C166="",F166="",G166=""),"",MATCH(F166,lst_Likelihood,0)*MATCH(G166,lst_Consequence,0))</f>
        <v/>
      </c>
      <c r="O166" s="37" t="str">
        <f aca="false">IF(N166="","",IF(N166&gt;=16,"Critical",IF(N166&gt;=10,"High",IF(N166&gt;=5,"Medium","Low"))))</f>
        <v/>
      </c>
      <c r="P166" s="37" t="str">
        <f aca="false">IF(OR(C166="",H166="",I166=""),"",MATCH(H166,lst_Likelihood,0)*MATCH(I166,lst_Consequence,0))</f>
        <v/>
      </c>
      <c r="Q166" s="37" t="str">
        <f aca="false">IF(P166="","",IF(P166&gt;=16,"Critical",IF(P166&gt;=10,"High",IF(P166&gt;=5,"Medium","Low"))))</f>
        <v/>
      </c>
      <c r="R166" s="37" t="str">
        <f aca="true">IF(AND(C166&lt;&gt;"",M166&lt;&gt;"Closed",L166&lt;&gt;"",L166&lt;TODAY()),"Overdue","")</f>
        <v/>
      </c>
      <c r="S166" s="40" t="str">
        <f aca="false">IF(AND(N166&lt;&gt;"",B166="Risk",M166&lt;&gt;"Closed"),N166+(1-ROW()/100000),"")</f>
        <v/>
      </c>
      <c r="T166" s="40" t="str">
        <f aca="false">IF(AND(S166&lt;&gt;"",A166='Project Summary'!$C$3),S166,"")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2"/>
      <c r="G167" s="32"/>
      <c r="H167" s="32"/>
      <c r="I167" s="32"/>
      <c r="J167" s="33"/>
      <c r="K167" s="32"/>
      <c r="L167" s="35"/>
      <c r="M167" s="32"/>
      <c r="N167" s="37" t="str">
        <f aca="false">IF(OR(C167="",F167="",G167=""),"",MATCH(F167,lst_Likelihood,0)*MATCH(G167,lst_Consequence,0))</f>
        <v/>
      </c>
      <c r="O167" s="37" t="str">
        <f aca="false">IF(N167="","",IF(N167&gt;=16,"Critical",IF(N167&gt;=10,"High",IF(N167&gt;=5,"Medium","Low"))))</f>
        <v/>
      </c>
      <c r="P167" s="37" t="str">
        <f aca="false">IF(OR(C167="",H167="",I167=""),"",MATCH(H167,lst_Likelihood,0)*MATCH(I167,lst_Consequence,0))</f>
        <v/>
      </c>
      <c r="Q167" s="37" t="str">
        <f aca="false">IF(P167="","",IF(P167&gt;=16,"Critical",IF(P167&gt;=10,"High",IF(P167&gt;=5,"Medium","Low"))))</f>
        <v/>
      </c>
      <c r="R167" s="37" t="str">
        <f aca="true">IF(AND(C167&lt;&gt;"",M167&lt;&gt;"Closed",L167&lt;&gt;"",L167&lt;TODAY()),"Overdue","")</f>
        <v/>
      </c>
      <c r="S167" s="40" t="str">
        <f aca="false">IF(AND(N167&lt;&gt;"",B167="Risk",M167&lt;&gt;"Closed"),N167+(1-ROW()/100000),"")</f>
        <v/>
      </c>
      <c r="T167" s="40" t="str">
        <f aca="false">IF(AND(S167&lt;&gt;"",A167='Project Summary'!$C$3),S167,"")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2"/>
      <c r="G168" s="32"/>
      <c r="H168" s="32"/>
      <c r="I168" s="32"/>
      <c r="J168" s="33"/>
      <c r="K168" s="32"/>
      <c r="L168" s="35"/>
      <c r="M168" s="32"/>
      <c r="N168" s="37" t="str">
        <f aca="false">IF(OR(C168="",F168="",G168=""),"",MATCH(F168,lst_Likelihood,0)*MATCH(G168,lst_Consequence,0))</f>
        <v/>
      </c>
      <c r="O168" s="37" t="str">
        <f aca="false">IF(N168="","",IF(N168&gt;=16,"Critical",IF(N168&gt;=10,"High",IF(N168&gt;=5,"Medium","Low"))))</f>
        <v/>
      </c>
      <c r="P168" s="37" t="str">
        <f aca="false">IF(OR(C168="",H168="",I168=""),"",MATCH(H168,lst_Likelihood,0)*MATCH(I168,lst_Consequence,0))</f>
        <v/>
      </c>
      <c r="Q168" s="37" t="str">
        <f aca="false">IF(P168="","",IF(P168&gt;=16,"Critical",IF(P168&gt;=10,"High",IF(P168&gt;=5,"Medium","Low"))))</f>
        <v/>
      </c>
      <c r="R168" s="37" t="str">
        <f aca="true">IF(AND(C168&lt;&gt;"",M168&lt;&gt;"Closed",L168&lt;&gt;"",L168&lt;TODAY()),"Overdue","")</f>
        <v/>
      </c>
      <c r="S168" s="40" t="str">
        <f aca="false">IF(AND(N168&lt;&gt;"",B168="Risk",M168&lt;&gt;"Closed"),N168+(1-ROW()/100000),"")</f>
        <v/>
      </c>
      <c r="T168" s="40" t="str">
        <f aca="false">IF(AND(S168&lt;&gt;"",A168='Project Summary'!$C$3),S168,"")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2"/>
      <c r="G169" s="32"/>
      <c r="H169" s="32"/>
      <c r="I169" s="32"/>
      <c r="J169" s="33"/>
      <c r="K169" s="32"/>
      <c r="L169" s="35"/>
      <c r="M169" s="32"/>
      <c r="N169" s="37" t="str">
        <f aca="false">IF(OR(C169="",F169="",G169=""),"",MATCH(F169,lst_Likelihood,0)*MATCH(G169,lst_Consequence,0))</f>
        <v/>
      </c>
      <c r="O169" s="37" t="str">
        <f aca="false">IF(N169="","",IF(N169&gt;=16,"Critical",IF(N169&gt;=10,"High",IF(N169&gt;=5,"Medium","Low"))))</f>
        <v/>
      </c>
      <c r="P169" s="37" t="str">
        <f aca="false">IF(OR(C169="",H169="",I169=""),"",MATCH(H169,lst_Likelihood,0)*MATCH(I169,lst_Consequence,0))</f>
        <v/>
      </c>
      <c r="Q169" s="37" t="str">
        <f aca="false">IF(P169="","",IF(P169&gt;=16,"Critical",IF(P169&gt;=10,"High",IF(P169&gt;=5,"Medium","Low"))))</f>
        <v/>
      </c>
      <c r="R169" s="37" t="str">
        <f aca="true">IF(AND(C169&lt;&gt;"",M169&lt;&gt;"Closed",L169&lt;&gt;"",L169&lt;TODAY()),"Overdue","")</f>
        <v/>
      </c>
      <c r="S169" s="40" t="str">
        <f aca="false">IF(AND(N169&lt;&gt;"",B169="Risk",M169&lt;&gt;"Closed"),N169+(1-ROW()/100000),"")</f>
        <v/>
      </c>
      <c r="T169" s="40" t="str">
        <f aca="false">IF(AND(S169&lt;&gt;"",A169='Project Summary'!$C$3),S169,"")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2"/>
      <c r="G170" s="32"/>
      <c r="H170" s="32"/>
      <c r="I170" s="32"/>
      <c r="J170" s="33"/>
      <c r="K170" s="32"/>
      <c r="L170" s="35"/>
      <c r="M170" s="32"/>
      <c r="N170" s="37" t="str">
        <f aca="false">IF(OR(C170="",F170="",G170=""),"",MATCH(F170,lst_Likelihood,0)*MATCH(G170,lst_Consequence,0))</f>
        <v/>
      </c>
      <c r="O170" s="37" t="str">
        <f aca="false">IF(N170="","",IF(N170&gt;=16,"Critical",IF(N170&gt;=10,"High",IF(N170&gt;=5,"Medium","Low"))))</f>
        <v/>
      </c>
      <c r="P170" s="37" t="str">
        <f aca="false">IF(OR(C170="",H170="",I170=""),"",MATCH(H170,lst_Likelihood,0)*MATCH(I170,lst_Consequence,0))</f>
        <v/>
      </c>
      <c r="Q170" s="37" t="str">
        <f aca="false">IF(P170="","",IF(P170&gt;=16,"Critical",IF(P170&gt;=10,"High",IF(P170&gt;=5,"Medium","Low"))))</f>
        <v/>
      </c>
      <c r="R170" s="37" t="str">
        <f aca="true">IF(AND(C170&lt;&gt;"",M170&lt;&gt;"Closed",L170&lt;&gt;"",L170&lt;TODAY()),"Overdue","")</f>
        <v/>
      </c>
      <c r="S170" s="40" t="str">
        <f aca="false">IF(AND(N170&lt;&gt;"",B170="Risk",M170&lt;&gt;"Closed"),N170+(1-ROW()/100000),"")</f>
        <v/>
      </c>
      <c r="T170" s="40" t="str">
        <f aca="false">IF(AND(S170&lt;&gt;"",A170='Project Summary'!$C$3),S170,"")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2"/>
      <c r="G171" s="32"/>
      <c r="H171" s="32"/>
      <c r="I171" s="32"/>
      <c r="J171" s="33"/>
      <c r="K171" s="32"/>
      <c r="L171" s="35"/>
      <c r="M171" s="32"/>
      <c r="N171" s="37" t="str">
        <f aca="false">IF(OR(C171="",F171="",G171=""),"",MATCH(F171,lst_Likelihood,0)*MATCH(G171,lst_Consequence,0))</f>
        <v/>
      </c>
      <c r="O171" s="37" t="str">
        <f aca="false">IF(N171="","",IF(N171&gt;=16,"Critical",IF(N171&gt;=10,"High",IF(N171&gt;=5,"Medium","Low"))))</f>
        <v/>
      </c>
      <c r="P171" s="37" t="str">
        <f aca="false">IF(OR(C171="",H171="",I171=""),"",MATCH(H171,lst_Likelihood,0)*MATCH(I171,lst_Consequence,0))</f>
        <v/>
      </c>
      <c r="Q171" s="37" t="str">
        <f aca="false">IF(P171="","",IF(P171&gt;=16,"Critical",IF(P171&gt;=10,"High",IF(P171&gt;=5,"Medium","Low"))))</f>
        <v/>
      </c>
      <c r="R171" s="37" t="str">
        <f aca="true">IF(AND(C171&lt;&gt;"",M171&lt;&gt;"Closed",L171&lt;&gt;"",L171&lt;TODAY()),"Overdue","")</f>
        <v/>
      </c>
      <c r="S171" s="40" t="str">
        <f aca="false">IF(AND(N171&lt;&gt;"",B171="Risk",M171&lt;&gt;"Closed"),N171+(1-ROW()/100000),"")</f>
        <v/>
      </c>
      <c r="T171" s="40" t="str">
        <f aca="false">IF(AND(S171&lt;&gt;"",A171='Project Summary'!$C$3),S171,"")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2"/>
      <c r="G172" s="32"/>
      <c r="H172" s="32"/>
      <c r="I172" s="32"/>
      <c r="J172" s="33"/>
      <c r="K172" s="32"/>
      <c r="L172" s="35"/>
      <c r="M172" s="32"/>
      <c r="N172" s="37" t="str">
        <f aca="false">IF(OR(C172="",F172="",G172=""),"",MATCH(F172,lst_Likelihood,0)*MATCH(G172,lst_Consequence,0))</f>
        <v/>
      </c>
      <c r="O172" s="37" t="str">
        <f aca="false">IF(N172="","",IF(N172&gt;=16,"Critical",IF(N172&gt;=10,"High",IF(N172&gt;=5,"Medium","Low"))))</f>
        <v/>
      </c>
      <c r="P172" s="37" t="str">
        <f aca="false">IF(OR(C172="",H172="",I172=""),"",MATCH(H172,lst_Likelihood,0)*MATCH(I172,lst_Consequence,0))</f>
        <v/>
      </c>
      <c r="Q172" s="37" t="str">
        <f aca="false">IF(P172="","",IF(P172&gt;=16,"Critical",IF(P172&gt;=10,"High",IF(P172&gt;=5,"Medium","Low"))))</f>
        <v/>
      </c>
      <c r="R172" s="37" t="str">
        <f aca="true">IF(AND(C172&lt;&gt;"",M172&lt;&gt;"Closed",L172&lt;&gt;"",L172&lt;TODAY()),"Overdue","")</f>
        <v/>
      </c>
      <c r="S172" s="40" t="str">
        <f aca="false">IF(AND(N172&lt;&gt;"",B172="Risk",M172&lt;&gt;"Closed"),N172+(1-ROW()/100000),"")</f>
        <v/>
      </c>
      <c r="T172" s="40" t="str">
        <f aca="false">IF(AND(S172&lt;&gt;"",A172='Project Summary'!$C$3),S172,"")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2"/>
      <c r="G173" s="32"/>
      <c r="H173" s="32"/>
      <c r="I173" s="32"/>
      <c r="J173" s="33"/>
      <c r="K173" s="32"/>
      <c r="L173" s="35"/>
      <c r="M173" s="32"/>
      <c r="N173" s="37" t="str">
        <f aca="false">IF(OR(C173="",F173="",G173=""),"",MATCH(F173,lst_Likelihood,0)*MATCH(G173,lst_Consequence,0))</f>
        <v/>
      </c>
      <c r="O173" s="37" t="str">
        <f aca="false">IF(N173="","",IF(N173&gt;=16,"Critical",IF(N173&gt;=10,"High",IF(N173&gt;=5,"Medium","Low"))))</f>
        <v/>
      </c>
      <c r="P173" s="37" t="str">
        <f aca="false">IF(OR(C173="",H173="",I173=""),"",MATCH(H173,lst_Likelihood,0)*MATCH(I173,lst_Consequence,0))</f>
        <v/>
      </c>
      <c r="Q173" s="37" t="str">
        <f aca="false">IF(P173="","",IF(P173&gt;=16,"Critical",IF(P173&gt;=10,"High",IF(P173&gt;=5,"Medium","Low"))))</f>
        <v/>
      </c>
      <c r="R173" s="37" t="str">
        <f aca="true">IF(AND(C173&lt;&gt;"",M173&lt;&gt;"Closed",L173&lt;&gt;"",L173&lt;TODAY()),"Overdue","")</f>
        <v/>
      </c>
      <c r="S173" s="40" t="str">
        <f aca="false">IF(AND(N173&lt;&gt;"",B173="Risk",M173&lt;&gt;"Closed"),N173+(1-ROW()/100000),"")</f>
        <v/>
      </c>
      <c r="T173" s="40" t="str">
        <f aca="false">IF(AND(S173&lt;&gt;"",A173='Project Summary'!$C$3),S173,"")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2"/>
      <c r="G174" s="32"/>
      <c r="H174" s="32"/>
      <c r="I174" s="32"/>
      <c r="J174" s="33"/>
      <c r="K174" s="32"/>
      <c r="L174" s="35"/>
      <c r="M174" s="32"/>
      <c r="N174" s="37" t="str">
        <f aca="false">IF(OR(C174="",F174="",G174=""),"",MATCH(F174,lst_Likelihood,0)*MATCH(G174,lst_Consequence,0))</f>
        <v/>
      </c>
      <c r="O174" s="37" t="str">
        <f aca="false">IF(N174="","",IF(N174&gt;=16,"Critical",IF(N174&gt;=10,"High",IF(N174&gt;=5,"Medium","Low"))))</f>
        <v/>
      </c>
      <c r="P174" s="37" t="str">
        <f aca="false">IF(OR(C174="",H174="",I174=""),"",MATCH(H174,lst_Likelihood,0)*MATCH(I174,lst_Consequence,0))</f>
        <v/>
      </c>
      <c r="Q174" s="37" t="str">
        <f aca="false">IF(P174="","",IF(P174&gt;=16,"Critical",IF(P174&gt;=10,"High",IF(P174&gt;=5,"Medium","Low"))))</f>
        <v/>
      </c>
      <c r="R174" s="37" t="str">
        <f aca="true">IF(AND(C174&lt;&gt;"",M174&lt;&gt;"Closed",L174&lt;&gt;"",L174&lt;TODAY()),"Overdue","")</f>
        <v/>
      </c>
      <c r="S174" s="40" t="str">
        <f aca="false">IF(AND(N174&lt;&gt;"",B174="Risk",M174&lt;&gt;"Closed"),N174+(1-ROW()/100000),"")</f>
        <v/>
      </c>
      <c r="T174" s="40" t="str">
        <f aca="false">IF(AND(S174&lt;&gt;"",A174='Project Summary'!$C$3),S174,"")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2"/>
      <c r="G175" s="32"/>
      <c r="H175" s="32"/>
      <c r="I175" s="32"/>
      <c r="J175" s="33"/>
      <c r="K175" s="32"/>
      <c r="L175" s="35"/>
      <c r="M175" s="32"/>
      <c r="N175" s="37" t="str">
        <f aca="false">IF(OR(C175="",F175="",G175=""),"",MATCH(F175,lst_Likelihood,0)*MATCH(G175,lst_Consequence,0))</f>
        <v/>
      </c>
      <c r="O175" s="37" t="str">
        <f aca="false">IF(N175="","",IF(N175&gt;=16,"Critical",IF(N175&gt;=10,"High",IF(N175&gt;=5,"Medium","Low"))))</f>
        <v/>
      </c>
      <c r="P175" s="37" t="str">
        <f aca="false">IF(OR(C175="",H175="",I175=""),"",MATCH(H175,lst_Likelihood,0)*MATCH(I175,lst_Consequence,0))</f>
        <v/>
      </c>
      <c r="Q175" s="37" t="str">
        <f aca="false">IF(P175="","",IF(P175&gt;=16,"Critical",IF(P175&gt;=10,"High",IF(P175&gt;=5,"Medium","Low"))))</f>
        <v/>
      </c>
      <c r="R175" s="37" t="str">
        <f aca="true">IF(AND(C175&lt;&gt;"",M175&lt;&gt;"Closed",L175&lt;&gt;"",L175&lt;TODAY()),"Overdue","")</f>
        <v/>
      </c>
      <c r="S175" s="40" t="str">
        <f aca="false">IF(AND(N175&lt;&gt;"",B175="Risk",M175&lt;&gt;"Closed"),N175+(1-ROW()/100000),"")</f>
        <v/>
      </c>
      <c r="T175" s="40" t="str">
        <f aca="false">IF(AND(S175&lt;&gt;"",A175='Project Summary'!$C$3),S175,"")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2"/>
      <c r="G176" s="32"/>
      <c r="H176" s="32"/>
      <c r="I176" s="32"/>
      <c r="J176" s="33"/>
      <c r="K176" s="32"/>
      <c r="L176" s="35"/>
      <c r="M176" s="32"/>
      <c r="N176" s="37" t="str">
        <f aca="false">IF(OR(C176="",F176="",G176=""),"",MATCH(F176,lst_Likelihood,0)*MATCH(G176,lst_Consequence,0))</f>
        <v/>
      </c>
      <c r="O176" s="37" t="str">
        <f aca="false">IF(N176="","",IF(N176&gt;=16,"Critical",IF(N176&gt;=10,"High",IF(N176&gt;=5,"Medium","Low"))))</f>
        <v/>
      </c>
      <c r="P176" s="37" t="str">
        <f aca="false">IF(OR(C176="",H176="",I176=""),"",MATCH(H176,lst_Likelihood,0)*MATCH(I176,lst_Consequence,0))</f>
        <v/>
      </c>
      <c r="Q176" s="37" t="str">
        <f aca="false">IF(P176="","",IF(P176&gt;=16,"Critical",IF(P176&gt;=10,"High",IF(P176&gt;=5,"Medium","Low"))))</f>
        <v/>
      </c>
      <c r="R176" s="37" t="str">
        <f aca="true">IF(AND(C176&lt;&gt;"",M176&lt;&gt;"Closed",L176&lt;&gt;"",L176&lt;TODAY()),"Overdue","")</f>
        <v/>
      </c>
      <c r="S176" s="40" t="str">
        <f aca="false">IF(AND(N176&lt;&gt;"",B176="Risk",M176&lt;&gt;"Closed"),N176+(1-ROW()/100000),"")</f>
        <v/>
      </c>
      <c r="T176" s="40" t="str">
        <f aca="false">IF(AND(S176&lt;&gt;"",A176='Project Summary'!$C$3),S176,"")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2"/>
      <c r="G177" s="32"/>
      <c r="H177" s="32"/>
      <c r="I177" s="32"/>
      <c r="J177" s="33"/>
      <c r="K177" s="32"/>
      <c r="L177" s="35"/>
      <c r="M177" s="32"/>
      <c r="N177" s="37" t="str">
        <f aca="false">IF(OR(C177="",F177="",G177=""),"",MATCH(F177,lst_Likelihood,0)*MATCH(G177,lst_Consequence,0))</f>
        <v/>
      </c>
      <c r="O177" s="37" t="str">
        <f aca="false">IF(N177="","",IF(N177&gt;=16,"Critical",IF(N177&gt;=10,"High",IF(N177&gt;=5,"Medium","Low"))))</f>
        <v/>
      </c>
      <c r="P177" s="37" t="str">
        <f aca="false">IF(OR(C177="",H177="",I177=""),"",MATCH(H177,lst_Likelihood,0)*MATCH(I177,lst_Consequence,0))</f>
        <v/>
      </c>
      <c r="Q177" s="37" t="str">
        <f aca="false">IF(P177="","",IF(P177&gt;=16,"Critical",IF(P177&gt;=10,"High",IF(P177&gt;=5,"Medium","Low"))))</f>
        <v/>
      </c>
      <c r="R177" s="37" t="str">
        <f aca="true">IF(AND(C177&lt;&gt;"",M177&lt;&gt;"Closed",L177&lt;&gt;"",L177&lt;TODAY()),"Overdue","")</f>
        <v/>
      </c>
      <c r="S177" s="40" t="str">
        <f aca="false">IF(AND(N177&lt;&gt;"",B177="Risk",M177&lt;&gt;"Closed"),N177+(1-ROW()/100000),"")</f>
        <v/>
      </c>
      <c r="T177" s="40" t="str">
        <f aca="false">IF(AND(S177&lt;&gt;"",A177='Project Summary'!$C$3),S177,"")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2"/>
      <c r="G178" s="32"/>
      <c r="H178" s="32"/>
      <c r="I178" s="32"/>
      <c r="J178" s="33"/>
      <c r="K178" s="32"/>
      <c r="L178" s="35"/>
      <c r="M178" s="32"/>
      <c r="N178" s="37" t="str">
        <f aca="false">IF(OR(C178="",F178="",G178=""),"",MATCH(F178,lst_Likelihood,0)*MATCH(G178,lst_Consequence,0))</f>
        <v/>
      </c>
      <c r="O178" s="37" t="str">
        <f aca="false">IF(N178="","",IF(N178&gt;=16,"Critical",IF(N178&gt;=10,"High",IF(N178&gt;=5,"Medium","Low"))))</f>
        <v/>
      </c>
      <c r="P178" s="37" t="str">
        <f aca="false">IF(OR(C178="",H178="",I178=""),"",MATCH(H178,lst_Likelihood,0)*MATCH(I178,lst_Consequence,0))</f>
        <v/>
      </c>
      <c r="Q178" s="37" t="str">
        <f aca="false">IF(P178="","",IF(P178&gt;=16,"Critical",IF(P178&gt;=10,"High",IF(P178&gt;=5,"Medium","Low"))))</f>
        <v/>
      </c>
      <c r="R178" s="37" t="str">
        <f aca="true">IF(AND(C178&lt;&gt;"",M178&lt;&gt;"Closed",L178&lt;&gt;"",L178&lt;TODAY()),"Overdue","")</f>
        <v/>
      </c>
      <c r="S178" s="40" t="str">
        <f aca="false">IF(AND(N178&lt;&gt;"",B178="Risk",M178&lt;&gt;"Closed"),N178+(1-ROW()/100000),"")</f>
        <v/>
      </c>
      <c r="T178" s="40" t="str">
        <f aca="false">IF(AND(S178&lt;&gt;"",A178='Project Summary'!$C$3),S178,"")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2"/>
      <c r="G179" s="32"/>
      <c r="H179" s="32"/>
      <c r="I179" s="32"/>
      <c r="J179" s="33"/>
      <c r="K179" s="32"/>
      <c r="L179" s="35"/>
      <c r="M179" s="32"/>
      <c r="N179" s="37" t="str">
        <f aca="false">IF(OR(C179="",F179="",G179=""),"",MATCH(F179,lst_Likelihood,0)*MATCH(G179,lst_Consequence,0))</f>
        <v/>
      </c>
      <c r="O179" s="37" t="str">
        <f aca="false">IF(N179="","",IF(N179&gt;=16,"Critical",IF(N179&gt;=10,"High",IF(N179&gt;=5,"Medium","Low"))))</f>
        <v/>
      </c>
      <c r="P179" s="37" t="str">
        <f aca="false">IF(OR(C179="",H179="",I179=""),"",MATCH(H179,lst_Likelihood,0)*MATCH(I179,lst_Consequence,0))</f>
        <v/>
      </c>
      <c r="Q179" s="37" t="str">
        <f aca="false">IF(P179="","",IF(P179&gt;=16,"Critical",IF(P179&gt;=10,"High",IF(P179&gt;=5,"Medium","Low"))))</f>
        <v/>
      </c>
      <c r="R179" s="37" t="str">
        <f aca="true">IF(AND(C179&lt;&gt;"",M179&lt;&gt;"Closed",L179&lt;&gt;"",L179&lt;TODAY()),"Overdue","")</f>
        <v/>
      </c>
      <c r="S179" s="40" t="str">
        <f aca="false">IF(AND(N179&lt;&gt;"",B179="Risk",M179&lt;&gt;"Closed"),N179+(1-ROW()/100000),"")</f>
        <v/>
      </c>
      <c r="T179" s="40" t="str">
        <f aca="false">IF(AND(S179&lt;&gt;"",A179='Project Summary'!$C$3),S179,"")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2"/>
      <c r="G180" s="32"/>
      <c r="H180" s="32"/>
      <c r="I180" s="32"/>
      <c r="J180" s="33"/>
      <c r="K180" s="32"/>
      <c r="L180" s="35"/>
      <c r="M180" s="32"/>
      <c r="N180" s="37" t="str">
        <f aca="false">IF(OR(C180="",F180="",G180=""),"",MATCH(F180,lst_Likelihood,0)*MATCH(G180,lst_Consequence,0))</f>
        <v/>
      </c>
      <c r="O180" s="37" t="str">
        <f aca="false">IF(N180="","",IF(N180&gt;=16,"Critical",IF(N180&gt;=10,"High",IF(N180&gt;=5,"Medium","Low"))))</f>
        <v/>
      </c>
      <c r="P180" s="37" t="str">
        <f aca="false">IF(OR(C180="",H180="",I180=""),"",MATCH(H180,lst_Likelihood,0)*MATCH(I180,lst_Consequence,0))</f>
        <v/>
      </c>
      <c r="Q180" s="37" t="str">
        <f aca="false">IF(P180="","",IF(P180&gt;=16,"Critical",IF(P180&gt;=10,"High",IF(P180&gt;=5,"Medium","Low"))))</f>
        <v/>
      </c>
      <c r="R180" s="37" t="str">
        <f aca="true">IF(AND(C180&lt;&gt;"",M180&lt;&gt;"Closed",L180&lt;&gt;"",L180&lt;TODAY()),"Overdue","")</f>
        <v/>
      </c>
      <c r="S180" s="40" t="str">
        <f aca="false">IF(AND(N180&lt;&gt;"",B180="Risk",M180&lt;&gt;"Closed"),N180+(1-ROW()/100000),"")</f>
        <v/>
      </c>
      <c r="T180" s="40" t="str">
        <f aca="false">IF(AND(S180&lt;&gt;"",A180='Project Summary'!$C$3),S180,"")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2"/>
      <c r="G181" s="32"/>
      <c r="H181" s="32"/>
      <c r="I181" s="32"/>
      <c r="J181" s="33"/>
      <c r="K181" s="32"/>
      <c r="L181" s="35"/>
      <c r="M181" s="32"/>
      <c r="N181" s="37" t="str">
        <f aca="false">IF(OR(C181="",F181="",G181=""),"",MATCH(F181,lst_Likelihood,0)*MATCH(G181,lst_Consequence,0))</f>
        <v/>
      </c>
      <c r="O181" s="37" t="str">
        <f aca="false">IF(N181="","",IF(N181&gt;=16,"Critical",IF(N181&gt;=10,"High",IF(N181&gt;=5,"Medium","Low"))))</f>
        <v/>
      </c>
      <c r="P181" s="37" t="str">
        <f aca="false">IF(OR(C181="",H181="",I181=""),"",MATCH(H181,lst_Likelihood,0)*MATCH(I181,lst_Consequence,0))</f>
        <v/>
      </c>
      <c r="Q181" s="37" t="str">
        <f aca="false">IF(P181="","",IF(P181&gt;=16,"Critical",IF(P181&gt;=10,"High",IF(P181&gt;=5,"Medium","Low"))))</f>
        <v/>
      </c>
      <c r="R181" s="37" t="str">
        <f aca="true">IF(AND(C181&lt;&gt;"",M181&lt;&gt;"Closed",L181&lt;&gt;"",L181&lt;TODAY()),"Overdue","")</f>
        <v/>
      </c>
      <c r="S181" s="40" t="str">
        <f aca="false">IF(AND(N181&lt;&gt;"",B181="Risk",M181&lt;&gt;"Closed"),N181+(1-ROW()/100000),"")</f>
        <v/>
      </c>
      <c r="T181" s="40" t="str">
        <f aca="false">IF(AND(S181&lt;&gt;"",A181='Project Summary'!$C$3),S181,"")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2"/>
      <c r="G182" s="32"/>
      <c r="H182" s="32"/>
      <c r="I182" s="32"/>
      <c r="J182" s="33"/>
      <c r="K182" s="32"/>
      <c r="L182" s="35"/>
      <c r="M182" s="32"/>
      <c r="N182" s="37" t="str">
        <f aca="false">IF(OR(C182="",F182="",G182=""),"",MATCH(F182,lst_Likelihood,0)*MATCH(G182,lst_Consequence,0))</f>
        <v/>
      </c>
      <c r="O182" s="37" t="str">
        <f aca="false">IF(N182="","",IF(N182&gt;=16,"Critical",IF(N182&gt;=10,"High",IF(N182&gt;=5,"Medium","Low"))))</f>
        <v/>
      </c>
      <c r="P182" s="37" t="str">
        <f aca="false">IF(OR(C182="",H182="",I182=""),"",MATCH(H182,lst_Likelihood,0)*MATCH(I182,lst_Consequence,0))</f>
        <v/>
      </c>
      <c r="Q182" s="37" t="str">
        <f aca="false">IF(P182="","",IF(P182&gt;=16,"Critical",IF(P182&gt;=10,"High",IF(P182&gt;=5,"Medium","Low"))))</f>
        <v/>
      </c>
      <c r="R182" s="37" t="str">
        <f aca="true">IF(AND(C182&lt;&gt;"",M182&lt;&gt;"Closed",L182&lt;&gt;"",L182&lt;TODAY()),"Overdue","")</f>
        <v/>
      </c>
      <c r="S182" s="40" t="str">
        <f aca="false">IF(AND(N182&lt;&gt;"",B182="Risk",M182&lt;&gt;"Closed"),N182+(1-ROW()/100000),"")</f>
        <v/>
      </c>
      <c r="T182" s="40" t="str">
        <f aca="false">IF(AND(S182&lt;&gt;"",A182='Project Summary'!$C$3),S182,"")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2"/>
      <c r="G183" s="32"/>
      <c r="H183" s="32"/>
      <c r="I183" s="32"/>
      <c r="J183" s="33"/>
      <c r="K183" s="32"/>
      <c r="L183" s="35"/>
      <c r="M183" s="32"/>
      <c r="N183" s="37" t="str">
        <f aca="false">IF(OR(C183="",F183="",G183=""),"",MATCH(F183,lst_Likelihood,0)*MATCH(G183,lst_Consequence,0))</f>
        <v/>
      </c>
      <c r="O183" s="37" t="str">
        <f aca="false">IF(N183="","",IF(N183&gt;=16,"Critical",IF(N183&gt;=10,"High",IF(N183&gt;=5,"Medium","Low"))))</f>
        <v/>
      </c>
      <c r="P183" s="37" t="str">
        <f aca="false">IF(OR(C183="",H183="",I183=""),"",MATCH(H183,lst_Likelihood,0)*MATCH(I183,lst_Consequence,0))</f>
        <v/>
      </c>
      <c r="Q183" s="37" t="str">
        <f aca="false">IF(P183="","",IF(P183&gt;=16,"Critical",IF(P183&gt;=10,"High",IF(P183&gt;=5,"Medium","Low"))))</f>
        <v/>
      </c>
      <c r="R183" s="37" t="str">
        <f aca="true">IF(AND(C183&lt;&gt;"",M183&lt;&gt;"Closed",L183&lt;&gt;"",L183&lt;TODAY()),"Overdue","")</f>
        <v/>
      </c>
      <c r="S183" s="40" t="str">
        <f aca="false">IF(AND(N183&lt;&gt;"",B183="Risk",M183&lt;&gt;"Closed"),N183+(1-ROW()/100000),"")</f>
        <v/>
      </c>
      <c r="T183" s="40" t="str">
        <f aca="false">IF(AND(S183&lt;&gt;"",A183='Project Summary'!$C$3),S183,"")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2"/>
      <c r="G184" s="32"/>
      <c r="H184" s="32"/>
      <c r="I184" s="32"/>
      <c r="J184" s="33"/>
      <c r="K184" s="32"/>
      <c r="L184" s="35"/>
      <c r="M184" s="32"/>
      <c r="N184" s="37" t="str">
        <f aca="false">IF(OR(C184="",F184="",G184=""),"",MATCH(F184,lst_Likelihood,0)*MATCH(G184,lst_Consequence,0))</f>
        <v/>
      </c>
      <c r="O184" s="37" t="str">
        <f aca="false">IF(N184="","",IF(N184&gt;=16,"Critical",IF(N184&gt;=10,"High",IF(N184&gt;=5,"Medium","Low"))))</f>
        <v/>
      </c>
      <c r="P184" s="37" t="str">
        <f aca="false">IF(OR(C184="",H184="",I184=""),"",MATCH(H184,lst_Likelihood,0)*MATCH(I184,lst_Consequence,0))</f>
        <v/>
      </c>
      <c r="Q184" s="37" t="str">
        <f aca="false">IF(P184="","",IF(P184&gt;=16,"Critical",IF(P184&gt;=10,"High",IF(P184&gt;=5,"Medium","Low"))))</f>
        <v/>
      </c>
      <c r="R184" s="37" t="str">
        <f aca="true">IF(AND(C184&lt;&gt;"",M184&lt;&gt;"Closed",L184&lt;&gt;"",L184&lt;TODAY()),"Overdue","")</f>
        <v/>
      </c>
      <c r="S184" s="40" t="str">
        <f aca="false">IF(AND(N184&lt;&gt;"",B184="Risk",M184&lt;&gt;"Closed"),N184+(1-ROW()/100000),"")</f>
        <v/>
      </c>
      <c r="T184" s="40" t="str">
        <f aca="false">IF(AND(S184&lt;&gt;"",A184='Project Summary'!$C$3),S184,"")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2"/>
      <c r="G185" s="32"/>
      <c r="H185" s="32"/>
      <c r="I185" s="32"/>
      <c r="J185" s="33"/>
      <c r="K185" s="32"/>
      <c r="L185" s="35"/>
      <c r="M185" s="32"/>
      <c r="N185" s="37" t="str">
        <f aca="false">IF(OR(C185="",F185="",G185=""),"",MATCH(F185,lst_Likelihood,0)*MATCH(G185,lst_Consequence,0))</f>
        <v/>
      </c>
      <c r="O185" s="37" t="str">
        <f aca="false">IF(N185="","",IF(N185&gt;=16,"Critical",IF(N185&gt;=10,"High",IF(N185&gt;=5,"Medium","Low"))))</f>
        <v/>
      </c>
      <c r="P185" s="37" t="str">
        <f aca="false">IF(OR(C185="",H185="",I185=""),"",MATCH(H185,lst_Likelihood,0)*MATCH(I185,lst_Consequence,0))</f>
        <v/>
      </c>
      <c r="Q185" s="37" t="str">
        <f aca="false">IF(P185="","",IF(P185&gt;=16,"Critical",IF(P185&gt;=10,"High",IF(P185&gt;=5,"Medium","Low"))))</f>
        <v/>
      </c>
      <c r="R185" s="37" t="str">
        <f aca="true">IF(AND(C185&lt;&gt;"",M185&lt;&gt;"Closed",L185&lt;&gt;"",L185&lt;TODAY()),"Overdue","")</f>
        <v/>
      </c>
      <c r="S185" s="40" t="str">
        <f aca="false">IF(AND(N185&lt;&gt;"",B185="Risk",M185&lt;&gt;"Closed"),N185+(1-ROW()/100000),"")</f>
        <v/>
      </c>
      <c r="T185" s="40" t="str">
        <f aca="false">IF(AND(S185&lt;&gt;"",A185='Project Summary'!$C$3),S185,"")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2"/>
      <c r="G186" s="32"/>
      <c r="H186" s="32"/>
      <c r="I186" s="32"/>
      <c r="J186" s="33"/>
      <c r="K186" s="32"/>
      <c r="L186" s="35"/>
      <c r="M186" s="32"/>
      <c r="N186" s="37" t="str">
        <f aca="false">IF(OR(C186="",F186="",G186=""),"",MATCH(F186,lst_Likelihood,0)*MATCH(G186,lst_Consequence,0))</f>
        <v/>
      </c>
      <c r="O186" s="37" t="str">
        <f aca="false">IF(N186="","",IF(N186&gt;=16,"Critical",IF(N186&gt;=10,"High",IF(N186&gt;=5,"Medium","Low"))))</f>
        <v/>
      </c>
      <c r="P186" s="37" t="str">
        <f aca="false">IF(OR(C186="",H186="",I186=""),"",MATCH(H186,lst_Likelihood,0)*MATCH(I186,lst_Consequence,0))</f>
        <v/>
      </c>
      <c r="Q186" s="37" t="str">
        <f aca="false">IF(P186="","",IF(P186&gt;=16,"Critical",IF(P186&gt;=10,"High",IF(P186&gt;=5,"Medium","Low"))))</f>
        <v/>
      </c>
      <c r="R186" s="37" t="str">
        <f aca="true">IF(AND(C186&lt;&gt;"",M186&lt;&gt;"Closed",L186&lt;&gt;"",L186&lt;TODAY()),"Overdue","")</f>
        <v/>
      </c>
      <c r="S186" s="40" t="str">
        <f aca="false">IF(AND(N186&lt;&gt;"",B186="Risk",M186&lt;&gt;"Closed"),N186+(1-ROW()/100000),"")</f>
        <v/>
      </c>
      <c r="T186" s="40" t="str">
        <f aca="false">IF(AND(S186&lt;&gt;"",A186='Project Summary'!$C$3),S186,"")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2"/>
      <c r="G187" s="32"/>
      <c r="H187" s="32"/>
      <c r="I187" s="32"/>
      <c r="J187" s="33"/>
      <c r="K187" s="32"/>
      <c r="L187" s="35"/>
      <c r="M187" s="32"/>
      <c r="N187" s="37" t="str">
        <f aca="false">IF(OR(C187="",F187="",G187=""),"",MATCH(F187,lst_Likelihood,0)*MATCH(G187,lst_Consequence,0))</f>
        <v/>
      </c>
      <c r="O187" s="37" t="str">
        <f aca="false">IF(N187="","",IF(N187&gt;=16,"Critical",IF(N187&gt;=10,"High",IF(N187&gt;=5,"Medium","Low"))))</f>
        <v/>
      </c>
      <c r="P187" s="37" t="str">
        <f aca="false">IF(OR(C187="",H187="",I187=""),"",MATCH(H187,lst_Likelihood,0)*MATCH(I187,lst_Consequence,0))</f>
        <v/>
      </c>
      <c r="Q187" s="37" t="str">
        <f aca="false">IF(P187="","",IF(P187&gt;=16,"Critical",IF(P187&gt;=10,"High",IF(P187&gt;=5,"Medium","Low"))))</f>
        <v/>
      </c>
      <c r="R187" s="37" t="str">
        <f aca="true">IF(AND(C187&lt;&gt;"",M187&lt;&gt;"Closed",L187&lt;&gt;"",L187&lt;TODAY()),"Overdue","")</f>
        <v/>
      </c>
      <c r="S187" s="40" t="str">
        <f aca="false">IF(AND(N187&lt;&gt;"",B187="Risk",M187&lt;&gt;"Closed"),N187+(1-ROW()/100000),"")</f>
        <v/>
      </c>
      <c r="T187" s="40" t="str">
        <f aca="false">IF(AND(S187&lt;&gt;"",A187='Project Summary'!$C$3),S187,"")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2"/>
      <c r="G188" s="32"/>
      <c r="H188" s="32"/>
      <c r="I188" s="32"/>
      <c r="J188" s="33"/>
      <c r="K188" s="32"/>
      <c r="L188" s="35"/>
      <c r="M188" s="32"/>
      <c r="N188" s="37" t="str">
        <f aca="false">IF(OR(C188="",F188="",G188=""),"",MATCH(F188,lst_Likelihood,0)*MATCH(G188,lst_Consequence,0))</f>
        <v/>
      </c>
      <c r="O188" s="37" t="str">
        <f aca="false">IF(N188="","",IF(N188&gt;=16,"Critical",IF(N188&gt;=10,"High",IF(N188&gt;=5,"Medium","Low"))))</f>
        <v/>
      </c>
      <c r="P188" s="37" t="str">
        <f aca="false">IF(OR(C188="",H188="",I188=""),"",MATCH(H188,lst_Likelihood,0)*MATCH(I188,lst_Consequence,0))</f>
        <v/>
      </c>
      <c r="Q188" s="37" t="str">
        <f aca="false">IF(P188="","",IF(P188&gt;=16,"Critical",IF(P188&gt;=10,"High",IF(P188&gt;=5,"Medium","Low"))))</f>
        <v/>
      </c>
      <c r="R188" s="37" t="str">
        <f aca="true">IF(AND(C188&lt;&gt;"",M188&lt;&gt;"Closed",L188&lt;&gt;"",L188&lt;TODAY()),"Overdue","")</f>
        <v/>
      </c>
      <c r="S188" s="40" t="str">
        <f aca="false">IF(AND(N188&lt;&gt;"",B188="Risk",M188&lt;&gt;"Closed"),N188+(1-ROW()/100000),"")</f>
        <v/>
      </c>
      <c r="T188" s="40" t="str">
        <f aca="false">IF(AND(S188&lt;&gt;"",A188='Project Summary'!$C$3),S188,"")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2"/>
      <c r="G189" s="32"/>
      <c r="H189" s="32"/>
      <c r="I189" s="32"/>
      <c r="J189" s="33"/>
      <c r="K189" s="32"/>
      <c r="L189" s="35"/>
      <c r="M189" s="32"/>
      <c r="N189" s="37" t="str">
        <f aca="false">IF(OR(C189="",F189="",G189=""),"",MATCH(F189,lst_Likelihood,0)*MATCH(G189,lst_Consequence,0))</f>
        <v/>
      </c>
      <c r="O189" s="37" t="str">
        <f aca="false">IF(N189="","",IF(N189&gt;=16,"Critical",IF(N189&gt;=10,"High",IF(N189&gt;=5,"Medium","Low"))))</f>
        <v/>
      </c>
      <c r="P189" s="37" t="str">
        <f aca="false">IF(OR(C189="",H189="",I189=""),"",MATCH(H189,lst_Likelihood,0)*MATCH(I189,lst_Consequence,0))</f>
        <v/>
      </c>
      <c r="Q189" s="37" t="str">
        <f aca="false">IF(P189="","",IF(P189&gt;=16,"Critical",IF(P189&gt;=10,"High",IF(P189&gt;=5,"Medium","Low"))))</f>
        <v/>
      </c>
      <c r="R189" s="37" t="str">
        <f aca="true">IF(AND(C189&lt;&gt;"",M189&lt;&gt;"Closed",L189&lt;&gt;"",L189&lt;TODAY()),"Overdue","")</f>
        <v/>
      </c>
      <c r="S189" s="40" t="str">
        <f aca="false">IF(AND(N189&lt;&gt;"",B189="Risk",M189&lt;&gt;"Closed"),N189+(1-ROW()/100000),"")</f>
        <v/>
      </c>
      <c r="T189" s="40" t="str">
        <f aca="false">IF(AND(S189&lt;&gt;"",A189='Project Summary'!$C$3),S189,"")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2"/>
      <c r="G190" s="32"/>
      <c r="H190" s="32"/>
      <c r="I190" s="32"/>
      <c r="J190" s="33"/>
      <c r="K190" s="32"/>
      <c r="L190" s="35"/>
      <c r="M190" s="32"/>
      <c r="N190" s="37" t="str">
        <f aca="false">IF(OR(C190="",F190="",G190=""),"",MATCH(F190,lst_Likelihood,0)*MATCH(G190,lst_Consequence,0))</f>
        <v/>
      </c>
      <c r="O190" s="37" t="str">
        <f aca="false">IF(N190="","",IF(N190&gt;=16,"Critical",IF(N190&gt;=10,"High",IF(N190&gt;=5,"Medium","Low"))))</f>
        <v/>
      </c>
      <c r="P190" s="37" t="str">
        <f aca="false">IF(OR(C190="",H190="",I190=""),"",MATCH(H190,lst_Likelihood,0)*MATCH(I190,lst_Consequence,0))</f>
        <v/>
      </c>
      <c r="Q190" s="37" t="str">
        <f aca="false">IF(P190="","",IF(P190&gt;=16,"Critical",IF(P190&gt;=10,"High",IF(P190&gt;=5,"Medium","Low"))))</f>
        <v/>
      </c>
      <c r="R190" s="37" t="str">
        <f aca="true">IF(AND(C190&lt;&gt;"",M190&lt;&gt;"Closed",L190&lt;&gt;"",L190&lt;TODAY()),"Overdue","")</f>
        <v/>
      </c>
      <c r="S190" s="40" t="str">
        <f aca="false">IF(AND(N190&lt;&gt;"",B190="Risk",M190&lt;&gt;"Closed"),N190+(1-ROW()/100000),"")</f>
        <v/>
      </c>
      <c r="T190" s="40" t="str">
        <f aca="false">IF(AND(S190&lt;&gt;"",A190='Project Summary'!$C$3),S190,"")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2"/>
      <c r="G191" s="32"/>
      <c r="H191" s="32"/>
      <c r="I191" s="32"/>
      <c r="J191" s="33"/>
      <c r="K191" s="32"/>
      <c r="L191" s="35"/>
      <c r="M191" s="32"/>
      <c r="N191" s="37" t="str">
        <f aca="false">IF(OR(C191="",F191="",G191=""),"",MATCH(F191,lst_Likelihood,0)*MATCH(G191,lst_Consequence,0))</f>
        <v/>
      </c>
      <c r="O191" s="37" t="str">
        <f aca="false">IF(N191="","",IF(N191&gt;=16,"Critical",IF(N191&gt;=10,"High",IF(N191&gt;=5,"Medium","Low"))))</f>
        <v/>
      </c>
      <c r="P191" s="37" t="str">
        <f aca="false">IF(OR(C191="",H191="",I191=""),"",MATCH(H191,lst_Likelihood,0)*MATCH(I191,lst_Consequence,0))</f>
        <v/>
      </c>
      <c r="Q191" s="37" t="str">
        <f aca="false">IF(P191="","",IF(P191&gt;=16,"Critical",IF(P191&gt;=10,"High",IF(P191&gt;=5,"Medium","Low"))))</f>
        <v/>
      </c>
      <c r="R191" s="37" t="str">
        <f aca="true">IF(AND(C191&lt;&gt;"",M191&lt;&gt;"Closed",L191&lt;&gt;"",L191&lt;TODAY()),"Overdue","")</f>
        <v/>
      </c>
      <c r="S191" s="40" t="str">
        <f aca="false">IF(AND(N191&lt;&gt;"",B191="Risk",M191&lt;&gt;"Closed"),N191+(1-ROW()/100000),"")</f>
        <v/>
      </c>
      <c r="T191" s="40" t="str">
        <f aca="false">IF(AND(S191&lt;&gt;"",A191='Project Summary'!$C$3),S191,"")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2"/>
      <c r="G192" s="32"/>
      <c r="H192" s="32"/>
      <c r="I192" s="32"/>
      <c r="J192" s="33"/>
      <c r="K192" s="32"/>
      <c r="L192" s="35"/>
      <c r="M192" s="32"/>
      <c r="N192" s="37" t="str">
        <f aca="false">IF(OR(C192="",F192="",G192=""),"",MATCH(F192,lst_Likelihood,0)*MATCH(G192,lst_Consequence,0))</f>
        <v/>
      </c>
      <c r="O192" s="37" t="str">
        <f aca="false">IF(N192="","",IF(N192&gt;=16,"Critical",IF(N192&gt;=10,"High",IF(N192&gt;=5,"Medium","Low"))))</f>
        <v/>
      </c>
      <c r="P192" s="37" t="str">
        <f aca="false">IF(OR(C192="",H192="",I192=""),"",MATCH(H192,lst_Likelihood,0)*MATCH(I192,lst_Consequence,0))</f>
        <v/>
      </c>
      <c r="Q192" s="37" t="str">
        <f aca="false">IF(P192="","",IF(P192&gt;=16,"Critical",IF(P192&gt;=10,"High",IF(P192&gt;=5,"Medium","Low"))))</f>
        <v/>
      </c>
      <c r="R192" s="37" t="str">
        <f aca="true">IF(AND(C192&lt;&gt;"",M192&lt;&gt;"Closed",L192&lt;&gt;"",L192&lt;TODAY()),"Overdue","")</f>
        <v/>
      </c>
      <c r="S192" s="40" t="str">
        <f aca="false">IF(AND(N192&lt;&gt;"",B192="Risk",M192&lt;&gt;"Closed"),N192+(1-ROW()/100000),"")</f>
        <v/>
      </c>
      <c r="T192" s="40" t="str">
        <f aca="false">IF(AND(S192&lt;&gt;"",A192='Project Summary'!$C$3),S192,"")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2"/>
      <c r="G193" s="32"/>
      <c r="H193" s="32"/>
      <c r="I193" s="32"/>
      <c r="J193" s="33"/>
      <c r="K193" s="32"/>
      <c r="L193" s="35"/>
      <c r="M193" s="32"/>
      <c r="N193" s="37" t="str">
        <f aca="false">IF(OR(C193="",F193="",G193=""),"",MATCH(F193,lst_Likelihood,0)*MATCH(G193,lst_Consequence,0))</f>
        <v/>
      </c>
      <c r="O193" s="37" t="str">
        <f aca="false">IF(N193="","",IF(N193&gt;=16,"Critical",IF(N193&gt;=10,"High",IF(N193&gt;=5,"Medium","Low"))))</f>
        <v/>
      </c>
      <c r="P193" s="37" t="str">
        <f aca="false">IF(OR(C193="",H193="",I193=""),"",MATCH(H193,lst_Likelihood,0)*MATCH(I193,lst_Consequence,0))</f>
        <v/>
      </c>
      <c r="Q193" s="37" t="str">
        <f aca="false">IF(P193="","",IF(P193&gt;=16,"Critical",IF(P193&gt;=10,"High",IF(P193&gt;=5,"Medium","Low"))))</f>
        <v/>
      </c>
      <c r="R193" s="37" t="str">
        <f aca="true">IF(AND(C193&lt;&gt;"",M193&lt;&gt;"Closed",L193&lt;&gt;"",L193&lt;TODAY()),"Overdue","")</f>
        <v/>
      </c>
      <c r="S193" s="40" t="str">
        <f aca="false">IF(AND(N193&lt;&gt;"",B193="Risk",M193&lt;&gt;"Closed"),N193+(1-ROW()/100000),"")</f>
        <v/>
      </c>
      <c r="T193" s="40" t="str">
        <f aca="false">IF(AND(S193&lt;&gt;"",A193='Project Summary'!$C$3),S193,"")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2"/>
      <c r="G194" s="32"/>
      <c r="H194" s="32"/>
      <c r="I194" s="32"/>
      <c r="J194" s="33"/>
      <c r="K194" s="32"/>
      <c r="L194" s="35"/>
      <c r="M194" s="32"/>
      <c r="N194" s="37" t="str">
        <f aca="false">IF(OR(C194="",F194="",G194=""),"",MATCH(F194,lst_Likelihood,0)*MATCH(G194,lst_Consequence,0))</f>
        <v/>
      </c>
      <c r="O194" s="37" t="str">
        <f aca="false">IF(N194="","",IF(N194&gt;=16,"Critical",IF(N194&gt;=10,"High",IF(N194&gt;=5,"Medium","Low"))))</f>
        <v/>
      </c>
      <c r="P194" s="37" t="str">
        <f aca="false">IF(OR(C194="",H194="",I194=""),"",MATCH(H194,lst_Likelihood,0)*MATCH(I194,lst_Consequence,0))</f>
        <v/>
      </c>
      <c r="Q194" s="37" t="str">
        <f aca="false">IF(P194="","",IF(P194&gt;=16,"Critical",IF(P194&gt;=10,"High",IF(P194&gt;=5,"Medium","Low"))))</f>
        <v/>
      </c>
      <c r="R194" s="37" t="str">
        <f aca="true">IF(AND(C194&lt;&gt;"",M194&lt;&gt;"Closed",L194&lt;&gt;"",L194&lt;TODAY()),"Overdue","")</f>
        <v/>
      </c>
      <c r="S194" s="40" t="str">
        <f aca="false">IF(AND(N194&lt;&gt;"",B194="Risk",M194&lt;&gt;"Closed"),N194+(1-ROW()/100000),"")</f>
        <v/>
      </c>
      <c r="T194" s="40" t="str">
        <f aca="false">IF(AND(S194&lt;&gt;"",A194='Project Summary'!$C$3),S194,"")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2"/>
      <c r="G195" s="32"/>
      <c r="H195" s="32"/>
      <c r="I195" s="32"/>
      <c r="J195" s="33"/>
      <c r="K195" s="32"/>
      <c r="L195" s="35"/>
      <c r="M195" s="32"/>
      <c r="N195" s="37" t="str">
        <f aca="false">IF(OR(C195="",F195="",G195=""),"",MATCH(F195,lst_Likelihood,0)*MATCH(G195,lst_Consequence,0))</f>
        <v/>
      </c>
      <c r="O195" s="37" t="str">
        <f aca="false">IF(N195="","",IF(N195&gt;=16,"Critical",IF(N195&gt;=10,"High",IF(N195&gt;=5,"Medium","Low"))))</f>
        <v/>
      </c>
      <c r="P195" s="37" t="str">
        <f aca="false">IF(OR(C195="",H195="",I195=""),"",MATCH(H195,lst_Likelihood,0)*MATCH(I195,lst_Consequence,0))</f>
        <v/>
      </c>
      <c r="Q195" s="37" t="str">
        <f aca="false">IF(P195="","",IF(P195&gt;=16,"Critical",IF(P195&gt;=10,"High",IF(P195&gt;=5,"Medium","Low"))))</f>
        <v/>
      </c>
      <c r="R195" s="37" t="str">
        <f aca="true">IF(AND(C195&lt;&gt;"",M195&lt;&gt;"Closed",L195&lt;&gt;"",L195&lt;TODAY()),"Overdue","")</f>
        <v/>
      </c>
      <c r="S195" s="40" t="str">
        <f aca="false">IF(AND(N195&lt;&gt;"",B195="Risk",M195&lt;&gt;"Closed"),N195+(1-ROW()/100000),"")</f>
        <v/>
      </c>
      <c r="T195" s="40" t="str">
        <f aca="false">IF(AND(S195&lt;&gt;"",A195='Project Summary'!$C$3),S195,"")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2"/>
      <c r="G196" s="32"/>
      <c r="H196" s="32"/>
      <c r="I196" s="32"/>
      <c r="J196" s="33"/>
      <c r="K196" s="32"/>
      <c r="L196" s="35"/>
      <c r="M196" s="32"/>
      <c r="N196" s="37" t="str">
        <f aca="false">IF(OR(C196="",F196="",G196=""),"",MATCH(F196,lst_Likelihood,0)*MATCH(G196,lst_Consequence,0))</f>
        <v/>
      </c>
      <c r="O196" s="37" t="str">
        <f aca="false">IF(N196="","",IF(N196&gt;=16,"Critical",IF(N196&gt;=10,"High",IF(N196&gt;=5,"Medium","Low"))))</f>
        <v/>
      </c>
      <c r="P196" s="37" t="str">
        <f aca="false">IF(OR(C196="",H196="",I196=""),"",MATCH(H196,lst_Likelihood,0)*MATCH(I196,lst_Consequence,0))</f>
        <v/>
      </c>
      <c r="Q196" s="37" t="str">
        <f aca="false">IF(P196="","",IF(P196&gt;=16,"Critical",IF(P196&gt;=10,"High",IF(P196&gt;=5,"Medium","Low"))))</f>
        <v/>
      </c>
      <c r="R196" s="37" t="str">
        <f aca="true">IF(AND(C196&lt;&gt;"",M196&lt;&gt;"Closed",L196&lt;&gt;"",L196&lt;TODAY()),"Overdue","")</f>
        <v/>
      </c>
      <c r="S196" s="40" t="str">
        <f aca="false">IF(AND(N196&lt;&gt;"",B196="Risk",M196&lt;&gt;"Closed"),N196+(1-ROW()/100000),"")</f>
        <v/>
      </c>
      <c r="T196" s="40" t="str">
        <f aca="false">IF(AND(S196&lt;&gt;"",A196='Project Summary'!$C$3),S196,"")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2"/>
      <c r="G197" s="32"/>
      <c r="H197" s="32"/>
      <c r="I197" s="32"/>
      <c r="J197" s="33"/>
      <c r="K197" s="32"/>
      <c r="L197" s="35"/>
      <c r="M197" s="32"/>
      <c r="N197" s="37" t="str">
        <f aca="false">IF(OR(C197="",F197="",G197=""),"",MATCH(F197,lst_Likelihood,0)*MATCH(G197,lst_Consequence,0))</f>
        <v/>
      </c>
      <c r="O197" s="37" t="str">
        <f aca="false">IF(N197="","",IF(N197&gt;=16,"Critical",IF(N197&gt;=10,"High",IF(N197&gt;=5,"Medium","Low"))))</f>
        <v/>
      </c>
      <c r="P197" s="37" t="str">
        <f aca="false">IF(OR(C197="",H197="",I197=""),"",MATCH(H197,lst_Likelihood,0)*MATCH(I197,lst_Consequence,0))</f>
        <v/>
      </c>
      <c r="Q197" s="37" t="str">
        <f aca="false">IF(P197="","",IF(P197&gt;=16,"Critical",IF(P197&gt;=10,"High",IF(P197&gt;=5,"Medium","Low"))))</f>
        <v/>
      </c>
      <c r="R197" s="37" t="str">
        <f aca="true">IF(AND(C197&lt;&gt;"",M197&lt;&gt;"Closed",L197&lt;&gt;"",L197&lt;TODAY()),"Overdue","")</f>
        <v/>
      </c>
      <c r="S197" s="40" t="str">
        <f aca="false">IF(AND(N197&lt;&gt;"",B197="Risk",M197&lt;&gt;"Closed"),N197+(1-ROW()/100000),"")</f>
        <v/>
      </c>
      <c r="T197" s="40" t="str">
        <f aca="false">IF(AND(S197&lt;&gt;"",A197='Project Summary'!$C$3),S197,"")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2"/>
      <c r="G198" s="32"/>
      <c r="H198" s="32"/>
      <c r="I198" s="32"/>
      <c r="J198" s="33"/>
      <c r="K198" s="32"/>
      <c r="L198" s="35"/>
      <c r="M198" s="32"/>
      <c r="N198" s="37" t="str">
        <f aca="false">IF(OR(C198="",F198="",G198=""),"",MATCH(F198,lst_Likelihood,0)*MATCH(G198,lst_Consequence,0))</f>
        <v/>
      </c>
      <c r="O198" s="37" t="str">
        <f aca="false">IF(N198="","",IF(N198&gt;=16,"Critical",IF(N198&gt;=10,"High",IF(N198&gt;=5,"Medium","Low"))))</f>
        <v/>
      </c>
      <c r="P198" s="37" t="str">
        <f aca="false">IF(OR(C198="",H198="",I198=""),"",MATCH(H198,lst_Likelihood,0)*MATCH(I198,lst_Consequence,0))</f>
        <v/>
      </c>
      <c r="Q198" s="37" t="str">
        <f aca="false">IF(P198="","",IF(P198&gt;=16,"Critical",IF(P198&gt;=10,"High",IF(P198&gt;=5,"Medium","Low"))))</f>
        <v/>
      </c>
      <c r="R198" s="37" t="str">
        <f aca="true">IF(AND(C198&lt;&gt;"",M198&lt;&gt;"Closed",L198&lt;&gt;"",L198&lt;TODAY()),"Overdue","")</f>
        <v/>
      </c>
      <c r="S198" s="40" t="str">
        <f aca="false">IF(AND(N198&lt;&gt;"",B198="Risk",M198&lt;&gt;"Closed"),N198+(1-ROW()/100000),"")</f>
        <v/>
      </c>
      <c r="T198" s="40" t="str">
        <f aca="false">IF(AND(S198&lt;&gt;"",A198='Project Summary'!$C$3),S198,"")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2"/>
      <c r="G199" s="32"/>
      <c r="H199" s="32"/>
      <c r="I199" s="32"/>
      <c r="J199" s="33"/>
      <c r="K199" s="32"/>
      <c r="L199" s="35"/>
      <c r="M199" s="32"/>
      <c r="N199" s="37" t="str">
        <f aca="false">IF(OR(C199="",F199="",G199=""),"",MATCH(F199,lst_Likelihood,0)*MATCH(G199,lst_Consequence,0))</f>
        <v/>
      </c>
      <c r="O199" s="37" t="str">
        <f aca="false">IF(N199="","",IF(N199&gt;=16,"Critical",IF(N199&gt;=10,"High",IF(N199&gt;=5,"Medium","Low"))))</f>
        <v/>
      </c>
      <c r="P199" s="37" t="str">
        <f aca="false">IF(OR(C199="",H199="",I199=""),"",MATCH(H199,lst_Likelihood,0)*MATCH(I199,lst_Consequence,0))</f>
        <v/>
      </c>
      <c r="Q199" s="37" t="str">
        <f aca="false">IF(P199="","",IF(P199&gt;=16,"Critical",IF(P199&gt;=10,"High",IF(P199&gt;=5,"Medium","Low"))))</f>
        <v/>
      </c>
      <c r="R199" s="37" t="str">
        <f aca="true">IF(AND(C199&lt;&gt;"",M199&lt;&gt;"Closed",L199&lt;&gt;"",L199&lt;TODAY()),"Overdue","")</f>
        <v/>
      </c>
      <c r="S199" s="40" t="str">
        <f aca="false">IF(AND(N199&lt;&gt;"",B199="Risk",M199&lt;&gt;"Closed"),N199+(1-ROW()/100000),"")</f>
        <v/>
      </c>
      <c r="T199" s="40" t="str">
        <f aca="false">IF(AND(S199&lt;&gt;"",A199='Project Summary'!$C$3),S199,"")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2"/>
      <c r="G200" s="32"/>
      <c r="H200" s="32"/>
      <c r="I200" s="32"/>
      <c r="J200" s="33"/>
      <c r="K200" s="32"/>
      <c r="L200" s="35"/>
      <c r="M200" s="32"/>
      <c r="N200" s="37" t="str">
        <f aca="false">IF(OR(C200="",F200="",G200=""),"",MATCH(F200,lst_Likelihood,0)*MATCH(G200,lst_Consequence,0))</f>
        <v/>
      </c>
      <c r="O200" s="37" t="str">
        <f aca="false">IF(N200="","",IF(N200&gt;=16,"Critical",IF(N200&gt;=10,"High",IF(N200&gt;=5,"Medium","Low"))))</f>
        <v/>
      </c>
      <c r="P200" s="37" t="str">
        <f aca="false">IF(OR(C200="",H200="",I200=""),"",MATCH(H200,lst_Likelihood,0)*MATCH(I200,lst_Consequence,0))</f>
        <v/>
      </c>
      <c r="Q200" s="37" t="str">
        <f aca="false">IF(P200="","",IF(P200&gt;=16,"Critical",IF(P200&gt;=10,"High",IF(P200&gt;=5,"Medium","Low"))))</f>
        <v/>
      </c>
      <c r="R200" s="37" t="str">
        <f aca="true">IF(AND(C200&lt;&gt;"",M200&lt;&gt;"Closed",L200&lt;&gt;"",L200&lt;TODAY()),"Overdue","")</f>
        <v/>
      </c>
      <c r="S200" s="40" t="str">
        <f aca="false">IF(AND(N200&lt;&gt;"",B200="Risk",M200&lt;&gt;"Closed"),N200+(1-ROW()/100000),"")</f>
        <v/>
      </c>
      <c r="T200" s="40" t="str">
        <f aca="false">IF(AND(S200&lt;&gt;"",A200='Project Summary'!$C$3),S200,"")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2"/>
      <c r="G201" s="32"/>
      <c r="H201" s="32"/>
      <c r="I201" s="32"/>
      <c r="J201" s="33"/>
      <c r="K201" s="32"/>
      <c r="L201" s="35"/>
      <c r="M201" s="32"/>
      <c r="N201" s="37" t="str">
        <f aca="false">IF(OR(C201="",F201="",G201=""),"",MATCH(F201,lst_Likelihood,0)*MATCH(G201,lst_Consequence,0))</f>
        <v/>
      </c>
      <c r="O201" s="37" t="str">
        <f aca="false">IF(N201="","",IF(N201&gt;=16,"Critical",IF(N201&gt;=10,"High",IF(N201&gt;=5,"Medium","Low"))))</f>
        <v/>
      </c>
      <c r="P201" s="37" t="str">
        <f aca="false">IF(OR(C201="",H201="",I201=""),"",MATCH(H201,lst_Likelihood,0)*MATCH(I201,lst_Consequence,0))</f>
        <v/>
      </c>
      <c r="Q201" s="37" t="str">
        <f aca="false">IF(P201="","",IF(P201&gt;=16,"Critical",IF(P201&gt;=10,"High",IF(P201&gt;=5,"Medium","Low"))))</f>
        <v/>
      </c>
      <c r="R201" s="37" t="str">
        <f aca="true">IF(AND(C201&lt;&gt;"",M201&lt;&gt;"Closed",L201&lt;&gt;"",L201&lt;TODAY()),"Overdue","")</f>
        <v/>
      </c>
      <c r="S201" s="40" t="str">
        <f aca="false">IF(AND(N201&lt;&gt;"",B201="Risk",M201&lt;&gt;"Closed"),N201+(1-ROW()/100000),"")</f>
        <v/>
      </c>
      <c r="T201" s="40" t="str">
        <f aca="false">IF(AND(S201&lt;&gt;"",A201='Project Summary'!$C$3),S201,"")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2"/>
      <c r="G202" s="32"/>
      <c r="H202" s="32"/>
      <c r="I202" s="32"/>
      <c r="J202" s="33"/>
      <c r="K202" s="32"/>
      <c r="L202" s="35"/>
      <c r="M202" s="32"/>
      <c r="N202" s="37" t="str">
        <f aca="false">IF(OR(C202="",F202="",G202=""),"",MATCH(F202,lst_Likelihood,0)*MATCH(G202,lst_Consequence,0))</f>
        <v/>
      </c>
      <c r="O202" s="37" t="str">
        <f aca="false">IF(N202="","",IF(N202&gt;=16,"Critical",IF(N202&gt;=10,"High",IF(N202&gt;=5,"Medium","Low"))))</f>
        <v/>
      </c>
      <c r="P202" s="37" t="str">
        <f aca="false">IF(OR(C202="",H202="",I202=""),"",MATCH(H202,lst_Likelihood,0)*MATCH(I202,lst_Consequence,0))</f>
        <v/>
      </c>
      <c r="Q202" s="37" t="str">
        <f aca="false">IF(P202="","",IF(P202&gt;=16,"Critical",IF(P202&gt;=10,"High",IF(P202&gt;=5,"Medium","Low"))))</f>
        <v/>
      </c>
      <c r="R202" s="37" t="str">
        <f aca="true">IF(AND(C202&lt;&gt;"",M202&lt;&gt;"Closed",L202&lt;&gt;"",L202&lt;TODAY()),"Overdue","")</f>
        <v/>
      </c>
      <c r="S202" s="40" t="str">
        <f aca="false">IF(AND(N202&lt;&gt;"",B202="Risk",M202&lt;&gt;"Closed"),N202+(1-ROW()/100000),"")</f>
        <v/>
      </c>
      <c r="T202" s="40" t="str">
        <f aca="false">IF(AND(S202&lt;&gt;"",A202='Project Summary'!$C$3),S202,"")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2"/>
      <c r="G203" s="32"/>
      <c r="H203" s="32"/>
      <c r="I203" s="32"/>
      <c r="J203" s="33"/>
      <c r="K203" s="32"/>
      <c r="L203" s="35"/>
      <c r="M203" s="32"/>
      <c r="N203" s="37" t="str">
        <f aca="false">IF(OR(C203="",F203="",G203=""),"",MATCH(F203,lst_Likelihood,0)*MATCH(G203,lst_Consequence,0))</f>
        <v/>
      </c>
      <c r="O203" s="37" t="str">
        <f aca="false">IF(N203="","",IF(N203&gt;=16,"Critical",IF(N203&gt;=10,"High",IF(N203&gt;=5,"Medium","Low"))))</f>
        <v/>
      </c>
      <c r="P203" s="37" t="str">
        <f aca="false">IF(OR(C203="",H203="",I203=""),"",MATCH(H203,lst_Likelihood,0)*MATCH(I203,lst_Consequence,0))</f>
        <v/>
      </c>
      <c r="Q203" s="37" t="str">
        <f aca="false">IF(P203="","",IF(P203&gt;=16,"Critical",IF(P203&gt;=10,"High",IF(P203&gt;=5,"Medium","Low"))))</f>
        <v/>
      </c>
      <c r="R203" s="37" t="str">
        <f aca="true">IF(AND(C203&lt;&gt;"",M203&lt;&gt;"Closed",L203&lt;&gt;"",L203&lt;TODAY()),"Overdue","")</f>
        <v/>
      </c>
      <c r="S203" s="40" t="str">
        <f aca="false">IF(AND(N203&lt;&gt;"",B203="Risk",M203&lt;&gt;"Closed"),N203+(1-ROW()/100000),"")</f>
        <v/>
      </c>
      <c r="T203" s="40" t="str">
        <f aca="false">IF(AND(S203&lt;&gt;"",A203='Project Summary'!$C$3),S203,"")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2"/>
      <c r="G204" s="32"/>
      <c r="H204" s="32"/>
      <c r="I204" s="32"/>
      <c r="J204" s="33"/>
      <c r="K204" s="32"/>
      <c r="L204" s="35"/>
      <c r="M204" s="32"/>
      <c r="N204" s="37" t="str">
        <f aca="false">IF(OR(C204="",F204="",G204=""),"",MATCH(F204,lst_Likelihood,0)*MATCH(G204,lst_Consequence,0))</f>
        <v/>
      </c>
      <c r="O204" s="37" t="str">
        <f aca="false">IF(N204="","",IF(N204&gt;=16,"Critical",IF(N204&gt;=10,"High",IF(N204&gt;=5,"Medium","Low"))))</f>
        <v/>
      </c>
      <c r="P204" s="37" t="str">
        <f aca="false">IF(OR(C204="",H204="",I204=""),"",MATCH(H204,lst_Likelihood,0)*MATCH(I204,lst_Consequence,0))</f>
        <v/>
      </c>
      <c r="Q204" s="37" t="str">
        <f aca="false">IF(P204="","",IF(P204&gt;=16,"Critical",IF(P204&gt;=10,"High",IF(P204&gt;=5,"Medium","Low"))))</f>
        <v/>
      </c>
      <c r="R204" s="37" t="str">
        <f aca="true">IF(AND(C204&lt;&gt;"",M204&lt;&gt;"Closed",L204&lt;&gt;"",L204&lt;TODAY()),"Overdue","")</f>
        <v/>
      </c>
      <c r="S204" s="40" t="str">
        <f aca="false">IF(AND(N204&lt;&gt;"",B204="Risk",M204&lt;&gt;"Closed"),N204+(1-ROW()/100000),"")</f>
        <v/>
      </c>
      <c r="T204" s="40" t="str">
        <f aca="false">IF(AND(S204&lt;&gt;"",A204='Project Summary'!$C$3),S204,"")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2"/>
      <c r="G205" s="32"/>
      <c r="H205" s="32"/>
      <c r="I205" s="32"/>
      <c r="J205" s="33"/>
      <c r="K205" s="32"/>
      <c r="L205" s="35"/>
      <c r="M205" s="32"/>
      <c r="N205" s="37" t="str">
        <f aca="false">IF(OR(C205="",F205="",G205=""),"",MATCH(F205,lst_Likelihood,0)*MATCH(G205,lst_Consequence,0))</f>
        <v/>
      </c>
      <c r="O205" s="37" t="str">
        <f aca="false">IF(N205="","",IF(N205&gt;=16,"Critical",IF(N205&gt;=10,"High",IF(N205&gt;=5,"Medium","Low"))))</f>
        <v/>
      </c>
      <c r="P205" s="37" t="str">
        <f aca="false">IF(OR(C205="",H205="",I205=""),"",MATCH(H205,lst_Likelihood,0)*MATCH(I205,lst_Consequence,0))</f>
        <v/>
      </c>
      <c r="Q205" s="37" t="str">
        <f aca="false">IF(P205="","",IF(P205&gt;=16,"Critical",IF(P205&gt;=10,"High",IF(P205&gt;=5,"Medium","Low"))))</f>
        <v/>
      </c>
      <c r="R205" s="37" t="str">
        <f aca="true">IF(AND(C205&lt;&gt;"",M205&lt;&gt;"Closed",L205&lt;&gt;"",L205&lt;TODAY()),"Overdue","")</f>
        <v/>
      </c>
      <c r="S205" s="40" t="str">
        <f aca="false">IF(AND(N205&lt;&gt;"",B205="Risk",M205&lt;&gt;"Closed"),N205+(1-ROW()/100000),"")</f>
        <v/>
      </c>
      <c r="T205" s="40" t="str">
        <f aca="false">IF(AND(S205&lt;&gt;"",A205='Project Summary'!$C$3),S205,"")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2"/>
      <c r="G206" s="32"/>
      <c r="H206" s="32"/>
      <c r="I206" s="32"/>
      <c r="J206" s="33"/>
      <c r="K206" s="32"/>
      <c r="L206" s="35"/>
      <c r="M206" s="32"/>
      <c r="N206" s="37" t="str">
        <f aca="false">IF(OR(C206="",F206="",G206=""),"",MATCH(F206,lst_Likelihood,0)*MATCH(G206,lst_Consequence,0))</f>
        <v/>
      </c>
      <c r="O206" s="37" t="str">
        <f aca="false">IF(N206="","",IF(N206&gt;=16,"Critical",IF(N206&gt;=10,"High",IF(N206&gt;=5,"Medium","Low"))))</f>
        <v/>
      </c>
      <c r="P206" s="37" t="str">
        <f aca="false">IF(OR(C206="",H206="",I206=""),"",MATCH(H206,lst_Likelihood,0)*MATCH(I206,lst_Consequence,0))</f>
        <v/>
      </c>
      <c r="Q206" s="37" t="str">
        <f aca="false">IF(P206="","",IF(P206&gt;=16,"Critical",IF(P206&gt;=10,"High",IF(P206&gt;=5,"Medium","Low"))))</f>
        <v/>
      </c>
      <c r="R206" s="37" t="str">
        <f aca="true">IF(AND(C206&lt;&gt;"",M206&lt;&gt;"Closed",L206&lt;&gt;"",L206&lt;TODAY()),"Overdue","")</f>
        <v/>
      </c>
      <c r="S206" s="40" t="str">
        <f aca="false">IF(AND(N206&lt;&gt;"",B206="Risk",M206&lt;&gt;"Closed"),N206+(1-ROW()/100000),"")</f>
        <v/>
      </c>
      <c r="T206" s="40" t="str">
        <f aca="false">IF(AND(S206&lt;&gt;"",A206='Project Summary'!$C$3),S206,"")</f>
        <v/>
      </c>
    </row>
    <row r="207" customFormat="false" ht="15" hidden="false" customHeight="false" outlineLevel="0" collapsed="false">
      <c r="A207" s="32"/>
      <c r="B207" s="32"/>
      <c r="C207" s="32"/>
      <c r="D207" s="33"/>
      <c r="E207" s="32"/>
      <c r="F207" s="32"/>
      <c r="G207" s="32"/>
      <c r="H207" s="32"/>
      <c r="I207" s="32"/>
      <c r="J207" s="33"/>
      <c r="K207" s="32"/>
      <c r="L207" s="35"/>
      <c r="M207" s="32"/>
      <c r="N207" s="37" t="str">
        <f aca="false">IF(OR(C207="",F207="",G207=""),"",MATCH(F207,lst_Likelihood,0)*MATCH(G207,lst_Consequence,0))</f>
        <v/>
      </c>
      <c r="O207" s="37" t="str">
        <f aca="false">IF(N207="","",IF(N207&gt;=16,"Critical",IF(N207&gt;=10,"High",IF(N207&gt;=5,"Medium","Low"))))</f>
        <v/>
      </c>
      <c r="P207" s="37" t="str">
        <f aca="false">IF(OR(C207="",H207="",I207=""),"",MATCH(H207,lst_Likelihood,0)*MATCH(I207,lst_Consequence,0))</f>
        <v/>
      </c>
      <c r="Q207" s="37" t="str">
        <f aca="false">IF(P207="","",IF(P207&gt;=16,"Critical",IF(P207&gt;=10,"High",IF(P207&gt;=5,"Medium","Low"))))</f>
        <v/>
      </c>
      <c r="R207" s="37" t="str">
        <f aca="true">IF(AND(C207&lt;&gt;"",M207&lt;&gt;"Closed",L207&lt;&gt;"",L207&lt;TODAY()),"Overdue","")</f>
        <v/>
      </c>
      <c r="S207" s="40" t="str">
        <f aca="false">IF(AND(N207&lt;&gt;"",B207="Risk",M207&lt;&gt;"Closed"),N207+(1-ROW()/100000),"")</f>
        <v/>
      </c>
      <c r="T207" s="40" t="str">
        <f aca="false">IF(AND(S207&lt;&gt;"",A207='Project Summary'!$C$3),S207,"")</f>
        <v/>
      </c>
    </row>
    <row r="208" customFormat="false" ht="15" hidden="false" customHeight="false" outlineLevel="0" collapsed="false">
      <c r="A208" s="32"/>
      <c r="B208" s="32"/>
      <c r="C208" s="32"/>
      <c r="D208" s="33"/>
      <c r="E208" s="32"/>
      <c r="F208" s="32"/>
      <c r="G208" s="32"/>
      <c r="H208" s="32"/>
      <c r="I208" s="32"/>
      <c r="J208" s="33"/>
      <c r="K208" s="32"/>
      <c r="L208" s="35"/>
      <c r="M208" s="32"/>
      <c r="N208" s="37" t="str">
        <f aca="false">IF(OR(C208="",F208="",G208=""),"",MATCH(F208,lst_Likelihood,0)*MATCH(G208,lst_Consequence,0))</f>
        <v/>
      </c>
      <c r="O208" s="37" t="str">
        <f aca="false">IF(N208="","",IF(N208&gt;=16,"Critical",IF(N208&gt;=10,"High",IF(N208&gt;=5,"Medium","Low"))))</f>
        <v/>
      </c>
      <c r="P208" s="37" t="str">
        <f aca="false">IF(OR(C208="",H208="",I208=""),"",MATCH(H208,lst_Likelihood,0)*MATCH(I208,lst_Consequence,0))</f>
        <v/>
      </c>
      <c r="Q208" s="37" t="str">
        <f aca="false">IF(P208="","",IF(P208&gt;=16,"Critical",IF(P208&gt;=10,"High",IF(P208&gt;=5,"Medium","Low"))))</f>
        <v/>
      </c>
      <c r="R208" s="37" t="str">
        <f aca="true">IF(AND(C208&lt;&gt;"",M208&lt;&gt;"Closed",L208&lt;&gt;"",L208&lt;TODAY()),"Overdue","")</f>
        <v/>
      </c>
      <c r="S208" s="40" t="str">
        <f aca="false">IF(AND(N208&lt;&gt;"",B208="Risk",M208&lt;&gt;"Closed"),N208+(1-ROW()/100000),"")</f>
        <v/>
      </c>
      <c r="T208" s="40" t="str">
        <f aca="false">IF(AND(S208&lt;&gt;"",A208='Project Summary'!$C$3),S208,"")</f>
        <v/>
      </c>
    </row>
    <row r="209" customFormat="false" ht="15" hidden="false" customHeight="false" outlineLevel="0" collapsed="false">
      <c r="A209" s="32"/>
      <c r="B209" s="32"/>
      <c r="C209" s="32"/>
      <c r="D209" s="33"/>
      <c r="E209" s="32"/>
      <c r="F209" s="32"/>
      <c r="G209" s="32"/>
      <c r="H209" s="32"/>
      <c r="I209" s="32"/>
      <c r="J209" s="33"/>
      <c r="K209" s="32"/>
      <c r="L209" s="35"/>
      <c r="M209" s="32"/>
      <c r="N209" s="37" t="str">
        <f aca="false">IF(OR(C209="",F209="",G209=""),"",MATCH(F209,lst_Likelihood,0)*MATCH(G209,lst_Consequence,0))</f>
        <v/>
      </c>
      <c r="O209" s="37" t="str">
        <f aca="false">IF(N209="","",IF(N209&gt;=16,"Critical",IF(N209&gt;=10,"High",IF(N209&gt;=5,"Medium","Low"))))</f>
        <v/>
      </c>
      <c r="P209" s="37" t="str">
        <f aca="false">IF(OR(C209="",H209="",I209=""),"",MATCH(H209,lst_Likelihood,0)*MATCH(I209,lst_Consequence,0))</f>
        <v/>
      </c>
      <c r="Q209" s="37" t="str">
        <f aca="false">IF(P209="","",IF(P209&gt;=16,"Critical",IF(P209&gt;=10,"High",IF(P209&gt;=5,"Medium","Low"))))</f>
        <v/>
      </c>
      <c r="R209" s="37" t="str">
        <f aca="true">IF(AND(C209&lt;&gt;"",M209&lt;&gt;"Closed",L209&lt;&gt;"",L209&lt;TODAY()),"Overdue","")</f>
        <v/>
      </c>
      <c r="S209" s="40" t="str">
        <f aca="false">IF(AND(N209&lt;&gt;"",B209="Risk",M209&lt;&gt;"Closed"),N209+(1-ROW()/100000),"")</f>
        <v/>
      </c>
      <c r="T209" s="40" t="str">
        <f aca="false">IF(AND(S209&lt;&gt;"",A209='Project Summary'!$C$3),S209,"")</f>
        <v/>
      </c>
    </row>
    <row r="210" customFormat="false" ht="15" hidden="false" customHeight="false" outlineLevel="0" collapsed="false">
      <c r="A210" s="32"/>
      <c r="B210" s="32"/>
      <c r="C210" s="32"/>
      <c r="D210" s="33"/>
      <c r="E210" s="32"/>
      <c r="F210" s="32"/>
      <c r="G210" s="32"/>
      <c r="H210" s="32"/>
      <c r="I210" s="32"/>
      <c r="J210" s="33"/>
      <c r="K210" s="32"/>
      <c r="L210" s="35"/>
      <c r="M210" s="32"/>
      <c r="N210" s="37" t="str">
        <f aca="false">IF(OR(C210="",F210="",G210=""),"",MATCH(F210,lst_Likelihood,0)*MATCH(G210,lst_Consequence,0))</f>
        <v/>
      </c>
      <c r="O210" s="37" t="str">
        <f aca="false">IF(N210="","",IF(N210&gt;=16,"Critical",IF(N210&gt;=10,"High",IF(N210&gt;=5,"Medium","Low"))))</f>
        <v/>
      </c>
      <c r="P210" s="37" t="str">
        <f aca="false">IF(OR(C210="",H210="",I210=""),"",MATCH(H210,lst_Likelihood,0)*MATCH(I210,lst_Consequence,0))</f>
        <v/>
      </c>
      <c r="Q210" s="37" t="str">
        <f aca="false">IF(P210="","",IF(P210&gt;=16,"Critical",IF(P210&gt;=10,"High",IF(P210&gt;=5,"Medium","Low"))))</f>
        <v/>
      </c>
      <c r="R210" s="37" t="str">
        <f aca="true">IF(AND(C210&lt;&gt;"",M210&lt;&gt;"Closed",L210&lt;&gt;"",L210&lt;TODAY()),"Overdue","")</f>
        <v/>
      </c>
      <c r="S210" s="40" t="str">
        <f aca="false">IF(AND(N210&lt;&gt;"",B210="Risk",M210&lt;&gt;"Closed"),N210+(1-ROW()/100000),"")</f>
        <v/>
      </c>
      <c r="T210" s="40" t="str">
        <f aca="false">IF(AND(S210&lt;&gt;"",A210='Project Summary'!$C$3),S210,"")</f>
        <v/>
      </c>
    </row>
    <row r="211" customFormat="false" ht="15" hidden="false" customHeight="false" outlineLevel="0" collapsed="false">
      <c r="A211" s="32"/>
      <c r="B211" s="32"/>
      <c r="C211" s="32"/>
      <c r="D211" s="33"/>
      <c r="E211" s="32"/>
      <c r="F211" s="32"/>
      <c r="G211" s="32"/>
      <c r="H211" s="32"/>
      <c r="I211" s="32"/>
      <c r="J211" s="33"/>
      <c r="K211" s="32"/>
      <c r="L211" s="35"/>
      <c r="M211" s="32"/>
      <c r="N211" s="37" t="str">
        <f aca="false">IF(OR(C211="",F211="",G211=""),"",MATCH(F211,lst_Likelihood,0)*MATCH(G211,lst_Consequence,0))</f>
        <v/>
      </c>
      <c r="O211" s="37" t="str">
        <f aca="false">IF(N211="","",IF(N211&gt;=16,"Critical",IF(N211&gt;=10,"High",IF(N211&gt;=5,"Medium","Low"))))</f>
        <v/>
      </c>
      <c r="P211" s="37" t="str">
        <f aca="false">IF(OR(C211="",H211="",I211=""),"",MATCH(H211,lst_Likelihood,0)*MATCH(I211,lst_Consequence,0))</f>
        <v/>
      </c>
      <c r="Q211" s="37" t="str">
        <f aca="false">IF(P211="","",IF(P211&gt;=16,"Critical",IF(P211&gt;=10,"High",IF(P211&gt;=5,"Medium","Low"))))</f>
        <v/>
      </c>
      <c r="R211" s="37" t="str">
        <f aca="true">IF(AND(C211&lt;&gt;"",M211&lt;&gt;"Closed",L211&lt;&gt;"",L211&lt;TODAY()),"Overdue","")</f>
        <v/>
      </c>
      <c r="S211" s="40" t="str">
        <f aca="false">IF(AND(N211&lt;&gt;"",B211="Risk",M211&lt;&gt;"Closed"),N211+(1-ROW()/100000),"")</f>
        <v/>
      </c>
      <c r="T211" s="40" t="str">
        <f aca="false">IF(AND(S211&lt;&gt;"",A211='Project Summary'!$C$3),S211,"")</f>
        <v/>
      </c>
    </row>
    <row r="212" customFormat="false" ht="15" hidden="false" customHeight="false" outlineLevel="0" collapsed="false">
      <c r="A212" s="32"/>
      <c r="B212" s="32"/>
      <c r="C212" s="32"/>
      <c r="D212" s="33"/>
      <c r="E212" s="32"/>
      <c r="F212" s="32"/>
      <c r="G212" s="32"/>
      <c r="H212" s="32"/>
      <c r="I212" s="32"/>
      <c r="J212" s="33"/>
      <c r="K212" s="32"/>
      <c r="L212" s="35"/>
      <c r="M212" s="32"/>
      <c r="N212" s="37" t="str">
        <f aca="false">IF(OR(C212="",F212="",G212=""),"",MATCH(F212,lst_Likelihood,0)*MATCH(G212,lst_Consequence,0))</f>
        <v/>
      </c>
      <c r="O212" s="37" t="str">
        <f aca="false">IF(N212="","",IF(N212&gt;=16,"Critical",IF(N212&gt;=10,"High",IF(N212&gt;=5,"Medium","Low"))))</f>
        <v/>
      </c>
      <c r="P212" s="37" t="str">
        <f aca="false">IF(OR(C212="",H212="",I212=""),"",MATCH(H212,lst_Likelihood,0)*MATCH(I212,lst_Consequence,0))</f>
        <v/>
      </c>
      <c r="Q212" s="37" t="str">
        <f aca="false">IF(P212="","",IF(P212&gt;=16,"Critical",IF(P212&gt;=10,"High",IF(P212&gt;=5,"Medium","Low"))))</f>
        <v/>
      </c>
      <c r="R212" s="37" t="str">
        <f aca="true">IF(AND(C212&lt;&gt;"",M212&lt;&gt;"Closed",L212&lt;&gt;"",L212&lt;TODAY()),"Overdue","")</f>
        <v/>
      </c>
      <c r="S212" s="40" t="str">
        <f aca="false">IF(AND(N212&lt;&gt;"",B212="Risk",M212&lt;&gt;"Closed"),N212+(1-ROW()/100000),"")</f>
        <v/>
      </c>
      <c r="T212" s="40" t="str">
        <f aca="false">IF(AND(S212&lt;&gt;"",A212='Project Summary'!$C$3),S212,"")</f>
        <v/>
      </c>
    </row>
    <row r="213" customFormat="false" ht="15" hidden="false" customHeight="false" outlineLevel="0" collapsed="false">
      <c r="A213" s="32"/>
      <c r="B213" s="32"/>
      <c r="C213" s="32"/>
      <c r="D213" s="33"/>
      <c r="E213" s="32"/>
      <c r="F213" s="32"/>
      <c r="G213" s="32"/>
      <c r="H213" s="32"/>
      <c r="I213" s="32"/>
      <c r="J213" s="33"/>
      <c r="K213" s="32"/>
      <c r="L213" s="35"/>
      <c r="M213" s="32"/>
      <c r="N213" s="37" t="str">
        <f aca="false">IF(OR(C213="",F213="",G213=""),"",MATCH(F213,lst_Likelihood,0)*MATCH(G213,lst_Consequence,0))</f>
        <v/>
      </c>
      <c r="O213" s="37" t="str">
        <f aca="false">IF(N213="","",IF(N213&gt;=16,"Critical",IF(N213&gt;=10,"High",IF(N213&gt;=5,"Medium","Low"))))</f>
        <v/>
      </c>
      <c r="P213" s="37" t="str">
        <f aca="false">IF(OR(C213="",H213="",I213=""),"",MATCH(H213,lst_Likelihood,0)*MATCH(I213,lst_Consequence,0))</f>
        <v/>
      </c>
      <c r="Q213" s="37" t="str">
        <f aca="false">IF(P213="","",IF(P213&gt;=16,"Critical",IF(P213&gt;=10,"High",IF(P213&gt;=5,"Medium","Low"))))</f>
        <v/>
      </c>
      <c r="R213" s="37" t="str">
        <f aca="true">IF(AND(C213&lt;&gt;"",M213&lt;&gt;"Closed",L213&lt;&gt;"",L213&lt;TODAY()),"Overdue","")</f>
        <v/>
      </c>
      <c r="S213" s="40" t="str">
        <f aca="false">IF(AND(N213&lt;&gt;"",B213="Risk",M213&lt;&gt;"Closed"),N213+(1-ROW()/100000),"")</f>
        <v/>
      </c>
      <c r="T213" s="40" t="str">
        <f aca="false">IF(AND(S213&lt;&gt;"",A213='Project Summary'!$C$3),S213,"")</f>
        <v/>
      </c>
    </row>
    <row r="214" customFormat="false" ht="15" hidden="false" customHeight="false" outlineLevel="0" collapsed="false">
      <c r="A214" s="32"/>
      <c r="B214" s="32"/>
      <c r="C214" s="32"/>
      <c r="D214" s="33"/>
      <c r="E214" s="32"/>
      <c r="F214" s="32"/>
      <c r="G214" s="32"/>
      <c r="H214" s="32"/>
      <c r="I214" s="32"/>
      <c r="J214" s="33"/>
      <c r="K214" s="32"/>
      <c r="L214" s="35"/>
      <c r="M214" s="32"/>
      <c r="N214" s="37" t="str">
        <f aca="false">IF(OR(C214="",F214="",G214=""),"",MATCH(F214,lst_Likelihood,0)*MATCH(G214,lst_Consequence,0))</f>
        <v/>
      </c>
      <c r="O214" s="37" t="str">
        <f aca="false">IF(N214="","",IF(N214&gt;=16,"Critical",IF(N214&gt;=10,"High",IF(N214&gt;=5,"Medium","Low"))))</f>
        <v/>
      </c>
      <c r="P214" s="37" t="str">
        <f aca="false">IF(OR(C214="",H214="",I214=""),"",MATCH(H214,lst_Likelihood,0)*MATCH(I214,lst_Consequence,0))</f>
        <v/>
      </c>
      <c r="Q214" s="37" t="str">
        <f aca="false">IF(P214="","",IF(P214&gt;=16,"Critical",IF(P214&gt;=10,"High",IF(P214&gt;=5,"Medium","Low"))))</f>
        <v/>
      </c>
      <c r="R214" s="37" t="str">
        <f aca="true">IF(AND(C214&lt;&gt;"",M214&lt;&gt;"Closed",L214&lt;&gt;"",L214&lt;TODAY()),"Overdue","")</f>
        <v/>
      </c>
      <c r="S214" s="40" t="str">
        <f aca="false">IF(AND(N214&lt;&gt;"",B214="Risk",M214&lt;&gt;"Closed"),N214+(1-ROW()/100000),"")</f>
        <v/>
      </c>
      <c r="T214" s="40" t="str">
        <f aca="false">IF(AND(S214&lt;&gt;"",A214='Project Summary'!$C$3),S214,"")</f>
        <v/>
      </c>
    </row>
    <row r="215" customFormat="false" ht="15" hidden="false" customHeight="false" outlineLevel="0" collapsed="false">
      <c r="A215" s="32"/>
      <c r="B215" s="32"/>
      <c r="C215" s="32"/>
      <c r="D215" s="33"/>
      <c r="E215" s="32"/>
      <c r="F215" s="32"/>
      <c r="G215" s="32"/>
      <c r="H215" s="32"/>
      <c r="I215" s="32"/>
      <c r="J215" s="33"/>
      <c r="K215" s="32"/>
      <c r="L215" s="35"/>
      <c r="M215" s="32"/>
      <c r="N215" s="37" t="str">
        <f aca="false">IF(OR(C215="",F215="",G215=""),"",MATCH(F215,lst_Likelihood,0)*MATCH(G215,lst_Consequence,0))</f>
        <v/>
      </c>
      <c r="O215" s="37" t="str">
        <f aca="false">IF(N215="","",IF(N215&gt;=16,"Critical",IF(N215&gt;=10,"High",IF(N215&gt;=5,"Medium","Low"))))</f>
        <v/>
      </c>
      <c r="P215" s="37" t="str">
        <f aca="false">IF(OR(C215="",H215="",I215=""),"",MATCH(H215,lst_Likelihood,0)*MATCH(I215,lst_Consequence,0))</f>
        <v/>
      </c>
      <c r="Q215" s="37" t="str">
        <f aca="false">IF(P215="","",IF(P215&gt;=16,"Critical",IF(P215&gt;=10,"High",IF(P215&gt;=5,"Medium","Low"))))</f>
        <v/>
      </c>
      <c r="R215" s="37" t="str">
        <f aca="true">IF(AND(C215&lt;&gt;"",M215&lt;&gt;"Closed",L215&lt;&gt;"",L215&lt;TODAY()),"Overdue","")</f>
        <v/>
      </c>
      <c r="S215" s="40" t="str">
        <f aca="false">IF(AND(N215&lt;&gt;"",B215="Risk",M215&lt;&gt;"Closed"),N215+(1-ROW()/100000),"")</f>
        <v/>
      </c>
      <c r="T215" s="40" t="str">
        <f aca="false">IF(AND(S215&lt;&gt;"",A215='Project Summary'!$C$3),S215,"")</f>
        <v/>
      </c>
    </row>
    <row r="216" customFormat="false" ht="15" hidden="false" customHeight="false" outlineLevel="0" collapsed="false">
      <c r="A216" s="32"/>
      <c r="B216" s="32"/>
      <c r="C216" s="32"/>
      <c r="D216" s="33"/>
      <c r="E216" s="32"/>
      <c r="F216" s="32"/>
      <c r="G216" s="32"/>
      <c r="H216" s="32"/>
      <c r="I216" s="32"/>
      <c r="J216" s="33"/>
      <c r="K216" s="32"/>
      <c r="L216" s="35"/>
      <c r="M216" s="32"/>
      <c r="N216" s="37" t="str">
        <f aca="false">IF(OR(C216="",F216="",G216=""),"",MATCH(F216,lst_Likelihood,0)*MATCH(G216,lst_Consequence,0))</f>
        <v/>
      </c>
      <c r="O216" s="37" t="str">
        <f aca="false">IF(N216="","",IF(N216&gt;=16,"Critical",IF(N216&gt;=10,"High",IF(N216&gt;=5,"Medium","Low"))))</f>
        <v/>
      </c>
      <c r="P216" s="37" t="str">
        <f aca="false">IF(OR(C216="",H216="",I216=""),"",MATCH(H216,lst_Likelihood,0)*MATCH(I216,lst_Consequence,0))</f>
        <v/>
      </c>
      <c r="Q216" s="37" t="str">
        <f aca="false">IF(P216="","",IF(P216&gt;=16,"Critical",IF(P216&gt;=10,"High",IF(P216&gt;=5,"Medium","Low"))))</f>
        <v/>
      </c>
      <c r="R216" s="37" t="str">
        <f aca="true">IF(AND(C216&lt;&gt;"",M216&lt;&gt;"Closed",L216&lt;&gt;"",L216&lt;TODAY()),"Overdue","")</f>
        <v/>
      </c>
      <c r="S216" s="40" t="str">
        <f aca="false">IF(AND(N216&lt;&gt;"",B216="Risk",M216&lt;&gt;"Closed"),N216+(1-ROW()/100000),"")</f>
        <v/>
      </c>
      <c r="T216" s="40" t="str">
        <f aca="false">IF(AND(S216&lt;&gt;"",A216='Project Summary'!$C$3),S216,"")</f>
        <v/>
      </c>
    </row>
    <row r="217" customFormat="false" ht="15" hidden="false" customHeight="false" outlineLevel="0" collapsed="false">
      <c r="A217" s="32"/>
      <c r="B217" s="32"/>
      <c r="C217" s="32"/>
      <c r="D217" s="33"/>
      <c r="E217" s="32"/>
      <c r="F217" s="32"/>
      <c r="G217" s="32"/>
      <c r="H217" s="32"/>
      <c r="I217" s="32"/>
      <c r="J217" s="33"/>
      <c r="K217" s="32"/>
      <c r="L217" s="35"/>
      <c r="M217" s="32"/>
      <c r="N217" s="37" t="str">
        <f aca="false">IF(OR(C217="",F217="",G217=""),"",MATCH(F217,lst_Likelihood,0)*MATCH(G217,lst_Consequence,0))</f>
        <v/>
      </c>
      <c r="O217" s="37" t="str">
        <f aca="false">IF(N217="","",IF(N217&gt;=16,"Critical",IF(N217&gt;=10,"High",IF(N217&gt;=5,"Medium","Low"))))</f>
        <v/>
      </c>
      <c r="P217" s="37" t="str">
        <f aca="false">IF(OR(C217="",H217="",I217=""),"",MATCH(H217,lst_Likelihood,0)*MATCH(I217,lst_Consequence,0))</f>
        <v/>
      </c>
      <c r="Q217" s="37" t="str">
        <f aca="false">IF(P217="","",IF(P217&gt;=16,"Critical",IF(P217&gt;=10,"High",IF(P217&gt;=5,"Medium","Low"))))</f>
        <v/>
      </c>
      <c r="R217" s="37" t="str">
        <f aca="true">IF(AND(C217&lt;&gt;"",M217&lt;&gt;"Closed",L217&lt;&gt;"",L217&lt;TODAY()),"Overdue","")</f>
        <v/>
      </c>
      <c r="S217" s="40" t="str">
        <f aca="false">IF(AND(N217&lt;&gt;"",B217="Risk",M217&lt;&gt;"Closed"),N217+(1-ROW()/100000),"")</f>
        <v/>
      </c>
      <c r="T217" s="40" t="str">
        <f aca="false">IF(AND(S217&lt;&gt;"",A217='Project Summary'!$C$3),S217,"")</f>
        <v/>
      </c>
    </row>
    <row r="218" customFormat="false" ht="15" hidden="false" customHeight="false" outlineLevel="0" collapsed="false">
      <c r="A218" s="32"/>
      <c r="B218" s="32"/>
      <c r="C218" s="32"/>
      <c r="D218" s="33"/>
      <c r="E218" s="32"/>
      <c r="F218" s="32"/>
      <c r="G218" s="32"/>
      <c r="H218" s="32"/>
      <c r="I218" s="32"/>
      <c r="J218" s="33"/>
      <c r="K218" s="32"/>
      <c r="L218" s="35"/>
      <c r="M218" s="32"/>
      <c r="N218" s="37" t="str">
        <f aca="false">IF(OR(C218="",F218="",G218=""),"",MATCH(F218,lst_Likelihood,0)*MATCH(G218,lst_Consequence,0))</f>
        <v/>
      </c>
      <c r="O218" s="37" t="str">
        <f aca="false">IF(N218="","",IF(N218&gt;=16,"Critical",IF(N218&gt;=10,"High",IF(N218&gt;=5,"Medium","Low"))))</f>
        <v/>
      </c>
      <c r="P218" s="37" t="str">
        <f aca="false">IF(OR(C218="",H218="",I218=""),"",MATCH(H218,lst_Likelihood,0)*MATCH(I218,lst_Consequence,0))</f>
        <v/>
      </c>
      <c r="Q218" s="37" t="str">
        <f aca="false">IF(P218="","",IF(P218&gt;=16,"Critical",IF(P218&gt;=10,"High",IF(P218&gt;=5,"Medium","Low"))))</f>
        <v/>
      </c>
      <c r="R218" s="37" t="str">
        <f aca="true">IF(AND(C218&lt;&gt;"",M218&lt;&gt;"Closed",L218&lt;&gt;"",L218&lt;TODAY()),"Overdue","")</f>
        <v/>
      </c>
      <c r="S218" s="40" t="str">
        <f aca="false">IF(AND(N218&lt;&gt;"",B218="Risk",M218&lt;&gt;"Closed"),N218+(1-ROW()/100000),"")</f>
        <v/>
      </c>
      <c r="T218" s="40" t="str">
        <f aca="false">IF(AND(S218&lt;&gt;"",A218='Project Summary'!$C$3),S218,"")</f>
        <v/>
      </c>
    </row>
    <row r="219" customFormat="false" ht="15" hidden="false" customHeight="false" outlineLevel="0" collapsed="false">
      <c r="A219" s="32"/>
      <c r="B219" s="32"/>
      <c r="C219" s="32"/>
      <c r="D219" s="33"/>
      <c r="E219" s="32"/>
      <c r="F219" s="32"/>
      <c r="G219" s="32"/>
      <c r="H219" s="32"/>
      <c r="I219" s="32"/>
      <c r="J219" s="33"/>
      <c r="K219" s="32"/>
      <c r="L219" s="35"/>
      <c r="M219" s="32"/>
      <c r="N219" s="37" t="str">
        <f aca="false">IF(OR(C219="",F219="",G219=""),"",MATCH(F219,lst_Likelihood,0)*MATCH(G219,lst_Consequence,0))</f>
        <v/>
      </c>
      <c r="O219" s="37" t="str">
        <f aca="false">IF(N219="","",IF(N219&gt;=16,"Critical",IF(N219&gt;=10,"High",IF(N219&gt;=5,"Medium","Low"))))</f>
        <v/>
      </c>
      <c r="P219" s="37" t="str">
        <f aca="false">IF(OR(C219="",H219="",I219=""),"",MATCH(H219,lst_Likelihood,0)*MATCH(I219,lst_Consequence,0))</f>
        <v/>
      </c>
      <c r="Q219" s="37" t="str">
        <f aca="false">IF(P219="","",IF(P219&gt;=16,"Critical",IF(P219&gt;=10,"High",IF(P219&gt;=5,"Medium","Low"))))</f>
        <v/>
      </c>
      <c r="R219" s="37" t="str">
        <f aca="true">IF(AND(C219&lt;&gt;"",M219&lt;&gt;"Closed",L219&lt;&gt;"",L219&lt;TODAY()),"Overdue","")</f>
        <v/>
      </c>
      <c r="S219" s="40" t="str">
        <f aca="false">IF(AND(N219&lt;&gt;"",B219="Risk",M219&lt;&gt;"Closed"),N219+(1-ROW()/100000),"")</f>
        <v/>
      </c>
      <c r="T219" s="40" t="str">
        <f aca="false">IF(AND(S219&lt;&gt;"",A219='Project Summary'!$C$3),S219,"")</f>
        <v/>
      </c>
    </row>
    <row r="220" customFormat="false" ht="15" hidden="false" customHeight="false" outlineLevel="0" collapsed="false">
      <c r="A220" s="32"/>
      <c r="B220" s="32"/>
      <c r="C220" s="32"/>
      <c r="D220" s="33"/>
      <c r="E220" s="32"/>
      <c r="F220" s="32"/>
      <c r="G220" s="32"/>
      <c r="H220" s="32"/>
      <c r="I220" s="32"/>
      <c r="J220" s="33"/>
      <c r="K220" s="32"/>
      <c r="L220" s="35"/>
      <c r="M220" s="32"/>
      <c r="N220" s="37" t="str">
        <f aca="false">IF(OR(C220="",F220="",G220=""),"",MATCH(F220,lst_Likelihood,0)*MATCH(G220,lst_Consequence,0))</f>
        <v/>
      </c>
      <c r="O220" s="37" t="str">
        <f aca="false">IF(N220="","",IF(N220&gt;=16,"Critical",IF(N220&gt;=10,"High",IF(N220&gt;=5,"Medium","Low"))))</f>
        <v/>
      </c>
      <c r="P220" s="37" t="str">
        <f aca="false">IF(OR(C220="",H220="",I220=""),"",MATCH(H220,lst_Likelihood,0)*MATCH(I220,lst_Consequence,0))</f>
        <v/>
      </c>
      <c r="Q220" s="37" t="str">
        <f aca="false">IF(P220="","",IF(P220&gt;=16,"Critical",IF(P220&gt;=10,"High",IF(P220&gt;=5,"Medium","Low"))))</f>
        <v/>
      </c>
      <c r="R220" s="37" t="str">
        <f aca="true">IF(AND(C220&lt;&gt;"",M220&lt;&gt;"Closed",L220&lt;&gt;"",L220&lt;TODAY()),"Overdue","")</f>
        <v/>
      </c>
      <c r="S220" s="40" t="str">
        <f aca="false">IF(AND(N220&lt;&gt;"",B220="Risk",M220&lt;&gt;"Closed"),N220+(1-ROW()/100000),"")</f>
        <v/>
      </c>
      <c r="T220" s="40" t="str">
        <f aca="false">IF(AND(S220&lt;&gt;"",A220='Project Summary'!$C$3),S220,"")</f>
        <v/>
      </c>
    </row>
    <row r="221" customFormat="false" ht="15" hidden="false" customHeight="false" outlineLevel="0" collapsed="false">
      <c r="A221" s="32"/>
      <c r="B221" s="32"/>
      <c r="C221" s="32"/>
      <c r="D221" s="33"/>
      <c r="E221" s="32"/>
      <c r="F221" s="32"/>
      <c r="G221" s="32"/>
      <c r="H221" s="32"/>
      <c r="I221" s="32"/>
      <c r="J221" s="33"/>
      <c r="K221" s="32"/>
      <c r="L221" s="35"/>
      <c r="M221" s="32"/>
      <c r="N221" s="37" t="str">
        <f aca="false">IF(OR(C221="",F221="",G221=""),"",MATCH(F221,lst_Likelihood,0)*MATCH(G221,lst_Consequence,0))</f>
        <v/>
      </c>
      <c r="O221" s="37" t="str">
        <f aca="false">IF(N221="","",IF(N221&gt;=16,"Critical",IF(N221&gt;=10,"High",IF(N221&gt;=5,"Medium","Low"))))</f>
        <v/>
      </c>
      <c r="P221" s="37" t="str">
        <f aca="false">IF(OR(C221="",H221="",I221=""),"",MATCH(H221,lst_Likelihood,0)*MATCH(I221,lst_Consequence,0))</f>
        <v/>
      </c>
      <c r="Q221" s="37" t="str">
        <f aca="false">IF(P221="","",IF(P221&gt;=16,"Critical",IF(P221&gt;=10,"High",IF(P221&gt;=5,"Medium","Low"))))</f>
        <v/>
      </c>
      <c r="R221" s="37" t="str">
        <f aca="true">IF(AND(C221&lt;&gt;"",M221&lt;&gt;"Closed",L221&lt;&gt;"",L221&lt;TODAY()),"Overdue","")</f>
        <v/>
      </c>
      <c r="S221" s="40" t="str">
        <f aca="false">IF(AND(N221&lt;&gt;"",B221="Risk",M221&lt;&gt;"Closed"),N221+(1-ROW()/100000),"")</f>
        <v/>
      </c>
      <c r="T221" s="40" t="str">
        <f aca="false">IF(AND(S221&lt;&gt;"",A221='Project Summary'!$C$3),S221,"")</f>
        <v/>
      </c>
    </row>
    <row r="222" customFormat="false" ht="15" hidden="false" customHeight="false" outlineLevel="0" collapsed="false">
      <c r="A222" s="32"/>
      <c r="B222" s="32"/>
      <c r="C222" s="32"/>
      <c r="D222" s="33"/>
      <c r="E222" s="32"/>
      <c r="F222" s="32"/>
      <c r="G222" s="32"/>
      <c r="H222" s="32"/>
      <c r="I222" s="32"/>
      <c r="J222" s="33"/>
      <c r="K222" s="32"/>
      <c r="L222" s="35"/>
      <c r="M222" s="32"/>
      <c r="N222" s="37" t="str">
        <f aca="false">IF(OR(C222="",F222="",G222=""),"",MATCH(F222,lst_Likelihood,0)*MATCH(G222,lst_Consequence,0))</f>
        <v/>
      </c>
      <c r="O222" s="37" t="str">
        <f aca="false">IF(N222="","",IF(N222&gt;=16,"Critical",IF(N222&gt;=10,"High",IF(N222&gt;=5,"Medium","Low"))))</f>
        <v/>
      </c>
      <c r="P222" s="37" t="str">
        <f aca="false">IF(OR(C222="",H222="",I222=""),"",MATCH(H222,lst_Likelihood,0)*MATCH(I222,lst_Consequence,0))</f>
        <v/>
      </c>
      <c r="Q222" s="37" t="str">
        <f aca="false">IF(P222="","",IF(P222&gt;=16,"Critical",IF(P222&gt;=10,"High",IF(P222&gt;=5,"Medium","Low"))))</f>
        <v/>
      </c>
      <c r="R222" s="37" t="str">
        <f aca="true">IF(AND(C222&lt;&gt;"",M222&lt;&gt;"Closed",L222&lt;&gt;"",L222&lt;TODAY()),"Overdue","")</f>
        <v/>
      </c>
      <c r="S222" s="40" t="str">
        <f aca="false">IF(AND(N222&lt;&gt;"",B222="Risk",M222&lt;&gt;"Closed"),N222+(1-ROW()/100000),"")</f>
        <v/>
      </c>
      <c r="T222" s="40" t="str">
        <f aca="false">IF(AND(S222&lt;&gt;"",A222='Project Summary'!$C$3),S222,"")</f>
        <v/>
      </c>
    </row>
    <row r="223" customFormat="false" ht="15" hidden="false" customHeight="false" outlineLevel="0" collapsed="false">
      <c r="A223" s="32"/>
      <c r="B223" s="32"/>
      <c r="C223" s="32"/>
      <c r="D223" s="33"/>
      <c r="E223" s="32"/>
      <c r="F223" s="32"/>
      <c r="G223" s="32"/>
      <c r="H223" s="32"/>
      <c r="I223" s="32"/>
      <c r="J223" s="33"/>
      <c r="K223" s="32"/>
      <c r="L223" s="35"/>
      <c r="M223" s="32"/>
      <c r="N223" s="37" t="str">
        <f aca="false">IF(OR(C223="",F223="",G223=""),"",MATCH(F223,lst_Likelihood,0)*MATCH(G223,lst_Consequence,0))</f>
        <v/>
      </c>
      <c r="O223" s="37" t="str">
        <f aca="false">IF(N223="","",IF(N223&gt;=16,"Critical",IF(N223&gt;=10,"High",IF(N223&gt;=5,"Medium","Low"))))</f>
        <v/>
      </c>
      <c r="P223" s="37" t="str">
        <f aca="false">IF(OR(C223="",H223="",I223=""),"",MATCH(H223,lst_Likelihood,0)*MATCH(I223,lst_Consequence,0))</f>
        <v/>
      </c>
      <c r="Q223" s="37" t="str">
        <f aca="false">IF(P223="","",IF(P223&gt;=16,"Critical",IF(P223&gt;=10,"High",IF(P223&gt;=5,"Medium","Low"))))</f>
        <v/>
      </c>
      <c r="R223" s="37" t="str">
        <f aca="true">IF(AND(C223&lt;&gt;"",M223&lt;&gt;"Closed",L223&lt;&gt;"",L223&lt;TODAY()),"Overdue","")</f>
        <v/>
      </c>
      <c r="S223" s="40" t="str">
        <f aca="false">IF(AND(N223&lt;&gt;"",B223="Risk",M223&lt;&gt;"Closed"),N223+(1-ROW()/100000),"")</f>
        <v/>
      </c>
      <c r="T223" s="40" t="str">
        <f aca="false">IF(AND(S223&lt;&gt;"",A223='Project Summary'!$C$3),S223,"")</f>
        <v/>
      </c>
    </row>
    <row r="224" customFormat="false" ht="15" hidden="false" customHeight="false" outlineLevel="0" collapsed="false">
      <c r="A224" s="32"/>
      <c r="B224" s="32"/>
      <c r="C224" s="32"/>
      <c r="D224" s="33"/>
      <c r="E224" s="32"/>
      <c r="F224" s="32"/>
      <c r="G224" s="32"/>
      <c r="H224" s="32"/>
      <c r="I224" s="32"/>
      <c r="J224" s="33"/>
      <c r="K224" s="32"/>
      <c r="L224" s="35"/>
      <c r="M224" s="32"/>
      <c r="N224" s="37" t="str">
        <f aca="false">IF(OR(C224="",F224="",G224=""),"",MATCH(F224,lst_Likelihood,0)*MATCH(G224,lst_Consequence,0))</f>
        <v/>
      </c>
      <c r="O224" s="37" t="str">
        <f aca="false">IF(N224="","",IF(N224&gt;=16,"Critical",IF(N224&gt;=10,"High",IF(N224&gt;=5,"Medium","Low"))))</f>
        <v/>
      </c>
      <c r="P224" s="37" t="str">
        <f aca="false">IF(OR(C224="",H224="",I224=""),"",MATCH(H224,lst_Likelihood,0)*MATCH(I224,lst_Consequence,0))</f>
        <v/>
      </c>
      <c r="Q224" s="37" t="str">
        <f aca="false">IF(P224="","",IF(P224&gt;=16,"Critical",IF(P224&gt;=10,"High",IF(P224&gt;=5,"Medium","Low"))))</f>
        <v/>
      </c>
      <c r="R224" s="37" t="str">
        <f aca="true">IF(AND(C224&lt;&gt;"",M224&lt;&gt;"Closed",L224&lt;&gt;"",L224&lt;TODAY()),"Overdue","")</f>
        <v/>
      </c>
      <c r="S224" s="40" t="str">
        <f aca="false">IF(AND(N224&lt;&gt;"",B224="Risk",M224&lt;&gt;"Closed"),N224+(1-ROW()/100000),"")</f>
        <v/>
      </c>
      <c r="T224" s="40" t="str">
        <f aca="false">IF(AND(S224&lt;&gt;"",A224='Project Summary'!$C$3),S224,"")</f>
        <v/>
      </c>
    </row>
    <row r="225" customFormat="false" ht="15" hidden="false" customHeight="false" outlineLevel="0" collapsed="false">
      <c r="A225" s="32"/>
      <c r="B225" s="32"/>
      <c r="C225" s="32"/>
      <c r="D225" s="33"/>
      <c r="E225" s="32"/>
      <c r="F225" s="32"/>
      <c r="G225" s="32"/>
      <c r="H225" s="32"/>
      <c r="I225" s="32"/>
      <c r="J225" s="33"/>
      <c r="K225" s="32"/>
      <c r="L225" s="35"/>
      <c r="M225" s="32"/>
      <c r="N225" s="37" t="str">
        <f aca="false">IF(OR(C225="",F225="",G225=""),"",MATCH(F225,lst_Likelihood,0)*MATCH(G225,lst_Consequence,0))</f>
        <v/>
      </c>
      <c r="O225" s="37" t="str">
        <f aca="false">IF(N225="","",IF(N225&gt;=16,"Critical",IF(N225&gt;=10,"High",IF(N225&gt;=5,"Medium","Low"))))</f>
        <v/>
      </c>
      <c r="P225" s="37" t="str">
        <f aca="false">IF(OR(C225="",H225="",I225=""),"",MATCH(H225,lst_Likelihood,0)*MATCH(I225,lst_Consequence,0))</f>
        <v/>
      </c>
      <c r="Q225" s="37" t="str">
        <f aca="false">IF(P225="","",IF(P225&gt;=16,"Critical",IF(P225&gt;=10,"High",IF(P225&gt;=5,"Medium","Low"))))</f>
        <v/>
      </c>
      <c r="R225" s="37" t="str">
        <f aca="true">IF(AND(C225&lt;&gt;"",M225&lt;&gt;"Closed",L225&lt;&gt;"",L225&lt;TODAY()),"Overdue","")</f>
        <v/>
      </c>
      <c r="S225" s="40" t="str">
        <f aca="false">IF(AND(N225&lt;&gt;"",B225="Risk",M225&lt;&gt;"Closed"),N225+(1-ROW()/100000),"")</f>
        <v/>
      </c>
      <c r="T225" s="40" t="str">
        <f aca="false">IF(AND(S225&lt;&gt;"",A225='Project Summary'!$C$3),S225,"")</f>
        <v/>
      </c>
    </row>
    <row r="226" customFormat="false" ht="15" hidden="false" customHeight="false" outlineLevel="0" collapsed="false">
      <c r="A226" s="32"/>
      <c r="B226" s="32"/>
      <c r="C226" s="32"/>
      <c r="D226" s="33"/>
      <c r="E226" s="32"/>
      <c r="F226" s="32"/>
      <c r="G226" s="32"/>
      <c r="H226" s="32"/>
      <c r="I226" s="32"/>
      <c r="J226" s="33"/>
      <c r="K226" s="32"/>
      <c r="L226" s="35"/>
      <c r="M226" s="32"/>
      <c r="N226" s="37" t="str">
        <f aca="false">IF(OR(C226="",F226="",G226=""),"",MATCH(F226,lst_Likelihood,0)*MATCH(G226,lst_Consequence,0))</f>
        <v/>
      </c>
      <c r="O226" s="37" t="str">
        <f aca="false">IF(N226="","",IF(N226&gt;=16,"Critical",IF(N226&gt;=10,"High",IF(N226&gt;=5,"Medium","Low"))))</f>
        <v/>
      </c>
      <c r="P226" s="37" t="str">
        <f aca="false">IF(OR(C226="",H226="",I226=""),"",MATCH(H226,lst_Likelihood,0)*MATCH(I226,lst_Consequence,0))</f>
        <v/>
      </c>
      <c r="Q226" s="37" t="str">
        <f aca="false">IF(P226="","",IF(P226&gt;=16,"Critical",IF(P226&gt;=10,"High",IF(P226&gt;=5,"Medium","Low"))))</f>
        <v/>
      </c>
      <c r="R226" s="37" t="str">
        <f aca="true">IF(AND(C226&lt;&gt;"",M226&lt;&gt;"Closed",L226&lt;&gt;"",L226&lt;TODAY()),"Overdue","")</f>
        <v/>
      </c>
      <c r="S226" s="40" t="str">
        <f aca="false">IF(AND(N226&lt;&gt;"",B226="Risk",M226&lt;&gt;"Closed"),N226+(1-ROW()/100000),"")</f>
        <v/>
      </c>
      <c r="T226" s="40" t="str">
        <f aca="false">IF(AND(S226&lt;&gt;"",A226='Project Summary'!$C$3),S226,"")</f>
        <v/>
      </c>
    </row>
    <row r="227" customFormat="false" ht="15" hidden="false" customHeight="false" outlineLevel="0" collapsed="false">
      <c r="A227" s="32"/>
      <c r="B227" s="32"/>
      <c r="C227" s="32"/>
      <c r="D227" s="33"/>
      <c r="E227" s="32"/>
      <c r="F227" s="32"/>
      <c r="G227" s="32"/>
      <c r="H227" s="32"/>
      <c r="I227" s="32"/>
      <c r="J227" s="33"/>
      <c r="K227" s="32"/>
      <c r="L227" s="35"/>
      <c r="M227" s="32"/>
      <c r="N227" s="37" t="str">
        <f aca="false">IF(OR(C227="",F227="",G227=""),"",MATCH(F227,lst_Likelihood,0)*MATCH(G227,lst_Consequence,0))</f>
        <v/>
      </c>
      <c r="O227" s="37" t="str">
        <f aca="false">IF(N227="","",IF(N227&gt;=16,"Critical",IF(N227&gt;=10,"High",IF(N227&gt;=5,"Medium","Low"))))</f>
        <v/>
      </c>
      <c r="P227" s="37" t="str">
        <f aca="false">IF(OR(C227="",H227="",I227=""),"",MATCH(H227,lst_Likelihood,0)*MATCH(I227,lst_Consequence,0))</f>
        <v/>
      </c>
      <c r="Q227" s="37" t="str">
        <f aca="false">IF(P227="","",IF(P227&gt;=16,"Critical",IF(P227&gt;=10,"High",IF(P227&gt;=5,"Medium","Low"))))</f>
        <v/>
      </c>
      <c r="R227" s="37" t="str">
        <f aca="true">IF(AND(C227&lt;&gt;"",M227&lt;&gt;"Closed",L227&lt;&gt;"",L227&lt;TODAY()),"Overdue","")</f>
        <v/>
      </c>
      <c r="S227" s="40" t="str">
        <f aca="false">IF(AND(N227&lt;&gt;"",B227="Risk",M227&lt;&gt;"Closed"),N227+(1-ROW()/100000),"")</f>
        <v/>
      </c>
      <c r="T227" s="40" t="str">
        <f aca="false">IF(AND(S227&lt;&gt;"",A227='Project Summary'!$C$3),S227,"")</f>
        <v/>
      </c>
    </row>
    <row r="228" customFormat="false" ht="15" hidden="false" customHeight="false" outlineLevel="0" collapsed="false">
      <c r="A228" s="32"/>
      <c r="B228" s="32"/>
      <c r="C228" s="32"/>
      <c r="D228" s="33"/>
      <c r="E228" s="32"/>
      <c r="F228" s="32"/>
      <c r="G228" s="32"/>
      <c r="H228" s="32"/>
      <c r="I228" s="32"/>
      <c r="J228" s="33"/>
      <c r="K228" s="32"/>
      <c r="L228" s="35"/>
      <c r="M228" s="32"/>
      <c r="N228" s="37" t="str">
        <f aca="false">IF(OR(C228="",F228="",G228=""),"",MATCH(F228,lst_Likelihood,0)*MATCH(G228,lst_Consequence,0))</f>
        <v/>
      </c>
      <c r="O228" s="37" t="str">
        <f aca="false">IF(N228="","",IF(N228&gt;=16,"Critical",IF(N228&gt;=10,"High",IF(N228&gt;=5,"Medium","Low"))))</f>
        <v/>
      </c>
      <c r="P228" s="37" t="str">
        <f aca="false">IF(OR(C228="",H228="",I228=""),"",MATCH(H228,lst_Likelihood,0)*MATCH(I228,lst_Consequence,0))</f>
        <v/>
      </c>
      <c r="Q228" s="37" t="str">
        <f aca="false">IF(P228="","",IF(P228&gt;=16,"Critical",IF(P228&gt;=10,"High",IF(P228&gt;=5,"Medium","Low"))))</f>
        <v/>
      </c>
      <c r="R228" s="37" t="str">
        <f aca="true">IF(AND(C228&lt;&gt;"",M228&lt;&gt;"Closed",L228&lt;&gt;"",L228&lt;TODAY()),"Overdue","")</f>
        <v/>
      </c>
      <c r="S228" s="40" t="str">
        <f aca="false">IF(AND(N228&lt;&gt;"",B228="Risk",M228&lt;&gt;"Closed"),N228+(1-ROW()/100000),"")</f>
        <v/>
      </c>
      <c r="T228" s="40" t="str">
        <f aca="false">IF(AND(S228&lt;&gt;"",A228='Project Summary'!$C$3),S228,"")</f>
        <v/>
      </c>
    </row>
    <row r="229" customFormat="false" ht="15" hidden="false" customHeight="false" outlineLevel="0" collapsed="false">
      <c r="A229" s="32"/>
      <c r="B229" s="32"/>
      <c r="C229" s="32"/>
      <c r="D229" s="33"/>
      <c r="E229" s="32"/>
      <c r="F229" s="32"/>
      <c r="G229" s="32"/>
      <c r="H229" s="32"/>
      <c r="I229" s="32"/>
      <c r="J229" s="33"/>
      <c r="K229" s="32"/>
      <c r="L229" s="35"/>
      <c r="M229" s="32"/>
      <c r="N229" s="37" t="str">
        <f aca="false">IF(OR(C229="",F229="",G229=""),"",MATCH(F229,lst_Likelihood,0)*MATCH(G229,lst_Consequence,0))</f>
        <v/>
      </c>
      <c r="O229" s="37" t="str">
        <f aca="false">IF(N229="","",IF(N229&gt;=16,"Critical",IF(N229&gt;=10,"High",IF(N229&gt;=5,"Medium","Low"))))</f>
        <v/>
      </c>
      <c r="P229" s="37" t="str">
        <f aca="false">IF(OR(C229="",H229="",I229=""),"",MATCH(H229,lst_Likelihood,0)*MATCH(I229,lst_Consequence,0))</f>
        <v/>
      </c>
      <c r="Q229" s="37" t="str">
        <f aca="false">IF(P229="","",IF(P229&gt;=16,"Critical",IF(P229&gt;=10,"High",IF(P229&gt;=5,"Medium","Low"))))</f>
        <v/>
      </c>
      <c r="R229" s="37" t="str">
        <f aca="true">IF(AND(C229&lt;&gt;"",M229&lt;&gt;"Closed",L229&lt;&gt;"",L229&lt;TODAY()),"Overdue","")</f>
        <v/>
      </c>
      <c r="S229" s="40" t="str">
        <f aca="false">IF(AND(N229&lt;&gt;"",B229="Risk",M229&lt;&gt;"Closed"),N229+(1-ROW()/100000),"")</f>
        <v/>
      </c>
      <c r="T229" s="40" t="str">
        <f aca="false">IF(AND(S229&lt;&gt;"",A229='Project Summary'!$C$3),S229,"")</f>
        <v/>
      </c>
    </row>
    <row r="230" customFormat="false" ht="15" hidden="false" customHeight="false" outlineLevel="0" collapsed="false">
      <c r="A230" s="32"/>
      <c r="B230" s="32"/>
      <c r="C230" s="32"/>
      <c r="D230" s="33"/>
      <c r="E230" s="32"/>
      <c r="F230" s="32"/>
      <c r="G230" s="32"/>
      <c r="H230" s="32"/>
      <c r="I230" s="32"/>
      <c r="J230" s="33"/>
      <c r="K230" s="32"/>
      <c r="L230" s="35"/>
      <c r="M230" s="32"/>
      <c r="N230" s="37" t="str">
        <f aca="false">IF(OR(C230="",F230="",G230=""),"",MATCH(F230,lst_Likelihood,0)*MATCH(G230,lst_Consequence,0))</f>
        <v/>
      </c>
      <c r="O230" s="37" t="str">
        <f aca="false">IF(N230="","",IF(N230&gt;=16,"Critical",IF(N230&gt;=10,"High",IF(N230&gt;=5,"Medium","Low"))))</f>
        <v/>
      </c>
      <c r="P230" s="37" t="str">
        <f aca="false">IF(OR(C230="",H230="",I230=""),"",MATCH(H230,lst_Likelihood,0)*MATCH(I230,lst_Consequence,0))</f>
        <v/>
      </c>
      <c r="Q230" s="37" t="str">
        <f aca="false">IF(P230="","",IF(P230&gt;=16,"Critical",IF(P230&gt;=10,"High",IF(P230&gt;=5,"Medium","Low"))))</f>
        <v/>
      </c>
      <c r="R230" s="37" t="str">
        <f aca="true">IF(AND(C230&lt;&gt;"",M230&lt;&gt;"Closed",L230&lt;&gt;"",L230&lt;TODAY()),"Overdue","")</f>
        <v/>
      </c>
      <c r="S230" s="40" t="str">
        <f aca="false">IF(AND(N230&lt;&gt;"",B230="Risk",M230&lt;&gt;"Closed"),N230+(1-ROW()/100000),"")</f>
        <v/>
      </c>
      <c r="T230" s="40" t="str">
        <f aca="false">IF(AND(S230&lt;&gt;"",A230='Project Summary'!$C$3),S230,"")</f>
        <v/>
      </c>
    </row>
    <row r="231" customFormat="false" ht="15" hidden="false" customHeight="false" outlineLevel="0" collapsed="false">
      <c r="A231" s="32"/>
      <c r="B231" s="32"/>
      <c r="C231" s="32"/>
      <c r="D231" s="33"/>
      <c r="E231" s="32"/>
      <c r="F231" s="32"/>
      <c r="G231" s="32"/>
      <c r="H231" s="32"/>
      <c r="I231" s="32"/>
      <c r="J231" s="33"/>
      <c r="K231" s="32"/>
      <c r="L231" s="35"/>
      <c r="M231" s="32"/>
      <c r="N231" s="37" t="str">
        <f aca="false">IF(OR(C231="",F231="",G231=""),"",MATCH(F231,lst_Likelihood,0)*MATCH(G231,lst_Consequence,0))</f>
        <v/>
      </c>
      <c r="O231" s="37" t="str">
        <f aca="false">IF(N231="","",IF(N231&gt;=16,"Critical",IF(N231&gt;=10,"High",IF(N231&gt;=5,"Medium","Low"))))</f>
        <v/>
      </c>
      <c r="P231" s="37" t="str">
        <f aca="false">IF(OR(C231="",H231="",I231=""),"",MATCH(H231,lst_Likelihood,0)*MATCH(I231,lst_Consequence,0))</f>
        <v/>
      </c>
      <c r="Q231" s="37" t="str">
        <f aca="false">IF(P231="","",IF(P231&gt;=16,"Critical",IF(P231&gt;=10,"High",IF(P231&gt;=5,"Medium","Low"))))</f>
        <v/>
      </c>
      <c r="R231" s="37" t="str">
        <f aca="true">IF(AND(C231&lt;&gt;"",M231&lt;&gt;"Closed",L231&lt;&gt;"",L231&lt;TODAY()),"Overdue","")</f>
        <v/>
      </c>
      <c r="S231" s="40" t="str">
        <f aca="false">IF(AND(N231&lt;&gt;"",B231="Risk",M231&lt;&gt;"Closed"),N231+(1-ROW()/100000),"")</f>
        <v/>
      </c>
      <c r="T231" s="40" t="str">
        <f aca="false">IF(AND(S231&lt;&gt;"",A231='Project Summary'!$C$3),S231,"")</f>
        <v/>
      </c>
    </row>
    <row r="232" customFormat="false" ht="15" hidden="false" customHeight="false" outlineLevel="0" collapsed="false">
      <c r="A232" s="32"/>
      <c r="B232" s="32"/>
      <c r="C232" s="32"/>
      <c r="D232" s="33"/>
      <c r="E232" s="32"/>
      <c r="F232" s="32"/>
      <c r="G232" s="32"/>
      <c r="H232" s="32"/>
      <c r="I232" s="32"/>
      <c r="J232" s="33"/>
      <c r="K232" s="32"/>
      <c r="L232" s="35"/>
      <c r="M232" s="32"/>
      <c r="N232" s="37" t="str">
        <f aca="false">IF(OR(C232="",F232="",G232=""),"",MATCH(F232,lst_Likelihood,0)*MATCH(G232,lst_Consequence,0))</f>
        <v/>
      </c>
      <c r="O232" s="37" t="str">
        <f aca="false">IF(N232="","",IF(N232&gt;=16,"Critical",IF(N232&gt;=10,"High",IF(N232&gt;=5,"Medium","Low"))))</f>
        <v/>
      </c>
      <c r="P232" s="37" t="str">
        <f aca="false">IF(OR(C232="",H232="",I232=""),"",MATCH(H232,lst_Likelihood,0)*MATCH(I232,lst_Consequence,0))</f>
        <v/>
      </c>
      <c r="Q232" s="37" t="str">
        <f aca="false">IF(P232="","",IF(P232&gt;=16,"Critical",IF(P232&gt;=10,"High",IF(P232&gt;=5,"Medium","Low"))))</f>
        <v/>
      </c>
      <c r="R232" s="37" t="str">
        <f aca="true">IF(AND(C232&lt;&gt;"",M232&lt;&gt;"Closed",L232&lt;&gt;"",L232&lt;TODAY()),"Overdue","")</f>
        <v/>
      </c>
      <c r="S232" s="40" t="str">
        <f aca="false">IF(AND(N232&lt;&gt;"",B232="Risk",M232&lt;&gt;"Closed"),N232+(1-ROW()/100000),"")</f>
        <v/>
      </c>
      <c r="T232" s="40" t="str">
        <f aca="false">IF(AND(S232&lt;&gt;"",A232='Project Summary'!$C$3),S232,"")</f>
        <v/>
      </c>
    </row>
    <row r="233" customFormat="false" ht="15" hidden="false" customHeight="false" outlineLevel="0" collapsed="false">
      <c r="A233" s="32"/>
      <c r="B233" s="32"/>
      <c r="C233" s="32"/>
      <c r="D233" s="33"/>
      <c r="E233" s="32"/>
      <c r="F233" s="32"/>
      <c r="G233" s="32"/>
      <c r="H233" s="32"/>
      <c r="I233" s="32"/>
      <c r="J233" s="33"/>
      <c r="K233" s="32"/>
      <c r="L233" s="35"/>
      <c r="M233" s="32"/>
      <c r="N233" s="37" t="str">
        <f aca="false">IF(OR(C233="",F233="",G233=""),"",MATCH(F233,lst_Likelihood,0)*MATCH(G233,lst_Consequence,0))</f>
        <v/>
      </c>
      <c r="O233" s="37" t="str">
        <f aca="false">IF(N233="","",IF(N233&gt;=16,"Critical",IF(N233&gt;=10,"High",IF(N233&gt;=5,"Medium","Low"))))</f>
        <v/>
      </c>
      <c r="P233" s="37" t="str">
        <f aca="false">IF(OR(C233="",H233="",I233=""),"",MATCH(H233,lst_Likelihood,0)*MATCH(I233,lst_Consequence,0))</f>
        <v/>
      </c>
      <c r="Q233" s="37" t="str">
        <f aca="false">IF(P233="","",IF(P233&gt;=16,"Critical",IF(P233&gt;=10,"High",IF(P233&gt;=5,"Medium","Low"))))</f>
        <v/>
      </c>
      <c r="R233" s="37" t="str">
        <f aca="true">IF(AND(C233&lt;&gt;"",M233&lt;&gt;"Closed",L233&lt;&gt;"",L233&lt;TODAY()),"Overdue","")</f>
        <v/>
      </c>
      <c r="S233" s="40" t="str">
        <f aca="false">IF(AND(N233&lt;&gt;"",B233="Risk",M233&lt;&gt;"Closed"),N233+(1-ROW()/100000),"")</f>
        <v/>
      </c>
      <c r="T233" s="40" t="str">
        <f aca="false">IF(AND(S233&lt;&gt;"",A233='Project Summary'!$C$3),S233,"")</f>
        <v/>
      </c>
    </row>
    <row r="234" customFormat="false" ht="15" hidden="false" customHeight="false" outlineLevel="0" collapsed="false">
      <c r="A234" s="32"/>
      <c r="B234" s="32"/>
      <c r="C234" s="32"/>
      <c r="D234" s="33"/>
      <c r="E234" s="32"/>
      <c r="F234" s="32"/>
      <c r="G234" s="32"/>
      <c r="H234" s="32"/>
      <c r="I234" s="32"/>
      <c r="J234" s="33"/>
      <c r="K234" s="32"/>
      <c r="L234" s="35"/>
      <c r="M234" s="32"/>
      <c r="N234" s="37" t="str">
        <f aca="false">IF(OR(C234="",F234="",G234=""),"",MATCH(F234,lst_Likelihood,0)*MATCH(G234,lst_Consequence,0))</f>
        <v/>
      </c>
      <c r="O234" s="37" t="str">
        <f aca="false">IF(N234="","",IF(N234&gt;=16,"Critical",IF(N234&gt;=10,"High",IF(N234&gt;=5,"Medium","Low"))))</f>
        <v/>
      </c>
      <c r="P234" s="37" t="str">
        <f aca="false">IF(OR(C234="",H234="",I234=""),"",MATCH(H234,lst_Likelihood,0)*MATCH(I234,lst_Consequence,0))</f>
        <v/>
      </c>
      <c r="Q234" s="37" t="str">
        <f aca="false">IF(P234="","",IF(P234&gt;=16,"Critical",IF(P234&gt;=10,"High",IF(P234&gt;=5,"Medium","Low"))))</f>
        <v/>
      </c>
      <c r="R234" s="37" t="str">
        <f aca="true">IF(AND(C234&lt;&gt;"",M234&lt;&gt;"Closed",L234&lt;&gt;"",L234&lt;TODAY()),"Overdue","")</f>
        <v/>
      </c>
      <c r="S234" s="40" t="str">
        <f aca="false">IF(AND(N234&lt;&gt;"",B234="Risk",M234&lt;&gt;"Closed"),N234+(1-ROW()/100000),"")</f>
        <v/>
      </c>
      <c r="T234" s="40" t="str">
        <f aca="false">IF(AND(S234&lt;&gt;"",A234='Project Summary'!$C$3),S234,"")</f>
        <v/>
      </c>
    </row>
    <row r="235" customFormat="false" ht="15" hidden="false" customHeight="false" outlineLevel="0" collapsed="false">
      <c r="A235" s="32"/>
      <c r="B235" s="32"/>
      <c r="C235" s="32"/>
      <c r="D235" s="33"/>
      <c r="E235" s="32"/>
      <c r="F235" s="32"/>
      <c r="G235" s="32"/>
      <c r="H235" s="32"/>
      <c r="I235" s="32"/>
      <c r="J235" s="33"/>
      <c r="K235" s="32"/>
      <c r="L235" s="35"/>
      <c r="M235" s="32"/>
      <c r="N235" s="37" t="str">
        <f aca="false">IF(OR(C235="",F235="",G235=""),"",MATCH(F235,lst_Likelihood,0)*MATCH(G235,lst_Consequence,0))</f>
        <v/>
      </c>
      <c r="O235" s="37" t="str">
        <f aca="false">IF(N235="","",IF(N235&gt;=16,"Critical",IF(N235&gt;=10,"High",IF(N235&gt;=5,"Medium","Low"))))</f>
        <v/>
      </c>
      <c r="P235" s="37" t="str">
        <f aca="false">IF(OR(C235="",H235="",I235=""),"",MATCH(H235,lst_Likelihood,0)*MATCH(I235,lst_Consequence,0))</f>
        <v/>
      </c>
      <c r="Q235" s="37" t="str">
        <f aca="false">IF(P235="","",IF(P235&gt;=16,"Critical",IF(P235&gt;=10,"High",IF(P235&gt;=5,"Medium","Low"))))</f>
        <v/>
      </c>
      <c r="R235" s="37" t="str">
        <f aca="true">IF(AND(C235&lt;&gt;"",M235&lt;&gt;"Closed",L235&lt;&gt;"",L235&lt;TODAY()),"Overdue","")</f>
        <v/>
      </c>
      <c r="S235" s="40" t="str">
        <f aca="false">IF(AND(N235&lt;&gt;"",B235="Risk",M235&lt;&gt;"Closed"),N235+(1-ROW()/100000),"")</f>
        <v/>
      </c>
      <c r="T235" s="40" t="str">
        <f aca="false">IF(AND(S235&lt;&gt;"",A235='Project Summary'!$C$3),S235,"")</f>
        <v/>
      </c>
    </row>
    <row r="236" customFormat="false" ht="15" hidden="false" customHeight="false" outlineLevel="0" collapsed="false">
      <c r="A236" s="32"/>
      <c r="B236" s="32"/>
      <c r="C236" s="32"/>
      <c r="D236" s="33"/>
      <c r="E236" s="32"/>
      <c r="F236" s="32"/>
      <c r="G236" s="32"/>
      <c r="H236" s="32"/>
      <c r="I236" s="32"/>
      <c r="J236" s="33"/>
      <c r="K236" s="32"/>
      <c r="L236" s="35"/>
      <c r="M236" s="32"/>
      <c r="N236" s="37" t="str">
        <f aca="false">IF(OR(C236="",F236="",G236=""),"",MATCH(F236,lst_Likelihood,0)*MATCH(G236,lst_Consequence,0))</f>
        <v/>
      </c>
      <c r="O236" s="37" t="str">
        <f aca="false">IF(N236="","",IF(N236&gt;=16,"Critical",IF(N236&gt;=10,"High",IF(N236&gt;=5,"Medium","Low"))))</f>
        <v/>
      </c>
      <c r="P236" s="37" t="str">
        <f aca="false">IF(OR(C236="",H236="",I236=""),"",MATCH(H236,lst_Likelihood,0)*MATCH(I236,lst_Consequence,0))</f>
        <v/>
      </c>
      <c r="Q236" s="37" t="str">
        <f aca="false">IF(P236="","",IF(P236&gt;=16,"Critical",IF(P236&gt;=10,"High",IF(P236&gt;=5,"Medium","Low"))))</f>
        <v/>
      </c>
      <c r="R236" s="37" t="str">
        <f aca="true">IF(AND(C236&lt;&gt;"",M236&lt;&gt;"Closed",L236&lt;&gt;"",L236&lt;TODAY()),"Overdue","")</f>
        <v/>
      </c>
      <c r="S236" s="40" t="str">
        <f aca="false">IF(AND(N236&lt;&gt;"",B236="Risk",M236&lt;&gt;"Closed"),N236+(1-ROW()/100000),"")</f>
        <v/>
      </c>
      <c r="T236" s="40" t="str">
        <f aca="false">IF(AND(S236&lt;&gt;"",A236='Project Summary'!$C$3),S236,"")</f>
        <v/>
      </c>
    </row>
    <row r="237" customFormat="false" ht="15" hidden="false" customHeight="false" outlineLevel="0" collapsed="false">
      <c r="A237" s="32"/>
      <c r="B237" s="32"/>
      <c r="C237" s="32"/>
      <c r="D237" s="33"/>
      <c r="E237" s="32"/>
      <c r="F237" s="32"/>
      <c r="G237" s="32"/>
      <c r="H237" s="32"/>
      <c r="I237" s="32"/>
      <c r="J237" s="33"/>
      <c r="K237" s="32"/>
      <c r="L237" s="35"/>
      <c r="M237" s="32"/>
      <c r="N237" s="37" t="str">
        <f aca="false">IF(OR(C237="",F237="",G237=""),"",MATCH(F237,lst_Likelihood,0)*MATCH(G237,lst_Consequence,0))</f>
        <v/>
      </c>
      <c r="O237" s="37" t="str">
        <f aca="false">IF(N237="","",IF(N237&gt;=16,"Critical",IF(N237&gt;=10,"High",IF(N237&gt;=5,"Medium","Low"))))</f>
        <v/>
      </c>
      <c r="P237" s="37" t="str">
        <f aca="false">IF(OR(C237="",H237="",I237=""),"",MATCH(H237,lst_Likelihood,0)*MATCH(I237,lst_Consequence,0))</f>
        <v/>
      </c>
      <c r="Q237" s="37" t="str">
        <f aca="false">IF(P237="","",IF(P237&gt;=16,"Critical",IF(P237&gt;=10,"High",IF(P237&gt;=5,"Medium","Low"))))</f>
        <v/>
      </c>
      <c r="R237" s="37" t="str">
        <f aca="true">IF(AND(C237&lt;&gt;"",M237&lt;&gt;"Closed",L237&lt;&gt;"",L237&lt;TODAY()),"Overdue","")</f>
        <v/>
      </c>
      <c r="S237" s="40" t="str">
        <f aca="false">IF(AND(N237&lt;&gt;"",B237="Risk",M237&lt;&gt;"Closed"),N237+(1-ROW()/100000),"")</f>
        <v/>
      </c>
      <c r="T237" s="40" t="str">
        <f aca="false">IF(AND(S237&lt;&gt;"",A237='Project Summary'!$C$3),S237,"")</f>
        <v/>
      </c>
    </row>
    <row r="238" customFormat="false" ht="15" hidden="false" customHeight="false" outlineLevel="0" collapsed="false">
      <c r="A238" s="32"/>
      <c r="B238" s="32"/>
      <c r="C238" s="32"/>
      <c r="D238" s="33"/>
      <c r="E238" s="32"/>
      <c r="F238" s="32"/>
      <c r="G238" s="32"/>
      <c r="H238" s="32"/>
      <c r="I238" s="32"/>
      <c r="J238" s="33"/>
      <c r="K238" s="32"/>
      <c r="L238" s="35"/>
      <c r="M238" s="32"/>
      <c r="N238" s="37" t="str">
        <f aca="false">IF(OR(C238="",F238="",G238=""),"",MATCH(F238,lst_Likelihood,0)*MATCH(G238,lst_Consequence,0))</f>
        <v/>
      </c>
      <c r="O238" s="37" t="str">
        <f aca="false">IF(N238="","",IF(N238&gt;=16,"Critical",IF(N238&gt;=10,"High",IF(N238&gt;=5,"Medium","Low"))))</f>
        <v/>
      </c>
      <c r="P238" s="37" t="str">
        <f aca="false">IF(OR(C238="",H238="",I238=""),"",MATCH(H238,lst_Likelihood,0)*MATCH(I238,lst_Consequence,0))</f>
        <v/>
      </c>
      <c r="Q238" s="37" t="str">
        <f aca="false">IF(P238="","",IF(P238&gt;=16,"Critical",IF(P238&gt;=10,"High",IF(P238&gt;=5,"Medium","Low"))))</f>
        <v/>
      </c>
      <c r="R238" s="37" t="str">
        <f aca="true">IF(AND(C238&lt;&gt;"",M238&lt;&gt;"Closed",L238&lt;&gt;"",L238&lt;TODAY()),"Overdue","")</f>
        <v/>
      </c>
      <c r="S238" s="40" t="str">
        <f aca="false">IF(AND(N238&lt;&gt;"",B238="Risk",M238&lt;&gt;"Closed"),N238+(1-ROW()/100000),"")</f>
        <v/>
      </c>
      <c r="T238" s="40" t="str">
        <f aca="false">IF(AND(S238&lt;&gt;"",A238='Project Summary'!$C$3),S238,"")</f>
        <v/>
      </c>
    </row>
    <row r="239" customFormat="false" ht="15" hidden="false" customHeight="false" outlineLevel="0" collapsed="false">
      <c r="A239" s="32"/>
      <c r="B239" s="32"/>
      <c r="C239" s="32"/>
      <c r="D239" s="33"/>
      <c r="E239" s="32"/>
      <c r="F239" s="32"/>
      <c r="G239" s="32"/>
      <c r="H239" s="32"/>
      <c r="I239" s="32"/>
      <c r="J239" s="33"/>
      <c r="K239" s="32"/>
      <c r="L239" s="35"/>
      <c r="M239" s="32"/>
      <c r="N239" s="37" t="str">
        <f aca="false">IF(OR(C239="",F239="",G239=""),"",MATCH(F239,lst_Likelihood,0)*MATCH(G239,lst_Consequence,0))</f>
        <v/>
      </c>
      <c r="O239" s="37" t="str">
        <f aca="false">IF(N239="","",IF(N239&gt;=16,"Critical",IF(N239&gt;=10,"High",IF(N239&gt;=5,"Medium","Low"))))</f>
        <v/>
      </c>
      <c r="P239" s="37" t="str">
        <f aca="false">IF(OR(C239="",H239="",I239=""),"",MATCH(H239,lst_Likelihood,0)*MATCH(I239,lst_Consequence,0))</f>
        <v/>
      </c>
      <c r="Q239" s="37" t="str">
        <f aca="false">IF(P239="","",IF(P239&gt;=16,"Critical",IF(P239&gt;=10,"High",IF(P239&gt;=5,"Medium","Low"))))</f>
        <v/>
      </c>
      <c r="R239" s="37" t="str">
        <f aca="true">IF(AND(C239&lt;&gt;"",M239&lt;&gt;"Closed",L239&lt;&gt;"",L239&lt;TODAY()),"Overdue","")</f>
        <v/>
      </c>
      <c r="S239" s="40" t="str">
        <f aca="false">IF(AND(N239&lt;&gt;"",B239="Risk",M239&lt;&gt;"Closed"),N239+(1-ROW()/100000),"")</f>
        <v/>
      </c>
      <c r="T239" s="40" t="str">
        <f aca="false">IF(AND(S239&lt;&gt;"",A239='Project Summary'!$C$3),S239,"")</f>
        <v/>
      </c>
    </row>
    <row r="240" customFormat="false" ht="15" hidden="false" customHeight="false" outlineLevel="0" collapsed="false">
      <c r="A240" s="32"/>
      <c r="B240" s="32"/>
      <c r="C240" s="32"/>
      <c r="D240" s="33"/>
      <c r="E240" s="32"/>
      <c r="F240" s="32"/>
      <c r="G240" s="32"/>
      <c r="H240" s="32"/>
      <c r="I240" s="32"/>
      <c r="J240" s="33"/>
      <c r="K240" s="32"/>
      <c r="L240" s="35"/>
      <c r="M240" s="32"/>
      <c r="N240" s="37" t="str">
        <f aca="false">IF(OR(C240="",F240="",G240=""),"",MATCH(F240,lst_Likelihood,0)*MATCH(G240,lst_Consequence,0))</f>
        <v/>
      </c>
      <c r="O240" s="37" t="str">
        <f aca="false">IF(N240="","",IF(N240&gt;=16,"Critical",IF(N240&gt;=10,"High",IF(N240&gt;=5,"Medium","Low"))))</f>
        <v/>
      </c>
      <c r="P240" s="37" t="str">
        <f aca="false">IF(OR(C240="",H240="",I240=""),"",MATCH(H240,lst_Likelihood,0)*MATCH(I240,lst_Consequence,0))</f>
        <v/>
      </c>
      <c r="Q240" s="37" t="str">
        <f aca="false">IF(P240="","",IF(P240&gt;=16,"Critical",IF(P240&gt;=10,"High",IF(P240&gt;=5,"Medium","Low"))))</f>
        <v/>
      </c>
      <c r="R240" s="37" t="str">
        <f aca="true">IF(AND(C240&lt;&gt;"",M240&lt;&gt;"Closed",L240&lt;&gt;"",L240&lt;TODAY()),"Overdue","")</f>
        <v/>
      </c>
      <c r="S240" s="40" t="str">
        <f aca="false">IF(AND(N240&lt;&gt;"",B240="Risk",M240&lt;&gt;"Closed"),N240+(1-ROW()/100000),"")</f>
        <v/>
      </c>
      <c r="T240" s="40" t="str">
        <f aca="false">IF(AND(S240&lt;&gt;"",A240='Project Summary'!$C$3),S240,"")</f>
        <v/>
      </c>
    </row>
    <row r="241" customFormat="false" ht="15" hidden="false" customHeight="false" outlineLevel="0" collapsed="false">
      <c r="A241" s="32"/>
      <c r="B241" s="32"/>
      <c r="C241" s="32"/>
      <c r="D241" s="33"/>
      <c r="E241" s="32"/>
      <c r="F241" s="32"/>
      <c r="G241" s="32"/>
      <c r="H241" s="32"/>
      <c r="I241" s="32"/>
      <c r="J241" s="33"/>
      <c r="K241" s="32"/>
      <c r="L241" s="35"/>
      <c r="M241" s="32"/>
      <c r="N241" s="37" t="str">
        <f aca="false">IF(OR(C241="",F241="",G241=""),"",MATCH(F241,lst_Likelihood,0)*MATCH(G241,lst_Consequence,0))</f>
        <v/>
      </c>
      <c r="O241" s="37" t="str">
        <f aca="false">IF(N241="","",IF(N241&gt;=16,"Critical",IF(N241&gt;=10,"High",IF(N241&gt;=5,"Medium","Low"))))</f>
        <v/>
      </c>
      <c r="P241" s="37" t="str">
        <f aca="false">IF(OR(C241="",H241="",I241=""),"",MATCH(H241,lst_Likelihood,0)*MATCH(I241,lst_Consequence,0))</f>
        <v/>
      </c>
      <c r="Q241" s="37" t="str">
        <f aca="false">IF(P241="","",IF(P241&gt;=16,"Critical",IF(P241&gt;=10,"High",IF(P241&gt;=5,"Medium","Low"))))</f>
        <v/>
      </c>
      <c r="R241" s="37" t="str">
        <f aca="true">IF(AND(C241&lt;&gt;"",M241&lt;&gt;"Closed",L241&lt;&gt;"",L241&lt;TODAY()),"Overdue","")</f>
        <v/>
      </c>
      <c r="S241" s="40" t="str">
        <f aca="false">IF(AND(N241&lt;&gt;"",B241="Risk",M241&lt;&gt;"Closed"),N241+(1-ROW()/100000),"")</f>
        <v/>
      </c>
      <c r="T241" s="40" t="str">
        <f aca="false">IF(AND(S241&lt;&gt;"",A241='Project Summary'!$C$3),S241,"")</f>
        <v/>
      </c>
    </row>
    <row r="242" customFormat="false" ht="15" hidden="false" customHeight="false" outlineLevel="0" collapsed="false">
      <c r="A242" s="32"/>
      <c r="B242" s="32"/>
      <c r="C242" s="32"/>
      <c r="D242" s="33"/>
      <c r="E242" s="32"/>
      <c r="F242" s="32"/>
      <c r="G242" s="32"/>
      <c r="H242" s="32"/>
      <c r="I242" s="32"/>
      <c r="J242" s="33"/>
      <c r="K242" s="32"/>
      <c r="L242" s="35"/>
      <c r="M242" s="32"/>
      <c r="N242" s="37" t="str">
        <f aca="false">IF(OR(C242="",F242="",G242=""),"",MATCH(F242,lst_Likelihood,0)*MATCH(G242,lst_Consequence,0))</f>
        <v/>
      </c>
      <c r="O242" s="37" t="str">
        <f aca="false">IF(N242="","",IF(N242&gt;=16,"Critical",IF(N242&gt;=10,"High",IF(N242&gt;=5,"Medium","Low"))))</f>
        <v/>
      </c>
      <c r="P242" s="37" t="str">
        <f aca="false">IF(OR(C242="",H242="",I242=""),"",MATCH(H242,lst_Likelihood,0)*MATCH(I242,lst_Consequence,0))</f>
        <v/>
      </c>
      <c r="Q242" s="37" t="str">
        <f aca="false">IF(P242="","",IF(P242&gt;=16,"Critical",IF(P242&gt;=10,"High",IF(P242&gt;=5,"Medium","Low"))))</f>
        <v/>
      </c>
      <c r="R242" s="37" t="str">
        <f aca="true">IF(AND(C242&lt;&gt;"",M242&lt;&gt;"Closed",L242&lt;&gt;"",L242&lt;TODAY()),"Overdue","")</f>
        <v/>
      </c>
      <c r="S242" s="40" t="str">
        <f aca="false">IF(AND(N242&lt;&gt;"",B242="Risk",M242&lt;&gt;"Closed"),N242+(1-ROW()/100000),"")</f>
        <v/>
      </c>
      <c r="T242" s="40" t="str">
        <f aca="false">IF(AND(S242&lt;&gt;"",A242='Project Summary'!$C$3),S242,"")</f>
        <v/>
      </c>
    </row>
    <row r="243" customFormat="false" ht="15" hidden="false" customHeight="false" outlineLevel="0" collapsed="false">
      <c r="A243" s="32"/>
      <c r="B243" s="32"/>
      <c r="C243" s="32"/>
      <c r="D243" s="33"/>
      <c r="E243" s="32"/>
      <c r="F243" s="32"/>
      <c r="G243" s="32"/>
      <c r="H243" s="32"/>
      <c r="I243" s="32"/>
      <c r="J243" s="33"/>
      <c r="K243" s="32"/>
      <c r="L243" s="35"/>
      <c r="M243" s="32"/>
      <c r="N243" s="37" t="str">
        <f aca="false">IF(OR(C243="",F243="",G243=""),"",MATCH(F243,lst_Likelihood,0)*MATCH(G243,lst_Consequence,0))</f>
        <v/>
      </c>
      <c r="O243" s="37" t="str">
        <f aca="false">IF(N243="","",IF(N243&gt;=16,"Critical",IF(N243&gt;=10,"High",IF(N243&gt;=5,"Medium","Low"))))</f>
        <v/>
      </c>
      <c r="P243" s="37" t="str">
        <f aca="false">IF(OR(C243="",H243="",I243=""),"",MATCH(H243,lst_Likelihood,0)*MATCH(I243,lst_Consequence,0))</f>
        <v/>
      </c>
      <c r="Q243" s="37" t="str">
        <f aca="false">IF(P243="","",IF(P243&gt;=16,"Critical",IF(P243&gt;=10,"High",IF(P243&gt;=5,"Medium","Low"))))</f>
        <v/>
      </c>
      <c r="R243" s="37" t="str">
        <f aca="true">IF(AND(C243&lt;&gt;"",M243&lt;&gt;"Closed",L243&lt;&gt;"",L243&lt;TODAY()),"Overdue","")</f>
        <v/>
      </c>
      <c r="S243" s="40" t="str">
        <f aca="false">IF(AND(N243&lt;&gt;"",B243="Risk",M243&lt;&gt;"Closed"),N243+(1-ROW()/100000),"")</f>
        <v/>
      </c>
      <c r="T243" s="40" t="str">
        <f aca="false">IF(AND(S243&lt;&gt;"",A243='Project Summary'!$C$3),S243,"")</f>
        <v/>
      </c>
    </row>
    <row r="244" customFormat="false" ht="15" hidden="false" customHeight="false" outlineLevel="0" collapsed="false">
      <c r="A244" s="32"/>
      <c r="B244" s="32"/>
      <c r="C244" s="32"/>
      <c r="D244" s="33"/>
      <c r="E244" s="32"/>
      <c r="F244" s="32"/>
      <c r="G244" s="32"/>
      <c r="H244" s="32"/>
      <c r="I244" s="32"/>
      <c r="J244" s="33"/>
      <c r="K244" s="32"/>
      <c r="L244" s="35"/>
      <c r="M244" s="32"/>
      <c r="N244" s="37" t="str">
        <f aca="false">IF(OR(C244="",F244="",G244=""),"",MATCH(F244,lst_Likelihood,0)*MATCH(G244,lst_Consequence,0))</f>
        <v/>
      </c>
      <c r="O244" s="37" t="str">
        <f aca="false">IF(N244="","",IF(N244&gt;=16,"Critical",IF(N244&gt;=10,"High",IF(N244&gt;=5,"Medium","Low"))))</f>
        <v/>
      </c>
      <c r="P244" s="37" t="str">
        <f aca="false">IF(OR(C244="",H244="",I244=""),"",MATCH(H244,lst_Likelihood,0)*MATCH(I244,lst_Consequence,0))</f>
        <v/>
      </c>
      <c r="Q244" s="37" t="str">
        <f aca="false">IF(P244="","",IF(P244&gt;=16,"Critical",IF(P244&gt;=10,"High",IF(P244&gt;=5,"Medium","Low"))))</f>
        <v/>
      </c>
      <c r="R244" s="37" t="str">
        <f aca="true">IF(AND(C244&lt;&gt;"",M244&lt;&gt;"Closed",L244&lt;&gt;"",L244&lt;TODAY()),"Overdue","")</f>
        <v/>
      </c>
      <c r="S244" s="40" t="str">
        <f aca="false">IF(AND(N244&lt;&gt;"",B244="Risk",M244&lt;&gt;"Closed"),N244+(1-ROW()/100000),"")</f>
        <v/>
      </c>
      <c r="T244" s="40" t="str">
        <f aca="false">IF(AND(S244&lt;&gt;"",A244='Project Summary'!$C$3),S244,"")</f>
        <v/>
      </c>
    </row>
    <row r="245" customFormat="false" ht="15" hidden="false" customHeight="false" outlineLevel="0" collapsed="false">
      <c r="A245" s="32"/>
      <c r="B245" s="32"/>
      <c r="C245" s="32"/>
      <c r="D245" s="33"/>
      <c r="E245" s="32"/>
      <c r="F245" s="32"/>
      <c r="G245" s="32"/>
      <c r="H245" s="32"/>
      <c r="I245" s="32"/>
      <c r="J245" s="33"/>
      <c r="K245" s="32"/>
      <c r="L245" s="35"/>
      <c r="M245" s="32"/>
      <c r="N245" s="37" t="str">
        <f aca="false">IF(OR(C245="",F245="",G245=""),"",MATCH(F245,lst_Likelihood,0)*MATCH(G245,lst_Consequence,0))</f>
        <v/>
      </c>
      <c r="O245" s="37" t="str">
        <f aca="false">IF(N245="","",IF(N245&gt;=16,"Critical",IF(N245&gt;=10,"High",IF(N245&gt;=5,"Medium","Low"))))</f>
        <v/>
      </c>
      <c r="P245" s="37" t="str">
        <f aca="false">IF(OR(C245="",H245="",I245=""),"",MATCH(H245,lst_Likelihood,0)*MATCH(I245,lst_Consequence,0))</f>
        <v/>
      </c>
      <c r="Q245" s="37" t="str">
        <f aca="false">IF(P245="","",IF(P245&gt;=16,"Critical",IF(P245&gt;=10,"High",IF(P245&gt;=5,"Medium","Low"))))</f>
        <v/>
      </c>
      <c r="R245" s="37" t="str">
        <f aca="true">IF(AND(C245&lt;&gt;"",M245&lt;&gt;"Closed",L245&lt;&gt;"",L245&lt;TODAY()),"Overdue","")</f>
        <v/>
      </c>
      <c r="S245" s="40" t="str">
        <f aca="false">IF(AND(N245&lt;&gt;"",B245="Risk",M245&lt;&gt;"Closed"),N245+(1-ROW()/100000),"")</f>
        <v/>
      </c>
      <c r="T245" s="40" t="str">
        <f aca="false">IF(AND(S245&lt;&gt;"",A245='Project Summary'!$C$3),S245,"")</f>
        <v/>
      </c>
    </row>
    <row r="246" customFormat="false" ht="15" hidden="false" customHeight="false" outlineLevel="0" collapsed="false">
      <c r="A246" s="32"/>
      <c r="B246" s="32"/>
      <c r="C246" s="32"/>
      <c r="D246" s="33"/>
      <c r="E246" s="32"/>
      <c r="F246" s="32"/>
      <c r="G246" s="32"/>
      <c r="H246" s="32"/>
      <c r="I246" s="32"/>
      <c r="J246" s="33"/>
      <c r="K246" s="32"/>
      <c r="L246" s="35"/>
      <c r="M246" s="32"/>
      <c r="N246" s="37" t="str">
        <f aca="false">IF(OR(C246="",F246="",G246=""),"",MATCH(F246,lst_Likelihood,0)*MATCH(G246,lst_Consequence,0))</f>
        <v/>
      </c>
      <c r="O246" s="37" t="str">
        <f aca="false">IF(N246="","",IF(N246&gt;=16,"Critical",IF(N246&gt;=10,"High",IF(N246&gt;=5,"Medium","Low"))))</f>
        <v/>
      </c>
      <c r="P246" s="37" t="str">
        <f aca="false">IF(OR(C246="",H246="",I246=""),"",MATCH(H246,lst_Likelihood,0)*MATCH(I246,lst_Consequence,0))</f>
        <v/>
      </c>
      <c r="Q246" s="37" t="str">
        <f aca="false">IF(P246="","",IF(P246&gt;=16,"Critical",IF(P246&gt;=10,"High",IF(P246&gt;=5,"Medium","Low"))))</f>
        <v/>
      </c>
      <c r="R246" s="37" t="str">
        <f aca="true">IF(AND(C246&lt;&gt;"",M246&lt;&gt;"Closed",L246&lt;&gt;"",L246&lt;TODAY()),"Overdue","")</f>
        <v/>
      </c>
      <c r="S246" s="40" t="str">
        <f aca="false">IF(AND(N246&lt;&gt;"",B246="Risk",M246&lt;&gt;"Closed"),N246+(1-ROW()/100000),"")</f>
        <v/>
      </c>
      <c r="T246" s="40" t="str">
        <f aca="false">IF(AND(S246&lt;&gt;"",A246='Project Summary'!$C$3),S246,"")</f>
        <v/>
      </c>
    </row>
    <row r="247" customFormat="false" ht="15" hidden="false" customHeight="false" outlineLevel="0" collapsed="false">
      <c r="A247" s="32"/>
      <c r="B247" s="32"/>
      <c r="C247" s="32"/>
      <c r="D247" s="33"/>
      <c r="E247" s="32"/>
      <c r="F247" s="32"/>
      <c r="G247" s="32"/>
      <c r="H247" s="32"/>
      <c r="I247" s="32"/>
      <c r="J247" s="33"/>
      <c r="K247" s="32"/>
      <c r="L247" s="35"/>
      <c r="M247" s="32"/>
      <c r="N247" s="37" t="str">
        <f aca="false">IF(OR(C247="",F247="",G247=""),"",MATCH(F247,lst_Likelihood,0)*MATCH(G247,lst_Consequence,0))</f>
        <v/>
      </c>
      <c r="O247" s="37" t="str">
        <f aca="false">IF(N247="","",IF(N247&gt;=16,"Critical",IF(N247&gt;=10,"High",IF(N247&gt;=5,"Medium","Low"))))</f>
        <v/>
      </c>
      <c r="P247" s="37" t="str">
        <f aca="false">IF(OR(C247="",H247="",I247=""),"",MATCH(H247,lst_Likelihood,0)*MATCH(I247,lst_Consequence,0))</f>
        <v/>
      </c>
      <c r="Q247" s="37" t="str">
        <f aca="false">IF(P247="","",IF(P247&gt;=16,"Critical",IF(P247&gt;=10,"High",IF(P247&gt;=5,"Medium","Low"))))</f>
        <v/>
      </c>
      <c r="R247" s="37" t="str">
        <f aca="true">IF(AND(C247&lt;&gt;"",M247&lt;&gt;"Closed",L247&lt;&gt;"",L247&lt;TODAY()),"Overdue","")</f>
        <v/>
      </c>
      <c r="S247" s="40" t="str">
        <f aca="false">IF(AND(N247&lt;&gt;"",B247="Risk",M247&lt;&gt;"Closed"),N247+(1-ROW()/100000),"")</f>
        <v/>
      </c>
      <c r="T247" s="40" t="str">
        <f aca="false">IF(AND(S247&lt;&gt;"",A247='Project Summary'!$C$3),S247,"")</f>
        <v/>
      </c>
    </row>
    <row r="248" customFormat="false" ht="15" hidden="false" customHeight="false" outlineLevel="0" collapsed="false">
      <c r="A248" s="32"/>
      <c r="B248" s="32"/>
      <c r="C248" s="32"/>
      <c r="D248" s="33"/>
      <c r="E248" s="32"/>
      <c r="F248" s="32"/>
      <c r="G248" s="32"/>
      <c r="H248" s="32"/>
      <c r="I248" s="32"/>
      <c r="J248" s="33"/>
      <c r="K248" s="32"/>
      <c r="L248" s="35"/>
      <c r="M248" s="32"/>
      <c r="N248" s="37" t="str">
        <f aca="false">IF(OR(C248="",F248="",G248=""),"",MATCH(F248,lst_Likelihood,0)*MATCH(G248,lst_Consequence,0))</f>
        <v/>
      </c>
      <c r="O248" s="37" t="str">
        <f aca="false">IF(N248="","",IF(N248&gt;=16,"Critical",IF(N248&gt;=10,"High",IF(N248&gt;=5,"Medium","Low"))))</f>
        <v/>
      </c>
      <c r="P248" s="37" t="str">
        <f aca="false">IF(OR(C248="",H248="",I248=""),"",MATCH(H248,lst_Likelihood,0)*MATCH(I248,lst_Consequence,0))</f>
        <v/>
      </c>
      <c r="Q248" s="37" t="str">
        <f aca="false">IF(P248="","",IF(P248&gt;=16,"Critical",IF(P248&gt;=10,"High",IF(P248&gt;=5,"Medium","Low"))))</f>
        <v/>
      </c>
      <c r="R248" s="37" t="str">
        <f aca="true">IF(AND(C248&lt;&gt;"",M248&lt;&gt;"Closed",L248&lt;&gt;"",L248&lt;TODAY()),"Overdue","")</f>
        <v/>
      </c>
      <c r="S248" s="40" t="str">
        <f aca="false">IF(AND(N248&lt;&gt;"",B248="Risk",M248&lt;&gt;"Closed"),N248+(1-ROW()/100000),"")</f>
        <v/>
      </c>
      <c r="T248" s="40" t="str">
        <f aca="false">IF(AND(S248&lt;&gt;"",A248='Project Summary'!$C$3),S248,"")</f>
        <v/>
      </c>
    </row>
    <row r="249" customFormat="false" ht="15" hidden="false" customHeight="false" outlineLevel="0" collapsed="false">
      <c r="A249" s="32"/>
      <c r="B249" s="32"/>
      <c r="C249" s="32"/>
      <c r="D249" s="33"/>
      <c r="E249" s="32"/>
      <c r="F249" s="32"/>
      <c r="G249" s="32"/>
      <c r="H249" s="32"/>
      <c r="I249" s="32"/>
      <c r="J249" s="33"/>
      <c r="K249" s="32"/>
      <c r="L249" s="35"/>
      <c r="M249" s="32"/>
      <c r="N249" s="37" t="str">
        <f aca="false">IF(OR(C249="",F249="",G249=""),"",MATCH(F249,lst_Likelihood,0)*MATCH(G249,lst_Consequence,0))</f>
        <v/>
      </c>
      <c r="O249" s="37" t="str">
        <f aca="false">IF(N249="","",IF(N249&gt;=16,"Critical",IF(N249&gt;=10,"High",IF(N249&gt;=5,"Medium","Low"))))</f>
        <v/>
      </c>
      <c r="P249" s="37" t="str">
        <f aca="false">IF(OR(C249="",H249="",I249=""),"",MATCH(H249,lst_Likelihood,0)*MATCH(I249,lst_Consequence,0))</f>
        <v/>
      </c>
      <c r="Q249" s="37" t="str">
        <f aca="false">IF(P249="","",IF(P249&gt;=16,"Critical",IF(P249&gt;=10,"High",IF(P249&gt;=5,"Medium","Low"))))</f>
        <v/>
      </c>
      <c r="R249" s="37" t="str">
        <f aca="true">IF(AND(C249&lt;&gt;"",M249&lt;&gt;"Closed",L249&lt;&gt;"",L249&lt;TODAY()),"Overdue","")</f>
        <v/>
      </c>
      <c r="S249" s="40" t="str">
        <f aca="false">IF(AND(N249&lt;&gt;"",B249="Risk",M249&lt;&gt;"Closed"),N249+(1-ROW()/100000),"")</f>
        <v/>
      </c>
      <c r="T249" s="40" t="str">
        <f aca="false">IF(AND(S249&lt;&gt;"",A249='Project Summary'!$C$3),S249,"")</f>
        <v/>
      </c>
    </row>
    <row r="250" customFormat="false" ht="15" hidden="false" customHeight="false" outlineLevel="0" collapsed="false">
      <c r="A250" s="32"/>
      <c r="B250" s="32"/>
      <c r="C250" s="32"/>
      <c r="D250" s="33"/>
      <c r="E250" s="32"/>
      <c r="F250" s="32"/>
      <c r="G250" s="32"/>
      <c r="H250" s="32"/>
      <c r="I250" s="32"/>
      <c r="J250" s="33"/>
      <c r="K250" s="32"/>
      <c r="L250" s="35"/>
      <c r="M250" s="32"/>
      <c r="N250" s="37" t="str">
        <f aca="false">IF(OR(C250="",F250="",G250=""),"",MATCH(F250,lst_Likelihood,0)*MATCH(G250,lst_Consequence,0))</f>
        <v/>
      </c>
      <c r="O250" s="37" t="str">
        <f aca="false">IF(N250="","",IF(N250&gt;=16,"Critical",IF(N250&gt;=10,"High",IF(N250&gt;=5,"Medium","Low"))))</f>
        <v/>
      </c>
      <c r="P250" s="37" t="str">
        <f aca="false">IF(OR(C250="",H250="",I250=""),"",MATCH(H250,lst_Likelihood,0)*MATCH(I250,lst_Consequence,0))</f>
        <v/>
      </c>
      <c r="Q250" s="37" t="str">
        <f aca="false">IF(P250="","",IF(P250&gt;=16,"Critical",IF(P250&gt;=10,"High",IF(P250&gt;=5,"Medium","Low"))))</f>
        <v/>
      </c>
      <c r="R250" s="37" t="str">
        <f aca="true">IF(AND(C250&lt;&gt;"",M250&lt;&gt;"Closed",L250&lt;&gt;"",L250&lt;TODAY()),"Overdue","")</f>
        <v/>
      </c>
      <c r="S250" s="40" t="str">
        <f aca="false">IF(AND(N250&lt;&gt;"",B250="Risk",M250&lt;&gt;"Closed"),N250+(1-ROW()/100000),"")</f>
        <v/>
      </c>
      <c r="T250" s="40" t="str">
        <f aca="false">IF(AND(S250&lt;&gt;"",A250='Project Summary'!$C$3),S250,"")</f>
        <v/>
      </c>
    </row>
    <row r="251" customFormat="false" ht="15" hidden="false" customHeight="false" outlineLevel="0" collapsed="false">
      <c r="A251" s="32"/>
      <c r="B251" s="32"/>
      <c r="C251" s="32"/>
      <c r="D251" s="33"/>
      <c r="E251" s="32"/>
      <c r="F251" s="32"/>
      <c r="G251" s="32"/>
      <c r="H251" s="32"/>
      <c r="I251" s="32"/>
      <c r="J251" s="33"/>
      <c r="K251" s="32"/>
      <c r="L251" s="35"/>
      <c r="M251" s="32"/>
      <c r="N251" s="37" t="str">
        <f aca="false">IF(OR(C251="",F251="",G251=""),"",MATCH(F251,lst_Likelihood,0)*MATCH(G251,lst_Consequence,0))</f>
        <v/>
      </c>
      <c r="O251" s="37" t="str">
        <f aca="false">IF(N251="","",IF(N251&gt;=16,"Critical",IF(N251&gt;=10,"High",IF(N251&gt;=5,"Medium","Low"))))</f>
        <v/>
      </c>
      <c r="P251" s="37" t="str">
        <f aca="false">IF(OR(C251="",H251="",I251=""),"",MATCH(H251,lst_Likelihood,0)*MATCH(I251,lst_Consequence,0))</f>
        <v/>
      </c>
      <c r="Q251" s="37" t="str">
        <f aca="false">IF(P251="","",IF(P251&gt;=16,"Critical",IF(P251&gt;=10,"High",IF(P251&gt;=5,"Medium","Low"))))</f>
        <v/>
      </c>
      <c r="R251" s="37" t="str">
        <f aca="true">IF(AND(C251&lt;&gt;"",M251&lt;&gt;"Closed",L251&lt;&gt;"",L251&lt;TODAY()),"Overdue","")</f>
        <v/>
      </c>
      <c r="S251" s="40" t="str">
        <f aca="false">IF(AND(N251&lt;&gt;"",B251="Risk",M251&lt;&gt;"Closed"),N251+(1-ROW()/100000),"")</f>
        <v/>
      </c>
      <c r="T251" s="40" t="str">
        <f aca="false">IF(AND(S251&lt;&gt;"",A251='Project Summary'!$C$3),S251,"")</f>
        <v/>
      </c>
    </row>
    <row r="252" customFormat="false" ht="15" hidden="false" customHeight="false" outlineLevel="0" collapsed="false">
      <c r="A252" s="32"/>
      <c r="B252" s="32"/>
      <c r="C252" s="32"/>
      <c r="D252" s="33"/>
      <c r="E252" s="32"/>
      <c r="F252" s="32"/>
      <c r="G252" s="32"/>
      <c r="H252" s="32"/>
      <c r="I252" s="32"/>
      <c r="J252" s="33"/>
      <c r="K252" s="32"/>
      <c r="L252" s="35"/>
      <c r="M252" s="32"/>
      <c r="N252" s="37" t="str">
        <f aca="false">IF(OR(C252="",F252="",G252=""),"",MATCH(F252,lst_Likelihood,0)*MATCH(G252,lst_Consequence,0))</f>
        <v/>
      </c>
      <c r="O252" s="37" t="str">
        <f aca="false">IF(N252="","",IF(N252&gt;=16,"Critical",IF(N252&gt;=10,"High",IF(N252&gt;=5,"Medium","Low"))))</f>
        <v/>
      </c>
      <c r="P252" s="37" t="str">
        <f aca="false">IF(OR(C252="",H252="",I252=""),"",MATCH(H252,lst_Likelihood,0)*MATCH(I252,lst_Consequence,0))</f>
        <v/>
      </c>
      <c r="Q252" s="37" t="str">
        <f aca="false">IF(P252="","",IF(P252&gt;=16,"Critical",IF(P252&gt;=10,"High",IF(P252&gt;=5,"Medium","Low"))))</f>
        <v/>
      </c>
      <c r="R252" s="37" t="str">
        <f aca="true">IF(AND(C252&lt;&gt;"",M252&lt;&gt;"Closed",L252&lt;&gt;"",L252&lt;TODAY()),"Overdue","")</f>
        <v/>
      </c>
      <c r="S252" s="40" t="str">
        <f aca="false">IF(AND(N252&lt;&gt;"",B252="Risk",M252&lt;&gt;"Closed"),N252+(1-ROW()/100000),"")</f>
        <v/>
      </c>
      <c r="T252" s="40" t="str">
        <f aca="false">IF(AND(S252&lt;&gt;"",A252='Project Summary'!$C$3),S252,"")</f>
        <v/>
      </c>
    </row>
    <row r="253" customFormat="false" ht="15" hidden="false" customHeight="false" outlineLevel="0" collapsed="false">
      <c r="A253" s="32"/>
      <c r="B253" s="32"/>
      <c r="C253" s="32"/>
      <c r="D253" s="33"/>
      <c r="E253" s="32"/>
      <c r="F253" s="32"/>
      <c r="G253" s="32"/>
      <c r="H253" s="32"/>
      <c r="I253" s="32"/>
      <c r="J253" s="33"/>
      <c r="K253" s="32"/>
      <c r="L253" s="35"/>
      <c r="M253" s="32"/>
      <c r="N253" s="37" t="str">
        <f aca="false">IF(OR(C253="",F253="",G253=""),"",MATCH(F253,lst_Likelihood,0)*MATCH(G253,lst_Consequence,0))</f>
        <v/>
      </c>
      <c r="O253" s="37" t="str">
        <f aca="false">IF(N253="","",IF(N253&gt;=16,"Critical",IF(N253&gt;=10,"High",IF(N253&gt;=5,"Medium","Low"))))</f>
        <v/>
      </c>
      <c r="P253" s="37" t="str">
        <f aca="false">IF(OR(C253="",H253="",I253=""),"",MATCH(H253,lst_Likelihood,0)*MATCH(I253,lst_Consequence,0))</f>
        <v/>
      </c>
      <c r="Q253" s="37" t="str">
        <f aca="false">IF(P253="","",IF(P253&gt;=16,"Critical",IF(P253&gt;=10,"High",IF(P253&gt;=5,"Medium","Low"))))</f>
        <v/>
      </c>
      <c r="R253" s="37" t="str">
        <f aca="true">IF(AND(C253&lt;&gt;"",M253&lt;&gt;"Closed",L253&lt;&gt;"",L253&lt;TODAY()),"Overdue","")</f>
        <v/>
      </c>
      <c r="S253" s="40" t="str">
        <f aca="false">IF(AND(N253&lt;&gt;"",B253="Risk",M253&lt;&gt;"Closed"),N253+(1-ROW()/100000),"")</f>
        <v/>
      </c>
      <c r="T253" s="40" t="str">
        <f aca="false">IF(AND(S253&lt;&gt;"",A253='Project Summary'!$C$3),S253,"")</f>
        <v/>
      </c>
    </row>
    <row r="254" customFormat="false" ht="15" hidden="false" customHeight="false" outlineLevel="0" collapsed="false">
      <c r="A254" s="32"/>
      <c r="B254" s="32"/>
      <c r="C254" s="32"/>
      <c r="D254" s="33"/>
      <c r="E254" s="32"/>
      <c r="F254" s="32"/>
      <c r="G254" s="32"/>
      <c r="H254" s="32"/>
      <c r="I254" s="32"/>
      <c r="J254" s="33"/>
      <c r="K254" s="32"/>
      <c r="L254" s="35"/>
      <c r="M254" s="32"/>
      <c r="N254" s="37" t="str">
        <f aca="false">IF(OR(C254="",F254="",G254=""),"",MATCH(F254,lst_Likelihood,0)*MATCH(G254,lst_Consequence,0))</f>
        <v/>
      </c>
      <c r="O254" s="37" t="str">
        <f aca="false">IF(N254="","",IF(N254&gt;=16,"Critical",IF(N254&gt;=10,"High",IF(N254&gt;=5,"Medium","Low"))))</f>
        <v/>
      </c>
      <c r="P254" s="37" t="str">
        <f aca="false">IF(OR(C254="",H254="",I254=""),"",MATCH(H254,lst_Likelihood,0)*MATCH(I254,lst_Consequence,0))</f>
        <v/>
      </c>
      <c r="Q254" s="37" t="str">
        <f aca="false">IF(P254="","",IF(P254&gt;=16,"Critical",IF(P254&gt;=10,"High",IF(P254&gt;=5,"Medium","Low"))))</f>
        <v/>
      </c>
      <c r="R254" s="37" t="str">
        <f aca="true">IF(AND(C254&lt;&gt;"",M254&lt;&gt;"Closed",L254&lt;&gt;"",L254&lt;TODAY()),"Overdue","")</f>
        <v/>
      </c>
      <c r="S254" s="40" t="str">
        <f aca="false">IF(AND(N254&lt;&gt;"",B254="Risk",M254&lt;&gt;"Closed"),N254+(1-ROW()/100000),"")</f>
        <v/>
      </c>
      <c r="T254" s="40" t="str">
        <f aca="false">IF(AND(S254&lt;&gt;"",A254='Project Summary'!$C$3),S254,"")</f>
        <v/>
      </c>
    </row>
    <row r="255" customFormat="false" ht="15" hidden="false" customHeight="false" outlineLevel="0" collapsed="false">
      <c r="A255" s="32"/>
      <c r="B255" s="32"/>
      <c r="C255" s="32"/>
      <c r="D255" s="33"/>
      <c r="E255" s="32"/>
      <c r="F255" s="32"/>
      <c r="G255" s="32"/>
      <c r="H255" s="32"/>
      <c r="I255" s="32"/>
      <c r="J255" s="33"/>
      <c r="K255" s="32"/>
      <c r="L255" s="35"/>
      <c r="M255" s="32"/>
      <c r="N255" s="37" t="str">
        <f aca="false">IF(OR(C255="",F255="",G255=""),"",MATCH(F255,lst_Likelihood,0)*MATCH(G255,lst_Consequence,0))</f>
        <v/>
      </c>
      <c r="O255" s="37" t="str">
        <f aca="false">IF(N255="","",IF(N255&gt;=16,"Critical",IF(N255&gt;=10,"High",IF(N255&gt;=5,"Medium","Low"))))</f>
        <v/>
      </c>
      <c r="P255" s="37" t="str">
        <f aca="false">IF(OR(C255="",H255="",I255=""),"",MATCH(H255,lst_Likelihood,0)*MATCH(I255,lst_Consequence,0))</f>
        <v/>
      </c>
      <c r="Q255" s="37" t="str">
        <f aca="false">IF(P255="","",IF(P255&gt;=16,"Critical",IF(P255&gt;=10,"High",IF(P255&gt;=5,"Medium","Low"))))</f>
        <v/>
      </c>
      <c r="R255" s="37" t="str">
        <f aca="true">IF(AND(C255&lt;&gt;"",M255&lt;&gt;"Closed",L255&lt;&gt;"",L255&lt;TODAY()),"Overdue","")</f>
        <v/>
      </c>
      <c r="S255" s="40" t="str">
        <f aca="false">IF(AND(N255&lt;&gt;"",B255="Risk",M255&lt;&gt;"Closed"),N255+(1-ROW()/100000),"")</f>
        <v/>
      </c>
      <c r="T255" s="40" t="str">
        <f aca="false">IF(AND(S255&lt;&gt;"",A255='Project Summary'!$C$3),S255,"")</f>
        <v/>
      </c>
    </row>
    <row r="256" customFormat="false" ht="15" hidden="false" customHeight="false" outlineLevel="0" collapsed="false">
      <c r="A256" s="32"/>
      <c r="B256" s="32"/>
      <c r="C256" s="32"/>
      <c r="D256" s="33"/>
      <c r="E256" s="32"/>
      <c r="F256" s="32"/>
      <c r="G256" s="32"/>
      <c r="H256" s="32"/>
      <c r="I256" s="32"/>
      <c r="J256" s="33"/>
      <c r="K256" s="32"/>
      <c r="L256" s="35"/>
      <c r="M256" s="32"/>
      <c r="N256" s="37" t="str">
        <f aca="false">IF(OR(C256="",F256="",G256=""),"",MATCH(F256,lst_Likelihood,0)*MATCH(G256,lst_Consequence,0))</f>
        <v/>
      </c>
      <c r="O256" s="37" t="str">
        <f aca="false">IF(N256="","",IF(N256&gt;=16,"Critical",IF(N256&gt;=10,"High",IF(N256&gt;=5,"Medium","Low"))))</f>
        <v/>
      </c>
      <c r="P256" s="37" t="str">
        <f aca="false">IF(OR(C256="",H256="",I256=""),"",MATCH(H256,lst_Likelihood,0)*MATCH(I256,lst_Consequence,0))</f>
        <v/>
      </c>
      <c r="Q256" s="37" t="str">
        <f aca="false">IF(P256="","",IF(P256&gt;=16,"Critical",IF(P256&gt;=10,"High",IF(P256&gt;=5,"Medium","Low"))))</f>
        <v/>
      </c>
      <c r="R256" s="37" t="str">
        <f aca="true">IF(AND(C256&lt;&gt;"",M256&lt;&gt;"Closed",L256&lt;&gt;"",L256&lt;TODAY()),"Overdue","")</f>
        <v/>
      </c>
      <c r="S256" s="40" t="str">
        <f aca="false">IF(AND(N256&lt;&gt;"",B256="Risk",M256&lt;&gt;"Closed"),N256+(1-ROW()/100000),"")</f>
        <v/>
      </c>
      <c r="T256" s="40" t="str">
        <f aca="false">IF(AND(S256&lt;&gt;"",A256='Project Summary'!$C$3),S256,"")</f>
        <v/>
      </c>
    </row>
    <row r="257" customFormat="false" ht="15" hidden="false" customHeight="false" outlineLevel="0" collapsed="false">
      <c r="A257" s="32"/>
      <c r="B257" s="32"/>
      <c r="C257" s="32"/>
      <c r="D257" s="33"/>
      <c r="E257" s="32"/>
      <c r="F257" s="32"/>
      <c r="G257" s="32"/>
      <c r="H257" s="32"/>
      <c r="I257" s="32"/>
      <c r="J257" s="33"/>
      <c r="K257" s="32"/>
      <c r="L257" s="35"/>
      <c r="M257" s="32"/>
      <c r="N257" s="37" t="str">
        <f aca="false">IF(OR(C257="",F257="",G257=""),"",MATCH(F257,lst_Likelihood,0)*MATCH(G257,lst_Consequence,0))</f>
        <v/>
      </c>
      <c r="O257" s="37" t="str">
        <f aca="false">IF(N257="","",IF(N257&gt;=16,"Critical",IF(N257&gt;=10,"High",IF(N257&gt;=5,"Medium","Low"))))</f>
        <v/>
      </c>
      <c r="P257" s="37" t="str">
        <f aca="false">IF(OR(C257="",H257="",I257=""),"",MATCH(H257,lst_Likelihood,0)*MATCH(I257,lst_Consequence,0))</f>
        <v/>
      </c>
      <c r="Q257" s="37" t="str">
        <f aca="false">IF(P257="","",IF(P257&gt;=16,"Critical",IF(P257&gt;=10,"High",IF(P257&gt;=5,"Medium","Low"))))</f>
        <v/>
      </c>
      <c r="R257" s="37" t="str">
        <f aca="true">IF(AND(C257&lt;&gt;"",M257&lt;&gt;"Closed",L257&lt;&gt;"",L257&lt;TODAY()),"Overdue","")</f>
        <v/>
      </c>
      <c r="S257" s="40" t="str">
        <f aca="false">IF(AND(N257&lt;&gt;"",B257="Risk",M257&lt;&gt;"Closed"),N257+(1-ROW()/100000),"")</f>
        <v/>
      </c>
      <c r="T257" s="40" t="str">
        <f aca="false">IF(AND(S257&lt;&gt;"",A257='Project Summary'!$C$3),S257,"")</f>
        <v/>
      </c>
    </row>
    <row r="258" customFormat="false" ht="15" hidden="false" customHeight="false" outlineLevel="0" collapsed="false">
      <c r="A258" s="32"/>
      <c r="B258" s="32"/>
      <c r="C258" s="32"/>
      <c r="D258" s="33"/>
      <c r="E258" s="32"/>
      <c r="F258" s="32"/>
      <c r="G258" s="32"/>
      <c r="H258" s="32"/>
      <c r="I258" s="32"/>
      <c r="J258" s="33"/>
      <c r="K258" s="32"/>
      <c r="L258" s="35"/>
      <c r="M258" s="32"/>
      <c r="N258" s="37" t="str">
        <f aca="false">IF(OR(C258="",F258="",G258=""),"",MATCH(F258,lst_Likelihood,0)*MATCH(G258,lst_Consequence,0))</f>
        <v/>
      </c>
      <c r="O258" s="37" t="str">
        <f aca="false">IF(N258="","",IF(N258&gt;=16,"Critical",IF(N258&gt;=10,"High",IF(N258&gt;=5,"Medium","Low"))))</f>
        <v/>
      </c>
      <c r="P258" s="37" t="str">
        <f aca="false">IF(OR(C258="",H258="",I258=""),"",MATCH(H258,lst_Likelihood,0)*MATCH(I258,lst_Consequence,0))</f>
        <v/>
      </c>
      <c r="Q258" s="37" t="str">
        <f aca="false">IF(P258="","",IF(P258&gt;=16,"Critical",IF(P258&gt;=10,"High",IF(P258&gt;=5,"Medium","Low"))))</f>
        <v/>
      </c>
      <c r="R258" s="37" t="str">
        <f aca="true">IF(AND(C258&lt;&gt;"",M258&lt;&gt;"Closed",L258&lt;&gt;"",L258&lt;TODAY()),"Overdue","")</f>
        <v/>
      </c>
      <c r="S258" s="40" t="str">
        <f aca="false">IF(AND(N258&lt;&gt;"",B258="Risk",M258&lt;&gt;"Closed"),N258+(1-ROW()/100000),"")</f>
        <v/>
      </c>
      <c r="T258" s="40" t="str">
        <f aca="false">IF(AND(S258&lt;&gt;"",A258='Project Summary'!$C$3),S258,"")</f>
        <v/>
      </c>
    </row>
    <row r="259" customFormat="false" ht="15" hidden="false" customHeight="false" outlineLevel="0" collapsed="false">
      <c r="A259" s="32"/>
      <c r="B259" s="32"/>
      <c r="C259" s="32"/>
      <c r="D259" s="33"/>
      <c r="E259" s="32"/>
      <c r="F259" s="32"/>
      <c r="G259" s="32"/>
      <c r="H259" s="32"/>
      <c r="I259" s="32"/>
      <c r="J259" s="33"/>
      <c r="K259" s="32"/>
      <c r="L259" s="35"/>
      <c r="M259" s="32"/>
      <c r="N259" s="37" t="str">
        <f aca="false">IF(OR(C259="",F259="",G259=""),"",MATCH(F259,lst_Likelihood,0)*MATCH(G259,lst_Consequence,0))</f>
        <v/>
      </c>
      <c r="O259" s="37" t="str">
        <f aca="false">IF(N259="","",IF(N259&gt;=16,"Critical",IF(N259&gt;=10,"High",IF(N259&gt;=5,"Medium","Low"))))</f>
        <v/>
      </c>
      <c r="P259" s="37" t="str">
        <f aca="false">IF(OR(C259="",H259="",I259=""),"",MATCH(H259,lst_Likelihood,0)*MATCH(I259,lst_Consequence,0))</f>
        <v/>
      </c>
      <c r="Q259" s="37" t="str">
        <f aca="false">IF(P259="","",IF(P259&gt;=16,"Critical",IF(P259&gt;=10,"High",IF(P259&gt;=5,"Medium","Low"))))</f>
        <v/>
      </c>
      <c r="R259" s="37" t="str">
        <f aca="true">IF(AND(C259&lt;&gt;"",M259&lt;&gt;"Closed",L259&lt;&gt;"",L259&lt;TODAY()),"Overdue","")</f>
        <v/>
      </c>
      <c r="S259" s="40" t="str">
        <f aca="false">IF(AND(N259&lt;&gt;"",B259="Risk",M259&lt;&gt;"Closed"),N259+(1-ROW()/100000),"")</f>
        <v/>
      </c>
      <c r="T259" s="40" t="str">
        <f aca="false">IF(AND(S259&lt;&gt;"",A259='Project Summary'!$C$3),S259,"")</f>
        <v/>
      </c>
    </row>
    <row r="260" customFormat="false" ht="15" hidden="false" customHeight="false" outlineLevel="0" collapsed="false">
      <c r="A260" s="32"/>
      <c r="B260" s="32"/>
      <c r="C260" s="32"/>
      <c r="D260" s="33"/>
      <c r="E260" s="32"/>
      <c r="F260" s="32"/>
      <c r="G260" s="32"/>
      <c r="H260" s="32"/>
      <c r="I260" s="32"/>
      <c r="J260" s="33"/>
      <c r="K260" s="32"/>
      <c r="L260" s="35"/>
      <c r="M260" s="32"/>
      <c r="N260" s="37" t="str">
        <f aca="false">IF(OR(C260="",F260="",G260=""),"",MATCH(F260,lst_Likelihood,0)*MATCH(G260,lst_Consequence,0))</f>
        <v/>
      </c>
      <c r="O260" s="37" t="str">
        <f aca="false">IF(N260="","",IF(N260&gt;=16,"Critical",IF(N260&gt;=10,"High",IF(N260&gt;=5,"Medium","Low"))))</f>
        <v/>
      </c>
      <c r="P260" s="37" t="str">
        <f aca="false">IF(OR(C260="",H260="",I260=""),"",MATCH(H260,lst_Likelihood,0)*MATCH(I260,lst_Consequence,0))</f>
        <v/>
      </c>
      <c r="Q260" s="37" t="str">
        <f aca="false">IF(P260="","",IF(P260&gt;=16,"Critical",IF(P260&gt;=10,"High",IF(P260&gt;=5,"Medium","Low"))))</f>
        <v/>
      </c>
      <c r="R260" s="37" t="str">
        <f aca="true">IF(AND(C260&lt;&gt;"",M260&lt;&gt;"Closed",L260&lt;&gt;"",L260&lt;TODAY()),"Overdue","")</f>
        <v/>
      </c>
      <c r="S260" s="40" t="str">
        <f aca="false">IF(AND(N260&lt;&gt;"",B260="Risk",M260&lt;&gt;"Closed"),N260+(1-ROW()/100000),"")</f>
        <v/>
      </c>
      <c r="T260" s="40" t="str">
        <f aca="false">IF(AND(S260&lt;&gt;"",A260='Project Summary'!$C$3),S260,"")</f>
        <v/>
      </c>
    </row>
    <row r="261" customFormat="false" ht="15" hidden="false" customHeight="false" outlineLevel="0" collapsed="false">
      <c r="A261" s="32"/>
      <c r="B261" s="32"/>
      <c r="C261" s="32"/>
      <c r="D261" s="33"/>
      <c r="E261" s="32"/>
      <c r="F261" s="32"/>
      <c r="G261" s="32"/>
      <c r="H261" s="32"/>
      <c r="I261" s="32"/>
      <c r="J261" s="33"/>
      <c r="K261" s="32"/>
      <c r="L261" s="35"/>
      <c r="M261" s="32"/>
      <c r="N261" s="37" t="str">
        <f aca="false">IF(OR(C261="",F261="",G261=""),"",MATCH(F261,lst_Likelihood,0)*MATCH(G261,lst_Consequence,0))</f>
        <v/>
      </c>
      <c r="O261" s="37" t="str">
        <f aca="false">IF(N261="","",IF(N261&gt;=16,"Critical",IF(N261&gt;=10,"High",IF(N261&gt;=5,"Medium","Low"))))</f>
        <v/>
      </c>
      <c r="P261" s="37" t="str">
        <f aca="false">IF(OR(C261="",H261="",I261=""),"",MATCH(H261,lst_Likelihood,0)*MATCH(I261,lst_Consequence,0))</f>
        <v/>
      </c>
      <c r="Q261" s="37" t="str">
        <f aca="false">IF(P261="","",IF(P261&gt;=16,"Critical",IF(P261&gt;=10,"High",IF(P261&gt;=5,"Medium","Low"))))</f>
        <v/>
      </c>
      <c r="R261" s="37" t="str">
        <f aca="true">IF(AND(C261&lt;&gt;"",M261&lt;&gt;"Closed",L261&lt;&gt;"",L261&lt;TODAY()),"Overdue","")</f>
        <v/>
      </c>
      <c r="S261" s="40" t="str">
        <f aca="false">IF(AND(N261&lt;&gt;"",B261="Risk",M261&lt;&gt;"Closed"),N261+(1-ROW()/100000),"")</f>
        <v/>
      </c>
      <c r="T261" s="40" t="str">
        <f aca="false">IF(AND(S261&lt;&gt;"",A261='Project Summary'!$C$3),S261,"")</f>
        <v/>
      </c>
    </row>
    <row r="262" customFormat="false" ht="15" hidden="false" customHeight="false" outlineLevel="0" collapsed="false">
      <c r="A262" s="32"/>
      <c r="B262" s="32"/>
      <c r="C262" s="32"/>
      <c r="D262" s="33"/>
      <c r="E262" s="32"/>
      <c r="F262" s="32"/>
      <c r="G262" s="32"/>
      <c r="H262" s="32"/>
      <c r="I262" s="32"/>
      <c r="J262" s="33"/>
      <c r="K262" s="32"/>
      <c r="L262" s="35"/>
      <c r="M262" s="32"/>
      <c r="N262" s="37" t="str">
        <f aca="false">IF(OR(C262="",F262="",G262=""),"",MATCH(F262,lst_Likelihood,0)*MATCH(G262,lst_Consequence,0))</f>
        <v/>
      </c>
      <c r="O262" s="37" t="str">
        <f aca="false">IF(N262="","",IF(N262&gt;=16,"Critical",IF(N262&gt;=10,"High",IF(N262&gt;=5,"Medium","Low"))))</f>
        <v/>
      </c>
      <c r="P262" s="37" t="str">
        <f aca="false">IF(OR(C262="",H262="",I262=""),"",MATCH(H262,lst_Likelihood,0)*MATCH(I262,lst_Consequence,0))</f>
        <v/>
      </c>
      <c r="Q262" s="37" t="str">
        <f aca="false">IF(P262="","",IF(P262&gt;=16,"Critical",IF(P262&gt;=10,"High",IF(P262&gt;=5,"Medium","Low"))))</f>
        <v/>
      </c>
      <c r="R262" s="37" t="str">
        <f aca="true">IF(AND(C262&lt;&gt;"",M262&lt;&gt;"Closed",L262&lt;&gt;"",L262&lt;TODAY()),"Overdue","")</f>
        <v/>
      </c>
      <c r="S262" s="40" t="str">
        <f aca="false">IF(AND(N262&lt;&gt;"",B262="Risk",M262&lt;&gt;"Closed"),N262+(1-ROW()/100000),"")</f>
        <v/>
      </c>
      <c r="T262" s="40" t="str">
        <f aca="false">IF(AND(S262&lt;&gt;"",A262='Project Summary'!$C$3),S262,"")</f>
        <v/>
      </c>
    </row>
    <row r="263" customFormat="false" ht="15" hidden="false" customHeight="false" outlineLevel="0" collapsed="false">
      <c r="A263" s="32"/>
      <c r="B263" s="32"/>
      <c r="C263" s="32"/>
      <c r="D263" s="33"/>
      <c r="E263" s="32"/>
      <c r="F263" s="32"/>
      <c r="G263" s="32"/>
      <c r="H263" s="32"/>
      <c r="I263" s="32"/>
      <c r="J263" s="33"/>
      <c r="K263" s="32"/>
      <c r="L263" s="35"/>
      <c r="M263" s="32"/>
      <c r="N263" s="37" t="str">
        <f aca="false">IF(OR(C263="",F263="",G263=""),"",MATCH(F263,lst_Likelihood,0)*MATCH(G263,lst_Consequence,0))</f>
        <v/>
      </c>
      <c r="O263" s="37" t="str">
        <f aca="false">IF(N263="","",IF(N263&gt;=16,"Critical",IF(N263&gt;=10,"High",IF(N263&gt;=5,"Medium","Low"))))</f>
        <v/>
      </c>
      <c r="P263" s="37" t="str">
        <f aca="false">IF(OR(C263="",H263="",I263=""),"",MATCH(H263,lst_Likelihood,0)*MATCH(I263,lst_Consequence,0))</f>
        <v/>
      </c>
      <c r="Q263" s="37" t="str">
        <f aca="false">IF(P263="","",IF(P263&gt;=16,"Critical",IF(P263&gt;=10,"High",IF(P263&gt;=5,"Medium","Low"))))</f>
        <v/>
      </c>
      <c r="R263" s="37" t="str">
        <f aca="true">IF(AND(C263&lt;&gt;"",M263&lt;&gt;"Closed",L263&lt;&gt;"",L263&lt;TODAY()),"Overdue","")</f>
        <v/>
      </c>
      <c r="S263" s="40" t="str">
        <f aca="false">IF(AND(N263&lt;&gt;"",B263="Risk",M263&lt;&gt;"Closed"),N263+(1-ROW()/100000),"")</f>
        <v/>
      </c>
      <c r="T263" s="40" t="str">
        <f aca="false">IF(AND(S263&lt;&gt;"",A263='Project Summary'!$C$3),S263,"")</f>
        <v/>
      </c>
    </row>
    <row r="264" customFormat="false" ht="15" hidden="false" customHeight="false" outlineLevel="0" collapsed="false">
      <c r="A264" s="32"/>
      <c r="B264" s="32"/>
      <c r="C264" s="32"/>
      <c r="D264" s="33"/>
      <c r="E264" s="32"/>
      <c r="F264" s="32"/>
      <c r="G264" s="32"/>
      <c r="H264" s="32"/>
      <c r="I264" s="32"/>
      <c r="J264" s="33"/>
      <c r="K264" s="32"/>
      <c r="L264" s="35"/>
      <c r="M264" s="32"/>
      <c r="N264" s="37" t="str">
        <f aca="false">IF(OR(C264="",F264="",G264=""),"",MATCH(F264,lst_Likelihood,0)*MATCH(G264,lst_Consequence,0))</f>
        <v/>
      </c>
      <c r="O264" s="37" t="str">
        <f aca="false">IF(N264="","",IF(N264&gt;=16,"Critical",IF(N264&gt;=10,"High",IF(N264&gt;=5,"Medium","Low"))))</f>
        <v/>
      </c>
      <c r="P264" s="37" t="str">
        <f aca="false">IF(OR(C264="",H264="",I264=""),"",MATCH(H264,lst_Likelihood,0)*MATCH(I264,lst_Consequence,0))</f>
        <v/>
      </c>
      <c r="Q264" s="37" t="str">
        <f aca="false">IF(P264="","",IF(P264&gt;=16,"Critical",IF(P264&gt;=10,"High",IF(P264&gt;=5,"Medium","Low"))))</f>
        <v/>
      </c>
      <c r="R264" s="37" t="str">
        <f aca="true">IF(AND(C264&lt;&gt;"",M264&lt;&gt;"Closed",L264&lt;&gt;"",L264&lt;TODAY()),"Overdue","")</f>
        <v/>
      </c>
      <c r="S264" s="40" t="str">
        <f aca="false">IF(AND(N264&lt;&gt;"",B264="Risk",M264&lt;&gt;"Closed"),N264+(1-ROW()/100000),"")</f>
        <v/>
      </c>
      <c r="T264" s="40" t="str">
        <f aca="false">IF(AND(S264&lt;&gt;"",A264='Project Summary'!$C$3),S264,"")</f>
        <v/>
      </c>
    </row>
    <row r="265" customFormat="false" ht="15" hidden="false" customHeight="false" outlineLevel="0" collapsed="false">
      <c r="A265" s="32"/>
      <c r="B265" s="32"/>
      <c r="C265" s="32"/>
      <c r="D265" s="33"/>
      <c r="E265" s="32"/>
      <c r="F265" s="32"/>
      <c r="G265" s="32"/>
      <c r="H265" s="32"/>
      <c r="I265" s="32"/>
      <c r="J265" s="33"/>
      <c r="K265" s="32"/>
      <c r="L265" s="35"/>
      <c r="M265" s="32"/>
      <c r="N265" s="37" t="str">
        <f aca="false">IF(OR(C265="",F265="",G265=""),"",MATCH(F265,lst_Likelihood,0)*MATCH(G265,lst_Consequence,0))</f>
        <v/>
      </c>
      <c r="O265" s="37" t="str">
        <f aca="false">IF(N265="","",IF(N265&gt;=16,"Critical",IF(N265&gt;=10,"High",IF(N265&gt;=5,"Medium","Low"))))</f>
        <v/>
      </c>
      <c r="P265" s="37" t="str">
        <f aca="false">IF(OR(C265="",H265="",I265=""),"",MATCH(H265,lst_Likelihood,0)*MATCH(I265,lst_Consequence,0))</f>
        <v/>
      </c>
      <c r="Q265" s="37" t="str">
        <f aca="false">IF(P265="","",IF(P265&gt;=16,"Critical",IF(P265&gt;=10,"High",IF(P265&gt;=5,"Medium","Low"))))</f>
        <v/>
      </c>
      <c r="R265" s="37" t="str">
        <f aca="true">IF(AND(C265&lt;&gt;"",M265&lt;&gt;"Closed",L265&lt;&gt;"",L265&lt;TODAY()),"Overdue","")</f>
        <v/>
      </c>
      <c r="S265" s="40" t="str">
        <f aca="false">IF(AND(N265&lt;&gt;"",B265="Risk",M265&lt;&gt;"Closed"),N265+(1-ROW()/100000),"")</f>
        <v/>
      </c>
      <c r="T265" s="40" t="str">
        <f aca="false">IF(AND(S265&lt;&gt;"",A265='Project Summary'!$C$3),S265,"")</f>
        <v/>
      </c>
    </row>
    <row r="266" customFormat="false" ht="15" hidden="false" customHeight="false" outlineLevel="0" collapsed="false">
      <c r="A266" s="32"/>
      <c r="B266" s="32"/>
      <c r="C266" s="32"/>
      <c r="D266" s="33"/>
      <c r="E266" s="32"/>
      <c r="F266" s="32"/>
      <c r="G266" s="32"/>
      <c r="H266" s="32"/>
      <c r="I266" s="32"/>
      <c r="J266" s="33"/>
      <c r="K266" s="32"/>
      <c r="L266" s="35"/>
      <c r="M266" s="32"/>
      <c r="N266" s="37" t="str">
        <f aca="false">IF(OR(C266="",F266="",G266=""),"",MATCH(F266,lst_Likelihood,0)*MATCH(G266,lst_Consequence,0))</f>
        <v/>
      </c>
      <c r="O266" s="37" t="str">
        <f aca="false">IF(N266="","",IF(N266&gt;=16,"Critical",IF(N266&gt;=10,"High",IF(N266&gt;=5,"Medium","Low"))))</f>
        <v/>
      </c>
      <c r="P266" s="37" t="str">
        <f aca="false">IF(OR(C266="",H266="",I266=""),"",MATCH(H266,lst_Likelihood,0)*MATCH(I266,lst_Consequence,0))</f>
        <v/>
      </c>
      <c r="Q266" s="37" t="str">
        <f aca="false">IF(P266="","",IF(P266&gt;=16,"Critical",IF(P266&gt;=10,"High",IF(P266&gt;=5,"Medium","Low"))))</f>
        <v/>
      </c>
      <c r="R266" s="37" t="str">
        <f aca="true">IF(AND(C266&lt;&gt;"",M266&lt;&gt;"Closed",L266&lt;&gt;"",L266&lt;TODAY()),"Overdue","")</f>
        <v/>
      </c>
      <c r="S266" s="40" t="str">
        <f aca="false">IF(AND(N266&lt;&gt;"",B266="Risk",M266&lt;&gt;"Closed"),N266+(1-ROW()/100000),"")</f>
        <v/>
      </c>
      <c r="T266" s="40" t="str">
        <f aca="false">IF(AND(S266&lt;&gt;"",A266='Project Summary'!$C$3),S266,"")</f>
        <v/>
      </c>
    </row>
    <row r="267" customFormat="false" ht="15" hidden="false" customHeight="false" outlineLevel="0" collapsed="false">
      <c r="A267" s="32"/>
      <c r="B267" s="32"/>
      <c r="C267" s="32"/>
      <c r="D267" s="33"/>
      <c r="E267" s="32"/>
      <c r="F267" s="32"/>
      <c r="G267" s="32"/>
      <c r="H267" s="32"/>
      <c r="I267" s="32"/>
      <c r="J267" s="33"/>
      <c r="K267" s="32"/>
      <c r="L267" s="35"/>
      <c r="M267" s="32"/>
      <c r="N267" s="37" t="str">
        <f aca="false">IF(OR(C267="",F267="",G267=""),"",MATCH(F267,lst_Likelihood,0)*MATCH(G267,lst_Consequence,0))</f>
        <v/>
      </c>
      <c r="O267" s="37" t="str">
        <f aca="false">IF(N267="","",IF(N267&gt;=16,"Critical",IF(N267&gt;=10,"High",IF(N267&gt;=5,"Medium","Low"))))</f>
        <v/>
      </c>
      <c r="P267" s="37" t="str">
        <f aca="false">IF(OR(C267="",H267="",I267=""),"",MATCH(H267,lst_Likelihood,0)*MATCH(I267,lst_Consequence,0))</f>
        <v/>
      </c>
      <c r="Q267" s="37" t="str">
        <f aca="false">IF(P267="","",IF(P267&gt;=16,"Critical",IF(P267&gt;=10,"High",IF(P267&gt;=5,"Medium","Low"))))</f>
        <v/>
      </c>
      <c r="R267" s="37" t="str">
        <f aca="true">IF(AND(C267&lt;&gt;"",M267&lt;&gt;"Closed",L267&lt;&gt;"",L267&lt;TODAY()),"Overdue","")</f>
        <v/>
      </c>
      <c r="S267" s="40" t="str">
        <f aca="false">IF(AND(N267&lt;&gt;"",B267="Risk",M267&lt;&gt;"Closed"),N267+(1-ROW()/100000),"")</f>
        <v/>
      </c>
      <c r="T267" s="40" t="str">
        <f aca="false">IF(AND(S267&lt;&gt;"",A267='Project Summary'!$C$3),S267,"")</f>
        <v/>
      </c>
    </row>
    <row r="268" customFormat="false" ht="15" hidden="false" customHeight="false" outlineLevel="0" collapsed="false">
      <c r="A268" s="32"/>
      <c r="B268" s="32"/>
      <c r="C268" s="32"/>
      <c r="D268" s="33"/>
      <c r="E268" s="32"/>
      <c r="F268" s="32"/>
      <c r="G268" s="32"/>
      <c r="H268" s="32"/>
      <c r="I268" s="32"/>
      <c r="J268" s="33"/>
      <c r="K268" s="32"/>
      <c r="L268" s="35"/>
      <c r="M268" s="32"/>
      <c r="N268" s="37" t="str">
        <f aca="false">IF(OR(C268="",F268="",G268=""),"",MATCH(F268,lst_Likelihood,0)*MATCH(G268,lst_Consequence,0))</f>
        <v/>
      </c>
      <c r="O268" s="37" t="str">
        <f aca="false">IF(N268="","",IF(N268&gt;=16,"Critical",IF(N268&gt;=10,"High",IF(N268&gt;=5,"Medium","Low"))))</f>
        <v/>
      </c>
      <c r="P268" s="37" t="str">
        <f aca="false">IF(OR(C268="",H268="",I268=""),"",MATCH(H268,lst_Likelihood,0)*MATCH(I268,lst_Consequence,0))</f>
        <v/>
      </c>
      <c r="Q268" s="37" t="str">
        <f aca="false">IF(P268="","",IF(P268&gt;=16,"Critical",IF(P268&gt;=10,"High",IF(P268&gt;=5,"Medium","Low"))))</f>
        <v/>
      </c>
      <c r="R268" s="37" t="str">
        <f aca="true">IF(AND(C268&lt;&gt;"",M268&lt;&gt;"Closed",L268&lt;&gt;"",L268&lt;TODAY()),"Overdue","")</f>
        <v/>
      </c>
      <c r="S268" s="40" t="str">
        <f aca="false">IF(AND(N268&lt;&gt;"",B268="Risk",M268&lt;&gt;"Closed"),N268+(1-ROW()/100000),"")</f>
        <v/>
      </c>
      <c r="T268" s="40" t="str">
        <f aca="false">IF(AND(S268&lt;&gt;"",A268='Project Summary'!$C$3),S268,"")</f>
        <v/>
      </c>
    </row>
    <row r="269" customFormat="false" ht="15" hidden="false" customHeight="false" outlineLevel="0" collapsed="false">
      <c r="A269" s="32"/>
      <c r="B269" s="32"/>
      <c r="C269" s="32"/>
      <c r="D269" s="33"/>
      <c r="E269" s="32"/>
      <c r="F269" s="32"/>
      <c r="G269" s="32"/>
      <c r="H269" s="32"/>
      <c r="I269" s="32"/>
      <c r="J269" s="33"/>
      <c r="K269" s="32"/>
      <c r="L269" s="35"/>
      <c r="M269" s="32"/>
      <c r="N269" s="37" t="str">
        <f aca="false">IF(OR(C269="",F269="",G269=""),"",MATCH(F269,lst_Likelihood,0)*MATCH(G269,lst_Consequence,0))</f>
        <v/>
      </c>
      <c r="O269" s="37" t="str">
        <f aca="false">IF(N269="","",IF(N269&gt;=16,"Critical",IF(N269&gt;=10,"High",IF(N269&gt;=5,"Medium","Low"))))</f>
        <v/>
      </c>
      <c r="P269" s="37" t="str">
        <f aca="false">IF(OR(C269="",H269="",I269=""),"",MATCH(H269,lst_Likelihood,0)*MATCH(I269,lst_Consequence,0))</f>
        <v/>
      </c>
      <c r="Q269" s="37" t="str">
        <f aca="false">IF(P269="","",IF(P269&gt;=16,"Critical",IF(P269&gt;=10,"High",IF(P269&gt;=5,"Medium","Low"))))</f>
        <v/>
      </c>
      <c r="R269" s="37" t="str">
        <f aca="true">IF(AND(C269&lt;&gt;"",M269&lt;&gt;"Closed",L269&lt;&gt;"",L269&lt;TODAY()),"Overdue","")</f>
        <v/>
      </c>
      <c r="S269" s="40" t="str">
        <f aca="false">IF(AND(N269&lt;&gt;"",B269="Risk",M269&lt;&gt;"Closed"),N269+(1-ROW()/100000),"")</f>
        <v/>
      </c>
      <c r="T269" s="40" t="str">
        <f aca="false">IF(AND(S269&lt;&gt;"",A269='Project Summary'!$C$3),S269,"")</f>
        <v/>
      </c>
    </row>
    <row r="270" customFormat="false" ht="15" hidden="false" customHeight="false" outlineLevel="0" collapsed="false">
      <c r="A270" s="32"/>
      <c r="B270" s="32"/>
      <c r="C270" s="32"/>
      <c r="D270" s="33"/>
      <c r="E270" s="32"/>
      <c r="F270" s="32"/>
      <c r="G270" s="32"/>
      <c r="H270" s="32"/>
      <c r="I270" s="32"/>
      <c r="J270" s="33"/>
      <c r="K270" s="32"/>
      <c r="L270" s="35"/>
      <c r="M270" s="32"/>
      <c r="N270" s="37" t="str">
        <f aca="false">IF(OR(C270="",F270="",G270=""),"",MATCH(F270,lst_Likelihood,0)*MATCH(G270,lst_Consequence,0))</f>
        <v/>
      </c>
      <c r="O270" s="37" t="str">
        <f aca="false">IF(N270="","",IF(N270&gt;=16,"Critical",IF(N270&gt;=10,"High",IF(N270&gt;=5,"Medium","Low"))))</f>
        <v/>
      </c>
      <c r="P270" s="37" t="str">
        <f aca="false">IF(OR(C270="",H270="",I270=""),"",MATCH(H270,lst_Likelihood,0)*MATCH(I270,lst_Consequence,0))</f>
        <v/>
      </c>
      <c r="Q270" s="37" t="str">
        <f aca="false">IF(P270="","",IF(P270&gt;=16,"Critical",IF(P270&gt;=10,"High",IF(P270&gt;=5,"Medium","Low"))))</f>
        <v/>
      </c>
      <c r="R270" s="37" t="str">
        <f aca="true">IF(AND(C270&lt;&gt;"",M270&lt;&gt;"Closed",L270&lt;&gt;"",L270&lt;TODAY()),"Overdue","")</f>
        <v/>
      </c>
      <c r="S270" s="40" t="str">
        <f aca="false">IF(AND(N270&lt;&gt;"",B270="Risk",M270&lt;&gt;"Closed"),N270+(1-ROW()/100000),"")</f>
        <v/>
      </c>
      <c r="T270" s="40" t="str">
        <f aca="false">IF(AND(S270&lt;&gt;"",A270='Project Summary'!$C$3),S270,"")</f>
        <v/>
      </c>
    </row>
    <row r="271" customFormat="false" ht="15" hidden="false" customHeight="false" outlineLevel="0" collapsed="false">
      <c r="A271" s="32"/>
      <c r="B271" s="32"/>
      <c r="C271" s="32"/>
      <c r="D271" s="33"/>
      <c r="E271" s="32"/>
      <c r="F271" s="32"/>
      <c r="G271" s="32"/>
      <c r="H271" s="32"/>
      <c r="I271" s="32"/>
      <c r="J271" s="33"/>
      <c r="K271" s="32"/>
      <c r="L271" s="35"/>
      <c r="M271" s="32"/>
      <c r="N271" s="37" t="str">
        <f aca="false">IF(OR(C271="",F271="",G271=""),"",MATCH(F271,lst_Likelihood,0)*MATCH(G271,lst_Consequence,0))</f>
        <v/>
      </c>
      <c r="O271" s="37" t="str">
        <f aca="false">IF(N271="","",IF(N271&gt;=16,"Critical",IF(N271&gt;=10,"High",IF(N271&gt;=5,"Medium","Low"))))</f>
        <v/>
      </c>
      <c r="P271" s="37" t="str">
        <f aca="false">IF(OR(C271="",H271="",I271=""),"",MATCH(H271,lst_Likelihood,0)*MATCH(I271,lst_Consequence,0))</f>
        <v/>
      </c>
      <c r="Q271" s="37" t="str">
        <f aca="false">IF(P271="","",IF(P271&gt;=16,"Critical",IF(P271&gt;=10,"High",IF(P271&gt;=5,"Medium","Low"))))</f>
        <v/>
      </c>
      <c r="R271" s="37" t="str">
        <f aca="true">IF(AND(C271&lt;&gt;"",M271&lt;&gt;"Closed",L271&lt;&gt;"",L271&lt;TODAY()),"Overdue","")</f>
        <v/>
      </c>
      <c r="S271" s="40" t="str">
        <f aca="false">IF(AND(N271&lt;&gt;"",B271="Risk",M271&lt;&gt;"Closed"),N271+(1-ROW()/100000),"")</f>
        <v/>
      </c>
      <c r="T271" s="40" t="str">
        <f aca="false">IF(AND(S271&lt;&gt;"",A271='Project Summary'!$C$3),S271,"")</f>
        <v/>
      </c>
    </row>
    <row r="272" customFormat="false" ht="15" hidden="false" customHeight="false" outlineLevel="0" collapsed="false">
      <c r="A272" s="32"/>
      <c r="B272" s="32"/>
      <c r="C272" s="32"/>
      <c r="D272" s="33"/>
      <c r="E272" s="32"/>
      <c r="F272" s="32"/>
      <c r="G272" s="32"/>
      <c r="H272" s="32"/>
      <c r="I272" s="32"/>
      <c r="J272" s="33"/>
      <c r="K272" s="32"/>
      <c r="L272" s="35"/>
      <c r="M272" s="32"/>
      <c r="N272" s="37" t="str">
        <f aca="false">IF(OR(C272="",F272="",G272=""),"",MATCH(F272,lst_Likelihood,0)*MATCH(G272,lst_Consequence,0))</f>
        <v/>
      </c>
      <c r="O272" s="37" t="str">
        <f aca="false">IF(N272="","",IF(N272&gt;=16,"Critical",IF(N272&gt;=10,"High",IF(N272&gt;=5,"Medium","Low"))))</f>
        <v/>
      </c>
      <c r="P272" s="37" t="str">
        <f aca="false">IF(OR(C272="",H272="",I272=""),"",MATCH(H272,lst_Likelihood,0)*MATCH(I272,lst_Consequence,0))</f>
        <v/>
      </c>
      <c r="Q272" s="37" t="str">
        <f aca="false">IF(P272="","",IF(P272&gt;=16,"Critical",IF(P272&gt;=10,"High",IF(P272&gt;=5,"Medium","Low"))))</f>
        <v/>
      </c>
      <c r="R272" s="37" t="str">
        <f aca="true">IF(AND(C272&lt;&gt;"",M272&lt;&gt;"Closed",L272&lt;&gt;"",L272&lt;TODAY()),"Overdue","")</f>
        <v/>
      </c>
      <c r="S272" s="40" t="str">
        <f aca="false">IF(AND(N272&lt;&gt;"",B272="Risk",M272&lt;&gt;"Closed"),N272+(1-ROW()/100000),"")</f>
        <v/>
      </c>
      <c r="T272" s="40" t="str">
        <f aca="false">IF(AND(S272&lt;&gt;"",A272='Project Summary'!$C$3),S272,"")</f>
        <v/>
      </c>
    </row>
    <row r="273" customFormat="false" ht="15" hidden="false" customHeight="false" outlineLevel="0" collapsed="false">
      <c r="A273" s="32"/>
      <c r="B273" s="32"/>
      <c r="C273" s="32"/>
      <c r="D273" s="33"/>
      <c r="E273" s="32"/>
      <c r="F273" s="32"/>
      <c r="G273" s="32"/>
      <c r="H273" s="32"/>
      <c r="I273" s="32"/>
      <c r="J273" s="33"/>
      <c r="K273" s="32"/>
      <c r="L273" s="35"/>
      <c r="M273" s="32"/>
      <c r="N273" s="37" t="str">
        <f aca="false">IF(OR(C273="",F273="",G273=""),"",MATCH(F273,lst_Likelihood,0)*MATCH(G273,lst_Consequence,0))</f>
        <v/>
      </c>
      <c r="O273" s="37" t="str">
        <f aca="false">IF(N273="","",IF(N273&gt;=16,"Critical",IF(N273&gt;=10,"High",IF(N273&gt;=5,"Medium","Low"))))</f>
        <v/>
      </c>
      <c r="P273" s="37" t="str">
        <f aca="false">IF(OR(C273="",H273="",I273=""),"",MATCH(H273,lst_Likelihood,0)*MATCH(I273,lst_Consequence,0))</f>
        <v/>
      </c>
      <c r="Q273" s="37" t="str">
        <f aca="false">IF(P273="","",IF(P273&gt;=16,"Critical",IF(P273&gt;=10,"High",IF(P273&gt;=5,"Medium","Low"))))</f>
        <v/>
      </c>
      <c r="R273" s="37" t="str">
        <f aca="true">IF(AND(C273&lt;&gt;"",M273&lt;&gt;"Closed",L273&lt;&gt;"",L273&lt;TODAY()),"Overdue","")</f>
        <v/>
      </c>
      <c r="S273" s="40" t="str">
        <f aca="false">IF(AND(N273&lt;&gt;"",B273="Risk",M273&lt;&gt;"Closed"),N273+(1-ROW()/100000),"")</f>
        <v/>
      </c>
      <c r="T273" s="40" t="str">
        <f aca="false">IF(AND(S273&lt;&gt;"",A273='Project Summary'!$C$3),S273,"")</f>
        <v/>
      </c>
    </row>
    <row r="274" customFormat="false" ht="15" hidden="false" customHeight="false" outlineLevel="0" collapsed="false">
      <c r="A274" s="32"/>
      <c r="B274" s="32"/>
      <c r="C274" s="32"/>
      <c r="D274" s="33"/>
      <c r="E274" s="32"/>
      <c r="F274" s="32"/>
      <c r="G274" s="32"/>
      <c r="H274" s="32"/>
      <c r="I274" s="32"/>
      <c r="J274" s="33"/>
      <c r="K274" s="32"/>
      <c r="L274" s="35"/>
      <c r="M274" s="32"/>
      <c r="N274" s="37" t="str">
        <f aca="false">IF(OR(C274="",F274="",G274=""),"",MATCH(F274,lst_Likelihood,0)*MATCH(G274,lst_Consequence,0))</f>
        <v/>
      </c>
      <c r="O274" s="37" t="str">
        <f aca="false">IF(N274="","",IF(N274&gt;=16,"Critical",IF(N274&gt;=10,"High",IF(N274&gt;=5,"Medium","Low"))))</f>
        <v/>
      </c>
      <c r="P274" s="37" t="str">
        <f aca="false">IF(OR(C274="",H274="",I274=""),"",MATCH(H274,lst_Likelihood,0)*MATCH(I274,lst_Consequence,0))</f>
        <v/>
      </c>
      <c r="Q274" s="37" t="str">
        <f aca="false">IF(P274="","",IF(P274&gt;=16,"Critical",IF(P274&gt;=10,"High",IF(P274&gt;=5,"Medium","Low"))))</f>
        <v/>
      </c>
      <c r="R274" s="37" t="str">
        <f aca="true">IF(AND(C274&lt;&gt;"",M274&lt;&gt;"Closed",L274&lt;&gt;"",L274&lt;TODAY()),"Overdue","")</f>
        <v/>
      </c>
      <c r="S274" s="40" t="str">
        <f aca="false">IF(AND(N274&lt;&gt;"",B274="Risk",M274&lt;&gt;"Closed"),N274+(1-ROW()/100000),"")</f>
        <v/>
      </c>
      <c r="T274" s="40" t="str">
        <f aca="false">IF(AND(S274&lt;&gt;"",A274='Project Summary'!$C$3),S274,"")</f>
        <v/>
      </c>
    </row>
    <row r="275" customFormat="false" ht="15" hidden="false" customHeight="false" outlineLevel="0" collapsed="false">
      <c r="A275" s="32"/>
      <c r="B275" s="32"/>
      <c r="C275" s="32"/>
      <c r="D275" s="33"/>
      <c r="E275" s="32"/>
      <c r="F275" s="32"/>
      <c r="G275" s="32"/>
      <c r="H275" s="32"/>
      <c r="I275" s="32"/>
      <c r="J275" s="33"/>
      <c r="K275" s="32"/>
      <c r="L275" s="35"/>
      <c r="M275" s="32"/>
      <c r="N275" s="37" t="str">
        <f aca="false">IF(OR(C275="",F275="",G275=""),"",MATCH(F275,lst_Likelihood,0)*MATCH(G275,lst_Consequence,0))</f>
        <v/>
      </c>
      <c r="O275" s="37" t="str">
        <f aca="false">IF(N275="","",IF(N275&gt;=16,"Critical",IF(N275&gt;=10,"High",IF(N275&gt;=5,"Medium","Low"))))</f>
        <v/>
      </c>
      <c r="P275" s="37" t="str">
        <f aca="false">IF(OR(C275="",H275="",I275=""),"",MATCH(H275,lst_Likelihood,0)*MATCH(I275,lst_Consequence,0))</f>
        <v/>
      </c>
      <c r="Q275" s="37" t="str">
        <f aca="false">IF(P275="","",IF(P275&gt;=16,"Critical",IF(P275&gt;=10,"High",IF(P275&gt;=5,"Medium","Low"))))</f>
        <v/>
      </c>
      <c r="R275" s="37" t="str">
        <f aca="true">IF(AND(C275&lt;&gt;"",M275&lt;&gt;"Closed",L275&lt;&gt;"",L275&lt;TODAY()),"Overdue","")</f>
        <v/>
      </c>
      <c r="S275" s="40" t="str">
        <f aca="false">IF(AND(N275&lt;&gt;"",B275="Risk",M275&lt;&gt;"Closed"),N275+(1-ROW()/100000),"")</f>
        <v/>
      </c>
      <c r="T275" s="40" t="str">
        <f aca="false">IF(AND(S275&lt;&gt;"",A275='Project Summary'!$C$3),S275,"")</f>
        <v/>
      </c>
    </row>
    <row r="276" customFormat="false" ht="15" hidden="false" customHeight="false" outlineLevel="0" collapsed="false">
      <c r="A276" s="32"/>
      <c r="B276" s="32"/>
      <c r="C276" s="32"/>
      <c r="D276" s="33"/>
      <c r="E276" s="32"/>
      <c r="F276" s="32"/>
      <c r="G276" s="32"/>
      <c r="H276" s="32"/>
      <c r="I276" s="32"/>
      <c r="J276" s="33"/>
      <c r="K276" s="32"/>
      <c r="L276" s="35"/>
      <c r="M276" s="32"/>
      <c r="N276" s="37" t="str">
        <f aca="false">IF(OR(C276="",F276="",G276=""),"",MATCH(F276,lst_Likelihood,0)*MATCH(G276,lst_Consequence,0))</f>
        <v/>
      </c>
      <c r="O276" s="37" t="str">
        <f aca="false">IF(N276="","",IF(N276&gt;=16,"Critical",IF(N276&gt;=10,"High",IF(N276&gt;=5,"Medium","Low"))))</f>
        <v/>
      </c>
      <c r="P276" s="37" t="str">
        <f aca="false">IF(OR(C276="",H276="",I276=""),"",MATCH(H276,lst_Likelihood,0)*MATCH(I276,lst_Consequence,0))</f>
        <v/>
      </c>
      <c r="Q276" s="37" t="str">
        <f aca="false">IF(P276="","",IF(P276&gt;=16,"Critical",IF(P276&gt;=10,"High",IF(P276&gt;=5,"Medium","Low"))))</f>
        <v/>
      </c>
      <c r="R276" s="37" t="str">
        <f aca="true">IF(AND(C276&lt;&gt;"",M276&lt;&gt;"Closed",L276&lt;&gt;"",L276&lt;TODAY()),"Overdue","")</f>
        <v/>
      </c>
      <c r="S276" s="40" t="str">
        <f aca="false">IF(AND(N276&lt;&gt;"",B276="Risk",M276&lt;&gt;"Closed"),N276+(1-ROW()/100000),"")</f>
        <v/>
      </c>
      <c r="T276" s="40" t="str">
        <f aca="false">IF(AND(S276&lt;&gt;"",A276='Project Summary'!$C$3),S276,"")</f>
        <v/>
      </c>
    </row>
    <row r="277" customFormat="false" ht="15" hidden="false" customHeight="false" outlineLevel="0" collapsed="false">
      <c r="A277" s="32"/>
      <c r="B277" s="32"/>
      <c r="C277" s="32"/>
      <c r="D277" s="33"/>
      <c r="E277" s="32"/>
      <c r="F277" s="32"/>
      <c r="G277" s="32"/>
      <c r="H277" s="32"/>
      <c r="I277" s="32"/>
      <c r="J277" s="33"/>
      <c r="K277" s="32"/>
      <c r="L277" s="35"/>
      <c r="M277" s="32"/>
      <c r="N277" s="37" t="str">
        <f aca="false">IF(OR(C277="",F277="",G277=""),"",MATCH(F277,lst_Likelihood,0)*MATCH(G277,lst_Consequence,0))</f>
        <v/>
      </c>
      <c r="O277" s="37" t="str">
        <f aca="false">IF(N277="","",IF(N277&gt;=16,"Critical",IF(N277&gt;=10,"High",IF(N277&gt;=5,"Medium","Low"))))</f>
        <v/>
      </c>
      <c r="P277" s="37" t="str">
        <f aca="false">IF(OR(C277="",H277="",I277=""),"",MATCH(H277,lst_Likelihood,0)*MATCH(I277,lst_Consequence,0))</f>
        <v/>
      </c>
      <c r="Q277" s="37" t="str">
        <f aca="false">IF(P277="","",IF(P277&gt;=16,"Critical",IF(P277&gt;=10,"High",IF(P277&gt;=5,"Medium","Low"))))</f>
        <v/>
      </c>
      <c r="R277" s="37" t="str">
        <f aca="true">IF(AND(C277&lt;&gt;"",M277&lt;&gt;"Closed",L277&lt;&gt;"",L277&lt;TODAY()),"Overdue","")</f>
        <v/>
      </c>
      <c r="S277" s="40" t="str">
        <f aca="false">IF(AND(N277&lt;&gt;"",B277="Risk",M277&lt;&gt;"Closed"),N277+(1-ROW()/100000),"")</f>
        <v/>
      </c>
      <c r="T277" s="40" t="str">
        <f aca="false">IF(AND(S277&lt;&gt;"",A277='Project Summary'!$C$3),S277,"")</f>
        <v/>
      </c>
    </row>
    <row r="278" customFormat="false" ht="15" hidden="false" customHeight="false" outlineLevel="0" collapsed="false">
      <c r="A278" s="32"/>
      <c r="B278" s="32"/>
      <c r="C278" s="32"/>
      <c r="D278" s="33"/>
      <c r="E278" s="32"/>
      <c r="F278" s="32"/>
      <c r="G278" s="32"/>
      <c r="H278" s="32"/>
      <c r="I278" s="32"/>
      <c r="J278" s="33"/>
      <c r="K278" s="32"/>
      <c r="L278" s="35"/>
      <c r="M278" s="32"/>
      <c r="N278" s="37" t="str">
        <f aca="false">IF(OR(C278="",F278="",G278=""),"",MATCH(F278,lst_Likelihood,0)*MATCH(G278,lst_Consequence,0))</f>
        <v/>
      </c>
      <c r="O278" s="37" t="str">
        <f aca="false">IF(N278="","",IF(N278&gt;=16,"Critical",IF(N278&gt;=10,"High",IF(N278&gt;=5,"Medium","Low"))))</f>
        <v/>
      </c>
      <c r="P278" s="37" t="str">
        <f aca="false">IF(OR(C278="",H278="",I278=""),"",MATCH(H278,lst_Likelihood,0)*MATCH(I278,lst_Consequence,0))</f>
        <v/>
      </c>
      <c r="Q278" s="37" t="str">
        <f aca="false">IF(P278="","",IF(P278&gt;=16,"Critical",IF(P278&gt;=10,"High",IF(P278&gt;=5,"Medium","Low"))))</f>
        <v/>
      </c>
      <c r="R278" s="37" t="str">
        <f aca="true">IF(AND(C278&lt;&gt;"",M278&lt;&gt;"Closed",L278&lt;&gt;"",L278&lt;TODAY()),"Overdue","")</f>
        <v/>
      </c>
      <c r="S278" s="40" t="str">
        <f aca="false">IF(AND(N278&lt;&gt;"",B278="Risk",M278&lt;&gt;"Closed"),N278+(1-ROW()/100000),"")</f>
        <v/>
      </c>
      <c r="T278" s="40" t="str">
        <f aca="false">IF(AND(S278&lt;&gt;"",A278='Project Summary'!$C$3),S278,"")</f>
        <v/>
      </c>
    </row>
    <row r="279" customFormat="false" ht="15" hidden="false" customHeight="false" outlineLevel="0" collapsed="false">
      <c r="A279" s="32"/>
      <c r="B279" s="32"/>
      <c r="C279" s="32"/>
      <c r="D279" s="33"/>
      <c r="E279" s="32"/>
      <c r="F279" s="32"/>
      <c r="G279" s="32"/>
      <c r="H279" s="32"/>
      <c r="I279" s="32"/>
      <c r="J279" s="33"/>
      <c r="K279" s="32"/>
      <c r="L279" s="35"/>
      <c r="M279" s="32"/>
      <c r="N279" s="37" t="str">
        <f aca="false">IF(OR(C279="",F279="",G279=""),"",MATCH(F279,lst_Likelihood,0)*MATCH(G279,lst_Consequence,0))</f>
        <v/>
      </c>
      <c r="O279" s="37" t="str">
        <f aca="false">IF(N279="","",IF(N279&gt;=16,"Critical",IF(N279&gt;=10,"High",IF(N279&gt;=5,"Medium","Low"))))</f>
        <v/>
      </c>
      <c r="P279" s="37" t="str">
        <f aca="false">IF(OR(C279="",H279="",I279=""),"",MATCH(H279,lst_Likelihood,0)*MATCH(I279,lst_Consequence,0))</f>
        <v/>
      </c>
      <c r="Q279" s="37" t="str">
        <f aca="false">IF(P279="","",IF(P279&gt;=16,"Critical",IF(P279&gt;=10,"High",IF(P279&gt;=5,"Medium","Low"))))</f>
        <v/>
      </c>
      <c r="R279" s="37" t="str">
        <f aca="true">IF(AND(C279&lt;&gt;"",M279&lt;&gt;"Closed",L279&lt;&gt;"",L279&lt;TODAY()),"Overdue","")</f>
        <v/>
      </c>
      <c r="S279" s="40" t="str">
        <f aca="false">IF(AND(N279&lt;&gt;"",B279="Risk",M279&lt;&gt;"Closed"),N279+(1-ROW()/100000),"")</f>
        <v/>
      </c>
      <c r="T279" s="40" t="str">
        <f aca="false">IF(AND(S279&lt;&gt;"",A279='Project Summary'!$C$3),S279,"")</f>
        <v/>
      </c>
    </row>
    <row r="280" customFormat="false" ht="15" hidden="false" customHeight="false" outlineLevel="0" collapsed="false">
      <c r="A280" s="32"/>
      <c r="B280" s="32"/>
      <c r="C280" s="32"/>
      <c r="D280" s="33"/>
      <c r="E280" s="32"/>
      <c r="F280" s="32"/>
      <c r="G280" s="32"/>
      <c r="H280" s="32"/>
      <c r="I280" s="32"/>
      <c r="J280" s="33"/>
      <c r="K280" s="32"/>
      <c r="L280" s="35"/>
      <c r="M280" s="32"/>
      <c r="N280" s="37" t="str">
        <f aca="false">IF(OR(C280="",F280="",G280=""),"",MATCH(F280,lst_Likelihood,0)*MATCH(G280,lst_Consequence,0))</f>
        <v/>
      </c>
      <c r="O280" s="37" t="str">
        <f aca="false">IF(N280="","",IF(N280&gt;=16,"Critical",IF(N280&gt;=10,"High",IF(N280&gt;=5,"Medium","Low"))))</f>
        <v/>
      </c>
      <c r="P280" s="37" t="str">
        <f aca="false">IF(OR(C280="",H280="",I280=""),"",MATCH(H280,lst_Likelihood,0)*MATCH(I280,lst_Consequence,0))</f>
        <v/>
      </c>
      <c r="Q280" s="37" t="str">
        <f aca="false">IF(P280="","",IF(P280&gt;=16,"Critical",IF(P280&gt;=10,"High",IF(P280&gt;=5,"Medium","Low"))))</f>
        <v/>
      </c>
      <c r="R280" s="37" t="str">
        <f aca="true">IF(AND(C280&lt;&gt;"",M280&lt;&gt;"Closed",L280&lt;&gt;"",L280&lt;TODAY()),"Overdue","")</f>
        <v/>
      </c>
      <c r="S280" s="40" t="str">
        <f aca="false">IF(AND(N280&lt;&gt;"",B280="Risk",M280&lt;&gt;"Closed"),N280+(1-ROW()/100000),"")</f>
        <v/>
      </c>
      <c r="T280" s="40" t="str">
        <f aca="false">IF(AND(S280&lt;&gt;"",A280='Project Summary'!$C$3),S280,"")</f>
        <v/>
      </c>
    </row>
    <row r="281" customFormat="false" ht="15" hidden="false" customHeight="false" outlineLevel="0" collapsed="false">
      <c r="A281" s="32"/>
      <c r="B281" s="32"/>
      <c r="C281" s="32"/>
      <c r="D281" s="33"/>
      <c r="E281" s="32"/>
      <c r="F281" s="32"/>
      <c r="G281" s="32"/>
      <c r="H281" s="32"/>
      <c r="I281" s="32"/>
      <c r="J281" s="33"/>
      <c r="K281" s="32"/>
      <c r="L281" s="35"/>
      <c r="M281" s="32"/>
      <c r="N281" s="37" t="str">
        <f aca="false">IF(OR(C281="",F281="",G281=""),"",MATCH(F281,lst_Likelihood,0)*MATCH(G281,lst_Consequence,0))</f>
        <v/>
      </c>
      <c r="O281" s="37" t="str">
        <f aca="false">IF(N281="","",IF(N281&gt;=16,"Critical",IF(N281&gt;=10,"High",IF(N281&gt;=5,"Medium","Low"))))</f>
        <v/>
      </c>
      <c r="P281" s="37" t="str">
        <f aca="false">IF(OR(C281="",H281="",I281=""),"",MATCH(H281,lst_Likelihood,0)*MATCH(I281,lst_Consequence,0))</f>
        <v/>
      </c>
      <c r="Q281" s="37" t="str">
        <f aca="false">IF(P281="","",IF(P281&gt;=16,"Critical",IF(P281&gt;=10,"High",IF(P281&gt;=5,"Medium","Low"))))</f>
        <v/>
      </c>
      <c r="R281" s="37" t="str">
        <f aca="true">IF(AND(C281&lt;&gt;"",M281&lt;&gt;"Closed",L281&lt;&gt;"",L281&lt;TODAY()),"Overdue","")</f>
        <v/>
      </c>
      <c r="S281" s="40" t="str">
        <f aca="false">IF(AND(N281&lt;&gt;"",B281="Risk",M281&lt;&gt;"Closed"),N281+(1-ROW()/100000),"")</f>
        <v/>
      </c>
      <c r="T281" s="40" t="str">
        <f aca="false">IF(AND(S281&lt;&gt;"",A281='Project Summary'!$C$3),S281,"")</f>
        <v/>
      </c>
    </row>
    <row r="282" customFormat="false" ht="15" hidden="false" customHeight="false" outlineLevel="0" collapsed="false">
      <c r="A282" s="32"/>
      <c r="B282" s="32"/>
      <c r="C282" s="32"/>
      <c r="D282" s="33"/>
      <c r="E282" s="32"/>
      <c r="F282" s="32"/>
      <c r="G282" s="32"/>
      <c r="H282" s="32"/>
      <c r="I282" s="32"/>
      <c r="J282" s="33"/>
      <c r="K282" s="32"/>
      <c r="L282" s="35"/>
      <c r="M282" s="32"/>
      <c r="N282" s="37" t="str">
        <f aca="false">IF(OR(C282="",F282="",G282=""),"",MATCH(F282,lst_Likelihood,0)*MATCH(G282,lst_Consequence,0))</f>
        <v/>
      </c>
      <c r="O282" s="37" t="str">
        <f aca="false">IF(N282="","",IF(N282&gt;=16,"Critical",IF(N282&gt;=10,"High",IF(N282&gt;=5,"Medium","Low"))))</f>
        <v/>
      </c>
      <c r="P282" s="37" t="str">
        <f aca="false">IF(OR(C282="",H282="",I282=""),"",MATCH(H282,lst_Likelihood,0)*MATCH(I282,lst_Consequence,0))</f>
        <v/>
      </c>
      <c r="Q282" s="37" t="str">
        <f aca="false">IF(P282="","",IF(P282&gt;=16,"Critical",IF(P282&gt;=10,"High",IF(P282&gt;=5,"Medium","Low"))))</f>
        <v/>
      </c>
      <c r="R282" s="37" t="str">
        <f aca="true">IF(AND(C282&lt;&gt;"",M282&lt;&gt;"Closed",L282&lt;&gt;"",L282&lt;TODAY()),"Overdue","")</f>
        <v/>
      </c>
      <c r="S282" s="40" t="str">
        <f aca="false">IF(AND(N282&lt;&gt;"",B282="Risk",M282&lt;&gt;"Closed"),N282+(1-ROW()/100000),"")</f>
        <v/>
      </c>
      <c r="T282" s="40" t="str">
        <f aca="false">IF(AND(S282&lt;&gt;"",A282='Project Summary'!$C$3),S282,"")</f>
        <v/>
      </c>
    </row>
    <row r="283" customFormat="false" ht="15" hidden="false" customHeight="false" outlineLevel="0" collapsed="false">
      <c r="A283" s="32"/>
      <c r="B283" s="32"/>
      <c r="C283" s="32"/>
      <c r="D283" s="33"/>
      <c r="E283" s="32"/>
      <c r="F283" s="32"/>
      <c r="G283" s="32"/>
      <c r="H283" s="32"/>
      <c r="I283" s="32"/>
      <c r="J283" s="33"/>
      <c r="K283" s="32"/>
      <c r="L283" s="35"/>
      <c r="M283" s="32"/>
      <c r="N283" s="37" t="str">
        <f aca="false">IF(OR(C283="",F283="",G283=""),"",MATCH(F283,lst_Likelihood,0)*MATCH(G283,lst_Consequence,0))</f>
        <v/>
      </c>
      <c r="O283" s="37" t="str">
        <f aca="false">IF(N283="","",IF(N283&gt;=16,"Critical",IF(N283&gt;=10,"High",IF(N283&gt;=5,"Medium","Low"))))</f>
        <v/>
      </c>
      <c r="P283" s="37" t="str">
        <f aca="false">IF(OR(C283="",H283="",I283=""),"",MATCH(H283,lst_Likelihood,0)*MATCH(I283,lst_Consequence,0))</f>
        <v/>
      </c>
      <c r="Q283" s="37" t="str">
        <f aca="false">IF(P283="","",IF(P283&gt;=16,"Critical",IF(P283&gt;=10,"High",IF(P283&gt;=5,"Medium","Low"))))</f>
        <v/>
      </c>
      <c r="R283" s="37" t="str">
        <f aca="true">IF(AND(C283&lt;&gt;"",M283&lt;&gt;"Closed",L283&lt;&gt;"",L283&lt;TODAY()),"Overdue","")</f>
        <v/>
      </c>
      <c r="S283" s="40" t="str">
        <f aca="false">IF(AND(N283&lt;&gt;"",B283="Risk",M283&lt;&gt;"Closed"),N283+(1-ROW()/100000),"")</f>
        <v/>
      </c>
      <c r="T283" s="40" t="str">
        <f aca="false">IF(AND(S283&lt;&gt;"",A283='Project Summary'!$C$3),S283,"")</f>
        <v/>
      </c>
    </row>
    <row r="284" customFormat="false" ht="15" hidden="false" customHeight="false" outlineLevel="0" collapsed="false">
      <c r="A284" s="32"/>
      <c r="B284" s="32"/>
      <c r="C284" s="32"/>
      <c r="D284" s="33"/>
      <c r="E284" s="32"/>
      <c r="F284" s="32"/>
      <c r="G284" s="32"/>
      <c r="H284" s="32"/>
      <c r="I284" s="32"/>
      <c r="J284" s="33"/>
      <c r="K284" s="32"/>
      <c r="L284" s="35"/>
      <c r="M284" s="32"/>
      <c r="N284" s="37" t="str">
        <f aca="false">IF(OR(C284="",F284="",G284=""),"",MATCH(F284,lst_Likelihood,0)*MATCH(G284,lst_Consequence,0))</f>
        <v/>
      </c>
      <c r="O284" s="37" t="str">
        <f aca="false">IF(N284="","",IF(N284&gt;=16,"Critical",IF(N284&gt;=10,"High",IF(N284&gt;=5,"Medium","Low"))))</f>
        <v/>
      </c>
      <c r="P284" s="37" t="str">
        <f aca="false">IF(OR(C284="",H284="",I284=""),"",MATCH(H284,lst_Likelihood,0)*MATCH(I284,lst_Consequence,0))</f>
        <v/>
      </c>
      <c r="Q284" s="37" t="str">
        <f aca="false">IF(P284="","",IF(P284&gt;=16,"Critical",IF(P284&gt;=10,"High",IF(P284&gt;=5,"Medium","Low"))))</f>
        <v/>
      </c>
      <c r="R284" s="37" t="str">
        <f aca="true">IF(AND(C284&lt;&gt;"",M284&lt;&gt;"Closed",L284&lt;&gt;"",L284&lt;TODAY()),"Overdue","")</f>
        <v/>
      </c>
      <c r="S284" s="40" t="str">
        <f aca="false">IF(AND(N284&lt;&gt;"",B284="Risk",M284&lt;&gt;"Closed"),N284+(1-ROW()/100000),"")</f>
        <v/>
      </c>
      <c r="T284" s="40" t="str">
        <f aca="false">IF(AND(S284&lt;&gt;"",A284='Project Summary'!$C$3),S284,"")</f>
        <v/>
      </c>
    </row>
    <row r="285" customFormat="false" ht="15" hidden="false" customHeight="false" outlineLevel="0" collapsed="false">
      <c r="A285" s="32"/>
      <c r="B285" s="32"/>
      <c r="C285" s="32"/>
      <c r="D285" s="33"/>
      <c r="E285" s="32"/>
      <c r="F285" s="32"/>
      <c r="G285" s="32"/>
      <c r="H285" s="32"/>
      <c r="I285" s="32"/>
      <c r="J285" s="33"/>
      <c r="K285" s="32"/>
      <c r="L285" s="35"/>
      <c r="M285" s="32"/>
      <c r="N285" s="37" t="str">
        <f aca="false">IF(OR(C285="",F285="",G285=""),"",MATCH(F285,lst_Likelihood,0)*MATCH(G285,lst_Consequence,0))</f>
        <v/>
      </c>
      <c r="O285" s="37" t="str">
        <f aca="false">IF(N285="","",IF(N285&gt;=16,"Critical",IF(N285&gt;=10,"High",IF(N285&gt;=5,"Medium","Low"))))</f>
        <v/>
      </c>
      <c r="P285" s="37" t="str">
        <f aca="false">IF(OR(C285="",H285="",I285=""),"",MATCH(H285,lst_Likelihood,0)*MATCH(I285,lst_Consequence,0))</f>
        <v/>
      </c>
      <c r="Q285" s="37" t="str">
        <f aca="false">IF(P285="","",IF(P285&gt;=16,"Critical",IF(P285&gt;=10,"High",IF(P285&gt;=5,"Medium","Low"))))</f>
        <v/>
      </c>
      <c r="R285" s="37" t="str">
        <f aca="true">IF(AND(C285&lt;&gt;"",M285&lt;&gt;"Closed",L285&lt;&gt;"",L285&lt;TODAY()),"Overdue","")</f>
        <v/>
      </c>
      <c r="S285" s="40" t="str">
        <f aca="false">IF(AND(N285&lt;&gt;"",B285="Risk",M285&lt;&gt;"Closed"),N285+(1-ROW()/100000),"")</f>
        <v/>
      </c>
      <c r="T285" s="40" t="str">
        <f aca="false">IF(AND(S285&lt;&gt;"",A285='Project Summary'!$C$3),S285,"")</f>
        <v/>
      </c>
    </row>
    <row r="286" customFormat="false" ht="15" hidden="false" customHeight="false" outlineLevel="0" collapsed="false">
      <c r="A286" s="32"/>
      <c r="B286" s="32"/>
      <c r="C286" s="32"/>
      <c r="D286" s="33"/>
      <c r="E286" s="32"/>
      <c r="F286" s="32"/>
      <c r="G286" s="32"/>
      <c r="H286" s="32"/>
      <c r="I286" s="32"/>
      <c r="J286" s="33"/>
      <c r="K286" s="32"/>
      <c r="L286" s="35"/>
      <c r="M286" s="32"/>
      <c r="N286" s="37" t="str">
        <f aca="false">IF(OR(C286="",F286="",G286=""),"",MATCH(F286,lst_Likelihood,0)*MATCH(G286,lst_Consequence,0))</f>
        <v/>
      </c>
      <c r="O286" s="37" t="str">
        <f aca="false">IF(N286="","",IF(N286&gt;=16,"Critical",IF(N286&gt;=10,"High",IF(N286&gt;=5,"Medium","Low"))))</f>
        <v/>
      </c>
      <c r="P286" s="37" t="str">
        <f aca="false">IF(OR(C286="",H286="",I286=""),"",MATCH(H286,lst_Likelihood,0)*MATCH(I286,lst_Consequence,0))</f>
        <v/>
      </c>
      <c r="Q286" s="37" t="str">
        <f aca="false">IF(P286="","",IF(P286&gt;=16,"Critical",IF(P286&gt;=10,"High",IF(P286&gt;=5,"Medium","Low"))))</f>
        <v/>
      </c>
      <c r="R286" s="37" t="str">
        <f aca="true">IF(AND(C286&lt;&gt;"",M286&lt;&gt;"Closed",L286&lt;&gt;"",L286&lt;TODAY()),"Overdue","")</f>
        <v/>
      </c>
      <c r="S286" s="40" t="str">
        <f aca="false">IF(AND(N286&lt;&gt;"",B286="Risk",M286&lt;&gt;"Closed"),N286+(1-ROW()/100000),"")</f>
        <v/>
      </c>
      <c r="T286" s="40" t="str">
        <f aca="false">IF(AND(S286&lt;&gt;"",A286='Project Summary'!$C$3),S286,"")</f>
        <v/>
      </c>
    </row>
    <row r="287" customFormat="false" ht="15" hidden="false" customHeight="false" outlineLevel="0" collapsed="false">
      <c r="A287" s="32"/>
      <c r="B287" s="32"/>
      <c r="C287" s="32"/>
      <c r="D287" s="33"/>
      <c r="E287" s="32"/>
      <c r="F287" s="32"/>
      <c r="G287" s="32"/>
      <c r="H287" s="32"/>
      <c r="I287" s="32"/>
      <c r="J287" s="33"/>
      <c r="K287" s="32"/>
      <c r="L287" s="35"/>
      <c r="M287" s="32"/>
      <c r="N287" s="37" t="str">
        <f aca="false">IF(OR(C287="",F287="",G287=""),"",MATCH(F287,lst_Likelihood,0)*MATCH(G287,lst_Consequence,0))</f>
        <v/>
      </c>
      <c r="O287" s="37" t="str">
        <f aca="false">IF(N287="","",IF(N287&gt;=16,"Critical",IF(N287&gt;=10,"High",IF(N287&gt;=5,"Medium","Low"))))</f>
        <v/>
      </c>
      <c r="P287" s="37" t="str">
        <f aca="false">IF(OR(C287="",H287="",I287=""),"",MATCH(H287,lst_Likelihood,0)*MATCH(I287,lst_Consequence,0))</f>
        <v/>
      </c>
      <c r="Q287" s="37" t="str">
        <f aca="false">IF(P287="","",IF(P287&gt;=16,"Critical",IF(P287&gt;=10,"High",IF(P287&gt;=5,"Medium","Low"))))</f>
        <v/>
      </c>
      <c r="R287" s="37" t="str">
        <f aca="true">IF(AND(C287&lt;&gt;"",M287&lt;&gt;"Closed",L287&lt;&gt;"",L287&lt;TODAY()),"Overdue","")</f>
        <v/>
      </c>
      <c r="S287" s="40" t="str">
        <f aca="false">IF(AND(N287&lt;&gt;"",B287="Risk",M287&lt;&gt;"Closed"),N287+(1-ROW()/100000),"")</f>
        <v/>
      </c>
      <c r="T287" s="40" t="str">
        <f aca="false">IF(AND(S287&lt;&gt;"",A287='Project Summary'!$C$3),S287,"")</f>
        <v/>
      </c>
    </row>
    <row r="288" customFormat="false" ht="15" hidden="false" customHeight="false" outlineLevel="0" collapsed="false">
      <c r="A288" s="32"/>
      <c r="B288" s="32"/>
      <c r="C288" s="32"/>
      <c r="D288" s="33"/>
      <c r="E288" s="32"/>
      <c r="F288" s="32"/>
      <c r="G288" s="32"/>
      <c r="H288" s="32"/>
      <c r="I288" s="32"/>
      <c r="J288" s="33"/>
      <c r="K288" s="32"/>
      <c r="L288" s="35"/>
      <c r="M288" s="32"/>
      <c r="N288" s="37" t="str">
        <f aca="false">IF(OR(C288="",F288="",G288=""),"",MATCH(F288,lst_Likelihood,0)*MATCH(G288,lst_Consequence,0))</f>
        <v/>
      </c>
      <c r="O288" s="37" t="str">
        <f aca="false">IF(N288="","",IF(N288&gt;=16,"Critical",IF(N288&gt;=10,"High",IF(N288&gt;=5,"Medium","Low"))))</f>
        <v/>
      </c>
      <c r="P288" s="37" t="str">
        <f aca="false">IF(OR(C288="",H288="",I288=""),"",MATCH(H288,lst_Likelihood,0)*MATCH(I288,lst_Consequence,0))</f>
        <v/>
      </c>
      <c r="Q288" s="37" t="str">
        <f aca="false">IF(P288="","",IF(P288&gt;=16,"Critical",IF(P288&gt;=10,"High",IF(P288&gt;=5,"Medium","Low"))))</f>
        <v/>
      </c>
      <c r="R288" s="37" t="str">
        <f aca="true">IF(AND(C288&lt;&gt;"",M288&lt;&gt;"Closed",L288&lt;&gt;"",L288&lt;TODAY()),"Overdue","")</f>
        <v/>
      </c>
      <c r="S288" s="40" t="str">
        <f aca="false">IF(AND(N288&lt;&gt;"",B288="Risk",M288&lt;&gt;"Closed"),N288+(1-ROW()/100000),"")</f>
        <v/>
      </c>
      <c r="T288" s="40" t="str">
        <f aca="false">IF(AND(S288&lt;&gt;"",A288='Project Summary'!$C$3),S288,"")</f>
        <v/>
      </c>
    </row>
    <row r="289" customFormat="false" ht="15" hidden="false" customHeight="false" outlineLevel="0" collapsed="false">
      <c r="A289" s="32"/>
      <c r="B289" s="32"/>
      <c r="C289" s="32"/>
      <c r="D289" s="33"/>
      <c r="E289" s="32"/>
      <c r="F289" s="32"/>
      <c r="G289" s="32"/>
      <c r="H289" s="32"/>
      <c r="I289" s="32"/>
      <c r="J289" s="33"/>
      <c r="K289" s="32"/>
      <c r="L289" s="35"/>
      <c r="M289" s="32"/>
      <c r="N289" s="37" t="str">
        <f aca="false">IF(OR(C289="",F289="",G289=""),"",MATCH(F289,lst_Likelihood,0)*MATCH(G289,lst_Consequence,0))</f>
        <v/>
      </c>
      <c r="O289" s="37" t="str">
        <f aca="false">IF(N289="","",IF(N289&gt;=16,"Critical",IF(N289&gt;=10,"High",IF(N289&gt;=5,"Medium","Low"))))</f>
        <v/>
      </c>
      <c r="P289" s="37" t="str">
        <f aca="false">IF(OR(C289="",H289="",I289=""),"",MATCH(H289,lst_Likelihood,0)*MATCH(I289,lst_Consequence,0))</f>
        <v/>
      </c>
      <c r="Q289" s="37" t="str">
        <f aca="false">IF(P289="","",IF(P289&gt;=16,"Critical",IF(P289&gt;=10,"High",IF(P289&gt;=5,"Medium","Low"))))</f>
        <v/>
      </c>
      <c r="R289" s="37" t="str">
        <f aca="true">IF(AND(C289&lt;&gt;"",M289&lt;&gt;"Closed",L289&lt;&gt;"",L289&lt;TODAY()),"Overdue","")</f>
        <v/>
      </c>
      <c r="S289" s="40" t="str">
        <f aca="false">IF(AND(N289&lt;&gt;"",B289="Risk",M289&lt;&gt;"Closed"),N289+(1-ROW()/100000),"")</f>
        <v/>
      </c>
      <c r="T289" s="40" t="str">
        <f aca="false">IF(AND(S289&lt;&gt;"",A289='Project Summary'!$C$3),S289,"")</f>
        <v/>
      </c>
    </row>
    <row r="290" customFormat="false" ht="15" hidden="false" customHeight="false" outlineLevel="0" collapsed="false">
      <c r="A290" s="32"/>
      <c r="B290" s="32"/>
      <c r="C290" s="32"/>
      <c r="D290" s="33"/>
      <c r="E290" s="32"/>
      <c r="F290" s="32"/>
      <c r="G290" s="32"/>
      <c r="H290" s="32"/>
      <c r="I290" s="32"/>
      <c r="J290" s="33"/>
      <c r="K290" s="32"/>
      <c r="L290" s="35"/>
      <c r="M290" s="32"/>
      <c r="N290" s="37" t="str">
        <f aca="false">IF(OR(C290="",F290="",G290=""),"",MATCH(F290,lst_Likelihood,0)*MATCH(G290,lst_Consequence,0))</f>
        <v/>
      </c>
      <c r="O290" s="37" t="str">
        <f aca="false">IF(N290="","",IF(N290&gt;=16,"Critical",IF(N290&gt;=10,"High",IF(N290&gt;=5,"Medium","Low"))))</f>
        <v/>
      </c>
      <c r="P290" s="37" t="str">
        <f aca="false">IF(OR(C290="",H290="",I290=""),"",MATCH(H290,lst_Likelihood,0)*MATCH(I290,lst_Consequence,0))</f>
        <v/>
      </c>
      <c r="Q290" s="37" t="str">
        <f aca="false">IF(P290="","",IF(P290&gt;=16,"Critical",IF(P290&gt;=10,"High",IF(P290&gt;=5,"Medium","Low"))))</f>
        <v/>
      </c>
      <c r="R290" s="37" t="str">
        <f aca="true">IF(AND(C290&lt;&gt;"",M290&lt;&gt;"Closed",L290&lt;&gt;"",L290&lt;TODAY()),"Overdue","")</f>
        <v/>
      </c>
      <c r="S290" s="40" t="str">
        <f aca="false">IF(AND(N290&lt;&gt;"",B290="Risk",M290&lt;&gt;"Closed"),N290+(1-ROW()/100000),"")</f>
        <v/>
      </c>
      <c r="T290" s="40" t="str">
        <f aca="false">IF(AND(S290&lt;&gt;"",A290='Project Summary'!$C$3),S290,"")</f>
        <v/>
      </c>
    </row>
    <row r="291" customFormat="false" ht="15" hidden="false" customHeight="false" outlineLevel="0" collapsed="false">
      <c r="A291" s="32"/>
      <c r="B291" s="32"/>
      <c r="C291" s="32"/>
      <c r="D291" s="33"/>
      <c r="E291" s="32"/>
      <c r="F291" s="32"/>
      <c r="G291" s="32"/>
      <c r="H291" s="32"/>
      <c r="I291" s="32"/>
      <c r="J291" s="33"/>
      <c r="K291" s="32"/>
      <c r="L291" s="35"/>
      <c r="M291" s="32"/>
      <c r="N291" s="37" t="str">
        <f aca="false">IF(OR(C291="",F291="",G291=""),"",MATCH(F291,lst_Likelihood,0)*MATCH(G291,lst_Consequence,0))</f>
        <v/>
      </c>
      <c r="O291" s="37" t="str">
        <f aca="false">IF(N291="","",IF(N291&gt;=16,"Critical",IF(N291&gt;=10,"High",IF(N291&gt;=5,"Medium","Low"))))</f>
        <v/>
      </c>
      <c r="P291" s="37" t="str">
        <f aca="false">IF(OR(C291="",H291="",I291=""),"",MATCH(H291,lst_Likelihood,0)*MATCH(I291,lst_Consequence,0))</f>
        <v/>
      </c>
      <c r="Q291" s="37" t="str">
        <f aca="false">IF(P291="","",IF(P291&gt;=16,"Critical",IF(P291&gt;=10,"High",IF(P291&gt;=5,"Medium","Low"))))</f>
        <v/>
      </c>
      <c r="R291" s="37" t="str">
        <f aca="true">IF(AND(C291&lt;&gt;"",M291&lt;&gt;"Closed",L291&lt;&gt;"",L291&lt;TODAY()),"Overdue","")</f>
        <v/>
      </c>
      <c r="S291" s="40" t="str">
        <f aca="false">IF(AND(N291&lt;&gt;"",B291="Risk",M291&lt;&gt;"Closed"),N291+(1-ROW()/100000),"")</f>
        <v/>
      </c>
      <c r="T291" s="40" t="str">
        <f aca="false">IF(AND(S291&lt;&gt;"",A291='Project Summary'!$C$3),S291,"")</f>
        <v/>
      </c>
    </row>
    <row r="292" customFormat="false" ht="15" hidden="false" customHeight="false" outlineLevel="0" collapsed="false">
      <c r="A292" s="32"/>
      <c r="B292" s="32"/>
      <c r="C292" s="32"/>
      <c r="D292" s="33"/>
      <c r="E292" s="32"/>
      <c r="F292" s="32"/>
      <c r="G292" s="32"/>
      <c r="H292" s="32"/>
      <c r="I292" s="32"/>
      <c r="J292" s="33"/>
      <c r="K292" s="32"/>
      <c r="L292" s="35"/>
      <c r="M292" s="32"/>
      <c r="N292" s="37" t="str">
        <f aca="false">IF(OR(C292="",F292="",G292=""),"",MATCH(F292,lst_Likelihood,0)*MATCH(G292,lst_Consequence,0))</f>
        <v/>
      </c>
      <c r="O292" s="37" t="str">
        <f aca="false">IF(N292="","",IF(N292&gt;=16,"Critical",IF(N292&gt;=10,"High",IF(N292&gt;=5,"Medium","Low"))))</f>
        <v/>
      </c>
      <c r="P292" s="37" t="str">
        <f aca="false">IF(OR(C292="",H292="",I292=""),"",MATCH(H292,lst_Likelihood,0)*MATCH(I292,lst_Consequence,0))</f>
        <v/>
      </c>
      <c r="Q292" s="37" t="str">
        <f aca="false">IF(P292="","",IF(P292&gt;=16,"Critical",IF(P292&gt;=10,"High",IF(P292&gt;=5,"Medium","Low"))))</f>
        <v/>
      </c>
      <c r="R292" s="37" t="str">
        <f aca="true">IF(AND(C292&lt;&gt;"",M292&lt;&gt;"Closed",L292&lt;&gt;"",L292&lt;TODAY()),"Overdue","")</f>
        <v/>
      </c>
      <c r="S292" s="40" t="str">
        <f aca="false">IF(AND(N292&lt;&gt;"",B292="Risk",M292&lt;&gt;"Closed"),N292+(1-ROW()/100000),"")</f>
        <v/>
      </c>
      <c r="T292" s="40" t="str">
        <f aca="false">IF(AND(S292&lt;&gt;"",A292='Project Summary'!$C$3),S292,"")</f>
        <v/>
      </c>
    </row>
    <row r="293" customFormat="false" ht="15" hidden="false" customHeight="false" outlineLevel="0" collapsed="false">
      <c r="A293" s="32"/>
      <c r="B293" s="32"/>
      <c r="C293" s="32"/>
      <c r="D293" s="33"/>
      <c r="E293" s="32"/>
      <c r="F293" s="32"/>
      <c r="G293" s="32"/>
      <c r="H293" s="32"/>
      <c r="I293" s="32"/>
      <c r="J293" s="33"/>
      <c r="K293" s="32"/>
      <c r="L293" s="35"/>
      <c r="M293" s="32"/>
      <c r="N293" s="37" t="str">
        <f aca="false">IF(OR(C293="",F293="",G293=""),"",MATCH(F293,lst_Likelihood,0)*MATCH(G293,lst_Consequence,0))</f>
        <v/>
      </c>
      <c r="O293" s="37" t="str">
        <f aca="false">IF(N293="","",IF(N293&gt;=16,"Critical",IF(N293&gt;=10,"High",IF(N293&gt;=5,"Medium","Low"))))</f>
        <v/>
      </c>
      <c r="P293" s="37" t="str">
        <f aca="false">IF(OR(C293="",H293="",I293=""),"",MATCH(H293,lst_Likelihood,0)*MATCH(I293,lst_Consequence,0))</f>
        <v/>
      </c>
      <c r="Q293" s="37" t="str">
        <f aca="false">IF(P293="","",IF(P293&gt;=16,"Critical",IF(P293&gt;=10,"High",IF(P293&gt;=5,"Medium","Low"))))</f>
        <v/>
      </c>
      <c r="R293" s="37" t="str">
        <f aca="true">IF(AND(C293&lt;&gt;"",M293&lt;&gt;"Closed",L293&lt;&gt;"",L293&lt;TODAY()),"Overdue","")</f>
        <v/>
      </c>
      <c r="S293" s="40" t="str">
        <f aca="false">IF(AND(N293&lt;&gt;"",B293="Risk",M293&lt;&gt;"Closed"),N293+(1-ROW()/100000),"")</f>
        <v/>
      </c>
      <c r="T293" s="40" t="str">
        <f aca="false">IF(AND(S293&lt;&gt;"",A293='Project Summary'!$C$3),S293,"")</f>
        <v/>
      </c>
    </row>
    <row r="294" customFormat="false" ht="15" hidden="false" customHeight="false" outlineLevel="0" collapsed="false">
      <c r="A294" s="32"/>
      <c r="B294" s="32"/>
      <c r="C294" s="32"/>
      <c r="D294" s="33"/>
      <c r="E294" s="32"/>
      <c r="F294" s="32"/>
      <c r="G294" s="32"/>
      <c r="H294" s="32"/>
      <c r="I294" s="32"/>
      <c r="J294" s="33"/>
      <c r="K294" s="32"/>
      <c r="L294" s="35"/>
      <c r="M294" s="32"/>
      <c r="N294" s="37" t="str">
        <f aca="false">IF(OR(C294="",F294="",G294=""),"",MATCH(F294,lst_Likelihood,0)*MATCH(G294,lst_Consequence,0))</f>
        <v/>
      </c>
      <c r="O294" s="37" t="str">
        <f aca="false">IF(N294="","",IF(N294&gt;=16,"Critical",IF(N294&gt;=10,"High",IF(N294&gt;=5,"Medium","Low"))))</f>
        <v/>
      </c>
      <c r="P294" s="37" t="str">
        <f aca="false">IF(OR(C294="",H294="",I294=""),"",MATCH(H294,lst_Likelihood,0)*MATCH(I294,lst_Consequence,0))</f>
        <v/>
      </c>
      <c r="Q294" s="37" t="str">
        <f aca="false">IF(P294="","",IF(P294&gt;=16,"Critical",IF(P294&gt;=10,"High",IF(P294&gt;=5,"Medium","Low"))))</f>
        <v/>
      </c>
      <c r="R294" s="37" t="str">
        <f aca="true">IF(AND(C294&lt;&gt;"",M294&lt;&gt;"Closed",L294&lt;&gt;"",L294&lt;TODAY()),"Overdue","")</f>
        <v/>
      </c>
      <c r="S294" s="40" t="str">
        <f aca="false">IF(AND(N294&lt;&gt;"",B294="Risk",M294&lt;&gt;"Closed"),N294+(1-ROW()/100000),"")</f>
        <v/>
      </c>
      <c r="T294" s="40" t="str">
        <f aca="false">IF(AND(S294&lt;&gt;"",A294='Project Summary'!$C$3),S294,"")</f>
        <v/>
      </c>
    </row>
    <row r="295" customFormat="false" ht="15" hidden="false" customHeight="false" outlineLevel="0" collapsed="false">
      <c r="A295" s="32"/>
      <c r="B295" s="32"/>
      <c r="C295" s="32"/>
      <c r="D295" s="33"/>
      <c r="E295" s="32"/>
      <c r="F295" s="32"/>
      <c r="G295" s="32"/>
      <c r="H295" s="32"/>
      <c r="I295" s="32"/>
      <c r="J295" s="33"/>
      <c r="K295" s="32"/>
      <c r="L295" s="35"/>
      <c r="M295" s="32"/>
      <c r="N295" s="37" t="str">
        <f aca="false">IF(OR(C295="",F295="",G295=""),"",MATCH(F295,lst_Likelihood,0)*MATCH(G295,lst_Consequence,0))</f>
        <v/>
      </c>
      <c r="O295" s="37" t="str">
        <f aca="false">IF(N295="","",IF(N295&gt;=16,"Critical",IF(N295&gt;=10,"High",IF(N295&gt;=5,"Medium","Low"))))</f>
        <v/>
      </c>
      <c r="P295" s="37" t="str">
        <f aca="false">IF(OR(C295="",H295="",I295=""),"",MATCH(H295,lst_Likelihood,0)*MATCH(I295,lst_Consequence,0))</f>
        <v/>
      </c>
      <c r="Q295" s="37" t="str">
        <f aca="false">IF(P295="","",IF(P295&gt;=16,"Critical",IF(P295&gt;=10,"High",IF(P295&gt;=5,"Medium","Low"))))</f>
        <v/>
      </c>
      <c r="R295" s="37" t="str">
        <f aca="true">IF(AND(C295&lt;&gt;"",M295&lt;&gt;"Closed",L295&lt;&gt;"",L295&lt;TODAY()),"Overdue","")</f>
        <v/>
      </c>
      <c r="S295" s="40" t="str">
        <f aca="false">IF(AND(N295&lt;&gt;"",B295="Risk",M295&lt;&gt;"Closed"),N295+(1-ROW()/100000),"")</f>
        <v/>
      </c>
      <c r="T295" s="40" t="str">
        <f aca="false">IF(AND(S295&lt;&gt;"",A295='Project Summary'!$C$3),S295,"")</f>
        <v/>
      </c>
    </row>
    <row r="296" customFormat="false" ht="15" hidden="false" customHeight="false" outlineLevel="0" collapsed="false">
      <c r="A296" s="32"/>
      <c r="B296" s="32"/>
      <c r="C296" s="32"/>
      <c r="D296" s="33"/>
      <c r="E296" s="32"/>
      <c r="F296" s="32"/>
      <c r="G296" s="32"/>
      <c r="H296" s="32"/>
      <c r="I296" s="32"/>
      <c r="J296" s="33"/>
      <c r="K296" s="32"/>
      <c r="L296" s="35"/>
      <c r="M296" s="32"/>
      <c r="N296" s="37" t="str">
        <f aca="false">IF(OR(C296="",F296="",G296=""),"",MATCH(F296,lst_Likelihood,0)*MATCH(G296,lst_Consequence,0))</f>
        <v/>
      </c>
      <c r="O296" s="37" t="str">
        <f aca="false">IF(N296="","",IF(N296&gt;=16,"Critical",IF(N296&gt;=10,"High",IF(N296&gt;=5,"Medium","Low"))))</f>
        <v/>
      </c>
      <c r="P296" s="37" t="str">
        <f aca="false">IF(OR(C296="",H296="",I296=""),"",MATCH(H296,lst_Likelihood,0)*MATCH(I296,lst_Consequence,0))</f>
        <v/>
      </c>
      <c r="Q296" s="37" t="str">
        <f aca="false">IF(P296="","",IF(P296&gt;=16,"Critical",IF(P296&gt;=10,"High",IF(P296&gt;=5,"Medium","Low"))))</f>
        <v/>
      </c>
      <c r="R296" s="37" t="str">
        <f aca="true">IF(AND(C296&lt;&gt;"",M296&lt;&gt;"Closed",L296&lt;&gt;"",L296&lt;TODAY()),"Overdue","")</f>
        <v/>
      </c>
      <c r="S296" s="40" t="str">
        <f aca="false">IF(AND(N296&lt;&gt;"",B296="Risk",M296&lt;&gt;"Closed"),N296+(1-ROW()/100000),"")</f>
        <v/>
      </c>
      <c r="T296" s="40" t="str">
        <f aca="false">IF(AND(S296&lt;&gt;"",A296='Project Summary'!$C$3),S296,"")</f>
        <v/>
      </c>
    </row>
    <row r="297" customFormat="false" ht="15" hidden="false" customHeight="false" outlineLevel="0" collapsed="false">
      <c r="A297" s="32"/>
      <c r="B297" s="32"/>
      <c r="C297" s="32"/>
      <c r="D297" s="33"/>
      <c r="E297" s="32"/>
      <c r="F297" s="32"/>
      <c r="G297" s="32"/>
      <c r="H297" s="32"/>
      <c r="I297" s="32"/>
      <c r="J297" s="33"/>
      <c r="K297" s="32"/>
      <c r="L297" s="35"/>
      <c r="M297" s="32"/>
      <c r="N297" s="37" t="str">
        <f aca="false">IF(OR(C297="",F297="",G297=""),"",MATCH(F297,lst_Likelihood,0)*MATCH(G297,lst_Consequence,0))</f>
        <v/>
      </c>
      <c r="O297" s="37" t="str">
        <f aca="false">IF(N297="","",IF(N297&gt;=16,"Critical",IF(N297&gt;=10,"High",IF(N297&gt;=5,"Medium","Low"))))</f>
        <v/>
      </c>
      <c r="P297" s="37" t="str">
        <f aca="false">IF(OR(C297="",H297="",I297=""),"",MATCH(H297,lst_Likelihood,0)*MATCH(I297,lst_Consequence,0))</f>
        <v/>
      </c>
      <c r="Q297" s="37" t="str">
        <f aca="false">IF(P297="","",IF(P297&gt;=16,"Critical",IF(P297&gt;=10,"High",IF(P297&gt;=5,"Medium","Low"))))</f>
        <v/>
      </c>
      <c r="R297" s="37" t="str">
        <f aca="true">IF(AND(C297&lt;&gt;"",M297&lt;&gt;"Closed",L297&lt;&gt;"",L297&lt;TODAY()),"Overdue","")</f>
        <v/>
      </c>
      <c r="S297" s="40" t="str">
        <f aca="false">IF(AND(N297&lt;&gt;"",B297="Risk",M297&lt;&gt;"Closed"),N297+(1-ROW()/100000),"")</f>
        <v/>
      </c>
      <c r="T297" s="40" t="str">
        <f aca="false">IF(AND(S297&lt;&gt;"",A297='Project Summary'!$C$3),S297,"")</f>
        <v/>
      </c>
    </row>
    <row r="298" customFormat="false" ht="15" hidden="false" customHeight="false" outlineLevel="0" collapsed="false">
      <c r="A298" s="32"/>
      <c r="B298" s="32"/>
      <c r="C298" s="32"/>
      <c r="D298" s="33"/>
      <c r="E298" s="32"/>
      <c r="F298" s="32"/>
      <c r="G298" s="32"/>
      <c r="H298" s="32"/>
      <c r="I298" s="32"/>
      <c r="J298" s="33"/>
      <c r="K298" s="32"/>
      <c r="L298" s="35"/>
      <c r="M298" s="32"/>
      <c r="N298" s="37" t="str">
        <f aca="false">IF(OR(C298="",F298="",G298=""),"",MATCH(F298,lst_Likelihood,0)*MATCH(G298,lst_Consequence,0))</f>
        <v/>
      </c>
      <c r="O298" s="37" t="str">
        <f aca="false">IF(N298="","",IF(N298&gt;=16,"Critical",IF(N298&gt;=10,"High",IF(N298&gt;=5,"Medium","Low"))))</f>
        <v/>
      </c>
      <c r="P298" s="37" t="str">
        <f aca="false">IF(OR(C298="",H298="",I298=""),"",MATCH(H298,lst_Likelihood,0)*MATCH(I298,lst_Consequence,0))</f>
        <v/>
      </c>
      <c r="Q298" s="37" t="str">
        <f aca="false">IF(P298="","",IF(P298&gt;=16,"Critical",IF(P298&gt;=10,"High",IF(P298&gt;=5,"Medium","Low"))))</f>
        <v/>
      </c>
      <c r="R298" s="37" t="str">
        <f aca="true">IF(AND(C298&lt;&gt;"",M298&lt;&gt;"Closed",L298&lt;&gt;"",L298&lt;TODAY()),"Overdue","")</f>
        <v/>
      </c>
      <c r="S298" s="40" t="str">
        <f aca="false">IF(AND(N298&lt;&gt;"",B298="Risk",M298&lt;&gt;"Closed"),N298+(1-ROW()/100000),"")</f>
        <v/>
      </c>
      <c r="T298" s="40" t="str">
        <f aca="false">IF(AND(S298&lt;&gt;"",A298='Project Summary'!$C$3),S298,"")</f>
        <v/>
      </c>
    </row>
    <row r="299" customFormat="false" ht="15" hidden="false" customHeight="false" outlineLevel="0" collapsed="false">
      <c r="A299" s="32"/>
      <c r="B299" s="32"/>
      <c r="C299" s="32"/>
      <c r="D299" s="33"/>
      <c r="E299" s="32"/>
      <c r="F299" s="32"/>
      <c r="G299" s="32"/>
      <c r="H299" s="32"/>
      <c r="I299" s="32"/>
      <c r="J299" s="33"/>
      <c r="K299" s="32"/>
      <c r="L299" s="35"/>
      <c r="M299" s="32"/>
      <c r="N299" s="37" t="str">
        <f aca="false">IF(OR(C299="",F299="",G299=""),"",MATCH(F299,lst_Likelihood,0)*MATCH(G299,lst_Consequence,0))</f>
        <v/>
      </c>
      <c r="O299" s="37" t="str">
        <f aca="false">IF(N299="","",IF(N299&gt;=16,"Critical",IF(N299&gt;=10,"High",IF(N299&gt;=5,"Medium","Low"))))</f>
        <v/>
      </c>
      <c r="P299" s="37" t="str">
        <f aca="false">IF(OR(C299="",H299="",I299=""),"",MATCH(H299,lst_Likelihood,0)*MATCH(I299,lst_Consequence,0))</f>
        <v/>
      </c>
      <c r="Q299" s="37" t="str">
        <f aca="false">IF(P299="","",IF(P299&gt;=16,"Critical",IF(P299&gt;=10,"High",IF(P299&gt;=5,"Medium","Low"))))</f>
        <v/>
      </c>
      <c r="R299" s="37" t="str">
        <f aca="true">IF(AND(C299&lt;&gt;"",M299&lt;&gt;"Closed",L299&lt;&gt;"",L299&lt;TODAY()),"Overdue","")</f>
        <v/>
      </c>
      <c r="S299" s="40" t="str">
        <f aca="false">IF(AND(N299&lt;&gt;"",B299="Risk",M299&lt;&gt;"Closed"),N299+(1-ROW()/100000),"")</f>
        <v/>
      </c>
      <c r="T299" s="40" t="str">
        <f aca="false">IF(AND(S299&lt;&gt;"",A299='Project Summary'!$C$3),S299,"")</f>
        <v/>
      </c>
    </row>
    <row r="300" customFormat="false" ht="15" hidden="false" customHeight="false" outlineLevel="0" collapsed="false">
      <c r="A300" s="32"/>
      <c r="B300" s="32"/>
      <c r="C300" s="32"/>
      <c r="D300" s="33"/>
      <c r="E300" s="32"/>
      <c r="F300" s="32"/>
      <c r="G300" s="32"/>
      <c r="H300" s="32"/>
      <c r="I300" s="32"/>
      <c r="J300" s="33"/>
      <c r="K300" s="32"/>
      <c r="L300" s="35"/>
      <c r="M300" s="32"/>
      <c r="N300" s="37" t="str">
        <f aca="false">IF(OR(C300="",F300="",G300=""),"",MATCH(F300,lst_Likelihood,0)*MATCH(G300,lst_Consequence,0))</f>
        <v/>
      </c>
      <c r="O300" s="37" t="str">
        <f aca="false">IF(N300="","",IF(N300&gt;=16,"Critical",IF(N300&gt;=10,"High",IF(N300&gt;=5,"Medium","Low"))))</f>
        <v/>
      </c>
      <c r="P300" s="37" t="str">
        <f aca="false">IF(OR(C300="",H300="",I300=""),"",MATCH(H300,lst_Likelihood,0)*MATCH(I300,lst_Consequence,0))</f>
        <v/>
      </c>
      <c r="Q300" s="37" t="str">
        <f aca="false">IF(P300="","",IF(P300&gt;=16,"Critical",IF(P300&gt;=10,"High",IF(P300&gt;=5,"Medium","Low"))))</f>
        <v/>
      </c>
      <c r="R300" s="37" t="str">
        <f aca="true">IF(AND(C300&lt;&gt;"",M300&lt;&gt;"Closed",L300&lt;&gt;"",L300&lt;TODAY()),"Overdue","")</f>
        <v/>
      </c>
      <c r="S300" s="40" t="str">
        <f aca="false">IF(AND(N300&lt;&gt;"",B300="Risk",M300&lt;&gt;"Closed"),N300+(1-ROW()/100000),"")</f>
        <v/>
      </c>
      <c r="T300" s="40" t="str">
        <f aca="false">IF(AND(S300&lt;&gt;"",A300='Project Summary'!$C$3),S300,"")</f>
        <v/>
      </c>
    </row>
    <row r="301" customFormat="false" ht="15" hidden="false" customHeight="false" outlineLevel="0" collapsed="false">
      <c r="A301" s="32"/>
      <c r="B301" s="32"/>
      <c r="C301" s="32"/>
      <c r="D301" s="33"/>
      <c r="E301" s="32"/>
      <c r="F301" s="32"/>
      <c r="G301" s="32"/>
      <c r="H301" s="32"/>
      <c r="I301" s="32"/>
      <c r="J301" s="33"/>
      <c r="K301" s="32"/>
      <c r="L301" s="35"/>
      <c r="M301" s="32"/>
      <c r="N301" s="37" t="str">
        <f aca="false">IF(OR(C301="",F301="",G301=""),"",MATCH(F301,lst_Likelihood,0)*MATCH(G301,lst_Consequence,0))</f>
        <v/>
      </c>
      <c r="O301" s="37" t="str">
        <f aca="false">IF(N301="","",IF(N301&gt;=16,"Critical",IF(N301&gt;=10,"High",IF(N301&gt;=5,"Medium","Low"))))</f>
        <v/>
      </c>
      <c r="P301" s="37" t="str">
        <f aca="false">IF(OR(C301="",H301="",I301=""),"",MATCH(H301,lst_Likelihood,0)*MATCH(I301,lst_Consequence,0))</f>
        <v/>
      </c>
      <c r="Q301" s="37" t="str">
        <f aca="false">IF(P301="","",IF(P301&gt;=16,"Critical",IF(P301&gt;=10,"High",IF(P301&gt;=5,"Medium","Low"))))</f>
        <v/>
      </c>
      <c r="R301" s="37" t="str">
        <f aca="true">IF(AND(C301&lt;&gt;"",M301&lt;&gt;"Closed",L301&lt;&gt;"",L301&lt;TODAY()),"Overdue","")</f>
        <v/>
      </c>
      <c r="S301" s="40" t="str">
        <f aca="false">IF(AND(N301&lt;&gt;"",B301="Risk",M301&lt;&gt;"Closed"),N301+(1-ROW()/100000),"")</f>
        <v/>
      </c>
      <c r="T301" s="40" t="str">
        <f aca="false">IF(AND(S301&lt;&gt;"",A301='Project Summary'!$C$3),S301,"")</f>
        <v/>
      </c>
    </row>
    <row r="302" customFormat="false" ht="15" hidden="false" customHeight="false" outlineLevel="0" collapsed="false">
      <c r="A302" s="32"/>
      <c r="B302" s="32"/>
      <c r="C302" s="32"/>
      <c r="D302" s="33"/>
      <c r="E302" s="32"/>
      <c r="F302" s="32"/>
      <c r="G302" s="32"/>
      <c r="H302" s="32"/>
      <c r="I302" s="32"/>
      <c r="J302" s="33"/>
      <c r="K302" s="32"/>
      <c r="L302" s="35"/>
      <c r="M302" s="32"/>
      <c r="N302" s="37" t="str">
        <f aca="false">IF(OR(C302="",F302="",G302=""),"",MATCH(F302,lst_Likelihood,0)*MATCH(G302,lst_Consequence,0))</f>
        <v/>
      </c>
      <c r="O302" s="37" t="str">
        <f aca="false">IF(N302="","",IF(N302&gt;=16,"Critical",IF(N302&gt;=10,"High",IF(N302&gt;=5,"Medium","Low"))))</f>
        <v/>
      </c>
      <c r="P302" s="37" t="str">
        <f aca="false">IF(OR(C302="",H302="",I302=""),"",MATCH(H302,lst_Likelihood,0)*MATCH(I302,lst_Consequence,0))</f>
        <v/>
      </c>
      <c r="Q302" s="37" t="str">
        <f aca="false">IF(P302="","",IF(P302&gt;=16,"Critical",IF(P302&gt;=10,"High",IF(P302&gt;=5,"Medium","Low"))))</f>
        <v/>
      </c>
      <c r="R302" s="37" t="str">
        <f aca="true">IF(AND(C302&lt;&gt;"",M302&lt;&gt;"Closed",L302&lt;&gt;"",L302&lt;TODAY()),"Overdue","")</f>
        <v/>
      </c>
      <c r="S302" s="40" t="str">
        <f aca="false">IF(AND(N302&lt;&gt;"",B302="Risk",M302&lt;&gt;"Closed"),N302+(1-ROW()/100000),"")</f>
        <v/>
      </c>
      <c r="T302" s="40" t="str">
        <f aca="false">IF(AND(S302&lt;&gt;"",A302='Project Summary'!$C$3),S302,"")</f>
        <v/>
      </c>
    </row>
    <row r="303" customFormat="false" ht="15" hidden="false" customHeight="false" outlineLevel="0" collapsed="false">
      <c r="A303" s="32"/>
      <c r="B303" s="32"/>
      <c r="C303" s="32"/>
      <c r="D303" s="33"/>
      <c r="E303" s="32"/>
      <c r="F303" s="32"/>
      <c r="G303" s="32"/>
      <c r="H303" s="32"/>
      <c r="I303" s="32"/>
      <c r="J303" s="33"/>
      <c r="K303" s="32"/>
      <c r="L303" s="35"/>
      <c r="M303" s="32"/>
      <c r="N303" s="37" t="str">
        <f aca="false">IF(OR(C303="",F303="",G303=""),"",MATCH(F303,lst_Likelihood,0)*MATCH(G303,lst_Consequence,0))</f>
        <v/>
      </c>
      <c r="O303" s="37" t="str">
        <f aca="false">IF(N303="","",IF(N303&gt;=16,"Critical",IF(N303&gt;=10,"High",IF(N303&gt;=5,"Medium","Low"))))</f>
        <v/>
      </c>
      <c r="P303" s="37" t="str">
        <f aca="false">IF(OR(C303="",H303="",I303=""),"",MATCH(H303,lst_Likelihood,0)*MATCH(I303,lst_Consequence,0))</f>
        <v/>
      </c>
      <c r="Q303" s="37" t="str">
        <f aca="false">IF(P303="","",IF(P303&gt;=16,"Critical",IF(P303&gt;=10,"High",IF(P303&gt;=5,"Medium","Low"))))</f>
        <v/>
      </c>
      <c r="R303" s="37" t="str">
        <f aca="true">IF(AND(C303&lt;&gt;"",M303&lt;&gt;"Closed",L303&lt;&gt;"",L303&lt;TODAY()),"Overdue","")</f>
        <v/>
      </c>
      <c r="S303" s="40" t="str">
        <f aca="false">IF(AND(N303&lt;&gt;"",B303="Risk",M303&lt;&gt;"Closed"),N303+(1-ROW()/100000),"")</f>
        <v/>
      </c>
      <c r="T303" s="40" t="str">
        <f aca="false">IF(AND(S303&lt;&gt;"",A303='Project Summary'!$C$3),S303,"")</f>
        <v/>
      </c>
    </row>
    <row r="304" customFormat="false" ht="15" hidden="false" customHeight="false" outlineLevel="0" collapsed="false">
      <c r="A304" s="32"/>
      <c r="B304" s="32"/>
      <c r="C304" s="32"/>
      <c r="D304" s="33"/>
      <c r="E304" s="32"/>
      <c r="F304" s="32"/>
      <c r="G304" s="32"/>
      <c r="H304" s="32"/>
      <c r="I304" s="32"/>
      <c r="J304" s="33"/>
      <c r="K304" s="32"/>
      <c r="L304" s="35"/>
      <c r="M304" s="32"/>
      <c r="N304" s="37" t="str">
        <f aca="false">IF(OR(C304="",F304="",G304=""),"",MATCH(F304,lst_Likelihood,0)*MATCH(G304,lst_Consequence,0))</f>
        <v/>
      </c>
      <c r="O304" s="37" t="str">
        <f aca="false">IF(N304="","",IF(N304&gt;=16,"Critical",IF(N304&gt;=10,"High",IF(N304&gt;=5,"Medium","Low"))))</f>
        <v/>
      </c>
      <c r="P304" s="37" t="str">
        <f aca="false">IF(OR(C304="",H304="",I304=""),"",MATCH(H304,lst_Likelihood,0)*MATCH(I304,lst_Consequence,0))</f>
        <v/>
      </c>
      <c r="Q304" s="37" t="str">
        <f aca="false">IF(P304="","",IF(P304&gt;=16,"Critical",IF(P304&gt;=10,"High",IF(P304&gt;=5,"Medium","Low"))))</f>
        <v/>
      </c>
      <c r="R304" s="37" t="str">
        <f aca="true">IF(AND(C304&lt;&gt;"",M304&lt;&gt;"Closed",L304&lt;&gt;"",L304&lt;TODAY()),"Overdue","")</f>
        <v/>
      </c>
      <c r="S304" s="40" t="str">
        <f aca="false">IF(AND(N304&lt;&gt;"",B304="Risk",M304&lt;&gt;"Closed"),N304+(1-ROW()/100000),"")</f>
        <v/>
      </c>
      <c r="T304" s="40" t="str">
        <f aca="false">IF(AND(S304&lt;&gt;"",A304='Project Summary'!$C$3),S304,"")</f>
        <v/>
      </c>
    </row>
    <row r="305" customFormat="false" ht="15" hidden="false" customHeight="false" outlineLevel="0" collapsed="false">
      <c r="A305" s="32"/>
      <c r="B305" s="32"/>
      <c r="C305" s="32"/>
      <c r="D305" s="33"/>
      <c r="E305" s="32"/>
      <c r="F305" s="32"/>
      <c r="G305" s="32"/>
      <c r="H305" s="32"/>
      <c r="I305" s="32"/>
      <c r="J305" s="33"/>
      <c r="K305" s="32"/>
      <c r="L305" s="35"/>
      <c r="M305" s="32"/>
      <c r="N305" s="37" t="str">
        <f aca="false">IF(OR(C305="",F305="",G305=""),"",MATCH(F305,lst_Likelihood,0)*MATCH(G305,lst_Consequence,0))</f>
        <v/>
      </c>
      <c r="O305" s="37" t="str">
        <f aca="false">IF(N305="","",IF(N305&gt;=16,"Critical",IF(N305&gt;=10,"High",IF(N305&gt;=5,"Medium","Low"))))</f>
        <v/>
      </c>
      <c r="P305" s="37" t="str">
        <f aca="false">IF(OR(C305="",H305="",I305=""),"",MATCH(H305,lst_Likelihood,0)*MATCH(I305,lst_Consequence,0))</f>
        <v/>
      </c>
      <c r="Q305" s="37" t="str">
        <f aca="false">IF(P305="","",IF(P305&gt;=16,"Critical",IF(P305&gt;=10,"High",IF(P305&gt;=5,"Medium","Low"))))</f>
        <v/>
      </c>
      <c r="R305" s="37" t="str">
        <f aca="true">IF(AND(C305&lt;&gt;"",M305&lt;&gt;"Closed",L305&lt;&gt;"",L305&lt;TODAY()),"Overdue","")</f>
        <v/>
      </c>
      <c r="S305" s="40" t="str">
        <f aca="false">IF(AND(N305&lt;&gt;"",B305="Risk",M305&lt;&gt;"Closed"),N305+(1-ROW()/100000),"")</f>
        <v/>
      </c>
      <c r="T305" s="40" t="str">
        <f aca="false">IF(AND(S305&lt;&gt;"",A305='Project Summary'!$C$3),S305,"")</f>
        <v/>
      </c>
    </row>
    <row r="306" customFormat="false" ht="15" hidden="false" customHeight="false" outlineLevel="0" collapsed="false">
      <c r="A306" s="32"/>
      <c r="B306" s="32"/>
      <c r="C306" s="32"/>
      <c r="D306" s="33"/>
      <c r="E306" s="32"/>
      <c r="F306" s="32"/>
      <c r="G306" s="32"/>
      <c r="H306" s="32"/>
      <c r="I306" s="32"/>
      <c r="J306" s="33"/>
      <c r="K306" s="32"/>
      <c r="L306" s="35"/>
      <c r="M306" s="32"/>
      <c r="N306" s="37" t="str">
        <f aca="false">IF(OR(C306="",F306="",G306=""),"",MATCH(F306,lst_Likelihood,0)*MATCH(G306,lst_Consequence,0))</f>
        <v/>
      </c>
      <c r="O306" s="37" t="str">
        <f aca="false">IF(N306="","",IF(N306&gt;=16,"Critical",IF(N306&gt;=10,"High",IF(N306&gt;=5,"Medium","Low"))))</f>
        <v/>
      </c>
      <c r="P306" s="37" t="str">
        <f aca="false">IF(OR(C306="",H306="",I306=""),"",MATCH(H306,lst_Likelihood,0)*MATCH(I306,lst_Consequence,0))</f>
        <v/>
      </c>
      <c r="Q306" s="37" t="str">
        <f aca="false">IF(P306="","",IF(P306&gt;=16,"Critical",IF(P306&gt;=10,"High",IF(P306&gt;=5,"Medium","Low"))))</f>
        <v/>
      </c>
      <c r="R306" s="37" t="str">
        <f aca="true">IF(AND(C306&lt;&gt;"",M306&lt;&gt;"Closed",L306&lt;&gt;"",L306&lt;TODAY()),"Overdue","")</f>
        <v/>
      </c>
      <c r="S306" s="40" t="str">
        <f aca="false">IF(AND(N306&lt;&gt;"",B306="Risk",M306&lt;&gt;"Closed"),N306+(1-ROW()/100000),"")</f>
        <v/>
      </c>
      <c r="T306" s="40" t="str">
        <f aca="false">IF(AND(S306&lt;&gt;"",A306='Project Summary'!$C$3),S306,"")</f>
        <v/>
      </c>
    </row>
    <row r="307" customFormat="false" ht="15" hidden="false" customHeight="false" outlineLevel="0" collapsed="false">
      <c r="A307" s="32"/>
      <c r="B307" s="32"/>
      <c r="C307" s="32"/>
      <c r="D307" s="33"/>
      <c r="E307" s="32"/>
      <c r="F307" s="32"/>
      <c r="G307" s="32"/>
      <c r="H307" s="32"/>
      <c r="I307" s="32"/>
      <c r="J307" s="33"/>
      <c r="K307" s="32"/>
      <c r="L307" s="35"/>
      <c r="M307" s="32"/>
      <c r="N307" s="37" t="str">
        <f aca="false">IF(OR(C307="",F307="",G307=""),"",MATCH(F307,lst_Likelihood,0)*MATCH(G307,lst_Consequence,0))</f>
        <v/>
      </c>
      <c r="O307" s="37" t="str">
        <f aca="false">IF(N307="","",IF(N307&gt;=16,"Critical",IF(N307&gt;=10,"High",IF(N307&gt;=5,"Medium","Low"))))</f>
        <v/>
      </c>
      <c r="P307" s="37" t="str">
        <f aca="false">IF(OR(C307="",H307="",I307=""),"",MATCH(H307,lst_Likelihood,0)*MATCH(I307,lst_Consequence,0))</f>
        <v/>
      </c>
      <c r="Q307" s="37" t="str">
        <f aca="false">IF(P307="","",IF(P307&gt;=16,"Critical",IF(P307&gt;=10,"High",IF(P307&gt;=5,"Medium","Low"))))</f>
        <v/>
      </c>
      <c r="R307" s="37" t="str">
        <f aca="true">IF(AND(C307&lt;&gt;"",M307&lt;&gt;"Closed",L307&lt;&gt;"",L307&lt;TODAY()),"Overdue","")</f>
        <v/>
      </c>
      <c r="S307" s="40" t="str">
        <f aca="false">IF(AND(N307&lt;&gt;"",B307="Risk",M307&lt;&gt;"Closed"),N307+(1-ROW()/100000),"")</f>
        <v/>
      </c>
      <c r="T307" s="40" t="str">
        <f aca="false">IF(AND(S307&lt;&gt;"",A307='Project Summary'!$C$3),S307,"")</f>
        <v/>
      </c>
    </row>
    <row r="308" customFormat="false" ht="15" hidden="false" customHeight="false" outlineLevel="0" collapsed="false">
      <c r="A308" s="32"/>
      <c r="B308" s="32"/>
      <c r="C308" s="32"/>
      <c r="D308" s="33"/>
      <c r="E308" s="32"/>
      <c r="F308" s="32"/>
      <c r="G308" s="32"/>
      <c r="H308" s="32"/>
      <c r="I308" s="32"/>
      <c r="J308" s="33"/>
      <c r="K308" s="32"/>
      <c r="L308" s="35"/>
      <c r="M308" s="32"/>
      <c r="N308" s="37" t="str">
        <f aca="false">IF(OR(C308="",F308="",G308=""),"",MATCH(F308,lst_Likelihood,0)*MATCH(G308,lst_Consequence,0))</f>
        <v/>
      </c>
      <c r="O308" s="37" t="str">
        <f aca="false">IF(N308="","",IF(N308&gt;=16,"Critical",IF(N308&gt;=10,"High",IF(N308&gt;=5,"Medium","Low"))))</f>
        <v/>
      </c>
      <c r="P308" s="37" t="str">
        <f aca="false">IF(OR(C308="",H308="",I308=""),"",MATCH(H308,lst_Likelihood,0)*MATCH(I308,lst_Consequence,0))</f>
        <v/>
      </c>
      <c r="Q308" s="37" t="str">
        <f aca="false">IF(P308="","",IF(P308&gt;=16,"Critical",IF(P308&gt;=10,"High",IF(P308&gt;=5,"Medium","Low"))))</f>
        <v/>
      </c>
      <c r="R308" s="37" t="str">
        <f aca="true">IF(AND(C308&lt;&gt;"",M308&lt;&gt;"Closed",L308&lt;&gt;"",L308&lt;TODAY()),"Overdue","")</f>
        <v/>
      </c>
      <c r="S308" s="40" t="str">
        <f aca="false">IF(AND(N308&lt;&gt;"",B308="Risk",M308&lt;&gt;"Closed"),N308+(1-ROW()/100000),"")</f>
        <v/>
      </c>
      <c r="T308" s="40" t="str">
        <f aca="false">IF(AND(S308&lt;&gt;"",A308='Project Summary'!$C$3),S308,"")</f>
        <v/>
      </c>
    </row>
    <row r="309" customFormat="false" ht="15" hidden="false" customHeight="false" outlineLevel="0" collapsed="false">
      <c r="A309" s="32"/>
      <c r="B309" s="32"/>
      <c r="C309" s="32"/>
      <c r="D309" s="33"/>
      <c r="E309" s="32"/>
      <c r="F309" s="32"/>
      <c r="G309" s="32"/>
      <c r="H309" s="32"/>
      <c r="I309" s="32"/>
      <c r="J309" s="33"/>
      <c r="K309" s="32"/>
      <c r="L309" s="35"/>
      <c r="M309" s="32"/>
      <c r="N309" s="37" t="str">
        <f aca="false">IF(OR(C309="",F309="",G309=""),"",MATCH(F309,lst_Likelihood,0)*MATCH(G309,lst_Consequence,0))</f>
        <v/>
      </c>
      <c r="O309" s="37" t="str">
        <f aca="false">IF(N309="","",IF(N309&gt;=16,"Critical",IF(N309&gt;=10,"High",IF(N309&gt;=5,"Medium","Low"))))</f>
        <v/>
      </c>
      <c r="P309" s="37" t="str">
        <f aca="false">IF(OR(C309="",H309="",I309=""),"",MATCH(H309,lst_Likelihood,0)*MATCH(I309,lst_Consequence,0))</f>
        <v/>
      </c>
      <c r="Q309" s="37" t="str">
        <f aca="false">IF(P309="","",IF(P309&gt;=16,"Critical",IF(P309&gt;=10,"High",IF(P309&gt;=5,"Medium","Low"))))</f>
        <v/>
      </c>
      <c r="R309" s="37" t="str">
        <f aca="true">IF(AND(C309&lt;&gt;"",M309&lt;&gt;"Closed",L309&lt;&gt;"",L309&lt;TODAY()),"Overdue","")</f>
        <v/>
      </c>
      <c r="S309" s="40" t="str">
        <f aca="false">IF(AND(N309&lt;&gt;"",B309="Risk",M309&lt;&gt;"Closed"),N309+(1-ROW()/100000),"")</f>
        <v/>
      </c>
      <c r="T309" s="40" t="str">
        <f aca="false">IF(AND(S309&lt;&gt;"",A309='Project Summary'!$C$3),S309,"")</f>
        <v/>
      </c>
    </row>
    <row r="310" customFormat="false" ht="15" hidden="false" customHeight="false" outlineLevel="0" collapsed="false">
      <c r="A310" s="32"/>
      <c r="B310" s="32"/>
      <c r="C310" s="32"/>
      <c r="D310" s="33"/>
      <c r="E310" s="32"/>
      <c r="F310" s="32"/>
      <c r="G310" s="32"/>
      <c r="H310" s="32"/>
      <c r="I310" s="32"/>
      <c r="J310" s="33"/>
      <c r="K310" s="32"/>
      <c r="L310" s="35"/>
      <c r="M310" s="32"/>
      <c r="N310" s="37" t="str">
        <f aca="false">IF(OR(C310="",F310="",G310=""),"",MATCH(F310,lst_Likelihood,0)*MATCH(G310,lst_Consequence,0))</f>
        <v/>
      </c>
      <c r="O310" s="37" t="str">
        <f aca="false">IF(N310="","",IF(N310&gt;=16,"Critical",IF(N310&gt;=10,"High",IF(N310&gt;=5,"Medium","Low"))))</f>
        <v/>
      </c>
      <c r="P310" s="37" t="str">
        <f aca="false">IF(OR(C310="",H310="",I310=""),"",MATCH(H310,lst_Likelihood,0)*MATCH(I310,lst_Consequence,0))</f>
        <v/>
      </c>
      <c r="Q310" s="37" t="str">
        <f aca="false">IF(P310="","",IF(P310&gt;=16,"Critical",IF(P310&gt;=10,"High",IF(P310&gt;=5,"Medium","Low"))))</f>
        <v/>
      </c>
      <c r="R310" s="37" t="str">
        <f aca="true">IF(AND(C310&lt;&gt;"",M310&lt;&gt;"Closed",L310&lt;&gt;"",L310&lt;TODAY()),"Overdue","")</f>
        <v/>
      </c>
      <c r="S310" s="40" t="str">
        <f aca="false">IF(AND(N310&lt;&gt;"",B310="Risk",M310&lt;&gt;"Closed"),N310+(1-ROW()/100000),"")</f>
        <v/>
      </c>
      <c r="T310" s="40" t="str">
        <f aca="false">IF(AND(S310&lt;&gt;"",A310='Project Summary'!$C$3),S310,"")</f>
        <v/>
      </c>
    </row>
    <row r="311" customFormat="false" ht="15" hidden="false" customHeight="false" outlineLevel="0" collapsed="false">
      <c r="A311" s="32"/>
      <c r="B311" s="32"/>
      <c r="C311" s="32"/>
      <c r="D311" s="33"/>
      <c r="E311" s="32"/>
      <c r="F311" s="32"/>
      <c r="G311" s="32"/>
      <c r="H311" s="32"/>
      <c r="I311" s="32"/>
      <c r="J311" s="33"/>
      <c r="K311" s="32"/>
      <c r="L311" s="35"/>
      <c r="M311" s="32"/>
      <c r="N311" s="37" t="str">
        <f aca="false">IF(OR(C311="",F311="",G311=""),"",MATCH(F311,lst_Likelihood,0)*MATCH(G311,lst_Consequence,0))</f>
        <v/>
      </c>
      <c r="O311" s="37" t="str">
        <f aca="false">IF(N311="","",IF(N311&gt;=16,"Critical",IF(N311&gt;=10,"High",IF(N311&gt;=5,"Medium","Low"))))</f>
        <v/>
      </c>
      <c r="P311" s="37" t="str">
        <f aca="false">IF(OR(C311="",H311="",I311=""),"",MATCH(H311,lst_Likelihood,0)*MATCH(I311,lst_Consequence,0))</f>
        <v/>
      </c>
      <c r="Q311" s="37" t="str">
        <f aca="false">IF(P311="","",IF(P311&gt;=16,"Critical",IF(P311&gt;=10,"High",IF(P311&gt;=5,"Medium","Low"))))</f>
        <v/>
      </c>
      <c r="R311" s="37" t="str">
        <f aca="true">IF(AND(C311&lt;&gt;"",M311&lt;&gt;"Closed",L311&lt;&gt;"",L311&lt;TODAY()),"Overdue","")</f>
        <v/>
      </c>
      <c r="S311" s="40" t="str">
        <f aca="false">IF(AND(N311&lt;&gt;"",B311="Risk",M311&lt;&gt;"Closed"),N311+(1-ROW()/100000),"")</f>
        <v/>
      </c>
      <c r="T311" s="40" t="str">
        <f aca="false">IF(AND(S311&lt;&gt;"",A311='Project Summary'!$C$3),S311,"")</f>
        <v/>
      </c>
    </row>
    <row r="312" customFormat="false" ht="15" hidden="false" customHeight="false" outlineLevel="0" collapsed="false">
      <c r="A312" s="32"/>
      <c r="B312" s="32"/>
      <c r="C312" s="32"/>
      <c r="D312" s="33"/>
      <c r="E312" s="32"/>
      <c r="F312" s="32"/>
      <c r="G312" s="32"/>
      <c r="H312" s="32"/>
      <c r="I312" s="32"/>
      <c r="J312" s="33"/>
      <c r="K312" s="32"/>
      <c r="L312" s="35"/>
      <c r="M312" s="32"/>
      <c r="N312" s="37" t="str">
        <f aca="false">IF(OR(C312="",F312="",G312=""),"",MATCH(F312,lst_Likelihood,0)*MATCH(G312,lst_Consequence,0))</f>
        <v/>
      </c>
      <c r="O312" s="37" t="str">
        <f aca="false">IF(N312="","",IF(N312&gt;=16,"Critical",IF(N312&gt;=10,"High",IF(N312&gt;=5,"Medium","Low"))))</f>
        <v/>
      </c>
      <c r="P312" s="37" t="str">
        <f aca="false">IF(OR(C312="",H312="",I312=""),"",MATCH(H312,lst_Likelihood,0)*MATCH(I312,lst_Consequence,0))</f>
        <v/>
      </c>
      <c r="Q312" s="37" t="str">
        <f aca="false">IF(P312="","",IF(P312&gt;=16,"Critical",IF(P312&gt;=10,"High",IF(P312&gt;=5,"Medium","Low"))))</f>
        <v/>
      </c>
      <c r="R312" s="37" t="str">
        <f aca="true">IF(AND(C312&lt;&gt;"",M312&lt;&gt;"Closed",L312&lt;&gt;"",L312&lt;TODAY()),"Overdue","")</f>
        <v/>
      </c>
      <c r="S312" s="40" t="str">
        <f aca="false">IF(AND(N312&lt;&gt;"",B312="Risk",M312&lt;&gt;"Closed"),N312+(1-ROW()/100000),"")</f>
        <v/>
      </c>
      <c r="T312" s="40" t="str">
        <f aca="false">IF(AND(S312&lt;&gt;"",A312='Project Summary'!$C$3),S312,"")</f>
        <v/>
      </c>
    </row>
    <row r="313" customFormat="false" ht="15" hidden="false" customHeight="false" outlineLevel="0" collapsed="false">
      <c r="A313" s="32"/>
      <c r="B313" s="32"/>
      <c r="C313" s="32"/>
      <c r="D313" s="33"/>
      <c r="E313" s="32"/>
      <c r="F313" s="32"/>
      <c r="G313" s="32"/>
      <c r="H313" s="32"/>
      <c r="I313" s="32"/>
      <c r="J313" s="33"/>
      <c r="K313" s="32"/>
      <c r="L313" s="35"/>
      <c r="M313" s="32"/>
      <c r="N313" s="37" t="str">
        <f aca="false">IF(OR(C313="",F313="",G313=""),"",MATCH(F313,lst_Likelihood,0)*MATCH(G313,lst_Consequence,0))</f>
        <v/>
      </c>
      <c r="O313" s="37" t="str">
        <f aca="false">IF(N313="","",IF(N313&gt;=16,"Critical",IF(N313&gt;=10,"High",IF(N313&gt;=5,"Medium","Low"))))</f>
        <v/>
      </c>
      <c r="P313" s="37" t="str">
        <f aca="false">IF(OR(C313="",H313="",I313=""),"",MATCH(H313,lst_Likelihood,0)*MATCH(I313,lst_Consequence,0))</f>
        <v/>
      </c>
      <c r="Q313" s="37" t="str">
        <f aca="false">IF(P313="","",IF(P313&gt;=16,"Critical",IF(P313&gt;=10,"High",IF(P313&gt;=5,"Medium","Low"))))</f>
        <v/>
      </c>
      <c r="R313" s="37" t="str">
        <f aca="true">IF(AND(C313&lt;&gt;"",M313&lt;&gt;"Closed",L313&lt;&gt;"",L313&lt;TODAY()),"Overdue","")</f>
        <v/>
      </c>
      <c r="S313" s="40" t="str">
        <f aca="false">IF(AND(N313&lt;&gt;"",B313="Risk",M313&lt;&gt;"Closed"),N313+(1-ROW()/100000),"")</f>
        <v/>
      </c>
      <c r="T313" s="40" t="str">
        <f aca="false">IF(AND(S313&lt;&gt;"",A313='Project Summary'!$C$3),S313,"")</f>
        <v/>
      </c>
    </row>
    <row r="314" customFormat="false" ht="15" hidden="false" customHeight="false" outlineLevel="0" collapsed="false">
      <c r="A314" s="32"/>
      <c r="B314" s="32"/>
      <c r="C314" s="32"/>
      <c r="D314" s="33"/>
      <c r="E314" s="32"/>
      <c r="F314" s="32"/>
      <c r="G314" s="32"/>
      <c r="H314" s="32"/>
      <c r="I314" s="32"/>
      <c r="J314" s="33"/>
      <c r="K314" s="32"/>
      <c r="L314" s="35"/>
      <c r="M314" s="32"/>
      <c r="N314" s="37" t="str">
        <f aca="false">IF(OR(C314="",F314="",G314=""),"",MATCH(F314,lst_Likelihood,0)*MATCH(G314,lst_Consequence,0))</f>
        <v/>
      </c>
      <c r="O314" s="37" t="str">
        <f aca="false">IF(N314="","",IF(N314&gt;=16,"Critical",IF(N314&gt;=10,"High",IF(N314&gt;=5,"Medium","Low"))))</f>
        <v/>
      </c>
      <c r="P314" s="37" t="str">
        <f aca="false">IF(OR(C314="",H314="",I314=""),"",MATCH(H314,lst_Likelihood,0)*MATCH(I314,lst_Consequence,0))</f>
        <v/>
      </c>
      <c r="Q314" s="37" t="str">
        <f aca="false">IF(P314="","",IF(P314&gt;=16,"Critical",IF(P314&gt;=10,"High",IF(P314&gt;=5,"Medium","Low"))))</f>
        <v/>
      </c>
      <c r="R314" s="37" t="str">
        <f aca="true">IF(AND(C314&lt;&gt;"",M314&lt;&gt;"Closed",L314&lt;&gt;"",L314&lt;TODAY()),"Overdue","")</f>
        <v/>
      </c>
      <c r="S314" s="40" t="str">
        <f aca="false">IF(AND(N314&lt;&gt;"",B314="Risk",M314&lt;&gt;"Closed"),N314+(1-ROW()/100000),"")</f>
        <v/>
      </c>
      <c r="T314" s="40" t="str">
        <f aca="false">IF(AND(S314&lt;&gt;"",A314='Project Summary'!$C$3),S314,"")</f>
        <v/>
      </c>
    </row>
    <row r="315" customFormat="false" ht="15" hidden="false" customHeight="false" outlineLevel="0" collapsed="false">
      <c r="A315" s="32"/>
      <c r="B315" s="32"/>
      <c r="C315" s="32"/>
      <c r="D315" s="33"/>
      <c r="E315" s="32"/>
      <c r="F315" s="32"/>
      <c r="G315" s="32"/>
      <c r="H315" s="32"/>
      <c r="I315" s="32"/>
      <c r="J315" s="33"/>
      <c r="K315" s="32"/>
      <c r="L315" s="35"/>
      <c r="M315" s="32"/>
      <c r="N315" s="37" t="str">
        <f aca="false">IF(OR(C315="",F315="",G315=""),"",MATCH(F315,lst_Likelihood,0)*MATCH(G315,lst_Consequence,0))</f>
        <v/>
      </c>
      <c r="O315" s="37" t="str">
        <f aca="false">IF(N315="","",IF(N315&gt;=16,"Critical",IF(N315&gt;=10,"High",IF(N315&gt;=5,"Medium","Low"))))</f>
        <v/>
      </c>
      <c r="P315" s="37" t="str">
        <f aca="false">IF(OR(C315="",H315="",I315=""),"",MATCH(H315,lst_Likelihood,0)*MATCH(I315,lst_Consequence,0))</f>
        <v/>
      </c>
      <c r="Q315" s="37" t="str">
        <f aca="false">IF(P315="","",IF(P315&gt;=16,"Critical",IF(P315&gt;=10,"High",IF(P315&gt;=5,"Medium","Low"))))</f>
        <v/>
      </c>
      <c r="R315" s="37" t="str">
        <f aca="true">IF(AND(C315&lt;&gt;"",M315&lt;&gt;"Closed",L315&lt;&gt;"",L315&lt;TODAY()),"Overdue","")</f>
        <v/>
      </c>
      <c r="S315" s="40" t="str">
        <f aca="false">IF(AND(N315&lt;&gt;"",B315="Risk",M315&lt;&gt;"Closed"),N315+(1-ROW()/100000),"")</f>
        <v/>
      </c>
      <c r="T315" s="40" t="str">
        <f aca="false">IF(AND(S315&lt;&gt;"",A315='Project Summary'!$C$3),S315,"")</f>
        <v/>
      </c>
    </row>
    <row r="316" customFormat="false" ht="15" hidden="false" customHeight="false" outlineLevel="0" collapsed="false">
      <c r="A316" s="32"/>
      <c r="B316" s="32"/>
      <c r="C316" s="32"/>
      <c r="D316" s="33"/>
      <c r="E316" s="32"/>
      <c r="F316" s="32"/>
      <c r="G316" s="32"/>
      <c r="H316" s="32"/>
      <c r="I316" s="32"/>
      <c r="J316" s="33"/>
      <c r="K316" s="32"/>
      <c r="L316" s="35"/>
      <c r="M316" s="32"/>
      <c r="N316" s="37" t="str">
        <f aca="false">IF(OR(C316="",F316="",G316=""),"",MATCH(F316,lst_Likelihood,0)*MATCH(G316,lst_Consequence,0))</f>
        <v/>
      </c>
      <c r="O316" s="37" t="str">
        <f aca="false">IF(N316="","",IF(N316&gt;=16,"Critical",IF(N316&gt;=10,"High",IF(N316&gt;=5,"Medium","Low"))))</f>
        <v/>
      </c>
      <c r="P316" s="37" t="str">
        <f aca="false">IF(OR(C316="",H316="",I316=""),"",MATCH(H316,lst_Likelihood,0)*MATCH(I316,lst_Consequence,0))</f>
        <v/>
      </c>
      <c r="Q316" s="37" t="str">
        <f aca="false">IF(P316="","",IF(P316&gt;=16,"Critical",IF(P316&gt;=10,"High",IF(P316&gt;=5,"Medium","Low"))))</f>
        <v/>
      </c>
      <c r="R316" s="37" t="str">
        <f aca="true">IF(AND(C316&lt;&gt;"",M316&lt;&gt;"Closed",L316&lt;&gt;"",L316&lt;TODAY()),"Overdue","")</f>
        <v/>
      </c>
      <c r="S316" s="40" t="str">
        <f aca="false">IF(AND(N316&lt;&gt;"",B316="Risk",M316&lt;&gt;"Closed"),N316+(1-ROW()/100000),"")</f>
        <v/>
      </c>
      <c r="T316" s="40" t="str">
        <f aca="false">IF(AND(S316&lt;&gt;"",A316='Project Summary'!$C$3),S316,"")</f>
        <v/>
      </c>
    </row>
    <row r="317" customFormat="false" ht="15" hidden="false" customHeight="false" outlineLevel="0" collapsed="false">
      <c r="A317" s="32"/>
      <c r="B317" s="32"/>
      <c r="C317" s="32"/>
      <c r="D317" s="33"/>
      <c r="E317" s="32"/>
      <c r="F317" s="32"/>
      <c r="G317" s="32"/>
      <c r="H317" s="32"/>
      <c r="I317" s="32"/>
      <c r="J317" s="33"/>
      <c r="K317" s="32"/>
      <c r="L317" s="35"/>
      <c r="M317" s="32"/>
      <c r="N317" s="37" t="str">
        <f aca="false">IF(OR(C317="",F317="",G317=""),"",MATCH(F317,lst_Likelihood,0)*MATCH(G317,lst_Consequence,0))</f>
        <v/>
      </c>
      <c r="O317" s="37" t="str">
        <f aca="false">IF(N317="","",IF(N317&gt;=16,"Critical",IF(N317&gt;=10,"High",IF(N317&gt;=5,"Medium","Low"))))</f>
        <v/>
      </c>
      <c r="P317" s="37" t="str">
        <f aca="false">IF(OR(C317="",H317="",I317=""),"",MATCH(H317,lst_Likelihood,0)*MATCH(I317,lst_Consequence,0))</f>
        <v/>
      </c>
      <c r="Q317" s="37" t="str">
        <f aca="false">IF(P317="","",IF(P317&gt;=16,"Critical",IF(P317&gt;=10,"High",IF(P317&gt;=5,"Medium","Low"))))</f>
        <v/>
      </c>
      <c r="R317" s="37" t="str">
        <f aca="true">IF(AND(C317&lt;&gt;"",M317&lt;&gt;"Closed",L317&lt;&gt;"",L317&lt;TODAY()),"Overdue","")</f>
        <v/>
      </c>
      <c r="S317" s="40" t="str">
        <f aca="false">IF(AND(N317&lt;&gt;"",B317="Risk",M317&lt;&gt;"Closed"),N317+(1-ROW()/100000),"")</f>
        <v/>
      </c>
      <c r="T317" s="40" t="str">
        <f aca="false">IF(AND(S317&lt;&gt;"",A317='Project Summary'!$C$3),S317,"")</f>
        <v/>
      </c>
    </row>
    <row r="318" customFormat="false" ht="15" hidden="false" customHeight="false" outlineLevel="0" collapsed="false">
      <c r="A318" s="32"/>
      <c r="B318" s="32"/>
      <c r="C318" s="32"/>
      <c r="D318" s="33"/>
      <c r="E318" s="32"/>
      <c r="F318" s="32"/>
      <c r="G318" s="32"/>
      <c r="H318" s="32"/>
      <c r="I318" s="32"/>
      <c r="J318" s="33"/>
      <c r="K318" s="32"/>
      <c r="L318" s="35"/>
      <c r="M318" s="32"/>
      <c r="N318" s="37" t="str">
        <f aca="false">IF(OR(C318="",F318="",G318=""),"",MATCH(F318,lst_Likelihood,0)*MATCH(G318,lst_Consequence,0))</f>
        <v/>
      </c>
      <c r="O318" s="37" t="str">
        <f aca="false">IF(N318="","",IF(N318&gt;=16,"Critical",IF(N318&gt;=10,"High",IF(N318&gt;=5,"Medium","Low"))))</f>
        <v/>
      </c>
      <c r="P318" s="37" t="str">
        <f aca="false">IF(OR(C318="",H318="",I318=""),"",MATCH(H318,lst_Likelihood,0)*MATCH(I318,lst_Consequence,0))</f>
        <v/>
      </c>
      <c r="Q318" s="37" t="str">
        <f aca="false">IF(P318="","",IF(P318&gt;=16,"Critical",IF(P318&gt;=10,"High",IF(P318&gt;=5,"Medium","Low"))))</f>
        <v/>
      </c>
      <c r="R318" s="37" t="str">
        <f aca="true">IF(AND(C318&lt;&gt;"",M318&lt;&gt;"Closed",L318&lt;&gt;"",L318&lt;TODAY()),"Overdue","")</f>
        <v/>
      </c>
      <c r="S318" s="40" t="str">
        <f aca="false">IF(AND(N318&lt;&gt;"",B318="Risk",M318&lt;&gt;"Closed"),N318+(1-ROW()/100000),"")</f>
        <v/>
      </c>
      <c r="T318" s="40" t="str">
        <f aca="false">IF(AND(S318&lt;&gt;"",A318='Project Summary'!$C$3),S318,"")</f>
        <v/>
      </c>
    </row>
    <row r="319" customFormat="false" ht="15" hidden="false" customHeight="false" outlineLevel="0" collapsed="false">
      <c r="A319" s="32"/>
      <c r="B319" s="32"/>
      <c r="C319" s="32"/>
      <c r="D319" s="33"/>
      <c r="E319" s="32"/>
      <c r="F319" s="32"/>
      <c r="G319" s="32"/>
      <c r="H319" s="32"/>
      <c r="I319" s="32"/>
      <c r="J319" s="33"/>
      <c r="K319" s="32"/>
      <c r="L319" s="35"/>
      <c r="M319" s="32"/>
      <c r="N319" s="37" t="str">
        <f aca="false">IF(OR(C319="",F319="",G319=""),"",MATCH(F319,lst_Likelihood,0)*MATCH(G319,lst_Consequence,0))</f>
        <v/>
      </c>
      <c r="O319" s="37" t="str">
        <f aca="false">IF(N319="","",IF(N319&gt;=16,"Critical",IF(N319&gt;=10,"High",IF(N319&gt;=5,"Medium","Low"))))</f>
        <v/>
      </c>
      <c r="P319" s="37" t="str">
        <f aca="false">IF(OR(C319="",H319="",I319=""),"",MATCH(H319,lst_Likelihood,0)*MATCH(I319,lst_Consequence,0))</f>
        <v/>
      </c>
      <c r="Q319" s="37" t="str">
        <f aca="false">IF(P319="","",IF(P319&gt;=16,"Critical",IF(P319&gt;=10,"High",IF(P319&gt;=5,"Medium","Low"))))</f>
        <v/>
      </c>
      <c r="R319" s="37" t="str">
        <f aca="true">IF(AND(C319&lt;&gt;"",M319&lt;&gt;"Closed",L319&lt;&gt;"",L319&lt;TODAY()),"Overdue","")</f>
        <v/>
      </c>
      <c r="S319" s="40" t="str">
        <f aca="false">IF(AND(N319&lt;&gt;"",B319="Risk",M319&lt;&gt;"Closed"),N319+(1-ROW()/100000),"")</f>
        <v/>
      </c>
      <c r="T319" s="40" t="str">
        <f aca="false">IF(AND(S319&lt;&gt;"",A319='Project Summary'!$C$3),S319,"")</f>
        <v/>
      </c>
    </row>
    <row r="320" customFormat="false" ht="15" hidden="false" customHeight="false" outlineLevel="0" collapsed="false">
      <c r="A320" s="32"/>
      <c r="B320" s="32"/>
      <c r="C320" s="32"/>
      <c r="D320" s="33"/>
      <c r="E320" s="32"/>
      <c r="F320" s="32"/>
      <c r="G320" s="32"/>
      <c r="H320" s="32"/>
      <c r="I320" s="32"/>
      <c r="J320" s="33"/>
      <c r="K320" s="32"/>
      <c r="L320" s="35"/>
      <c r="M320" s="32"/>
      <c r="N320" s="37" t="str">
        <f aca="false">IF(OR(C320="",F320="",G320=""),"",MATCH(F320,lst_Likelihood,0)*MATCH(G320,lst_Consequence,0))</f>
        <v/>
      </c>
      <c r="O320" s="37" t="str">
        <f aca="false">IF(N320="","",IF(N320&gt;=16,"Critical",IF(N320&gt;=10,"High",IF(N320&gt;=5,"Medium","Low"))))</f>
        <v/>
      </c>
      <c r="P320" s="37" t="str">
        <f aca="false">IF(OR(C320="",H320="",I320=""),"",MATCH(H320,lst_Likelihood,0)*MATCH(I320,lst_Consequence,0))</f>
        <v/>
      </c>
      <c r="Q320" s="37" t="str">
        <f aca="false">IF(P320="","",IF(P320&gt;=16,"Critical",IF(P320&gt;=10,"High",IF(P320&gt;=5,"Medium","Low"))))</f>
        <v/>
      </c>
      <c r="R320" s="37" t="str">
        <f aca="true">IF(AND(C320&lt;&gt;"",M320&lt;&gt;"Closed",L320&lt;&gt;"",L320&lt;TODAY()),"Overdue","")</f>
        <v/>
      </c>
      <c r="S320" s="40" t="str">
        <f aca="false">IF(AND(N320&lt;&gt;"",B320="Risk",M320&lt;&gt;"Closed"),N320+(1-ROW()/100000),"")</f>
        <v/>
      </c>
      <c r="T320" s="40" t="str">
        <f aca="false">IF(AND(S320&lt;&gt;"",A320='Project Summary'!$C$3),S320,"")</f>
        <v/>
      </c>
    </row>
    <row r="321" customFormat="false" ht="15" hidden="false" customHeight="false" outlineLevel="0" collapsed="false">
      <c r="A321" s="32"/>
      <c r="B321" s="32"/>
      <c r="C321" s="32"/>
      <c r="D321" s="33"/>
      <c r="E321" s="32"/>
      <c r="F321" s="32"/>
      <c r="G321" s="32"/>
      <c r="H321" s="32"/>
      <c r="I321" s="32"/>
      <c r="J321" s="33"/>
      <c r="K321" s="32"/>
      <c r="L321" s="35"/>
      <c r="M321" s="32"/>
      <c r="N321" s="37" t="str">
        <f aca="false">IF(OR(C321="",F321="",G321=""),"",MATCH(F321,lst_Likelihood,0)*MATCH(G321,lst_Consequence,0))</f>
        <v/>
      </c>
      <c r="O321" s="37" t="str">
        <f aca="false">IF(N321="","",IF(N321&gt;=16,"Critical",IF(N321&gt;=10,"High",IF(N321&gt;=5,"Medium","Low"))))</f>
        <v/>
      </c>
      <c r="P321" s="37" t="str">
        <f aca="false">IF(OR(C321="",H321="",I321=""),"",MATCH(H321,lst_Likelihood,0)*MATCH(I321,lst_Consequence,0))</f>
        <v/>
      </c>
      <c r="Q321" s="37" t="str">
        <f aca="false">IF(P321="","",IF(P321&gt;=16,"Critical",IF(P321&gt;=10,"High",IF(P321&gt;=5,"Medium","Low"))))</f>
        <v/>
      </c>
      <c r="R321" s="37" t="str">
        <f aca="true">IF(AND(C321&lt;&gt;"",M321&lt;&gt;"Closed",L321&lt;&gt;"",L321&lt;TODAY()),"Overdue","")</f>
        <v/>
      </c>
      <c r="S321" s="40" t="str">
        <f aca="false">IF(AND(N321&lt;&gt;"",B321="Risk",M321&lt;&gt;"Closed"),N321+(1-ROW()/100000),"")</f>
        <v/>
      </c>
      <c r="T321" s="40" t="str">
        <f aca="false">IF(AND(S321&lt;&gt;"",A321='Project Summary'!$C$3),S321,"")</f>
        <v/>
      </c>
    </row>
    <row r="322" customFormat="false" ht="15" hidden="false" customHeight="false" outlineLevel="0" collapsed="false">
      <c r="A322" s="32"/>
      <c r="B322" s="32"/>
      <c r="C322" s="32"/>
      <c r="D322" s="33"/>
      <c r="E322" s="32"/>
      <c r="F322" s="32"/>
      <c r="G322" s="32"/>
      <c r="H322" s="32"/>
      <c r="I322" s="32"/>
      <c r="J322" s="33"/>
      <c r="K322" s="32"/>
      <c r="L322" s="35"/>
      <c r="M322" s="32"/>
      <c r="N322" s="37" t="str">
        <f aca="false">IF(OR(C322="",F322="",G322=""),"",MATCH(F322,lst_Likelihood,0)*MATCH(G322,lst_Consequence,0))</f>
        <v/>
      </c>
      <c r="O322" s="37" t="str">
        <f aca="false">IF(N322="","",IF(N322&gt;=16,"Critical",IF(N322&gt;=10,"High",IF(N322&gt;=5,"Medium","Low"))))</f>
        <v/>
      </c>
      <c r="P322" s="37" t="str">
        <f aca="false">IF(OR(C322="",H322="",I322=""),"",MATCH(H322,lst_Likelihood,0)*MATCH(I322,lst_Consequence,0))</f>
        <v/>
      </c>
      <c r="Q322" s="37" t="str">
        <f aca="false">IF(P322="","",IF(P322&gt;=16,"Critical",IF(P322&gt;=10,"High",IF(P322&gt;=5,"Medium","Low"))))</f>
        <v/>
      </c>
      <c r="R322" s="37" t="str">
        <f aca="true">IF(AND(C322&lt;&gt;"",M322&lt;&gt;"Closed",L322&lt;&gt;"",L322&lt;TODAY()),"Overdue","")</f>
        <v/>
      </c>
      <c r="S322" s="40" t="str">
        <f aca="false">IF(AND(N322&lt;&gt;"",B322="Risk",M322&lt;&gt;"Closed"),N322+(1-ROW()/100000),"")</f>
        <v/>
      </c>
      <c r="T322" s="40" t="str">
        <f aca="false">IF(AND(S322&lt;&gt;"",A322='Project Summary'!$C$3),S322,"")</f>
        <v/>
      </c>
    </row>
    <row r="323" customFormat="false" ht="15" hidden="false" customHeight="false" outlineLevel="0" collapsed="false">
      <c r="A323" s="32"/>
      <c r="B323" s="32"/>
      <c r="C323" s="32"/>
      <c r="D323" s="33"/>
      <c r="E323" s="32"/>
      <c r="F323" s="32"/>
      <c r="G323" s="32"/>
      <c r="H323" s="32"/>
      <c r="I323" s="32"/>
      <c r="J323" s="33"/>
      <c r="K323" s="32"/>
      <c r="L323" s="35"/>
      <c r="M323" s="32"/>
      <c r="N323" s="37" t="str">
        <f aca="false">IF(OR(C323="",F323="",G323=""),"",MATCH(F323,lst_Likelihood,0)*MATCH(G323,lst_Consequence,0))</f>
        <v/>
      </c>
      <c r="O323" s="37" t="str">
        <f aca="false">IF(N323="","",IF(N323&gt;=16,"Critical",IF(N323&gt;=10,"High",IF(N323&gt;=5,"Medium","Low"))))</f>
        <v/>
      </c>
      <c r="P323" s="37" t="str">
        <f aca="false">IF(OR(C323="",H323="",I323=""),"",MATCH(H323,lst_Likelihood,0)*MATCH(I323,lst_Consequence,0))</f>
        <v/>
      </c>
      <c r="Q323" s="37" t="str">
        <f aca="false">IF(P323="","",IF(P323&gt;=16,"Critical",IF(P323&gt;=10,"High",IF(P323&gt;=5,"Medium","Low"))))</f>
        <v/>
      </c>
      <c r="R323" s="37" t="str">
        <f aca="true">IF(AND(C323&lt;&gt;"",M323&lt;&gt;"Closed",L323&lt;&gt;"",L323&lt;TODAY()),"Overdue","")</f>
        <v/>
      </c>
      <c r="S323" s="40" t="str">
        <f aca="false">IF(AND(N323&lt;&gt;"",B323="Risk",M323&lt;&gt;"Closed"),N323+(1-ROW()/100000),"")</f>
        <v/>
      </c>
      <c r="T323" s="40" t="str">
        <f aca="false">IF(AND(S323&lt;&gt;"",A323='Project Summary'!$C$3),S323,"")</f>
        <v/>
      </c>
    </row>
    <row r="324" customFormat="false" ht="15" hidden="false" customHeight="false" outlineLevel="0" collapsed="false">
      <c r="A324" s="32"/>
      <c r="B324" s="32"/>
      <c r="C324" s="32"/>
      <c r="D324" s="33"/>
      <c r="E324" s="32"/>
      <c r="F324" s="32"/>
      <c r="G324" s="32"/>
      <c r="H324" s="32"/>
      <c r="I324" s="32"/>
      <c r="J324" s="33"/>
      <c r="K324" s="32"/>
      <c r="L324" s="35"/>
      <c r="M324" s="32"/>
      <c r="N324" s="37" t="str">
        <f aca="false">IF(OR(C324="",F324="",G324=""),"",MATCH(F324,lst_Likelihood,0)*MATCH(G324,lst_Consequence,0))</f>
        <v/>
      </c>
      <c r="O324" s="37" t="str">
        <f aca="false">IF(N324="","",IF(N324&gt;=16,"Critical",IF(N324&gt;=10,"High",IF(N324&gt;=5,"Medium","Low"))))</f>
        <v/>
      </c>
      <c r="P324" s="37" t="str">
        <f aca="false">IF(OR(C324="",H324="",I324=""),"",MATCH(H324,lst_Likelihood,0)*MATCH(I324,lst_Consequence,0))</f>
        <v/>
      </c>
      <c r="Q324" s="37" t="str">
        <f aca="false">IF(P324="","",IF(P324&gt;=16,"Critical",IF(P324&gt;=10,"High",IF(P324&gt;=5,"Medium","Low"))))</f>
        <v/>
      </c>
      <c r="R324" s="37" t="str">
        <f aca="true">IF(AND(C324&lt;&gt;"",M324&lt;&gt;"Closed",L324&lt;&gt;"",L324&lt;TODAY()),"Overdue","")</f>
        <v/>
      </c>
      <c r="S324" s="40" t="str">
        <f aca="false">IF(AND(N324&lt;&gt;"",B324="Risk",M324&lt;&gt;"Closed"),N324+(1-ROW()/100000),"")</f>
        <v/>
      </c>
      <c r="T324" s="40" t="str">
        <f aca="false">IF(AND(S324&lt;&gt;"",A324='Project Summary'!$C$3),S324,"")</f>
        <v/>
      </c>
    </row>
    <row r="325" customFormat="false" ht="15" hidden="false" customHeight="false" outlineLevel="0" collapsed="false">
      <c r="A325" s="32"/>
      <c r="B325" s="32"/>
      <c r="C325" s="32"/>
      <c r="D325" s="33"/>
      <c r="E325" s="32"/>
      <c r="F325" s="32"/>
      <c r="G325" s="32"/>
      <c r="H325" s="32"/>
      <c r="I325" s="32"/>
      <c r="J325" s="33"/>
      <c r="K325" s="32"/>
      <c r="L325" s="35"/>
      <c r="M325" s="32"/>
      <c r="N325" s="37" t="str">
        <f aca="false">IF(OR(C325="",F325="",G325=""),"",MATCH(F325,lst_Likelihood,0)*MATCH(G325,lst_Consequence,0))</f>
        <v/>
      </c>
      <c r="O325" s="37" t="str">
        <f aca="false">IF(N325="","",IF(N325&gt;=16,"Critical",IF(N325&gt;=10,"High",IF(N325&gt;=5,"Medium","Low"))))</f>
        <v/>
      </c>
      <c r="P325" s="37" t="str">
        <f aca="false">IF(OR(C325="",H325="",I325=""),"",MATCH(H325,lst_Likelihood,0)*MATCH(I325,lst_Consequence,0))</f>
        <v/>
      </c>
      <c r="Q325" s="37" t="str">
        <f aca="false">IF(P325="","",IF(P325&gt;=16,"Critical",IF(P325&gt;=10,"High",IF(P325&gt;=5,"Medium","Low"))))</f>
        <v/>
      </c>
      <c r="R325" s="37" t="str">
        <f aca="true">IF(AND(C325&lt;&gt;"",M325&lt;&gt;"Closed",L325&lt;&gt;"",L325&lt;TODAY()),"Overdue","")</f>
        <v/>
      </c>
      <c r="S325" s="40" t="str">
        <f aca="false">IF(AND(N325&lt;&gt;"",B325="Risk",M325&lt;&gt;"Closed"),N325+(1-ROW()/100000),"")</f>
        <v/>
      </c>
      <c r="T325" s="40" t="str">
        <f aca="false">IF(AND(S325&lt;&gt;"",A325='Project Summary'!$C$3),S325,"")</f>
        <v/>
      </c>
    </row>
    <row r="326" customFormat="false" ht="15" hidden="false" customHeight="false" outlineLevel="0" collapsed="false">
      <c r="A326" s="32"/>
      <c r="B326" s="32"/>
      <c r="C326" s="32"/>
      <c r="D326" s="33"/>
      <c r="E326" s="32"/>
      <c r="F326" s="32"/>
      <c r="G326" s="32"/>
      <c r="H326" s="32"/>
      <c r="I326" s="32"/>
      <c r="J326" s="33"/>
      <c r="K326" s="32"/>
      <c r="L326" s="35"/>
      <c r="M326" s="32"/>
      <c r="N326" s="37" t="str">
        <f aca="false">IF(OR(C326="",F326="",G326=""),"",MATCH(F326,lst_Likelihood,0)*MATCH(G326,lst_Consequence,0))</f>
        <v/>
      </c>
      <c r="O326" s="37" t="str">
        <f aca="false">IF(N326="","",IF(N326&gt;=16,"Critical",IF(N326&gt;=10,"High",IF(N326&gt;=5,"Medium","Low"))))</f>
        <v/>
      </c>
      <c r="P326" s="37" t="str">
        <f aca="false">IF(OR(C326="",H326="",I326=""),"",MATCH(H326,lst_Likelihood,0)*MATCH(I326,lst_Consequence,0))</f>
        <v/>
      </c>
      <c r="Q326" s="37" t="str">
        <f aca="false">IF(P326="","",IF(P326&gt;=16,"Critical",IF(P326&gt;=10,"High",IF(P326&gt;=5,"Medium","Low"))))</f>
        <v/>
      </c>
      <c r="R326" s="37" t="str">
        <f aca="true">IF(AND(C326&lt;&gt;"",M326&lt;&gt;"Closed",L326&lt;&gt;"",L326&lt;TODAY()),"Overdue","")</f>
        <v/>
      </c>
      <c r="S326" s="40" t="str">
        <f aca="false">IF(AND(N326&lt;&gt;"",B326="Risk",M326&lt;&gt;"Closed"),N326+(1-ROW()/100000),"")</f>
        <v/>
      </c>
      <c r="T326" s="40" t="str">
        <f aca="false">IF(AND(S326&lt;&gt;"",A326='Project Summary'!$C$3),S326,"")</f>
        <v/>
      </c>
    </row>
    <row r="327" customFormat="false" ht="15" hidden="false" customHeight="false" outlineLevel="0" collapsed="false">
      <c r="A327" s="32"/>
      <c r="B327" s="32"/>
      <c r="C327" s="32"/>
      <c r="D327" s="33"/>
      <c r="E327" s="32"/>
      <c r="F327" s="32"/>
      <c r="G327" s="32"/>
      <c r="H327" s="32"/>
      <c r="I327" s="32"/>
      <c r="J327" s="33"/>
      <c r="K327" s="32"/>
      <c r="L327" s="35"/>
      <c r="M327" s="32"/>
      <c r="N327" s="37" t="str">
        <f aca="false">IF(OR(C327="",F327="",G327=""),"",MATCH(F327,lst_Likelihood,0)*MATCH(G327,lst_Consequence,0))</f>
        <v/>
      </c>
      <c r="O327" s="37" t="str">
        <f aca="false">IF(N327="","",IF(N327&gt;=16,"Critical",IF(N327&gt;=10,"High",IF(N327&gt;=5,"Medium","Low"))))</f>
        <v/>
      </c>
      <c r="P327" s="37" t="str">
        <f aca="false">IF(OR(C327="",H327="",I327=""),"",MATCH(H327,lst_Likelihood,0)*MATCH(I327,lst_Consequence,0))</f>
        <v/>
      </c>
      <c r="Q327" s="37" t="str">
        <f aca="false">IF(P327="","",IF(P327&gt;=16,"Critical",IF(P327&gt;=10,"High",IF(P327&gt;=5,"Medium","Low"))))</f>
        <v/>
      </c>
      <c r="R327" s="37" t="str">
        <f aca="true">IF(AND(C327&lt;&gt;"",M327&lt;&gt;"Closed",L327&lt;&gt;"",L327&lt;TODAY()),"Overdue","")</f>
        <v/>
      </c>
      <c r="S327" s="40" t="str">
        <f aca="false">IF(AND(N327&lt;&gt;"",B327="Risk",M327&lt;&gt;"Closed"),N327+(1-ROW()/100000),"")</f>
        <v/>
      </c>
      <c r="T327" s="40" t="str">
        <f aca="false">IF(AND(S327&lt;&gt;"",A327='Project Summary'!$C$3),S327,"")</f>
        <v/>
      </c>
    </row>
    <row r="328" customFormat="false" ht="15" hidden="false" customHeight="false" outlineLevel="0" collapsed="false">
      <c r="A328" s="32"/>
      <c r="B328" s="32"/>
      <c r="C328" s="32"/>
      <c r="D328" s="33"/>
      <c r="E328" s="32"/>
      <c r="F328" s="32"/>
      <c r="G328" s="32"/>
      <c r="H328" s="32"/>
      <c r="I328" s="32"/>
      <c r="J328" s="33"/>
      <c r="K328" s="32"/>
      <c r="L328" s="35"/>
      <c r="M328" s="32"/>
      <c r="N328" s="37" t="str">
        <f aca="false">IF(OR(C328="",F328="",G328=""),"",MATCH(F328,lst_Likelihood,0)*MATCH(G328,lst_Consequence,0))</f>
        <v/>
      </c>
      <c r="O328" s="37" t="str">
        <f aca="false">IF(N328="","",IF(N328&gt;=16,"Critical",IF(N328&gt;=10,"High",IF(N328&gt;=5,"Medium","Low"))))</f>
        <v/>
      </c>
      <c r="P328" s="37" t="str">
        <f aca="false">IF(OR(C328="",H328="",I328=""),"",MATCH(H328,lst_Likelihood,0)*MATCH(I328,lst_Consequence,0))</f>
        <v/>
      </c>
      <c r="Q328" s="37" t="str">
        <f aca="false">IF(P328="","",IF(P328&gt;=16,"Critical",IF(P328&gt;=10,"High",IF(P328&gt;=5,"Medium","Low"))))</f>
        <v/>
      </c>
      <c r="R328" s="37" t="str">
        <f aca="true">IF(AND(C328&lt;&gt;"",M328&lt;&gt;"Closed",L328&lt;&gt;"",L328&lt;TODAY()),"Overdue","")</f>
        <v/>
      </c>
      <c r="S328" s="40" t="str">
        <f aca="false">IF(AND(N328&lt;&gt;"",B328="Risk",M328&lt;&gt;"Closed"),N328+(1-ROW()/100000),"")</f>
        <v/>
      </c>
      <c r="T328" s="40" t="str">
        <f aca="false">IF(AND(S328&lt;&gt;"",A328='Project Summary'!$C$3),S328,"")</f>
        <v/>
      </c>
    </row>
    <row r="329" customFormat="false" ht="15" hidden="false" customHeight="false" outlineLevel="0" collapsed="false">
      <c r="A329" s="32"/>
      <c r="B329" s="32"/>
      <c r="C329" s="32"/>
      <c r="D329" s="33"/>
      <c r="E329" s="32"/>
      <c r="F329" s="32"/>
      <c r="G329" s="32"/>
      <c r="H329" s="32"/>
      <c r="I329" s="32"/>
      <c r="J329" s="33"/>
      <c r="K329" s="32"/>
      <c r="L329" s="35"/>
      <c r="M329" s="32"/>
      <c r="N329" s="37" t="str">
        <f aca="false">IF(OR(C329="",F329="",G329=""),"",MATCH(F329,lst_Likelihood,0)*MATCH(G329,lst_Consequence,0))</f>
        <v/>
      </c>
      <c r="O329" s="37" t="str">
        <f aca="false">IF(N329="","",IF(N329&gt;=16,"Critical",IF(N329&gt;=10,"High",IF(N329&gt;=5,"Medium","Low"))))</f>
        <v/>
      </c>
      <c r="P329" s="37" t="str">
        <f aca="false">IF(OR(C329="",H329="",I329=""),"",MATCH(H329,lst_Likelihood,0)*MATCH(I329,lst_Consequence,0))</f>
        <v/>
      </c>
      <c r="Q329" s="37" t="str">
        <f aca="false">IF(P329="","",IF(P329&gt;=16,"Critical",IF(P329&gt;=10,"High",IF(P329&gt;=5,"Medium","Low"))))</f>
        <v/>
      </c>
      <c r="R329" s="37" t="str">
        <f aca="true">IF(AND(C329&lt;&gt;"",M329&lt;&gt;"Closed",L329&lt;&gt;"",L329&lt;TODAY()),"Overdue","")</f>
        <v/>
      </c>
      <c r="S329" s="40" t="str">
        <f aca="false">IF(AND(N329&lt;&gt;"",B329="Risk",M329&lt;&gt;"Closed"),N329+(1-ROW()/100000),"")</f>
        <v/>
      </c>
      <c r="T329" s="40" t="str">
        <f aca="false">IF(AND(S329&lt;&gt;"",A329='Project Summary'!$C$3),S329,"")</f>
        <v/>
      </c>
    </row>
    <row r="330" customFormat="false" ht="15" hidden="false" customHeight="false" outlineLevel="0" collapsed="false">
      <c r="A330" s="32"/>
      <c r="B330" s="32"/>
      <c r="C330" s="32"/>
      <c r="D330" s="33"/>
      <c r="E330" s="32"/>
      <c r="F330" s="32"/>
      <c r="G330" s="32"/>
      <c r="H330" s="32"/>
      <c r="I330" s="32"/>
      <c r="J330" s="33"/>
      <c r="K330" s="32"/>
      <c r="L330" s="35"/>
      <c r="M330" s="32"/>
      <c r="N330" s="37" t="str">
        <f aca="false">IF(OR(C330="",F330="",G330=""),"",MATCH(F330,lst_Likelihood,0)*MATCH(G330,lst_Consequence,0))</f>
        <v/>
      </c>
      <c r="O330" s="37" t="str">
        <f aca="false">IF(N330="","",IF(N330&gt;=16,"Critical",IF(N330&gt;=10,"High",IF(N330&gt;=5,"Medium","Low"))))</f>
        <v/>
      </c>
      <c r="P330" s="37" t="str">
        <f aca="false">IF(OR(C330="",H330="",I330=""),"",MATCH(H330,lst_Likelihood,0)*MATCH(I330,lst_Consequence,0))</f>
        <v/>
      </c>
      <c r="Q330" s="37" t="str">
        <f aca="false">IF(P330="","",IF(P330&gt;=16,"Critical",IF(P330&gt;=10,"High",IF(P330&gt;=5,"Medium","Low"))))</f>
        <v/>
      </c>
      <c r="R330" s="37" t="str">
        <f aca="true">IF(AND(C330&lt;&gt;"",M330&lt;&gt;"Closed",L330&lt;&gt;"",L330&lt;TODAY()),"Overdue","")</f>
        <v/>
      </c>
      <c r="S330" s="40" t="str">
        <f aca="false">IF(AND(N330&lt;&gt;"",B330="Risk",M330&lt;&gt;"Closed"),N330+(1-ROW()/100000),"")</f>
        <v/>
      </c>
      <c r="T330" s="40" t="str">
        <f aca="false">IF(AND(S330&lt;&gt;"",A330='Project Summary'!$C$3),S330,"")</f>
        <v/>
      </c>
    </row>
    <row r="331" customFormat="false" ht="15" hidden="false" customHeight="false" outlineLevel="0" collapsed="false">
      <c r="A331" s="32"/>
      <c r="B331" s="32"/>
      <c r="C331" s="32"/>
      <c r="D331" s="33"/>
      <c r="E331" s="32"/>
      <c r="F331" s="32"/>
      <c r="G331" s="32"/>
      <c r="H331" s="32"/>
      <c r="I331" s="32"/>
      <c r="J331" s="33"/>
      <c r="K331" s="32"/>
      <c r="L331" s="35"/>
      <c r="M331" s="32"/>
      <c r="N331" s="37" t="str">
        <f aca="false">IF(OR(C331="",F331="",G331=""),"",MATCH(F331,lst_Likelihood,0)*MATCH(G331,lst_Consequence,0))</f>
        <v/>
      </c>
      <c r="O331" s="37" t="str">
        <f aca="false">IF(N331="","",IF(N331&gt;=16,"Critical",IF(N331&gt;=10,"High",IF(N331&gt;=5,"Medium","Low"))))</f>
        <v/>
      </c>
      <c r="P331" s="37" t="str">
        <f aca="false">IF(OR(C331="",H331="",I331=""),"",MATCH(H331,lst_Likelihood,0)*MATCH(I331,lst_Consequence,0))</f>
        <v/>
      </c>
      <c r="Q331" s="37" t="str">
        <f aca="false">IF(P331="","",IF(P331&gt;=16,"Critical",IF(P331&gt;=10,"High",IF(P331&gt;=5,"Medium","Low"))))</f>
        <v/>
      </c>
      <c r="R331" s="37" t="str">
        <f aca="true">IF(AND(C331&lt;&gt;"",M331&lt;&gt;"Closed",L331&lt;&gt;"",L331&lt;TODAY()),"Overdue","")</f>
        <v/>
      </c>
      <c r="S331" s="40" t="str">
        <f aca="false">IF(AND(N331&lt;&gt;"",B331="Risk",M331&lt;&gt;"Closed"),N331+(1-ROW()/100000),"")</f>
        <v/>
      </c>
      <c r="T331" s="40" t="str">
        <f aca="false">IF(AND(S331&lt;&gt;"",A331='Project Summary'!$C$3),S331,"")</f>
        <v/>
      </c>
    </row>
    <row r="332" customFormat="false" ht="15" hidden="false" customHeight="false" outlineLevel="0" collapsed="false">
      <c r="A332" s="32"/>
      <c r="B332" s="32"/>
      <c r="C332" s="32"/>
      <c r="D332" s="33"/>
      <c r="E332" s="32"/>
      <c r="F332" s="32"/>
      <c r="G332" s="32"/>
      <c r="H332" s="32"/>
      <c r="I332" s="32"/>
      <c r="J332" s="33"/>
      <c r="K332" s="32"/>
      <c r="L332" s="35"/>
      <c r="M332" s="32"/>
      <c r="N332" s="37" t="str">
        <f aca="false">IF(OR(C332="",F332="",G332=""),"",MATCH(F332,lst_Likelihood,0)*MATCH(G332,lst_Consequence,0))</f>
        <v/>
      </c>
      <c r="O332" s="37" t="str">
        <f aca="false">IF(N332="","",IF(N332&gt;=16,"Critical",IF(N332&gt;=10,"High",IF(N332&gt;=5,"Medium","Low"))))</f>
        <v/>
      </c>
      <c r="P332" s="37" t="str">
        <f aca="false">IF(OR(C332="",H332="",I332=""),"",MATCH(H332,lst_Likelihood,0)*MATCH(I332,lst_Consequence,0))</f>
        <v/>
      </c>
      <c r="Q332" s="37" t="str">
        <f aca="false">IF(P332="","",IF(P332&gt;=16,"Critical",IF(P332&gt;=10,"High",IF(P332&gt;=5,"Medium","Low"))))</f>
        <v/>
      </c>
      <c r="R332" s="37" t="str">
        <f aca="true">IF(AND(C332&lt;&gt;"",M332&lt;&gt;"Closed",L332&lt;&gt;"",L332&lt;TODAY()),"Overdue","")</f>
        <v/>
      </c>
      <c r="S332" s="40" t="str">
        <f aca="false">IF(AND(N332&lt;&gt;"",B332="Risk",M332&lt;&gt;"Closed"),N332+(1-ROW()/100000),"")</f>
        <v/>
      </c>
      <c r="T332" s="40" t="str">
        <f aca="false">IF(AND(S332&lt;&gt;"",A332='Project Summary'!$C$3),S332,"")</f>
        <v/>
      </c>
    </row>
    <row r="333" customFormat="false" ht="15" hidden="false" customHeight="false" outlineLevel="0" collapsed="false">
      <c r="A333" s="32"/>
      <c r="B333" s="32"/>
      <c r="C333" s="32"/>
      <c r="D333" s="33"/>
      <c r="E333" s="32"/>
      <c r="F333" s="32"/>
      <c r="G333" s="32"/>
      <c r="H333" s="32"/>
      <c r="I333" s="32"/>
      <c r="J333" s="33"/>
      <c r="K333" s="32"/>
      <c r="L333" s="35"/>
      <c r="M333" s="32"/>
      <c r="N333" s="37" t="str">
        <f aca="false">IF(OR(C333="",F333="",G333=""),"",MATCH(F333,lst_Likelihood,0)*MATCH(G333,lst_Consequence,0))</f>
        <v/>
      </c>
      <c r="O333" s="37" t="str">
        <f aca="false">IF(N333="","",IF(N333&gt;=16,"Critical",IF(N333&gt;=10,"High",IF(N333&gt;=5,"Medium","Low"))))</f>
        <v/>
      </c>
      <c r="P333" s="37" t="str">
        <f aca="false">IF(OR(C333="",H333="",I333=""),"",MATCH(H333,lst_Likelihood,0)*MATCH(I333,lst_Consequence,0))</f>
        <v/>
      </c>
      <c r="Q333" s="37" t="str">
        <f aca="false">IF(P333="","",IF(P333&gt;=16,"Critical",IF(P333&gt;=10,"High",IF(P333&gt;=5,"Medium","Low"))))</f>
        <v/>
      </c>
      <c r="R333" s="37" t="str">
        <f aca="true">IF(AND(C333&lt;&gt;"",M333&lt;&gt;"Closed",L333&lt;&gt;"",L333&lt;TODAY()),"Overdue","")</f>
        <v/>
      </c>
      <c r="S333" s="40" t="str">
        <f aca="false">IF(AND(N333&lt;&gt;"",B333="Risk",M333&lt;&gt;"Closed"),N333+(1-ROW()/100000),"")</f>
        <v/>
      </c>
      <c r="T333" s="40" t="str">
        <f aca="false">IF(AND(S333&lt;&gt;"",A333='Project Summary'!$C$3),S333,"")</f>
        <v/>
      </c>
    </row>
    <row r="334" customFormat="false" ht="15" hidden="false" customHeight="false" outlineLevel="0" collapsed="false">
      <c r="A334" s="32"/>
      <c r="B334" s="32"/>
      <c r="C334" s="32"/>
      <c r="D334" s="33"/>
      <c r="E334" s="32"/>
      <c r="F334" s="32"/>
      <c r="G334" s="32"/>
      <c r="H334" s="32"/>
      <c r="I334" s="32"/>
      <c r="J334" s="33"/>
      <c r="K334" s="32"/>
      <c r="L334" s="35"/>
      <c r="M334" s="32"/>
      <c r="N334" s="37" t="str">
        <f aca="false">IF(OR(C334="",F334="",G334=""),"",MATCH(F334,lst_Likelihood,0)*MATCH(G334,lst_Consequence,0))</f>
        <v/>
      </c>
      <c r="O334" s="37" t="str">
        <f aca="false">IF(N334="","",IF(N334&gt;=16,"Critical",IF(N334&gt;=10,"High",IF(N334&gt;=5,"Medium","Low"))))</f>
        <v/>
      </c>
      <c r="P334" s="37" t="str">
        <f aca="false">IF(OR(C334="",H334="",I334=""),"",MATCH(H334,lst_Likelihood,0)*MATCH(I334,lst_Consequence,0))</f>
        <v/>
      </c>
      <c r="Q334" s="37" t="str">
        <f aca="false">IF(P334="","",IF(P334&gt;=16,"Critical",IF(P334&gt;=10,"High",IF(P334&gt;=5,"Medium","Low"))))</f>
        <v/>
      </c>
      <c r="R334" s="37" t="str">
        <f aca="true">IF(AND(C334&lt;&gt;"",M334&lt;&gt;"Closed",L334&lt;&gt;"",L334&lt;TODAY()),"Overdue","")</f>
        <v/>
      </c>
      <c r="S334" s="40" t="str">
        <f aca="false">IF(AND(N334&lt;&gt;"",B334="Risk",M334&lt;&gt;"Closed"),N334+(1-ROW()/100000),"")</f>
        <v/>
      </c>
      <c r="T334" s="40" t="str">
        <f aca="false">IF(AND(S334&lt;&gt;"",A334='Project Summary'!$C$3),S334,"")</f>
        <v/>
      </c>
    </row>
    <row r="335" customFormat="false" ht="15" hidden="false" customHeight="false" outlineLevel="0" collapsed="false">
      <c r="A335" s="32"/>
      <c r="B335" s="32"/>
      <c r="C335" s="32"/>
      <c r="D335" s="33"/>
      <c r="E335" s="32"/>
      <c r="F335" s="32"/>
      <c r="G335" s="32"/>
      <c r="H335" s="32"/>
      <c r="I335" s="32"/>
      <c r="J335" s="33"/>
      <c r="K335" s="32"/>
      <c r="L335" s="35"/>
      <c r="M335" s="32"/>
      <c r="N335" s="37" t="str">
        <f aca="false">IF(OR(C335="",F335="",G335=""),"",MATCH(F335,lst_Likelihood,0)*MATCH(G335,lst_Consequence,0))</f>
        <v/>
      </c>
      <c r="O335" s="37" t="str">
        <f aca="false">IF(N335="","",IF(N335&gt;=16,"Critical",IF(N335&gt;=10,"High",IF(N335&gt;=5,"Medium","Low"))))</f>
        <v/>
      </c>
      <c r="P335" s="37" t="str">
        <f aca="false">IF(OR(C335="",H335="",I335=""),"",MATCH(H335,lst_Likelihood,0)*MATCH(I335,lst_Consequence,0))</f>
        <v/>
      </c>
      <c r="Q335" s="37" t="str">
        <f aca="false">IF(P335="","",IF(P335&gt;=16,"Critical",IF(P335&gt;=10,"High",IF(P335&gt;=5,"Medium","Low"))))</f>
        <v/>
      </c>
      <c r="R335" s="37" t="str">
        <f aca="true">IF(AND(C335&lt;&gt;"",M335&lt;&gt;"Closed",L335&lt;&gt;"",L335&lt;TODAY()),"Overdue","")</f>
        <v/>
      </c>
      <c r="S335" s="40" t="str">
        <f aca="false">IF(AND(N335&lt;&gt;"",B335="Risk",M335&lt;&gt;"Closed"),N335+(1-ROW()/100000),"")</f>
        <v/>
      </c>
      <c r="T335" s="40" t="str">
        <f aca="false">IF(AND(S335&lt;&gt;"",A335='Project Summary'!$C$3),S335,"")</f>
        <v/>
      </c>
    </row>
    <row r="336" customFormat="false" ht="15" hidden="false" customHeight="false" outlineLevel="0" collapsed="false">
      <c r="A336" s="32"/>
      <c r="B336" s="32"/>
      <c r="C336" s="32"/>
      <c r="D336" s="33"/>
      <c r="E336" s="32"/>
      <c r="F336" s="32"/>
      <c r="G336" s="32"/>
      <c r="H336" s="32"/>
      <c r="I336" s="32"/>
      <c r="J336" s="33"/>
      <c r="K336" s="32"/>
      <c r="L336" s="35"/>
      <c r="M336" s="32"/>
      <c r="N336" s="37" t="str">
        <f aca="false">IF(OR(C336="",F336="",G336=""),"",MATCH(F336,lst_Likelihood,0)*MATCH(G336,lst_Consequence,0))</f>
        <v/>
      </c>
      <c r="O336" s="37" t="str">
        <f aca="false">IF(N336="","",IF(N336&gt;=16,"Critical",IF(N336&gt;=10,"High",IF(N336&gt;=5,"Medium","Low"))))</f>
        <v/>
      </c>
      <c r="P336" s="37" t="str">
        <f aca="false">IF(OR(C336="",H336="",I336=""),"",MATCH(H336,lst_Likelihood,0)*MATCH(I336,lst_Consequence,0))</f>
        <v/>
      </c>
      <c r="Q336" s="37" t="str">
        <f aca="false">IF(P336="","",IF(P336&gt;=16,"Critical",IF(P336&gt;=10,"High",IF(P336&gt;=5,"Medium","Low"))))</f>
        <v/>
      </c>
      <c r="R336" s="37" t="str">
        <f aca="true">IF(AND(C336&lt;&gt;"",M336&lt;&gt;"Closed",L336&lt;&gt;"",L336&lt;TODAY()),"Overdue","")</f>
        <v/>
      </c>
      <c r="S336" s="40" t="str">
        <f aca="false">IF(AND(N336&lt;&gt;"",B336="Risk",M336&lt;&gt;"Closed"),N336+(1-ROW()/100000),"")</f>
        <v/>
      </c>
      <c r="T336" s="40" t="str">
        <f aca="false">IF(AND(S336&lt;&gt;"",A336='Project Summary'!$C$3),S336,"")</f>
        <v/>
      </c>
    </row>
    <row r="337" customFormat="false" ht="15" hidden="false" customHeight="false" outlineLevel="0" collapsed="false">
      <c r="A337" s="32"/>
      <c r="B337" s="32"/>
      <c r="C337" s="32"/>
      <c r="D337" s="33"/>
      <c r="E337" s="32"/>
      <c r="F337" s="32"/>
      <c r="G337" s="32"/>
      <c r="H337" s="32"/>
      <c r="I337" s="32"/>
      <c r="J337" s="33"/>
      <c r="K337" s="32"/>
      <c r="L337" s="35"/>
      <c r="M337" s="32"/>
      <c r="N337" s="37" t="str">
        <f aca="false">IF(OR(C337="",F337="",G337=""),"",MATCH(F337,lst_Likelihood,0)*MATCH(G337,lst_Consequence,0))</f>
        <v/>
      </c>
      <c r="O337" s="37" t="str">
        <f aca="false">IF(N337="","",IF(N337&gt;=16,"Critical",IF(N337&gt;=10,"High",IF(N337&gt;=5,"Medium","Low"))))</f>
        <v/>
      </c>
      <c r="P337" s="37" t="str">
        <f aca="false">IF(OR(C337="",H337="",I337=""),"",MATCH(H337,lst_Likelihood,0)*MATCH(I337,lst_Consequence,0))</f>
        <v/>
      </c>
      <c r="Q337" s="37" t="str">
        <f aca="false">IF(P337="","",IF(P337&gt;=16,"Critical",IF(P337&gt;=10,"High",IF(P337&gt;=5,"Medium","Low"))))</f>
        <v/>
      </c>
      <c r="R337" s="37" t="str">
        <f aca="true">IF(AND(C337&lt;&gt;"",M337&lt;&gt;"Closed",L337&lt;&gt;"",L337&lt;TODAY()),"Overdue","")</f>
        <v/>
      </c>
      <c r="S337" s="40" t="str">
        <f aca="false">IF(AND(N337&lt;&gt;"",B337="Risk",M337&lt;&gt;"Closed"),N337+(1-ROW()/100000),"")</f>
        <v/>
      </c>
      <c r="T337" s="40" t="str">
        <f aca="false">IF(AND(S337&lt;&gt;"",A337='Project Summary'!$C$3),S337,"")</f>
        <v/>
      </c>
    </row>
    <row r="338" customFormat="false" ht="15" hidden="false" customHeight="false" outlineLevel="0" collapsed="false">
      <c r="A338" s="32"/>
      <c r="B338" s="32"/>
      <c r="C338" s="32"/>
      <c r="D338" s="33"/>
      <c r="E338" s="32"/>
      <c r="F338" s="32"/>
      <c r="G338" s="32"/>
      <c r="H338" s="32"/>
      <c r="I338" s="32"/>
      <c r="J338" s="33"/>
      <c r="K338" s="32"/>
      <c r="L338" s="35"/>
      <c r="M338" s="32"/>
      <c r="N338" s="37" t="str">
        <f aca="false">IF(OR(C338="",F338="",G338=""),"",MATCH(F338,lst_Likelihood,0)*MATCH(G338,lst_Consequence,0))</f>
        <v/>
      </c>
      <c r="O338" s="37" t="str">
        <f aca="false">IF(N338="","",IF(N338&gt;=16,"Critical",IF(N338&gt;=10,"High",IF(N338&gt;=5,"Medium","Low"))))</f>
        <v/>
      </c>
      <c r="P338" s="37" t="str">
        <f aca="false">IF(OR(C338="",H338="",I338=""),"",MATCH(H338,lst_Likelihood,0)*MATCH(I338,lst_Consequence,0))</f>
        <v/>
      </c>
      <c r="Q338" s="37" t="str">
        <f aca="false">IF(P338="","",IF(P338&gt;=16,"Critical",IF(P338&gt;=10,"High",IF(P338&gt;=5,"Medium","Low"))))</f>
        <v/>
      </c>
      <c r="R338" s="37" t="str">
        <f aca="true">IF(AND(C338&lt;&gt;"",M338&lt;&gt;"Closed",L338&lt;&gt;"",L338&lt;TODAY()),"Overdue","")</f>
        <v/>
      </c>
      <c r="S338" s="40" t="str">
        <f aca="false">IF(AND(N338&lt;&gt;"",B338="Risk",M338&lt;&gt;"Closed"),N338+(1-ROW()/100000),"")</f>
        <v/>
      </c>
      <c r="T338" s="40" t="str">
        <f aca="false">IF(AND(S338&lt;&gt;"",A338='Project Summary'!$C$3),S338,"")</f>
        <v/>
      </c>
    </row>
    <row r="339" customFormat="false" ht="15" hidden="false" customHeight="false" outlineLevel="0" collapsed="false">
      <c r="A339" s="32"/>
      <c r="B339" s="32"/>
      <c r="C339" s="32"/>
      <c r="D339" s="33"/>
      <c r="E339" s="32"/>
      <c r="F339" s="32"/>
      <c r="G339" s="32"/>
      <c r="H339" s="32"/>
      <c r="I339" s="32"/>
      <c r="J339" s="33"/>
      <c r="K339" s="32"/>
      <c r="L339" s="35"/>
      <c r="M339" s="32"/>
      <c r="N339" s="37" t="str">
        <f aca="false">IF(OR(C339="",F339="",G339=""),"",MATCH(F339,lst_Likelihood,0)*MATCH(G339,lst_Consequence,0))</f>
        <v/>
      </c>
      <c r="O339" s="37" t="str">
        <f aca="false">IF(N339="","",IF(N339&gt;=16,"Critical",IF(N339&gt;=10,"High",IF(N339&gt;=5,"Medium","Low"))))</f>
        <v/>
      </c>
      <c r="P339" s="37" t="str">
        <f aca="false">IF(OR(C339="",H339="",I339=""),"",MATCH(H339,lst_Likelihood,0)*MATCH(I339,lst_Consequence,0))</f>
        <v/>
      </c>
      <c r="Q339" s="37" t="str">
        <f aca="false">IF(P339="","",IF(P339&gt;=16,"Critical",IF(P339&gt;=10,"High",IF(P339&gt;=5,"Medium","Low"))))</f>
        <v/>
      </c>
      <c r="R339" s="37" t="str">
        <f aca="true">IF(AND(C339&lt;&gt;"",M339&lt;&gt;"Closed",L339&lt;&gt;"",L339&lt;TODAY()),"Overdue","")</f>
        <v/>
      </c>
      <c r="S339" s="40" t="str">
        <f aca="false">IF(AND(N339&lt;&gt;"",B339="Risk",M339&lt;&gt;"Closed"),N339+(1-ROW()/100000),"")</f>
        <v/>
      </c>
      <c r="T339" s="40" t="str">
        <f aca="false">IF(AND(S339&lt;&gt;"",A339='Project Summary'!$C$3),S339,"")</f>
        <v/>
      </c>
    </row>
    <row r="340" customFormat="false" ht="15" hidden="false" customHeight="false" outlineLevel="0" collapsed="false">
      <c r="A340" s="32"/>
      <c r="B340" s="32"/>
      <c r="C340" s="32"/>
      <c r="D340" s="33"/>
      <c r="E340" s="32"/>
      <c r="F340" s="32"/>
      <c r="G340" s="32"/>
      <c r="H340" s="32"/>
      <c r="I340" s="32"/>
      <c r="J340" s="33"/>
      <c r="K340" s="32"/>
      <c r="L340" s="35"/>
      <c r="M340" s="32"/>
      <c r="N340" s="37" t="str">
        <f aca="false">IF(OR(C340="",F340="",G340=""),"",MATCH(F340,lst_Likelihood,0)*MATCH(G340,lst_Consequence,0))</f>
        <v/>
      </c>
      <c r="O340" s="37" t="str">
        <f aca="false">IF(N340="","",IF(N340&gt;=16,"Critical",IF(N340&gt;=10,"High",IF(N340&gt;=5,"Medium","Low"))))</f>
        <v/>
      </c>
      <c r="P340" s="37" t="str">
        <f aca="false">IF(OR(C340="",H340="",I340=""),"",MATCH(H340,lst_Likelihood,0)*MATCH(I340,lst_Consequence,0))</f>
        <v/>
      </c>
      <c r="Q340" s="37" t="str">
        <f aca="false">IF(P340="","",IF(P340&gt;=16,"Critical",IF(P340&gt;=10,"High",IF(P340&gt;=5,"Medium","Low"))))</f>
        <v/>
      </c>
      <c r="R340" s="37" t="str">
        <f aca="true">IF(AND(C340&lt;&gt;"",M340&lt;&gt;"Closed",L340&lt;&gt;"",L340&lt;TODAY()),"Overdue","")</f>
        <v/>
      </c>
      <c r="S340" s="40" t="str">
        <f aca="false">IF(AND(N340&lt;&gt;"",B340="Risk",M340&lt;&gt;"Closed"),N340+(1-ROW()/100000),"")</f>
        <v/>
      </c>
      <c r="T340" s="40" t="str">
        <f aca="false">IF(AND(S340&lt;&gt;"",A340='Project Summary'!$C$3),S340,"")</f>
        <v/>
      </c>
    </row>
    <row r="341" customFormat="false" ht="15" hidden="false" customHeight="false" outlineLevel="0" collapsed="false">
      <c r="A341" s="32"/>
      <c r="B341" s="32"/>
      <c r="C341" s="32"/>
      <c r="D341" s="33"/>
      <c r="E341" s="32"/>
      <c r="F341" s="32"/>
      <c r="G341" s="32"/>
      <c r="H341" s="32"/>
      <c r="I341" s="32"/>
      <c r="J341" s="33"/>
      <c r="K341" s="32"/>
      <c r="L341" s="35"/>
      <c r="M341" s="32"/>
      <c r="N341" s="37" t="str">
        <f aca="false">IF(OR(C341="",F341="",G341=""),"",MATCH(F341,lst_Likelihood,0)*MATCH(G341,lst_Consequence,0))</f>
        <v/>
      </c>
      <c r="O341" s="37" t="str">
        <f aca="false">IF(N341="","",IF(N341&gt;=16,"Critical",IF(N341&gt;=10,"High",IF(N341&gt;=5,"Medium","Low"))))</f>
        <v/>
      </c>
      <c r="P341" s="37" t="str">
        <f aca="false">IF(OR(C341="",H341="",I341=""),"",MATCH(H341,lst_Likelihood,0)*MATCH(I341,lst_Consequence,0))</f>
        <v/>
      </c>
      <c r="Q341" s="37" t="str">
        <f aca="false">IF(P341="","",IF(P341&gt;=16,"Critical",IF(P341&gt;=10,"High",IF(P341&gt;=5,"Medium","Low"))))</f>
        <v/>
      </c>
      <c r="R341" s="37" t="str">
        <f aca="true">IF(AND(C341&lt;&gt;"",M341&lt;&gt;"Closed",L341&lt;&gt;"",L341&lt;TODAY()),"Overdue","")</f>
        <v/>
      </c>
      <c r="S341" s="40" t="str">
        <f aca="false">IF(AND(N341&lt;&gt;"",B341="Risk",M341&lt;&gt;"Closed"),N341+(1-ROW()/100000),"")</f>
        <v/>
      </c>
      <c r="T341" s="40" t="str">
        <f aca="false">IF(AND(S341&lt;&gt;"",A341='Project Summary'!$C$3),S341,"")</f>
        <v/>
      </c>
    </row>
    <row r="342" customFormat="false" ht="15" hidden="false" customHeight="false" outlineLevel="0" collapsed="false">
      <c r="A342" s="32"/>
      <c r="B342" s="32"/>
      <c r="C342" s="32"/>
      <c r="D342" s="33"/>
      <c r="E342" s="32"/>
      <c r="F342" s="32"/>
      <c r="G342" s="32"/>
      <c r="H342" s="32"/>
      <c r="I342" s="32"/>
      <c r="J342" s="33"/>
      <c r="K342" s="32"/>
      <c r="L342" s="35"/>
      <c r="M342" s="32"/>
      <c r="N342" s="37" t="str">
        <f aca="false">IF(OR(C342="",F342="",G342=""),"",MATCH(F342,lst_Likelihood,0)*MATCH(G342,lst_Consequence,0))</f>
        <v/>
      </c>
      <c r="O342" s="37" t="str">
        <f aca="false">IF(N342="","",IF(N342&gt;=16,"Critical",IF(N342&gt;=10,"High",IF(N342&gt;=5,"Medium","Low"))))</f>
        <v/>
      </c>
      <c r="P342" s="37" t="str">
        <f aca="false">IF(OR(C342="",H342="",I342=""),"",MATCH(H342,lst_Likelihood,0)*MATCH(I342,lst_Consequence,0))</f>
        <v/>
      </c>
      <c r="Q342" s="37" t="str">
        <f aca="false">IF(P342="","",IF(P342&gt;=16,"Critical",IF(P342&gt;=10,"High",IF(P342&gt;=5,"Medium","Low"))))</f>
        <v/>
      </c>
      <c r="R342" s="37" t="str">
        <f aca="true">IF(AND(C342&lt;&gt;"",M342&lt;&gt;"Closed",L342&lt;&gt;"",L342&lt;TODAY()),"Overdue","")</f>
        <v/>
      </c>
      <c r="S342" s="40" t="str">
        <f aca="false">IF(AND(N342&lt;&gt;"",B342="Risk",M342&lt;&gt;"Closed"),N342+(1-ROW()/100000),"")</f>
        <v/>
      </c>
      <c r="T342" s="40" t="str">
        <f aca="false">IF(AND(S342&lt;&gt;"",A342='Project Summary'!$C$3),S342,"")</f>
        <v/>
      </c>
    </row>
    <row r="343" customFormat="false" ht="15" hidden="false" customHeight="false" outlineLevel="0" collapsed="false">
      <c r="A343" s="32"/>
      <c r="B343" s="32"/>
      <c r="C343" s="32"/>
      <c r="D343" s="33"/>
      <c r="E343" s="32"/>
      <c r="F343" s="32"/>
      <c r="G343" s="32"/>
      <c r="H343" s="32"/>
      <c r="I343" s="32"/>
      <c r="J343" s="33"/>
      <c r="K343" s="32"/>
      <c r="L343" s="35"/>
      <c r="M343" s="32"/>
      <c r="N343" s="37" t="str">
        <f aca="false">IF(OR(C343="",F343="",G343=""),"",MATCH(F343,lst_Likelihood,0)*MATCH(G343,lst_Consequence,0))</f>
        <v/>
      </c>
      <c r="O343" s="37" t="str">
        <f aca="false">IF(N343="","",IF(N343&gt;=16,"Critical",IF(N343&gt;=10,"High",IF(N343&gt;=5,"Medium","Low"))))</f>
        <v/>
      </c>
      <c r="P343" s="37" t="str">
        <f aca="false">IF(OR(C343="",H343="",I343=""),"",MATCH(H343,lst_Likelihood,0)*MATCH(I343,lst_Consequence,0))</f>
        <v/>
      </c>
      <c r="Q343" s="37" t="str">
        <f aca="false">IF(P343="","",IF(P343&gt;=16,"Critical",IF(P343&gt;=10,"High",IF(P343&gt;=5,"Medium","Low"))))</f>
        <v/>
      </c>
      <c r="R343" s="37" t="str">
        <f aca="true">IF(AND(C343&lt;&gt;"",M343&lt;&gt;"Closed",L343&lt;&gt;"",L343&lt;TODAY()),"Overdue","")</f>
        <v/>
      </c>
      <c r="S343" s="40" t="str">
        <f aca="false">IF(AND(N343&lt;&gt;"",B343="Risk",M343&lt;&gt;"Closed"),N343+(1-ROW()/100000),"")</f>
        <v/>
      </c>
      <c r="T343" s="40" t="str">
        <f aca="false">IF(AND(S343&lt;&gt;"",A343='Project Summary'!$C$3),S343,"")</f>
        <v/>
      </c>
    </row>
    <row r="344" customFormat="false" ht="15" hidden="false" customHeight="false" outlineLevel="0" collapsed="false">
      <c r="A344" s="32"/>
      <c r="B344" s="32"/>
      <c r="C344" s="32"/>
      <c r="D344" s="33"/>
      <c r="E344" s="32"/>
      <c r="F344" s="32"/>
      <c r="G344" s="32"/>
      <c r="H344" s="32"/>
      <c r="I344" s="32"/>
      <c r="J344" s="33"/>
      <c r="K344" s="32"/>
      <c r="L344" s="35"/>
      <c r="M344" s="32"/>
      <c r="N344" s="37" t="str">
        <f aca="false">IF(OR(C344="",F344="",G344=""),"",MATCH(F344,lst_Likelihood,0)*MATCH(G344,lst_Consequence,0))</f>
        <v/>
      </c>
      <c r="O344" s="37" t="str">
        <f aca="false">IF(N344="","",IF(N344&gt;=16,"Critical",IF(N344&gt;=10,"High",IF(N344&gt;=5,"Medium","Low"))))</f>
        <v/>
      </c>
      <c r="P344" s="37" t="str">
        <f aca="false">IF(OR(C344="",H344="",I344=""),"",MATCH(H344,lst_Likelihood,0)*MATCH(I344,lst_Consequence,0))</f>
        <v/>
      </c>
      <c r="Q344" s="37" t="str">
        <f aca="false">IF(P344="","",IF(P344&gt;=16,"Critical",IF(P344&gt;=10,"High",IF(P344&gt;=5,"Medium","Low"))))</f>
        <v/>
      </c>
      <c r="R344" s="37" t="str">
        <f aca="true">IF(AND(C344&lt;&gt;"",M344&lt;&gt;"Closed",L344&lt;&gt;"",L344&lt;TODAY()),"Overdue","")</f>
        <v/>
      </c>
      <c r="S344" s="40" t="str">
        <f aca="false">IF(AND(N344&lt;&gt;"",B344="Risk",M344&lt;&gt;"Closed"),N344+(1-ROW()/100000),"")</f>
        <v/>
      </c>
      <c r="T344" s="40" t="str">
        <f aca="false">IF(AND(S344&lt;&gt;"",A344='Project Summary'!$C$3),S344,"")</f>
        <v/>
      </c>
    </row>
    <row r="345" customFormat="false" ht="15" hidden="false" customHeight="false" outlineLevel="0" collapsed="false">
      <c r="A345" s="32"/>
      <c r="B345" s="32"/>
      <c r="C345" s="32"/>
      <c r="D345" s="33"/>
      <c r="E345" s="32"/>
      <c r="F345" s="32"/>
      <c r="G345" s="32"/>
      <c r="H345" s="32"/>
      <c r="I345" s="32"/>
      <c r="J345" s="33"/>
      <c r="K345" s="32"/>
      <c r="L345" s="35"/>
      <c r="M345" s="32"/>
      <c r="N345" s="37" t="str">
        <f aca="false">IF(OR(C345="",F345="",G345=""),"",MATCH(F345,lst_Likelihood,0)*MATCH(G345,lst_Consequence,0))</f>
        <v/>
      </c>
      <c r="O345" s="37" t="str">
        <f aca="false">IF(N345="","",IF(N345&gt;=16,"Critical",IF(N345&gt;=10,"High",IF(N345&gt;=5,"Medium","Low"))))</f>
        <v/>
      </c>
      <c r="P345" s="37" t="str">
        <f aca="false">IF(OR(C345="",H345="",I345=""),"",MATCH(H345,lst_Likelihood,0)*MATCH(I345,lst_Consequence,0))</f>
        <v/>
      </c>
      <c r="Q345" s="37" t="str">
        <f aca="false">IF(P345="","",IF(P345&gt;=16,"Critical",IF(P345&gt;=10,"High",IF(P345&gt;=5,"Medium","Low"))))</f>
        <v/>
      </c>
      <c r="R345" s="37" t="str">
        <f aca="true">IF(AND(C345&lt;&gt;"",M345&lt;&gt;"Closed",L345&lt;&gt;"",L345&lt;TODAY()),"Overdue","")</f>
        <v/>
      </c>
      <c r="S345" s="40" t="str">
        <f aca="false">IF(AND(N345&lt;&gt;"",B345="Risk",M345&lt;&gt;"Closed"),N345+(1-ROW()/100000),"")</f>
        <v/>
      </c>
      <c r="T345" s="40" t="str">
        <f aca="false">IF(AND(S345&lt;&gt;"",A345='Project Summary'!$C$3),S345,"")</f>
        <v/>
      </c>
    </row>
    <row r="346" customFormat="false" ht="15" hidden="false" customHeight="false" outlineLevel="0" collapsed="false">
      <c r="A346" s="32"/>
      <c r="B346" s="32"/>
      <c r="C346" s="32"/>
      <c r="D346" s="33"/>
      <c r="E346" s="32"/>
      <c r="F346" s="32"/>
      <c r="G346" s="32"/>
      <c r="H346" s="32"/>
      <c r="I346" s="32"/>
      <c r="J346" s="33"/>
      <c r="K346" s="32"/>
      <c r="L346" s="35"/>
      <c r="M346" s="32"/>
      <c r="N346" s="37" t="str">
        <f aca="false">IF(OR(C346="",F346="",G346=""),"",MATCH(F346,lst_Likelihood,0)*MATCH(G346,lst_Consequence,0))</f>
        <v/>
      </c>
      <c r="O346" s="37" t="str">
        <f aca="false">IF(N346="","",IF(N346&gt;=16,"Critical",IF(N346&gt;=10,"High",IF(N346&gt;=5,"Medium","Low"))))</f>
        <v/>
      </c>
      <c r="P346" s="37" t="str">
        <f aca="false">IF(OR(C346="",H346="",I346=""),"",MATCH(H346,lst_Likelihood,0)*MATCH(I346,lst_Consequence,0))</f>
        <v/>
      </c>
      <c r="Q346" s="37" t="str">
        <f aca="false">IF(P346="","",IF(P346&gt;=16,"Critical",IF(P346&gt;=10,"High",IF(P346&gt;=5,"Medium","Low"))))</f>
        <v/>
      </c>
      <c r="R346" s="37" t="str">
        <f aca="true">IF(AND(C346&lt;&gt;"",M346&lt;&gt;"Closed",L346&lt;&gt;"",L346&lt;TODAY()),"Overdue","")</f>
        <v/>
      </c>
      <c r="S346" s="40" t="str">
        <f aca="false">IF(AND(N346&lt;&gt;"",B346="Risk",M346&lt;&gt;"Closed"),N346+(1-ROW()/100000),"")</f>
        <v/>
      </c>
      <c r="T346" s="40" t="str">
        <f aca="false">IF(AND(S346&lt;&gt;"",A346='Project Summary'!$C$3),S346,"")</f>
        <v/>
      </c>
    </row>
    <row r="347" customFormat="false" ht="15" hidden="false" customHeight="false" outlineLevel="0" collapsed="false">
      <c r="A347" s="32"/>
      <c r="B347" s="32"/>
      <c r="C347" s="32"/>
      <c r="D347" s="33"/>
      <c r="E347" s="32"/>
      <c r="F347" s="32"/>
      <c r="G347" s="32"/>
      <c r="H347" s="32"/>
      <c r="I347" s="32"/>
      <c r="J347" s="33"/>
      <c r="K347" s="32"/>
      <c r="L347" s="35"/>
      <c r="M347" s="32"/>
      <c r="N347" s="37" t="str">
        <f aca="false">IF(OR(C347="",F347="",G347=""),"",MATCH(F347,lst_Likelihood,0)*MATCH(G347,lst_Consequence,0))</f>
        <v/>
      </c>
      <c r="O347" s="37" t="str">
        <f aca="false">IF(N347="","",IF(N347&gt;=16,"Critical",IF(N347&gt;=10,"High",IF(N347&gt;=5,"Medium","Low"))))</f>
        <v/>
      </c>
      <c r="P347" s="37" t="str">
        <f aca="false">IF(OR(C347="",H347="",I347=""),"",MATCH(H347,lst_Likelihood,0)*MATCH(I347,lst_Consequence,0))</f>
        <v/>
      </c>
      <c r="Q347" s="37" t="str">
        <f aca="false">IF(P347="","",IF(P347&gt;=16,"Critical",IF(P347&gt;=10,"High",IF(P347&gt;=5,"Medium","Low"))))</f>
        <v/>
      </c>
      <c r="R347" s="37" t="str">
        <f aca="true">IF(AND(C347&lt;&gt;"",M347&lt;&gt;"Closed",L347&lt;&gt;"",L347&lt;TODAY()),"Overdue","")</f>
        <v/>
      </c>
      <c r="S347" s="40" t="str">
        <f aca="false">IF(AND(N347&lt;&gt;"",B347="Risk",M347&lt;&gt;"Closed"),N347+(1-ROW()/100000),"")</f>
        <v/>
      </c>
      <c r="T347" s="40" t="str">
        <f aca="false">IF(AND(S347&lt;&gt;"",A347='Project Summary'!$C$3),S347,"")</f>
        <v/>
      </c>
    </row>
    <row r="348" customFormat="false" ht="15" hidden="false" customHeight="false" outlineLevel="0" collapsed="false">
      <c r="A348" s="32"/>
      <c r="B348" s="32"/>
      <c r="C348" s="32"/>
      <c r="D348" s="33"/>
      <c r="E348" s="32"/>
      <c r="F348" s="32"/>
      <c r="G348" s="32"/>
      <c r="H348" s="32"/>
      <c r="I348" s="32"/>
      <c r="J348" s="33"/>
      <c r="K348" s="32"/>
      <c r="L348" s="35"/>
      <c r="M348" s="32"/>
      <c r="N348" s="37" t="str">
        <f aca="false">IF(OR(C348="",F348="",G348=""),"",MATCH(F348,lst_Likelihood,0)*MATCH(G348,lst_Consequence,0))</f>
        <v/>
      </c>
      <c r="O348" s="37" t="str">
        <f aca="false">IF(N348="","",IF(N348&gt;=16,"Critical",IF(N348&gt;=10,"High",IF(N348&gt;=5,"Medium","Low"))))</f>
        <v/>
      </c>
      <c r="P348" s="37" t="str">
        <f aca="false">IF(OR(C348="",H348="",I348=""),"",MATCH(H348,lst_Likelihood,0)*MATCH(I348,lst_Consequence,0))</f>
        <v/>
      </c>
      <c r="Q348" s="37" t="str">
        <f aca="false">IF(P348="","",IF(P348&gt;=16,"Critical",IF(P348&gt;=10,"High",IF(P348&gt;=5,"Medium","Low"))))</f>
        <v/>
      </c>
      <c r="R348" s="37" t="str">
        <f aca="true">IF(AND(C348&lt;&gt;"",M348&lt;&gt;"Closed",L348&lt;&gt;"",L348&lt;TODAY()),"Overdue","")</f>
        <v/>
      </c>
      <c r="S348" s="40" t="str">
        <f aca="false">IF(AND(N348&lt;&gt;"",B348="Risk",M348&lt;&gt;"Closed"),N348+(1-ROW()/100000),"")</f>
        <v/>
      </c>
      <c r="T348" s="40" t="str">
        <f aca="false">IF(AND(S348&lt;&gt;"",A348='Project Summary'!$C$3),S348,"")</f>
        <v/>
      </c>
    </row>
    <row r="349" customFormat="false" ht="15" hidden="false" customHeight="false" outlineLevel="0" collapsed="false">
      <c r="A349" s="32"/>
      <c r="B349" s="32"/>
      <c r="C349" s="32"/>
      <c r="D349" s="33"/>
      <c r="E349" s="32"/>
      <c r="F349" s="32"/>
      <c r="G349" s="32"/>
      <c r="H349" s="32"/>
      <c r="I349" s="32"/>
      <c r="J349" s="33"/>
      <c r="K349" s="32"/>
      <c r="L349" s="35"/>
      <c r="M349" s="32"/>
      <c r="N349" s="37" t="str">
        <f aca="false">IF(OR(C349="",F349="",G349=""),"",MATCH(F349,lst_Likelihood,0)*MATCH(G349,lst_Consequence,0))</f>
        <v/>
      </c>
      <c r="O349" s="37" t="str">
        <f aca="false">IF(N349="","",IF(N349&gt;=16,"Critical",IF(N349&gt;=10,"High",IF(N349&gt;=5,"Medium","Low"))))</f>
        <v/>
      </c>
      <c r="P349" s="37" t="str">
        <f aca="false">IF(OR(C349="",H349="",I349=""),"",MATCH(H349,lst_Likelihood,0)*MATCH(I349,lst_Consequence,0))</f>
        <v/>
      </c>
      <c r="Q349" s="37" t="str">
        <f aca="false">IF(P349="","",IF(P349&gt;=16,"Critical",IF(P349&gt;=10,"High",IF(P349&gt;=5,"Medium","Low"))))</f>
        <v/>
      </c>
      <c r="R349" s="37" t="str">
        <f aca="true">IF(AND(C349&lt;&gt;"",M349&lt;&gt;"Closed",L349&lt;&gt;"",L349&lt;TODAY()),"Overdue","")</f>
        <v/>
      </c>
      <c r="S349" s="40" t="str">
        <f aca="false">IF(AND(N349&lt;&gt;"",B349="Risk",M349&lt;&gt;"Closed"),N349+(1-ROW()/100000),"")</f>
        <v/>
      </c>
      <c r="T349" s="40" t="str">
        <f aca="false">IF(AND(S349&lt;&gt;"",A349='Project Summary'!$C$3),S349,"")</f>
        <v/>
      </c>
    </row>
    <row r="350" customFormat="false" ht="15" hidden="false" customHeight="false" outlineLevel="0" collapsed="false">
      <c r="A350" s="32"/>
      <c r="B350" s="32"/>
      <c r="C350" s="32"/>
      <c r="D350" s="33"/>
      <c r="E350" s="32"/>
      <c r="F350" s="32"/>
      <c r="G350" s="32"/>
      <c r="H350" s="32"/>
      <c r="I350" s="32"/>
      <c r="J350" s="33"/>
      <c r="K350" s="32"/>
      <c r="L350" s="35"/>
      <c r="M350" s="32"/>
      <c r="N350" s="37" t="str">
        <f aca="false">IF(OR(C350="",F350="",G350=""),"",MATCH(F350,lst_Likelihood,0)*MATCH(G350,lst_Consequence,0))</f>
        <v/>
      </c>
      <c r="O350" s="37" t="str">
        <f aca="false">IF(N350="","",IF(N350&gt;=16,"Critical",IF(N350&gt;=10,"High",IF(N350&gt;=5,"Medium","Low"))))</f>
        <v/>
      </c>
      <c r="P350" s="37" t="str">
        <f aca="false">IF(OR(C350="",H350="",I350=""),"",MATCH(H350,lst_Likelihood,0)*MATCH(I350,lst_Consequence,0))</f>
        <v/>
      </c>
      <c r="Q350" s="37" t="str">
        <f aca="false">IF(P350="","",IF(P350&gt;=16,"Critical",IF(P350&gt;=10,"High",IF(P350&gt;=5,"Medium","Low"))))</f>
        <v/>
      </c>
      <c r="R350" s="37" t="str">
        <f aca="true">IF(AND(C350&lt;&gt;"",M350&lt;&gt;"Closed",L350&lt;&gt;"",L350&lt;TODAY()),"Overdue","")</f>
        <v/>
      </c>
      <c r="S350" s="40" t="str">
        <f aca="false">IF(AND(N350&lt;&gt;"",B350="Risk",M350&lt;&gt;"Closed"),N350+(1-ROW()/100000),"")</f>
        <v/>
      </c>
      <c r="T350" s="40" t="str">
        <f aca="false">IF(AND(S350&lt;&gt;"",A350='Project Summary'!$C$3),S350,"")</f>
        <v/>
      </c>
    </row>
    <row r="351" customFormat="false" ht="15" hidden="false" customHeight="false" outlineLevel="0" collapsed="false">
      <c r="A351" s="32"/>
      <c r="B351" s="32"/>
      <c r="C351" s="32"/>
      <c r="D351" s="33"/>
      <c r="E351" s="32"/>
      <c r="F351" s="32"/>
      <c r="G351" s="32"/>
      <c r="H351" s="32"/>
      <c r="I351" s="32"/>
      <c r="J351" s="33"/>
      <c r="K351" s="32"/>
      <c r="L351" s="35"/>
      <c r="M351" s="32"/>
      <c r="N351" s="37" t="str">
        <f aca="false">IF(OR(C351="",F351="",G351=""),"",MATCH(F351,lst_Likelihood,0)*MATCH(G351,lst_Consequence,0))</f>
        <v/>
      </c>
      <c r="O351" s="37" t="str">
        <f aca="false">IF(N351="","",IF(N351&gt;=16,"Critical",IF(N351&gt;=10,"High",IF(N351&gt;=5,"Medium","Low"))))</f>
        <v/>
      </c>
      <c r="P351" s="37" t="str">
        <f aca="false">IF(OR(C351="",H351="",I351=""),"",MATCH(H351,lst_Likelihood,0)*MATCH(I351,lst_Consequence,0))</f>
        <v/>
      </c>
      <c r="Q351" s="37" t="str">
        <f aca="false">IF(P351="","",IF(P351&gt;=16,"Critical",IF(P351&gt;=10,"High",IF(P351&gt;=5,"Medium","Low"))))</f>
        <v/>
      </c>
      <c r="R351" s="37" t="str">
        <f aca="true">IF(AND(C351&lt;&gt;"",M351&lt;&gt;"Closed",L351&lt;&gt;"",L351&lt;TODAY()),"Overdue","")</f>
        <v/>
      </c>
      <c r="S351" s="40" t="str">
        <f aca="false">IF(AND(N351&lt;&gt;"",B351="Risk",M351&lt;&gt;"Closed"),N351+(1-ROW()/100000),"")</f>
        <v/>
      </c>
      <c r="T351" s="40" t="str">
        <f aca="false">IF(AND(S351&lt;&gt;"",A351='Project Summary'!$C$3),S351,"")</f>
        <v/>
      </c>
    </row>
    <row r="352" customFormat="false" ht="15" hidden="false" customHeight="false" outlineLevel="0" collapsed="false">
      <c r="A352" s="32"/>
      <c r="B352" s="32"/>
      <c r="C352" s="32"/>
      <c r="D352" s="33"/>
      <c r="E352" s="32"/>
      <c r="F352" s="32"/>
      <c r="G352" s="32"/>
      <c r="H352" s="32"/>
      <c r="I352" s="32"/>
      <c r="J352" s="33"/>
      <c r="K352" s="32"/>
      <c r="L352" s="35"/>
      <c r="M352" s="32"/>
      <c r="N352" s="37" t="str">
        <f aca="false">IF(OR(C352="",F352="",G352=""),"",MATCH(F352,lst_Likelihood,0)*MATCH(G352,lst_Consequence,0))</f>
        <v/>
      </c>
      <c r="O352" s="37" t="str">
        <f aca="false">IF(N352="","",IF(N352&gt;=16,"Critical",IF(N352&gt;=10,"High",IF(N352&gt;=5,"Medium","Low"))))</f>
        <v/>
      </c>
      <c r="P352" s="37" t="str">
        <f aca="false">IF(OR(C352="",H352="",I352=""),"",MATCH(H352,lst_Likelihood,0)*MATCH(I352,lst_Consequence,0))</f>
        <v/>
      </c>
      <c r="Q352" s="37" t="str">
        <f aca="false">IF(P352="","",IF(P352&gt;=16,"Critical",IF(P352&gt;=10,"High",IF(P352&gt;=5,"Medium","Low"))))</f>
        <v/>
      </c>
      <c r="R352" s="37" t="str">
        <f aca="true">IF(AND(C352&lt;&gt;"",M352&lt;&gt;"Closed",L352&lt;&gt;"",L352&lt;TODAY()),"Overdue","")</f>
        <v/>
      </c>
      <c r="S352" s="40" t="str">
        <f aca="false">IF(AND(N352&lt;&gt;"",B352="Risk",M352&lt;&gt;"Closed"),N352+(1-ROW()/100000),"")</f>
        <v/>
      </c>
      <c r="T352" s="40" t="str">
        <f aca="false">IF(AND(S352&lt;&gt;"",A352='Project Summary'!$C$3),S352,"")</f>
        <v/>
      </c>
    </row>
    <row r="353" customFormat="false" ht="15" hidden="false" customHeight="false" outlineLevel="0" collapsed="false">
      <c r="A353" s="32"/>
      <c r="B353" s="32"/>
      <c r="C353" s="32"/>
      <c r="D353" s="33"/>
      <c r="E353" s="32"/>
      <c r="F353" s="32"/>
      <c r="G353" s="32"/>
      <c r="H353" s="32"/>
      <c r="I353" s="32"/>
      <c r="J353" s="33"/>
      <c r="K353" s="32"/>
      <c r="L353" s="35"/>
      <c r="M353" s="32"/>
      <c r="N353" s="37" t="str">
        <f aca="false">IF(OR(C353="",F353="",G353=""),"",MATCH(F353,lst_Likelihood,0)*MATCH(G353,lst_Consequence,0))</f>
        <v/>
      </c>
      <c r="O353" s="37" t="str">
        <f aca="false">IF(N353="","",IF(N353&gt;=16,"Critical",IF(N353&gt;=10,"High",IF(N353&gt;=5,"Medium","Low"))))</f>
        <v/>
      </c>
      <c r="P353" s="37" t="str">
        <f aca="false">IF(OR(C353="",H353="",I353=""),"",MATCH(H353,lst_Likelihood,0)*MATCH(I353,lst_Consequence,0))</f>
        <v/>
      </c>
      <c r="Q353" s="37" t="str">
        <f aca="false">IF(P353="","",IF(P353&gt;=16,"Critical",IF(P353&gt;=10,"High",IF(P353&gt;=5,"Medium","Low"))))</f>
        <v/>
      </c>
      <c r="R353" s="37" t="str">
        <f aca="true">IF(AND(C353&lt;&gt;"",M353&lt;&gt;"Closed",L353&lt;&gt;"",L353&lt;TODAY()),"Overdue","")</f>
        <v/>
      </c>
      <c r="S353" s="40" t="str">
        <f aca="false">IF(AND(N353&lt;&gt;"",B353="Risk",M353&lt;&gt;"Closed"),N353+(1-ROW()/100000),"")</f>
        <v/>
      </c>
      <c r="T353" s="40" t="str">
        <f aca="false">IF(AND(S353&lt;&gt;"",A353='Project Summary'!$C$3),S353,"")</f>
        <v/>
      </c>
    </row>
    <row r="354" customFormat="false" ht="15" hidden="false" customHeight="false" outlineLevel="0" collapsed="false">
      <c r="A354" s="32"/>
      <c r="B354" s="32"/>
      <c r="C354" s="32"/>
      <c r="D354" s="33"/>
      <c r="E354" s="32"/>
      <c r="F354" s="32"/>
      <c r="G354" s="32"/>
      <c r="H354" s="32"/>
      <c r="I354" s="32"/>
      <c r="J354" s="33"/>
      <c r="K354" s="32"/>
      <c r="L354" s="35"/>
      <c r="M354" s="32"/>
      <c r="N354" s="37" t="str">
        <f aca="false">IF(OR(C354="",F354="",G354=""),"",MATCH(F354,lst_Likelihood,0)*MATCH(G354,lst_Consequence,0))</f>
        <v/>
      </c>
      <c r="O354" s="37" t="str">
        <f aca="false">IF(N354="","",IF(N354&gt;=16,"Critical",IF(N354&gt;=10,"High",IF(N354&gt;=5,"Medium","Low"))))</f>
        <v/>
      </c>
      <c r="P354" s="37" t="str">
        <f aca="false">IF(OR(C354="",H354="",I354=""),"",MATCH(H354,lst_Likelihood,0)*MATCH(I354,lst_Consequence,0))</f>
        <v/>
      </c>
      <c r="Q354" s="37" t="str">
        <f aca="false">IF(P354="","",IF(P354&gt;=16,"Critical",IF(P354&gt;=10,"High",IF(P354&gt;=5,"Medium","Low"))))</f>
        <v/>
      </c>
      <c r="R354" s="37" t="str">
        <f aca="true">IF(AND(C354&lt;&gt;"",M354&lt;&gt;"Closed",L354&lt;&gt;"",L354&lt;TODAY()),"Overdue","")</f>
        <v/>
      </c>
      <c r="S354" s="40" t="str">
        <f aca="false">IF(AND(N354&lt;&gt;"",B354="Risk",M354&lt;&gt;"Closed"),N354+(1-ROW()/100000),"")</f>
        <v/>
      </c>
      <c r="T354" s="40" t="str">
        <f aca="false">IF(AND(S354&lt;&gt;"",A354='Project Summary'!$C$3),S354,"")</f>
        <v/>
      </c>
    </row>
    <row r="355" customFormat="false" ht="15" hidden="false" customHeight="false" outlineLevel="0" collapsed="false">
      <c r="A355" s="32"/>
      <c r="B355" s="32"/>
      <c r="C355" s="32"/>
      <c r="D355" s="33"/>
      <c r="E355" s="32"/>
      <c r="F355" s="32"/>
      <c r="G355" s="32"/>
      <c r="H355" s="32"/>
      <c r="I355" s="32"/>
      <c r="J355" s="33"/>
      <c r="K355" s="32"/>
      <c r="L355" s="35"/>
      <c r="M355" s="32"/>
      <c r="N355" s="37" t="str">
        <f aca="false">IF(OR(C355="",F355="",G355=""),"",MATCH(F355,lst_Likelihood,0)*MATCH(G355,lst_Consequence,0))</f>
        <v/>
      </c>
      <c r="O355" s="37" t="str">
        <f aca="false">IF(N355="","",IF(N355&gt;=16,"Critical",IF(N355&gt;=10,"High",IF(N355&gt;=5,"Medium","Low"))))</f>
        <v/>
      </c>
      <c r="P355" s="37" t="str">
        <f aca="false">IF(OR(C355="",H355="",I355=""),"",MATCH(H355,lst_Likelihood,0)*MATCH(I355,lst_Consequence,0))</f>
        <v/>
      </c>
      <c r="Q355" s="37" t="str">
        <f aca="false">IF(P355="","",IF(P355&gt;=16,"Critical",IF(P355&gt;=10,"High",IF(P355&gt;=5,"Medium","Low"))))</f>
        <v/>
      </c>
      <c r="R355" s="37" t="str">
        <f aca="true">IF(AND(C355&lt;&gt;"",M355&lt;&gt;"Closed",L355&lt;&gt;"",L355&lt;TODAY()),"Overdue","")</f>
        <v/>
      </c>
      <c r="S355" s="40" t="str">
        <f aca="false">IF(AND(N355&lt;&gt;"",B355="Risk",M355&lt;&gt;"Closed"),N355+(1-ROW()/100000),"")</f>
        <v/>
      </c>
      <c r="T355" s="40" t="str">
        <f aca="false">IF(AND(S355&lt;&gt;"",A355='Project Summary'!$C$3),S355,"")</f>
        <v/>
      </c>
    </row>
    <row r="356" customFormat="false" ht="15" hidden="false" customHeight="false" outlineLevel="0" collapsed="false">
      <c r="A356" s="32"/>
      <c r="B356" s="32"/>
      <c r="C356" s="32"/>
      <c r="D356" s="33"/>
      <c r="E356" s="32"/>
      <c r="F356" s="32"/>
      <c r="G356" s="32"/>
      <c r="H356" s="32"/>
      <c r="I356" s="32"/>
      <c r="J356" s="33"/>
      <c r="K356" s="32"/>
      <c r="L356" s="35"/>
      <c r="M356" s="32"/>
      <c r="N356" s="37" t="str">
        <f aca="false">IF(OR(C356="",F356="",G356=""),"",MATCH(F356,lst_Likelihood,0)*MATCH(G356,lst_Consequence,0))</f>
        <v/>
      </c>
      <c r="O356" s="37" t="str">
        <f aca="false">IF(N356="","",IF(N356&gt;=16,"Critical",IF(N356&gt;=10,"High",IF(N356&gt;=5,"Medium","Low"))))</f>
        <v/>
      </c>
      <c r="P356" s="37" t="str">
        <f aca="false">IF(OR(C356="",H356="",I356=""),"",MATCH(H356,lst_Likelihood,0)*MATCH(I356,lst_Consequence,0))</f>
        <v/>
      </c>
      <c r="Q356" s="37" t="str">
        <f aca="false">IF(P356="","",IF(P356&gt;=16,"Critical",IF(P356&gt;=10,"High",IF(P356&gt;=5,"Medium","Low"))))</f>
        <v/>
      </c>
      <c r="R356" s="37" t="str">
        <f aca="true">IF(AND(C356&lt;&gt;"",M356&lt;&gt;"Closed",L356&lt;&gt;"",L356&lt;TODAY()),"Overdue","")</f>
        <v/>
      </c>
      <c r="S356" s="40" t="str">
        <f aca="false">IF(AND(N356&lt;&gt;"",B356="Risk",M356&lt;&gt;"Closed"),N356+(1-ROW()/100000),"")</f>
        <v/>
      </c>
      <c r="T356" s="40" t="str">
        <f aca="false">IF(AND(S356&lt;&gt;"",A356='Project Summary'!$C$3),S356,"")</f>
        <v/>
      </c>
    </row>
    <row r="357" customFormat="false" ht="15" hidden="false" customHeight="false" outlineLevel="0" collapsed="false">
      <c r="A357" s="32"/>
      <c r="B357" s="32"/>
      <c r="C357" s="32"/>
      <c r="D357" s="33"/>
      <c r="E357" s="32"/>
      <c r="F357" s="32"/>
      <c r="G357" s="32"/>
      <c r="H357" s="32"/>
      <c r="I357" s="32"/>
      <c r="J357" s="33"/>
      <c r="K357" s="32"/>
      <c r="L357" s="35"/>
      <c r="M357" s="32"/>
      <c r="N357" s="37" t="str">
        <f aca="false">IF(OR(C357="",F357="",G357=""),"",MATCH(F357,lst_Likelihood,0)*MATCH(G357,lst_Consequence,0))</f>
        <v/>
      </c>
      <c r="O357" s="37" t="str">
        <f aca="false">IF(N357="","",IF(N357&gt;=16,"Critical",IF(N357&gt;=10,"High",IF(N357&gt;=5,"Medium","Low"))))</f>
        <v/>
      </c>
      <c r="P357" s="37" t="str">
        <f aca="false">IF(OR(C357="",H357="",I357=""),"",MATCH(H357,lst_Likelihood,0)*MATCH(I357,lst_Consequence,0))</f>
        <v/>
      </c>
      <c r="Q357" s="37" t="str">
        <f aca="false">IF(P357="","",IF(P357&gt;=16,"Critical",IF(P357&gt;=10,"High",IF(P357&gt;=5,"Medium","Low"))))</f>
        <v/>
      </c>
      <c r="R357" s="37" t="str">
        <f aca="true">IF(AND(C357&lt;&gt;"",M357&lt;&gt;"Closed",L357&lt;&gt;"",L357&lt;TODAY()),"Overdue","")</f>
        <v/>
      </c>
      <c r="S357" s="40" t="str">
        <f aca="false">IF(AND(N357&lt;&gt;"",B357="Risk",M357&lt;&gt;"Closed"),N357+(1-ROW()/100000),"")</f>
        <v/>
      </c>
      <c r="T357" s="40" t="str">
        <f aca="false">IF(AND(S357&lt;&gt;"",A357='Project Summary'!$C$3),S357,"")</f>
        <v/>
      </c>
    </row>
    <row r="358" customFormat="false" ht="15" hidden="false" customHeight="false" outlineLevel="0" collapsed="false">
      <c r="A358" s="32"/>
      <c r="B358" s="32"/>
      <c r="C358" s="32"/>
      <c r="D358" s="33"/>
      <c r="E358" s="32"/>
      <c r="F358" s="32"/>
      <c r="G358" s="32"/>
      <c r="H358" s="32"/>
      <c r="I358" s="32"/>
      <c r="J358" s="33"/>
      <c r="K358" s="32"/>
      <c r="L358" s="35"/>
      <c r="M358" s="32"/>
      <c r="N358" s="37" t="str">
        <f aca="false">IF(OR(C358="",F358="",G358=""),"",MATCH(F358,lst_Likelihood,0)*MATCH(G358,lst_Consequence,0))</f>
        <v/>
      </c>
      <c r="O358" s="37" t="str">
        <f aca="false">IF(N358="","",IF(N358&gt;=16,"Critical",IF(N358&gt;=10,"High",IF(N358&gt;=5,"Medium","Low"))))</f>
        <v/>
      </c>
      <c r="P358" s="37" t="str">
        <f aca="false">IF(OR(C358="",H358="",I358=""),"",MATCH(H358,lst_Likelihood,0)*MATCH(I358,lst_Consequence,0))</f>
        <v/>
      </c>
      <c r="Q358" s="37" t="str">
        <f aca="false">IF(P358="","",IF(P358&gt;=16,"Critical",IF(P358&gt;=10,"High",IF(P358&gt;=5,"Medium","Low"))))</f>
        <v/>
      </c>
      <c r="R358" s="37" t="str">
        <f aca="true">IF(AND(C358&lt;&gt;"",M358&lt;&gt;"Closed",L358&lt;&gt;"",L358&lt;TODAY()),"Overdue","")</f>
        <v/>
      </c>
      <c r="S358" s="40" t="str">
        <f aca="false">IF(AND(N358&lt;&gt;"",B358="Risk",M358&lt;&gt;"Closed"),N358+(1-ROW()/100000),"")</f>
        <v/>
      </c>
      <c r="T358" s="40" t="str">
        <f aca="false">IF(AND(S358&lt;&gt;"",A358='Project Summary'!$C$3),S358,"")</f>
        <v/>
      </c>
    </row>
    <row r="359" customFormat="false" ht="15" hidden="false" customHeight="false" outlineLevel="0" collapsed="false">
      <c r="A359" s="32"/>
      <c r="B359" s="32"/>
      <c r="C359" s="32"/>
      <c r="D359" s="33"/>
      <c r="E359" s="32"/>
      <c r="F359" s="32"/>
      <c r="G359" s="32"/>
      <c r="H359" s="32"/>
      <c r="I359" s="32"/>
      <c r="J359" s="33"/>
      <c r="K359" s="32"/>
      <c r="L359" s="35"/>
      <c r="M359" s="32"/>
      <c r="N359" s="37" t="str">
        <f aca="false">IF(OR(C359="",F359="",G359=""),"",MATCH(F359,lst_Likelihood,0)*MATCH(G359,lst_Consequence,0))</f>
        <v/>
      </c>
      <c r="O359" s="37" t="str">
        <f aca="false">IF(N359="","",IF(N359&gt;=16,"Critical",IF(N359&gt;=10,"High",IF(N359&gt;=5,"Medium","Low"))))</f>
        <v/>
      </c>
      <c r="P359" s="37" t="str">
        <f aca="false">IF(OR(C359="",H359="",I359=""),"",MATCH(H359,lst_Likelihood,0)*MATCH(I359,lst_Consequence,0))</f>
        <v/>
      </c>
      <c r="Q359" s="37" t="str">
        <f aca="false">IF(P359="","",IF(P359&gt;=16,"Critical",IF(P359&gt;=10,"High",IF(P359&gt;=5,"Medium","Low"))))</f>
        <v/>
      </c>
      <c r="R359" s="37" t="str">
        <f aca="true">IF(AND(C359&lt;&gt;"",M359&lt;&gt;"Closed",L359&lt;&gt;"",L359&lt;TODAY()),"Overdue","")</f>
        <v/>
      </c>
      <c r="S359" s="40" t="str">
        <f aca="false">IF(AND(N359&lt;&gt;"",B359="Risk",M359&lt;&gt;"Closed"),N359+(1-ROW()/100000),"")</f>
        <v/>
      </c>
      <c r="T359" s="40" t="str">
        <f aca="false">IF(AND(S359&lt;&gt;"",A359='Project Summary'!$C$3),S359,"")</f>
        <v/>
      </c>
    </row>
    <row r="360" customFormat="false" ht="15" hidden="false" customHeight="false" outlineLevel="0" collapsed="false">
      <c r="A360" s="32"/>
      <c r="B360" s="32"/>
      <c r="C360" s="32"/>
      <c r="D360" s="33"/>
      <c r="E360" s="32"/>
      <c r="F360" s="32"/>
      <c r="G360" s="32"/>
      <c r="H360" s="32"/>
      <c r="I360" s="32"/>
      <c r="J360" s="33"/>
      <c r="K360" s="32"/>
      <c r="L360" s="35"/>
      <c r="M360" s="32"/>
      <c r="N360" s="37" t="str">
        <f aca="false">IF(OR(C360="",F360="",G360=""),"",MATCH(F360,lst_Likelihood,0)*MATCH(G360,lst_Consequence,0))</f>
        <v/>
      </c>
      <c r="O360" s="37" t="str">
        <f aca="false">IF(N360="","",IF(N360&gt;=16,"Critical",IF(N360&gt;=10,"High",IF(N360&gt;=5,"Medium","Low"))))</f>
        <v/>
      </c>
      <c r="P360" s="37" t="str">
        <f aca="false">IF(OR(C360="",H360="",I360=""),"",MATCH(H360,lst_Likelihood,0)*MATCH(I360,lst_Consequence,0))</f>
        <v/>
      </c>
      <c r="Q360" s="37" t="str">
        <f aca="false">IF(P360="","",IF(P360&gt;=16,"Critical",IF(P360&gt;=10,"High",IF(P360&gt;=5,"Medium","Low"))))</f>
        <v/>
      </c>
      <c r="R360" s="37" t="str">
        <f aca="true">IF(AND(C360&lt;&gt;"",M360&lt;&gt;"Closed",L360&lt;&gt;"",L360&lt;TODAY()),"Overdue","")</f>
        <v/>
      </c>
      <c r="S360" s="40" t="str">
        <f aca="false">IF(AND(N360&lt;&gt;"",B360="Risk",M360&lt;&gt;"Closed"),N360+(1-ROW()/100000),"")</f>
        <v/>
      </c>
      <c r="T360" s="40" t="str">
        <f aca="false">IF(AND(S360&lt;&gt;"",A360='Project Summary'!$C$3),S360,"")</f>
        <v/>
      </c>
    </row>
    <row r="361" customFormat="false" ht="15" hidden="false" customHeight="false" outlineLevel="0" collapsed="false">
      <c r="A361" s="32"/>
      <c r="B361" s="32"/>
      <c r="C361" s="32"/>
      <c r="D361" s="33"/>
      <c r="E361" s="32"/>
      <c r="F361" s="32"/>
      <c r="G361" s="32"/>
      <c r="H361" s="32"/>
      <c r="I361" s="32"/>
      <c r="J361" s="33"/>
      <c r="K361" s="32"/>
      <c r="L361" s="35"/>
      <c r="M361" s="32"/>
      <c r="N361" s="37" t="str">
        <f aca="false">IF(OR(C361="",F361="",G361=""),"",MATCH(F361,lst_Likelihood,0)*MATCH(G361,lst_Consequence,0))</f>
        <v/>
      </c>
      <c r="O361" s="37" t="str">
        <f aca="false">IF(N361="","",IF(N361&gt;=16,"Critical",IF(N361&gt;=10,"High",IF(N361&gt;=5,"Medium","Low"))))</f>
        <v/>
      </c>
      <c r="P361" s="37" t="str">
        <f aca="false">IF(OR(C361="",H361="",I361=""),"",MATCH(H361,lst_Likelihood,0)*MATCH(I361,lst_Consequence,0))</f>
        <v/>
      </c>
      <c r="Q361" s="37" t="str">
        <f aca="false">IF(P361="","",IF(P361&gt;=16,"Critical",IF(P361&gt;=10,"High",IF(P361&gt;=5,"Medium","Low"))))</f>
        <v/>
      </c>
      <c r="R361" s="37" t="str">
        <f aca="true">IF(AND(C361&lt;&gt;"",M361&lt;&gt;"Closed",L361&lt;&gt;"",L361&lt;TODAY()),"Overdue","")</f>
        <v/>
      </c>
      <c r="S361" s="40" t="str">
        <f aca="false">IF(AND(N361&lt;&gt;"",B361="Risk",M361&lt;&gt;"Closed"),N361+(1-ROW()/100000),"")</f>
        <v/>
      </c>
      <c r="T361" s="40" t="str">
        <f aca="false">IF(AND(S361&lt;&gt;"",A361='Project Summary'!$C$3),S361,"")</f>
        <v/>
      </c>
    </row>
    <row r="362" customFormat="false" ht="15" hidden="false" customHeight="false" outlineLevel="0" collapsed="false">
      <c r="A362" s="32"/>
      <c r="B362" s="32"/>
      <c r="C362" s="32"/>
      <c r="D362" s="33"/>
      <c r="E362" s="32"/>
      <c r="F362" s="32"/>
      <c r="G362" s="32"/>
      <c r="H362" s="32"/>
      <c r="I362" s="32"/>
      <c r="J362" s="33"/>
      <c r="K362" s="32"/>
      <c r="L362" s="35"/>
      <c r="M362" s="32"/>
      <c r="N362" s="37" t="str">
        <f aca="false">IF(OR(C362="",F362="",G362=""),"",MATCH(F362,lst_Likelihood,0)*MATCH(G362,lst_Consequence,0))</f>
        <v/>
      </c>
      <c r="O362" s="37" t="str">
        <f aca="false">IF(N362="","",IF(N362&gt;=16,"Critical",IF(N362&gt;=10,"High",IF(N362&gt;=5,"Medium","Low"))))</f>
        <v/>
      </c>
      <c r="P362" s="37" t="str">
        <f aca="false">IF(OR(C362="",H362="",I362=""),"",MATCH(H362,lst_Likelihood,0)*MATCH(I362,lst_Consequence,0))</f>
        <v/>
      </c>
      <c r="Q362" s="37" t="str">
        <f aca="false">IF(P362="","",IF(P362&gt;=16,"Critical",IF(P362&gt;=10,"High",IF(P362&gt;=5,"Medium","Low"))))</f>
        <v/>
      </c>
      <c r="R362" s="37" t="str">
        <f aca="true">IF(AND(C362&lt;&gt;"",M362&lt;&gt;"Closed",L362&lt;&gt;"",L362&lt;TODAY()),"Overdue","")</f>
        <v/>
      </c>
      <c r="S362" s="40" t="str">
        <f aca="false">IF(AND(N362&lt;&gt;"",B362="Risk",M362&lt;&gt;"Closed"),N362+(1-ROW()/100000),"")</f>
        <v/>
      </c>
      <c r="T362" s="40" t="str">
        <f aca="false">IF(AND(S362&lt;&gt;"",A362='Project Summary'!$C$3),S362,"")</f>
        <v/>
      </c>
    </row>
    <row r="363" customFormat="false" ht="15" hidden="false" customHeight="false" outlineLevel="0" collapsed="false">
      <c r="A363" s="32"/>
      <c r="B363" s="32"/>
      <c r="C363" s="32"/>
      <c r="D363" s="33"/>
      <c r="E363" s="32"/>
      <c r="F363" s="32"/>
      <c r="G363" s="32"/>
      <c r="H363" s="32"/>
      <c r="I363" s="32"/>
      <c r="J363" s="33"/>
      <c r="K363" s="32"/>
      <c r="L363" s="35"/>
      <c r="M363" s="32"/>
      <c r="N363" s="37" t="str">
        <f aca="false">IF(OR(C363="",F363="",G363=""),"",MATCH(F363,lst_Likelihood,0)*MATCH(G363,lst_Consequence,0))</f>
        <v/>
      </c>
      <c r="O363" s="37" t="str">
        <f aca="false">IF(N363="","",IF(N363&gt;=16,"Critical",IF(N363&gt;=10,"High",IF(N363&gt;=5,"Medium","Low"))))</f>
        <v/>
      </c>
      <c r="P363" s="37" t="str">
        <f aca="false">IF(OR(C363="",H363="",I363=""),"",MATCH(H363,lst_Likelihood,0)*MATCH(I363,lst_Consequence,0))</f>
        <v/>
      </c>
      <c r="Q363" s="37" t="str">
        <f aca="false">IF(P363="","",IF(P363&gt;=16,"Critical",IF(P363&gt;=10,"High",IF(P363&gt;=5,"Medium","Low"))))</f>
        <v/>
      </c>
      <c r="R363" s="37" t="str">
        <f aca="true">IF(AND(C363&lt;&gt;"",M363&lt;&gt;"Closed",L363&lt;&gt;"",L363&lt;TODAY()),"Overdue","")</f>
        <v/>
      </c>
      <c r="S363" s="40" t="str">
        <f aca="false">IF(AND(N363&lt;&gt;"",B363="Risk",M363&lt;&gt;"Closed"),N363+(1-ROW()/100000),"")</f>
        <v/>
      </c>
      <c r="T363" s="40" t="str">
        <f aca="false">IF(AND(S363&lt;&gt;"",A363='Project Summary'!$C$3),S363,"")</f>
        <v/>
      </c>
    </row>
    <row r="364" customFormat="false" ht="15" hidden="false" customHeight="false" outlineLevel="0" collapsed="false">
      <c r="A364" s="32"/>
      <c r="B364" s="32"/>
      <c r="C364" s="32"/>
      <c r="D364" s="33"/>
      <c r="E364" s="32"/>
      <c r="F364" s="32"/>
      <c r="G364" s="32"/>
      <c r="H364" s="32"/>
      <c r="I364" s="32"/>
      <c r="J364" s="33"/>
      <c r="K364" s="32"/>
      <c r="L364" s="35"/>
      <c r="M364" s="32"/>
      <c r="N364" s="37" t="str">
        <f aca="false">IF(OR(C364="",F364="",G364=""),"",MATCH(F364,lst_Likelihood,0)*MATCH(G364,lst_Consequence,0))</f>
        <v/>
      </c>
      <c r="O364" s="37" t="str">
        <f aca="false">IF(N364="","",IF(N364&gt;=16,"Critical",IF(N364&gt;=10,"High",IF(N364&gt;=5,"Medium","Low"))))</f>
        <v/>
      </c>
      <c r="P364" s="37" t="str">
        <f aca="false">IF(OR(C364="",H364="",I364=""),"",MATCH(H364,lst_Likelihood,0)*MATCH(I364,lst_Consequence,0))</f>
        <v/>
      </c>
      <c r="Q364" s="37" t="str">
        <f aca="false">IF(P364="","",IF(P364&gt;=16,"Critical",IF(P364&gt;=10,"High",IF(P364&gt;=5,"Medium","Low"))))</f>
        <v/>
      </c>
      <c r="R364" s="37" t="str">
        <f aca="true">IF(AND(C364&lt;&gt;"",M364&lt;&gt;"Closed",L364&lt;&gt;"",L364&lt;TODAY()),"Overdue","")</f>
        <v/>
      </c>
      <c r="S364" s="40" t="str">
        <f aca="false">IF(AND(N364&lt;&gt;"",B364="Risk",M364&lt;&gt;"Closed"),N364+(1-ROW()/100000),"")</f>
        <v/>
      </c>
      <c r="T364" s="40" t="str">
        <f aca="false">IF(AND(S364&lt;&gt;"",A364='Project Summary'!$C$3),S364,"")</f>
        <v/>
      </c>
    </row>
    <row r="365" customFormat="false" ht="15" hidden="false" customHeight="false" outlineLevel="0" collapsed="false">
      <c r="A365" s="32"/>
      <c r="B365" s="32"/>
      <c r="C365" s="32"/>
      <c r="D365" s="33"/>
      <c r="E365" s="32"/>
      <c r="F365" s="32"/>
      <c r="G365" s="32"/>
      <c r="H365" s="32"/>
      <c r="I365" s="32"/>
      <c r="J365" s="33"/>
      <c r="K365" s="32"/>
      <c r="L365" s="35"/>
      <c r="M365" s="32"/>
      <c r="N365" s="37" t="str">
        <f aca="false">IF(OR(C365="",F365="",G365=""),"",MATCH(F365,lst_Likelihood,0)*MATCH(G365,lst_Consequence,0))</f>
        <v/>
      </c>
      <c r="O365" s="37" t="str">
        <f aca="false">IF(N365="","",IF(N365&gt;=16,"Critical",IF(N365&gt;=10,"High",IF(N365&gt;=5,"Medium","Low"))))</f>
        <v/>
      </c>
      <c r="P365" s="37" t="str">
        <f aca="false">IF(OR(C365="",H365="",I365=""),"",MATCH(H365,lst_Likelihood,0)*MATCH(I365,lst_Consequence,0))</f>
        <v/>
      </c>
      <c r="Q365" s="37" t="str">
        <f aca="false">IF(P365="","",IF(P365&gt;=16,"Critical",IF(P365&gt;=10,"High",IF(P365&gt;=5,"Medium","Low"))))</f>
        <v/>
      </c>
      <c r="R365" s="37" t="str">
        <f aca="true">IF(AND(C365&lt;&gt;"",M365&lt;&gt;"Closed",L365&lt;&gt;"",L365&lt;TODAY()),"Overdue","")</f>
        <v/>
      </c>
      <c r="S365" s="40" t="str">
        <f aca="false">IF(AND(N365&lt;&gt;"",B365="Risk",M365&lt;&gt;"Closed"),N365+(1-ROW()/100000),"")</f>
        <v/>
      </c>
      <c r="T365" s="40" t="str">
        <f aca="false">IF(AND(S365&lt;&gt;"",A365='Project Summary'!$C$3),S365,"")</f>
        <v/>
      </c>
    </row>
    <row r="366" customFormat="false" ht="15" hidden="false" customHeight="false" outlineLevel="0" collapsed="false">
      <c r="A366" s="32"/>
      <c r="B366" s="32"/>
      <c r="C366" s="32"/>
      <c r="D366" s="33"/>
      <c r="E366" s="32"/>
      <c r="F366" s="32"/>
      <c r="G366" s="32"/>
      <c r="H366" s="32"/>
      <c r="I366" s="32"/>
      <c r="J366" s="33"/>
      <c r="K366" s="32"/>
      <c r="L366" s="35"/>
      <c r="M366" s="32"/>
      <c r="N366" s="37" t="str">
        <f aca="false">IF(OR(C366="",F366="",G366=""),"",MATCH(F366,lst_Likelihood,0)*MATCH(G366,lst_Consequence,0))</f>
        <v/>
      </c>
      <c r="O366" s="37" t="str">
        <f aca="false">IF(N366="","",IF(N366&gt;=16,"Critical",IF(N366&gt;=10,"High",IF(N366&gt;=5,"Medium","Low"))))</f>
        <v/>
      </c>
      <c r="P366" s="37" t="str">
        <f aca="false">IF(OR(C366="",H366="",I366=""),"",MATCH(H366,lst_Likelihood,0)*MATCH(I366,lst_Consequence,0))</f>
        <v/>
      </c>
      <c r="Q366" s="37" t="str">
        <f aca="false">IF(P366="","",IF(P366&gt;=16,"Critical",IF(P366&gt;=10,"High",IF(P366&gt;=5,"Medium","Low"))))</f>
        <v/>
      </c>
      <c r="R366" s="37" t="str">
        <f aca="true">IF(AND(C366&lt;&gt;"",M366&lt;&gt;"Closed",L366&lt;&gt;"",L366&lt;TODAY()),"Overdue","")</f>
        <v/>
      </c>
      <c r="S366" s="40" t="str">
        <f aca="false">IF(AND(N366&lt;&gt;"",B366="Risk",M366&lt;&gt;"Closed"),N366+(1-ROW()/100000),"")</f>
        <v/>
      </c>
      <c r="T366" s="40" t="str">
        <f aca="false">IF(AND(S366&lt;&gt;"",A366='Project Summary'!$C$3),S366,"")</f>
        <v/>
      </c>
    </row>
    <row r="367" customFormat="false" ht="15" hidden="false" customHeight="false" outlineLevel="0" collapsed="false">
      <c r="A367" s="32"/>
      <c r="B367" s="32"/>
      <c r="C367" s="32"/>
      <c r="D367" s="33"/>
      <c r="E367" s="32"/>
      <c r="F367" s="32"/>
      <c r="G367" s="32"/>
      <c r="H367" s="32"/>
      <c r="I367" s="32"/>
      <c r="J367" s="33"/>
      <c r="K367" s="32"/>
      <c r="L367" s="35"/>
      <c r="M367" s="32"/>
      <c r="N367" s="37" t="str">
        <f aca="false">IF(OR(C367="",F367="",G367=""),"",MATCH(F367,lst_Likelihood,0)*MATCH(G367,lst_Consequence,0))</f>
        <v/>
      </c>
      <c r="O367" s="37" t="str">
        <f aca="false">IF(N367="","",IF(N367&gt;=16,"Critical",IF(N367&gt;=10,"High",IF(N367&gt;=5,"Medium","Low"))))</f>
        <v/>
      </c>
      <c r="P367" s="37" t="str">
        <f aca="false">IF(OR(C367="",H367="",I367=""),"",MATCH(H367,lst_Likelihood,0)*MATCH(I367,lst_Consequence,0))</f>
        <v/>
      </c>
      <c r="Q367" s="37" t="str">
        <f aca="false">IF(P367="","",IF(P367&gt;=16,"Critical",IF(P367&gt;=10,"High",IF(P367&gt;=5,"Medium","Low"))))</f>
        <v/>
      </c>
      <c r="R367" s="37" t="str">
        <f aca="true">IF(AND(C367&lt;&gt;"",M367&lt;&gt;"Closed",L367&lt;&gt;"",L367&lt;TODAY()),"Overdue","")</f>
        <v/>
      </c>
      <c r="S367" s="40" t="str">
        <f aca="false">IF(AND(N367&lt;&gt;"",B367="Risk",M367&lt;&gt;"Closed"),N367+(1-ROW()/100000),"")</f>
        <v/>
      </c>
      <c r="T367" s="40" t="str">
        <f aca="false">IF(AND(S367&lt;&gt;"",A367='Project Summary'!$C$3),S367,"")</f>
        <v/>
      </c>
    </row>
    <row r="368" customFormat="false" ht="15" hidden="false" customHeight="false" outlineLevel="0" collapsed="false">
      <c r="A368" s="32"/>
      <c r="B368" s="32"/>
      <c r="C368" s="32"/>
      <c r="D368" s="33"/>
      <c r="E368" s="32"/>
      <c r="F368" s="32"/>
      <c r="G368" s="32"/>
      <c r="H368" s="32"/>
      <c r="I368" s="32"/>
      <c r="J368" s="33"/>
      <c r="K368" s="32"/>
      <c r="L368" s="35"/>
      <c r="M368" s="32"/>
      <c r="N368" s="37" t="str">
        <f aca="false">IF(OR(C368="",F368="",G368=""),"",MATCH(F368,lst_Likelihood,0)*MATCH(G368,lst_Consequence,0))</f>
        <v/>
      </c>
      <c r="O368" s="37" t="str">
        <f aca="false">IF(N368="","",IF(N368&gt;=16,"Critical",IF(N368&gt;=10,"High",IF(N368&gt;=5,"Medium","Low"))))</f>
        <v/>
      </c>
      <c r="P368" s="37" t="str">
        <f aca="false">IF(OR(C368="",H368="",I368=""),"",MATCH(H368,lst_Likelihood,0)*MATCH(I368,lst_Consequence,0))</f>
        <v/>
      </c>
      <c r="Q368" s="37" t="str">
        <f aca="false">IF(P368="","",IF(P368&gt;=16,"Critical",IF(P368&gt;=10,"High",IF(P368&gt;=5,"Medium","Low"))))</f>
        <v/>
      </c>
      <c r="R368" s="37" t="str">
        <f aca="true">IF(AND(C368&lt;&gt;"",M368&lt;&gt;"Closed",L368&lt;&gt;"",L368&lt;TODAY()),"Overdue","")</f>
        <v/>
      </c>
      <c r="S368" s="40" t="str">
        <f aca="false">IF(AND(N368&lt;&gt;"",B368="Risk",M368&lt;&gt;"Closed"),N368+(1-ROW()/100000),"")</f>
        <v/>
      </c>
      <c r="T368" s="40" t="str">
        <f aca="false">IF(AND(S368&lt;&gt;"",A368='Project Summary'!$C$3),S368,"")</f>
        <v/>
      </c>
    </row>
    <row r="369" customFormat="false" ht="15" hidden="false" customHeight="false" outlineLevel="0" collapsed="false">
      <c r="A369" s="32"/>
      <c r="B369" s="32"/>
      <c r="C369" s="32"/>
      <c r="D369" s="33"/>
      <c r="E369" s="32"/>
      <c r="F369" s="32"/>
      <c r="G369" s="32"/>
      <c r="H369" s="32"/>
      <c r="I369" s="32"/>
      <c r="J369" s="33"/>
      <c r="K369" s="32"/>
      <c r="L369" s="35"/>
      <c r="M369" s="32"/>
      <c r="N369" s="37" t="str">
        <f aca="false">IF(OR(C369="",F369="",G369=""),"",MATCH(F369,lst_Likelihood,0)*MATCH(G369,lst_Consequence,0))</f>
        <v/>
      </c>
      <c r="O369" s="37" t="str">
        <f aca="false">IF(N369="","",IF(N369&gt;=16,"Critical",IF(N369&gt;=10,"High",IF(N369&gt;=5,"Medium","Low"))))</f>
        <v/>
      </c>
      <c r="P369" s="37" t="str">
        <f aca="false">IF(OR(C369="",H369="",I369=""),"",MATCH(H369,lst_Likelihood,0)*MATCH(I369,lst_Consequence,0))</f>
        <v/>
      </c>
      <c r="Q369" s="37" t="str">
        <f aca="false">IF(P369="","",IF(P369&gt;=16,"Critical",IF(P369&gt;=10,"High",IF(P369&gt;=5,"Medium","Low"))))</f>
        <v/>
      </c>
      <c r="R369" s="37" t="str">
        <f aca="true">IF(AND(C369&lt;&gt;"",M369&lt;&gt;"Closed",L369&lt;&gt;"",L369&lt;TODAY()),"Overdue","")</f>
        <v/>
      </c>
      <c r="S369" s="40" t="str">
        <f aca="false">IF(AND(N369&lt;&gt;"",B369="Risk",M369&lt;&gt;"Closed"),N369+(1-ROW()/100000),"")</f>
        <v/>
      </c>
      <c r="T369" s="40" t="str">
        <f aca="false">IF(AND(S369&lt;&gt;"",A369='Project Summary'!$C$3),S369,"")</f>
        <v/>
      </c>
    </row>
    <row r="370" customFormat="false" ht="15" hidden="false" customHeight="false" outlineLevel="0" collapsed="false">
      <c r="A370" s="32"/>
      <c r="B370" s="32"/>
      <c r="C370" s="32"/>
      <c r="D370" s="33"/>
      <c r="E370" s="32"/>
      <c r="F370" s="32"/>
      <c r="G370" s="32"/>
      <c r="H370" s="32"/>
      <c r="I370" s="32"/>
      <c r="J370" s="33"/>
      <c r="K370" s="32"/>
      <c r="L370" s="35"/>
      <c r="M370" s="32"/>
      <c r="N370" s="37" t="str">
        <f aca="false">IF(OR(C370="",F370="",G370=""),"",MATCH(F370,lst_Likelihood,0)*MATCH(G370,lst_Consequence,0))</f>
        <v/>
      </c>
      <c r="O370" s="37" t="str">
        <f aca="false">IF(N370="","",IF(N370&gt;=16,"Critical",IF(N370&gt;=10,"High",IF(N370&gt;=5,"Medium","Low"))))</f>
        <v/>
      </c>
      <c r="P370" s="37" t="str">
        <f aca="false">IF(OR(C370="",H370="",I370=""),"",MATCH(H370,lst_Likelihood,0)*MATCH(I370,lst_Consequence,0))</f>
        <v/>
      </c>
      <c r="Q370" s="37" t="str">
        <f aca="false">IF(P370="","",IF(P370&gt;=16,"Critical",IF(P370&gt;=10,"High",IF(P370&gt;=5,"Medium","Low"))))</f>
        <v/>
      </c>
      <c r="R370" s="37" t="str">
        <f aca="true">IF(AND(C370&lt;&gt;"",M370&lt;&gt;"Closed",L370&lt;&gt;"",L370&lt;TODAY()),"Overdue","")</f>
        <v/>
      </c>
      <c r="S370" s="40" t="str">
        <f aca="false">IF(AND(N370&lt;&gt;"",B370="Risk",M370&lt;&gt;"Closed"),N370+(1-ROW()/100000),"")</f>
        <v/>
      </c>
      <c r="T370" s="40" t="str">
        <f aca="false">IF(AND(S370&lt;&gt;"",A370='Project Summary'!$C$3),S370,"")</f>
        <v/>
      </c>
    </row>
    <row r="371" customFormat="false" ht="15" hidden="false" customHeight="false" outlineLevel="0" collapsed="false">
      <c r="A371" s="32"/>
      <c r="B371" s="32"/>
      <c r="C371" s="32"/>
      <c r="D371" s="33"/>
      <c r="E371" s="32"/>
      <c r="F371" s="32"/>
      <c r="G371" s="32"/>
      <c r="H371" s="32"/>
      <c r="I371" s="32"/>
      <c r="J371" s="33"/>
      <c r="K371" s="32"/>
      <c r="L371" s="35"/>
      <c r="M371" s="32"/>
      <c r="N371" s="37" t="str">
        <f aca="false">IF(OR(C371="",F371="",G371=""),"",MATCH(F371,lst_Likelihood,0)*MATCH(G371,lst_Consequence,0))</f>
        <v/>
      </c>
      <c r="O371" s="37" t="str">
        <f aca="false">IF(N371="","",IF(N371&gt;=16,"Critical",IF(N371&gt;=10,"High",IF(N371&gt;=5,"Medium","Low"))))</f>
        <v/>
      </c>
      <c r="P371" s="37" t="str">
        <f aca="false">IF(OR(C371="",H371="",I371=""),"",MATCH(H371,lst_Likelihood,0)*MATCH(I371,lst_Consequence,0))</f>
        <v/>
      </c>
      <c r="Q371" s="37" t="str">
        <f aca="false">IF(P371="","",IF(P371&gt;=16,"Critical",IF(P371&gt;=10,"High",IF(P371&gt;=5,"Medium","Low"))))</f>
        <v/>
      </c>
      <c r="R371" s="37" t="str">
        <f aca="true">IF(AND(C371&lt;&gt;"",M371&lt;&gt;"Closed",L371&lt;&gt;"",L371&lt;TODAY()),"Overdue","")</f>
        <v/>
      </c>
      <c r="S371" s="40" t="str">
        <f aca="false">IF(AND(N371&lt;&gt;"",B371="Risk",M371&lt;&gt;"Closed"),N371+(1-ROW()/100000),"")</f>
        <v/>
      </c>
      <c r="T371" s="40" t="str">
        <f aca="false">IF(AND(S371&lt;&gt;"",A371='Project Summary'!$C$3),S371,"")</f>
        <v/>
      </c>
    </row>
    <row r="372" customFormat="false" ht="15" hidden="false" customHeight="false" outlineLevel="0" collapsed="false">
      <c r="A372" s="32"/>
      <c r="B372" s="32"/>
      <c r="C372" s="32"/>
      <c r="D372" s="33"/>
      <c r="E372" s="32"/>
      <c r="F372" s="32"/>
      <c r="G372" s="32"/>
      <c r="H372" s="32"/>
      <c r="I372" s="32"/>
      <c r="J372" s="33"/>
      <c r="K372" s="32"/>
      <c r="L372" s="35"/>
      <c r="M372" s="32"/>
      <c r="N372" s="37" t="str">
        <f aca="false">IF(OR(C372="",F372="",G372=""),"",MATCH(F372,lst_Likelihood,0)*MATCH(G372,lst_Consequence,0))</f>
        <v/>
      </c>
      <c r="O372" s="37" t="str">
        <f aca="false">IF(N372="","",IF(N372&gt;=16,"Critical",IF(N372&gt;=10,"High",IF(N372&gt;=5,"Medium","Low"))))</f>
        <v/>
      </c>
      <c r="P372" s="37" t="str">
        <f aca="false">IF(OR(C372="",H372="",I372=""),"",MATCH(H372,lst_Likelihood,0)*MATCH(I372,lst_Consequence,0))</f>
        <v/>
      </c>
      <c r="Q372" s="37" t="str">
        <f aca="false">IF(P372="","",IF(P372&gt;=16,"Critical",IF(P372&gt;=10,"High",IF(P372&gt;=5,"Medium","Low"))))</f>
        <v/>
      </c>
      <c r="R372" s="37" t="str">
        <f aca="true">IF(AND(C372&lt;&gt;"",M372&lt;&gt;"Closed",L372&lt;&gt;"",L372&lt;TODAY()),"Overdue","")</f>
        <v/>
      </c>
      <c r="S372" s="40" t="str">
        <f aca="false">IF(AND(N372&lt;&gt;"",B372="Risk",M372&lt;&gt;"Closed"),N372+(1-ROW()/100000),"")</f>
        <v/>
      </c>
      <c r="T372" s="40" t="str">
        <f aca="false">IF(AND(S372&lt;&gt;"",A372='Project Summary'!$C$3),S372,"")</f>
        <v/>
      </c>
    </row>
    <row r="373" customFormat="false" ht="15" hidden="false" customHeight="false" outlineLevel="0" collapsed="false">
      <c r="A373" s="32"/>
      <c r="B373" s="32"/>
      <c r="C373" s="32"/>
      <c r="D373" s="33"/>
      <c r="E373" s="32"/>
      <c r="F373" s="32"/>
      <c r="G373" s="32"/>
      <c r="H373" s="32"/>
      <c r="I373" s="32"/>
      <c r="J373" s="33"/>
      <c r="K373" s="32"/>
      <c r="L373" s="35"/>
      <c r="M373" s="32"/>
      <c r="N373" s="37" t="str">
        <f aca="false">IF(OR(C373="",F373="",G373=""),"",MATCH(F373,lst_Likelihood,0)*MATCH(G373,lst_Consequence,0))</f>
        <v/>
      </c>
      <c r="O373" s="37" t="str">
        <f aca="false">IF(N373="","",IF(N373&gt;=16,"Critical",IF(N373&gt;=10,"High",IF(N373&gt;=5,"Medium","Low"))))</f>
        <v/>
      </c>
      <c r="P373" s="37" t="str">
        <f aca="false">IF(OR(C373="",H373="",I373=""),"",MATCH(H373,lst_Likelihood,0)*MATCH(I373,lst_Consequence,0))</f>
        <v/>
      </c>
      <c r="Q373" s="37" t="str">
        <f aca="false">IF(P373="","",IF(P373&gt;=16,"Critical",IF(P373&gt;=10,"High",IF(P373&gt;=5,"Medium","Low"))))</f>
        <v/>
      </c>
      <c r="R373" s="37" t="str">
        <f aca="true">IF(AND(C373&lt;&gt;"",M373&lt;&gt;"Closed",L373&lt;&gt;"",L373&lt;TODAY()),"Overdue","")</f>
        <v/>
      </c>
      <c r="S373" s="40" t="str">
        <f aca="false">IF(AND(N373&lt;&gt;"",B373="Risk",M373&lt;&gt;"Closed"),N373+(1-ROW()/100000),"")</f>
        <v/>
      </c>
      <c r="T373" s="40" t="str">
        <f aca="false">IF(AND(S373&lt;&gt;"",A373='Project Summary'!$C$3),S373,"")</f>
        <v/>
      </c>
    </row>
    <row r="374" customFormat="false" ht="15" hidden="false" customHeight="false" outlineLevel="0" collapsed="false">
      <c r="A374" s="32"/>
      <c r="B374" s="32"/>
      <c r="C374" s="32"/>
      <c r="D374" s="33"/>
      <c r="E374" s="32"/>
      <c r="F374" s="32"/>
      <c r="G374" s="32"/>
      <c r="H374" s="32"/>
      <c r="I374" s="32"/>
      <c r="J374" s="33"/>
      <c r="K374" s="32"/>
      <c r="L374" s="35"/>
      <c r="M374" s="32"/>
      <c r="N374" s="37" t="str">
        <f aca="false">IF(OR(C374="",F374="",G374=""),"",MATCH(F374,lst_Likelihood,0)*MATCH(G374,lst_Consequence,0))</f>
        <v/>
      </c>
      <c r="O374" s="37" t="str">
        <f aca="false">IF(N374="","",IF(N374&gt;=16,"Critical",IF(N374&gt;=10,"High",IF(N374&gt;=5,"Medium","Low"))))</f>
        <v/>
      </c>
      <c r="P374" s="37" t="str">
        <f aca="false">IF(OR(C374="",H374="",I374=""),"",MATCH(H374,lst_Likelihood,0)*MATCH(I374,lst_Consequence,0))</f>
        <v/>
      </c>
      <c r="Q374" s="37" t="str">
        <f aca="false">IF(P374="","",IF(P374&gt;=16,"Critical",IF(P374&gt;=10,"High",IF(P374&gt;=5,"Medium","Low"))))</f>
        <v/>
      </c>
      <c r="R374" s="37" t="str">
        <f aca="true">IF(AND(C374&lt;&gt;"",M374&lt;&gt;"Closed",L374&lt;&gt;"",L374&lt;TODAY()),"Overdue","")</f>
        <v/>
      </c>
      <c r="S374" s="40" t="str">
        <f aca="false">IF(AND(N374&lt;&gt;"",B374="Risk",M374&lt;&gt;"Closed"),N374+(1-ROW()/100000),"")</f>
        <v/>
      </c>
      <c r="T374" s="40" t="str">
        <f aca="false">IF(AND(S374&lt;&gt;"",A374='Project Summary'!$C$3),S374,"")</f>
        <v/>
      </c>
    </row>
    <row r="375" customFormat="false" ht="15" hidden="false" customHeight="false" outlineLevel="0" collapsed="false">
      <c r="A375" s="32"/>
      <c r="B375" s="32"/>
      <c r="C375" s="32"/>
      <c r="D375" s="33"/>
      <c r="E375" s="32"/>
      <c r="F375" s="32"/>
      <c r="G375" s="32"/>
      <c r="H375" s="32"/>
      <c r="I375" s="32"/>
      <c r="J375" s="33"/>
      <c r="K375" s="32"/>
      <c r="L375" s="35"/>
      <c r="M375" s="32"/>
      <c r="N375" s="37" t="str">
        <f aca="false">IF(OR(C375="",F375="",G375=""),"",MATCH(F375,lst_Likelihood,0)*MATCH(G375,lst_Consequence,0))</f>
        <v/>
      </c>
      <c r="O375" s="37" t="str">
        <f aca="false">IF(N375="","",IF(N375&gt;=16,"Critical",IF(N375&gt;=10,"High",IF(N375&gt;=5,"Medium","Low"))))</f>
        <v/>
      </c>
      <c r="P375" s="37" t="str">
        <f aca="false">IF(OR(C375="",H375="",I375=""),"",MATCH(H375,lst_Likelihood,0)*MATCH(I375,lst_Consequence,0))</f>
        <v/>
      </c>
      <c r="Q375" s="37" t="str">
        <f aca="false">IF(P375="","",IF(P375&gt;=16,"Critical",IF(P375&gt;=10,"High",IF(P375&gt;=5,"Medium","Low"))))</f>
        <v/>
      </c>
      <c r="R375" s="37" t="str">
        <f aca="true">IF(AND(C375&lt;&gt;"",M375&lt;&gt;"Closed",L375&lt;&gt;"",L375&lt;TODAY()),"Overdue","")</f>
        <v/>
      </c>
      <c r="S375" s="40" t="str">
        <f aca="false">IF(AND(N375&lt;&gt;"",B375="Risk",M375&lt;&gt;"Closed"),N375+(1-ROW()/100000),"")</f>
        <v/>
      </c>
      <c r="T375" s="40" t="str">
        <f aca="false">IF(AND(S375&lt;&gt;"",A375='Project Summary'!$C$3),S375,"")</f>
        <v/>
      </c>
    </row>
    <row r="376" customFormat="false" ht="15" hidden="false" customHeight="false" outlineLevel="0" collapsed="false">
      <c r="A376" s="32"/>
      <c r="B376" s="32"/>
      <c r="C376" s="32"/>
      <c r="D376" s="33"/>
      <c r="E376" s="32"/>
      <c r="F376" s="32"/>
      <c r="G376" s="32"/>
      <c r="H376" s="32"/>
      <c r="I376" s="32"/>
      <c r="J376" s="33"/>
      <c r="K376" s="32"/>
      <c r="L376" s="35"/>
      <c r="M376" s="32"/>
      <c r="N376" s="37" t="str">
        <f aca="false">IF(OR(C376="",F376="",G376=""),"",MATCH(F376,lst_Likelihood,0)*MATCH(G376,lst_Consequence,0))</f>
        <v/>
      </c>
      <c r="O376" s="37" t="str">
        <f aca="false">IF(N376="","",IF(N376&gt;=16,"Critical",IF(N376&gt;=10,"High",IF(N376&gt;=5,"Medium","Low"))))</f>
        <v/>
      </c>
      <c r="P376" s="37" t="str">
        <f aca="false">IF(OR(C376="",H376="",I376=""),"",MATCH(H376,lst_Likelihood,0)*MATCH(I376,lst_Consequence,0))</f>
        <v/>
      </c>
      <c r="Q376" s="37" t="str">
        <f aca="false">IF(P376="","",IF(P376&gt;=16,"Critical",IF(P376&gt;=10,"High",IF(P376&gt;=5,"Medium","Low"))))</f>
        <v/>
      </c>
      <c r="R376" s="37" t="str">
        <f aca="true">IF(AND(C376&lt;&gt;"",M376&lt;&gt;"Closed",L376&lt;&gt;"",L376&lt;TODAY()),"Overdue","")</f>
        <v/>
      </c>
      <c r="S376" s="40" t="str">
        <f aca="false">IF(AND(N376&lt;&gt;"",B376="Risk",M376&lt;&gt;"Closed"),N376+(1-ROW()/100000),"")</f>
        <v/>
      </c>
      <c r="T376" s="40" t="str">
        <f aca="false">IF(AND(S376&lt;&gt;"",A376='Project Summary'!$C$3),S376,"")</f>
        <v/>
      </c>
    </row>
    <row r="377" customFormat="false" ht="15" hidden="false" customHeight="false" outlineLevel="0" collapsed="false">
      <c r="A377" s="32"/>
      <c r="B377" s="32"/>
      <c r="C377" s="32"/>
      <c r="D377" s="33"/>
      <c r="E377" s="32"/>
      <c r="F377" s="32"/>
      <c r="G377" s="32"/>
      <c r="H377" s="32"/>
      <c r="I377" s="32"/>
      <c r="J377" s="33"/>
      <c r="K377" s="32"/>
      <c r="L377" s="35"/>
      <c r="M377" s="32"/>
      <c r="N377" s="37" t="str">
        <f aca="false">IF(OR(C377="",F377="",G377=""),"",MATCH(F377,lst_Likelihood,0)*MATCH(G377,lst_Consequence,0))</f>
        <v/>
      </c>
      <c r="O377" s="37" t="str">
        <f aca="false">IF(N377="","",IF(N377&gt;=16,"Critical",IF(N377&gt;=10,"High",IF(N377&gt;=5,"Medium","Low"))))</f>
        <v/>
      </c>
      <c r="P377" s="37" t="str">
        <f aca="false">IF(OR(C377="",H377="",I377=""),"",MATCH(H377,lst_Likelihood,0)*MATCH(I377,lst_Consequence,0))</f>
        <v/>
      </c>
      <c r="Q377" s="37" t="str">
        <f aca="false">IF(P377="","",IF(P377&gt;=16,"Critical",IF(P377&gt;=10,"High",IF(P377&gt;=5,"Medium","Low"))))</f>
        <v/>
      </c>
      <c r="R377" s="37" t="str">
        <f aca="true">IF(AND(C377&lt;&gt;"",M377&lt;&gt;"Closed",L377&lt;&gt;"",L377&lt;TODAY()),"Overdue","")</f>
        <v/>
      </c>
      <c r="S377" s="40" t="str">
        <f aca="false">IF(AND(N377&lt;&gt;"",B377="Risk",M377&lt;&gt;"Closed"),N377+(1-ROW()/100000),"")</f>
        <v/>
      </c>
      <c r="T377" s="40" t="str">
        <f aca="false">IF(AND(S377&lt;&gt;"",A377='Project Summary'!$C$3),S377,"")</f>
        <v/>
      </c>
    </row>
    <row r="378" customFormat="false" ht="15" hidden="false" customHeight="false" outlineLevel="0" collapsed="false">
      <c r="A378" s="32"/>
      <c r="B378" s="32"/>
      <c r="C378" s="32"/>
      <c r="D378" s="33"/>
      <c r="E378" s="32"/>
      <c r="F378" s="32"/>
      <c r="G378" s="32"/>
      <c r="H378" s="32"/>
      <c r="I378" s="32"/>
      <c r="J378" s="33"/>
      <c r="K378" s="32"/>
      <c r="L378" s="35"/>
      <c r="M378" s="32"/>
      <c r="N378" s="37" t="str">
        <f aca="false">IF(OR(C378="",F378="",G378=""),"",MATCH(F378,lst_Likelihood,0)*MATCH(G378,lst_Consequence,0))</f>
        <v/>
      </c>
      <c r="O378" s="37" t="str">
        <f aca="false">IF(N378="","",IF(N378&gt;=16,"Critical",IF(N378&gt;=10,"High",IF(N378&gt;=5,"Medium","Low"))))</f>
        <v/>
      </c>
      <c r="P378" s="37" t="str">
        <f aca="false">IF(OR(C378="",H378="",I378=""),"",MATCH(H378,lst_Likelihood,0)*MATCH(I378,lst_Consequence,0))</f>
        <v/>
      </c>
      <c r="Q378" s="37" t="str">
        <f aca="false">IF(P378="","",IF(P378&gt;=16,"Critical",IF(P378&gt;=10,"High",IF(P378&gt;=5,"Medium","Low"))))</f>
        <v/>
      </c>
      <c r="R378" s="37" t="str">
        <f aca="true">IF(AND(C378&lt;&gt;"",M378&lt;&gt;"Closed",L378&lt;&gt;"",L378&lt;TODAY()),"Overdue","")</f>
        <v/>
      </c>
      <c r="S378" s="40" t="str">
        <f aca="false">IF(AND(N378&lt;&gt;"",B378="Risk",M378&lt;&gt;"Closed"),N378+(1-ROW()/100000),"")</f>
        <v/>
      </c>
      <c r="T378" s="40" t="str">
        <f aca="false">IF(AND(S378&lt;&gt;"",A378='Project Summary'!$C$3),S378,"")</f>
        <v/>
      </c>
    </row>
    <row r="379" customFormat="false" ht="15" hidden="false" customHeight="false" outlineLevel="0" collapsed="false">
      <c r="A379" s="32"/>
      <c r="B379" s="32"/>
      <c r="C379" s="32"/>
      <c r="D379" s="33"/>
      <c r="E379" s="32"/>
      <c r="F379" s="32"/>
      <c r="G379" s="32"/>
      <c r="H379" s="32"/>
      <c r="I379" s="32"/>
      <c r="J379" s="33"/>
      <c r="K379" s="32"/>
      <c r="L379" s="35"/>
      <c r="M379" s="32"/>
      <c r="N379" s="37" t="str">
        <f aca="false">IF(OR(C379="",F379="",G379=""),"",MATCH(F379,lst_Likelihood,0)*MATCH(G379,lst_Consequence,0))</f>
        <v/>
      </c>
      <c r="O379" s="37" t="str">
        <f aca="false">IF(N379="","",IF(N379&gt;=16,"Critical",IF(N379&gt;=10,"High",IF(N379&gt;=5,"Medium","Low"))))</f>
        <v/>
      </c>
      <c r="P379" s="37" t="str">
        <f aca="false">IF(OR(C379="",H379="",I379=""),"",MATCH(H379,lst_Likelihood,0)*MATCH(I379,lst_Consequence,0))</f>
        <v/>
      </c>
      <c r="Q379" s="37" t="str">
        <f aca="false">IF(P379="","",IF(P379&gt;=16,"Critical",IF(P379&gt;=10,"High",IF(P379&gt;=5,"Medium","Low"))))</f>
        <v/>
      </c>
      <c r="R379" s="37" t="str">
        <f aca="true">IF(AND(C379&lt;&gt;"",M379&lt;&gt;"Closed",L379&lt;&gt;"",L379&lt;TODAY()),"Overdue","")</f>
        <v/>
      </c>
      <c r="S379" s="40" t="str">
        <f aca="false">IF(AND(N379&lt;&gt;"",B379="Risk",M379&lt;&gt;"Closed"),N379+(1-ROW()/100000),"")</f>
        <v/>
      </c>
      <c r="T379" s="40" t="str">
        <f aca="false">IF(AND(S379&lt;&gt;"",A379='Project Summary'!$C$3),S379,"")</f>
        <v/>
      </c>
    </row>
    <row r="380" customFormat="false" ht="15" hidden="false" customHeight="false" outlineLevel="0" collapsed="false">
      <c r="A380" s="32"/>
      <c r="B380" s="32"/>
      <c r="C380" s="32"/>
      <c r="D380" s="33"/>
      <c r="E380" s="32"/>
      <c r="F380" s="32"/>
      <c r="G380" s="32"/>
      <c r="H380" s="32"/>
      <c r="I380" s="32"/>
      <c r="J380" s="33"/>
      <c r="K380" s="32"/>
      <c r="L380" s="35"/>
      <c r="M380" s="32"/>
      <c r="N380" s="37" t="str">
        <f aca="false">IF(OR(C380="",F380="",G380=""),"",MATCH(F380,lst_Likelihood,0)*MATCH(G380,lst_Consequence,0))</f>
        <v/>
      </c>
      <c r="O380" s="37" t="str">
        <f aca="false">IF(N380="","",IF(N380&gt;=16,"Critical",IF(N380&gt;=10,"High",IF(N380&gt;=5,"Medium","Low"))))</f>
        <v/>
      </c>
      <c r="P380" s="37" t="str">
        <f aca="false">IF(OR(C380="",H380="",I380=""),"",MATCH(H380,lst_Likelihood,0)*MATCH(I380,lst_Consequence,0))</f>
        <v/>
      </c>
      <c r="Q380" s="37" t="str">
        <f aca="false">IF(P380="","",IF(P380&gt;=16,"Critical",IF(P380&gt;=10,"High",IF(P380&gt;=5,"Medium","Low"))))</f>
        <v/>
      </c>
      <c r="R380" s="37" t="str">
        <f aca="true">IF(AND(C380&lt;&gt;"",M380&lt;&gt;"Closed",L380&lt;&gt;"",L380&lt;TODAY()),"Overdue","")</f>
        <v/>
      </c>
      <c r="S380" s="40" t="str">
        <f aca="false">IF(AND(N380&lt;&gt;"",B380="Risk",M380&lt;&gt;"Closed"),N380+(1-ROW()/100000),"")</f>
        <v/>
      </c>
      <c r="T380" s="40" t="str">
        <f aca="false">IF(AND(S380&lt;&gt;"",A380='Project Summary'!$C$3),S380,"")</f>
        <v/>
      </c>
    </row>
    <row r="381" customFormat="false" ht="15" hidden="false" customHeight="false" outlineLevel="0" collapsed="false">
      <c r="A381" s="32"/>
      <c r="B381" s="32"/>
      <c r="C381" s="32"/>
      <c r="D381" s="33"/>
      <c r="E381" s="32"/>
      <c r="F381" s="32"/>
      <c r="G381" s="32"/>
      <c r="H381" s="32"/>
      <c r="I381" s="32"/>
      <c r="J381" s="33"/>
      <c r="K381" s="32"/>
      <c r="L381" s="35"/>
      <c r="M381" s="32"/>
      <c r="N381" s="37" t="str">
        <f aca="false">IF(OR(C381="",F381="",G381=""),"",MATCH(F381,lst_Likelihood,0)*MATCH(G381,lst_Consequence,0))</f>
        <v/>
      </c>
      <c r="O381" s="37" t="str">
        <f aca="false">IF(N381="","",IF(N381&gt;=16,"Critical",IF(N381&gt;=10,"High",IF(N381&gt;=5,"Medium","Low"))))</f>
        <v/>
      </c>
      <c r="P381" s="37" t="str">
        <f aca="false">IF(OR(C381="",H381="",I381=""),"",MATCH(H381,lst_Likelihood,0)*MATCH(I381,lst_Consequence,0))</f>
        <v/>
      </c>
      <c r="Q381" s="37" t="str">
        <f aca="false">IF(P381="","",IF(P381&gt;=16,"Critical",IF(P381&gt;=10,"High",IF(P381&gt;=5,"Medium","Low"))))</f>
        <v/>
      </c>
      <c r="R381" s="37" t="str">
        <f aca="true">IF(AND(C381&lt;&gt;"",M381&lt;&gt;"Closed",L381&lt;&gt;"",L381&lt;TODAY()),"Overdue","")</f>
        <v/>
      </c>
      <c r="S381" s="40" t="str">
        <f aca="false">IF(AND(N381&lt;&gt;"",B381="Risk",M381&lt;&gt;"Closed"),N381+(1-ROW()/100000),"")</f>
        <v/>
      </c>
      <c r="T381" s="40" t="str">
        <f aca="false">IF(AND(S381&lt;&gt;"",A381='Project Summary'!$C$3),S381,"")</f>
        <v/>
      </c>
    </row>
    <row r="382" customFormat="false" ht="15" hidden="false" customHeight="false" outlineLevel="0" collapsed="false">
      <c r="A382" s="32"/>
      <c r="B382" s="32"/>
      <c r="C382" s="32"/>
      <c r="D382" s="33"/>
      <c r="E382" s="32"/>
      <c r="F382" s="32"/>
      <c r="G382" s="32"/>
      <c r="H382" s="32"/>
      <c r="I382" s="32"/>
      <c r="J382" s="33"/>
      <c r="K382" s="32"/>
      <c r="L382" s="35"/>
      <c r="M382" s="32"/>
      <c r="N382" s="37" t="str">
        <f aca="false">IF(OR(C382="",F382="",G382=""),"",MATCH(F382,lst_Likelihood,0)*MATCH(G382,lst_Consequence,0))</f>
        <v/>
      </c>
      <c r="O382" s="37" t="str">
        <f aca="false">IF(N382="","",IF(N382&gt;=16,"Critical",IF(N382&gt;=10,"High",IF(N382&gt;=5,"Medium","Low"))))</f>
        <v/>
      </c>
      <c r="P382" s="37" t="str">
        <f aca="false">IF(OR(C382="",H382="",I382=""),"",MATCH(H382,lst_Likelihood,0)*MATCH(I382,lst_Consequence,0))</f>
        <v/>
      </c>
      <c r="Q382" s="37" t="str">
        <f aca="false">IF(P382="","",IF(P382&gt;=16,"Critical",IF(P382&gt;=10,"High",IF(P382&gt;=5,"Medium","Low"))))</f>
        <v/>
      </c>
      <c r="R382" s="37" t="str">
        <f aca="true">IF(AND(C382&lt;&gt;"",M382&lt;&gt;"Closed",L382&lt;&gt;"",L382&lt;TODAY()),"Overdue","")</f>
        <v/>
      </c>
      <c r="S382" s="40" t="str">
        <f aca="false">IF(AND(N382&lt;&gt;"",B382="Risk",M382&lt;&gt;"Closed"),N382+(1-ROW()/100000),"")</f>
        <v/>
      </c>
      <c r="T382" s="40" t="str">
        <f aca="false">IF(AND(S382&lt;&gt;"",A382='Project Summary'!$C$3),S382,"")</f>
        <v/>
      </c>
    </row>
    <row r="383" customFormat="false" ht="15" hidden="false" customHeight="false" outlineLevel="0" collapsed="false">
      <c r="A383" s="32"/>
      <c r="B383" s="32"/>
      <c r="C383" s="32"/>
      <c r="D383" s="33"/>
      <c r="E383" s="32"/>
      <c r="F383" s="32"/>
      <c r="G383" s="32"/>
      <c r="H383" s="32"/>
      <c r="I383" s="32"/>
      <c r="J383" s="33"/>
      <c r="K383" s="32"/>
      <c r="L383" s="35"/>
      <c r="M383" s="32"/>
      <c r="N383" s="37" t="str">
        <f aca="false">IF(OR(C383="",F383="",G383=""),"",MATCH(F383,lst_Likelihood,0)*MATCH(G383,lst_Consequence,0))</f>
        <v/>
      </c>
      <c r="O383" s="37" t="str">
        <f aca="false">IF(N383="","",IF(N383&gt;=16,"Critical",IF(N383&gt;=10,"High",IF(N383&gt;=5,"Medium","Low"))))</f>
        <v/>
      </c>
      <c r="P383" s="37" t="str">
        <f aca="false">IF(OR(C383="",H383="",I383=""),"",MATCH(H383,lst_Likelihood,0)*MATCH(I383,lst_Consequence,0))</f>
        <v/>
      </c>
      <c r="Q383" s="37" t="str">
        <f aca="false">IF(P383="","",IF(P383&gt;=16,"Critical",IF(P383&gt;=10,"High",IF(P383&gt;=5,"Medium","Low"))))</f>
        <v/>
      </c>
      <c r="R383" s="37" t="str">
        <f aca="true">IF(AND(C383&lt;&gt;"",M383&lt;&gt;"Closed",L383&lt;&gt;"",L383&lt;TODAY()),"Overdue","")</f>
        <v/>
      </c>
      <c r="S383" s="40" t="str">
        <f aca="false">IF(AND(N383&lt;&gt;"",B383="Risk",M383&lt;&gt;"Closed"),N383+(1-ROW()/100000),"")</f>
        <v/>
      </c>
      <c r="T383" s="40" t="str">
        <f aca="false">IF(AND(S383&lt;&gt;"",A383='Project Summary'!$C$3),S383,"")</f>
        <v/>
      </c>
    </row>
    <row r="384" customFormat="false" ht="15" hidden="false" customHeight="false" outlineLevel="0" collapsed="false">
      <c r="A384" s="32"/>
      <c r="B384" s="32"/>
      <c r="C384" s="32"/>
      <c r="D384" s="33"/>
      <c r="E384" s="32"/>
      <c r="F384" s="32"/>
      <c r="G384" s="32"/>
      <c r="H384" s="32"/>
      <c r="I384" s="32"/>
      <c r="J384" s="33"/>
      <c r="K384" s="32"/>
      <c r="L384" s="35"/>
      <c r="M384" s="32"/>
      <c r="N384" s="37" t="str">
        <f aca="false">IF(OR(C384="",F384="",G384=""),"",MATCH(F384,lst_Likelihood,0)*MATCH(G384,lst_Consequence,0))</f>
        <v/>
      </c>
      <c r="O384" s="37" t="str">
        <f aca="false">IF(N384="","",IF(N384&gt;=16,"Critical",IF(N384&gt;=10,"High",IF(N384&gt;=5,"Medium","Low"))))</f>
        <v/>
      </c>
      <c r="P384" s="37" t="str">
        <f aca="false">IF(OR(C384="",H384="",I384=""),"",MATCH(H384,lst_Likelihood,0)*MATCH(I384,lst_Consequence,0))</f>
        <v/>
      </c>
      <c r="Q384" s="37" t="str">
        <f aca="false">IF(P384="","",IF(P384&gt;=16,"Critical",IF(P384&gt;=10,"High",IF(P384&gt;=5,"Medium","Low"))))</f>
        <v/>
      </c>
      <c r="R384" s="37" t="str">
        <f aca="true">IF(AND(C384&lt;&gt;"",M384&lt;&gt;"Closed",L384&lt;&gt;"",L384&lt;TODAY()),"Overdue","")</f>
        <v/>
      </c>
      <c r="S384" s="40" t="str">
        <f aca="false">IF(AND(N384&lt;&gt;"",B384="Risk",M384&lt;&gt;"Closed"),N384+(1-ROW()/100000),"")</f>
        <v/>
      </c>
      <c r="T384" s="40" t="str">
        <f aca="false">IF(AND(S384&lt;&gt;"",A384='Project Summary'!$C$3),S384,"")</f>
        <v/>
      </c>
    </row>
    <row r="385" customFormat="false" ht="15" hidden="false" customHeight="false" outlineLevel="0" collapsed="false">
      <c r="A385" s="32"/>
      <c r="B385" s="32"/>
      <c r="C385" s="32"/>
      <c r="D385" s="33"/>
      <c r="E385" s="32"/>
      <c r="F385" s="32"/>
      <c r="G385" s="32"/>
      <c r="H385" s="32"/>
      <c r="I385" s="32"/>
      <c r="J385" s="33"/>
      <c r="K385" s="32"/>
      <c r="L385" s="35"/>
      <c r="M385" s="32"/>
      <c r="N385" s="37" t="str">
        <f aca="false">IF(OR(C385="",F385="",G385=""),"",MATCH(F385,lst_Likelihood,0)*MATCH(G385,lst_Consequence,0))</f>
        <v/>
      </c>
      <c r="O385" s="37" t="str">
        <f aca="false">IF(N385="","",IF(N385&gt;=16,"Critical",IF(N385&gt;=10,"High",IF(N385&gt;=5,"Medium","Low"))))</f>
        <v/>
      </c>
      <c r="P385" s="37" t="str">
        <f aca="false">IF(OR(C385="",H385="",I385=""),"",MATCH(H385,lst_Likelihood,0)*MATCH(I385,lst_Consequence,0))</f>
        <v/>
      </c>
      <c r="Q385" s="37" t="str">
        <f aca="false">IF(P385="","",IF(P385&gt;=16,"Critical",IF(P385&gt;=10,"High",IF(P385&gt;=5,"Medium","Low"))))</f>
        <v/>
      </c>
      <c r="R385" s="37" t="str">
        <f aca="true">IF(AND(C385&lt;&gt;"",M385&lt;&gt;"Closed",L385&lt;&gt;"",L385&lt;TODAY()),"Overdue","")</f>
        <v/>
      </c>
      <c r="S385" s="40" t="str">
        <f aca="false">IF(AND(N385&lt;&gt;"",B385="Risk",M385&lt;&gt;"Closed"),N385+(1-ROW()/100000),"")</f>
        <v/>
      </c>
      <c r="T385" s="40" t="str">
        <f aca="false">IF(AND(S385&lt;&gt;"",A385='Project Summary'!$C$3),S385,"")</f>
        <v/>
      </c>
    </row>
    <row r="386" customFormat="false" ht="15" hidden="false" customHeight="false" outlineLevel="0" collapsed="false">
      <c r="A386" s="32"/>
      <c r="B386" s="32"/>
      <c r="C386" s="32"/>
      <c r="D386" s="33"/>
      <c r="E386" s="32"/>
      <c r="F386" s="32"/>
      <c r="G386" s="32"/>
      <c r="H386" s="32"/>
      <c r="I386" s="32"/>
      <c r="J386" s="33"/>
      <c r="K386" s="32"/>
      <c r="L386" s="35"/>
      <c r="M386" s="32"/>
      <c r="N386" s="37" t="str">
        <f aca="false">IF(OR(C386="",F386="",G386=""),"",MATCH(F386,lst_Likelihood,0)*MATCH(G386,lst_Consequence,0))</f>
        <v/>
      </c>
      <c r="O386" s="37" t="str">
        <f aca="false">IF(N386="","",IF(N386&gt;=16,"Critical",IF(N386&gt;=10,"High",IF(N386&gt;=5,"Medium","Low"))))</f>
        <v/>
      </c>
      <c r="P386" s="37" t="str">
        <f aca="false">IF(OR(C386="",H386="",I386=""),"",MATCH(H386,lst_Likelihood,0)*MATCH(I386,lst_Consequence,0))</f>
        <v/>
      </c>
      <c r="Q386" s="37" t="str">
        <f aca="false">IF(P386="","",IF(P386&gt;=16,"Critical",IF(P386&gt;=10,"High",IF(P386&gt;=5,"Medium","Low"))))</f>
        <v/>
      </c>
      <c r="R386" s="37" t="str">
        <f aca="true">IF(AND(C386&lt;&gt;"",M386&lt;&gt;"Closed",L386&lt;&gt;"",L386&lt;TODAY()),"Overdue","")</f>
        <v/>
      </c>
      <c r="S386" s="40" t="str">
        <f aca="false">IF(AND(N386&lt;&gt;"",B386="Risk",M386&lt;&gt;"Closed"),N386+(1-ROW()/100000),"")</f>
        <v/>
      </c>
      <c r="T386" s="40" t="str">
        <f aca="false">IF(AND(S386&lt;&gt;"",A386='Project Summary'!$C$3),S386,"")</f>
        <v/>
      </c>
    </row>
    <row r="387" customFormat="false" ht="15" hidden="false" customHeight="false" outlineLevel="0" collapsed="false">
      <c r="A387" s="32"/>
      <c r="B387" s="32"/>
      <c r="C387" s="32"/>
      <c r="D387" s="33"/>
      <c r="E387" s="32"/>
      <c r="F387" s="32"/>
      <c r="G387" s="32"/>
      <c r="H387" s="32"/>
      <c r="I387" s="32"/>
      <c r="J387" s="33"/>
      <c r="K387" s="32"/>
      <c r="L387" s="35"/>
      <c r="M387" s="32"/>
      <c r="N387" s="37" t="str">
        <f aca="false">IF(OR(C387="",F387="",G387=""),"",MATCH(F387,lst_Likelihood,0)*MATCH(G387,lst_Consequence,0))</f>
        <v/>
      </c>
      <c r="O387" s="37" t="str">
        <f aca="false">IF(N387="","",IF(N387&gt;=16,"Critical",IF(N387&gt;=10,"High",IF(N387&gt;=5,"Medium","Low"))))</f>
        <v/>
      </c>
      <c r="P387" s="37" t="str">
        <f aca="false">IF(OR(C387="",H387="",I387=""),"",MATCH(H387,lst_Likelihood,0)*MATCH(I387,lst_Consequence,0))</f>
        <v/>
      </c>
      <c r="Q387" s="37" t="str">
        <f aca="false">IF(P387="","",IF(P387&gt;=16,"Critical",IF(P387&gt;=10,"High",IF(P387&gt;=5,"Medium","Low"))))</f>
        <v/>
      </c>
      <c r="R387" s="37" t="str">
        <f aca="true">IF(AND(C387&lt;&gt;"",M387&lt;&gt;"Closed",L387&lt;&gt;"",L387&lt;TODAY()),"Overdue","")</f>
        <v/>
      </c>
      <c r="S387" s="40" t="str">
        <f aca="false">IF(AND(N387&lt;&gt;"",B387="Risk",M387&lt;&gt;"Closed"),N387+(1-ROW()/100000),"")</f>
        <v/>
      </c>
      <c r="T387" s="40" t="str">
        <f aca="false">IF(AND(S387&lt;&gt;"",A387='Project Summary'!$C$3),S387,"")</f>
        <v/>
      </c>
    </row>
    <row r="388" customFormat="false" ht="15" hidden="false" customHeight="false" outlineLevel="0" collapsed="false">
      <c r="A388" s="32"/>
      <c r="B388" s="32"/>
      <c r="C388" s="32"/>
      <c r="D388" s="33"/>
      <c r="E388" s="32"/>
      <c r="F388" s="32"/>
      <c r="G388" s="32"/>
      <c r="H388" s="32"/>
      <c r="I388" s="32"/>
      <c r="J388" s="33"/>
      <c r="K388" s="32"/>
      <c r="L388" s="35"/>
      <c r="M388" s="32"/>
      <c r="N388" s="37" t="str">
        <f aca="false">IF(OR(C388="",F388="",G388=""),"",MATCH(F388,lst_Likelihood,0)*MATCH(G388,lst_Consequence,0))</f>
        <v/>
      </c>
      <c r="O388" s="37" t="str">
        <f aca="false">IF(N388="","",IF(N388&gt;=16,"Critical",IF(N388&gt;=10,"High",IF(N388&gt;=5,"Medium","Low"))))</f>
        <v/>
      </c>
      <c r="P388" s="37" t="str">
        <f aca="false">IF(OR(C388="",H388="",I388=""),"",MATCH(H388,lst_Likelihood,0)*MATCH(I388,lst_Consequence,0))</f>
        <v/>
      </c>
      <c r="Q388" s="37" t="str">
        <f aca="false">IF(P388="","",IF(P388&gt;=16,"Critical",IF(P388&gt;=10,"High",IF(P388&gt;=5,"Medium","Low"))))</f>
        <v/>
      </c>
      <c r="R388" s="37" t="str">
        <f aca="true">IF(AND(C388&lt;&gt;"",M388&lt;&gt;"Closed",L388&lt;&gt;"",L388&lt;TODAY()),"Overdue","")</f>
        <v/>
      </c>
      <c r="S388" s="40" t="str">
        <f aca="false">IF(AND(N388&lt;&gt;"",B388="Risk",M388&lt;&gt;"Closed"),N388+(1-ROW()/100000),"")</f>
        <v/>
      </c>
      <c r="T388" s="40" t="str">
        <f aca="false">IF(AND(S388&lt;&gt;"",A388='Project Summary'!$C$3),S388,"")</f>
        <v/>
      </c>
    </row>
    <row r="389" customFormat="false" ht="15" hidden="false" customHeight="false" outlineLevel="0" collapsed="false">
      <c r="A389" s="32"/>
      <c r="B389" s="32"/>
      <c r="C389" s="32"/>
      <c r="D389" s="33"/>
      <c r="E389" s="32"/>
      <c r="F389" s="32"/>
      <c r="G389" s="32"/>
      <c r="H389" s="32"/>
      <c r="I389" s="32"/>
      <c r="J389" s="33"/>
      <c r="K389" s="32"/>
      <c r="L389" s="35"/>
      <c r="M389" s="32"/>
      <c r="N389" s="37" t="str">
        <f aca="false">IF(OR(C389="",F389="",G389=""),"",MATCH(F389,lst_Likelihood,0)*MATCH(G389,lst_Consequence,0))</f>
        <v/>
      </c>
      <c r="O389" s="37" t="str">
        <f aca="false">IF(N389="","",IF(N389&gt;=16,"Critical",IF(N389&gt;=10,"High",IF(N389&gt;=5,"Medium","Low"))))</f>
        <v/>
      </c>
      <c r="P389" s="37" t="str">
        <f aca="false">IF(OR(C389="",H389="",I389=""),"",MATCH(H389,lst_Likelihood,0)*MATCH(I389,lst_Consequence,0))</f>
        <v/>
      </c>
      <c r="Q389" s="37" t="str">
        <f aca="false">IF(P389="","",IF(P389&gt;=16,"Critical",IF(P389&gt;=10,"High",IF(P389&gt;=5,"Medium","Low"))))</f>
        <v/>
      </c>
      <c r="R389" s="37" t="str">
        <f aca="true">IF(AND(C389&lt;&gt;"",M389&lt;&gt;"Closed",L389&lt;&gt;"",L389&lt;TODAY()),"Overdue","")</f>
        <v/>
      </c>
      <c r="S389" s="40" t="str">
        <f aca="false">IF(AND(N389&lt;&gt;"",B389="Risk",M389&lt;&gt;"Closed"),N389+(1-ROW()/100000),"")</f>
        <v/>
      </c>
      <c r="T389" s="40" t="str">
        <f aca="false">IF(AND(S389&lt;&gt;"",A389='Project Summary'!$C$3),S389,"")</f>
        <v/>
      </c>
    </row>
    <row r="390" customFormat="false" ht="15" hidden="false" customHeight="false" outlineLevel="0" collapsed="false">
      <c r="A390" s="32"/>
      <c r="B390" s="32"/>
      <c r="C390" s="32"/>
      <c r="D390" s="33"/>
      <c r="E390" s="32"/>
      <c r="F390" s="32"/>
      <c r="G390" s="32"/>
      <c r="H390" s="32"/>
      <c r="I390" s="32"/>
      <c r="J390" s="33"/>
      <c r="K390" s="32"/>
      <c r="L390" s="35"/>
      <c r="M390" s="32"/>
      <c r="N390" s="37" t="str">
        <f aca="false">IF(OR(C390="",F390="",G390=""),"",MATCH(F390,lst_Likelihood,0)*MATCH(G390,lst_Consequence,0))</f>
        <v/>
      </c>
      <c r="O390" s="37" t="str">
        <f aca="false">IF(N390="","",IF(N390&gt;=16,"Critical",IF(N390&gt;=10,"High",IF(N390&gt;=5,"Medium","Low"))))</f>
        <v/>
      </c>
      <c r="P390" s="37" t="str">
        <f aca="false">IF(OR(C390="",H390="",I390=""),"",MATCH(H390,lst_Likelihood,0)*MATCH(I390,lst_Consequence,0))</f>
        <v/>
      </c>
      <c r="Q390" s="37" t="str">
        <f aca="false">IF(P390="","",IF(P390&gt;=16,"Critical",IF(P390&gt;=10,"High",IF(P390&gt;=5,"Medium","Low"))))</f>
        <v/>
      </c>
      <c r="R390" s="37" t="str">
        <f aca="true">IF(AND(C390&lt;&gt;"",M390&lt;&gt;"Closed",L390&lt;&gt;"",L390&lt;TODAY()),"Overdue","")</f>
        <v/>
      </c>
      <c r="S390" s="40" t="str">
        <f aca="false">IF(AND(N390&lt;&gt;"",B390="Risk",M390&lt;&gt;"Closed"),N390+(1-ROW()/100000),"")</f>
        <v/>
      </c>
      <c r="T390" s="40" t="str">
        <f aca="false">IF(AND(S390&lt;&gt;"",A390='Project Summary'!$C$3),S390,"")</f>
        <v/>
      </c>
    </row>
    <row r="391" customFormat="false" ht="15" hidden="false" customHeight="false" outlineLevel="0" collapsed="false">
      <c r="A391" s="32"/>
      <c r="B391" s="32"/>
      <c r="C391" s="32"/>
      <c r="D391" s="33"/>
      <c r="E391" s="32"/>
      <c r="F391" s="32"/>
      <c r="G391" s="32"/>
      <c r="H391" s="32"/>
      <c r="I391" s="32"/>
      <c r="J391" s="33"/>
      <c r="K391" s="32"/>
      <c r="L391" s="35"/>
      <c r="M391" s="32"/>
      <c r="N391" s="37" t="str">
        <f aca="false">IF(OR(C391="",F391="",G391=""),"",MATCH(F391,lst_Likelihood,0)*MATCH(G391,lst_Consequence,0))</f>
        <v/>
      </c>
      <c r="O391" s="37" t="str">
        <f aca="false">IF(N391="","",IF(N391&gt;=16,"Critical",IF(N391&gt;=10,"High",IF(N391&gt;=5,"Medium","Low"))))</f>
        <v/>
      </c>
      <c r="P391" s="37" t="str">
        <f aca="false">IF(OR(C391="",H391="",I391=""),"",MATCH(H391,lst_Likelihood,0)*MATCH(I391,lst_Consequence,0))</f>
        <v/>
      </c>
      <c r="Q391" s="37" t="str">
        <f aca="false">IF(P391="","",IF(P391&gt;=16,"Critical",IF(P391&gt;=10,"High",IF(P391&gt;=5,"Medium","Low"))))</f>
        <v/>
      </c>
      <c r="R391" s="37" t="str">
        <f aca="true">IF(AND(C391&lt;&gt;"",M391&lt;&gt;"Closed",L391&lt;&gt;"",L391&lt;TODAY()),"Overdue","")</f>
        <v/>
      </c>
      <c r="S391" s="40" t="str">
        <f aca="false">IF(AND(N391&lt;&gt;"",B391="Risk",M391&lt;&gt;"Closed"),N391+(1-ROW()/100000),"")</f>
        <v/>
      </c>
      <c r="T391" s="40" t="str">
        <f aca="false">IF(AND(S391&lt;&gt;"",A391='Project Summary'!$C$3),S391,"")</f>
        <v/>
      </c>
    </row>
    <row r="392" customFormat="false" ht="15" hidden="false" customHeight="false" outlineLevel="0" collapsed="false">
      <c r="A392" s="32"/>
      <c r="B392" s="32"/>
      <c r="C392" s="32"/>
      <c r="D392" s="33"/>
      <c r="E392" s="32"/>
      <c r="F392" s="32"/>
      <c r="G392" s="32"/>
      <c r="H392" s="32"/>
      <c r="I392" s="32"/>
      <c r="J392" s="33"/>
      <c r="K392" s="32"/>
      <c r="L392" s="35"/>
      <c r="M392" s="32"/>
      <c r="N392" s="37" t="str">
        <f aca="false">IF(OR(C392="",F392="",G392=""),"",MATCH(F392,lst_Likelihood,0)*MATCH(G392,lst_Consequence,0))</f>
        <v/>
      </c>
      <c r="O392" s="37" t="str">
        <f aca="false">IF(N392="","",IF(N392&gt;=16,"Critical",IF(N392&gt;=10,"High",IF(N392&gt;=5,"Medium","Low"))))</f>
        <v/>
      </c>
      <c r="P392" s="37" t="str">
        <f aca="false">IF(OR(C392="",H392="",I392=""),"",MATCH(H392,lst_Likelihood,0)*MATCH(I392,lst_Consequence,0))</f>
        <v/>
      </c>
      <c r="Q392" s="37" t="str">
        <f aca="false">IF(P392="","",IF(P392&gt;=16,"Critical",IF(P392&gt;=10,"High",IF(P392&gt;=5,"Medium","Low"))))</f>
        <v/>
      </c>
      <c r="R392" s="37" t="str">
        <f aca="true">IF(AND(C392&lt;&gt;"",M392&lt;&gt;"Closed",L392&lt;&gt;"",L392&lt;TODAY()),"Overdue","")</f>
        <v/>
      </c>
      <c r="S392" s="40" t="str">
        <f aca="false">IF(AND(N392&lt;&gt;"",B392="Risk",M392&lt;&gt;"Closed"),N392+(1-ROW()/100000),"")</f>
        <v/>
      </c>
      <c r="T392" s="40" t="str">
        <f aca="false">IF(AND(S392&lt;&gt;"",A392='Project Summary'!$C$3),S392,"")</f>
        <v/>
      </c>
    </row>
    <row r="393" customFormat="false" ht="15" hidden="false" customHeight="false" outlineLevel="0" collapsed="false">
      <c r="A393" s="32"/>
      <c r="B393" s="32"/>
      <c r="C393" s="32"/>
      <c r="D393" s="33"/>
      <c r="E393" s="32"/>
      <c r="F393" s="32"/>
      <c r="G393" s="32"/>
      <c r="H393" s="32"/>
      <c r="I393" s="32"/>
      <c r="J393" s="33"/>
      <c r="K393" s="32"/>
      <c r="L393" s="35"/>
      <c r="M393" s="32"/>
      <c r="N393" s="37" t="str">
        <f aca="false">IF(OR(C393="",F393="",G393=""),"",MATCH(F393,lst_Likelihood,0)*MATCH(G393,lst_Consequence,0))</f>
        <v/>
      </c>
      <c r="O393" s="37" t="str">
        <f aca="false">IF(N393="","",IF(N393&gt;=16,"Critical",IF(N393&gt;=10,"High",IF(N393&gt;=5,"Medium","Low"))))</f>
        <v/>
      </c>
      <c r="P393" s="37" t="str">
        <f aca="false">IF(OR(C393="",H393="",I393=""),"",MATCH(H393,lst_Likelihood,0)*MATCH(I393,lst_Consequence,0))</f>
        <v/>
      </c>
      <c r="Q393" s="37" t="str">
        <f aca="false">IF(P393="","",IF(P393&gt;=16,"Critical",IF(P393&gt;=10,"High",IF(P393&gt;=5,"Medium","Low"))))</f>
        <v/>
      </c>
      <c r="R393" s="37" t="str">
        <f aca="true">IF(AND(C393&lt;&gt;"",M393&lt;&gt;"Closed",L393&lt;&gt;"",L393&lt;TODAY()),"Overdue","")</f>
        <v/>
      </c>
      <c r="S393" s="40" t="str">
        <f aca="false">IF(AND(N393&lt;&gt;"",B393="Risk",M393&lt;&gt;"Closed"),N393+(1-ROW()/100000),"")</f>
        <v/>
      </c>
      <c r="T393" s="40" t="str">
        <f aca="false">IF(AND(S393&lt;&gt;"",A393='Project Summary'!$C$3),S393,"")</f>
        <v/>
      </c>
    </row>
    <row r="394" customFormat="false" ht="15" hidden="false" customHeight="false" outlineLevel="0" collapsed="false">
      <c r="A394" s="32"/>
      <c r="B394" s="32"/>
      <c r="C394" s="32"/>
      <c r="D394" s="33"/>
      <c r="E394" s="32"/>
      <c r="F394" s="32"/>
      <c r="G394" s="32"/>
      <c r="H394" s="32"/>
      <c r="I394" s="32"/>
      <c r="J394" s="33"/>
      <c r="K394" s="32"/>
      <c r="L394" s="35"/>
      <c r="M394" s="32"/>
      <c r="N394" s="37" t="str">
        <f aca="false">IF(OR(C394="",F394="",G394=""),"",MATCH(F394,lst_Likelihood,0)*MATCH(G394,lst_Consequence,0))</f>
        <v/>
      </c>
      <c r="O394" s="37" t="str">
        <f aca="false">IF(N394="","",IF(N394&gt;=16,"Critical",IF(N394&gt;=10,"High",IF(N394&gt;=5,"Medium","Low"))))</f>
        <v/>
      </c>
      <c r="P394" s="37" t="str">
        <f aca="false">IF(OR(C394="",H394="",I394=""),"",MATCH(H394,lst_Likelihood,0)*MATCH(I394,lst_Consequence,0))</f>
        <v/>
      </c>
      <c r="Q394" s="37" t="str">
        <f aca="false">IF(P394="","",IF(P394&gt;=16,"Critical",IF(P394&gt;=10,"High",IF(P394&gt;=5,"Medium","Low"))))</f>
        <v/>
      </c>
      <c r="R394" s="37" t="str">
        <f aca="true">IF(AND(C394&lt;&gt;"",M394&lt;&gt;"Closed",L394&lt;&gt;"",L394&lt;TODAY()),"Overdue","")</f>
        <v/>
      </c>
      <c r="S394" s="40" t="str">
        <f aca="false">IF(AND(N394&lt;&gt;"",B394="Risk",M394&lt;&gt;"Closed"),N394+(1-ROW()/100000),"")</f>
        <v/>
      </c>
      <c r="T394" s="40" t="str">
        <f aca="false">IF(AND(S394&lt;&gt;"",A394='Project Summary'!$C$3),S394,"")</f>
        <v/>
      </c>
    </row>
    <row r="395" customFormat="false" ht="15" hidden="false" customHeight="false" outlineLevel="0" collapsed="false">
      <c r="A395" s="32"/>
      <c r="B395" s="32"/>
      <c r="C395" s="32"/>
      <c r="D395" s="33"/>
      <c r="E395" s="32"/>
      <c r="F395" s="32"/>
      <c r="G395" s="32"/>
      <c r="H395" s="32"/>
      <c r="I395" s="32"/>
      <c r="J395" s="33"/>
      <c r="K395" s="32"/>
      <c r="L395" s="35"/>
      <c r="M395" s="32"/>
      <c r="N395" s="37" t="str">
        <f aca="false">IF(OR(C395="",F395="",G395=""),"",MATCH(F395,lst_Likelihood,0)*MATCH(G395,lst_Consequence,0))</f>
        <v/>
      </c>
      <c r="O395" s="37" t="str">
        <f aca="false">IF(N395="","",IF(N395&gt;=16,"Critical",IF(N395&gt;=10,"High",IF(N395&gt;=5,"Medium","Low"))))</f>
        <v/>
      </c>
      <c r="P395" s="37" t="str">
        <f aca="false">IF(OR(C395="",H395="",I395=""),"",MATCH(H395,lst_Likelihood,0)*MATCH(I395,lst_Consequence,0))</f>
        <v/>
      </c>
      <c r="Q395" s="37" t="str">
        <f aca="false">IF(P395="","",IF(P395&gt;=16,"Critical",IF(P395&gt;=10,"High",IF(P395&gt;=5,"Medium","Low"))))</f>
        <v/>
      </c>
      <c r="R395" s="37" t="str">
        <f aca="true">IF(AND(C395&lt;&gt;"",M395&lt;&gt;"Closed",L395&lt;&gt;"",L395&lt;TODAY()),"Overdue","")</f>
        <v/>
      </c>
      <c r="S395" s="40" t="str">
        <f aca="false">IF(AND(N395&lt;&gt;"",B395="Risk",M395&lt;&gt;"Closed"),N395+(1-ROW()/100000),"")</f>
        <v/>
      </c>
      <c r="T395" s="40" t="str">
        <f aca="false">IF(AND(S395&lt;&gt;"",A395='Project Summary'!$C$3),S395,"")</f>
        <v/>
      </c>
    </row>
    <row r="396" customFormat="false" ht="15" hidden="false" customHeight="false" outlineLevel="0" collapsed="false">
      <c r="A396" s="32"/>
      <c r="B396" s="32"/>
      <c r="C396" s="32"/>
      <c r="D396" s="33"/>
      <c r="E396" s="32"/>
      <c r="F396" s="32"/>
      <c r="G396" s="32"/>
      <c r="H396" s="32"/>
      <c r="I396" s="32"/>
      <c r="J396" s="33"/>
      <c r="K396" s="32"/>
      <c r="L396" s="35"/>
      <c r="M396" s="32"/>
      <c r="N396" s="37" t="str">
        <f aca="false">IF(OR(C396="",F396="",G396=""),"",MATCH(F396,lst_Likelihood,0)*MATCH(G396,lst_Consequence,0))</f>
        <v/>
      </c>
      <c r="O396" s="37" t="str">
        <f aca="false">IF(N396="","",IF(N396&gt;=16,"Critical",IF(N396&gt;=10,"High",IF(N396&gt;=5,"Medium","Low"))))</f>
        <v/>
      </c>
      <c r="P396" s="37" t="str">
        <f aca="false">IF(OR(C396="",H396="",I396=""),"",MATCH(H396,lst_Likelihood,0)*MATCH(I396,lst_Consequence,0))</f>
        <v/>
      </c>
      <c r="Q396" s="37" t="str">
        <f aca="false">IF(P396="","",IF(P396&gt;=16,"Critical",IF(P396&gt;=10,"High",IF(P396&gt;=5,"Medium","Low"))))</f>
        <v/>
      </c>
      <c r="R396" s="37" t="str">
        <f aca="true">IF(AND(C396&lt;&gt;"",M396&lt;&gt;"Closed",L396&lt;&gt;"",L396&lt;TODAY()),"Overdue","")</f>
        <v/>
      </c>
      <c r="S396" s="40" t="str">
        <f aca="false">IF(AND(N396&lt;&gt;"",B396="Risk",M396&lt;&gt;"Closed"),N396+(1-ROW()/100000),"")</f>
        <v/>
      </c>
      <c r="T396" s="40" t="str">
        <f aca="false">IF(AND(S396&lt;&gt;"",A396='Project Summary'!$C$3),S396,"")</f>
        <v/>
      </c>
    </row>
    <row r="397" customFormat="false" ht="15" hidden="false" customHeight="false" outlineLevel="0" collapsed="false">
      <c r="A397" s="32"/>
      <c r="B397" s="32"/>
      <c r="C397" s="32"/>
      <c r="D397" s="33"/>
      <c r="E397" s="32"/>
      <c r="F397" s="32"/>
      <c r="G397" s="32"/>
      <c r="H397" s="32"/>
      <c r="I397" s="32"/>
      <c r="J397" s="33"/>
      <c r="K397" s="32"/>
      <c r="L397" s="35"/>
      <c r="M397" s="32"/>
      <c r="N397" s="37" t="str">
        <f aca="false">IF(OR(C397="",F397="",G397=""),"",MATCH(F397,lst_Likelihood,0)*MATCH(G397,lst_Consequence,0))</f>
        <v/>
      </c>
      <c r="O397" s="37" t="str">
        <f aca="false">IF(N397="","",IF(N397&gt;=16,"Critical",IF(N397&gt;=10,"High",IF(N397&gt;=5,"Medium","Low"))))</f>
        <v/>
      </c>
      <c r="P397" s="37" t="str">
        <f aca="false">IF(OR(C397="",H397="",I397=""),"",MATCH(H397,lst_Likelihood,0)*MATCH(I397,lst_Consequence,0))</f>
        <v/>
      </c>
      <c r="Q397" s="37" t="str">
        <f aca="false">IF(P397="","",IF(P397&gt;=16,"Critical",IF(P397&gt;=10,"High",IF(P397&gt;=5,"Medium","Low"))))</f>
        <v/>
      </c>
      <c r="R397" s="37" t="str">
        <f aca="true">IF(AND(C397&lt;&gt;"",M397&lt;&gt;"Closed",L397&lt;&gt;"",L397&lt;TODAY()),"Overdue","")</f>
        <v/>
      </c>
      <c r="S397" s="40" t="str">
        <f aca="false">IF(AND(N397&lt;&gt;"",B397="Risk",M397&lt;&gt;"Closed"),N397+(1-ROW()/100000),"")</f>
        <v/>
      </c>
      <c r="T397" s="40" t="str">
        <f aca="false">IF(AND(S397&lt;&gt;"",A397='Project Summary'!$C$3),S397,"")</f>
        <v/>
      </c>
    </row>
    <row r="398" customFormat="false" ht="15" hidden="false" customHeight="false" outlineLevel="0" collapsed="false">
      <c r="A398" s="32"/>
      <c r="B398" s="32"/>
      <c r="C398" s="32"/>
      <c r="D398" s="33"/>
      <c r="E398" s="32"/>
      <c r="F398" s="32"/>
      <c r="G398" s="32"/>
      <c r="H398" s="32"/>
      <c r="I398" s="32"/>
      <c r="J398" s="33"/>
      <c r="K398" s="32"/>
      <c r="L398" s="35"/>
      <c r="M398" s="32"/>
      <c r="N398" s="37" t="str">
        <f aca="false">IF(OR(C398="",F398="",G398=""),"",MATCH(F398,lst_Likelihood,0)*MATCH(G398,lst_Consequence,0))</f>
        <v/>
      </c>
      <c r="O398" s="37" t="str">
        <f aca="false">IF(N398="","",IF(N398&gt;=16,"Critical",IF(N398&gt;=10,"High",IF(N398&gt;=5,"Medium","Low"))))</f>
        <v/>
      </c>
      <c r="P398" s="37" t="str">
        <f aca="false">IF(OR(C398="",H398="",I398=""),"",MATCH(H398,lst_Likelihood,0)*MATCH(I398,lst_Consequence,0))</f>
        <v/>
      </c>
      <c r="Q398" s="37" t="str">
        <f aca="false">IF(P398="","",IF(P398&gt;=16,"Critical",IF(P398&gt;=10,"High",IF(P398&gt;=5,"Medium","Low"))))</f>
        <v/>
      </c>
      <c r="R398" s="37" t="str">
        <f aca="true">IF(AND(C398&lt;&gt;"",M398&lt;&gt;"Closed",L398&lt;&gt;"",L398&lt;TODAY()),"Overdue","")</f>
        <v/>
      </c>
      <c r="S398" s="40" t="str">
        <f aca="false">IF(AND(N398&lt;&gt;"",B398="Risk",M398&lt;&gt;"Closed"),N398+(1-ROW()/100000),"")</f>
        <v/>
      </c>
      <c r="T398" s="40" t="str">
        <f aca="false">IF(AND(S398&lt;&gt;"",A398='Project Summary'!$C$3),S398,"")</f>
        <v/>
      </c>
    </row>
    <row r="399" customFormat="false" ht="15" hidden="false" customHeight="false" outlineLevel="0" collapsed="false">
      <c r="A399" s="32"/>
      <c r="B399" s="32"/>
      <c r="C399" s="32"/>
      <c r="D399" s="33"/>
      <c r="E399" s="32"/>
      <c r="F399" s="32"/>
      <c r="G399" s="32"/>
      <c r="H399" s="32"/>
      <c r="I399" s="32"/>
      <c r="J399" s="33"/>
      <c r="K399" s="32"/>
      <c r="L399" s="35"/>
      <c r="M399" s="32"/>
      <c r="N399" s="37" t="str">
        <f aca="false">IF(OR(C399="",F399="",G399=""),"",MATCH(F399,lst_Likelihood,0)*MATCH(G399,lst_Consequence,0))</f>
        <v/>
      </c>
      <c r="O399" s="37" t="str">
        <f aca="false">IF(N399="","",IF(N399&gt;=16,"Critical",IF(N399&gt;=10,"High",IF(N399&gt;=5,"Medium","Low"))))</f>
        <v/>
      </c>
      <c r="P399" s="37" t="str">
        <f aca="false">IF(OR(C399="",H399="",I399=""),"",MATCH(H399,lst_Likelihood,0)*MATCH(I399,lst_Consequence,0))</f>
        <v/>
      </c>
      <c r="Q399" s="37" t="str">
        <f aca="false">IF(P399="","",IF(P399&gt;=16,"Critical",IF(P399&gt;=10,"High",IF(P399&gt;=5,"Medium","Low"))))</f>
        <v/>
      </c>
      <c r="R399" s="37" t="str">
        <f aca="true">IF(AND(C399&lt;&gt;"",M399&lt;&gt;"Closed",L399&lt;&gt;"",L399&lt;TODAY()),"Overdue","")</f>
        <v/>
      </c>
      <c r="S399" s="40" t="str">
        <f aca="false">IF(AND(N399&lt;&gt;"",B399="Risk",M399&lt;&gt;"Closed"),N399+(1-ROW()/100000),"")</f>
        <v/>
      </c>
      <c r="T399" s="40" t="str">
        <f aca="false">IF(AND(S399&lt;&gt;"",A399='Project Summary'!$C$3),S399,"")</f>
        <v/>
      </c>
    </row>
    <row r="400" customFormat="false" ht="15" hidden="false" customHeight="false" outlineLevel="0" collapsed="false">
      <c r="A400" s="32"/>
      <c r="B400" s="32"/>
      <c r="C400" s="32"/>
      <c r="D400" s="33"/>
      <c r="E400" s="32"/>
      <c r="F400" s="32"/>
      <c r="G400" s="32"/>
      <c r="H400" s="32"/>
      <c r="I400" s="32"/>
      <c r="J400" s="33"/>
      <c r="K400" s="32"/>
      <c r="L400" s="35"/>
      <c r="M400" s="32"/>
      <c r="N400" s="37" t="str">
        <f aca="false">IF(OR(C400="",F400="",G400=""),"",MATCH(F400,lst_Likelihood,0)*MATCH(G400,lst_Consequence,0))</f>
        <v/>
      </c>
      <c r="O400" s="37" t="str">
        <f aca="false">IF(N400="","",IF(N400&gt;=16,"Critical",IF(N400&gt;=10,"High",IF(N400&gt;=5,"Medium","Low"))))</f>
        <v/>
      </c>
      <c r="P400" s="37" t="str">
        <f aca="false">IF(OR(C400="",H400="",I400=""),"",MATCH(H400,lst_Likelihood,0)*MATCH(I400,lst_Consequence,0))</f>
        <v/>
      </c>
      <c r="Q400" s="37" t="str">
        <f aca="false">IF(P400="","",IF(P400&gt;=16,"Critical",IF(P400&gt;=10,"High",IF(P400&gt;=5,"Medium","Low"))))</f>
        <v/>
      </c>
      <c r="R400" s="37" t="str">
        <f aca="true">IF(AND(C400&lt;&gt;"",M400&lt;&gt;"Closed",L400&lt;&gt;"",L400&lt;TODAY()),"Overdue","")</f>
        <v/>
      </c>
      <c r="S400" s="40" t="str">
        <f aca="false">IF(AND(N400&lt;&gt;"",B400="Risk",M400&lt;&gt;"Closed"),N400+(1-ROW()/100000),"")</f>
        <v/>
      </c>
      <c r="T400" s="40" t="str">
        <f aca="false">IF(AND(S400&lt;&gt;"",A400='Project Summary'!$C$3),S400,"")</f>
        <v/>
      </c>
    </row>
    <row r="401" customFormat="false" ht="15" hidden="false" customHeight="false" outlineLevel="0" collapsed="false">
      <c r="A401" s="32"/>
      <c r="B401" s="32"/>
      <c r="C401" s="32"/>
      <c r="D401" s="33"/>
      <c r="E401" s="32"/>
      <c r="F401" s="32"/>
      <c r="G401" s="32"/>
      <c r="H401" s="32"/>
      <c r="I401" s="32"/>
      <c r="J401" s="33"/>
      <c r="K401" s="32"/>
      <c r="L401" s="35"/>
      <c r="M401" s="32"/>
      <c r="N401" s="37" t="str">
        <f aca="false">IF(OR(C401="",F401="",G401=""),"",MATCH(F401,lst_Likelihood,0)*MATCH(G401,lst_Consequence,0))</f>
        <v/>
      </c>
      <c r="O401" s="37" t="str">
        <f aca="false">IF(N401="","",IF(N401&gt;=16,"Critical",IF(N401&gt;=10,"High",IF(N401&gt;=5,"Medium","Low"))))</f>
        <v/>
      </c>
      <c r="P401" s="37" t="str">
        <f aca="false">IF(OR(C401="",H401="",I401=""),"",MATCH(H401,lst_Likelihood,0)*MATCH(I401,lst_Consequence,0))</f>
        <v/>
      </c>
      <c r="Q401" s="37" t="str">
        <f aca="false">IF(P401="","",IF(P401&gt;=16,"Critical",IF(P401&gt;=10,"High",IF(P401&gt;=5,"Medium","Low"))))</f>
        <v/>
      </c>
      <c r="R401" s="37" t="str">
        <f aca="true">IF(AND(C401&lt;&gt;"",M401&lt;&gt;"Closed",L401&lt;&gt;"",L401&lt;TODAY()),"Overdue","")</f>
        <v/>
      </c>
      <c r="S401" s="40" t="str">
        <f aca="false">IF(AND(N401&lt;&gt;"",B401="Risk",M401&lt;&gt;"Closed"),N401+(1-ROW()/100000),"")</f>
        <v/>
      </c>
      <c r="T401" s="40" t="str">
        <f aca="false">IF(AND(S401&lt;&gt;"",A401='Project Summary'!$C$3),S401,"")</f>
        <v/>
      </c>
    </row>
    <row r="402" customFormat="false" ht="15" hidden="false" customHeight="false" outlineLevel="0" collapsed="false">
      <c r="A402" s="32"/>
      <c r="B402" s="32"/>
      <c r="C402" s="32"/>
      <c r="D402" s="33"/>
      <c r="E402" s="32"/>
      <c r="F402" s="32"/>
      <c r="G402" s="32"/>
      <c r="H402" s="32"/>
      <c r="I402" s="32"/>
      <c r="J402" s="33"/>
      <c r="K402" s="32"/>
      <c r="L402" s="35"/>
      <c r="M402" s="32"/>
      <c r="N402" s="37" t="str">
        <f aca="false">IF(OR(C402="",F402="",G402=""),"",MATCH(F402,lst_Likelihood,0)*MATCH(G402,lst_Consequence,0))</f>
        <v/>
      </c>
      <c r="O402" s="37" t="str">
        <f aca="false">IF(N402="","",IF(N402&gt;=16,"Critical",IF(N402&gt;=10,"High",IF(N402&gt;=5,"Medium","Low"))))</f>
        <v/>
      </c>
      <c r="P402" s="37" t="str">
        <f aca="false">IF(OR(C402="",H402="",I402=""),"",MATCH(H402,lst_Likelihood,0)*MATCH(I402,lst_Consequence,0))</f>
        <v/>
      </c>
      <c r="Q402" s="37" t="str">
        <f aca="false">IF(P402="","",IF(P402&gt;=16,"Critical",IF(P402&gt;=10,"High",IF(P402&gt;=5,"Medium","Low"))))</f>
        <v/>
      </c>
      <c r="R402" s="37" t="str">
        <f aca="true">IF(AND(C402&lt;&gt;"",M402&lt;&gt;"Closed",L402&lt;&gt;"",L402&lt;TODAY()),"Overdue","")</f>
        <v/>
      </c>
      <c r="S402" s="40" t="str">
        <f aca="false">IF(AND(N402&lt;&gt;"",B402="Risk",M402&lt;&gt;"Closed"),N402+(1-ROW()/100000),"")</f>
        <v/>
      </c>
      <c r="T402" s="40" t="str">
        <f aca="false">IF(AND(S402&lt;&gt;"",A402='Project Summary'!$C$3),S402,"")</f>
        <v/>
      </c>
    </row>
    <row r="403" customFormat="false" ht="15" hidden="false" customHeight="false" outlineLevel="0" collapsed="false">
      <c r="A403" s="32"/>
      <c r="B403" s="32"/>
      <c r="C403" s="32"/>
      <c r="D403" s="33"/>
      <c r="E403" s="32"/>
      <c r="F403" s="32"/>
      <c r="G403" s="32"/>
      <c r="H403" s="32"/>
      <c r="I403" s="32"/>
      <c r="J403" s="33"/>
      <c r="K403" s="32"/>
      <c r="L403" s="35"/>
      <c r="M403" s="32"/>
      <c r="N403" s="37" t="str">
        <f aca="false">IF(OR(C403="",F403="",G403=""),"",MATCH(F403,lst_Likelihood,0)*MATCH(G403,lst_Consequence,0))</f>
        <v/>
      </c>
      <c r="O403" s="37" t="str">
        <f aca="false">IF(N403="","",IF(N403&gt;=16,"Critical",IF(N403&gt;=10,"High",IF(N403&gt;=5,"Medium","Low"))))</f>
        <v/>
      </c>
      <c r="P403" s="37" t="str">
        <f aca="false">IF(OR(C403="",H403="",I403=""),"",MATCH(H403,lst_Likelihood,0)*MATCH(I403,lst_Consequence,0))</f>
        <v/>
      </c>
      <c r="Q403" s="37" t="str">
        <f aca="false">IF(P403="","",IF(P403&gt;=16,"Critical",IF(P403&gt;=10,"High",IF(P403&gt;=5,"Medium","Low"))))</f>
        <v/>
      </c>
      <c r="R403" s="37" t="str">
        <f aca="true">IF(AND(C403&lt;&gt;"",M403&lt;&gt;"Closed",L403&lt;&gt;"",L403&lt;TODAY()),"Overdue","")</f>
        <v/>
      </c>
      <c r="S403" s="40" t="str">
        <f aca="false">IF(AND(N403&lt;&gt;"",B403="Risk",M403&lt;&gt;"Closed"),N403+(1-ROW()/100000),"")</f>
        <v/>
      </c>
      <c r="T403" s="40" t="str">
        <f aca="false">IF(AND(S403&lt;&gt;"",A403='Project Summary'!$C$3),S403,"")</f>
        <v/>
      </c>
    </row>
    <row r="404" customFormat="false" ht="15" hidden="false" customHeight="false" outlineLevel="0" collapsed="false">
      <c r="A404" s="32"/>
      <c r="B404" s="32"/>
      <c r="C404" s="32"/>
      <c r="D404" s="33"/>
      <c r="E404" s="32"/>
      <c r="F404" s="32"/>
      <c r="G404" s="32"/>
      <c r="H404" s="32"/>
      <c r="I404" s="32"/>
      <c r="J404" s="33"/>
      <c r="K404" s="32"/>
      <c r="L404" s="35"/>
      <c r="M404" s="32"/>
      <c r="N404" s="37" t="str">
        <f aca="false">IF(OR(C404="",F404="",G404=""),"",MATCH(F404,lst_Likelihood,0)*MATCH(G404,lst_Consequence,0))</f>
        <v/>
      </c>
      <c r="O404" s="37" t="str">
        <f aca="false">IF(N404="","",IF(N404&gt;=16,"Critical",IF(N404&gt;=10,"High",IF(N404&gt;=5,"Medium","Low"))))</f>
        <v/>
      </c>
      <c r="P404" s="37" t="str">
        <f aca="false">IF(OR(C404="",H404="",I404=""),"",MATCH(H404,lst_Likelihood,0)*MATCH(I404,lst_Consequence,0))</f>
        <v/>
      </c>
      <c r="Q404" s="37" t="str">
        <f aca="false">IF(P404="","",IF(P404&gt;=16,"Critical",IF(P404&gt;=10,"High",IF(P404&gt;=5,"Medium","Low"))))</f>
        <v/>
      </c>
      <c r="R404" s="37" t="str">
        <f aca="true">IF(AND(C404&lt;&gt;"",M404&lt;&gt;"Closed",L404&lt;&gt;"",L404&lt;TODAY()),"Overdue","")</f>
        <v/>
      </c>
      <c r="S404" s="40" t="str">
        <f aca="false">IF(AND(N404&lt;&gt;"",B404="Risk",M404&lt;&gt;"Closed"),N404+(1-ROW()/100000),"")</f>
        <v/>
      </c>
      <c r="T404" s="40" t="str">
        <f aca="false">IF(AND(S404&lt;&gt;"",A404='Project Summary'!$C$3),S404,"")</f>
        <v/>
      </c>
    </row>
    <row r="405" customFormat="false" ht="15" hidden="false" customHeight="false" outlineLevel="0" collapsed="false">
      <c r="A405" s="32"/>
      <c r="B405" s="32"/>
      <c r="C405" s="32"/>
      <c r="D405" s="33"/>
      <c r="E405" s="32"/>
      <c r="F405" s="32"/>
      <c r="G405" s="32"/>
      <c r="H405" s="32"/>
      <c r="I405" s="32"/>
      <c r="J405" s="33"/>
      <c r="K405" s="32"/>
      <c r="L405" s="35"/>
      <c r="M405" s="32"/>
      <c r="N405" s="37" t="str">
        <f aca="false">IF(OR(C405="",F405="",G405=""),"",MATCH(F405,lst_Likelihood,0)*MATCH(G405,lst_Consequence,0))</f>
        <v/>
      </c>
      <c r="O405" s="37" t="str">
        <f aca="false">IF(N405="","",IF(N405&gt;=16,"Critical",IF(N405&gt;=10,"High",IF(N405&gt;=5,"Medium","Low"))))</f>
        <v/>
      </c>
      <c r="P405" s="37" t="str">
        <f aca="false">IF(OR(C405="",H405="",I405=""),"",MATCH(H405,lst_Likelihood,0)*MATCH(I405,lst_Consequence,0))</f>
        <v/>
      </c>
      <c r="Q405" s="37" t="str">
        <f aca="false">IF(P405="","",IF(P405&gt;=16,"Critical",IF(P405&gt;=10,"High",IF(P405&gt;=5,"Medium","Low"))))</f>
        <v/>
      </c>
      <c r="R405" s="37" t="str">
        <f aca="true">IF(AND(C405&lt;&gt;"",M405&lt;&gt;"Closed",L405&lt;&gt;"",L405&lt;TODAY()),"Overdue","")</f>
        <v/>
      </c>
      <c r="S405" s="40" t="str">
        <f aca="false">IF(AND(N405&lt;&gt;"",B405="Risk",M405&lt;&gt;"Closed"),N405+(1-ROW()/100000),"")</f>
        <v/>
      </c>
      <c r="T405" s="40" t="str">
        <f aca="false">IF(AND(S405&lt;&gt;"",A405='Project Summary'!$C$3),S405,"")</f>
        <v/>
      </c>
    </row>
    <row r="406" customFormat="false" ht="15" hidden="false" customHeight="false" outlineLevel="0" collapsed="false">
      <c r="A406" s="32"/>
      <c r="B406" s="32"/>
      <c r="C406" s="32"/>
      <c r="D406" s="33"/>
      <c r="E406" s="32"/>
      <c r="F406" s="32"/>
      <c r="G406" s="32"/>
      <c r="H406" s="32"/>
      <c r="I406" s="32"/>
      <c r="J406" s="33"/>
      <c r="K406" s="32"/>
      <c r="L406" s="35"/>
      <c r="M406" s="32"/>
      <c r="N406" s="37" t="str">
        <f aca="false">IF(OR(C406="",F406="",G406=""),"",MATCH(F406,lst_Likelihood,0)*MATCH(G406,lst_Consequence,0))</f>
        <v/>
      </c>
      <c r="O406" s="37" t="str">
        <f aca="false">IF(N406="","",IF(N406&gt;=16,"Critical",IF(N406&gt;=10,"High",IF(N406&gt;=5,"Medium","Low"))))</f>
        <v/>
      </c>
      <c r="P406" s="37" t="str">
        <f aca="false">IF(OR(C406="",H406="",I406=""),"",MATCH(H406,lst_Likelihood,0)*MATCH(I406,lst_Consequence,0))</f>
        <v/>
      </c>
      <c r="Q406" s="37" t="str">
        <f aca="false">IF(P406="","",IF(P406&gt;=16,"Critical",IF(P406&gt;=10,"High",IF(P406&gt;=5,"Medium","Low"))))</f>
        <v/>
      </c>
      <c r="R406" s="37" t="str">
        <f aca="true">IF(AND(C406&lt;&gt;"",M406&lt;&gt;"Closed",L406&lt;&gt;"",L406&lt;TODAY()),"Overdue","")</f>
        <v/>
      </c>
      <c r="S406" s="40" t="str">
        <f aca="false">IF(AND(N406&lt;&gt;"",B406="Risk",M406&lt;&gt;"Closed"),N406+(1-ROW()/100000),"")</f>
        <v/>
      </c>
      <c r="T406" s="40" t="str">
        <f aca="false">IF(AND(S406&lt;&gt;"",A406='Project Summary'!$C$3),S406,"")</f>
        <v/>
      </c>
    </row>
    <row r="407" customFormat="false" ht="15" hidden="false" customHeight="false" outlineLevel="0" collapsed="false">
      <c r="A407" s="32"/>
      <c r="B407" s="32"/>
      <c r="C407" s="32"/>
      <c r="D407" s="33"/>
      <c r="E407" s="32"/>
      <c r="F407" s="32"/>
      <c r="G407" s="32"/>
      <c r="H407" s="32"/>
      <c r="I407" s="32"/>
      <c r="J407" s="33"/>
      <c r="K407" s="32"/>
      <c r="L407" s="35"/>
      <c r="M407" s="32"/>
      <c r="N407" s="37" t="str">
        <f aca="false">IF(OR(C407="",F407="",G407=""),"",MATCH(F407,lst_Likelihood,0)*MATCH(G407,lst_Consequence,0))</f>
        <v/>
      </c>
      <c r="O407" s="37" t="str">
        <f aca="false">IF(N407="","",IF(N407&gt;=16,"Critical",IF(N407&gt;=10,"High",IF(N407&gt;=5,"Medium","Low"))))</f>
        <v/>
      </c>
      <c r="P407" s="37" t="str">
        <f aca="false">IF(OR(C407="",H407="",I407=""),"",MATCH(H407,lst_Likelihood,0)*MATCH(I407,lst_Consequence,0))</f>
        <v/>
      </c>
      <c r="Q407" s="37" t="str">
        <f aca="false">IF(P407="","",IF(P407&gt;=16,"Critical",IF(P407&gt;=10,"High",IF(P407&gt;=5,"Medium","Low"))))</f>
        <v/>
      </c>
      <c r="R407" s="37" t="str">
        <f aca="true">IF(AND(C407&lt;&gt;"",M407&lt;&gt;"Closed",L407&lt;&gt;"",L407&lt;TODAY()),"Overdue","")</f>
        <v/>
      </c>
      <c r="S407" s="40" t="str">
        <f aca="false">IF(AND(N407&lt;&gt;"",B407="Risk",M407&lt;&gt;"Closed"),N407+(1-ROW()/100000),"")</f>
        <v/>
      </c>
      <c r="T407" s="40" t="str">
        <f aca="false">IF(AND(S407&lt;&gt;"",A407='Project Summary'!$C$3),S407,"")</f>
        <v/>
      </c>
    </row>
    <row r="408" customFormat="false" ht="15" hidden="false" customHeight="false" outlineLevel="0" collapsed="false">
      <c r="A408" s="32"/>
      <c r="B408" s="32"/>
      <c r="C408" s="32"/>
      <c r="D408" s="33"/>
      <c r="E408" s="32"/>
      <c r="F408" s="32"/>
      <c r="G408" s="32"/>
      <c r="H408" s="32"/>
      <c r="I408" s="32"/>
      <c r="J408" s="33"/>
      <c r="K408" s="32"/>
      <c r="L408" s="35"/>
      <c r="M408" s="32"/>
      <c r="N408" s="37" t="str">
        <f aca="false">IF(OR(C408="",F408="",G408=""),"",MATCH(F408,lst_Likelihood,0)*MATCH(G408,lst_Consequence,0))</f>
        <v/>
      </c>
      <c r="O408" s="37" t="str">
        <f aca="false">IF(N408="","",IF(N408&gt;=16,"Critical",IF(N408&gt;=10,"High",IF(N408&gt;=5,"Medium","Low"))))</f>
        <v/>
      </c>
      <c r="P408" s="37" t="str">
        <f aca="false">IF(OR(C408="",H408="",I408=""),"",MATCH(H408,lst_Likelihood,0)*MATCH(I408,lst_Consequence,0))</f>
        <v/>
      </c>
      <c r="Q408" s="37" t="str">
        <f aca="false">IF(P408="","",IF(P408&gt;=16,"Critical",IF(P408&gt;=10,"High",IF(P408&gt;=5,"Medium","Low"))))</f>
        <v/>
      </c>
      <c r="R408" s="37" t="str">
        <f aca="true">IF(AND(C408&lt;&gt;"",M408&lt;&gt;"Closed",L408&lt;&gt;"",L408&lt;TODAY()),"Overdue","")</f>
        <v/>
      </c>
      <c r="S408" s="40" t="str">
        <f aca="false">IF(AND(N408&lt;&gt;"",B408="Risk",M408&lt;&gt;"Closed"),N408+(1-ROW()/100000),"")</f>
        <v/>
      </c>
      <c r="T408" s="40" t="str">
        <f aca="false">IF(AND(S408&lt;&gt;"",A408='Project Summary'!$C$3),S408,"")</f>
        <v/>
      </c>
    </row>
    <row r="409" customFormat="false" ht="15" hidden="false" customHeight="false" outlineLevel="0" collapsed="false">
      <c r="A409" s="32"/>
      <c r="B409" s="32"/>
      <c r="C409" s="32"/>
      <c r="D409" s="33"/>
      <c r="E409" s="32"/>
      <c r="F409" s="32"/>
      <c r="G409" s="32"/>
      <c r="H409" s="32"/>
      <c r="I409" s="32"/>
      <c r="J409" s="33"/>
      <c r="K409" s="32"/>
      <c r="L409" s="35"/>
      <c r="M409" s="32"/>
      <c r="N409" s="37" t="str">
        <f aca="false">IF(OR(C409="",F409="",G409=""),"",MATCH(F409,lst_Likelihood,0)*MATCH(G409,lst_Consequence,0))</f>
        <v/>
      </c>
      <c r="O409" s="37" t="str">
        <f aca="false">IF(N409="","",IF(N409&gt;=16,"Critical",IF(N409&gt;=10,"High",IF(N409&gt;=5,"Medium","Low"))))</f>
        <v/>
      </c>
      <c r="P409" s="37" t="str">
        <f aca="false">IF(OR(C409="",H409="",I409=""),"",MATCH(H409,lst_Likelihood,0)*MATCH(I409,lst_Consequence,0))</f>
        <v/>
      </c>
      <c r="Q409" s="37" t="str">
        <f aca="false">IF(P409="","",IF(P409&gt;=16,"Critical",IF(P409&gt;=10,"High",IF(P409&gt;=5,"Medium","Low"))))</f>
        <v/>
      </c>
      <c r="R409" s="37" t="str">
        <f aca="true">IF(AND(C409&lt;&gt;"",M409&lt;&gt;"Closed",L409&lt;&gt;"",L409&lt;TODAY()),"Overdue","")</f>
        <v/>
      </c>
      <c r="S409" s="40" t="str">
        <f aca="false">IF(AND(N409&lt;&gt;"",B409="Risk",M409&lt;&gt;"Closed"),N409+(1-ROW()/100000),"")</f>
        <v/>
      </c>
      <c r="T409" s="40" t="str">
        <f aca="false">IF(AND(S409&lt;&gt;"",A409='Project Summary'!$C$3),S409,"")</f>
        <v/>
      </c>
    </row>
    <row r="410" customFormat="false" ht="15" hidden="false" customHeight="false" outlineLevel="0" collapsed="false">
      <c r="A410" s="32"/>
      <c r="B410" s="32"/>
      <c r="C410" s="32"/>
      <c r="D410" s="33"/>
      <c r="E410" s="32"/>
      <c r="F410" s="32"/>
      <c r="G410" s="32"/>
      <c r="H410" s="32"/>
      <c r="I410" s="32"/>
      <c r="J410" s="33"/>
      <c r="K410" s="32"/>
      <c r="L410" s="35"/>
      <c r="M410" s="32"/>
      <c r="N410" s="37" t="str">
        <f aca="false">IF(OR(C410="",F410="",G410=""),"",MATCH(F410,lst_Likelihood,0)*MATCH(G410,lst_Consequence,0))</f>
        <v/>
      </c>
      <c r="O410" s="37" t="str">
        <f aca="false">IF(N410="","",IF(N410&gt;=16,"Critical",IF(N410&gt;=10,"High",IF(N410&gt;=5,"Medium","Low"))))</f>
        <v/>
      </c>
      <c r="P410" s="37" t="str">
        <f aca="false">IF(OR(C410="",H410="",I410=""),"",MATCH(H410,lst_Likelihood,0)*MATCH(I410,lst_Consequence,0))</f>
        <v/>
      </c>
      <c r="Q410" s="37" t="str">
        <f aca="false">IF(P410="","",IF(P410&gt;=16,"Critical",IF(P410&gt;=10,"High",IF(P410&gt;=5,"Medium","Low"))))</f>
        <v/>
      </c>
      <c r="R410" s="37" t="str">
        <f aca="true">IF(AND(C410&lt;&gt;"",M410&lt;&gt;"Closed",L410&lt;&gt;"",L410&lt;TODAY()),"Overdue","")</f>
        <v/>
      </c>
      <c r="S410" s="40" t="str">
        <f aca="false">IF(AND(N410&lt;&gt;"",B410="Risk",M410&lt;&gt;"Closed"),N410+(1-ROW()/100000),"")</f>
        <v/>
      </c>
      <c r="T410" s="40" t="str">
        <f aca="false">IF(AND(S410&lt;&gt;"",A410='Project Summary'!$C$3),S410,"")</f>
        <v/>
      </c>
    </row>
    <row r="411" customFormat="false" ht="15" hidden="false" customHeight="false" outlineLevel="0" collapsed="false">
      <c r="A411" s="32"/>
      <c r="B411" s="32"/>
      <c r="C411" s="32"/>
      <c r="D411" s="33"/>
      <c r="E411" s="32"/>
      <c r="F411" s="32"/>
      <c r="G411" s="32"/>
      <c r="H411" s="32"/>
      <c r="I411" s="32"/>
      <c r="J411" s="33"/>
      <c r="K411" s="32"/>
      <c r="L411" s="35"/>
      <c r="M411" s="32"/>
      <c r="N411" s="37" t="str">
        <f aca="false">IF(OR(C411="",F411="",G411=""),"",MATCH(F411,lst_Likelihood,0)*MATCH(G411,lst_Consequence,0))</f>
        <v/>
      </c>
      <c r="O411" s="37" t="str">
        <f aca="false">IF(N411="","",IF(N411&gt;=16,"Critical",IF(N411&gt;=10,"High",IF(N411&gt;=5,"Medium","Low"))))</f>
        <v/>
      </c>
      <c r="P411" s="37" t="str">
        <f aca="false">IF(OR(C411="",H411="",I411=""),"",MATCH(H411,lst_Likelihood,0)*MATCH(I411,lst_Consequence,0))</f>
        <v/>
      </c>
      <c r="Q411" s="37" t="str">
        <f aca="false">IF(P411="","",IF(P411&gt;=16,"Critical",IF(P411&gt;=10,"High",IF(P411&gt;=5,"Medium","Low"))))</f>
        <v/>
      </c>
      <c r="R411" s="37" t="str">
        <f aca="true">IF(AND(C411&lt;&gt;"",M411&lt;&gt;"Closed",L411&lt;&gt;"",L411&lt;TODAY()),"Overdue","")</f>
        <v/>
      </c>
      <c r="S411" s="40" t="str">
        <f aca="false">IF(AND(N411&lt;&gt;"",B411="Risk",M411&lt;&gt;"Closed"),N411+(1-ROW()/100000),"")</f>
        <v/>
      </c>
      <c r="T411" s="40" t="str">
        <f aca="false">IF(AND(S411&lt;&gt;"",A411='Project Summary'!$C$3),S411,"")</f>
        <v/>
      </c>
    </row>
    <row r="412" customFormat="false" ht="15" hidden="false" customHeight="false" outlineLevel="0" collapsed="false">
      <c r="A412" s="32"/>
      <c r="B412" s="32"/>
      <c r="C412" s="32"/>
      <c r="D412" s="33"/>
      <c r="E412" s="32"/>
      <c r="F412" s="32"/>
      <c r="G412" s="32"/>
      <c r="H412" s="32"/>
      <c r="I412" s="32"/>
      <c r="J412" s="33"/>
      <c r="K412" s="32"/>
      <c r="L412" s="35"/>
      <c r="M412" s="32"/>
      <c r="N412" s="37" t="str">
        <f aca="false">IF(OR(C412="",F412="",G412=""),"",MATCH(F412,lst_Likelihood,0)*MATCH(G412,lst_Consequence,0))</f>
        <v/>
      </c>
      <c r="O412" s="37" t="str">
        <f aca="false">IF(N412="","",IF(N412&gt;=16,"Critical",IF(N412&gt;=10,"High",IF(N412&gt;=5,"Medium","Low"))))</f>
        <v/>
      </c>
      <c r="P412" s="37" t="str">
        <f aca="false">IF(OR(C412="",H412="",I412=""),"",MATCH(H412,lst_Likelihood,0)*MATCH(I412,lst_Consequence,0))</f>
        <v/>
      </c>
      <c r="Q412" s="37" t="str">
        <f aca="false">IF(P412="","",IF(P412&gt;=16,"Critical",IF(P412&gt;=10,"High",IF(P412&gt;=5,"Medium","Low"))))</f>
        <v/>
      </c>
      <c r="R412" s="37" t="str">
        <f aca="true">IF(AND(C412&lt;&gt;"",M412&lt;&gt;"Closed",L412&lt;&gt;"",L412&lt;TODAY()),"Overdue","")</f>
        <v/>
      </c>
      <c r="S412" s="40" t="str">
        <f aca="false">IF(AND(N412&lt;&gt;"",B412="Risk",M412&lt;&gt;"Closed"),N412+(1-ROW()/100000),"")</f>
        <v/>
      </c>
      <c r="T412" s="40" t="str">
        <f aca="false">IF(AND(S412&lt;&gt;"",A412='Project Summary'!$C$3),S412,"")</f>
        <v/>
      </c>
    </row>
    <row r="413" customFormat="false" ht="15" hidden="false" customHeight="false" outlineLevel="0" collapsed="false">
      <c r="A413" s="32"/>
      <c r="B413" s="32"/>
      <c r="C413" s="32"/>
      <c r="D413" s="33"/>
      <c r="E413" s="32"/>
      <c r="F413" s="32"/>
      <c r="G413" s="32"/>
      <c r="H413" s="32"/>
      <c r="I413" s="32"/>
      <c r="J413" s="33"/>
      <c r="K413" s="32"/>
      <c r="L413" s="35"/>
      <c r="M413" s="32"/>
      <c r="N413" s="37" t="str">
        <f aca="false">IF(OR(C413="",F413="",G413=""),"",MATCH(F413,lst_Likelihood,0)*MATCH(G413,lst_Consequence,0))</f>
        <v/>
      </c>
      <c r="O413" s="37" t="str">
        <f aca="false">IF(N413="","",IF(N413&gt;=16,"Critical",IF(N413&gt;=10,"High",IF(N413&gt;=5,"Medium","Low"))))</f>
        <v/>
      </c>
      <c r="P413" s="37" t="str">
        <f aca="false">IF(OR(C413="",H413="",I413=""),"",MATCH(H413,lst_Likelihood,0)*MATCH(I413,lst_Consequence,0))</f>
        <v/>
      </c>
      <c r="Q413" s="37" t="str">
        <f aca="false">IF(P413="","",IF(P413&gt;=16,"Critical",IF(P413&gt;=10,"High",IF(P413&gt;=5,"Medium","Low"))))</f>
        <v/>
      </c>
      <c r="R413" s="37" t="str">
        <f aca="true">IF(AND(C413&lt;&gt;"",M413&lt;&gt;"Closed",L413&lt;&gt;"",L413&lt;TODAY()),"Overdue","")</f>
        <v/>
      </c>
      <c r="S413" s="40" t="str">
        <f aca="false">IF(AND(N413&lt;&gt;"",B413="Risk",M413&lt;&gt;"Closed"),N413+(1-ROW()/100000),"")</f>
        <v/>
      </c>
      <c r="T413" s="40" t="str">
        <f aca="false">IF(AND(S413&lt;&gt;"",A413='Project Summary'!$C$3),S413,"")</f>
        <v/>
      </c>
    </row>
    <row r="414" customFormat="false" ht="15" hidden="false" customHeight="false" outlineLevel="0" collapsed="false">
      <c r="A414" s="32"/>
      <c r="B414" s="32"/>
      <c r="C414" s="32"/>
      <c r="D414" s="33"/>
      <c r="E414" s="32"/>
      <c r="F414" s="32"/>
      <c r="G414" s="32"/>
      <c r="H414" s="32"/>
      <c r="I414" s="32"/>
      <c r="J414" s="33"/>
      <c r="K414" s="32"/>
      <c r="L414" s="35"/>
      <c r="M414" s="32"/>
      <c r="N414" s="37" t="str">
        <f aca="false">IF(OR(C414="",F414="",G414=""),"",MATCH(F414,lst_Likelihood,0)*MATCH(G414,lst_Consequence,0))</f>
        <v/>
      </c>
      <c r="O414" s="37" t="str">
        <f aca="false">IF(N414="","",IF(N414&gt;=16,"Critical",IF(N414&gt;=10,"High",IF(N414&gt;=5,"Medium","Low"))))</f>
        <v/>
      </c>
      <c r="P414" s="37" t="str">
        <f aca="false">IF(OR(C414="",H414="",I414=""),"",MATCH(H414,lst_Likelihood,0)*MATCH(I414,lst_Consequence,0))</f>
        <v/>
      </c>
      <c r="Q414" s="37" t="str">
        <f aca="false">IF(P414="","",IF(P414&gt;=16,"Critical",IF(P414&gt;=10,"High",IF(P414&gt;=5,"Medium","Low"))))</f>
        <v/>
      </c>
      <c r="R414" s="37" t="str">
        <f aca="true">IF(AND(C414&lt;&gt;"",M414&lt;&gt;"Closed",L414&lt;&gt;"",L414&lt;TODAY()),"Overdue","")</f>
        <v/>
      </c>
      <c r="S414" s="40" t="str">
        <f aca="false">IF(AND(N414&lt;&gt;"",B414="Risk",M414&lt;&gt;"Closed"),N414+(1-ROW()/100000),"")</f>
        <v/>
      </c>
      <c r="T414" s="40" t="str">
        <f aca="false">IF(AND(S414&lt;&gt;"",A414='Project Summary'!$C$3),S414,"")</f>
        <v/>
      </c>
    </row>
    <row r="415" customFormat="false" ht="15" hidden="false" customHeight="false" outlineLevel="0" collapsed="false">
      <c r="A415" s="32"/>
      <c r="B415" s="32"/>
      <c r="C415" s="32"/>
      <c r="D415" s="33"/>
      <c r="E415" s="32"/>
      <c r="F415" s="32"/>
      <c r="G415" s="32"/>
      <c r="H415" s="32"/>
      <c r="I415" s="32"/>
      <c r="J415" s="33"/>
      <c r="K415" s="32"/>
      <c r="L415" s="35"/>
      <c r="M415" s="32"/>
      <c r="N415" s="37" t="str">
        <f aca="false">IF(OR(C415="",F415="",G415=""),"",MATCH(F415,lst_Likelihood,0)*MATCH(G415,lst_Consequence,0))</f>
        <v/>
      </c>
      <c r="O415" s="37" t="str">
        <f aca="false">IF(N415="","",IF(N415&gt;=16,"Critical",IF(N415&gt;=10,"High",IF(N415&gt;=5,"Medium","Low"))))</f>
        <v/>
      </c>
      <c r="P415" s="37" t="str">
        <f aca="false">IF(OR(C415="",H415="",I415=""),"",MATCH(H415,lst_Likelihood,0)*MATCH(I415,lst_Consequence,0))</f>
        <v/>
      </c>
      <c r="Q415" s="37" t="str">
        <f aca="false">IF(P415="","",IF(P415&gt;=16,"Critical",IF(P415&gt;=10,"High",IF(P415&gt;=5,"Medium","Low"))))</f>
        <v/>
      </c>
      <c r="R415" s="37" t="str">
        <f aca="true">IF(AND(C415&lt;&gt;"",M415&lt;&gt;"Closed",L415&lt;&gt;"",L415&lt;TODAY()),"Overdue","")</f>
        <v/>
      </c>
      <c r="S415" s="40" t="str">
        <f aca="false">IF(AND(N415&lt;&gt;"",B415="Risk",M415&lt;&gt;"Closed"),N415+(1-ROW()/100000),"")</f>
        <v/>
      </c>
      <c r="T415" s="40" t="str">
        <f aca="false">IF(AND(S415&lt;&gt;"",A415='Project Summary'!$C$3),S415,"")</f>
        <v/>
      </c>
    </row>
    <row r="416" customFormat="false" ht="15" hidden="false" customHeight="false" outlineLevel="0" collapsed="false">
      <c r="A416" s="32"/>
      <c r="B416" s="32"/>
      <c r="C416" s="32"/>
      <c r="D416" s="33"/>
      <c r="E416" s="32"/>
      <c r="F416" s="32"/>
      <c r="G416" s="32"/>
      <c r="H416" s="32"/>
      <c r="I416" s="32"/>
      <c r="J416" s="33"/>
      <c r="K416" s="32"/>
      <c r="L416" s="35"/>
      <c r="M416" s="32"/>
      <c r="N416" s="37" t="str">
        <f aca="false">IF(OR(C416="",F416="",G416=""),"",MATCH(F416,lst_Likelihood,0)*MATCH(G416,lst_Consequence,0))</f>
        <v/>
      </c>
      <c r="O416" s="37" t="str">
        <f aca="false">IF(N416="","",IF(N416&gt;=16,"Critical",IF(N416&gt;=10,"High",IF(N416&gt;=5,"Medium","Low"))))</f>
        <v/>
      </c>
      <c r="P416" s="37" t="str">
        <f aca="false">IF(OR(C416="",H416="",I416=""),"",MATCH(H416,lst_Likelihood,0)*MATCH(I416,lst_Consequence,0))</f>
        <v/>
      </c>
      <c r="Q416" s="37" t="str">
        <f aca="false">IF(P416="","",IF(P416&gt;=16,"Critical",IF(P416&gt;=10,"High",IF(P416&gt;=5,"Medium","Low"))))</f>
        <v/>
      </c>
      <c r="R416" s="37" t="str">
        <f aca="true">IF(AND(C416&lt;&gt;"",M416&lt;&gt;"Closed",L416&lt;&gt;"",L416&lt;TODAY()),"Overdue","")</f>
        <v/>
      </c>
      <c r="S416" s="40" t="str">
        <f aca="false">IF(AND(N416&lt;&gt;"",B416="Risk",M416&lt;&gt;"Closed"),N416+(1-ROW()/100000),"")</f>
        <v/>
      </c>
      <c r="T416" s="40" t="str">
        <f aca="false">IF(AND(S416&lt;&gt;"",A416='Project Summary'!$C$3),S416,"")</f>
        <v/>
      </c>
    </row>
    <row r="417" customFormat="false" ht="15" hidden="false" customHeight="false" outlineLevel="0" collapsed="false">
      <c r="A417" s="32"/>
      <c r="B417" s="32"/>
      <c r="C417" s="32"/>
      <c r="D417" s="33"/>
      <c r="E417" s="32"/>
      <c r="F417" s="32"/>
      <c r="G417" s="32"/>
      <c r="H417" s="32"/>
      <c r="I417" s="32"/>
      <c r="J417" s="33"/>
      <c r="K417" s="32"/>
      <c r="L417" s="35"/>
      <c r="M417" s="32"/>
      <c r="N417" s="37" t="str">
        <f aca="false">IF(OR(C417="",F417="",G417=""),"",MATCH(F417,lst_Likelihood,0)*MATCH(G417,lst_Consequence,0))</f>
        <v/>
      </c>
      <c r="O417" s="37" t="str">
        <f aca="false">IF(N417="","",IF(N417&gt;=16,"Critical",IF(N417&gt;=10,"High",IF(N417&gt;=5,"Medium","Low"))))</f>
        <v/>
      </c>
      <c r="P417" s="37" t="str">
        <f aca="false">IF(OR(C417="",H417="",I417=""),"",MATCH(H417,lst_Likelihood,0)*MATCH(I417,lst_Consequence,0))</f>
        <v/>
      </c>
      <c r="Q417" s="37" t="str">
        <f aca="false">IF(P417="","",IF(P417&gt;=16,"Critical",IF(P417&gt;=10,"High",IF(P417&gt;=5,"Medium","Low"))))</f>
        <v/>
      </c>
      <c r="R417" s="37" t="str">
        <f aca="true">IF(AND(C417&lt;&gt;"",M417&lt;&gt;"Closed",L417&lt;&gt;"",L417&lt;TODAY()),"Overdue","")</f>
        <v/>
      </c>
      <c r="S417" s="40" t="str">
        <f aca="false">IF(AND(N417&lt;&gt;"",B417="Risk",M417&lt;&gt;"Closed"),N417+(1-ROW()/100000),"")</f>
        <v/>
      </c>
      <c r="T417" s="40" t="str">
        <f aca="false">IF(AND(S417&lt;&gt;"",A417='Project Summary'!$C$3),S417,"")</f>
        <v/>
      </c>
    </row>
    <row r="418" customFormat="false" ht="15" hidden="false" customHeight="false" outlineLevel="0" collapsed="false">
      <c r="A418" s="32"/>
      <c r="B418" s="32"/>
      <c r="C418" s="32"/>
      <c r="D418" s="33"/>
      <c r="E418" s="32"/>
      <c r="F418" s="32"/>
      <c r="G418" s="32"/>
      <c r="H418" s="32"/>
      <c r="I418" s="32"/>
      <c r="J418" s="33"/>
      <c r="K418" s="32"/>
      <c r="L418" s="35"/>
      <c r="M418" s="32"/>
      <c r="N418" s="37" t="str">
        <f aca="false">IF(OR(C418="",F418="",G418=""),"",MATCH(F418,lst_Likelihood,0)*MATCH(G418,lst_Consequence,0))</f>
        <v/>
      </c>
      <c r="O418" s="37" t="str">
        <f aca="false">IF(N418="","",IF(N418&gt;=16,"Critical",IF(N418&gt;=10,"High",IF(N418&gt;=5,"Medium","Low"))))</f>
        <v/>
      </c>
      <c r="P418" s="37" t="str">
        <f aca="false">IF(OR(C418="",H418="",I418=""),"",MATCH(H418,lst_Likelihood,0)*MATCH(I418,lst_Consequence,0))</f>
        <v/>
      </c>
      <c r="Q418" s="37" t="str">
        <f aca="false">IF(P418="","",IF(P418&gt;=16,"Critical",IF(P418&gt;=10,"High",IF(P418&gt;=5,"Medium","Low"))))</f>
        <v/>
      </c>
      <c r="R418" s="37" t="str">
        <f aca="true">IF(AND(C418&lt;&gt;"",M418&lt;&gt;"Closed",L418&lt;&gt;"",L418&lt;TODAY()),"Overdue","")</f>
        <v/>
      </c>
      <c r="S418" s="40" t="str">
        <f aca="false">IF(AND(N418&lt;&gt;"",B418="Risk",M418&lt;&gt;"Closed"),N418+(1-ROW()/100000),"")</f>
        <v/>
      </c>
      <c r="T418" s="40" t="str">
        <f aca="false">IF(AND(S418&lt;&gt;"",A418='Project Summary'!$C$3),S418,"")</f>
        <v/>
      </c>
    </row>
    <row r="419" customFormat="false" ht="15" hidden="false" customHeight="false" outlineLevel="0" collapsed="false">
      <c r="A419" s="32"/>
      <c r="B419" s="32"/>
      <c r="C419" s="32"/>
      <c r="D419" s="33"/>
      <c r="E419" s="32"/>
      <c r="F419" s="32"/>
      <c r="G419" s="32"/>
      <c r="H419" s="32"/>
      <c r="I419" s="32"/>
      <c r="J419" s="33"/>
      <c r="K419" s="32"/>
      <c r="L419" s="35"/>
      <c r="M419" s="32"/>
      <c r="N419" s="37" t="str">
        <f aca="false">IF(OR(C419="",F419="",G419=""),"",MATCH(F419,lst_Likelihood,0)*MATCH(G419,lst_Consequence,0))</f>
        <v/>
      </c>
      <c r="O419" s="37" t="str">
        <f aca="false">IF(N419="","",IF(N419&gt;=16,"Critical",IF(N419&gt;=10,"High",IF(N419&gt;=5,"Medium","Low"))))</f>
        <v/>
      </c>
      <c r="P419" s="37" t="str">
        <f aca="false">IF(OR(C419="",H419="",I419=""),"",MATCH(H419,lst_Likelihood,0)*MATCH(I419,lst_Consequence,0))</f>
        <v/>
      </c>
      <c r="Q419" s="37" t="str">
        <f aca="false">IF(P419="","",IF(P419&gt;=16,"Critical",IF(P419&gt;=10,"High",IF(P419&gt;=5,"Medium","Low"))))</f>
        <v/>
      </c>
      <c r="R419" s="37" t="str">
        <f aca="true">IF(AND(C419&lt;&gt;"",M419&lt;&gt;"Closed",L419&lt;&gt;"",L419&lt;TODAY()),"Overdue","")</f>
        <v/>
      </c>
      <c r="S419" s="40" t="str">
        <f aca="false">IF(AND(N419&lt;&gt;"",B419="Risk",M419&lt;&gt;"Closed"),N419+(1-ROW()/100000),"")</f>
        <v/>
      </c>
      <c r="T419" s="40" t="str">
        <f aca="false">IF(AND(S419&lt;&gt;"",A419='Project Summary'!$C$3),S419,"")</f>
        <v/>
      </c>
    </row>
    <row r="420" customFormat="false" ht="15" hidden="false" customHeight="false" outlineLevel="0" collapsed="false">
      <c r="A420" s="32"/>
      <c r="B420" s="32"/>
      <c r="C420" s="32"/>
      <c r="D420" s="33"/>
      <c r="E420" s="32"/>
      <c r="F420" s="32"/>
      <c r="G420" s="32"/>
      <c r="H420" s="32"/>
      <c r="I420" s="32"/>
      <c r="J420" s="33"/>
      <c r="K420" s="32"/>
      <c r="L420" s="35"/>
      <c r="M420" s="32"/>
      <c r="N420" s="37" t="str">
        <f aca="false">IF(OR(C420="",F420="",G420=""),"",MATCH(F420,lst_Likelihood,0)*MATCH(G420,lst_Consequence,0))</f>
        <v/>
      </c>
      <c r="O420" s="37" t="str">
        <f aca="false">IF(N420="","",IF(N420&gt;=16,"Critical",IF(N420&gt;=10,"High",IF(N420&gt;=5,"Medium","Low"))))</f>
        <v/>
      </c>
      <c r="P420" s="37" t="str">
        <f aca="false">IF(OR(C420="",H420="",I420=""),"",MATCH(H420,lst_Likelihood,0)*MATCH(I420,lst_Consequence,0))</f>
        <v/>
      </c>
      <c r="Q420" s="37" t="str">
        <f aca="false">IF(P420="","",IF(P420&gt;=16,"Critical",IF(P420&gt;=10,"High",IF(P420&gt;=5,"Medium","Low"))))</f>
        <v/>
      </c>
      <c r="R420" s="37" t="str">
        <f aca="true">IF(AND(C420&lt;&gt;"",M420&lt;&gt;"Closed",L420&lt;&gt;"",L420&lt;TODAY()),"Overdue","")</f>
        <v/>
      </c>
      <c r="S420" s="40" t="str">
        <f aca="false">IF(AND(N420&lt;&gt;"",B420="Risk",M420&lt;&gt;"Closed"),N420+(1-ROW()/100000),"")</f>
        <v/>
      </c>
      <c r="T420" s="40" t="str">
        <f aca="false">IF(AND(S420&lt;&gt;"",A420='Project Summary'!$C$3),S420,"")</f>
        <v/>
      </c>
    </row>
    <row r="421" customFormat="false" ht="15" hidden="false" customHeight="false" outlineLevel="0" collapsed="false">
      <c r="A421" s="32"/>
      <c r="B421" s="32"/>
      <c r="C421" s="32"/>
      <c r="D421" s="33"/>
      <c r="E421" s="32"/>
      <c r="F421" s="32"/>
      <c r="G421" s="32"/>
      <c r="H421" s="32"/>
      <c r="I421" s="32"/>
      <c r="J421" s="33"/>
      <c r="K421" s="32"/>
      <c r="L421" s="35"/>
      <c r="M421" s="32"/>
      <c r="N421" s="37" t="str">
        <f aca="false">IF(OR(C421="",F421="",G421=""),"",MATCH(F421,lst_Likelihood,0)*MATCH(G421,lst_Consequence,0))</f>
        <v/>
      </c>
      <c r="O421" s="37" t="str">
        <f aca="false">IF(N421="","",IF(N421&gt;=16,"Critical",IF(N421&gt;=10,"High",IF(N421&gt;=5,"Medium","Low"))))</f>
        <v/>
      </c>
      <c r="P421" s="37" t="str">
        <f aca="false">IF(OR(C421="",H421="",I421=""),"",MATCH(H421,lst_Likelihood,0)*MATCH(I421,lst_Consequence,0))</f>
        <v/>
      </c>
      <c r="Q421" s="37" t="str">
        <f aca="false">IF(P421="","",IF(P421&gt;=16,"Critical",IF(P421&gt;=10,"High",IF(P421&gt;=5,"Medium","Low"))))</f>
        <v/>
      </c>
      <c r="R421" s="37" t="str">
        <f aca="true">IF(AND(C421&lt;&gt;"",M421&lt;&gt;"Closed",L421&lt;&gt;"",L421&lt;TODAY()),"Overdue","")</f>
        <v/>
      </c>
      <c r="S421" s="40" t="str">
        <f aca="false">IF(AND(N421&lt;&gt;"",B421="Risk",M421&lt;&gt;"Closed"),N421+(1-ROW()/100000),"")</f>
        <v/>
      </c>
      <c r="T421" s="40" t="str">
        <f aca="false">IF(AND(S421&lt;&gt;"",A421='Project Summary'!$C$3),S421,"")</f>
        <v/>
      </c>
    </row>
    <row r="422" customFormat="false" ht="15" hidden="false" customHeight="false" outlineLevel="0" collapsed="false">
      <c r="A422" s="32"/>
      <c r="B422" s="32"/>
      <c r="C422" s="32"/>
      <c r="D422" s="33"/>
      <c r="E422" s="32"/>
      <c r="F422" s="32"/>
      <c r="G422" s="32"/>
      <c r="H422" s="32"/>
      <c r="I422" s="32"/>
      <c r="J422" s="33"/>
      <c r="K422" s="32"/>
      <c r="L422" s="35"/>
      <c r="M422" s="32"/>
      <c r="N422" s="37" t="str">
        <f aca="false">IF(OR(C422="",F422="",G422=""),"",MATCH(F422,lst_Likelihood,0)*MATCH(G422,lst_Consequence,0))</f>
        <v/>
      </c>
      <c r="O422" s="37" t="str">
        <f aca="false">IF(N422="","",IF(N422&gt;=16,"Critical",IF(N422&gt;=10,"High",IF(N422&gt;=5,"Medium","Low"))))</f>
        <v/>
      </c>
      <c r="P422" s="37" t="str">
        <f aca="false">IF(OR(C422="",H422="",I422=""),"",MATCH(H422,lst_Likelihood,0)*MATCH(I422,lst_Consequence,0))</f>
        <v/>
      </c>
      <c r="Q422" s="37" t="str">
        <f aca="false">IF(P422="","",IF(P422&gt;=16,"Critical",IF(P422&gt;=10,"High",IF(P422&gt;=5,"Medium","Low"))))</f>
        <v/>
      </c>
      <c r="R422" s="37" t="str">
        <f aca="true">IF(AND(C422&lt;&gt;"",M422&lt;&gt;"Closed",L422&lt;&gt;"",L422&lt;TODAY()),"Overdue","")</f>
        <v/>
      </c>
      <c r="S422" s="40" t="str">
        <f aca="false">IF(AND(N422&lt;&gt;"",B422="Risk",M422&lt;&gt;"Closed"),N422+(1-ROW()/100000),"")</f>
        <v/>
      </c>
      <c r="T422" s="40" t="str">
        <f aca="false">IF(AND(S422&lt;&gt;"",A422='Project Summary'!$C$3),S422,"")</f>
        <v/>
      </c>
    </row>
    <row r="423" customFormat="false" ht="15" hidden="false" customHeight="false" outlineLevel="0" collapsed="false">
      <c r="A423" s="32"/>
      <c r="B423" s="32"/>
      <c r="C423" s="32"/>
      <c r="D423" s="33"/>
      <c r="E423" s="32"/>
      <c r="F423" s="32"/>
      <c r="G423" s="32"/>
      <c r="H423" s="32"/>
      <c r="I423" s="32"/>
      <c r="J423" s="33"/>
      <c r="K423" s="32"/>
      <c r="L423" s="35"/>
      <c r="M423" s="32"/>
      <c r="N423" s="37" t="str">
        <f aca="false">IF(OR(C423="",F423="",G423=""),"",MATCH(F423,lst_Likelihood,0)*MATCH(G423,lst_Consequence,0))</f>
        <v/>
      </c>
      <c r="O423" s="37" t="str">
        <f aca="false">IF(N423="","",IF(N423&gt;=16,"Critical",IF(N423&gt;=10,"High",IF(N423&gt;=5,"Medium","Low"))))</f>
        <v/>
      </c>
      <c r="P423" s="37" t="str">
        <f aca="false">IF(OR(C423="",H423="",I423=""),"",MATCH(H423,lst_Likelihood,0)*MATCH(I423,lst_Consequence,0))</f>
        <v/>
      </c>
      <c r="Q423" s="37" t="str">
        <f aca="false">IF(P423="","",IF(P423&gt;=16,"Critical",IF(P423&gt;=10,"High",IF(P423&gt;=5,"Medium","Low"))))</f>
        <v/>
      </c>
      <c r="R423" s="37" t="str">
        <f aca="true">IF(AND(C423&lt;&gt;"",M423&lt;&gt;"Closed",L423&lt;&gt;"",L423&lt;TODAY()),"Overdue","")</f>
        <v/>
      </c>
      <c r="S423" s="40" t="str">
        <f aca="false">IF(AND(N423&lt;&gt;"",B423="Risk",M423&lt;&gt;"Closed"),N423+(1-ROW()/100000),"")</f>
        <v/>
      </c>
      <c r="T423" s="40" t="str">
        <f aca="false">IF(AND(S423&lt;&gt;"",A423='Project Summary'!$C$3),S423,"")</f>
        <v/>
      </c>
    </row>
    <row r="424" customFormat="false" ht="15" hidden="false" customHeight="false" outlineLevel="0" collapsed="false">
      <c r="A424" s="32"/>
      <c r="B424" s="32"/>
      <c r="C424" s="32"/>
      <c r="D424" s="33"/>
      <c r="E424" s="32"/>
      <c r="F424" s="32"/>
      <c r="G424" s="32"/>
      <c r="H424" s="32"/>
      <c r="I424" s="32"/>
      <c r="J424" s="33"/>
      <c r="K424" s="32"/>
      <c r="L424" s="35"/>
      <c r="M424" s="32"/>
      <c r="N424" s="37" t="str">
        <f aca="false">IF(OR(C424="",F424="",G424=""),"",MATCH(F424,lst_Likelihood,0)*MATCH(G424,lst_Consequence,0))</f>
        <v/>
      </c>
      <c r="O424" s="37" t="str">
        <f aca="false">IF(N424="","",IF(N424&gt;=16,"Critical",IF(N424&gt;=10,"High",IF(N424&gt;=5,"Medium","Low"))))</f>
        <v/>
      </c>
      <c r="P424" s="37" t="str">
        <f aca="false">IF(OR(C424="",H424="",I424=""),"",MATCH(H424,lst_Likelihood,0)*MATCH(I424,lst_Consequence,0))</f>
        <v/>
      </c>
      <c r="Q424" s="37" t="str">
        <f aca="false">IF(P424="","",IF(P424&gt;=16,"Critical",IF(P424&gt;=10,"High",IF(P424&gt;=5,"Medium","Low"))))</f>
        <v/>
      </c>
      <c r="R424" s="37" t="str">
        <f aca="true">IF(AND(C424&lt;&gt;"",M424&lt;&gt;"Closed",L424&lt;&gt;"",L424&lt;TODAY()),"Overdue","")</f>
        <v/>
      </c>
      <c r="S424" s="40" t="str">
        <f aca="false">IF(AND(N424&lt;&gt;"",B424="Risk",M424&lt;&gt;"Closed"),N424+(1-ROW()/100000),"")</f>
        <v/>
      </c>
      <c r="T424" s="40" t="str">
        <f aca="false">IF(AND(S424&lt;&gt;"",A424='Project Summary'!$C$3),S424,"")</f>
        <v/>
      </c>
    </row>
    <row r="425" customFormat="false" ht="15" hidden="false" customHeight="false" outlineLevel="0" collapsed="false">
      <c r="A425" s="32"/>
      <c r="B425" s="32"/>
      <c r="C425" s="32"/>
      <c r="D425" s="33"/>
      <c r="E425" s="32"/>
      <c r="F425" s="32"/>
      <c r="G425" s="32"/>
      <c r="H425" s="32"/>
      <c r="I425" s="32"/>
      <c r="J425" s="33"/>
      <c r="K425" s="32"/>
      <c r="L425" s="35"/>
      <c r="M425" s="32"/>
      <c r="N425" s="37" t="str">
        <f aca="false">IF(OR(C425="",F425="",G425=""),"",MATCH(F425,lst_Likelihood,0)*MATCH(G425,lst_Consequence,0))</f>
        <v/>
      </c>
      <c r="O425" s="37" t="str">
        <f aca="false">IF(N425="","",IF(N425&gt;=16,"Critical",IF(N425&gt;=10,"High",IF(N425&gt;=5,"Medium","Low"))))</f>
        <v/>
      </c>
      <c r="P425" s="37" t="str">
        <f aca="false">IF(OR(C425="",H425="",I425=""),"",MATCH(H425,lst_Likelihood,0)*MATCH(I425,lst_Consequence,0))</f>
        <v/>
      </c>
      <c r="Q425" s="37" t="str">
        <f aca="false">IF(P425="","",IF(P425&gt;=16,"Critical",IF(P425&gt;=10,"High",IF(P425&gt;=5,"Medium","Low"))))</f>
        <v/>
      </c>
      <c r="R425" s="37" t="str">
        <f aca="true">IF(AND(C425&lt;&gt;"",M425&lt;&gt;"Closed",L425&lt;&gt;"",L425&lt;TODAY()),"Overdue","")</f>
        <v/>
      </c>
      <c r="S425" s="40" t="str">
        <f aca="false">IF(AND(N425&lt;&gt;"",B425="Risk",M425&lt;&gt;"Closed"),N425+(1-ROW()/100000),"")</f>
        <v/>
      </c>
      <c r="T425" s="40" t="str">
        <f aca="false">IF(AND(S425&lt;&gt;"",A425='Project Summary'!$C$3),S425,"")</f>
        <v/>
      </c>
    </row>
    <row r="426" customFormat="false" ht="15" hidden="false" customHeight="false" outlineLevel="0" collapsed="false">
      <c r="A426" s="32"/>
      <c r="B426" s="32"/>
      <c r="C426" s="32"/>
      <c r="D426" s="33"/>
      <c r="E426" s="32"/>
      <c r="F426" s="32"/>
      <c r="G426" s="32"/>
      <c r="H426" s="32"/>
      <c r="I426" s="32"/>
      <c r="J426" s="33"/>
      <c r="K426" s="32"/>
      <c r="L426" s="35"/>
      <c r="M426" s="32"/>
      <c r="N426" s="37" t="str">
        <f aca="false">IF(OR(C426="",F426="",G426=""),"",MATCH(F426,lst_Likelihood,0)*MATCH(G426,lst_Consequence,0))</f>
        <v/>
      </c>
      <c r="O426" s="37" t="str">
        <f aca="false">IF(N426="","",IF(N426&gt;=16,"Critical",IF(N426&gt;=10,"High",IF(N426&gt;=5,"Medium","Low"))))</f>
        <v/>
      </c>
      <c r="P426" s="37" t="str">
        <f aca="false">IF(OR(C426="",H426="",I426=""),"",MATCH(H426,lst_Likelihood,0)*MATCH(I426,lst_Consequence,0))</f>
        <v/>
      </c>
      <c r="Q426" s="37" t="str">
        <f aca="false">IF(P426="","",IF(P426&gt;=16,"Critical",IF(P426&gt;=10,"High",IF(P426&gt;=5,"Medium","Low"))))</f>
        <v/>
      </c>
      <c r="R426" s="37" t="str">
        <f aca="true">IF(AND(C426&lt;&gt;"",M426&lt;&gt;"Closed",L426&lt;&gt;"",L426&lt;TODAY()),"Overdue","")</f>
        <v/>
      </c>
      <c r="S426" s="40" t="str">
        <f aca="false">IF(AND(N426&lt;&gt;"",B426="Risk",M426&lt;&gt;"Closed"),N426+(1-ROW()/100000),"")</f>
        <v/>
      </c>
      <c r="T426" s="40" t="str">
        <f aca="false">IF(AND(S426&lt;&gt;"",A426='Project Summary'!$C$3),S426,"")</f>
        <v/>
      </c>
    </row>
    <row r="427" customFormat="false" ht="15" hidden="false" customHeight="false" outlineLevel="0" collapsed="false">
      <c r="A427" s="32"/>
      <c r="B427" s="32"/>
      <c r="C427" s="32"/>
      <c r="D427" s="33"/>
      <c r="E427" s="32"/>
      <c r="F427" s="32"/>
      <c r="G427" s="32"/>
      <c r="H427" s="32"/>
      <c r="I427" s="32"/>
      <c r="J427" s="33"/>
      <c r="K427" s="32"/>
      <c r="L427" s="35"/>
      <c r="M427" s="32"/>
      <c r="N427" s="37" t="str">
        <f aca="false">IF(OR(C427="",F427="",G427=""),"",MATCH(F427,lst_Likelihood,0)*MATCH(G427,lst_Consequence,0))</f>
        <v/>
      </c>
      <c r="O427" s="37" t="str">
        <f aca="false">IF(N427="","",IF(N427&gt;=16,"Critical",IF(N427&gt;=10,"High",IF(N427&gt;=5,"Medium","Low"))))</f>
        <v/>
      </c>
      <c r="P427" s="37" t="str">
        <f aca="false">IF(OR(C427="",H427="",I427=""),"",MATCH(H427,lst_Likelihood,0)*MATCH(I427,lst_Consequence,0))</f>
        <v/>
      </c>
      <c r="Q427" s="37" t="str">
        <f aca="false">IF(P427="","",IF(P427&gt;=16,"Critical",IF(P427&gt;=10,"High",IF(P427&gt;=5,"Medium","Low"))))</f>
        <v/>
      </c>
      <c r="R427" s="37" t="str">
        <f aca="true">IF(AND(C427&lt;&gt;"",M427&lt;&gt;"Closed",L427&lt;&gt;"",L427&lt;TODAY()),"Overdue","")</f>
        <v/>
      </c>
      <c r="S427" s="40" t="str">
        <f aca="false">IF(AND(N427&lt;&gt;"",B427="Risk",M427&lt;&gt;"Closed"),N427+(1-ROW()/100000),"")</f>
        <v/>
      </c>
      <c r="T427" s="40" t="str">
        <f aca="false">IF(AND(S427&lt;&gt;"",A427='Project Summary'!$C$3),S427,"")</f>
        <v/>
      </c>
    </row>
    <row r="428" customFormat="false" ht="15" hidden="false" customHeight="false" outlineLevel="0" collapsed="false">
      <c r="A428" s="32"/>
      <c r="B428" s="32"/>
      <c r="C428" s="32"/>
      <c r="D428" s="33"/>
      <c r="E428" s="32"/>
      <c r="F428" s="32"/>
      <c r="G428" s="32"/>
      <c r="H428" s="32"/>
      <c r="I428" s="32"/>
      <c r="J428" s="33"/>
      <c r="K428" s="32"/>
      <c r="L428" s="35"/>
      <c r="M428" s="32"/>
      <c r="N428" s="37" t="str">
        <f aca="false">IF(OR(C428="",F428="",G428=""),"",MATCH(F428,lst_Likelihood,0)*MATCH(G428,lst_Consequence,0))</f>
        <v/>
      </c>
      <c r="O428" s="37" t="str">
        <f aca="false">IF(N428="","",IF(N428&gt;=16,"Critical",IF(N428&gt;=10,"High",IF(N428&gt;=5,"Medium","Low"))))</f>
        <v/>
      </c>
      <c r="P428" s="37" t="str">
        <f aca="false">IF(OR(C428="",H428="",I428=""),"",MATCH(H428,lst_Likelihood,0)*MATCH(I428,lst_Consequence,0))</f>
        <v/>
      </c>
      <c r="Q428" s="37" t="str">
        <f aca="false">IF(P428="","",IF(P428&gt;=16,"Critical",IF(P428&gt;=10,"High",IF(P428&gt;=5,"Medium","Low"))))</f>
        <v/>
      </c>
      <c r="R428" s="37" t="str">
        <f aca="true">IF(AND(C428&lt;&gt;"",M428&lt;&gt;"Closed",L428&lt;&gt;"",L428&lt;TODAY()),"Overdue","")</f>
        <v/>
      </c>
      <c r="S428" s="40" t="str">
        <f aca="false">IF(AND(N428&lt;&gt;"",B428="Risk",M428&lt;&gt;"Closed"),N428+(1-ROW()/100000),"")</f>
        <v/>
      </c>
      <c r="T428" s="40" t="str">
        <f aca="false">IF(AND(S428&lt;&gt;"",A428='Project Summary'!$C$3),S428,"")</f>
        <v/>
      </c>
    </row>
    <row r="429" customFormat="false" ht="15" hidden="false" customHeight="false" outlineLevel="0" collapsed="false">
      <c r="A429" s="32"/>
      <c r="B429" s="32"/>
      <c r="C429" s="32"/>
      <c r="D429" s="33"/>
      <c r="E429" s="32"/>
      <c r="F429" s="32"/>
      <c r="G429" s="32"/>
      <c r="H429" s="32"/>
      <c r="I429" s="32"/>
      <c r="J429" s="33"/>
      <c r="K429" s="32"/>
      <c r="L429" s="35"/>
      <c r="M429" s="32"/>
      <c r="N429" s="37" t="str">
        <f aca="false">IF(OR(C429="",F429="",G429=""),"",MATCH(F429,lst_Likelihood,0)*MATCH(G429,lst_Consequence,0))</f>
        <v/>
      </c>
      <c r="O429" s="37" t="str">
        <f aca="false">IF(N429="","",IF(N429&gt;=16,"Critical",IF(N429&gt;=10,"High",IF(N429&gt;=5,"Medium","Low"))))</f>
        <v/>
      </c>
      <c r="P429" s="37" t="str">
        <f aca="false">IF(OR(C429="",H429="",I429=""),"",MATCH(H429,lst_Likelihood,0)*MATCH(I429,lst_Consequence,0))</f>
        <v/>
      </c>
      <c r="Q429" s="37" t="str">
        <f aca="false">IF(P429="","",IF(P429&gt;=16,"Critical",IF(P429&gt;=10,"High",IF(P429&gt;=5,"Medium","Low"))))</f>
        <v/>
      </c>
      <c r="R429" s="37" t="str">
        <f aca="true">IF(AND(C429&lt;&gt;"",M429&lt;&gt;"Closed",L429&lt;&gt;"",L429&lt;TODAY()),"Overdue","")</f>
        <v/>
      </c>
      <c r="S429" s="40" t="str">
        <f aca="false">IF(AND(N429&lt;&gt;"",B429="Risk",M429&lt;&gt;"Closed"),N429+(1-ROW()/100000),"")</f>
        <v/>
      </c>
      <c r="T429" s="40" t="str">
        <f aca="false">IF(AND(S429&lt;&gt;"",A429='Project Summary'!$C$3),S429,"")</f>
        <v/>
      </c>
    </row>
    <row r="430" customFormat="false" ht="15" hidden="false" customHeight="false" outlineLevel="0" collapsed="false">
      <c r="A430" s="32"/>
      <c r="B430" s="32"/>
      <c r="C430" s="32"/>
      <c r="D430" s="33"/>
      <c r="E430" s="32"/>
      <c r="F430" s="32"/>
      <c r="G430" s="32"/>
      <c r="H430" s="32"/>
      <c r="I430" s="32"/>
      <c r="J430" s="33"/>
      <c r="K430" s="32"/>
      <c r="L430" s="35"/>
      <c r="M430" s="32"/>
      <c r="N430" s="37" t="str">
        <f aca="false">IF(OR(C430="",F430="",G430=""),"",MATCH(F430,lst_Likelihood,0)*MATCH(G430,lst_Consequence,0))</f>
        <v/>
      </c>
      <c r="O430" s="37" t="str">
        <f aca="false">IF(N430="","",IF(N430&gt;=16,"Critical",IF(N430&gt;=10,"High",IF(N430&gt;=5,"Medium","Low"))))</f>
        <v/>
      </c>
      <c r="P430" s="37" t="str">
        <f aca="false">IF(OR(C430="",H430="",I430=""),"",MATCH(H430,lst_Likelihood,0)*MATCH(I430,lst_Consequence,0))</f>
        <v/>
      </c>
      <c r="Q430" s="37" t="str">
        <f aca="false">IF(P430="","",IF(P430&gt;=16,"Critical",IF(P430&gt;=10,"High",IF(P430&gt;=5,"Medium","Low"))))</f>
        <v/>
      </c>
      <c r="R430" s="37" t="str">
        <f aca="true">IF(AND(C430&lt;&gt;"",M430&lt;&gt;"Closed",L430&lt;&gt;"",L430&lt;TODAY()),"Overdue","")</f>
        <v/>
      </c>
      <c r="S430" s="40" t="str">
        <f aca="false">IF(AND(N430&lt;&gt;"",B430="Risk",M430&lt;&gt;"Closed"),N430+(1-ROW()/100000),"")</f>
        <v/>
      </c>
      <c r="T430" s="40" t="str">
        <f aca="false">IF(AND(S430&lt;&gt;"",A430='Project Summary'!$C$3),S430,"")</f>
        <v/>
      </c>
    </row>
    <row r="431" customFormat="false" ht="15" hidden="false" customHeight="false" outlineLevel="0" collapsed="false">
      <c r="A431" s="32"/>
      <c r="B431" s="32"/>
      <c r="C431" s="32"/>
      <c r="D431" s="33"/>
      <c r="E431" s="32"/>
      <c r="F431" s="32"/>
      <c r="G431" s="32"/>
      <c r="H431" s="32"/>
      <c r="I431" s="32"/>
      <c r="J431" s="33"/>
      <c r="K431" s="32"/>
      <c r="L431" s="35"/>
      <c r="M431" s="32"/>
      <c r="N431" s="37" t="str">
        <f aca="false">IF(OR(C431="",F431="",G431=""),"",MATCH(F431,lst_Likelihood,0)*MATCH(G431,lst_Consequence,0))</f>
        <v/>
      </c>
      <c r="O431" s="37" t="str">
        <f aca="false">IF(N431="","",IF(N431&gt;=16,"Critical",IF(N431&gt;=10,"High",IF(N431&gt;=5,"Medium","Low"))))</f>
        <v/>
      </c>
      <c r="P431" s="37" t="str">
        <f aca="false">IF(OR(C431="",H431="",I431=""),"",MATCH(H431,lst_Likelihood,0)*MATCH(I431,lst_Consequence,0))</f>
        <v/>
      </c>
      <c r="Q431" s="37" t="str">
        <f aca="false">IF(P431="","",IF(P431&gt;=16,"Critical",IF(P431&gt;=10,"High",IF(P431&gt;=5,"Medium","Low"))))</f>
        <v/>
      </c>
      <c r="R431" s="37" t="str">
        <f aca="true">IF(AND(C431&lt;&gt;"",M431&lt;&gt;"Closed",L431&lt;&gt;"",L431&lt;TODAY()),"Overdue","")</f>
        <v/>
      </c>
      <c r="S431" s="40" t="str">
        <f aca="false">IF(AND(N431&lt;&gt;"",B431="Risk",M431&lt;&gt;"Closed"),N431+(1-ROW()/100000),"")</f>
        <v/>
      </c>
      <c r="T431" s="40" t="str">
        <f aca="false">IF(AND(S431&lt;&gt;"",A431='Project Summary'!$C$3),S431,"")</f>
        <v/>
      </c>
    </row>
    <row r="432" customFormat="false" ht="15" hidden="false" customHeight="false" outlineLevel="0" collapsed="false">
      <c r="A432" s="32"/>
      <c r="B432" s="32"/>
      <c r="C432" s="32"/>
      <c r="D432" s="33"/>
      <c r="E432" s="32"/>
      <c r="F432" s="32"/>
      <c r="G432" s="32"/>
      <c r="H432" s="32"/>
      <c r="I432" s="32"/>
      <c r="J432" s="33"/>
      <c r="K432" s="32"/>
      <c r="L432" s="35"/>
      <c r="M432" s="32"/>
      <c r="N432" s="37" t="str">
        <f aca="false">IF(OR(C432="",F432="",G432=""),"",MATCH(F432,lst_Likelihood,0)*MATCH(G432,lst_Consequence,0))</f>
        <v/>
      </c>
      <c r="O432" s="37" t="str">
        <f aca="false">IF(N432="","",IF(N432&gt;=16,"Critical",IF(N432&gt;=10,"High",IF(N432&gt;=5,"Medium","Low"))))</f>
        <v/>
      </c>
      <c r="P432" s="37" t="str">
        <f aca="false">IF(OR(C432="",H432="",I432=""),"",MATCH(H432,lst_Likelihood,0)*MATCH(I432,lst_Consequence,0))</f>
        <v/>
      </c>
      <c r="Q432" s="37" t="str">
        <f aca="false">IF(P432="","",IF(P432&gt;=16,"Critical",IF(P432&gt;=10,"High",IF(P432&gt;=5,"Medium","Low"))))</f>
        <v/>
      </c>
      <c r="R432" s="37" t="str">
        <f aca="true">IF(AND(C432&lt;&gt;"",M432&lt;&gt;"Closed",L432&lt;&gt;"",L432&lt;TODAY()),"Overdue","")</f>
        <v/>
      </c>
      <c r="S432" s="40" t="str">
        <f aca="false">IF(AND(N432&lt;&gt;"",B432="Risk",M432&lt;&gt;"Closed"),N432+(1-ROW()/100000),"")</f>
        <v/>
      </c>
      <c r="T432" s="40" t="str">
        <f aca="false">IF(AND(S432&lt;&gt;"",A432='Project Summary'!$C$3),S432,"")</f>
        <v/>
      </c>
    </row>
    <row r="433" customFormat="false" ht="15" hidden="false" customHeight="false" outlineLevel="0" collapsed="false">
      <c r="A433" s="32"/>
      <c r="B433" s="32"/>
      <c r="C433" s="32"/>
      <c r="D433" s="33"/>
      <c r="E433" s="32"/>
      <c r="F433" s="32"/>
      <c r="G433" s="32"/>
      <c r="H433" s="32"/>
      <c r="I433" s="32"/>
      <c r="J433" s="33"/>
      <c r="K433" s="32"/>
      <c r="L433" s="35"/>
      <c r="M433" s="32"/>
      <c r="N433" s="37" t="str">
        <f aca="false">IF(OR(C433="",F433="",G433=""),"",MATCH(F433,lst_Likelihood,0)*MATCH(G433,lst_Consequence,0))</f>
        <v/>
      </c>
      <c r="O433" s="37" t="str">
        <f aca="false">IF(N433="","",IF(N433&gt;=16,"Critical",IF(N433&gt;=10,"High",IF(N433&gt;=5,"Medium","Low"))))</f>
        <v/>
      </c>
      <c r="P433" s="37" t="str">
        <f aca="false">IF(OR(C433="",H433="",I433=""),"",MATCH(H433,lst_Likelihood,0)*MATCH(I433,lst_Consequence,0))</f>
        <v/>
      </c>
      <c r="Q433" s="37" t="str">
        <f aca="false">IF(P433="","",IF(P433&gt;=16,"Critical",IF(P433&gt;=10,"High",IF(P433&gt;=5,"Medium","Low"))))</f>
        <v/>
      </c>
      <c r="R433" s="37" t="str">
        <f aca="true">IF(AND(C433&lt;&gt;"",M433&lt;&gt;"Closed",L433&lt;&gt;"",L433&lt;TODAY()),"Overdue","")</f>
        <v/>
      </c>
      <c r="S433" s="40" t="str">
        <f aca="false">IF(AND(N433&lt;&gt;"",B433="Risk",M433&lt;&gt;"Closed"),N433+(1-ROW()/100000),"")</f>
        <v/>
      </c>
      <c r="T433" s="40" t="str">
        <f aca="false">IF(AND(S433&lt;&gt;"",A433='Project Summary'!$C$3),S433,"")</f>
        <v/>
      </c>
    </row>
    <row r="434" customFormat="false" ht="15" hidden="false" customHeight="false" outlineLevel="0" collapsed="false">
      <c r="A434" s="32"/>
      <c r="B434" s="32"/>
      <c r="C434" s="32"/>
      <c r="D434" s="33"/>
      <c r="E434" s="32"/>
      <c r="F434" s="32"/>
      <c r="G434" s="32"/>
      <c r="H434" s="32"/>
      <c r="I434" s="32"/>
      <c r="J434" s="33"/>
      <c r="K434" s="32"/>
      <c r="L434" s="35"/>
      <c r="M434" s="32"/>
      <c r="N434" s="37" t="str">
        <f aca="false">IF(OR(C434="",F434="",G434=""),"",MATCH(F434,lst_Likelihood,0)*MATCH(G434,lst_Consequence,0))</f>
        <v/>
      </c>
      <c r="O434" s="37" t="str">
        <f aca="false">IF(N434="","",IF(N434&gt;=16,"Critical",IF(N434&gt;=10,"High",IF(N434&gt;=5,"Medium","Low"))))</f>
        <v/>
      </c>
      <c r="P434" s="37" t="str">
        <f aca="false">IF(OR(C434="",H434="",I434=""),"",MATCH(H434,lst_Likelihood,0)*MATCH(I434,lst_Consequence,0))</f>
        <v/>
      </c>
      <c r="Q434" s="37" t="str">
        <f aca="false">IF(P434="","",IF(P434&gt;=16,"Critical",IF(P434&gt;=10,"High",IF(P434&gt;=5,"Medium","Low"))))</f>
        <v/>
      </c>
      <c r="R434" s="37" t="str">
        <f aca="true">IF(AND(C434&lt;&gt;"",M434&lt;&gt;"Closed",L434&lt;&gt;"",L434&lt;TODAY()),"Overdue","")</f>
        <v/>
      </c>
      <c r="S434" s="40" t="str">
        <f aca="false">IF(AND(N434&lt;&gt;"",B434="Risk",M434&lt;&gt;"Closed"),N434+(1-ROW()/100000),"")</f>
        <v/>
      </c>
      <c r="T434" s="40" t="str">
        <f aca="false">IF(AND(S434&lt;&gt;"",A434='Project Summary'!$C$3),S434,"")</f>
        <v/>
      </c>
    </row>
    <row r="435" customFormat="false" ht="15" hidden="false" customHeight="false" outlineLevel="0" collapsed="false">
      <c r="A435" s="32"/>
      <c r="B435" s="32"/>
      <c r="C435" s="32"/>
      <c r="D435" s="33"/>
      <c r="E435" s="32"/>
      <c r="F435" s="32"/>
      <c r="G435" s="32"/>
      <c r="H435" s="32"/>
      <c r="I435" s="32"/>
      <c r="J435" s="33"/>
      <c r="K435" s="32"/>
      <c r="L435" s="35"/>
      <c r="M435" s="32"/>
      <c r="N435" s="37" t="str">
        <f aca="false">IF(OR(C435="",F435="",G435=""),"",MATCH(F435,lst_Likelihood,0)*MATCH(G435,lst_Consequence,0))</f>
        <v/>
      </c>
      <c r="O435" s="37" t="str">
        <f aca="false">IF(N435="","",IF(N435&gt;=16,"Critical",IF(N435&gt;=10,"High",IF(N435&gt;=5,"Medium","Low"))))</f>
        <v/>
      </c>
      <c r="P435" s="37" t="str">
        <f aca="false">IF(OR(C435="",H435="",I435=""),"",MATCH(H435,lst_Likelihood,0)*MATCH(I435,lst_Consequence,0))</f>
        <v/>
      </c>
      <c r="Q435" s="37" t="str">
        <f aca="false">IF(P435="","",IF(P435&gt;=16,"Critical",IF(P435&gt;=10,"High",IF(P435&gt;=5,"Medium","Low"))))</f>
        <v/>
      </c>
      <c r="R435" s="37" t="str">
        <f aca="true">IF(AND(C435&lt;&gt;"",M435&lt;&gt;"Closed",L435&lt;&gt;"",L435&lt;TODAY()),"Overdue","")</f>
        <v/>
      </c>
      <c r="S435" s="40" t="str">
        <f aca="false">IF(AND(N435&lt;&gt;"",B435="Risk",M435&lt;&gt;"Closed"),N435+(1-ROW()/100000),"")</f>
        <v/>
      </c>
      <c r="T435" s="40" t="str">
        <f aca="false">IF(AND(S435&lt;&gt;"",A435='Project Summary'!$C$3),S435,"")</f>
        <v/>
      </c>
    </row>
    <row r="436" customFormat="false" ht="15" hidden="false" customHeight="false" outlineLevel="0" collapsed="false">
      <c r="A436" s="32"/>
      <c r="B436" s="32"/>
      <c r="C436" s="32"/>
      <c r="D436" s="33"/>
      <c r="E436" s="32"/>
      <c r="F436" s="32"/>
      <c r="G436" s="32"/>
      <c r="H436" s="32"/>
      <c r="I436" s="32"/>
      <c r="J436" s="33"/>
      <c r="K436" s="32"/>
      <c r="L436" s="35"/>
      <c r="M436" s="32"/>
      <c r="N436" s="37" t="str">
        <f aca="false">IF(OR(C436="",F436="",G436=""),"",MATCH(F436,lst_Likelihood,0)*MATCH(G436,lst_Consequence,0))</f>
        <v/>
      </c>
      <c r="O436" s="37" t="str">
        <f aca="false">IF(N436="","",IF(N436&gt;=16,"Critical",IF(N436&gt;=10,"High",IF(N436&gt;=5,"Medium","Low"))))</f>
        <v/>
      </c>
      <c r="P436" s="37" t="str">
        <f aca="false">IF(OR(C436="",H436="",I436=""),"",MATCH(H436,lst_Likelihood,0)*MATCH(I436,lst_Consequence,0))</f>
        <v/>
      </c>
      <c r="Q436" s="37" t="str">
        <f aca="false">IF(P436="","",IF(P436&gt;=16,"Critical",IF(P436&gt;=10,"High",IF(P436&gt;=5,"Medium","Low"))))</f>
        <v/>
      </c>
      <c r="R436" s="37" t="str">
        <f aca="true">IF(AND(C436&lt;&gt;"",M436&lt;&gt;"Closed",L436&lt;&gt;"",L436&lt;TODAY()),"Overdue","")</f>
        <v/>
      </c>
      <c r="S436" s="40" t="str">
        <f aca="false">IF(AND(N436&lt;&gt;"",B436="Risk",M436&lt;&gt;"Closed"),N436+(1-ROW()/100000),"")</f>
        <v/>
      </c>
      <c r="T436" s="40" t="str">
        <f aca="false">IF(AND(S436&lt;&gt;"",A436='Project Summary'!$C$3),S436,"")</f>
        <v/>
      </c>
    </row>
    <row r="437" customFormat="false" ht="15" hidden="false" customHeight="false" outlineLevel="0" collapsed="false">
      <c r="A437" s="32"/>
      <c r="B437" s="32"/>
      <c r="C437" s="32"/>
      <c r="D437" s="33"/>
      <c r="E437" s="32"/>
      <c r="F437" s="32"/>
      <c r="G437" s="32"/>
      <c r="H437" s="32"/>
      <c r="I437" s="32"/>
      <c r="J437" s="33"/>
      <c r="K437" s="32"/>
      <c r="L437" s="35"/>
      <c r="M437" s="32"/>
      <c r="N437" s="37" t="str">
        <f aca="false">IF(OR(C437="",F437="",G437=""),"",MATCH(F437,lst_Likelihood,0)*MATCH(G437,lst_Consequence,0))</f>
        <v/>
      </c>
      <c r="O437" s="37" t="str">
        <f aca="false">IF(N437="","",IF(N437&gt;=16,"Critical",IF(N437&gt;=10,"High",IF(N437&gt;=5,"Medium","Low"))))</f>
        <v/>
      </c>
      <c r="P437" s="37" t="str">
        <f aca="false">IF(OR(C437="",H437="",I437=""),"",MATCH(H437,lst_Likelihood,0)*MATCH(I437,lst_Consequence,0))</f>
        <v/>
      </c>
      <c r="Q437" s="37" t="str">
        <f aca="false">IF(P437="","",IF(P437&gt;=16,"Critical",IF(P437&gt;=10,"High",IF(P437&gt;=5,"Medium","Low"))))</f>
        <v/>
      </c>
      <c r="R437" s="37" t="str">
        <f aca="true">IF(AND(C437&lt;&gt;"",M437&lt;&gt;"Closed",L437&lt;&gt;"",L437&lt;TODAY()),"Overdue","")</f>
        <v/>
      </c>
      <c r="S437" s="40" t="str">
        <f aca="false">IF(AND(N437&lt;&gt;"",B437="Risk",M437&lt;&gt;"Closed"),N437+(1-ROW()/100000),"")</f>
        <v/>
      </c>
      <c r="T437" s="40" t="str">
        <f aca="false">IF(AND(S437&lt;&gt;"",A437='Project Summary'!$C$3),S437,"")</f>
        <v/>
      </c>
    </row>
    <row r="438" customFormat="false" ht="15" hidden="false" customHeight="false" outlineLevel="0" collapsed="false">
      <c r="A438" s="32"/>
      <c r="B438" s="32"/>
      <c r="C438" s="32"/>
      <c r="D438" s="33"/>
      <c r="E438" s="32"/>
      <c r="F438" s="32"/>
      <c r="G438" s="32"/>
      <c r="H438" s="32"/>
      <c r="I438" s="32"/>
      <c r="J438" s="33"/>
      <c r="K438" s="32"/>
      <c r="L438" s="35"/>
      <c r="M438" s="32"/>
      <c r="N438" s="37" t="str">
        <f aca="false">IF(OR(C438="",F438="",G438=""),"",MATCH(F438,lst_Likelihood,0)*MATCH(G438,lst_Consequence,0))</f>
        <v/>
      </c>
      <c r="O438" s="37" t="str">
        <f aca="false">IF(N438="","",IF(N438&gt;=16,"Critical",IF(N438&gt;=10,"High",IF(N438&gt;=5,"Medium","Low"))))</f>
        <v/>
      </c>
      <c r="P438" s="37" t="str">
        <f aca="false">IF(OR(C438="",H438="",I438=""),"",MATCH(H438,lst_Likelihood,0)*MATCH(I438,lst_Consequence,0))</f>
        <v/>
      </c>
      <c r="Q438" s="37" t="str">
        <f aca="false">IF(P438="","",IF(P438&gt;=16,"Critical",IF(P438&gt;=10,"High",IF(P438&gt;=5,"Medium","Low"))))</f>
        <v/>
      </c>
      <c r="R438" s="37" t="str">
        <f aca="true">IF(AND(C438&lt;&gt;"",M438&lt;&gt;"Closed",L438&lt;&gt;"",L438&lt;TODAY()),"Overdue","")</f>
        <v/>
      </c>
      <c r="S438" s="40" t="str">
        <f aca="false">IF(AND(N438&lt;&gt;"",B438="Risk",M438&lt;&gt;"Closed"),N438+(1-ROW()/100000),"")</f>
        <v/>
      </c>
      <c r="T438" s="40" t="str">
        <f aca="false">IF(AND(S438&lt;&gt;"",A438='Project Summary'!$C$3),S438,"")</f>
        <v/>
      </c>
    </row>
    <row r="439" customFormat="false" ht="15" hidden="false" customHeight="false" outlineLevel="0" collapsed="false">
      <c r="A439" s="32"/>
      <c r="B439" s="32"/>
      <c r="C439" s="32"/>
      <c r="D439" s="33"/>
      <c r="E439" s="32"/>
      <c r="F439" s="32"/>
      <c r="G439" s="32"/>
      <c r="H439" s="32"/>
      <c r="I439" s="32"/>
      <c r="J439" s="33"/>
      <c r="K439" s="32"/>
      <c r="L439" s="35"/>
      <c r="M439" s="32"/>
      <c r="N439" s="37" t="str">
        <f aca="false">IF(OR(C439="",F439="",G439=""),"",MATCH(F439,lst_Likelihood,0)*MATCH(G439,lst_Consequence,0))</f>
        <v/>
      </c>
      <c r="O439" s="37" t="str">
        <f aca="false">IF(N439="","",IF(N439&gt;=16,"Critical",IF(N439&gt;=10,"High",IF(N439&gt;=5,"Medium","Low"))))</f>
        <v/>
      </c>
      <c r="P439" s="37" t="str">
        <f aca="false">IF(OR(C439="",H439="",I439=""),"",MATCH(H439,lst_Likelihood,0)*MATCH(I439,lst_Consequence,0))</f>
        <v/>
      </c>
      <c r="Q439" s="37" t="str">
        <f aca="false">IF(P439="","",IF(P439&gt;=16,"Critical",IF(P439&gt;=10,"High",IF(P439&gt;=5,"Medium","Low"))))</f>
        <v/>
      </c>
      <c r="R439" s="37" t="str">
        <f aca="true">IF(AND(C439&lt;&gt;"",M439&lt;&gt;"Closed",L439&lt;&gt;"",L439&lt;TODAY()),"Overdue","")</f>
        <v/>
      </c>
      <c r="S439" s="40" t="str">
        <f aca="false">IF(AND(N439&lt;&gt;"",B439="Risk",M439&lt;&gt;"Closed"),N439+(1-ROW()/100000),"")</f>
        <v/>
      </c>
      <c r="T439" s="40" t="str">
        <f aca="false">IF(AND(S439&lt;&gt;"",A439='Project Summary'!$C$3),S439,"")</f>
        <v/>
      </c>
    </row>
    <row r="440" customFormat="false" ht="15" hidden="false" customHeight="false" outlineLevel="0" collapsed="false">
      <c r="A440" s="32"/>
      <c r="B440" s="32"/>
      <c r="C440" s="32"/>
      <c r="D440" s="33"/>
      <c r="E440" s="32"/>
      <c r="F440" s="32"/>
      <c r="G440" s="32"/>
      <c r="H440" s="32"/>
      <c r="I440" s="32"/>
      <c r="J440" s="33"/>
      <c r="K440" s="32"/>
      <c r="L440" s="35"/>
      <c r="M440" s="32"/>
      <c r="N440" s="37" t="str">
        <f aca="false">IF(OR(C440="",F440="",G440=""),"",MATCH(F440,lst_Likelihood,0)*MATCH(G440,lst_Consequence,0))</f>
        <v/>
      </c>
      <c r="O440" s="37" t="str">
        <f aca="false">IF(N440="","",IF(N440&gt;=16,"Critical",IF(N440&gt;=10,"High",IF(N440&gt;=5,"Medium","Low"))))</f>
        <v/>
      </c>
      <c r="P440" s="37" t="str">
        <f aca="false">IF(OR(C440="",H440="",I440=""),"",MATCH(H440,lst_Likelihood,0)*MATCH(I440,lst_Consequence,0))</f>
        <v/>
      </c>
      <c r="Q440" s="37" t="str">
        <f aca="false">IF(P440="","",IF(P440&gt;=16,"Critical",IF(P440&gt;=10,"High",IF(P440&gt;=5,"Medium","Low"))))</f>
        <v/>
      </c>
      <c r="R440" s="37" t="str">
        <f aca="true">IF(AND(C440&lt;&gt;"",M440&lt;&gt;"Closed",L440&lt;&gt;"",L440&lt;TODAY()),"Overdue","")</f>
        <v/>
      </c>
      <c r="S440" s="40" t="str">
        <f aca="false">IF(AND(N440&lt;&gt;"",B440="Risk",M440&lt;&gt;"Closed"),N440+(1-ROW()/100000),"")</f>
        <v/>
      </c>
      <c r="T440" s="40" t="str">
        <f aca="false">IF(AND(S440&lt;&gt;"",A440='Project Summary'!$C$3),S440,"")</f>
        <v/>
      </c>
    </row>
    <row r="441" customFormat="false" ht="15" hidden="false" customHeight="false" outlineLevel="0" collapsed="false">
      <c r="A441" s="32"/>
      <c r="B441" s="32"/>
      <c r="C441" s="32"/>
      <c r="D441" s="33"/>
      <c r="E441" s="32"/>
      <c r="F441" s="32"/>
      <c r="G441" s="32"/>
      <c r="H441" s="32"/>
      <c r="I441" s="32"/>
      <c r="J441" s="33"/>
      <c r="K441" s="32"/>
      <c r="L441" s="35"/>
      <c r="M441" s="32"/>
      <c r="N441" s="37" t="str">
        <f aca="false">IF(OR(C441="",F441="",G441=""),"",MATCH(F441,lst_Likelihood,0)*MATCH(G441,lst_Consequence,0))</f>
        <v/>
      </c>
      <c r="O441" s="37" t="str">
        <f aca="false">IF(N441="","",IF(N441&gt;=16,"Critical",IF(N441&gt;=10,"High",IF(N441&gt;=5,"Medium","Low"))))</f>
        <v/>
      </c>
      <c r="P441" s="37" t="str">
        <f aca="false">IF(OR(C441="",H441="",I441=""),"",MATCH(H441,lst_Likelihood,0)*MATCH(I441,lst_Consequence,0))</f>
        <v/>
      </c>
      <c r="Q441" s="37" t="str">
        <f aca="false">IF(P441="","",IF(P441&gt;=16,"Critical",IF(P441&gt;=10,"High",IF(P441&gt;=5,"Medium","Low"))))</f>
        <v/>
      </c>
      <c r="R441" s="37" t="str">
        <f aca="true">IF(AND(C441&lt;&gt;"",M441&lt;&gt;"Closed",L441&lt;&gt;"",L441&lt;TODAY()),"Overdue","")</f>
        <v/>
      </c>
      <c r="S441" s="40" t="str">
        <f aca="false">IF(AND(N441&lt;&gt;"",B441="Risk",M441&lt;&gt;"Closed"),N441+(1-ROW()/100000),"")</f>
        <v/>
      </c>
      <c r="T441" s="40" t="str">
        <f aca="false">IF(AND(S441&lt;&gt;"",A441='Project Summary'!$C$3),S441,"")</f>
        <v/>
      </c>
    </row>
    <row r="442" customFormat="false" ht="15" hidden="false" customHeight="false" outlineLevel="0" collapsed="false">
      <c r="A442" s="32"/>
      <c r="B442" s="32"/>
      <c r="C442" s="32"/>
      <c r="D442" s="33"/>
      <c r="E442" s="32"/>
      <c r="F442" s="32"/>
      <c r="G442" s="32"/>
      <c r="H442" s="32"/>
      <c r="I442" s="32"/>
      <c r="J442" s="33"/>
      <c r="K442" s="32"/>
      <c r="L442" s="35"/>
      <c r="M442" s="32"/>
      <c r="N442" s="37" t="str">
        <f aca="false">IF(OR(C442="",F442="",G442=""),"",MATCH(F442,lst_Likelihood,0)*MATCH(G442,lst_Consequence,0))</f>
        <v/>
      </c>
      <c r="O442" s="37" t="str">
        <f aca="false">IF(N442="","",IF(N442&gt;=16,"Critical",IF(N442&gt;=10,"High",IF(N442&gt;=5,"Medium","Low"))))</f>
        <v/>
      </c>
      <c r="P442" s="37" t="str">
        <f aca="false">IF(OR(C442="",H442="",I442=""),"",MATCH(H442,lst_Likelihood,0)*MATCH(I442,lst_Consequence,0))</f>
        <v/>
      </c>
      <c r="Q442" s="37" t="str">
        <f aca="false">IF(P442="","",IF(P442&gt;=16,"Critical",IF(P442&gt;=10,"High",IF(P442&gt;=5,"Medium","Low"))))</f>
        <v/>
      </c>
      <c r="R442" s="37" t="str">
        <f aca="true">IF(AND(C442&lt;&gt;"",M442&lt;&gt;"Closed",L442&lt;&gt;"",L442&lt;TODAY()),"Overdue","")</f>
        <v/>
      </c>
      <c r="S442" s="40" t="str">
        <f aca="false">IF(AND(N442&lt;&gt;"",B442="Risk",M442&lt;&gt;"Closed"),N442+(1-ROW()/100000),"")</f>
        <v/>
      </c>
      <c r="T442" s="40" t="str">
        <f aca="false">IF(AND(S442&lt;&gt;"",A442='Project Summary'!$C$3),S442,"")</f>
        <v/>
      </c>
    </row>
    <row r="443" customFormat="false" ht="15" hidden="false" customHeight="false" outlineLevel="0" collapsed="false">
      <c r="A443" s="32"/>
      <c r="B443" s="32"/>
      <c r="C443" s="32"/>
      <c r="D443" s="33"/>
      <c r="E443" s="32"/>
      <c r="F443" s="32"/>
      <c r="G443" s="32"/>
      <c r="H443" s="32"/>
      <c r="I443" s="32"/>
      <c r="J443" s="33"/>
      <c r="K443" s="32"/>
      <c r="L443" s="35"/>
      <c r="M443" s="32"/>
      <c r="N443" s="37" t="str">
        <f aca="false">IF(OR(C443="",F443="",G443=""),"",MATCH(F443,lst_Likelihood,0)*MATCH(G443,lst_Consequence,0))</f>
        <v/>
      </c>
      <c r="O443" s="37" t="str">
        <f aca="false">IF(N443="","",IF(N443&gt;=16,"Critical",IF(N443&gt;=10,"High",IF(N443&gt;=5,"Medium","Low"))))</f>
        <v/>
      </c>
      <c r="P443" s="37" t="str">
        <f aca="false">IF(OR(C443="",H443="",I443=""),"",MATCH(H443,lst_Likelihood,0)*MATCH(I443,lst_Consequence,0))</f>
        <v/>
      </c>
      <c r="Q443" s="37" t="str">
        <f aca="false">IF(P443="","",IF(P443&gt;=16,"Critical",IF(P443&gt;=10,"High",IF(P443&gt;=5,"Medium","Low"))))</f>
        <v/>
      </c>
      <c r="R443" s="37" t="str">
        <f aca="true">IF(AND(C443&lt;&gt;"",M443&lt;&gt;"Closed",L443&lt;&gt;"",L443&lt;TODAY()),"Overdue","")</f>
        <v/>
      </c>
      <c r="S443" s="40" t="str">
        <f aca="false">IF(AND(N443&lt;&gt;"",B443="Risk",M443&lt;&gt;"Closed"),N443+(1-ROW()/100000),"")</f>
        <v/>
      </c>
      <c r="T443" s="40" t="str">
        <f aca="false">IF(AND(S443&lt;&gt;"",A443='Project Summary'!$C$3),S443,"")</f>
        <v/>
      </c>
    </row>
    <row r="444" customFormat="false" ht="15" hidden="false" customHeight="false" outlineLevel="0" collapsed="false">
      <c r="A444" s="32"/>
      <c r="B444" s="32"/>
      <c r="C444" s="32"/>
      <c r="D444" s="33"/>
      <c r="E444" s="32"/>
      <c r="F444" s="32"/>
      <c r="G444" s="32"/>
      <c r="H444" s="32"/>
      <c r="I444" s="32"/>
      <c r="J444" s="33"/>
      <c r="K444" s="32"/>
      <c r="L444" s="35"/>
      <c r="M444" s="32"/>
      <c r="N444" s="37" t="str">
        <f aca="false">IF(OR(C444="",F444="",G444=""),"",MATCH(F444,lst_Likelihood,0)*MATCH(G444,lst_Consequence,0))</f>
        <v/>
      </c>
      <c r="O444" s="37" t="str">
        <f aca="false">IF(N444="","",IF(N444&gt;=16,"Critical",IF(N444&gt;=10,"High",IF(N444&gt;=5,"Medium","Low"))))</f>
        <v/>
      </c>
      <c r="P444" s="37" t="str">
        <f aca="false">IF(OR(C444="",H444="",I444=""),"",MATCH(H444,lst_Likelihood,0)*MATCH(I444,lst_Consequence,0))</f>
        <v/>
      </c>
      <c r="Q444" s="37" t="str">
        <f aca="false">IF(P444="","",IF(P444&gt;=16,"Critical",IF(P444&gt;=10,"High",IF(P444&gt;=5,"Medium","Low"))))</f>
        <v/>
      </c>
      <c r="R444" s="37" t="str">
        <f aca="true">IF(AND(C444&lt;&gt;"",M444&lt;&gt;"Closed",L444&lt;&gt;"",L444&lt;TODAY()),"Overdue","")</f>
        <v/>
      </c>
      <c r="S444" s="40" t="str">
        <f aca="false">IF(AND(N444&lt;&gt;"",B444="Risk",M444&lt;&gt;"Closed"),N444+(1-ROW()/100000),"")</f>
        <v/>
      </c>
      <c r="T444" s="40" t="str">
        <f aca="false">IF(AND(S444&lt;&gt;"",A444='Project Summary'!$C$3),S444,"")</f>
        <v/>
      </c>
    </row>
    <row r="445" customFormat="false" ht="15" hidden="false" customHeight="false" outlineLevel="0" collapsed="false">
      <c r="A445" s="32"/>
      <c r="B445" s="32"/>
      <c r="C445" s="32"/>
      <c r="D445" s="33"/>
      <c r="E445" s="32"/>
      <c r="F445" s="32"/>
      <c r="G445" s="32"/>
      <c r="H445" s="32"/>
      <c r="I445" s="32"/>
      <c r="J445" s="33"/>
      <c r="K445" s="32"/>
      <c r="L445" s="35"/>
      <c r="M445" s="32"/>
      <c r="N445" s="37" t="str">
        <f aca="false">IF(OR(C445="",F445="",G445=""),"",MATCH(F445,lst_Likelihood,0)*MATCH(G445,lst_Consequence,0))</f>
        <v/>
      </c>
      <c r="O445" s="37" t="str">
        <f aca="false">IF(N445="","",IF(N445&gt;=16,"Critical",IF(N445&gt;=10,"High",IF(N445&gt;=5,"Medium","Low"))))</f>
        <v/>
      </c>
      <c r="P445" s="37" t="str">
        <f aca="false">IF(OR(C445="",H445="",I445=""),"",MATCH(H445,lst_Likelihood,0)*MATCH(I445,lst_Consequence,0))</f>
        <v/>
      </c>
      <c r="Q445" s="37" t="str">
        <f aca="false">IF(P445="","",IF(P445&gt;=16,"Critical",IF(P445&gt;=10,"High",IF(P445&gt;=5,"Medium","Low"))))</f>
        <v/>
      </c>
      <c r="R445" s="37" t="str">
        <f aca="true">IF(AND(C445&lt;&gt;"",M445&lt;&gt;"Closed",L445&lt;&gt;"",L445&lt;TODAY()),"Overdue","")</f>
        <v/>
      </c>
      <c r="S445" s="40" t="str">
        <f aca="false">IF(AND(N445&lt;&gt;"",B445="Risk",M445&lt;&gt;"Closed"),N445+(1-ROW()/100000),"")</f>
        <v/>
      </c>
      <c r="T445" s="40" t="str">
        <f aca="false">IF(AND(S445&lt;&gt;"",A445='Project Summary'!$C$3),S445,"")</f>
        <v/>
      </c>
    </row>
    <row r="446" customFormat="false" ht="15" hidden="false" customHeight="false" outlineLevel="0" collapsed="false">
      <c r="A446" s="32"/>
      <c r="B446" s="32"/>
      <c r="C446" s="32"/>
      <c r="D446" s="33"/>
      <c r="E446" s="32"/>
      <c r="F446" s="32"/>
      <c r="G446" s="32"/>
      <c r="H446" s="32"/>
      <c r="I446" s="32"/>
      <c r="J446" s="33"/>
      <c r="K446" s="32"/>
      <c r="L446" s="35"/>
      <c r="M446" s="32"/>
      <c r="N446" s="37" t="str">
        <f aca="false">IF(OR(C446="",F446="",G446=""),"",MATCH(F446,lst_Likelihood,0)*MATCH(G446,lst_Consequence,0))</f>
        <v/>
      </c>
      <c r="O446" s="37" t="str">
        <f aca="false">IF(N446="","",IF(N446&gt;=16,"Critical",IF(N446&gt;=10,"High",IF(N446&gt;=5,"Medium","Low"))))</f>
        <v/>
      </c>
      <c r="P446" s="37" t="str">
        <f aca="false">IF(OR(C446="",H446="",I446=""),"",MATCH(H446,lst_Likelihood,0)*MATCH(I446,lst_Consequence,0))</f>
        <v/>
      </c>
      <c r="Q446" s="37" t="str">
        <f aca="false">IF(P446="","",IF(P446&gt;=16,"Critical",IF(P446&gt;=10,"High",IF(P446&gt;=5,"Medium","Low"))))</f>
        <v/>
      </c>
      <c r="R446" s="37" t="str">
        <f aca="true">IF(AND(C446&lt;&gt;"",M446&lt;&gt;"Closed",L446&lt;&gt;"",L446&lt;TODAY()),"Overdue","")</f>
        <v/>
      </c>
      <c r="S446" s="40" t="str">
        <f aca="false">IF(AND(N446&lt;&gt;"",B446="Risk",M446&lt;&gt;"Closed"),N446+(1-ROW()/100000),"")</f>
        <v/>
      </c>
      <c r="T446" s="40" t="str">
        <f aca="false">IF(AND(S446&lt;&gt;"",A446='Project Summary'!$C$3),S446,"")</f>
        <v/>
      </c>
    </row>
    <row r="447" customFormat="false" ht="15" hidden="false" customHeight="false" outlineLevel="0" collapsed="false">
      <c r="A447" s="32"/>
      <c r="B447" s="32"/>
      <c r="C447" s="32"/>
      <c r="D447" s="33"/>
      <c r="E447" s="32"/>
      <c r="F447" s="32"/>
      <c r="G447" s="32"/>
      <c r="H447" s="32"/>
      <c r="I447" s="32"/>
      <c r="J447" s="33"/>
      <c r="K447" s="32"/>
      <c r="L447" s="35"/>
      <c r="M447" s="32"/>
      <c r="N447" s="37" t="str">
        <f aca="false">IF(OR(C447="",F447="",G447=""),"",MATCH(F447,lst_Likelihood,0)*MATCH(G447,lst_Consequence,0))</f>
        <v/>
      </c>
      <c r="O447" s="37" t="str">
        <f aca="false">IF(N447="","",IF(N447&gt;=16,"Critical",IF(N447&gt;=10,"High",IF(N447&gt;=5,"Medium","Low"))))</f>
        <v/>
      </c>
      <c r="P447" s="37" t="str">
        <f aca="false">IF(OR(C447="",H447="",I447=""),"",MATCH(H447,lst_Likelihood,0)*MATCH(I447,lst_Consequence,0))</f>
        <v/>
      </c>
      <c r="Q447" s="37" t="str">
        <f aca="false">IF(P447="","",IF(P447&gt;=16,"Critical",IF(P447&gt;=10,"High",IF(P447&gt;=5,"Medium","Low"))))</f>
        <v/>
      </c>
      <c r="R447" s="37" t="str">
        <f aca="true">IF(AND(C447&lt;&gt;"",M447&lt;&gt;"Closed",L447&lt;&gt;"",L447&lt;TODAY()),"Overdue","")</f>
        <v/>
      </c>
      <c r="S447" s="40" t="str">
        <f aca="false">IF(AND(N447&lt;&gt;"",B447="Risk",M447&lt;&gt;"Closed"),N447+(1-ROW()/100000),"")</f>
        <v/>
      </c>
      <c r="T447" s="40" t="str">
        <f aca="false">IF(AND(S447&lt;&gt;"",A447='Project Summary'!$C$3),S447,"")</f>
        <v/>
      </c>
    </row>
    <row r="448" customFormat="false" ht="15" hidden="false" customHeight="false" outlineLevel="0" collapsed="false">
      <c r="A448" s="32"/>
      <c r="B448" s="32"/>
      <c r="C448" s="32"/>
      <c r="D448" s="33"/>
      <c r="E448" s="32"/>
      <c r="F448" s="32"/>
      <c r="G448" s="32"/>
      <c r="H448" s="32"/>
      <c r="I448" s="32"/>
      <c r="J448" s="33"/>
      <c r="K448" s="32"/>
      <c r="L448" s="35"/>
      <c r="M448" s="32"/>
      <c r="N448" s="37" t="str">
        <f aca="false">IF(OR(C448="",F448="",G448=""),"",MATCH(F448,lst_Likelihood,0)*MATCH(G448,lst_Consequence,0))</f>
        <v/>
      </c>
      <c r="O448" s="37" t="str">
        <f aca="false">IF(N448="","",IF(N448&gt;=16,"Critical",IF(N448&gt;=10,"High",IF(N448&gt;=5,"Medium","Low"))))</f>
        <v/>
      </c>
      <c r="P448" s="37" t="str">
        <f aca="false">IF(OR(C448="",H448="",I448=""),"",MATCH(H448,lst_Likelihood,0)*MATCH(I448,lst_Consequence,0))</f>
        <v/>
      </c>
      <c r="Q448" s="37" t="str">
        <f aca="false">IF(P448="","",IF(P448&gt;=16,"Critical",IF(P448&gt;=10,"High",IF(P448&gt;=5,"Medium","Low"))))</f>
        <v/>
      </c>
      <c r="R448" s="37" t="str">
        <f aca="true">IF(AND(C448&lt;&gt;"",M448&lt;&gt;"Closed",L448&lt;&gt;"",L448&lt;TODAY()),"Overdue","")</f>
        <v/>
      </c>
      <c r="S448" s="40" t="str">
        <f aca="false">IF(AND(N448&lt;&gt;"",B448="Risk",M448&lt;&gt;"Closed"),N448+(1-ROW()/100000),"")</f>
        <v/>
      </c>
      <c r="T448" s="40" t="str">
        <f aca="false">IF(AND(S448&lt;&gt;"",A448='Project Summary'!$C$3),S448,"")</f>
        <v/>
      </c>
    </row>
    <row r="449" customFormat="false" ht="15" hidden="false" customHeight="false" outlineLevel="0" collapsed="false">
      <c r="A449" s="32"/>
      <c r="B449" s="32"/>
      <c r="C449" s="32"/>
      <c r="D449" s="33"/>
      <c r="E449" s="32"/>
      <c r="F449" s="32"/>
      <c r="G449" s="32"/>
      <c r="H449" s="32"/>
      <c r="I449" s="32"/>
      <c r="J449" s="33"/>
      <c r="K449" s="32"/>
      <c r="L449" s="35"/>
      <c r="M449" s="32"/>
      <c r="N449" s="37" t="str">
        <f aca="false">IF(OR(C449="",F449="",G449=""),"",MATCH(F449,lst_Likelihood,0)*MATCH(G449,lst_Consequence,0))</f>
        <v/>
      </c>
      <c r="O449" s="37" t="str">
        <f aca="false">IF(N449="","",IF(N449&gt;=16,"Critical",IF(N449&gt;=10,"High",IF(N449&gt;=5,"Medium","Low"))))</f>
        <v/>
      </c>
      <c r="P449" s="37" t="str">
        <f aca="false">IF(OR(C449="",H449="",I449=""),"",MATCH(H449,lst_Likelihood,0)*MATCH(I449,lst_Consequence,0))</f>
        <v/>
      </c>
      <c r="Q449" s="37" t="str">
        <f aca="false">IF(P449="","",IF(P449&gt;=16,"Critical",IF(P449&gt;=10,"High",IF(P449&gt;=5,"Medium","Low"))))</f>
        <v/>
      </c>
      <c r="R449" s="37" t="str">
        <f aca="true">IF(AND(C449&lt;&gt;"",M449&lt;&gt;"Closed",L449&lt;&gt;"",L449&lt;TODAY()),"Overdue","")</f>
        <v/>
      </c>
      <c r="S449" s="40" t="str">
        <f aca="false">IF(AND(N449&lt;&gt;"",B449="Risk",M449&lt;&gt;"Closed"),N449+(1-ROW()/100000),"")</f>
        <v/>
      </c>
      <c r="T449" s="40" t="str">
        <f aca="false">IF(AND(S449&lt;&gt;"",A449='Project Summary'!$C$3),S449,"")</f>
        <v/>
      </c>
    </row>
    <row r="450" customFormat="false" ht="15" hidden="false" customHeight="false" outlineLevel="0" collapsed="false">
      <c r="A450" s="32"/>
      <c r="B450" s="32"/>
      <c r="C450" s="32"/>
      <c r="D450" s="33"/>
      <c r="E450" s="32"/>
      <c r="F450" s="32"/>
      <c r="G450" s="32"/>
      <c r="H450" s="32"/>
      <c r="I450" s="32"/>
      <c r="J450" s="33"/>
      <c r="K450" s="32"/>
      <c r="L450" s="35"/>
      <c r="M450" s="32"/>
      <c r="N450" s="37" t="str">
        <f aca="false">IF(OR(C450="",F450="",G450=""),"",MATCH(F450,lst_Likelihood,0)*MATCH(G450,lst_Consequence,0))</f>
        <v/>
      </c>
      <c r="O450" s="37" t="str">
        <f aca="false">IF(N450="","",IF(N450&gt;=16,"Critical",IF(N450&gt;=10,"High",IF(N450&gt;=5,"Medium","Low"))))</f>
        <v/>
      </c>
      <c r="P450" s="37" t="str">
        <f aca="false">IF(OR(C450="",H450="",I450=""),"",MATCH(H450,lst_Likelihood,0)*MATCH(I450,lst_Consequence,0))</f>
        <v/>
      </c>
      <c r="Q450" s="37" t="str">
        <f aca="false">IF(P450="","",IF(P450&gt;=16,"Critical",IF(P450&gt;=10,"High",IF(P450&gt;=5,"Medium","Low"))))</f>
        <v/>
      </c>
      <c r="R450" s="37" t="str">
        <f aca="true">IF(AND(C450&lt;&gt;"",M450&lt;&gt;"Closed",L450&lt;&gt;"",L450&lt;TODAY()),"Overdue","")</f>
        <v/>
      </c>
      <c r="S450" s="40" t="str">
        <f aca="false">IF(AND(N450&lt;&gt;"",B450="Risk",M450&lt;&gt;"Closed"),N450+(1-ROW()/100000),"")</f>
        <v/>
      </c>
      <c r="T450" s="40" t="str">
        <f aca="false">IF(AND(S450&lt;&gt;"",A450='Project Summary'!$C$3),S450,"")</f>
        <v/>
      </c>
    </row>
    <row r="451" customFormat="false" ht="15" hidden="false" customHeight="false" outlineLevel="0" collapsed="false">
      <c r="A451" s="32"/>
      <c r="B451" s="32"/>
      <c r="C451" s="32"/>
      <c r="D451" s="33"/>
      <c r="E451" s="32"/>
      <c r="F451" s="32"/>
      <c r="G451" s="32"/>
      <c r="H451" s="32"/>
      <c r="I451" s="32"/>
      <c r="J451" s="33"/>
      <c r="K451" s="32"/>
      <c r="L451" s="35"/>
      <c r="M451" s="32"/>
      <c r="N451" s="37" t="str">
        <f aca="false">IF(OR(C451="",F451="",G451=""),"",MATCH(F451,lst_Likelihood,0)*MATCH(G451,lst_Consequence,0))</f>
        <v/>
      </c>
      <c r="O451" s="37" t="str">
        <f aca="false">IF(N451="","",IF(N451&gt;=16,"Critical",IF(N451&gt;=10,"High",IF(N451&gt;=5,"Medium","Low"))))</f>
        <v/>
      </c>
      <c r="P451" s="37" t="str">
        <f aca="false">IF(OR(C451="",H451="",I451=""),"",MATCH(H451,lst_Likelihood,0)*MATCH(I451,lst_Consequence,0))</f>
        <v/>
      </c>
      <c r="Q451" s="37" t="str">
        <f aca="false">IF(P451="","",IF(P451&gt;=16,"Critical",IF(P451&gt;=10,"High",IF(P451&gt;=5,"Medium","Low"))))</f>
        <v/>
      </c>
      <c r="R451" s="37" t="str">
        <f aca="true">IF(AND(C451&lt;&gt;"",M451&lt;&gt;"Closed",L451&lt;&gt;"",L451&lt;TODAY()),"Overdue","")</f>
        <v/>
      </c>
      <c r="S451" s="40" t="str">
        <f aca="false">IF(AND(N451&lt;&gt;"",B451="Risk",M451&lt;&gt;"Closed"),N451+(1-ROW()/100000),"")</f>
        <v/>
      </c>
      <c r="T451" s="40" t="str">
        <f aca="false">IF(AND(S451&lt;&gt;"",A451='Project Summary'!$C$3),S451,"")</f>
        <v/>
      </c>
    </row>
    <row r="452" customFormat="false" ht="15" hidden="false" customHeight="false" outlineLevel="0" collapsed="false">
      <c r="A452" s="32"/>
      <c r="B452" s="32"/>
      <c r="C452" s="32"/>
      <c r="D452" s="33"/>
      <c r="E452" s="32"/>
      <c r="F452" s="32"/>
      <c r="G452" s="32"/>
      <c r="H452" s="32"/>
      <c r="I452" s="32"/>
      <c r="J452" s="33"/>
      <c r="K452" s="32"/>
      <c r="L452" s="35"/>
      <c r="M452" s="32"/>
      <c r="N452" s="37" t="str">
        <f aca="false">IF(OR(C452="",F452="",G452=""),"",MATCH(F452,lst_Likelihood,0)*MATCH(G452,lst_Consequence,0))</f>
        <v/>
      </c>
      <c r="O452" s="37" t="str">
        <f aca="false">IF(N452="","",IF(N452&gt;=16,"Critical",IF(N452&gt;=10,"High",IF(N452&gt;=5,"Medium","Low"))))</f>
        <v/>
      </c>
      <c r="P452" s="37" t="str">
        <f aca="false">IF(OR(C452="",H452="",I452=""),"",MATCH(H452,lst_Likelihood,0)*MATCH(I452,lst_Consequence,0))</f>
        <v/>
      </c>
      <c r="Q452" s="37" t="str">
        <f aca="false">IF(P452="","",IF(P452&gt;=16,"Critical",IF(P452&gt;=10,"High",IF(P452&gt;=5,"Medium","Low"))))</f>
        <v/>
      </c>
      <c r="R452" s="37" t="str">
        <f aca="true">IF(AND(C452&lt;&gt;"",M452&lt;&gt;"Closed",L452&lt;&gt;"",L452&lt;TODAY()),"Overdue","")</f>
        <v/>
      </c>
      <c r="S452" s="40" t="str">
        <f aca="false">IF(AND(N452&lt;&gt;"",B452="Risk",M452&lt;&gt;"Closed"),N452+(1-ROW()/100000),"")</f>
        <v/>
      </c>
      <c r="T452" s="40" t="str">
        <f aca="false">IF(AND(S452&lt;&gt;"",A452='Project Summary'!$C$3),S452,"")</f>
        <v/>
      </c>
    </row>
    <row r="453" customFormat="false" ht="15" hidden="false" customHeight="false" outlineLevel="0" collapsed="false">
      <c r="A453" s="32"/>
      <c r="B453" s="32"/>
      <c r="C453" s="32"/>
      <c r="D453" s="33"/>
      <c r="E453" s="32"/>
      <c r="F453" s="32"/>
      <c r="G453" s="32"/>
      <c r="H453" s="32"/>
      <c r="I453" s="32"/>
      <c r="J453" s="33"/>
      <c r="K453" s="32"/>
      <c r="L453" s="35"/>
      <c r="M453" s="32"/>
      <c r="N453" s="37" t="str">
        <f aca="false">IF(OR(C453="",F453="",G453=""),"",MATCH(F453,lst_Likelihood,0)*MATCH(G453,lst_Consequence,0))</f>
        <v/>
      </c>
      <c r="O453" s="37" t="str">
        <f aca="false">IF(N453="","",IF(N453&gt;=16,"Critical",IF(N453&gt;=10,"High",IF(N453&gt;=5,"Medium","Low"))))</f>
        <v/>
      </c>
      <c r="P453" s="37" t="str">
        <f aca="false">IF(OR(C453="",H453="",I453=""),"",MATCH(H453,lst_Likelihood,0)*MATCH(I453,lst_Consequence,0))</f>
        <v/>
      </c>
      <c r="Q453" s="37" t="str">
        <f aca="false">IF(P453="","",IF(P453&gt;=16,"Critical",IF(P453&gt;=10,"High",IF(P453&gt;=5,"Medium","Low"))))</f>
        <v/>
      </c>
      <c r="R453" s="37" t="str">
        <f aca="true">IF(AND(C453&lt;&gt;"",M453&lt;&gt;"Closed",L453&lt;&gt;"",L453&lt;TODAY()),"Overdue","")</f>
        <v/>
      </c>
      <c r="S453" s="40" t="str">
        <f aca="false">IF(AND(N453&lt;&gt;"",B453="Risk",M453&lt;&gt;"Closed"),N453+(1-ROW()/100000),"")</f>
        <v/>
      </c>
      <c r="T453" s="40" t="str">
        <f aca="false">IF(AND(S453&lt;&gt;"",A453='Project Summary'!$C$3),S453,"")</f>
        <v/>
      </c>
    </row>
    <row r="454" customFormat="false" ht="15" hidden="false" customHeight="false" outlineLevel="0" collapsed="false">
      <c r="A454" s="32"/>
      <c r="B454" s="32"/>
      <c r="C454" s="32"/>
      <c r="D454" s="33"/>
      <c r="E454" s="32"/>
      <c r="F454" s="32"/>
      <c r="G454" s="32"/>
      <c r="H454" s="32"/>
      <c r="I454" s="32"/>
      <c r="J454" s="33"/>
      <c r="K454" s="32"/>
      <c r="L454" s="35"/>
      <c r="M454" s="32"/>
      <c r="N454" s="37" t="str">
        <f aca="false">IF(OR(C454="",F454="",G454=""),"",MATCH(F454,lst_Likelihood,0)*MATCH(G454,lst_Consequence,0))</f>
        <v/>
      </c>
      <c r="O454" s="37" t="str">
        <f aca="false">IF(N454="","",IF(N454&gt;=16,"Critical",IF(N454&gt;=10,"High",IF(N454&gt;=5,"Medium","Low"))))</f>
        <v/>
      </c>
      <c r="P454" s="37" t="str">
        <f aca="false">IF(OR(C454="",H454="",I454=""),"",MATCH(H454,lst_Likelihood,0)*MATCH(I454,lst_Consequence,0))</f>
        <v/>
      </c>
      <c r="Q454" s="37" t="str">
        <f aca="false">IF(P454="","",IF(P454&gt;=16,"Critical",IF(P454&gt;=10,"High",IF(P454&gt;=5,"Medium","Low"))))</f>
        <v/>
      </c>
      <c r="R454" s="37" t="str">
        <f aca="true">IF(AND(C454&lt;&gt;"",M454&lt;&gt;"Closed",L454&lt;&gt;"",L454&lt;TODAY()),"Overdue","")</f>
        <v/>
      </c>
      <c r="S454" s="40" t="str">
        <f aca="false">IF(AND(N454&lt;&gt;"",B454="Risk",M454&lt;&gt;"Closed"),N454+(1-ROW()/100000),"")</f>
        <v/>
      </c>
      <c r="T454" s="40" t="str">
        <f aca="false">IF(AND(S454&lt;&gt;"",A454='Project Summary'!$C$3),S454,"")</f>
        <v/>
      </c>
    </row>
    <row r="455" customFormat="false" ht="15" hidden="false" customHeight="false" outlineLevel="0" collapsed="false">
      <c r="A455" s="32"/>
      <c r="B455" s="32"/>
      <c r="C455" s="32"/>
      <c r="D455" s="33"/>
      <c r="E455" s="32"/>
      <c r="F455" s="32"/>
      <c r="G455" s="32"/>
      <c r="H455" s="32"/>
      <c r="I455" s="32"/>
      <c r="J455" s="33"/>
      <c r="K455" s="32"/>
      <c r="L455" s="35"/>
      <c r="M455" s="32"/>
      <c r="N455" s="37" t="str">
        <f aca="false">IF(OR(C455="",F455="",G455=""),"",MATCH(F455,lst_Likelihood,0)*MATCH(G455,lst_Consequence,0))</f>
        <v/>
      </c>
      <c r="O455" s="37" t="str">
        <f aca="false">IF(N455="","",IF(N455&gt;=16,"Critical",IF(N455&gt;=10,"High",IF(N455&gt;=5,"Medium","Low"))))</f>
        <v/>
      </c>
      <c r="P455" s="37" t="str">
        <f aca="false">IF(OR(C455="",H455="",I455=""),"",MATCH(H455,lst_Likelihood,0)*MATCH(I455,lst_Consequence,0))</f>
        <v/>
      </c>
      <c r="Q455" s="37" t="str">
        <f aca="false">IF(P455="","",IF(P455&gt;=16,"Critical",IF(P455&gt;=10,"High",IF(P455&gt;=5,"Medium","Low"))))</f>
        <v/>
      </c>
      <c r="R455" s="37" t="str">
        <f aca="true">IF(AND(C455&lt;&gt;"",M455&lt;&gt;"Closed",L455&lt;&gt;"",L455&lt;TODAY()),"Overdue","")</f>
        <v/>
      </c>
      <c r="S455" s="40" t="str">
        <f aca="false">IF(AND(N455&lt;&gt;"",B455="Risk",M455&lt;&gt;"Closed"),N455+(1-ROW()/100000),"")</f>
        <v/>
      </c>
      <c r="T455" s="40" t="str">
        <f aca="false">IF(AND(S455&lt;&gt;"",A455='Project Summary'!$C$3),S455,"")</f>
        <v/>
      </c>
    </row>
    <row r="456" customFormat="false" ht="15" hidden="false" customHeight="false" outlineLevel="0" collapsed="false">
      <c r="A456" s="32"/>
      <c r="B456" s="32"/>
      <c r="C456" s="32"/>
      <c r="D456" s="33"/>
      <c r="E456" s="32"/>
      <c r="F456" s="32"/>
      <c r="G456" s="32"/>
      <c r="H456" s="32"/>
      <c r="I456" s="32"/>
      <c r="J456" s="33"/>
      <c r="K456" s="32"/>
      <c r="L456" s="35"/>
      <c r="M456" s="32"/>
      <c r="N456" s="37" t="str">
        <f aca="false">IF(OR(C456="",F456="",G456=""),"",MATCH(F456,lst_Likelihood,0)*MATCH(G456,lst_Consequence,0))</f>
        <v/>
      </c>
      <c r="O456" s="37" t="str">
        <f aca="false">IF(N456="","",IF(N456&gt;=16,"Critical",IF(N456&gt;=10,"High",IF(N456&gt;=5,"Medium","Low"))))</f>
        <v/>
      </c>
      <c r="P456" s="37" t="str">
        <f aca="false">IF(OR(C456="",H456="",I456=""),"",MATCH(H456,lst_Likelihood,0)*MATCH(I456,lst_Consequence,0))</f>
        <v/>
      </c>
      <c r="Q456" s="37" t="str">
        <f aca="false">IF(P456="","",IF(P456&gt;=16,"Critical",IF(P456&gt;=10,"High",IF(P456&gt;=5,"Medium","Low"))))</f>
        <v/>
      </c>
      <c r="R456" s="37" t="str">
        <f aca="true">IF(AND(C456&lt;&gt;"",M456&lt;&gt;"Closed",L456&lt;&gt;"",L456&lt;TODAY()),"Overdue","")</f>
        <v/>
      </c>
      <c r="S456" s="40" t="str">
        <f aca="false">IF(AND(N456&lt;&gt;"",B456="Risk",M456&lt;&gt;"Closed"),N456+(1-ROW()/100000),"")</f>
        <v/>
      </c>
      <c r="T456" s="40" t="str">
        <f aca="false">IF(AND(S456&lt;&gt;"",A456='Project Summary'!$C$3),S456,"")</f>
        <v/>
      </c>
    </row>
    <row r="457" customFormat="false" ht="15" hidden="false" customHeight="false" outlineLevel="0" collapsed="false">
      <c r="A457" s="32"/>
      <c r="B457" s="32"/>
      <c r="C457" s="32"/>
      <c r="D457" s="33"/>
      <c r="E457" s="32"/>
      <c r="F457" s="32"/>
      <c r="G457" s="32"/>
      <c r="H457" s="32"/>
      <c r="I457" s="32"/>
      <c r="J457" s="33"/>
      <c r="K457" s="32"/>
      <c r="L457" s="35"/>
      <c r="M457" s="32"/>
      <c r="N457" s="37" t="str">
        <f aca="false">IF(OR(C457="",F457="",G457=""),"",MATCH(F457,lst_Likelihood,0)*MATCH(G457,lst_Consequence,0))</f>
        <v/>
      </c>
      <c r="O457" s="37" t="str">
        <f aca="false">IF(N457="","",IF(N457&gt;=16,"Critical",IF(N457&gt;=10,"High",IF(N457&gt;=5,"Medium","Low"))))</f>
        <v/>
      </c>
      <c r="P457" s="37" t="str">
        <f aca="false">IF(OR(C457="",H457="",I457=""),"",MATCH(H457,lst_Likelihood,0)*MATCH(I457,lst_Consequence,0))</f>
        <v/>
      </c>
      <c r="Q457" s="37" t="str">
        <f aca="false">IF(P457="","",IF(P457&gt;=16,"Critical",IF(P457&gt;=10,"High",IF(P457&gt;=5,"Medium","Low"))))</f>
        <v/>
      </c>
      <c r="R457" s="37" t="str">
        <f aca="true">IF(AND(C457&lt;&gt;"",M457&lt;&gt;"Closed",L457&lt;&gt;"",L457&lt;TODAY()),"Overdue","")</f>
        <v/>
      </c>
      <c r="S457" s="40" t="str">
        <f aca="false">IF(AND(N457&lt;&gt;"",B457="Risk",M457&lt;&gt;"Closed"),N457+(1-ROW()/100000),"")</f>
        <v/>
      </c>
      <c r="T457" s="40" t="str">
        <f aca="false">IF(AND(S457&lt;&gt;"",A457='Project Summary'!$C$3),S457,"")</f>
        <v/>
      </c>
    </row>
    <row r="458" customFormat="false" ht="15" hidden="false" customHeight="false" outlineLevel="0" collapsed="false">
      <c r="A458" s="32"/>
      <c r="B458" s="32"/>
      <c r="C458" s="32"/>
      <c r="D458" s="33"/>
      <c r="E458" s="32"/>
      <c r="F458" s="32"/>
      <c r="G458" s="32"/>
      <c r="H458" s="32"/>
      <c r="I458" s="32"/>
      <c r="J458" s="33"/>
      <c r="K458" s="32"/>
      <c r="L458" s="35"/>
      <c r="M458" s="32"/>
      <c r="N458" s="37" t="str">
        <f aca="false">IF(OR(C458="",F458="",G458=""),"",MATCH(F458,lst_Likelihood,0)*MATCH(G458,lst_Consequence,0))</f>
        <v/>
      </c>
      <c r="O458" s="37" t="str">
        <f aca="false">IF(N458="","",IF(N458&gt;=16,"Critical",IF(N458&gt;=10,"High",IF(N458&gt;=5,"Medium","Low"))))</f>
        <v/>
      </c>
      <c r="P458" s="37" t="str">
        <f aca="false">IF(OR(C458="",H458="",I458=""),"",MATCH(H458,lst_Likelihood,0)*MATCH(I458,lst_Consequence,0))</f>
        <v/>
      </c>
      <c r="Q458" s="37" t="str">
        <f aca="false">IF(P458="","",IF(P458&gt;=16,"Critical",IF(P458&gt;=10,"High",IF(P458&gt;=5,"Medium","Low"))))</f>
        <v/>
      </c>
      <c r="R458" s="37" t="str">
        <f aca="true">IF(AND(C458&lt;&gt;"",M458&lt;&gt;"Closed",L458&lt;&gt;"",L458&lt;TODAY()),"Overdue","")</f>
        <v/>
      </c>
      <c r="S458" s="40" t="str">
        <f aca="false">IF(AND(N458&lt;&gt;"",B458="Risk",M458&lt;&gt;"Closed"),N458+(1-ROW()/100000),"")</f>
        <v/>
      </c>
      <c r="T458" s="40" t="str">
        <f aca="false">IF(AND(S458&lt;&gt;"",A458='Project Summary'!$C$3),S458,"")</f>
        <v/>
      </c>
    </row>
    <row r="459" customFormat="false" ht="15" hidden="false" customHeight="false" outlineLevel="0" collapsed="false">
      <c r="A459" s="32"/>
      <c r="B459" s="32"/>
      <c r="C459" s="32"/>
      <c r="D459" s="33"/>
      <c r="E459" s="32"/>
      <c r="F459" s="32"/>
      <c r="G459" s="32"/>
      <c r="H459" s="32"/>
      <c r="I459" s="32"/>
      <c r="J459" s="33"/>
      <c r="K459" s="32"/>
      <c r="L459" s="35"/>
      <c r="M459" s="32"/>
      <c r="N459" s="37" t="str">
        <f aca="false">IF(OR(C459="",F459="",G459=""),"",MATCH(F459,lst_Likelihood,0)*MATCH(G459,lst_Consequence,0))</f>
        <v/>
      </c>
      <c r="O459" s="37" t="str">
        <f aca="false">IF(N459="","",IF(N459&gt;=16,"Critical",IF(N459&gt;=10,"High",IF(N459&gt;=5,"Medium","Low"))))</f>
        <v/>
      </c>
      <c r="P459" s="37" t="str">
        <f aca="false">IF(OR(C459="",H459="",I459=""),"",MATCH(H459,lst_Likelihood,0)*MATCH(I459,lst_Consequence,0))</f>
        <v/>
      </c>
      <c r="Q459" s="37" t="str">
        <f aca="false">IF(P459="","",IF(P459&gt;=16,"Critical",IF(P459&gt;=10,"High",IF(P459&gt;=5,"Medium","Low"))))</f>
        <v/>
      </c>
      <c r="R459" s="37" t="str">
        <f aca="true">IF(AND(C459&lt;&gt;"",M459&lt;&gt;"Closed",L459&lt;&gt;"",L459&lt;TODAY()),"Overdue","")</f>
        <v/>
      </c>
      <c r="S459" s="40" t="str">
        <f aca="false">IF(AND(N459&lt;&gt;"",B459="Risk",M459&lt;&gt;"Closed"),N459+(1-ROW()/100000),"")</f>
        <v/>
      </c>
      <c r="T459" s="40" t="str">
        <f aca="false">IF(AND(S459&lt;&gt;"",A459='Project Summary'!$C$3),S459,"")</f>
        <v/>
      </c>
    </row>
    <row r="460" customFormat="false" ht="15" hidden="false" customHeight="false" outlineLevel="0" collapsed="false">
      <c r="A460" s="32"/>
      <c r="B460" s="32"/>
      <c r="C460" s="32"/>
      <c r="D460" s="33"/>
      <c r="E460" s="32"/>
      <c r="F460" s="32"/>
      <c r="G460" s="32"/>
      <c r="H460" s="32"/>
      <c r="I460" s="32"/>
      <c r="J460" s="33"/>
      <c r="K460" s="32"/>
      <c r="L460" s="35"/>
      <c r="M460" s="32"/>
      <c r="N460" s="37" t="str">
        <f aca="false">IF(OR(C460="",F460="",G460=""),"",MATCH(F460,lst_Likelihood,0)*MATCH(G460,lst_Consequence,0))</f>
        <v/>
      </c>
      <c r="O460" s="37" t="str">
        <f aca="false">IF(N460="","",IF(N460&gt;=16,"Critical",IF(N460&gt;=10,"High",IF(N460&gt;=5,"Medium","Low"))))</f>
        <v/>
      </c>
      <c r="P460" s="37" t="str">
        <f aca="false">IF(OR(C460="",H460="",I460=""),"",MATCH(H460,lst_Likelihood,0)*MATCH(I460,lst_Consequence,0))</f>
        <v/>
      </c>
      <c r="Q460" s="37" t="str">
        <f aca="false">IF(P460="","",IF(P460&gt;=16,"Critical",IF(P460&gt;=10,"High",IF(P460&gt;=5,"Medium","Low"))))</f>
        <v/>
      </c>
      <c r="R460" s="37" t="str">
        <f aca="true">IF(AND(C460&lt;&gt;"",M460&lt;&gt;"Closed",L460&lt;&gt;"",L460&lt;TODAY()),"Overdue","")</f>
        <v/>
      </c>
      <c r="S460" s="40" t="str">
        <f aca="false">IF(AND(N460&lt;&gt;"",B460="Risk",M460&lt;&gt;"Closed"),N460+(1-ROW()/100000),"")</f>
        <v/>
      </c>
      <c r="T460" s="40" t="str">
        <f aca="false">IF(AND(S460&lt;&gt;"",A460='Project Summary'!$C$3),S460,"")</f>
        <v/>
      </c>
    </row>
    <row r="461" customFormat="false" ht="15" hidden="false" customHeight="false" outlineLevel="0" collapsed="false">
      <c r="A461" s="32"/>
      <c r="B461" s="32"/>
      <c r="C461" s="32"/>
      <c r="D461" s="33"/>
      <c r="E461" s="32"/>
      <c r="F461" s="32"/>
      <c r="G461" s="32"/>
      <c r="H461" s="32"/>
      <c r="I461" s="32"/>
      <c r="J461" s="33"/>
      <c r="K461" s="32"/>
      <c r="L461" s="35"/>
      <c r="M461" s="32"/>
      <c r="N461" s="37" t="str">
        <f aca="false">IF(OR(C461="",F461="",G461=""),"",MATCH(F461,lst_Likelihood,0)*MATCH(G461,lst_Consequence,0))</f>
        <v/>
      </c>
      <c r="O461" s="37" t="str">
        <f aca="false">IF(N461="","",IF(N461&gt;=16,"Critical",IF(N461&gt;=10,"High",IF(N461&gt;=5,"Medium","Low"))))</f>
        <v/>
      </c>
      <c r="P461" s="37" t="str">
        <f aca="false">IF(OR(C461="",H461="",I461=""),"",MATCH(H461,lst_Likelihood,0)*MATCH(I461,lst_Consequence,0))</f>
        <v/>
      </c>
      <c r="Q461" s="37" t="str">
        <f aca="false">IF(P461="","",IF(P461&gt;=16,"Critical",IF(P461&gt;=10,"High",IF(P461&gt;=5,"Medium","Low"))))</f>
        <v/>
      </c>
      <c r="R461" s="37" t="str">
        <f aca="true">IF(AND(C461&lt;&gt;"",M461&lt;&gt;"Closed",L461&lt;&gt;"",L461&lt;TODAY()),"Overdue","")</f>
        <v/>
      </c>
      <c r="S461" s="40" t="str">
        <f aca="false">IF(AND(N461&lt;&gt;"",B461="Risk",M461&lt;&gt;"Closed"),N461+(1-ROW()/100000),"")</f>
        <v/>
      </c>
      <c r="T461" s="40" t="str">
        <f aca="false">IF(AND(S461&lt;&gt;"",A461='Project Summary'!$C$3),S461,"")</f>
        <v/>
      </c>
    </row>
    <row r="462" customFormat="false" ht="15" hidden="false" customHeight="false" outlineLevel="0" collapsed="false">
      <c r="A462" s="32"/>
      <c r="B462" s="32"/>
      <c r="C462" s="32"/>
      <c r="D462" s="33"/>
      <c r="E462" s="32"/>
      <c r="F462" s="32"/>
      <c r="G462" s="32"/>
      <c r="H462" s="32"/>
      <c r="I462" s="32"/>
      <c r="J462" s="33"/>
      <c r="K462" s="32"/>
      <c r="L462" s="35"/>
      <c r="M462" s="32"/>
      <c r="N462" s="37" t="str">
        <f aca="false">IF(OR(C462="",F462="",G462=""),"",MATCH(F462,lst_Likelihood,0)*MATCH(G462,lst_Consequence,0))</f>
        <v/>
      </c>
      <c r="O462" s="37" t="str">
        <f aca="false">IF(N462="","",IF(N462&gt;=16,"Critical",IF(N462&gt;=10,"High",IF(N462&gt;=5,"Medium","Low"))))</f>
        <v/>
      </c>
      <c r="P462" s="37" t="str">
        <f aca="false">IF(OR(C462="",H462="",I462=""),"",MATCH(H462,lst_Likelihood,0)*MATCH(I462,lst_Consequence,0))</f>
        <v/>
      </c>
      <c r="Q462" s="37" t="str">
        <f aca="false">IF(P462="","",IF(P462&gt;=16,"Critical",IF(P462&gt;=10,"High",IF(P462&gt;=5,"Medium","Low"))))</f>
        <v/>
      </c>
      <c r="R462" s="37" t="str">
        <f aca="true">IF(AND(C462&lt;&gt;"",M462&lt;&gt;"Closed",L462&lt;&gt;"",L462&lt;TODAY()),"Overdue","")</f>
        <v/>
      </c>
      <c r="S462" s="40" t="str">
        <f aca="false">IF(AND(N462&lt;&gt;"",B462="Risk",M462&lt;&gt;"Closed"),N462+(1-ROW()/100000),"")</f>
        <v/>
      </c>
      <c r="T462" s="40" t="str">
        <f aca="false">IF(AND(S462&lt;&gt;"",A462='Project Summary'!$C$3),S462,"")</f>
        <v/>
      </c>
    </row>
    <row r="463" customFormat="false" ht="15" hidden="false" customHeight="false" outlineLevel="0" collapsed="false">
      <c r="A463" s="32"/>
      <c r="B463" s="32"/>
      <c r="C463" s="32"/>
      <c r="D463" s="33"/>
      <c r="E463" s="32"/>
      <c r="F463" s="32"/>
      <c r="G463" s="32"/>
      <c r="H463" s="32"/>
      <c r="I463" s="32"/>
      <c r="J463" s="33"/>
      <c r="K463" s="32"/>
      <c r="L463" s="35"/>
      <c r="M463" s="32"/>
      <c r="N463" s="37" t="str">
        <f aca="false">IF(OR(C463="",F463="",G463=""),"",MATCH(F463,lst_Likelihood,0)*MATCH(G463,lst_Consequence,0))</f>
        <v/>
      </c>
      <c r="O463" s="37" t="str">
        <f aca="false">IF(N463="","",IF(N463&gt;=16,"Critical",IF(N463&gt;=10,"High",IF(N463&gt;=5,"Medium","Low"))))</f>
        <v/>
      </c>
      <c r="P463" s="37" t="str">
        <f aca="false">IF(OR(C463="",H463="",I463=""),"",MATCH(H463,lst_Likelihood,0)*MATCH(I463,lst_Consequence,0))</f>
        <v/>
      </c>
      <c r="Q463" s="37" t="str">
        <f aca="false">IF(P463="","",IF(P463&gt;=16,"Critical",IF(P463&gt;=10,"High",IF(P463&gt;=5,"Medium","Low"))))</f>
        <v/>
      </c>
      <c r="R463" s="37" t="str">
        <f aca="true">IF(AND(C463&lt;&gt;"",M463&lt;&gt;"Closed",L463&lt;&gt;"",L463&lt;TODAY()),"Overdue","")</f>
        <v/>
      </c>
      <c r="S463" s="40" t="str">
        <f aca="false">IF(AND(N463&lt;&gt;"",B463="Risk",M463&lt;&gt;"Closed"),N463+(1-ROW()/100000),"")</f>
        <v/>
      </c>
      <c r="T463" s="40" t="str">
        <f aca="false">IF(AND(S463&lt;&gt;"",A463='Project Summary'!$C$3),S463,"")</f>
        <v/>
      </c>
    </row>
    <row r="464" customFormat="false" ht="15" hidden="false" customHeight="false" outlineLevel="0" collapsed="false">
      <c r="A464" s="32"/>
      <c r="B464" s="32"/>
      <c r="C464" s="32"/>
      <c r="D464" s="33"/>
      <c r="E464" s="32"/>
      <c r="F464" s="32"/>
      <c r="G464" s="32"/>
      <c r="H464" s="32"/>
      <c r="I464" s="32"/>
      <c r="J464" s="33"/>
      <c r="K464" s="32"/>
      <c r="L464" s="35"/>
      <c r="M464" s="32"/>
      <c r="N464" s="37" t="str">
        <f aca="false">IF(OR(C464="",F464="",G464=""),"",MATCH(F464,lst_Likelihood,0)*MATCH(G464,lst_Consequence,0))</f>
        <v/>
      </c>
      <c r="O464" s="37" t="str">
        <f aca="false">IF(N464="","",IF(N464&gt;=16,"Critical",IF(N464&gt;=10,"High",IF(N464&gt;=5,"Medium","Low"))))</f>
        <v/>
      </c>
      <c r="P464" s="37" t="str">
        <f aca="false">IF(OR(C464="",H464="",I464=""),"",MATCH(H464,lst_Likelihood,0)*MATCH(I464,lst_Consequence,0))</f>
        <v/>
      </c>
      <c r="Q464" s="37" t="str">
        <f aca="false">IF(P464="","",IF(P464&gt;=16,"Critical",IF(P464&gt;=10,"High",IF(P464&gt;=5,"Medium","Low"))))</f>
        <v/>
      </c>
      <c r="R464" s="37" t="str">
        <f aca="true">IF(AND(C464&lt;&gt;"",M464&lt;&gt;"Closed",L464&lt;&gt;"",L464&lt;TODAY()),"Overdue","")</f>
        <v/>
      </c>
      <c r="S464" s="40" t="str">
        <f aca="false">IF(AND(N464&lt;&gt;"",B464="Risk",M464&lt;&gt;"Closed"),N464+(1-ROW()/100000),"")</f>
        <v/>
      </c>
      <c r="T464" s="40" t="str">
        <f aca="false">IF(AND(S464&lt;&gt;"",A464='Project Summary'!$C$3),S464,"")</f>
        <v/>
      </c>
    </row>
    <row r="465" customFormat="false" ht="15" hidden="false" customHeight="false" outlineLevel="0" collapsed="false">
      <c r="A465" s="32"/>
      <c r="B465" s="32"/>
      <c r="C465" s="32"/>
      <c r="D465" s="33"/>
      <c r="E465" s="32"/>
      <c r="F465" s="32"/>
      <c r="G465" s="32"/>
      <c r="H465" s="32"/>
      <c r="I465" s="32"/>
      <c r="J465" s="33"/>
      <c r="K465" s="32"/>
      <c r="L465" s="35"/>
      <c r="M465" s="32"/>
      <c r="N465" s="37" t="str">
        <f aca="false">IF(OR(C465="",F465="",G465=""),"",MATCH(F465,lst_Likelihood,0)*MATCH(G465,lst_Consequence,0))</f>
        <v/>
      </c>
      <c r="O465" s="37" t="str">
        <f aca="false">IF(N465="","",IF(N465&gt;=16,"Critical",IF(N465&gt;=10,"High",IF(N465&gt;=5,"Medium","Low"))))</f>
        <v/>
      </c>
      <c r="P465" s="37" t="str">
        <f aca="false">IF(OR(C465="",H465="",I465=""),"",MATCH(H465,lst_Likelihood,0)*MATCH(I465,lst_Consequence,0))</f>
        <v/>
      </c>
      <c r="Q465" s="37" t="str">
        <f aca="false">IF(P465="","",IF(P465&gt;=16,"Critical",IF(P465&gt;=10,"High",IF(P465&gt;=5,"Medium","Low"))))</f>
        <v/>
      </c>
      <c r="R465" s="37" t="str">
        <f aca="true">IF(AND(C465&lt;&gt;"",M465&lt;&gt;"Closed",L465&lt;&gt;"",L465&lt;TODAY()),"Overdue","")</f>
        <v/>
      </c>
      <c r="S465" s="40" t="str">
        <f aca="false">IF(AND(N465&lt;&gt;"",B465="Risk",M465&lt;&gt;"Closed"),N465+(1-ROW()/100000),"")</f>
        <v/>
      </c>
      <c r="T465" s="40" t="str">
        <f aca="false">IF(AND(S465&lt;&gt;"",A465='Project Summary'!$C$3),S465,"")</f>
        <v/>
      </c>
    </row>
    <row r="466" customFormat="false" ht="15" hidden="false" customHeight="false" outlineLevel="0" collapsed="false">
      <c r="A466" s="32"/>
      <c r="B466" s="32"/>
      <c r="C466" s="32"/>
      <c r="D466" s="33"/>
      <c r="E466" s="32"/>
      <c r="F466" s="32"/>
      <c r="G466" s="32"/>
      <c r="H466" s="32"/>
      <c r="I466" s="32"/>
      <c r="J466" s="33"/>
      <c r="K466" s="32"/>
      <c r="L466" s="35"/>
      <c r="M466" s="32"/>
      <c r="N466" s="37" t="str">
        <f aca="false">IF(OR(C466="",F466="",G466=""),"",MATCH(F466,lst_Likelihood,0)*MATCH(G466,lst_Consequence,0))</f>
        <v/>
      </c>
      <c r="O466" s="37" t="str">
        <f aca="false">IF(N466="","",IF(N466&gt;=16,"Critical",IF(N466&gt;=10,"High",IF(N466&gt;=5,"Medium","Low"))))</f>
        <v/>
      </c>
      <c r="P466" s="37" t="str">
        <f aca="false">IF(OR(C466="",H466="",I466=""),"",MATCH(H466,lst_Likelihood,0)*MATCH(I466,lst_Consequence,0))</f>
        <v/>
      </c>
      <c r="Q466" s="37" t="str">
        <f aca="false">IF(P466="","",IF(P466&gt;=16,"Critical",IF(P466&gt;=10,"High",IF(P466&gt;=5,"Medium","Low"))))</f>
        <v/>
      </c>
      <c r="R466" s="37" t="str">
        <f aca="true">IF(AND(C466&lt;&gt;"",M466&lt;&gt;"Closed",L466&lt;&gt;"",L466&lt;TODAY()),"Overdue","")</f>
        <v/>
      </c>
      <c r="S466" s="40" t="str">
        <f aca="false">IF(AND(N466&lt;&gt;"",B466="Risk",M466&lt;&gt;"Closed"),N466+(1-ROW()/100000),"")</f>
        <v/>
      </c>
      <c r="T466" s="40" t="str">
        <f aca="false">IF(AND(S466&lt;&gt;"",A466='Project Summary'!$C$3),S466,"")</f>
        <v/>
      </c>
    </row>
    <row r="467" customFormat="false" ht="15" hidden="false" customHeight="false" outlineLevel="0" collapsed="false">
      <c r="A467" s="32"/>
      <c r="B467" s="32"/>
      <c r="C467" s="32"/>
      <c r="D467" s="33"/>
      <c r="E467" s="32"/>
      <c r="F467" s="32"/>
      <c r="G467" s="32"/>
      <c r="H467" s="32"/>
      <c r="I467" s="32"/>
      <c r="J467" s="33"/>
      <c r="K467" s="32"/>
      <c r="L467" s="35"/>
      <c r="M467" s="32"/>
      <c r="N467" s="37" t="str">
        <f aca="false">IF(OR(C467="",F467="",G467=""),"",MATCH(F467,lst_Likelihood,0)*MATCH(G467,lst_Consequence,0))</f>
        <v/>
      </c>
      <c r="O467" s="37" t="str">
        <f aca="false">IF(N467="","",IF(N467&gt;=16,"Critical",IF(N467&gt;=10,"High",IF(N467&gt;=5,"Medium","Low"))))</f>
        <v/>
      </c>
      <c r="P467" s="37" t="str">
        <f aca="false">IF(OR(C467="",H467="",I467=""),"",MATCH(H467,lst_Likelihood,0)*MATCH(I467,lst_Consequence,0))</f>
        <v/>
      </c>
      <c r="Q467" s="37" t="str">
        <f aca="false">IF(P467="","",IF(P467&gt;=16,"Critical",IF(P467&gt;=10,"High",IF(P467&gt;=5,"Medium","Low"))))</f>
        <v/>
      </c>
      <c r="R467" s="37" t="str">
        <f aca="true">IF(AND(C467&lt;&gt;"",M467&lt;&gt;"Closed",L467&lt;&gt;"",L467&lt;TODAY()),"Overdue","")</f>
        <v/>
      </c>
      <c r="S467" s="40" t="str">
        <f aca="false">IF(AND(N467&lt;&gt;"",B467="Risk",M467&lt;&gt;"Closed"),N467+(1-ROW()/100000),"")</f>
        <v/>
      </c>
      <c r="T467" s="40" t="str">
        <f aca="false">IF(AND(S467&lt;&gt;"",A467='Project Summary'!$C$3),S467,"")</f>
        <v/>
      </c>
    </row>
    <row r="468" customFormat="false" ht="15" hidden="false" customHeight="false" outlineLevel="0" collapsed="false">
      <c r="A468" s="32"/>
      <c r="B468" s="32"/>
      <c r="C468" s="32"/>
      <c r="D468" s="33"/>
      <c r="E468" s="32"/>
      <c r="F468" s="32"/>
      <c r="G468" s="32"/>
      <c r="H468" s="32"/>
      <c r="I468" s="32"/>
      <c r="J468" s="33"/>
      <c r="K468" s="32"/>
      <c r="L468" s="35"/>
      <c r="M468" s="32"/>
      <c r="N468" s="37" t="str">
        <f aca="false">IF(OR(C468="",F468="",G468=""),"",MATCH(F468,lst_Likelihood,0)*MATCH(G468,lst_Consequence,0))</f>
        <v/>
      </c>
      <c r="O468" s="37" t="str">
        <f aca="false">IF(N468="","",IF(N468&gt;=16,"Critical",IF(N468&gt;=10,"High",IF(N468&gt;=5,"Medium","Low"))))</f>
        <v/>
      </c>
      <c r="P468" s="37" t="str">
        <f aca="false">IF(OR(C468="",H468="",I468=""),"",MATCH(H468,lst_Likelihood,0)*MATCH(I468,lst_Consequence,0))</f>
        <v/>
      </c>
      <c r="Q468" s="37" t="str">
        <f aca="false">IF(P468="","",IF(P468&gt;=16,"Critical",IF(P468&gt;=10,"High",IF(P468&gt;=5,"Medium","Low"))))</f>
        <v/>
      </c>
      <c r="R468" s="37" t="str">
        <f aca="true">IF(AND(C468&lt;&gt;"",M468&lt;&gt;"Closed",L468&lt;&gt;"",L468&lt;TODAY()),"Overdue","")</f>
        <v/>
      </c>
      <c r="S468" s="40" t="str">
        <f aca="false">IF(AND(N468&lt;&gt;"",B468="Risk",M468&lt;&gt;"Closed"),N468+(1-ROW()/100000),"")</f>
        <v/>
      </c>
      <c r="T468" s="40" t="str">
        <f aca="false">IF(AND(S468&lt;&gt;"",A468='Project Summary'!$C$3),S468,"")</f>
        <v/>
      </c>
    </row>
    <row r="469" customFormat="false" ht="15" hidden="false" customHeight="false" outlineLevel="0" collapsed="false">
      <c r="A469" s="32"/>
      <c r="B469" s="32"/>
      <c r="C469" s="32"/>
      <c r="D469" s="33"/>
      <c r="E469" s="32"/>
      <c r="F469" s="32"/>
      <c r="G469" s="32"/>
      <c r="H469" s="32"/>
      <c r="I469" s="32"/>
      <c r="J469" s="33"/>
      <c r="K469" s="32"/>
      <c r="L469" s="35"/>
      <c r="M469" s="32"/>
      <c r="N469" s="37" t="str">
        <f aca="false">IF(OR(C469="",F469="",G469=""),"",MATCH(F469,lst_Likelihood,0)*MATCH(G469,lst_Consequence,0))</f>
        <v/>
      </c>
      <c r="O469" s="37" t="str">
        <f aca="false">IF(N469="","",IF(N469&gt;=16,"Critical",IF(N469&gt;=10,"High",IF(N469&gt;=5,"Medium","Low"))))</f>
        <v/>
      </c>
      <c r="P469" s="37" t="str">
        <f aca="false">IF(OR(C469="",H469="",I469=""),"",MATCH(H469,lst_Likelihood,0)*MATCH(I469,lst_Consequence,0))</f>
        <v/>
      </c>
      <c r="Q469" s="37" t="str">
        <f aca="false">IF(P469="","",IF(P469&gt;=16,"Critical",IF(P469&gt;=10,"High",IF(P469&gt;=5,"Medium","Low"))))</f>
        <v/>
      </c>
      <c r="R469" s="37" t="str">
        <f aca="true">IF(AND(C469&lt;&gt;"",M469&lt;&gt;"Closed",L469&lt;&gt;"",L469&lt;TODAY()),"Overdue","")</f>
        <v/>
      </c>
      <c r="S469" s="40" t="str">
        <f aca="false">IF(AND(N469&lt;&gt;"",B469="Risk",M469&lt;&gt;"Closed"),N469+(1-ROW()/100000),"")</f>
        <v/>
      </c>
      <c r="T469" s="40" t="str">
        <f aca="false">IF(AND(S469&lt;&gt;"",A469='Project Summary'!$C$3),S469,"")</f>
        <v/>
      </c>
    </row>
    <row r="470" customFormat="false" ht="15" hidden="false" customHeight="false" outlineLevel="0" collapsed="false">
      <c r="A470" s="32"/>
      <c r="B470" s="32"/>
      <c r="C470" s="32"/>
      <c r="D470" s="33"/>
      <c r="E470" s="32"/>
      <c r="F470" s="32"/>
      <c r="G470" s="32"/>
      <c r="H470" s="32"/>
      <c r="I470" s="32"/>
      <c r="J470" s="33"/>
      <c r="K470" s="32"/>
      <c r="L470" s="35"/>
      <c r="M470" s="32"/>
      <c r="N470" s="37" t="str">
        <f aca="false">IF(OR(C470="",F470="",G470=""),"",MATCH(F470,lst_Likelihood,0)*MATCH(G470,lst_Consequence,0))</f>
        <v/>
      </c>
      <c r="O470" s="37" t="str">
        <f aca="false">IF(N470="","",IF(N470&gt;=16,"Critical",IF(N470&gt;=10,"High",IF(N470&gt;=5,"Medium","Low"))))</f>
        <v/>
      </c>
      <c r="P470" s="37" t="str">
        <f aca="false">IF(OR(C470="",H470="",I470=""),"",MATCH(H470,lst_Likelihood,0)*MATCH(I470,lst_Consequence,0))</f>
        <v/>
      </c>
      <c r="Q470" s="37" t="str">
        <f aca="false">IF(P470="","",IF(P470&gt;=16,"Critical",IF(P470&gt;=10,"High",IF(P470&gt;=5,"Medium","Low"))))</f>
        <v/>
      </c>
      <c r="R470" s="37" t="str">
        <f aca="true">IF(AND(C470&lt;&gt;"",M470&lt;&gt;"Closed",L470&lt;&gt;"",L470&lt;TODAY()),"Overdue","")</f>
        <v/>
      </c>
      <c r="S470" s="40" t="str">
        <f aca="false">IF(AND(N470&lt;&gt;"",B470="Risk",M470&lt;&gt;"Closed"),N470+(1-ROW()/100000),"")</f>
        <v/>
      </c>
      <c r="T470" s="40" t="str">
        <f aca="false">IF(AND(S470&lt;&gt;"",A470='Project Summary'!$C$3),S470,"")</f>
        <v/>
      </c>
    </row>
    <row r="471" customFormat="false" ht="15" hidden="false" customHeight="false" outlineLevel="0" collapsed="false">
      <c r="A471" s="32"/>
      <c r="B471" s="32"/>
      <c r="C471" s="32"/>
      <c r="D471" s="33"/>
      <c r="E471" s="32"/>
      <c r="F471" s="32"/>
      <c r="G471" s="32"/>
      <c r="H471" s="32"/>
      <c r="I471" s="32"/>
      <c r="J471" s="33"/>
      <c r="K471" s="32"/>
      <c r="L471" s="35"/>
      <c r="M471" s="32"/>
      <c r="N471" s="37" t="str">
        <f aca="false">IF(OR(C471="",F471="",G471=""),"",MATCH(F471,lst_Likelihood,0)*MATCH(G471,lst_Consequence,0))</f>
        <v/>
      </c>
      <c r="O471" s="37" t="str">
        <f aca="false">IF(N471="","",IF(N471&gt;=16,"Critical",IF(N471&gt;=10,"High",IF(N471&gt;=5,"Medium","Low"))))</f>
        <v/>
      </c>
      <c r="P471" s="37" t="str">
        <f aca="false">IF(OR(C471="",H471="",I471=""),"",MATCH(H471,lst_Likelihood,0)*MATCH(I471,lst_Consequence,0))</f>
        <v/>
      </c>
      <c r="Q471" s="37" t="str">
        <f aca="false">IF(P471="","",IF(P471&gt;=16,"Critical",IF(P471&gt;=10,"High",IF(P471&gt;=5,"Medium","Low"))))</f>
        <v/>
      </c>
      <c r="R471" s="37" t="str">
        <f aca="true">IF(AND(C471&lt;&gt;"",M471&lt;&gt;"Closed",L471&lt;&gt;"",L471&lt;TODAY()),"Overdue","")</f>
        <v/>
      </c>
      <c r="S471" s="40" t="str">
        <f aca="false">IF(AND(N471&lt;&gt;"",B471="Risk",M471&lt;&gt;"Closed"),N471+(1-ROW()/100000),"")</f>
        <v/>
      </c>
      <c r="T471" s="40" t="str">
        <f aca="false">IF(AND(S471&lt;&gt;"",A471='Project Summary'!$C$3),S471,"")</f>
        <v/>
      </c>
    </row>
    <row r="472" customFormat="false" ht="15" hidden="false" customHeight="false" outlineLevel="0" collapsed="false">
      <c r="A472" s="32"/>
      <c r="B472" s="32"/>
      <c r="C472" s="32"/>
      <c r="D472" s="33"/>
      <c r="E472" s="32"/>
      <c r="F472" s="32"/>
      <c r="G472" s="32"/>
      <c r="H472" s="32"/>
      <c r="I472" s="32"/>
      <c r="J472" s="33"/>
      <c r="K472" s="32"/>
      <c r="L472" s="35"/>
      <c r="M472" s="32"/>
      <c r="N472" s="37" t="str">
        <f aca="false">IF(OR(C472="",F472="",G472=""),"",MATCH(F472,lst_Likelihood,0)*MATCH(G472,lst_Consequence,0))</f>
        <v/>
      </c>
      <c r="O472" s="37" t="str">
        <f aca="false">IF(N472="","",IF(N472&gt;=16,"Critical",IF(N472&gt;=10,"High",IF(N472&gt;=5,"Medium","Low"))))</f>
        <v/>
      </c>
      <c r="P472" s="37" t="str">
        <f aca="false">IF(OR(C472="",H472="",I472=""),"",MATCH(H472,lst_Likelihood,0)*MATCH(I472,lst_Consequence,0))</f>
        <v/>
      </c>
      <c r="Q472" s="37" t="str">
        <f aca="false">IF(P472="","",IF(P472&gt;=16,"Critical",IF(P472&gt;=10,"High",IF(P472&gt;=5,"Medium","Low"))))</f>
        <v/>
      </c>
      <c r="R472" s="37" t="str">
        <f aca="true">IF(AND(C472&lt;&gt;"",M472&lt;&gt;"Closed",L472&lt;&gt;"",L472&lt;TODAY()),"Overdue","")</f>
        <v/>
      </c>
      <c r="S472" s="40" t="str">
        <f aca="false">IF(AND(N472&lt;&gt;"",B472="Risk",M472&lt;&gt;"Closed"),N472+(1-ROW()/100000),"")</f>
        <v/>
      </c>
      <c r="T472" s="40" t="str">
        <f aca="false">IF(AND(S472&lt;&gt;"",A472='Project Summary'!$C$3),S472,"")</f>
        <v/>
      </c>
    </row>
    <row r="473" customFormat="false" ht="15" hidden="false" customHeight="false" outlineLevel="0" collapsed="false">
      <c r="A473" s="32"/>
      <c r="B473" s="32"/>
      <c r="C473" s="32"/>
      <c r="D473" s="33"/>
      <c r="E473" s="32"/>
      <c r="F473" s="32"/>
      <c r="G473" s="32"/>
      <c r="H473" s="32"/>
      <c r="I473" s="32"/>
      <c r="J473" s="33"/>
      <c r="K473" s="32"/>
      <c r="L473" s="35"/>
      <c r="M473" s="32"/>
      <c r="N473" s="37" t="str">
        <f aca="false">IF(OR(C473="",F473="",G473=""),"",MATCH(F473,lst_Likelihood,0)*MATCH(G473,lst_Consequence,0))</f>
        <v/>
      </c>
      <c r="O473" s="37" t="str">
        <f aca="false">IF(N473="","",IF(N473&gt;=16,"Critical",IF(N473&gt;=10,"High",IF(N473&gt;=5,"Medium","Low"))))</f>
        <v/>
      </c>
      <c r="P473" s="37" t="str">
        <f aca="false">IF(OR(C473="",H473="",I473=""),"",MATCH(H473,lst_Likelihood,0)*MATCH(I473,lst_Consequence,0))</f>
        <v/>
      </c>
      <c r="Q473" s="37" t="str">
        <f aca="false">IF(P473="","",IF(P473&gt;=16,"Critical",IF(P473&gt;=10,"High",IF(P473&gt;=5,"Medium","Low"))))</f>
        <v/>
      </c>
      <c r="R473" s="37" t="str">
        <f aca="true">IF(AND(C473&lt;&gt;"",M473&lt;&gt;"Closed",L473&lt;&gt;"",L473&lt;TODAY()),"Overdue","")</f>
        <v/>
      </c>
      <c r="S473" s="40" t="str">
        <f aca="false">IF(AND(N473&lt;&gt;"",B473="Risk",M473&lt;&gt;"Closed"),N473+(1-ROW()/100000),"")</f>
        <v/>
      </c>
      <c r="T473" s="40" t="str">
        <f aca="false">IF(AND(S473&lt;&gt;"",A473='Project Summary'!$C$3),S473,"")</f>
        <v/>
      </c>
    </row>
    <row r="474" customFormat="false" ht="15" hidden="false" customHeight="false" outlineLevel="0" collapsed="false">
      <c r="A474" s="32"/>
      <c r="B474" s="32"/>
      <c r="C474" s="32"/>
      <c r="D474" s="33"/>
      <c r="E474" s="32"/>
      <c r="F474" s="32"/>
      <c r="G474" s="32"/>
      <c r="H474" s="32"/>
      <c r="I474" s="32"/>
      <c r="J474" s="33"/>
      <c r="K474" s="32"/>
      <c r="L474" s="35"/>
      <c r="M474" s="32"/>
      <c r="N474" s="37" t="str">
        <f aca="false">IF(OR(C474="",F474="",G474=""),"",MATCH(F474,lst_Likelihood,0)*MATCH(G474,lst_Consequence,0))</f>
        <v/>
      </c>
      <c r="O474" s="37" t="str">
        <f aca="false">IF(N474="","",IF(N474&gt;=16,"Critical",IF(N474&gt;=10,"High",IF(N474&gt;=5,"Medium","Low"))))</f>
        <v/>
      </c>
      <c r="P474" s="37" t="str">
        <f aca="false">IF(OR(C474="",H474="",I474=""),"",MATCH(H474,lst_Likelihood,0)*MATCH(I474,lst_Consequence,0))</f>
        <v/>
      </c>
      <c r="Q474" s="37" t="str">
        <f aca="false">IF(P474="","",IF(P474&gt;=16,"Critical",IF(P474&gt;=10,"High",IF(P474&gt;=5,"Medium","Low"))))</f>
        <v/>
      </c>
      <c r="R474" s="37" t="str">
        <f aca="true">IF(AND(C474&lt;&gt;"",M474&lt;&gt;"Closed",L474&lt;&gt;"",L474&lt;TODAY()),"Overdue","")</f>
        <v/>
      </c>
      <c r="S474" s="40" t="str">
        <f aca="false">IF(AND(N474&lt;&gt;"",B474="Risk",M474&lt;&gt;"Closed"),N474+(1-ROW()/100000),"")</f>
        <v/>
      </c>
      <c r="T474" s="40" t="str">
        <f aca="false">IF(AND(S474&lt;&gt;"",A474='Project Summary'!$C$3),S474,"")</f>
        <v/>
      </c>
    </row>
    <row r="475" customFormat="false" ht="15" hidden="false" customHeight="false" outlineLevel="0" collapsed="false">
      <c r="A475" s="32"/>
      <c r="B475" s="32"/>
      <c r="C475" s="32"/>
      <c r="D475" s="33"/>
      <c r="E475" s="32"/>
      <c r="F475" s="32"/>
      <c r="G475" s="32"/>
      <c r="H475" s="32"/>
      <c r="I475" s="32"/>
      <c r="J475" s="33"/>
      <c r="K475" s="32"/>
      <c r="L475" s="35"/>
      <c r="M475" s="32"/>
      <c r="N475" s="37" t="str">
        <f aca="false">IF(OR(C475="",F475="",G475=""),"",MATCH(F475,lst_Likelihood,0)*MATCH(G475,lst_Consequence,0))</f>
        <v/>
      </c>
      <c r="O475" s="37" t="str">
        <f aca="false">IF(N475="","",IF(N475&gt;=16,"Critical",IF(N475&gt;=10,"High",IF(N475&gt;=5,"Medium","Low"))))</f>
        <v/>
      </c>
      <c r="P475" s="37" t="str">
        <f aca="false">IF(OR(C475="",H475="",I475=""),"",MATCH(H475,lst_Likelihood,0)*MATCH(I475,lst_Consequence,0))</f>
        <v/>
      </c>
      <c r="Q475" s="37" t="str">
        <f aca="false">IF(P475="","",IF(P475&gt;=16,"Critical",IF(P475&gt;=10,"High",IF(P475&gt;=5,"Medium","Low"))))</f>
        <v/>
      </c>
      <c r="R475" s="37" t="str">
        <f aca="true">IF(AND(C475&lt;&gt;"",M475&lt;&gt;"Closed",L475&lt;&gt;"",L475&lt;TODAY()),"Overdue","")</f>
        <v/>
      </c>
      <c r="S475" s="40" t="str">
        <f aca="false">IF(AND(N475&lt;&gt;"",B475="Risk",M475&lt;&gt;"Closed"),N475+(1-ROW()/100000),"")</f>
        <v/>
      </c>
      <c r="T475" s="40" t="str">
        <f aca="false">IF(AND(S475&lt;&gt;"",A475='Project Summary'!$C$3),S475,"")</f>
        <v/>
      </c>
    </row>
    <row r="476" customFormat="false" ht="15" hidden="false" customHeight="false" outlineLevel="0" collapsed="false">
      <c r="A476" s="32"/>
      <c r="B476" s="32"/>
      <c r="C476" s="32"/>
      <c r="D476" s="33"/>
      <c r="E476" s="32"/>
      <c r="F476" s="32"/>
      <c r="G476" s="32"/>
      <c r="H476" s="32"/>
      <c r="I476" s="32"/>
      <c r="J476" s="33"/>
      <c r="K476" s="32"/>
      <c r="L476" s="35"/>
      <c r="M476" s="32"/>
      <c r="N476" s="37" t="str">
        <f aca="false">IF(OR(C476="",F476="",G476=""),"",MATCH(F476,lst_Likelihood,0)*MATCH(G476,lst_Consequence,0))</f>
        <v/>
      </c>
      <c r="O476" s="37" t="str">
        <f aca="false">IF(N476="","",IF(N476&gt;=16,"Critical",IF(N476&gt;=10,"High",IF(N476&gt;=5,"Medium","Low"))))</f>
        <v/>
      </c>
      <c r="P476" s="37" t="str">
        <f aca="false">IF(OR(C476="",H476="",I476=""),"",MATCH(H476,lst_Likelihood,0)*MATCH(I476,lst_Consequence,0))</f>
        <v/>
      </c>
      <c r="Q476" s="37" t="str">
        <f aca="false">IF(P476="","",IF(P476&gt;=16,"Critical",IF(P476&gt;=10,"High",IF(P476&gt;=5,"Medium","Low"))))</f>
        <v/>
      </c>
      <c r="R476" s="37" t="str">
        <f aca="true">IF(AND(C476&lt;&gt;"",M476&lt;&gt;"Closed",L476&lt;&gt;"",L476&lt;TODAY()),"Overdue","")</f>
        <v/>
      </c>
      <c r="S476" s="40" t="str">
        <f aca="false">IF(AND(N476&lt;&gt;"",B476="Risk",M476&lt;&gt;"Closed"),N476+(1-ROW()/100000),"")</f>
        <v/>
      </c>
      <c r="T476" s="40" t="str">
        <f aca="false">IF(AND(S476&lt;&gt;"",A476='Project Summary'!$C$3),S476,"")</f>
        <v/>
      </c>
    </row>
    <row r="477" customFormat="false" ht="15" hidden="false" customHeight="false" outlineLevel="0" collapsed="false">
      <c r="A477" s="32"/>
      <c r="B477" s="32"/>
      <c r="C477" s="32"/>
      <c r="D477" s="33"/>
      <c r="E477" s="32"/>
      <c r="F477" s="32"/>
      <c r="G477" s="32"/>
      <c r="H477" s="32"/>
      <c r="I477" s="32"/>
      <c r="J477" s="33"/>
      <c r="K477" s="32"/>
      <c r="L477" s="35"/>
      <c r="M477" s="32"/>
      <c r="N477" s="37" t="str">
        <f aca="false">IF(OR(C477="",F477="",G477=""),"",MATCH(F477,lst_Likelihood,0)*MATCH(G477,lst_Consequence,0))</f>
        <v/>
      </c>
      <c r="O477" s="37" t="str">
        <f aca="false">IF(N477="","",IF(N477&gt;=16,"Critical",IF(N477&gt;=10,"High",IF(N477&gt;=5,"Medium","Low"))))</f>
        <v/>
      </c>
      <c r="P477" s="37" t="str">
        <f aca="false">IF(OR(C477="",H477="",I477=""),"",MATCH(H477,lst_Likelihood,0)*MATCH(I477,lst_Consequence,0))</f>
        <v/>
      </c>
      <c r="Q477" s="37" t="str">
        <f aca="false">IF(P477="","",IF(P477&gt;=16,"Critical",IF(P477&gt;=10,"High",IF(P477&gt;=5,"Medium","Low"))))</f>
        <v/>
      </c>
      <c r="R477" s="37" t="str">
        <f aca="true">IF(AND(C477&lt;&gt;"",M477&lt;&gt;"Closed",L477&lt;&gt;"",L477&lt;TODAY()),"Overdue","")</f>
        <v/>
      </c>
      <c r="S477" s="40" t="str">
        <f aca="false">IF(AND(N477&lt;&gt;"",B477="Risk",M477&lt;&gt;"Closed"),N477+(1-ROW()/100000),"")</f>
        <v/>
      </c>
      <c r="T477" s="40" t="str">
        <f aca="false">IF(AND(S477&lt;&gt;"",A477='Project Summary'!$C$3),S477,"")</f>
        <v/>
      </c>
    </row>
    <row r="478" customFormat="false" ht="15" hidden="false" customHeight="false" outlineLevel="0" collapsed="false">
      <c r="A478" s="32"/>
      <c r="B478" s="32"/>
      <c r="C478" s="32"/>
      <c r="D478" s="33"/>
      <c r="E478" s="32"/>
      <c r="F478" s="32"/>
      <c r="G478" s="32"/>
      <c r="H478" s="32"/>
      <c r="I478" s="32"/>
      <c r="J478" s="33"/>
      <c r="K478" s="32"/>
      <c r="L478" s="35"/>
      <c r="M478" s="32"/>
      <c r="N478" s="37" t="str">
        <f aca="false">IF(OR(C478="",F478="",G478=""),"",MATCH(F478,lst_Likelihood,0)*MATCH(G478,lst_Consequence,0))</f>
        <v/>
      </c>
      <c r="O478" s="37" t="str">
        <f aca="false">IF(N478="","",IF(N478&gt;=16,"Critical",IF(N478&gt;=10,"High",IF(N478&gt;=5,"Medium","Low"))))</f>
        <v/>
      </c>
      <c r="P478" s="37" t="str">
        <f aca="false">IF(OR(C478="",H478="",I478=""),"",MATCH(H478,lst_Likelihood,0)*MATCH(I478,lst_Consequence,0))</f>
        <v/>
      </c>
      <c r="Q478" s="37" t="str">
        <f aca="false">IF(P478="","",IF(P478&gt;=16,"Critical",IF(P478&gt;=10,"High",IF(P478&gt;=5,"Medium","Low"))))</f>
        <v/>
      </c>
      <c r="R478" s="37" t="str">
        <f aca="true">IF(AND(C478&lt;&gt;"",M478&lt;&gt;"Closed",L478&lt;&gt;"",L478&lt;TODAY()),"Overdue","")</f>
        <v/>
      </c>
      <c r="S478" s="40" t="str">
        <f aca="false">IF(AND(N478&lt;&gt;"",B478="Risk",M478&lt;&gt;"Closed"),N478+(1-ROW()/100000),"")</f>
        <v/>
      </c>
      <c r="T478" s="40" t="str">
        <f aca="false">IF(AND(S478&lt;&gt;"",A478='Project Summary'!$C$3),S478,"")</f>
        <v/>
      </c>
    </row>
    <row r="479" customFormat="false" ht="15" hidden="false" customHeight="false" outlineLevel="0" collapsed="false">
      <c r="A479" s="32"/>
      <c r="B479" s="32"/>
      <c r="C479" s="32"/>
      <c r="D479" s="33"/>
      <c r="E479" s="32"/>
      <c r="F479" s="32"/>
      <c r="G479" s="32"/>
      <c r="H479" s="32"/>
      <c r="I479" s="32"/>
      <c r="J479" s="33"/>
      <c r="K479" s="32"/>
      <c r="L479" s="35"/>
      <c r="M479" s="32"/>
      <c r="N479" s="37" t="str">
        <f aca="false">IF(OR(C479="",F479="",G479=""),"",MATCH(F479,lst_Likelihood,0)*MATCH(G479,lst_Consequence,0))</f>
        <v/>
      </c>
      <c r="O479" s="37" t="str">
        <f aca="false">IF(N479="","",IF(N479&gt;=16,"Critical",IF(N479&gt;=10,"High",IF(N479&gt;=5,"Medium","Low"))))</f>
        <v/>
      </c>
      <c r="P479" s="37" t="str">
        <f aca="false">IF(OR(C479="",H479="",I479=""),"",MATCH(H479,lst_Likelihood,0)*MATCH(I479,lst_Consequence,0))</f>
        <v/>
      </c>
      <c r="Q479" s="37" t="str">
        <f aca="false">IF(P479="","",IF(P479&gt;=16,"Critical",IF(P479&gt;=10,"High",IF(P479&gt;=5,"Medium","Low"))))</f>
        <v/>
      </c>
      <c r="R479" s="37" t="str">
        <f aca="true">IF(AND(C479&lt;&gt;"",M479&lt;&gt;"Closed",L479&lt;&gt;"",L479&lt;TODAY()),"Overdue","")</f>
        <v/>
      </c>
      <c r="S479" s="40" t="str">
        <f aca="false">IF(AND(N479&lt;&gt;"",B479="Risk",M479&lt;&gt;"Closed"),N479+(1-ROW()/100000),"")</f>
        <v/>
      </c>
      <c r="T479" s="40" t="str">
        <f aca="false">IF(AND(S479&lt;&gt;"",A479='Project Summary'!$C$3),S479,"")</f>
        <v/>
      </c>
    </row>
    <row r="480" customFormat="false" ht="15" hidden="false" customHeight="false" outlineLevel="0" collapsed="false">
      <c r="A480" s="32"/>
      <c r="B480" s="32"/>
      <c r="C480" s="32"/>
      <c r="D480" s="33"/>
      <c r="E480" s="32"/>
      <c r="F480" s="32"/>
      <c r="G480" s="32"/>
      <c r="H480" s="32"/>
      <c r="I480" s="32"/>
      <c r="J480" s="33"/>
      <c r="K480" s="32"/>
      <c r="L480" s="35"/>
      <c r="M480" s="32"/>
      <c r="N480" s="37" t="str">
        <f aca="false">IF(OR(C480="",F480="",G480=""),"",MATCH(F480,lst_Likelihood,0)*MATCH(G480,lst_Consequence,0))</f>
        <v/>
      </c>
      <c r="O480" s="37" t="str">
        <f aca="false">IF(N480="","",IF(N480&gt;=16,"Critical",IF(N480&gt;=10,"High",IF(N480&gt;=5,"Medium","Low"))))</f>
        <v/>
      </c>
      <c r="P480" s="37" t="str">
        <f aca="false">IF(OR(C480="",H480="",I480=""),"",MATCH(H480,lst_Likelihood,0)*MATCH(I480,lst_Consequence,0))</f>
        <v/>
      </c>
      <c r="Q480" s="37" t="str">
        <f aca="false">IF(P480="","",IF(P480&gt;=16,"Critical",IF(P480&gt;=10,"High",IF(P480&gt;=5,"Medium","Low"))))</f>
        <v/>
      </c>
      <c r="R480" s="37" t="str">
        <f aca="true">IF(AND(C480&lt;&gt;"",M480&lt;&gt;"Closed",L480&lt;&gt;"",L480&lt;TODAY()),"Overdue","")</f>
        <v/>
      </c>
      <c r="S480" s="40" t="str">
        <f aca="false">IF(AND(N480&lt;&gt;"",B480="Risk",M480&lt;&gt;"Closed"),N480+(1-ROW()/100000),"")</f>
        <v/>
      </c>
      <c r="T480" s="40" t="str">
        <f aca="false">IF(AND(S480&lt;&gt;"",A480='Project Summary'!$C$3),S480,"")</f>
        <v/>
      </c>
    </row>
    <row r="481" customFormat="false" ht="15" hidden="false" customHeight="false" outlineLevel="0" collapsed="false">
      <c r="A481" s="32"/>
      <c r="B481" s="32"/>
      <c r="C481" s="32"/>
      <c r="D481" s="33"/>
      <c r="E481" s="32"/>
      <c r="F481" s="32"/>
      <c r="G481" s="32"/>
      <c r="H481" s="32"/>
      <c r="I481" s="32"/>
      <c r="J481" s="33"/>
      <c r="K481" s="32"/>
      <c r="L481" s="35"/>
      <c r="M481" s="32"/>
      <c r="N481" s="37" t="str">
        <f aca="false">IF(OR(C481="",F481="",G481=""),"",MATCH(F481,lst_Likelihood,0)*MATCH(G481,lst_Consequence,0))</f>
        <v/>
      </c>
      <c r="O481" s="37" t="str">
        <f aca="false">IF(N481="","",IF(N481&gt;=16,"Critical",IF(N481&gt;=10,"High",IF(N481&gt;=5,"Medium","Low"))))</f>
        <v/>
      </c>
      <c r="P481" s="37" t="str">
        <f aca="false">IF(OR(C481="",H481="",I481=""),"",MATCH(H481,lst_Likelihood,0)*MATCH(I481,lst_Consequence,0))</f>
        <v/>
      </c>
      <c r="Q481" s="37" t="str">
        <f aca="false">IF(P481="","",IF(P481&gt;=16,"Critical",IF(P481&gt;=10,"High",IF(P481&gt;=5,"Medium","Low"))))</f>
        <v/>
      </c>
      <c r="R481" s="37" t="str">
        <f aca="true">IF(AND(C481&lt;&gt;"",M481&lt;&gt;"Closed",L481&lt;&gt;"",L481&lt;TODAY()),"Overdue","")</f>
        <v/>
      </c>
      <c r="S481" s="40" t="str">
        <f aca="false">IF(AND(N481&lt;&gt;"",B481="Risk",M481&lt;&gt;"Closed"),N481+(1-ROW()/100000),"")</f>
        <v/>
      </c>
      <c r="T481" s="40" t="str">
        <f aca="false">IF(AND(S481&lt;&gt;"",A481='Project Summary'!$C$3),S481,"")</f>
        <v/>
      </c>
    </row>
    <row r="482" customFormat="false" ht="15" hidden="false" customHeight="false" outlineLevel="0" collapsed="false">
      <c r="A482" s="32"/>
      <c r="B482" s="32"/>
      <c r="C482" s="32"/>
      <c r="D482" s="33"/>
      <c r="E482" s="32"/>
      <c r="F482" s="32"/>
      <c r="G482" s="32"/>
      <c r="H482" s="32"/>
      <c r="I482" s="32"/>
      <c r="J482" s="33"/>
      <c r="K482" s="32"/>
      <c r="L482" s="35"/>
      <c r="M482" s="32"/>
      <c r="N482" s="37" t="str">
        <f aca="false">IF(OR(C482="",F482="",G482=""),"",MATCH(F482,lst_Likelihood,0)*MATCH(G482,lst_Consequence,0))</f>
        <v/>
      </c>
      <c r="O482" s="37" t="str">
        <f aca="false">IF(N482="","",IF(N482&gt;=16,"Critical",IF(N482&gt;=10,"High",IF(N482&gt;=5,"Medium","Low"))))</f>
        <v/>
      </c>
      <c r="P482" s="37" t="str">
        <f aca="false">IF(OR(C482="",H482="",I482=""),"",MATCH(H482,lst_Likelihood,0)*MATCH(I482,lst_Consequence,0))</f>
        <v/>
      </c>
      <c r="Q482" s="37" t="str">
        <f aca="false">IF(P482="","",IF(P482&gt;=16,"Critical",IF(P482&gt;=10,"High",IF(P482&gt;=5,"Medium","Low"))))</f>
        <v/>
      </c>
      <c r="R482" s="37" t="str">
        <f aca="true">IF(AND(C482&lt;&gt;"",M482&lt;&gt;"Closed",L482&lt;&gt;"",L482&lt;TODAY()),"Overdue","")</f>
        <v/>
      </c>
      <c r="S482" s="40" t="str">
        <f aca="false">IF(AND(N482&lt;&gt;"",B482="Risk",M482&lt;&gt;"Closed"),N482+(1-ROW()/100000),"")</f>
        <v/>
      </c>
      <c r="T482" s="40" t="str">
        <f aca="false">IF(AND(S482&lt;&gt;"",A482='Project Summary'!$C$3),S482,"")</f>
        <v/>
      </c>
    </row>
    <row r="483" customFormat="false" ht="15" hidden="false" customHeight="false" outlineLevel="0" collapsed="false">
      <c r="A483" s="32"/>
      <c r="B483" s="32"/>
      <c r="C483" s="32"/>
      <c r="D483" s="33"/>
      <c r="E483" s="32"/>
      <c r="F483" s="32"/>
      <c r="G483" s="32"/>
      <c r="H483" s="32"/>
      <c r="I483" s="32"/>
      <c r="J483" s="33"/>
      <c r="K483" s="32"/>
      <c r="L483" s="35"/>
      <c r="M483" s="32"/>
      <c r="N483" s="37" t="str">
        <f aca="false">IF(OR(C483="",F483="",G483=""),"",MATCH(F483,lst_Likelihood,0)*MATCH(G483,lst_Consequence,0))</f>
        <v/>
      </c>
      <c r="O483" s="37" t="str">
        <f aca="false">IF(N483="","",IF(N483&gt;=16,"Critical",IF(N483&gt;=10,"High",IF(N483&gt;=5,"Medium","Low"))))</f>
        <v/>
      </c>
      <c r="P483" s="37" t="str">
        <f aca="false">IF(OR(C483="",H483="",I483=""),"",MATCH(H483,lst_Likelihood,0)*MATCH(I483,lst_Consequence,0))</f>
        <v/>
      </c>
      <c r="Q483" s="37" t="str">
        <f aca="false">IF(P483="","",IF(P483&gt;=16,"Critical",IF(P483&gt;=10,"High",IF(P483&gt;=5,"Medium","Low"))))</f>
        <v/>
      </c>
      <c r="R483" s="37" t="str">
        <f aca="true">IF(AND(C483&lt;&gt;"",M483&lt;&gt;"Closed",L483&lt;&gt;"",L483&lt;TODAY()),"Overdue","")</f>
        <v/>
      </c>
      <c r="S483" s="40" t="str">
        <f aca="false">IF(AND(N483&lt;&gt;"",B483="Risk",M483&lt;&gt;"Closed"),N483+(1-ROW()/100000),"")</f>
        <v/>
      </c>
      <c r="T483" s="40" t="str">
        <f aca="false">IF(AND(S483&lt;&gt;"",A483='Project Summary'!$C$3),S483,"")</f>
        <v/>
      </c>
    </row>
    <row r="484" customFormat="false" ht="15" hidden="false" customHeight="false" outlineLevel="0" collapsed="false">
      <c r="A484" s="32"/>
      <c r="B484" s="32"/>
      <c r="C484" s="32"/>
      <c r="D484" s="33"/>
      <c r="E484" s="32"/>
      <c r="F484" s="32"/>
      <c r="G484" s="32"/>
      <c r="H484" s="32"/>
      <c r="I484" s="32"/>
      <c r="J484" s="33"/>
      <c r="K484" s="32"/>
      <c r="L484" s="35"/>
      <c r="M484" s="32"/>
      <c r="N484" s="37" t="str">
        <f aca="false">IF(OR(C484="",F484="",G484=""),"",MATCH(F484,lst_Likelihood,0)*MATCH(G484,lst_Consequence,0))</f>
        <v/>
      </c>
      <c r="O484" s="37" t="str">
        <f aca="false">IF(N484="","",IF(N484&gt;=16,"Critical",IF(N484&gt;=10,"High",IF(N484&gt;=5,"Medium","Low"))))</f>
        <v/>
      </c>
      <c r="P484" s="37" t="str">
        <f aca="false">IF(OR(C484="",H484="",I484=""),"",MATCH(H484,lst_Likelihood,0)*MATCH(I484,lst_Consequence,0))</f>
        <v/>
      </c>
      <c r="Q484" s="37" t="str">
        <f aca="false">IF(P484="","",IF(P484&gt;=16,"Critical",IF(P484&gt;=10,"High",IF(P484&gt;=5,"Medium","Low"))))</f>
        <v/>
      </c>
      <c r="R484" s="37" t="str">
        <f aca="true">IF(AND(C484&lt;&gt;"",M484&lt;&gt;"Closed",L484&lt;&gt;"",L484&lt;TODAY()),"Overdue","")</f>
        <v/>
      </c>
      <c r="S484" s="40" t="str">
        <f aca="false">IF(AND(N484&lt;&gt;"",B484="Risk",M484&lt;&gt;"Closed"),N484+(1-ROW()/100000),"")</f>
        <v/>
      </c>
      <c r="T484" s="40" t="str">
        <f aca="false">IF(AND(S484&lt;&gt;"",A484='Project Summary'!$C$3),S484,"")</f>
        <v/>
      </c>
    </row>
    <row r="485" customFormat="false" ht="15" hidden="false" customHeight="false" outlineLevel="0" collapsed="false">
      <c r="A485" s="32"/>
      <c r="B485" s="32"/>
      <c r="C485" s="32"/>
      <c r="D485" s="33"/>
      <c r="E485" s="32"/>
      <c r="F485" s="32"/>
      <c r="G485" s="32"/>
      <c r="H485" s="32"/>
      <c r="I485" s="32"/>
      <c r="J485" s="33"/>
      <c r="K485" s="32"/>
      <c r="L485" s="35"/>
      <c r="M485" s="32"/>
      <c r="N485" s="37" t="str">
        <f aca="false">IF(OR(C485="",F485="",G485=""),"",MATCH(F485,lst_Likelihood,0)*MATCH(G485,lst_Consequence,0))</f>
        <v/>
      </c>
      <c r="O485" s="37" t="str">
        <f aca="false">IF(N485="","",IF(N485&gt;=16,"Critical",IF(N485&gt;=10,"High",IF(N485&gt;=5,"Medium","Low"))))</f>
        <v/>
      </c>
      <c r="P485" s="37" t="str">
        <f aca="false">IF(OR(C485="",H485="",I485=""),"",MATCH(H485,lst_Likelihood,0)*MATCH(I485,lst_Consequence,0))</f>
        <v/>
      </c>
      <c r="Q485" s="37" t="str">
        <f aca="false">IF(P485="","",IF(P485&gt;=16,"Critical",IF(P485&gt;=10,"High",IF(P485&gt;=5,"Medium","Low"))))</f>
        <v/>
      </c>
      <c r="R485" s="37" t="str">
        <f aca="true">IF(AND(C485&lt;&gt;"",M485&lt;&gt;"Closed",L485&lt;&gt;"",L485&lt;TODAY()),"Overdue","")</f>
        <v/>
      </c>
      <c r="S485" s="40" t="str">
        <f aca="false">IF(AND(N485&lt;&gt;"",B485="Risk",M485&lt;&gt;"Closed"),N485+(1-ROW()/100000),"")</f>
        <v/>
      </c>
      <c r="T485" s="40" t="str">
        <f aca="false">IF(AND(S485&lt;&gt;"",A485='Project Summary'!$C$3),S485,"")</f>
        <v/>
      </c>
    </row>
    <row r="486" customFormat="false" ht="15" hidden="false" customHeight="false" outlineLevel="0" collapsed="false">
      <c r="A486" s="32"/>
      <c r="B486" s="32"/>
      <c r="C486" s="32"/>
      <c r="D486" s="33"/>
      <c r="E486" s="32"/>
      <c r="F486" s="32"/>
      <c r="G486" s="32"/>
      <c r="H486" s="32"/>
      <c r="I486" s="32"/>
      <c r="J486" s="33"/>
      <c r="K486" s="32"/>
      <c r="L486" s="35"/>
      <c r="M486" s="32"/>
      <c r="N486" s="37" t="str">
        <f aca="false">IF(OR(C486="",F486="",G486=""),"",MATCH(F486,lst_Likelihood,0)*MATCH(G486,lst_Consequence,0))</f>
        <v/>
      </c>
      <c r="O486" s="37" t="str">
        <f aca="false">IF(N486="","",IF(N486&gt;=16,"Critical",IF(N486&gt;=10,"High",IF(N486&gt;=5,"Medium","Low"))))</f>
        <v/>
      </c>
      <c r="P486" s="37" t="str">
        <f aca="false">IF(OR(C486="",H486="",I486=""),"",MATCH(H486,lst_Likelihood,0)*MATCH(I486,lst_Consequence,0))</f>
        <v/>
      </c>
      <c r="Q486" s="37" t="str">
        <f aca="false">IF(P486="","",IF(P486&gt;=16,"Critical",IF(P486&gt;=10,"High",IF(P486&gt;=5,"Medium","Low"))))</f>
        <v/>
      </c>
      <c r="R486" s="37" t="str">
        <f aca="true">IF(AND(C486&lt;&gt;"",M486&lt;&gt;"Closed",L486&lt;&gt;"",L486&lt;TODAY()),"Overdue","")</f>
        <v/>
      </c>
      <c r="S486" s="40" t="str">
        <f aca="false">IF(AND(N486&lt;&gt;"",B486="Risk",M486&lt;&gt;"Closed"),N486+(1-ROW()/100000),"")</f>
        <v/>
      </c>
      <c r="T486" s="40" t="str">
        <f aca="false">IF(AND(S486&lt;&gt;"",A486='Project Summary'!$C$3),S486,"")</f>
        <v/>
      </c>
    </row>
    <row r="487" customFormat="false" ht="15" hidden="false" customHeight="false" outlineLevel="0" collapsed="false">
      <c r="A487" s="32"/>
      <c r="B487" s="32"/>
      <c r="C487" s="32"/>
      <c r="D487" s="33"/>
      <c r="E487" s="32"/>
      <c r="F487" s="32"/>
      <c r="G487" s="32"/>
      <c r="H487" s="32"/>
      <c r="I487" s="32"/>
      <c r="J487" s="33"/>
      <c r="K487" s="32"/>
      <c r="L487" s="35"/>
      <c r="M487" s="32"/>
      <c r="N487" s="37" t="str">
        <f aca="false">IF(OR(C487="",F487="",G487=""),"",MATCH(F487,lst_Likelihood,0)*MATCH(G487,lst_Consequence,0))</f>
        <v/>
      </c>
      <c r="O487" s="37" t="str">
        <f aca="false">IF(N487="","",IF(N487&gt;=16,"Critical",IF(N487&gt;=10,"High",IF(N487&gt;=5,"Medium","Low"))))</f>
        <v/>
      </c>
      <c r="P487" s="37" t="str">
        <f aca="false">IF(OR(C487="",H487="",I487=""),"",MATCH(H487,lst_Likelihood,0)*MATCH(I487,lst_Consequence,0))</f>
        <v/>
      </c>
      <c r="Q487" s="37" t="str">
        <f aca="false">IF(P487="","",IF(P487&gt;=16,"Critical",IF(P487&gt;=10,"High",IF(P487&gt;=5,"Medium","Low"))))</f>
        <v/>
      </c>
      <c r="R487" s="37" t="str">
        <f aca="true">IF(AND(C487&lt;&gt;"",M487&lt;&gt;"Closed",L487&lt;&gt;"",L487&lt;TODAY()),"Overdue","")</f>
        <v/>
      </c>
      <c r="S487" s="40" t="str">
        <f aca="false">IF(AND(N487&lt;&gt;"",B487="Risk",M487&lt;&gt;"Closed"),N487+(1-ROW()/100000),"")</f>
        <v/>
      </c>
      <c r="T487" s="40" t="str">
        <f aca="false">IF(AND(S487&lt;&gt;"",A487='Project Summary'!$C$3),S487,"")</f>
        <v/>
      </c>
    </row>
    <row r="488" customFormat="false" ht="15" hidden="false" customHeight="false" outlineLevel="0" collapsed="false">
      <c r="A488" s="32"/>
      <c r="B488" s="32"/>
      <c r="C488" s="32"/>
      <c r="D488" s="33"/>
      <c r="E488" s="32"/>
      <c r="F488" s="32"/>
      <c r="G488" s="32"/>
      <c r="H488" s="32"/>
      <c r="I488" s="32"/>
      <c r="J488" s="33"/>
      <c r="K488" s="32"/>
      <c r="L488" s="35"/>
      <c r="M488" s="32"/>
      <c r="N488" s="37" t="str">
        <f aca="false">IF(OR(C488="",F488="",G488=""),"",MATCH(F488,lst_Likelihood,0)*MATCH(G488,lst_Consequence,0))</f>
        <v/>
      </c>
      <c r="O488" s="37" t="str">
        <f aca="false">IF(N488="","",IF(N488&gt;=16,"Critical",IF(N488&gt;=10,"High",IF(N488&gt;=5,"Medium","Low"))))</f>
        <v/>
      </c>
      <c r="P488" s="37" t="str">
        <f aca="false">IF(OR(C488="",H488="",I488=""),"",MATCH(H488,lst_Likelihood,0)*MATCH(I488,lst_Consequence,0))</f>
        <v/>
      </c>
      <c r="Q488" s="37" t="str">
        <f aca="false">IF(P488="","",IF(P488&gt;=16,"Critical",IF(P488&gt;=10,"High",IF(P488&gt;=5,"Medium","Low"))))</f>
        <v/>
      </c>
      <c r="R488" s="37" t="str">
        <f aca="true">IF(AND(C488&lt;&gt;"",M488&lt;&gt;"Closed",L488&lt;&gt;"",L488&lt;TODAY()),"Overdue","")</f>
        <v/>
      </c>
      <c r="S488" s="40" t="str">
        <f aca="false">IF(AND(N488&lt;&gt;"",B488="Risk",M488&lt;&gt;"Closed"),N488+(1-ROW()/100000),"")</f>
        <v/>
      </c>
      <c r="T488" s="40" t="str">
        <f aca="false">IF(AND(S488&lt;&gt;"",A488='Project Summary'!$C$3),S488,"")</f>
        <v/>
      </c>
    </row>
    <row r="489" customFormat="false" ht="15" hidden="false" customHeight="false" outlineLevel="0" collapsed="false">
      <c r="A489" s="32"/>
      <c r="B489" s="32"/>
      <c r="C489" s="32"/>
      <c r="D489" s="33"/>
      <c r="E489" s="32"/>
      <c r="F489" s="32"/>
      <c r="G489" s="32"/>
      <c r="H489" s="32"/>
      <c r="I489" s="32"/>
      <c r="J489" s="33"/>
      <c r="K489" s="32"/>
      <c r="L489" s="35"/>
      <c r="M489" s="32"/>
      <c r="N489" s="37" t="str">
        <f aca="false">IF(OR(C489="",F489="",G489=""),"",MATCH(F489,lst_Likelihood,0)*MATCH(G489,lst_Consequence,0))</f>
        <v/>
      </c>
      <c r="O489" s="37" t="str">
        <f aca="false">IF(N489="","",IF(N489&gt;=16,"Critical",IF(N489&gt;=10,"High",IF(N489&gt;=5,"Medium","Low"))))</f>
        <v/>
      </c>
      <c r="P489" s="37" t="str">
        <f aca="false">IF(OR(C489="",H489="",I489=""),"",MATCH(H489,lst_Likelihood,0)*MATCH(I489,lst_Consequence,0))</f>
        <v/>
      </c>
      <c r="Q489" s="37" t="str">
        <f aca="false">IF(P489="","",IF(P489&gt;=16,"Critical",IF(P489&gt;=10,"High",IF(P489&gt;=5,"Medium","Low"))))</f>
        <v/>
      </c>
      <c r="R489" s="37" t="str">
        <f aca="true">IF(AND(C489&lt;&gt;"",M489&lt;&gt;"Closed",L489&lt;&gt;"",L489&lt;TODAY()),"Overdue","")</f>
        <v/>
      </c>
      <c r="S489" s="40" t="str">
        <f aca="false">IF(AND(N489&lt;&gt;"",B489="Risk",M489&lt;&gt;"Closed"),N489+(1-ROW()/100000),"")</f>
        <v/>
      </c>
      <c r="T489" s="40" t="str">
        <f aca="false">IF(AND(S489&lt;&gt;"",A489='Project Summary'!$C$3),S489,"")</f>
        <v/>
      </c>
    </row>
    <row r="490" customFormat="false" ht="15" hidden="false" customHeight="false" outlineLevel="0" collapsed="false">
      <c r="A490" s="32"/>
      <c r="B490" s="32"/>
      <c r="C490" s="32"/>
      <c r="D490" s="33"/>
      <c r="E490" s="32"/>
      <c r="F490" s="32"/>
      <c r="G490" s="32"/>
      <c r="H490" s="32"/>
      <c r="I490" s="32"/>
      <c r="J490" s="33"/>
      <c r="K490" s="32"/>
      <c r="L490" s="35"/>
      <c r="M490" s="32"/>
      <c r="N490" s="37" t="str">
        <f aca="false">IF(OR(C490="",F490="",G490=""),"",MATCH(F490,lst_Likelihood,0)*MATCH(G490,lst_Consequence,0))</f>
        <v/>
      </c>
      <c r="O490" s="37" t="str">
        <f aca="false">IF(N490="","",IF(N490&gt;=16,"Critical",IF(N490&gt;=10,"High",IF(N490&gt;=5,"Medium","Low"))))</f>
        <v/>
      </c>
      <c r="P490" s="37" t="str">
        <f aca="false">IF(OR(C490="",H490="",I490=""),"",MATCH(H490,lst_Likelihood,0)*MATCH(I490,lst_Consequence,0))</f>
        <v/>
      </c>
      <c r="Q490" s="37" t="str">
        <f aca="false">IF(P490="","",IF(P490&gt;=16,"Critical",IF(P490&gt;=10,"High",IF(P490&gt;=5,"Medium","Low"))))</f>
        <v/>
      </c>
      <c r="R490" s="37" t="str">
        <f aca="true">IF(AND(C490&lt;&gt;"",M490&lt;&gt;"Closed",L490&lt;&gt;"",L490&lt;TODAY()),"Overdue","")</f>
        <v/>
      </c>
      <c r="S490" s="40" t="str">
        <f aca="false">IF(AND(N490&lt;&gt;"",B490="Risk",M490&lt;&gt;"Closed"),N490+(1-ROW()/100000),"")</f>
        <v/>
      </c>
      <c r="T490" s="40" t="str">
        <f aca="false">IF(AND(S490&lt;&gt;"",A490='Project Summary'!$C$3),S490,"")</f>
        <v/>
      </c>
    </row>
    <row r="491" customFormat="false" ht="15" hidden="false" customHeight="false" outlineLevel="0" collapsed="false">
      <c r="A491" s="32"/>
      <c r="B491" s="32"/>
      <c r="C491" s="32"/>
      <c r="D491" s="33"/>
      <c r="E491" s="32"/>
      <c r="F491" s="32"/>
      <c r="G491" s="32"/>
      <c r="H491" s="32"/>
      <c r="I491" s="32"/>
      <c r="J491" s="33"/>
      <c r="K491" s="32"/>
      <c r="L491" s="35"/>
      <c r="M491" s="32"/>
      <c r="N491" s="37" t="str">
        <f aca="false">IF(OR(C491="",F491="",G491=""),"",MATCH(F491,lst_Likelihood,0)*MATCH(G491,lst_Consequence,0))</f>
        <v/>
      </c>
      <c r="O491" s="37" t="str">
        <f aca="false">IF(N491="","",IF(N491&gt;=16,"Critical",IF(N491&gt;=10,"High",IF(N491&gt;=5,"Medium","Low"))))</f>
        <v/>
      </c>
      <c r="P491" s="37" t="str">
        <f aca="false">IF(OR(C491="",H491="",I491=""),"",MATCH(H491,lst_Likelihood,0)*MATCH(I491,lst_Consequence,0))</f>
        <v/>
      </c>
      <c r="Q491" s="37" t="str">
        <f aca="false">IF(P491="","",IF(P491&gt;=16,"Critical",IF(P491&gt;=10,"High",IF(P491&gt;=5,"Medium","Low"))))</f>
        <v/>
      </c>
      <c r="R491" s="37" t="str">
        <f aca="true">IF(AND(C491&lt;&gt;"",M491&lt;&gt;"Closed",L491&lt;&gt;"",L491&lt;TODAY()),"Overdue","")</f>
        <v/>
      </c>
      <c r="S491" s="40" t="str">
        <f aca="false">IF(AND(N491&lt;&gt;"",B491="Risk",M491&lt;&gt;"Closed"),N491+(1-ROW()/100000),"")</f>
        <v/>
      </c>
      <c r="T491" s="40" t="str">
        <f aca="false">IF(AND(S491&lt;&gt;"",A491='Project Summary'!$C$3),S491,"")</f>
        <v/>
      </c>
    </row>
    <row r="492" customFormat="false" ht="15" hidden="false" customHeight="false" outlineLevel="0" collapsed="false">
      <c r="A492" s="32"/>
      <c r="B492" s="32"/>
      <c r="C492" s="32"/>
      <c r="D492" s="33"/>
      <c r="E492" s="32"/>
      <c r="F492" s="32"/>
      <c r="G492" s="32"/>
      <c r="H492" s="32"/>
      <c r="I492" s="32"/>
      <c r="J492" s="33"/>
      <c r="K492" s="32"/>
      <c r="L492" s="35"/>
      <c r="M492" s="32"/>
      <c r="N492" s="37" t="str">
        <f aca="false">IF(OR(C492="",F492="",G492=""),"",MATCH(F492,lst_Likelihood,0)*MATCH(G492,lst_Consequence,0))</f>
        <v/>
      </c>
      <c r="O492" s="37" t="str">
        <f aca="false">IF(N492="","",IF(N492&gt;=16,"Critical",IF(N492&gt;=10,"High",IF(N492&gt;=5,"Medium","Low"))))</f>
        <v/>
      </c>
      <c r="P492" s="37" t="str">
        <f aca="false">IF(OR(C492="",H492="",I492=""),"",MATCH(H492,lst_Likelihood,0)*MATCH(I492,lst_Consequence,0))</f>
        <v/>
      </c>
      <c r="Q492" s="37" t="str">
        <f aca="false">IF(P492="","",IF(P492&gt;=16,"Critical",IF(P492&gt;=10,"High",IF(P492&gt;=5,"Medium","Low"))))</f>
        <v/>
      </c>
      <c r="R492" s="37" t="str">
        <f aca="true">IF(AND(C492&lt;&gt;"",M492&lt;&gt;"Closed",L492&lt;&gt;"",L492&lt;TODAY()),"Overdue","")</f>
        <v/>
      </c>
      <c r="S492" s="40" t="str">
        <f aca="false">IF(AND(N492&lt;&gt;"",B492="Risk",M492&lt;&gt;"Closed"),N492+(1-ROW()/100000),"")</f>
        <v/>
      </c>
      <c r="T492" s="40" t="str">
        <f aca="false">IF(AND(S492&lt;&gt;"",A492='Project Summary'!$C$3),S492,"")</f>
        <v/>
      </c>
    </row>
    <row r="493" customFormat="false" ht="15" hidden="false" customHeight="false" outlineLevel="0" collapsed="false">
      <c r="A493" s="32"/>
      <c r="B493" s="32"/>
      <c r="C493" s="32"/>
      <c r="D493" s="33"/>
      <c r="E493" s="32"/>
      <c r="F493" s="32"/>
      <c r="G493" s="32"/>
      <c r="H493" s="32"/>
      <c r="I493" s="32"/>
      <c r="J493" s="33"/>
      <c r="K493" s="32"/>
      <c r="L493" s="35"/>
      <c r="M493" s="32"/>
      <c r="N493" s="37" t="str">
        <f aca="false">IF(OR(C493="",F493="",G493=""),"",MATCH(F493,lst_Likelihood,0)*MATCH(G493,lst_Consequence,0))</f>
        <v/>
      </c>
      <c r="O493" s="37" t="str">
        <f aca="false">IF(N493="","",IF(N493&gt;=16,"Critical",IF(N493&gt;=10,"High",IF(N493&gt;=5,"Medium","Low"))))</f>
        <v/>
      </c>
      <c r="P493" s="37" t="str">
        <f aca="false">IF(OR(C493="",H493="",I493=""),"",MATCH(H493,lst_Likelihood,0)*MATCH(I493,lst_Consequence,0))</f>
        <v/>
      </c>
      <c r="Q493" s="37" t="str">
        <f aca="false">IF(P493="","",IF(P493&gt;=16,"Critical",IF(P493&gt;=10,"High",IF(P493&gt;=5,"Medium","Low"))))</f>
        <v/>
      </c>
      <c r="R493" s="37" t="str">
        <f aca="true">IF(AND(C493&lt;&gt;"",M493&lt;&gt;"Closed",L493&lt;&gt;"",L493&lt;TODAY()),"Overdue","")</f>
        <v/>
      </c>
      <c r="S493" s="40" t="str">
        <f aca="false">IF(AND(N493&lt;&gt;"",B493="Risk",M493&lt;&gt;"Closed"),N493+(1-ROW()/100000),"")</f>
        <v/>
      </c>
      <c r="T493" s="40" t="str">
        <f aca="false">IF(AND(S493&lt;&gt;"",A493='Project Summary'!$C$3),S493,"")</f>
        <v/>
      </c>
    </row>
    <row r="494" customFormat="false" ht="15" hidden="false" customHeight="false" outlineLevel="0" collapsed="false">
      <c r="A494" s="32"/>
      <c r="B494" s="32"/>
      <c r="C494" s="32"/>
      <c r="D494" s="33"/>
      <c r="E494" s="32"/>
      <c r="F494" s="32"/>
      <c r="G494" s="32"/>
      <c r="H494" s="32"/>
      <c r="I494" s="32"/>
      <c r="J494" s="33"/>
      <c r="K494" s="32"/>
      <c r="L494" s="35"/>
      <c r="M494" s="32"/>
      <c r="N494" s="37" t="str">
        <f aca="false">IF(OR(C494="",F494="",G494=""),"",MATCH(F494,lst_Likelihood,0)*MATCH(G494,lst_Consequence,0))</f>
        <v/>
      </c>
      <c r="O494" s="37" t="str">
        <f aca="false">IF(N494="","",IF(N494&gt;=16,"Critical",IF(N494&gt;=10,"High",IF(N494&gt;=5,"Medium","Low"))))</f>
        <v/>
      </c>
      <c r="P494" s="37" t="str">
        <f aca="false">IF(OR(C494="",H494="",I494=""),"",MATCH(H494,lst_Likelihood,0)*MATCH(I494,lst_Consequence,0))</f>
        <v/>
      </c>
      <c r="Q494" s="37" t="str">
        <f aca="false">IF(P494="","",IF(P494&gt;=16,"Critical",IF(P494&gt;=10,"High",IF(P494&gt;=5,"Medium","Low"))))</f>
        <v/>
      </c>
      <c r="R494" s="37" t="str">
        <f aca="true">IF(AND(C494&lt;&gt;"",M494&lt;&gt;"Closed",L494&lt;&gt;"",L494&lt;TODAY()),"Overdue","")</f>
        <v/>
      </c>
      <c r="S494" s="40" t="str">
        <f aca="false">IF(AND(N494&lt;&gt;"",B494="Risk",M494&lt;&gt;"Closed"),N494+(1-ROW()/100000),"")</f>
        <v/>
      </c>
      <c r="T494" s="40" t="str">
        <f aca="false">IF(AND(S494&lt;&gt;"",A494='Project Summary'!$C$3),S494,"")</f>
        <v/>
      </c>
    </row>
    <row r="495" customFormat="false" ht="15" hidden="false" customHeight="false" outlineLevel="0" collapsed="false">
      <c r="A495" s="32"/>
      <c r="B495" s="32"/>
      <c r="C495" s="32"/>
      <c r="D495" s="33"/>
      <c r="E495" s="32"/>
      <c r="F495" s="32"/>
      <c r="G495" s="32"/>
      <c r="H495" s="32"/>
      <c r="I495" s="32"/>
      <c r="J495" s="33"/>
      <c r="K495" s="32"/>
      <c r="L495" s="35"/>
      <c r="M495" s="32"/>
      <c r="N495" s="37" t="str">
        <f aca="false">IF(OR(C495="",F495="",G495=""),"",MATCH(F495,lst_Likelihood,0)*MATCH(G495,lst_Consequence,0))</f>
        <v/>
      </c>
      <c r="O495" s="37" t="str">
        <f aca="false">IF(N495="","",IF(N495&gt;=16,"Critical",IF(N495&gt;=10,"High",IF(N495&gt;=5,"Medium","Low"))))</f>
        <v/>
      </c>
      <c r="P495" s="37" t="str">
        <f aca="false">IF(OR(C495="",H495="",I495=""),"",MATCH(H495,lst_Likelihood,0)*MATCH(I495,lst_Consequence,0))</f>
        <v/>
      </c>
      <c r="Q495" s="37" t="str">
        <f aca="false">IF(P495="","",IF(P495&gt;=16,"Critical",IF(P495&gt;=10,"High",IF(P495&gt;=5,"Medium","Low"))))</f>
        <v/>
      </c>
      <c r="R495" s="37" t="str">
        <f aca="true">IF(AND(C495&lt;&gt;"",M495&lt;&gt;"Closed",L495&lt;&gt;"",L495&lt;TODAY()),"Overdue","")</f>
        <v/>
      </c>
      <c r="S495" s="40" t="str">
        <f aca="false">IF(AND(N495&lt;&gt;"",B495="Risk",M495&lt;&gt;"Closed"),N495+(1-ROW()/100000),"")</f>
        <v/>
      </c>
      <c r="T495" s="40" t="str">
        <f aca="false">IF(AND(S495&lt;&gt;"",A495='Project Summary'!$C$3),S495,"")</f>
        <v/>
      </c>
    </row>
    <row r="496" customFormat="false" ht="15" hidden="false" customHeight="false" outlineLevel="0" collapsed="false">
      <c r="A496" s="32"/>
      <c r="B496" s="32"/>
      <c r="C496" s="32"/>
      <c r="D496" s="33"/>
      <c r="E496" s="32"/>
      <c r="F496" s="32"/>
      <c r="G496" s="32"/>
      <c r="H496" s="32"/>
      <c r="I496" s="32"/>
      <c r="J496" s="33"/>
      <c r="K496" s="32"/>
      <c r="L496" s="35"/>
      <c r="M496" s="32"/>
      <c r="N496" s="37" t="str">
        <f aca="false">IF(OR(C496="",F496="",G496=""),"",MATCH(F496,lst_Likelihood,0)*MATCH(G496,lst_Consequence,0))</f>
        <v/>
      </c>
      <c r="O496" s="37" t="str">
        <f aca="false">IF(N496="","",IF(N496&gt;=16,"Critical",IF(N496&gt;=10,"High",IF(N496&gt;=5,"Medium","Low"))))</f>
        <v/>
      </c>
      <c r="P496" s="37" t="str">
        <f aca="false">IF(OR(C496="",H496="",I496=""),"",MATCH(H496,lst_Likelihood,0)*MATCH(I496,lst_Consequence,0))</f>
        <v/>
      </c>
      <c r="Q496" s="37" t="str">
        <f aca="false">IF(P496="","",IF(P496&gt;=16,"Critical",IF(P496&gt;=10,"High",IF(P496&gt;=5,"Medium","Low"))))</f>
        <v/>
      </c>
      <c r="R496" s="37" t="str">
        <f aca="true">IF(AND(C496&lt;&gt;"",M496&lt;&gt;"Closed",L496&lt;&gt;"",L496&lt;TODAY()),"Overdue","")</f>
        <v/>
      </c>
      <c r="S496" s="40" t="str">
        <f aca="false">IF(AND(N496&lt;&gt;"",B496="Risk",M496&lt;&gt;"Closed"),N496+(1-ROW()/100000),"")</f>
        <v/>
      </c>
      <c r="T496" s="40" t="str">
        <f aca="false">IF(AND(S496&lt;&gt;"",A496='Project Summary'!$C$3),S496,"")</f>
        <v/>
      </c>
    </row>
    <row r="497" customFormat="false" ht="15" hidden="false" customHeight="false" outlineLevel="0" collapsed="false">
      <c r="A497" s="32"/>
      <c r="B497" s="32"/>
      <c r="C497" s="32"/>
      <c r="D497" s="33"/>
      <c r="E497" s="32"/>
      <c r="F497" s="32"/>
      <c r="G497" s="32"/>
      <c r="H497" s="32"/>
      <c r="I497" s="32"/>
      <c r="J497" s="33"/>
      <c r="K497" s="32"/>
      <c r="L497" s="35"/>
      <c r="M497" s="32"/>
      <c r="N497" s="37" t="str">
        <f aca="false">IF(OR(C497="",F497="",G497=""),"",MATCH(F497,lst_Likelihood,0)*MATCH(G497,lst_Consequence,0))</f>
        <v/>
      </c>
      <c r="O497" s="37" t="str">
        <f aca="false">IF(N497="","",IF(N497&gt;=16,"Critical",IF(N497&gt;=10,"High",IF(N497&gt;=5,"Medium","Low"))))</f>
        <v/>
      </c>
      <c r="P497" s="37" t="str">
        <f aca="false">IF(OR(C497="",H497="",I497=""),"",MATCH(H497,lst_Likelihood,0)*MATCH(I497,lst_Consequence,0))</f>
        <v/>
      </c>
      <c r="Q497" s="37" t="str">
        <f aca="false">IF(P497="","",IF(P497&gt;=16,"Critical",IF(P497&gt;=10,"High",IF(P497&gt;=5,"Medium","Low"))))</f>
        <v/>
      </c>
      <c r="R497" s="37" t="str">
        <f aca="true">IF(AND(C497&lt;&gt;"",M497&lt;&gt;"Closed",L497&lt;&gt;"",L497&lt;TODAY()),"Overdue","")</f>
        <v/>
      </c>
      <c r="S497" s="40" t="str">
        <f aca="false">IF(AND(N497&lt;&gt;"",B497="Risk",M497&lt;&gt;"Closed"),N497+(1-ROW()/100000),"")</f>
        <v/>
      </c>
      <c r="T497" s="40" t="str">
        <f aca="false">IF(AND(S497&lt;&gt;"",A497='Project Summary'!$C$3),S497,"")</f>
        <v/>
      </c>
    </row>
    <row r="498" customFormat="false" ht="15" hidden="false" customHeight="false" outlineLevel="0" collapsed="false">
      <c r="A498" s="32"/>
      <c r="B498" s="32"/>
      <c r="C498" s="32"/>
      <c r="D498" s="33"/>
      <c r="E498" s="32"/>
      <c r="F498" s="32"/>
      <c r="G498" s="32"/>
      <c r="H498" s="32"/>
      <c r="I498" s="32"/>
      <c r="J498" s="33"/>
      <c r="K498" s="32"/>
      <c r="L498" s="35"/>
      <c r="M498" s="32"/>
      <c r="N498" s="37" t="str">
        <f aca="false">IF(OR(C498="",F498="",G498=""),"",MATCH(F498,lst_Likelihood,0)*MATCH(G498,lst_Consequence,0))</f>
        <v/>
      </c>
      <c r="O498" s="37" t="str">
        <f aca="false">IF(N498="","",IF(N498&gt;=16,"Critical",IF(N498&gt;=10,"High",IF(N498&gt;=5,"Medium","Low"))))</f>
        <v/>
      </c>
      <c r="P498" s="37" t="str">
        <f aca="false">IF(OR(C498="",H498="",I498=""),"",MATCH(H498,lst_Likelihood,0)*MATCH(I498,lst_Consequence,0))</f>
        <v/>
      </c>
      <c r="Q498" s="37" t="str">
        <f aca="false">IF(P498="","",IF(P498&gt;=16,"Critical",IF(P498&gt;=10,"High",IF(P498&gt;=5,"Medium","Low"))))</f>
        <v/>
      </c>
      <c r="R498" s="37" t="str">
        <f aca="true">IF(AND(C498&lt;&gt;"",M498&lt;&gt;"Closed",L498&lt;&gt;"",L498&lt;TODAY()),"Overdue","")</f>
        <v/>
      </c>
      <c r="S498" s="40" t="str">
        <f aca="false">IF(AND(N498&lt;&gt;"",B498="Risk",M498&lt;&gt;"Closed"),N498+(1-ROW()/100000),"")</f>
        <v/>
      </c>
      <c r="T498" s="40" t="str">
        <f aca="false">IF(AND(S498&lt;&gt;"",A498='Project Summary'!$C$3),S498,"")</f>
        <v/>
      </c>
    </row>
    <row r="499" customFormat="false" ht="15" hidden="false" customHeight="false" outlineLevel="0" collapsed="false">
      <c r="A499" s="32"/>
      <c r="B499" s="32"/>
      <c r="C499" s="32"/>
      <c r="D499" s="33"/>
      <c r="E499" s="32"/>
      <c r="F499" s="32"/>
      <c r="G499" s="32"/>
      <c r="H499" s="32"/>
      <c r="I499" s="32"/>
      <c r="J499" s="33"/>
      <c r="K499" s="32"/>
      <c r="L499" s="35"/>
      <c r="M499" s="32"/>
      <c r="N499" s="37" t="str">
        <f aca="false">IF(OR(C499="",F499="",G499=""),"",MATCH(F499,lst_Likelihood,0)*MATCH(G499,lst_Consequence,0))</f>
        <v/>
      </c>
      <c r="O499" s="37" t="str">
        <f aca="false">IF(N499="","",IF(N499&gt;=16,"Critical",IF(N499&gt;=10,"High",IF(N499&gt;=5,"Medium","Low"))))</f>
        <v/>
      </c>
      <c r="P499" s="37" t="str">
        <f aca="false">IF(OR(C499="",H499="",I499=""),"",MATCH(H499,lst_Likelihood,0)*MATCH(I499,lst_Consequence,0))</f>
        <v/>
      </c>
      <c r="Q499" s="37" t="str">
        <f aca="false">IF(P499="","",IF(P499&gt;=16,"Critical",IF(P499&gt;=10,"High",IF(P499&gt;=5,"Medium","Low"))))</f>
        <v/>
      </c>
      <c r="R499" s="37" t="str">
        <f aca="true">IF(AND(C499&lt;&gt;"",M499&lt;&gt;"Closed",L499&lt;&gt;"",L499&lt;TODAY()),"Overdue","")</f>
        <v/>
      </c>
      <c r="S499" s="40" t="str">
        <f aca="false">IF(AND(N499&lt;&gt;"",B499="Risk",M499&lt;&gt;"Closed"),N499+(1-ROW()/100000),"")</f>
        <v/>
      </c>
      <c r="T499" s="40" t="str">
        <f aca="false">IF(AND(S499&lt;&gt;"",A499='Project Summary'!$C$3),S499,"")</f>
        <v/>
      </c>
    </row>
    <row r="500" customFormat="false" ht="15" hidden="false" customHeight="false" outlineLevel="0" collapsed="false">
      <c r="A500" s="32"/>
      <c r="B500" s="32"/>
      <c r="C500" s="32"/>
      <c r="D500" s="33"/>
      <c r="E500" s="32"/>
      <c r="F500" s="32"/>
      <c r="G500" s="32"/>
      <c r="H500" s="32"/>
      <c r="I500" s="32"/>
      <c r="J500" s="33"/>
      <c r="K500" s="32"/>
      <c r="L500" s="35"/>
      <c r="M500" s="32"/>
      <c r="N500" s="37" t="str">
        <f aca="false">IF(OR(C500="",F500="",G500=""),"",MATCH(F500,lst_Likelihood,0)*MATCH(G500,lst_Consequence,0))</f>
        <v/>
      </c>
      <c r="O500" s="37" t="str">
        <f aca="false">IF(N500="","",IF(N500&gt;=16,"Critical",IF(N500&gt;=10,"High",IF(N500&gt;=5,"Medium","Low"))))</f>
        <v/>
      </c>
      <c r="P500" s="37" t="str">
        <f aca="false">IF(OR(C500="",H500="",I500=""),"",MATCH(H500,lst_Likelihood,0)*MATCH(I500,lst_Consequence,0))</f>
        <v/>
      </c>
      <c r="Q500" s="37" t="str">
        <f aca="false">IF(P500="","",IF(P500&gt;=16,"Critical",IF(P500&gt;=10,"High",IF(P500&gt;=5,"Medium","Low"))))</f>
        <v/>
      </c>
      <c r="R500" s="37" t="str">
        <f aca="true">IF(AND(C500&lt;&gt;"",M500&lt;&gt;"Closed",L500&lt;&gt;"",L500&lt;TODAY()),"Overdue","")</f>
        <v/>
      </c>
      <c r="S500" s="40" t="str">
        <f aca="false">IF(AND(N500&lt;&gt;"",B500="Risk",M500&lt;&gt;"Closed"),N500+(1-ROW()/100000),"")</f>
        <v/>
      </c>
      <c r="T500" s="40" t="str">
        <f aca="false">IF(AND(S500&lt;&gt;"",A500='Project Summary'!$C$3),S500,"")</f>
        <v/>
      </c>
    </row>
    <row r="501" customFormat="false" ht="15" hidden="false" customHeight="false" outlineLevel="0" collapsed="false">
      <c r="A501" s="32"/>
      <c r="B501" s="32"/>
      <c r="C501" s="32"/>
      <c r="D501" s="33"/>
      <c r="E501" s="32"/>
      <c r="F501" s="32"/>
      <c r="G501" s="32"/>
      <c r="H501" s="32"/>
      <c r="I501" s="32"/>
      <c r="J501" s="33"/>
      <c r="K501" s="32"/>
      <c r="L501" s="35"/>
      <c r="M501" s="32"/>
      <c r="N501" s="37" t="str">
        <f aca="false">IF(OR(C501="",F501="",G501=""),"",MATCH(F501,lst_Likelihood,0)*MATCH(G501,lst_Consequence,0))</f>
        <v/>
      </c>
      <c r="O501" s="37" t="str">
        <f aca="false">IF(N501="","",IF(N501&gt;=16,"Critical",IF(N501&gt;=10,"High",IF(N501&gt;=5,"Medium","Low"))))</f>
        <v/>
      </c>
      <c r="P501" s="37" t="str">
        <f aca="false">IF(OR(C501="",H501="",I501=""),"",MATCH(H501,lst_Likelihood,0)*MATCH(I501,lst_Consequence,0))</f>
        <v/>
      </c>
      <c r="Q501" s="37" t="str">
        <f aca="false">IF(P501="","",IF(P501&gt;=16,"Critical",IF(P501&gt;=10,"High",IF(P501&gt;=5,"Medium","Low"))))</f>
        <v/>
      </c>
      <c r="R501" s="37" t="str">
        <f aca="true">IF(AND(C501&lt;&gt;"",M501&lt;&gt;"Closed",L501&lt;&gt;"",L501&lt;TODAY()),"Overdue","")</f>
        <v/>
      </c>
      <c r="S501" s="40" t="str">
        <f aca="false">IF(AND(N501&lt;&gt;"",B501="Risk",M501&lt;&gt;"Closed"),N501+(1-ROW()/100000),"")</f>
        <v/>
      </c>
      <c r="T501" s="40" t="str">
        <f aca="false">IF(AND(S501&lt;&gt;"",A501='Project Summary'!$C$3),S501,"")</f>
        <v/>
      </c>
    </row>
  </sheetData>
  <autoFilter ref="A1:T501"/>
  <conditionalFormatting sqref="M2:M501">
    <cfRule type="expression" priority="2" aboveAverage="0" equalAverage="0" bottom="0" percent="0" rank="0" text="" dxfId="16">
      <formula>OR(M2="Done",M2="Closed",M2="Complete",M2="Paid")</formula>
    </cfRule>
  </conditionalFormatting>
  <conditionalFormatting sqref="O2:O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conditionalFormatting sqref="Q2:Q501">
    <cfRule type="cellIs" priority="13" operator="equal" aboveAverage="0" equalAverage="0" bottom="0" percent="0" rank="0" text="" dxfId="3">
      <formula>"Overdue"</formula>
    </cfRule>
    <cfRule type="cellIs" priority="14" operator="equal" aboveAverage="0" equalAverage="0" bottom="0" percent="0" rank="0" text="" dxfId="3">
      <formula>"Expired"</formula>
    </cfRule>
    <cfRule type="cellIs" priority="15" operator="equal" aboveAverage="0" equalAverage="0" bottom="0" percent="0" rank="0" text="" dxfId="3">
      <formula>"Exceedance"</formula>
    </cfRule>
    <cfRule type="cellIs" priority="16" operator="equal" aboveAverage="0" equalAverage="0" bottom="0" percent="0" rank="0" text="" dxfId="3">
      <formula>"Critical"</formula>
    </cfRule>
    <cfRule type="cellIs" priority="17" operator="equal" aboveAverage="0" equalAverage="0" bottom="0" percent="0" rank="0" text="" dxfId="2">
      <formula>"Due Soon"</formula>
    </cfRule>
    <cfRule type="cellIs" priority="18" operator="equal" aboveAverage="0" equalAverage="0" bottom="0" percent="0" rank="0" text="" dxfId="2">
      <formula>"Expiring Soon"</formula>
    </cfRule>
    <cfRule type="cellIs" priority="19" operator="equal" aboveAverage="0" equalAverage="0" bottom="0" percent="0" rank="0" text="" dxfId="2">
      <formula>"Due Today"</formula>
    </cfRule>
    <cfRule type="cellIs" priority="20" operator="equal" aboveAverage="0" equalAverage="0" bottom="0" percent="0" rank="0" text="" dxfId="2">
      <formula>"Due This Week"</formula>
    </cfRule>
    <cfRule type="cellIs" priority="21" operator="equal" aboveAverage="0" equalAverage="0" bottom="0" percent="0" rank="0" text="" dxfId="2">
      <formula>"High"</formula>
    </cfRule>
    <cfRule type="cellIs" priority="22" operator="equal" aboveAverage="0" equalAverage="0" bottom="0" percent="0" rank="0" text="" dxfId="5">
      <formula>"Done"</formula>
    </cfRule>
  </conditionalFormatting>
  <conditionalFormatting sqref="R2:R501">
    <cfRule type="cellIs" priority="23" operator="equal" aboveAverage="0" equalAverage="0" bottom="0" percent="0" rank="0" text="" dxfId="3">
      <formula>"Overdue"</formula>
    </cfRule>
    <cfRule type="cellIs" priority="24" operator="equal" aboveAverage="0" equalAverage="0" bottom="0" percent="0" rank="0" text="" dxfId="3">
      <formula>"Expired"</formula>
    </cfRule>
    <cfRule type="cellIs" priority="25" operator="equal" aboveAverage="0" equalAverage="0" bottom="0" percent="0" rank="0" text="" dxfId="3">
      <formula>"Exceedance"</formula>
    </cfRule>
    <cfRule type="cellIs" priority="26" operator="equal" aboveAverage="0" equalAverage="0" bottom="0" percent="0" rank="0" text="" dxfId="3">
      <formula>"Critical"</formula>
    </cfRule>
    <cfRule type="cellIs" priority="27" operator="equal" aboveAverage="0" equalAverage="0" bottom="0" percent="0" rank="0" text="" dxfId="2">
      <formula>"Due Soon"</formula>
    </cfRule>
    <cfRule type="cellIs" priority="28" operator="equal" aboveAverage="0" equalAverage="0" bottom="0" percent="0" rank="0" text="" dxfId="2">
      <formula>"Expiring Soon"</formula>
    </cfRule>
    <cfRule type="cellIs" priority="29" operator="equal" aboveAverage="0" equalAverage="0" bottom="0" percent="0" rank="0" text="" dxfId="2">
      <formula>"Due Today"</formula>
    </cfRule>
    <cfRule type="cellIs" priority="30" operator="equal" aboveAverage="0" equalAverage="0" bottom="0" percent="0" rank="0" text="" dxfId="2">
      <formula>"Due This Week"</formula>
    </cfRule>
    <cfRule type="cellIs" priority="31" operator="equal" aboveAverage="0" equalAverage="0" bottom="0" percent="0" rank="0" text="" dxfId="2">
      <formula>"High"</formula>
    </cfRule>
    <cfRule type="cellIs" priority="32" operator="equal" aboveAverage="0" equalAverage="0" bottom="0" percent="0" rank="0" text="" dxfId="5">
      <formula>"Done"</formula>
    </cfRule>
  </conditionalFormatting>
  <dataValidations count="8">
    <dataValidation allowBlank="true" error="Enter a valid date (e.g. 31-Dec-2026)." errorStyle="stop" errorTitle="Invalid date" operator="greaterThan" showDropDown="false" showErrorMessage="false" showInputMessage="false" sqref="L2:L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lst_RiskType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lst_Likelihood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lst_Consequence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lst_Likelihood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lst_Consequence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M2:M501" type="list">
      <formula1>lst_RiskStatus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247</v>
      </c>
      <c r="C1" s="17" t="s">
        <v>248</v>
      </c>
      <c r="D1" s="17" t="s">
        <v>249</v>
      </c>
      <c r="E1" s="17" t="s">
        <v>250</v>
      </c>
      <c r="F1" s="17" t="s">
        <v>251</v>
      </c>
      <c r="G1" s="17" t="s">
        <v>111</v>
      </c>
      <c r="H1" s="17" t="s">
        <v>197</v>
      </c>
      <c r="I1" s="17" t="s">
        <v>252</v>
      </c>
      <c r="J1" s="17" t="s">
        <v>253</v>
      </c>
      <c r="K1" s="17" t="s">
        <v>235</v>
      </c>
      <c r="L1" s="31" t="s">
        <v>254</v>
      </c>
    </row>
    <row r="2" customFormat="false" ht="15" hidden="false" customHeight="false" outlineLevel="0" collapsed="false">
      <c r="A2" s="32"/>
      <c r="B2" s="32"/>
      <c r="C2" s="32"/>
      <c r="D2" s="33"/>
      <c r="E2" s="33"/>
      <c r="F2" s="32"/>
      <c r="G2" s="32"/>
      <c r="H2" s="35"/>
      <c r="I2" s="35"/>
      <c r="J2" s="35"/>
      <c r="K2" s="33"/>
      <c r="L2" s="37" t="str">
        <f aca="true">IF(OR(B2="",G2&lt;&gt;"Open",I2=""),"",IF(I2&lt;TODAY(),"Overdue",IF(I2&lt;=TODAY()+7,"Due Soon","")))</f>
        <v/>
      </c>
    </row>
    <row r="3" customFormat="false" ht="15" hidden="false" customHeight="false" outlineLevel="0" collapsed="false">
      <c r="A3" s="32"/>
      <c r="B3" s="32"/>
      <c r="C3" s="32"/>
      <c r="D3" s="33"/>
      <c r="E3" s="33"/>
      <c r="F3" s="32"/>
      <c r="G3" s="32"/>
      <c r="H3" s="35"/>
      <c r="I3" s="35"/>
      <c r="J3" s="35"/>
      <c r="K3" s="33"/>
      <c r="L3" s="37" t="str">
        <f aca="true">IF(OR(B3="",G3&lt;&gt;"Open",I3=""),"",IF(I3&lt;TODAY(),"Overdue",IF(I3&lt;=TODAY()+7,"Due Soon","")))</f>
        <v/>
      </c>
    </row>
    <row r="4" customFormat="false" ht="15" hidden="false" customHeight="false" outlineLevel="0" collapsed="false">
      <c r="A4" s="32"/>
      <c r="B4" s="32"/>
      <c r="C4" s="32"/>
      <c r="D4" s="33"/>
      <c r="E4" s="33"/>
      <c r="F4" s="32"/>
      <c r="G4" s="32"/>
      <c r="H4" s="35"/>
      <c r="I4" s="35"/>
      <c r="J4" s="35"/>
      <c r="K4" s="33"/>
      <c r="L4" s="37" t="str">
        <f aca="true">IF(OR(B4="",G4&lt;&gt;"Open",I4=""),"",IF(I4&lt;TODAY(),"Overdue",IF(I4&lt;=TODAY()+7,"Due Soon","")))</f>
        <v/>
      </c>
    </row>
    <row r="5" customFormat="false" ht="15" hidden="false" customHeight="false" outlineLevel="0" collapsed="false">
      <c r="A5" s="32"/>
      <c r="B5" s="32"/>
      <c r="C5" s="32"/>
      <c r="D5" s="33"/>
      <c r="E5" s="33"/>
      <c r="F5" s="32"/>
      <c r="G5" s="32"/>
      <c r="H5" s="35"/>
      <c r="I5" s="35"/>
      <c r="J5" s="35"/>
      <c r="K5" s="33"/>
      <c r="L5" s="37" t="str">
        <f aca="true">IF(OR(B5="",G5&lt;&gt;"Open",I5=""),"",IF(I5&lt;TODAY(),"Overdue",IF(I5&lt;=TODAY()+7,"Due Soon","")))</f>
        <v/>
      </c>
    </row>
    <row r="6" customFormat="false" ht="15" hidden="false" customHeight="false" outlineLevel="0" collapsed="false">
      <c r="A6" s="32"/>
      <c r="B6" s="32"/>
      <c r="C6" s="32"/>
      <c r="D6" s="33"/>
      <c r="E6" s="33"/>
      <c r="F6" s="32"/>
      <c r="G6" s="32"/>
      <c r="H6" s="35"/>
      <c r="I6" s="35"/>
      <c r="J6" s="35"/>
      <c r="K6" s="33"/>
      <c r="L6" s="37" t="str">
        <f aca="true">IF(OR(B6="",G6&lt;&gt;"Open",I6=""),"",IF(I6&lt;TODAY(),"Overdue",IF(I6&lt;=TODAY()+7,"Due Soon","")))</f>
        <v/>
      </c>
    </row>
    <row r="7" customFormat="false" ht="15" hidden="false" customHeight="false" outlineLevel="0" collapsed="false">
      <c r="A7" s="32"/>
      <c r="B7" s="32"/>
      <c r="C7" s="32"/>
      <c r="D7" s="33"/>
      <c r="E7" s="33"/>
      <c r="F7" s="32"/>
      <c r="G7" s="32"/>
      <c r="H7" s="35"/>
      <c r="I7" s="35"/>
      <c r="J7" s="35"/>
      <c r="K7" s="33"/>
      <c r="L7" s="37" t="str">
        <f aca="true">IF(OR(B7="",G7&lt;&gt;"Open",I7=""),"",IF(I7&lt;TODAY(),"Overdue",IF(I7&lt;=TODAY()+7,"Due Soon","")))</f>
        <v/>
      </c>
    </row>
    <row r="8" customFormat="false" ht="15" hidden="false" customHeight="false" outlineLevel="0" collapsed="false">
      <c r="A8" s="32"/>
      <c r="B8" s="32"/>
      <c r="C8" s="32"/>
      <c r="D8" s="33"/>
      <c r="E8" s="33"/>
      <c r="F8" s="32"/>
      <c r="G8" s="32"/>
      <c r="H8" s="35"/>
      <c r="I8" s="35"/>
      <c r="J8" s="35"/>
      <c r="K8" s="33"/>
      <c r="L8" s="37" t="str">
        <f aca="true">IF(OR(B8="",G8&lt;&gt;"Open",I8=""),"",IF(I8&lt;TODAY(),"Overdue",IF(I8&lt;=TODAY()+7,"Due Soon","")))</f>
        <v/>
      </c>
    </row>
    <row r="9" customFormat="false" ht="15" hidden="false" customHeight="false" outlineLevel="0" collapsed="false">
      <c r="A9" s="32"/>
      <c r="B9" s="32"/>
      <c r="C9" s="32"/>
      <c r="D9" s="33"/>
      <c r="E9" s="33"/>
      <c r="F9" s="32"/>
      <c r="G9" s="32"/>
      <c r="H9" s="35"/>
      <c r="I9" s="35"/>
      <c r="J9" s="35"/>
      <c r="K9" s="33"/>
      <c r="L9" s="37" t="str">
        <f aca="true">IF(OR(B9="",G9&lt;&gt;"Open",I9=""),"",IF(I9&lt;TODAY(),"Overdue",IF(I9&lt;=TODAY()+7,"Due Soon","")))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3"/>
      <c r="F10" s="32"/>
      <c r="G10" s="32"/>
      <c r="H10" s="35"/>
      <c r="I10" s="35"/>
      <c r="J10" s="35"/>
      <c r="K10" s="33"/>
      <c r="L10" s="37" t="str">
        <f aca="true">IF(OR(B10="",G10&lt;&gt;"Open",I10=""),"",IF(I10&lt;TODAY(),"Overdue",IF(I10&lt;=TODAY()+7,"Due Soon","")))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3"/>
      <c r="F11" s="32"/>
      <c r="G11" s="32"/>
      <c r="H11" s="35"/>
      <c r="I11" s="35"/>
      <c r="J11" s="35"/>
      <c r="K11" s="33"/>
      <c r="L11" s="37" t="str">
        <f aca="true">IF(OR(B11="",G11&lt;&gt;"Open",I11=""),"",IF(I11&lt;TODAY(),"Overdue",IF(I11&lt;=TODAY()+7,"Due Soon","")))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3"/>
      <c r="F12" s="32"/>
      <c r="G12" s="32"/>
      <c r="H12" s="35"/>
      <c r="I12" s="35"/>
      <c r="J12" s="35"/>
      <c r="K12" s="33"/>
      <c r="L12" s="37" t="str">
        <f aca="true">IF(OR(B12="",G12&lt;&gt;"Open",I12=""),"",IF(I12&lt;TODAY(),"Overdue",IF(I12&lt;=TODAY()+7,"Due Soon","")))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3"/>
      <c r="F13" s="32"/>
      <c r="G13" s="32"/>
      <c r="H13" s="35"/>
      <c r="I13" s="35"/>
      <c r="J13" s="35"/>
      <c r="K13" s="33"/>
      <c r="L13" s="37" t="str">
        <f aca="true">IF(OR(B13="",G13&lt;&gt;"Open",I13=""),"",IF(I13&lt;TODAY(),"Overdue",IF(I13&lt;=TODAY()+7,"Due Soon","")))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3"/>
      <c r="F14" s="32"/>
      <c r="G14" s="32"/>
      <c r="H14" s="35"/>
      <c r="I14" s="35"/>
      <c r="J14" s="35"/>
      <c r="K14" s="33"/>
      <c r="L14" s="37" t="str">
        <f aca="true">IF(OR(B14="",G14&lt;&gt;"Open",I14=""),"",IF(I14&lt;TODAY(),"Overdue",IF(I14&lt;=TODAY()+7,"Due Soon","")))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3"/>
      <c r="F15" s="32"/>
      <c r="G15" s="32"/>
      <c r="H15" s="35"/>
      <c r="I15" s="35"/>
      <c r="J15" s="35"/>
      <c r="K15" s="33"/>
      <c r="L15" s="37" t="str">
        <f aca="true">IF(OR(B15="",G15&lt;&gt;"Open",I15=""),"",IF(I15&lt;TODAY(),"Overdue",IF(I15&lt;=TODAY()+7,"Due Soon","")))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3"/>
      <c r="F16" s="32"/>
      <c r="G16" s="32"/>
      <c r="H16" s="35"/>
      <c r="I16" s="35"/>
      <c r="J16" s="35"/>
      <c r="K16" s="33"/>
      <c r="L16" s="37" t="str">
        <f aca="true">IF(OR(B16="",G16&lt;&gt;"Open",I16=""),"",IF(I16&lt;TODAY(),"Overdue",IF(I16&lt;=TODAY()+7,"Due Soon","")))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3"/>
      <c r="F17" s="32"/>
      <c r="G17" s="32"/>
      <c r="H17" s="35"/>
      <c r="I17" s="35"/>
      <c r="J17" s="35"/>
      <c r="K17" s="33"/>
      <c r="L17" s="37" t="str">
        <f aca="true">IF(OR(B17="",G17&lt;&gt;"Open",I17=""),"",IF(I17&lt;TODAY(),"Overdue",IF(I17&lt;=TODAY()+7,"Due Soon","")))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3"/>
      <c r="F18" s="32"/>
      <c r="G18" s="32"/>
      <c r="H18" s="35"/>
      <c r="I18" s="35"/>
      <c r="J18" s="35"/>
      <c r="K18" s="33"/>
      <c r="L18" s="37" t="str">
        <f aca="true">IF(OR(B18="",G18&lt;&gt;"Open",I18=""),"",IF(I18&lt;TODAY(),"Overdue",IF(I18&lt;=TODAY()+7,"Due Soon","")))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3"/>
      <c r="F19" s="32"/>
      <c r="G19" s="32"/>
      <c r="H19" s="35"/>
      <c r="I19" s="35"/>
      <c r="J19" s="35"/>
      <c r="K19" s="33"/>
      <c r="L19" s="37" t="str">
        <f aca="true">IF(OR(B19="",G19&lt;&gt;"Open",I19=""),"",IF(I19&lt;TODAY(),"Overdue",IF(I19&lt;=TODAY()+7,"Due Soon","")))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3"/>
      <c r="F20" s="32"/>
      <c r="G20" s="32"/>
      <c r="H20" s="35"/>
      <c r="I20" s="35"/>
      <c r="J20" s="35"/>
      <c r="K20" s="33"/>
      <c r="L20" s="37" t="str">
        <f aca="true">IF(OR(B20="",G20&lt;&gt;"Open",I20=""),"",IF(I20&lt;TODAY(),"Overdue",IF(I20&lt;=TODAY()+7,"Due Soon","")))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3"/>
      <c r="F21" s="32"/>
      <c r="G21" s="32"/>
      <c r="H21" s="35"/>
      <c r="I21" s="35"/>
      <c r="J21" s="35"/>
      <c r="K21" s="33"/>
      <c r="L21" s="37" t="str">
        <f aca="true">IF(OR(B21="",G21&lt;&gt;"Open",I21=""),"",IF(I21&lt;TODAY(),"Overdue",IF(I21&lt;=TODAY()+7,"Due Soon","")))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3"/>
      <c r="F22" s="32"/>
      <c r="G22" s="32"/>
      <c r="H22" s="35"/>
      <c r="I22" s="35"/>
      <c r="J22" s="35"/>
      <c r="K22" s="33"/>
      <c r="L22" s="37" t="str">
        <f aca="true">IF(OR(B22="",G22&lt;&gt;"Open",I22=""),"",IF(I22&lt;TODAY(),"Overdue",IF(I22&lt;=TODAY()+7,"Due Soon","")))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3"/>
      <c r="F23" s="32"/>
      <c r="G23" s="32"/>
      <c r="H23" s="35"/>
      <c r="I23" s="35"/>
      <c r="J23" s="35"/>
      <c r="K23" s="33"/>
      <c r="L23" s="37" t="str">
        <f aca="true">IF(OR(B23="",G23&lt;&gt;"Open",I23=""),"",IF(I23&lt;TODAY(),"Overdue",IF(I23&lt;=TODAY()+7,"Due Soon","")))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3"/>
      <c r="F24" s="32"/>
      <c r="G24" s="32"/>
      <c r="H24" s="35"/>
      <c r="I24" s="35"/>
      <c r="J24" s="35"/>
      <c r="K24" s="33"/>
      <c r="L24" s="37" t="str">
        <f aca="true">IF(OR(B24="",G24&lt;&gt;"Open",I24=""),"",IF(I24&lt;TODAY(),"Overdue",IF(I24&lt;=TODAY()+7,"Due Soon","")))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3"/>
      <c r="F25" s="32"/>
      <c r="G25" s="32"/>
      <c r="H25" s="35"/>
      <c r="I25" s="35"/>
      <c r="J25" s="35"/>
      <c r="K25" s="33"/>
      <c r="L25" s="37" t="str">
        <f aca="true">IF(OR(B25="",G25&lt;&gt;"Open",I25=""),"",IF(I25&lt;TODAY(),"Overdue",IF(I25&lt;=TODAY()+7,"Due Soon","")))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3"/>
      <c r="F26" s="32"/>
      <c r="G26" s="32"/>
      <c r="H26" s="35"/>
      <c r="I26" s="35"/>
      <c r="J26" s="35"/>
      <c r="K26" s="33"/>
      <c r="L26" s="37" t="str">
        <f aca="true">IF(OR(B26="",G26&lt;&gt;"Open",I26=""),"",IF(I26&lt;TODAY(),"Overdue",IF(I26&lt;=TODAY()+7,"Due Soon","")))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3"/>
      <c r="F27" s="32"/>
      <c r="G27" s="32"/>
      <c r="H27" s="35"/>
      <c r="I27" s="35"/>
      <c r="J27" s="35"/>
      <c r="K27" s="33"/>
      <c r="L27" s="37" t="str">
        <f aca="true">IF(OR(B27="",G27&lt;&gt;"Open",I27=""),"",IF(I27&lt;TODAY(),"Overdue",IF(I27&lt;=TODAY()+7,"Due Soon","")))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3"/>
      <c r="F28" s="32"/>
      <c r="G28" s="32"/>
      <c r="H28" s="35"/>
      <c r="I28" s="35"/>
      <c r="J28" s="35"/>
      <c r="K28" s="33"/>
      <c r="L28" s="37" t="str">
        <f aca="true">IF(OR(B28="",G28&lt;&gt;"Open",I28=""),"",IF(I28&lt;TODAY(),"Overdue",IF(I28&lt;=TODAY()+7,"Due Soon","")))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3"/>
      <c r="F29" s="32"/>
      <c r="G29" s="32"/>
      <c r="H29" s="35"/>
      <c r="I29" s="35"/>
      <c r="J29" s="35"/>
      <c r="K29" s="33"/>
      <c r="L29" s="37" t="str">
        <f aca="true">IF(OR(B29="",G29&lt;&gt;"Open",I29=""),"",IF(I29&lt;TODAY(),"Overdue",IF(I29&lt;=TODAY()+7,"Due Soon","")))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3"/>
      <c r="F30" s="32"/>
      <c r="G30" s="32"/>
      <c r="H30" s="35"/>
      <c r="I30" s="35"/>
      <c r="J30" s="35"/>
      <c r="K30" s="33"/>
      <c r="L30" s="37" t="str">
        <f aca="true">IF(OR(B30="",G30&lt;&gt;"Open",I30=""),"",IF(I30&lt;TODAY(),"Overdue",IF(I30&lt;=TODAY()+7,"Due Soon","")))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3"/>
      <c r="F31" s="32"/>
      <c r="G31" s="32"/>
      <c r="H31" s="35"/>
      <c r="I31" s="35"/>
      <c r="J31" s="35"/>
      <c r="K31" s="33"/>
      <c r="L31" s="37" t="str">
        <f aca="true">IF(OR(B31="",G31&lt;&gt;"Open",I31=""),"",IF(I31&lt;TODAY(),"Overdue",IF(I31&lt;=TODAY()+7,"Due Soon","")))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3"/>
      <c r="F32" s="32"/>
      <c r="G32" s="32"/>
      <c r="H32" s="35"/>
      <c r="I32" s="35"/>
      <c r="J32" s="35"/>
      <c r="K32" s="33"/>
      <c r="L32" s="37" t="str">
        <f aca="true">IF(OR(B32="",G32&lt;&gt;"Open",I32=""),"",IF(I32&lt;TODAY(),"Overdue",IF(I32&lt;=TODAY()+7,"Due Soon","")))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3"/>
      <c r="F33" s="32"/>
      <c r="G33" s="32"/>
      <c r="H33" s="35"/>
      <c r="I33" s="35"/>
      <c r="J33" s="35"/>
      <c r="K33" s="33"/>
      <c r="L33" s="37" t="str">
        <f aca="true">IF(OR(B33="",G33&lt;&gt;"Open",I33=""),"",IF(I33&lt;TODAY(),"Overdue",IF(I33&lt;=TODAY()+7,"Due Soon","")))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3"/>
      <c r="F34" s="32"/>
      <c r="G34" s="32"/>
      <c r="H34" s="35"/>
      <c r="I34" s="35"/>
      <c r="J34" s="35"/>
      <c r="K34" s="33"/>
      <c r="L34" s="37" t="str">
        <f aca="true">IF(OR(B34="",G34&lt;&gt;"Open",I34=""),"",IF(I34&lt;TODAY(),"Overdue",IF(I34&lt;=TODAY()+7,"Due Soon","")))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3"/>
      <c r="F35" s="32"/>
      <c r="G35" s="32"/>
      <c r="H35" s="35"/>
      <c r="I35" s="35"/>
      <c r="J35" s="35"/>
      <c r="K35" s="33"/>
      <c r="L35" s="37" t="str">
        <f aca="true">IF(OR(B35="",G35&lt;&gt;"Open",I35=""),"",IF(I35&lt;TODAY(),"Overdue",IF(I35&lt;=TODAY()+7,"Due Soon","")))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3"/>
      <c r="F36" s="32"/>
      <c r="G36" s="32"/>
      <c r="H36" s="35"/>
      <c r="I36" s="35"/>
      <c r="J36" s="35"/>
      <c r="K36" s="33"/>
      <c r="L36" s="37" t="str">
        <f aca="true">IF(OR(B36="",G36&lt;&gt;"Open",I36=""),"",IF(I36&lt;TODAY(),"Overdue",IF(I36&lt;=TODAY()+7,"Due Soon","")))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3"/>
      <c r="F37" s="32"/>
      <c r="G37" s="32"/>
      <c r="H37" s="35"/>
      <c r="I37" s="35"/>
      <c r="J37" s="35"/>
      <c r="K37" s="33"/>
      <c r="L37" s="37" t="str">
        <f aca="true">IF(OR(B37="",G37&lt;&gt;"Open",I37=""),"",IF(I37&lt;TODAY(),"Overdue",IF(I37&lt;=TODAY()+7,"Due Soon","")))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3"/>
      <c r="F38" s="32"/>
      <c r="G38" s="32"/>
      <c r="H38" s="35"/>
      <c r="I38" s="35"/>
      <c r="J38" s="35"/>
      <c r="K38" s="33"/>
      <c r="L38" s="37" t="str">
        <f aca="true">IF(OR(B38="",G38&lt;&gt;"Open",I38=""),"",IF(I38&lt;TODAY(),"Overdue",IF(I38&lt;=TODAY()+7,"Due Soon","")))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3"/>
      <c r="F39" s="32"/>
      <c r="G39" s="32"/>
      <c r="H39" s="35"/>
      <c r="I39" s="35"/>
      <c r="J39" s="35"/>
      <c r="K39" s="33"/>
      <c r="L39" s="37" t="str">
        <f aca="true">IF(OR(B39="",G39&lt;&gt;"Open",I39=""),"",IF(I39&lt;TODAY(),"Overdue",IF(I39&lt;=TODAY()+7,"Due Soon","")))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3"/>
      <c r="F40" s="32"/>
      <c r="G40" s="32"/>
      <c r="H40" s="35"/>
      <c r="I40" s="35"/>
      <c r="J40" s="35"/>
      <c r="K40" s="33"/>
      <c r="L40" s="37" t="str">
        <f aca="true">IF(OR(B40="",G40&lt;&gt;"Open",I40=""),"",IF(I40&lt;TODAY(),"Overdue",IF(I40&lt;=TODAY()+7,"Due Soon","")))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3"/>
      <c r="F41" s="32"/>
      <c r="G41" s="32"/>
      <c r="H41" s="35"/>
      <c r="I41" s="35"/>
      <c r="J41" s="35"/>
      <c r="K41" s="33"/>
      <c r="L41" s="37" t="str">
        <f aca="true">IF(OR(B41="",G41&lt;&gt;"Open",I41=""),"",IF(I41&lt;TODAY(),"Overdue",IF(I41&lt;=TODAY()+7,"Due Soon","")))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3"/>
      <c r="F42" s="32"/>
      <c r="G42" s="32"/>
      <c r="H42" s="35"/>
      <c r="I42" s="35"/>
      <c r="J42" s="35"/>
      <c r="K42" s="33"/>
      <c r="L42" s="37" t="str">
        <f aca="true">IF(OR(B42="",G42&lt;&gt;"Open",I42=""),"",IF(I42&lt;TODAY(),"Overdue",IF(I42&lt;=TODAY()+7,"Due Soon","")))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3"/>
      <c r="F43" s="32"/>
      <c r="G43" s="32"/>
      <c r="H43" s="35"/>
      <c r="I43" s="35"/>
      <c r="J43" s="35"/>
      <c r="K43" s="33"/>
      <c r="L43" s="37" t="str">
        <f aca="true">IF(OR(B43="",G43&lt;&gt;"Open",I43=""),"",IF(I43&lt;TODAY(),"Overdue",IF(I43&lt;=TODAY()+7,"Due Soon","")))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3"/>
      <c r="F44" s="32"/>
      <c r="G44" s="32"/>
      <c r="H44" s="35"/>
      <c r="I44" s="35"/>
      <c r="J44" s="35"/>
      <c r="K44" s="33"/>
      <c r="L44" s="37" t="str">
        <f aca="true">IF(OR(B44="",G44&lt;&gt;"Open",I44=""),"",IF(I44&lt;TODAY(),"Overdue",IF(I44&lt;=TODAY()+7,"Due Soon","")))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3"/>
      <c r="F45" s="32"/>
      <c r="G45" s="32"/>
      <c r="H45" s="35"/>
      <c r="I45" s="35"/>
      <c r="J45" s="35"/>
      <c r="K45" s="33"/>
      <c r="L45" s="37" t="str">
        <f aca="true">IF(OR(B45="",G45&lt;&gt;"Open",I45=""),"",IF(I45&lt;TODAY(),"Overdue",IF(I45&lt;=TODAY()+7,"Due Soon","")))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3"/>
      <c r="F46" s="32"/>
      <c r="G46" s="32"/>
      <c r="H46" s="35"/>
      <c r="I46" s="35"/>
      <c r="J46" s="35"/>
      <c r="K46" s="33"/>
      <c r="L46" s="37" t="str">
        <f aca="true">IF(OR(B46="",G46&lt;&gt;"Open",I46=""),"",IF(I46&lt;TODAY(),"Overdue",IF(I46&lt;=TODAY()+7,"Due Soon","")))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3"/>
      <c r="F47" s="32"/>
      <c r="G47" s="32"/>
      <c r="H47" s="35"/>
      <c r="I47" s="35"/>
      <c r="J47" s="35"/>
      <c r="K47" s="33"/>
      <c r="L47" s="37" t="str">
        <f aca="true">IF(OR(B47="",G47&lt;&gt;"Open",I47=""),"",IF(I47&lt;TODAY(),"Overdue",IF(I47&lt;=TODAY()+7,"Due Soon","")))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3"/>
      <c r="F48" s="32"/>
      <c r="G48" s="32"/>
      <c r="H48" s="35"/>
      <c r="I48" s="35"/>
      <c r="J48" s="35"/>
      <c r="K48" s="33"/>
      <c r="L48" s="37" t="str">
        <f aca="true">IF(OR(B48="",G48&lt;&gt;"Open",I48=""),"",IF(I48&lt;TODAY(),"Overdue",IF(I48&lt;=TODAY()+7,"Due Soon","")))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3"/>
      <c r="F49" s="32"/>
      <c r="G49" s="32"/>
      <c r="H49" s="35"/>
      <c r="I49" s="35"/>
      <c r="J49" s="35"/>
      <c r="K49" s="33"/>
      <c r="L49" s="37" t="str">
        <f aca="true">IF(OR(B49="",G49&lt;&gt;"Open",I49=""),"",IF(I49&lt;TODAY(),"Overdue",IF(I49&lt;=TODAY()+7,"Due Soon","")))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3"/>
      <c r="F50" s="32"/>
      <c r="G50" s="32"/>
      <c r="H50" s="35"/>
      <c r="I50" s="35"/>
      <c r="J50" s="35"/>
      <c r="K50" s="33"/>
      <c r="L50" s="37" t="str">
        <f aca="true">IF(OR(B50="",G50&lt;&gt;"Open",I50=""),"",IF(I50&lt;TODAY(),"Overdue",IF(I50&lt;=TODAY()+7,"Due Soon","")))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3"/>
      <c r="F51" s="32"/>
      <c r="G51" s="32"/>
      <c r="H51" s="35"/>
      <c r="I51" s="35"/>
      <c r="J51" s="35"/>
      <c r="K51" s="33"/>
      <c r="L51" s="37" t="str">
        <f aca="true">IF(OR(B51="",G51&lt;&gt;"Open",I51=""),"",IF(I51&lt;TODAY(),"Overdue",IF(I51&lt;=TODAY()+7,"Due Soon","")))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3"/>
      <c r="F52" s="32"/>
      <c r="G52" s="32"/>
      <c r="H52" s="35"/>
      <c r="I52" s="35"/>
      <c r="J52" s="35"/>
      <c r="K52" s="33"/>
      <c r="L52" s="37" t="str">
        <f aca="true">IF(OR(B52="",G52&lt;&gt;"Open",I52=""),"",IF(I52&lt;TODAY(),"Overdue",IF(I52&lt;=TODAY()+7,"Due Soon","")))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3"/>
      <c r="F53" s="32"/>
      <c r="G53" s="32"/>
      <c r="H53" s="35"/>
      <c r="I53" s="35"/>
      <c r="J53" s="35"/>
      <c r="K53" s="33"/>
      <c r="L53" s="37" t="str">
        <f aca="true">IF(OR(B53="",G53&lt;&gt;"Open",I53=""),"",IF(I53&lt;TODAY(),"Overdue",IF(I53&lt;=TODAY()+7,"Due Soon","")))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3"/>
      <c r="F54" s="32"/>
      <c r="G54" s="32"/>
      <c r="H54" s="35"/>
      <c r="I54" s="35"/>
      <c r="J54" s="35"/>
      <c r="K54" s="33"/>
      <c r="L54" s="37" t="str">
        <f aca="true">IF(OR(B54="",G54&lt;&gt;"Open",I54=""),"",IF(I54&lt;TODAY(),"Overdue",IF(I54&lt;=TODAY()+7,"Due Soon","")))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3"/>
      <c r="F55" s="32"/>
      <c r="G55" s="32"/>
      <c r="H55" s="35"/>
      <c r="I55" s="35"/>
      <c r="J55" s="35"/>
      <c r="K55" s="33"/>
      <c r="L55" s="37" t="str">
        <f aca="true">IF(OR(B55="",G55&lt;&gt;"Open",I55=""),"",IF(I55&lt;TODAY(),"Overdue",IF(I55&lt;=TODAY()+7,"Due Soon","")))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3"/>
      <c r="F56" s="32"/>
      <c r="G56" s="32"/>
      <c r="H56" s="35"/>
      <c r="I56" s="35"/>
      <c r="J56" s="35"/>
      <c r="K56" s="33"/>
      <c r="L56" s="37" t="str">
        <f aca="true">IF(OR(B56="",G56&lt;&gt;"Open",I56=""),"",IF(I56&lt;TODAY(),"Overdue",IF(I56&lt;=TODAY()+7,"Due Soon","")))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3"/>
      <c r="F57" s="32"/>
      <c r="G57" s="32"/>
      <c r="H57" s="35"/>
      <c r="I57" s="35"/>
      <c r="J57" s="35"/>
      <c r="K57" s="33"/>
      <c r="L57" s="37" t="str">
        <f aca="true">IF(OR(B57="",G57&lt;&gt;"Open",I57=""),"",IF(I57&lt;TODAY(),"Overdue",IF(I57&lt;=TODAY()+7,"Due Soon","")))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3"/>
      <c r="F58" s="32"/>
      <c r="G58" s="32"/>
      <c r="H58" s="35"/>
      <c r="I58" s="35"/>
      <c r="J58" s="35"/>
      <c r="K58" s="33"/>
      <c r="L58" s="37" t="str">
        <f aca="true">IF(OR(B58="",G58&lt;&gt;"Open",I58=""),"",IF(I58&lt;TODAY(),"Overdue",IF(I58&lt;=TODAY()+7,"Due Soon","")))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3"/>
      <c r="F59" s="32"/>
      <c r="G59" s="32"/>
      <c r="H59" s="35"/>
      <c r="I59" s="35"/>
      <c r="J59" s="35"/>
      <c r="K59" s="33"/>
      <c r="L59" s="37" t="str">
        <f aca="true">IF(OR(B59="",G59&lt;&gt;"Open",I59=""),"",IF(I59&lt;TODAY(),"Overdue",IF(I59&lt;=TODAY()+7,"Due Soon","")))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3"/>
      <c r="F60" s="32"/>
      <c r="G60" s="32"/>
      <c r="H60" s="35"/>
      <c r="I60" s="35"/>
      <c r="J60" s="35"/>
      <c r="K60" s="33"/>
      <c r="L60" s="37" t="str">
        <f aca="true">IF(OR(B60="",G60&lt;&gt;"Open",I60=""),"",IF(I60&lt;TODAY(),"Overdue",IF(I60&lt;=TODAY()+7,"Due Soon","")))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3"/>
      <c r="F61" s="32"/>
      <c r="G61" s="32"/>
      <c r="H61" s="35"/>
      <c r="I61" s="35"/>
      <c r="J61" s="35"/>
      <c r="K61" s="33"/>
      <c r="L61" s="37" t="str">
        <f aca="true">IF(OR(B61="",G61&lt;&gt;"Open",I61=""),"",IF(I61&lt;TODAY(),"Overdue",IF(I61&lt;=TODAY()+7,"Due Soon","")))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3"/>
      <c r="F62" s="32"/>
      <c r="G62" s="32"/>
      <c r="H62" s="35"/>
      <c r="I62" s="35"/>
      <c r="J62" s="35"/>
      <c r="K62" s="33"/>
      <c r="L62" s="37" t="str">
        <f aca="true">IF(OR(B62="",G62&lt;&gt;"Open",I62=""),"",IF(I62&lt;TODAY(),"Overdue",IF(I62&lt;=TODAY()+7,"Due Soon","")))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3"/>
      <c r="F63" s="32"/>
      <c r="G63" s="32"/>
      <c r="H63" s="35"/>
      <c r="I63" s="35"/>
      <c r="J63" s="35"/>
      <c r="K63" s="33"/>
      <c r="L63" s="37" t="str">
        <f aca="true">IF(OR(B63="",G63&lt;&gt;"Open",I63=""),"",IF(I63&lt;TODAY(),"Overdue",IF(I63&lt;=TODAY()+7,"Due Soon","")))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3"/>
      <c r="F64" s="32"/>
      <c r="G64" s="32"/>
      <c r="H64" s="35"/>
      <c r="I64" s="35"/>
      <c r="J64" s="35"/>
      <c r="K64" s="33"/>
      <c r="L64" s="37" t="str">
        <f aca="true">IF(OR(B64="",G64&lt;&gt;"Open",I64=""),"",IF(I64&lt;TODAY(),"Overdue",IF(I64&lt;=TODAY()+7,"Due Soon","")))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3"/>
      <c r="F65" s="32"/>
      <c r="G65" s="32"/>
      <c r="H65" s="35"/>
      <c r="I65" s="35"/>
      <c r="J65" s="35"/>
      <c r="K65" s="33"/>
      <c r="L65" s="37" t="str">
        <f aca="true">IF(OR(B65="",G65&lt;&gt;"Open",I65=""),"",IF(I65&lt;TODAY(),"Overdue",IF(I65&lt;=TODAY()+7,"Due Soon","")))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3"/>
      <c r="F66" s="32"/>
      <c r="G66" s="32"/>
      <c r="H66" s="35"/>
      <c r="I66" s="35"/>
      <c r="J66" s="35"/>
      <c r="K66" s="33"/>
      <c r="L66" s="37" t="str">
        <f aca="true">IF(OR(B66="",G66&lt;&gt;"Open",I66=""),"",IF(I66&lt;TODAY(),"Overdue",IF(I66&lt;=TODAY()+7,"Due Soon","")))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3"/>
      <c r="F67" s="32"/>
      <c r="G67" s="32"/>
      <c r="H67" s="35"/>
      <c r="I67" s="35"/>
      <c r="J67" s="35"/>
      <c r="K67" s="33"/>
      <c r="L67" s="37" t="str">
        <f aca="true">IF(OR(B67="",G67&lt;&gt;"Open",I67=""),"",IF(I67&lt;TODAY(),"Overdue",IF(I67&lt;=TODAY()+7,"Due Soon","")))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3"/>
      <c r="F68" s="32"/>
      <c r="G68" s="32"/>
      <c r="H68" s="35"/>
      <c r="I68" s="35"/>
      <c r="J68" s="35"/>
      <c r="K68" s="33"/>
      <c r="L68" s="37" t="str">
        <f aca="true">IF(OR(B68="",G68&lt;&gt;"Open",I68=""),"",IF(I68&lt;TODAY(),"Overdue",IF(I68&lt;=TODAY()+7,"Due Soon","")))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3"/>
      <c r="F69" s="32"/>
      <c r="G69" s="32"/>
      <c r="H69" s="35"/>
      <c r="I69" s="35"/>
      <c r="J69" s="35"/>
      <c r="K69" s="33"/>
      <c r="L69" s="37" t="str">
        <f aca="true">IF(OR(B69="",G69&lt;&gt;"Open",I69=""),"",IF(I69&lt;TODAY(),"Overdue",IF(I69&lt;=TODAY()+7,"Due Soon","")))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3"/>
      <c r="F70" s="32"/>
      <c r="G70" s="32"/>
      <c r="H70" s="35"/>
      <c r="I70" s="35"/>
      <c r="J70" s="35"/>
      <c r="K70" s="33"/>
      <c r="L70" s="37" t="str">
        <f aca="true">IF(OR(B70="",G70&lt;&gt;"Open",I70=""),"",IF(I70&lt;TODAY(),"Overdue",IF(I70&lt;=TODAY()+7,"Due Soon","")))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3"/>
      <c r="F71" s="32"/>
      <c r="G71" s="32"/>
      <c r="H71" s="35"/>
      <c r="I71" s="35"/>
      <c r="J71" s="35"/>
      <c r="K71" s="33"/>
      <c r="L71" s="37" t="str">
        <f aca="true">IF(OR(B71="",G71&lt;&gt;"Open",I71=""),"",IF(I71&lt;TODAY(),"Overdue",IF(I71&lt;=TODAY()+7,"Due Soon","")))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3"/>
      <c r="F72" s="32"/>
      <c r="G72" s="32"/>
      <c r="H72" s="35"/>
      <c r="I72" s="35"/>
      <c r="J72" s="35"/>
      <c r="K72" s="33"/>
      <c r="L72" s="37" t="str">
        <f aca="true">IF(OR(B72="",G72&lt;&gt;"Open",I72=""),"",IF(I72&lt;TODAY(),"Overdue",IF(I72&lt;=TODAY()+7,"Due Soon","")))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3"/>
      <c r="F73" s="32"/>
      <c r="G73" s="32"/>
      <c r="H73" s="35"/>
      <c r="I73" s="35"/>
      <c r="J73" s="35"/>
      <c r="K73" s="33"/>
      <c r="L73" s="37" t="str">
        <f aca="true">IF(OR(B73="",G73&lt;&gt;"Open",I73=""),"",IF(I73&lt;TODAY(),"Overdue",IF(I73&lt;=TODAY()+7,"Due Soon","")))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3"/>
      <c r="F74" s="32"/>
      <c r="G74" s="32"/>
      <c r="H74" s="35"/>
      <c r="I74" s="35"/>
      <c r="J74" s="35"/>
      <c r="K74" s="33"/>
      <c r="L74" s="37" t="str">
        <f aca="true">IF(OR(B74="",G74&lt;&gt;"Open",I74=""),"",IF(I74&lt;TODAY(),"Overdue",IF(I74&lt;=TODAY()+7,"Due Soon","")))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3"/>
      <c r="F75" s="32"/>
      <c r="G75" s="32"/>
      <c r="H75" s="35"/>
      <c r="I75" s="35"/>
      <c r="J75" s="35"/>
      <c r="K75" s="33"/>
      <c r="L75" s="37" t="str">
        <f aca="true">IF(OR(B75="",G75&lt;&gt;"Open",I75=""),"",IF(I75&lt;TODAY(),"Overdue",IF(I75&lt;=TODAY()+7,"Due Soon","")))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3"/>
      <c r="F76" s="32"/>
      <c r="G76" s="32"/>
      <c r="H76" s="35"/>
      <c r="I76" s="35"/>
      <c r="J76" s="35"/>
      <c r="K76" s="33"/>
      <c r="L76" s="37" t="str">
        <f aca="true">IF(OR(B76="",G76&lt;&gt;"Open",I76=""),"",IF(I76&lt;TODAY(),"Overdue",IF(I76&lt;=TODAY()+7,"Due Soon","")))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3"/>
      <c r="F77" s="32"/>
      <c r="G77" s="32"/>
      <c r="H77" s="35"/>
      <c r="I77" s="35"/>
      <c r="J77" s="35"/>
      <c r="K77" s="33"/>
      <c r="L77" s="37" t="str">
        <f aca="true">IF(OR(B77="",G77&lt;&gt;"Open",I77=""),"",IF(I77&lt;TODAY(),"Overdue",IF(I77&lt;=TODAY()+7,"Due Soon","")))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3"/>
      <c r="F78" s="32"/>
      <c r="G78" s="32"/>
      <c r="H78" s="35"/>
      <c r="I78" s="35"/>
      <c r="J78" s="35"/>
      <c r="K78" s="33"/>
      <c r="L78" s="37" t="str">
        <f aca="true">IF(OR(B78="",G78&lt;&gt;"Open",I78=""),"",IF(I78&lt;TODAY(),"Overdue",IF(I78&lt;=TODAY()+7,"Due Soon","")))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3"/>
      <c r="F79" s="32"/>
      <c r="G79" s="32"/>
      <c r="H79" s="35"/>
      <c r="I79" s="35"/>
      <c r="J79" s="35"/>
      <c r="K79" s="33"/>
      <c r="L79" s="37" t="str">
        <f aca="true">IF(OR(B79="",G79&lt;&gt;"Open",I79=""),"",IF(I79&lt;TODAY(),"Overdue",IF(I79&lt;=TODAY()+7,"Due Soon","")))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3"/>
      <c r="F80" s="32"/>
      <c r="G80" s="32"/>
      <c r="H80" s="35"/>
      <c r="I80" s="35"/>
      <c r="J80" s="35"/>
      <c r="K80" s="33"/>
      <c r="L80" s="37" t="str">
        <f aca="true">IF(OR(B80="",G80&lt;&gt;"Open",I80=""),"",IF(I80&lt;TODAY(),"Overdue",IF(I80&lt;=TODAY()+7,"Due Soon","")))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3"/>
      <c r="F81" s="32"/>
      <c r="G81" s="32"/>
      <c r="H81" s="35"/>
      <c r="I81" s="35"/>
      <c r="J81" s="35"/>
      <c r="K81" s="33"/>
      <c r="L81" s="37" t="str">
        <f aca="true">IF(OR(B81="",G81&lt;&gt;"Open",I81=""),"",IF(I81&lt;TODAY(),"Overdue",IF(I81&lt;=TODAY()+7,"Due Soon","")))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3"/>
      <c r="F82" s="32"/>
      <c r="G82" s="32"/>
      <c r="H82" s="35"/>
      <c r="I82" s="35"/>
      <c r="J82" s="35"/>
      <c r="K82" s="33"/>
      <c r="L82" s="37" t="str">
        <f aca="true">IF(OR(B82="",G82&lt;&gt;"Open",I82=""),"",IF(I82&lt;TODAY(),"Overdue",IF(I82&lt;=TODAY()+7,"Due Soon","")))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3"/>
      <c r="F83" s="32"/>
      <c r="G83" s="32"/>
      <c r="H83" s="35"/>
      <c r="I83" s="35"/>
      <c r="J83" s="35"/>
      <c r="K83" s="33"/>
      <c r="L83" s="37" t="str">
        <f aca="true">IF(OR(B83="",G83&lt;&gt;"Open",I83=""),"",IF(I83&lt;TODAY(),"Overdue",IF(I83&lt;=TODAY()+7,"Due Soon","")))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3"/>
      <c r="F84" s="32"/>
      <c r="G84" s="32"/>
      <c r="H84" s="35"/>
      <c r="I84" s="35"/>
      <c r="J84" s="35"/>
      <c r="K84" s="33"/>
      <c r="L84" s="37" t="str">
        <f aca="true">IF(OR(B84="",G84&lt;&gt;"Open",I84=""),"",IF(I84&lt;TODAY(),"Overdue",IF(I84&lt;=TODAY()+7,"Due Soon","")))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3"/>
      <c r="F85" s="32"/>
      <c r="G85" s="32"/>
      <c r="H85" s="35"/>
      <c r="I85" s="35"/>
      <c r="J85" s="35"/>
      <c r="K85" s="33"/>
      <c r="L85" s="37" t="str">
        <f aca="true">IF(OR(B85="",G85&lt;&gt;"Open",I85=""),"",IF(I85&lt;TODAY(),"Overdue",IF(I85&lt;=TODAY()+7,"Due Soon","")))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3"/>
      <c r="F86" s="32"/>
      <c r="G86" s="32"/>
      <c r="H86" s="35"/>
      <c r="I86" s="35"/>
      <c r="J86" s="35"/>
      <c r="K86" s="33"/>
      <c r="L86" s="37" t="str">
        <f aca="true">IF(OR(B86="",G86&lt;&gt;"Open",I86=""),"",IF(I86&lt;TODAY(),"Overdue",IF(I86&lt;=TODAY()+7,"Due Soon","")))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3"/>
      <c r="F87" s="32"/>
      <c r="G87" s="32"/>
      <c r="H87" s="35"/>
      <c r="I87" s="35"/>
      <c r="J87" s="35"/>
      <c r="K87" s="33"/>
      <c r="L87" s="37" t="str">
        <f aca="true">IF(OR(B87="",G87&lt;&gt;"Open",I87=""),"",IF(I87&lt;TODAY(),"Overdue",IF(I87&lt;=TODAY()+7,"Due Soon","")))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3"/>
      <c r="F88" s="32"/>
      <c r="G88" s="32"/>
      <c r="H88" s="35"/>
      <c r="I88" s="35"/>
      <c r="J88" s="35"/>
      <c r="K88" s="33"/>
      <c r="L88" s="37" t="str">
        <f aca="true">IF(OR(B88="",G88&lt;&gt;"Open",I88=""),"",IF(I88&lt;TODAY(),"Overdue",IF(I88&lt;=TODAY()+7,"Due Soon","")))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3"/>
      <c r="F89" s="32"/>
      <c r="G89" s="32"/>
      <c r="H89" s="35"/>
      <c r="I89" s="35"/>
      <c r="J89" s="35"/>
      <c r="K89" s="33"/>
      <c r="L89" s="37" t="str">
        <f aca="true">IF(OR(B89="",G89&lt;&gt;"Open",I89=""),"",IF(I89&lt;TODAY(),"Overdue",IF(I89&lt;=TODAY()+7,"Due Soon","")))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3"/>
      <c r="F90" s="32"/>
      <c r="G90" s="32"/>
      <c r="H90" s="35"/>
      <c r="I90" s="35"/>
      <c r="J90" s="35"/>
      <c r="K90" s="33"/>
      <c r="L90" s="37" t="str">
        <f aca="true">IF(OR(B90="",G90&lt;&gt;"Open",I90=""),"",IF(I90&lt;TODAY(),"Overdue",IF(I90&lt;=TODAY()+7,"Due Soon","")))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3"/>
      <c r="F91" s="32"/>
      <c r="G91" s="32"/>
      <c r="H91" s="35"/>
      <c r="I91" s="35"/>
      <c r="J91" s="35"/>
      <c r="K91" s="33"/>
      <c r="L91" s="37" t="str">
        <f aca="true">IF(OR(B91="",G91&lt;&gt;"Open",I91=""),"",IF(I91&lt;TODAY(),"Overdue",IF(I91&lt;=TODAY()+7,"Due Soon","")))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3"/>
      <c r="F92" s="32"/>
      <c r="G92" s="32"/>
      <c r="H92" s="35"/>
      <c r="I92" s="35"/>
      <c r="J92" s="35"/>
      <c r="K92" s="33"/>
      <c r="L92" s="37" t="str">
        <f aca="true">IF(OR(B92="",G92&lt;&gt;"Open",I92=""),"",IF(I92&lt;TODAY(),"Overdue",IF(I92&lt;=TODAY()+7,"Due Soon","")))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3"/>
      <c r="F93" s="32"/>
      <c r="G93" s="32"/>
      <c r="H93" s="35"/>
      <c r="I93" s="35"/>
      <c r="J93" s="35"/>
      <c r="K93" s="33"/>
      <c r="L93" s="37" t="str">
        <f aca="true">IF(OR(B93="",G93&lt;&gt;"Open",I93=""),"",IF(I93&lt;TODAY(),"Overdue",IF(I93&lt;=TODAY()+7,"Due Soon","")))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3"/>
      <c r="F94" s="32"/>
      <c r="G94" s="32"/>
      <c r="H94" s="35"/>
      <c r="I94" s="35"/>
      <c r="J94" s="35"/>
      <c r="K94" s="33"/>
      <c r="L94" s="37" t="str">
        <f aca="true">IF(OR(B94="",G94&lt;&gt;"Open",I94=""),"",IF(I94&lt;TODAY(),"Overdue",IF(I94&lt;=TODAY()+7,"Due Soon","")))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3"/>
      <c r="F95" s="32"/>
      <c r="G95" s="32"/>
      <c r="H95" s="35"/>
      <c r="I95" s="35"/>
      <c r="J95" s="35"/>
      <c r="K95" s="33"/>
      <c r="L95" s="37" t="str">
        <f aca="true">IF(OR(B95="",G95&lt;&gt;"Open",I95=""),"",IF(I95&lt;TODAY(),"Overdue",IF(I95&lt;=TODAY()+7,"Due Soon","")))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3"/>
      <c r="F96" s="32"/>
      <c r="G96" s="32"/>
      <c r="H96" s="35"/>
      <c r="I96" s="35"/>
      <c r="J96" s="35"/>
      <c r="K96" s="33"/>
      <c r="L96" s="37" t="str">
        <f aca="true">IF(OR(B96="",G96&lt;&gt;"Open",I96=""),"",IF(I96&lt;TODAY(),"Overdue",IF(I96&lt;=TODAY()+7,"Due Soon","")))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3"/>
      <c r="F97" s="32"/>
      <c r="G97" s="32"/>
      <c r="H97" s="35"/>
      <c r="I97" s="35"/>
      <c r="J97" s="35"/>
      <c r="K97" s="33"/>
      <c r="L97" s="37" t="str">
        <f aca="true">IF(OR(B97="",G97&lt;&gt;"Open",I97=""),"",IF(I97&lt;TODAY(),"Overdue",IF(I97&lt;=TODAY()+7,"Due Soon","")))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3"/>
      <c r="F98" s="32"/>
      <c r="G98" s="32"/>
      <c r="H98" s="35"/>
      <c r="I98" s="35"/>
      <c r="J98" s="35"/>
      <c r="K98" s="33"/>
      <c r="L98" s="37" t="str">
        <f aca="true">IF(OR(B98="",G98&lt;&gt;"Open",I98=""),"",IF(I98&lt;TODAY(),"Overdue",IF(I98&lt;=TODAY()+7,"Due Soon","")))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3"/>
      <c r="F99" s="32"/>
      <c r="G99" s="32"/>
      <c r="H99" s="35"/>
      <c r="I99" s="35"/>
      <c r="J99" s="35"/>
      <c r="K99" s="33"/>
      <c r="L99" s="37" t="str">
        <f aca="true">IF(OR(B99="",G99&lt;&gt;"Open",I99=""),"",IF(I99&lt;TODAY(),"Overdue",IF(I99&lt;=TODAY()+7,"Due Soon","")))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3"/>
      <c r="F100" s="32"/>
      <c r="G100" s="32"/>
      <c r="H100" s="35"/>
      <c r="I100" s="35"/>
      <c r="J100" s="35"/>
      <c r="K100" s="33"/>
      <c r="L100" s="37" t="str">
        <f aca="true">IF(OR(B100="",G100&lt;&gt;"Open",I100=""),"",IF(I100&lt;TODAY(),"Overdue",IF(I100&lt;=TODAY()+7,"Due Soon","")))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3"/>
      <c r="F101" s="32"/>
      <c r="G101" s="32"/>
      <c r="H101" s="35"/>
      <c r="I101" s="35"/>
      <c r="J101" s="35"/>
      <c r="K101" s="33"/>
      <c r="L101" s="37" t="str">
        <f aca="true">IF(OR(B101="",G101&lt;&gt;"Open",I101=""),"",IF(I101&lt;TODAY(),"Overdue",IF(I101&lt;=TODAY()+7,"Due Soon","")))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3"/>
      <c r="F102" s="32"/>
      <c r="G102" s="32"/>
      <c r="H102" s="35"/>
      <c r="I102" s="35"/>
      <c r="J102" s="35"/>
      <c r="K102" s="33"/>
      <c r="L102" s="37" t="str">
        <f aca="true">IF(OR(B102="",G102&lt;&gt;"Open",I102=""),"",IF(I102&lt;TODAY(),"Overdue",IF(I102&lt;=TODAY()+7,"Due Soon","")))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3"/>
      <c r="F103" s="32"/>
      <c r="G103" s="32"/>
      <c r="H103" s="35"/>
      <c r="I103" s="35"/>
      <c r="J103" s="35"/>
      <c r="K103" s="33"/>
      <c r="L103" s="37" t="str">
        <f aca="true">IF(OR(B103="",G103&lt;&gt;"Open",I103=""),"",IF(I103&lt;TODAY(),"Overdue",IF(I103&lt;=TODAY()+7,"Due Soon","")))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3"/>
      <c r="F104" s="32"/>
      <c r="G104" s="32"/>
      <c r="H104" s="35"/>
      <c r="I104" s="35"/>
      <c r="J104" s="35"/>
      <c r="K104" s="33"/>
      <c r="L104" s="37" t="str">
        <f aca="true">IF(OR(B104="",G104&lt;&gt;"Open",I104=""),"",IF(I104&lt;TODAY(),"Overdue",IF(I104&lt;=TODAY()+7,"Due Soon","")))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3"/>
      <c r="F105" s="32"/>
      <c r="G105" s="32"/>
      <c r="H105" s="35"/>
      <c r="I105" s="35"/>
      <c r="J105" s="35"/>
      <c r="K105" s="33"/>
      <c r="L105" s="37" t="str">
        <f aca="true">IF(OR(B105="",G105&lt;&gt;"Open",I105=""),"",IF(I105&lt;TODAY(),"Overdue",IF(I105&lt;=TODAY()+7,"Due Soon","")))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3"/>
      <c r="F106" s="32"/>
      <c r="G106" s="32"/>
      <c r="H106" s="35"/>
      <c r="I106" s="35"/>
      <c r="J106" s="35"/>
      <c r="K106" s="33"/>
      <c r="L106" s="37" t="str">
        <f aca="true">IF(OR(B106="",G106&lt;&gt;"Open",I106=""),"",IF(I106&lt;TODAY(),"Overdue",IF(I106&lt;=TODAY()+7,"Due Soon","")))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3"/>
      <c r="F107" s="32"/>
      <c r="G107" s="32"/>
      <c r="H107" s="35"/>
      <c r="I107" s="35"/>
      <c r="J107" s="35"/>
      <c r="K107" s="33"/>
      <c r="L107" s="37" t="str">
        <f aca="true">IF(OR(B107="",G107&lt;&gt;"Open",I107=""),"",IF(I107&lt;TODAY(),"Overdue",IF(I107&lt;=TODAY()+7,"Due Soon","")))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3"/>
      <c r="F108" s="32"/>
      <c r="G108" s="32"/>
      <c r="H108" s="35"/>
      <c r="I108" s="35"/>
      <c r="J108" s="35"/>
      <c r="K108" s="33"/>
      <c r="L108" s="37" t="str">
        <f aca="true">IF(OR(B108="",G108&lt;&gt;"Open",I108=""),"",IF(I108&lt;TODAY(),"Overdue",IF(I108&lt;=TODAY()+7,"Due Soon","")))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3"/>
      <c r="F109" s="32"/>
      <c r="G109" s="32"/>
      <c r="H109" s="35"/>
      <c r="I109" s="35"/>
      <c r="J109" s="35"/>
      <c r="K109" s="33"/>
      <c r="L109" s="37" t="str">
        <f aca="true">IF(OR(B109="",G109&lt;&gt;"Open",I109=""),"",IF(I109&lt;TODAY(),"Overdue",IF(I109&lt;=TODAY()+7,"Due Soon","")))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3"/>
      <c r="F110" s="32"/>
      <c r="G110" s="32"/>
      <c r="H110" s="35"/>
      <c r="I110" s="35"/>
      <c r="J110" s="35"/>
      <c r="K110" s="33"/>
      <c r="L110" s="37" t="str">
        <f aca="true">IF(OR(B110="",G110&lt;&gt;"Open",I110=""),"",IF(I110&lt;TODAY(),"Overdue",IF(I110&lt;=TODAY()+7,"Due Soon","")))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3"/>
      <c r="F111" s="32"/>
      <c r="G111" s="32"/>
      <c r="H111" s="35"/>
      <c r="I111" s="35"/>
      <c r="J111" s="35"/>
      <c r="K111" s="33"/>
      <c r="L111" s="37" t="str">
        <f aca="true">IF(OR(B111="",G111&lt;&gt;"Open",I111=""),"",IF(I111&lt;TODAY(),"Overdue",IF(I111&lt;=TODAY()+7,"Due Soon","")))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3"/>
      <c r="F112" s="32"/>
      <c r="G112" s="32"/>
      <c r="H112" s="35"/>
      <c r="I112" s="35"/>
      <c r="J112" s="35"/>
      <c r="K112" s="33"/>
      <c r="L112" s="37" t="str">
        <f aca="true">IF(OR(B112="",G112&lt;&gt;"Open",I112=""),"",IF(I112&lt;TODAY(),"Overdue",IF(I112&lt;=TODAY()+7,"Due Soon","")))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3"/>
      <c r="F113" s="32"/>
      <c r="G113" s="32"/>
      <c r="H113" s="35"/>
      <c r="I113" s="35"/>
      <c r="J113" s="35"/>
      <c r="K113" s="33"/>
      <c r="L113" s="37" t="str">
        <f aca="true">IF(OR(B113="",G113&lt;&gt;"Open",I113=""),"",IF(I113&lt;TODAY(),"Overdue",IF(I113&lt;=TODAY()+7,"Due Soon","")))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3"/>
      <c r="F114" s="32"/>
      <c r="G114" s="32"/>
      <c r="H114" s="35"/>
      <c r="I114" s="35"/>
      <c r="J114" s="35"/>
      <c r="K114" s="33"/>
      <c r="L114" s="37" t="str">
        <f aca="true">IF(OR(B114="",G114&lt;&gt;"Open",I114=""),"",IF(I114&lt;TODAY(),"Overdue",IF(I114&lt;=TODAY()+7,"Due Soon","")))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3"/>
      <c r="F115" s="32"/>
      <c r="G115" s="32"/>
      <c r="H115" s="35"/>
      <c r="I115" s="35"/>
      <c r="J115" s="35"/>
      <c r="K115" s="33"/>
      <c r="L115" s="37" t="str">
        <f aca="true">IF(OR(B115="",G115&lt;&gt;"Open",I115=""),"",IF(I115&lt;TODAY(),"Overdue",IF(I115&lt;=TODAY()+7,"Due Soon","")))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3"/>
      <c r="F116" s="32"/>
      <c r="G116" s="32"/>
      <c r="H116" s="35"/>
      <c r="I116" s="35"/>
      <c r="J116" s="35"/>
      <c r="K116" s="33"/>
      <c r="L116" s="37" t="str">
        <f aca="true">IF(OR(B116="",G116&lt;&gt;"Open",I116=""),"",IF(I116&lt;TODAY(),"Overdue",IF(I116&lt;=TODAY()+7,"Due Soon","")))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3"/>
      <c r="F117" s="32"/>
      <c r="G117" s="32"/>
      <c r="H117" s="35"/>
      <c r="I117" s="35"/>
      <c r="J117" s="35"/>
      <c r="K117" s="33"/>
      <c r="L117" s="37" t="str">
        <f aca="true">IF(OR(B117="",G117&lt;&gt;"Open",I117=""),"",IF(I117&lt;TODAY(),"Overdue",IF(I117&lt;=TODAY()+7,"Due Soon","")))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3"/>
      <c r="F118" s="32"/>
      <c r="G118" s="32"/>
      <c r="H118" s="35"/>
      <c r="I118" s="35"/>
      <c r="J118" s="35"/>
      <c r="K118" s="33"/>
      <c r="L118" s="37" t="str">
        <f aca="true">IF(OR(B118="",G118&lt;&gt;"Open",I118=""),"",IF(I118&lt;TODAY(),"Overdue",IF(I118&lt;=TODAY()+7,"Due Soon","")))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3"/>
      <c r="F119" s="32"/>
      <c r="G119" s="32"/>
      <c r="H119" s="35"/>
      <c r="I119" s="35"/>
      <c r="J119" s="35"/>
      <c r="K119" s="33"/>
      <c r="L119" s="37" t="str">
        <f aca="true">IF(OR(B119="",G119&lt;&gt;"Open",I119=""),"",IF(I119&lt;TODAY(),"Overdue",IF(I119&lt;=TODAY()+7,"Due Soon","")))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3"/>
      <c r="F120" s="32"/>
      <c r="G120" s="32"/>
      <c r="H120" s="35"/>
      <c r="I120" s="35"/>
      <c r="J120" s="35"/>
      <c r="K120" s="33"/>
      <c r="L120" s="37" t="str">
        <f aca="true">IF(OR(B120="",G120&lt;&gt;"Open",I120=""),"",IF(I120&lt;TODAY(),"Overdue",IF(I120&lt;=TODAY()+7,"Due Soon","")))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3"/>
      <c r="F121" s="32"/>
      <c r="G121" s="32"/>
      <c r="H121" s="35"/>
      <c r="I121" s="35"/>
      <c r="J121" s="35"/>
      <c r="K121" s="33"/>
      <c r="L121" s="37" t="str">
        <f aca="true">IF(OR(B121="",G121&lt;&gt;"Open",I121=""),"",IF(I121&lt;TODAY(),"Overdue",IF(I121&lt;=TODAY()+7,"Due Soon","")))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3"/>
      <c r="F122" s="32"/>
      <c r="G122" s="32"/>
      <c r="H122" s="35"/>
      <c r="I122" s="35"/>
      <c r="J122" s="35"/>
      <c r="K122" s="33"/>
      <c r="L122" s="37" t="str">
        <f aca="true">IF(OR(B122="",G122&lt;&gt;"Open",I122=""),"",IF(I122&lt;TODAY(),"Overdue",IF(I122&lt;=TODAY()+7,"Due Soon","")))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3"/>
      <c r="F123" s="32"/>
      <c r="G123" s="32"/>
      <c r="H123" s="35"/>
      <c r="I123" s="35"/>
      <c r="J123" s="35"/>
      <c r="K123" s="33"/>
      <c r="L123" s="37" t="str">
        <f aca="true">IF(OR(B123="",G123&lt;&gt;"Open",I123=""),"",IF(I123&lt;TODAY(),"Overdue",IF(I123&lt;=TODAY()+7,"Due Soon","")))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3"/>
      <c r="F124" s="32"/>
      <c r="G124" s="32"/>
      <c r="H124" s="35"/>
      <c r="I124" s="35"/>
      <c r="J124" s="35"/>
      <c r="K124" s="33"/>
      <c r="L124" s="37" t="str">
        <f aca="true">IF(OR(B124="",G124&lt;&gt;"Open",I124=""),"",IF(I124&lt;TODAY(),"Overdue",IF(I124&lt;=TODAY()+7,"Due Soon","")))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3"/>
      <c r="F125" s="32"/>
      <c r="G125" s="32"/>
      <c r="H125" s="35"/>
      <c r="I125" s="35"/>
      <c r="J125" s="35"/>
      <c r="K125" s="33"/>
      <c r="L125" s="37" t="str">
        <f aca="true">IF(OR(B125="",G125&lt;&gt;"Open",I125=""),"",IF(I125&lt;TODAY(),"Overdue",IF(I125&lt;=TODAY()+7,"Due Soon","")))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3"/>
      <c r="F126" s="32"/>
      <c r="G126" s="32"/>
      <c r="H126" s="35"/>
      <c r="I126" s="35"/>
      <c r="J126" s="35"/>
      <c r="K126" s="33"/>
      <c r="L126" s="37" t="str">
        <f aca="true">IF(OR(B126="",G126&lt;&gt;"Open",I126=""),"",IF(I126&lt;TODAY(),"Overdue",IF(I126&lt;=TODAY()+7,"Due Soon","")))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3"/>
      <c r="F127" s="32"/>
      <c r="G127" s="32"/>
      <c r="H127" s="35"/>
      <c r="I127" s="35"/>
      <c r="J127" s="35"/>
      <c r="K127" s="33"/>
      <c r="L127" s="37" t="str">
        <f aca="true">IF(OR(B127="",G127&lt;&gt;"Open",I127=""),"",IF(I127&lt;TODAY(),"Overdue",IF(I127&lt;=TODAY()+7,"Due Soon","")))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3"/>
      <c r="F128" s="32"/>
      <c r="G128" s="32"/>
      <c r="H128" s="35"/>
      <c r="I128" s="35"/>
      <c r="J128" s="35"/>
      <c r="K128" s="33"/>
      <c r="L128" s="37" t="str">
        <f aca="true">IF(OR(B128="",G128&lt;&gt;"Open",I128=""),"",IF(I128&lt;TODAY(),"Overdue",IF(I128&lt;=TODAY()+7,"Due Soon","")))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3"/>
      <c r="F129" s="32"/>
      <c r="G129" s="32"/>
      <c r="H129" s="35"/>
      <c r="I129" s="35"/>
      <c r="J129" s="35"/>
      <c r="K129" s="33"/>
      <c r="L129" s="37" t="str">
        <f aca="true">IF(OR(B129="",G129&lt;&gt;"Open",I129=""),"",IF(I129&lt;TODAY(),"Overdue",IF(I129&lt;=TODAY()+7,"Due Soon","")))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3"/>
      <c r="F130" s="32"/>
      <c r="G130" s="32"/>
      <c r="H130" s="35"/>
      <c r="I130" s="35"/>
      <c r="J130" s="35"/>
      <c r="K130" s="33"/>
      <c r="L130" s="37" t="str">
        <f aca="true">IF(OR(B130="",G130&lt;&gt;"Open",I130=""),"",IF(I130&lt;TODAY(),"Overdue",IF(I130&lt;=TODAY()+7,"Due Soon","")))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3"/>
      <c r="F131" s="32"/>
      <c r="G131" s="32"/>
      <c r="H131" s="35"/>
      <c r="I131" s="35"/>
      <c r="J131" s="35"/>
      <c r="K131" s="33"/>
      <c r="L131" s="37" t="str">
        <f aca="true">IF(OR(B131="",G131&lt;&gt;"Open",I131=""),"",IF(I131&lt;TODAY(),"Overdue",IF(I131&lt;=TODAY()+7,"Due Soon","")))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3"/>
      <c r="F132" s="32"/>
      <c r="G132" s="32"/>
      <c r="H132" s="35"/>
      <c r="I132" s="35"/>
      <c r="J132" s="35"/>
      <c r="K132" s="33"/>
      <c r="L132" s="37" t="str">
        <f aca="true">IF(OR(B132="",G132&lt;&gt;"Open",I132=""),"",IF(I132&lt;TODAY(),"Overdue",IF(I132&lt;=TODAY()+7,"Due Soon","")))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3"/>
      <c r="F133" s="32"/>
      <c r="G133" s="32"/>
      <c r="H133" s="35"/>
      <c r="I133" s="35"/>
      <c r="J133" s="35"/>
      <c r="K133" s="33"/>
      <c r="L133" s="37" t="str">
        <f aca="true">IF(OR(B133="",G133&lt;&gt;"Open",I133=""),"",IF(I133&lt;TODAY(),"Overdue",IF(I133&lt;=TODAY()+7,"Due Soon","")))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3"/>
      <c r="F134" s="32"/>
      <c r="G134" s="32"/>
      <c r="H134" s="35"/>
      <c r="I134" s="35"/>
      <c r="J134" s="35"/>
      <c r="K134" s="33"/>
      <c r="L134" s="37" t="str">
        <f aca="true">IF(OR(B134="",G134&lt;&gt;"Open",I134=""),"",IF(I134&lt;TODAY(),"Overdue",IF(I134&lt;=TODAY()+7,"Due Soon","")))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3"/>
      <c r="F135" s="32"/>
      <c r="G135" s="32"/>
      <c r="H135" s="35"/>
      <c r="I135" s="35"/>
      <c r="J135" s="35"/>
      <c r="K135" s="33"/>
      <c r="L135" s="37" t="str">
        <f aca="true">IF(OR(B135="",G135&lt;&gt;"Open",I135=""),"",IF(I135&lt;TODAY(),"Overdue",IF(I135&lt;=TODAY()+7,"Due Soon","")))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3"/>
      <c r="F136" s="32"/>
      <c r="G136" s="32"/>
      <c r="H136" s="35"/>
      <c r="I136" s="35"/>
      <c r="J136" s="35"/>
      <c r="K136" s="33"/>
      <c r="L136" s="37" t="str">
        <f aca="true">IF(OR(B136="",G136&lt;&gt;"Open",I136=""),"",IF(I136&lt;TODAY(),"Overdue",IF(I136&lt;=TODAY()+7,"Due Soon","")))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3"/>
      <c r="F137" s="32"/>
      <c r="G137" s="32"/>
      <c r="H137" s="35"/>
      <c r="I137" s="35"/>
      <c r="J137" s="35"/>
      <c r="K137" s="33"/>
      <c r="L137" s="37" t="str">
        <f aca="true">IF(OR(B137="",G137&lt;&gt;"Open",I137=""),"",IF(I137&lt;TODAY(),"Overdue",IF(I137&lt;=TODAY()+7,"Due Soon","")))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3"/>
      <c r="F138" s="32"/>
      <c r="G138" s="32"/>
      <c r="H138" s="35"/>
      <c r="I138" s="35"/>
      <c r="J138" s="35"/>
      <c r="K138" s="33"/>
      <c r="L138" s="37" t="str">
        <f aca="true">IF(OR(B138="",G138&lt;&gt;"Open",I138=""),"",IF(I138&lt;TODAY(),"Overdue",IF(I138&lt;=TODAY()+7,"Due Soon","")))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3"/>
      <c r="F139" s="32"/>
      <c r="G139" s="32"/>
      <c r="H139" s="35"/>
      <c r="I139" s="35"/>
      <c r="J139" s="35"/>
      <c r="K139" s="33"/>
      <c r="L139" s="37" t="str">
        <f aca="true">IF(OR(B139="",G139&lt;&gt;"Open",I139=""),"",IF(I139&lt;TODAY(),"Overdue",IF(I139&lt;=TODAY()+7,"Due Soon","")))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3"/>
      <c r="F140" s="32"/>
      <c r="G140" s="32"/>
      <c r="H140" s="35"/>
      <c r="I140" s="35"/>
      <c r="J140" s="35"/>
      <c r="K140" s="33"/>
      <c r="L140" s="37" t="str">
        <f aca="true">IF(OR(B140="",G140&lt;&gt;"Open",I140=""),"",IF(I140&lt;TODAY(),"Overdue",IF(I140&lt;=TODAY()+7,"Due Soon","")))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3"/>
      <c r="F141" s="32"/>
      <c r="G141" s="32"/>
      <c r="H141" s="35"/>
      <c r="I141" s="35"/>
      <c r="J141" s="35"/>
      <c r="K141" s="33"/>
      <c r="L141" s="37" t="str">
        <f aca="true">IF(OR(B141="",G141&lt;&gt;"Open",I141=""),"",IF(I141&lt;TODAY(),"Overdue",IF(I141&lt;=TODAY()+7,"Due Soon","")))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3"/>
      <c r="F142" s="32"/>
      <c r="G142" s="32"/>
      <c r="H142" s="35"/>
      <c r="I142" s="35"/>
      <c r="J142" s="35"/>
      <c r="K142" s="33"/>
      <c r="L142" s="37" t="str">
        <f aca="true">IF(OR(B142="",G142&lt;&gt;"Open",I142=""),"",IF(I142&lt;TODAY(),"Overdue",IF(I142&lt;=TODAY()+7,"Due Soon","")))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3"/>
      <c r="F143" s="32"/>
      <c r="G143" s="32"/>
      <c r="H143" s="35"/>
      <c r="I143" s="35"/>
      <c r="J143" s="35"/>
      <c r="K143" s="33"/>
      <c r="L143" s="37" t="str">
        <f aca="true">IF(OR(B143="",G143&lt;&gt;"Open",I143=""),"",IF(I143&lt;TODAY(),"Overdue",IF(I143&lt;=TODAY()+7,"Due Soon","")))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3"/>
      <c r="F144" s="32"/>
      <c r="G144" s="32"/>
      <c r="H144" s="35"/>
      <c r="I144" s="35"/>
      <c r="J144" s="35"/>
      <c r="K144" s="33"/>
      <c r="L144" s="37" t="str">
        <f aca="true">IF(OR(B144="",G144&lt;&gt;"Open",I144=""),"",IF(I144&lt;TODAY(),"Overdue",IF(I144&lt;=TODAY()+7,"Due Soon","")))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3"/>
      <c r="F145" s="32"/>
      <c r="G145" s="32"/>
      <c r="H145" s="35"/>
      <c r="I145" s="35"/>
      <c r="J145" s="35"/>
      <c r="K145" s="33"/>
      <c r="L145" s="37" t="str">
        <f aca="true">IF(OR(B145="",G145&lt;&gt;"Open",I145=""),"",IF(I145&lt;TODAY(),"Overdue",IF(I145&lt;=TODAY()+7,"Due Soon","")))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3"/>
      <c r="F146" s="32"/>
      <c r="G146" s="32"/>
      <c r="H146" s="35"/>
      <c r="I146" s="35"/>
      <c r="J146" s="35"/>
      <c r="K146" s="33"/>
      <c r="L146" s="37" t="str">
        <f aca="true">IF(OR(B146="",G146&lt;&gt;"Open",I146=""),"",IF(I146&lt;TODAY(),"Overdue",IF(I146&lt;=TODAY()+7,"Due Soon","")))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3"/>
      <c r="F147" s="32"/>
      <c r="G147" s="32"/>
      <c r="H147" s="35"/>
      <c r="I147" s="35"/>
      <c r="J147" s="35"/>
      <c r="K147" s="33"/>
      <c r="L147" s="37" t="str">
        <f aca="true">IF(OR(B147="",G147&lt;&gt;"Open",I147=""),"",IF(I147&lt;TODAY(),"Overdue",IF(I147&lt;=TODAY()+7,"Due Soon","")))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3"/>
      <c r="F148" s="32"/>
      <c r="G148" s="32"/>
      <c r="H148" s="35"/>
      <c r="I148" s="35"/>
      <c r="J148" s="35"/>
      <c r="K148" s="33"/>
      <c r="L148" s="37" t="str">
        <f aca="true">IF(OR(B148="",G148&lt;&gt;"Open",I148=""),"",IF(I148&lt;TODAY(),"Overdue",IF(I148&lt;=TODAY()+7,"Due Soon","")))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3"/>
      <c r="F149" s="32"/>
      <c r="G149" s="32"/>
      <c r="H149" s="35"/>
      <c r="I149" s="35"/>
      <c r="J149" s="35"/>
      <c r="K149" s="33"/>
      <c r="L149" s="37" t="str">
        <f aca="true">IF(OR(B149="",G149&lt;&gt;"Open",I149=""),"",IF(I149&lt;TODAY(),"Overdue",IF(I149&lt;=TODAY()+7,"Due Soon","")))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3"/>
      <c r="F150" s="32"/>
      <c r="G150" s="32"/>
      <c r="H150" s="35"/>
      <c r="I150" s="35"/>
      <c r="J150" s="35"/>
      <c r="K150" s="33"/>
      <c r="L150" s="37" t="str">
        <f aca="true">IF(OR(B150="",G150&lt;&gt;"Open",I150=""),"",IF(I150&lt;TODAY(),"Overdue",IF(I150&lt;=TODAY()+7,"Due Soon","")))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3"/>
      <c r="F151" s="32"/>
      <c r="G151" s="32"/>
      <c r="H151" s="35"/>
      <c r="I151" s="35"/>
      <c r="J151" s="35"/>
      <c r="K151" s="33"/>
      <c r="L151" s="37" t="str">
        <f aca="true">IF(OR(B151="",G151&lt;&gt;"Open",I151=""),"",IF(I151&lt;TODAY(),"Overdue",IF(I151&lt;=TODAY()+7,"Due Soon","")))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3"/>
      <c r="F152" s="32"/>
      <c r="G152" s="32"/>
      <c r="H152" s="35"/>
      <c r="I152" s="35"/>
      <c r="J152" s="35"/>
      <c r="K152" s="33"/>
      <c r="L152" s="37" t="str">
        <f aca="true">IF(OR(B152="",G152&lt;&gt;"Open",I152=""),"",IF(I152&lt;TODAY(),"Overdue",IF(I152&lt;=TODAY()+7,"Due Soon","")))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3"/>
      <c r="F153" s="32"/>
      <c r="G153" s="32"/>
      <c r="H153" s="35"/>
      <c r="I153" s="35"/>
      <c r="J153" s="35"/>
      <c r="K153" s="33"/>
      <c r="L153" s="37" t="str">
        <f aca="true">IF(OR(B153="",G153&lt;&gt;"Open",I153=""),"",IF(I153&lt;TODAY(),"Overdue",IF(I153&lt;=TODAY()+7,"Due Soon","")))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3"/>
      <c r="F154" s="32"/>
      <c r="G154" s="32"/>
      <c r="H154" s="35"/>
      <c r="I154" s="35"/>
      <c r="J154" s="35"/>
      <c r="K154" s="33"/>
      <c r="L154" s="37" t="str">
        <f aca="true">IF(OR(B154="",G154&lt;&gt;"Open",I154=""),"",IF(I154&lt;TODAY(),"Overdue",IF(I154&lt;=TODAY()+7,"Due Soon","")))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3"/>
      <c r="F155" s="32"/>
      <c r="G155" s="32"/>
      <c r="H155" s="35"/>
      <c r="I155" s="35"/>
      <c r="J155" s="35"/>
      <c r="K155" s="33"/>
      <c r="L155" s="37" t="str">
        <f aca="true">IF(OR(B155="",G155&lt;&gt;"Open",I155=""),"",IF(I155&lt;TODAY(),"Overdue",IF(I155&lt;=TODAY()+7,"Due Soon","")))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3"/>
      <c r="F156" s="32"/>
      <c r="G156" s="32"/>
      <c r="H156" s="35"/>
      <c r="I156" s="35"/>
      <c r="J156" s="35"/>
      <c r="K156" s="33"/>
      <c r="L156" s="37" t="str">
        <f aca="true">IF(OR(B156="",G156&lt;&gt;"Open",I156=""),"",IF(I156&lt;TODAY(),"Overdue",IF(I156&lt;=TODAY()+7,"Due Soon","")))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3"/>
      <c r="F157" s="32"/>
      <c r="G157" s="32"/>
      <c r="H157" s="35"/>
      <c r="I157" s="35"/>
      <c r="J157" s="35"/>
      <c r="K157" s="33"/>
      <c r="L157" s="37" t="str">
        <f aca="true">IF(OR(B157="",G157&lt;&gt;"Open",I157=""),"",IF(I157&lt;TODAY(),"Overdue",IF(I157&lt;=TODAY()+7,"Due Soon","")))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3"/>
      <c r="F158" s="32"/>
      <c r="G158" s="32"/>
      <c r="H158" s="35"/>
      <c r="I158" s="35"/>
      <c r="J158" s="35"/>
      <c r="K158" s="33"/>
      <c r="L158" s="37" t="str">
        <f aca="true">IF(OR(B158="",G158&lt;&gt;"Open",I158=""),"",IF(I158&lt;TODAY(),"Overdue",IF(I158&lt;=TODAY()+7,"Due Soon","")))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3"/>
      <c r="F159" s="32"/>
      <c r="G159" s="32"/>
      <c r="H159" s="35"/>
      <c r="I159" s="35"/>
      <c r="J159" s="35"/>
      <c r="K159" s="33"/>
      <c r="L159" s="37" t="str">
        <f aca="true">IF(OR(B159="",G159&lt;&gt;"Open",I159=""),"",IF(I159&lt;TODAY(),"Overdue",IF(I159&lt;=TODAY()+7,"Due Soon","")))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3"/>
      <c r="F160" s="32"/>
      <c r="G160" s="32"/>
      <c r="H160" s="35"/>
      <c r="I160" s="35"/>
      <c r="J160" s="35"/>
      <c r="K160" s="33"/>
      <c r="L160" s="37" t="str">
        <f aca="true">IF(OR(B160="",G160&lt;&gt;"Open",I160=""),"",IF(I160&lt;TODAY(),"Overdue",IF(I160&lt;=TODAY()+7,"Due Soon","")))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3"/>
      <c r="F161" s="32"/>
      <c r="G161" s="32"/>
      <c r="H161" s="35"/>
      <c r="I161" s="35"/>
      <c r="J161" s="35"/>
      <c r="K161" s="33"/>
      <c r="L161" s="37" t="str">
        <f aca="true">IF(OR(B161="",G161&lt;&gt;"Open",I161=""),"",IF(I161&lt;TODAY(),"Overdue",IF(I161&lt;=TODAY()+7,"Due Soon","")))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3"/>
      <c r="F162" s="32"/>
      <c r="G162" s="32"/>
      <c r="H162" s="35"/>
      <c r="I162" s="35"/>
      <c r="J162" s="35"/>
      <c r="K162" s="33"/>
      <c r="L162" s="37" t="str">
        <f aca="true">IF(OR(B162="",G162&lt;&gt;"Open",I162=""),"",IF(I162&lt;TODAY(),"Overdue",IF(I162&lt;=TODAY()+7,"Due Soon","")))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3"/>
      <c r="F163" s="32"/>
      <c r="G163" s="32"/>
      <c r="H163" s="35"/>
      <c r="I163" s="35"/>
      <c r="J163" s="35"/>
      <c r="K163" s="33"/>
      <c r="L163" s="37" t="str">
        <f aca="true">IF(OR(B163="",G163&lt;&gt;"Open",I163=""),"",IF(I163&lt;TODAY(),"Overdue",IF(I163&lt;=TODAY()+7,"Due Soon","")))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3"/>
      <c r="F164" s="32"/>
      <c r="G164" s="32"/>
      <c r="H164" s="35"/>
      <c r="I164" s="35"/>
      <c r="J164" s="35"/>
      <c r="K164" s="33"/>
      <c r="L164" s="37" t="str">
        <f aca="true">IF(OR(B164="",G164&lt;&gt;"Open",I164=""),"",IF(I164&lt;TODAY(),"Overdue",IF(I164&lt;=TODAY()+7,"Due Soon","")))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3"/>
      <c r="F165" s="32"/>
      <c r="G165" s="32"/>
      <c r="H165" s="35"/>
      <c r="I165" s="35"/>
      <c r="J165" s="35"/>
      <c r="K165" s="33"/>
      <c r="L165" s="37" t="str">
        <f aca="true">IF(OR(B165="",G165&lt;&gt;"Open",I165=""),"",IF(I165&lt;TODAY(),"Overdue",IF(I165&lt;=TODAY()+7,"Due Soon","")))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3"/>
      <c r="F166" s="32"/>
      <c r="G166" s="32"/>
      <c r="H166" s="35"/>
      <c r="I166" s="35"/>
      <c r="J166" s="35"/>
      <c r="K166" s="33"/>
      <c r="L166" s="37" t="str">
        <f aca="true">IF(OR(B166="",G166&lt;&gt;"Open",I166=""),"",IF(I166&lt;TODAY(),"Overdue",IF(I166&lt;=TODAY()+7,"Due Soon","")))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3"/>
      <c r="F167" s="32"/>
      <c r="G167" s="32"/>
      <c r="H167" s="35"/>
      <c r="I167" s="35"/>
      <c r="J167" s="35"/>
      <c r="K167" s="33"/>
      <c r="L167" s="37" t="str">
        <f aca="true">IF(OR(B167="",G167&lt;&gt;"Open",I167=""),"",IF(I167&lt;TODAY(),"Overdue",IF(I167&lt;=TODAY()+7,"Due Soon","")))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3"/>
      <c r="F168" s="32"/>
      <c r="G168" s="32"/>
      <c r="H168" s="35"/>
      <c r="I168" s="35"/>
      <c r="J168" s="35"/>
      <c r="K168" s="33"/>
      <c r="L168" s="37" t="str">
        <f aca="true">IF(OR(B168="",G168&lt;&gt;"Open",I168=""),"",IF(I168&lt;TODAY(),"Overdue",IF(I168&lt;=TODAY()+7,"Due Soon","")))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3"/>
      <c r="F169" s="32"/>
      <c r="G169" s="32"/>
      <c r="H169" s="35"/>
      <c r="I169" s="35"/>
      <c r="J169" s="35"/>
      <c r="K169" s="33"/>
      <c r="L169" s="37" t="str">
        <f aca="true">IF(OR(B169="",G169&lt;&gt;"Open",I169=""),"",IF(I169&lt;TODAY(),"Overdue",IF(I169&lt;=TODAY()+7,"Due Soon","")))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3"/>
      <c r="F170" s="32"/>
      <c r="G170" s="32"/>
      <c r="H170" s="35"/>
      <c r="I170" s="35"/>
      <c r="J170" s="35"/>
      <c r="K170" s="33"/>
      <c r="L170" s="37" t="str">
        <f aca="true">IF(OR(B170="",G170&lt;&gt;"Open",I170=""),"",IF(I170&lt;TODAY(),"Overdue",IF(I170&lt;=TODAY()+7,"Due Soon","")))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3"/>
      <c r="F171" s="32"/>
      <c r="G171" s="32"/>
      <c r="H171" s="35"/>
      <c r="I171" s="35"/>
      <c r="J171" s="35"/>
      <c r="K171" s="33"/>
      <c r="L171" s="37" t="str">
        <f aca="true">IF(OR(B171="",G171&lt;&gt;"Open",I171=""),"",IF(I171&lt;TODAY(),"Overdue",IF(I171&lt;=TODAY()+7,"Due Soon","")))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3"/>
      <c r="F172" s="32"/>
      <c r="G172" s="32"/>
      <c r="H172" s="35"/>
      <c r="I172" s="35"/>
      <c r="J172" s="35"/>
      <c r="K172" s="33"/>
      <c r="L172" s="37" t="str">
        <f aca="true">IF(OR(B172="",G172&lt;&gt;"Open",I172=""),"",IF(I172&lt;TODAY(),"Overdue",IF(I172&lt;=TODAY()+7,"Due Soon","")))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3"/>
      <c r="F173" s="32"/>
      <c r="G173" s="32"/>
      <c r="H173" s="35"/>
      <c r="I173" s="35"/>
      <c r="J173" s="35"/>
      <c r="K173" s="33"/>
      <c r="L173" s="37" t="str">
        <f aca="true">IF(OR(B173="",G173&lt;&gt;"Open",I173=""),"",IF(I173&lt;TODAY(),"Overdue",IF(I173&lt;=TODAY()+7,"Due Soon","")))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3"/>
      <c r="F174" s="32"/>
      <c r="G174" s="32"/>
      <c r="H174" s="35"/>
      <c r="I174" s="35"/>
      <c r="J174" s="35"/>
      <c r="K174" s="33"/>
      <c r="L174" s="37" t="str">
        <f aca="true">IF(OR(B174="",G174&lt;&gt;"Open",I174=""),"",IF(I174&lt;TODAY(),"Overdue",IF(I174&lt;=TODAY()+7,"Due Soon","")))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3"/>
      <c r="F175" s="32"/>
      <c r="G175" s="32"/>
      <c r="H175" s="35"/>
      <c r="I175" s="35"/>
      <c r="J175" s="35"/>
      <c r="K175" s="33"/>
      <c r="L175" s="37" t="str">
        <f aca="true">IF(OR(B175="",G175&lt;&gt;"Open",I175=""),"",IF(I175&lt;TODAY(),"Overdue",IF(I175&lt;=TODAY()+7,"Due Soon","")))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3"/>
      <c r="F176" s="32"/>
      <c r="G176" s="32"/>
      <c r="H176" s="35"/>
      <c r="I176" s="35"/>
      <c r="J176" s="35"/>
      <c r="K176" s="33"/>
      <c r="L176" s="37" t="str">
        <f aca="true">IF(OR(B176="",G176&lt;&gt;"Open",I176=""),"",IF(I176&lt;TODAY(),"Overdue",IF(I176&lt;=TODAY()+7,"Due Soon","")))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3"/>
      <c r="F177" s="32"/>
      <c r="G177" s="32"/>
      <c r="H177" s="35"/>
      <c r="I177" s="35"/>
      <c r="J177" s="35"/>
      <c r="K177" s="33"/>
      <c r="L177" s="37" t="str">
        <f aca="true">IF(OR(B177="",G177&lt;&gt;"Open",I177=""),"",IF(I177&lt;TODAY(),"Overdue",IF(I177&lt;=TODAY()+7,"Due Soon","")))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3"/>
      <c r="F178" s="32"/>
      <c r="G178" s="32"/>
      <c r="H178" s="35"/>
      <c r="I178" s="35"/>
      <c r="J178" s="35"/>
      <c r="K178" s="33"/>
      <c r="L178" s="37" t="str">
        <f aca="true">IF(OR(B178="",G178&lt;&gt;"Open",I178=""),"",IF(I178&lt;TODAY(),"Overdue",IF(I178&lt;=TODAY()+7,"Due Soon","")))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3"/>
      <c r="F179" s="32"/>
      <c r="G179" s="32"/>
      <c r="H179" s="35"/>
      <c r="I179" s="35"/>
      <c r="J179" s="35"/>
      <c r="K179" s="33"/>
      <c r="L179" s="37" t="str">
        <f aca="true">IF(OR(B179="",G179&lt;&gt;"Open",I179=""),"",IF(I179&lt;TODAY(),"Overdue",IF(I179&lt;=TODAY()+7,"Due Soon","")))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3"/>
      <c r="F180" s="32"/>
      <c r="G180" s="32"/>
      <c r="H180" s="35"/>
      <c r="I180" s="35"/>
      <c r="J180" s="35"/>
      <c r="K180" s="33"/>
      <c r="L180" s="37" t="str">
        <f aca="true">IF(OR(B180="",G180&lt;&gt;"Open",I180=""),"",IF(I180&lt;TODAY(),"Overdue",IF(I180&lt;=TODAY()+7,"Due Soon","")))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3"/>
      <c r="F181" s="32"/>
      <c r="G181" s="32"/>
      <c r="H181" s="35"/>
      <c r="I181" s="35"/>
      <c r="J181" s="35"/>
      <c r="K181" s="33"/>
      <c r="L181" s="37" t="str">
        <f aca="true">IF(OR(B181="",G181&lt;&gt;"Open",I181=""),"",IF(I181&lt;TODAY(),"Overdue",IF(I181&lt;=TODAY()+7,"Due Soon","")))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3"/>
      <c r="F182" s="32"/>
      <c r="G182" s="32"/>
      <c r="H182" s="35"/>
      <c r="I182" s="35"/>
      <c r="J182" s="35"/>
      <c r="K182" s="33"/>
      <c r="L182" s="37" t="str">
        <f aca="true">IF(OR(B182="",G182&lt;&gt;"Open",I182=""),"",IF(I182&lt;TODAY(),"Overdue",IF(I182&lt;=TODAY()+7,"Due Soon","")))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3"/>
      <c r="F183" s="32"/>
      <c r="G183" s="32"/>
      <c r="H183" s="35"/>
      <c r="I183" s="35"/>
      <c r="J183" s="35"/>
      <c r="K183" s="33"/>
      <c r="L183" s="37" t="str">
        <f aca="true">IF(OR(B183="",G183&lt;&gt;"Open",I183=""),"",IF(I183&lt;TODAY(),"Overdue",IF(I183&lt;=TODAY()+7,"Due Soon","")))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3"/>
      <c r="F184" s="32"/>
      <c r="G184" s="32"/>
      <c r="H184" s="35"/>
      <c r="I184" s="35"/>
      <c r="J184" s="35"/>
      <c r="K184" s="33"/>
      <c r="L184" s="37" t="str">
        <f aca="true">IF(OR(B184="",G184&lt;&gt;"Open",I184=""),"",IF(I184&lt;TODAY(),"Overdue",IF(I184&lt;=TODAY()+7,"Due Soon","")))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3"/>
      <c r="F185" s="32"/>
      <c r="G185" s="32"/>
      <c r="H185" s="35"/>
      <c r="I185" s="35"/>
      <c r="J185" s="35"/>
      <c r="K185" s="33"/>
      <c r="L185" s="37" t="str">
        <f aca="true">IF(OR(B185="",G185&lt;&gt;"Open",I185=""),"",IF(I185&lt;TODAY(),"Overdue",IF(I185&lt;=TODAY()+7,"Due Soon","")))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3"/>
      <c r="F186" s="32"/>
      <c r="G186" s="32"/>
      <c r="H186" s="35"/>
      <c r="I186" s="35"/>
      <c r="J186" s="35"/>
      <c r="K186" s="33"/>
      <c r="L186" s="37" t="str">
        <f aca="true">IF(OR(B186="",G186&lt;&gt;"Open",I186=""),"",IF(I186&lt;TODAY(),"Overdue",IF(I186&lt;=TODAY()+7,"Due Soon","")))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3"/>
      <c r="F187" s="32"/>
      <c r="G187" s="32"/>
      <c r="H187" s="35"/>
      <c r="I187" s="35"/>
      <c r="J187" s="35"/>
      <c r="K187" s="33"/>
      <c r="L187" s="37" t="str">
        <f aca="true">IF(OR(B187="",G187&lt;&gt;"Open",I187=""),"",IF(I187&lt;TODAY(),"Overdue",IF(I187&lt;=TODAY()+7,"Due Soon","")))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3"/>
      <c r="F188" s="32"/>
      <c r="G188" s="32"/>
      <c r="H188" s="35"/>
      <c r="I188" s="35"/>
      <c r="J188" s="35"/>
      <c r="K188" s="33"/>
      <c r="L188" s="37" t="str">
        <f aca="true">IF(OR(B188="",G188&lt;&gt;"Open",I188=""),"",IF(I188&lt;TODAY(),"Overdue",IF(I188&lt;=TODAY()+7,"Due Soon","")))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3"/>
      <c r="F189" s="32"/>
      <c r="G189" s="32"/>
      <c r="H189" s="35"/>
      <c r="I189" s="35"/>
      <c r="J189" s="35"/>
      <c r="K189" s="33"/>
      <c r="L189" s="37" t="str">
        <f aca="true">IF(OR(B189="",G189&lt;&gt;"Open",I189=""),"",IF(I189&lt;TODAY(),"Overdue",IF(I189&lt;=TODAY()+7,"Due Soon","")))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3"/>
      <c r="F190" s="32"/>
      <c r="G190" s="32"/>
      <c r="H190" s="35"/>
      <c r="I190" s="35"/>
      <c r="J190" s="35"/>
      <c r="K190" s="33"/>
      <c r="L190" s="37" t="str">
        <f aca="true">IF(OR(B190="",G190&lt;&gt;"Open",I190=""),"",IF(I190&lt;TODAY(),"Overdue",IF(I190&lt;=TODAY()+7,"Due Soon","")))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3"/>
      <c r="F191" s="32"/>
      <c r="G191" s="32"/>
      <c r="H191" s="35"/>
      <c r="I191" s="35"/>
      <c r="J191" s="35"/>
      <c r="K191" s="33"/>
      <c r="L191" s="37" t="str">
        <f aca="true">IF(OR(B191="",G191&lt;&gt;"Open",I191=""),"",IF(I191&lt;TODAY(),"Overdue",IF(I191&lt;=TODAY()+7,"Due Soon","")))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3"/>
      <c r="F192" s="32"/>
      <c r="G192" s="32"/>
      <c r="H192" s="35"/>
      <c r="I192" s="35"/>
      <c r="J192" s="35"/>
      <c r="K192" s="33"/>
      <c r="L192" s="37" t="str">
        <f aca="true">IF(OR(B192="",G192&lt;&gt;"Open",I192=""),"",IF(I192&lt;TODAY(),"Overdue",IF(I192&lt;=TODAY()+7,"Due Soon","")))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3"/>
      <c r="F193" s="32"/>
      <c r="G193" s="32"/>
      <c r="H193" s="35"/>
      <c r="I193" s="35"/>
      <c r="J193" s="35"/>
      <c r="K193" s="33"/>
      <c r="L193" s="37" t="str">
        <f aca="true">IF(OR(B193="",G193&lt;&gt;"Open",I193=""),"",IF(I193&lt;TODAY(),"Overdue",IF(I193&lt;=TODAY()+7,"Due Soon","")))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3"/>
      <c r="F194" s="32"/>
      <c r="G194" s="32"/>
      <c r="H194" s="35"/>
      <c r="I194" s="35"/>
      <c r="J194" s="35"/>
      <c r="K194" s="33"/>
      <c r="L194" s="37" t="str">
        <f aca="true">IF(OR(B194="",G194&lt;&gt;"Open",I194=""),"",IF(I194&lt;TODAY(),"Overdue",IF(I194&lt;=TODAY()+7,"Due Soon","")))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3"/>
      <c r="F195" s="32"/>
      <c r="G195" s="32"/>
      <c r="H195" s="35"/>
      <c r="I195" s="35"/>
      <c r="J195" s="35"/>
      <c r="K195" s="33"/>
      <c r="L195" s="37" t="str">
        <f aca="true">IF(OR(B195="",G195&lt;&gt;"Open",I195=""),"",IF(I195&lt;TODAY(),"Overdue",IF(I195&lt;=TODAY()+7,"Due Soon","")))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3"/>
      <c r="F196" s="32"/>
      <c r="G196" s="32"/>
      <c r="H196" s="35"/>
      <c r="I196" s="35"/>
      <c r="J196" s="35"/>
      <c r="K196" s="33"/>
      <c r="L196" s="37" t="str">
        <f aca="true">IF(OR(B196="",G196&lt;&gt;"Open",I196=""),"",IF(I196&lt;TODAY(),"Overdue",IF(I196&lt;=TODAY()+7,"Due Soon","")))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3"/>
      <c r="F197" s="32"/>
      <c r="G197" s="32"/>
      <c r="H197" s="35"/>
      <c r="I197" s="35"/>
      <c r="J197" s="35"/>
      <c r="K197" s="33"/>
      <c r="L197" s="37" t="str">
        <f aca="true">IF(OR(B197="",G197&lt;&gt;"Open",I197=""),"",IF(I197&lt;TODAY(),"Overdue",IF(I197&lt;=TODAY()+7,"Due Soon","")))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3"/>
      <c r="F198" s="32"/>
      <c r="G198" s="32"/>
      <c r="H198" s="35"/>
      <c r="I198" s="35"/>
      <c r="J198" s="35"/>
      <c r="K198" s="33"/>
      <c r="L198" s="37" t="str">
        <f aca="true">IF(OR(B198="",G198&lt;&gt;"Open",I198=""),"",IF(I198&lt;TODAY(),"Overdue",IF(I198&lt;=TODAY()+7,"Due Soon","")))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3"/>
      <c r="F199" s="32"/>
      <c r="G199" s="32"/>
      <c r="H199" s="35"/>
      <c r="I199" s="35"/>
      <c r="J199" s="35"/>
      <c r="K199" s="33"/>
      <c r="L199" s="37" t="str">
        <f aca="true">IF(OR(B199="",G199&lt;&gt;"Open",I199=""),"",IF(I199&lt;TODAY(),"Overdue",IF(I199&lt;=TODAY()+7,"Due Soon","")))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3"/>
      <c r="F200" s="32"/>
      <c r="G200" s="32"/>
      <c r="H200" s="35"/>
      <c r="I200" s="35"/>
      <c r="J200" s="35"/>
      <c r="K200" s="33"/>
      <c r="L200" s="37" t="str">
        <f aca="true">IF(OR(B200="",G200&lt;&gt;"Open",I200=""),"",IF(I200&lt;TODAY(),"Overdue",IF(I200&lt;=TODAY()+7,"Due Soon","")))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3"/>
      <c r="F201" s="32"/>
      <c r="G201" s="32"/>
      <c r="H201" s="35"/>
      <c r="I201" s="35"/>
      <c r="J201" s="35"/>
      <c r="K201" s="33"/>
      <c r="L201" s="37" t="str">
        <f aca="true">IF(OR(B201="",G201&lt;&gt;"Open",I201=""),"",IF(I201&lt;TODAY(),"Overdue",IF(I201&lt;=TODAY()+7,"Due Soon","")))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3"/>
      <c r="F202" s="32"/>
      <c r="G202" s="32"/>
      <c r="H202" s="35"/>
      <c r="I202" s="35"/>
      <c r="J202" s="35"/>
      <c r="K202" s="33"/>
      <c r="L202" s="37" t="str">
        <f aca="true">IF(OR(B202="",G202&lt;&gt;"Open",I202=""),"",IF(I202&lt;TODAY(),"Overdue",IF(I202&lt;=TODAY()+7,"Due Soon","")))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3"/>
      <c r="F203" s="32"/>
      <c r="G203" s="32"/>
      <c r="H203" s="35"/>
      <c r="I203" s="35"/>
      <c r="J203" s="35"/>
      <c r="K203" s="33"/>
      <c r="L203" s="37" t="str">
        <f aca="true">IF(OR(B203="",G203&lt;&gt;"Open",I203=""),"",IF(I203&lt;TODAY(),"Overdue",IF(I203&lt;=TODAY()+7,"Due Soon","")))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3"/>
      <c r="F204" s="32"/>
      <c r="G204" s="32"/>
      <c r="H204" s="35"/>
      <c r="I204" s="35"/>
      <c r="J204" s="35"/>
      <c r="K204" s="33"/>
      <c r="L204" s="37" t="str">
        <f aca="true">IF(OR(B204="",G204&lt;&gt;"Open",I204=""),"",IF(I204&lt;TODAY(),"Overdue",IF(I204&lt;=TODAY()+7,"Due Soon","")))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3"/>
      <c r="F205" s="32"/>
      <c r="G205" s="32"/>
      <c r="H205" s="35"/>
      <c r="I205" s="35"/>
      <c r="J205" s="35"/>
      <c r="K205" s="33"/>
      <c r="L205" s="37" t="str">
        <f aca="true">IF(OR(B205="",G205&lt;&gt;"Open",I205=""),"",IF(I205&lt;TODAY(),"Overdue",IF(I205&lt;=TODAY()+7,"Due Soon","")))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3"/>
      <c r="F206" s="32"/>
      <c r="G206" s="32"/>
      <c r="H206" s="35"/>
      <c r="I206" s="35"/>
      <c r="J206" s="35"/>
      <c r="K206" s="33"/>
      <c r="L206" s="37" t="str">
        <f aca="true">IF(OR(B206="",G206&lt;&gt;"Open",I206=""),"",IF(I206&lt;TODAY(),"Overdue",IF(I206&lt;=TODAY()+7,"Due Soon","")))</f>
        <v/>
      </c>
    </row>
    <row r="207" customFormat="false" ht="15" hidden="false" customHeight="false" outlineLevel="0" collapsed="false">
      <c r="A207" s="32"/>
      <c r="B207" s="32"/>
      <c r="C207" s="32"/>
      <c r="D207" s="33"/>
      <c r="E207" s="33"/>
      <c r="F207" s="32"/>
      <c r="G207" s="32"/>
      <c r="H207" s="35"/>
      <c r="I207" s="35"/>
      <c r="J207" s="35"/>
      <c r="K207" s="33"/>
      <c r="L207" s="37" t="str">
        <f aca="true">IF(OR(B207="",G207&lt;&gt;"Open",I207=""),"",IF(I207&lt;TODAY(),"Overdue",IF(I207&lt;=TODAY()+7,"Due Soon","")))</f>
        <v/>
      </c>
    </row>
    <row r="208" customFormat="false" ht="15" hidden="false" customHeight="false" outlineLevel="0" collapsed="false">
      <c r="A208" s="32"/>
      <c r="B208" s="32"/>
      <c r="C208" s="32"/>
      <c r="D208" s="33"/>
      <c r="E208" s="33"/>
      <c r="F208" s="32"/>
      <c r="G208" s="32"/>
      <c r="H208" s="35"/>
      <c r="I208" s="35"/>
      <c r="J208" s="35"/>
      <c r="K208" s="33"/>
      <c r="L208" s="37" t="str">
        <f aca="true">IF(OR(B208="",G208&lt;&gt;"Open",I208=""),"",IF(I208&lt;TODAY(),"Overdue",IF(I208&lt;=TODAY()+7,"Due Soon","")))</f>
        <v/>
      </c>
    </row>
    <row r="209" customFormat="false" ht="15" hidden="false" customHeight="false" outlineLevel="0" collapsed="false">
      <c r="A209" s="32"/>
      <c r="B209" s="32"/>
      <c r="C209" s="32"/>
      <c r="D209" s="33"/>
      <c r="E209" s="33"/>
      <c r="F209" s="32"/>
      <c r="G209" s="32"/>
      <c r="H209" s="35"/>
      <c r="I209" s="35"/>
      <c r="J209" s="35"/>
      <c r="K209" s="33"/>
      <c r="L209" s="37" t="str">
        <f aca="true">IF(OR(B209="",G209&lt;&gt;"Open",I209=""),"",IF(I209&lt;TODAY(),"Overdue",IF(I209&lt;=TODAY()+7,"Due Soon","")))</f>
        <v/>
      </c>
    </row>
    <row r="210" customFormat="false" ht="15" hidden="false" customHeight="false" outlineLevel="0" collapsed="false">
      <c r="A210" s="32"/>
      <c r="B210" s="32"/>
      <c r="C210" s="32"/>
      <c r="D210" s="33"/>
      <c r="E210" s="33"/>
      <c r="F210" s="32"/>
      <c r="G210" s="32"/>
      <c r="H210" s="35"/>
      <c r="I210" s="35"/>
      <c r="J210" s="35"/>
      <c r="K210" s="33"/>
      <c r="L210" s="37" t="str">
        <f aca="true">IF(OR(B210="",G210&lt;&gt;"Open",I210=""),"",IF(I210&lt;TODAY(),"Overdue",IF(I210&lt;=TODAY()+7,"Due Soon","")))</f>
        <v/>
      </c>
    </row>
    <row r="211" customFormat="false" ht="15" hidden="false" customHeight="false" outlineLevel="0" collapsed="false">
      <c r="A211" s="32"/>
      <c r="B211" s="32"/>
      <c r="C211" s="32"/>
      <c r="D211" s="33"/>
      <c r="E211" s="33"/>
      <c r="F211" s="32"/>
      <c r="G211" s="32"/>
      <c r="H211" s="35"/>
      <c r="I211" s="35"/>
      <c r="J211" s="35"/>
      <c r="K211" s="33"/>
      <c r="L211" s="37" t="str">
        <f aca="true">IF(OR(B211="",G211&lt;&gt;"Open",I211=""),"",IF(I211&lt;TODAY(),"Overdue",IF(I211&lt;=TODAY()+7,"Due Soon","")))</f>
        <v/>
      </c>
    </row>
    <row r="212" customFormat="false" ht="15" hidden="false" customHeight="false" outlineLevel="0" collapsed="false">
      <c r="A212" s="32"/>
      <c r="B212" s="32"/>
      <c r="C212" s="32"/>
      <c r="D212" s="33"/>
      <c r="E212" s="33"/>
      <c r="F212" s="32"/>
      <c r="G212" s="32"/>
      <c r="H212" s="35"/>
      <c r="I212" s="35"/>
      <c r="J212" s="35"/>
      <c r="K212" s="33"/>
      <c r="L212" s="37" t="str">
        <f aca="true">IF(OR(B212="",G212&lt;&gt;"Open",I212=""),"",IF(I212&lt;TODAY(),"Overdue",IF(I212&lt;=TODAY()+7,"Due Soon","")))</f>
        <v/>
      </c>
    </row>
    <row r="213" customFormat="false" ht="15" hidden="false" customHeight="false" outlineLevel="0" collapsed="false">
      <c r="A213" s="32"/>
      <c r="B213" s="32"/>
      <c r="C213" s="32"/>
      <c r="D213" s="33"/>
      <c r="E213" s="33"/>
      <c r="F213" s="32"/>
      <c r="G213" s="32"/>
      <c r="H213" s="35"/>
      <c r="I213" s="35"/>
      <c r="J213" s="35"/>
      <c r="K213" s="33"/>
      <c r="L213" s="37" t="str">
        <f aca="true">IF(OR(B213="",G213&lt;&gt;"Open",I213=""),"",IF(I213&lt;TODAY(),"Overdue",IF(I213&lt;=TODAY()+7,"Due Soon","")))</f>
        <v/>
      </c>
    </row>
    <row r="214" customFormat="false" ht="15" hidden="false" customHeight="false" outlineLevel="0" collapsed="false">
      <c r="A214" s="32"/>
      <c r="B214" s="32"/>
      <c r="C214" s="32"/>
      <c r="D214" s="33"/>
      <c r="E214" s="33"/>
      <c r="F214" s="32"/>
      <c r="G214" s="32"/>
      <c r="H214" s="35"/>
      <c r="I214" s="35"/>
      <c r="J214" s="35"/>
      <c r="K214" s="33"/>
      <c r="L214" s="37" t="str">
        <f aca="true">IF(OR(B214="",G214&lt;&gt;"Open",I214=""),"",IF(I214&lt;TODAY(),"Overdue",IF(I214&lt;=TODAY()+7,"Due Soon","")))</f>
        <v/>
      </c>
    </row>
    <row r="215" customFormat="false" ht="15" hidden="false" customHeight="false" outlineLevel="0" collapsed="false">
      <c r="A215" s="32"/>
      <c r="B215" s="32"/>
      <c r="C215" s="32"/>
      <c r="D215" s="33"/>
      <c r="E215" s="33"/>
      <c r="F215" s="32"/>
      <c r="G215" s="32"/>
      <c r="H215" s="35"/>
      <c r="I215" s="35"/>
      <c r="J215" s="35"/>
      <c r="K215" s="33"/>
      <c r="L215" s="37" t="str">
        <f aca="true">IF(OR(B215="",G215&lt;&gt;"Open",I215=""),"",IF(I215&lt;TODAY(),"Overdue",IF(I215&lt;=TODAY()+7,"Due Soon","")))</f>
        <v/>
      </c>
    </row>
    <row r="216" customFormat="false" ht="15" hidden="false" customHeight="false" outlineLevel="0" collapsed="false">
      <c r="A216" s="32"/>
      <c r="B216" s="32"/>
      <c r="C216" s="32"/>
      <c r="D216" s="33"/>
      <c r="E216" s="33"/>
      <c r="F216" s="32"/>
      <c r="G216" s="32"/>
      <c r="H216" s="35"/>
      <c r="I216" s="35"/>
      <c r="J216" s="35"/>
      <c r="K216" s="33"/>
      <c r="L216" s="37" t="str">
        <f aca="true">IF(OR(B216="",G216&lt;&gt;"Open",I216=""),"",IF(I216&lt;TODAY(),"Overdue",IF(I216&lt;=TODAY()+7,"Due Soon","")))</f>
        <v/>
      </c>
    </row>
    <row r="217" customFormat="false" ht="15" hidden="false" customHeight="false" outlineLevel="0" collapsed="false">
      <c r="A217" s="32"/>
      <c r="B217" s="32"/>
      <c r="C217" s="32"/>
      <c r="D217" s="33"/>
      <c r="E217" s="33"/>
      <c r="F217" s="32"/>
      <c r="G217" s="32"/>
      <c r="H217" s="35"/>
      <c r="I217" s="35"/>
      <c r="J217" s="35"/>
      <c r="K217" s="33"/>
      <c r="L217" s="37" t="str">
        <f aca="true">IF(OR(B217="",G217&lt;&gt;"Open",I217=""),"",IF(I217&lt;TODAY(),"Overdue",IF(I217&lt;=TODAY()+7,"Due Soon","")))</f>
        <v/>
      </c>
    </row>
    <row r="218" customFormat="false" ht="15" hidden="false" customHeight="false" outlineLevel="0" collapsed="false">
      <c r="A218" s="32"/>
      <c r="B218" s="32"/>
      <c r="C218" s="32"/>
      <c r="D218" s="33"/>
      <c r="E218" s="33"/>
      <c r="F218" s="32"/>
      <c r="G218" s="32"/>
      <c r="H218" s="35"/>
      <c r="I218" s="35"/>
      <c r="J218" s="35"/>
      <c r="K218" s="33"/>
      <c r="L218" s="37" t="str">
        <f aca="true">IF(OR(B218="",G218&lt;&gt;"Open",I218=""),"",IF(I218&lt;TODAY(),"Overdue",IF(I218&lt;=TODAY()+7,"Due Soon","")))</f>
        <v/>
      </c>
    </row>
    <row r="219" customFormat="false" ht="15" hidden="false" customHeight="false" outlineLevel="0" collapsed="false">
      <c r="A219" s="32"/>
      <c r="B219" s="32"/>
      <c r="C219" s="32"/>
      <c r="D219" s="33"/>
      <c r="E219" s="33"/>
      <c r="F219" s="32"/>
      <c r="G219" s="32"/>
      <c r="H219" s="35"/>
      <c r="I219" s="35"/>
      <c r="J219" s="35"/>
      <c r="K219" s="33"/>
      <c r="L219" s="37" t="str">
        <f aca="true">IF(OR(B219="",G219&lt;&gt;"Open",I219=""),"",IF(I219&lt;TODAY(),"Overdue",IF(I219&lt;=TODAY()+7,"Due Soon","")))</f>
        <v/>
      </c>
    </row>
    <row r="220" customFormat="false" ht="15" hidden="false" customHeight="false" outlineLevel="0" collapsed="false">
      <c r="A220" s="32"/>
      <c r="B220" s="32"/>
      <c r="C220" s="32"/>
      <c r="D220" s="33"/>
      <c r="E220" s="33"/>
      <c r="F220" s="32"/>
      <c r="G220" s="32"/>
      <c r="H220" s="35"/>
      <c r="I220" s="35"/>
      <c r="J220" s="35"/>
      <c r="K220" s="33"/>
      <c r="L220" s="37" t="str">
        <f aca="true">IF(OR(B220="",G220&lt;&gt;"Open",I220=""),"",IF(I220&lt;TODAY(),"Overdue",IF(I220&lt;=TODAY()+7,"Due Soon","")))</f>
        <v/>
      </c>
    </row>
    <row r="221" customFormat="false" ht="15" hidden="false" customHeight="false" outlineLevel="0" collapsed="false">
      <c r="A221" s="32"/>
      <c r="B221" s="32"/>
      <c r="C221" s="32"/>
      <c r="D221" s="33"/>
      <c r="E221" s="33"/>
      <c r="F221" s="32"/>
      <c r="G221" s="32"/>
      <c r="H221" s="35"/>
      <c r="I221" s="35"/>
      <c r="J221" s="35"/>
      <c r="K221" s="33"/>
      <c r="L221" s="37" t="str">
        <f aca="true">IF(OR(B221="",G221&lt;&gt;"Open",I221=""),"",IF(I221&lt;TODAY(),"Overdue",IF(I221&lt;=TODAY()+7,"Due Soon","")))</f>
        <v/>
      </c>
    </row>
    <row r="222" customFormat="false" ht="15" hidden="false" customHeight="false" outlineLevel="0" collapsed="false">
      <c r="A222" s="32"/>
      <c r="B222" s="32"/>
      <c r="C222" s="32"/>
      <c r="D222" s="33"/>
      <c r="E222" s="33"/>
      <c r="F222" s="32"/>
      <c r="G222" s="32"/>
      <c r="H222" s="35"/>
      <c r="I222" s="35"/>
      <c r="J222" s="35"/>
      <c r="K222" s="33"/>
      <c r="L222" s="37" t="str">
        <f aca="true">IF(OR(B222="",G222&lt;&gt;"Open",I222=""),"",IF(I222&lt;TODAY(),"Overdue",IF(I222&lt;=TODAY()+7,"Due Soon","")))</f>
        <v/>
      </c>
    </row>
    <row r="223" customFormat="false" ht="15" hidden="false" customHeight="false" outlineLevel="0" collapsed="false">
      <c r="A223" s="32"/>
      <c r="B223" s="32"/>
      <c r="C223" s="32"/>
      <c r="D223" s="33"/>
      <c r="E223" s="33"/>
      <c r="F223" s="32"/>
      <c r="G223" s="32"/>
      <c r="H223" s="35"/>
      <c r="I223" s="35"/>
      <c r="J223" s="35"/>
      <c r="K223" s="33"/>
      <c r="L223" s="37" t="str">
        <f aca="true">IF(OR(B223="",G223&lt;&gt;"Open",I223=""),"",IF(I223&lt;TODAY(),"Overdue",IF(I223&lt;=TODAY()+7,"Due Soon","")))</f>
        <v/>
      </c>
    </row>
    <row r="224" customFormat="false" ht="15" hidden="false" customHeight="false" outlineLevel="0" collapsed="false">
      <c r="A224" s="32"/>
      <c r="B224" s="32"/>
      <c r="C224" s="32"/>
      <c r="D224" s="33"/>
      <c r="E224" s="33"/>
      <c r="F224" s="32"/>
      <c r="G224" s="32"/>
      <c r="H224" s="35"/>
      <c r="I224" s="35"/>
      <c r="J224" s="35"/>
      <c r="K224" s="33"/>
      <c r="L224" s="37" t="str">
        <f aca="true">IF(OR(B224="",G224&lt;&gt;"Open",I224=""),"",IF(I224&lt;TODAY(),"Overdue",IF(I224&lt;=TODAY()+7,"Due Soon","")))</f>
        <v/>
      </c>
    </row>
    <row r="225" customFormat="false" ht="15" hidden="false" customHeight="false" outlineLevel="0" collapsed="false">
      <c r="A225" s="32"/>
      <c r="B225" s="32"/>
      <c r="C225" s="32"/>
      <c r="D225" s="33"/>
      <c r="E225" s="33"/>
      <c r="F225" s="32"/>
      <c r="G225" s="32"/>
      <c r="H225" s="35"/>
      <c r="I225" s="35"/>
      <c r="J225" s="35"/>
      <c r="K225" s="33"/>
      <c r="L225" s="37" t="str">
        <f aca="true">IF(OR(B225="",G225&lt;&gt;"Open",I225=""),"",IF(I225&lt;TODAY(),"Overdue",IF(I225&lt;=TODAY()+7,"Due Soon","")))</f>
        <v/>
      </c>
    </row>
    <row r="226" customFormat="false" ht="15" hidden="false" customHeight="false" outlineLevel="0" collapsed="false">
      <c r="A226" s="32"/>
      <c r="B226" s="32"/>
      <c r="C226" s="32"/>
      <c r="D226" s="33"/>
      <c r="E226" s="33"/>
      <c r="F226" s="32"/>
      <c r="G226" s="32"/>
      <c r="H226" s="35"/>
      <c r="I226" s="35"/>
      <c r="J226" s="35"/>
      <c r="K226" s="33"/>
      <c r="L226" s="37" t="str">
        <f aca="true">IF(OR(B226="",G226&lt;&gt;"Open",I226=""),"",IF(I226&lt;TODAY(),"Overdue",IF(I226&lt;=TODAY()+7,"Due Soon","")))</f>
        <v/>
      </c>
    </row>
    <row r="227" customFormat="false" ht="15" hidden="false" customHeight="false" outlineLevel="0" collapsed="false">
      <c r="A227" s="32"/>
      <c r="B227" s="32"/>
      <c r="C227" s="32"/>
      <c r="D227" s="33"/>
      <c r="E227" s="33"/>
      <c r="F227" s="32"/>
      <c r="G227" s="32"/>
      <c r="H227" s="35"/>
      <c r="I227" s="35"/>
      <c r="J227" s="35"/>
      <c r="K227" s="33"/>
      <c r="L227" s="37" t="str">
        <f aca="true">IF(OR(B227="",G227&lt;&gt;"Open",I227=""),"",IF(I227&lt;TODAY(),"Overdue",IF(I227&lt;=TODAY()+7,"Due Soon","")))</f>
        <v/>
      </c>
    </row>
    <row r="228" customFormat="false" ht="15" hidden="false" customHeight="false" outlineLevel="0" collapsed="false">
      <c r="A228" s="32"/>
      <c r="B228" s="32"/>
      <c r="C228" s="32"/>
      <c r="D228" s="33"/>
      <c r="E228" s="33"/>
      <c r="F228" s="32"/>
      <c r="G228" s="32"/>
      <c r="H228" s="35"/>
      <c r="I228" s="35"/>
      <c r="J228" s="35"/>
      <c r="K228" s="33"/>
      <c r="L228" s="37" t="str">
        <f aca="true">IF(OR(B228="",G228&lt;&gt;"Open",I228=""),"",IF(I228&lt;TODAY(),"Overdue",IF(I228&lt;=TODAY()+7,"Due Soon","")))</f>
        <v/>
      </c>
    </row>
    <row r="229" customFormat="false" ht="15" hidden="false" customHeight="false" outlineLevel="0" collapsed="false">
      <c r="A229" s="32"/>
      <c r="B229" s="32"/>
      <c r="C229" s="32"/>
      <c r="D229" s="33"/>
      <c r="E229" s="33"/>
      <c r="F229" s="32"/>
      <c r="G229" s="32"/>
      <c r="H229" s="35"/>
      <c r="I229" s="35"/>
      <c r="J229" s="35"/>
      <c r="K229" s="33"/>
      <c r="L229" s="37" t="str">
        <f aca="true">IF(OR(B229="",G229&lt;&gt;"Open",I229=""),"",IF(I229&lt;TODAY(),"Overdue",IF(I229&lt;=TODAY()+7,"Due Soon","")))</f>
        <v/>
      </c>
    </row>
    <row r="230" customFormat="false" ht="15" hidden="false" customHeight="false" outlineLevel="0" collapsed="false">
      <c r="A230" s="32"/>
      <c r="B230" s="32"/>
      <c r="C230" s="32"/>
      <c r="D230" s="33"/>
      <c r="E230" s="33"/>
      <c r="F230" s="32"/>
      <c r="G230" s="32"/>
      <c r="H230" s="35"/>
      <c r="I230" s="35"/>
      <c r="J230" s="35"/>
      <c r="K230" s="33"/>
      <c r="L230" s="37" t="str">
        <f aca="true">IF(OR(B230="",G230&lt;&gt;"Open",I230=""),"",IF(I230&lt;TODAY(),"Overdue",IF(I230&lt;=TODAY()+7,"Due Soon","")))</f>
        <v/>
      </c>
    </row>
    <row r="231" customFormat="false" ht="15" hidden="false" customHeight="false" outlineLevel="0" collapsed="false">
      <c r="A231" s="32"/>
      <c r="B231" s="32"/>
      <c r="C231" s="32"/>
      <c r="D231" s="33"/>
      <c r="E231" s="33"/>
      <c r="F231" s="32"/>
      <c r="G231" s="32"/>
      <c r="H231" s="35"/>
      <c r="I231" s="35"/>
      <c r="J231" s="35"/>
      <c r="K231" s="33"/>
      <c r="L231" s="37" t="str">
        <f aca="true">IF(OR(B231="",G231&lt;&gt;"Open",I231=""),"",IF(I231&lt;TODAY(),"Overdue",IF(I231&lt;=TODAY()+7,"Due Soon","")))</f>
        <v/>
      </c>
    </row>
    <row r="232" customFormat="false" ht="15" hidden="false" customHeight="false" outlineLevel="0" collapsed="false">
      <c r="A232" s="32"/>
      <c r="B232" s="32"/>
      <c r="C232" s="32"/>
      <c r="D232" s="33"/>
      <c r="E232" s="33"/>
      <c r="F232" s="32"/>
      <c r="G232" s="32"/>
      <c r="H232" s="35"/>
      <c r="I232" s="35"/>
      <c r="J232" s="35"/>
      <c r="K232" s="33"/>
      <c r="L232" s="37" t="str">
        <f aca="true">IF(OR(B232="",G232&lt;&gt;"Open",I232=""),"",IF(I232&lt;TODAY(),"Overdue",IF(I232&lt;=TODAY()+7,"Due Soon","")))</f>
        <v/>
      </c>
    </row>
    <row r="233" customFormat="false" ht="15" hidden="false" customHeight="false" outlineLevel="0" collapsed="false">
      <c r="A233" s="32"/>
      <c r="B233" s="32"/>
      <c r="C233" s="32"/>
      <c r="D233" s="33"/>
      <c r="E233" s="33"/>
      <c r="F233" s="32"/>
      <c r="G233" s="32"/>
      <c r="H233" s="35"/>
      <c r="I233" s="35"/>
      <c r="J233" s="35"/>
      <c r="K233" s="33"/>
      <c r="L233" s="37" t="str">
        <f aca="true">IF(OR(B233="",G233&lt;&gt;"Open",I233=""),"",IF(I233&lt;TODAY(),"Overdue",IF(I233&lt;=TODAY()+7,"Due Soon","")))</f>
        <v/>
      </c>
    </row>
    <row r="234" customFormat="false" ht="15" hidden="false" customHeight="false" outlineLevel="0" collapsed="false">
      <c r="A234" s="32"/>
      <c r="B234" s="32"/>
      <c r="C234" s="32"/>
      <c r="D234" s="33"/>
      <c r="E234" s="33"/>
      <c r="F234" s="32"/>
      <c r="G234" s="32"/>
      <c r="H234" s="35"/>
      <c r="I234" s="35"/>
      <c r="J234" s="35"/>
      <c r="K234" s="33"/>
      <c r="L234" s="37" t="str">
        <f aca="true">IF(OR(B234="",G234&lt;&gt;"Open",I234=""),"",IF(I234&lt;TODAY(),"Overdue",IF(I234&lt;=TODAY()+7,"Due Soon","")))</f>
        <v/>
      </c>
    </row>
    <row r="235" customFormat="false" ht="15" hidden="false" customHeight="false" outlineLevel="0" collapsed="false">
      <c r="A235" s="32"/>
      <c r="B235" s="32"/>
      <c r="C235" s="32"/>
      <c r="D235" s="33"/>
      <c r="E235" s="33"/>
      <c r="F235" s="32"/>
      <c r="G235" s="32"/>
      <c r="H235" s="35"/>
      <c r="I235" s="35"/>
      <c r="J235" s="35"/>
      <c r="K235" s="33"/>
      <c r="L235" s="37" t="str">
        <f aca="true">IF(OR(B235="",G235&lt;&gt;"Open",I235=""),"",IF(I235&lt;TODAY(),"Overdue",IF(I235&lt;=TODAY()+7,"Due Soon","")))</f>
        <v/>
      </c>
    </row>
    <row r="236" customFormat="false" ht="15" hidden="false" customHeight="false" outlineLevel="0" collapsed="false">
      <c r="A236" s="32"/>
      <c r="B236" s="32"/>
      <c r="C236" s="32"/>
      <c r="D236" s="33"/>
      <c r="E236" s="33"/>
      <c r="F236" s="32"/>
      <c r="G236" s="32"/>
      <c r="H236" s="35"/>
      <c r="I236" s="35"/>
      <c r="J236" s="35"/>
      <c r="K236" s="33"/>
      <c r="L236" s="37" t="str">
        <f aca="true">IF(OR(B236="",G236&lt;&gt;"Open",I236=""),"",IF(I236&lt;TODAY(),"Overdue",IF(I236&lt;=TODAY()+7,"Due Soon","")))</f>
        <v/>
      </c>
    </row>
    <row r="237" customFormat="false" ht="15" hidden="false" customHeight="false" outlineLevel="0" collapsed="false">
      <c r="A237" s="32"/>
      <c r="B237" s="32"/>
      <c r="C237" s="32"/>
      <c r="D237" s="33"/>
      <c r="E237" s="33"/>
      <c r="F237" s="32"/>
      <c r="G237" s="32"/>
      <c r="H237" s="35"/>
      <c r="I237" s="35"/>
      <c r="J237" s="35"/>
      <c r="K237" s="33"/>
      <c r="L237" s="37" t="str">
        <f aca="true">IF(OR(B237="",G237&lt;&gt;"Open",I237=""),"",IF(I237&lt;TODAY(),"Overdue",IF(I237&lt;=TODAY()+7,"Due Soon","")))</f>
        <v/>
      </c>
    </row>
    <row r="238" customFormat="false" ht="15" hidden="false" customHeight="false" outlineLevel="0" collapsed="false">
      <c r="A238" s="32"/>
      <c r="B238" s="32"/>
      <c r="C238" s="32"/>
      <c r="D238" s="33"/>
      <c r="E238" s="33"/>
      <c r="F238" s="32"/>
      <c r="G238" s="32"/>
      <c r="H238" s="35"/>
      <c r="I238" s="35"/>
      <c r="J238" s="35"/>
      <c r="K238" s="33"/>
      <c r="L238" s="37" t="str">
        <f aca="true">IF(OR(B238="",G238&lt;&gt;"Open",I238=""),"",IF(I238&lt;TODAY(),"Overdue",IF(I238&lt;=TODAY()+7,"Due Soon","")))</f>
        <v/>
      </c>
    </row>
    <row r="239" customFormat="false" ht="15" hidden="false" customHeight="false" outlineLevel="0" collapsed="false">
      <c r="A239" s="32"/>
      <c r="B239" s="32"/>
      <c r="C239" s="32"/>
      <c r="D239" s="33"/>
      <c r="E239" s="33"/>
      <c r="F239" s="32"/>
      <c r="G239" s="32"/>
      <c r="H239" s="35"/>
      <c r="I239" s="35"/>
      <c r="J239" s="35"/>
      <c r="K239" s="33"/>
      <c r="L239" s="37" t="str">
        <f aca="true">IF(OR(B239="",G239&lt;&gt;"Open",I239=""),"",IF(I239&lt;TODAY(),"Overdue",IF(I239&lt;=TODAY()+7,"Due Soon","")))</f>
        <v/>
      </c>
    </row>
    <row r="240" customFormat="false" ht="15" hidden="false" customHeight="false" outlineLevel="0" collapsed="false">
      <c r="A240" s="32"/>
      <c r="B240" s="32"/>
      <c r="C240" s="32"/>
      <c r="D240" s="33"/>
      <c r="E240" s="33"/>
      <c r="F240" s="32"/>
      <c r="G240" s="32"/>
      <c r="H240" s="35"/>
      <c r="I240" s="35"/>
      <c r="J240" s="35"/>
      <c r="K240" s="33"/>
      <c r="L240" s="37" t="str">
        <f aca="true">IF(OR(B240="",G240&lt;&gt;"Open",I240=""),"",IF(I240&lt;TODAY(),"Overdue",IF(I240&lt;=TODAY()+7,"Due Soon","")))</f>
        <v/>
      </c>
    </row>
    <row r="241" customFormat="false" ht="15" hidden="false" customHeight="false" outlineLevel="0" collapsed="false">
      <c r="A241" s="32"/>
      <c r="B241" s="32"/>
      <c r="C241" s="32"/>
      <c r="D241" s="33"/>
      <c r="E241" s="33"/>
      <c r="F241" s="32"/>
      <c r="G241" s="32"/>
      <c r="H241" s="35"/>
      <c r="I241" s="35"/>
      <c r="J241" s="35"/>
      <c r="K241" s="33"/>
      <c r="L241" s="37" t="str">
        <f aca="true">IF(OR(B241="",G241&lt;&gt;"Open",I241=""),"",IF(I241&lt;TODAY(),"Overdue",IF(I241&lt;=TODAY()+7,"Due Soon","")))</f>
        <v/>
      </c>
    </row>
    <row r="242" customFormat="false" ht="15" hidden="false" customHeight="false" outlineLevel="0" collapsed="false">
      <c r="A242" s="32"/>
      <c r="B242" s="32"/>
      <c r="C242" s="32"/>
      <c r="D242" s="33"/>
      <c r="E242" s="33"/>
      <c r="F242" s="32"/>
      <c r="G242" s="32"/>
      <c r="H242" s="35"/>
      <c r="I242" s="35"/>
      <c r="J242" s="35"/>
      <c r="K242" s="33"/>
      <c r="L242" s="37" t="str">
        <f aca="true">IF(OR(B242="",G242&lt;&gt;"Open",I242=""),"",IF(I242&lt;TODAY(),"Overdue",IF(I242&lt;=TODAY()+7,"Due Soon","")))</f>
        <v/>
      </c>
    </row>
    <row r="243" customFormat="false" ht="15" hidden="false" customHeight="false" outlineLevel="0" collapsed="false">
      <c r="A243" s="32"/>
      <c r="B243" s="32"/>
      <c r="C243" s="32"/>
      <c r="D243" s="33"/>
      <c r="E243" s="33"/>
      <c r="F243" s="32"/>
      <c r="G243" s="32"/>
      <c r="H243" s="35"/>
      <c r="I243" s="35"/>
      <c r="J243" s="35"/>
      <c r="K243" s="33"/>
      <c r="L243" s="37" t="str">
        <f aca="true">IF(OR(B243="",G243&lt;&gt;"Open",I243=""),"",IF(I243&lt;TODAY(),"Overdue",IF(I243&lt;=TODAY()+7,"Due Soon","")))</f>
        <v/>
      </c>
    </row>
    <row r="244" customFormat="false" ht="15" hidden="false" customHeight="false" outlineLevel="0" collapsed="false">
      <c r="A244" s="32"/>
      <c r="B244" s="32"/>
      <c r="C244" s="32"/>
      <c r="D244" s="33"/>
      <c r="E244" s="33"/>
      <c r="F244" s="32"/>
      <c r="G244" s="32"/>
      <c r="H244" s="35"/>
      <c r="I244" s="35"/>
      <c r="J244" s="35"/>
      <c r="K244" s="33"/>
      <c r="L244" s="37" t="str">
        <f aca="true">IF(OR(B244="",G244&lt;&gt;"Open",I244=""),"",IF(I244&lt;TODAY(),"Overdue",IF(I244&lt;=TODAY()+7,"Due Soon","")))</f>
        <v/>
      </c>
    </row>
    <row r="245" customFormat="false" ht="15" hidden="false" customHeight="false" outlineLevel="0" collapsed="false">
      <c r="A245" s="32"/>
      <c r="B245" s="32"/>
      <c r="C245" s="32"/>
      <c r="D245" s="33"/>
      <c r="E245" s="33"/>
      <c r="F245" s="32"/>
      <c r="G245" s="32"/>
      <c r="H245" s="35"/>
      <c r="I245" s="35"/>
      <c r="J245" s="35"/>
      <c r="K245" s="33"/>
      <c r="L245" s="37" t="str">
        <f aca="true">IF(OR(B245="",G245&lt;&gt;"Open",I245=""),"",IF(I245&lt;TODAY(),"Overdue",IF(I245&lt;=TODAY()+7,"Due Soon","")))</f>
        <v/>
      </c>
    </row>
    <row r="246" customFormat="false" ht="15" hidden="false" customHeight="false" outlineLevel="0" collapsed="false">
      <c r="A246" s="32"/>
      <c r="B246" s="32"/>
      <c r="C246" s="32"/>
      <c r="D246" s="33"/>
      <c r="E246" s="33"/>
      <c r="F246" s="32"/>
      <c r="G246" s="32"/>
      <c r="H246" s="35"/>
      <c r="I246" s="35"/>
      <c r="J246" s="35"/>
      <c r="K246" s="33"/>
      <c r="L246" s="37" t="str">
        <f aca="true">IF(OR(B246="",G246&lt;&gt;"Open",I246=""),"",IF(I246&lt;TODAY(),"Overdue",IF(I246&lt;=TODAY()+7,"Due Soon","")))</f>
        <v/>
      </c>
    </row>
    <row r="247" customFormat="false" ht="15" hidden="false" customHeight="false" outlineLevel="0" collapsed="false">
      <c r="A247" s="32"/>
      <c r="B247" s="32"/>
      <c r="C247" s="32"/>
      <c r="D247" s="33"/>
      <c r="E247" s="33"/>
      <c r="F247" s="32"/>
      <c r="G247" s="32"/>
      <c r="H247" s="35"/>
      <c r="I247" s="35"/>
      <c r="J247" s="35"/>
      <c r="K247" s="33"/>
      <c r="L247" s="37" t="str">
        <f aca="true">IF(OR(B247="",G247&lt;&gt;"Open",I247=""),"",IF(I247&lt;TODAY(),"Overdue",IF(I247&lt;=TODAY()+7,"Due Soon","")))</f>
        <v/>
      </c>
    </row>
    <row r="248" customFormat="false" ht="15" hidden="false" customHeight="false" outlineLevel="0" collapsed="false">
      <c r="A248" s="32"/>
      <c r="B248" s="32"/>
      <c r="C248" s="32"/>
      <c r="D248" s="33"/>
      <c r="E248" s="33"/>
      <c r="F248" s="32"/>
      <c r="G248" s="32"/>
      <c r="H248" s="35"/>
      <c r="I248" s="35"/>
      <c r="J248" s="35"/>
      <c r="K248" s="33"/>
      <c r="L248" s="37" t="str">
        <f aca="true">IF(OR(B248="",G248&lt;&gt;"Open",I248=""),"",IF(I248&lt;TODAY(),"Overdue",IF(I248&lt;=TODAY()+7,"Due Soon","")))</f>
        <v/>
      </c>
    </row>
    <row r="249" customFormat="false" ht="15" hidden="false" customHeight="false" outlineLevel="0" collapsed="false">
      <c r="A249" s="32"/>
      <c r="B249" s="32"/>
      <c r="C249" s="32"/>
      <c r="D249" s="33"/>
      <c r="E249" s="33"/>
      <c r="F249" s="32"/>
      <c r="G249" s="32"/>
      <c r="H249" s="35"/>
      <c r="I249" s="35"/>
      <c r="J249" s="35"/>
      <c r="K249" s="33"/>
      <c r="L249" s="37" t="str">
        <f aca="true">IF(OR(B249="",G249&lt;&gt;"Open",I249=""),"",IF(I249&lt;TODAY(),"Overdue",IF(I249&lt;=TODAY()+7,"Due Soon","")))</f>
        <v/>
      </c>
    </row>
    <row r="250" customFormat="false" ht="15" hidden="false" customHeight="false" outlineLevel="0" collapsed="false">
      <c r="A250" s="32"/>
      <c r="B250" s="32"/>
      <c r="C250" s="32"/>
      <c r="D250" s="33"/>
      <c r="E250" s="33"/>
      <c r="F250" s="32"/>
      <c r="G250" s="32"/>
      <c r="H250" s="35"/>
      <c r="I250" s="35"/>
      <c r="J250" s="35"/>
      <c r="K250" s="33"/>
      <c r="L250" s="37" t="str">
        <f aca="true">IF(OR(B250="",G250&lt;&gt;"Open",I250=""),"",IF(I250&lt;TODAY(),"Overdue",IF(I250&lt;=TODAY()+7,"Due Soon","")))</f>
        <v/>
      </c>
    </row>
    <row r="251" customFormat="false" ht="15" hidden="false" customHeight="false" outlineLevel="0" collapsed="false">
      <c r="A251" s="32"/>
      <c r="B251" s="32"/>
      <c r="C251" s="32"/>
      <c r="D251" s="33"/>
      <c r="E251" s="33"/>
      <c r="F251" s="32"/>
      <c r="G251" s="32"/>
      <c r="H251" s="35"/>
      <c r="I251" s="35"/>
      <c r="J251" s="35"/>
      <c r="K251" s="33"/>
      <c r="L251" s="37" t="str">
        <f aca="true">IF(OR(B251="",G251&lt;&gt;"Open",I251=""),"",IF(I251&lt;TODAY(),"Overdue",IF(I251&lt;=TODAY()+7,"Due Soon","")))</f>
        <v/>
      </c>
    </row>
    <row r="252" customFormat="false" ht="15" hidden="false" customHeight="false" outlineLevel="0" collapsed="false">
      <c r="A252" s="32"/>
      <c r="B252" s="32"/>
      <c r="C252" s="32"/>
      <c r="D252" s="33"/>
      <c r="E252" s="33"/>
      <c r="F252" s="32"/>
      <c r="G252" s="32"/>
      <c r="H252" s="35"/>
      <c r="I252" s="35"/>
      <c r="J252" s="35"/>
      <c r="K252" s="33"/>
      <c r="L252" s="37" t="str">
        <f aca="true">IF(OR(B252="",G252&lt;&gt;"Open",I252=""),"",IF(I252&lt;TODAY(),"Overdue",IF(I252&lt;=TODAY()+7,"Due Soon","")))</f>
        <v/>
      </c>
    </row>
    <row r="253" customFormat="false" ht="15" hidden="false" customHeight="false" outlineLevel="0" collapsed="false">
      <c r="A253" s="32"/>
      <c r="B253" s="32"/>
      <c r="C253" s="32"/>
      <c r="D253" s="33"/>
      <c r="E253" s="33"/>
      <c r="F253" s="32"/>
      <c r="G253" s="32"/>
      <c r="H253" s="35"/>
      <c r="I253" s="35"/>
      <c r="J253" s="35"/>
      <c r="K253" s="33"/>
      <c r="L253" s="37" t="str">
        <f aca="true">IF(OR(B253="",G253&lt;&gt;"Open",I253=""),"",IF(I253&lt;TODAY(),"Overdue",IF(I253&lt;=TODAY()+7,"Due Soon","")))</f>
        <v/>
      </c>
    </row>
    <row r="254" customFormat="false" ht="15" hidden="false" customHeight="false" outlineLevel="0" collapsed="false">
      <c r="A254" s="32"/>
      <c r="B254" s="32"/>
      <c r="C254" s="32"/>
      <c r="D254" s="33"/>
      <c r="E254" s="33"/>
      <c r="F254" s="32"/>
      <c r="G254" s="32"/>
      <c r="H254" s="35"/>
      <c r="I254" s="35"/>
      <c r="J254" s="35"/>
      <c r="K254" s="33"/>
      <c r="L254" s="37" t="str">
        <f aca="true">IF(OR(B254="",G254&lt;&gt;"Open",I254=""),"",IF(I254&lt;TODAY(),"Overdue",IF(I254&lt;=TODAY()+7,"Due Soon","")))</f>
        <v/>
      </c>
    </row>
    <row r="255" customFormat="false" ht="15" hidden="false" customHeight="false" outlineLevel="0" collapsed="false">
      <c r="A255" s="32"/>
      <c r="B255" s="32"/>
      <c r="C255" s="32"/>
      <c r="D255" s="33"/>
      <c r="E255" s="33"/>
      <c r="F255" s="32"/>
      <c r="G255" s="32"/>
      <c r="H255" s="35"/>
      <c r="I255" s="35"/>
      <c r="J255" s="35"/>
      <c r="K255" s="33"/>
      <c r="L255" s="37" t="str">
        <f aca="true">IF(OR(B255="",G255&lt;&gt;"Open",I255=""),"",IF(I255&lt;TODAY(),"Overdue",IF(I255&lt;=TODAY()+7,"Due Soon","")))</f>
        <v/>
      </c>
    </row>
    <row r="256" customFormat="false" ht="15" hidden="false" customHeight="false" outlineLevel="0" collapsed="false">
      <c r="A256" s="32"/>
      <c r="B256" s="32"/>
      <c r="C256" s="32"/>
      <c r="D256" s="33"/>
      <c r="E256" s="33"/>
      <c r="F256" s="32"/>
      <c r="G256" s="32"/>
      <c r="H256" s="35"/>
      <c r="I256" s="35"/>
      <c r="J256" s="35"/>
      <c r="K256" s="33"/>
      <c r="L256" s="37" t="str">
        <f aca="true">IF(OR(B256="",G256&lt;&gt;"Open",I256=""),"",IF(I256&lt;TODAY(),"Overdue",IF(I256&lt;=TODAY()+7,"Due Soon","")))</f>
        <v/>
      </c>
    </row>
    <row r="257" customFormat="false" ht="15" hidden="false" customHeight="false" outlineLevel="0" collapsed="false">
      <c r="A257" s="32"/>
      <c r="B257" s="32"/>
      <c r="C257" s="32"/>
      <c r="D257" s="33"/>
      <c r="E257" s="33"/>
      <c r="F257" s="32"/>
      <c r="G257" s="32"/>
      <c r="H257" s="35"/>
      <c r="I257" s="35"/>
      <c r="J257" s="35"/>
      <c r="K257" s="33"/>
      <c r="L257" s="37" t="str">
        <f aca="true">IF(OR(B257="",G257&lt;&gt;"Open",I257=""),"",IF(I257&lt;TODAY(),"Overdue",IF(I257&lt;=TODAY()+7,"Due Soon","")))</f>
        <v/>
      </c>
    </row>
    <row r="258" customFormat="false" ht="15" hidden="false" customHeight="false" outlineLevel="0" collapsed="false">
      <c r="A258" s="32"/>
      <c r="B258" s="32"/>
      <c r="C258" s="32"/>
      <c r="D258" s="33"/>
      <c r="E258" s="33"/>
      <c r="F258" s="32"/>
      <c r="G258" s="32"/>
      <c r="H258" s="35"/>
      <c r="I258" s="35"/>
      <c r="J258" s="35"/>
      <c r="K258" s="33"/>
      <c r="L258" s="37" t="str">
        <f aca="true">IF(OR(B258="",G258&lt;&gt;"Open",I258=""),"",IF(I258&lt;TODAY(),"Overdue",IF(I258&lt;=TODAY()+7,"Due Soon","")))</f>
        <v/>
      </c>
    </row>
    <row r="259" customFormat="false" ht="15" hidden="false" customHeight="false" outlineLevel="0" collapsed="false">
      <c r="A259" s="32"/>
      <c r="B259" s="32"/>
      <c r="C259" s="32"/>
      <c r="D259" s="33"/>
      <c r="E259" s="33"/>
      <c r="F259" s="32"/>
      <c r="G259" s="32"/>
      <c r="H259" s="35"/>
      <c r="I259" s="35"/>
      <c r="J259" s="35"/>
      <c r="K259" s="33"/>
      <c r="L259" s="37" t="str">
        <f aca="true">IF(OR(B259="",G259&lt;&gt;"Open",I259=""),"",IF(I259&lt;TODAY(),"Overdue",IF(I259&lt;=TODAY()+7,"Due Soon","")))</f>
        <v/>
      </c>
    </row>
    <row r="260" customFormat="false" ht="15" hidden="false" customHeight="false" outlineLevel="0" collapsed="false">
      <c r="A260" s="32"/>
      <c r="B260" s="32"/>
      <c r="C260" s="32"/>
      <c r="D260" s="33"/>
      <c r="E260" s="33"/>
      <c r="F260" s="32"/>
      <c r="G260" s="32"/>
      <c r="H260" s="35"/>
      <c r="I260" s="35"/>
      <c r="J260" s="35"/>
      <c r="K260" s="33"/>
      <c r="L260" s="37" t="str">
        <f aca="true">IF(OR(B260="",G260&lt;&gt;"Open",I260=""),"",IF(I260&lt;TODAY(),"Overdue",IF(I260&lt;=TODAY()+7,"Due Soon","")))</f>
        <v/>
      </c>
    </row>
    <row r="261" customFormat="false" ht="15" hidden="false" customHeight="false" outlineLevel="0" collapsed="false">
      <c r="A261" s="32"/>
      <c r="B261" s="32"/>
      <c r="C261" s="32"/>
      <c r="D261" s="33"/>
      <c r="E261" s="33"/>
      <c r="F261" s="32"/>
      <c r="G261" s="32"/>
      <c r="H261" s="35"/>
      <c r="I261" s="35"/>
      <c r="J261" s="35"/>
      <c r="K261" s="33"/>
      <c r="L261" s="37" t="str">
        <f aca="true">IF(OR(B261="",G261&lt;&gt;"Open",I261=""),"",IF(I261&lt;TODAY(),"Overdue",IF(I261&lt;=TODAY()+7,"Due Soon","")))</f>
        <v/>
      </c>
    </row>
    <row r="262" customFormat="false" ht="15" hidden="false" customHeight="false" outlineLevel="0" collapsed="false">
      <c r="A262" s="32"/>
      <c r="B262" s="32"/>
      <c r="C262" s="32"/>
      <c r="D262" s="33"/>
      <c r="E262" s="33"/>
      <c r="F262" s="32"/>
      <c r="G262" s="32"/>
      <c r="H262" s="35"/>
      <c r="I262" s="35"/>
      <c r="J262" s="35"/>
      <c r="K262" s="33"/>
      <c r="L262" s="37" t="str">
        <f aca="true">IF(OR(B262="",G262&lt;&gt;"Open",I262=""),"",IF(I262&lt;TODAY(),"Overdue",IF(I262&lt;=TODAY()+7,"Due Soon","")))</f>
        <v/>
      </c>
    </row>
    <row r="263" customFormat="false" ht="15" hidden="false" customHeight="false" outlineLevel="0" collapsed="false">
      <c r="A263" s="32"/>
      <c r="B263" s="32"/>
      <c r="C263" s="32"/>
      <c r="D263" s="33"/>
      <c r="E263" s="33"/>
      <c r="F263" s="32"/>
      <c r="G263" s="32"/>
      <c r="H263" s="35"/>
      <c r="I263" s="35"/>
      <c r="J263" s="35"/>
      <c r="K263" s="33"/>
      <c r="L263" s="37" t="str">
        <f aca="true">IF(OR(B263="",G263&lt;&gt;"Open",I263=""),"",IF(I263&lt;TODAY(),"Overdue",IF(I263&lt;=TODAY()+7,"Due Soon","")))</f>
        <v/>
      </c>
    </row>
    <row r="264" customFormat="false" ht="15" hidden="false" customHeight="false" outlineLevel="0" collapsed="false">
      <c r="A264" s="32"/>
      <c r="B264" s="32"/>
      <c r="C264" s="32"/>
      <c r="D264" s="33"/>
      <c r="E264" s="33"/>
      <c r="F264" s="32"/>
      <c r="G264" s="32"/>
      <c r="H264" s="35"/>
      <c r="I264" s="35"/>
      <c r="J264" s="35"/>
      <c r="K264" s="33"/>
      <c r="L264" s="37" t="str">
        <f aca="true">IF(OR(B264="",G264&lt;&gt;"Open",I264=""),"",IF(I264&lt;TODAY(),"Overdue",IF(I264&lt;=TODAY()+7,"Due Soon","")))</f>
        <v/>
      </c>
    </row>
    <row r="265" customFormat="false" ht="15" hidden="false" customHeight="false" outlineLevel="0" collapsed="false">
      <c r="A265" s="32"/>
      <c r="B265" s="32"/>
      <c r="C265" s="32"/>
      <c r="D265" s="33"/>
      <c r="E265" s="33"/>
      <c r="F265" s="32"/>
      <c r="G265" s="32"/>
      <c r="H265" s="35"/>
      <c r="I265" s="35"/>
      <c r="J265" s="35"/>
      <c r="K265" s="33"/>
      <c r="L265" s="37" t="str">
        <f aca="true">IF(OR(B265="",G265&lt;&gt;"Open",I265=""),"",IF(I265&lt;TODAY(),"Overdue",IF(I265&lt;=TODAY()+7,"Due Soon","")))</f>
        <v/>
      </c>
    </row>
    <row r="266" customFormat="false" ht="15" hidden="false" customHeight="false" outlineLevel="0" collapsed="false">
      <c r="A266" s="32"/>
      <c r="B266" s="32"/>
      <c r="C266" s="32"/>
      <c r="D266" s="33"/>
      <c r="E266" s="33"/>
      <c r="F266" s="32"/>
      <c r="G266" s="32"/>
      <c r="H266" s="35"/>
      <c r="I266" s="35"/>
      <c r="J266" s="35"/>
      <c r="K266" s="33"/>
      <c r="L266" s="37" t="str">
        <f aca="true">IF(OR(B266="",G266&lt;&gt;"Open",I266=""),"",IF(I266&lt;TODAY(),"Overdue",IF(I266&lt;=TODAY()+7,"Due Soon","")))</f>
        <v/>
      </c>
    </row>
    <row r="267" customFormat="false" ht="15" hidden="false" customHeight="false" outlineLevel="0" collapsed="false">
      <c r="A267" s="32"/>
      <c r="B267" s="32"/>
      <c r="C267" s="32"/>
      <c r="D267" s="33"/>
      <c r="E267" s="33"/>
      <c r="F267" s="32"/>
      <c r="G267" s="32"/>
      <c r="H267" s="35"/>
      <c r="I267" s="35"/>
      <c r="J267" s="35"/>
      <c r="K267" s="33"/>
      <c r="L267" s="37" t="str">
        <f aca="true">IF(OR(B267="",G267&lt;&gt;"Open",I267=""),"",IF(I267&lt;TODAY(),"Overdue",IF(I267&lt;=TODAY()+7,"Due Soon","")))</f>
        <v/>
      </c>
    </row>
    <row r="268" customFormat="false" ht="15" hidden="false" customHeight="false" outlineLevel="0" collapsed="false">
      <c r="A268" s="32"/>
      <c r="B268" s="32"/>
      <c r="C268" s="32"/>
      <c r="D268" s="33"/>
      <c r="E268" s="33"/>
      <c r="F268" s="32"/>
      <c r="G268" s="32"/>
      <c r="H268" s="35"/>
      <c r="I268" s="35"/>
      <c r="J268" s="35"/>
      <c r="K268" s="33"/>
      <c r="L268" s="37" t="str">
        <f aca="true">IF(OR(B268="",G268&lt;&gt;"Open",I268=""),"",IF(I268&lt;TODAY(),"Overdue",IF(I268&lt;=TODAY()+7,"Due Soon","")))</f>
        <v/>
      </c>
    </row>
    <row r="269" customFormat="false" ht="15" hidden="false" customHeight="false" outlineLevel="0" collapsed="false">
      <c r="A269" s="32"/>
      <c r="B269" s="32"/>
      <c r="C269" s="32"/>
      <c r="D269" s="33"/>
      <c r="E269" s="33"/>
      <c r="F269" s="32"/>
      <c r="G269" s="32"/>
      <c r="H269" s="35"/>
      <c r="I269" s="35"/>
      <c r="J269" s="35"/>
      <c r="K269" s="33"/>
      <c r="L269" s="37" t="str">
        <f aca="true">IF(OR(B269="",G269&lt;&gt;"Open",I269=""),"",IF(I269&lt;TODAY(),"Overdue",IF(I269&lt;=TODAY()+7,"Due Soon","")))</f>
        <v/>
      </c>
    </row>
    <row r="270" customFormat="false" ht="15" hidden="false" customHeight="false" outlineLevel="0" collapsed="false">
      <c r="A270" s="32"/>
      <c r="B270" s="32"/>
      <c r="C270" s="32"/>
      <c r="D270" s="33"/>
      <c r="E270" s="33"/>
      <c r="F270" s="32"/>
      <c r="G270" s="32"/>
      <c r="H270" s="35"/>
      <c r="I270" s="35"/>
      <c r="J270" s="35"/>
      <c r="K270" s="33"/>
      <c r="L270" s="37" t="str">
        <f aca="true">IF(OR(B270="",G270&lt;&gt;"Open",I270=""),"",IF(I270&lt;TODAY(),"Overdue",IF(I270&lt;=TODAY()+7,"Due Soon","")))</f>
        <v/>
      </c>
    </row>
    <row r="271" customFormat="false" ht="15" hidden="false" customHeight="false" outlineLevel="0" collapsed="false">
      <c r="A271" s="32"/>
      <c r="B271" s="32"/>
      <c r="C271" s="32"/>
      <c r="D271" s="33"/>
      <c r="E271" s="33"/>
      <c r="F271" s="32"/>
      <c r="G271" s="32"/>
      <c r="H271" s="35"/>
      <c r="I271" s="35"/>
      <c r="J271" s="35"/>
      <c r="K271" s="33"/>
      <c r="L271" s="37" t="str">
        <f aca="true">IF(OR(B271="",G271&lt;&gt;"Open",I271=""),"",IF(I271&lt;TODAY(),"Overdue",IF(I271&lt;=TODAY()+7,"Due Soon","")))</f>
        <v/>
      </c>
    </row>
    <row r="272" customFormat="false" ht="15" hidden="false" customHeight="false" outlineLevel="0" collapsed="false">
      <c r="A272" s="32"/>
      <c r="B272" s="32"/>
      <c r="C272" s="32"/>
      <c r="D272" s="33"/>
      <c r="E272" s="33"/>
      <c r="F272" s="32"/>
      <c r="G272" s="32"/>
      <c r="H272" s="35"/>
      <c r="I272" s="35"/>
      <c r="J272" s="35"/>
      <c r="K272" s="33"/>
      <c r="L272" s="37" t="str">
        <f aca="true">IF(OR(B272="",G272&lt;&gt;"Open",I272=""),"",IF(I272&lt;TODAY(),"Overdue",IF(I272&lt;=TODAY()+7,"Due Soon","")))</f>
        <v/>
      </c>
    </row>
    <row r="273" customFormat="false" ht="15" hidden="false" customHeight="false" outlineLevel="0" collapsed="false">
      <c r="A273" s="32"/>
      <c r="B273" s="32"/>
      <c r="C273" s="32"/>
      <c r="D273" s="33"/>
      <c r="E273" s="33"/>
      <c r="F273" s="32"/>
      <c r="G273" s="32"/>
      <c r="H273" s="35"/>
      <c r="I273" s="35"/>
      <c r="J273" s="35"/>
      <c r="K273" s="33"/>
      <c r="L273" s="37" t="str">
        <f aca="true">IF(OR(B273="",G273&lt;&gt;"Open",I273=""),"",IF(I273&lt;TODAY(),"Overdue",IF(I273&lt;=TODAY()+7,"Due Soon","")))</f>
        <v/>
      </c>
    </row>
    <row r="274" customFormat="false" ht="15" hidden="false" customHeight="false" outlineLevel="0" collapsed="false">
      <c r="A274" s="32"/>
      <c r="B274" s="32"/>
      <c r="C274" s="32"/>
      <c r="D274" s="33"/>
      <c r="E274" s="33"/>
      <c r="F274" s="32"/>
      <c r="G274" s="32"/>
      <c r="H274" s="35"/>
      <c r="I274" s="35"/>
      <c r="J274" s="35"/>
      <c r="K274" s="33"/>
      <c r="L274" s="37" t="str">
        <f aca="true">IF(OR(B274="",G274&lt;&gt;"Open",I274=""),"",IF(I274&lt;TODAY(),"Overdue",IF(I274&lt;=TODAY()+7,"Due Soon","")))</f>
        <v/>
      </c>
    </row>
    <row r="275" customFormat="false" ht="15" hidden="false" customHeight="false" outlineLevel="0" collapsed="false">
      <c r="A275" s="32"/>
      <c r="B275" s="32"/>
      <c r="C275" s="32"/>
      <c r="D275" s="33"/>
      <c r="E275" s="33"/>
      <c r="F275" s="32"/>
      <c r="G275" s="32"/>
      <c r="H275" s="35"/>
      <c r="I275" s="35"/>
      <c r="J275" s="35"/>
      <c r="K275" s="33"/>
      <c r="L275" s="37" t="str">
        <f aca="true">IF(OR(B275="",G275&lt;&gt;"Open",I275=""),"",IF(I275&lt;TODAY(),"Overdue",IF(I275&lt;=TODAY()+7,"Due Soon","")))</f>
        <v/>
      </c>
    </row>
    <row r="276" customFormat="false" ht="15" hidden="false" customHeight="false" outlineLevel="0" collapsed="false">
      <c r="A276" s="32"/>
      <c r="B276" s="32"/>
      <c r="C276" s="32"/>
      <c r="D276" s="33"/>
      <c r="E276" s="33"/>
      <c r="F276" s="32"/>
      <c r="G276" s="32"/>
      <c r="H276" s="35"/>
      <c r="I276" s="35"/>
      <c r="J276" s="35"/>
      <c r="K276" s="33"/>
      <c r="L276" s="37" t="str">
        <f aca="true">IF(OR(B276="",G276&lt;&gt;"Open",I276=""),"",IF(I276&lt;TODAY(),"Overdue",IF(I276&lt;=TODAY()+7,"Due Soon","")))</f>
        <v/>
      </c>
    </row>
    <row r="277" customFormat="false" ht="15" hidden="false" customHeight="false" outlineLevel="0" collapsed="false">
      <c r="A277" s="32"/>
      <c r="B277" s="32"/>
      <c r="C277" s="32"/>
      <c r="D277" s="33"/>
      <c r="E277" s="33"/>
      <c r="F277" s="32"/>
      <c r="G277" s="32"/>
      <c r="H277" s="35"/>
      <c r="I277" s="35"/>
      <c r="J277" s="35"/>
      <c r="K277" s="33"/>
      <c r="L277" s="37" t="str">
        <f aca="true">IF(OR(B277="",G277&lt;&gt;"Open",I277=""),"",IF(I277&lt;TODAY(),"Overdue",IF(I277&lt;=TODAY()+7,"Due Soon","")))</f>
        <v/>
      </c>
    </row>
    <row r="278" customFormat="false" ht="15" hidden="false" customHeight="false" outlineLevel="0" collapsed="false">
      <c r="A278" s="32"/>
      <c r="B278" s="32"/>
      <c r="C278" s="32"/>
      <c r="D278" s="33"/>
      <c r="E278" s="33"/>
      <c r="F278" s="32"/>
      <c r="G278" s="32"/>
      <c r="H278" s="35"/>
      <c r="I278" s="35"/>
      <c r="J278" s="35"/>
      <c r="K278" s="33"/>
      <c r="L278" s="37" t="str">
        <f aca="true">IF(OR(B278="",G278&lt;&gt;"Open",I278=""),"",IF(I278&lt;TODAY(),"Overdue",IF(I278&lt;=TODAY()+7,"Due Soon","")))</f>
        <v/>
      </c>
    </row>
    <row r="279" customFormat="false" ht="15" hidden="false" customHeight="false" outlineLevel="0" collapsed="false">
      <c r="A279" s="32"/>
      <c r="B279" s="32"/>
      <c r="C279" s="32"/>
      <c r="D279" s="33"/>
      <c r="E279" s="33"/>
      <c r="F279" s="32"/>
      <c r="G279" s="32"/>
      <c r="H279" s="35"/>
      <c r="I279" s="35"/>
      <c r="J279" s="35"/>
      <c r="K279" s="33"/>
      <c r="L279" s="37" t="str">
        <f aca="true">IF(OR(B279="",G279&lt;&gt;"Open",I279=""),"",IF(I279&lt;TODAY(),"Overdue",IF(I279&lt;=TODAY()+7,"Due Soon","")))</f>
        <v/>
      </c>
    </row>
    <row r="280" customFormat="false" ht="15" hidden="false" customHeight="false" outlineLevel="0" collapsed="false">
      <c r="A280" s="32"/>
      <c r="B280" s="32"/>
      <c r="C280" s="32"/>
      <c r="D280" s="33"/>
      <c r="E280" s="33"/>
      <c r="F280" s="32"/>
      <c r="G280" s="32"/>
      <c r="H280" s="35"/>
      <c r="I280" s="35"/>
      <c r="J280" s="35"/>
      <c r="K280" s="33"/>
      <c r="L280" s="37" t="str">
        <f aca="true">IF(OR(B280="",G280&lt;&gt;"Open",I280=""),"",IF(I280&lt;TODAY(),"Overdue",IF(I280&lt;=TODAY()+7,"Due Soon","")))</f>
        <v/>
      </c>
    </row>
    <row r="281" customFormat="false" ht="15" hidden="false" customHeight="false" outlineLevel="0" collapsed="false">
      <c r="A281" s="32"/>
      <c r="B281" s="32"/>
      <c r="C281" s="32"/>
      <c r="D281" s="33"/>
      <c r="E281" s="33"/>
      <c r="F281" s="32"/>
      <c r="G281" s="32"/>
      <c r="H281" s="35"/>
      <c r="I281" s="35"/>
      <c r="J281" s="35"/>
      <c r="K281" s="33"/>
      <c r="L281" s="37" t="str">
        <f aca="true">IF(OR(B281="",G281&lt;&gt;"Open",I281=""),"",IF(I281&lt;TODAY(),"Overdue",IF(I281&lt;=TODAY()+7,"Due Soon","")))</f>
        <v/>
      </c>
    </row>
    <row r="282" customFormat="false" ht="15" hidden="false" customHeight="false" outlineLevel="0" collapsed="false">
      <c r="A282" s="32"/>
      <c r="B282" s="32"/>
      <c r="C282" s="32"/>
      <c r="D282" s="33"/>
      <c r="E282" s="33"/>
      <c r="F282" s="32"/>
      <c r="G282" s="32"/>
      <c r="H282" s="35"/>
      <c r="I282" s="35"/>
      <c r="J282" s="35"/>
      <c r="K282" s="33"/>
      <c r="L282" s="37" t="str">
        <f aca="true">IF(OR(B282="",G282&lt;&gt;"Open",I282=""),"",IF(I282&lt;TODAY(),"Overdue",IF(I282&lt;=TODAY()+7,"Due Soon","")))</f>
        <v/>
      </c>
    </row>
    <row r="283" customFormat="false" ht="15" hidden="false" customHeight="false" outlineLevel="0" collapsed="false">
      <c r="A283" s="32"/>
      <c r="B283" s="32"/>
      <c r="C283" s="32"/>
      <c r="D283" s="33"/>
      <c r="E283" s="33"/>
      <c r="F283" s="32"/>
      <c r="G283" s="32"/>
      <c r="H283" s="35"/>
      <c r="I283" s="35"/>
      <c r="J283" s="35"/>
      <c r="K283" s="33"/>
      <c r="L283" s="37" t="str">
        <f aca="true">IF(OR(B283="",G283&lt;&gt;"Open",I283=""),"",IF(I283&lt;TODAY(),"Overdue",IF(I283&lt;=TODAY()+7,"Due Soon","")))</f>
        <v/>
      </c>
    </row>
    <row r="284" customFormat="false" ht="15" hidden="false" customHeight="false" outlineLevel="0" collapsed="false">
      <c r="A284" s="32"/>
      <c r="B284" s="32"/>
      <c r="C284" s="32"/>
      <c r="D284" s="33"/>
      <c r="E284" s="33"/>
      <c r="F284" s="32"/>
      <c r="G284" s="32"/>
      <c r="H284" s="35"/>
      <c r="I284" s="35"/>
      <c r="J284" s="35"/>
      <c r="K284" s="33"/>
      <c r="L284" s="37" t="str">
        <f aca="true">IF(OR(B284="",G284&lt;&gt;"Open",I284=""),"",IF(I284&lt;TODAY(),"Overdue",IF(I284&lt;=TODAY()+7,"Due Soon","")))</f>
        <v/>
      </c>
    </row>
    <row r="285" customFormat="false" ht="15" hidden="false" customHeight="false" outlineLevel="0" collapsed="false">
      <c r="A285" s="32"/>
      <c r="B285" s="32"/>
      <c r="C285" s="32"/>
      <c r="D285" s="33"/>
      <c r="E285" s="33"/>
      <c r="F285" s="32"/>
      <c r="G285" s="32"/>
      <c r="H285" s="35"/>
      <c r="I285" s="35"/>
      <c r="J285" s="35"/>
      <c r="K285" s="33"/>
      <c r="L285" s="37" t="str">
        <f aca="true">IF(OR(B285="",G285&lt;&gt;"Open",I285=""),"",IF(I285&lt;TODAY(),"Overdue",IF(I285&lt;=TODAY()+7,"Due Soon","")))</f>
        <v/>
      </c>
    </row>
    <row r="286" customFormat="false" ht="15" hidden="false" customHeight="false" outlineLevel="0" collapsed="false">
      <c r="A286" s="32"/>
      <c r="B286" s="32"/>
      <c r="C286" s="32"/>
      <c r="D286" s="33"/>
      <c r="E286" s="33"/>
      <c r="F286" s="32"/>
      <c r="G286" s="32"/>
      <c r="H286" s="35"/>
      <c r="I286" s="35"/>
      <c r="J286" s="35"/>
      <c r="K286" s="33"/>
      <c r="L286" s="37" t="str">
        <f aca="true">IF(OR(B286="",G286&lt;&gt;"Open",I286=""),"",IF(I286&lt;TODAY(),"Overdue",IF(I286&lt;=TODAY()+7,"Due Soon","")))</f>
        <v/>
      </c>
    </row>
    <row r="287" customFormat="false" ht="15" hidden="false" customHeight="false" outlineLevel="0" collapsed="false">
      <c r="A287" s="32"/>
      <c r="B287" s="32"/>
      <c r="C287" s="32"/>
      <c r="D287" s="33"/>
      <c r="E287" s="33"/>
      <c r="F287" s="32"/>
      <c r="G287" s="32"/>
      <c r="H287" s="35"/>
      <c r="I287" s="35"/>
      <c r="J287" s="35"/>
      <c r="K287" s="33"/>
      <c r="L287" s="37" t="str">
        <f aca="true">IF(OR(B287="",G287&lt;&gt;"Open",I287=""),"",IF(I287&lt;TODAY(),"Overdue",IF(I287&lt;=TODAY()+7,"Due Soon","")))</f>
        <v/>
      </c>
    </row>
    <row r="288" customFormat="false" ht="15" hidden="false" customHeight="false" outlineLevel="0" collapsed="false">
      <c r="A288" s="32"/>
      <c r="B288" s="32"/>
      <c r="C288" s="32"/>
      <c r="D288" s="33"/>
      <c r="E288" s="33"/>
      <c r="F288" s="32"/>
      <c r="G288" s="32"/>
      <c r="H288" s="35"/>
      <c r="I288" s="35"/>
      <c r="J288" s="35"/>
      <c r="K288" s="33"/>
      <c r="L288" s="37" t="str">
        <f aca="true">IF(OR(B288="",G288&lt;&gt;"Open",I288=""),"",IF(I288&lt;TODAY(),"Overdue",IF(I288&lt;=TODAY()+7,"Due Soon","")))</f>
        <v/>
      </c>
    </row>
    <row r="289" customFormat="false" ht="15" hidden="false" customHeight="false" outlineLevel="0" collapsed="false">
      <c r="A289" s="32"/>
      <c r="B289" s="32"/>
      <c r="C289" s="32"/>
      <c r="D289" s="33"/>
      <c r="E289" s="33"/>
      <c r="F289" s="32"/>
      <c r="G289" s="32"/>
      <c r="H289" s="35"/>
      <c r="I289" s="35"/>
      <c r="J289" s="35"/>
      <c r="K289" s="33"/>
      <c r="L289" s="37" t="str">
        <f aca="true">IF(OR(B289="",G289&lt;&gt;"Open",I289=""),"",IF(I289&lt;TODAY(),"Overdue",IF(I289&lt;=TODAY()+7,"Due Soon","")))</f>
        <v/>
      </c>
    </row>
    <row r="290" customFormat="false" ht="15" hidden="false" customHeight="false" outlineLevel="0" collapsed="false">
      <c r="A290" s="32"/>
      <c r="B290" s="32"/>
      <c r="C290" s="32"/>
      <c r="D290" s="33"/>
      <c r="E290" s="33"/>
      <c r="F290" s="32"/>
      <c r="G290" s="32"/>
      <c r="H290" s="35"/>
      <c r="I290" s="35"/>
      <c r="J290" s="35"/>
      <c r="K290" s="33"/>
      <c r="L290" s="37" t="str">
        <f aca="true">IF(OR(B290="",G290&lt;&gt;"Open",I290=""),"",IF(I290&lt;TODAY(),"Overdue",IF(I290&lt;=TODAY()+7,"Due Soon","")))</f>
        <v/>
      </c>
    </row>
    <row r="291" customFormat="false" ht="15" hidden="false" customHeight="false" outlineLevel="0" collapsed="false">
      <c r="A291" s="32"/>
      <c r="B291" s="32"/>
      <c r="C291" s="32"/>
      <c r="D291" s="33"/>
      <c r="E291" s="33"/>
      <c r="F291" s="32"/>
      <c r="G291" s="32"/>
      <c r="H291" s="35"/>
      <c r="I291" s="35"/>
      <c r="J291" s="35"/>
      <c r="K291" s="33"/>
      <c r="L291" s="37" t="str">
        <f aca="true">IF(OR(B291="",G291&lt;&gt;"Open",I291=""),"",IF(I291&lt;TODAY(),"Overdue",IF(I291&lt;=TODAY()+7,"Due Soon","")))</f>
        <v/>
      </c>
    </row>
    <row r="292" customFormat="false" ht="15" hidden="false" customHeight="false" outlineLevel="0" collapsed="false">
      <c r="A292" s="32"/>
      <c r="B292" s="32"/>
      <c r="C292" s="32"/>
      <c r="D292" s="33"/>
      <c r="E292" s="33"/>
      <c r="F292" s="32"/>
      <c r="G292" s="32"/>
      <c r="H292" s="35"/>
      <c r="I292" s="35"/>
      <c r="J292" s="35"/>
      <c r="K292" s="33"/>
      <c r="L292" s="37" t="str">
        <f aca="true">IF(OR(B292="",G292&lt;&gt;"Open",I292=""),"",IF(I292&lt;TODAY(),"Overdue",IF(I292&lt;=TODAY()+7,"Due Soon","")))</f>
        <v/>
      </c>
    </row>
    <row r="293" customFormat="false" ht="15" hidden="false" customHeight="false" outlineLevel="0" collapsed="false">
      <c r="A293" s="32"/>
      <c r="B293" s="32"/>
      <c r="C293" s="32"/>
      <c r="D293" s="33"/>
      <c r="E293" s="33"/>
      <c r="F293" s="32"/>
      <c r="G293" s="32"/>
      <c r="H293" s="35"/>
      <c r="I293" s="35"/>
      <c r="J293" s="35"/>
      <c r="K293" s="33"/>
      <c r="L293" s="37" t="str">
        <f aca="true">IF(OR(B293="",G293&lt;&gt;"Open",I293=""),"",IF(I293&lt;TODAY(),"Overdue",IF(I293&lt;=TODAY()+7,"Due Soon","")))</f>
        <v/>
      </c>
    </row>
    <row r="294" customFormat="false" ht="15" hidden="false" customHeight="false" outlineLevel="0" collapsed="false">
      <c r="A294" s="32"/>
      <c r="B294" s="32"/>
      <c r="C294" s="32"/>
      <c r="D294" s="33"/>
      <c r="E294" s="33"/>
      <c r="F294" s="32"/>
      <c r="G294" s="32"/>
      <c r="H294" s="35"/>
      <c r="I294" s="35"/>
      <c r="J294" s="35"/>
      <c r="K294" s="33"/>
      <c r="L294" s="37" t="str">
        <f aca="true">IF(OR(B294="",G294&lt;&gt;"Open",I294=""),"",IF(I294&lt;TODAY(),"Overdue",IF(I294&lt;=TODAY()+7,"Due Soon","")))</f>
        <v/>
      </c>
    </row>
    <row r="295" customFormat="false" ht="15" hidden="false" customHeight="false" outlineLevel="0" collapsed="false">
      <c r="A295" s="32"/>
      <c r="B295" s="32"/>
      <c r="C295" s="32"/>
      <c r="D295" s="33"/>
      <c r="E295" s="33"/>
      <c r="F295" s="32"/>
      <c r="G295" s="32"/>
      <c r="H295" s="35"/>
      <c r="I295" s="35"/>
      <c r="J295" s="35"/>
      <c r="K295" s="33"/>
      <c r="L295" s="37" t="str">
        <f aca="true">IF(OR(B295="",G295&lt;&gt;"Open",I295=""),"",IF(I295&lt;TODAY(),"Overdue",IF(I295&lt;=TODAY()+7,"Due Soon","")))</f>
        <v/>
      </c>
    </row>
    <row r="296" customFormat="false" ht="15" hidden="false" customHeight="false" outlineLevel="0" collapsed="false">
      <c r="A296" s="32"/>
      <c r="B296" s="32"/>
      <c r="C296" s="32"/>
      <c r="D296" s="33"/>
      <c r="E296" s="33"/>
      <c r="F296" s="32"/>
      <c r="G296" s="32"/>
      <c r="H296" s="35"/>
      <c r="I296" s="35"/>
      <c r="J296" s="35"/>
      <c r="K296" s="33"/>
      <c r="L296" s="37" t="str">
        <f aca="true">IF(OR(B296="",G296&lt;&gt;"Open",I296=""),"",IF(I296&lt;TODAY(),"Overdue",IF(I296&lt;=TODAY()+7,"Due Soon","")))</f>
        <v/>
      </c>
    </row>
    <row r="297" customFormat="false" ht="15" hidden="false" customHeight="false" outlineLevel="0" collapsed="false">
      <c r="A297" s="32"/>
      <c r="B297" s="32"/>
      <c r="C297" s="32"/>
      <c r="D297" s="33"/>
      <c r="E297" s="33"/>
      <c r="F297" s="32"/>
      <c r="G297" s="32"/>
      <c r="H297" s="35"/>
      <c r="I297" s="35"/>
      <c r="J297" s="35"/>
      <c r="K297" s="33"/>
      <c r="L297" s="37" t="str">
        <f aca="true">IF(OR(B297="",G297&lt;&gt;"Open",I297=""),"",IF(I297&lt;TODAY(),"Overdue",IF(I297&lt;=TODAY()+7,"Due Soon","")))</f>
        <v/>
      </c>
    </row>
    <row r="298" customFormat="false" ht="15" hidden="false" customHeight="false" outlineLevel="0" collapsed="false">
      <c r="A298" s="32"/>
      <c r="B298" s="32"/>
      <c r="C298" s="32"/>
      <c r="D298" s="33"/>
      <c r="E298" s="33"/>
      <c r="F298" s="32"/>
      <c r="G298" s="32"/>
      <c r="H298" s="35"/>
      <c r="I298" s="35"/>
      <c r="J298" s="35"/>
      <c r="K298" s="33"/>
      <c r="L298" s="37" t="str">
        <f aca="true">IF(OR(B298="",G298&lt;&gt;"Open",I298=""),"",IF(I298&lt;TODAY(),"Overdue",IF(I298&lt;=TODAY()+7,"Due Soon","")))</f>
        <v/>
      </c>
    </row>
    <row r="299" customFormat="false" ht="15" hidden="false" customHeight="false" outlineLevel="0" collapsed="false">
      <c r="A299" s="32"/>
      <c r="B299" s="32"/>
      <c r="C299" s="32"/>
      <c r="D299" s="33"/>
      <c r="E299" s="33"/>
      <c r="F299" s="32"/>
      <c r="G299" s="32"/>
      <c r="H299" s="35"/>
      <c r="I299" s="35"/>
      <c r="J299" s="35"/>
      <c r="K299" s="33"/>
      <c r="L299" s="37" t="str">
        <f aca="true">IF(OR(B299="",G299&lt;&gt;"Open",I299=""),"",IF(I299&lt;TODAY(),"Overdue",IF(I299&lt;=TODAY()+7,"Due Soon","")))</f>
        <v/>
      </c>
    </row>
    <row r="300" customFormat="false" ht="15" hidden="false" customHeight="false" outlineLevel="0" collapsed="false">
      <c r="A300" s="32"/>
      <c r="B300" s="32"/>
      <c r="C300" s="32"/>
      <c r="D300" s="33"/>
      <c r="E300" s="33"/>
      <c r="F300" s="32"/>
      <c r="G300" s="32"/>
      <c r="H300" s="35"/>
      <c r="I300" s="35"/>
      <c r="J300" s="35"/>
      <c r="K300" s="33"/>
      <c r="L300" s="37" t="str">
        <f aca="true">IF(OR(B300="",G300&lt;&gt;"Open",I300=""),"",IF(I300&lt;TODAY(),"Overdue",IF(I300&lt;=TODAY()+7,"Due Soon","")))</f>
        <v/>
      </c>
    </row>
    <row r="301" customFormat="false" ht="15" hidden="false" customHeight="false" outlineLevel="0" collapsed="false">
      <c r="A301" s="32"/>
      <c r="B301" s="32"/>
      <c r="C301" s="32"/>
      <c r="D301" s="33"/>
      <c r="E301" s="33"/>
      <c r="F301" s="32"/>
      <c r="G301" s="32"/>
      <c r="H301" s="35"/>
      <c r="I301" s="35"/>
      <c r="J301" s="35"/>
      <c r="K301" s="33"/>
      <c r="L301" s="37" t="str">
        <f aca="true">IF(OR(B301="",G301&lt;&gt;"Open",I301=""),"",IF(I301&lt;TODAY(),"Overdue",IF(I301&lt;=TODAY()+7,"Due Soon","")))</f>
        <v/>
      </c>
    </row>
    <row r="302" customFormat="false" ht="15" hidden="false" customHeight="false" outlineLevel="0" collapsed="false">
      <c r="A302" s="32"/>
      <c r="B302" s="32"/>
      <c r="C302" s="32"/>
      <c r="D302" s="33"/>
      <c r="E302" s="33"/>
      <c r="F302" s="32"/>
      <c r="G302" s="32"/>
      <c r="H302" s="35"/>
      <c r="I302" s="35"/>
      <c r="J302" s="35"/>
      <c r="K302" s="33"/>
      <c r="L302" s="37" t="str">
        <f aca="true">IF(OR(B302="",G302&lt;&gt;"Open",I302=""),"",IF(I302&lt;TODAY(),"Overdue",IF(I302&lt;=TODAY()+7,"Due Soon","")))</f>
        <v/>
      </c>
    </row>
    <row r="303" customFormat="false" ht="15" hidden="false" customHeight="false" outlineLevel="0" collapsed="false">
      <c r="A303" s="32"/>
      <c r="B303" s="32"/>
      <c r="C303" s="32"/>
      <c r="D303" s="33"/>
      <c r="E303" s="33"/>
      <c r="F303" s="32"/>
      <c r="G303" s="32"/>
      <c r="H303" s="35"/>
      <c r="I303" s="35"/>
      <c r="J303" s="35"/>
      <c r="K303" s="33"/>
      <c r="L303" s="37" t="str">
        <f aca="true">IF(OR(B303="",G303&lt;&gt;"Open",I303=""),"",IF(I303&lt;TODAY(),"Overdue",IF(I303&lt;=TODAY()+7,"Due Soon","")))</f>
        <v/>
      </c>
    </row>
    <row r="304" customFormat="false" ht="15" hidden="false" customHeight="false" outlineLevel="0" collapsed="false">
      <c r="A304" s="32"/>
      <c r="B304" s="32"/>
      <c r="C304" s="32"/>
      <c r="D304" s="33"/>
      <c r="E304" s="33"/>
      <c r="F304" s="32"/>
      <c r="G304" s="32"/>
      <c r="H304" s="35"/>
      <c r="I304" s="35"/>
      <c r="J304" s="35"/>
      <c r="K304" s="33"/>
      <c r="L304" s="37" t="str">
        <f aca="true">IF(OR(B304="",G304&lt;&gt;"Open",I304=""),"",IF(I304&lt;TODAY(),"Overdue",IF(I304&lt;=TODAY()+7,"Due Soon","")))</f>
        <v/>
      </c>
    </row>
    <row r="305" customFormat="false" ht="15" hidden="false" customHeight="false" outlineLevel="0" collapsed="false">
      <c r="A305" s="32"/>
      <c r="B305" s="32"/>
      <c r="C305" s="32"/>
      <c r="D305" s="33"/>
      <c r="E305" s="33"/>
      <c r="F305" s="32"/>
      <c r="G305" s="32"/>
      <c r="H305" s="35"/>
      <c r="I305" s="35"/>
      <c r="J305" s="35"/>
      <c r="K305" s="33"/>
      <c r="L305" s="37" t="str">
        <f aca="true">IF(OR(B305="",G305&lt;&gt;"Open",I305=""),"",IF(I305&lt;TODAY(),"Overdue",IF(I305&lt;=TODAY()+7,"Due Soon","")))</f>
        <v/>
      </c>
    </row>
    <row r="306" customFormat="false" ht="15" hidden="false" customHeight="false" outlineLevel="0" collapsed="false">
      <c r="A306" s="32"/>
      <c r="B306" s="32"/>
      <c r="C306" s="32"/>
      <c r="D306" s="33"/>
      <c r="E306" s="33"/>
      <c r="F306" s="32"/>
      <c r="G306" s="32"/>
      <c r="H306" s="35"/>
      <c r="I306" s="35"/>
      <c r="J306" s="35"/>
      <c r="K306" s="33"/>
      <c r="L306" s="37" t="str">
        <f aca="true">IF(OR(B306="",G306&lt;&gt;"Open",I306=""),"",IF(I306&lt;TODAY(),"Overdue",IF(I306&lt;=TODAY()+7,"Due Soon","")))</f>
        <v/>
      </c>
    </row>
    <row r="307" customFormat="false" ht="15" hidden="false" customHeight="false" outlineLevel="0" collapsed="false">
      <c r="A307" s="32"/>
      <c r="B307" s="32"/>
      <c r="C307" s="32"/>
      <c r="D307" s="33"/>
      <c r="E307" s="33"/>
      <c r="F307" s="32"/>
      <c r="G307" s="32"/>
      <c r="H307" s="35"/>
      <c r="I307" s="35"/>
      <c r="J307" s="35"/>
      <c r="K307" s="33"/>
      <c r="L307" s="37" t="str">
        <f aca="true">IF(OR(B307="",G307&lt;&gt;"Open",I307=""),"",IF(I307&lt;TODAY(),"Overdue",IF(I307&lt;=TODAY()+7,"Due Soon","")))</f>
        <v/>
      </c>
    </row>
    <row r="308" customFormat="false" ht="15" hidden="false" customHeight="false" outlineLevel="0" collapsed="false">
      <c r="A308" s="32"/>
      <c r="B308" s="32"/>
      <c r="C308" s="32"/>
      <c r="D308" s="33"/>
      <c r="E308" s="33"/>
      <c r="F308" s="32"/>
      <c r="G308" s="32"/>
      <c r="H308" s="35"/>
      <c r="I308" s="35"/>
      <c r="J308" s="35"/>
      <c r="K308" s="33"/>
      <c r="L308" s="37" t="str">
        <f aca="true">IF(OR(B308="",G308&lt;&gt;"Open",I308=""),"",IF(I308&lt;TODAY(),"Overdue",IF(I308&lt;=TODAY()+7,"Due Soon","")))</f>
        <v/>
      </c>
    </row>
    <row r="309" customFormat="false" ht="15" hidden="false" customHeight="false" outlineLevel="0" collapsed="false">
      <c r="A309" s="32"/>
      <c r="B309" s="32"/>
      <c r="C309" s="32"/>
      <c r="D309" s="33"/>
      <c r="E309" s="33"/>
      <c r="F309" s="32"/>
      <c r="G309" s="32"/>
      <c r="H309" s="35"/>
      <c r="I309" s="35"/>
      <c r="J309" s="35"/>
      <c r="K309" s="33"/>
      <c r="L309" s="37" t="str">
        <f aca="true">IF(OR(B309="",G309&lt;&gt;"Open",I309=""),"",IF(I309&lt;TODAY(),"Overdue",IF(I309&lt;=TODAY()+7,"Due Soon","")))</f>
        <v/>
      </c>
    </row>
    <row r="310" customFormat="false" ht="15" hidden="false" customHeight="false" outlineLevel="0" collapsed="false">
      <c r="A310" s="32"/>
      <c r="B310" s="32"/>
      <c r="C310" s="32"/>
      <c r="D310" s="33"/>
      <c r="E310" s="33"/>
      <c r="F310" s="32"/>
      <c r="G310" s="32"/>
      <c r="H310" s="35"/>
      <c r="I310" s="35"/>
      <c r="J310" s="35"/>
      <c r="K310" s="33"/>
      <c r="L310" s="37" t="str">
        <f aca="true">IF(OR(B310="",G310&lt;&gt;"Open",I310=""),"",IF(I310&lt;TODAY(),"Overdue",IF(I310&lt;=TODAY()+7,"Due Soon","")))</f>
        <v/>
      </c>
    </row>
    <row r="311" customFormat="false" ht="15" hidden="false" customHeight="false" outlineLevel="0" collapsed="false">
      <c r="A311" s="32"/>
      <c r="B311" s="32"/>
      <c r="C311" s="32"/>
      <c r="D311" s="33"/>
      <c r="E311" s="33"/>
      <c r="F311" s="32"/>
      <c r="G311" s="32"/>
      <c r="H311" s="35"/>
      <c r="I311" s="35"/>
      <c r="J311" s="35"/>
      <c r="K311" s="33"/>
      <c r="L311" s="37" t="str">
        <f aca="true">IF(OR(B311="",G311&lt;&gt;"Open",I311=""),"",IF(I311&lt;TODAY(),"Overdue",IF(I311&lt;=TODAY()+7,"Due Soon","")))</f>
        <v/>
      </c>
    </row>
    <row r="312" customFormat="false" ht="15" hidden="false" customHeight="false" outlineLevel="0" collapsed="false">
      <c r="A312" s="32"/>
      <c r="B312" s="32"/>
      <c r="C312" s="32"/>
      <c r="D312" s="33"/>
      <c r="E312" s="33"/>
      <c r="F312" s="32"/>
      <c r="G312" s="32"/>
      <c r="H312" s="35"/>
      <c r="I312" s="35"/>
      <c r="J312" s="35"/>
      <c r="K312" s="33"/>
      <c r="L312" s="37" t="str">
        <f aca="true">IF(OR(B312="",G312&lt;&gt;"Open",I312=""),"",IF(I312&lt;TODAY(),"Overdue",IF(I312&lt;=TODAY()+7,"Due Soon","")))</f>
        <v/>
      </c>
    </row>
    <row r="313" customFormat="false" ht="15" hidden="false" customHeight="false" outlineLevel="0" collapsed="false">
      <c r="A313" s="32"/>
      <c r="B313" s="32"/>
      <c r="C313" s="32"/>
      <c r="D313" s="33"/>
      <c r="E313" s="33"/>
      <c r="F313" s="32"/>
      <c r="G313" s="32"/>
      <c r="H313" s="35"/>
      <c r="I313" s="35"/>
      <c r="J313" s="35"/>
      <c r="K313" s="33"/>
      <c r="L313" s="37" t="str">
        <f aca="true">IF(OR(B313="",G313&lt;&gt;"Open",I313=""),"",IF(I313&lt;TODAY(),"Overdue",IF(I313&lt;=TODAY()+7,"Due Soon","")))</f>
        <v/>
      </c>
    </row>
    <row r="314" customFormat="false" ht="15" hidden="false" customHeight="false" outlineLevel="0" collapsed="false">
      <c r="A314" s="32"/>
      <c r="B314" s="32"/>
      <c r="C314" s="32"/>
      <c r="D314" s="33"/>
      <c r="E314" s="33"/>
      <c r="F314" s="32"/>
      <c r="G314" s="32"/>
      <c r="H314" s="35"/>
      <c r="I314" s="35"/>
      <c r="J314" s="35"/>
      <c r="K314" s="33"/>
      <c r="L314" s="37" t="str">
        <f aca="true">IF(OR(B314="",G314&lt;&gt;"Open",I314=""),"",IF(I314&lt;TODAY(),"Overdue",IF(I314&lt;=TODAY()+7,"Due Soon","")))</f>
        <v/>
      </c>
    </row>
    <row r="315" customFormat="false" ht="15" hidden="false" customHeight="false" outlineLevel="0" collapsed="false">
      <c r="A315" s="32"/>
      <c r="B315" s="32"/>
      <c r="C315" s="32"/>
      <c r="D315" s="33"/>
      <c r="E315" s="33"/>
      <c r="F315" s="32"/>
      <c r="G315" s="32"/>
      <c r="H315" s="35"/>
      <c r="I315" s="35"/>
      <c r="J315" s="35"/>
      <c r="K315" s="33"/>
      <c r="L315" s="37" t="str">
        <f aca="true">IF(OR(B315="",G315&lt;&gt;"Open",I315=""),"",IF(I315&lt;TODAY(),"Overdue",IF(I315&lt;=TODAY()+7,"Due Soon","")))</f>
        <v/>
      </c>
    </row>
    <row r="316" customFormat="false" ht="15" hidden="false" customHeight="false" outlineLevel="0" collapsed="false">
      <c r="A316" s="32"/>
      <c r="B316" s="32"/>
      <c r="C316" s="32"/>
      <c r="D316" s="33"/>
      <c r="E316" s="33"/>
      <c r="F316" s="32"/>
      <c r="G316" s="32"/>
      <c r="H316" s="35"/>
      <c r="I316" s="35"/>
      <c r="J316" s="35"/>
      <c r="K316" s="33"/>
      <c r="L316" s="37" t="str">
        <f aca="true">IF(OR(B316="",G316&lt;&gt;"Open",I316=""),"",IF(I316&lt;TODAY(),"Overdue",IF(I316&lt;=TODAY()+7,"Due Soon","")))</f>
        <v/>
      </c>
    </row>
    <row r="317" customFormat="false" ht="15" hidden="false" customHeight="false" outlineLevel="0" collapsed="false">
      <c r="A317" s="32"/>
      <c r="B317" s="32"/>
      <c r="C317" s="32"/>
      <c r="D317" s="33"/>
      <c r="E317" s="33"/>
      <c r="F317" s="32"/>
      <c r="G317" s="32"/>
      <c r="H317" s="35"/>
      <c r="I317" s="35"/>
      <c r="J317" s="35"/>
      <c r="K317" s="33"/>
      <c r="L317" s="37" t="str">
        <f aca="true">IF(OR(B317="",G317&lt;&gt;"Open",I317=""),"",IF(I317&lt;TODAY(),"Overdue",IF(I317&lt;=TODAY()+7,"Due Soon","")))</f>
        <v/>
      </c>
    </row>
    <row r="318" customFormat="false" ht="15" hidden="false" customHeight="false" outlineLevel="0" collapsed="false">
      <c r="A318" s="32"/>
      <c r="B318" s="32"/>
      <c r="C318" s="32"/>
      <c r="D318" s="33"/>
      <c r="E318" s="33"/>
      <c r="F318" s="32"/>
      <c r="G318" s="32"/>
      <c r="H318" s="35"/>
      <c r="I318" s="35"/>
      <c r="J318" s="35"/>
      <c r="K318" s="33"/>
      <c r="L318" s="37" t="str">
        <f aca="true">IF(OR(B318="",G318&lt;&gt;"Open",I318=""),"",IF(I318&lt;TODAY(),"Overdue",IF(I318&lt;=TODAY()+7,"Due Soon","")))</f>
        <v/>
      </c>
    </row>
    <row r="319" customFormat="false" ht="15" hidden="false" customHeight="false" outlineLevel="0" collapsed="false">
      <c r="A319" s="32"/>
      <c r="B319" s="32"/>
      <c r="C319" s="32"/>
      <c r="D319" s="33"/>
      <c r="E319" s="33"/>
      <c r="F319" s="32"/>
      <c r="G319" s="32"/>
      <c r="H319" s="35"/>
      <c r="I319" s="35"/>
      <c r="J319" s="35"/>
      <c r="K319" s="33"/>
      <c r="L319" s="37" t="str">
        <f aca="true">IF(OR(B319="",G319&lt;&gt;"Open",I319=""),"",IF(I319&lt;TODAY(),"Overdue",IF(I319&lt;=TODAY()+7,"Due Soon","")))</f>
        <v/>
      </c>
    </row>
    <row r="320" customFormat="false" ht="15" hidden="false" customHeight="false" outlineLevel="0" collapsed="false">
      <c r="A320" s="32"/>
      <c r="B320" s="32"/>
      <c r="C320" s="32"/>
      <c r="D320" s="33"/>
      <c r="E320" s="33"/>
      <c r="F320" s="32"/>
      <c r="G320" s="32"/>
      <c r="H320" s="35"/>
      <c r="I320" s="35"/>
      <c r="J320" s="35"/>
      <c r="K320" s="33"/>
      <c r="L320" s="37" t="str">
        <f aca="true">IF(OR(B320="",G320&lt;&gt;"Open",I320=""),"",IF(I320&lt;TODAY(),"Overdue",IF(I320&lt;=TODAY()+7,"Due Soon","")))</f>
        <v/>
      </c>
    </row>
    <row r="321" customFormat="false" ht="15" hidden="false" customHeight="false" outlineLevel="0" collapsed="false">
      <c r="A321" s="32"/>
      <c r="B321" s="32"/>
      <c r="C321" s="32"/>
      <c r="D321" s="33"/>
      <c r="E321" s="33"/>
      <c r="F321" s="32"/>
      <c r="G321" s="32"/>
      <c r="H321" s="35"/>
      <c r="I321" s="35"/>
      <c r="J321" s="35"/>
      <c r="K321" s="33"/>
      <c r="L321" s="37" t="str">
        <f aca="true">IF(OR(B321="",G321&lt;&gt;"Open",I321=""),"",IF(I321&lt;TODAY(),"Overdue",IF(I321&lt;=TODAY()+7,"Due Soon","")))</f>
        <v/>
      </c>
    </row>
    <row r="322" customFormat="false" ht="15" hidden="false" customHeight="false" outlineLevel="0" collapsed="false">
      <c r="A322" s="32"/>
      <c r="B322" s="32"/>
      <c r="C322" s="32"/>
      <c r="D322" s="33"/>
      <c r="E322" s="33"/>
      <c r="F322" s="32"/>
      <c r="G322" s="32"/>
      <c r="H322" s="35"/>
      <c r="I322" s="35"/>
      <c r="J322" s="35"/>
      <c r="K322" s="33"/>
      <c r="L322" s="37" t="str">
        <f aca="true">IF(OR(B322="",G322&lt;&gt;"Open",I322=""),"",IF(I322&lt;TODAY(),"Overdue",IF(I322&lt;=TODAY()+7,"Due Soon","")))</f>
        <v/>
      </c>
    </row>
    <row r="323" customFormat="false" ht="15" hidden="false" customHeight="false" outlineLevel="0" collapsed="false">
      <c r="A323" s="32"/>
      <c r="B323" s="32"/>
      <c r="C323" s="32"/>
      <c r="D323" s="33"/>
      <c r="E323" s="33"/>
      <c r="F323" s="32"/>
      <c r="G323" s="32"/>
      <c r="H323" s="35"/>
      <c r="I323" s="35"/>
      <c r="J323" s="35"/>
      <c r="K323" s="33"/>
      <c r="L323" s="37" t="str">
        <f aca="true">IF(OR(B323="",G323&lt;&gt;"Open",I323=""),"",IF(I323&lt;TODAY(),"Overdue",IF(I323&lt;=TODAY()+7,"Due Soon","")))</f>
        <v/>
      </c>
    </row>
    <row r="324" customFormat="false" ht="15" hidden="false" customHeight="false" outlineLevel="0" collapsed="false">
      <c r="A324" s="32"/>
      <c r="B324" s="32"/>
      <c r="C324" s="32"/>
      <c r="D324" s="33"/>
      <c r="E324" s="33"/>
      <c r="F324" s="32"/>
      <c r="G324" s="32"/>
      <c r="H324" s="35"/>
      <c r="I324" s="35"/>
      <c r="J324" s="35"/>
      <c r="K324" s="33"/>
      <c r="L324" s="37" t="str">
        <f aca="true">IF(OR(B324="",G324&lt;&gt;"Open",I324=""),"",IF(I324&lt;TODAY(),"Overdue",IF(I324&lt;=TODAY()+7,"Due Soon","")))</f>
        <v/>
      </c>
    </row>
    <row r="325" customFormat="false" ht="15" hidden="false" customHeight="false" outlineLevel="0" collapsed="false">
      <c r="A325" s="32"/>
      <c r="B325" s="32"/>
      <c r="C325" s="32"/>
      <c r="D325" s="33"/>
      <c r="E325" s="33"/>
      <c r="F325" s="32"/>
      <c r="G325" s="32"/>
      <c r="H325" s="35"/>
      <c r="I325" s="35"/>
      <c r="J325" s="35"/>
      <c r="K325" s="33"/>
      <c r="L325" s="37" t="str">
        <f aca="true">IF(OR(B325="",G325&lt;&gt;"Open",I325=""),"",IF(I325&lt;TODAY(),"Overdue",IF(I325&lt;=TODAY()+7,"Due Soon","")))</f>
        <v/>
      </c>
    </row>
    <row r="326" customFormat="false" ht="15" hidden="false" customHeight="false" outlineLevel="0" collapsed="false">
      <c r="A326" s="32"/>
      <c r="B326" s="32"/>
      <c r="C326" s="32"/>
      <c r="D326" s="33"/>
      <c r="E326" s="33"/>
      <c r="F326" s="32"/>
      <c r="G326" s="32"/>
      <c r="H326" s="35"/>
      <c r="I326" s="35"/>
      <c r="J326" s="35"/>
      <c r="K326" s="33"/>
      <c r="L326" s="37" t="str">
        <f aca="true">IF(OR(B326="",G326&lt;&gt;"Open",I326=""),"",IF(I326&lt;TODAY(),"Overdue",IF(I326&lt;=TODAY()+7,"Due Soon","")))</f>
        <v/>
      </c>
    </row>
    <row r="327" customFormat="false" ht="15" hidden="false" customHeight="false" outlineLevel="0" collapsed="false">
      <c r="A327" s="32"/>
      <c r="B327" s="32"/>
      <c r="C327" s="32"/>
      <c r="D327" s="33"/>
      <c r="E327" s="33"/>
      <c r="F327" s="32"/>
      <c r="G327" s="32"/>
      <c r="H327" s="35"/>
      <c r="I327" s="35"/>
      <c r="J327" s="35"/>
      <c r="K327" s="33"/>
      <c r="L327" s="37" t="str">
        <f aca="true">IF(OR(B327="",G327&lt;&gt;"Open",I327=""),"",IF(I327&lt;TODAY(),"Overdue",IF(I327&lt;=TODAY()+7,"Due Soon","")))</f>
        <v/>
      </c>
    </row>
    <row r="328" customFormat="false" ht="15" hidden="false" customHeight="false" outlineLevel="0" collapsed="false">
      <c r="A328" s="32"/>
      <c r="B328" s="32"/>
      <c r="C328" s="32"/>
      <c r="D328" s="33"/>
      <c r="E328" s="33"/>
      <c r="F328" s="32"/>
      <c r="G328" s="32"/>
      <c r="H328" s="35"/>
      <c r="I328" s="35"/>
      <c r="J328" s="35"/>
      <c r="K328" s="33"/>
      <c r="L328" s="37" t="str">
        <f aca="true">IF(OR(B328="",G328&lt;&gt;"Open",I328=""),"",IF(I328&lt;TODAY(),"Overdue",IF(I328&lt;=TODAY()+7,"Due Soon","")))</f>
        <v/>
      </c>
    </row>
    <row r="329" customFormat="false" ht="15" hidden="false" customHeight="false" outlineLevel="0" collapsed="false">
      <c r="A329" s="32"/>
      <c r="B329" s="32"/>
      <c r="C329" s="32"/>
      <c r="D329" s="33"/>
      <c r="E329" s="33"/>
      <c r="F329" s="32"/>
      <c r="G329" s="32"/>
      <c r="H329" s="35"/>
      <c r="I329" s="35"/>
      <c r="J329" s="35"/>
      <c r="K329" s="33"/>
      <c r="L329" s="37" t="str">
        <f aca="true">IF(OR(B329="",G329&lt;&gt;"Open",I329=""),"",IF(I329&lt;TODAY(),"Overdue",IF(I329&lt;=TODAY()+7,"Due Soon","")))</f>
        <v/>
      </c>
    </row>
    <row r="330" customFormat="false" ht="15" hidden="false" customHeight="false" outlineLevel="0" collapsed="false">
      <c r="A330" s="32"/>
      <c r="B330" s="32"/>
      <c r="C330" s="32"/>
      <c r="D330" s="33"/>
      <c r="E330" s="33"/>
      <c r="F330" s="32"/>
      <c r="G330" s="32"/>
      <c r="H330" s="35"/>
      <c r="I330" s="35"/>
      <c r="J330" s="35"/>
      <c r="K330" s="33"/>
      <c r="L330" s="37" t="str">
        <f aca="true">IF(OR(B330="",G330&lt;&gt;"Open",I330=""),"",IF(I330&lt;TODAY(),"Overdue",IF(I330&lt;=TODAY()+7,"Due Soon","")))</f>
        <v/>
      </c>
    </row>
    <row r="331" customFormat="false" ht="15" hidden="false" customHeight="false" outlineLevel="0" collapsed="false">
      <c r="A331" s="32"/>
      <c r="B331" s="32"/>
      <c r="C331" s="32"/>
      <c r="D331" s="33"/>
      <c r="E331" s="33"/>
      <c r="F331" s="32"/>
      <c r="G331" s="32"/>
      <c r="H331" s="35"/>
      <c r="I331" s="35"/>
      <c r="J331" s="35"/>
      <c r="K331" s="33"/>
      <c r="L331" s="37" t="str">
        <f aca="true">IF(OR(B331="",G331&lt;&gt;"Open",I331=""),"",IF(I331&lt;TODAY(),"Overdue",IF(I331&lt;=TODAY()+7,"Due Soon","")))</f>
        <v/>
      </c>
    </row>
    <row r="332" customFormat="false" ht="15" hidden="false" customHeight="false" outlineLevel="0" collapsed="false">
      <c r="A332" s="32"/>
      <c r="B332" s="32"/>
      <c r="C332" s="32"/>
      <c r="D332" s="33"/>
      <c r="E332" s="33"/>
      <c r="F332" s="32"/>
      <c r="G332" s="32"/>
      <c r="H332" s="35"/>
      <c r="I332" s="35"/>
      <c r="J332" s="35"/>
      <c r="K332" s="33"/>
      <c r="L332" s="37" t="str">
        <f aca="true">IF(OR(B332="",G332&lt;&gt;"Open",I332=""),"",IF(I332&lt;TODAY(),"Overdue",IF(I332&lt;=TODAY()+7,"Due Soon","")))</f>
        <v/>
      </c>
    </row>
    <row r="333" customFormat="false" ht="15" hidden="false" customHeight="false" outlineLevel="0" collapsed="false">
      <c r="A333" s="32"/>
      <c r="B333" s="32"/>
      <c r="C333" s="32"/>
      <c r="D333" s="33"/>
      <c r="E333" s="33"/>
      <c r="F333" s="32"/>
      <c r="G333" s="32"/>
      <c r="H333" s="35"/>
      <c r="I333" s="35"/>
      <c r="J333" s="35"/>
      <c r="K333" s="33"/>
      <c r="L333" s="37" t="str">
        <f aca="true">IF(OR(B333="",G333&lt;&gt;"Open",I333=""),"",IF(I333&lt;TODAY(),"Overdue",IF(I333&lt;=TODAY()+7,"Due Soon","")))</f>
        <v/>
      </c>
    </row>
    <row r="334" customFormat="false" ht="15" hidden="false" customHeight="false" outlineLevel="0" collapsed="false">
      <c r="A334" s="32"/>
      <c r="B334" s="32"/>
      <c r="C334" s="32"/>
      <c r="D334" s="33"/>
      <c r="E334" s="33"/>
      <c r="F334" s="32"/>
      <c r="G334" s="32"/>
      <c r="H334" s="35"/>
      <c r="I334" s="35"/>
      <c r="J334" s="35"/>
      <c r="K334" s="33"/>
      <c r="L334" s="37" t="str">
        <f aca="true">IF(OR(B334="",G334&lt;&gt;"Open",I334=""),"",IF(I334&lt;TODAY(),"Overdue",IF(I334&lt;=TODAY()+7,"Due Soon","")))</f>
        <v/>
      </c>
    </row>
    <row r="335" customFormat="false" ht="15" hidden="false" customHeight="false" outlineLevel="0" collapsed="false">
      <c r="A335" s="32"/>
      <c r="B335" s="32"/>
      <c r="C335" s="32"/>
      <c r="D335" s="33"/>
      <c r="E335" s="33"/>
      <c r="F335" s="32"/>
      <c r="G335" s="32"/>
      <c r="H335" s="35"/>
      <c r="I335" s="35"/>
      <c r="J335" s="35"/>
      <c r="K335" s="33"/>
      <c r="L335" s="37" t="str">
        <f aca="true">IF(OR(B335="",G335&lt;&gt;"Open",I335=""),"",IF(I335&lt;TODAY(),"Overdue",IF(I335&lt;=TODAY()+7,"Due Soon","")))</f>
        <v/>
      </c>
    </row>
    <row r="336" customFormat="false" ht="15" hidden="false" customHeight="false" outlineLevel="0" collapsed="false">
      <c r="A336" s="32"/>
      <c r="B336" s="32"/>
      <c r="C336" s="32"/>
      <c r="D336" s="33"/>
      <c r="E336" s="33"/>
      <c r="F336" s="32"/>
      <c r="G336" s="32"/>
      <c r="H336" s="35"/>
      <c r="I336" s="35"/>
      <c r="J336" s="35"/>
      <c r="K336" s="33"/>
      <c r="L336" s="37" t="str">
        <f aca="true">IF(OR(B336="",G336&lt;&gt;"Open",I336=""),"",IF(I336&lt;TODAY(),"Overdue",IF(I336&lt;=TODAY()+7,"Due Soon","")))</f>
        <v/>
      </c>
    </row>
    <row r="337" customFormat="false" ht="15" hidden="false" customHeight="false" outlineLevel="0" collapsed="false">
      <c r="A337" s="32"/>
      <c r="B337" s="32"/>
      <c r="C337" s="32"/>
      <c r="D337" s="33"/>
      <c r="E337" s="33"/>
      <c r="F337" s="32"/>
      <c r="G337" s="32"/>
      <c r="H337" s="35"/>
      <c r="I337" s="35"/>
      <c r="J337" s="35"/>
      <c r="K337" s="33"/>
      <c r="L337" s="37" t="str">
        <f aca="true">IF(OR(B337="",G337&lt;&gt;"Open",I337=""),"",IF(I337&lt;TODAY(),"Overdue",IF(I337&lt;=TODAY()+7,"Due Soon","")))</f>
        <v/>
      </c>
    </row>
    <row r="338" customFormat="false" ht="15" hidden="false" customHeight="false" outlineLevel="0" collapsed="false">
      <c r="A338" s="32"/>
      <c r="B338" s="32"/>
      <c r="C338" s="32"/>
      <c r="D338" s="33"/>
      <c r="E338" s="33"/>
      <c r="F338" s="32"/>
      <c r="G338" s="32"/>
      <c r="H338" s="35"/>
      <c r="I338" s="35"/>
      <c r="J338" s="35"/>
      <c r="K338" s="33"/>
      <c r="L338" s="37" t="str">
        <f aca="true">IF(OR(B338="",G338&lt;&gt;"Open",I338=""),"",IF(I338&lt;TODAY(),"Overdue",IF(I338&lt;=TODAY()+7,"Due Soon","")))</f>
        <v/>
      </c>
    </row>
    <row r="339" customFormat="false" ht="15" hidden="false" customHeight="false" outlineLevel="0" collapsed="false">
      <c r="A339" s="32"/>
      <c r="B339" s="32"/>
      <c r="C339" s="32"/>
      <c r="D339" s="33"/>
      <c r="E339" s="33"/>
      <c r="F339" s="32"/>
      <c r="G339" s="32"/>
      <c r="H339" s="35"/>
      <c r="I339" s="35"/>
      <c r="J339" s="35"/>
      <c r="K339" s="33"/>
      <c r="L339" s="37" t="str">
        <f aca="true">IF(OR(B339="",G339&lt;&gt;"Open",I339=""),"",IF(I339&lt;TODAY(),"Overdue",IF(I339&lt;=TODAY()+7,"Due Soon","")))</f>
        <v/>
      </c>
    </row>
    <row r="340" customFormat="false" ht="15" hidden="false" customHeight="false" outlineLevel="0" collapsed="false">
      <c r="A340" s="32"/>
      <c r="B340" s="32"/>
      <c r="C340" s="32"/>
      <c r="D340" s="33"/>
      <c r="E340" s="33"/>
      <c r="F340" s="32"/>
      <c r="G340" s="32"/>
      <c r="H340" s="35"/>
      <c r="I340" s="35"/>
      <c r="J340" s="35"/>
      <c r="K340" s="33"/>
      <c r="L340" s="37" t="str">
        <f aca="true">IF(OR(B340="",G340&lt;&gt;"Open",I340=""),"",IF(I340&lt;TODAY(),"Overdue",IF(I340&lt;=TODAY()+7,"Due Soon","")))</f>
        <v/>
      </c>
    </row>
    <row r="341" customFormat="false" ht="15" hidden="false" customHeight="false" outlineLevel="0" collapsed="false">
      <c r="A341" s="32"/>
      <c r="B341" s="32"/>
      <c r="C341" s="32"/>
      <c r="D341" s="33"/>
      <c r="E341" s="33"/>
      <c r="F341" s="32"/>
      <c r="G341" s="32"/>
      <c r="H341" s="35"/>
      <c r="I341" s="35"/>
      <c r="J341" s="35"/>
      <c r="K341" s="33"/>
      <c r="L341" s="37" t="str">
        <f aca="true">IF(OR(B341="",G341&lt;&gt;"Open",I341=""),"",IF(I341&lt;TODAY(),"Overdue",IF(I341&lt;=TODAY()+7,"Due Soon","")))</f>
        <v/>
      </c>
    </row>
    <row r="342" customFormat="false" ht="15" hidden="false" customHeight="false" outlineLevel="0" collapsed="false">
      <c r="A342" s="32"/>
      <c r="B342" s="32"/>
      <c r="C342" s="32"/>
      <c r="D342" s="33"/>
      <c r="E342" s="33"/>
      <c r="F342" s="32"/>
      <c r="G342" s="32"/>
      <c r="H342" s="35"/>
      <c r="I342" s="35"/>
      <c r="J342" s="35"/>
      <c r="K342" s="33"/>
      <c r="L342" s="37" t="str">
        <f aca="true">IF(OR(B342="",G342&lt;&gt;"Open",I342=""),"",IF(I342&lt;TODAY(),"Overdue",IF(I342&lt;=TODAY()+7,"Due Soon","")))</f>
        <v/>
      </c>
    </row>
    <row r="343" customFormat="false" ht="15" hidden="false" customHeight="false" outlineLevel="0" collapsed="false">
      <c r="A343" s="32"/>
      <c r="B343" s="32"/>
      <c r="C343" s="32"/>
      <c r="D343" s="33"/>
      <c r="E343" s="33"/>
      <c r="F343" s="32"/>
      <c r="G343" s="32"/>
      <c r="H343" s="35"/>
      <c r="I343" s="35"/>
      <c r="J343" s="35"/>
      <c r="K343" s="33"/>
      <c r="L343" s="37" t="str">
        <f aca="true">IF(OR(B343="",G343&lt;&gt;"Open",I343=""),"",IF(I343&lt;TODAY(),"Overdue",IF(I343&lt;=TODAY()+7,"Due Soon","")))</f>
        <v/>
      </c>
    </row>
    <row r="344" customFormat="false" ht="15" hidden="false" customHeight="false" outlineLevel="0" collapsed="false">
      <c r="A344" s="32"/>
      <c r="B344" s="32"/>
      <c r="C344" s="32"/>
      <c r="D344" s="33"/>
      <c r="E344" s="33"/>
      <c r="F344" s="32"/>
      <c r="G344" s="32"/>
      <c r="H344" s="35"/>
      <c r="I344" s="35"/>
      <c r="J344" s="35"/>
      <c r="K344" s="33"/>
      <c r="L344" s="37" t="str">
        <f aca="true">IF(OR(B344="",G344&lt;&gt;"Open",I344=""),"",IF(I344&lt;TODAY(),"Overdue",IF(I344&lt;=TODAY()+7,"Due Soon","")))</f>
        <v/>
      </c>
    </row>
    <row r="345" customFormat="false" ht="15" hidden="false" customHeight="false" outlineLevel="0" collapsed="false">
      <c r="A345" s="32"/>
      <c r="B345" s="32"/>
      <c r="C345" s="32"/>
      <c r="D345" s="33"/>
      <c r="E345" s="33"/>
      <c r="F345" s="32"/>
      <c r="G345" s="32"/>
      <c r="H345" s="35"/>
      <c r="I345" s="35"/>
      <c r="J345" s="35"/>
      <c r="K345" s="33"/>
      <c r="L345" s="37" t="str">
        <f aca="true">IF(OR(B345="",G345&lt;&gt;"Open",I345=""),"",IF(I345&lt;TODAY(),"Overdue",IF(I345&lt;=TODAY()+7,"Due Soon","")))</f>
        <v/>
      </c>
    </row>
    <row r="346" customFormat="false" ht="15" hidden="false" customHeight="false" outlineLevel="0" collapsed="false">
      <c r="A346" s="32"/>
      <c r="B346" s="32"/>
      <c r="C346" s="32"/>
      <c r="D346" s="33"/>
      <c r="E346" s="33"/>
      <c r="F346" s="32"/>
      <c r="G346" s="32"/>
      <c r="H346" s="35"/>
      <c r="I346" s="35"/>
      <c r="J346" s="35"/>
      <c r="K346" s="33"/>
      <c r="L346" s="37" t="str">
        <f aca="true">IF(OR(B346="",G346&lt;&gt;"Open",I346=""),"",IF(I346&lt;TODAY(),"Overdue",IF(I346&lt;=TODAY()+7,"Due Soon","")))</f>
        <v/>
      </c>
    </row>
    <row r="347" customFormat="false" ht="15" hidden="false" customHeight="false" outlineLevel="0" collapsed="false">
      <c r="A347" s="32"/>
      <c r="B347" s="32"/>
      <c r="C347" s="32"/>
      <c r="D347" s="33"/>
      <c r="E347" s="33"/>
      <c r="F347" s="32"/>
      <c r="G347" s="32"/>
      <c r="H347" s="35"/>
      <c r="I347" s="35"/>
      <c r="J347" s="35"/>
      <c r="K347" s="33"/>
      <c r="L347" s="37" t="str">
        <f aca="true">IF(OR(B347="",G347&lt;&gt;"Open",I347=""),"",IF(I347&lt;TODAY(),"Overdue",IF(I347&lt;=TODAY()+7,"Due Soon","")))</f>
        <v/>
      </c>
    </row>
    <row r="348" customFormat="false" ht="15" hidden="false" customHeight="false" outlineLevel="0" collapsed="false">
      <c r="A348" s="32"/>
      <c r="B348" s="32"/>
      <c r="C348" s="32"/>
      <c r="D348" s="33"/>
      <c r="E348" s="33"/>
      <c r="F348" s="32"/>
      <c r="G348" s="32"/>
      <c r="H348" s="35"/>
      <c r="I348" s="35"/>
      <c r="J348" s="35"/>
      <c r="K348" s="33"/>
      <c r="L348" s="37" t="str">
        <f aca="true">IF(OR(B348="",G348&lt;&gt;"Open",I348=""),"",IF(I348&lt;TODAY(),"Overdue",IF(I348&lt;=TODAY()+7,"Due Soon","")))</f>
        <v/>
      </c>
    </row>
    <row r="349" customFormat="false" ht="15" hidden="false" customHeight="false" outlineLevel="0" collapsed="false">
      <c r="A349" s="32"/>
      <c r="B349" s="32"/>
      <c r="C349" s="32"/>
      <c r="D349" s="33"/>
      <c r="E349" s="33"/>
      <c r="F349" s="32"/>
      <c r="G349" s="32"/>
      <c r="H349" s="35"/>
      <c r="I349" s="35"/>
      <c r="J349" s="35"/>
      <c r="K349" s="33"/>
      <c r="L349" s="37" t="str">
        <f aca="true">IF(OR(B349="",G349&lt;&gt;"Open",I349=""),"",IF(I349&lt;TODAY(),"Overdue",IF(I349&lt;=TODAY()+7,"Due Soon","")))</f>
        <v/>
      </c>
    </row>
    <row r="350" customFormat="false" ht="15" hidden="false" customHeight="false" outlineLevel="0" collapsed="false">
      <c r="A350" s="32"/>
      <c r="B350" s="32"/>
      <c r="C350" s="32"/>
      <c r="D350" s="33"/>
      <c r="E350" s="33"/>
      <c r="F350" s="32"/>
      <c r="G350" s="32"/>
      <c r="H350" s="35"/>
      <c r="I350" s="35"/>
      <c r="J350" s="35"/>
      <c r="K350" s="33"/>
      <c r="L350" s="37" t="str">
        <f aca="true">IF(OR(B350="",G350&lt;&gt;"Open",I350=""),"",IF(I350&lt;TODAY(),"Overdue",IF(I350&lt;=TODAY()+7,"Due Soon","")))</f>
        <v/>
      </c>
    </row>
    <row r="351" customFormat="false" ht="15" hidden="false" customHeight="false" outlineLevel="0" collapsed="false">
      <c r="A351" s="32"/>
      <c r="B351" s="32"/>
      <c r="C351" s="32"/>
      <c r="D351" s="33"/>
      <c r="E351" s="33"/>
      <c r="F351" s="32"/>
      <c r="G351" s="32"/>
      <c r="H351" s="35"/>
      <c r="I351" s="35"/>
      <c r="J351" s="35"/>
      <c r="K351" s="33"/>
      <c r="L351" s="37" t="str">
        <f aca="true">IF(OR(B351="",G351&lt;&gt;"Open",I351=""),"",IF(I351&lt;TODAY(),"Overdue",IF(I351&lt;=TODAY()+7,"Due Soon","")))</f>
        <v/>
      </c>
    </row>
    <row r="352" customFormat="false" ht="15" hidden="false" customHeight="false" outlineLevel="0" collapsed="false">
      <c r="A352" s="32"/>
      <c r="B352" s="32"/>
      <c r="C352" s="32"/>
      <c r="D352" s="33"/>
      <c r="E352" s="33"/>
      <c r="F352" s="32"/>
      <c r="G352" s="32"/>
      <c r="H352" s="35"/>
      <c r="I352" s="35"/>
      <c r="J352" s="35"/>
      <c r="K352" s="33"/>
      <c r="L352" s="37" t="str">
        <f aca="true">IF(OR(B352="",G352&lt;&gt;"Open",I352=""),"",IF(I352&lt;TODAY(),"Overdue",IF(I352&lt;=TODAY()+7,"Due Soon","")))</f>
        <v/>
      </c>
    </row>
    <row r="353" customFormat="false" ht="15" hidden="false" customHeight="false" outlineLevel="0" collapsed="false">
      <c r="A353" s="32"/>
      <c r="B353" s="32"/>
      <c r="C353" s="32"/>
      <c r="D353" s="33"/>
      <c r="E353" s="33"/>
      <c r="F353" s="32"/>
      <c r="G353" s="32"/>
      <c r="H353" s="35"/>
      <c r="I353" s="35"/>
      <c r="J353" s="35"/>
      <c r="K353" s="33"/>
      <c r="L353" s="37" t="str">
        <f aca="true">IF(OR(B353="",G353&lt;&gt;"Open",I353=""),"",IF(I353&lt;TODAY(),"Overdue",IF(I353&lt;=TODAY()+7,"Due Soon","")))</f>
        <v/>
      </c>
    </row>
    <row r="354" customFormat="false" ht="15" hidden="false" customHeight="false" outlineLevel="0" collapsed="false">
      <c r="A354" s="32"/>
      <c r="B354" s="32"/>
      <c r="C354" s="32"/>
      <c r="D354" s="33"/>
      <c r="E354" s="33"/>
      <c r="F354" s="32"/>
      <c r="G354" s="32"/>
      <c r="H354" s="35"/>
      <c r="I354" s="35"/>
      <c r="J354" s="35"/>
      <c r="K354" s="33"/>
      <c r="L354" s="37" t="str">
        <f aca="true">IF(OR(B354="",G354&lt;&gt;"Open",I354=""),"",IF(I354&lt;TODAY(),"Overdue",IF(I354&lt;=TODAY()+7,"Due Soon","")))</f>
        <v/>
      </c>
    </row>
    <row r="355" customFormat="false" ht="15" hidden="false" customHeight="false" outlineLevel="0" collapsed="false">
      <c r="A355" s="32"/>
      <c r="B355" s="32"/>
      <c r="C355" s="32"/>
      <c r="D355" s="33"/>
      <c r="E355" s="33"/>
      <c r="F355" s="32"/>
      <c r="G355" s="32"/>
      <c r="H355" s="35"/>
      <c r="I355" s="35"/>
      <c r="J355" s="35"/>
      <c r="K355" s="33"/>
      <c r="L355" s="37" t="str">
        <f aca="true">IF(OR(B355="",G355&lt;&gt;"Open",I355=""),"",IF(I355&lt;TODAY(),"Overdue",IF(I355&lt;=TODAY()+7,"Due Soon","")))</f>
        <v/>
      </c>
    </row>
    <row r="356" customFormat="false" ht="15" hidden="false" customHeight="false" outlineLevel="0" collapsed="false">
      <c r="A356" s="32"/>
      <c r="B356" s="32"/>
      <c r="C356" s="32"/>
      <c r="D356" s="33"/>
      <c r="E356" s="33"/>
      <c r="F356" s="32"/>
      <c r="G356" s="32"/>
      <c r="H356" s="35"/>
      <c r="I356" s="35"/>
      <c r="J356" s="35"/>
      <c r="K356" s="33"/>
      <c r="L356" s="37" t="str">
        <f aca="true">IF(OR(B356="",G356&lt;&gt;"Open",I356=""),"",IF(I356&lt;TODAY(),"Overdue",IF(I356&lt;=TODAY()+7,"Due Soon","")))</f>
        <v/>
      </c>
    </row>
    <row r="357" customFormat="false" ht="15" hidden="false" customHeight="false" outlineLevel="0" collapsed="false">
      <c r="A357" s="32"/>
      <c r="B357" s="32"/>
      <c r="C357" s="32"/>
      <c r="D357" s="33"/>
      <c r="E357" s="33"/>
      <c r="F357" s="32"/>
      <c r="G357" s="32"/>
      <c r="H357" s="35"/>
      <c r="I357" s="35"/>
      <c r="J357" s="35"/>
      <c r="K357" s="33"/>
      <c r="L357" s="37" t="str">
        <f aca="true">IF(OR(B357="",G357&lt;&gt;"Open",I357=""),"",IF(I357&lt;TODAY(),"Overdue",IF(I357&lt;=TODAY()+7,"Due Soon","")))</f>
        <v/>
      </c>
    </row>
    <row r="358" customFormat="false" ht="15" hidden="false" customHeight="false" outlineLevel="0" collapsed="false">
      <c r="A358" s="32"/>
      <c r="B358" s="32"/>
      <c r="C358" s="32"/>
      <c r="D358" s="33"/>
      <c r="E358" s="33"/>
      <c r="F358" s="32"/>
      <c r="G358" s="32"/>
      <c r="H358" s="35"/>
      <c r="I358" s="35"/>
      <c r="J358" s="35"/>
      <c r="K358" s="33"/>
      <c r="L358" s="37" t="str">
        <f aca="true">IF(OR(B358="",G358&lt;&gt;"Open",I358=""),"",IF(I358&lt;TODAY(),"Overdue",IF(I358&lt;=TODAY()+7,"Due Soon","")))</f>
        <v/>
      </c>
    </row>
    <row r="359" customFormat="false" ht="15" hidden="false" customHeight="false" outlineLevel="0" collapsed="false">
      <c r="A359" s="32"/>
      <c r="B359" s="32"/>
      <c r="C359" s="32"/>
      <c r="D359" s="33"/>
      <c r="E359" s="33"/>
      <c r="F359" s="32"/>
      <c r="G359" s="32"/>
      <c r="H359" s="35"/>
      <c r="I359" s="35"/>
      <c r="J359" s="35"/>
      <c r="K359" s="33"/>
      <c r="L359" s="37" t="str">
        <f aca="true">IF(OR(B359="",G359&lt;&gt;"Open",I359=""),"",IF(I359&lt;TODAY(),"Overdue",IF(I359&lt;=TODAY()+7,"Due Soon","")))</f>
        <v/>
      </c>
    </row>
    <row r="360" customFormat="false" ht="15" hidden="false" customHeight="false" outlineLevel="0" collapsed="false">
      <c r="A360" s="32"/>
      <c r="B360" s="32"/>
      <c r="C360" s="32"/>
      <c r="D360" s="33"/>
      <c r="E360" s="33"/>
      <c r="F360" s="32"/>
      <c r="G360" s="32"/>
      <c r="H360" s="35"/>
      <c r="I360" s="35"/>
      <c r="J360" s="35"/>
      <c r="K360" s="33"/>
      <c r="L360" s="37" t="str">
        <f aca="true">IF(OR(B360="",G360&lt;&gt;"Open",I360=""),"",IF(I360&lt;TODAY(),"Overdue",IF(I360&lt;=TODAY()+7,"Due Soon","")))</f>
        <v/>
      </c>
    </row>
    <row r="361" customFormat="false" ht="15" hidden="false" customHeight="false" outlineLevel="0" collapsed="false">
      <c r="A361" s="32"/>
      <c r="B361" s="32"/>
      <c r="C361" s="32"/>
      <c r="D361" s="33"/>
      <c r="E361" s="33"/>
      <c r="F361" s="32"/>
      <c r="G361" s="32"/>
      <c r="H361" s="35"/>
      <c r="I361" s="35"/>
      <c r="J361" s="35"/>
      <c r="K361" s="33"/>
      <c r="L361" s="37" t="str">
        <f aca="true">IF(OR(B361="",G361&lt;&gt;"Open",I361=""),"",IF(I361&lt;TODAY(),"Overdue",IF(I361&lt;=TODAY()+7,"Due Soon","")))</f>
        <v/>
      </c>
    </row>
    <row r="362" customFormat="false" ht="15" hidden="false" customHeight="false" outlineLevel="0" collapsed="false">
      <c r="A362" s="32"/>
      <c r="B362" s="32"/>
      <c r="C362" s="32"/>
      <c r="D362" s="33"/>
      <c r="E362" s="33"/>
      <c r="F362" s="32"/>
      <c r="G362" s="32"/>
      <c r="H362" s="35"/>
      <c r="I362" s="35"/>
      <c r="J362" s="35"/>
      <c r="K362" s="33"/>
      <c r="L362" s="37" t="str">
        <f aca="true">IF(OR(B362="",G362&lt;&gt;"Open",I362=""),"",IF(I362&lt;TODAY(),"Overdue",IF(I362&lt;=TODAY()+7,"Due Soon","")))</f>
        <v/>
      </c>
    </row>
    <row r="363" customFormat="false" ht="15" hidden="false" customHeight="false" outlineLevel="0" collapsed="false">
      <c r="A363" s="32"/>
      <c r="B363" s="32"/>
      <c r="C363" s="32"/>
      <c r="D363" s="33"/>
      <c r="E363" s="33"/>
      <c r="F363" s="32"/>
      <c r="G363" s="32"/>
      <c r="H363" s="35"/>
      <c r="I363" s="35"/>
      <c r="J363" s="35"/>
      <c r="K363" s="33"/>
      <c r="L363" s="37" t="str">
        <f aca="true">IF(OR(B363="",G363&lt;&gt;"Open",I363=""),"",IF(I363&lt;TODAY(),"Overdue",IF(I363&lt;=TODAY()+7,"Due Soon","")))</f>
        <v/>
      </c>
    </row>
    <row r="364" customFormat="false" ht="15" hidden="false" customHeight="false" outlineLevel="0" collapsed="false">
      <c r="A364" s="32"/>
      <c r="B364" s="32"/>
      <c r="C364" s="32"/>
      <c r="D364" s="33"/>
      <c r="E364" s="33"/>
      <c r="F364" s="32"/>
      <c r="G364" s="32"/>
      <c r="H364" s="35"/>
      <c r="I364" s="35"/>
      <c r="J364" s="35"/>
      <c r="K364" s="33"/>
      <c r="L364" s="37" t="str">
        <f aca="true">IF(OR(B364="",G364&lt;&gt;"Open",I364=""),"",IF(I364&lt;TODAY(),"Overdue",IF(I364&lt;=TODAY()+7,"Due Soon","")))</f>
        <v/>
      </c>
    </row>
    <row r="365" customFormat="false" ht="15" hidden="false" customHeight="false" outlineLevel="0" collapsed="false">
      <c r="A365" s="32"/>
      <c r="B365" s="32"/>
      <c r="C365" s="32"/>
      <c r="D365" s="33"/>
      <c r="E365" s="33"/>
      <c r="F365" s="32"/>
      <c r="G365" s="32"/>
      <c r="H365" s="35"/>
      <c r="I365" s="35"/>
      <c r="J365" s="35"/>
      <c r="K365" s="33"/>
      <c r="L365" s="37" t="str">
        <f aca="true">IF(OR(B365="",G365&lt;&gt;"Open",I365=""),"",IF(I365&lt;TODAY(),"Overdue",IF(I365&lt;=TODAY()+7,"Due Soon","")))</f>
        <v/>
      </c>
    </row>
    <row r="366" customFormat="false" ht="15" hidden="false" customHeight="false" outlineLevel="0" collapsed="false">
      <c r="A366" s="32"/>
      <c r="B366" s="32"/>
      <c r="C366" s="32"/>
      <c r="D366" s="33"/>
      <c r="E366" s="33"/>
      <c r="F366" s="32"/>
      <c r="G366" s="32"/>
      <c r="H366" s="35"/>
      <c r="I366" s="35"/>
      <c r="J366" s="35"/>
      <c r="K366" s="33"/>
      <c r="L366" s="37" t="str">
        <f aca="true">IF(OR(B366="",G366&lt;&gt;"Open",I366=""),"",IF(I366&lt;TODAY(),"Overdue",IF(I366&lt;=TODAY()+7,"Due Soon","")))</f>
        <v/>
      </c>
    </row>
    <row r="367" customFormat="false" ht="15" hidden="false" customHeight="false" outlineLevel="0" collapsed="false">
      <c r="A367" s="32"/>
      <c r="B367" s="32"/>
      <c r="C367" s="32"/>
      <c r="D367" s="33"/>
      <c r="E367" s="33"/>
      <c r="F367" s="32"/>
      <c r="G367" s="32"/>
      <c r="H367" s="35"/>
      <c r="I367" s="35"/>
      <c r="J367" s="35"/>
      <c r="K367" s="33"/>
      <c r="L367" s="37" t="str">
        <f aca="true">IF(OR(B367="",G367&lt;&gt;"Open",I367=""),"",IF(I367&lt;TODAY(),"Overdue",IF(I367&lt;=TODAY()+7,"Due Soon","")))</f>
        <v/>
      </c>
    </row>
    <row r="368" customFormat="false" ht="15" hidden="false" customHeight="false" outlineLevel="0" collapsed="false">
      <c r="A368" s="32"/>
      <c r="B368" s="32"/>
      <c r="C368" s="32"/>
      <c r="D368" s="33"/>
      <c r="E368" s="33"/>
      <c r="F368" s="32"/>
      <c r="G368" s="32"/>
      <c r="H368" s="35"/>
      <c r="I368" s="35"/>
      <c r="J368" s="35"/>
      <c r="K368" s="33"/>
      <c r="L368" s="37" t="str">
        <f aca="true">IF(OR(B368="",G368&lt;&gt;"Open",I368=""),"",IF(I368&lt;TODAY(),"Overdue",IF(I368&lt;=TODAY()+7,"Due Soon","")))</f>
        <v/>
      </c>
    </row>
    <row r="369" customFormat="false" ht="15" hidden="false" customHeight="false" outlineLevel="0" collapsed="false">
      <c r="A369" s="32"/>
      <c r="B369" s="32"/>
      <c r="C369" s="32"/>
      <c r="D369" s="33"/>
      <c r="E369" s="33"/>
      <c r="F369" s="32"/>
      <c r="G369" s="32"/>
      <c r="H369" s="35"/>
      <c r="I369" s="35"/>
      <c r="J369" s="35"/>
      <c r="K369" s="33"/>
      <c r="L369" s="37" t="str">
        <f aca="true">IF(OR(B369="",G369&lt;&gt;"Open",I369=""),"",IF(I369&lt;TODAY(),"Overdue",IF(I369&lt;=TODAY()+7,"Due Soon","")))</f>
        <v/>
      </c>
    </row>
    <row r="370" customFormat="false" ht="15" hidden="false" customHeight="false" outlineLevel="0" collapsed="false">
      <c r="A370" s="32"/>
      <c r="B370" s="32"/>
      <c r="C370" s="32"/>
      <c r="D370" s="33"/>
      <c r="E370" s="33"/>
      <c r="F370" s="32"/>
      <c r="G370" s="32"/>
      <c r="H370" s="35"/>
      <c r="I370" s="35"/>
      <c r="J370" s="35"/>
      <c r="K370" s="33"/>
      <c r="L370" s="37" t="str">
        <f aca="true">IF(OR(B370="",G370&lt;&gt;"Open",I370=""),"",IF(I370&lt;TODAY(),"Overdue",IF(I370&lt;=TODAY()+7,"Due Soon","")))</f>
        <v/>
      </c>
    </row>
    <row r="371" customFormat="false" ht="15" hidden="false" customHeight="false" outlineLevel="0" collapsed="false">
      <c r="A371" s="32"/>
      <c r="B371" s="32"/>
      <c r="C371" s="32"/>
      <c r="D371" s="33"/>
      <c r="E371" s="33"/>
      <c r="F371" s="32"/>
      <c r="G371" s="32"/>
      <c r="H371" s="35"/>
      <c r="I371" s="35"/>
      <c r="J371" s="35"/>
      <c r="K371" s="33"/>
      <c r="L371" s="37" t="str">
        <f aca="true">IF(OR(B371="",G371&lt;&gt;"Open",I371=""),"",IF(I371&lt;TODAY(),"Overdue",IF(I371&lt;=TODAY()+7,"Due Soon","")))</f>
        <v/>
      </c>
    </row>
    <row r="372" customFormat="false" ht="15" hidden="false" customHeight="false" outlineLevel="0" collapsed="false">
      <c r="A372" s="32"/>
      <c r="B372" s="32"/>
      <c r="C372" s="32"/>
      <c r="D372" s="33"/>
      <c r="E372" s="33"/>
      <c r="F372" s="32"/>
      <c r="G372" s="32"/>
      <c r="H372" s="35"/>
      <c r="I372" s="35"/>
      <c r="J372" s="35"/>
      <c r="K372" s="33"/>
      <c r="L372" s="37" t="str">
        <f aca="true">IF(OR(B372="",G372&lt;&gt;"Open",I372=""),"",IF(I372&lt;TODAY(),"Overdue",IF(I372&lt;=TODAY()+7,"Due Soon","")))</f>
        <v/>
      </c>
    </row>
    <row r="373" customFormat="false" ht="15" hidden="false" customHeight="false" outlineLevel="0" collapsed="false">
      <c r="A373" s="32"/>
      <c r="B373" s="32"/>
      <c r="C373" s="32"/>
      <c r="D373" s="33"/>
      <c r="E373" s="33"/>
      <c r="F373" s="32"/>
      <c r="G373" s="32"/>
      <c r="H373" s="35"/>
      <c r="I373" s="35"/>
      <c r="J373" s="35"/>
      <c r="K373" s="33"/>
      <c r="L373" s="37" t="str">
        <f aca="true">IF(OR(B373="",G373&lt;&gt;"Open",I373=""),"",IF(I373&lt;TODAY(),"Overdue",IF(I373&lt;=TODAY()+7,"Due Soon","")))</f>
        <v/>
      </c>
    </row>
    <row r="374" customFormat="false" ht="15" hidden="false" customHeight="false" outlineLevel="0" collapsed="false">
      <c r="A374" s="32"/>
      <c r="B374" s="32"/>
      <c r="C374" s="32"/>
      <c r="D374" s="33"/>
      <c r="E374" s="33"/>
      <c r="F374" s="32"/>
      <c r="G374" s="32"/>
      <c r="H374" s="35"/>
      <c r="I374" s="35"/>
      <c r="J374" s="35"/>
      <c r="K374" s="33"/>
      <c r="L374" s="37" t="str">
        <f aca="true">IF(OR(B374="",G374&lt;&gt;"Open",I374=""),"",IF(I374&lt;TODAY(),"Overdue",IF(I374&lt;=TODAY()+7,"Due Soon","")))</f>
        <v/>
      </c>
    </row>
    <row r="375" customFormat="false" ht="15" hidden="false" customHeight="false" outlineLevel="0" collapsed="false">
      <c r="A375" s="32"/>
      <c r="B375" s="32"/>
      <c r="C375" s="32"/>
      <c r="D375" s="33"/>
      <c r="E375" s="33"/>
      <c r="F375" s="32"/>
      <c r="G375" s="32"/>
      <c r="H375" s="35"/>
      <c r="I375" s="35"/>
      <c r="J375" s="35"/>
      <c r="K375" s="33"/>
      <c r="L375" s="37" t="str">
        <f aca="true">IF(OR(B375="",G375&lt;&gt;"Open",I375=""),"",IF(I375&lt;TODAY(),"Overdue",IF(I375&lt;=TODAY()+7,"Due Soon","")))</f>
        <v/>
      </c>
    </row>
    <row r="376" customFormat="false" ht="15" hidden="false" customHeight="false" outlineLevel="0" collapsed="false">
      <c r="A376" s="32"/>
      <c r="B376" s="32"/>
      <c r="C376" s="32"/>
      <c r="D376" s="33"/>
      <c r="E376" s="33"/>
      <c r="F376" s="32"/>
      <c r="G376" s="32"/>
      <c r="H376" s="35"/>
      <c r="I376" s="35"/>
      <c r="J376" s="35"/>
      <c r="K376" s="33"/>
      <c r="L376" s="37" t="str">
        <f aca="true">IF(OR(B376="",G376&lt;&gt;"Open",I376=""),"",IF(I376&lt;TODAY(),"Overdue",IF(I376&lt;=TODAY()+7,"Due Soon","")))</f>
        <v/>
      </c>
    </row>
    <row r="377" customFormat="false" ht="15" hidden="false" customHeight="false" outlineLevel="0" collapsed="false">
      <c r="A377" s="32"/>
      <c r="B377" s="32"/>
      <c r="C377" s="32"/>
      <c r="D377" s="33"/>
      <c r="E377" s="33"/>
      <c r="F377" s="32"/>
      <c r="G377" s="32"/>
      <c r="H377" s="35"/>
      <c r="I377" s="35"/>
      <c r="J377" s="35"/>
      <c r="K377" s="33"/>
      <c r="L377" s="37" t="str">
        <f aca="true">IF(OR(B377="",G377&lt;&gt;"Open",I377=""),"",IF(I377&lt;TODAY(),"Overdue",IF(I377&lt;=TODAY()+7,"Due Soon","")))</f>
        <v/>
      </c>
    </row>
    <row r="378" customFormat="false" ht="15" hidden="false" customHeight="false" outlineLevel="0" collapsed="false">
      <c r="A378" s="32"/>
      <c r="B378" s="32"/>
      <c r="C378" s="32"/>
      <c r="D378" s="33"/>
      <c r="E378" s="33"/>
      <c r="F378" s="32"/>
      <c r="G378" s="32"/>
      <c r="H378" s="35"/>
      <c r="I378" s="35"/>
      <c r="J378" s="35"/>
      <c r="K378" s="33"/>
      <c r="L378" s="37" t="str">
        <f aca="true">IF(OR(B378="",G378&lt;&gt;"Open",I378=""),"",IF(I378&lt;TODAY(),"Overdue",IF(I378&lt;=TODAY()+7,"Due Soon","")))</f>
        <v/>
      </c>
    </row>
    <row r="379" customFormat="false" ht="15" hidden="false" customHeight="false" outlineLevel="0" collapsed="false">
      <c r="A379" s="32"/>
      <c r="B379" s="32"/>
      <c r="C379" s="32"/>
      <c r="D379" s="33"/>
      <c r="E379" s="33"/>
      <c r="F379" s="32"/>
      <c r="G379" s="32"/>
      <c r="H379" s="35"/>
      <c r="I379" s="35"/>
      <c r="J379" s="35"/>
      <c r="K379" s="33"/>
      <c r="L379" s="37" t="str">
        <f aca="true">IF(OR(B379="",G379&lt;&gt;"Open",I379=""),"",IF(I379&lt;TODAY(),"Overdue",IF(I379&lt;=TODAY()+7,"Due Soon","")))</f>
        <v/>
      </c>
    </row>
    <row r="380" customFormat="false" ht="15" hidden="false" customHeight="false" outlineLevel="0" collapsed="false">
      <c r="A380" s="32"/>
      <c r="B380" s="32"/>
      <c r="C380" s="32"/>
      <c r="D380" s="33"/>
      <c r="E380" s="33"/>
      <c r="F380" s="32"/>
      <c r="G380" s="32"/>
      <c r="H380" s="35"/>
      <c r="I380" s="35"/>
      <c r="J380" s="35"/>
      <c r="K380" s="33"/>
      <c r="L380" s="37" t="str">
        <f aca="true">IF(OR(B380="",G380&lt;&gt;"Open",I380=""),"",IF(I380&lt;TODAY(),"Overdue",IF(I380&lt;=TODAY()+7,"Due Soon","")))</f>
        <v/>
      </c>
    </row>
    <row r="381" customFormat="false" ht="15" hidden="false" customHeight="false" outlineLevel="0" collapsed="false">
      <c r="A381" s="32"/>
      <c r="B381" s="32"/>
      <c r="C381" s="32"/>
      <c r="D381" s="33"/>
      <c r="E381" s="33"/>
      <c r="F381" s="32"/>
      <c r="G381" s="32"/>
      <c r="H381" s="35"/>
      <c r="I381" s="35"/>
      <c r="J381" s="35"/>
      <c r="K381" s="33"/>
      <c r="L381" s="37" t="str">
        <f aca="true">IF(OR(B381="",G381&lt;&gt;"Open",I381=""),"",IF(I381&lt;TODAY(),"Overdue",IF(I381&lt;=TODAY()+7,"Due Soon","")))</f>
        <v/>
      </c>
    </row>
    <row r="382" customFormat="false" ht="15" hidden="false" customHeight="false" outlineLevel="0" collapsed="false">
      <c r="A382" s="32"/>
      <c r="B382" s="32"/>
      <c r="C382" s="32"/>
      <c r="D382" s="33"/>
      <c r="E382" s="33"/>
      <c r="F382" s="32"/>
      <c r="G382" s="32"/>
      <c r="H382" s="35"/>
      <c r="I382" s="35"/>
      <c r="J382" s="35"/>
      <c r="K382" s="33"/>
      <c r="L382" s="37" t="str">
        <f aca="true">IF(OR(B382="",G382&lt;&gt;"Open",I382=""),"",IF(I382&lt;TODAY(),"Overdue",IF(I382&lt;=TODAY()+7,"Due Soon","")))</f>
        <v/>
      </c>
    </row>
    <row r="383" customFormat="false" ht="15" hidden="false" customHeight="false" outlineLevel="0" collapsed="false">
      <c r="A383" s="32"/>
      <c r="B383" s="32"/>
      <c r="C383" s="32"/>
      <c r="D383" s="33"/>
      <c r="E383" s="33"/>
      <c r="F383" s="32"/>
      <c r="G383" s="32"/>
      <c r="H383" s="35"/>
      <c r="I383" s="35"/>
      <c r="J383" s="35"/>
      <c r="K383" s="33"/>
      <c r="L383" s="37" t="str">
        <f aca="true">IF(OR(B383="",G383&lt;&gt;"Open",I383=""),"",IF(I383&lt;TODAY(),"Overdue",IF(I383&lt;=TODAY()+7,"Due Soon","")))</f>
        <v/>
      </c>
    </row>
    <row r="384" customFormat="false" ht="15" hidden="false" customHeight="false" outlineLevel="0" collapsed="false">
      <c r="A384" s="32"/>
      <c r="B384" s="32"/>
      <c r="C384" s="32"/>
      <c r="D384" s="33"/>
      <c r="E384" s="33"/>
      <c r="F384" s="32"/>
      <c r="G384" s="32"/>
      <c r="H384" s="35"/>
      <c r="I384" s="35"/>
      <c r="J384" s="35"/>
      <c r="K384" s="33"/>
      <c r="L384" s="37" t="str">
        <f aca="true">IF(OR(B384="",G384&lt;&gt;"Open",I384=""),"",IF(I384&lt;TODAY(),"Overdue",IF(I384&lt;=TODAY()+7,"Due Soon","")))</f>
        <v/>
      </c>
    </row>
    <row r="385" customFormat="false" ht="15" hidden="false" customHeight="false" outlineLevel="0" collapsed="false">
      <c r="A385" s="32"/>
      <c r="B385" s="32"/>
      <c r="C385" s="32"/>
      <c r="D385" s="33"/>
      <c r="E385" s="33"/>
      <c r="F385" s="32"/>
      <c r="G385" s="32"/>
      <c r="H385" s="35"/>
      <c r="I385" s="35"/>
      <c r="J385" s="35"/>
      <c r="K385" s="33"/>
      <c r="L385" s="37" t="str">
        <f aca="true">IF(OR(B385="",G385&lt;&gt;"Open",I385=""),"",IF(I385&lt;TODAY(),"Overdue",IF(I385&lt;=TODAY()+7,"Due Soon","")))</f>
        <v/>
      </c>
    </row>
    <row r="386" customFormat="false" ht="15" hidden="false" customHeight="false" outlineLevel="0" collapsed="false">
      <c r="A386" s="32"/>
      <c r="B386" s="32"/>
      <c r="C386" s="32"/>
      <c r="D386" s="33"/>
      <c r="E386" s="33"/>
      <c r="F386" s="32"/>
      <c r="G386" s="32"/>
      <c r="H386" s="35"/>
      <c r="I386" s="35"/>
      <c r="J386" s="35"/>
      <c r="K386" s="33"/>
      <c r="L386" s="37" t="str">
        <f aca="true">IF(OR(B386="",G386&lt;&gt;"Open",I386=""),"",IF(I386&lt;TODAY(),"Overdue",IF(I386&lt;=TODAY()+7,"Due Soon","")))</f>
        <v/>
      </c>
    </row>
    <row r="387" customFormat="false" ht="15" hidden="false" customHeight="false" outlineLevel="0" collapsed="false">
      <c r="A387" s="32"/>
      <c r="B387" s="32"/>
      <c r="C387" s="32"/>
      <c r="D387" s="33"/>
      <c r="E387" s="33"/>
      <c r="F387" s="32"/>
      <c r="G387" s="32"/>
      <c r="H387" s="35"/>
      <c r="I387" s="35"/>
      <c r="J387" s="35"/>
      <c r="K387" s="33"/>
      <c r="L387" s="37" t="str">
        <f aca="true">IF(OR(B387="",G387&lt;&gt;"Open",I387=""),"",IF(I387&lt;TODAY(),"Overdue",IF(I387&lt;=TODAY()+7,"Due Soon","")))</f>
        <v/>
      </c>
    </row>
    <row r="388" customFormat="false" ht="15" hidden="false" customHeight="false" outlineLevel="0" collapsed="false">
      <c r="A388" s="32"/>
      <c r="B388" s="32"/>
      <c r="C388" s="32"/>
      <c r="D388" s="33"/>
      <c r="E388" s="33"/>
      <c r="F388" s="32"/>
      <c r="G388" s="32"/>
      <c r="H388" s="35"/>
      <c r="I388" s="35"/>
      <c r="J388" s="35"/>
      <c r="K388" s="33"/>
      <c r="L388" s="37" t="str">
        <f aca="true">IF(OR(B388="",G388&lt;&gt;"Open",I388=""),"",IF(I388&lt;TODAY(),"Overdue",IF(I388&lt;=TODAY()+7,"Due Soon","")))</f>
        <v/>
      </c>
    </row>
    <row r="389" customFormat="false" ht="15" hidden="false" customHeight="false" outlineLevel="0" collapsed="false">
      <c r="A389" s="32"/>
      <c r="B389" s="32"/>
      <c r="C389" s="32"/>
      <c r="D389" s="33"/>
      <c r="E389" s="33"/>
      <c r="F389" s="32"/>
      <c r="G389" s="32"/>
      <c r="H389" s="35"/>
      <c r="I389" s="35"/>
      <c r="J389" s="35"/>
      <c r="K389" s="33"/>
      <c r="L389" s="37" t="str">
        <f aca="true">IF(OR(B389="",G389&lt;&gt;"Open",I389=""),"",IF(I389&lt;TODAY(),"Overdue",IF(I389&lt;=TODAY()+7,"Due Soon","")))</f>
        <v/>
      </c>
    </row>
    <row r="390" customFormat="false" ht="15" hidden="false" customHeight="false" outlineLevel="0" collapsed="false">
      <c r="A390" s="32"/>
      <c r="B390" s="32"/>
      <c r="C390" s="32"/>
      <c r="D390" s="33"/>
      <c r="E390" s="33"/>
      <c r="F390" s="32"/>
      <c r="G390" s="32"/>
      <c r="H390" s="35"/>
      <c r="I390" s="35"/>
      <c r="J390" s="35"/>
      <c r="K390" s="33"/>
      <c r="L390" s="37" t="str">
        <f aca="true">IF(OR(B390="",G390&lt;&gt;"Open",I390=""),"",IF(I390&lt;TODAY(),"Overdue",IF(I390&lt;=TODAY()+7,"Due Soon","")))</f>
        <v/>
      </c>
    </row>
    <row r="391" customFormat="false" ht="15" hidden="false" customHeight="false" outlineLevel="0" collapsed="false">
      <c r="A391" s="32"/>
      <c r="B391" s="32"/>
      <c r="C391" s="32"/>
      <c r="D391" s="33"/>
      <c r="E391" s="33"/>
      <c r="F391" s="32"/>
      <c r="G391" s="32"/>
      <c r="H391" s="35"/>
      <c r="I391" s="35"/>
      <c r="J391" s="35"/>
      <c r="K391" s="33"/>
      <c r="L391" s="37" t="str">
        <f aca="true">IF(OR(B391="",G391&lt;&gt;"Open",I391=""),"",IF(I391&lt;TODAY(),"Overdue",IF(I391&lt;=TODAY()+7,"Due Soon","")))</f>
        <v/>
      </c>
    </row>
    <row r="392" customFormat="false" ht="15" hidden="false" customHeight="false" outlineLevel="0" collapsed="false">
      <c r="A392" s="32"/>
      <c r="B392" s="32"/>
      <c r="C392" s="32"/>
      <c r="D392" s="33"/>
      <c r="E392" s="33"/>
      <c r="F392" s="32"/>
      <c r="G392" s="32"/>
      <c r="H392" s="35"/>
      <c r="I392" s="35"/>
      <c r="J392" s="35"/>
      <c r="K392" s="33"/>
      <c r="L392" s="37" t="str">
        <f aca="true">IF(OR(B392="",G392&lt;&gt;"Open",I392=""),"",IF(I392&lt;TODAY(),"Overdue",IF(I392&lt;=TODAY()+7,"Due Soon","")))</f>
        <v/>
      </c>
    </row>
    <row r="393" customFormat="false" ht="15" hidden="false" customHeight="false" outlineLevel="0" collapsed="false">
      <c r="A393" s="32"/>
      <c r="B393" s="32"/>
      <c r="C393" s="32"/>
      <c r="D393" s="33"/>
      <c r="E393" s="33"/>
      <c r="F393" s="32"/>
      <c r="G393" s="32"/>
      <c r="H393" s="35"/>
      <c r="I393" s="35"/>
      <c r="J393" s="35"/>
      <c r="K393" s="33"/>
      <c r="L393" s="37" t="str">
        <f aca="true">IF(OR(B393="",G393&lt;&gt;"Open",I393=""),"",IF(I393&lt;TODAY(),"Overdue",IF(I393&lt;=TODAY()+7,"Due Soon","")))</f>
        <v/>
      </c>
    </row>
    <row r="394" customFormat="false" ht="15" hidden="false" customHeight="false" outlineLevel="0" collapsed="false">
      <c r="A394" s="32"/>
      <c r="B394" s="32"/>
      <c r="C394" s="32"/>
      <c r="D394" s="33"/>
      <c r="E394" s="33"/>
      <c r="F394" s="32"/>
      <c r="G394" s="32"/>
      <c r="H394" s="35"/>
      <c r="I394" s="35"/>
      <c r="J394" s="35"/>
      <c r="K394" s="33"/>
      <c r="L394" s="37" t="str">
        <f aca="true">IF(OR(B394="",G394&lt;&gt;"Open",I394=""),"",IF(I394&lt;TODAY(),"Overdue",IF(I394&lt;=TODAY()+7,"Due Soon","")))</f>
        <v/>
      </c>
    </row>
    <row r="395" customFormat="false" ht="15" hidden="false" customHeight="false" outlineLevel="0" collapsed="false">
      <c r="A395" s="32"/>
      <c r="B395" s="32"/>
      <c r="C395" s="32"/>
      <c r="D395" s="33"/>
      <c r="E395" s="33"/>
      <c r="F395" s="32"/>
      <c r="G395" s="32"/>
      <c r="H395" s="35"/>
      <c r="I395" s="35"/>
      <c r="J395" s="35"/>
      <c r="K395" s="33"/>
      <c r="L395" s="37" t="str">
        <f aca="true">IF(OR(B395="",G395&lt;&gt;"Open",I395=""),"",IF(I395&lt;TODAY(),"Overdue",IF(I395&lt;=TODAY()+7,"Due Soon","")))</f>
        <v/>
      </c>
    </row>
    <row r="396" customFormat="false" ht="15" hidden="false" customHeight="false" outlineLevel="0" collapsed="false">
      <c r="A396" s="32"/>
      <c r="B396" s="32"/>
      <c r="C396" s="32"/>
      <c r="D396" s="33"/>
      <c r="E396" s="33"/>
      <c r="F396" s="32"/>
      <c r="G396" s="32"/>
      <c r="H396" s="35"/>
      <c r="I396" s="35"/>
      <c r="J396" s="35"/>
      <c r="K396" s="33"/>
      <c r="L396" s="37" t="str">
        <f aca="true">IF(OR(B396="",G396&lt;&gt;"Open",I396=""),"",IF(I396&lt;TODAY(),"Overdue",IF(I396&lt;=TODAY()+7,"Due Soon","")))</f>
        <v/>
      </c>
    </row>
    <row r="397" customFormat="false" ht="15" hidden="false" customHeight="false" outlineLevel="0" collapsed="false">
      <c r="A397" s="32"/>
      <c r="B397" s="32"/>
      <c r="C397" s="32"/>
      <c r="D397" s="33"/>
      <c r="E397" s="33"/>
      <c r="F397" s="32"/>
      <c r="G397" s="32"/>
      <c r="H397" s="35"/>
      <c r="I397" s="35"/>
      <c r="J397" s="35"/>
      <c r="K397" s="33"/>
      <c r="L397" s="37" t="str">
        <f aca="true">IF(OR(B397="",G397&lt;&gt;"Open",I397=""),"",IF(I397&lt;TODAY(),"Overdue",IF(I397&lt;=TODAY()+7,"Due Soon","")))</f>
        <v/>
      </c>
    </row>
    <row r="398" customFormat="false" ht="15" hidden="false" customHeight="false" outlineLevel="0" collapsed="false">
      <c r="A398" s="32"/>
      <c r="B398" s="32"/>
      <c r="C398" s="32"/>
      <c r="D398" s="33"/>
      <c r="E398" s="33"/>
      <c r="F398" s="32"/>
      <c r="G398" s="32"/>
      <c r="H398" s="35"/>
      <c r="I398" s="35"/>
      <c r="J398" s="35"/>
      <c r="K398" s="33"/>
      <c r="L398" s="37" t="str">
        <f aca="true">IF(OR(B398="",G398&lt;&gt;"Open",I398=""),"",IF(I398&lt;TODAY(),"Overdue",IF(I398&lt;=TODAY()+7,"Due Soon","")))</f>
        <v/>
      </c>
    </row>
    <row r="399" customFormat="false" ht="15" hidden="false" customHeight="false" outlineLevel="0" collapsed="false">
      <c r="A399" s="32"/>
      <c r="B399" s="32"/>
      <c r="C399" s="32"/>
      <c r="D399" s="33"/>
      <c r="E399" s="33"/>
      <c r="F399" s="32"/>
      <c r="G399" s="32"/>
      <c r="H399" s="35"/>
      <c r="I399" s="35"/>
      <c r="J399" s="35"/>
      <c r="K399" s="33"/>
      <c r="L399" s="37" t="str">
        <f aca="true">IF(OR(B399="",G399&lt;&gt;"Open",I399=""),"",IF(I399&lt;TODAY(),"Overdue",IF(I399&lt;=TODAY()+7,"Due Soon","")))</f>
        <v/>
      </c>
    </row>
    <row r="400" customFormat="false" ht="15" hidden="false" customHeight="false" outlineLevel="0" collapsed="false">
      <c r="A400" s="32"/>
      <c r="B400" s="32"/>
      <c r="C400" s="32"/>
      <c r="D400" s="33"/>
      <c r="E400" s="33"/>
      <c r="F400" s="32"/>
      <c r="G400" s="32"/>
      <c r="H400" s="35"/>
      <c r="I400" s="35"/>
      <c r="J400" s="35"/>
      <c r="K400" s="33"/>
      <c r="L400" s="37" t="str">
        <f aca="true">IF(OR(B400="",G400&lt;&gt;"Open",I400=""),"",IF(I400&lt;TODAY(),"Overdue",IF(I400&lt;=TODAY()+7,"Due Soon","")))</f>
        <v/>
      </c>
    </row>
    <row r="401" customFormat="false" ht="15" hidden="false" customHeight="false" outlineLevel="0" collapsed="false">
      <c r="A401" s="32"/>
      <c r="B401" s="32"/>
      <c r="C401" s="32"/>
      <c r="D401" s="33"/>
      <c r="E401" s="33"/>
      <c r="F401" s="32"/>
      <c r="G401" s="32"/>
      <c r="H401" s="35"/>
      <c r="I401" s="35"/>
      <c r="J401" s="35"/>
      <c r="K401" s="33"/>
      <c r="L401" s="37" t="str">
        <f aca="true">IF(OR(B401="",G401&lt;&gt;"Open",I401=""),"",IF(I401&lt;TODAY(),"Overdue",IF(I401&lt;=TODAY()+7,"Due Soon","")))</f>
        <v/>
      </c>
    </row>
    <row r="402" customFormat="false" ht="15" hidden="false" customHeight="false" outlineLevel="0" collapsed="false">
      <c r="A402" s="32"/>
      <c r="B402" s="32"/>
      <c r="C402" s="32"/>
      <c r="D402" s="33"/>
      <c r="E402" s="33"/>
      <c r="F402" s="32"/>
      <c r="G402" s="32"/>
      <c r="H402" s="35"/>
      <c r="I402" s="35"/>
      <c r="J402" s="35"/>
      <c r="K402" s="33"/>
      <c r="L402" s="37" t="str">
        <f aca="true">IF(OR(B402="",G402&lt;&gt;"Open",I402=""),"",IF(I402&lt;TODAY(),"Overdue",IF(I402&lt;=TODAY()+7,"Due Soon","")))</f>
        <v/>
      </c>
    </row>
    <row r="403" customFormat="false" ht="15" hidden="false" customHeight="false" outlineLevel="0" collapsed="false">
      <c r="A403" s="32"/>
      <c r="B403" s="32"/>
      <c r="C403" s="32"/>
      <c r="D403" s="33"/>
      <c r="E403" s="33"/>
      <c r="F403" s="32"/>
      <c r="G403" s="32"/>
      <c r="H403" s="35"/>
      <c r="I403" s="35"/>
      <c r="J403" s="35"/>
      <c r="K403" s="33"/>
      <c r="L403" s="37" t="str">
        <f aca="true">IF(OR(B403="",G403&lt;&gt;"Open",I403=""),"",IF(I403&lt;TODAY(),"Overdue",IF(I403&lt;=TODAY()+7,"Due Soon","")))</f>
        <v/>
      </c>
    </row>
    <row r="404" customFormat="false" ht="15" hidden="false" customHeight="false" outlineLevel="0" collapsed="false">
      <c r="A404" s="32"/>
      <c r="B404" s="32"/>
      <c r="C404" s="32"/>
      <c r="D404" s="33"/>
      <c r="E404" s="33"/>
      <c r="F404" s="32"/>
      <c r="G404" s="32"/>
      <c r="H404" s="35"/>
      <c r="I404" s="35"/>
      <c r="J404" s="35"/>
      <c r="K404" s="33"/>
      <c r="L404" s="37" t="str">
        <f aca="true">IF(OR(B404="",G404&lt;&gt;"Open",I404=""),"",IF(I404&lt;TODAY(),"Overdue",IF(I404&lt;=TODAY()+7,"Due Soon","")))</f>
        <v/>
      </c>
    </row>
    <row r="405" customFormat="false" ht="15" hidden="false" customHeight="false" outlineLevel="0" collapsed="false">
      <c r="A405" s="32"/>
      <c r="B405" s="32"/>
      <c r="C405" s="32"/>
      <c r="D405" s="33"/>
      <c r="E405" s="33"/>
      <c r="F405" s="32"/>
      <c r="G405" s="32"/>
      <c r="H405" s="35"/>
      <c r="I405" s="35"/>
      <c r="J405" s="35"/>
      <c r="K405" s="33"/>
      <c r="L405" s="37" t="str">
        <f aca="true">IF(OR(B405="",G405&lt;&gt;"Open",I405=""),"",IF(I405&lt;TODAY(),"Overdue",IF(I405&lt;=TODAY()+7,"Due Soon","")))</f>
        <v/>
      </c>
    </row>
    <row r="406" customFormat="false" ht="15" hidden="false" customHeight="false" outlineLevel="0" collapsed="false">
      <c r="A406" s="32"/>
      <c r="B406" s="32"/>
      <c r="C406" s="32"/>
      <c r="D406" s="33"/>
      <c r="E406" s="33"/>
      <c r="F406" s="32"/>
      <c r="G406" s="32"/>
      <c r="H406" s="35"/>
      <c r="I406" s="35"/>
      <c r="J406" s="35"/>
      <c r="K406" s="33"/>
      <c r="L406" s="37" t="str">
        <f aca="true">IF(OR(B406="",G406&lt;&gt;"Open",I406=""),"",IF(I406&lt;TODAY(),"Overdue",IF(I406&lt;=TODAY()+7,"Due Soon","")))</f>
        <v/>
      </c>
    </row>
    <row r="407" customFormat="false" ht="15" hidden="false" customHeight="false" outlineLevel="0" collapsed="false">
      <c r="A407" s="32"/>
      <c r="B407" s="32"/>
      <c r="C407" s="32"/>
      <c r="D407" s="33"/>
      <c r="E407" s="33"/>
      <c r="F407" s="32"/>
      <c r="G407" s="32"/>
      <c r="H407" s="35"/>
      <c r="I407" s="35"/>
      <c r="J407" s="35"/>
      <c r="K407" s="33"/>
      <c r="L407" s="37" t="str">
        <f aca="true">IF(OR(B407="",G407&lt;&gt;"Open",I407=""),"",IF(I407&lt;TODAY(),"Overdue",IF(I407&lt;=TODAY()+7,"Due Soon","")))</f>
        <v/>
      </c>
    </row>
    <row r="408" customFormat="false" ht="15" hidden="false" customHeight="false" outlineLevel="0" collapsed="false">
      <c r="A408" s="32"/>
      <c r="B408" s="32"/>
      <c r="C408" s="32"/>
      <c r="D408" s="33"/>
      <c r="E408" s="33"/>
      <c r="F408" s="32"/>
      <c r="G408" s="32"/>
      <c r="H408" s="35"/>
      <c r="I408" s="35"/>
      <c r="J408" s="35"/>
      <c r="K408" s="33"/>
      <c r="L408" s="37" t="str">
        <f aca="true">IF(OR(B408="",G408&lt;&gt;"Open",I408=""),"",IF(I408&lt;TODAY(),"Overdue",IF(I408&lt;=TODAY()+7,"Due Soon","")))</f>
        <v/>
      </c>
    </row>
    <row r="409" customFormat="false" ht="15" hidden="false" customHeight="false" outlineLevel="0" collapsed="false">
      <c r="A409" s="32"/>
      <c r="B409" s="32"/>
      <c r="C409" s="32"/>
      <c r="D409" s="33"/>
      <c r="E409" s="33"/>
      <c r="F409" s="32"/>
      <c r="G409" s="32"/>
      <c r="H409" s="35"/>
      <c r="I409" s="35"/>
      <c r="J409" s="35"/>
      <c r="K409" s="33"/>
      <c r="L409" s="37" t="str">
        <f aca="true">IF(OR(B409="",G409&lt;&gt;"Open",I409=""),"",IF(I409&lt;TODAY(),"Overdue",IF(I409&lt;=TODAY()+7,"Due Soon","")))</f>
        <v/>
      </c>
    </row>
    <row r="410" customFormat="false" ht="15" hidden="false" customHeight="false" outlineLevel="0" collapsed="false">
      <c r="A410" s="32"/>
      <c r="B410" s="32"/>
      <c r="C410" s="32"/>
      <c r="D410" s="33"/>
      <c r="E410" s="33"/>
      <c r="F410" s="32"/>
      <c r="G410" s="32"/>
      <c r="H410" s="35"/>
      <c r="I410" s="35"/>
      <c r="J410" s="35"/>
      <c r="K410" s="33"/>
      <c r="L410" s="37" t="str">
        <f aca="true">IF(OR(B410="",G410&lt;&gt;"Open",I410=""),"",IF(I410&lt;TODAY(),"Overdue",IF(I410&lt;=TODAY()+7,"Due Soon","")))</f>
        <v/>
      </c>
    </row>
    <row r="411" customFormat="false" ht="15" hidden="false" customHeight="false" outlineLevel="0" collapsed="false">
      <c r="A411" s="32"/>
      <c r="B411" s="32"/>
      <c r="C411" s="32"/>
      <c r="D411" s="33"/>
      <c r="E411" s="33"/>
      <c r="F411" s="32"/>
      <c r="G411" s="32"/>
      <c r="H411" s="35"/>
      <c r="I411" s="35"/>
      <c r="J411" s="35"/>
      <c r="K411" s="33"/>
      <c r="L411" s="37" t="str">
        <f aca="true">IF(OR(B411="",G411&lt;&gt;"Open",I411=""),"",IF(I411&lt;TODAY(),"Overdue",IF(I411&lt;=TODAY()+7,"Due Soon","")))</f>
        <v/>
      </c>
    </row>
    <row r="412" customFormat="false" ht="15" hidden="false" customHeight="false" outlineLevel="0" collapsed="false">
      <c r="A412" s="32"/>
      <c r="B412" s="32"/>
      <c r="C412" s="32"/>
      <c r="D412" s="33"/>
      <c r="E412" s="33"/>
      <c r="F412" s="32"/>
      <c r="G412" s="32"/>
      <c r="H412" s="35"/>
      <c r="I412" s="35"/>
      <c r="J412" s="35"/>
      <c r="K412" s="33"/>
      <c r="L412" s="37" t="str">
        <f aca="true">IF(OR(B412="",G412&lt;&gt;"Open",I412=""),"",IF(I412&lt;TODAY(),"Overdue",IF(I412&lt;=TODAY()+7,"Due Soon","")))</f>
        <v/>
      </c>
    </row>
    <row r="413" customFormat="false" ht="15" hidden="false" customHeight="false" outlineLevel="0" collapsed="false">
      <c r="A413" s="32"/>
      <c r="B413" s="32"/>
      <c r="C413" s="32"/>
      <c r="D413" s="33"/>
      <c r="E413" s="33"/>
      <c r="F413" s="32"/>
      <c r="G413" s="32"/>
      <c r="H413" s="35"/>
      <c r="I413" s="35"/>
      <c r="J413" s="35"/>
      <c r="K413" s="33"/>
      <c r="L413" s="37" t="str">
        <f aca="true">IF(OR(B413="",G413&lt;&gt;"Open",I413=""),"",IF(I413&lt;TODAY(),"Overdue",IF(I413&lt;=TODAY()+7,"Due Soon","")))</f>
        <v/>
      </c>
    </row>
    <row r="414" customFormat="false" ht="15" hidden="false" customHeight="false" outlineLevel="0" collapsed="false">
      <c r="A414" s="32"/>
      <c r="B414" s="32"/>
      <c r="C414" s="32"/>
      <c r="D414" s="33"/>
      <c r="E414" s="33"/>
      <c r="F414" s="32"/>
      <c r="G414" s="32"/>
      <c r="H414" s="35"/>
      <c r="I414" s="35"/>
      <c r="J414" s="35"/>
      <c r="K414" s="33"/>
      <c r="L414" s="37" t="str">
        <f aca="true">IF(OR(B414="",G414&lt;&gt;"Open",I414=""),"",IF(I414&lt;TODAY(),"Overdue",IF(I414&lt;=TODAY()+7,"Due Soon","")))</f>
        <v/>
      </c>
    </row>
    <row r="415" customFormat="false" ht="15" hidden="false" customHeight="false" outlineLevel="0" collapsed="false">
      <c r="A415" s="32"/>
      <c r="B415" s="32"/>
      <c r="C415" s="32"/>
      <c r="D415" s="33"/>
      <c r="E415" s="33"/>
      <c r="F415" s="32"/>
      <c r="G415" s="32"/>
      <c r="H415" s="35"/>
      <c r="I415" s="35"/>
      <c r="J415" s="35"/>
      <c r="K415" s="33"/>
      <c r="L415" s="37" t="str">
        <f aca="true">IF(OR(B415="",G415&lt;&gt;"Open",I415=""),"",IF(I415&lt;TODAY(),"Overdue",IF(I415&lt;=TODAY()+7,"Due Soon","")))</f>
        <v/>
      </c>
    </row>
    <row r="416" customFormat="false" ht="15" hidden="false" customHeight="false" outlineLevel="0" collapsed="false">
      <c r="A416" s="32"/>
      <c r="B416" s="32"/>
      <c r="C416" s="32"/>
      <c r="D416" s="33"/>
      <c r="E416" s="33"/>
      <c r="F416" s="32"/>
      <c r="G416" s="32"/>
      <c r="H416" s="35"/>
      <c r="I416" s="35"/>
      <c r="J416" s="35"/>
      <c r="K416" s="33"/>
      <c r="L416" s="37" t="str">
        <f aca="true">IF(OR(B416="",G416&lt;&gt;"Open",I416=""),"",IF(I416&lt;TODAY(),"Overdue",IF(I416&lt;=TODAY()+7,"Due Soon","")))</f>
        <v/>
      </c>
    </row>
    <row r="417" customFormat="false" ht="15" hidden="false" customHeight="false" outlineLevel="0" collapsed="false">
      <c r="A417" s="32"/>
      <c r="B417" s="32"/>
      <c r="C417" s="32"/>
      <c r="D417" s="33"/>
      <c r="E417" s="33"/>
      <c r="F417" s="32"/>
      <c r="G417" s="32"/>
      <c r="H417" s="35"/>
      <c r="I417" s="35"/>
      <c r="J417" s="35"/>
      <c r="K417" s="33"/>
      <c r="L417" s="37" t="str">
        <f aca="true">IF(OR(B417="",G417&lt;&gt;"Open",I417=""),"",IF(I417&lt;TODAY(),"Overdue",IF(I417&lt;=TODAY()+7,"Due Soon","")))</f>
        <v/>
      </c>
    </row>
    <row r="418" customFormat="false" ht="15" hidden="false" customHeight="false" outlineLevel="0" collapsed="false">
      <c r="A418" s="32"/>
      <c r="B418" s="32"/>
      <c r="C418" s="32"/>
      <c r="D418" s="33"/>
      <c r="E418" s="33"/>
      <c r="F418" s="32"/>
      <c r="G418" s="32"/>
      <c r="H418" s="35"/>
      <c r="I418" s="35"/>
      <c r="J418" s="35"/>
      <c r="K418" s="33"/>
      <c r="L418" s="37" t="str">
        <f aca="true">IF(OR(B418="",G418&lt;&gt;"Open",I418=""),"",IF(I418&lt;TODAY(),"Overdue",IF(I418&lt;=TODAY()+7,"Due Soon","")))</f>
        <v/>
      </c>
    </row>
    <row r="419" customFormat="false" ht="15" hidden="false" customHeight="false" outlineLevel="0" collapsed="false">
      <c r="A419" s="32"/>
      <c r="B419" s="32"/>
      <c r="C419" s="32"/>
      <c r="D419" s="33"/>
      <c r="E419" s="33"/>
      <c r="F419" s="32"/>
      <c r="G419" s="32"/>
      <c r="H419" s="35"/>
      <c r="I419" s="35"/>
      <c r="J419" s="35"/>
      <c r="K419" s="33"/>
      <c r="L419" s="37" t="str">
        <f aca="true">IF(OR(B419="",G419&lt;&gt;"Open",I419=""),"",IF(I419&lt;TODAY(),"Overdue",IF(I419&lt;=TODAY()+7,"Due Soon","")))</f>
        <v/>
      </c>
    </row>
    <row r="420" customFormat="false" ht="15" hidden="false" customHeight="false" outlineLevel="0" collapsed="false">
      <c r="A420" s="32"/>
      <c r="B420" s="32"/>
      <c r="C420" s="32"/>
      <c r="D420" s="33"/>
      <c r="E420" s="33"/>
      <c r="F420" s="32"/>
      <c r="G420" s="32"/>
      <c r="H420" s="35"/>
      <c r="I420" s="35"/>
      <c r="J420" s="35"/>
      <c r="K420" s="33"/>
      <c r="L420" s="37" t="str">
        <f aca="true">IF(OR(B420="",G420&lt;&gt;"Open",I420=""),"",IF(I420&lt;TODAY(),"Overdue",IF(I420&lt;=TODAY()+7,"Due Soon","")))</f>
        <v/>
      </c>
    </row>
    <row r="421" customFormat="false" ht="15" hidden="false" customHeight="false" outlineLevel="0" collapsed="false">
      <c r="A421" s="32"/>
      <c r="B421" s="32"/>
      <c r="C421" s="32"/>
      <c r="D421" s="33"/>
      <c r="E421" s="33"/>
      <c r="F421" s="32"/>
      <c r="G421" s="32"/>
      <c r="H421" s="35"/>
      <c r="I421" s="35"/>
      <c r="J421" s="35"/>
      <c r="K421" s="33"/>
      <c r="L421" s="37" t="str">
        <f aca="true">IF(OR(B421="",G421&lt;&gt;"Open",I421=""),"",IF(I421&lt;TODAY(),"Overdue",IF(I421&lt;=TODAY()+7,"Due Soon","")))</f>
        <v/>
      </c>
    </row>
    <row r="422" customFormat="false" ht="15" hidden="false" customHeight="false" outlineLevel="0" collapsed="false">
      <c r="A422" s="32"/>
      <c r="B422" s="32"/>
      <c r="C422" s="32"/>
      <c r="D422" s="33"/>
      <c r="E422" s="33"/>
      <c r="F422" s="32"/>
      <c r="G422" s="32"/>
      <c r="H422" s="35"/>
      <c r="I422" s="35"/>
      <c r="J422" s="35"/>
      <c r="K422" s="33"/>
      <c r="L422" s="37" t="str">
        <f aca="true">IF(OR(B422="",G422&lt;&gt;"Open",I422=""),"",IF(I422&lt;TODAY(),"Overdue",IF(I422&lt;=TODAY()+7,"Due Soon","")))</f>
        <v/>
      </c>
    </row>
    <row r="423" customFormat="false" ht="15" hidden="false" customHeight="false" outlineLevel="0" collapsed="false">
      <c r="A423" s="32"/>
      <c r="B423" s="32"/>
      <c r="C423" s="32"/>
      <c r="D423" s="33"/>
      <c r="E423" s="33"/>
      <c r="F423" s="32"/>
      <c r="G423" s="32"/>
      <c r="H423" s="35"/>
      <c r="I423" s="35"/>
      <c r="J423" s="35"/>
      <c r="K423" s="33"/>
      <c r="L423" s="37" t="str">
        <f aca="true">IF(OR(B423="",G423&lt;&gt;"Open",I423=""),"",IF(I423&lt;TODAY(),"Overdue",IF(I423&lt;=TODAY()+7,"Due Soon","")))</f>
        <v/>
      </c>
    </row>
    <row r="424" customFormat="false" ht="15" hidden="false" customHeight="false" outlineLevel="0" collapsed="false">
      <c r="A424" s="32"/>
      <c r="B424" s="32"/>
      <c r="C424" s="32"/>
      <c r="D424" s="33"/>
      <c r="E424" s="33"/>
      <c r="F424" s="32"/>
      <c r="G424" s="32"/>
      <c r="H424" s="35"/>
      <c r="I424" s="35"/>
      <c r="J424" s="35"/>
      <c r="K424" s="33"/>
      <c r="L424" s="37" t="str">
        <f aca="true">IF(OR(B424="",G424&lt;&gt;"Open",I424=""),"",IF(I424&lt;TODAY(),"Overdue",IF(I424&lt;=TODAY()+7,"Due Soon","")))</f>
        <v/>
      </c>
    </row>
    <row r="425" customFormat="false" ht="15" hidden="false" customHeight="false" outlineLevel="0" collapsed="false">
      <c r="A425" s="32"/>
      <c r="B425" s="32"/>
      <c r="C425" s="32"/>
      <c r="D425" s="33"/>
      <c r="E425" s="33"/>
      <c r="F425" s="32"/>
      <c r="G425" s="32"/>
      <c r="H425" s="35"/>
      <c r="I425" s="35"/>
      <c r="J425" s="35"/>
      <c r="K425" s="33"/>
      <c r="L425" s="37" t="str">
        <f aca="true">IF(OR(B425="",G425&lt;&gt;"Open",I425=""),"",IF(I425&lt;TODAY(),"Overdue",IF(I425&lt;=TODAY()+7,"Due Soon","")))</f>
        <v/>
      </c>
    </row>
    <row r="426" customFormat="false" ht="15" hidden="false" customHeight="false" outlineLevel="0" collapsed="false">
      <c r="A426" s="32"/>
      <c r="B426" s="32"/>
      <c r="C426" s="32"/>
      <c r="D426" s="33"/>
      <c r="E426" s="33"/>
      <c r="F426" s="32"/>
      <c r="G426" s="32"/>
      <c r="H426" s="35"/>
      <c r="I426" s="35"/>
      <c r="J426" s="35"/>
      <c r="K426" s="33"/>
      <c r="L426" s="37" t="str">
        <f aca="true">IF(OR(B426="",G426&lt;&gt;"Open",I426=""),"",IF(I426&lt;TODAY(),"Overdue",IF(I426&lt;=TODAY()+7,"Due Soon","")))</f>
        <v/>
      </c>
    </row>
    <row r="427" customFormat="false" ht="15" hidden="false" customHeight="false" outlineLevel="0" collapsed="false">
      <c r="A427" s="32"/>
      <c r="B427" s="32"/>
      <c r="C427" s="32"/>
      <c r="D427" s="33"/>
      <c r="E427" s="33"/>
      <c r="F427" s="32"/>
      <c r="G427" s="32"/>
      <c r="H427" s="35"/>
      <c r="I427" s="35"/>
      <c r="J427" s="35"/>
      <c r="K427" s="33"/>
      <c r="L427" s="37" t="str">
        <f aca="true">IF(OR(B427="",G427&lt;&gt;"Open",I427=""),"",IF(I427&lt;TODAY(),"Overdue",IF(I427&lt;=TODAY()+7,"Due Soon","")))</f>
        <v/>
      </c>
    </row>
    <row r="428" customFormat="false" ht="15" hidden="false" customHeight="false" outlineLevel="0" collapsed="false">
      <c r="A428" s="32"/>
      <c r="B428" s="32"/>
      <c r="C428" s="32"/>
      <c r="D428" s="33"/>
      <c r="E428" s="33"/>
      <c r="F428" s="32"/>
      <c r="G428" s="32"/>
      <c r="H428" s="35"/>
      <c r="I428" s="35"/>
      <c r="J428" s="35"/>
      <c r="K428" s="33"/>
      <c r="L428" s="37" t="str">
        <f aca="true">IF(OR(B428="",G428&lt;&gt;"Open",I428=""),"",IF(I428&lt;TODAY(),"Overdue",IF(I428&lt;=TODAY()+7,"Due Soon","")))</f>
        <v/>
      </c>
    </row>
    <row r="429" customFormat="false" ht="15" hidden="false" customHeight="false" outlineLevel="0" collapsed="false">
      <c r="A429" s="32"/>
      <c r="B429" s="32"/>
      <c r="C429" s="32"/>
      <c r="D429" s="33"/>
      <c r="E429" s="33"/>
      <c r="F429" s="32"/>
      <c r="G429" s="32"/>
      <c r="H429" s="35"/>
      <c r="I429" s="35"/>
      <c r="J429" s="35"/>
      <c r="K429" s="33"/>
      <c r="L429" s="37" t="str">
        <f aca="true">IF(OR(B429="",G429&lt;&gt;"Open",I429=""),"",IF(I429&lt;TODAY(),"Overdue",IF(I429&lt;=TODAY()+7,"Due Soon","")))</f>
        <v/>
      </c>
    </row>
    <row r="430" customFormat="false" ht="15" hidden="false" customHeight="false" outlineLevel="0" collapsed="false">
      <c r="A430" s="32"/>
      <c r="B430" s="32"/>
      <c r="C430" s="32"/>
      <c r="D430" s="33"/>
      <c r="E430" s="33"/>
      <c r="F430" s="32"/>
      <c r="G430" s="32"/>
      <c r="H430" s="35"/>
      <c r="I430" s="35"/>
      <c r="J430" s="35"/>
      <c r="K430" s="33"/>
      <c r="L430" s="37" t="str">
        <f aca="true">IF(OR(B430="",G430&lt;&gt;"Open",I430=""),"",IF(I430&lt;TODAY(),"Overdue",IF(I430&lt;=TODAY()+7,"Due Soon","")))</f>
        <v/>
      </c>
    </row>
    <row r="431" customFormat="false" ht="15" hidden="false" customHeight="false" outlineLevel="0" collapsed="false">
      <c r="A431" s="32"/>
      <c r="B431" s="32"/>
      <c r="C431" s="32"/>
      <c r="D431" s="33"/>
      <c r="E431" s="33"/>
      <c r="F431" s="32"/>
      <c r="G431" s="32"/>
      <c r="H431" s="35"/>
      <c r="I431" s="35"/>
      <c r="J431" s="35"/>
      <c r="K431" s="33"/>
      <c r="L431" s="37" t="str">
        <f aca="true">IF(OR(B431="",G431&lt;&gt;"Open",I431=""),"",IF(I431&lt;TODAY(),"Overdue",IF(I431&lt;=TODAY()+7,"Due Soon","")))</f>
        <v/>
      </c>
    </row>
    <row r="432" customFormat="false" ht="15" hidden="false" customHeight="false" outlineLevel="0" collapsed="false">
      <c r="A432" s="32"/>
      <c r="B432" s="32"/>
      <c r="C432" s="32"/>
      <c r="D432" s="33"/>
      <c r="E432" s="33"/>
      <c r="F432" s="32"/>
      <c r="G432" s="32"/>
      <c r="H432" s="35"/>
      <c r="I432" s="35"/>
      <c r="J432" s="35"/>
      <c r="K432" s="33"/>
      <c r="L432" s="37" t="str">
        <f aca="true">IF(OR(B432="",G432&lt;&gt;"Open",I432=""),"",IF(I432&lt;TODAY(),"Overdue",IF(I432&lt;=TODAY()+7,"Due Soon","")))</f>
        <v/>
      </c>
    </row>
    <row r="433" customFormat="false" ht="15" hidden="false" customHeight="false" outlineLevel="0" collapsed="false">
      <c r="A433" s="32"/>
      <c r="B433" s="32"/>
      <c r="C433" s="32"/>
      <c r="D433" s="33"/>
      <c r="E433" s="33"/>
      <c r="F433" s="32"/>
      <c r="G433" s="32"/>
      <c r="H433" s="35"/>
      <c r="I433" s="35"/>
      <c r="J433" s="35"/>
      <c r="K433" s="33"/>
      <c r="L433" s="37" t="str">
        <f aca="true">IF(OR(B433="",G433&lt;&gt;"Open",I433=""),"",IF(I433&lt;TODAY(),"Overdue",IF(I433&lt;=TODAY()+7,"Due Soon","")))</f>
        <v/>
      </c>
    </row>
    <row r="434" customFormat="false" ht="15" hidden="false" customHeight="false" outlineLevel="0" collapsed="false">
      <c r="A434" s="32"/>
      <c r="B434" s="32"/>
      <c r="C434" s="32"/>
      <c r="D434" s="33"/>
      <c r="E434" s="33"/>
      <c r="F434" s="32"/>
      <c r="G434" s="32"/>
      <c r="H434" s="35"/>
      <c r="I434" s="35"/>
      <c r="J434" s="35"/>
      <c r="K434" s="33"/>
      <c r="L434" s="37" t="str">
        <f aca="true">IF(OR(B434="",G434&lt;&gt;"Open",I434=""),"",IF(I434&lt;TODAY(),"Overdue",IF(I434&lt;=TODAY()+7,"Due Soon","")))</f>
        <v/>
      </c>
    </row>
    <row r="435" customFormat="false" ht="15" hidden="false" customHeight="false" outlineLevel="0" collapsed="false">
      <c r="A435" s="32"/>
      <c r="B435" s="32"/>
      <c r="C435" s="32"/>
      <c r="D435" s="33"/>
      <c r="E435" s="33"/>
      <c r="F435" s="32"/>
      <c r="G435" s="32"/>
      <c r="H435" s="35"/>
      <c r="I435" s="35"/>
      <c r="J435" s="35"/>
      <c r="K435" s="33"/>
      <c r="L435" s="37" t="str">
        <f aca="true">IF(OR(B435="",G435&lt;&gt;"Open",I435=""),"",IF(I435&lt;TODAY(),"Overdue",IF(I435&lt;=TODAY()+7,"Due Soon","")))</f>
        <v/>
      </c>
    </row>
    <row r="436" customFormat="false" ht="15" hidden="false" customHeight="false" outlineLevel="0" collapsed="false">
      <c r="A436" s="32"/>
      <c r="B436" s="32"/>
      <c r="C436" s="32"/>
      <c r="D436" s="33"/>
      <c r="E436" s="33"/>
      <c r="F436" s="32"/>
      <c r="G436" s="32"/>
      <c r="H436" s="35"/>
      <c r="I436" s="35"/>
      <c r="J436" s="35"/>
      <c r="K436" s="33"/>
      <c r="L436" s="37" t="str">
        <f aca="true">IF(OR(B436="",G436&lt;&gt;"Open",I436=""),"",IF(I436&lt;TODAY(),"Overdue",IF(I436&lt;=TODAY()+7,"Due Soon","")))</f>
        <v/>
      </c>
    </row>
    <row r="437" customFormat="false" ht="15" hidden="false" customHeight="false" outlineLevel="0" collapsed="false">
      <c r="A437" s="32"/>
      <c r="B437" s="32"/>
      <c r="C437" s="32"/>
      <c r="D437" s="33"/>
      <c r="E437" s="33"/>
      <c r="F437" s="32"/>
      <c r="G437" s="32"/>
      <c r="H437" s="35"/>
      <c r="I437" s="35"/>
      <c r="J437" s="35"/>
      <c r="K437" s="33"/>
      <c r="L437" s="37" t="str">
        <f aca="true">IF(OR(B437="",G437&lt;&gt;"Open",I437=""),"",IF(I437&lt;TODAY(),"Overdue",IF(I437&lt;=TODAY()+7,"Due Soon","")))</f>
        <v/>
      </c>
    </row>
    <row r="438" customFormat="false" ht="15" hidden="false" customHeight="false" outlineLevel="0" collapsed="false">
      <c r="A438" s="32"/>
      <c r="B438" s="32"/>
      <c r="C438" s="32"/>
      <c r="D438" s="33"/>
      <c r="E438" s="33"/>
      <c r="F438" s="32"/>
      <c r="G438" s="32"/>
      <c r="H438" s="35"/>
      <c r="I438" s="35"/>
      <c r="J438" s="35"/>
      <c r="K438" s="33"/>
      <c r="L438" s="37" t="str">
        <f aca="true">IF(OR(B438="",G438&lt;&gt;"Open",I438=""),"",IF(I438&lt;TODAY(),"Overdue",IF(I438&lt;=TODAY()+7,"Due Soon","")))</f>
        <v/>
      </c>
    </row>
    <row r="439" customFormat="false" ht="15" hidden="false" customHeight="false" outlineLevel="0" collapsed="false">
      <c r="A439" s="32"/>
      <c r="B439" s="32"/>
      <c r="C439" s="32"/>
      <c r="D439" s="33"/>
      <c r="E439" s="33"/>
      <c r="F439" s="32"/>
      <c r="G439" s="32"/>
      <c r="H439" s="35"/>
      <c r="I439" s="35"/>
      <c r="J439" s="35"/>
      <c r="K439" s="33"/>
      <c r="L439" s="37" t="str">
        <f aca="true">IF(OR(B439="",G439&lt;&gt;"Open",I439=""),"",IF(I439&lt;TODAY(),"Overdue",IF(I439&lt;=TODAY()+7,"Due Soon","")))</f>
        <v/>
      </c>
    </row>
    <row r="440" customFormat="false" ht="15" hidden="false" customHeight="false" outlineLevel="0" collapsed="false">
      <c r="A440" s="32"/>
      <c r="B440" s="32"/>
      <c r="C440" s="32"/>
      <c r="D440" s="33"/>
      <c r="E440" s="33"/>
      <c r="F440" s="32"/>
      <c r="G440" s="32"/>
      <c r="H440" s="35"/>
      <c r="I440" s="35"/>
      <c r="J440" s="35"/>
      <c r="K440" s="33"/>
      <c r="L440" s="37" t="str">
        <f aca="true">IF(OR(B440="",G440&lt;&gt;"Open",I440=""),"",IF(I440&lt;TODAY(),"Overdue",IF(I440&lt;=TODAY()+7,"Due Soon","")))</f>
        <v/>
      </c>
    </row>
    <row r="441" customFormat="false" ht="15" hidden="false" customHeight="false" outlineLevel="0" collapsed="false">
      <c r="A441" s="32"/>
      <c r="B441" s="32"/>
      <c r="C441" s="32"/>
      <c r="D441" s="33"/>
      <c r="E441" s="33"/>
      <c r="F441" s="32"/>
      <c r="G441" s="32"/>
      <c r="H441" s="35"/>
      <c r="I441" s="35"/>
      <c r="J441" s="35"/>
      <c r="K441" s="33"/>
      <c r="L441" s="37" t="str">
        <f aca="true">IF(OR(B441="",G441&lt;&gt;"Open",I441=""),"",IF(I441&lt;TODAY(),"Overdue",IF(I441&lt;=TODAY()+7,"Due Soon","")))</f>
        <v/>
      </c>
    </row>
    <row r="442" customFormat="false" ht="15" hidden="false" customHeight="false" outlineLevel="0" collapsed="false">
      <c r="A442" s="32"/>
      <c r="B442" s="32"/>
      <c r="C442" s="32"/>
      <c r="D442" s="33"/>
      <c r="E442" s="33"/>
      <c r="F442" s="32"/>
      <c r="G442" s="32"/>
      <c r="H442" s="35"/>
      <c r="I442" s="35"/>
      <c r="J442" s="35"/>
      <c r="K442" s="33"/>
      <c r="L442" s="37" t="str">
        <f aca="true">IF(OR(B442="",G442&lt;&gt;"Open",I442=""),"",IF(I442&lt;TODAY(),"Overdue",IF(I442&lt;=TODAY()+7,"Due Soon","")))</f>
        <v/>
      </c>
    </row>
    <row r="443" customFormat="false" ht="15" hidden="false" customHeight="false" outlineLevel="0" collapsed="false">
      <c r="A443" s="32"/>
      <c r="B443" s="32"/>
      <c r="C443" s="32"/>
      <c r="D443" s="33"/>
      <c r="E443" s="33"/>
      <c r="F443" s="32"/>
      <c r="G443" s="32"/>
      <c r="H443" s="35"/>
      <c r="I443" s="35"/>
      <c r="J443" s="35"/>
      <c r="K443" s="33"/>
      <c r="L443" s="37" t="str">
        <f aca="true">IF(OR(B443="",G443&lt;&gt;"Open",I443=""),"",IF(I443&lt;TODAY(),"Overdue",IF(I443&lt;=TODAY()+7,"Due Soon","")))</f>
        <v/>
      </c>
    </row>
    <row r="444" customFormat="false" ht="15" hidden="false" customHeight="false" outlineLevel="0" collapsed="false">
      <c r="A444" s="32"/>
      <c r="B444" s="32"/>
      <c r="C444" s="32"/>
      <c r="D444" s="33"/>
      <c r="E444" s="33"/>
      <c r="F444" s="32"/>
      <c r="G444" s="32"/>
      <c r="H444" s="35"/>
      <c r="I444" s="35"/>
      <c r="J444" s="35"/>
      <c r="K444" s="33"/>
      <c r="L444" s="37" t="str">
        <f aca="true">IF(OR(B444="",G444&lt;&gt;"Open",I444=""),"",IF(I444&lt;TODAY(),"Overdue",IF(I444&lt;=TODAY()+7,"Due Soon","")))</f>
        <v/>
      </c>
    </row>
    <row r="445" customFormat="false" ht="15" hidden="false" customHeight="false" outlineLevel="0" collapsed="false">
      <c r="A445" s="32"/>
      <c r="B445" s="32"/>
      <c r="C445" s="32"/>
      <c r="D445" s="33"/>
      <c r="E445" s="33"/>
      <c r="F445" s="32"/>
      <c r="G445" s="32"/>
      <c r="H445" s="35"/>
      <c r="I445" s="35"/>
      <c r="J445" s="35"/>
      <c r="K445" s="33"/>
      <c r="L445" s="37" t="str">
        <f aca="true">IF(OR(B445="",G445&lt;&gt;"Open",I445=""),"",IF(I445&lt;TODAY(),"Overdue",IF(I445&lt;=TODAY()+7,"Due Soon","")))</f>
        <v/>
      </c>
    </row>
    <row r="446" customFormat="false" ht="15" hidden="false" customHeight="false" outlineLevel="0" collapsed="false">
      <c r="A446" s="32"/>
      <c r="B446" s="32"/>
      <c r="C446" s="32"/>
      <c r="D446" s="33"/>
      <c r="E446" s="33"/>
      <c r="F446" s="32"/>
      <c r="G446" s="32"/>
      <c r="H446" s="35"/>
      <c r="I446" s="35"/>
      <c r="J446" s="35"/>
      <c r="K446" s="33"/>
      <c r="L446" s="37" t="str">
        <f aca="true">IF(OR(B446="",G446&lt;&gt;"Open",I446=""),"",IF(I446&lt;TODAY(),"Overdue",IF(I446&lt;=TODAY()+7,"Due Soon","")))</f>
        <v/>
      </c>
    </row>
    <row r="447" customFormat="false" ht="15" hidden="false" customHeight="false" outlineLevel="0" collapsed="false">
      <c r="A447" s="32"/>
      <c r="B447" s="32"/>
      <c r="C447" s="32"/>
      <c r="D447" s="33"/>
      <c r="E447" s="33"/>
      <c r="F447" s="32"/>
      <c r="G447" s="32"/>
      <c r="H447" s="35"/>
      <c r="I447" s="35"/>
      <c r="J447" s="35"/>
      <c r="K447" s="33"/>
      <c r="L447" s="37" t="str">
        <f aca="true">IF(OR(B447="",G447&lt;&gt;"Open",I447=""),"",IF(I447&lt;TODAY(),"Overdue",IF(I447&lt;=TODAY()+7,"Due Soon","")))</f>
        <v/>
      </c>
    </row>
    <row r="448" customFormat="false" ht="15" hidden="false" customHeight="false" outlineLevel="0" collapsed="false">
      <c r="A448" s="32"/>
      <c r="B448" s="32"/>
      <c r="C448" s="32"/>
      <c r="D448" s="33"/>
      <c r="E448" s="33"/>
      <c r="F448" s="32"/>
      <c r="G448" s="32"/>
      <c r="H448" s="35"/>
      <c r="I448" s="35"/>
      <c r="J448" s="35"/>
      <c r="K448" s="33"/>
      <c r="L448" s="37" t="str">
        <f aca="true">IF(OR(B448="",G448&lt;&gt;"Open",I448=""),"",IF(I448&lt;TODAY(),"Overdue",IF(I448&lt;=TODAY()+7,"Due Soon","")))</f>
        <v/>
      </c>
    </row>
    <row r="449" customFormat="false" ht="15" hidden="false" customHeight="false" outlineLevel="0" collapsed="false">
      <c r="A449" s="32"/>
      <c r="B449" s="32"/>
      <c r="C449" s="32"/>
      <c r="D449" s="33"/>
      <c r="E449" s="33"/>
      <c r="F449" s="32"/>
      <c r="G449" s="32"/>
      <c r="H449" s="35"/>
      <c r="I449" s="35"/>
      <c r="J449" s="35"/>
      <c r="K449" s="33"/>
      <c r="L449" s="37" t="str">
        <f aca="true">IF(OR(B449="",G449&lt;&gt;"Open",I449=""),"",IF(I449&lt;TODAY(),"Overdue",IF(I449&lt;=TODAY()+7,"Due Soon","")))</f>
        <v/>
      </c>
    </row>
    <row r="450" customFormat="false" ht="15" hidden="false" customHeight="false" outlineLevel="0" collapsed="false">
      <c r="A450" s="32"/>
      <c r="B450" s="32"/>
      <c r="C450" s="32"/>
      <c r="D450" s="33"/>
      <c r="E450" s="33"/>
      <c r="F450" s="32"/>
      <c r="G450" s="32"/>
      <c r="H450" s="35"/>
      <c r="I450" s="35"/>
      <c r="J450" s="35"/>
      <c r="K450" s="33"/>
      <c r="L450" s="37" t="str">
        <f aca="true">IF(OR(B450="",G450&lt;&gt;"Open",I450=""),"",IF(I450&lt;TODAY(),"Overdue",IF(I450&lt;=TODAY()+7,"Due Soon","")))</f>
        <v/>
      </c>
    </row>
    <row r="451" customFormat="false" ht="15" hidden="false" customHeight="false" outlineLevel="0" collapsed="false">
      <c r="A451" s="32"/>
      <c r="B451" s="32"/>
      <c r="C451" s="32"/>
      <c r="D451" s="33"/>
      <c r="E451" s="33"/>
      <c r="F451" s="32"/>
      <c r="G451" s="32"/>
      <c r="H451" s="35"/>
      <c r="I451" s="35"/>
      <c r="J451" s="35"/>
      <c r="K451" s="33"/>
      <c r="L451" s="37" t="str">
        <f aca="true">IF(OR(B451="",G451&lt;&gt;"Open",I451=""),"",IF(I451&lt;TODAY(),"Overdue",IF(I451&lt;=TODAY()+7,"Due Soon","")))</f>
        <v/>
      </c>
    </row>
    <row r="452" customFormat="false" ht="15" hidden="false" customHeight="false" outlineLevel="0" collapsed="false">
      <c r="A452" s="32"/>
      <c r="B452" s="32"/>
      <c r="C452" s="32"/>
      <c r="D452" s="33"/>
      <c r="E452" s="33"/>
      <c r="F452" s="32"/>
      <c r="G452" s="32"/>
      <c r="H452" s="35"/>
      <c r="I452" s="35"/>
      <c r="J452" s="35"/>
      <c r="K452" s="33"/>
      <c r="L452" s="37" t="str">
        <f aca="true">IF(OR(B452="",G452&lt;&gt;"Open",I452=""),"",IF(I452&lt;TODAY(),"Overdue",IF(I452&lt;=TODAY()+7,"Due Soon","")))</f>
        <v/>
      </c>
    </row>
    <row r="453" customFormat="false" ht="15" hidden="false" customHeight="false" outlineLevel="0" collapsed="false">
      <c r="A453" s="32"/>
      <c r="B453" s="32"/>
      <c r="C453" s="32"/>
      <c r="D453" s="33"/>
      <c r="E453" s="33"/>
      <c r="F453" s="32"/>
      <c r="G453" s="32"/>
      <c r="H453" s="35"/>
      <c r="I453" s="35"/>
      <c r="J453" s="35"/>
      <c r="K453" s="33"/>
      <c r="L453" s="37" t="str">
        <f aca="true">IF(OR(B453="",G453&lt;&gt;"Open",I453=""),"",IF(I453&lt;TODAY(),"Overdue",IF(I453&lt;=TODAY()+7,"Due Soon","")))</f>
        <v/>
      </c>
    </row>
    <row r="454" customFormat="false" ht="15" hidden="false" customHeight="false" outlineLevel="0" collapsed="false">
      <c r="A454" s="32"/>
      <c r="B454" s="32"/>
      <c r="C454" s="32"/>
      <c r="D454" s="33"/>
      <c r="E454" s="33"/>
      <c r="F454" s="32"/>
      <c r="G454" s="32"/>
      <c r="H454" s="35"/>
      <c r="I454" s="35"/>
      <c r="J454" s="35"/>
      <c r="K454" s="33"/>
      <c r="L454" s="37" t="str">
        <f aca="true">IF(OR(B454="",G454&lt;&gt;"Open",I454=""),"",IF(I454&lt;TODAY(),"Overdue",IF(I454&lt;=TODAY()+7,"Due Soon","")))</f>
        <v/>
      </c>
    </row>
    <row r="455" customFormat="false" ht="15" hidden="false" customHeight="false" outlineLevel="0" collapsed="false">
      <c r="A455" s="32"/>
      <c r="B455" s="32"/>
      <c r="C455" s="32"/>
      <c r="D455" s="33"/>
      <c r="E455" s="33"/>
      <c r="F455" s="32"/>
      <c r="G455" s="32"/>
      <c r="H455" s="35"/>
      <c r="I455" s="35"/>
      <c r="J455" s="35"/>
      <c r="K455" s="33"/>
      <c r="L455" s="37" t="str">
        <f aca="true">IF(OR(B455="",G455&lt;&gt;"Open",I455=""),"",IF(I455&lt;TODAY(),"Overdue",IF(I455&lt;=TODAY()+7,"Due Soon","")))</f>
        <v/>
      </c>
    </row>
    <row r="456" customFormat="false" ht="15" hidden="false" customHeight="false" outlineLevel="0" collapsed="false">
      <c r="A456" s="32"/>
      <c r="B456" s="32"/>
      <c r="C456" s="32"/>
      <c r="D456" s="33"/>
      <c r="E456" s="33"/>
      <c r="F456" s="32"/>
      <c r="G456" s="32"/>
      <c r="H456" s="35"/>
      <c r="I456" s="35"/>
      <c r="J456" s="35"/>
      <c r="K456" s="33"/>
      <c r="L456" s="37" t="str">
        <f aca="true">IF(OR(B456="",G456&lt;&gt;"Open",I456=""),"",IF(I456&lt;TODAY(),"Overdue",IF(I456&lt;=TODAY()+7,"Due Soon","")))</f>
        <v/>
      </c>
    </row>
    <row r="457" customFormat="false" ht="15" hidden="false" customHeight="false" outlineLevel="0" collapsed="false">
      <c r="A457" s="32"/>
      <c r="B457" s="32"/>
      <c r="C457" s="32"/>
      <c r="D457" s="33"/>
      <c r="E457" s="33"/>
      <c r="F457" s="32"/>
      <c r="G457" s="32"/>
      <c r="H457" s="35"/>
      <c r="I457" s="35"/>
      <c r="J457" s="35"/>
      <c r="K457" s="33"/>
      <c r="L457" s="37" t="str">
        <f aca="true">IF(OR(B457="",G457&lt;&gt;"Open",I457=""),"",IF(I457&lt;TODAY(),"Overdue",IF(I457&lt;=TODAY()+7,"Due Soon","")))</f>
        <v/>
      </c>
    </row>
    <row r="458" customFormat="false" ht="15" hidden="false" customHeight="false" outlineLevel="0" collapsed="false">
      <c r="A458" s="32"/>
      <c r="B458" s="32"/>
      <c r="C458" s="32"/>
      <c r="D458" s="33"/>
      <c r="E458" s="33"/>
      <c r="F458" s="32"/>
      <c r="G458" s="32"/>
      <c r="H458" s="35"/>
      <c r="I458" s="35"/>
      <c r="J458" s="35"/>
      <c r="K458" s="33"/>
      <c r="L458" s="37" t="str">
        <f aca="true">IF(OR(B458="",G458&lt;&gt;"Open",I458=""),"",IF(I458&lt;TODAY(),"Overdue",IF(I458&lt;=TODAY()+7,"Due Soon","")))</f>
        <v/>
      </c>
    </row>
    <row r="459" customFormat="false" ht="15" hidden="false" customHeight="false" outlineLevel="0" collapsed="false">
      <c r="A459" s="32"/>
      <c r="B459" s="32"/>
      <c r="C459" s="32"/>
      <c r="D459" s="33"/>
      <c r="E459" s="33"/>
      <c r="F459" s="32"/>
      <c r="G459" s="32"/>
      <c r="H459" s="35"/>
      <c r="I459" s="35"/>
      <c r="J459" s="35"/>
      <c r="K459" s="33"/>
      <c r="L459" s="37" t="str">
        <f aca="true">IF(OR(B459="",G459&lt;&gt;"Open",I459=""),"",IF(I459&lt;TODAY(),"Overdue",IF(I459&lt;=TODAY()+7,"Due Soon","")))</f>
        <v/>
      </c>
    </row>
    <row r="460" customFormat="false" ht="15" hidden="false" customHeight="false" outlineLevel="0" collapsed="false">
      <c r="A460" s="32"/>
      <c r="B460" s="32"/>
      <c r="C460" s="32"/>
      <c r="D460" s="33"/>
      <c r="E460" s="33"/>
      <c r="F460" s="32"/>
      <c r="G460" s="32"/>
      <c r="H460" s="35"/>
      <c r="I460" s="35"/>
      <c r="J460" s="35"/>
      <c r="K460" s="33"/>
      <c r="L460" s="37" t="str">
        <f aca="true">IF(OR(B460="",G460&lt;&gt;"Open",I460=""),"",IF(I460&lt;TODAY(),"Overdue",IF(I460&lt;=TODAY()+7,"Due Soon","")))</f>
        <v/>
      </c>
    </row>
    <row r="461" customFormat="false" ht="15" hidden="false" customHeight="false" outlineLevel="0" collapsed="false">
      <c r="A461" s="32"/>
      <c r="B461" s="32"/>
      <c r="C461" s="32"/>
      <c r="D461" s="33"/>
      <c r="E461" s="33"/>
      <c r="F461" s="32"/>
      <c r="G461" s="32"/>
      <c r="H461" s="35"/>
      <c r="I461" s="35"/>
      <c r="J461" s="35"/>
      <c r="K461" s="33"/>
      <c r="L461" s="37" t="str">
        <f aca="true">IF(OR(B461="",G461&lt;&gt;"Open",I461=""),"",IF(I461&lt;TODAY(),"Overdue",IF(I461&lt;=TODAY()+7,"Due Soon","")))</f>
        <v/>
      </c>
    </row>
    <row r="462" customFormat="false" ht="15" hidden="false" customHeight="false" outlineLevel="0" collapsed="false">
      <c r="A462" s="32"/>
      <c r="B462" s="32"/>
      <c r="C462" s="32"/>
      <c r="D462" s="33"/>
      <c r="E462" s="33"/>
      <c r="F462" s="32"/>
      <c r="G462" s="32"/>
      <c r="H462" s="35"/>
      <c r="I462" s="35"/>
      <c r="J462" s="35"/>
      <c r="K462" s="33"/>
      <c r="L462" s="37" t="str">
        <f aca="true">IF(OR(B462="",G462&lt;&gt;"Open",I462=""),"",IF(I462&lt;TODAY(),"Overdue",IF(I462&lt;=TODAY()+7,"Due Soon","")))</f>
        <v/>
      </c>
    </row>
    <row r="463" customFormat="false" ht="15" hidden="false" customHeight="false" outlineLevel="0" collapsed="false">
      <c r="A463" s="32"/>
      <c r="B463" s="32"/>
      <c r="C463" s="32"/>
      <c r="D463" s="33"/>
      <c r="E463" s="33"/>
      <c r="F463" s="32"/>
      <c r="G463" s="32"/>
      <c r="H463" s="35"/>
      <c r="I463" s="35"/>
      <c r="J463" s="35"/>
      <c r="K463" s="33"/>
      <c r="L463" s="37" t="str">
        <f aca="true">IF(OR(B463="",G463&lt;&gt;"Open",I463=""),"",IF(I463&lt;TODAY(),"Overdue",IF(I463&lt;=TODAY()+7,"Due Soon","")))</f>
        <v/>
      </c>
    </row>
    <row r="464" customFormat="false" ht="15" hidden="false" customHeight="false" outlineLevel="0" collapsed="false">
      <c r="A464" s="32"/>
      <c r="B464" s="32"/>
      <c r="C464" s="32"/>
      <c r="D464" s="33"/>
      <c r="E464" s="33"/>
      <c r="F464" s="32"/>
      <c r="G464" s="32"/>
      <c r="H464" s="35"/>
      <c r="I464" s="35"/>
      <c r="J464" s="35"/>
      <c r="K464" s="33"/>
      <c r="L464" s="37" t="str">
        <f aca="true">IF(OR(B464="",G464&lt;&gt;"Open",I464=""),"",IF(I464&lt;TODAY(),"Overdue",IF(I464&lt;=TODAY()+7,"Due Soon","")))</f>
        <v/>
      </c>
    </row>
    <row r="465" customFormat="false" ht="15" hidden="false" customHeight="false" outlineLevel="0" collapsed="false">
      <c r="A465" s="32"/>
      <c r="B465" s="32"/>
      <c r="C465" s="32"/>
      <c r="D465" s="33"/>
      <c r="E465" s="33"/>
      <c r="F465" s="32"/>
      <c r="G465" s="32"/>
      <c r="H465" s="35"/>
      <c r="I465" s="35"/>
      <c r="J465" s="35"/>
      <c r="K465" s="33"/>
      <c r="L465" s="37" t="str">
        <f aca="true">IF(OR(B465="",G465&lt;&gt;"Open",I465=""),"",IF(I465&lt;TODAY(),"Overdue",IF(I465&lt;=TODAY()+7,"Due Soon","")))</f>
        <v/>
      </c>
    </row>
    <row r="466" customFormat="false" ht="15" hidden="false" customHeight="false" outlineLevel="0" collapsed="false">
      <c r="A466" s="32"/>
      <c r="B466" s="32"/>
      <c r="C466" s="32"/>
      <c r="D466" s="33"/>
      <c r="E466" s="33"/>
      <c r="F466" s="32"/>
      <c r="G466" s="32"/>
      <c r="H466" s="35"/>
      <c r="I466" s="35"/>
      <c r="J466" s="35"/>
      <c r="K466" s="33"/>
      <c r="L466" s="37" t="str">
        <f aca="true">IF(OR(B466="",G466&lt;&gt;"Open",I466=""),"",IF(I466&lt;TODAY(),"Overdue",IF(I466&lt;=TODAY()+7,"Due Soon","")))</f>
        <v/>
      </c>
    </row>
    <row r="467" customFormat="false" ht="15" hidden="false" customHeight="false" outlineLevel="0" collapsed="false">
      <c r="A467" s="32"/>
      <c r="B467" s="32"/>
      <c r="C467" s="32"/>
      <c r="D467" s="33"/>
      <c r="E467" s="33"/>
      <c r="F467" s="32"/>
      <c r="G467" s="32"/>
      <c r="H467" s="35"/>
      <c r="I467" s="35"/>
      <c r="J467" s="35"/>
      <c r="K467" s="33"/>
      <c r="L467" s="37" t="str">
        <f aca="true">IF(OR(B467="",G467&lt;&gt;"Open",I467=""),"",IF(I467&lt;TODAY(),"Overdue",IF(I467&lt;=TODAY()+7,"Due Soon","")))</f>
        <v/>
      </c>
    </row>
    <row r="468" customFormat="false" ht="15" hidden="false" customHeight="false" outlineLevel="0" collapsed="false">
      <c r="A468" s="32"/>
      <c r="B468" s="32"/>
      <c r="C468" s="32"/>
      <c r="D468" s="33"/>
      <c r="E468" s="33"/>
      <c r="F468" s="32"/>
      <c r="G468" s="32"/>
      <c r="H468" s="35"/>
      <c r="I468" s="35"/>
      <c r="J468" s="35"/>
      <c r="K468" s="33"/>
      <c r="L468" s="37" t="str">
        <f aca="true">IF(OR(B468="",G468&lt;&gt;"Open",I468=""),"",IF(I468&lt;TODAY(),"Overdue",IF(I468&lt;=TODAY()+7,"Due Soon","")))</f>
        <v/>
      </c>
    </row>
    <row r="469" customFormat="false" ht="15" hidden="false" customHeight="false" outlineLevel="0" collapsed="false">
      <c r="A469" s="32"/>
      <c r="B469" s="32"/>
      <c r="C469" s="32"/>
      <c r="D469" s="33"/>
      <c r="E469" s="33"/>
      <c r="F469" s="32"/>
      <c r="G469" s="32"/>
      <c r="H469" s="35"/>
      <c r="I469" s="35"/>
      <c r="J469" s="35"/>
      <c r="K469" s="33"/>
      <c r="L469" s="37" t="str">
        <f aca="true">IF(OR(B469="",G469&lt;&gt;"Open",I469=""),"",IF(I469&lt;TODAY(),"Overdue",IF(I469&lt;=TODAY()+7,"Due Soon","")))</f>
        <v/>
      </c>
    </row>
    <row r="470" customFormat="false" ht="15" hidden="false" customHeight="false" outlineLevel="0" collapsed="false">
      <c r="A470" s="32"/>
      <c r="B470" s="32"/>
      <c r="C470" s="32"/>
      <c r="D470" s="33"/>
      <c r="E470" s="33"/>
      <c r="F470" s="32"/>
      <c r="G470" s="32"/>
      <c r="H470" s="35"/>
      <c r="I470" s="35"/>
      <c r="J470" s="35"/>
      <c r="K470" s="33"/>
      <c r="L470" s="37" t="str">
        <f aca="true">IF(OR(B470="",G470&lt;&gt;"Open",I470=""),"",IF(I470&lt;TODAY(),"Overdue",IF(I470&lt;=TODAY()+7,"Due Soon","")))</f>
        <v/>
      </c>
    </row>
    <row r="471" customFormat="false" ht="15" hidden="false" customHeight="false" outlineLevel="0" collapsed="false">
      <c r="A471" s="32"/>
      <c r="B471" s="32"/>
      <c r="C471" s="32"/>
      <c r="D471" s="33"/>
      <c r="E471" s="33"/>
      <c r="F471" s="32"/>
      <c r="G471" s="32"/>
      <c r="H471" s="35"/>
      <c r="I471" s="35"/>
      <c r="J471" s="35"/>
      <c r="K471" s="33"/>
      <c r="L471" s="37" t="str">
        <f aca="true">IF(OR(B471="",G471&lt;&gt;"Open",I471=""),"",IF(I471&lt;TODAY(),"Overdue",IF(I471&lt;=TODAY()+7,"Due Soon","")))</f>
        <v/>
      </c>
    </row>
    <row r="472" customFormat="false" ht="15" hidden="false" customHeight="false" outlineLevel="0" collapsed="false">
      <c r="A472" s="32"/>
      <c r="B472" s="32"/>
      <c r="C472" s="32"/>
      <c r="D472" s="33"/>
      <c r="E472" s="33"/>
      <c r="F472" s="32"/>
      <c r="G472" s="32"/>
      <c r="H472" s="35"/>
      <c r="I472" s="35"/>
      <c r="J472" s="35"/>
      <c r="K472" s="33"/>
      <c r="L472" s="37" t="str">
        <f aca="true">IF(OR(B472="",G472&lt;&gt;"Open",I472=""),"",IF(I472&lt;TODAY(),"Overdue",IF(I472&lt;=TODAY()+7,"Due Soon","")))</f>
        <v/>
      </c>
    </row>
    <row r="473" customFormat="false" ht="15" hidden="false" customHeight="false" outlineLevel="0" collapsed="false">
      <c r="A473" s="32"/>
      <c r="B473" s="32"/>
      <c r="C473" s="32"/>
      <c r="D473" s="33"/>
      <c r="E473" s="33"/>
      <c r="F473" s="32"/>
      <c r="G473" s="32"/>
      <c r="H473" s="35"/>
      <c r="I473" s="35"/>
      <c r="J473" s="35"/>
      <c r="K473" s="33"/>
      <c r="L473" s="37" t="str">
        <f aca="true">IF(OR(B473="",G473&lt;&gt;"Open",I473=""),"",IF(I473&lt;TODAY(),"Overdue",IF(I473&lt;=TODAY()+7,"Due Soon","")))</f>
        <v/>
      </c>
    </row>
    <row r="474" customFormat="false" ht="15" hidden="false" customHeight="false" outlineLevel="0" collapsed="false">
      <c r="A474" s="32"/>
      <c r="B474" s="32"/>
      <c r="C474" s="32"/>
      <c r="D474" s="33"/>
      <c r="E474" s="33"/>
      <c r="F474" s="32"/>
      <c r="G474" s="32"/>
      <c r="H474" s="35"/>
      <c r="I474" s="35"/>
      <c r="J474" s="35"/>
      <c r="K474" s="33"/>
      <c r="L474" s="37" t="str">
        <f aca="true">IF(OR(B474="",G474&lt;&gt;"Open",I474=""),"",IF(I474&lt;TODAY(),"Overdue",IF(I474&lt;=TODAY()+7,"Due Soon","")))</f>
        <v/>
      </c>
    </row>
    <row r="475" customFormat="false" ht="15" hidden="false" customHeight="false" outlineLevel="0" collapsed="false">
      <c r="A475" s="32"/>
      <c r="B475" s="32"/>
      <c r="C475" s="32"/>
      <c r="D475" s="33"/>
      <c r="E475" s="33"/>
      <c r="F475" s="32"/>
      <c r="G475" s="32"/>
      <c r="H475" s="35"/>
      <c r="I475" s="35"/>
      <c r="J475" s="35"/>
      <c r="K475" s="33"/>
      <c r="L475" s="37" t="str">
        <f aca="true">IF(OR(B475="",G475&lt;&gt;"Open",I475=""),"",IF(I475&lt;TODAY(),"Overdue",IF(I475&lt;=TODAY()+7,"Due Soon","")))</f>
        <v/>
      </c>
    </row>
    <row r="476" customFormat="false" ht="15" hidden="false" customHeight="false" outlineLevel="0" collapsed="false">
      <c r="A476" s="32"/>
      <c r="B476" s="32"/>
      <c r="C476" s="32"/>
      <c r="D476" s="33"/>
      <c r="E476" s="33"/>
      <c r="F476" s="32"/>
      <c r="G476" s="32"/>
      <c r="H476" s="35"/>
      <c r="I476" s="35"/>
      <c r="J476" s="35"/>
      <c r="K476" s="33"/>
      <c r="L476" s="37" t="str">
        <f aca="true">IF(OR(B476="",G476&lt;&gt;"Open",I476=""),"",IF(I476&lt;TODAY(),"Overdue",IF(I476&lt;=TODAY()+7,"Due Soon","")))</f>
        <v/>
      </c>
    </row>
    <row r="477" customFormat="false" ht="15" hidden="false" customHeight="false" outlineLevel="0" collapsed="false">
      <c r="A477" s="32"/>
      <c r="B477" s="32"/>
      <c r="C477" s="32"/>
      <c r="D477" s="33"/>
      <c r="E477" s="33"/>
      <c r="F477" s="32"/>
      <c r="G477" s="32"/>
      <c r="H477" s="35"/>
      <c r="I477" s="35"/>
      <c r="J477" s="35"/>
      <c r="K477" s="33"/>
      <c r="L477" s="37" t="str">
        <f aca="true">IF(OR(B477="",G477&lt;&gt;"Open",I477=""),"",IF(I477&lt;TODAY(),"Overdue",IF(I477&lt;=TODAY()+7,"Due Soon","")))</f>
        <v/>
      </c>
    </row>
    <row r="478" customFormat="false" ht="15" hidden="false" customHeight="false" outlineLevel="0" collapsed="false">
      <c r="A478" s="32"/>
      <c r="B478" s="32"/>
      <c r="C478" s="32"/>
      <c r="D478" s="33"/>
      <c r="E478" s="33"/>
      <c r="F478" s="32"/>
      <c r="G478" s="32"/>
      <c r="H478" s="35"/>
      <c r="I478" s="35"/>
      <c r="J478" s="35"/>
      <c r="K478" s="33"/>
      <c r="L478" s="37" t="str">
        <f aca="true">IF(OR(B478="",G478&lt;&gt;"Open",I478=""),"",IF(I478&lt;TODAY(),"Overdue",IF(I478&lt;=TODAY()+7,"Due Soon","")))</f>
        <v/>
      </c>
    </row>
    <row r="479" customFormat="false" ht="15" hidden="false" customHeight="false" outlineLevel="0" collapsed="false">
      <c r="A479" s="32"/>
      <c r="B479" s="32"/>
      <c r="C479" s="32"/>
      <c r="D479" s="33"/>
      <c r="E479" s="33"/>
      <c r="F479" s="32"/>
      <c r="G479" s="32"/>
      <c r="H479" s="35"/>
      <c r="I479" s="35"/>
      <c r="J479" s="35"/>
      <c r="K479" s="33"/>
      <c r="L479" s="37" t="str">
        <f aca="true">IF(OR(B479="",G479&lt;&gt;"Open",I479=""),"",IF(I479&lt;TODAY(),"Overdue",IF(I479&lt;=TODAY()+7,"Due Soon","")))</f>
        <v/>
      </c>
    </row>
    <row r="480" customFormat="false" ht="15" hidden="false" customHeight="false" outlineLevel="0" collapsed="false">
      <c r="A480" s="32"/>
      <c r="B480" s="32"/>
      <c r="C480" s="32"/>
      <c r="D480" s="33"/>
      <c r="E480" s="33"/>
      <c r="F480" s="32"/>
      <c r="G480" s="32"/>
      <c r="H480" s="35"/>
      <c r="I480" s="35"/>
      <c r="J480" s="35"/>
      <c r="K480" s="33"/>
      <c r="L480" s="37" t="str">
        <f aca="true">IF(OR(B480="",G480&lt;&gt;"Open",I480=""),"",IF(I480&lt;TODAY(),"Overdue",IF(I480&lt;=TODAY()+7,"Due Soon","")))</f>
        <v/>
      </c>
    </row>
    <row r="481" customFormat="false" ht="15" hidden="false" customHeight="false" outlineLevel="0" collapsed="false">
      <c r="A481" s="32"/>
      <c r="B481" s="32"/>
      <c r="C481" s="32"/>
      <c r="D481" s="33"/>
      <c r="E481" s="33"/>
      <c r="F481" s="32"/>
      <c r="G481" s="32"/>
      <c r="H481" s="35"/>
      <c r="I481" s="35"/>
      <c r="J481" s="35"/>
      <c r="K481" s="33"/>
      <c r="L481" s="37" t="str">
        <f aca="true">IF(OR(B481="",G481&lt;&gt;"Open",I481=""),"",IF(I481&lt;TODAY(),"Overdue",IF(I481&lt;=TODAY()+7,"Due Soon","")))</f>
        <v/>
      </c>
    </row>
    <row r="482" customFormat="false" ht="15" hidden="false" customHeight="false" outlineLevel="0" collapsed="false">
      <c r="A482" s="32"/>
      <c r="B482" s="32"/>
      <c r="C482" s="32"/>
      <c r="D482" s="33"/>
      <c r="E482" s="33"/>
      <c r="F482" s="32"/>
      <c r="G482" s="32"/>
      <c r="H482" s="35"/>
      <c r="I482" s="35"/>
      <c r="J482" s="35"/>
      <c r="K482" s="33"/>
      <c r="L482" s="37" t="str">
        <f aca="true">IF(OR(B482="",G482&lt;&gt;"Open",I482=""),"",IF(I482&lt;TODAY(),"Overdue",IF(I482&lt;=TODAY()+7,"Due Soon","")))</f>
        <v/>
      </c>
    </row>
    <row r="483" customFormat="false" ht="15" hidden="false" customHeight="false" outlineLevel="0" collapsed="false">
      <c r="A483" s="32"/>
      <c r="B483" s="32"/>
      <c r="C483" s="32"/>
      <c r="D483" s="33"/>
      <c r="E483" s="33"/>
      <c r="F483" s="32"/>
      <c r="G483" s="32"/>
      <c r="H483" s="35"/>
      <c r="I483" s="35"/>
      <c r="J483" s="35"/>
      <c r="K483" s="33"/>
      <c r="L483" s="37" t="str">
        <f aca="true">IF(OR(B483="",G483&lt;&gt;"Open",I483=""),"",IF(I483&lt;TODAY(),"Overdue",IF(I483&lt;=TODAY()+7,"Due Soon","")))</f>
        <v/>
      </c>
    </row>
    <row r="484" customFormat="false" ht="15" hidden="false" customHeight="false" outlineLevel="0" collapsed="false">
      <c r="A484" s="32"/>
      <c r="B484" s="32"/>
      <c r="C484" s="32"/>
      <c r="D484" s="33"/>
      <c r="E484" s="33"/>
      <c r="F484" s="32"/>
      <c r="G484" s="32"/>
      <c r="H484" s="35"/>
      <c r="I484" s="35"/>
      <c r="J484" s="35"/>
      <c r="K484" s="33"/>
      <c r="L484" s="37" t="str">
        <f aca="true">IF(OR(B484="",G484&lt;&gt;"Open",I484=""),"",IF(I484&lt;TODAY(),"Overdue",IF(I484&lt;=TODAY()+7,"Due Soon","")))</f>
        <v/>
      </c>
    </row>
    <row r="485" customFormat="false" ht="15" hidden="false" customHeight="false" outlineLevel="0" collapsed="false">
      <c r="A485" s="32"/>
      <c r="B485" s="32"/>
      <c r="C485" s="32"/>
      <c r="D485" s="33"/>
      <c r="E485" s="33"/>
      <c r="F485" s="32"/>
      <c r="G485" s="32"/>
      <c r="H485" s="35"/>
      <c r="I485" s="35"/>
      <c r="J485" s="35"/>
      <c r="K485" s="33"/>
      <c r="L485" s="37" t="str">
        <f aca="true">IF(OR(B485="",G485&lt;&gt;"Open",I485=""),"",IF(I485&lt;TODAY(),"Overdue",IF(I485&lt;=TODAY()+7,"Due Soon","")))</f>
        <v/>
      </c>
    </row>
    <row r="486" customFormat="false" ht="15" hidden="false" customHeight="false" outlineLevel="0" collapsed="false">
      <c r="A486" s="32"/>
      <c r="B486" s="32"/>
      <c r="C486" s="32"/>
      <c r="D486" s="33"/>
      <c r="E486" s="33"/>
      <c r="F486" s="32"/>
      <c r="G486" s="32"/>
      <c r="H486" s="35"/>
      <c r="I486" s="35"/>
      <c r="J486" s="35"/>
      <c r="K486" s="33"/>
      <c r="L486" s="37" t="str">
        <f aca="true">IF(OR(B486="",G486&lt;&gt;"Open",I486=""),"",IF(I486&lt;TODAY(),"Overdue",IF(I486&lt;=TODAY()+7,"Due Soon","")))</f>
        <v/>
      </c>
    </row>
    <row r="487" customFormat="false" ht="15" hidden="false" customHeight="false" outlineLevel="0" collapsed="false">
      <c r="A487" s="32"/>
      <c r="B487" s="32"/>
      <c r="C487" s="32"/>
      <c r="D487" s="33"/>
      <c r="E487" s="33"/>
      <c r="F487" s="32"/>
      <c r="G487" s="32"/>
      <c r="H487" s="35"/>
      <c r="I487" s="35"/>
      <c r="J487" s="35"/>
      <c r="K487" s="33"/>
      <c r="L487" s="37" t="str">
        <f aca="true">IF(OR(B487="",G487&lt;&gt;"Open",I487=""),"",IF(I487&lt;TODAY(),"Overdue",IF(I487&lt;=TODAY()+7,"Due Soon","")))</f>
        <v/>
      </c>
    </row>
    <row r="488" customFormat="false" ht="15" hidden="false" customHeight="false" outlineLevel="0" collapsed="false">
      <c r="A488" s="32"/>
      <c r="B488" s="32"/>
      <c r="C488" s="32"/>
      <c r="D488" s="33"/>
      <c r="E488" s="33"/>
      <c r="F488" s="32"/>
      <c r="G488" s="32"/>
      <c r="H488" s="35"/>
      <c r="I488" s="35"/>
      <c r="J488" s="35"/>
      <c r="K488" s="33"/>
      <c r="L488" s="37" t="str">
        <f aca="true">IF(OR(B488="",G488&lt;&gt;"Open",I488=""),"",IF(I488&lt;TODAY(),"Overdue",IF(I488&lt;=TODAY()+7,"Due Soon","")))</f>
        <v/>
      </c>
    </row>
    <row r="489" customFormat="false" ht="15" hidden="false" customHeight="false" outlineLevel="0" collapsed="false">
      <c r="A489" s="32"/>
      <c r="B489" s="32"/>
      <c r="C489" s="32"/>
      <c r="D489" s="33"/>
      <c r="E489" s="33"/>
      <c r="F489" s="32"/>
      <c r="G489" s="32"/>
      <c r="H489" s="35"/>
      <c r="I489" s="35"/>
      <c r="J489" s="35"/>
      <c r="K489" s="33"/>
      <c r="L489" s="37" t="str">
        <f aca="true">IF(OR(B489="",G489&lt;&gt;"Open",I489=""),"",IF(I489&lt;TODAY(),"Overdue",IF(I489&lt;=TODAY()+7,"Due Soon","")))</f>
        <v/>
      </c>
    </row>
    <row r="490" customFormat="false" ht="15" hidden="false" customHeight="false" outlineLevel="0" collapsed="false">
      <c r="A490" s="32"/>
      <c r="B490" s="32"/>
      <c r="C490" s="32"/>
      <c r="D490" s="33"/>
      <c r="E490" s="33"/>
      <c r="F490" s="32"/>
      <c r="G490" s="32"/>
      <c r="H490" s="35"/>
      <c r="I490" s="35"/>
      <c r="J490" s="35"/>
      <c r="K490" s="33"/>
      <c r="L490" s="37" t="str">
        <f aca="true">IF(OR(B490="",G490&lt;&gt;"Open",I490=""),"",IF(I490&lt;TODAY(),"Overdue",IF(I490&lt;=TODAY()+7,"Due Soon","")))</f>
        <v/>
      </c>
    </row>
    <row r="491" customFormat="false" ht="15" hidden="false" customHeight="false" outlineLevel="0" collapsed="false">
      <c r="A491" s="32"/>
      <c r="B491" s="32"/>
      <c r="C491" s="32"/>
      <c r="D491" s="33"/>
      <c r="E491" s="33"/>
      <c r="F491" s="32"/>
      <c r="G491" s="32"/>
      <c r="H491" s="35"/>
      <c r="I491" s="35"/>
      <c r="J491" s="35"/>
      <c r="K491" s="33"/>
      <c r="L491" s="37" t="str">
        <f aca="true">IF(OR(B491="",G491&lt;&gt;"Open",I491=""),"",IF(I491&lt;TODAY(),"Overdue",IF(I491&lt;=TODAY()+7,"Due Soon","")))</f>
        <v/>
      </c>
    </row>
    <row r="492" customFormat="false" ht="15" hidden="false" customHeight="false" outlineLevel="0" collapsed="false">
      <c r="A492" s="32"/>
      <c r="B492" s="32"/>
      <c r="C492" s="32"/>
      <c r="D492" s="33"/>
      <c r="E492" s="33"/>
      <c r="F492" s="32"/>
      <c r="G492" s="32"/>
      <c r="H492" s="35"/>
      <c r="I492" s="35"/>
      <c r="J492" s="35"/>
      <c r="K492" s="33"/>
      <c r="L492" s="37" t="str">
        <f aca="true">IF(OR(B492="",G492&lt;&gt;"Open",I492=""),"",IF(I492&lt;TODAY(),"Overdue",IF(I492&lt;=TODAY()+7,"Due Soon","")))</f>
        <v/>
      </c>
    </row>
    <row r="493" customFormat="false" ht="15" hidden="false" customHeight="false" outlineLevel="0" collapsed="false">
      <c r="A493" s="32"/>
      <c r="B493" s="32"/>
      <c r="C493" s="32"/>
      <c r="D493" s="33"/>
      <c r="E493" s="33"/>
      <c r="F493" s="32"/>
      <c r="G493" s="32"/>
      <c r="H493" s="35"/>
      <c r="I493" s="35"/>
      <c r="J493" s="35"/>
      <c r="K493" s="33"/>
      <c r="L493" s="37" t="str">
        <f aca="true">IF(OR(B493="",G493&lt;&gt;"Open",I493=""),"",IF(I493&lt;TODAY(),"Overdue",IF(I493&lt;=TODAY()+7,"Due Soon","")))</f>
        <v/>
      </c>
    </row>
    <row r="494" customFormat="false" ht="15" hidden="false" customHeight="false" outlineLevel="0" collapsed="false">
      <c r="A494" s="32"/>
      <c r="B494" s="32"/>
      <c r="C494" s="32"/>
      <c r="D494" s="33"/>
      <c r="E494" s="33"/>
      <c r="F494" s="32"/>
      <c r="G494" s="32"/>
      <c r="H494" s="35"/>
      <c r="I494" s="35"/>
      <c r="J494" s="35"/>
      <c r="K494" s="33"/>
      <c r="L494" s="37" t="str">
        <f aca="true">IF(OR(B494="",G494&lt;&gt;"Open",I494=""),"",IF(I494&lt;TODAY(),"Overdue",IF(I494&lt;=TODAY()+7,"Due Soon","")))</f>
        <v/>
      </c>
    </row>
    <row r="495" customFormat="false" ht="15" hidden="false" customHeight="false" outlineLevel="0" collapsed="false">
      <c r="A495" s="32"/>
      <c r="B495" s="32"/>
      <c r="C495" s="32"/>
      <c r="D495" s="33"/>
      <c r="E495" s="33"/>
      <c r="F495" s="32"/>
      <c r="G495" s="32"/>
      <c r="H495" s="35"/>
      <c r="I495" s="35"/>
      <c r="J495" s="35"/>
      <c r="K495" s="33"/>
      <c r="L495" s="37" t="str">
        <f aca="true">IF(OR(B495="",G495&lt;&gt;"Open",I495=""),"",IF(I495&lt;TODAY(),"Overdue",IF(I495&lt;=TODAY()+7,"Due Soon","")))</f>
        <v/>
      </c>
    </row>
    <row r="496" customFormat="false" ht="15" hidden="false" customHeight="false" outlineLevel="0" collapsed="false">
      <c r="A496" s="32"/>
      <c r="B496" s="32"/>
      <c r="C496" s="32"/>
      <c r="D496" s="33"/>
      <c r="E496" s="33"/>
      <c r="F496" s="32"/>
      <c r="G496" s="32"/>
      <c r="H496" s="35"/>
      <c r="I496" s="35"/>
      <c r="J496" s="35"/>
      <c r="K496" s="33"/>
      <c r="L496" s="37" t="str">
        <f aca="true">IF(OR(B496="",G496&lt;&gt;"Open",I496=""),"",IF(I496&lt;TODAY(),"Overdue",IF(I496&lt;=TODAY()+7,"Due Soon","")))</f>
        <v/>
      </c>
    </row>
    <row r="497" customFormat="false" ht="15" hidden="false" customHeight="false" outlineLevel="0" collapsed="false">
      <c r="A497" s="32"/>
      <c r="B497" s="32"/>
      <c r="C497" s="32"/>
      <c r="D497" s="33"/>
      <c r="E497" s="33"/>
      <c r="F497" s="32"/>
      <c r="G497" s="32"/>
      <c r="H497" s="35"/>
      <c r="I497" s="35"/>
      <c r="J497" s="35"/>
      <c r="K497" s="33"/>
      <c r="L497" s="37" t="str">
        <f aca="true">IF(OR(B497="",G497&lt;&gt;"Open",I497=""),"",IF(I497&lt;TODAY(),"Overdue",IF(I497&lt;=TODAY()+7,"Due Soon","")))</f>
        <v/>
      </c>
    </row>
    <row r="498" customFormat="false" ht="15" hidden="false" customHeight="false" outlineLevel="0" collapsed="false">
      <c r="A498" s="32"/>
      <c r="B498" s="32"/>
      <c r="C498" s="32"/>
      <c r="D498" s="33"/>
      <c r="E498" s="33"/>
      <c r="F498" s="32"/>
      <c r="G498" s="32"/>
      <c r="H498" s="35"/>
      <c r="I498" s="35"/>
      <c r="J498" s="35"/>
      <c r="K498" s="33"/>
      <c r="L498" s="37" t="str">
        <f aca="true">IF(OR(B498="",G498&lt;&gt;"Open",I498=""),"",IF(I498&lt;TODAY(),"Overdue",IF(I498&lt;=TODAY()+7,"Due Soon","")))</f>
        <v/>
      </c>
    </row>
    <row r="499" customFormat="false" ht="15" hidden="false" customHeight="false" outlineLevel="0" collapsed="false">
      <c r="A499" s="32"/>
      <c r="B499" s="32"/>
      <c r="C499" s="32"/>
      <c r="D499" s="33"/>
      <c r="E499" s="33"/>
      <c r="F499" s="32"/>
      <c r="G499" s="32"/>
      <c r="H499" s="35"/>
      <c r="I499" s="35"/>
      <c r="J499" s="35"/>
      <c r="K499" s="33"/>
      <c r="L499" s="37" t="str">
        <f aca="true">IF(OR(B499="",G499&lt;&gt;"Open",I499=""),"",IF(I499&lt;TODAY(),"Overdue",IF(I499&lt;=TODAY()+7,"Due Soon","")))</f>
        <v/>
      </c>
    </row>
    <row r="500" customFormat="false" ht="15" hidden="false" customHeight="false" outlineLevel="0" collapsed="false">
      <c r="A500" s="32"/>
      <c r="B500" s="32"/>
      <c r="C500" s="32"/>
      <c r="D500" s="33"/>
      <c r="E500" s="33"/>
      <c r="F500" s="32"/>
      <c r="G500" s="32"/>
      <c r="H500" s="35"/>
      <c r="I500" s="35"/>
      <c r="J500" s="35"/>
      <c r="K500" s="33"/>
      <c r="L500" s="37" t="str">
        <f aca="true">IF(OR(B500="",G500&lt;&gt;"Open",I500=""),"",IF(I500&lt;TODAY(),"Overdue",IF(I500&lt;=TODAY()+7,"Due Soon","")))</f>
        <v/>
      </c>
    </row>
    <row r="501" customFormat="false" ht="15" hidden="false" customHeight="false" outlineLevel="0" collapsed="false">
      <c r="A501" s="32"/>
      <c r="B501" s="32"/>
      <c r="C501" s="32"/>
      <c r="D501" s="33"/>
      <c r="E501" s="33"/>
      <c r="F501" s="32"/>
      <c r="G501" s="32"/>
      <c r="H501" s="35"/>
      <c r="I501" s="35"/>
      <c r="J501" s="35"/>
      <c r="K501" s="33"/>
      <c r="L501" s="37" t="str">
        <f aca="true">IF(OR(B501="",G501&lt;&gt;"Open",I501=""),"",IF(I501&lt;TODAY(),"Overdue",IF(I501&lt;=TODAY()+7,"Due Soon","")))</f>
        <v/>
      </c>
    </row>
  </sheetData>
  <autoFilter ref="A1:L501"/>
  <conditionalFormatting sqref="G2:G501">
    <cfRule type="expression" priority="2" aboveAverage="0" equalAverage="0" bottom="0" percent="0" rank="0" text="" dxfId="16">
      <formula>OR(G2="Done",G2="Closed",G2="Complete",G2="Paid")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H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lst_RfiStatus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2"/>
  </cols>
  <sheetData>
    <row r="1" customFormat="false" ht="33.75" hidden="false" customHeight="true" outlineLevel="0" collapsed="false">
      <c r="A1" s="17" t="s">
        <v>110</v>
      </c>
      <c r="B1" s="17" t="s">
        <v>193</v>
      </c>
      <c r="C1" s="17" t="s">
        <v>214</v>
      </c>
      <c r="D1" s="17" t="s">
        <v>168</v>
      </c>
      <c r="E1" s="17" t="s">
        <v>232</v>
      </c>
      <c r="F1" s="17" t="s">
        <v>255</v>
      </c>
      <c r="G1" s="17" t="s">
        <v>228</v>
      </c>
      <c r="H1" s="17" t="s">
        <v>111</v>
      </c>
      <c r="I1" s="17" t="s">
        <v>197</v>
      </c>
      <c r="J1" s="17" t="s">
        <v>233</v>
      </c>
      <c r="K1" s="17" t="s">
        <v>256</v>
      </c>
      <c r="L1" s="17" t="s">
        <v>235</v>
      </c>
      <c r="M1" s="31" t="s">
        <v>254</v>
      </c>
    </row>
    <row r="2" customFormat="false" ht="15" hidden="false" customHeight="false" outlineLevel="0" collapsed="false">
      <c r="A2" s="32"/>
      <c r="B2" s="32"/>
      <c r="C2" s="33"/>
      <c r="D2" s="32"/>
      <c r="E2" s="32"/>
      <c r="F2" s="32"/>
      <c r="G2" s="35"/>
      <c r="H2" s="32"/>
      <c r="I2" s="35"/>
      <c r="J2" s="35"/>
      <c r="K2" s="34"/>
      <c r="L2" s="33"/>
      <c r="M2" s="37" t="str">
        <f aca="true">IF(OR(B2="",H2&lt;&gt;"Open",G2=""),"",IF(G2&lt;TODAY(),"Overdue",""))</f>
        <v/>
      </c>
    </row>
    <row r="3" customFormat="false" ht="15" hidden="false" customHeight="false" outlineLevel="0" collapsed="false">
      <c r="A3" s="32"/>
      <c r="B3" s="32"/>
      <c r="C3" s="33"/>
      <c r="D3" s="32"/>
      <c r="E3" s="32"/>
      <c r="F3" s="32"/>
      <c r="G3" s="35"/>
      <c r="H3" s="32"/>
      <c r="I3" s="35"/>
      <c r="J3" s="35"/>
      <c r="K3" s="34"/>
      <c r="L3" s="33"/>
      <c r="M3" s="37" t="str">
        <f aca="true">IF(OR(B3="",H3&lt;&gt;"Open",G3=""),"",IF(G3&lt;TODAY(),"Overdue",""))</f>
        <v/>
      </c>
    </row>
    <row r="4" customFormat="false" ht="15" hidden="false" customHeight="false" outlineLevel="0" collapsed="false">
      <c r="A4" s="32"/>
      <c r="B4" s="32"/>
      <c r="C4" s="33"/>
      <c r="D4" s="32"/>
      <c r="E4" s="32"/>
      <c r="F4" s="32"/>
      <c r="G4" s="35"/>
      <c r="H4" s="32"/>
      <c r="I4" s="35"/>
      <c r="J4" s="35"/>
      <c r="K4" s="34"/>
      <c r="L4" s="33"/>
      <c r="M4" s="37" t="str">
        <f aca="true">IF(OR(B4="",H4&lt;&gt;"Open",G4=""),"",IF(G4&lt;TODAY(),"Overdue",""))</f>
        <v/>
      </c>
    </row>
    <row r="5" customFormat="false" ht="15" hidden="false" customHeight="false" outlineLevel="0" collapsed="false">
      <c r="A5" s="32"/>
      <c r="B5" s="32"/>
      <c r="C5" s="33"/>
      <c r="D5" s="32"/>
      <c r="E5" s="32"/>
      <c r="F5" s="32"/>
      <c r="G5" s="35"/>
      <c r="H5" s="32"/>
      <c r="I5" s="35"/>
      <c r="J5" s="35"/>
      <c r="K5" s="34"/>
      <c r="L5" s="33"/>
      <c r="M5" s="37" t="str">
        <f aca="true">IF(OR(B5="",H5&lt;&gt;"Open",G5=""),"",IF(G5&lt;TODAY(),"Overdue",""))</f>
        <v/>
      </c>
    </row>
    <row r="6" customFormat="false" ht="15" hidden="false" customHeight="false" outlineLevel="0" collapsed="false">
      <c r="A6" s="32"/>
      <c r="B6" s="32"/>
      <c r="C6" s="33"/>
      <c r="D6" s="32"/>
      <c r="E6" s="32"/>
      <c r="F6" s="32"/>
      <c r="G6" s="35"/>
      <c r="H6" s="32"/>
      <c r="I6" s="35"/>
      <c r="J6" s="35"/>
      <c r="K6" s="34"/>
      <c r="L6" s="33"/>
      <c r="M6" s="37" t="str">
        <f aca="true">IF(OR(B6="",H6&lt;&gt;"Open",G6=""),"",IF(G6&lt;TODAY(),"Overdue",""))</f>
        <v/>
      </c>
    </row>
    <row r="7" customFormat="false" ht="15" hidden="false" customHeight="false" outlineLevel="0" collapsed="false">
      <c r="A7" s="32"/>
      <c r="B7" s="32"/>
      <c r="C7" s="33"/>
      <c r="D7" s="32"/>
      <c r="E7" s="32"/>
      <c r="F7" s="32"/>
      <c r="G7" s="35"/>
      <c r="H7" s="32"/>
      <c r="I7" s="35"/>
      <c r="J7" s="35"/>
      <c r="K7" s="34"/>
      <c r="L7" s="33"/>
      <c r="M7" s="37" t="str">
        <f aca="true">IF(OR(B7="",H7&lt;&gt;"Open",G7=""),"",IF(G7&lt;TODAY(),"Overdue",""))</f>
        <v/>
      </c>
    </row>
    <row r="8" customFormat="false" ht="15" hidden="false" customHeight="false" outlineLevel="0" collapsed="false">
      <c r="A8" s="32"/>
      <c r="B8" s="32"/>
      <c r="C8" s="33"/>
      <c r="D8" s="32"/>
      <c r="E8" s="32"/>
      <c r="F8" s="32"/>
      <c r="G8" s="35"/>
      <c r="H8" s="32"/>
      <c r="I8" s="35"/>
      <c r="J8" s="35"/>
      <c r="K8" s="34"/>
      <c r="L8" s="33"/>
      <c r="M8" s="37" t="str">
        <f aca="true">IF(OR(B8="",H8&lt;&gt;"Open",G8=""),"",IF(G8&lt;TODAY(),"Overdue",""))</f>
        <v/>
      </c>
    </row>
    <row r="9" customFormat="false" ht="15" hidden="false" customHeight="false" outlineLevel="0" collapsed="false">
      <c r="A9" s="32"/>
      <c r="B9" s="32"/>
      <c r="C9" s="33"/>
      <c r="D9" s="32"/>
      <c r="E9" s="32"/>
      <c r="F9" s="32"/>
      <c r="G9" s="35"/>
      <c r="H9" s="32"/>
      <c r="I9" s="35"/>
      <c r="J9" s="35"/>
      <c r="K9" s="34"/>
      <c r="L9" s="33"/>
      <c r="M9" s="37" t="str">
        <f aca="true">IF(OR(B9="",H9&lt;&gt;"Open",G9=""),"",IF(G9&lt;TODAY(),"Overdue",""))</f>
        <v/>
      </c>
    </row>
    <row r="10" customFormat="false" ht="15" hidden="false" customHeight="false" outlineLevel="0" collapsed="false">
      <c r="A10" s="32"/>
      <c r="B10" s="32"/>
      <c r="C10" s="33"/>
      <c r="D10" s="32"/>
      <c r="E10" s="32"/>
      <c r="F10" s="32"/>
      <c r="G10" s="35"/>
      <c r="H10" s="32"/>
      <c r="I10" s="35"/>
      <c r="J10" s="35"/>
      <c r="K10" s="34"/>
      <c r="L10" s="33"/>
      <c r="M10" s="37" t="str">
        <f aca="true">IF(OR(B10="",H10&lt;&gt;"Open",G10=""),"",IF(G10&lt;TODAY(),"Overdue",""))</f>
        <v/>
      </c>
    </row>
    <row r="11" customFormat="false" ht="15" hidden="false" customHeight="false" outlineLevel="0" collapsed="false">
      <c r="A11" s="32"/>
      <c r="B11" s="32"/>
      <c r="C11" s="33"/>
      <c r="D11" s="32"/>
      <c r="E11" s="32"/>
      <c r="F11" s="32"/>
      <c r="G11" s="35"/>
      <c r="H11" s="32"/>
      <c r="I11" s="35"/>
      <c r="J11" s="35"/>
      <c r="K11" s="34"/>
      <c r="L11" s="33"/>
      <c r="M11" s="37" t="str">
        <f aca="true">IF(OR(B11="",H11&lt;&gt;"Open",G11=""),"",IF(G11&lt;TODAY(),"Overdue",""))</f>
        <v/>
      </c>
    </row>
    <row r="12" customFormat="false" ht="15" hidden="false" customHeight="false" outlineLevel="0" collapsed="false">
      <c r="A12" s="32"/>
      <c r="B12" s="32"/>
      <c r="C12" s="33"/>
      <c r="D12" s="32"/>
      <c r="E12" s="32"/>
      <c r="F12" s="32"/>
      <c r="G12" s="35"/>
      <c r="H12" s="32"/>
      <c r="I12" s="35"/>
      <c r="J12" s="35"/>
      <c r="K12" s="34"/>
      <c r="L12" s="33"/>
      <c r="M12" s="37" t="str">
        <f aca="true">IF(OR(B12="",H12&lt;&gt;"Open",G12=""),"",IF(G12&lt;TODAY(),"Overdue",""))</f>
        <v/>
      </c>
    </row>
    <row r="13" customFormat="false" ht="15" hidden="false" customHeight="false" outlineLevel="0" collapsed="false">
      <c r="A13" s="32"/>
      <c r="B13" s="32"/>
      <c r="C13" s="33"/>
      <c r="D13" s="32"/>
      <c r="E13" s="32"/>
      <c r="F13" s="32"/>
      <c r="G13" s="35"/>
      <c r="H13" s="32"/>
      <c r="I13" s="35"/>
      <c r="J13" s="35"/>
      <c r="K13" s="34"/>
      <c r="L13" s="33"/>
      <c r="M13" s="37" t="str">
        <f aca="true">IF(OR(B13="",H13&lt;&gt;"Open",G13=""),"",IF(G13&lt;TODAY(),"Overdue",""))</f>
        <v/>
      </c>
    </row>
    <row r="14" customFormat="false" ht="15" hidden="false" customHeight="false" outlineLevel="0" collapsed="false">
      <c r="A14" s="32"/>
      <c r="B14" s="32"/>
      <c r="C14" s="33"/>
      <c r="D14" s="32"/>
      <c r="E14" s="32"/>
      <c r="F14" s="32"/>
      <c r="G14" s="35"/>
      <c r="H14" s="32"/>
      <c r="I14" s="35"/>
      <c r="J14" s="35"/>
      <c r="K14" s="34"/>
      <c r="L14" s="33"/>
      <c r="M14" s="37" t="str">
        <f aca="true">IF(OR(B14="",H14&lt;&gt;"Open",G14=""),"",IF(G14&lt;TODAY(),"Overdue",""))</f>
        <v/>
      </c>
    </row>
    <row r="15" customFormat="false" ht="15" hidden="false" customHeight="false" outlineLevel="0" collapsed="false">
      <c r="A15" s="32"/>
      <c r="B15" s="32"/>
      <c r="C15" s="33"/>
      <c r="D15" s="32"/>
      <c r="E15" s="32"/>
      <c r="F15" s="32"/>
      <c r="G15" s="35"/>
      <c r="H15" s="32"/>
      <c r="I15" s="35"/>
      <c r="J15" s="35"/>
      <c r="K15" s="34"/>
      <c r="L15" s="33"/>
      <c r="M15" s="37" t="str">
        <f aca="true">IF(OR(B15="",H15&lt;&gt;"Open",G15=""),"",IF(G15&lt;TODAY(),"Overdue",""))</f>
        <v/>
      </c>
    </row>
    <row r="16" customFormat="false" ht="15" hidden="false" customHeight="false" outlineLevel="0" collapsed="false">
      <c r="A16" s="32"/>
      <c r="B16" s="32"/>
      <c r="C16" s="33"/>
      <c r="D16" s="32"/>
      <c r="E16" s="32"/>
      <c r="F16" s="32"/>
      <c r="G16" s="35"/>
      <c r="H16" s="32"/>
      <c r="I16" s="35"/>
      <c r="J16" s="35"/>
      <c r="K16" s="34"/>
      <c r="L16" s="33"/>
      <c r="M16" s="37" t="str">
        <f aca="true">IF(OR(B16="",H16&lt;&gt;"Open",G16=""),"",IF(G16&lt;TODAY(),"Overdue",""))</f>
        <v/>
      </c>
    </row>
    <row r="17" customFormat="false" ht="15" hidden="false" customHeight="false" outlineLevel="0" collapsed="false">
      <c r="A17" s="32"/>
      <c r="B17" s="32"/>
      <c r="C17" s="33"/>
      <c r="D17" s="32"/>
      <c r="E17" s="32"/>
      <c r="F17" s="32"/>
      <c r="G17" s="35"/>
      <c r="H17" s="32"/>
      <c r="I17" s="35"/>
      <c r="J17" s="35"/>
      <c r="K17" s="34"/>
      <c r="L17" s="33"/>
      <c r="M17" s="37" t="str">
        <f aca="true">IF(OR(B17="",H17&lt;&gt;"Open",G17=""),"",IF(G17&lt;TODAY(),"Overdue",""))</f>
        <v/>
      </c>
    </row>
    <row r="18" customFormat="false" ht="15" hidden="false" customHeight="false" outlineLevel="0" collapsed="false">
      <c r="A18" s="32"/>
      <c r="B18" s="32"/>
      <c r="C18" s="33"/>
      <c r="D18" s="32"/>
      <c r="E18" s="32"/>
      <c r="F18" s="32"/>
      <c r="G18" s="35"/>
      <c r="H18" s="32"/>
      <c r="I18" s="35"/>
      <c r="J18" s="35"/>
      <c r="K18" s="34"/>
      <c r="L18" s="33"/>
      <c r="M18" s="37" t="str">
        <f aca="true">IF(OR(B18="",H18&lt;&gt;"Open",G18=""),"",IF(G18&lt;TODAY(),"Overdue",""))</f>
        <v/>
      </c>
    </row>
    <row r="19" customFormat="false" ht="15" hidden="false" customHeight="false" outlineLevel="0" collapsed="false">
      <c r="A19" s="32"/>
      <c r="B19" s="32"/>
      <c r="C19" s="33"/>
      <c r="D19" s="32"/>
      <c r="E19" s="32"/>
      <c r="F19" s="32"/>
      <c r="G19" s="35"/>
      <c r="H19" s="32"/>
      <c r="I19" s="35"/>
      <c r="J19" s="35"/>
      <c r="K19" s="34"/>
      <c r="L19" s="33"/>
      <c r="M19" s="37" t="str">
        <f aca="true">IF(OR(B19="",H19&lt;&gt;"Open",G19=""),"",IF(G19&lt;TODAY(),"Overdue",""))</f>
        <v/>
      </c>
    </row>
    <row r="20" customFormat="false" ht="15" hidden="false" customHeight="false" outlineLevel="0" collapsed="false">
      <c r="A20" s="32"/>
      <c r="B20" s="32"/>
      <c r="C20" s="33"/>
      <c r="D20" s="32"/>
      <c r="E20" s="32"/>
      <c r="F20" s="32"/>
      <c r="G20" s="35"/>
      <c r="H20" s="32"/>
      <c r="I20" s="35"/>
      <c r="J20" s="35"/>
      <c r="K20" s="34"/>
      <c r="L20" s="33"/>
      <c r="M20" s="37" t="str">
        <f aca="true">IF(OR(B20="",H20&lt;&gt;"Open",G20=""),"",IF(G20&lt;TODAY(),"Overdue",""))</f>
        <v/>
      </c>
    </row>
    <row r="21" customFormat="false" ht="15" hidden="false" customHeight="false" outlineLevel="0" collapsed="false">
      <c r="A21" s="32"/>
      <c r="B21" s="32"/>
      <c r="C21" s="33"/>
      <c r="D21" s="32"/>
      <c r="E21" s="32"/>
      <c r="F21" s="32"/>
      <c r="G21" s="35"/>
      <c r="H21" s="32"/>
      <c r="I21" s="35"/>
      <c r="J21" s="35"/>
      <c r="K21" s="34"/>
      <c r="L21" s="33"/>
      <c r="M21" s="37" t="str">
        <f aca="true">IF(OR(B21="",H21&lt;&gt;"Open",G21=""),"",IF(G21&lt;TODAY(),"Overdue",""))</f>
        <v/>
      </c>
    </row>
    <row r="22" customFormat="false" ht="15" hidden="false" customHeight="false" outlineLevel="0" collapsed="false">
      <c r="A22" s="32"/>
      <c r="B22" s="32"/>
      <c r="C22" s="33"/>
      <c r="D22" s="32"/>
      <c r="E22" s="32"/>
      <c r="F22" s="32"/>
      <c r="G22" s="35"/>
      <c r="H22" s="32"/>
      <c r="I22" s="35"/>
      <c r="J22" s="35"/>
      <c r="K22" s="34"/>
      <c r="L22" s="33"/>
      <c r="M22" s="37" t="str">
        <f aca="true">IF(OR(B22="",H22&lt;&gt;"Open",G22=""),"",IF(G22&lt;TODAY(),"Overdue",""))</f>
        <v/>
      </c>
    </row>
    <row r="23" customFormat="false" ht="15" hidden="false" customHeight="false" outlineLevel="0" collapsed="false">
      <c r="A23" s="32"/>
      <c r="B23" s="32"/>
      <c r="C23" s="33"/>
      <c r="D23" s="32"/>
      <c r="E23" s="32"/>
      <c r="F23" s="32"/>
      <c r="G23" s="35"/>
      <c r="H23" s="32"/>
      <c r="I23" s="35"/>
      <c r="J23" s="35"/>
      <c r="K23" s="34"/>
      <c r="L23" s="33"/>
      <c r="M23" s="37" t="str">
        <f aca="true">IF(OR(B23="",H23&lt;&gt;"Open",G23=""),"",IF(G23&lt;TODAY(),"Overdue",""))</f>
        <v/>
      </c>
    </row>
    <row r="24" customFormat="false" ht="15" hidden="false" customHeight="false" outlineLevel="0" collapsed="false">
      <c r="A24" s="32"/>
      <c r="B24" s="32"/>
      <c r="C24" s="33"/>
      <c r="D24" s="32"/>
      <c r="E24" s="32"/>
      <c r="F24" s="32"/>
      <c r="G24" s="35"/>
      <c r="H24" s="32"/>
      <c r="I24" s="35"/>
      <c r="J24" s="35"/>
      <c r="K24" s="34"/>
      <c r="L24" s="33"/>
      <c r="M24" s="37" t="str">
        <f aca="true">IF(OR(B24="",H24&lt;&gt;"Open",G24=""),"",IF(G24&lt;TODAY(),"Overdue",""))</f>
        <v/>
      </c>
    </row>
    <row r="25" customFormat="false" ht="15" hidden="false" customHeight="false" outlineLevel="0" collapsed="false">
      <c r="A25" s="32"/>
      <c r="B25" s="32"/>
      <c r="C25" s="33"/>
      <c r="D25" s="32"/>
      <c r="E25" s="32"/>
      <c r="F25" s="32"/>
      <c r="G25" s="35"/>
      <c r="H25" s="32"/>
      <c r="I25" s="35"/>
      <c r="J25" s="35"/>
      <c r="K25" s="34"/>
      <c r="L25" s="33"/>
      <c r="M25" s="37" t="str">
        <f aca="true">IF(OR(B25="",H25&lt;&gt;"Open",G25=""),"",IF(G25&lt;TODAY(),"Overdue",""))</f>
        <v/>
      </c>
    </row>
    <row r="26" customFormat="false" ht="15" hidden="false" customHeight="false" outlineLevel="0" collapsed="false">
      <c r="A26" s="32"/>
      <c r="B26" s="32"/>
      <c r="C26" s="33"/>
      <c r="D26" s="32"/>
      <c r="E26" s="32"/>
      <c r="F26" s="32"/>
      <c r="G26" s="35"/>
      <c r="H26" s="32"/>
      <c r="I26" s="35"/>
      <c r="J26" s="35"/>
      <c r="K26" s="34"/>
      <c r="L26" s="33"/>
      <c r="M26" s="37" t="str">
        <f aca="true">IF(OR(B26="",H26&lt;&gt;"Open",G26=""),"",IF(G26&lt;TODAY(),"Overdue",""))</f>
        <v/>
      </c>
    </row>
    <row r="27" customFormat="false" ht="15" hidden="false" customHeight="false" outlineLevel="0" collapsed="false">
      <c r="A27" s="32"/>
      <c r="B27" s="32"/>
      <c r="C27" s="33"/>
      <c r="D27" s="32"/>
      <c r="E27" s="32"/>
      <c r="F27" s="32"/>
      <c r="G27" s="35"/>
      <c r="H27" s="32"/>
      <c r="I27" s="35"/>
      <c r="J27" s="35"/>
      <c r="K27" s="34"/>
      <c r="L27" s="33"/>
      <c r="M27" s="37" t="str">
        <f aca="true">IF(OR(B27="",H27&lt;&gt;"Open",G27=""),"",IF(G27&lt;TODAY(),"Overdue",""))</f>
        <v/>
      </c>
    </row>
    <row r="28" customFormat="false" ht="15" hidden="false" customHeight="false" outlineLevel="0" collapsed="false">
      <c r="A28" s="32"/>
      <c r="B28" s="32"/>
      <c r="C28" s="33"/>
      <c r="D28" s="32"/>
      <c r="E28" s="32"/>
      <c r="F28" s="32"/>
      <c r="G28" s="35"/>
      <c r="H28" s="32"/>
      <c r="I28" s="35"/>
      <c r="J28" s="35"/>
      <c r="K28" s="34"/>
      <c r="L28" s="33"/>
      <c r="M28" s="37" t="str">
        <f aca="true">IF(OR(B28="",H28&lt;&gt;"Open",G28=""),"",IF(G28&lt;TODAY(),"Overdue",""))</f>
        <v/>
      </c>
    </row>
    <row r="29" customFormat="false" ht="15" hidden="false" customHeight="false" outlineLevel="0" collapsed="false">
      <c r="A29" s="32"/>
      <c r="B29" s="32"/>
      <c r="C29" s="33"/>
      <c r="D29" s="32"/>
      <c r="E29" s="32"/>
      <c r="F29" s="32"/>
      <c r="G29" s="35"/>
      <c r="H29" s="32"/>
      <c r="I29" s="35"/>
      <c r="J29" s="35"/>
      <c r="K29" s="34"/>
      <c r="L29" s="33"/>
      <c r="M29" s="37" t="str">
        <f aca="true">IF(OR(B29="",H29&lt;&gt;"Open",G29=""),"",IF(G29&lt;TODAY(),"Overdue",""))</f>
        <v/>
      </c>
    </row>
    <row r="30" customFormat="false" ht="15" hidden="false" customHeight="false" outlineLevel="0" collapsed="false">
      <c r="A30" s="32"/>
      <c r="B30" s="32"/>
      <c r="C30" s="33"/>
      <c r="D30" s="32"/>
      <c r="E30" s="32"/>
      <c r="F30" s="32"/>
      <c r="G30" s="35"/>
      <c r="H30" s="32"/>
      <c r="I30" s="35"/>
      <c r="J30" s="35"/>
      <c r="K30" s="34"/>
      <c r="L30" s="33"/>
      <c r="M30" s="37" t="str">
        <f aca="true">IF(OR(B30="",H30&lt;&gt;"Open",G30=""),"",IF(G30&lt;TODAY(),"Overdue",""))</f>
        <v/>
      </c>
    </row>
    <row r="31" customFormat="false" ht="15" hidden="false" customHeight="false" outlineLevel="0" collapsed="false">
      <c r="A31" s="32"/>
      <c r="B31" s="32"/>
      <c r="C31" s="33"/>
      <c r="D31" s="32"/>
      <c r="E31" s="32"/>
      <c r="F31" s="32"/>
      <c r="G31" s="35"/>
      <c r="H31" s="32"/>
      <c r="I31" s="35"/>
      <c r="J31" s="35"/>
      <c r="K31" s="34"/>
      <c r="L31" s="33"/>
      <c r="M31" s="37" t="str">
        <f aca="true">IF(OR(B31="",H31&lt;&gt;"Open",G31=""),"",IF(G31&lt;TODAY(),"Overdue",""))</f>
        <v/>
      </c>
    </row>
    <row r="32" customFormat="false" ht="15" hidden="false" customHeight="false" outlineLevel="0" collapsed="false">
      <c r="A32" s="32"/>
      <c r="B32" s="32"/>
      <c r="C32" s="33"/>
      <c r="D32" s="32"/>
      <c r="E32" s="32"/>
      <c r="F32" s="32"/>
      <c r="G32" s="35"/>
      <c r="H32" s="32"/>
      <c r="I32" s="35"/>
      <c r="J32" s="35"/>
      <c r="K32" s="34"/>
      <c r="L32" s="33"/>
      <c r="M32" s="37" t="str">
        <f aca="true">IF(OR(B32="",H32&lt;&gt;"Open",G32=""),"",IF(G32&lt;TODAY(),"Overdue",""))</f>
        <v/>
      </c>
    </row>
    <row r="33" customFormat="false" ht="15" hidden="false" customHeight="false" outlineLevel="0" collapsed="false">
      <c r="A33" s="32"/>
      <c r="B33" s="32"/>
      <c r="C33" s="33"/>
      <c r="D33" s="32"/>
      <c r="E33" s="32"/>
      <c r="F33" s="32"/>
      <c r="G33" s="35"/>
      <c r="H33" s="32"/>
      <c r="I33" s="35"/>
      <c r="J33" s="35"/>
      <c r="K33" s="34"/>
      <c r="L33" s="33"/>
      <c r="M33" s="37" t="str">
        <f aca="true">IF(OR(B33="",H33&lt;&gt;"Open",G33=""),"",IF(G33&lt;TODAY(),"Overdue",""))</f>
        <v/>
      </c>
    </row>
    <row r="34" customFormat="false" ht="15" hidden="false" customHeight="false" outlineLevel="0" collapsed="false">
      <c r="A34" s="32"/>
      <c r="B34" s="32"/>
      <c r="C34" s="33"/>
      <c r="D34" s="32"/>
      <c r="E34" s="32"/>
      <c r="F34" s="32"/>
      <c r="G34" s="35"/>
      <c r="H34" s="32"/>
      <c r="I34" s="35"/>
      <c r="J34" s="35"/>
      <c r="K34" s="34"/>
      <c r="L34" s="33"/>
      <c r="M34" s="37" t="str">
        <f aca="true">IF(OR(B34="",H34&lt;&gt;"Open",G34=""),"",IF(G34&lt;TODAY(),"Overdue",""))</f>
        <v/>
      </c>
    </row>
    <row r="35" customFormat="false" ht="15" hidden="false" customHeight="false" outlineLevel="0" collapsed="false">
      <c r="A35" s="32"/>
      <c r="B35" s="32"/>
      <c r="C35" s="33"/>
      <c r="D35" s="32"/>
      <c r="E35" s="32"/>
      <c r="F35" s="32"/>
      <c r="G35" s="35"/>
      <c r="H35" s="32"/>
      <c r="I35" s="35"/>
      <c r="J35" s="35"/>
      <c r="K35" s="34"/>
      <c r="L35" s="33"/>
      <c r="M35" s="37" t="str">
        <f aca="true">IF(OR(B35="",H35&lt;&gt;"Open",G35=""),"",IF(G35&lt;TODAY(),"Overdue",""))</f>
        <v/>
      </c>
    </row>
    <row r="36" customFormat="false" ht="15" hidden="false" customHeight="false" outlineLevel="0" collapsed="false">
      <c r="A36" s="32"/>
      <c r="B36" s="32"/>
      <c r="C36" s="33"/>
      <c r="D36" s="32"/>
      <c r="E36" s="32"/>
      <c r="F36" s="32"/>
      <c r="G36" s="35"/>
      <c r="H36" s="32"/>
      <c r="I36" s="35"/>
      <c r="J36" s="35"/>
      <c r="K36" s="34"/>
      <c r="L36" s="33"/>
      <c r="M36" s="37" t="str">
        <f aca="true">IF(OR(B36="",H36&lt;&gt;"Open",G36=""),"",IF(G36&lt;TODAY(),"Overdue",""))</f>
        <v/>
      </c>
    </row>
    <row r="37" customFormat="false" ht="15" hidden="false" customHeight="false" outlineLevel="0" collapsed="false">
      <c r="A37" s="32"/>
      <c r="B37" s="32"/>
      <c r="C37" s="33"/>
      <c r="D37" s="32"/>
      <c r="E37" s="32"/>
      <c r="F37" s="32"/>
      <c r="G37" s="35"/>
      <c r="H37" s="32"/>
      <c r="I37" s="35"/>
      <c r="J37" s="35"/>
      <c r="K37" s="34"/>
      <c r="L37" s="33"/>
      <c r="M37" s="37" t="str">
        <f aca="true">IF(OR(B37="",H37&lt;&gt;"Open",G37=""),"",IF(G37&lt;TODAY(),"Overdue",""))</f>
        <v/>
      </c>
    </row>
    <row r="38" customFormat="false" ht="15" hidden="false" customHeight="false" outlineLevel="0" collapsed="false">
      <c r="A38" s="32"/>
      <c r="B38" s="32"/>
      <c r="C38" s="33"/>
      <c r="D38" s="32"/>
      <c r="E38" s="32"/>
      <c r="F38" s="32"/>
      <c r="G38" s="35"/>
      <c r="H38" s="32"/>
      <c r="I38" s="35"/>
      <c r="J38" s="35"/>
      <c r="K38" s="34"/>
      <c r="L38" s="33"/>
      <c r="M38" s="37" t="str">
        <f aca="true">IF(OR(B38="",H38&lt;&gt;"Open",G38=""),"",IF(G38&lt;TODAY(),"Overdue",""))</f>
        <v/>
      </c>
    </row>
    <row r="39" customFormat="false" ht="15" hidden="false" customHeight="false" outlineLevel="0" collapsed="false">
      <c r="A39" s="32"/>
      <c r="B39" s="32"/>
      <c r="C39" s="33"/>
      <c r="D39" s="32"/>
      <c r="E39" s="32"/>
      <c r="F39" s="32"/>
      <c r="G39" s="35"/>
      <c r="H39" s="32"/>
      <c r="I39" s="35"/>
      <c r="J39" s="35"/>
      <c r="K39" s="34"/>
      <c r="L39" s="33"/>
      <c r="M39" s="37" t="str">
        <f aca="true">IF(OR(B39="",H39&lt;&gt;"Open",G39=""),"",IF(G39&lt;TODAY(),"Overdue",""))</f>
        <v/>
      </c>
    </row>
    <row r="40" customFormat="false" ht="15" hidden="false" customHeight="false" outlineLevel="0" collapsed="false">
      <c r="A40" s="32"/>
      <c r="B40" s="32"/>
      <c r="C40" s="33"/>
      <c r="D40" s="32"/>
      <c r="E40" s="32"/>
      <c r="F40" s="32"/>
      <c r="G40" s="35"/>
      <c r="H40" s="32"/>
      <c r="I40" s="35"/>
      <c r="J40" s="35"/>
      <c r="K40" s="34"/>
      <c r="L40" s="33"/>
      <c r="M40" s="37" t="str">
        <f aca="true">IF(OR(B40="",H40&lt;&gt;"Open",G40=""),"",IF(G40&lt;TODAY(),"Overdue",""))</f>
        <v/>
      </c>
    </row>
    <row r="41" customFormat="false" ht="15" hidden="false" customHeight="false" outlineLevel="0" collapsed="false">
      <c r="A41" s="32"/>
      <c r="B41" s="32"/>
      <c r="C41" s="33"/>
      <c r="D41" s="32"/>
      <c r="E41" s="32"/>
      <c r="F41" s="32"/>
      <c r="G41" s="35"/>
      <c r="H41" s="32"/>
      <c r="I41" s="35"/>
      <c r="J41" s="35"/>
      <c r="K41" s="34"/>
      <c r="L41" s="33"/>
      <c r="M41" s="37" t="str">
        <f aca="true">IF(OR(B41="",H41&lt;&gt;"Open",G41=""),"",IF(G41&lt;TODAY(),"Overdue",""))</f>
        <v/>
      </c>
    </row>
    <row r="42" customFormat="false" ht="15" hidden="false" customHeight="false" outlineLevel="0" collapsed="false">
      <c r="A42" s="32"/>
      <c r="B42" s="32"/>
      <c r="C42" s="33"/>
      <c r="D42" s="32"/>
      <c r="E42" s="32"/>
      <c r="F42" s="32"/>
      <c r="G42" s="35"/>
      <c r="H42" s="32"/>
      <c r="I42" s="35"/>
      <c r="J42" s="35"/>
      <c r="K42" s="34"/>
      <c r="L42" s="33"/>
      <c r="M42" s="37" t="str">
        <f aca="true">IF(OR(B42="",H42&lt;&gt;"Open",G42=""),"",IF(G42&lt;TODAY(),"Overdue",""))</f>
        <v/>
      </c>
    </row>
    <row r="43" customFormat="false" ht="15" hidden="false" customHeight="false" outlineLevel="0" collapsed="false">
      <c r="A43" s="32"/>
      <c r="B43" s="32"/>
      <c r="C43" s="33"/>
      <c r="D43" s="32"/>
      <c r="E43" s="32"/>
      <c r="F43" s="32"/>
      <c r="G43" s="35"/>
      <c r="H43" s="32"/>
      <c r="I43" s="35"/>
      <c r="J43" s="35"/>
      <c r="K43" s="34"/>
      <c r="L43" s="33"/>
      <c r="M43" s="37" t="str">
        <f aca="true">IF(OR(B43="",H43&lt;&gt;"Open",G43=""),"",IF(G43&lt;TODAY(),"Overdue",""))</f>
        <v/>
      </c>
    </row>
    <row r="44" customFormat="false" ht="15" hidden="false" customHeight="false" outlineLevel="0" collapsed="false">
      <c r="A44" s="32"/>
      <c r="B44" s="32"/>
      <c r="C44" s="33"/>
      <c r="D44" s="32"/>
      <c r="E44" s="32"/>
      <c r="F44" s="32"/>
      <c r="G44" s="35"/>
      <c r="H44" s="32"/>
      <c r="I44" s="35"/>
      <c r="J44" s="35"/>
      <c r="K44" s="34"/>
      <c r="L44" s="33"/>
      <c r="M44" s="37" t="str">
        <f aca="true">IF(OR(B44="",H44&lt;&gt;"Open",G44=""),"",IF(G44&lt;TODAY(),"Overdue",""))</f>
        <v/>
      </c>
    </row>
    <row r="45" customFormat="false" ht="15" hidden="false" customHeight="false" outlineLevel="0" collapsed="false">
      <c r="A45" s="32"/>
      <c r="B45" s="32"/>
      <c r="C45" s="33"/>
      <c r="D45" s="32"/>
      <c r="E45" s="32"/>
      <c r="F45" s="32"/>
      <c r="G45" s="35"/>
      <c r="H45" s="32"/>
      <c r="I45" s="35"/>
      <c r="J45" s="35"/>
      <c r="K45" s="34"/>
      <c r="L45" s="33"/>
      <c r="M45" s="37" t="str">
        <f aca="true">IF(OR(B45="",H45&lt;&gt;"Open",G45=""),"",IF(G45&lt;TODAY(),"Overdue",""))</f>
        <v/>
      </c>
    </row>
    <row r="46" customFormat="false" ht="15" hidden="false" customHeight="false" outlineLevel="0" collapsed="false">
      <c r="A46" s="32"/>
      <c r="B46" s="32"/>
      <c r="C46" s="33"/>
      <c r="D46" s="32"/>
      <c r="E46" s="32"/>
      <c r="F46" s="32"/>
      <c r="G46" s="35"/>
      <c r="H46" s="32"/>
      <c r="I46" s="35"/>
      <c r="J46" s="35"/>
      <c r="K46" s="34"/>
      <c r="L46" s="33"/>
      <c r="M46" s="37" t="str">
        <f aca="true">IF(OR(B46="",H46&lt;&gt;"Open",G46=""),"",IF(G46&lt;TODAY(),"Overdue",""))</f>
        <v/>
      </c>
    </row>
    <row r="47" customFormat="false" ht="15" hidden="false" customHeight="false" outlineLevel="0" collapsed="false">
      <c r="A47" s="32"/>
      <c r="B47" s="32"/>
      <c r="C47" s="33"/>
      <c r="D47" s="32"/>
      <c r="E47" s="32"/>
      <c r="F47" s="32"/>
      <c r="G47" s="35"/>
      <c r="H47" s="32"/>
      <c r="I47" s="35"/>
      <c r="J47" s="35"/>
      <c r="K47" s="34"/>
      <c r="L47" s="33"/>
      <c r="M47" s="37" t="str">
        <f aca="true">IF(OR(B47="",H47&lt;&gt;"Open",G47=""),"",IF(G47&lt;TODAY(),"Overdue",""))</f>
        <v/>
      </c>
    </row>
    <row r="48" customFormat="false" ht="15" hidden="false" customHeight="false" outlineLevel="0" collapsed="false">
      <c r="A48" s="32"/>
      <c r="B48" s="32"/>
      <c r="C48" s="33"/>
      <c r="D48" s="32"/>
      <c r="E48" s="32"/>
      <c r="F48" s="32"/>
      <c r="G48" s="35"/>
      <c r="H48" s="32"/>
      <c r="I48" s="35"/>
      <c r="J48" s="35"/>
      <c r="K48" s="34"/>
      <c r="L48" s="33"/>
      <c r="M48" s="37" t="str">
        <f aca="true">IF(OR(B48="",H48&lt;&gt;"Open",G48=""),"",IF(G48&lt;TODAY(),"Overdue",""))</f>
        <v/>
      </c>
    </row>
    <row r="49" customFormat="false" ht="15" hidden="false" customHeight="false" outlineLevel="0" collapsed="false">
      <c r="A49" s="32"/>
      <c r="B49" s="32"/>
      <c r="C49" s="33"/>
      <c r="D49" s="32"/>
      <c r="E49" s="32"/>
      <c r="F49" s="32"/>
      <c r="G49" s="35"/>
      <c r="H49" s="32"/>
      <c r="I49" s="35"/>
      <c r="J49" s="35"/>
      <c r="K49" s="34"/>
      <c r="L49" s="33"/>
      <c r="M49" s="37" t="str">
        <f aca="true">IF(OR(B49="",H49&lt;&gt;"Open",G49=""),"",IF(G49&lt;TODAY(),"Overdue",""))</f>
        <v/>
      </c>
    </row>
    <row r="50" customFormat="false" ht="15" hidden="false" customHeight="false" outlineLevel="0" collapsed="false">
      <c r="A50" s="32"/>
      <c r="B50" s="32"/>
      <c r="C50" s="33"/>
      <c r="D50" s="32"/>
      <c r="E50" s="32"/>
      <c r="F50" s="32"/>
      <c r="G50" s="35"/>
      <c r="H50" s="32"/>
      <c r="I50" s="35"/>
      <c r="J50" s="35"/>
      <c r="K50" s="34"/>
      <c r="L50" s="33"/>
      <c r="M50" s="37" t="str">
        <f aca="true">IF(OR(B50="",H50&lt;&gt;"Open",G50=""),"",IF(G50&lt;TODAY(),"Overdue",""))</f>
        <v/>
      </c>
    </row>
    <row r="51" customFormat="false" ht="15" hidden="false" customHeight="false" outlineLevel="0" collapsed="false">
      <c r="A51" s="32"/>
      <c r="B51" s="32"/>
      <c r="C51" s="33"/>
      <c r="D51" s="32"/>
      <c r="E51" s="32"/>
      <c r="F51" s="32"/>
      <c r="G51" s="35"/>
      <c r="H51" s="32"/>
      <c r="I51" s="35"/>
      <c r="J51" s="35"/>
      <c r="K51" s="34"/>
      <c r="L51" s="33"/>
      <c r="M51" s="37" t="str">
        <f aca="true">IF(OR(B51="",H51&lt;&gt;"Open",G51=""),"",IF(G51&lt;TODAY(),"Overdue",""))</f>
        <v/>
      </c>
    </row>
    <row r="52" customFormat="false" ht="15" hidden="false" customHeight="false" outlineLevel="0" collapsed="false">
      <c r="A52" s="32"/>
      <c r="B52" s="32"/>
      <c r="C52" s="33"/>
      <c r="D52" s="32"/>
      <c r="E52" s="32"/>
      <c r="F52" s="32"/>
      <c r="G52" s="35"/>
      <c r="H52" s="32"/>
      <c r="I52" s="35"/>
      <c r="J52" s="35"/>
      <c r="K52" s="34"/>
      <c r="L52" s="33"/>
      <c r="M52" s="37" t="str">
        <f aca="true">IF(OR(B52="",H52&lt;&gt;"Open",G52=""),"",IF(G52&lt;TODAY(),"Overdue",""))</f>
        <v/>
      </c>
    </row>
    <row r="53" customFormat="false" ht="15" hidden="false" customHeight="false" outlineLevel="0" collapsed="false">
      <c r="A53" s="32"/>
      <c r="B53" s="32"/>
      <c r="C53" s="33"/>
      <c r="D53" s="32"/>
      <c r="E53" s="32"/>
      <c r="F53" s="32"/>
      <c r="G53" s="35"/>
      <c r="H53" s="32"/>
      <c r="I53" s="35"/>
      <c r="J53" s="35"/>
      <c r="K53" s="34"/>
      <c r="L53" s="33"/>
      <c r="M53" s="37" t="str">
        <f aca="true">IF(OR(B53="",H53&lt;&gt;"Open",G53=""),"",IF(G53&lt;TODAY(),"Overdue",""))</f>
        <v/>
      </c>
    </row>
    <row r="54" customFormat="false" ht="15" hidden="false" customHeight="false" outlineLevel="0" collapsed="false">
      <c r="A54" s="32"/>
      <c r="B54" s="32"/>
      <c r="C54" s="33"/>
      <c r="D54" s="32"/>
      <c r="E54" s="32"/>
      <c r="F54" s="32"/>
      <c r="G54" s="35"/>
      <c r="H54" s="32"/>
      <c r="I54" s="35"/>
      <c r="J54" s="35"/>
      <c r="K54" s="34"/>
      <c r="L54" s="33"/>
      <c r="M54" s="37" t="str">
        <f aca="true">IF(OR(B54="",H54&lt;&gt;"Open",G54=""),"",IF(G54&lt;TODAY(),"Overdue",""))</f>
        <v/>
      </c>
    </row>
    <row r="55" customFormat="false" ht="15" hidden="false" customHeight="false" outlineLevel="0" collapsed="false">
      <c r="A55" s="32"/>
      <c r="B55" s="32"/>
      <c r="C55" s="33"/>
      <c r="D55" s="32"/>
      <c r="E55" s="32"/>
      <c r="F55" s="32"/>
      <c r="G55" s="35"/>
      <c r="H55" s="32"/>
      <c r="I55" s="35"/>
      <c r="J55" s="35"/>
      <c r="K55" s="34"/>
      <c r="L55" s="33"/>
      <c r="M55" s="37" t="str">
        <f aca="true">IF(OR(B55="",H55&lt;&gt;"Open",G55=""),"",IF(G55&lt;TODAY(),"Overdue",""))</f>
        <v/>
      </c>
    </row>
    <row r="56" customFormat="false" ht="15" hidden="false" customHeight="false" outlineLevel="0" collapsed="false">
      <c r="A56" s="32"/>
      <c r="B56" s="32"/>
      <c r="C56" s="33"/>
      <c r="D56" s="32"/>
      <c r="E56" s="32"/>
      <c r="F56" s="32"/>
      <c r="G56" s="35"/>
      <c r="H56" s="32"/>
      <c r="I56" s="35"/>
      <c r="J56" s="35"/>
      <c r="K56" s="34"/>
      <c r="L56" s="33"/>
      <c r="M56" s="37" t="str">
        <f aca="true">IF(OR(B56="",H56&lt;&gt;"Open",G56=""),"",IF(G56&lt;TODAY(),"Overdue",""))</f>
        <v/>
      </c>
    </row>
    <row r="57" customFormat="false" ht="15" hidden="false" customHeight="false" outlineLevel="0" collapsed="false">
      <c r="A57" s="32"/>
      <c r="B57" s="32"/>
      <c r="C57" s="33"/>
      <c r="D57" s="32"/>
      <c r="E57" s="32"/>
      <c r="F57" s="32"/>
      <c r="G57" s="35"/>
      <c r="H57" s="32"/>
      <c r="I57" s="35"/>
      <c r="J57" s="35"/>
      <c r="K57" s="34"/>
      <c r="L57" s="33"/>
      <c r="M57" s="37" t="str">
        <f aca="true">IF(OR(B57="",H57&lt;&gt;"Open",G57=""),"",IF(G57&lt;TODAY(),"Overdue",""))</f>
        <v/>
      </c>
    </row>
    <row r="58" customFormat="false" ht="15" hidden="false" customHeight="false" outlineLevel="0" collapsed="false">
      <c r="A58" s="32"/>
      <c r="B58" s="32"/>
      <c r="C58" s="33"/>
      <c r="D58" s="32"/>
      <c r="E58" s="32"/>
      <c r="F58" s="32"/>
      <c r="G58" s="35"/>
      <c r="H58" s="32"/>
      <c r="I58" s="35"/>
      <c r="J58" s="35"/>
      <c r="K58" s="34"/>
      <c r="L58" s="33"/>
      <c r="M58" s="37" t="str">
        <f aca="true">IF(OR(B58="",H58&lt;&gt;"Open",G58=""),"",IF(G58&lt;TODAY(),"Overdue",""))</f>
        <v/>
      </c>
    </row>
    <row r="59" customFormat="false" ht="15" hidden="false" customHeight="false" outlineLevel="0" collapsed="false">
      <c r="A59" s="32"/>
      <c r="B59" s="32"/>
      <c r="C59" s="33"/>
      <c r="D59" s="32"/>
      <c r="E59" s="32"/>
      <c r="F59" s="32"/>
      <c r="G59" s="35"/>
      <c r="H59" s="32"/>
      <c r="I59" s="35"/>
      <c r="J59" s="35"/>
      <c r="K59" s="34"/>
      <c r="L59" s="33"/>
      <c r="M59" s="37" t="str">
        <f aca="true">IF(OR(B59="",H59&lt;&gt;"Open",G59=""),"",IF(G59&lt;TODAY(),"Overdue",""))</f>
        <v/>
      </c>
    </row>
    <row r="60" customFormat="false" ht="15" hidden="false" customHeight="false" outlineLevel="0" collapsed="false">
      <c r="A60" s="32"/>
      <c r="B60" s="32"/>
      <c r="C60" s="33"/>
      <c r="D60" s="32"/>
      <c r="E60" s="32"/>
      <c r="F60" s="32"/>
      <c r="G60" s="35"/>
      <c r="H60" s="32"/>
      <c r="I60" s="35"/>
      <c r="J60" s="35"/>
      <c r="K60" s="34"/>
      <c r="L60" s="33"/>
      <c r="M60" s="37" t="str">
        <f aca="true">IF(OR(B60="",H60&lt;&gt;"Open",G60=""),"",IF(G60&lt;TODAY(),"Overdue",""))</f>
        <v/>
      </c>
    </row>
    <row r="61" customFormat="false" ht="15" hidden="false" customHeight="false" outlineLevel="0" collapsed="false">
      <c r="A61" s="32"/>
      <c r="B61" s="32"/>
      <c r="C61" s="33"/>
      <c r="D61" s="32"/>
      <c r="E61" s="32"/>
      <c r="F61" s="32"/>
      <c r="G61" s="35"/>
      <c r="H61" s="32"/>
      <c r="I61" s="35"/>
      <c r="J61" s="35"/>
      <c r="K61" s="34"/>
      <c r="L61" s="33"/>
      <c r="M61" s="37" t="str">
        <f aca="true">IF(OR(B61="",H61&lt;&gt;"Open",G61=""),"",IF(G61&lt;TODAY(),"Overdue",""))</f>
        <v/>
      </c>
    </row>
    <row r="62" customFormat="false" ht="15" hidden="false" customHeight="false" outlineLevel="0" collapsed="false">
      <c r="A62" s="32"/>
      <c r="B62" s="32"/>
      <c r="C62" s="33"/>
      <c r="D62" s="32"/>
      <c r="E62" s="32"/>
      <c r="F62" s="32"/>
      <c r="G62" s="35"/>
      <c r="H62" s="32"/>
      <c r="I62" s="35"/>
      <c r="J62" s="35"/>
      <c r="K62" s="34"/>
      <c r="L62" s="33"/>
      <c r="M62" s="37" t="str">
        <f aca="true">IF(OR(B62="",H62&lt;&gt;"Open",G62=""),"",IF(G62&lt;TODAY(),"Overdue",""))</f>
        <v/>
      </c>
    </row>
    <row r="63" customFormat="false" ht="15" hidden="false" customHeight="false" outlineLevel="0" collapsed="false">
      <c r="A63" s="32"/>
      <c r="B63" s="32"/>
      <c r="C63" s="33"/>
      <c r="D63" s="32"/>
      <c r="E63" s="32"/>
      <c r="F63" s="32"/>
      <c r="G63" s="35"/>
      <c r="H63" s="32"/>
      <c r="I63" s="35"/>
      <c r="J63" s="35"/>
      <c r="K63" s="34"/>
      <c r="L63" s="33"/>
      <c r="M63" s="37" t="str">
        <f aca="true">IF(OR(B63="",H63&lt;&gt;"Open",G63=""),"",IF(G63&lt;TODAY(),"Overdue",""))</f>
        <v/>
      </c>
    </row>
    <row r="64" customFormat="false" ht="15" hidden="false" customHeight="false" outlineLevel="0" collapsed="false">
      <c r="A64" s="32"/>
      <c r="B64" s="32"/>
      <c r="C64" s="33"/>
      <c r="D64" s="32"/>
      <c r="E64" s="32"/>
      <c r="F64" s="32"/>
      <c r="G64" s="35"/>
      <c r="H64" s="32"/>
      <c r="I64" s="35"/>
      <c r="J64" s="35"/>
      <c r="K64" s="34"/>
      <c r="L64" s="33"/>
      <c r="M64" s="37" t="str">
        <f aca="true">IF(OR(B64="",H64&lt;&gt;"Open",G64=""),"",IF(G64&lt;TODAY(),"Overdue",""))</f>
        <v/>
      </c>
    </row>
    <row r="65" customFormat="false" ht="15" hidden="false" customHeight="false" outlineLevel="0" collapsed="false">
      <c r="A65" s="32"/>
      <c r="B65" s="32"/>
      <c r="C65" s="33"/>
      <c r="D65" s="32"/>
      <c r="E65" s="32"/>
      <c r="F65" s="32"/>
      <c r="G65" s="35"/>
      <c r="H65" s="32"/>
      <c r="I65" s="35"/>
      <c r="J65" s="35"/>
      <c r="K65" s="34"/>
      <c r="L65" s="33"/>
      <c r="M65" s="37" t="str">
        <f aca="true">IF(OR(B65="",H65&lt;&gt;"Open",G65=""),"",IF(G65&lt;TODAY(),"Overdue",""))</f>
        <v/>
      </c>
    </row>
    <row r="66" customFormat="false" ht="15" hidden="false" customHeight="false" outlineLevel="0" collapsed="false">
      <c r="A66" s="32"/>
      <c r="B66" s="32"/>
      <c r="C66" s="33"/>
      <c r="D66" s="32"/>
      <c r="E66" s="32"/>
      <c r="F66" s="32"/>
      <c r="G66" s="35"/>
      <c r="H66" s="32"/>
      <c r="I66" s="35"/>
      <c r="J66" s="35"/>
      <c r="K66" s="34"/>
      <c r="L66" s="33"/>
      <c r="M66" s="37" t="str">
        <f aca="true">IF(OR(B66="",H66&lt;&gt;"Open",G66=""),"",IF(G66&lt;TODAY(),"Overdue",""))</f>
        <v/>
      </c>
    </row>
    <row r="67" customFormat="false" ht="15" hidden="false" customHeight="false" outlineLevel="0" collapsed="false">
      <c r="A67" s="32"/>
      <c r="B67" s="32"/>
      <c r="C67" s="33"/>
      <c r="D67" s="32"/>
      <c r="E67" s="32"/>
      <c r="F67" s="32"/>
      <c r="G67" s="35"/>
      <c r="H67" s="32"/>
      <c r="I67" s="35"/>
      <c r="J67" s="35"/>
      <c r="K67" s="34"/>
      <c r="L67" s="33"/>
      <c r="M67" s="37" t="str">
        <f aca="true">IF(OR(B67="",H67&lt;&gt;"Open",G67=""),"",IF(G67&lt;TODAY(),"Overdue",""))</f>
        <v/>
      </c>
    </row>
    <row r="68" customFormat="false" ht="15" hidden="false" customHeight="false" outlineLevel="0" collapsed="false">
      <c r="A68" s="32"/>
      <c r="B68" s="32"/>
      <c r="C68" s="33"/>
      <c r="D68" s="32"/>
      <c r="E68" s="32"/>
      <c r="F68" s="32"/>
      <c r="G68" s="35"/>
      <c r="H68" s="32"/>
      <c r="I68" s="35"/>
      <c r="J68" s="35"/>
      <c r="K68" s="34"/>
      <c r="L68" s="33"/>
      <c r="M68" s="37" t="str">
        <f aca="true">IF(OR(B68="",H68&lt;&gt;"Open",G68=""),"",IF(G68&lt;TODAY(),"Overdue",""))</f>
        <v/>
      </c>
    </row>
    <row r="69" customFormat="false" ht="15" hidden="false" customHeight="false" outlineLevel="0" collapsed="false">
      <c r="A69" s="32"/>
      <c r="B69" s="32"/>
      <c r="C69" s="33"/>
      <c r="D69" s="32"/>
      <c r="E69" s="32"/>
      <c r="F69" s="32"/>
      <c r="G69" s="35"/>
      <c r="H69" s="32"/>
      <c r="I69" s="35"/>
      <c r="J69" s="35"/>
      <c r="K69" s="34"/>
      <c r="L69" s="33"/>
      <c r="M69" s="37" t="str">
        <f aca="true">IF(OR(B69="",H69&lt;&gt;"Open",G69=""),"",IF(G69&lt;TODAY(),"Overdue",""))</f>
        <v/>
      </c>
    </row>
    <row r="70" customFormat="false" ht="15" hidden="false" customHeight="false" outlineLevel="0" collapsed="false">
      <c r="A70" s="32"/>
      <c r="B70" s="32"/>
      <c r="C70" s="33"/>
      <c r="D70" s="32"/>
      <c r="E70" s="32"/>
      <c r="F70" s="32"/>
      <c r="G70" s="35"/>
      <c r="H70" s="32"/>
      <c r="I70" s="35"/>
      <c r="J70" s="35"/>
      <c r="K70" s="34"/>
      <c r="L70" s="33"/>
      <c r="M70" s="37" t="str">
        <f aca="true">IF(OR(B70="",H70&lt;&gt;"Open",G70=""),"",IF(G70&lt;TODAY(),"Overdue",""))</f>
        <v/>
      </c>
    </row>
    <row r="71" customFormat="false" ht="15" hidden="false" customHeight="false" outlineLevel="0" collapsed="false">
      <c r="A71" s="32"/>
      <c r="B71" s="32"/>
      <c r="C71" s="33"/>
      <c r="D71" s="32"/>
      <c r="E71" s="32"/>
      <c r="F71" s="32"/>
      <c r="G71" s="35"/>
      <c r="H71" s="32"/>
      <c r="I71" s="35"/>
      <c r="J71" s="35"/>
      <c r="K71" s="34"/>
      <c r="L71" s="33"/>
      <c r="M71" s="37" t="str">
        <f aca="true">IF(OR(B71="",H71&lt;&gt;"Open",G71=""),"",IF(G71&lt;TODAY(),"Overdue",""))</f>
        <v/>
      </c>
    </row>
    <row r="72" customFormat="false" ht="15" hidden="false" customHeight="false" outlineLevel="0" collapsed="false">
      <c r="A72" s="32"/>
      <c r="B72" s="32"/>
      <c r="C72" s="33"/>
      <c r="D72" s="32"/>
      <c r="E72" s="32"/>
      <c r="F72" s="32"/>
      <c r="G72" s="35"/>
      <c r="H72" s="32"/>
      <c r="I72" s="35"/>
      <c r="J72" s="35"/>
      <c r="K72" s="34"/>
      <c r="L72" s="33"/>
      <c r="M72" s="37" t="str">
        <f aca="true">IF(OR(B72="",H72&lt;&gt;"Open",G72=""),"",IF(G72&lt;TODAY(),"Overdue",""))</f>
        <v/>
      </c>
    </row>
    <row r="73" customFormat="false" ht="15" hidden="false" customHeight="false" outlineLevel="0" collapsed="false">
      <c r="A73" s="32"/>
      <c r="B73" s="32"/>
      <c r="C73" s="33"/>
      <c r="D73" s="32"/>
      <c r="E73" s="32"/>
      <c r="F73" s="32"/>
      <c r="G73" s="35"/>
      <c r="H73" s="32"/>
      <c r="I73" s="35"/>
      <c r="J73" s="35"/>
      <c r="K73" s="34"/>
      <c r="L73" s="33"/>
      <c r="M73" s="37" t="str">
        <f aca="true">IF(OR(B73="",H73&lt;&gt;"Open",G73=""),"",IF(G73&lt;TODAY(),"Overdue",""))</f>
        <v/>
      </c>
    </row>
    <row r="74" customFormat="false" ht="15" hidden="false" customHeight="false" outlineLevel="0" collapsed="false">
      <c r="A74" s="32"/>
      <c r="B74" s="32"/>
      <c r="C74" s="33"/>
      <c r="D74" s="32"/>
      <c r="E74" s="32"/>
      <c r="F74" s="32"/>
      <c r="G74" s="35"/>
      <c r="H74" s="32"/>
      <c r="I74" s="35"/>
      <c r="J74" s="35"/>
      <c r="K74" s="34"/>
      <c r="L74" s="33"/>
      <c r="M74" s="37" t="str">
        <f aca="true">IF(OR(B74="",H74&lt;&gt;"Open",G74=""),"",IF(G74&lt;TODAY(),"Overdue",""))</f>
        <v/>
      </c>
    </row>
    <row r="75" customFormat="false" ht="15" hidden="false" customHeight="false" outlineLevel="0" collapsed="false">
      <c r="A75" s="32"/>
      <c r="B75" s="32"/>
      <c r="C75" s="33"/>
      <c r="D75" s="32"/>
      <c r="E75" s="32"/>
      <c r="F75" s="32"/>
      <c r="G75" s="35"/>
      <c r="H75" s="32"/>
      <c r="I75" s="35"/>
      <c r="J75" s="35"/>
      <c r="K75" s="34"/>
      <c r="L75" s="33"/>
      <c r="M75" s="37" t="str">
        <f aca="true">IF(OR(B75="",H75&lt;&gt;"Open",G75=""),"",IF(G75&lt;TODAY(),"Overdue",""))</f>
        <v/>
      </c>
    </row>
    <row r="76" customFormat="false" ht="15" hidden="false" customHeight="false" outlineLevel="0" collapsed="false">
      <c r="A76" s="32"/>
      <c r="B76" s="32"/>
      <c r="C76" s="33"/>
      <c r="D76" s="32"/>
      <c r="E76" s="32"/>
      <c r="F76" s="32"/>
      <c r="G76" s="35"/>
      <c r="H76" s="32"/>
      <c r="I76" s="35"/>
      <c r="J76" s="35"/>
      <c r="K76" s="34"/>
      <c r="L76" s="33"/>
      <c r="M76" s="37" t="str">
        <f aca="true">IF(OR(B76="",H76&lt;&gt;"Open",G76=""),"",IF(G76&lt;TODAY(),"Overdue",""))</f>
        <v/>
      </c>
    </row>
    <row r="77" customFormat="false" ht="15" hidden="false" customHeight="false" outlineLevel="0" collapsed="false">
      <c r="A77" s="32"/>
      <c r="B77" s="32"/>
      <c r="C77" s="33"/>
      <c r="D77" s="32"/>
      <c r="E77" s="32"/>
      <c r="F77" s="32"/>
      <c r="G77" s="35"/>
      <c r="H77" s="32"/>
      <c r="I77" s="35"/>
      <c r="J77" s="35"/>
      <c r="K77" s="34"/>
      <c r="L77" s="33"/>
      <c r="M77" s="37" t="str">
        <f aca="true">IF(OR(B77="",H77&lt;&gt;"Open",G77=""),"",IF(G77&lt;TODAY(),"Overdue",""))</f>
        <v/>
      </c>
    </row>
    <row r="78" customFormat="false" ht="15" hidden="false" customHeight="false" outlineLevel="0" collapsed="false">
      <c r="A78" s="32"/>
      <c r="B78" s="32"/>
      <c r="C78" s="33"/>
      <c r="D78" s="32"/>
      <c r="E78" s="32"/>
      <c r="F78" s="32"/>
      <c r="G78" s="35"/>
      <c r="H78" s="32"/>
      <c r="I78" s="35"/>
      <c r="J78" s="35"/>
      <c r="K78" s="34"/>
      <c r="L78" s="33"/>
      <c r="M78" s="37" t="str">
        <f aca="true">IF(OR(B78="",H78&lt;&gt;"Open",G78=""),"",IF(G78&lt;TODAY(),"Overdue",""))</f>
        <v/>
      </c>
    </row>
    <row r="79" customFormat="false" ht="15" hidden="false" customHeight="false" outlineLevel="0" collapsed="false">
      <c r="A79" s="32"/>
      <c r="B79" s="32"/>
      <c r="C79" s="33"/>
      <c r="D79" s="32"/>
      <c r="E79" s="32"/>
      <c r="F79" s="32"/>
      <c r="G79" s="35"/>
      <c r="H79" s="32"/>
      <c r="I79" s="35"/>
      <c r="J79" s="35"/>
      <c r="K79" s="34"/>
      <c r="L79" s="33"/>
      <c r="M79" s="37" t="str">
        <f aca="true">IF(OR(B79="",H79&lt;&gt;"Open",G79=""),"",IF(G79&lt;TODAY(),"Overdue",""))</f>
        <v/>
      </c>
    </row>
    <row r="80" customFormat="false" ht="15" hidden="false" customHeight="false" outlineLevel="0" collapsed="false">
      <c r="A80" s="32"/>
      <c r="B80" s="32"/>
      <c r="C80" s="33"/>
      <c r="D80" s="32"/>
      <c r="E80" s="32"/>
      <c r="F80" s="32"/>
      <c r="G80" s="35"/>
      <c r="H80" s="32"/>
      <c r="I80" s="35"/>
      <c r="J80" s="35"/>
      <c r="K80" s="34"/>
      <c r="L80" s="33"/>
      <c r="M80" s="37" t="str">
        <f aca="true">IF(OR(B80="",H80&lt;&gt;"Open",G80=""),"",IF(G80&lt;TODAY(),"Overdue",""))</f>
        <v/>
      </c>
    </row>
    <row r="81" customFormat="false" ht="15" hidden="false" customHeight="false" outlineLevel="0" collapsed="false">
      <c r="A81" s="32"/>
      <c r="B81" s="32"/>
      <c r="C81" s="33"/>
      <c r="D81" s="32"/>
      <c r="E81" s="32"/>
      <c r="F81" s="32"/>
      <c r="G81" s="35"/>
      <c r="H81" s="32"/>
      <c r="I81" s="35"/>
      <c r="J81" s="35"/>
      <c r="K81" s="34"/>
      <c r="L81" s="33"/>
      <c r="M81" s="37" t="str">
        <f aca="true">IF(OR(B81="",H81&lt;&gt;"Open",G81=""),"",IF(G81&lt;TODAY(),"Overdue",""))</f>
        <v/>
      </c>
    </row>
    <row r="82" customFormat="false" ht="15" hidden="false" customHeight="false" outlineLevel="0" collapsed="false">
      <c r="A82" s="32"/>
      <c r="B82" s="32"/>
      <c r="C82" s="33"/>
      <c r="D82" s="32"/>
      <c r="E82" s="32"/>
      <c r="F82" s="32"/>
      <c r="G82" s="35"/>
      <c r="H82" s="32"/>
      <c r="I82" s="35"/>
      <c r="J82" s="35"/>
      <c r="K82" s="34"/>
      <c r="L82" s="33"/>
      <c r="M82" s="37" t="str">
        <f aca="true">IF(OR(B82="",H82&lt;&gt;"Open",G82=""),"",IF(G82&lt;TODAY(),"Overdue",""))</f>
        <v/>
      </c>
    </row>
    <row r="83" customFormat="false" ht="15" hidden="false" customHeight="false" outlineLevel="0" collapsed="false">
      <c r="A83" s="32"/>
      <c r="B83" s="32"/>
      <c r="C83" s="33"/>
      <c r="D83" s="32"/>
      <c r="E83" s="32"/>
      <c r="F83" s="32"/>
      <c r="G83" s="35"/>
      <c r="H83" s="32"/>
      <c r="I83" s="35"/>
      <c r="J83" s="35"/>
      <c r="K83" s="34"/>
      <c r="L83" s="33"/>
      <c r="M83" s="37" t="str">
        <f aca="true">IF(OR(B83="",H83&lt;&gt;"Open",G83=""),"",IF(G83&lt;TODAY(),"Overdue",""))</f>
        <v/>
      </c>
    </row>
    <row r="84" customFormat="false" ht="15" hidden="false" customHeight="false" outlineLevel="0" collapsed="false">
      <c r="A84" s="32"/>
      <c r="B84" s="32"/>
      <c r="C84" s="33"/>
      <c r="D84" s="32"/>
      <c r="E84" s="32"/>
      <c r="F84" s="32"/>
      <c r="G84" s="35"/>
      <c r="H84" s="32"/>
      <c r="I84" s="35"/>
      <c r="J84" s="35"/>
      <c r="K84" s="34"/>
      <c r="L84" s="33"/>
      <c r="M84" s="37" t="str">
        <f aca="true">IF(OR(B84="",H84&lt;&gt;"Open",G84=""),"",IF(G84&lt;TODAY(),"Overdue",""))</f>
        <v/>
      </c>
    </row>
    <row r="85" customFormat="false" ht="15" hidden="false" customHeight="false" outlineLevel="0" collapsed="false">
      <c r="A85" s="32"/>
      <c r="B85" s="32"/>
      <c r="C85" s="33"/>
      <c r="D85" s="32"/>
      <c r="E85" s="32"/>
      <c r="F85" s="32"/>
      <c r="G85" s="35"/>
      <c r="H85" s="32"/>
      <c r="I85" s="35"/>
      <c r="J85" s="35"/>
      <c r="K85" s="34"/>
      <c r="L85" s="33"/>
      <c r="M85" s="37" t="str">
        <f aca="true">IF(OR(B85="",H85&lt;&gt;"Open",G85=""),"",IF(G85&lt;TODAY(),"Overdue",""))</f>
        <v/>
      </c>
    </row>
    <row r="86" customFormat="false" ht="15" hidden="false" customHeight="false" outlineLevel="0" collapsed="false">
      <c r="A86" s="32"/>
      <c r="B86" s="32"/>
      <c r="C86" s="33"/>
      <c r="D86" s="32"/>
      <c r="E86" s="32"/>
      <c r="F86" s="32"/>
      <c r="G86" s="35"/>
      <c r="H86" s="32"/>
      <c r="I86" s="35"/>
      <c r="J86" s="35"/>
      <c r="K86" s="34"/>
      <c r="L86" s="33"/>
      <c r="M86" s="37" t="str">
        <f aca="true">IF(OR(B86="",H86&lt;&gt;"Open",G86=""),"",IF(G86&lt;TODAY(),"Overdue",""))</f>
        <v/>
      </c>
    </row>
    <row r="87" customFormat="false" ht="15" hidden="false" customHeight="false" outlineLevel="0" collapsed="false">
      <c r="A87" s="32"/>
      <c r="B87" s="32"/>
      <c r="C87" s="33"/>
      <c r="D87" s="32"/>
      <c r="E87" s="32"/>
      <c r="F87" s="32"/>
      <c r="G87" s="35"/>
      <c r="H87" s="32"/>
      <c r="I87" s="35"/>
      <c r="J87" s="35"/>
      <c r="K87" s="34"/>
      <c r="L87" s="33"/>
      <c r="M87" s="37" t="str">
        <f aca="true">IF(OR(B87="",H87&lt;&gt;"Open",G87=""),"",IF(G87&lt;TODAY(),"Overdue",""))</f>
        <v/>
      </c>
    </row>
    <row r="88" customFormat="false" ht="15" hidden="false" customHeight="false" outlineLevel="0" collapsed="false">
      <c r="A88" s="32"/>
      <c r="B88" s="32"/>
      <c r="C88" s="33"/>
      <c r="D88" s="32"/>
      <c r="E88" s="32"/>
      <c r="F88" s="32"/>
      <c r="G88" s="35"/>
      <c r="H88" s="32"/>
      <c r="I88" s="35"/>
      <c r="J88" s="35"/>
      <c r="K88" s="34"/>
      <c r="L88" s="33"/>
      <c r="M88" s="37" t="str">
        <f aca="true">IF(OR(B88="",H88&lt;&gt;"Open",G88=""),"",IF(G88&lt;TODAY(),"Overdue",""))</f>
        <v/>
      </c>
    </row>
    <row r="89" customFormat="false" ht="15" hidden="false" customHeight="false" outlineLevel="0" collapsed="false">
      <c r="A89" s="32"/>
      <c r="B89" s="32"/>
      <c r="C89" s="33"/>
      <c r="D89" s="32"/>
      <c r="E89" s="32"/>
      <c r="F89" s="32"/>
      <c r="G89" s="35"/>
      <c r="H89" s="32"/>
      <c r="I89" s="35"/>
      <c r="J89" s="35"/>
      <c r="K89" s="34"/>
      <c r="L89" s="33"/>
      <c r="M89" s="37" t="str">
        <f aca="true">IF(OR(B89="",H89&lt;&gt;"Open",G89=""),"",IF(G89&lt;TODAY(),"Overdue",""))</f>
        <v/>
      </c>
    </row>
    <row r="90" customFormat="false" ht="15" hidden="false" customHeight="false" outlineLevel="0" collapsed="false">
      <c r="A90" s="32"/>
      <c r="B90" s="32"/>
      <c r="C90" s="33"/>
      <c r="D90" s="32"/>
      <c r="E90" s="32"/>
      <c r="F90" s="32"/>
      <c r="G90" s="35"/>
      <c r="H90" s="32"/>
      <c r="I90" s="35"/>
      <c r="J90" s="35"/>
      <c r="K90" s="34"/>
      <c r="L90" s="33"/>
      <c r="M90" s="37" t="str">
        <f aca="true">IF(OR(B90="",H90&lt;&gt;"Open",G90=""),"",IF(G90&lt;TODAY(),"Overdue",""))</f>
        <v/>
      </c>
    </row>
    <row r="91" customFormat="false" ht="15" hidden="false" customHeight="false" outlineLevel="0" collapsed="false">
      <c r="A91" s="32"/>
      <c r="B91" s="32"/>
      <c r="C91" s="33"/>
      <c r="D91" s="32"/>
      <c r="E91" s="32"/>
      <c r="F91" s="32"/>
      <c r="G91" s="35"/>
      <c r="H91" s="32"/>
      <c r="I91" s="35"/>
      <c r="J91" s="35"/>
      <c r="K91" s="34"/>
      <c r="L91" s="33"/>
      <c r="M91" s="37" t="str">
        <f aca="true">IF(OR(B91="",H91&lt;&gt;"Open",G91=""),"",IF(G91&lt;TODAY(),"Overdue",""))</f>
        <v/>
      </c>
    </row>
    <row r="92" customFormat="false" ht="15" hidden="false" customHeight="false" outlineLevel="0" collapsed="false">
      <c r="A92" s="32"/>
      <c r="B92" s="32"/>
      <c r="C92" s="33"/>
      <c r="D92" s="32"/>
      <c r="E92" s="32"/>
      <c r="F92" s="32"/>
      <c r="G92" s="35"/>
      <c r="H92" s="32"/>
      <c r="I92" s="35"/>
      <c r="J92" s="35"/>
      <c r="K92" s="34"/>
      <c r="L92" s="33"/>
      <c r="M92" s="37" t="str">
        <f aca="true">IF(OR(B92="",H92&lt;&gt;"Open",G92=""),"",IF(G92&lt;TODAY(),"Overdue",""))</f>
        <v/>
      </c>
    </row>
    <row r="93" customFormat="false" ht="15" hidden="false" customHeight="false" outlineLevel="0" collapsed="false">
      <c r="A93" s="32"/>
      <c r="B93" s="32"/>
      <c r="C93" s="33"/>
      <c r="D93" s="32"/>
      <c r="E93" s="32"/>
      <c r="F93" s="32"/>
      <c r="G93" s="35"/>
      <c r="H93" s="32"/>
      <c r="I93" s="35"/>
      <c r="J93" s="35"/>
      <c r="K93" s="34"/>
      <c r="L93" s="33"/>
      <c r="M93" s="37" t="str">
        <f aca="true">IF(OR(B93="",H93&lt;&gt;"Open",G93=""),"",IF(G93&lt;TODAY(),"Overdue",""))</f>
        <v/>
      </c>
    </row>
    <row r="94" customFormat="false" ht="15" hidden="false" customHeight="false" outlineLevel="0" collapsed="false">
      <c r="A94" s="32"/>
      <c r="B94" s="32"/>
      <c r="C94" s="33"/>
      <c r="D94" s="32"/>
      <c r="E94" s="32"/>
      <c r="F94" s="32"/>
      <c r="G94" s="35"/>
      <c r="H94" s="32"/>
      <c r="I94" s="35"/>
      <c r="J94" s="35"/>
      <c r="K94" s="34"/>
      <c r="L94" s="33"/>
      <c r="M94" s="37" t="str">
        <f aca="true">IF(OR(B94="",H94&lt;&gt;"Open",G94=""),"",IF(G94&lt;TODAY(),"Overdue",""))</f>
        <v/>
      </c>
    </row>
    <row r="95" customFormat="false" ht="15" hidden="false" customHeight="false" outlineLevel="0" collapsed="false">
      <c r="A95" s="32"/>
      <c r="B95" s="32"/>
      <c r="C95" s="33"/>
      <c r="D95" s="32"/>
      <c r="E95" s="32"/>
      <c r="F95" s="32"/>
      <c r="G95" s="35"/>
      <c r="H95" s="32"/>
      <c r="I95" s="35"/>
      <c r="J95" s="35"/>
      <c r="K95" s="34"/>
      <c r="L95" s="33"/>
      <c r="M95" s="37" t="str">
        <f aca="true">IF(OR(B95="",H95&lt;&gt;"Open",G95=""),"",IF(G95&lt;TODAY(),"Overdue",""))</f>
        <v/>
      </c>
    </row>
    <row r="96" customFormat="false" ht="15" hidden="false" customHeight="false" outlineLevel="0" collapsed="false">
      <c r="A96" s="32"/>
      <c r="B96" s="32"/>
      <c r="C96" s="33"/>
      <c r="D96" s="32"/>
      <c r="E96" s="32"/>
      <c r="F96" s="32"/>
      <c r="G96" s="35"/>
      <c r="H96" s="32"/>
      <c r="I96" s="35"/>
      <c r="J96" s="35"/>
      <c r="K96" s="34"/>
      <c r="L96" s="33"/>
      <c r="M96" s="37" t="str">
        <f aca="true">IF(OR(B96="",H96&lt;&gt;"Open",G96=""),"",IF(G96&lt;TODAY(),"Overdue",""))</f>
        <v/>
      </c>
    </row>
    <row r="97" customFormat="false" ht="15" hidden="false" customHeight="false" outlineLevel="0" collapsed="false">
      <c r="A97" s="32"/>
      <c r="B97" s="32"/>
      <c r="C97" s="33"/>
      <c r="D97" s="32"/>
      <c r="E97" s="32"/>
      <c r="F97" s="32"/>
      <c r="G97" s="35"/>
      <c r="H97" s="32"/>
      <c r="I97" s="35"/>
      <c r="J97" s="35"/>
      <c r="K97" s="34"/>
      <c r="L97" s="33"/>
      <c r="M97" s="37" t="str">
        <f aca="true">IF(OR(B97="",H97&lt;&gt;"Open",G97=""),"",IF(G97&lt;TODAY(),"Overdue",""))</f>
        <v/>
      </c>
    </row>
    <row r="98" customFormat="false" ht="15" hidden="false" customHeight="false" outlineLevel="0" collapsed="false">
      <c r="A98" s="32"/>
      <c r="B98" s="32"/>
      <c r="C98" s="33"/>
      <c r="D98" s="32"/>
      <c r="E98" s="32"/>
      <c r="F98" s="32"/>
      <c r="G98" s="35"/>
      <c r="H98" s="32"/>
      <c r="I98" s="35"/>
      <c r="J98" s="35"/>
      <c r="K98" s="34"/>
      <c r="L98" s="33"/>
      <c r="M98" s="37" t="str">
        <f aca="true">IF(OR(B98="",H98&lt;&gt;"Open",G98=""),"",IF(G98&lt;TODAY(),"Overdue",""))</f>
        <v/>
      </c>
    </row>
    <row r="99" customFormat="false" ht="15" hidden="false" customHeight="false" outlineLevel="0" collapsed="false">
      <c r="A99" s="32"/>
      <c r="B99" s="32"/>
      <c r="C99" s="33"/>
      <c r="D99" s="32"/>
      <c r="E99" s="32"/>
      <c r="F99" s="32"/>
      <c r="G99" s="35"/>
      <c r="H99" s="32"/>
      <c r="I99" s="35"/>
      <c r="J99" s="35"/>
      <c r="K99" s="34"/>
      <c r="L99" s="33"/>
      <c r="M99" s="37" t="str">
        <f aca="true">IF(OR(B99="",H99&lt;&gt;"Open",G99=""),"",IF(G99&lt;TODAY(),"Overdue",""))</f>
        <v/>
      </c>
    </row>
    <row r="100" customFormat="false" ht="15" hidden="false" customHeight="false" outlineLevel="0" collapsed="false">
      <c r="A100" s="32"/>
      <c r="B100" s="32"/>
      <c r="C100" s="33"/>
      <c r="D100" s="32"/>
      <c r="E100" s="32"/>
      <c r="F100" s="32"/>
      <c r="G100" s="35"/>
      <c r="H100" s="32"/>
      <c r="I100" s="35"/>
      <c r="J100" s="35"/>
      <c r="K100" s="34"/>
      <c r="L100" s="33"/>
      <c r="M100" s="37" t="str">
        <f aca="true">IF(OR(B100="",H100&lt;&gt;"Open",G100=""),"",IF(G100&lt;TODAY(),"Overdue",""))</f>
        <v/>
      </c>
    </row>
    <row r="101" customFormat="false" ht="15" hidden="false" customHeight="false" outlineLevel="0" collapsed="false">
      <c r="A101" s="32"/>
      <c r="B101" s="32"/>
      <c r="C101" s="33"/>
      <c r="D101" s="32"/>
      <c r="E101" s="32"/>
      <c r="F101" s="32"/>
      <c r="G101" s="35"/>
      <c r="H101" s="32"/>
      <c r="I101" s="35"/>
      <c r="J101" s="35"/>
      <c r="K101" s="34"/>
      <c r="L101" s="33"/>
      <c r="M101" s="37" t="str">
        <f aca="true">IF(OR(B101="",H101&lt;&gt;"Open",G101=""),"",IF(G101&lt;TODAY(),"Overdue",""))</f>
        <v/>
      </c>
    </row>
    <row r="102" customFormat="false" ht="15" hidden="false" customHeight="false" outlineLevel="0" collapsed="false">
      <c r="A102" s="32"/>
      <c r="B102" s="32"/>
      <c r="C102" s="33"/>
      <c r="D102" s="32"/>
      <c r="E102" s="32"/>
      <c r="F102" s="32"/>
      <c r="G102" s="35"/>
      <c r="H102" s="32"/>
      <c r="I102" s="35"/>
      <c r="J102" s="35"/>
      <c r="K102" s="34"/>
      <c r="L102" s="33"/>
      <c r="M102" s="37" t="str">
        <f aca="true">IF(OR(B102="",H102&lt;&gt;"Open",G102=""),"",IF(G102&lt;TODAY(),"Overdue",""))</f>
        <v/>
      </c>
    </row>
    <row r="103" customFormat="false" ht="15" hidden="false" customHeight="false" outlineLevel="0" collapsed="false">
      <c r="A103" s="32"/>
      <c r="B103" s="32"/>
      <c r="C103" s="33"/>
      <c r="D103" s="32"/>
      <c r="E103" s="32"/>
      <c r="F103" s="32"/>
      <c r="G103" s="35"/>
      <c r="H103" s="32"/>
      <c r="I103" s="35"/>
      <c r="J103" s="35"/>
      <c r="K103" s="34"/>
      <c r="L103" s="33"/>
      <c r="M103" s="37" t="str">
        <f aca="true">IF(OR(B103="",H103&lt;&gt;"Open",G103=""),"",IF(G103&lt;TODAY(),"Overdue",""))</f>
        <v/>
      </c>
    </row>
    <row r="104" customFormat="false" ht="15" hidden="false" customHeight="false" outlineLevel="0" collapsed="false">
      <c r="A104" s="32"/>
      <c r="B104" s="32"/>
      <c r="C104" s="33"/>
      <c r="D104" s="32"/>
      <c r="E104" s="32"/>
      <c r="F104" s="32"/>
      <c r="G104" s="35"/>
      <c r="H104" s="32"/>
      <c r="I104" s="35"/>
      <c r="J104" s="35"/>
      <c r="K104" s="34"/>
      <c r="L104" s="33"/>
      <c r="M104" s="37" t="str">
        <f aca="true">IF(OR(B104="",H104&lt;&gt;"Open",G104=""),"",IF(G104&lt;TODAY(),"Overdue",""))</f>
        <v/>
      </c>
    </row>
    <row r="105" customFormat="false" ht="15" hidden="false" customHeight="false" outlineLevel="0" collapsed="false">
      <c r="A105" s="32"/>
      <c r="B105" s="32"/>
      <c r="C105" s="33"/>
      <c r="D105" s="32"/>
      <c r="E105" s="32"/>
      <c r="F105" s="32"/>
      <c r="G105" s="35"/>
      <c r="H105" s="32"/>
      <c r="I105" s="35"/>
      <c r="J105" s="35"/>
      <c r="K105" s="34"/>
      <c r="L105" s="33"/>
      <c r="M105" s="37" t="str">
        <f aca="true">IF(OR(B105="",H105&lt;&gt;"Open",G105=""),"",IF(G105&lt;TODAY(),"Overdue",""))</f>
        <v/>
      </c>
    </row>
    <row r="106" customFormat="false" ht="15" hidden="false" customHeight="false" outlineLevel="0" collapsed="false">
      <c r="A106" s="32"/>
      <c r="B106" s="32"/>
      <c r="C106" s="33"/>
      <c r="D106" s="32"/>
      <c r="E106" s="32"/>
      <c r="F106" s="32"/>
      <c r="G106" s="35"/>
      <c r="H106" s="32"/>
      <c r="I106" s="35"/>
      <c r="J106" s="35"/>
      <c r="K106" s="34"/>
      <c r="L106" s="33"/>
      <c r="M106" s="37" t="str">
        <f aca="true">IF(OR(B106="",H106&lt;&gt;"Open",G106=""),"",IF(G106&lt;TODAY(),"Overdue",""))</f>
        <v/>
      </c>
    </row>
    <row r="107" customFormat="false" ht="15" hidden="false" customHeight="false" outlineLevel="0" collapsed="false">
      <c r="A107" s="32"/>
      <c r="B107" s="32"/>
      <c r="C107" s="33"/>
      <c r="D107" s="32"/>
      <c r="E107" s="32"/>
      <c r="F107" s="32"/>
      <c r="G107" s="35"/>
      <c r="H107" s="32"/>
      <c r="I107" s="35"/>
      <c r="J107" s="35"/>
      <c r="K107" s="34"/>
      <c r="L107" s="33"/>
      <c r="M107" s="37" t="str">
        <f aca="true">IF(OR(B107="",H107&lt;&gt;"Open",G107=""),"",IF(G107&lt;TODAY(),"Overdue",""))</f>
        <v/>
      </c>
    </row>
    <row r="108" customFormat="false" ht="15" hidden="false" customHeight="false" outlineLevel="0" collapsed="false">
      <c r="A108" s="32"/>
      <c r="B108" s="32"/>
      <c r="C108" s="33"/>
      <c r="D108" s="32"/>
      <c r="E108" s="32"/>
      <c r="F108" s="32"/>
      <c r="G108" s="35"/>
      <c r="H108" s="32"/>
      <c r="I108" s="35"/>
      <c r="J108" s="35"/>
      <c r="K108" s="34"/>
      <c r="L108" s="33"/>
      <c r="M108" s="37" t="str">
        <f aca="true">IF(OR(B108="",H108&lt;&gt;"Open",G108=""),"",IF(G108&lt;TODAY(),"Overdue",""))</f>
        <v/>
      </c>
    </row>
    <row r="109" customFormat="false" ht="15" hidden="false" customHeight="false" outlineLevel="0" collapsed="false">
      <c r="A109" s="32"/>
      <c r="B109" s="32"/>
      <c r="C109" s="33"/>
      <c r="D109" s="32"/>
      <c r="E109" s="32"/>
      <c r="F109" s="32"/>
      <c r="G109" s="35"/>
      <c r="H109" s="32"/>
      <c r="I109" s="35"/>
      <c r="J109" s="35"/>
      <c r="K109" s="34"/>
      <c r="L109" s="33"/>
      <c r="M109" s="37" t="str">
        <f aca="true">IF(OR(B109="",H109&lt;&gt;"Open",G109=""),"",IF(G109&lt;TODAY(),"Overdue",""))</f>
        <v/>
      </c>
    </row>
    <row r="110" customFormat="false" ht="15" hidden="false" customHeight="false" outlineLevel="0" collapsed="false">
      <c r="A110" s="32"/>
      <c r="B110" s="32"/>
      <c r="C110" s="33"/>
      <c r="D110" s="32"/>
      <c r="E110" s="32"/>
      <c r="F110" s="32"/>
      <c r="G110" s="35"/>
      <c r="H110" s="32"/>
      <c r="I110" s="35"/>
      <c r="J110" s="35"/>
      <c r="K110" s="34"/>
      <c r="L110" s="33"/>
      <c r="M110" s="37" t="str">
        <f aca="true">IF(OR(B110="",H110&lt;&gt;"Open",G110=""),"",IF(G110&lt;TODAY(),"Overdue",""))</f>
        <v/>
      </c>
    </row>
    <row r="111" customFormat="false" ht="15" hidden="false" customHeight="false" outlineLevel="0" collapsed="false">
      <c r="A111" s="32"/>
      <c r="B111" s="32"/>
      <c r="C111" s="33"/>
      <c r="D111" s="32"/>
      <c r="E111" s="32"/>
      <c r="F111" s="32"/>
      <c r="G111" s="35"/>
      <c r="H111" s="32"/>
      <c r="I111" s="35"/>
      <c r="J111" s="35"/>
      <c r="K111" s="34"/>
      <c r="L111" s="33"/>
      <c r="M111" s="37" t="str">
        <f aca="true">IF(OR(B111="",H111&lt;&gt;"Open",G111=""),"",IF(G111&lt;TODAY(),"Overdue",""))</f>
        <v/>
      </c>
    </row>
    <row r="112" customFormat="false" ht="15" hidden="false" customHeight="false" outlineLevel="0" collapsed="false">
      <c r="A112" s="32"/>
      <c r="B112" s="32"/>
      <c r="C112" s="33"/>
      <c r="D112" s="32"/>
      <c r="E112" s="32"/>
      <c r="F112" s="32"/>
      <c r="G112" s="35"/>
      <c r="H112" s="32"/>
      <c r="I112" s="35"/>
      <c r="J112" s="35"/>
      <c r="K112" s="34"/>
      <c r="L112" s="33"/>
      <c r="M112" s="37" t="str">
        <f aca="true">IF(OR(B112="",H112&lt;&gt;"Open",G112=""),"",IF(G112&lt;TODAY(),"Overdue",""))</f>
        <v/>
      </c>
    </row>
    <row r="113" customFormat="false" ht="15" hidden="false" customHeight="false" outlineLevel="0" collapsed="false">
      <c r="A113" s="32"/>
      <c r="B113" s="32"/>
      <c r="C113" s="33"/>
      <c r="D113" s="32"/>
      <c r="E113" s="32"/>
      <c r="F113" s="32"/>
      <c r="G113" s="35"/>
      <c r="H113" s="32"/>
      <c r="I113" s="35"/>
      <c r="J113" s="35"/>
      <c r="K113" s="34"/>
      <c r="L113" s="33"/>
      <c r="M113" s="37" t="str">
        <f aca="true">IF(OR(B113="",H113&lt;&gt;"Open",G113=""),"",IF(G113&lt;TODAY(),"Overdue",""))</f>
        <v/>
      </c>
    </row>
    <row r="114" customFormat="false" ht="15" hidden="false" customHeight="false" outlineLevel="0" collapsed="false">
      <c r="A114" s="32"/>
      <c r="B114" s="32"/>
      <c r="C114" s="33"/>
      <c r="D114" s="32"/>
      <c r="E114" s="32"/>
      <c r="F114" s="32"/>
      <c r="G114" s="35"/>
      <c r="H114" s="32"/>
      <c r="I114" s="35"/>
      <c r="J114" s="35"/>
      <c r="K114" s="34"/>
      <c r="L114" s="33"/>
      <c r="M114" s="37" t="str">
        <f aca="true">IF(OR(B114="",H114&lt;&gt;"Open",G114=""),"",IF(G114&lt;TODAY(),"Overdue",""))</f>
        <v/>
      </c>
    </row>
    <row r="115" customFormat="false" ht="15" hidden="false" customHeight="false" outlineLevel="0" collapsed="false">
      <c r="A115" s="32"/>
      <c r="B115" s="32"/>
      <c r="C115" s="33"/>
      <c r="D115" s="32"/>
      <c r="E115" s="32"/>
      <c r="F115" s="32"/>
      <c r="G115" s="35"/>
      <c r="H115" s="32"/>
      <c r="I115" s="35"/>
      <c r="J115" s="35"/>
      <c r="K115" s="34"/>
      <c r="L115" s="33"/>
      <c r="M115" s="37" t="str">
        <f aca="true">IF(OR(B115="",H115&lt;&gt;"Open",G115=""),"",IF(G115&lt;TODAY(),"Overdue",""))</f>
        <v/>
      </c>
    </row>
    <row r="116" customFormat="false" ht="15" hidden="false" customHeight="false" outlineLevel="0" collapsed="false">
      <c r="A116" s="32"/>
      <c r="B116" s="32"/>
      <c r="C116" s="33"/>
      <c r="D116" s="32"/>
      <c r="E116" s="32"/>
      <c r="F116" s="32"/>
      <c r="G116" s="35"/>
      <c r="H116" s="32"/>
      <c r="I116" s="35"/>
      <c r="J116" s="35"/>
      <c r="K116" s="34"/>
      <c r="L116" s="33"/>
      <c r="M116" s="37" t="str">
        <f aca="true">IF(OR(B116="",H116&lt;&gt;"Open",G116=""),"",IF(G116&lt;TODAY(),"Overdue",""))</f>
        <v/>
      </c>
    </row>
    <row r="117" customFormat="false" ht="15" hidden="false" customHeight="false" outlineLevel="0" collapsed="false">
      <c r="A117" s="32"/>
      <c r="B117" s="32"/>
      <c r="C117" s="33"/>
      <c r="D117" s="32"/>
      <c r="E117" s="32"/>
      <c r="F117" s="32"/>
      <c r="G117" s="35"/>
      <c r="H117" s="32"/>
      <c r="I117" s="35"/>
      <c r="J117" s="35"/>
      <c r="K117" s="34"/>
      <c r="L117" s="33"/>
      <c r="M117" s="37" t="str">
        <f aca="true">IF(OR(B117="",H117&lt;&gt;"Open",G117=""),"",IF(G117&lt;TODAY(),"Overdue",""))</f>
        <v/>
      </c>
    </row>
    <row r="118" customFormat="false" ht="15" hidden="false" customHeight="false" outlineLevel="0" collapsed="false">
      <c r="A118" s="32"/>
      <c r="B118" s="32"/>
      <c r="C118" s="33"/>
      <c r="D118" s="32"/>
      <c r="E118" s="32"/>
      <c r="F118" s="32"/>
      <c r="G118" s="35"/>
      <c r="H118" s="32"/>
      <c r="I118" s="35"/>
      <c r="J118" s="35"/>
      <c r="K118" s="34"/>
      <c r="L118" s="33"/>
      <c r="M118" s="37" t="str">
        <f aca="true">IF(OR(B118="",H118&lt;&gt;"Open",G118=""),"",IF(G118&lt;TODAY(),"Overdue",""))</f>
        <v/>
      </c>
    </row>
    <row r="119" customFormat="false" ht="15" hidden="false" customHeight="false" outlineLevel="0" collapsed="false">
      <c r="A119" s="32"/>
      <c r="B119" s="32"/>
      <c r="C119" s="33"/>
      <c r="D119" s="32"/>
      <c r="E119" s="32"/>
      <c r="F119" s="32"/>
      <c r="G119" s="35"/>
      <c r="H119" s="32"/>
      <c r="I119" s="35"/>
      <c r="J119" s="35"/>
      <c r="K119" s="34"/>
      <c r="L119" s="33"/>
      <c r="M119" s="37" t="str">
        <f aca="true">IF(OR(B119="",H119&lt;&gt;"Open",G119=""),"",IF(G119&lt;TODAY(),"Overdue",""))</f>
        <v/>
      </c>
    </row>
    <row r="120" customFormat="false" ht="15" hidden="false" customHeight="false" outlineLevel="0" collapsed="false">
      <c r="A120" s="32"/>
      <c r="B120" s="32"/>
      <c r="C120" s="33"/>
      <c r="D120" s="32"/>
      <c r="E120" s="32"/>
      <c r="F120" s="32"/>
      <c r="G120" s="35"/>
      <c r="H120" s="32"/>
      <c r="I120" s="35"/>
      <c r="J120" s="35"/>
      <c r="K120" s="34"/>
      <c r="L120" s="33"/>
      <c r="M120" s="37" t="str">
        <f aca="true">IF(OR(B120="",H120&lt;&gt;"Open",G120=""),"",IF(G120&lt;TODAY(),"Overdue",""))</f>
        <v/>
      </c>
    </row>
    <row r="121" customFormat="false" ht="15" hidden="false" customHeight="false" outlineLevel="0" collapsed="false">
      <c r="A121" s="32"/>
      <c r="B121" s="32"/>
      <c r="C121" s="33"/>
      <c r="D121" s="32"/>
      <c r="E121" s="32"/>
      <c r="F121" s="32"/>
      <c r="G121" s="35"/>
      <c r="H121" s="32"/>
      <c r="I121" s="35"/>
      <c r="J121" s="35"/>
      <c r="K121" s="34"/>
      <c r="L121" s="33"/>
      <c r="M121" s="37" t="str">
        <f aca="true">IF(OR(B121="",H121&lt;&gt;"Open",G121=""),"",IF(G121&lt;TODAY(),"Overdue",""))</f>
        <v/>
      </c>
    </row>
    <row r="122" customFormat="false" ht="15" hidden="false" customHeight="false" outlineLevel="0" collapsed="false">
      <c r="A122" s="32"/>
      <c r="B122" s="32"/>
      <c r="C122" s="33"/>
      <c r="D122" s="32"/>
      <c r="E122" s="32"/>
      <c r="F122" s="32"/>
      <c r="G122" s="35"/>
      <c r="H122" s="32"/>
      <c r="I122" s="35"/>
      <c r="J122" s="35"/>
      <c r="K122" s="34"/>
      <c r="L122" s="33"/>
      <c r="M122" s="37" t="str">
        <f aca="true">IF(OR(B122="",H122&lt;&gt;"Open",G122=""),"",IF(G122&lt;TODAY(),"Overdue",""))</f>
        <v/>
      </c>
    </row>
    <row r="123" customFormat="false" ht="15" hidden="false" customHeight="false" outlineLevel="0" collapsed="false">
      <c r="A123" s="32"/>
      <c r="B123" s="32"/>
      <c r="C123" s="33"/>
      <c r="D123" s="32"/>
      <c r="E123" s="32"/>
      <c r="F123" s="32"/>
      <c r="G123" s="35"/>
      <c r="H123" s="32"/>
      <c r="I123" s="35"/>
      <c r="J123" s="35"/>
      <c r="K123" s="34"/>
      <c r="L123" s="33"/>
      <c r="M123" s="37" t="str">
        <f aca="true">IF(OR(B123="",H123&lt;&gt;"Open",G123=""),"",IF(G123&lt;TODAY(),"Overdue",""))</f>
        <v/>
      </c>
    </row>
    <row r="124" customFormat="false" ht="15" hidden="false" customHeight="false" outlineLevel="0" collapsed="false">
      <c r="A124" s="32"/>
      <c r="B124" s="32"/>
      <c r="C124" s="33"/>
      <c r="D124" s="32"/>
      <c r="E124" s="32"/>
      <c r="F124" s="32"/>
      <c r="G124" s="35"/>
      <c r="H124" s="32"/>
      <c r="I124" s="35"/>
      <c r="J124" s="35"/>
      <c r="K124" s="34"/>
      <c r="L124" s="33"/>
      <c r="M124" s="37" t="str">
        <f aca="true">IF(OR(B124="",H124&lt;&gt;"Open",G124=""),"",IF(G124&lt;TODAY(),"Overdue",""))</f>
        <v/>
      </c>
    </row>
    <row r="125" customFormat="false" ht="15" hidden="false" customHeight="false" outlineLevel="0" collapsed="false">
      <c r="A125" s="32"/>
      <c r="B125" s="32"/>
      <c r="C125" s="33"/>
      <c r="D125" s="32"/>
      <c r="E125" s="32"/>
      <c r="F125" s="32"/>
      <c r="G125" s="35"/>
      <c r="H125" s="32"/>
      <c r="I125" s="35"/>
      <c r="J125" s="35"/>
      <c r="K125" s="34"/>
      <c r="L125" s="33"/>
      <c r="M125" s="37" t="str">
        <f aca="true">IF(OR(B125="",H125&lt;&gt;"Open",G125=""),"",IF(G125&lt;TODAY(),"Overdue",""))</f>
        <v/>
      </c>
    </row>
    <row r="126" customFormat="false" ht="15" hidden="false" customHeight="false" outlineLevel="0" collapsed="false">
      <c r="A126" s="32"/>
      <c r="B126" s="32"/>
      <c r="C126" s="33"/>
      <c r="D126" s="32"/>
      <c r="E126" s="32"/>
      <c r="F126" s="32"/>
      <c r="G126" s="35"/>
      <c r="H126" s="32"/>
      <c r="I126" s="35"/>
      <c r="J126" s="35"/>
      <c r="K126" s="34"/>
      <c r="L126" s="33"/>
      <c r="M126" s="37" t="str">
        <f aca="true">IF(OR(B126="",H126&lt;&gt;"Open",G126=""),"",IF(G126&lt;TODAY(),"Overdue",""))</f>
        <v/>
      </c>
    </row>
    <row r="127" customFormat="false" ht="15" hidden="false" customHeight="false" outlineLevel="0" collapsed="false">
      <c r="A127" s="32"/>
      <c r="B127" s="32"/>
      <c r="C127" s="33"/>
      <c r="D127" s="32"/>
      <c r="E127" s="32"/>
      <c r="F127" s="32"/>
      <c r="G127" s="35"/>
      <c r="H127" s="32"/>
      <c r="I127" s="35"/>
      <c r="J127" s="35"/>
      <c r="K127" s="34"/>
      <c r="L127" s="33"/>
      <c r="M127" s="37" t="str">
        <f aca="true">IF(OR(B127="",H127&lt;&gt;"Open",G127=""),"",IF(G127&lt;TODAY(),"Overdue",""))</f>
        <v/>
      </c>
    </row>
    <row r="128" customFormat="false" ht="15" hidden="false" customHeight="false" outlineLevel="0" collapsed="false">
      <c r="A128" s="32"/>
      <c r="B128" s="32"/>
      <c r="C128" s="33"/>
      <c r="D128" s="32"/>
      <c r="E128" s="32"/>
      <c r="F128" s="32"/>
      <c r="G128" s="35"/>
      <c r="H128" s="32"/>
      <c r="I128" s="35"/>
      <c r="J128" s="35"/>
      <c r="K128" s="34"/>
      <c r="L128" s="33"/>
      <c r="M128" s="37" t="str">
        <f aca="true">IF(OR(B128="",H128&lt;&gt;"Open",G128=""),"",IF(G128&lt;TODAY(),"Overdue",""))</f>
        <v/>
      </c>
    </row>
    <row r="129" customFormat="false" ht="15" hidden="false" customHeight="false" outlineLevel="0" collapsed="false">
      <c r="A129" s="32"/>
      <c r="B129" s="32"/>
      <c r="C129" s="33"/>
      <c r="D129" s="32"/>
      <c r="E129" s="32"/>
      <c r="F129" s="32"/>
      <c r="G129" s="35"/>
      <c r="H129" s="32"/>
      <c r="I129" s="35"/>
      <c r="J129" s="35"/>
      <c r="K129" s="34"/>
      <c r="L129" s="33"/>
      <c r="M129" s="37" t="str">
        <f aca="true">IF(OR(B129="",H129&lt;&gt;"Open",G129=""),"",IF(G129&lt;TODAY(),"Overdue",""))</f>
        <v/>
      </c>
    </row>
    <row r="130" customFormat="false" ht="15" hidden="false" customHeight="false" outlineLevel="0" collapsed="false">
      <c r="A130" s="32"/>
      <c r="B130" s="32"/>
      <c r="C130" s="33"/>
      <c r="D130" s="32"/>
      <c r="E130" s="32"/>
      <c r="F130" s="32"/>
      <c r="G130" s="35"/>
      <c r="H130" s="32"/>
      <c r="I130" s="35"/>
      <c r="J130" s="35"/>
      <c r="K130" s="34"/>
      <c r="L130" s="33"/>
      <c r="M130" s="37" t="str">
        <f aca="true">IF(OR(B130="",H130&lt;&gt;"Open",G130=""),"",IF(G130&lt;TODAY(),"Overdue",""))</f>
        <v/>
      </c>
    </row>
    <row r="131" customFormat="false" ht="15" hidden="false" customHeight="false" outlineLevel="0" collapsed="false">
      <c r="A131" s="32"/>
      <c r="B131" s="32"/>
      <c r="C131" s="33"/>
      <c r="D131" s="32"/>
      <c r="E131" s="32"/>
      <c r="F131" s="32"/>
      <c r="G131" s="35"/>
      <c r="H131" s="32"/>
      <c r="I131" s="35"/>
      <c r="J131" s="35"/>
      <c r="K131" s="34"/>
      <c r="L131" s="33"/>
      <c r="M131" s="37" t="str">
        <f aca="true">IF(OR(B131="",H131&lt;&gt;"Open",G131=""),"",IF(G131&lt;TODAY(),"Overdue",""))</f>
        <v/>
      </c>
    </row>
    <row r="132" customFormat="false" ht="15" hidden="false" customHeight="false" outlineLevel="0" collapsed="false">
      <c r="A132" s="32"/>
      <c r="B132" s="32"/>
      <c r="C132" s="33"/>
      <c r="D132" s="32"/>
      <c r="E132" s="32"/>
      <c r="F132" s="32"/>
      <c r="G132" s="35"/>
      <c r="H132" s="32"/>
      <c r="I132" s="35"/>
      <c r="J132" s="35"/>
      <c r="K132" s="34"/>
      <c r="L132" s="33"/>
      <c r="M132" s="37" t="str">
        <f aca="true">IF(OR(B132="",H132&lt;&gt;"Open",G132=""),"",IF(G132&lt;TODAY(),"Overdue",""))</f>
        <v/>
      </c>
    </row>
    <row r="133" customFormat="false" ht="15" hidden="false" customHeight="false" outlineLevel="0" collapsed="false">
      <c r="A133" s="32"/>
      <c r="B133" s="32"/>
      <c r="C133" s="33"/>
      <c r="D133" s="32"/>
      <c r="E133" s="32"/>
      <c r="F133" s="32"/>
      <c r="G133" s="35"/>
      <c r="H133" s="32"/>
      <c r="I133" s="35"/>
      <c r="J133" s="35"/>
      <c r="K133" s="34"/>
      <c r="L133" s="33"/>
      <c r="M133" s="37" t="str">
        <f aca="true">IF(OR(B133="",H133&lt;&gt;"Open",G133=""),"",IF(G133&lt;TODAY(),"Overdue",""))</f>
        <v/>
      </c>
    </row>
    <row r="134" customFormat="false" ht="15" hidden="false" customHeight="false" outlineLevel="0" collapsed="false">
      <c r="A134" s="32"/>
      <c r="B134" s="32"/>
      <c r="C134" s="33"/>
      <c r="D134" s="32"/>
      <c r="E134" s="32"/>
      <c r="F134" s="32"/>
      <c r="G134" s="35"/>
      <c r="H134" s="32"/>
      <c r="I134" s="35"/>
      <c r="J134" s="35"/>
      <c r="K134" s="34"/>
      <c r="L134" s="33"/>
      <c r="M134" s="37" t="str">
        <f aca="true">IF(OR(B134="",H134&lt;&gt;"Open",G134=""),"",IF(G134&lt;TODAY(),"Overdue",""))</f>
        <v/>
      </c>
    </row>
    <row r="135" customFormat="false" ht="15" hidden="false" customHeight="false" outlineLevel="0" collapsed="false">
      <c r="A135" s="32"/>
      <c r="B135" s="32"/>
      <c r="C135" s="33"/>
      <c r="D135" s="32"/>
      <c r="E135" s="32"/>
      <c r="F135" s="32"/>
      <c r="G135" s="35"/>
      <c r="H135" s="32"/>
      <c r="I135" s="35"/>
      <c r="J135" s="35"/>
      <c r="K135" s="34"/>
      <c r="L135" s="33"/>
      <c r="M135" s="37" t="str">
        <f aca="true">IF(OR(B135="",H135&lt;&gt;"Open",G135=""),"",IF(G135&lt;TODAY(),"Overdue",""))</f>
        <v/>
      </c>
    </row>
    <row r="136" customFormat="false" ht="15" hidden="false" customHeight="false" outlineLevel="0" collapsed="false">
      <c r="A136" s="32"/>
      <c r="B136" s="32"/>
      <c r="C136" s="33"/>
      <c r="D136" s="32"/>
      <c r="E136" s="32"/>
      <c r="F136" s="32"/>
      <c r="G136" s="35"/>
      <c r="H136" s="32"/>
      <c r="I136" s="35"/>
      <c r="J136" s="35"/>
      <c r="K136" s="34"/>
      <c r="L136" s="33"/>
      <c r="M136" s="37" t="str">
        <f aca="true">IF(OR(B136="",H136&lt;&gt;"Open",G136=""),"",IF(G136&lt;TODAY(),"Overdue",""))</f>
        <v/>
      </c>
    </row>
    <row r="137" customFormat="false" ht="15" hidden="false" customHeight="false" outlineLevel="0" collapsed="false">
      <c r="A137" s="32"/>
      <c r="B137" s="32"/>
      <c r="C137" s="33"/>
      <c r="D137" s="32"/>
      <c r="E137" s="32"/>
      <c r="F137" s="32"/>
      <c r="G137" s="35"/>
      <c r="H137" s="32"/>
      <c r="I137" s="35"/>
      <c r="J137" s="35"/>
      <c r="K137" s="34"/>
      <c r="L137" s="33"/>
      <c r="M137" s="37" t="str">
        <f aca="true">IF(OR(B137="",H137&lt;&gt;"Open",G137=""),"",IF(G137&lt;TODAY(),"Overdue",""))</f>
        <v/>
      </c>
    </row>
    <row r="138" customFormat="false" ht="15" hidden="false" customHeight="false" outlineLevel="0" collapsed="false">
      <c r="A138" s="32"/>
      <c r="B138" s="32"/>
      <c r="C138" s="33"/>
      <c r="D138" s="32"/>
      <c r="E138" s="32"/>
      <c r="F138" s="32"/>
      <c r="G138" s="35"/>
      <c r="H138" s="32"/>
      <c r="I138" s="35"/>
      <c r="J138" s="35"/>
      <c r="K138" s="34"/>
      <c r="L138" s="33"/>
      <c r="M138" s="37" t="str">
        <f aca="true">IF(OR(B138="",H138&lt;&gt;"Open",G138=""),"",IF(G138&lt;TODAY(),"Overdue",""))</f>
        <v/>
      </c>
    </row>
    <row r="139" customFormat="false" ht="15" hidden="false" customHeight="false" outlineLevel="0" collapsed="false">
      <c r="A139" s="32"/>
      <c r="B139" s="32"/>
      <c r="C139" s="33"/>
      <c r="D139" s="32"/>
      <c r="E139" s="32"/>
      <c r="F139" s="32"/>
      <c r="G139" s="35"/>
      <c r="H139" s="32"/>
      <c r="I139" s="35"/>
      <c r="J139" s="35"/>
      <c r="K139" s="34"/>
      <c r="L139" s="33"/>
      <c r="M139" s="37" t="str">
        <f aca="true">IF(OR(B139="",H139&lt;&gt;"Open",G139=""),"",IF(G139&lt;TODAY(),"Overdue",""))</f>
        <v/>
      </c>
    </row>
    <row r="140" customFormat="false" ht="15" hidden="false" customHeight="false" outlineLevel="0" collapsed="false">
      <c r="A140" s="32"/>
      <c r="B140" s="32"/>
      <c r="C140" s="33"/>
      <c r="D140" s="32"/>
      <c r="E140" s="32"/>
      <c r="F140" s="32"/>
      <c r="G140" s="35"/>
      <c r="H140" s="32"/>
      <c r="I140" s="35"/>
      <c r="J140" s="35"/>
      <c r="K140" s="34"/>
      <c r="L140" s="33"/>
      <c r="M140" s="37" t="str">
        <f aca="true">IF(OR(B140="",H140&lt;&gt;"Open",G140=""),"",IF(G140&lt;TODAY(),"Overdue",""))</f>
        <v/>
      </c>
    </row>
    <row r="141" customFormat="false" ht="15" hidden="false" customHeight="false" outlineLevel="0" collapsed="false">
      <c r="A141" s="32"/>
      <c r="B141" s="32"/>
      <c r="C141" s="33"/>
      <c r="D141" s="32"/>
      <c r="E141" s="32"/>
      <c r="F141" s="32"/>
      <c r="G141" s="35"/>
      <c r="H141" s="32"/>
      <c r="I141" s="35"/>
      <c r="J141" s="35"/>
      <c r="K141" s="34"/>
      <c r="L141" s="33"/>
      <c r="M141" s="37" t="str">
        <f aca="true">IF(OR(B141="",H141&lt;&gt;"Open",G141=""),"",IF(G141&lt;TODAY(),"Overdue",""))</f>
        <v/>
      </c>
    </row>
    <row r="142" customFormat="false" ht="15" hidden="false" customHeight="false" outlineLevel="0" collapsed="false">
      <c r="A142" s="32"/>
      <c r="B142" s="32"/>
      <c r="C142" s="33"/>
      <c r="D142" s="32"/>
      <c r="E142" s="32"/>
      <c r="F142" s="32"/>
      <c r="G142" s="35"/>
      <c r="H142" s="32"/>
      <c r="I142" s="35"/>
      <c r="J142" s="35"/>
      <c r="K142" s="34"/>
      <c r="L142" s="33"/>
      <c r="M142" s="37" t="str">
        <f aca="true">IF(OR(B142="",H142&lt;&gt;"Open",G142=""),"",IF(G142&lt;TODAY(),"Overdue",""))</f>
        <v/>
      </c>
    </row>
    <row r="143" customFormat="false" ht="15" hidden="false" customHeight="false" outlineLevel="0" collapsed="false">
      <c r="A143" s="32"/>
      <c r="B143" s="32"/>
      <c r="C143" s="33"/>
      <c r="D143" s="32"/>
      <c r="E143" s="32"/>
      <c r="F143" s="32"/>
      <c r="G143" s="35"/>
      <c r="H143" s="32"/>
      <c r="I143" s="35"/>
      <c r="J143" s="35"/>
      <c r="K143" s="34"/>
      <c r="L143" s="33"/>
      <c r="M143" s="37" t="str">
        <f aca="true">IF(OR(B143="",H143&lt;&gt;"Open",G143=""),"",IF(G143&lt;TODAY(),"Overdue",""))</f>
        <v/>
      </c>
    </row>
    <row r="144" customFormat="false" ht="15" hidden="false" customHeight="false" outlineLevel="0" collapsed="false">
      <c r="A144" s="32"/>
      <c r="B144" s="32"/>
      <c r="C144" s="33"/>
      <c r="D144" s="32"/>
      <c r="E144" s="32"/>
      <c r="F144" s="32"/>
      <c r="G144" s="35"/>
      <c r="H144" s="32"/>
      <c r="I144" s="35"/>
      <c r="J144" s="35"/>
      <c r="K144" s="34"/>
      <c r="L144" s="33"/>
      <c r="M144" s="37" t="str">
        <f aca="true">IF(OR(B144="",H144&lt;&gt;"Open",G144=""),"",IF(G144&lt;TODAY(),"Overdue",""))</f>
        <v/>
      </c>
    </row>
    <row r="145" customFormat="false" ht="15" hidden="false" customHeight="false" outlineLevel="0" collapsed="false">
      <c r="A145" s="32"/>
      <c r="B145" s="32"/>
      <c r="C145" s="33"/>
      <c r="D145" s="32"/>
      <c r="E145" s="32"/>
      <c r="F145" s="32"/>
      <c r="G145" s="35"/>
      <c r="H145" s="32"/>
      <c r="I145" s="35"/>
      <c r="J145" s="35"/>
      <c r="K145" s="34"/>
      <c r="L145" s="33"/>
      <c r="M145" s="37" t="str">
        <f aca="true">IF(OR(B145="",H145&lt;&gt;"Open",G145=""),"",IF(G145&lt;TODAY(),"Overdue",""))</f>
        <v/>
      </c>
    </row>
    <row r="146" customFormat="false" ht="15" hidden="false" customHeight="false" outlineLevel="0" collapsed="false">
      <c r="A146" s="32"/>
      <c r="B146" s="32"/>
      <c r="C146" s="33"/>
      <c r="D146" s="32"/>
      <c r="E146" s="32"/>
      <c r="F146" s="32"/>
      <c r="G146" s="35"/>
      <c r="H146" s="32"/>
      <c r="I146" s="35"/>
      <c r="J146" s="35"/>
      <c r="K146" s="34"/>
      <c r="L146" s="33"/>
      <c r="M146" s="37" t="str">
        <f aca="true">IF(OR(B146="",H146&lt;&gt;"Open",G146=""),"",IF(G146&lt;TODAY(),"Overdue",""))</f>
        <v/>
      </c>
    </row>
    <row r="147" customFormat="false" ht="15" hidden="false" customHeight="false" outlineLevel="0" collapsed="false">
      <c r="A147" s="32"/>
      <c r="B147" s="32"/>
      <c r="C147" s="33"/>
      <c r="D147" s="32"/>
      <c r="E147" s="32"/>
      <c r="F147" s="32"/>
      <c r="G147" s="35"/>
      <c r="H147" s="32"/>
      <c r="I147" s="35"/>
      <c r="J147" s="35"/>
      <c r="K147" s="34"/>
      <c r="L147" s="33"/>
      <c r="M147" s="37" t="str">
        <f aca="true">IF(OR(B147="",H147&lt;&gt;"Open",G147=""),"",IF(G147&lt;TODAY(),"Overdue",""))</f>
        <v/>
      </c>
    </row>
    <row r="148" customFormat="false" ht="15" hidden="false" customHeight="false" outlineLevel="0" collapsed="false">
      <c r="A148" s="32"/>
      <c r="B148" s="32"/>
      <c r="C148" s="33"/>
      <c r="D148" s="32"/>
      <c r="E148" s="32"/>
      <c r="F148" s="32"/>
      <c r="G148" s="35"/>
      <c r="H148" s="32"/>
      <c r="I148" s="35"/>
      <c r="J148" s="35"/>
      <c r="K148" s="34"/>
      <c r="L148" s="33"/>
      <c r="M148" s="37" t="str">
        <f aca="true">IF(OR(B148="",H148&lt;&gt;"Open",G148=""),"",IF(G148&lt;TODAY(),"Overdue",""))</f>
        <v/>
      </c>
    </row>
    <row r="149" customFormat="false" ht="15" hidden="false" customHeight="false" outlineLevel="0" collapsed="false">
      <c r="A149" s="32"/>
      <c r="B149" s="32"/>
      <c r="C149" s="33"/>
      <c r="D149" s="32"/>
      <c r="E149" s="32"/>
      <c r="F149" s="32"/>
      <c r="G149" s="35"/>
      <c r="H149" s="32"/>
      <c r="I149" s="35"/>
      <c r="J149" s="35"/>
      <c r="K149" s="34"/>
      <c r="L149" s="33"/>
      <c r="M149" s="37" t="str">
        <f aca="true">IF(OR(B149="",H149&lt;&gt;"Open",G149=""),"",IF(G149&lt;TODAY(),"Overdue",""))</f>
        <v/>
      </c>
    </row>
    <row r="150" customFormat="false" ht="15" hidden="false" customHeight="false" outlineLevel="0" collapsed="false">
      <c r="A150" s="32"/>
      <c r="B150" s="32"/>
      <c r="C150" s="33"/>
      <c r="D150" s="32"/>
      <c r="E150" s="32"/>
      <c r="F150" s="32"/>
      <c r="G150" s="35"/>
      <c r="H150" s="32"/>
      <c r="I150" s="35"/>
      <c r="J150" s="35"/>
      <c r="K150" s="34"/>
      <c r="L150" s="33"/>
      <c r="M150" s="37" t="str">
        <f aca="true">IF(OR(B150="",H150&lt;&gt;"Open",G150=""),"",IF(G150&lt;TODAY(),"Overdue",""))</f>
        <v/>
      </c>
    </row>
    <row r="151" customFormat="false" ht="15" hidden="false" customHeight="false" outlineLevel="0" collapsed="false">
      <c r="A151" s="32"/>
      <c r="B151" s="32"/>
      <c r="C151" s="33"/>
      <c r="D151" s="32"/>
      <c r="E151" s="32"/>
      <c r="F151" s="32"/>
      <c r="G151" s="35"/>
      <c r="H151" s="32"/>
      <c r="I151" s="35"/>
      <c r="J151" s="35"/>
      <c r="K151" s="34"/>
      <c r="L151" s="33"/>
      <c r="M151" s="37" t="str">
        <f aca="true">IF(OR(B151="",H151&lt;&gt;"Open",G151=""),"",IF(G151&lt;TODAY(),"Overdue",""))</f>
        <v/>
      </c>
    </row>
    <row r="152" customFormat="false" ht="15" hidden="false" customHeight="false" outlineLevel="0" collapsed="false">
      <c r="A152" s="32"/>
      <c r="B152" s="32"/>
      <c r="C152" s="33"/>
      <c r="D152" s="32"/>
      <c r="E152" s="32"/>
      <c r="F152" s="32"/>
      <c r="G152" s="35"/>
      <c r="H152" s="32"/>
      <c r="I152" s="35"/>
      <c r="J152" s="35"/>
      <c r="K152" s="34"/>
      <c r="L152" s="33"/>
      <c r="M152" s="37" t="str">
        <f aca="true">IF(OR(B152="",H152&lt;&gt;"Open",G152=""),"",IF(G152&lt;TODAY(),"Overdue",""))</f>
        <v/>
      </c>
    </row>
    <row r="153" customFormat="false" ht="15" hidden="false" customHeight="false" outlineLevel="0" collapsed="false">
      <c r="A153" s="32"/>
      <c r="B153" s="32"/>
      <c r="C153" s="33"/>
      <c r="D153" s="32"/>
      <c r="E153" s="32"/>
      <c r="F153" s="32"/>
      <c r="G153" s="35"/>
      <c r="H153" s="32"/>
      <c r="I153" s="35"/>
      <c r="J153" s="35"/>
      <c r="K153" s="34"/>
      <c r="L153" s="33"/>
      <c r="M153" s="37" t="str">
        <f aca="true">IF(OR(B153="",H153&lt;&gt;"Open",G153=""),"",IF(G153&lt;TODAY(),"Overdue",""))</f>
        <v/>
      </c>
    </row>
    <row r="154" customFormat="false" ht="15" hidden="false" customHeight="false" outlineLevel="0" collapsed="false">
      <c r="A154" s="32"/>
      <c r="B154" s="32"/>
      <c r="C154" s="33"/>
      <c r="D154" s="32"/>
      <c r="E154" s="32"/>
      <c r="F154" s="32"/>
      <c r="G154" s="35"/>
      <c r="H154" s="32"/>
      <c r="I154" s="35"/>
      <c r="J154" s="35"/>
      <c r="K154" s="34"/>
      <c r="L154" s="33"/>
      <c r="M154" s="37" t="str">
        <f aca="true">IF(OR(B154="",H154&lt;&gt;"Open",G154=""),"",IF(G154&lt;TODAY(),"Overdue",""))</f>
        <v/>
      </c>
    </row>
    <row r="155" customFormat="false" ht="15" hidden="false" customHeight="false" outlineLevel="0" collapsed="false">
      <c r="A155" s="32"/>
      <c r="B155" s="32"/>
      <c r="C155" s="33"/>
      <c r="D155" s="32"/>
      <c r="E155" s="32"/>
      <c r="F155" s="32"/>
      <c r="G155" s="35"/>
      <c r="H155" s="32"/>
      <c r="I155" s="35"/>
      <c r="J155" s="35"/>
      <c r="K155" s="34"/>
      <c r="L155" s="33"/>
      <c r="M155" s="37" t="str">
        <f aca="true">IF(OR(B155="",H155&lt;&gt;"Open",G155=""),"",IF(G155&lt;TODAY(),"Overdue",""))</f>
        <v/>
      </c>
    </row>
    <row r="156" customFormat="false" ht="15" hidden="false" customHeight="false" outlineLevel="0" collapsed="false">
      <c r="A156" s="32"/>
      <c r="B156" s="32"/>
      <c r="C156" s="33"/>
      <c r="D156" s="32"/>
      <c r="E156" s="32"/>
      <c r="F156" s="32"/>
      <c r="G156" s="35"/>
      <c r="H156" s="32"/>
      <c r="I156" s="35"/>
      <c r="J156" s="35"/>
      <c r="K156" s="34"/>
      <c r="L156" s="33"/>
      <c r="M156" s="37" t="str">
        <f aca="true">IF(OR(B156="",H156&lt;&gt;"Open",G156=""),"",IF(G156&lt;TODAY(),"Overdue",""))</f>
        <v/>
      </c>
    </row>
    <row r="157" customFormat="false" ht="15" hidden="false" customHeight="false" outlineLevel="0" collapsed="false">
      <c r="A157" s="32"/>
      <c r="B157" s="32"/>
      <c r="C157" s="33"/>
      <c r="D157" s="32"/>
      <c r="E157" s="32"/>
      <c r="F157" s="32"/>
      <c r="G157" s="35"/>
      <c r="H157" s="32"/>
      <c r="I157" s="35"/>
      <c r="J157" s="35"/>
      <c r="K157" s="34"/>
      <c r="L157" s="33"/>
      <c r="M157" s="37" t="str">
        <f aca="true">IF(OR(B157="",H157&lt;&gt;"Open",G157=""),"",IF(G157&lt;TODAY(),"Overdue",""))</f>
        <v/>
      </c>
    </row>
    <row r="158" customFormat="false" ht="15" hidden="false" customHeight="false" outlineLevel="0" collapsed="false">
      <c r="A158" s="32"/>
      <c r="B158" s="32"/>
      <c r="C158" s="33"/>
      <c r="D158" s="32"/>
      <c r="E158" s="32"/>
      <c r="F158" s="32"/>
      <c r="G158" s="35"/>
      <c r="H158" s="32"/>
      <c r="I158" s="35"/>
      <c r="J158" s="35"/>
      <c r="K158" s="34"/>
      <c r="L158" s="33"/>
      <c r="M158" s="37" t="str">
        <f aca="true">IF(OR(B158="",H158&lt;&gt;"Open",G158=""),"",IF(G158&lt;TODAY(),"Overdue",""))</f>
        <v/>
      </c>
    </row>
    <row r="159" customFormat="false" ht="15" hidden="false" customHeight="false" outlineLevel="0" collapsed="false">
      <c r="A159" s="32"/>
      <c r="B159" s="32"/>
      <c r="C159" s="33"/>
      <c r="D159" s="32"/>
      <c r="E159" s="32"/>
      <c r="F159" s="32"/>
      <c r="G159" s="35"/>
      <c r="H159" s="32"/>
      <c r="I159" s="35"/>
      <c r="J159" s="35"/>
      <c r="K159" s="34"/>
      <c r="L159" s="33"/>
      <c r="M159" s="37" t="str">
        <f aca="true">IF(OR(B159="",H159&lt;&gt;"Open",G159=""),"",IF(G159&lt;TODAY(),"Overdue",""))</f>
        <v/>
      </c>
    </row>
    <row r="160" customFormat="false" ht="15" hidden="false" customHeight="false" outlineLevel="0" collapsed="false">
      <c r="A160" s="32"/>
      <c r="B160" s="32"/>
      <c r="C160" s="33"/>
      <c r="D160" s="32"/>
      <c r="E160" s="32"/>
      <c r="F160" s="32"/>
      <c r="G160" s="35"/>
      <c r="H160" s="32"/>
      <c r="I160" s="35"/>
      <c r="J160" s="35"/>
      <c r="K160" s="34"/>
      <c r="L160" s="33"/>
      <c r="M160" s="37" t="str">
        <f aca="true">IF(OR(B160="",H160&lt;&gt;"Open",G160=""),"",IF(G160&lt;TODAY(),"Overdue",""))</f>
        <v/>
      </c>
    </row>
    <row r="161" customFormat="false" ht="15" hidden="false" customHeight="false" outlineLevel="0" collapsed="false">
      <c r="A161" s="32"/>
      <c r="B161" s="32"/>
      <c r="C161" s="33"/>
      <c r="D161" s="32"/>
      <c r="E161" s="32"/>
      <c r="F161" s="32"/>
      <c r="G161" s="35"/>
      <c r="H161" s="32"/>
      <c r="I161" s="35"/>
      <c r="J161" s="35"/>
      <c r="K161" s="34"/>
      <c r="L161" s="33"/>
      <c r="M161" s="37" t="str">
        <f aca="true">IF(OR(B161="",H161&lt;&gt;"Open",G161=""),"",IF(G161&lt;TODAY(),"Overdue",""))</f>
        <v/>
      </c>
    </row>
    <row r="162" customFormat="false" ht="15" hidden="false" customHeight="false" outlineLevel="0" collapsed="false">
      <c r="A162" s="32"/>
      <c r="B162" s="32"/>
      <c r="C162" s="33"/>
      <c r="D162" s="32"/>
      <c r="E162" s="32"/>
      <c r="F162" s="32"/>
      <c r="G162" s="35"/>
      <c r="H162" s="32"/>
      <c r="I162" s="35"/>
      <c r="J162" s="35"/>
      <c r="K162" s="34"/>
      <c r="L162" s="33"/>
      <c r="M162" s="37" t="str">
        <f aca="true">IF(OR(B162="",H162&lt;&gt;"Open",G162=""),"",IF(G162&lt;TODAY(),"Overdue",""))</f>
        <v/>
      </c>
    </row>
    <row r="163" customFormat="false" ht="15" hidden="false" customHeight="false" outlineLevel="0" collapsed="false">
      <c r="A163" s="32"/>
      <c r="B163" s="32"/>
      <c r="C163" s="33"/>
      <c r="D163" s="32"/>
      <c r="E163" s="32"/>
      <c r="F163" s="32"/>
      <c r="G163" s="35"/>
      <c r="H163" s="32"/>
      <c r="I163" s="35"/>
      <c r="J163" s="35"/>
      <c r="K163" s="34"/>
      <c r="L163" s="33"/>
      <c r="M163" s="37" t="str">
        <f aca="true">IF(OR(B163="",H163&lt;&gt;"Open",G163=""),"",IF(G163&lt;TODAY(),"Overdue",""))</f>
        <v/>
      </c>
    </row>
    <row r="164" customFormat="false" ht="15" hidden="false" customHeight="false" outlineLevel="0" collapsed="false">
      <c r="A164" s="32"/>
      <c r="B164" s="32"/>
      <c r="C164" s="33"/>
      <c r="D164" s="32"/>
      <c r="E164" s="32"/>
      <c r="F164" s="32"/>
      <c r="G164" s="35"/>
      <c r="H164" s="32"/>
      <c r="I164" s="35"/>
      <c r="J164" s="35"/>
      <c r="K164" s="34"/>
      <c r="L164" s="33"/>
      <c r="M164" s="37" t="str">
        <f aca="true">IF(OR(B164="",H164&lt;&gt;"Open",G164=""),"",IF(G164&lt;TODAY(),"Overdue",""))</f>
        <v/>
      </c>
    </row>
    <row r="165" customFormat="false" ht="15" hidden="false" customHeight="false" outlineLevel="0" collapsed="false">
      <c r="A165" s="32"/>
      <c r="B165" s="32"/>
      <c r="C165" s="33"/>
      <c r="D165" s="32"/>
      <c r="E165" s="32"/>
      <c r="F165" s="32"/>
      <c r="G165" s="35"/>
      <c r="H165" s="32"/>
      <c r="I165" s="35"/>
      <c r="J165" s="35"/>
      <c r="K165" s="34"/>
      <c r="L165" s="33"/>
      <c r="M165" s="37" t="str">
        <f aca="true">IF(OR(B165="",H165&lt;&gt;"Open",G165=""),"",IF(G165&lt;TODAY(),"Overdue",""))</f>
        <v/>
      </c>
    </row>
    <row r="166" customFormat="false" ht="15" hidden="false" customHeight="false" outlineLevel="0" collapsed="false">
      <c r="A166" s="32"/>
      <c r="B166" s="32"/>
      <c r="C166" s="33"/>
      <c r="D166" s="32"/>
      <c r="E166" s="32"/>
      <c r="F166" s="32"/>
      <c r="G166" s="35"/>
      <c r="H166" s="32"/>
      <c r="I166" s="35"/>
      <c r="J166" s="35"/>
      <c r="K166" s="34"/>
      <c r="L166" s="33"/>
      <c r="M166" s="37" t="str">
        <f aca="true">IF(OR(B166="",H166&lt;&gt;"Open",G166=""),"",IF(G166&lt;TODAY(),"Overdue",""))</f>
        <v/>
      </c>
    </row>
    <row r="167" customFormat="false" ht="15" hidden="false" customHeight="false" outlineLevel="0" collapsed="false">
      <c r="A167" s="32"/>
      <c r="B167" s="32"/>
      <c r="C167" s="33"/>
      <c r="D167" s="32"/>
      <c r="E167" s="32"/>
      <c r="F167" s="32"/>
      <c r="G167" s="35"/>
      <c r="H167" s="32"/>
      <c r="I167" s="35"/>
      <c r="J167" s="35"/>
      <c r="K167" s="34"/>
      <c r="L167" s="33"/>
      <c r="M167" s="37" t="str">
        <f aca="true">IF(OR(B167="",H167&lt;&gt;"Open",G167=""),"",IF(G167&lt;TODAY(),"Overdue",""))</f>
        <v/>
      </c>
    </row>
    <row r="168" customFormat="false" ht="15" hidden="false" customHeight="false" outlineLevel="0" collapsed="false">
      <c r="A168" s="32"/>
      <c r="B168" s="32"/>
      <c r="C168" s="33"/>
      <c r="D168" s="32"/>
      <c r="E168" s="32"/>
      <c r="F168" s="32"/>
      <c r="G168" s="35"/>
      <c r="H168" s="32"/>
      <c r="I168" s="35"/>
      <c r="J168" s="35"/>
      <c r="K168" s="34"/>
      <c r="L168" s="33"/>
      <c r="M168" s="37" t="str">
        <f aca="true">IF(OR(B168="",H168&lt;&gt;"Open",G168=""),"",IF(G168&lt;TODAY(),"Overdue",""))</f>
        <v/>
      </c>
    </row>
    <row r="169" customFormat="false" ht="15" hidden="false" customHeight="false" outlineLevel="0" collapsed="false">
      <c r="A169" s="32"/>
      <c r="B169" s="32"/>
      <c r="C169" s="33"/>
      <c r="D169" s="32"/>
      <c r="E169" s="32"/>
      <c r="F169" s="32"/>
      <c r="G169" s="35"/>
      <c r="H169" s="32"/>
      <c r="I169" s="35"/>
      <c r="J169" s="35"/>
      <c r="K169" s="34"/>
      <c r="L169" s="33"/>
      <c r="M169" s="37" t="str">
        <f aca="true">IF(OR(B169="",H169&lt;&gt;"Open",G169=""),"",IF(G169&lt;TODAY(),"Overdue",""))</f>
        <v/>
      </c>
    </row>
    <row r="170" customFormat="false" ht="15" hidden="false" customHeight="false" outlineLevel="0" collapsed="false">
      <c r="A170" s="32"/>
      <c r="B170" s="32"/>
      <c r="C170" s="33"/>
      <c r="D170" s="32"/>
      <c r="E170" s="32"/>
      <c r="F170" s="32"/>
      <c r="G170" s="35"/>
      <c r="H170" s="32"/>
      <c r="I170" s="35"/>
      <c r="J170" s="35"/>
      <c r="K170" s="34"/>
      <c r="L170" s="33"/>
      <c r="M170" s="37" t="str">
        <f aca="true">IF(OR(B170="",H170&lt;&gt;"Open",G170=""),"",IF(G170&lt;TODAY(),"Overdue",""))</f>
        <v/>
      </c>
    </row>
    <row r="171" customFormat="false" ht="15" hidden="false" customHeight="false" outlineLevel="0" collapsed="false">
      <c r="A171" s="32"/>
      <c r="B171" s="32"/>
      <c r="C171" s="33"/>
      <c r="D171" s="32"/>
      <c r="E171" s="32"/>
      <c r="F171" s="32"/>
      <c r="G171" s="35"/>
      <c r="H171" s="32"/>
      <c r="I171" s="35"/>
      <c r="J171" s="35"/>
      <c r="K171" s="34"/>
      <c r="L171" s="33"/>
      <c r="M171" s="37" t="str">
        <f aca="true">IF(OR(B171="",H171&lt;&gt;"Open",G171=""),"",IF(G171&lt;TODAY(),"Overdue",""))</f>
        <v/>
      </c>
    </row>
    <row r="172" customFormat="false" ht="15" hidden="false" customHeight="false" outlineLevel="0" collapsed="false">
      <c r="A172" s="32"/>
      <c r="B172" s="32"/>
      <c r="C172" s="33"/>
      <c r="D172" s="32"/>
      <c r="E172" s="32"/>
      <c r="F172" s="32"/>
      <c r="G172" s="35"/>
      <c r="H172" s="32"/>
      <c r="I172" s="35"/>
      <c r="J172" s="35"/>
      <c r="K172" s="34"/>
      <c r="L172" s="33"/>
      <c r="M172" s="37" t="str">
        <f aca="true">IF(OR(B172="",H172&lt;&gt;"Open",G172=""),"",IF(G172&lt;TODAY(),"Overdue",""))</f>
        <v/>
      </c>
    </row>
    <row r="173" customFormat="false" ht="15" hidden="false" customHeight="false" outlineLevel="0" collapsed="false">
      <c r="A173" s="32"/>
      <c r="B173" s="32"/>
      <c r="C173" s="33"/>
      <c r="D173" s="32"/>
      <c r="E173" s="32"/>
      <c r="F173" s="32"/>
      <c r="G173" s="35"/>
      <c r="H173" s="32"/>
      <c r="I173" s="35"/>
      <c r="J173" s="35"/>
      <c r="K173" s="34"/>
      <c r="L173" s="33"/>
      <c r="M173" s="37" t="str">
        <f aca="true">IF(OR(B173="",H173&lt;&gt;"Open",G173=""),"",IF(G173&lt;TODAY(),"Overdue",""))</f>
        <v/>
      </c>
    </row>
    <row r="174" customFormat="false" ht="15" hidden="false" customHeight="false" outlineLevel="0" collapsed="false">
      <c r="A174" s="32"/>
      <c r="B174" s="32"/>
      <c r="C174" s="33"/>
      <c r="D174" s="32"/>
      <c r="E174" s="32"/>
      <c r="F174" s="32"/>
      <c r="G174" s="35"/>
      <c r="H174" s="32"/>
      <c r="I174" s="35"/>
      <c r="J174" s="35"/>
      <c r="K174" s="34"/>
      <c r="L174" s="33"/>
      <c r="M174" s="37" t="str">
        <f aca="true">IF(OR(B174="",H174&lt;&gt;"Open",G174=""),"",IF(G174&lt;TODAY(),"Overdue",""))</f>
        <v/>
      </c>
    </row>
    <row r="175" customFormat="false" ht="15" hidden="false" customHeight="false" outlineLevel="0" collapsed="false">
      <c r="A175" s="32"/>
      <c r="B175" s="32"/>
      <c r="C175" s="33"/>
      <c r="D175" s="32"/>
      <c r="E175" s="32"/>
      <c r="F175" s="32"/>
      <c r="G175" s="35"/>
      <c r="H175" s="32"/>
      <c r="I175" s="35"/>
      <c r="J175" s="35"/>
      <c r="K175" s="34"/>
      <c r="L175" s="33"/>
      <c r="M175" s="37" t="str">
        <f aca="true">IF(OR(B175="",H175&lt;&gt;"Open",G175=""),"",IF(G175&lt;TODAY(),"Overdue",""))</f>
        <v/>
      </c>
    </row>
    <row r="176" customFormat="false" ht="15" hidden="false" customHeight="false" outlineLevel="0" collapsed="false">
      <c r="A176" s="32"/>
      <c r="B176" s="32"/>
      <c r="C176" s="33"/>
      <c r="D176" s="32"/>
      <c r="E176" s="32"/>
      <c r="F176" s="32"/>
      <c r="G176" s="35"/>
      <c r="H176" s="32"/>
      <c r="I176" s="35"/>
      <c r="J176" s="35"/>
      <c r="K176" s="34"/>
      <c r="L176" s="33"/>
      <c r="M176" s="37" t="str">
        <f aca="true">IF(OR(B176="",H176&lt;&gt;"Open",G176=""),"",IF(G176&lt;TODAY(),"Overdue",""))</f>
        <v/>
      </c>
    </row>
    <row r="177" customFormat="false" ht="15" hidden="false" customHeight="false" outlineLevel="0" collapsed="false">
      <c r="A177" s="32"/>
      <c r="B177" s="32"/>
      <c r="C177" s="33"/>
      <c r="D177" s="32"/>
      <c r="E177" s="32"/>
      <c r="F177" s="32"/>
      <c r="G177" s="35"/>
      <c r="H177" s="32"/>
      <c r="I177" s="35"/>
      <c r="J177" s="35"/>
      <c r="K177" s="34"/>
      <c r="L177" s="33"/>
      <c r="M177" s="37" t="str">
        <f aca="true">IF(OR(B177="",H177&lt;&gt;"Open",G177=""),"",IF(G177&lt;TODAY(),"Overdue",""))</f>
        <v/>
      </c>
    </row>
    <row r="178" customFormat="false" ht="15" hidden="false" customHeight="false" outlineLevel="0" collapsed="false">
      <c r="A178" s="32"/>
      <c r="B178" s="32"/>
      <c r="C178" s="33"/>
      <c r="D178" s="32"/>
      <c r="E178" s="32"/>
      <c r="F178" s="32"/>
      <c r="G178" s="35"/>
      <c r="H178" s="32"/>
      <c r="I178" s="35"/>
      <c r="J178" s="35"/>
      <c r="K178" s="34"/>
      <c r="L178" s="33"/>
      <c r="M178" s="37" t="str">
        <f aca="true">IF(OR(B178="",H178&lt;&gt;"Open",G178=""),"",IF(G178&lt;TODAY(),"Overdue",""))</f>
        <v/>
      </c>
    </row>
    <row r="179" customFormat="false" ht="15" hidden="false" customHeight="false" outlineLevel="0" collapsed="false">
      <c r="A179" s="32"/>
      <c r="B179" s="32"/>
      <c r="C179" s="33"/>
      <c r="D179" s="32"/>
      <c r="E179" s="32"/>
      <c r="F179" s="32"/>
      <c r="G179" s="35"/>
      <c r="H179" s="32"/>
      <c r="I179" s="35"/>
      <c r="J179" s="35"/>
      <c r="K179" s="34"/>
      <c r="L179" s="33"/>
      <c r="M179" s="37" t="str">
        <f aca="true">IF(OR(B179="",H179&lt;&gt;"Open",G179=""),"",IF(G179&lt;TODAY(),"Overdue",""))</f>
        <v/>
      </c>
    </row>
    <row r="180" customFormat="false" ht="15" hidden="false" customHeight="false" outlineLevel="0" collapsed="false">
      <c r="A180" s="32"/>
      <c r="B180" s="32"/>
      <c r="C180" s="33"/>
      <c r="D180" s="32"/>
      <c r="E180" s="32"/>
      <c r="F180" s="32"/>
      <c r="G180" s="35"/>
      <c r="H180" s="32"/>
      <c r="I180" s="35"/>
      <c r="J180" s="35"/>
      <c r="K180" s="34"/>
      <c r="L180" s="33"/>
      <c r="M180" s="37" t="str">
        <f aca="true">IF(OR(B180="",H180&lt;&gt;"Open",G180=""),"",IF(G180&lt;TODAY(),"Overdue",""))</f>
        <v/>
      </c>
    </row>
    <row r="181" customFormat="false" ht="15" hidden="false" customHeight="false" outlineLevel="0" collapsed="false">
      <c r="A181" s="32"/>
      <c r="B181" s="32"/>
      <c r="C181" s="33"/>
      <c r="D181" s="32"/>
      <c r="E181" s="32"/>
      <c r="F181" s="32"/>
      <c r="G181" s="35"/>
      <c r="H181" s="32"/>
      <c r="I181" s="35"/>
      <c r="J181" s="35"/>
      <c r="K181" s="34"/>
      <c r="L181" s="33"/>
      <c r="M181" s="37" t="str">
        <f aca="true">IF(OR(B181="",H181&lt;&gt;"Open",G181=""),"",IF(G181&lt;TODAY(),"Overdue",""))</f>
        <v/>
      </c>
    </row>
    <row r="182" customFormat="false" ht="15" hidden="false" customHeight="false" outlineLevel="0" collapsed="false">
      <c r="A182" s="32"/>
      <c r="B182" s="32"/>
      <c r="C182" s="33"/>
      <c r="D182" s="32"/>
      <c r="E182" s="32"/>
      <c r="F182" s="32"/>
      <c r="G182" s="35"/>
      <c r="H182" s="32"/>
      <c r="I182" s="35"/>
      <c r="J182" s="35"/>
      <c r="K182" s="34"/>
      <c r="L182" s="33"/>
      <c r="M182" s="37" t="str">
        <f aca="true">IF(OR(B182="",H182&lt;&gt;"Open",G182=""),"",IF(G182&lt;TODAY(),"Overdue",""))</f>
        <v/>
      </c>
    </row>
    <row r="183" customFormat="false" ht="15" hidden="false" customHeight="false" outlineLevel="0" collapsed="false">
      <c r="A183" s="32"/>
      <c r="B183" s="32"/>
      <c r="C183" s="33"/>
      <c r="D183" s="32"/>
      <c r="E183" s="32"/>
      <c r="F183" s="32"/>
      <c r="G183" s="35"/>
      <c r="H183" s="32"/>
      <c r="I183" s="35"/>
      <c r="J183" s="35"/>
      <c r="K183" s="34"/>
      <c r="L183" s="33"/>
      <c r="M183" s="37" t="str">
        <f aca="true">IF(OR(B183="",H183&lt;&gt;"Open",G183=""),"",IF(G183&lt;TODAY(),"Overdue",""))</f>
        <v/>
      </c>
    </row>
    <row r="184" customFormat="false" ht="15" hidden="false" customHeight="false" outlineLevel="0" collapsed="false">
      <c r="A184" s="32"/>
      <c r="B184" s="32"/>
      <c r="C184" s="33"/>
      <c r="D184" s="32"/>
      <c r="E184" s="32"/>
      <c r="F184" s="32"/>
      <c r="G184" s="35"/>
      <c r="H184" s="32"/>
      <c r="I184" s="35"/>
      <c r="J184" s="35"/>
      <c r="K184" s="34"/>
      <c r="L184" s="33"/>
      <c r="M184" s="37" t="str">
        <f aca="true">IF(OR(B184="",H184&lt;&gt;"Open",G184=""),"",IF(G184&lt;TODAY(),"Overdue",""))</f>
        <v/>
      </c>
    </row>
    <row r="185" customFormat="false" ht="15" hidden="false" customHeight="false" outlineLevel="0" collapsed="false">
      <c r="A185" s="32"/>
      <c r="B185" s="32"/>
      <c r="C185" s="33"/>
      <c r="D185" s="32"/>
      <c r="E185" s="32"/>
      <c r="F185" s="32"/>
      <c r="G185" s="35"/>
      <c r="H185" s="32"/>
      <c r="I185" s="35"/>
      <c r="J185" s="35"/>
      <c r="K185" s="34"/>
      <c r="L185" s="33"/>
      <c r="M185" s="37" t="str">
        <f aca="true">IF(OR(B185="",H185&lt;&gt;"Open",G185=""),"",IF(G185&lt;TODAY(),"Overdue",""))</f>
        <v/>
      </c>
    </row>
    <row r="186" customFormat="false" ht="15" hidden="false" customHeight="false" outlineLevel="0" collapsed="false">
      <c r="A186" s="32"/>
      <c r="B186" s="32"/>
      <c r="C186" s="33"/>
      <c r="D186" s="32"/>
      <c r="E186" s="32"/>
      <c r="F186" s="32"/>
      <c r="G186" s="35"/>
      <c r="H186" s="32"/>
      <c r="I186" s="35"/>
      <c r="J186" s="35"/>
      <c r="K186" s="34"/>
      <c r="L186" s="33"/>
      <c r="M186" s="37" t="str">
        <f aca="true">IF(OR(B186="",H186&lt;&gt;"Open",G186=""),"",IF(G186&lt;TODAY(),"Overdue",""))</f>
        <v/>
      </c>
    </row>
    <row r="187" customFormat="false" ht="15" hidden="false" customHeight="false" outlineLevel="0" collapsed="false">
      <c r="A187" s="32"/>
      <c r="B187" s="32"/>
      <c r="C187" s="33"/>
      <c r="D187" s="32"/>
      <c r="E187" s="32"/>
      <c r="F187" s="32"/>
      <c r="G187" s="35"/>
      <c r="H187" s="32"/>
      <c r="I187" s="35"/>
      <c r="J187" s="35"/>
      <c r="K187" s="34"/>
      <c r="L187" s="33"/>
      <c r="M187" s="37" t="str">
        <f aca="true">IF(OR(B187="",H187&lt;&gt;"Open",G187=""),"",IF(G187&lt;TODAY(),"Overdue",""))</f>
        <v/>
      </c>
    </row>
    <row r="188" customFormat="false" ht="15" hidden="false" customHeight="false" outlineLevel="0" collapsed="false">
      <c r="A188" s="32"/>
      <c r="B188" s="32"/>
      <c r="C188" s="33"/>
      <c r="D188" s="32"/>
      <c r="E188" s="32"/>
      <c r="F188" s="32"/>
      <c r="G188" s="35"/>
      <c r="H188" s="32"/>
      <c r="I188" s="35"/>
      <c r="J188" s="35"/>
      <c r="K188" s="34"/>
      <c r="L188" s="33"/>
      <c r="M188" s="37" t="str">
        <f aca="true">IF(OR(B188="",H188&lt;&gt;"Open",G188=""),"",IF(G188&lt;TODAY(),"Overdue",""))</f>
        <v/>
      </c>
    </row>
    <row r="189" customFormat="false" ht="15" hidden="false" customHeight="false" outlineLevel="0" collapsed="false">
      <c r="A189" s="32"/>
      <c r="B189" s="32"/>
      <c r="C189" s="33"/>
      <c r="D189" s="32"/>
      <c r="E189" s="32"/>
      <c r="F189" s="32"/>
      <c r="G189" s="35"/>
      <c r="H189" s="32"/>
      <c r="I189" s="35"/>
      <c r="J189" s="35"/>
      <c r="K189" s="34"/>
      <c r="L189" s="33"/>
      <c r="M189" s="37" t="str">
        <f aca="true">IF(OR(B189="",H189&lt;&gt;"Open",G189=""),"",IF(G189&lt;TODAY(),"Overdue",""))</f>
        <v/>
      </c>
    </row>
    <row r="190" customFormat="false" ht="15" hidden="false" customHeight="false" outlineLevel="0" collapsed="false">
      <c r="A190" s="32"/>
      <c r="B190" s="32"/>
      <c r="C190" s="33"/>
      <c r="D190" s="32"/>
      <c r="E190" s="32"/>
      <c r="F190" s="32"/>
      <c r="G190" s="35"/>
      <c r="H190" s="32"/>
      <c r="I190" s="35"/>
      <c r="J190" s="35"/>
      <c r="K190" s="34"/>
      <c r="L190" s="33"/>
      <c r="M190" s="37" t="str">
        <f aca="true">IF(OR(B190="",H190&lt;&gt;"Open",G190=""),"",IF(G190&lt;TODAY(),"Overdue",""))</f>
        <v/>
      </c>
    </row>
    <row r="191" customFormat="false" ht="15" hidden="false" customHeight="false" outlineLevel="0" collapsed="false">
      <c r="A191" s="32"/>
      <c r="B191" s="32"/>
      <c r="C191" s="33"/>
      <c r="D191" s="32"/>
      <c r="E191" s="32"/>
      <c r="F191" s="32"/>
      <c r="G191" s="35"/>
      <c r="H191" s="32"/>
      <c r="I191" s="35"/>
      <c r="J191" s="35"/>
      <c r="K191" s="34"/>
      <c r="L191" s="33"/>
      <c r="M191" s="37" t="str">
        <f aca="true">IF(OR(B191="",H191&lt;&gt;"Open",G191=""),"",IF(G191&lt;TODAY(),"Overdue",""))</f>
        <v/>
      </c>
    </row>
    <row r="192" customFormat="false" ht="15" hidden="false" customHeight="false" outlineLevel="0" collapsed="false">
      <c r="A192" s="32"/>
      <c r="B192" s="32"/>
      <c r="C192" s="33"/>
      <c r="D192" s="32"/>
      <c r="E192" s="32"/>
      <c r="F192" s="32"/>
      <c r="G192" s="35"/>
      <c r="H192" s="32"/>
      <c r="I192" s="35"/>
      <c r="J192" s="35"/>
      <c r="K192" s="34"/>
      <c r="L192" s="33"/>
      <c r="M192" s="37" t="str">
        <f aca="true">IF(OR(B192="",H192&lt;&gt;"Open",G192=""),"",IF(G192&lt;TODAY(),"Overdue",""))</f>
        <v/>
      </c>
    </row>
    <row r="193" customFormat="false" ht="15" hidden="false" customHeight="false" outlineLevel="0" collapsed="false">
      <c r="A193" s="32"/>
      <c r="B193" s="32"/>
      <c r="C193" s="33"/>
      <c r="D193" s="32"/>
      <c r="E193" s="32"/>
      <c r="F193" s="32"/>
      <c r="G193" s="35"/>
      <c r="H193" s="32"/>
      <c r="I193" s="35"/>
      <c r="J193" s="35"/>
      <c r="K193" s="34"/>
      <c r="L193" s="33"/>
      <c r="M193" s="37" t="str">
        <f aca="true">IF(OR(B193="",H193&lt;&gt;"Open",G193=""),"",IF(G193&lt;TODAY(),"Overdue",""))</f>
        <v/>
      </c>
    </row>
    <row r="194" customFormat="false" ht="15" hidden="false" customHeight="false" outlineLevel="0" collapsed="false">
      <c r="A194" s="32"/>
      <c r="B194" s="32"/>
      <c r="C194" s="33"/>
      <c r="D194" s="32"/>
      <c r="E194" s="32"/>
      <c r="F194" s="32"/>
      <c r="G194" s="35"/>
      <c r="H194" s="32"/>
      <c r="I194" s="35"/>
      <c r="J194" s="35"/>
      <c r="K194" s="34"/>
      <c r="L194" s="33"/>
      <c r="M194" s="37" t="str">
        <f aca="true">IF(OR(B194="",H194&lt;&gt;"Open",G194=""),"",IF(G194&lt;TODAY(),"Overdue",""))</f>
        <v/>
      </c>
    </row>
    <row r="195" customFormat="false" ht="15" hidden="false" customHeight="false" outlineLevel="0" collapsed="false">
      <c r="A195" s="32"/>
      <c r="B195" s="32"/>
      <c r="C195" s="33"/>
      <c r="D195" s="32"/>
      <c r="E195" s="32"/>
      <c r="F195" s="32"/>
      <c r="G195" s="35"/>
      <c r="H195" s="32"/>
      <c r="I195" s="35"/>
      <c r="J195" s="35"/>
      <c r="K195" s="34"/>
      <c r="L195" s="33"/>
      <c r="M195" s="37" t="str">
        <f aca="true">IF(OR(B195="",H195&lt;&gt;"Open",G195=""),"",IF(G195&lt;TODAY(),"Overdue",""))</f>
        <v/>
      </c>
    </row>
    <row r="196" customFormat="false" ht="15" hidden="false" customHeight="false" outlineLevel="0" collapsed="false">
      <c r="A196" s="32"/>
      <c r="B196" s="32"/>
      <c r="C196" s="33"/>
      <c r="D196" s="32"/>
      <c r="E196" s="32"/>
      <c r="F196" s="32"/>
      <c r="G196" s="35"/>
      <c r="H196" s="32"/>
      <c r="I196" s="35"/>
      <c r="J196" s="35"/>
      <c r="K196" s="34"/>
      <c r="L196" s="33"/>
      <c r="M196" s="37" t="str">
        <f aca="true">IF(OR(B196="",H196&lt;&gt;"Open",G196=""),"",IF(G196&lt;TODAY(),"Overdue",""))</f>
        <v/>
      </c>
    </row>
    <row r="197" customFormat="false" ht="15" hidden="false" customHeight="false" outlineLevel="0" collapsed="false">
      <c r="A197" s="32"/>
      <c r="B197" s="32"/>
      <c r="C197" s="33"/>
      <c r="D197" s="32"/>
      <c r="E197" s="32"/>
      <c r="F197" s="32"/>
      <c r="G197" s="35"/>
      <c r="H197" s="32"/>
      <c r="I197" s="35"/>
      <c r="J197" s="35"/>
      <c r="K197" s="34"/>
      <c r="L197" s="33"/>
      <c r="M197" s="37" t="str">
        <f aca="true">IF(OR(B197="",H197&lt;&gt;"Open",G197=""),"",IF(G197&lt;TODAY(),"Overdue",""))</f>
        <v/>
      </c>
    </row>
    <row r="198" customFormat="false" ht="15" hidden="false" customHeight="false" outlineLevel="0" collapsed="false">
      <c r="A198" s="32"/>
      <c r="B198" s="32"/>
      <c r="C198" s="33"/>
      <c r="D198" s="32"/>
      <c r="E198" s="32"/>
      <c r="F198" s="32"/>
      <c r="G198" s="35"/>
      <c r="H198" s="32"/>
      <c r="I198" s="35"/>
      <c r="J198" s="35"/>
      <c r="K198" s="34"/>
      <c r="L198" s="33"/>
      <c r="M198" s="37" t="str">
        <f aca="true">IF(OR(B198="",H198&lt;&gt;"Open",G198=""),"",IF(G198&lt;TODAY(),"Overdue",""))</f>
        <v/>
      </c>
    </row>
    <row r="199" customFormat="false" ht="15" hidden="false" customHeight="false" outlineLevel="0" collapsed="false">
      <c r="A199" s="32"/>
      <c r="B199" s="32"/>
      <c r="C199" s="33"/>
      <c r="D199" s="32"/>
      <c r="E199" s="32"/>
      <c r="F199" s="32"/>
      <c r="G199" s="35"/>
      <c r="H199" s="32"/>
      <c r="I199" s="35"/>
      <c r="J199" s="35"/>
      <c r="K199" s="34"/>
      <c r="L199" s="33"/>
      <c r="M199" s="37" t="str">
        <f aca="true">IF(OR(B199="",H199&lt;&gt;"Open",G199=""),"",IF(G199&lt;TODAY(),"Overdue",""))</f>
        <v/>
      </c>
    </row>
    <row r="200" customFormat="false" ht="15" hidden="false" customHeight="false" outlineLevel="0" collapsed="false">
      <c r="A200" s="32"/>
      <c r="B200" s="32"/>
      <c r="C200" s="33"/>
      <c r="D200" s="32"/>
      <c r="E200" s="32"/>
      <c r="F200" s="32"/>
      <c r="G200" s="35"/>
      <c r="H200" s="32"/>
      <c r="I200" s="35"/>
      <c r="J200" s="35"/>
      <c r="K200" s="34"/>
      <c r="L200" s="33"/>
      <c r="M200" s="37" t="str">
        <f aca="true">IF(OR(B200="",H200&lt;&gt;"Open",G200=""),"",IF(G200&lt;TODAY(),"Overdue",""))</f>
        <v/>
      </c>
    </row>
    <row r="201" customFormat="false" ht="15" hidden="false" customHeight="false" outlineLevel="0" collapsed="false">
      <c r="A201" s="32"/>
      <c r="B201" s="32"/>
      <c r="C201" s="33"/>
      <c r="D201" s="32"/>
      <c r="E201" s="32"/>
      <c r="F201" s="32"/>
      <c r="G201" s="35"/>
      <c r="H201" s="32"/>
      <c r="I201" s="35"/>
      <c r="J201" s="35"/>
      <c r="K201" s="34"/>
      <c r="L201" s="33"/>
      <c r="M201" s="37" t="str">
        <f aca="true">IF(OR(B201="",H201&lt;&gt;"Open",G201=""),"",IF(G201&lt;TODAY(),"Overdue",""))</f>
        <v/>
      </c>
    </row>
    <row r="202" customFormat="false" ht="15" hidden="false" customHeight="false" outlineLevel="0" collapsed="false">
      <c r="A202" s="32"/>
      <c r="B202" s="32"/>
      <c r="C202" s="33"/>
      <c r="D202" s="32"/>
      <c r="E202" s="32"/>
      <c r="F202" s="32"/>
      <c r="G202" s="35"/>
      <c r="H202" s="32"/>
      <c r="I202" s="35"/>
      <c r="J202" s="35"/>
      <c r="K202" s="34"/>
      <c r="L202" s="33"/>
      <c r="M202" s="37" t="str">
        <f aca="true">IF(OR(B202="",H202&lt;&gt;"Open",G202=""),"",IF(G202&lt;TODAY(),"Overdue",""))</f>
        <v/>
      </c>
    </row>
    <row r="203" customFormat="false" ht="15" hidden="false" customHeight="false" outlineLevel="0" collapsed="false">
      <c r="A203" s="32"/>
      <c r="B203" s="32"/>
      <c r="C203" s="33"/>
      <c r="D203" s="32"/>
      <c r="E203" s="32"/>
      <c r="F203" s="32"/>
      <c r="G203" s="35"/>
      <c r="H203" s="32"/>
      <c r="I203" s="35"/>
      <c r="J203" s="35"/>
      <c r="K203" s="34"/>
      <c r="L203" s="33"/>
      <c r="M203" s="37" t="str">
        <f aca="true">IF(OR(B203="",H203&lt;&gt;"Open",G203=""),"",IF(G203&lt;TODAY(),"Overdue",""))</f>
        <v/>
      </c>
    </row>
    <row r="204" customFormat="false" ht="15" hidden="false" customHeight="false" outlineLevel="0" collapsed="false">
      <c r="A204" s="32"/>
      <c r="B204" s="32"/>
      <c r="C204" s="33"/>
      <c r="D204" s="32"/>
      <c r="E204" s="32"/>
      <c r="F204" s="32"/>
      <c r="G204" s="35"/>
      <c r="H204" s="32"/>
      <c r="I204" s="35"/>
      <c r="J204" s="35"/>
      <c r="K204" s="34"/>
      <c r="L204" s="33"/>
      <c r="M204" s="37" t="str">
        <f aca="true">IF(OR(B204="",H204&lt;&gt;"Open",G204=""),"",IF(G204&lt;TODAY(),"Overdue",""))</f>
        <v/>
      </c>
    </row>
    <row r="205" customFormat="false" ht="15" hidden="false" customHeight="false" outlineLevel="0" collapsed="false">
      <c r="A205" s="32"/>
      <c r="B205" s="32"/>
      <c r="C205" s="33"/>
      <c r="D205" s="32"/>
      <c r="E205" s="32"/>
      <c r="F205" s="32"/>
      <c r="G205" s="35"/>
      <c r="H205" s="32"/>
      <c r="I205" s="35"/>
      <c r="J205" s="35"/>
      <c r="K205" s="34"/>
      <c r="L205" s="33"/>
      <c r="M205" s="37" t="str">
        <f aca="true">IF(OR(B205="",H205&lt;&gt;"Open",G205=""),"",IF(G205&lt;TODAY(),"Overdue",""))</f>
        <v/>
      </c>
    </row>
    <row r="206" customFormat="false" ht="15" hidden="false" customHeight="false" outlineLevel="0" collapsed="false">
      <c r="A206" s="32"/>
      <c r="B206" s="32"/>
      <c r="C206" s="33"/>
      <c r="D206" s="32"/>
      <c r="E206" s="32"/>
      <c r="F206" s="32"/>
      <c r="G206" s="35"/>
      <c r="H206" s="32"/>
      <c r="I206" s="35"/>
      <c r="J206" s="35"/>
      <c r="K206" s="34"/>
      <c r="L206" s="33"/>
      <c r="M206" s="37" t="str">
        <f aca="true">IF(OR(B206="",H206&lt;&gt;"Open",G206=""),"",IF(G206&lt;TODAY(),"Overdue",""))</f>
        <v/>
      </c>
    </row>
    <row r="207" customFormat="false" ht="15" hidden="false" customHeight="false" outlineLevel="0" collapsed="false">
      <c r="A207" s="32"/>
      <c r="B207" s="32"/>
      <c r="C207" s="33"/>
      <c r="D207" s="32"/>
      <c r="E207" s="32"/>
      <c r="F207" s="32"/>
      <c r="G207" s="35"/>
      <c r="H207" s="32"/>
      <c r="I207" s="35"/>
      <c r="J207" s="35"/>
      <c r="K207" s="34"/>
      <c r="L207" s="33"/>
      <c r="M207" s="37" t="str">
        <f aca="true">IF(OR(B207="",H207&lt;&gt;"Open",G207=""),"",IF(G207&lt;TODAY(),"Overdue",""))</f>
        <v/>
      </c>
    </row>
    <row r="208" customFormat="false" ht="15" hidden="false" customHeight="false" outlineLevel="0" collapsed="false">
      <c r="A208" s="32"/>
      <c r="B208" s="32"/>
      <c r="C208" s="33"/>
      <c r="D208" s="32"/>
      <c r="E208" s="32"/>
      <c r="F208" s="32"/>
      <c r="G208" s="35"/>
      <c r="H208" s="32"/>
      <c r="I208" s="35"/>
      <c r="J208" s="35"/>
      <c r="K208" s="34"/>
      <c r="L208" s="33"/>
      <c r="M208" s="37" t="str">
        <f aca="true">IF(OR(B208="",H208&lt;&gt;"Open",G208=""),"",IF(G208&lt;TODAY(),"Overdue",""))</f>
        <v/>
      </c>
    </row>
    <row r="209" customFormat="false" ht="15" hidden="false" customHeight="false" outlineLevel="0" collapsed="false">
      <c r="A209" s="32"/>
      <c r="B209" s="32"/>
      <c r="C209" s="33"/>
      <c r="D209" s="32"/>
      <c r="E209" s="32"/>
      <c r="F209" s="32"/>
      <c r="G209" s="35"/>
      <c r="H209" s="32"/>
      <c r="I209" s="35"/>
      <c r="J209" s="35"/>
      <c r="K209" s="34"/>
      <c r="L209" s="33"/>
      <c r="M209" s="37" t="str">
        <f aca="true">IF(OR(B209="",H209&lt;&gt;"Open",G209=""),"",IF(G209&lt;TODAY(),"Overdue",""))</f>
        <v/>
      </c>
    </row>
    <row r="210" customFormat="false" ht="15" hidden="false" customHeight="false" outlineLevel="0" collapsed="false">
      <c r="A210" s="32"/>
      <c r="B210" s="32"/>
      <c r="C210" s="33"/>
      <c r="D210" s="32"/>
      <c r="E210" s="32"/>
      <c r="F210" s="32"/>
      <c r="G210" s="35"/>
      <c r="H210" s="32"/>
      <c r="I210" s="35"/>
      <c r="J210" s="35"/>
      <c r="K210" s="34"/>
      <c r="L210" s="33"/>
      <c r="M210" s="37" t="str">
        <f aca="true">IF(OR(B210="",H210&lt;&gt;"Open",G210=""),"",IF(G210&lt;TODAY(),"Overdue",""))</f>
        <v/>
      </c>
    </row>
    <row r="211" customFormat="false" ht="15" hidden="false" customHeight="false" outlineLevel="0" collapsed="false">
      <c r="A211" s="32"/>
      <c r="B211" s="32"/>
      <c r="C211" s="33"/>
      <c r="D211" s="32"/>
      <c r="E211" s="32"/>
      <c r="F211" s="32"/>
      <c r="G211" s="35"/>
      <c r="H211" s="32"/>
      <c r="I211" s="35"/>
      <c r="J211" s="35"/>
      <c r="K211" s="34"/>
      <c r="L211" s="33"/>
      <c r="M211" s="37" t="str">
        <f aca="true">IF(OR(B211="",H211&lt;&gt;"Open",G211=""),"",IF(G211&lt;TODAY(),"Overdue",""))</f>
        <v/>
      </c>
    </row>
    <row r="212" customFormat="false" ht="15" hidden="false" customHeight="false" outlineLevel="0" collapsed="false">
      <c r="A212" s="32"/>
      <c r="B212" s="32"/>
      <c r="C212" s="33"/>
      <c r="D212" s="32"/>
      <c r="E212" s="32"/>
      <c r="F212" s="32"/>
      <c r="G212" s="35"/>
      <c r="H212" s="32"/>
      <c r="I212" s="35"/>
      <c r="J212" s="35"/>
      <c r="K212" s="34"/>
      <c r="L212" s="33"/>
      <c r="M212" s="37" t="str">
        <f aca="true">IF(OR(B212="",H212&lt;&gt;"Open",G212=""),"",IF(G212&lt;TODAY(),"Overdue",""))</f>
        <v/>
      </c>
    </row>
    <row r="213" customFormat="false" ht="15" hidden="false" customHeight="false" outlineLevel="0" collapsed="false">
      <c r="A213" s="32"/>
      <c r="B213" s="32"/>
      <c r="C213" s="33"/>
      <c r="D213" s="32"/>
      <c r="E213" s="32"/>
      <c r="F213" s="32"/>
      <c r="G213" s="35"/>
      <c r="H213" s="32"/>
      <c r="I213" s="35"/>
      <c r="J213" s="35"/>
      <c r="K213" s="34"/>
      <c r="L213" s="33"/>
      <c r="M213" s="37" t="str">
        <f aca="true">IF(OR(B213="",H213&lt;&gt;"Open",G213=""),"",IF(G213&lt;TODAY(),"Overdue",""))</f>
        <v/>
      </c>
    </row>
    <row r="214" customFormat="false" ht="15" hidden="false" customHeight="false" outlineLevel="0" collapsed="false">
      <c r="A214" s="32"/>
      <c r="B214" s="32"/>
      <c r="C214" s="33"/>
      <c r="D214" s="32"/>
      <c r="E214" s="32"/>
      <c r="F214" s="32"/>
      <c r="G214" s="35"/>
      <c r="H214" s="32"/>
      <c r="I214" s="35"/>
      <c r="J214" s="35"/>
      <c r="K214" s="34"/>
      <c r="L214" s="33"/>
      <c r="M214" s="37" t="str">
        <f aca="true">IF(OR(B214="",H214&lt;&gt;"Open",G214=""),"",IF(G214&lt;TODAY(),"Overdue",""))</f>
        <v/>
      </c>
    </row>
    <row r="215" customFormat="false" ht="15" hidden="false" customHeight="false" outlineLevel="0" collapsed="false">
      <c r="A215" s="32"/>
      <c r="B215" s="32"/>
      <c r="C215" s="33"/>
      <c r="D215" s="32"/>
      <c r="E215" s="32"/>
      <c r="F215" s="32"/>
      <c r="G215" s="35"/>
      <c r="H215" s="32"/>
      <c r="I215" s="35"/>
      <c r="J215" s="35"/>
      <c r="K215" s="34"/>
      <c r="L215" s="33"/>
      <c r="M215" s="37" t="str">
        <f aca="true">IF(OR(B215="",H215&lt;&gt;"Open",G215=""),"",IF(G215&lt;TODAY(),"Overdue",""))</f>
        <v/>
      </c>
    </row>
    <row r="216" customFormat="false" ht="15" hidden="false" customHeight="false" outlineLevel="0" collapsed="false">
      <c r="A216" s="32"/>
      <c r="B216" s="32"/>
      <c r="C216" s="33"/>
      <c r="D216" s="32"/>
      <c r="E216" s="32"/>
      <c r="F216" s="32"/>
      <c r="G216" s="35"/>
      <c r="H216" s="32"/>
      <c r="I216" s="35"/>
      <c r="J216" s="35"/>
      <c r="K216" s="34"/>
      <c r="L216" s="33"/>
      <c r="M216" s="37" t="str">
        <f aca="true">IF(OR(B216="",H216&lt;&gt;"Open",G216=""),"",IF(G216&lt;TODAY(),"Overdue",""))</f>
        <v/>
      </c>
    </row>
    <row r="217" customFormat="false" ht="15" hidden="false" customHeight="false" outlineLevel="0" collapsed="false">
      <c r="A217" s="32"/>
      <c r="B217" s="32"/>
      <c r="C217" s="33"/>
      <c r="D217" s="32"/>
      <c r="E217" s="32"/>
      <c r="F217" s="32"/>
      <c r="G217" s="35"/>
      <c r="H217" s="32"/>
      <c r="I217" s="35"/>
      <c r="J217" s="35"/>
      <c r="K217" s="34"/>
      <c r="L217" s="33"/>
      <c r="M217" s="37" t="str">
        <f aca="true">IF(OR(B217="",H217&lt;&gt;"Open",G217=""),"",IF(G217&lt;TODAY(),"Overdue",""))</f>
        <v/>
      </c>
    </row>
    <row r="218" customFormat="false" ht="15" hidden="false" customHeight="false" outlineLevel="0" collapsed="false">
      <c r="A218" s="32"/>
      <c r="B218" s="32"/>
      <c r="C218" s="33"/>
      <c r="D218" s="32"/>
      <c r="E218" s="32"/>
      <c r="F218" s="32"/>
      <c r="G218" s="35"/>
      <c r="H218" s="32"/>
      <c r="I218" s="35"/>
      <c r="J218" s="35"/>
      <c r="K218" s="34"/>
      <c r="L218" s="33"/>
      <c r="M218" s="37" t="str">
        <f aca="true">IF(OR(B218="",H218&lt;&gt;"Open",G218=""),"",IF(G218&lt;TODAY(),"Overdue",""))</f>
        <v/>
      </c>
    </row>
    <row r="219" customFormat="false" ht="15" hidden="false" customHeight="false" outlineLevel="0" collapsed="false">
      <c r="A219" s="32"/>
      <c r="B219" s="32"/>
      <c r="C219" s="33"/>
      <c r="D219" s="32"/>
      <c r="E219" s="32"/>
      <c r="F219" s="32"/>
      <c r="G219" s="35"/>
      <c r="H219" s="32"/>
      <c r="I219" s="35"/>
      <c r="J219" s="35"/>
      <c r="K219" s="34"/>
      <c r="L219" s="33"/>
      <c r="M219" s="37" t="str">
        <f aca="true">IF(OR(B219="",H219&lt;&gt;"Open",G219=""),"",IF(G219&lt;TODAY(),"Overdue",""))</f>
        <v/>
      </c>
    </row>
    <row r="220" customFormat="false" ht="15" hidden="false" customHeight="false" outlineLevel="0" collapsed="false">
      <c r="A220" s="32"/>
      <c r="B220" s="32"/>
      <c r="C220" s="33"/>
      <c r="D220" s="32"/>
      <c r="E220" s="32"/>
      <c r="F220" s="32"/>
      <c r="G220" s="35"/>
      <c r="H220" s="32"/>
      <c r="I220" s="35"/>
      <c r="J220" s="35"/>
      <c r="K220" s="34"/>
      <c r="L220" s="33"/>
      <c r="M220" s="37" t="str">
        <f aca="true">IF(OR(B220="",H220&lt;&gt;"Open",G220=""),"",IF(G220&lt;TODAY(),"Overdue",""))</f>
        <v/>
      </c>
    </row>
    <row r="221" customFormat="false" ht="15" hidden="false" customHeight="false" outlineLevel="0" collapsed="false">
      <c r="A221" s="32"/>
      <c r="B221" s="32"/>
      <c r="C221" s="33"/>
      <c r="D221" s="32"/>
      <c r="E221" s="32"/>
      <c r="F221" s="32"/>
      <c r="G221" s="35"/>
      <c r="H221" s="32"/>
      <c r="I221" s="35"/>
      <c r="J221" s="35"/>
      <c r="K221" s="34"/>
      <c r="L221" s="33"/>
      <c r="M221" s="37" t="str">
        <f aca="true">IF(OR(B221="",H221&lt;&gt;"Open",G221=""),"",IF(G221&lt;TODAY(),"Overdue",""))</f>
        <v/>
      </c>
    </row>
    <row r="222" customFormat="false" ht="15" hidden="false" customHeight="false" outlineLevel="0" collapsed="false">
      <c r="A222" s="32"/>
      <c r="B222" s="32"/>
      <c r="C222" s="33"/>
      <c r="D222" s="32"/>
      <c r="E222" s="32"/>
      <c r="F222" s="32"/>
      <c r="G222" s="35"/>
      <c r="H222" s="32"/>
      <c r="I222" s="35"/>
      <c r="J222" s="35"/>
      <c r="K222" s="34"/>
      <c r="L222" s="33"/>
      <c r="M222" s="37" t="str">
        <f aca="true">IF(OR(B222="",H222&lt;&gt;"Open",G222=""),"",IF(G222&lt;TODAY(),"Overdue",""))</f>
        <v/>
      </c>
    </row>
    <row r="223" customFormat="false" ht="15" hidden="false" customHeight="false" outlineLevel="0" collapsed="false">
      <c r="A223" s="32"/>
      <c r="B223" s="32"/>
      <c r="C223" s="33"/>
      <c r="D223" s="32"/>
      <c r="E223" s="32"/>
      <c r="F223" s="32"/>
      <c r="G223" s="35"/>
      <c r="H223" s="32"/>
      <c r="I223" s="35"/>
      <c r="J223" s="35"/>
      <c r="K223" s="34"/>
      <c r="L223" s="33"/>
      <c r="M223" s="37" t="str">
        <f aca="true">IF(OR(B223="",H223&lt;&gt;"Open",G223=""),"",IF(G223&lt;TODAY(),"Overdue",""))</f>
        <v/>
      </c>
    </row>
    <row r="224" customFormat="false" ht="15" hidden="false" customHeight="false" outlineLevel="0" collapsed="false">
      <c r="A224" s="32"/>
      <c r="B224" s="32"/>
      <c r="C224" s="33"/>
      <c r="D224" s="32"/>
      <c r="E224" s="32"/>
      <c r="F224" s="32"/>
      <c r="G224" s="35"/>
      <c r="H224" s="32"/>
      <c r="I224" s="35"/>
      <c r="J224" s="35"/>
      <c r="K224" s="34"/>
      <c r="L224" s="33"/>
      <c r="M224" s="37" t="str">
        <f aca="true">IF(OR(B224="",H224&lt;&gt;"Open",G224=""),"",IF(G224&lt;TODAY(),"Overdue",""))</f>
        <v/>
      </c>
    </row>
    <row r="225" customFormat="false" ht="15" hidden="false" customHeight="false" outlineLevel="0" collapsed="false">
      <c r="A225" s="32"/>
      <c r="B225" s="32"/>
      <c r="C225" s="33"/>
      <c r="D225" s="32"/>
      <c r="E225" s="32"/>
      <c r="F225" s="32"/>
      <c r="G225" s="35"/>
      <c r="H225" s="32"/>
      <c r="I225" s="35"/>
      <c r="J225" s="35"/>
      <c r="K225" s="34"/>
      <c r="L225" s="33"/>
      <c r="M225" s="37" t="str">
        <f aca="true">IF(OR(B225="",H225&lt;&gt;"Open",G225=""),"",IF(G225&lt;TODAY(),"Overdue",""))</f>
        <v/>
      </c>
    </row>
    <row r="226" customFormat="false" ht="15" hidden="false" customHeight="false" outlineLevel="0" collapsed="false">
      <c r="A226" s="32"/>
      <c r="B226" s="32"/>
      <c r="C226" s="33"/>
      <c r="D226" s="32"/>
      <c r="E226" s="32"/>
      <c r="F226" s="32"/>
      <c r="G226" s="35"/>
      <c r="H226" s="32"/>
      <c r="I226" s="35"/>
      <c r="J226" s="35"/>
      <c r="K226" s="34"/>
      <c r="L226" s="33"/>
      <c r="M226" s="37" t="str">
        <f aca="true">IF(OR(B226="",H226&lt;&gt;"Open",G226=""),"",IF(G226&lt;TODAY(),"Overdue",""))</f>
        <v/>
      </c>
    </row>
    <row r="227" customFormat="false" ht="15" hidden="false" customHeight="false" outlineLevel="0" collapsed="false">
      <c r="A227" s="32"/>
      <c r="B227" s="32"/>
      <c r="C227" s="33"/>
      <c r="D227" s="32"/>
      <c r="E227" s="32"/>
      <c r="F227" s="32"/>
      <c r="G227" s="35"/>
      <c r="H227" s="32"/>
      <c r="I227" s="35"/>
      <c r="J227" s="35"/>
      <c r="K227" s="34"/>
      <c r="L227" s="33"/>
      <c r="M227" s="37" t="str">
        <f aca="true">IF(OR(B227="",H227&lt;&gt;"Open",G227=""),"",IF(G227&lt;TODAY(),"Overdue",""))</f>
        <v/>
      </c>
    </row>
    <row r="228" customFormat="false" ht="15" hidden="false" customHeight="false" outlineLevel="0" collapsed="false">
      <c r="A228" s="32"/>
      <c r="B228" s="32"/>
      <c r="C228" s="33"/>
      <c r="D228" s="32"/>
      <c r="E228" s="32"/>
      <c r="F228" s="32"/>
      <c r="G228" s="35"/>
      <c r="H228" s="32"/>
      <c r="I228" s="35"/>
      <c r="J228" s="35"/>
      <c r="K228" s="34"/>
      <c r="L228" s="33"/>
      <c r="M228" s="37" t="str">
        <f aca="true">IF(OR(B228="",H228&lt;&gt;"Open",G228=""),"",IF(G228&lt;TODAY(),"Overdue",""))</f>
        <v/>
      </c>
    </row>
    <row r="229" customFormat="false" ht="15" hidden="false" customHeight="false" outlineLevel="0" collapsed="false">
      <c r="A229" s="32"/>
      <c r="B229" s="32"/>
      <c r="C229" s="33"/>
      <c r="D229" s="32"/>
      <c r="E229" s="32"/>
      <c r="F229" s="32"/>
      <c r="G229" s="35"/>
      <c r="H229" s="32"/>
      <c r="I229" s="35"/>
      <c r="J229" s="35"/>
      <c r="K229" s="34"/>
      <c r="L229" s="33"/>
      <c r="M229" s="37" t="str">
        <f aca="true">IF(OR(B229="",H229&lt;&gt;"Open",G229=""),"",IF(G229&lt;TODAY(),"Overdue",""))</f>
        <v/>
      </c>
    </row>
    <row r="230" customFormat="false" ht="15" hidden="false" customHeight="false" outlineLevel="0" collapsed="false">
      <c r="A230" s="32"/>
      <c r="B230" s="32"/>
      <c r="C230" s="33"/>
      <c r="D230" s="32"/>
      <c r="E230" s="32"/>
      <c r="F230" s="32"/>
      <c r="G230" s="35"/>
      <c r="H230" s="32"/>
      <c r="I230" s="35"/>
      <c r="J230" s="35"/>
      <c r="K230" s="34"/>
      <c r="L230" s="33"/>
      <c r="M230" s="37" t="str">
        <f aca="true">IF(OR(B230="",H230&lt;&gt;"Open",G230=""),"",IF(G230&lt;TODAY(),"Overdue",""))</f>
        <v/>
      </c>
    </row>
    <row r="231" customFormat="false" ht="15" hidden="false" customHeight="false" outlineLevel="0" collapsed="false">
      <c r="A231" s="32"/>
      <c r="B231" s="32"/>
      <c r="C231" s="33"/>
      <c r="D231" s="32"/>
      <c r="E231" s="32"/>
      <c r="F231" s="32"/>
      <c r="G231" s="35"/>
      <c r="H231" s="32"/>
      <c r="I231" s="35"/>
      <c r="J231" s="35"/>
      <c r="K231" s="34"/>
      <c r="L231" s="33"/>
      <c r="M231" s="37" t="str">
        <f aca="true">IF(OR(B231="",H231&lt;&gt;"Open",G231=""),"",IF(G231&lt;TODAY(),"Overdue",""))</f>
        <v/>
      </c>
    </row>
    <row r="232" customFormat="false" ht="15" hidden="false" customHeight="false" outlineLevel="0" collapsed="false">
      <c r="A232" s="32"/>
      <c r="B232" s="32"/>
      <c r="C232" s="33"/>
      <c r="D232" s="32"/>
      <c r="E232" s="32"/>
      <c r="F232" s="32"/>
      <c r="G232" s="35"/>
      <c r="H232" s="32"/>
      <c r="I232" s="35"/>
      <c r="J232" s="35"/>
      <c r="K232" s="34"/>
      <c r="L232" s="33"/>
      <c r="M232" s="37" t="str">
        <f aca="true">IF(OR(B232="",H232&lt;&gt;"Open",G232=""),"",IF(G232&lt;TODAY(),"Overdue",""))</f>
        <v/>
      </c>
    </row>
    <row r="233" customFormat="false" ht="15" hidden="false" customHeight="false" outlineLevel="0" collapsed="false">
      <c r="A233" s="32"/>
      <c r="B233" s="32"/>
      <c r="C233" s="33"/>
      <c r="D233" s="32"/>
      <c r="E233" s="32"/>
      <c r="F233" s="32"/>
      <c r="G233" s="35"/>
      <c r="H233" s="32"/>
      <c r="I233" s="35"/>
      <c r="J233" s="35"/>
      <c r="K233" s="34"/>
      <c r="L233" s="33"/>
      <c r="M233" s="37" t="str">
        <f aca="true">IF(OR(B233="",H233&lt;&gt;"Open",G233=""),"",IF(G233&lt;TODAY(),"Overdue",""))</f>
        <v/>
      </c>
    </row>
    <row r="234" customFormat="false" ht="15" hidden="false" customHeight="false" outlineLevel="0" collapsed="false">
      <c r="A234" s="32"/>
      <c r="B234" s="32"/>
      <c r="C234" s="33"/>
      <c r="D234" s="32"/>
      <c r="E234" s="32"/>
      <c r="F234" s="32"/>
      <c r="G234" s="35"/>
      <c r="H234" s="32"/>
      <c r="I234" s="35"/>
      <c r="J234" s="35"/>
      <c r="K234" s="34"/>
      <c r="L234" s="33"/>
      <c r="M234" s="37" t="str">
        <f aca="true">IF(OR(B234="",H234&lt;&gt;"Open",G234=""),"",IF(G234&lt;TODAY(),"Overdue",""))</f>
        <v/>
      </c>
    </row>
    <row r="235" customFormat="false" ht="15" hidden="false" customHeight="false" outlineLevel="0" collapsed="false">
      <c r="A235" s="32"/>
      <c r="B235" s="32"/>
      <c r="C235" s="33"/>
      <c r="D235" s="32"/>
      <c r="E235" s="32"/>
      <c r="F235" s="32"/>
      <c r="G235" s="35"/>
      <c r="H235" s="32"/>
      <c r="I235" s="35"/>
      <c r="J235" s="35"/>
      <c r="K235" s="34"/>
      <c r="L235" s="33"/>
      <c r="M235" s="37" t="str">
        <f aca="true">IF(OR(B235="",H235&lt;&gt;"Open",G235=""),"",IF(G235&lt;TODAY(),"Overdue",""))</f>
        <v/>
      </c>
    </row>
    <row r="236" customFormat="false" ht="15" hidden="false" customHeight="false" outlineLevel="0" collapsed="false">
      <c r="A236" s="32"/>
      <c r="B236" s="32"/>
      <c r="C236" s="33"/>
      <c r="D236" s="32"/>
      <c r="E236" s="32"/>
      <c r="F236" s="32"/>
      <c r="G236" s="35"/>
      <c r="H236" s="32"/>
      <c r="I236" s="35"/>
      <c r="J236" s="35"/>
      <c r="K236" s="34"/>
      <c r="L236" s="33"/>
      <c r="M236" s="37" t="str">
        <f aca="true">IF(OR(B236="",H236&lt;&gt;"Open",G236=""),"",IF(G236&lt;TODAY(),"Overdue",""))</f>
        <v/>
      </c>
    </row>
    <row r="237" customFormat="false" ht="15" hidden="false" customHeight="false" outlineLevel="0" collapsed="false">
      <c r="A237" s="32"/>
      <c r="B237" s="32"/>
      <c r="C237" s="33"/>
      <c r="D237" s="32"/>
      <c r="E237" s="32"/>
      <c r="F237" s="32"/>
      <c r="G237" s="35"/>
      <c r="H237" s="32"/>
      <c r="I237" s="35"/>
      <c r="J237" s="35"/>
      <c r="K237" s="34"/>
      <c r="L237" s="33"/>
      <c r="M237" s="37" t="str">
        <f aca="true">IF(OR(B237="",H237&lt;&gt;"Open",G237=""),"",IF(G237&lt;TODAY(),"Overdue",""))</f>
        <v/>
      </c>
    </row>
    <row r="238" customFormat="false" ht="15" hidden="false" customHeight="false" outlineLevel="0" collapsed="false">
      <c r="A238" s="32"/>
      <c r="B238" s="32"/>
      <c r="C238" s="33"/>
      <c r="D238" s="32"/>
      <c r="E238" s="32"/>
      <c r="F238" s="32"/>
      <c r="G238" s="35"/>
      <c r="H238" s="32"/>
      <c r="I238" s="35"/>
      <c r="J238" s="35"/>
      <c r="K238" s="34"/>
      <c r="L238" s="33"/>
      <c r="M238" s="37" t="str">
        <f aca="true">IF(OR(B238="",H238&lt;&gt;"Open",G238=""),"",IF(G238&lt;TODAY(),"Overdue",""))</f>
        <v/>
      </c>
    </row>
    <row r="239" customFormat="false" ht="15" hidden="false" customHeight="false" outlineLevel="0" collapsed="false">
      <c r="A239" s="32"/>
      <c r="B239" s="32"/>
      <c r="C239" s="33"/>
      <c r="D239" s="32"/>
      <c r="E239" s="32"/>
      <c r="F239" s="32"/>
      <c r="G239" s="35"/>
      <c r="H239" s="32"/>
      <c r="I239" s="35"/>
      <c r="J239" s="35"/>
      <c r="K239" s="34"/>
      <c r="L239" s="33"/>
      <c r="M239" s="37" t="str">
        <f aca="true">IF(OR(B239="",H239&lt;&gt;"Open",G239=""),"",IF(G239&lt;TODAY(),"Overdue",""))</f>
        <v/>
      </c>
    </row>
    <row r="240" customFormat="false" ht="15" hidden="false" customHeight="false" outlineLevel="0" collapsed="false">
      <c r="A240" s="32"/>
      <c r="B240" s="32"/>
      <c r="C240" s="33"/>
      <c r="D240" s="32"/>
      <c r="E240" s="32"/>
      <c r="F240" s="32"/>
      <c r="G240" s="35"/>
      <c r="H240" s="32"/>
      <c r="I240" s="35"/>
      <c r="J240" s="35"/>
      <c r="K240" s="34"/>
      <c r="L240" s="33"/>
      <c r="M240" s="37" t="str">
        <f aca="true">IF(OR(B240="",H240&lt;&gt;"Open",G240=""),"",IF(G240&lt;TODAY(),"Overdue",""))</f>
        <v/>
      </c>
    </row>
    <row r="241" customFormat="false" ht="15" hidden="false" customHeight="false" outlineLevel="0" collapsed="false">
      <c r="A241" s="32"/>
      <c r="B241" s="32"/>
      <c r="C241" s="33"/>
      <c r="D241" s="32"/>
      <c r="E241" s="32"/>
      <c r="F241" s="32"/>
      <c r="G241" s="35"/>
      <c r="H241" s="32"/>
      <c r="I241" s="35"/>
      <c r="J241" s="35"/>
      <c r="K241" s="34"/>
      <c r="L241" s="33"/>
      <c r="M241" s="37" t="str">
        <f aca="true">IF(OR(B241="",H241&lt;&gt;"Open",G241=""),"",IF(G241&lt;TODAY(),"Overdue",""))</f>
        <v/>
      </c>
    </row>
    <row r="242" customFormat="false" ht="15" hidden="false" customHeight="false" outlineLevel="0" collapsed="false">
      <c r="A242" s="32"/>
      <c r="B242" s="32"/>
      <c r="C242" s="33"/>
      <c r="D242" s="32"/>
      <c r="E242" s="32"/>
      <c r="F242" s="32"/>
      <c r="G242" s="35"/>
      <c r="H242" s="32"/>
      <c r="I242" s="35"/>
      <c r="J242" s="35"/>
      <c r="K242" s="34"/>
      <c r="L242" s="33"/>
      <c r="M242" s="37" t="str">
        <f aca="true">IF(OR(B242="",H242&lt;&gt;"Open",G242=""),"",IF(G242&lt;TODAY(),"Overdue",""))</f>
        <v/>
      </c>
    </row>
    <row r="243" customFormat="false" ht="15" hidden="false" customHeight="false" outlineLevel="0" collapsed="false">
      <c r="A243" s="32"/>
      <c r="B243" s="32"/>
      <c r="C243" s="33"/>
      <c r="D243" s="32"/>
      <c r="E243" s="32"/>
      <c r="F243" s="32"/>
      <c r="G243" s="35"/>
      <c r="H243" s="32"/>
      <c r="I243" s="35"/>
      <c r="J243" s="35"/>
      <c r="K243" s="34"/>
      <c r="L243" s="33"/>
      <c r="M243" s="37" t="str">
        <f aca="true">IF(OR(B243="",H243&lt;&gt;"Open",G243=""),"",IF(G243&lt;TODAY(),"Overdue",""))</f>
        <v/>
      </c>
    </row>
    <row r="244" customFormat="false" ht="15" hidden="false" customHeight="false" outlineLevel="0" collapsed="false">
      <c r="A244" s="32"/>
      <c r="B244" s="32"/>
      <c r="C244" s="33"/>
      <c r="D244" s="32"/>
      <c r="E244" s="32"/>
      <c r="F244" s="32"/>
      <c r="G244" s="35"/>
      <c r="H244" s="32"/>
      <c r="I244" s="35"/>
      <c r="J244" s="35"/>
      <c r="K244" s="34"/>
      <c r="L244" s="33"/>
      <c r="M244" s="37" t="str">
        <f aca="true">IF(OR(B244="",H244&lt;&gt;"Open",G244=""),"",IF(G244&lt;TODAY(),"Overdue",""))</f>
        <v/>
      </c>
    </row>
    <row r="245" customFormat="false" ht="15" hidden="false" customHeight="false" outlineLevel="0" collapsed="false">
      <c r="A245" s="32"/>
      <c r="B245" s="32"/>
      <c r="C245" s="33"/>
      <c r="D245" s="32"/>
      <c r="E245" s="32"/>
      <c r="F245" s="32"/>
      <c r="G245" s="35"/>
      <c r="H245" s="32"/>
      <c r="I245" s="35"/>
      <c r="J245" s="35"/>
      <c r="K245" s="34"/>
      <c r="L245" s="33"/>
      <c r="M245" s="37" t="str">
        <f aca="true">IF(OR(B245="",H245&lt;&gt;"Open",G245=""),"",IF(G245&lt;TODAY(),"Overdue",""))</f>
        <v/>
      </c>
    </row>
    <row r="246" customFormat="false" ht="15" hidden="false" customHeight="false" outlineLevel="0" collapsed="false">
      <c r="A246" s="32"/>
      <c r="B246" s="32"/>
      <c r="C246" s="33"/>
      <c r="D246" s="32"/>
      <c r="E246" s="32"/>
      <c r="F246" s="32"/>
      <c r="G246" s="35"/>
      <c r="H246" s="32"/>
      <c r="I246" s="35"/>
      <c r="J246" s="35"/>
      <c r="K246" s="34"/>
      <c r="L246" s="33"/>
      <c r="M246" s="37" t="str">
        <f aca="true">IF(OR(B246="",H246&lt;&gt;"Open",G246=""),"",IF(G246&lt;TODAY(),"Overdue",""))</f>
        <v/>
      </c>
    </row>
    <row r="247" customFormat="false" ht="15" hidden="false" customHeight="false" outlineLevel="0" collapsed="false">
      <c r="A247" s="32"/>
      <c r="B247" s="32"/>
      <c r="C247" s="33"/>
      <c r="D247" s="32"/>
      <c r="E247" s="32"/>
      <c r="F247" s="32"/>
      <c r="G247" s="35"/>
      <c r="H247" s="32"/>
      <c r="I247" s="35"/>
      <c r="J247" s="35"/>
      <c r="K247" s="34"/>
      <c r="L247" s="33"/>
      <c r="M247" s="37" t="str">
        <f aca="true">IF(OR(B247="",H247&lt;&gt;"Open",G247=""),"",IF(G247&lt;TODAY(),"Overdue",""))</f>
        <v/>
      </c>
    </row>
    <row r="248" customFormat="false" ht="15" hidden="false" customHeight="false" outlineLevel="0" collapsed="false">
      <c r="A248" s="32"/>
      <c r="B248" s="32"/>
      <c r="C248" s="33"/>
      <c r="D248" s="32"/>
      <c r="E248" s="32"/>
      <c r="F248" s="32"/>
      <c r="G248" s="35"/>
      <c r="H248" s="32"/>
      <c r="I248" s="35"/>
      <c r="J248" s="35"/>
      <c r="K248" s="34"/>
      <c r="L248" s="33"/>
      <c r="M248" s="37" t="str">
        <f aca="true">IF(OR(B248="",H248&lt;&gt;"Open",G248=""),"",IF(G248&lt;TODAY(),"Overdue",""))</f>
        <v/>
      </c>
    </row>
    <row r="249" customFormat="false" ht="15" hidden="false" customHeight="false" outlineLevel="0" collapsed="false">
      <c r="A249" s="32"/>
      <c r="B249" s="32"/>
      <c r="C249" s="33"/>
      <c r="D249" s="32"/>
      <c r="E249" s="32"/>
      <c r="F249" s="32"/>
      <c r="G249" s="35"/>
      <c r="H249" s="32"/>
      <c r="I249" s="35"/>
      <c r="J249" s="35"/>
      <c r="K249" s="34"/>
      <c r="L249" s="33"/>
      <c r="M249" s="37" t="str">
        <f aca="true">IF(OR(B249="",H249&lt;&gt;"Open",G249=""),"",IF(G249&lt;TODAY(),"Overdue",""))</f>
        <v/>
      </c>
    </row>
    <row r="250" customFormat="false" ht="15" hidden="false" customHeight="false" outlineLevel="0" collapsed="false">
      <c r="A250" s="32"/>
      <c r="B250" s="32"/>
      <c r="C250" s="33"/>
      <c r="D250" s="32"/>
      <c r="E250" s="32"/>
      <c r="F250" s="32"/>
      <c r="G250" s="35"/>
      <c r="H250" s="32"/>
      <c r="I250" s="35"/>
      <c r="J250" s="35"/>
      <c r="K250" s="34"/>
      <c r="L250" s="33"/>
      <c r="M250" s="37" t="str">
        <f aca="true">IF(OR(B250="",H250&lt;&gt;"Open",G250=""),"",IF(G250&lt;TODAY(),"Overdue",""))</f>
        <v/>
      </c>
    </row>
    <row r="251" customFormat="false" ht="15" hidden="false" customHeight="false" outlineLevel="0" collapsed="false">
      <c r="A251" s="32"/>
      <c r="B251" s="32"/>
      <c r="C251" s="33"/>
      <c r="D251" s="32"/>
      <c r="E251" s="32"/>
      <c r="F251" s="32"/>
      <c r="G251" s="35"/>
      <c r="H251" s="32"/>
      <c r="I251" s="35"/>
      <c r="J251" s="35"/>
      <c r="K251" s="34"/>
      <c r="L251" s="33"/>
      <c r="M251" s="37" t="str">
        <f aca="true">IF(OR(B251="",H251&lt;&gt;"Open",G251=""),"",IF(G251&lt;TODAY(),"Overdue",""))</f>
        <v/>
      </c>
    </row>
    <row r="252" customFormat="false" ht="15" hidden="false" customHeight="false" outlineLevel="0" collapsed="false">
      <c r="A252" s="32"/>
      <c r="B252" s="32"/>
      <c r="C252" s="33"/>
      <c r="D252" s="32"/>
      <c r="E252" s="32"/>
      <c r="F252" s="32"/>
      <c r="G252" s="35"/>
      <c r="H252" s="32"/>
      <c r="I252" s="35"/>
      <c r="J252" s="35"/>
      <c r="K252" s="34"/>
      <c r="L252" s="33"/>
      <c r="M252" s="37" t="str">
        <f aca="true">IF(OR(B252="",H252&lt;&gt;"Open",G252=""),"",IF(G252&lt;TODAY(),"Overdue",""))</f>
        <v/>
      </c>
    </row>
    <row r="253" customFormat="false" ht="15" hidden="false" customHeight="false" outlineLevel="0" collapsed="false">
      <c r="A253" s="32"/>
      <c r="B253" s="32"/>
      <c r="C253" s="33"/>
      <c r="D253" s="32"/>
      <c r="E253" s="32"/>
      <c r="F253" s="32"/>
      <c r="G253" s="35"/>
      <c r="H253" s="32"/>
      <c r="I253" s="35"/>
      <c r="J253" s="35"/>
      <c r="K253" s="34"/>
      <c r="L253" s="33"/>
      <c r="M253" s="37" t="str">
        <f aca="true">IF(OR(B253="",H253&lt;&gt;"Open",G253=""),"",IF(G253&lt;TODAY(),"Overdue",""))</f>
        <v/>
      </c>
    </row>
    <row r="254" customFormat="false" ht="15" hidden="false" customHeight="false" outlineLevel="0" collapsed="false">
      <c r="A254" s="32"/>
      <c r="B254" s="32"/>
      <c r="C254" s="33"/>
      <c r="D254" s="32"/>
      <c r="E254" s="32"/>
      <c r="F254" s="32"/>
      <c r="G254" s="35"/>
      <c r="H254" s="32"/>
      <c r="I254" s="35"/>
      <c r="J254" s="35"/>
      <c r="K254" s="34"/>
      <c r="L254" s="33"/>
      <c r="M254" s="37" t="str">
        <f aca="true">IF(OR(B254="",H254&lt;&gt;"Open",G254=""),"",IF(G254&lt;TODAY(),"Overdue",""))</f>
        <v/>
      </c>
    </row>
    <row r="255" customFormat="false" ht="15" hidden="false" customHeight="false" outlineLevel="0" collapsed="false">
      <c r="A255" s="32"/>
      <c r="B255" s="32"/>
      <c r="C255" s="33"/>
      <c r="D255" s="32"/>
      <c r="E255" s="32"/>
      <c r="F255" s="32"/>
      <c r="G255" s="35"/>
      <c r="H255" s="32"/>
      <c r="I255" s="35"/>
      <c r="J255" s="35"/>
      <c r="K255" s="34"/>
      <c r="L255" s="33"/>
      <c r="M255" s="37" t="str">
        <f aca="true">IF(OR(B255="",H255&lt;&gt;"Open",G255=""),"",IF(G255&lt;TODAY(),"Overdue",""))</f>
        <v/>
      </c>
    </row>
    <row r="256" customFormat="false" ht="15" hidden="false" customHeight="false" outlineLevel="0" collapsed="false">
      <c r="A256" s="32"/>
      <c r="B256" s="32"/>
      <c r="C256" s="33"/>
      <c r="D256" s="32"/>
      <c r="E256" s="32"/>
      <c r="F256" s="32"/>
      <c r="G256" s="35"/>
      <c r="H256" s="32"/>
      <c r="I256" s="35"/>
      <c r="J256" s="35"/>
      <c r="K256" s="34"/>
      <c r="L256" s="33"/>
      <c r="M256" s="37" t="str">
        <f aca="true">IF(OR(B256="",H256&lt;&gt;"Open",G256=""),"",IF(G256&lt;TODAY(),"Overdue",""))</f>
        <v/>
      </c>
    </row>
    <row r="257" customFormat="false" ht="15" hidden="false" customHeight="false" outlineLevel="0" collapsed="false">
      <c r="A257" s="32"/>
      <c r="B257" s="32"/>
      <c r="C257" s="33"/>
      <c r="D257" s="32"/>
      <c r="E257" s="32"/>
      <c r="F257" s="32"/>
      <c r="G257" s="35"/>
      <c r="H257" s="32"/>
      <c r="I257" s="35"/>
      <c r="J257" s="35"/>
      <c r="K257" s="34"/>
      <c r="L257" s="33"/>
      <c r="M257" s="37" t="str">
        <f aca="true">IF(OR(B257="",H257&lt;&gt;"Open",G257=""),"",IF(G257&lt;TODAY(),"Overdue",""))</f>
        <v/>
      </c>
    </row>
    <row r="258" customFormat="false" ht="15" hidden="false" customHeight="false" outlineLevel="0" collapsed="false">
      <c r="A258" s="32"/>
      <c r="B258" s="32"/>
      <c r="C258" s="33"/>
      <c r="D258" s="32"/>
      <c r="E258" s="32"/>
      <c r="F258" s="32"/>
      <c r="G258" s="35"/>
      <c r="H258" s="32"/>
      <c r="I258" s="35"/>
      <c r="J258" s="35"/>
      <c r="K258" s="34"/>
      <c r="L258" s="33"/>
      <c r="M258" s="37" t="str">
        <f aca="true">IF(OR(B258="",H258&lt;&gt;"Open",G258=""),"",IF(G258&lt;TODAY(),"Overdue",""))</f>
        <v/>
      </c>
    </row>
    <row r="259" customFormat="false" ht="15" hidden="false" customHeight="false" outlineLevel="0" collapsed="false">
      <c r="A259" s="32"/>
      <c r="B259" s="32"/>
      <c r="C259" s="33"/>
      <c r="D259" s="32"/>
      <c r="E259" s="32"/>
      <c r="F259" s="32"/>
      <c r="G259" s="35"/>
      <c r="H259" s="32"/>
      <c r="I259" s="35"/>
      <c r="J259" s="35"/>
      <c r="K259" s="34"/>
      <c r="L259" s="33"/>
      <c r="M259" s="37" t="str">
        <f aca="true">IF(OR(B259="",H259&lt;&gt;"Open",G259=""),"",IF(G259&lt;TODAY(),"Overdue",""))</f>
        <v/>
      </c>
    </row>
    <row r="260" customFormat="false" ht="15" hidden="false" customHeight="false" outlineLevel="0" collapsed="false">
      <c r="A260" s="32"/>
      <c r="B260" s="32"/>
      <c r="C260" s="33"/>
      <c r="D260" s="32"/>
      <c r="E260" s="32"/>
      <c r="F260" s="32"/>
      <c r="G260" s="35"/>
      <c r="H260" s="32"/>
      <c r="I260" s="35"/>
      <c r="J260" s="35"/>
      <c r="K260" s="34"/>
      <c r="L260" s="33"/>
      <c r="M260" s="37" t="str">
        <f aca="true">IF(OR(B260="",H260&lt;&gt;"Open",G260=""),"",IF(G260&lt;TODAY(),"Overdue",""))</f>
        <v/>
      </c>
    </row>
    <row r="261" customFormat="false" ht="15" hidden="false" customHeight="false" outlineLevel="0" collapsed="false">
      <c r="A261" s="32"/>
      <c r="B261" s="32"/>
      <c r="C261" s="33"/>
      <c r="D261" s="32"/>
      <c r="E261" s="32"/>
      <c r="F261" s="32"/>
      <c r="G261" s="35"/>
      <c r="H261" s="32"/>
      <c r="I261" s="35"/>
      <c r="J261" s="35"/>
      <c r="K261" s="34"/>
      <c r="L261" s="33"/>
      <c r="M261" s="37" t="str">
        <f aca="true">IF(OR(B261="",H261&lt;&gt;"Open",G261=""),"",IF(G261&lt;TODAY(),"Overdue",""))</f>
        <v/>
      </c>
    </row>
    <row r="262" customFormat="false" ht="15" hidden="false" customHeight="false" outlineLevel="0" collapsed="false">
      <c r="A262" s="32"/>
      <c r="B262" s="32"/>
      <c r="C262" s="33"/>
      <c r="D262" s="32"/>
      <c r="E262" s="32"/>
      <c r="F262" s="32"/>
      <c r="G262" s="35"/>
      <c r="H262" s="32"/>
      <c r="I262" s="35"/>
      <c r="J262" s="35"/>
      <c r="K262" s="34"/>
      <c r="L262" s="33"/>
      <c r="M262" s="37" t="str">
        <f aca="true">IF(OR(B262="",H262&lt;&gt;"Open",G262=""),"",IF(G262&lt;TODAY(),"Overdue",""))</f>
        <v/>
      </c>
    </row>
    <row r="263" customFormat="false" ht="15" hidden="false" customHeight="false" outlineLevel="0" collapsed="false">
      <c r="A263" s="32"/>
      <c r="B263" s="32"/>
      <c r="C263" s="33"/>
      <c r="D263" s="32"/>
      <c r="E263" s="32"/>
      <c r="F263" s="32"/>
      <c r="G263" s="35"/>
      <c r="H263" s="32"/>
      <c r="I263" s="35"/>
      <c r="J263" s="35"/>
      <c r="K263" s="34"/>
      <c r="L263" s="33"/>
      <c r="M263" s="37" t="str">
        <f aca="true">IF(OR(B263="",H263&lt;&gt;"Open",G263=""),"",IF(G263&lt;TODAY(),"Overdue",""))</f>
        <v/>
      </c>
    </row>
    <row r="264" customFormat="false" ht="15" hidden="false" customHeight="false" outlineLevel="0" collapsed="false">
      <c r="A264" s="32"/>
      <c r="B264" s="32"/>
      <c r="C264" s="33"/>
      <c r="D264" s="32"/>
      <c r="E264" s="32"/>
      <c r="F264" s="32"/>
      <c r="G264" s="35"/>
      <c r="H264" s="32"/>
      <c r="I264" s="35"/>
      <c r="J264" s="35"/>
      <c r="K264" s="34"/>
      <c r="L264" s="33"/>
      <c r="M264" s="37" t="str">
        <f aca="true">IF(OR(B264="",H264&lt;&gt;"Open",G264=""),"",IF(G264&lt;TODAY(),"Overdue",""))</f>
        <v/>
      </c>
    </row>
    <row r="265" customFormat="false" ht="15" hidden="false" customHeight="false" outlineLevel="0" collapsed="false">
      <c r="A265" s="32"/>
      <c r="B265" s="32"/>
      <c r="C265" s="33"/>
      <c r="D265" s="32"/>
      <c r="E265" s="32"/>
      <c r="F265" s="32"/>
      <c r="G265" s="35"/>
      <c r="H265" s="32"/>
      <c r="I265" s="35"/>
      <c r="J265" s="35"/>
      <c r="K265" s="34"/>
      <c r="L265" s="33"/>
      <c r="M265" s="37" t="str">
        <f aca="true">IF(OR(B265="",H265&lt;&gt;"Open",G265=""),"",IF(G265&lt;TODAY(),"Overdue",""))</f>
        <v/>
      </c>
    </row>
    <row r="266" customFormat="false" ht="15" hidden="false" customHeight="false" outlineLevel="0" collapsed="false">
      <c r="A266" s="32"/>
      <c r="B266" s="32"/>
      <c r="C266" s="33"/>
      <c r="D266" s="32"/>
      <c r="E266" s="32"/>
      <c r="F266" s="32"/>
      <c r="G266" s="35"/>
      <c r="H266" s="32"/>
      <c r="I266" s="35"/>
      <c r="J266" s="35"/>
      <c r="K266" s="34"/>
      <c r="L266" s="33"/>
      <c r="M266" s="37" t="str">
        <f aca="true">IF(OR(B266="",H266&lt;&gt;"Open",G266=""),"",IF(G266&lt;TODAY(),"Overdue",""))</f>
        <v/>
      </c>
    </row>
    <row r="267" customFormat="false" ht="15" hidden="false" customHeight="false" outlineLevel="0" collapsed="false">
      <c r="A267" s="32"/>
      <c r="B267" s="32"/>
      <c r="C267" s="33"/>
      <c r="D267" s="32"/>
      <c r="E267" s="32"/>
      <c r="F267" s="32"/>
      <c r="G267" s="35"/>
      <c r="H267" s="32"/>
      <c r="I267" s="35"/>
      <c r="J267" s="35"/>
      <c r="K267" s="34"/>
      <c r="L267" s="33"/>
      <c r="M267" s="37" t="str">
        <f aca="true">IF(OR(B267="",H267&lt;&gt;"Open",G267=""),"",IF(G267&lt;TODAY(),"Overdue",""))</f>
        <v/>
      </c>
    </row>
    <row r="268" customFormat="false" ht="15" hidden="false" customHeight="false" outlineLevel="0" collapsed="false">
      <c r="A268" s="32"/>
      <c r="B268" s="32"/>
      <c r="C268" s="33"/>
      <c r="D268" s="32"/>
      <c r="E268" s="32"/>
      <c r="F268" s="32"/>
      <c r="G268" s="35"/>
      <c r="H268" s="32"/>
      <c r="I268" s="35"/>
      <c r="J268" s="35"/>
      <c r="K268" s="34"/>
      <c r="L268" s="33"/>
      <c r="M268" s="37" t="str">
        <f aca="true">IF(OR(B268="",H268&lt;&gt;"Open",G268=""),"",IF(G268&lt;TODAY(),"Overdue",""))</f>
        <v/>
      </c>
    </row>
    <row r="269" customFormat="false" ht="15" hidden="false" customHeight="false" outlineLevel="0" collapsed="false">
      <c r="A269" s="32"/>
      <c r="B269" s="32"/>
      <c r="C269" s="33"/>
      <c r="D269" s="32"/>
      <c r="E269" s="32"/>
      <c r="F269" s="32"/>
      <c r="G269" s="35"/>
      <c r="H269" s="32"/>
      <c r="I269" s="35"/>
      <c r="J269" s="35"/>
      <c r="K269" s="34"/>
      <c r="L269" s="33"/>
      <c r="M269" s="37" t="str">
        <f aca="true">IF(OR(B269="",H269&lt;&gt;"Open",G269=""),"",IF(G269&lt;TODAY(),"Overdue",""))</f>
        <v/>
      </c>
    </row>
    <row r="270" customFormat="false" ht="15" hidden="false" customHeight="false" outlineLevel="0" collapsed="false">
      <c r="A270" s="32"/>
      <c r="B270" s="32"/>
      <c r="C270" s="33"/>
      <c r="D270" s="32"/>
      <c r="E270" s="32"/>
      <c r="F270" s="32"/>
      <c r="G270" s="35"/>
      <c r="H270" s="32"/>
      <c r="I270" s="35"/>
      <c r="J270" s="35"/>
      <c r="K270" s="34"/>
      <c r="L270" s="33"/>
      <c r="M270" s="37" t="str">
        <f aca="true">IF(OR(B270="",H270&lt;&gt;"Open",G270=""),"",IF(G270&lt;TODAY(),"Overdue",""))</f>
        <v/>
      </c>
    </row>
    <row r="271" customFormat="false" ht="15" hidden="false" customHeight="false" outlineLevel="0" collapsed="false">
      <c r="A271" s="32"/>
      <c r="B271" s="32"/>
      <c r="C271" s="33"/>
      <c r="D271" s="32"/>
      <c r="E271" s="32"/>
      <c r="F271" s="32"/>
      <c r="G271" s="35"/>
      <c r="H271" s="32"/>
      <c r="I271" s="35"/>
      <c r="J271" s="35"/>
      <c r="K271" s="34"/>
      <c r="L271" s="33"/>
      <c r="M271" s="37" t="str">
        <f aca="true">IF(OR(B271="",H271&lt;&gt;"Open",G271=""),"",IF(G271&lt;TODAY(),"Overdue",""))</f>
        <v/>
      </c>
    </row>
    <row r="272" customFormat="false" ht="15" hidden="false" customHeight="false" outlineLevel="0" collapsed="false">
      <c r="A272" s="32"/>
      <c r="B272" s="32"/>
      <c r="C272" s="33"/>
      <c r="D272" s="32"/>
      <c r="E272" s="32"/>
      <c r="F272" s="32"/>
      <c r="G272" s="35"/>
      <c r="H272" s="32"/>
      <c r="I272" s="35"/>
      <c r="J272" s="35"/>
      <c r="K272" s="34"/>
      <c r="L272" s="33"/>
      <c r="M272" s="37" t="str">
        <f aca="true">IF(OR(B272="",H272&lt;&gt;"Open",G272=""),"",IF(G272&lt;TODAY(),"Overdue",""))</f>
        <v/>
      </c>
    </row>
    <row r="273" customFormat="false" ht="15" hidden="false" customHeight="false" outlineLevel="0" collapsed="false">
      <c r="A273" s="32"/>
      <c r="B273" s="32"/>
      <c r="C273" s="33"/>
      <c r="D273" s="32"/>
      <c r="E273" s="32"/>
      <c r="F273" s="32"/>
      <c r="G273" s="35"/>
      <c r="H273" s="32"/>
      <c r="I273" s="35"/>
      <c r="J273" s="35"/>
      <c r="K273" s="34"/>
      <c r="L273" s="33"/>
      <c r="M273" s="37" t="str">
        <f aca="true">IF(OR(B273="",H273&lt;&gt;"Open",G273=""),"",IF(G273&lt;TODAY(),"Overdue",""))</f>
        <v/>
      </c>
    </row>
    <row r="274" customFormat="false" ht="15" hidden="false" customHeight="false" outlineLevel="0" collapsed="false">
      <c r="A274" s="32"/>
      <c r="B274" s="32"/>
      <c r="C274" s="33"/>
      <c r="D274" s="32"/>
      <c r="E274" s="32"/>
      <c r="F274" s="32"/>
      <c r="G274" s="35"/>
      <c r="H274" s="32"/>
      <c r="I274" s="35"/>
      <c r="J274" s="35"/>
      <c r="K274" s="34"/>
      <c r="L274" s="33"/>
      <c r="M274" s="37" t="str">
        <f aca="true">IF(OR(B274="",H274&lt;&gt;"Open",G274=""),"",IF(G274&lt;TODAY(),"Overdue",""))</f>
        <v/>
      </c>
    </row>
    <row r="275" customFormat="false" ht="15" hidden="false" customHeight="false" outlineLevel="0" collapsed="false">
      <c r="A275" s="32"/>
      <c r="B275" s="32"/>
      <c r="C275" s="33"/>
      <c r="D275" s="32"/>
      <c r="E275" s="32"/>
      <c r="F275" s="32"/>
      <c r="G275" s="35"/>
      <c r="H275" s="32"/>
      <c r="I275" s="35"/>
      <c r="J275" s="35"/>
      <c r="K275" s="34"/>
      <c r="L275" s="33"/>
      <c r="M275" s="37" t="str">
        <f aca="true">IF(OR(B275="",H275&lt;&gt;"Open",G275=""),"",IF(G275&lt;TODAY(),"Overdue",""))</f>
        <v/>
      </c>
    </row>
    <row r="276" customFormat="false" ht="15" hidden="false" customHeight="false" outlineLevel="0" collapsed="false">
      <c r="A276" s="32"/>
      <c r="B276" s="32"/>
      <c r="C276" s="33"/>
      <c r="D276" s="32"/>
      <c r="E276" s="32"/>
      <c r="F276" s="32"/>
      <c r="G276" s="35"/>
      <c r="H276" s="32"/>
      <c r="I276" s="35"/>
      <c r="J276" s="35"/>
      <c r="K276" s="34"/>
      <c r="L276" s="33"/>
      <c r="M276" s="37" t="str">
        <f aca="true">IF(OR(B276="",H276&lt;&gt;"Open",G276=""),"",IF(G276&lt;TODAY(),"Overdue",""))</f>
        <v/>
      </c>
    </row>
    <row r="277" customFormat="false" ht="15" hidden="false" customHeight="false" outlineLevel="0" collapsed="false">
      <c r="A277" s="32"/>
      <c r="B277" s="32"/>
      <c r="C277" s="33"/>
      <c r="D277" s="32"/>
      <c r="E277" s="32"/>
      <c r="F277" s="32"/>
      <c r="G277" s="35"/>
      <c r="H277" s="32"/>
      <c r="I277" s="35"/>
      <c r="J277" s="35"/>
      <c r="K277" s="34"/>
      <c r="L277" s="33"/>
      <c r="M277" s="37" t="str">
        <f aca="true">IF(OR(B277="",H277&lt;&gt;"Open",G277=""),"",IF(G277&lt;TODAY(),"Overdue",""))</f>
        <v/>
      </c>
    </row>
    <row r="278" customFormat="false" ht="15" hidden="false" customHeight="false" outlineLevel="0" collapsed="false">
      <c r="A278" s="32"/>
      <c r="B278" s="32"/>
      <c r="C278" s="33"/>
      <c r="D278" s="32"/>
      <c r="E278" s="32"/>
      <c r="F278" s="32"/>
      <c r="G278" s="35"/>
      <c r="H278" s="32"/>
      <c r="I278" s="35"/>
      <c r="J278" s="35"/>
      <c r="K278" s="34"/>
      <c r="L278" s="33"/>
      <c r="M278" s="37" t="str">
        <f aca="true">IF(OR(B278="",H278&lt;&gt;"Open",G278=""),"",IF(G278&lt;TODAY(),"Overdue",""))</f>
        <v/>
      </c>
    </row>
    <row r="279" customFormat="false" ht="15" hidden="false" customHeight="false" outlineLevel="0" collapsed="false">
      <c r="A279" s="32"/>
      <c r="B279" s="32"/>
      <c r="C279" s="33"/>
      <c r="D279" s="32"/>
      <c r="E279" s="32"/>
      <c r="F279" s="32"/>
      <c r="G279" s="35"/>
      <c r="H279" s="32"/>
      <c r="I279" s="35"/>
      <c r="J279" s="35"/>
      <c r="K279" s="34"/>
      <c r="L279" s="33"/>
      <c r="M279" s="37" t="str">
        <f aca="true">IF(OR(B279="",H279&lt;&gt;"Open",G279=""),"",IF(G279&lt;TODAY(),"Overdue",""))</f>
        <v/>
      </c>
    </row>
    <row r="280" customFormat="false" ht="15" hidden="false" customHeight="false" outlineLevel="0" collapsed="false">
      <c r="A280" s="32"/>
      <c r="B280" s="32"/>
      <c r="C280" s="33"/>
      <c r="D280" s="32"/>
      <c r="E280" s="32"/>
      <c r="F280" s="32"/>
      <c r="G280" s="35"/>
      <c r="H280" s="32"/>
      <c r="I280" s="35"/>
      <c r="J280" s="35"/>
      <c r="K280" s="34"/>
      <c r="L280" s="33"/>
      <c r="M280" s="37" t="str">
        <f aca="true">IF(OR(B280="",H280&lt;&gt;"Open",G280=""),"",IF(G280&lt;TODAY(),"Overdue",""))</f>
        <v/>
      </c>
    </row>
    <row r="281" customFormat="false" ht="15" hidden="false" customHeight="false" outlineLevel="0" collapsed="false">
      <c r="A281" s="32"/>
      <c r="B281" s="32"/>
      <c r="C281" s="33"/>
      <c r="D281" s="32"/>
      <c r="E281" s="32"/>
      <c r="F281" s="32"/>
      <c r="G281" s="35"/>
      <c r="H281" s="32"/>
      <c r="I281" s="35"/>
      <c r="J281" s="35"/>
      <c r="K281" s="34"/>
      <c r="L281" s="33"/>
      <c r="M281" s="37" t="str">
        <f aca="true">IF(OR(B281="",H281&lt;&gt;"Open",G281=""),"",IF(G281&lt;TODAY(),"Overdue",""))</f>
        <v/>
      </c>
    </row>
    <row r="282" customFormat="false" ht="15" hidden="false" customHeight="false" outlineLevel="0" collapsed="false">
      <c r="A282" s="32"/>
      <c r="B282" s="32"/>
      <c r="C282" s="33"/>
      <c r="D282" s="32"/>
      <c r="E282" s="32"/>
      <c r="F282" s="32"/>
      <c r="G282" s="35"/>
      <c r="H282" s="32"/>
      <c r="I282" s="35"/>
      <c r="J282" s="35"/>
      <c r="K282" s="34"/>
      <c r="L282" s="33"/>
      <c r="M282" s="37" t="str">
        <f aca="true">IF(OR(B282="",H282&lt;&gt;"Open",G282=""),"",IF(G282&lt;TODAY(),"Overdue",""))</f>
        <v/>
      </c>
    </row>
    <row r="283" customFormat="false" ht="15" hidden="false" customHeight="false" outlineLevel="0" collapsed="false">
      <c r="A283" s="32"/>
      <c r="B283" s="32"/>
      <c r="C283" s="33"/>
      <c r="D283" s="32"/>
      <c r="E283" s="32"/>
      <c r="F283" s="32"/>
      <c r="G283" s="35"/>
      <c r="H283" s="32"/>
      <c r="I283" s="35"/>
      <c r="J283" s="35"/>
      <c r="K283" s="34"/>
      <c r="L283" s="33"/>
      <c r="M283" s="37" t="str">
        <f aca="true">IF(OR(B283="",H283&lt;&gt;"Open",G283=""),"",IF(G283&lt;TODAY(),"Overdue",""))</f>
        <v/>
      </c>
    </row>
    <row r="284" customFormat="false" ht="15" hidden="false" customHeight="false" outlineLevel="0" collapsed="false">
      <c r="A284" s="32"/>
      <c r="B284" s="32"/>
      <c r="C284" s="33"/>
      <c r="D284" s="32"/>
      <c r="E284" s="32"/>
      <c r="F284" s="32"/>
      <c r="G284" s="35"/>
      <c r="H284" s="32"/>
      <c r="I284" s="35"/>
      <c r="J284" s="35"/>
      <c r="K284" s="34"/>
      <c r="L284" s="33"/>
      <c r="M284" s="37" t="str">
        <f aca="true">IF(OR(B284="",H284&lt;&gt;"Open",G284=""),"",IF(G284&lt;TODAY(),"Overdue",""))</f>
        <v/>
      </c>
    </row>
    <row r="285" customFormat="false" ht="15" hidden="false" customHeight="false" outlineLevel="0" collapsed="false">
      <c r="A285" s="32"/>
      <c r="B285" s="32"/>
      <c r="C285" s="33"/>
      <c r="D285" s="32"/>
      <c r="E285" s="32"/>
      <c r="F285" s="32"/>
      <c r="G285" s="35"/>
      <c r="H285" s="32"/>
      <c r="I285" s="35"/>
      <c r="J285" s="35"/>
      <c r="K285" s="34"/>
      <c r="L285" s="33"/>
      <c r="M285" s="37" t="str">
        <f aca="true">IF(OR(B285="",H285&lt;&gt;"Open",G285=""),"",IF(G285&lt;TODAY(),"Overdue",""))</f>
        <v/>
      </c>
    </row>
    <row r="286" customFormat="false" ht="15" hidden="false" customHeight="false" outlineLevel="0" collapsed="false">
      <c r="A286" s="32"/>
      <c r="B286" s="32"/>
      <c r="C286" s="33"/>
      <c r="D286" s="32"/>
      <c r="E286" s="32"/>
      <c r="F286" s="32"/>
      <c r="G286" s="35"/>
      <c r="H286" s="32"/>
      <c r="I286" s="35"/>
      <c r="J286" s="35"/>
      <c r="K286" s="34"/>
      <c r="L286" s="33"/>
      <c r="M286" s="37" t="str">
        <f aca="true">IF(OR(B286="",H286&lt;&gt;"Open",G286=""),"",IF(G286&lt;TODAY(),"Overdue",""))</f>
        <v/>
      </c>
    </row>
    <row r="287" customFormat="false" ht="15" hidden="false" customHeight="false" outlineLevel="0" collapsed="false">
      <c r="A287" s="32"/>
      <c r="B287" s="32"/>
      <c r="C287" s="33"/>
      <c r="D287" s="32"/>
      <c r="E287" s="32"/>
      <c r="F287" s="32"/>
      <c r="G287" s="35"/>
      <c r="H287" s="32"/>
      <c r="I287" s="35"/>
      <c r="J287" s="35"/>
      <c r="K287" s="34"/>
      <c r="L287" s="33"/>
      <c r="M287" s="37" t="str">
        <f aca="true">IF(OR(B287="",H287&lt;&gt;"Open",G287=""),"",IF(G287&lt;TODAY(),"Overdue",""))</f>
        <v/>
      </c>
    </row>
    <row r="288" customFormat="false" ht="15" hidden="false" customHeight="false" outlineLevel="0" collapsed="false">
      <c r="A288" s="32"/>
      <c r="B288" s="32"/>
      <c r="C288" s="33"/>
      <c r="D288" s="32"/>
      <c r="E288" s="32"/>
      <c r="F288" s="32"/>
      <c r="G288" s="35"/>
      <c r="H288" s="32"/>
      <c r="I288" s="35"/>
      <c r="J288" s="35"/>
      <c r="K288" s="34"/>
      <c r="L288" s="33"/>
      <c r="M288" s="37" t="str">
        <f aca="true">IF(OR(B288="",H288&lt;&gt;"Open",G288=""),"",IF(G288&lt;TODAY(),"Overdue",""))</f>
        <v/>
      </c>
    </row>
    <row r="289" customFormat="false" ht="15" hidden="false" customHeight="false" outlineLevel="0" collapsed="false">
      <c r="A289" s="32"/>
      <c r="B289" s="32"/>
      <c r="C289" s="33"/>
      <c r="D289" s="32"/>
      <c r="E289" s="32"/>
      <c r="F289" s="32"/>
      <c r="G289" s="35"/>
      <c r="H289" s="32"/>
      <c r="I289" s="35"/>
      <c r="J289" s="35"/>
      <c r="K289" s="34"/>
      <c r="L289" s="33"/>
      <c r="M289" s="37" t="str">
        <f aca="true">IF(OR(B289="",H289&lt;&gt;"Open",G289=""),"",IF(G289&lt;TODAY(),"Overdue",""))</f>
        <v/>
      </c>
    </row>
    <row r="290" customFormat="false" ht="15" hidden="false" customHeight="false" outlineLevel="0" collapsed="false">
      <c r="A290" s="32"/>
      <c r="B290" s="32"/>
      <c r="C290" s="33"/>
      <c r="D290" s="32"/>
      <c r="E290" s="32"/>
      <c r="F290" s="32"/>
      <c r="G290" s="35"/>
      <c r="H290" s="32"/>
      <c r="I290" s="35"/>
      <c r="J290" s="35"/>
      <c r="K290" s="34"/>
      <c r="L290" s="33"/>
      <c r="M290" s="37" t="str">
        <f aca="true">IF(OR(B290="",H290&lt;&gt;"Open",G290=""),"",IF(G290&lt;TODAY(),"Overdue",""))</f>
        <v/>
      </c>
    </row>
    <row r="291" customFormat="false" ht="15" hidden="false" customHeight="false" outlineLevel="0" collapsed="false">
      <c r="A291" s="32"/>
      <c r="B291" s="32"/>
      <c r="C291" s="33"/>
      <c r="D291" s="32"/>
      <c r="E291" s="32"/>
      <c r="F291" s="32"/>
      <c r="G291" s="35"/>
      <c r="H291" s="32"/>
      <c r="I291" s="35"/>
      <c r="J291" s="35"/>
      <c r="K291" s="34"/>
      <c r="L291" s="33"/>
      <c r="M291" s="37" t="str">
        <f aca="true">IF(OR(B291="",H291&lt;&gt;"Open",G291=""),"",IF(G291&lt;TODAY(),"Overdue",""))</f>
        <v/>
      </c>
    </row>
    <row r="292" customFormat="false" ht="15" hidden="false" customHeight="false" outlineLevel="0" collapsed="false">
      <c r="A292" s="32"/>
      <c r="B292" s="32"/>
      <c r="C292" s="33"/>
      <c r="D292" s="32"/>
      <c r="E292" s="32"/>
      <c r="F292" s="32"/>
      <c r="G292" s="35"/>
      <c r="H292" s="32"/>
      <c r="I292" s="35"/>
      <c r="J292" s="35"/>
      <c r="K292" s="34"/>
      <c r="L292" s="33"/>
      <c r="M292" s="37" t="str">
        <f aca="true">IF(OR(B292="",H292&lt;&gt;"Open",G292=""),"",IF(G292&lt;TODAY(),"Overdue",""))</f>
        <v/>
      </c>
    </row>
    <row r="293" customFormat="false" ht="15" hidden="false" customHeight="false" outlineLevel="0" collapsed="false">
      <c r="A293" s="32"/>
      <c r="B293" s="32"/>
      <c r="C293" s="33"/>
      <c r="D293" s="32"/>
      <c r="E293" s="32"/>
      <c r="F293" s="32"/>
      <c r="G293" s="35"/>
      <c r="H293" s="32"/>
      <c r="I293" s="35"/>
      <c r="J293" s="35"/>
      <c r="K293" s="34"/>
      <c r="L293" s="33"/>
      <c r="M293" s="37" t="str">
        <f aca="true">IF(OR(B293="",H293&lt;&gt;"Open",G293=""),"",IF(G293&lt;TODAY(),"Overdue",""))</f>
        <v/>
      </c>
    </row>
    <row r="294" customFormat="false" ht="15" hidden="false" customHeight="false" outlineLevel="0" collapsed="false">
      <c r="A294" s="32"/>
      <c r="B294" s="32"/>
      <c r="C294" s="33"/>
      <c r="D294" s="32"/>
      <c r="E294" s="32"/>
      <c r="F294" s="32"/>
      <c r="G294" s="35"/>
      <c r="H294" s="32"/>
      <c r="I294" s="35"/>
      <c r="J294" s="35"/>
      <c r="K294" s="34"/>
      <c r="L294" s="33"/>
      <c r="M294" s="37" t="str">
        <f aca="true">IF(OR(B294="",H294&lt;&gt;"Open",G294=""),"",IF(G294&lt;TODAY(),"Overdue",""))</f>
        <v/>
      </c>
    </row>
    <row r="295" customFormat="false" ht="15" hidden="false" customHeight="false" outlineLevel="0" collapsed="false">
      <c r="A295" s="32"/>
      <c r="B295" s="32"/>
      <c r="C295" s="33"/>
      <c r="D295" s="32"/>
      <c r="E295" s="32"/>
      <c r="F295" s="32"/>
      <c r="G295" s="35"/>
      <c r="H295" s="32"/>
      <c r="I295" s="35"/>
      <c r="J295" s="35"/>
      <c r="K295" s="34"/>
      <c r="L295" s="33"/>
      <c r="M295" s="37" t="str">
        <f aca="true">IF(OR(B295="",H295&lt;&gt;"Open",G295=""),"",IF(G295&lt;TODAY(),"Overdue",""))</f>
        <v/>
      </c>
    </row>
    <row r="296" customFormat="false" ht="15" hidden="false" customHeight="false" outlineLevel="0" collapsed="false">
      <c r="A296" s="32"/>
      <c r="B296" s="32"/>
      <c r="C296" s="33"/>
      <c r="D296" s="32"/>
      <c r="E296" s="32"/>
      <c r="F296" s="32"/>
      <c r="G296" s="35"/>
      <c r="H296" s="32"/>
      <c r="I296" s="35"/>
      <c r="J296" s="35"/>
      <c r="K296" s="34"/>
      <c r="L296" s="33"/>
      <c r="M296" s="37" t="str">
        <f aca="true">IF(OR(B296="",H296&lt;&gt;"Open",G296=""),"",IF(G296&lt;TODAY(),"Overdue",""))</f>
        <v/>
      </c>
    </row>
    <row r="297" customFormat="false" ht="15" hidden="false" customHeight="false" outlineLevel="0" collapsed="false">
      <c r="A297" s="32"/>
      <c r="B297" s="32"/>
      <c r="C297" s="33"/>
      <c r="D297" s="32"/>
      <c r="E297" s="32"/>
      <c r="F297" s="32"/>
      <c r="G297" s="35"/>
      <c r="H297" s="32"/>
      <c r="I297" s="35"/>
      <c r="J297" s="35"/>
      <c r="K297" s="34"/>
      <c r="L297" s="33"/>
      <c r="M297" s="37" t="str">
        <f aca="true">IF(OR(B297="",H297&lt;&gt;"Open",G297=""),"",IF(G297&lt;TODAY(),"Overdue",""))</f>
        <v/>
      </c>
    </row>
    <row r="298" customFormat="false" ht="15" hidden="false" customHeight="false" outlineLevel="0" collapsed="false">
      <c r="A298" s="32"/>
      <c r="B298" s="32"/>
      <c r="C298" s="33"/>
      <c r="D298" s="32"/>
      <c r="E298" s="32"/>
      <c r="F298" s="32"/>
      <c r="G298" s="35"/>
      <c r="H298" s="32"/>
      <c r="I298" s="35"/>
      <c r="J298" s="35"/>
      <c r="K298" s="34"/>
      <c r="L298" s="33"/>
      <c r="M298" s="37" t="str">
        <f aca="true">IF(OR(B298="",H298&lt;&gt;"Open",G298=""),"",IF(G298&lt;TODAY(),"Overdue",""))</f>
        <v/>
      </c>
    </row>
    <row r="299" customFormat="false" ht="15" hidden="false" customHeight="false" outlineLevel="0" collapsed="false">
      <c r="A299" s="32"/>
      <c r="B299" s="32"/>
      <c r="C299" s="33"/>
      <c r="D299" s="32"/>
      <c r="E299" s="32"/>
      <c r="F299" s="32"/>
      <c r="G299" s="35"/>
      <c r="H299" s="32"/>
      <c r="I299" s="35"/>
      <c r="J299" s="35"/>
      <c r="K299" s="34"/>
      <c r="L299" s="33"/>
      <c r="M299" s="37" t="str">
        <f aca="true">IF(OR(B299="",H299&lt;&gt;"Open",G299=""),"",IF(G299&lt;TODAY(),"Overdue",""))</f>
        <v/>
      </c>
    </row>
    <row r="300" customFormat="false" ht="15" hidden="false" customHeight="false" outlineLevel="0" collapsed="false">
      <c r="A300" s="32"/>
      <c r="B300" s="32"/>
      <c r="C300" s="33"/>
      <c r="D300" s="32"/>
      <c r="E300" s="32"/>
      <c r="F300" s="32"/>
      <c r="G300" s="35"/>
      <c r="H300" s="32"/>
      <c r="I300" s="35"/>
      <c r="J300" s="35"/>
      <c r="K300" s="34"/>
      <c r="L300" s="33"/>
      <c r="M300" s="37" t="str">
        <f aca="true">IF(OR(B300="",H300&lt;&gt;"Open",G300=""),"",IF(G300&lt;TODAY(),"Overdue",""))</f>
        <v/>
      </c>
    </row>
    <row r="301" customFormat="false" ht="15" hidden="false" customHeight="false" outlineLevel="0" collapsed="false">
      <c r="A301" s="32"/>
      <c r="B301" s="32"/>
      <c r="C301" s="33"/>
      <c r="D301" s="32"/>
      <c r="E301" s="32"/>
      <c r="F301" s="32"/>
      <c r="G301" s="35"/>
      <c r="H301" s="32"/>
      <c r="I301" s="35"/>
      <c r="J301" s="35"/>
      <c r="K301" s="34"/>
      <c r="L301" s="33"/>
      <c r="M301" s="37" t="str">
        <f aca="true">IF(OR(B301="",H301&lt;&gt;"Open",G301=""),"",IF(G301&lt;TODAY(),"Overdue",""))</f>
        <v/>
      </c>
    </row>
    <row r="302" customFormat="false" ht="15" hidden="false" customHeight="false" outlineLevel="0" collapsed="false">
      <c r="A302" s="32"/>
      <c r="B302" s="32"/>
      <c r="C302" s="33"/>
      <c r="D302" s="32"/>
      <c r="E302" s="32"/>
      <c r="F302" s="32"/>
      <c r="G302" s="35"/>
      <c r="H302" s="32"/>
      <c r="I302" s="35"/>
      <c r="J302" s="35"/>
      <c r="K302" s="34"/>
      <c r="L302" s="33"/>
      <c r="M302" s="37" t="str">
        <f aca="true">IF(OR(B302="",H302&lt;&gt;"Open",G302=""),"",IF(G302&lt;TODAY(),"Overdue",""))</f>
        <v/>
      </c>
    </row>
    <row r="303" customFormat="false" ht="15" hidden="false" customHeight="false" outlineLevel="0" collapsed="false">
      <c r="A303" s="32"/>
      <c r="B303" s="32"/>
      <c r="C303" s="33"/>
      <c r="D303" s="32"/>
      <c r="E303" s="32"/>
      <c r="F303" s="32"/>
      <c r="G303" s="35"/>
      <c r="H303" s="32"/>
      <c r="I303" s="35"/>
      <c r="J303" s="35"/>
      <c r="K303" s="34"/>
      <c r="L303" s="33"/>
      <c r="M303" s="37" t="str">
        <f aca="true">IF(OR(B303="",H303&lt;&gt;"Open",G303=""),"",IF(G303&lt;TODAY(),"Overdue",""))</f>
        <v/>
      </c>
    </row>
    <row r="304" customFormat="false" ht="15" hidden="false" customHeight="false" outlineLevel="0" collapsed="false">
      <c r="A304" s="32"/>
      <c r="B304" s="32"/>
      <c r="C304" s="33"/>
      <c r="D304" s="32"/>
      <c r="E304" s="32"/>
      <c r="F304" s="32"/>
      <c r="G304" s="35"/>
      <c r="H304" s="32"/>
      <c r="I304" s="35"/>
      <c r="J304" s="35"/>
      <c r="K304" s="34"/>
      <c r="L304" s="33"/>
      <c r="M304" s="37" t="str">
        <f aca="true">IF(OR(B304="",H304&lt;&gt;"Open",G304=""),"",IF(G304&lt;TODAY(),"Overdue",""))</f>
        <v/>
      </c>
    </row>
    <row r="305" customFormat="false" ht="15" hidden="false" customHeight="false" outlineLevel="0" collapsed="false">
      <c r="A305" s="32"/>
      <c r="B305" s="32"/>
      <c r="C305" s="33"/>
      <c r="D305" s="32"/>
      <c r="E305" s="32"/>
      <c r="F305" s="32"/>
      <c r="G305" s="35"/>
      <c r="H305" s="32"/>
      <c r="I305" s="35"/>
      <c r="J305" s="35"/>
      <c r="K305" s="34"/>
      <c r="L305" s="33"/>
      <c r="M305" s="37" t="str">
        <f aca="true">IF(OR(B305="",H305&lt;&gt;"Open",G305=""),"",IF(G305&lt;TODAY(),"Overdue",""))</f>
        <v/>
      </c>
    </row>
    <row r="306" customFormat="false" ht="15" hidden="false" customHeight="false" outlineLevel="0" collapsed="false">
      <c r="A306" s="32"/>
      <c r="B306" s="32"/>
      <c r="C306" s="33"/>
      <c r="D306" s="32"/>
      <c r="E306" s="32"/>
      <c r="F306" s="32"/>
      <c r="G306" s="35"/>
      <c r="H306" s="32"/>
      <c r="I306" s="35"/>
      <c r="J306" s="35"/>
      <c r="K306" s="34"/>
      <c r="L306" s="33"/>
      <c r="M306" s="37" t="str">
        <f aca="true">IF(OR(B306="",H306&lt;&gt;"Open",G306=""),"",IF(G306&lt;TODAY(),"Overdue",""))</f>
        <v/>
      </c>
    </row>
    <row r="307" customFormat="false" ht="15" hidden="false" customHeight="false" outlineLevel="0" collapsed="false">
      <c r="A307" s="32"/>
      <c r="B307" s="32"/>
      <c r="C307" s="33"/>
      <c r="D307" s="32"/>
      <c r="E307" s="32"/>
      <c r="F307" s="32"/>
      <c r="G307" s="35"/>
      <c r="H307" s="32"/>
      <c r="I307" s="35"/>
      <c r="J307" s="35"/>
      <c r="K307" s="34"/>
      <c r="L307" s="33"/>
      <c r="M307" s="37" t="str">
        <f aca="true">IF(OR(B307="",H307&lt;&gt;"Open",G307=""),"",IF(G307&lt;TODAY(),"Overdue",""))</f>
        <v/>
      </c>
    </row>
    <row r="308" customFormat="false" ht="15" hidden="false" customHeight="false" outlineLevel="0" collapsed="false">
      <c r="A308" s="32"/>
      <c r="B308" s="32"/>
      <c r="C308" s="33"/>
      <c r="D308" s="32"/>
      <c r="E308" s="32"/>
      <c r="F308" s="32"/>
      <c r="G308" s="35"/>
      <c r="H308" s="32"/>
      <c r="I308" s="35"/>
      <c r="J308" s="35"/>
      <c r="K308" s="34"/>
      <c r="L308" s="33"/>
      <c r="M308" s="37" t="str">
        <f aca="true">IF(OR(B308="",H308&lt;&gt;"Open",G308=""),"",IF(G308&lt;TODAY(),"Overdue",""))</f>
        <v/>
      </c>
    </row>
    <row r="309" customFormat="false" ht="15" hidden="false" customHeight="false" outlineLevel="0" collapsed="false">
      <c r="A309" s="32"/>
      <c r="B309" s="32"/>
      <c r="C309" s="33"/>
      <c r="D309" s="32"/>
      <c r="E309" s="32"/>
      <c r="F309" s="32"/>
      <c r="G309" s="35"/>
      <c r="H309" s="32"/>
      <c r="I309" s="35"/>
      <c r="J309" s="35"/>
      <c r="K309" s="34"/>
      <c r="L309" s="33"/>
      <c r="M309" s="37" t="str">
        <f aca="true">IF(OR(B309="",H309&lt;&gt;"Open",G309=""),"",IF(G309&lt;TODAY(),"Overdue",""))</f>
        <v/>
      </c>
    </row>
    <row r="310" customFormat="false" ht="15" hidden="false" customHeight="false" outlineLevel="0" collapsed="false">
      <c r="A310" s="32"/>
      <c r="B310" s="32"/>
      <c r="C310" s="33"/>
      <c r="D310" s="32"/>
      <c r="E310" s="32"/>
      <c r="F310" s="32"/>
      <c r="G310" s="35"/>
      <c r="H310" s="32"/>
      <c r="I310" s="35"/>
      <c r="J310" s="35"/>
      <c r="K310" s="34"/>
      <c r="L310" s="33"/>
      <c r="M310" s="37" t="str">
        <f aca="true">IF(OR(B310="",H310&lt;&gt;"Open",G310=""),"",IF(G310&lt;TODAY(),"Overdue",""))</f>
        <v/>
      </c>
    </row>
    <row r="311" customFormat="false" ht="15" hidden="false" customHeight="false" outlineLevel="0" collapsed="false">
      <c r="A311" s="32"/>
      <c r="B311" s="32"/>
      <c r="C311" s="33"/>
      <c r="D311" s="32"/>
      <c r="E311" s="32"/>
      <c r="F311" s="32"/>
      <c r="G311" s="35"/>
      <c r="H311" s="32"/>
      <c r="I311" s="35"/>
      <c r="J311" s="35"/>
      <c r="K311" s="34"/>
      <c r="L311" s="33"/>
      <c r="M311" s="37" t="str">
        <f aca="true">IF(OR(B311="",H311&lt;&gt;"Open",G311=""),"",IF(G311&lt;TODAY(),"Overdue",""))</f>
        <v/>
      </c>
    </row>
    <row r="312" customFormat="false" ht="15" hidden="false" customHeight="false" outlineLevel="0" collapsed="false">
      <c r="A312" s="32"/>
      <c r="B312" s="32"/>
      <c r="C312" s="33"/>
      <c r="D312" s="32"/>
      <c r="E312" s="32"/>
      <c r="F312" s="32"/>
      <c r="G312" s="35"/>
      <c r="H312" s="32"/>
      <c r="I312" s="35"/>
      <c r="J312" s="35"/>
      <c r="K312" s="34"/>
      <c r="L312" s="33"/>
      <c r="M312" s="37" t="str">
        <f aca="true">IF(OR(B312="",H312&lt;&gt;"Open",G312=""),"",IF(G312&lt;TODAY(),"Overdue",""))</f>
        <v/>
      </c>
    </row>
    <row r="313" customFormat="false" ht="15" hidden="false" customHeight="false" outlineLevel="0" collapsed="false">
      <c r="A313" s="32"/>
      <c r="B313" s="32"/>
      <c r="C313" s="33"/>
      <c r="D313" s="32"/>
      <c r="E313" s="32"/>
      <c r="F313" s="32"/>
      <c r="G313" s="35"/>
      <c r="H313" s="32"/>
      <c r="I313" s="35"/>
      <c r="J313" s="35"/>
      <c r="K313" s="34"/>
      <c r="L313" s="33"/>
      <c r="M313" s="37" t="str">
        <f aca="true">IF(OR(B313="",H313&lt;&gt;"Open",G313=""),"",IF(G313&lt;TODAY(),"Overdue",""))</f>
        <v/>
      </c>
    </row>
    <row r="314" customFormat="false" ht="15" hidden="false" customHeight="false" outlineLevel="0" collapsed="false">
      <c r="A314" s="32"/>
      <c r="B314" s="32"/>
      <c r="C314" s="33"/>
      <c r="D314" s="32"/>
      <c r="E314" s="32"/>
      <c r="F314" s="32"/>
      <c r="G314" s="35"/>
      <c r="H314" s="32"/>
      <c r="I314" s="35"/>
      <c r="J314" s="35"/>
      <c r="K314" s="34"/>
      <c r="L314" s="33"/>
      <c r="M314" s="37" t="str">
        <f aca="true">IF(OR(B314="",H314&lt;&gt;"Open",G314=""),"",IF(G314&lt;TODAY(),"Overdue",""))</f>
        <v/>
      </c>
    </row>
    <row r="315" customFormat="false" ht="15" hidden="false" customHeight="false" outlineLevel="0" collapsed="false">
      <c r="A315" s="32"/>
      <c r="B315" s="32"/>
      <c r="C315" s="33"/>
      <c r="D315" s="32"/>
      <c r="E315" s="32"/>
      <c r="F315" s="32"/>
      <c r="G315" s="35"/>
      <c r="H315" s="32"/>
      <c r="I315" s="35"/>
      <c r="J315" s="35"/>
      <c r="K315" s="34"/>
      <c r="L315" s="33"/>
      <c r="M315" s="37" t="str">
        <f aca="true">IF(OR(B315="",H315&lt;&gt;"Open",G315=""),"",IF(G315&lt;TODAY(),"Overdue",""))</f>
        <v/>
      </c>
    </row>
    <row r="316" customFormat="false" ht="15" hidden="false" customHeight="false" outlineLevel="0" collapsed="false">
      <c r="A316" s="32"/>
      <c r="B316" s="32"/>
      <c r="C316" s="33"/>
      <c r="D316" s="32"/>
      <c r="E316" s="32"/>
      <c r="F316" s="32"/>
      <c r="G316" s="35"/>
      <c r="H316" s="32"/>
      <c r="I316" s="35"/>
      <c r="J316" s="35"/>
      <c r="K316" s="34"/>
      <c r="L316" s="33"/>
      <c r="M316" s="37" t="str">
        <f aca="true">IF(OR(B316="",H316&lt;&gt;"Open",G316=""),"",IF(G316&lt;TODAY(),"Overdue",""))</f>
        <v/>
      </c>
    </row>
    <row r="317" customFormat="false" ht="15" hidden="false" customHeight="false" outlineLevel="0" collapsed="false">
      <c r="A317" s="32"/>
      <c r="B317" s="32"/>
      <c r="C317" s="33"/>
      <c r="D317" s="32"/>
      <c r="E317" s="32"/>
      <c r="F317" s="32"/>
      <c r="G317" s="35"/>
      <c r="H317" s="32"/>
      <c r="I317" s="35"/>
      <c r="J317" s="35"/>
      <c r="K317" s="34"/>
      <c r="L317" s="33"/>
      <c r="M317" s="37" t="str">
        <f aca="true">IF(OR(B317="",H317&lt;&gt;"Open",G317=""),"",IF(G317&lt;TODAY(),"Overdue",""))</f>
        <v/>
      </c>
    </row>
    <row r="318" customFormat="false" ht="15" hidden="false" customHeight="false" outlineLevel="0" collapsed="false">
      <c r="A318" s="32"/>
      <c r="B318" s="32"/>
      <c r="C318" s="33"/>
      <c r="D318" s="32"/>
      <c r="E318" s="32"/>
      <c r="F318" s="32"/>
      <c r="G318" s="35"/>
      <c r="H318" s="32"/>
      <c r="I318" s="35"/>
      <c r="J318" s="35"/>
      <c r="K318" s="34"/>
      <c r="L318" s="33"/>
      <c r="M318" s="37" t="str">
        <f aca="true">IF(OR(B318="",H318&lt;&gt;"Open",G318=""),"",IF(G318&lt;TODAY(),"Overdue",""))</f>
        <v/>
      </c>
    </row>
    <row r="319" customFormat="false" ht="15" hidden="false" customHeight="false" outlineLevel="0" collapsed="false">
      <c r="A319" s="32"/>
      <c r="B319" s="32"/>
      <c r="C319" s="33"/>
      <c r="D319" s="32"/>
      <c r="E319" s="32"/>
      <c r="F319" s="32"/>
      <c r="G319" s="35"/>
      <c r="H319" s="32"/>
      <c r="I319" s="35"/>
      <c r="J319" s="35"/>
      <c r="K319" s="34"/>
      <c r="L319" s="33"/>
      <c r="M319" s="37" t="str">
        <f aca="true">IF(OR(B319="",H319&lt;&gt;"Open",G319=""),"",IF(G319&lt;TODAY(),"Overdue",""))</f>
        <v/>
      </c>
    </row>
    <row r="320" customFormat="false" ht="15" hidden="false" customHeight="false" outlineLevel="0" collapsed="false">
      <c r="A320" s="32"/>
      <c r="B320" s="32"/>
      <c r="C320" s="33"/>
      <c r="D320" s="32"/>
      <c r="E320" s="32"/>
      <c r="F320" s="32"/>
      <c r="G320" s="35"/>
      <c r="H320" s="32"/>
      <c r="I320" s="35"/>
      <c r="J320" s="35"/>
      <c r="K320" s="34"/>
      <c r="L320" s="33"/>
      <c r="M320" s="37" t="str">
        <f aca="true">IF(OR(B320="",H320&lt;&gt;"Open",G320=""),"",IF(G320&lt;TODAY(),"Overdue",""))</f>
        <v/>
      </c>
    </row>
    <row r="321" customFormat="false" ht="15" hidden="false" customHeight="false" outlineLevel="0" collapsed="false">
      <c r="A321" s="32"/>
      <c r="B321" s="32"/>
      <c r="C321" s="33"/>
      <c r="D321" s="32"/>
      <c r="E321" s="32"/>
      <c r="F321" s="32"/>
      <c r="G321" s="35"/>
      <c r="H321" s="32"/>
      <c r="I321" s="35"/>
      <c r="J321" s="35"/>
      <c r="K321" s="34"/>
      <c r="L321" s="33"/>
      <c r="M321" s="37" t="str">
        <f aca="true">IF(OR(B321="",H321&lt;&gt;"Open",G321=""),"",IF(G321&lt;TODAY(),"Overdue",""))</f>
        <v/>
      </c>
    </row>
    <row r="322" customFormat="false" ht="15" hidden="false" customHeight="false" outlineLevel="0" collapsed="false">
      <c r="A322" s="32"/>
      <c r="B322" s="32"/>
      <c r="C322" s="33"/>
      <c r="D322" s="32"/>
      <c r="E322" s="32"/>
      <c r="F322" s="32"/>
      <c r="G322" s="35"/>
      <c r="H322" s="32"/>
      <c r="I322" s="35"/>
      <c r="J322" s="35"/>
      <c r="K322" s="34"/>
      <c r="L322" s="33"/>
      <c r="M322" s="37" t="str">
        <f aca="true">IF(OR(B322="",H322&lt;&gt;"Open",G322=""),"",IF(G322&lt;TODAY(),"Overdue",""))</f>
        <v/>
      </c>
    </row>
    <row r="323" customFormat="false" ht="15" hidden="false" customHeight="false" outlineLevel="0" collapsed="false">
      <c r="A323" s="32"/>
      <c r="B323" s="32"/>
      <c r="C323" s="33"/>
      <c r="D323" s="32"/>
      <c r="E323" s="32"/>
      <c r="F323" s="32"/>
      <c r="G323" s="35"/>
      <c r="H323" s="32"/>
      <c r="I323" s="35"/>
      <c r="J323" s="35"/>
      <c r="K323" s="34"/>
      <c r="L323" s="33"/>
      <c r="M323" s="37" t="str">
        <f aca="true">IF(OR(B323="",H323&lt;&gt;"Open",G323=""),"",IF(G323&lt;TODAY(),"Overdue",""))</f>
        <v/>
      </c>
    </row>
    <row r="324" customFormat="false" ht="15" hidden="false" customHeight="false" outlineLevel="0" collapsed="false">
      <c r="A324" s="32"/>
      <c r="B324" s="32"/>
      <c r="C324" s="33"/>
      <c r="D324" s="32"/>
      <c r="E324" s="32"/>
      <c r="F324" s="32"/>
      <c r="G324" s="35"/>
      <c r="H324" s="32"/>
      <c r="I324" s="35"/>
      <c r="J324" s="35"/>
      <c r="K324" s="34"/>
      <c r="L324" s="33"/>
      <c r="M324" s="37" t="str">
        <f aca="true">IF(OR(B324="",H324&lt;&gt;"Open",G324=""),"",IF(G324&lt;TODAY(),"Overdue",""))</f>
        <v/>
      </c>
    </row>
    <row r="325" customFormat="false" ht="15" hidden="false" customHeight="false" outlineLevel="0" collapsed="false">
      <c r="A325" s="32"/>
      <c r="B325" s="32"/>
      <c r="C325" s="33"/>
      <c r="D325" s="32"/>
      <c r="E325" s="32"/>
      <c r="F325" s="32"/>
      <c r="G325" s="35"/>
      <c r="H325" s="32"/>
      <c r="I325" s="35"/>
      <c r="J325" s="35"/>
      <c r="K325" s="34"/>
      <c r="L325" s="33"/>
      <c r="M325" s="37" t="str">
        <f aca="true">IF(OR(B325="",H325&lt;&gt;"Open",G325=""),"",IF(G325&lt;TODAY(),"Overdue",""))</f>
        <v/>
      </c>
    </row>
    <row r="326" customFormat="false" ht="15" hidden="false" customHeight="false" outlineLevel="0" collapsed="false">
      <c r="A326" s="32"/>
      <c r="B326" s="32"/>
      <c r="C326" s="33"/>
      <c r="D326" s="32"/>
      <c r="E326" s="32"/>
      <c r="F326" s="32"/>
      <c r="G326" s="35"/>
      <c r="H326" s="32"/>
      <c r="I326" s="35"/>
      <c r="J326" s="35"/>
      <c r="K326" s="34"/>
      <c r="L326" s="33"/>
      <c r="M326" s="37" t="str">
        <f aca="true">IF(OR(B326="",H326&lt;&gt;"Open",G326=""),"",IF(G326&lt;TODAY(),"Overdue",""))</f>
        <v/>
      </c>
    </row>
    <row r="327" customFormat="false" ht="15" hidden="false" customHeight="false" outlineLevel="0" collapsed="false">
      <c r="A327" s="32"/>
      <c r="B327" s="32"/>
      <c r="C327" s="33"/>
      <c r="D327" s="32"/>
      <c r="E327" s="32"/>
      <c r="F327" s="32"/>
      <c r="G327" s="35"/>
      <c r="H327" s="32"/>
      <c r="I327" s="35"/>
      <c r="J327" s="35"/>
      <c r="K327" s="34"/>
      <c r="L327" s="33"/>
      <c r="M327" s="37" t="str">
        <f aca="true">IF(OR(B327="",H327&lt;&gt;"Open",G327=""),"",IF(G327&lt;TODAY(),"Overdue",""))</f>
        <v/>
      </c>
    </row>
    <row r="328" customFormat="false" ht="15" hidden="false" customHeight="false" outlineLevel="0" collapsed="false">
      <c r="A328" s="32"/>
      <c r="B328" s="32"/>
      <c r="C328" s="33"/>
      <c r="D328" s="32"/>
      <c r="E328" s="32"/>
      <c r="F328" s="32"/>
      <c r="G328" s="35"/>
      <c r="H328" s="32"/>
      <c r="I328" s="35"/>
      <c r="J328" s="35"/>
      <c r="K328" s="34"/>
      <c r="L328" s="33"/>
      <c r="M328" s="37" t="str">
        <f aca="true">IF(OR(B328="",H328&lt;&gt;"Open",G328=""),"",IF(G328&lt;TODAY(),"Overdue",""))</f>
        <v/>
      </c>
    </row>
    <row r="329" customFormat="false" ht="15" hidden="false" customHeight="false" outlineLevel="0" collapsed="false">
      <c r="A329" s="32"/>
      <c r="B329" s="32"/>
      <c r="C329" s="33"/>
      <c r="D329" s="32"/>
      <c r="E329" s="32"/>
      <c r="F329" s="32"/>
      <c r="G329" s="35"/>
      <c r="H329" s="32"/>
      <c r="I329" s="35"/>
      <c r="J329" s="35"/>
      <c r="K329" s="34"/>
      <c r="L329" s="33"/>
      <c r="M329" s="37" t="str">
        <f aca="true">IF(OR(B329="",H329&lt;&gt;"Open",G329=""),"",IF(G329&lt;TODAY(),"Overdue",""))</f>
        <v/>
      </c>
    </row>
    <row r="330" customFormat="false" ht="15" hidden="false" customHeight="false" outlineLevel="0" collapsed="false">
      <c r="A330" s="32"/>
      <c r="B330" s="32"/>
      <c r="C330" s="33"/>
      <c r="D330" s="32"/>
      <c r="E330" s="32"/>
      <c r="F330" s="32"/>
      <c r="G330" s="35"/>
      <c r="H330" s="32"/>
      <c r="I330" s="35"/>
      <c r="J330" s="35"/>
      <c r="K330" s="34"/>
      <c r="L330" s="33"/>
      <c r="M330" s="37" t="str">
        <f aca="true">IF(OR(B330="",H330&lt;&gt;"Open",G330=""),"",IF(G330&lt;TODAY(),"Overdue",""))</f>
        <v/>
      </c>
    </row>
    <row r="331" customFormat="false" ht="15" hidden="false" customHeight="false" outlineLevel="0" collapsed="false">
      <c r="A331" s="32"/>
      <c r="B331" s="32"/>
      <c r="C331" s="33"/>
      <c r="D331" s="32"/>
      <c r="E331" s="32"/>
      <c r="F331" s="32"/>
      <c r="G331" s="35"/>
      <c r="H331" s="32"/>
      <c r="I331" s="35"/>
      <c r="J331" s="35"/>
      <c r="K331" s="34"/>
      <c r="L331" s="33"/>
      <c r="M331" s="37" t="str">
        <f aca="true">IF(OR(B331="",H331&lt;&gt;"Open",G331=""),"",IF(G331&lt;TODAY(),"Overdue",""))</f>
        <v/>
      </c>
    </row>
    <row r="332" customFormat="false" ht="15" hidden="false" customHeight="false" outlineLevel="0" collapsed="false">
      <c r="A332" s="32"/>
      <c r="B332" s="32"/>
      <c r="C332" s="33"/>
      <c r="D332" s="32"/>
      <c r="E332" s="32"/>
      <c r="F332" s="32"/>
      <c r="G332" s="35"/>
      <c r="H332" s="32"/>
      <c r="I332" s="35"/>
      <c r="J332" s="35"/>
      <c r="K332" s="34"/>
      <c r="L332" s="33"/>
      <c r="M332" s="37" t="str">
        <f aca="true">IF(OR(B332="",H332&lt;&gt;"Open",G332=""),"",IF(G332&lt;TODAY(),"Overdue",""))</f>
        <v/>
      </c>
    </row>
    <row r="333" customFormat="false" ht="15" hidden="false" customHeight="false" outlineLevel="0" collapsed="false">
      <c r="A333" s="32"/>
      <c r="B333" s="32"/>
      <c r="C333" s="33"/>
      <c r="D333" s="32"/>
      <c r="E333" s="32"/>
      <c r="F333" s="32"/>
      <c r="G333" s="35"/>
      <c r="H333" s="32"/>
      <c r="I333" s="35"/>
      <c r="J333" s="35"/>
      <c r="K333" s="34"/>
      <c r="L333" s="33"/>
      <c r="M333" s="37" t="str">
        <f aca="true">IF(OR(B333="",H333&lt;&gt;"Open",G333=""),"",IF(G333&lt;TODAY(),"Overdue",""))</f>
        <v/>
      </c>
    </row>
    <row r="334" customFormat="false" ht="15" hidden="false" customHeight="false" outlineLevel="0" collapsed="false">
      <c r="A334" s="32"/>
      <c r="B334" s="32"/>
      <c r="C334" s="33"/>
      <c r="D334" s="32"/>
      <c r="E334" s="32"/>
      <c r="F334" s="32"/>
      <c r="G334" s="35"/>
      <c r="H334" s="32"/>
      <c r="I334" s="35"/>
      <c r="J334" s="35"/>
      <c r="K334" s="34"/>
      <c r="L334" s="33"/>
      <c r="M334" s="37" t="str">
        <f aca="true">IF(OR(B334="",H334&lt;&gt;"Open",G334=""),"",IF(G334&lt;TODAY(),"Overdue",""))</f>
        <v/>
      </c>
    </row>
    <row r="335" customFormat="false" ht="15" hidden="false" customHeight="false" outlineLevel="0" collapsed="false">
      <c r="A335" s="32"/>
      <c r="B335" s="32"/>
      <c r="C335" s="33"/>
      <c r="D335" s="32"/>
      <c r="E335" s="32"/>
      <c r="F335" s="32"/>
      <c r="G335" s="35"/>
      <c r="H335" s="32"/>
      <c r="I335" s="35"/>
      <c r="J335" s="35"/>
      <c r="K335" s="34"/>
      <c r="L335" s="33"/>
      <c r="M335" s="37" t="str">
        <f aca="true">IF(OR(B335="",H335&lt;&gt;"Open",G335=""),"",IF(G335&lt;TODAY(),"Overdue",""))</f>
        <v/>
      </c>
    </row>
    <row r="336" customFormat="false" ht="15" hidden="false" customHeight="false" outlineLevel="0" collapsed="false">
      <c r="A336" s="32"/>
      <c r="B336" s="32"/>
      <c r="C336" s="33"/>
      <c r="D336" s="32"/>
      <c r="E336" s="32"/>
      <c r="F336" s="32"/>
      <c r="G336" s="35"/>
      <c r="H336" s="32"/>
      <c r="I336" s="35"/>
      <c r="J336" s="35"/>
      <c r="K336" s="34"/>
      <c r="L336" s="33"/>
      <c r="M336" s="37" t="str">
        <f aca="true">IF(OR(B336="",H336&lt;&gt;"Open",G336=""),"",IF(G336&lt;TODAY(),"Overdue",""))</f>
        <v/>
      </c>
    </row>
    <row r="337" customFormat="false" ht="15" hidden="false" customHeight="false" outlineLevel="0" collapsed="false">
      <c r="A337" s="32"/>
      <c r="B337" s="32"/>
      <c r="C337" s="33"/>
      <c r="D337" s="32"/>
      <c r="E337" s="32"/>
      <c r="F337" s="32"/>
      <c r="G337" s="35"/>
      <c r="H337" s="32"/>
      <c r="I337" s="35"/>
      <c r="J337" s="35"/>
      <c r="K337" s="34"/>
      <c r="L337" s="33"/>
      <c r="M337" s="37" t="str">
        <f aca="true">IF(OR(B337="",H337&lt;&gt;"Open",G337=""),"",IF(G337&lt;TODAY(),"Overdue",""))</f>
        <v/>
      </c>
    </row>
    <row r="338" customFormat="false" ht="15" hidden="false" customHeight="false" outlineLevel="0" collapsed="false">
      <c r="A338" s="32"/>
      <c r="B338" s="32"/>
      <c r="C338" s="33"/>
      <c r="D338" s="32"/>
      <c r="E338" s="32"/>
      <c r="F338" s="32"/>
      <c r="G338" s="35"/>
      <c r="H338" s="32"/>
      <c r="I338" s="35"/>
      <c r="J338" s="35"/>
      <c r="K338" s="34"/>
      <c r="L338" s="33"/>
      <c r="M338" s="37" t="str">
        <f aca="true">IF(OR(B338="",H338&lt;&gt;"Open",G338=""),"",IF(G338&lt;TODAY(),"Overdue",""))</f>
        <v/>
      </c>
    </row>
    <row r="339" customFormat="false" ht="15" hidden="false" customHeight="false" outlineLevel="0" collapsed="false">
      <c r="A339" s="32"/>
      <c r="B339" s="32"/>
      <c r="C339" s="33"/>
      <c r="D339" s="32"/>
      <c r="E339" s="32"/>
      <c r="F339" s="32"/>
      <c r="G339" s="35"/>
      <c r="H339" s="32"/>
      <c r="I339" s="35"/>
      <c r="J339" s="35"/>
      <c r="K339" s="34"/>
      <c r="L339" s="33"/>
      <c r="M339" s="37" t="str">
        <f aca="true">IF(OR(B339="",H339&lt;&gt;"Open",G339=""),"",IF(G339&lt;TODAY(),"Overdue",""))</f>
        <v/>
      </c>
    </row>
    <row r="340" customFormat="false" ht="15" hidden="false" customHeight="false" outlineLevel="0" collapsed="false">
      <c r="A340" s="32"/>
      <c r="B340" s="32"/>
      <c r="C340" s="33"/>
      <c r="D340" s="32"/>
      <c r="E340" s="32"/>
      <c r="F340" s="32"/>
      <c r="G340" s="35"/>
      <c r="H340" s="32"/>
      <c r="I340" s="35"/>
      <c r="J340" s="35"/>
      <c r="K340" s="34"/>
      <c r="L340" s="33"/>
      <c r="M340" s="37" t="str">
        <f aca="true">IF(OR(B340="",H340&lt;&gt;"Open",G340=""),"",IF(G340&lt;TODAY(),"Overdue",""))</f>
        <v/>
      </c>
    </row>
    <row r="341" customFormat="false" ht="15" hidden="false" customHeight="false" outlineLevel="0" collapsed="false">
      <c r="A341" s="32"/>
      <c r="B341" s="32"/>
      <c r="C341" s="33"/>
      <c r="D341" s="32"/>
      <c r="E341" s="32"/>
      <c r="F341" s="32"/>
      <c r="G341" s="35"/>
      <c r="H341" s="32"/>
      <c r="I341" s="35"/>
      <c r="J341" s="35"/>
      <c r="K341" s="34"/>
      <c r="L341" s="33"/>
      <c r="M341" s="37" t="str">
        <f aca="true">IF(OR(B341="",H341&lt;&gt;"Open",G341=""),"",IF(G341&lt;TODAY(),"Overdue",""))</f>
        <v/>
      </c>
    </row>
    <row r="342" customFormat="false" ht="15" hidden="false" customHeight="false" outlineLevel="0" collapsed="false">
      <c r="A342" s="32"/>
      <c r="B342" s="32"/>
      <c r="C342" s="33"/>
      <c r="D342" s="32"/>
      <c r="E342" s="32"/>
      <c r="F342" s="32"/>
      <c r="G342" s="35"/>
      <c r="H342" s="32"/>
      <c r="I342" s="35"/>
      <c r="J342" s="35"/>
      <c r="K342" s="34"/>
      <c r="L342" s="33"/>
      <c r="M342" s="37" t="str">
        <f aca="true">IF(OR(B342="",H342&lt;&gt;"Open",G342=""),"",IF(G342&lt;TODAY(),"Overdue",""))</f>
        <v/>
      </c>
    </row>
    <row r="343" customFormat="false" ht="15" hidden="false" customHeight="false" outlineLevel="0" collapsed="false">
      <c r="A343" s="32"/>
      <c r="B343" s="32"/>
      <c r="C343" s="33"/>
      <c r="D343" s="32"/>
      <c r="E343" s="32"/>
      <c r="F343" s="32"/>
      <c r="G343" s="35"/>
      <c r="H343" s="32"/>
      <c r="I343" s="35"/>
      <c r="J343" s="35"/>
      <c r="K343" s="34"/>
      <c r="L343" s="33"/>
      <c r="M343" s="37" t="str">
        <f aca="true">IF(OR(B343="",H343&lt;&gt;"Open",G343=""),"",IF(G343&lt;TODAY(),"Overdue",""))</f>
        <v/>
      </c>
    </row>
    <row r="344" customFormat="false" ht="15" hidden="false" customHeight="false" outlineLevel="0" collapsed="false">
      <c r="A344" s="32"/>
      <c r="B344" s="32"/>
      <c r="C344" s="33"/>
      <c r="D344" s="32"/>
      <c r="E344" s="32"/>
      <c r="F344" s="32"/>
      <c r="G344" s="35"/>
      <c r="H344" s="32"/>
      <c r="I344" s="35"/>
      <c r="J344" s="35"/>
      <c r="K344" s="34"/>
      <c r="L344" s="33"/>
      <c r="M344" s="37" t="str">
        <f aca="true">IF(OR(B344="",H344&lt;&gt;"Open",G344=""),"",IF(G344&lt;TODAY(),"Overdue",""))</f>
        <v/>
      </c>
    </row>
    <row r="345" customFormat="false" ht="15" hidden="false" customHeight="false" outlineLevel="0" collapsed="false">
      <c r="A345" s="32"/>
      <c r="B345" s="32"/>
      <c r="C345" s="33"/>
      <c r="D345" s="32"/>
      <c r="E345" s="32"/>
      <c r="F345" s="32"/>
      <c r="G345" s="35"/>
      <c r="H345" s="32"/>
      <c r="I345" s="35"/>
      <c r="J345" s="35"/>
      <c r="K345" s="34"/>
      <c r="L345" s="33"/>
      <c r="M345" s="37" t="str">
        <f aca="true">IF(OR(B345="",H345&lt;&gt;"Open",G345=""),"",IF(G345&lt;TODAY(),"Overdue",""))</f>
        <v/>
      </c>
    </row>
    <row r="346" customFormat="false" ht="15" hidden="false" customHeight="false" outlineLevel="0" collapsed="false">
      <c r="A346" s="32"/>
      <c r="B346" s="32"/>
      <c r="C346" s="33"/>
      <c r="D346" s="32"/>
      <c r="E346" s="32"/>
      <c r="F346" s="32"/>
      <c r="G346" s="35"/>
      <c r="H346" s="32"/>
      <c r="I346" s="35"/>
      <c r="J346" s="35"/>
      <c r="K346" s="34"/>
      <c r="L346" s="33"/>
      <c r="M346" s="37" t="str">
        <f aca="true">IF(OR(B346="",H346&lt;&gt;"Open",G346=""),"",IF(G346&lt;TODAY(),"Overdue",""))</f>
        <v/>
      </c>
    </row>
    <row r="347" customFormat="false" ht="15" hidden="false" customHeight="false" outlineLevel="0" collapsed="false">
      <c r="A347" s="32"/>
      <c r="B347" s="32"/>
      <c r="C347" s="33"/>
      <c r="D347" s="32"/>
      <c r="E347" s="32"/>
      <c r="F347" s="32"/>
      <c r="G347" s="35"/>
      <c r="H347" s="32"/>
      <c r="I347" s="35"/>
      <c r="J347" s="35"/>
      <c r="K347" s="34"/>
      <c r="L347" s="33"/>
      <c r="M347" s="37" t="str">
        <f aca="true">IF(OR(B347="",H347&lt;&gt;"Open",G347=""),"",IF(G347&lt;TODAY(),"Overdue",""))</f>
        <v/>
      </c>
    </row>
    <row r="348" customFormat="false" ht="15" hidden="false" customHeight="false" outlineLevel="0" collapsed="false">
      <c r="A348" s="32"/>
      <c r="B348" s="32"/>
      <c r="C348" s="33"/>
      <c r="D348" s="32"/>
      <c r="E348" s="32"/>
      <c r="F348" s="32"/>
      <c r="G348" s="35"/>
      <c r="H348" s="32"/>
      <c r="I348" s="35"/>
      <c r="J348" s="35"/>
      <c r="K348" s="34"/>
      <c r="L348" s="33"/>
      <c r="M348" s="37" t="str">
        <f aca="true">IF(OR(B348="",H348&lt;&gt;"Open",G348=""),"",IF(G348&lt;TODAY(),"Overdue",""))</f>
        <v/>
      </c>
    </row>
    <row r="349" customFormat="false" ht="15" hidden="false" customHeight="false" outlineLevel="0" collapsed="false">
      <c r="A349" s="32"/>
      <c r="B349" s="32"/>
      <c r="C349" s="33"/>
      <c r="D349" s="32"/>
      <c r="E349" s="32"/>
      <c r="F349" s="32"/>
      <c r="G349" s="35"/>
      <c r="H349" s="32"/>
      <c r="I349" s="35"/>
      <c r="J349" s="35"/>
      <c r="K349" s="34"/>
      <c r="L349" s="33"/>
      <c r="M349" s="37" t="str">
        <f aca="true">IF(OR(B349="",H349&lt;&gt;"Open",G349=""),"",IF(G349&lt;TODAY(),"Overdue",""))</f>
        <v/>
      </c>
    </row>
    <row r="350" customFormat="false" ht="15" hidden="false" customHeight="false" outlineLevel="0" collapsed="false">
      <c r="A350" s="32"/>
      <c r="B350" s="32"/>
      <c r="C350" s="33"/>
      <c r="D350" s="32"/>
      <c r="E350" s="32"/>
      <c r="F350" s="32"/>
      <c r="G350" s="35"/>
      <c r="H350" s="32"/>
      <c r="I350" s="35"/>
      <c r="J350" s="35"/>
      <c r="K350" s="34"/>
      <c r="L350" s="33"/>
      <c r="M350" s="37" t="str">
        <f aca="true">IF(OR(B350="",H350&lt;&gt;"Open",G350=""),"",IF(G350&lt;TODAY(),"Overdue",""))</f>
        <v/>
      </c>
    </row>
    <row r="351" customFormat="false" ht="15" hidden="false" customHeight="false" outlineLevel="0" collapsed="false">
      <c r="A351" s="32"/>
      <c r="B351" s="32"/>
      <c r="C351" s="33"/>
      <c r="D351" s="32"/>
      <c r="E351" s="32"/>
      <c r="F351" s="32"/>
      <c r="G351" s="35"/>
      <c r="H351" s="32"/>
      <c r="I351" s="35"/>
      <c r="J351" s="35"/>
      <c r="K351" s="34"/>
      <c r="L351" s="33"/>
      <c r="M351" s="37" t="str">
        <f aca="true">IF(OR(B351="",H351&lt;&gt;"Open",G351=""),"",IF(G351&lt;TODAY(),"Overdue",""))</f>
        <v/>
      </c>
    </row>
    <row r="352" customFormat="false" ht="15" hidden="false" customHeight="false" outlineLevel="0" collapsed="false">
      <c r="A352" s="32"/>
      <c r="B352" s="32"/>
      <c r="C352" s="33"/>
      <c r="D352" s="32"/>
      <c r="E352" s="32"/>
      <c r="F352" s="32"/>
      <c r="G352" s="35"/>
      <c r="H352" s="32"/>
      <c r="I352" s="35"/>
      <c r="J352" s="35"/>
      <c r="K352" s="34"/>
      <c r="L352" s="33"/>
      <c r="M352" s="37" t="str">
        <f aca="true">IF(OR(B352="",H352&lt;&gt;"Open",G352=""),"",IF(G352&lt;TODAY(),"Overdue",""))</f>
        <v/>
      </c>
    </row>
    <row r="353" customFormat="false" ht="15" hidden="false" customHeight="false" outlineLevel="0" collapsed="false">
      <c r="A353" s="32"/>
      <c r="B353" s="32"/>
      <c r="C353" s="33"/>
      <c r="D353" s="32"/>
      <c r="E353" s="32"/>
      <c r="F353" s="32"/>
      <c r="G353" s="35"/>
      <c r="H353" s="32"/>
      <c r="I353" s="35"/>
      <c r="J353" s="35"/>
      <c r="K353" s="34"/>
      <c r="L353" s="33"/>
      <c r="M353" s="37" t="str">
        <f aca="true">IF(OR(B353="",H353&lt;&gt;"Open",G353=""),"",IF(G353&lt;TODAY(),"Overdue",""))</f>
        <v/>
      </c>
    </row>
    <row r="354" customFormat="false" ht="15" hidden="false" customHeight="false" outlineLevel="0" collapsed="false">
      <c r="A354" s="32"/>
      <c r="B354" s="32"/>
      <c r="C354" s="33"/>
      <c r="D354" s="32"/>
      <c r="E354" s="32"/>
      <c r="F354" s="32"/>
      <c r="G354" s="35"/>
      <c r="H354" s="32"/>
      <c r="I354" s="35"/>
      <c r="J354" s="35"/>
      <c r="K354" s="34"/>
      <c r="L354" s="33"/>
      <c r="M354" s="37" t="str">
        <f aca="true">IF(OR(B354="",H354&lt;&gt;"Open",G354=""),"",IF(G354&lt;TODAY(),"Overdue",""))</f>
        <v/>
      </c>
    </row>
    <row r="355" customFormat="false" ht="15" hidden="false" customHeight="false" outlineLevel="0" collapsed="false">
      <c r="A355" s="32"/>
      <c r="B355" s="32"/>
      <c r="C355" s="33"/>
      <c r="D355" s="32"/>
      <c r="E355" s="32"/>
      <c r="F355" s="32"/>
      <c r="G355" s="35"/>
      <c r="H355" s="32"/>
      <c r="I355" s="35"/>
      <c r="J355" s="35"/>
      <c r="K355" s="34"/>
      <c r="L355" s="33"/>
      <c r="M355" s="37" t="str">
        <f aca="true">IF(OR(B355="",H355&lt;&gt;"Open",G355=""),"",IF(G355&lt;TODAY(),"Overdue",""))</f>
        <v/>
      </c>
    </row>
    <row r="356" customFormat="false" ht="15" hidden="false" customHeight="false" outlineLevel="0" collapsed="false">
      <c r="A356" s="32"/>
      <c r="B356" s="32"/>
      <c r="C356" s="33"/>
      <c r="D356" s="32"/>
      <c r="E356" s="32"/>
      <c r="F356" s="32"/>
      <c r="G356" s="35"/>
      <c r="H356" s="32"/>
      <c r="I356" s="35"/>
      <c r="J356" s="35"/>
      <c r="K356" s="34"/>
      <c r="L356" s="33"/>
      <c r="M356" s="37" t="str">
        <f aca="true">IF(OR(B356="",H356&lt;&gt;"Open",G356=""),"",IF(G356&lt;TODAY(),"Overdue",""))</f>
        <v/>
      </c>
    </row>
    <row r="357" customFormat="false" ht="15" hidden="false" customHeight="false" outlineLevel="0" collapsed="false">
      <c r="A357" s="32"/>
      <c r="B357" s="32"/>
      <c r="C357" s="33"/>
      <c r="D357" s="32"/>
      <c r="E357" s="32"/>
      <c r="F357" s="32"/>
      <c r="G357" s="35"/>
      <c r="H357" s="32"/>
      <c r="I357" s="35"/>
      <c r="J357" s="35"/>
      <c r="K357" s="34"/>
      <c r="L357" s="33"/>
      <c r="M357" s="37" t="str">
        <f aca="true">IF(OR(B357="",H357&lt;&gt;"Open",G357=""),"",IF(G357&lt;TODAY(),"Overdue",""))</f>
        <v/>
      </c>
    </row>
    <row r="358" customFormat="false" ht="15" hidden="false" customHeight="false" outlineLevel="0" collapsed="false">
      <c r="A358" s="32"/>
      <c r="B358" s="32"/>
      <c r="C358" s="33"/>
      <c r="D358" s="32"/>
      <c r="E358" s="32"/>
      <c r="F358" s="32"/>
      <c r="G358" s="35"/>
      <c r="H358" s="32"/>
      <c r="I358" s="35"/>
      <c r="J358" s="35"/>
      <c r="K358" s="34"/>
      <c r="L358" s="33"/>
      <c r="M358" s="37" t="str">
        <f aca="true">IF(OR(B358="",H358&lt;&gt;"Open",G358=""),"",IF(G358&lt;TODAY(),"Overdue",""))</f>
        <v/>
      </c>
    </row>
    <row r="359" customFormat="false" ht="15" hidden="false" customHeight="false" outlineLevel="0" collapsed="false">
      <c r="A359" s="32"/>
      <c r="B359" s="32"/>
      <c r="C359" s="33"/>
      <c r="D359" s="32"/>
      <c r="E359" s="32"/>
      <c r="F359" s="32"/>
      <c r="G359" s="35"/>
      <c r="H359" s="32"/>
      <c r="I359" s="35"/>
      <c r="J359" s="35"/>
      <c r="K359" s="34"/>
      <c r="L359" s="33"/>
      <c r="M359" s="37" t="str">
        <f aca="true">IF(OR(B359="",H359&lt;&gt;"Open",G359=""),"",IF(G359&lt;TODAY(),"Overdue",""))</f>
        <v/>
      </c>
    </row>
    <row r="360" customFormat="false" ht="15" hidden="false" customHeight="false" outlineLevel="0" collapsed="false">
      <c r="A360" s="32"/>
      <c r="B360" s="32"/>
      <c r="C360" s="33"/>
      <c r="D360" s="32"/>
      <c r="E360" s="32"/>
      <c r="F360" s="32"/>
      <c r="G360" s="35"/>
      <c r="H360" s="32"/>
      <c r="I360" s="35"/>
      <c r="J360" s="35"/>
      <c r="K360" s="34"/>
      <c r="L360" s="33"/>
      <c r="M360" s="37" t="str">
        <f aca="true">IF(OR(B360="",H360&lt;&gt;"Open",G360=""),"",IF(G360&lt;TODAY(),"Overdue",""))</f>
        <v/>
      </c>
    </row>
    <row r="361" customFormat="false" ht="15" hidden="false" customHeight="false" outlineLevel="0" collapsed="false">
      <c r="A361" s="32"/>
      <c r="B361" s="32"/>
      <c r="C361" s="33"/>
      <c r="D361" s="32"/>
      <c r="E361" s="32"/>
      <c r="F361" s="32"/>
      <c r="G361" s="35"/>
      <c r="H361" s="32"/>
      <c r="I361" s="35"/>
      <c r="J361" s="35"/>
      <c r="K361" s="34"/>
      <c r="L361" s="33"/>
      <c r="M361" s="37" t="str">
        <f aca="true">IF(OR(B361="",H361&lt;&gt;"Open",G361=""),"",IF(G361&lt;TODAY(),"Overdue",""))</f>
        <v/>
      </c>
    </row>
    <row r="362" customFormat="false" ht="15" hidden="false" customHeight="false" outlineLevel="0" collapsed="false">
      <c r="A362" s="32"/>
      <c r="B362" s="32"/>
      <c r="C362" s="33"/>
      <c r="D362" s="32"/>
      <c r="E362" s="32"/>
      <c r="F362" s="32"/>
      <c r="G362" s="35"/>
      <c r="H362" s="32"/>
      <c r="I362" s="35"/>
      <c r="J362" s="35"/>
      <c r="K362" s="34"/>
      <c r="L362" s="33"/>
      <c r="M362" s="37" t="str">
        <f aca="true">IF(OR(B362="",H362&lt;&gt;"Open",G362=""),"",IF(G362&lt;TODAY(),"Overdue",""))</f>
        <v/>
      </c>
    </row>
    <row r="363" customFormat="false" ht="15" hidden="false" customHeight="false" outlineLevel="0" collapsed="false">
      <c r="A363" s="32"/>
      <c r="B363" s="32"/>
      <c r="C363" s="33"/>
      <c r="D363" s="32"/>
      <c r="E363" s="32"/>
      <c r="F363" s="32"/>
      <c r="G363" s="35"/>
      <c r="H363" s="32"/>
      <c r="I363" s="35"/>
      <c r="J363" s="35"/>
      <c r="K363" s="34"/>
      <c r="L363" s="33"/>
      <c r="M363" s="37" t="str">
        <f aca="true">IF(OR(B363="",H363&lt;&gt;"Open",G363=""),"",IF(G363&lt;TODAY(),"Overdue",""))</f>
        <v/>
      </c>
    </row>
    <row r="364" customFormat="false" ht="15" hidden="false" customHeight="false" outlineLevel="0" collapsed="false">
      <c r="A364" s="32"/>
      <c r="B364" s="32"/>
      <c r="C364" s="33"/>
      <c r="D364" s="32"/>
      <c r="E364" s="32"/>
      <c r="F364" s="32"/>
      <c r="G364" s="35"/>
      <c r="H364" s="32"/>
      <c r="I364" s="35"/>
      <c r="J364" s="35"/>
      <c r="K364" s="34"/>
      <c r="L364" s="33"/>
      <c r="M364" s="37" t="str">
        <f aca="true">IF(OR(B364="",H364&lt;&gt;"Open",G364=""),"",IF(G364&lt;TODAY(),"Overdue",""))</f>
        <v/>
      </c>
    </row>
    <row r="365" customFormat="false" ht="15" hidden="false" customHeight="false" outlineLevel="0" collapsed="false">
      <c r="A365" s="32"/>
      <c r="B365" s="32"/>
      <c r="C365" s="33"/>
      <c r="D365" s="32"/>
      <c r="E365" s="32"/>
      <c r="F365" s="32"/>
      <c r="G365" s="35"/>
      <c r="H365" s="32"/>
      <c r="I365" s="35"/>
      <c r="J365" s="35"/>
      <c r="K365" s="34"/>
      <c r="L365" s="33"/>
      <c r="M365" s="37" t="str">
        <f aca="true">IF(OR(B365="",H365&lt;&gt;"Open",G365=""),"",IF(G365&lt;TODAY(),"Overdue",""))</f>
        <v/>
      </c>
    </row>
    <row r="366" customFormat="false" ht="15" hidden="false" customHeight="false" outlineLevel="0" collapsed="false">
      <c r="A366" s="32"/>
      <c r="B366" s="32"/>
      <c r="C366" s="33"/>
      <c r="D366" s="32"/>
      <c r="E366" s="32"/>
      <c r="F366" s="32"/>
      <c r="G366" s="35"/>
      <c r="H366" s="32"/>
      <c r="I366" s="35"/>
      <c r="J366" s="35"/>
      <c r="K366" s="34"/>
      <c r="L366" s="33"/>
      <c r="M366" s="37" t="str">
        <f aca="true">IF(OR(B366="",H366&lt;&gt;"Open",G366=""),"",IF(G366&lt;TODAY(),"Overdue",""))</f>
        <v/>
      </c>
    </row>
    <row r="367" customFormat="false" ht="15" hidden="false" customHeight="false" outlineLevel="0" collapsed="false">
      <c r="A367" s="32"/>
      <c r="B367" s="32"/>
      <c r="C367" s="33"/>
      <c r="D367" s="32"/>
      <c r="E367" s="32"/>
      <c r="F367" s="32"/>
      <c r="G367" s="35"/>
      <c r="H367" s="32"/>
      <c r="I367" s="35"/>
      <c r="J367" s="35"/>
      <c r="K367" s="34"/>
      <c r="L367" s="33"/>
      <c r="M367" s="37" t="str">
        <f aca="true">IF(OR(B367="",H367&lt;&gt;"Open",G367=""),"",IF(G367&lt;TODAY(),"Overdue",""))</f>
        <v/>
      </c>
    </row>
    <row r="368" customFormat="false" ht="15" hidden="false" customHeight="false" outlineLevel="0" collapsed="false">
      <c r="A368" s="32"/>
      <c r="B368" s="32"/>
      <c r="C368" s="33"/>
      <c r="D368" s="32"/>
      <c r="E368" s="32"/>
      <c r="F368" s="32"/>
      <c r="G368" s="35"/>
      <c r="H368" s="32"/>
      <c r="I368" s="35"/>
      <c r="J368" s="35"/>
      <c r="K368" s="34"/>
      <c r="L368" s="33"/>
      <c r="M368" s="37" t="str">
        <f aca="true">IF(OR(B368="",H368&lt;&gt;"Open",G368=""),"",IF(G368&lt;TODAY(),"Overdue",""))</f>
        <v/>
      </c>
    </row>
    <row r="369" customFormat="false" ht="15" hidden="false" customHeight="false" outlineLevel="0" collapsed="false">
      <c r="A369" s="32"/>
      <c r="B369" s="32"/>
      <c r="C369" s="33"/>
      <c r="D369" s="32"/>
      <c r="E369" s="32"/>
      <c r="F369" s="32"/>
      <c r="G369" s="35"/>
      <c r="H369" s="32"/>
      <c r="I369" s="35"/>
      <c r="J369" s="35"/>
      <c r="K369" s="34"/>
      <c r="L369" s="33"/>
      <c r="M369" s="37" t="str">
        <f aca="true">IF(OR(B369="",H369&lt;&gt;"Open",G369=""),"",IF(G369&lt;TODAY(),"Overdue",""))</f>
        <v/>
      </c>
    </row>
    <row r="370" customFormat="false" ht="15" hidden="false" customHeight="false" outlineLevel="0" collapsed="false">
      <c r="A370" s="32"/>
      <c r="B370" s="32"/>
      <c r="C370" s="33"/>
      <c r="D370" s="32"/>
      <c r="E370" s="32"/>
      <c r="F370" s="32"/>
      <c r="G370" s="35"/>
      <c r="H370" s="32"/>
      <c r="I370" s="35"/>
      <c r="J370" s="35"/>
      <c r="K370" s="34"/>
      <c r="L370" s="33"/>
      <c r="M370" s="37" t="str">
        <f aca="true">IF(OR(B370="",H370&lt;&gt;"Open",G370=""),"",IF(G370&lt;TODAY(),"Overdue",""))</f>
        <v/>
      </c>
    </row>
    <row r="371" customFormat="false" ht="15" hidden="false" customHeight="false" outlineLevel="0" collapsed="false">
      <c r="A371" s="32"/>
      <c r="B371" s="32"/>
      <c r="C371" s="33"/>
      <c r="D371" s="32"/>
      <c r="E371" s="32"/>
      <c r="F371" s="32"/>
      <c r="G371" s="35"/>
      <c r="H371" s="32"/>
      <c r="I371" s="35"/>
      <c r="J371" s="35"/>
      <c r="K371" s="34"/>
      <c r="L371" s="33"/>
      <c r="M371" s="37" t="str">
        <f aca="true">IF(OR(B371="",H371&lt;&gt;"Open",G371=""),"",IF(G371&lt;TODAY(),"Overdue",""))</f>
        <v/>
      </c>
    </row>
    <row r="372" customFormat="false" ht="15" hidden="false" customHeight="false" outlineLevel="0" collapsed="false">
      <c r="A372" s="32"/>
      <c r="B372" s="32"/>
      <c r="C372" s="33"/>
      <c r="D372" s="32"/>
      <c r="E372" s="32"/>
      <c r="F372" s="32"/>
      <c r="G372" s="35"/>
      <c r="H372" s="32"/>
      <c r="I372" s="35"/>
      <c r="J372" s="35"/>
      <c r="K372" s="34"/>
      <c r="L372" s="33"/>
      <c r="M372" s="37" t="str">
        <f aca="true">IF(OR(B372="",H372&lt;&gt;"Open",G372=""),"",IF(G372&lt;TODAY(),"Overdue",""))</f>
        <v/>
      </c>
    </row>
    <row r="373" customFormat="false" ht="15" hidden="false" customHeight="false" outlineLevel="0" collapsed="false">
      <c r="A373" s="32"/>
      <c r="B373" s="32"/>
      <c r="C373" s="33"/>
      <c r="D373" s="32"/>
      <c r="E373" s="32"/>
      <c r="F373" s="32"/>
      <c r="G373" s="35"/>
      <c r="H373" s="32"/>
      <c r="I373" s="35"/>
      <c r="J373" s="35"/>
      <c r="K373" s="34"/>
      <c r="L373" s="33"/>
      <c r="M373" s="37" t="str">
        <f aca="true">IF(OR(B373="",H373&lt;&gt;"Open",G373=""),"",IF(G373&lt;TODAY(),"Overdue",""))</f>
        <v/>
      </c>
    </row>
    <row r="374" customFormat="false" ht="15" hidden="false" customHeight="false" outlineLevel="0" collapsed="false">
      <c r="A374" s="32"/>
      <c r="B374" s="32"/>
      <c r="C374" s="33"/>
      <c r="D374" s="32"/>
      <c r="E374" s="32"/>
      <c r="F374" s="32"/>
      <c r="G374" s="35"/>
      <c r="H374" s="32"/>
      <c r="I374" s="35"/>
      <c r="J374" s="35"/>
      <c r="K374" s="34"/>
      <c r="L374" s="33"/>
      <c r="M374" s="37" t="str">
        <f aca="true">IF(OR(B374="",H374&lt;&gt;"Open",G374=""),"",IF(G374&lt;TODAY(),"Overdue",""))</f>
        <v/>
      </c>
    </row>
    <row r="375" customFormat="false" ht="15" hidden="false" customHeight="false" outlineLevel="0" collapsed="false">
      <c r="A375" s="32"/>
      <c r="B375" s="32"/>
      <c r="C375" s="33"/>
      <c r="D375" s="32"/>
      <c r="E375" s="32"/>
      <c r="F375" s="32"/>
      <c r="G375" s="35"/>
      <c r="H375" s="32"/>
      <c r="I375" s="35"/>
      <c r="J375" s="35"/>
      <c r="K375" s="34"/>
      <c r="L375" s="33"/>
      <c r="M375" s="37" t="str">
        <f aca="true">IF(OR(B375="",H375&lt;&gt;"Open",G375=""),"",IF(G375&lt;TODAY(),"Overdue",""))</f>
        <v/>
      </c>
    </row>
    <row r="376" customFormat="false" ht="15" hidden="false" customHeight="false" outlineLevel="0" collapsed="false">
      <c r="A376" s="32"/>
      <c r="B376" s="32"/>
      <c r="C376" s="33"/>
      <c r="D376" s="32"/>
      <c r="E376" s="32"/>
      <c r="F376" s="32"/>
      <c r="G376" s="35"/>
      <c r="H376" s="32"/>
      <c r="I376" s="35"/>
      <c r="J376" s="35"/>
      <c r="K376" s="34"/>
      <c r="L376" s="33"/>
      <c r="M376" s="37" t="str">
        <f aca="true">IF(OR(B376="",H376&lt;&gt;"Open",G376=""),"",IF(G376&lt;TODAY(),"Overdue",""))</f>
        <v/>
      </c>
    </row>
    <row r="377" customFormat="false" ht="15" hidden="false" customHeight="false" outlineLevel="0" collapsed="false">
      <c r="A377" s="32"/>
      <c r="B377" s="32"/>
      <c r="C377" s="33"/>
      <c r="D377" s="32"/>
      <c r="E377" s="32"/>
      <c r="F377" s="32"/>
      <c r="G377" s="35"/>
      <c r="H377" s="32"/>
      <c r="I377" s="35"/>
      <c r="J377" s="35"/>
      <c r="K377" s="34"/>
      <c r="L377" s="33"/>
      <c r="M377" s="37" t="str">
        <f aca="true">IF(OR(B377="",H377&lt;&gt;"Open",G377=""),"",IF(G377&lt;TODAY(),"Overdue",""))</f>
        <v/>
      </c>
    </row>
    <row r="378" customFormat="false" ht="15" hidden="false" customHeight="false" outlineLevel="0" collapsed="false">
      <c r="A378" s="32"/>
      <c r="B378" s="32"/>
      <c r="C378" s="33"/>
      <c r="D378" s="32"/>
      <c r="E378" s="32"/>
      <c r="F378" s="32"/>
      <c r="G378" s="35"/>
      <c r="H378" s="32"/>
      <c r="I378" s="35"/>
      <c r="J378" s="35"/>
      <c r="K378" s="34"/>
      <c r="L378" s="33"/>
      <c r="M378" s="37" t="str">
        <f aca="true">IF(OR(B378="",H378&lt;&gt;"Open",G378=""),"",IF(G378&lt;TODAY(),"Overdue",""))</f>
        <v/>
      </c>
    </row>
    <row r="379" customFormat="false" ht="15" hidden="false" customHeight="false" outlineLevel="0" collapsed="false">
      <c r="A379" s="32"/>
      <c r="B379" s="32"/>
      <c r="C379" s="33"/>
      <c r="D379" s="32"/>
      <c r="E379" s="32"/>
      <c r="F379" s="32"/>
      <c r="G379" s="35"/>
      <c r="H379" s="32"/>
      <c r="I379" s="35"/>
      <c r="J379" s="35"/>
      <c r="K379" s="34"/>
      <c r="L379" s="33"/>
      <c r="M379" s="37" t="str">
        <f aca="true">IF(OR(B379="",H379&lt;&gt;"Open",G379=""),"",IF(G379&lt;TODAY(),"Overdue",""))</f>
        <v/>
      </c>
    </row>
    <row r="380" customFormat="false" ht="15" hidden="false" customHeight="false" outlineLevel="0" collapsed="false">
      <c r="A380" s="32"/>
      <c r="B380" s="32"/>
      <c r="C380" s="33"/>
      <c r="D380" s="32"/>
      <c r="E380" s="32"/>
      <c r="F380" s="32"/>
      <c r="G380" s="35"/>
      <c r="H380" s="32"/>
      <c r="I380" s="35"/>
      <c r="J380" s="35"/>
      <c r="K380" s="34"/>
      <c r="L380" s="33"/>
      <c r="M380" s="37" t="str">
        <f aca="true">IF(OR(B380="",H380&lt;&gt;"Open",G380=""),"",IF(G380&lt;TODAY(),"Overdue",""))</f>
        <v/>
      </c>
    </row>
    <row r="381" customFormat="false" ht="15" hidden="false" customHeight="false" outlineLevel="0" collapsed="false">
      <c r="A381" s="32"/>
      <c r="B381" s="32"/>
      <c r="C381" s="33"/>
      <c r="D381" s="32"/>
      <c r="E381" s="32"/>
      <c r="F381" s="32"/>
      <c r="G381" s="35"/>
      <c r="H381" s="32"/>
      <c r="I381" s="35"/>
      <c r="J381" s="35"/>
      <c r="K381" s="34"/>
      <c r="L381" s="33"/>
      <c r="M381" s="37" t="str">
        <f aca="true">IF(OR(B381="",H381&lt;&gt;"Open",G381=""),"",IF(G381&lt;TODAY(),"Overdue",""))</f>
        <v/>
      </c>
    </row>
    <row r="382" customFormat="false" ht="15" hidden="false" customHeight="false" outlineLevel="0" collapsed="false">
      <c r="A382" s="32"/>
      <c r="B382" s="32"/>
      <c r="C382" s="33"/>
      <c r="D382" s="32"/>
      <c r="E382" s="32"/>
      <c r="F382" s="32"/>
      <c r="G382" s="35"/>
      <c r="H382" s="32"/>
      <c r="I382" s="35"/>
      <c r="J382" s="35"/>
      <c r="K382" s="34"/>
      <c r="L382" s="33"/>
      <c r="M382" s="37" t="str">
        <f aca="true">IF(OR(B382="",H382&lt;&gt;"Open",G382=""),"",IF(G382&lt;TODAY(),"Overdue",""))</f>
        <v/>
      </c>
    </row>
    <row r="383" customFormat="false" ht="15" hidden="false" customHeight="false" outlineLevel="0" collapsed="false">
      <c r="A383" s="32"/>
      <c r="B383" s="32"/>
      <c r="C383" s="33"/>
      <c r="D383" s="32"/>
      <c r="E383" s="32"/>
      <c r="F383" s="32"/>
      <c r="G383" s="35"/>
      <c r="H383" s="32"/>
      <c r="I383" s="35"/>
      <c r="J383" s="35"/>
      <c r="K383" s="34"/>
      <c r="L383" s="33"/>
      <c r="M383" s="37" t="str">
        <f aca="true">IF(OR(B383="",H383&lt;&gt;"Open",G383=""),"",IF(G383&lt;TODAY(),"Overdue",""))</f>
        <v/>
      </c>
    </row>
    <row r="384" customFormat="false" ht="15" hidden="false" customHeight="false" outlineLevel="0" collapsed="false">
      <c r="A384" s="32"/>
      <c r="B384" s="32"/>
      <c r="C384" s="33"/>
      <c r="D384" s="32"/>
      <c r="E384" s="32"/>
      <c r="F384" s="32"/>
      <c r="G384" s="35"/>
      <c r="H384" s="32"/>
      <c r="I384" s="35"/>
      <c r="J384" s="35"/>
      <c r="K384" s="34"/>
      <c r="L384" s="33"/>
      <c r="M384" s="37" t="str">
        <f aca="true">IF(OR(B384="",H384&lt;&gt;"Open",G384=""),"",IF(G384&lt;TODAY(),"Overdue",""))</f>
        <v/>
      </c>
    </row>
    <row r="385" customFormat="false" ht="15" hidden="false" customHeight="false" outlineLevel="0" collapsed="false">
      <c r="A385" s="32"/>
      <c r="B385" s="32"/>
      <c r="C385" s="33"/>
      <c r="D385" s="32"/>
      <c r="E385" s="32"/>
      <c r="F385" s="32"/>
      <c r="G385" s="35"/>
      <c r="H385" s="32"/>
      <c r="I385" s="35"/>
      <c r="J385" s="35"/>
      <c r="K385" s="34"/>
      <c r="L385" s="33"/>
      <c r="M385" s="37" t="str">
        <f aca="true">IF(OR(B385="",H385&lt;&gt;"Open",G385=""),"",IF(G385&lt;TODAY(),"Overdue",""))</f>
        <v/>
      </c>
    </row>
    <row r="386" customFormat="false" ht="15" hidden="false" customHeight="false" outlineLevel="0" collapsed="false">
      <c r="A386" s="32"/>
      <c r="B386" s="32"/>
      <c r="C386" s="33"/>
      <c r="D386" s="32"/>
      <c r="E386" s="32"/>
      <c r="F386" s="32"/>
      <c r="G386" s="35"/>
      <c r="H386" s="32"/>
      <c r="I386" s="35"/>
      <c r="J386" s="35"/>
      <c r="K386" s="34"/>
      <c r="L386" s="33"/>
      <c r="M386" s="37" t="str">
        <f aca="true">IF(OR(B386="",H386&lt;&gt;"Open",G386=""),"",IF(G386&lt;TODAY(),"Overdue",""))</f>
        <v/>
      </c>
    </row>
    <row r="387" customFormat="false" ht="15" hidden="false" customHeight="false" outlineLevel="0" collapsed="false">
      <c r="A387" s="32"/>
      <c r="B387" s="32"/>
      <c r="C387" s="33"/>
      <c r="D387" s="32"/>
      <c r="E387" s="32"/>
      <c r="F387" s="32"/>
      <c r="G387" s="35"/>
      <c r="H387" s="32"/>
      <c r="I387" s="35"/>
      <c r="J387" s="35"/>
      <c r="K387" s="34"/>
      <c r="L387" s="33"/>
      <c r="M387" s="37" t="str">
        <f aca="true">IF(OR(B387="",H387&lt;&gt;"Open",G387=""),"",IF(G387&lt;TODAY(),"Overdue",""))</f>
        <v/>
      </c>
    </row>
    <row r="388" customFormat="false" ht="15" hidden="false" customHeight="false" outlineLevel="0" collapsed="false">
      <c r="A388" s="32"/>
      <c r="B388" s="32"/>
      <c r="C388" s="33"/>
      <c r="D388" s="32"/>
      <c r="E388" s="32"/>
      <c r="F388" s="32"/>
      <c r="G388" s="35"/>
      <c r="H388" s="32"/>
      <c r="I388" s="35"/>
      <c r="J388" s="35"/>
      <c r="K388" s="34"/>
      <c r="L388" s="33"/>
      <c r="M388" s="37" t="str">
        <f aca="true">IF(OR(B388="",H388&lt;&gt;"Open",G388=""),"",IF(G388&lt;TODAY(),"Overdue",""))</f>
        <v/>
      </c>
    </row>
    <row r="389" customFormat="false" ht="15" hidden="false" customHeight="false" outlineLevel="0" collapsed="false">
      <c r="A389" s="32"/>
      <c r="B389" s="32"/>
      <c r="C389" s="33"/>
      <c r="D389" s="32"/>
      <c r="E389" s="32"/>
      <c r="F389" s="32"/>
      <c r="G389" s="35"/>
      <c r="H389" s="32"/>
      <c r="I389" s="35"/>
      <c r="J389" s="35"/>
      <c r="K389" s="34"/>
      <c r="L389" s="33"/>
      <c r="M389" s="37" t="str">
        <f aca="true">IF(OR(B389="",H389&lt;&gt;"Open",G389=""),"",IF(G389&lt;TODAY(),"Overdue",""))</f>
        <v/>
      </c>
    </row>
    <row r="390" customFormat="false" ht="15" hidden="false" customHeight="false" outlineLevel="0" collapsed="false">
      <c r="A390" s="32"/>
      <c r="B390" s="32"/>
      <c r="C390" s="33"/>
      <c r="D390" s="32"/>
      <c r="E390" s="32"/>
      <c r="F390" s="32"/>
      <c r="G390" s="35"/>
      <c r="H390" s="32"/>
      <c r="I390" s="35"/>
      <c r="J390" s="35"/>
      <c r="K390" s="34"/>
      <c r="L390" s="33"/>
      <c r="M390" s="37" t="str">
        <f aca="true">IF(OR(B390="",H390&lt;&gt;"Open",G390=""),"",IF(G390&lt;TODAY(),"Overdue",""))</f>
        <v/>
      </c>
    </row>
    <row r="391" customFormat="false" ht="15" hidden="false" customHeight="false" outlineLevel="0" collapsed="false">
      <c r="A391" s="32"/>
      <c r="B391" s="32"/>
      <c r="C391" s="33"/>
      <c r="D391" s="32"/>
      <c r="E391" s="32"/>
      <c r="F391" s="32"/>
      <c r="G391" s="35"/>
      <c r="H391" s="32"/>
      <c r="I391" s="35"/>
      <c r="J391" s="35"/>
      <c r="K391" s="34"/>
      <c r="L391" s="33"/>
      <c r="M391" s="37" t="str">
        <f aca="true">IF(OR(B391="",H391&lt;&gt;"Open",G391=""),"",IF(G391&lt;TODAY(),"Overdue",""))</f>
        <v/>
      </c>
    </row>
    <row r="392" customFormat="false" ht="15" hidden="false" customHeight="false" outlineLevel="0" collapsed="false">
      <c r="A392" s="32"/>
      <c r="B392" s="32"/>
      <c r="C392" s="33"/>
      <c r="D392" s="32"/>
      <c r="E392" s="32"/>
      <c r="F392" s="32"/>
      <c r="G392" s="35"/>
      <c r="H392" s="32"/>
      <c r="I392" s="35"/>
      <c r="J392" s="35"/>
      <c r="K392" s="34"/>
      <c r="L392" s="33"/>
      <c r="M392" s="37" t="str">
        <f aca="true">IF(OR(B392="",H392&lt;&gt;"Open",G392=""),"",IF(G392&lt;TODAY(),"Overdue",""))</f>
        <v/>
      </c>
    </row>
    <row r="393" customFormat="false" ht="15" hidden="false" customHeight="false" outlineLevel="0" collapsed="false">
      <c r="A393" s="32"/>
      <c r="B393" s="32"/>
      <c r="C393" s="33"/>
      <c r="D393" s="32"/>
      <c r="E393" s="32"/>
      <c r="F393" s="32"/>
      <c r="G393" s="35"/>
      <c r="H393" s="32"/>
      <c r="I393" s="35"/>
      <c r="J393" s="35"/>
      <c r="K393" s="34"/>
      <c r="L393" s="33"/>
      <c r="M393" s="37" t="str">
        <f aca="true">IF(OR(B393="",H393&lt;&gt;"Open",G393=""),"",IF(G393&lt;TODAY(),"Overdue",""))</f>
        <v/>
      </c>
    </row>
    <row r="394" customFormat="false" ht="15" hidden="false" customHeight="false" outlineLevel="0" collapsed="false">
      <c r="A394" s="32"/>
      <c r="B394" s="32"/>
      <c r="C394" s="33"/>
      <c r="D394" s="32"/>
      <c r="E394" s="32"/>
      <c r="F394" s="32"/>
      <c r="G394" s="35"/>
      <c r="H394" s="32"/>
      <c r="I394" s="35"/>
      <c r="J394" s="35"/>
      <c r="K394" s="34"/>
      <c r="L394" s="33"/>
      <c r="M394" s="37" t="str">
        <f aca="true">IF(OR(B394="",H394&lt;&gt;"Open",G394=""),"",IF(G394&lt;TODAY(),"Overdue",""))</f>
        <v/>
      </c>
    </row>
    <row r="395" customFormat="false" ht="15" hidden="false" customHeight="false" outlineLevel="0" collapsed="false">
      <c r="A395" s="32"/>
      <c r="B395" s="32"/>
      <c r="C395" s="33"/>
      <c r="D395" s="32"/>
      <c r="E395" s="32"/>
      <c r="F395" s="32"/>
      <c r="G395" s="35"/>
      <c r="H395" s="32"/>
      <c r="I395" s="35"/>
      <c r="J395" s="35"/>
      <c r="K395" s="34"/>
      <c r="L395" s="33"/>
      <c r="M395" s="37" t="str">
        <f aca="true">IF(OR(B395="",H395&lt;&gt;"Open",G395=""),"",IF(G395&lt;TODAY(),"Overdue",""))</f>
        <v/>
      </c>
    </row>
    <row r="396" customFormat="false" ht="15" hidden="false" customHeight="false" outlineLevel="0" collapsed="false">
      <c r="A396" s="32"/>
      <c r="B396" s="32"/>
      <c r="C396" s="33"/>
      <c r="D396" s="32"/>
      <c r="E396" s="32"/>
      <c r="F396" s="32"/>
      <c r="G396" s="35"/>
      <c r="H396" s="32"/>
      <c r="I396" s="35"/>
      <c r="J396" s="35"/>
      <c r="K396" s="34"/>
      <c r="L396" s="33"/>
      <c r="M396" s="37" t="str">
        <f aca="true">IF(OR(B396="",H396&lt;&gt;"Open",G396=""),"",IF(G396&lt;TODAY(),"Overdue",""))</f>
        <v/>
      </c>
    </row>
    <row r="397" customFormat="false" ht="15" hidden="false" customHeight="false" outlineLevel="0" collapsed="false">
      <c r="A397" s="32"/>
      <c r="B397" s="32"/>
      <c r="C397" s="33"/>
      <c r="D397" s="32"/>
      <c r="E397" s="32"/>
      <c r="F397" s="32"/>
      <c r="G397" s="35"/>
      <c r="H397" s="32"/>
      <c r="I397" s="35"/>
      <c r="J397" s="35"/>
      <c r="K397" s="34"/>
      <c r="L397" s="33"/>
      <c r="M397" s="37" t="str">
        <f aca="true">IF(OR(B397="",H397&lt;&gt;"Open",G397=""),"",IF(G397&lt;TODAY(),"Overdue",""))</f>
        <v/>
      </c>
    </row>
    <row r="398" customFormat="false" ht="15" hidden="false" customHeight="false" outlineLevel="0" collapsed="false">
      <c r="A398" s="32"/>
      <c r="B398" s="32"/>
      <c r="C398" s="33"/>
      <c r="D398" s="32"/>
      <c r="E398" s="32"/>
      <c r="F398" s="32"/>
      <c r="G398" s="35"/>
      <c r="H398" s="32"/>
      <c r="I398" s="35"/>
      <c r="J398" s="35"/>
      <c r="K398" s="34"/>
      <c r="L398" s="33"/>
      <c r="M398" s="37" t="str">
        <f aca="true">IF(OR(B398="",H398&lt;&gt;"Open",G398=""),"",IF(G398&lt;TODAY(),"Overdue",""))</f>
        <v/>
      </c>
    </row>
    <row r="399" customFormat="false" ht="15" hidden="false" customHeight="false" outlineLevel="0" collapsed="false">
      <c r="A399" s="32"/>
      <c r="B399" s="32"/>
      <c r="C399" s="33"/>
      <c r="D399" s="32"/>
      <c r="E399" s="32"/>
      <c r="F399" s="32"/>
      <c r="G399" s="35"/>
      <c r="H399" s="32"/>
      <c r="I399" s="35"/>
      <c r="J399" s="35"/>
      <c r="K399" s="34"/>
      <c r="L399" s="33"/>
      <c r="M399" s="37" t="str">
        <f aca="true">IF(OR(B399="",H399&lt;&gt;"Open",G399=""),"",IF(G399&lt;TODAY(),"Overdue",""))</f>
        <v/>
      </c>
    </row>
    <row r="400" customFormat="false" ht="15" hidden="false" customHeight="false" outlineLevel="0" collapsed="false">
      <c r="A400" s="32"/>
      <c r="B400" s="32"/>
      <c r="C400" s="33"/>
      <c r="D400" s="32"/>
      <c r="E400" s="32"/>
      <c r="F400" s="32"/>
      <c r="G400" s="35"/>
      <c r="H400" s="32"/>
      <c r="I400" s="35"/>
      <c r="J400" s="35"/>
      <c r="K400" s="34"/>
      <c r="L400" s="33"/>
      <c r="M400" s="37" t="str">
        <f aca="true">IF(OR(B400="",H400&lt;&gt;"Open",G400=""),"",IF(G400&lt;TODAY(),"Overdue",""))</f>
        <v/>
      </c>
    </row>
    <row r="401" customFormat="false" ht="15" hidden="false" customHeight="false" outlineLevel="0" collapsed="false">
      <c r="A401" s="32"/>
      <c r="B401" s="32"/>
      <c r="C401" s="33"/>
      <c r="D401" s="32"/>
      <c r="E401" s="32"/>
      <c r="F401" s="32"/>
      <c r="G401" s="35"/>
      <c r="H401" s="32"/>
      <c r="I401" s="35"/>
      <c r="J401" s="35"/>
      <c r="K401" s="34"/>
      <c r="L401" s="33"/>
      <c r="M401" s="37" t="str">
        <f aca="true">IF(OR(B401="",H401&lt;&gt;"Open",G401=""),"",IF(G401&lt;TODAY(),"Overdue",""))</f>
        <v/>
      </c>
    </row>
    <row r="402" customFormat="false" ht="15" hidden="false" customHeight="false" outlineLevel="0" collapsed="false">
      <c r="A402" s="32"/>
      <c r="B402" s="32"/>
      <c r="C402" s="33"/>
      <c r="D402" s="32"/>
      <c r="E402" s="32"/>
      <c r="F402" s="32"/>
      <c r="G402" s="35"/>
      <c r="H402" s="32"/>
      <c r="I402" s="35"/>
      <c r="J402" s="35"/>
      <c r="K402" s="34"/>
      <c r="L402" s="33"/>
      <c r="M402" s="37" t="str">
        <f aca="true">IF(OR(B402="",H402&lt;&gt;"Open",G402=""),"",IF(G402&lt;TODAY(),"Overdue",""))</f>
        <v/>
      </c>
    </row>
    <row r="403" customFormat="false" ht="15" hidden="false" customHeight="false" outlineLevel="0" collapsed="false">
      <c r="A403" s="32"/>
      <c r="B403" s="32"/>
      <c r="C403" s="33"/>
      <c r="D403" s="32"/>
      <c r="E403" s="32"/>
      <c r="F403" s="32"/>
      <c r="G403" s="35"/>
      <c r="H403" s="32"/>
      <c r="I403" s="35"/>
      <c r="J403" s="35"/>
      <c r="K403" s="34"/>
      <c r="L403" s="33"/>
      <c r="M403" s="37" t="str">
        <f aca="true">IF(OR(B403="",H403&lt;&gt;"Open",G403=""),"",IF(G403&lt;TODAY(),"Overdue",""))</f>
        <v/>
      </c>
    </row>
    <row r="404" customFormat="false" ht="15" hidden="false" customHeight="false" outlineLevel="0" collapsed="false">
      <c r="A404" s="32"/>
      <c r="B404" s="32"/>
      <c r="C404" s="33"/>
      <c r="D404" s="32"/>
      <c r="E404" s="32"/>
      <c r="F404" s="32"/>
      <c r="G404" s="35"/>
      <c r="H404" s="32"/>
      <c r="I404" s="35"/>
      <c r="J404" s="35"/>
      <c r="K404" s="34"/>
      <c r="L404" s="33"/>
      <c r="M404" s="37" t="str">
        <f aca="true">IF(OR(B404="",H404&lt;&gt;"Open",G404=""),"",IF(G404&lt;TODAY(),"Overdue",""))</f>
        <v/>
      </c>
    </row>
    <row r="405" customFormat="false" ht="15" hidden="false" customHeight="false" outlineLevel="0" collapsed="false">
      <c r="A405" s="32"/>
      <c r="B405" s="32"/>
      <c r="C405" s="33"/>
      <c r="D405" s="32"/>
      <c r="E405" s="32"/>
      <c r="F405" s="32"/>
      <c r="G405" s="35"/>
      <c r="H405" s="32"/>
      <c r="I405" s="35"/>
      <c r="J405" s="35"/>
      <c r="K405" s="34"/>
      <c r="L405" s="33"/>
      <c r="M405" s="37" t="str">
        <f aca="true">IF(OR(B405="",H405&lt;&gt;"Open",G405=""),"",IF(G405&lt;TODAY(),"Overdue",""))</f>
        <v/>
      </c>
    </row>
    <row r="406" customFormat="false" ht="15" hidden="false" customHeight="false" outlineLevel="0" collapsed="false">
      <c r="A406" s="32"/>
      <c r="B406" s="32"/>
      <c r="C406" s="33"/>
      <c r="D406" s="32"/>
      <c r="E406" s="32"/>
      <c r="F406" s="32"/>
      <c r="G406" s="35"/>
      <c r="H406" s="32"/>
      <c r="I406" s="35"/>
      <c r="J406" s="35"/>
      <c r="K406" s="34"/>
      <c r="L406" s="33"/>
      <c r="M406" s="37" t="str">
        <f aca="true">IF(OR(B406="",H406&lt;&gt;"Open",G406=""),"",IF(G406&lt;TODAY(),"Overdue",""))</f>
        <v/>
      </c>
    </row>
    <row r="407" customFormat="false" ht="15" hidden="false" customHeight="false" outlineLevel="0" collapsed="false">
      <c r="A407" s="32"/>
      <c r="B407" s="32"/>
      <c r="C407" s="33"/>
      <c r="D407" s="32"/>
      <c r="E407" s="32"/>
      <c r="F407" s="32"/>
      <c r="G407" s="35"/>
      <c r="H407" s="32"/>
      <c r="I407" s="35"/>
      <c r="J407" s="35"/>
      <c r="K407" s="34"/>
      <c r="L407" s="33"/>
      <c r="M407" s="37" t="str">
        <f aca="true">IF(OR(B407="",H407&lt;&gt;"Open",G407=""),"",IF(G407&lt;TODAY(),"Overdue",""))</f>
        <v/>
      </c>
    </row>
    <row r="408" customFormat="false" ht="15" hidden="false" customHeight="false" outlineLevel="0" collapsed="false">
      <c r="A408" s="32"/>
      <c r="B408" s="32"/>
      <c r="C408" s="33"/>
      <c r="D408" s="32"/>
      <c r="E408" s="32"/>
      <c r="F408" s="32"/>
      <c r="G408" s="35"/>
      <c r="H408" s="32"/>
      <c r="I408" s="35"/>
      <c r="J408" s="35"/>
      <c r="K408" s="34"/>
      <c r="L408" s="33"/>
      <c r="M408" s="37" t="str">
        <f aca="true">IF(OR(B408="",H408&lt;&gt;"Open",G408=""),"",IF(G408&lt;TODAY(),"Overdue",""))</f>
        <v/>
      </c>
    </row>
    <row r="409" customFormat="false" ht="15" hidden="false" customHeight="false" outlineLevel="0" collapsed="false">
      <c r="A409" s="32"/>
      <c r="B409" s="32"/>
      <c r="C409" s="33"/>
      <c r="D409" s="32"/>
      <c r="E409" s="32"/>
      <c r="F409" s="32"/>
      <c r="G409" s="35"/>
      <c r="H409" s="32"/>
      <c r="I409" s="35"/>
      <c r="J409" s="35"/>
      <c r="K409" s="34"/>
      <c r="L409" s="33"/>
      <c r="M409" s="37" t="str">
        <f aca="true">IF(OR(B409="",H409&lt;&gt;"Open",G409=""),"",IF(G409&lt;TODAY(),"Overdue",""))</f>
        <v/>
      </c>
    </row>
    <row r="410" customFormat="false" ht="15" hidden="false" customHeight="false" outlineLevel="0" collapsed="false">
      <c r="A410" s="32"/>
      <c r="B410" s="32"/>
      <c r="C410" s="33"/>
      <c r="D410" s="32"/>
      <c r="E410" s="32"/>
      <c r="F410" s="32"/>
      <c r="G410" s="35"/>
      <c r="H410" s="32"/>
      <c r="I410" s="35"/>
      <c r="J410" s="35"/>
      <c r="K410" s="34"/>
      <c r="L410" s="33"/>
      <c r="M410" s="37" t="str">
        <f aca="true">IF(OR(B410="",H410&lt;&gt;"Open",G410=""),"",IF(G410&lt;TODAY(),"Overdue",""))</f>
        <v/>
      </c>
    </row>
    <row r="411" customFormat="false" ht="15" hidden="false" customHeight="false" outlineLevel="0" collapsed="false">
      <c r="A411" s="32"/>
      <c r="B411" s="32"/>
      <c r="C411" s="33"/>
      <c r="D411" s="32"/>
      <c r="E411" s="32"/>
      <c r="F411" s="32"/>
      <c r="G411" s="35"/>
      <c r="H411" s="32"/>
      <c r="I411" s="35"/>
      <c r="J411" s="35"/>
      <c r="K411" s="34"/>
      <c r="L411" s="33"/>
      <c r="M411" s="37" t="str">
        <f aca="true">IF(OR(B411="",H411&lt;&gt;"Open",G411=""),"",IF(G411&lt;TODAY(),"Overdue",""))</f>
        <v/>
      </c>
    </row>
    <row r="412" customFormat="false" ht="15" hidden="false" customHeight="false" outlineLevel="0" collapsed="false">
      <c r="A412" s="32"/>
      <c r="B412" s="32"/>
      <c r="C412" s="33"/>
      <c r="D412" s="32"/>
      <c r="E412" s="32"/>
      <c r="F412" s="32"/>
      <c r="G412" s="35"/>
      <c r="H412" s="32"/>
      <c r="I412" s="35"/>
      <c r="J412" s="35"/>
      <c r="K412" s="34"/>
      <c r="L412" s="33"/>
      <c r="M412" s="37" t="str">
        <f aca="true">IF(OR(B412="",H412&lt;&gt;"Open",G412=""),"",IF(G412&lt;TODAY(),"Overdue",""))</f>
        <v/>
      </c>
    </row>
    <row r="413" customFormat="false" ht="15" hidden="false" customHeight="false" outlineLevel="0" collapsed="false">
      <c r="A413" s="32"/>
      <c r="B413" s="32"/>
      <c r="C413" s="33"/>
      <c r="D413" s="32"/>
      <c r="E413" s="32"/>
      <c r="F413" s="32"/>
      <c r="G413" s="35"/>
      <c r="H413" s="32"/>
      <c r="I413" s="35"/>
      <c r="J413" s="35"/>
      <c r="K413" s="34"/>
      <c r="L413" s="33"/>
      <c r="M413" s="37" t="str">
        <f aca="true">IF(OR(B413="",H413&lt;&gt;"Open",G413=""),"",IF(G413&lt;TODAY(),"Overdue",""))</f>
        <v/>
      </c>
    </row>
    <row r="414" customFormat="false" ht="15" hidden="false" customHeight="false" outlineLevel="0" collapsed="false">
      <c r="A414" s="32"/>
      <c r="B414" s="32"/>
      <c r="C414" s="33"/>
      <c r="D414" s="32"/>
      <c r="E414" s="32"/>
      <c r="F414" s="32"/>
      <c r="G414" s="35"/>
      <c r="H414" s="32"/>
      <c r="I414" s="35"/>
      <c r="J414" s="35"/>
      <c r="K414" s="34"/>
      <c r="L414" s="33"/>
      <c r="M414" s="37" t="str">
        <f aca="true">IF(OR(B414="",H414&lt;&gt;"Open",G414=""),"",IF(G414&lt;TODAY(),"Overdue",""))</f>
        <v/>
      </c>
    </row>
    <row r="415" customFormat="false" ht="15" hidden="false" customHeight="false" outlineLevel="0" collapsed="false">
      <c r="A415" s="32"/>
      <c r="B415" s="32"/>
      <c r="C415" s="33"/>
      <c r="D415" s="32"/>
      <c r="E415" s="32"/>
      <c r="F415" s="32"/>
      <c r="G415" s="35"/>
      <c r="H415" s="32"/>
      <c r="I415" s="35"/>
      <c r="J415" s="35"/>
      <c r="K415" s="34"/>
      <c r="L415" s="33"/>
      <c r="M415" s="37" t="str">
        <f aca="true">IF(OR(B415="",H415&lt;&gt;"Open",G415=""),"",IF(G415&lt;TODAY(),"Overdue",""))</f>
        <v/>
      </c>
    </row>
    <row r="416" customFormat="false" ht="15" hidden="false" customHeight="false" outlineLevel="0" collapsed="false">
      <c r="A416" s="32"/>
      <c r="B416" s="32"/>
      <c r="C416" s="33"/>
      <c r="D416" s="32"/>
      <c r="E416" s="32"/>
      <c r="F416" s="32"/>
      <c r="G416" s="35"/>
      <c r="H416" s="32"/>
      <c r="I416" s="35"/>
      <c r="J416" s="35"/>
      <c r="K416" s="34"/>
      <c r="L416" s="33"/>
      <c r="M416" s="37" t="str">
        <f aca="true">IF(OR(B416="",H416&lt;&gt;"Open",G416=""),"",IF(G416&lt;TODAY(),"Overdue",""))</f>
        <v/>
      </c>
    </row>
    <row r="417" customFormat="false" ht="15" hidden="false" customHeight="false" outlineLevel="0" collapsed="false">
      <c r="A417" s="32"/>
      <c r="B417" s="32"/>
      <c r="C417" s="33"/>
      <c r="D417" s="32"/>
      <c r="E417" s="32"/>
      <c r="F417" s="32"/>
      <c r="G417" s="35"/>
      <c r="H417" s="32"/>
      <c r="I417" s="35"/>
      <c r="J417" s="35"/>
      <c r="K417" s="34"/>
      <c r="L417" s="33"/>
      <c r="M417" s="37" t="str">
        <f aca="true">IF(OR(B417="",H417&lt;&gt;"Open",G417=""),"",IF(G417&lt;TODAY(),"Overdue",""))</f>
        <v/>
      </c>
    </row>
    <row r="418" customFormat="false" ht="15" hidden="false" customHeight="false" outlineLevel="0" collapsed="false">
      <c r="A418" s="32"/>
      <c r="B418" s="32"/>
      <c r="C418" s="33"/>
      <c r="D418" s="32"/>
      <c r="E418" s="32"/>
      <c r="F418" s="32"/>
      <c r="G418" s="35"/>
      <c r="H418" s="32"/>
      <c r="I418" s="35"/>
      <c r="J418" s="35"/>
      <c r="K418" s="34"/>
      <c r="L418" s="33"/>
      <c r="M418" s="37" t="str">
        <f aca="true">IF(OR(B418="",H418&lt;&gt;"Open",G418=""),"",IF(G418&lt;TODAY(),"Overdue",""))</f>
        <v/>
      </c>
    </row>
    <row r="419" customFormat="false" ht="15" hidden="false" customHeight="false" outlineLevel="0" collapsed="false">
      <c r="A419" s="32"/>
      <c r="B419" s="32"/>
      <c r="C419" s="33"/>
      <c r="D419" s="32"/>
      <c r="E419" s="32"/>
      <c r="F419" s="32"/>
      <c r="G419" s="35"/>
      <c r="H419" s="32"/>
      <c r="I419" s="35"/>
      <c r="J419" s="35"/>
      <c r="K419" s="34"/>
      <c r="L419" s="33"/>
      <c r="M419" s="37" t="str">
        <f aca="true">IF(OR(B419="",H419&lt;&gt;"Open",G419=""),"",IF(G419&lt;TODAY(),"Overdue",""))</f>
        <v/>
      </c>
    </row>
    <row r="420" customFormat="false" ht="15" hidden="false" customHeight="false" outlineLevel="0" collapsed="false">
      <c r="A420" s="32"/>
      <c r="B420" s="32"/>
      <c r="C420" s="33"/>
      <c r="D420" s="32"/>
      <c r="E420" s="32"/>
      <c r="F420" s="32"/>
      <c r="G420" s="35"/>
      <c r="H420" s="32"/>
      <c r="I420" s="35"/>
      <c r="J420" s="35"/>
      <c r="K420" s="34"/>
      <c r="L420" s="33"/>
      <c r="M420" s="37" t="str">
        <f aca="true">IF(OR(B420="",H420&lt;&gt;"Open",G420=""),"",IF(G420&lt;TODAY(),"Overdue",""))</f>
        <v/>
      </c>
    </row>
    <row r="421" customFormat="false" ht="15" hidden="false" customHeight="false" outlineLevel="0" collapsed="false">
      <c r="A421" s="32"/>
      <c r="B421" s="32"/>
      <c r="C421" s="33"/>
      <c r="D421" s="32"/>
      <c r="E421" s="32"/>
      <c r="F421" s="32"/>
      <c r="G421" s="35"/>
      <c r="H421" s="32"/>
      <c r="I421" s="35"/>
      <c r="J421" s="35"/>
      <c r="K421" s="34"/>
      <c r="L421" s="33"/>
      <c r="M421" s="37" t="str">
        <f aca="true">IF(OR(B421="",H421&lt;&gt;"Open",G421=""),"",IF(G421&lt;TODAY(),"Overdue",""))</f>
        <v/>
      </c>
    </row>
    <row r="422" customFormat="false" ht="15" hidden="false" customHeight="false" outlineLevel="0" collapsed="false">
      <c r="A422" s="32"/>
      <c r="B422" s="32"/>
      <c r="C422" s="33"/>
      <c r="D422" s="32"/>
      <c r="E422" s="32"/>
      <c r="F422" s="32"/>
      <c r="G422" s="35"/>
      <c r="H422" s="32"/>
      <c r="I422" s="35"/>
      <c r="J422" s="35"/>
      <c r="K422" s="34"/>
      <c r="L422" s="33"/>
      <c r="M422" s="37" t="str">
        <f aca="true">IF(OR(B422="",H422&lt;&gt;"Open",G422=""),"",IF(G422&lt;TODAY(),"Overdue",""))</f>
        <v/>
      </c>
    </row>
    <row r="423" customFormat="false" ht="15" hidden="false" customHeight="false" outlineLevel="0" collapsed="false">
      <c r="A423" s="32"/>
      <c r="B423" s="32"/>
      <c r="C423" s="33"/>
      <c r="D423" s="32"/>
      <c r="E423" s="32"/>
      <c r="F423" s="32"/>
      <c r="G423" s="35"/>
      <c r="H423" s="32"/>
      <c r="I423" s="35"/>
      <c r="J423" s="35"/>
      <c r="K423" s="34"/>
      <c r="L423" s="33"/>
      <c r="M423" s="37" t="str">
        <f aca="true">IF(OR(B423="",H423&lt;&gt;"Open",G423=""),"",IF(G423&lt;TODAY(),"Overdue",""))</f>
        <v/>
      </c>
    </row>
    <row r="424" customFormat="false" ht="15" hidden="false" customHeight="false" outlineLevel="0" collapsed="false">
      <c r="A424" s="32"/>
      <c r="B424" s="32"/>
      <c r="C424" s="33"/>
      <c r="D424" s="32"/>
      <c r="E424" s="32"/>
      <c r="F424" s="32"/>
      <c r="G424" s="35"/>
      <c r="H424" s="32"/>
      <c r="I424" s="35"/>
      <c r="J424" s="35"/>
      <c r="K424" s="34"/>
      <c r="L424" s="33"/>
      <c r="M424" s="37" t="str">
        <f aca="true">IF(OR(B424="",H424&lt;&gt;"Open",G424=""),"",IF(G424&lt;TODAY(),"Overdue",""))</f>
        <v/>
      </c>
    </row>
    <row r="425" customFormat="false" ht="15" hidden="false" customHeight="false" outlineLevel="0" collapsed="false">
      <c r="A425" s="32"/>
      <c r="B425" s="32"/>
      <c r="C425" s="33"/>
      <c r="D425" s="32"/>
      <c r="E425" s="32"/>
      <c r="F425" s="32"/>
      <c r="G425" s="35"/>
      <c r="H425" s="32"/>
      <c r="I425" s="35"/>
      <c r="J425" s="35"/>
      <c r="K425" s="34"/>
      <c r="L425" s="33"/>
      <c r="M425" s="37" t="str">
        <f aca="true">IF(OR(B425="",H425&lt;&gt;"Open",G425=""),"",IF(G425&lt;TODAY(),"Overdue",""))</f>
        <v/>
      </c>
    </row>
    <row r="426" customFormat="false" ht="15" hidden="false" customHeight="false" outlineLevel="0" collapsed="false">
      <c r="A426" s="32"/>
      <c r="B426" s="32"/>
      <c r="C426" s="33"/>
      <c r="D426" s="32"/>
      <c r="E426" s="32"/>
      <c r="F426" s="32"/>
      <c r="G426" s="35"/>
      <c r="H426" s="32"/>
      <c r="I426" s="35"/>
      <c r="J426" s="35"/>
      <c r="K426" s="34"/>
      <c r="L426" s="33"/>
      <c r="M426" s="37" t="str">
        <f aca="true">IF(OR(B426="",H426&lt;&gt;"Open",G426=""),"",IF(G426&lt;TODAY(),"Overdue",""))</f>
        <v/>
      </c>
    </row>
    <row r="427" customFormat="false" ht="15" hidden="false" customHeight="false" outlineLevel="0" collapsed="false">
      <c r="A427" s="32"/>
      <c r="B427" s="32"/>
      <c r="C427" s="33"/>
      <c r="D427" s="32"/>
      <c r="E427" s="32"/>
      <c r="F427" s="32"/>
      <c r="G427" s="35"/>
      <c r="H427" s="32"/>
      <c r="I427" s="35"/>
      <c r="J427" s="35"/>
      <c r="K427" s="34"/>
      <c r="L427" s="33"/>
      <c r="M427" s="37" t="str">
        <f aca="true">IF(OR(B427="",H427&lt;&gt;"Open",G427=""),"",IF(G427&lt;TODAY(),"Overdue",""))</f>
        <v/>
      </c>
    </row>
    <row r="428" customFormat="false" ht="15" hidden="false" customHeight="false" outlineLevel="0" collapsed="false">
      <c r="A428" s="32"/>
      <c r="B428" s="32"/>
      <c r="C428" s="33"/>
      <c r="D428" s="32"/>
      <c r="E428" s="32"/>
      <c r="F428" s="32"/>
      <c r="G428" s="35"/>
      <c r="H428" s="32"/>
      <c r="I428" s="35"/>
      <c r="J428" s="35"/>
      <c r="K428" s="34"/>
      <c r="L428" s="33"/>
      <c r="M428" s="37" t="str">
        <f aca="true">IF(OR(B428="",H428&lt;&gt;"Open",G428=""),"",IF(G428&lt;TODAY(),"Overdue",""))</f>
        <v/>
      </c>
    </row>
    <row r="429" customFormat="false" ht="15" hidden="false" customHeight="false" outlineLevel="0" collapsed="false">
      <c r="A429" s="32"/>
      <c r="B429" s="32"/>
      <c r="C429" s="33"/>
      <c r="D429" s="32"/>
      <c r="E429" s="32"/>
      <c r="F429" s="32"/>
      <c r="G429" s="35"/>
      <c r="H429" s="32"/>
      <c r="I429" s="35"/>
      <c r="J429" s="35"/>
      <c r="K429" s="34"/>
      <c r="L429" s="33"/>
      <c r="M429" s="37" t="str">
        <f aca="true">IF(OR(B429="",H429&lt;&gt;"Open",G429=""),"",IF(G429&lt;TODAY(),"Overdue",""))</f>
        <v/>
      </c>
    </row>
    <row r="430" customFormat="false" ht="15" hidden="false" customHeight="false" outlineLevel="0" collapsed="false">
      <c r="A430" s="32"/>
      <c r="B430" s="32"/>
      <c r="C430" s="33"/>
      <c r="D430" s="32"/>
      <c r="E430" s="32"/>
      <c r="F430" s="32"/>
      <c r="G430" s="35"/>
      <c r="H430" s="32"/>
      <c r="I430" s="35"/>
      <c r="J430" s="35"/>
      <c r="K430" s="34"/>
      <c r="L430" s="33"/>
      <c r="M430" s="37" t="str">
        <f aca="true">IF(OR(B430="",H430&lt;&gt;"Open",G430=""),"",IF(G430&lt;TODAY(),"Overdue",""))</f>
        <v/>
      </c>
    </row>
    <row r="431" customFormat="false" ht="15" hidden="false" customHeight="false" outlineLevel="0" collapsed="false">
      <c r="A431" s="32"/>
      <c r="B431" s="32"/>
      <c r="C431" s="33"/>
      <c r="D431" s="32"/>
      <c r="E431" s="32"/>
      <c r="F431" s="32"/>
      <c r="G431" s="35"/>
      <c r="H431" s="32"/>
      <c r="I431" s="35"/>
      <c r="J431" s="35"/>
      <c r="K431" s="34"/>
      <c r="L431" s="33"/>
      <c r="M431" s="37" t="str">
        <f aca="true">IF(OR(B431="",H431&lt;&gt;"Open",G431=""),"",IF(G431&lt;TODAY(),"Overdue",""))</f>
        <v/>
      </c>
    </row>
    <row r="432" customFormat="false" ht="15" hidden="false" customHeight="false" outlineLevel="0" collapsed="false">
      <c r="A432" s="32"/>
      <c r="B432" s="32"/>
      <c r="C432" s="33"/>
      <c r="D432" s="32"/>
      <c r="E432" s="32"/>
      <c r="F432" s="32"/>
      <c r="G432" s="35"/>
      <c r="H432" s="32"/>
      <c r="I432" s="35"/>
      <c r="J432" s="35"/>
      <c r="K432" s="34"/>
      <c r="L432" s="33"/>
      <c r="M432" s="37" t="str">
        <f aca="true">IF(OR(B432="",H432&lt;&gt;"Open",G432=""),"",IF(G432&lt;TODAY(),"Overdue",""))</f>
        <v/>
      </c>
    </row>
    <row r="433" customFormat="false" ht="15" hidden="false" customHeight="false" outlineLevel="0" collapsed="false">
      <c r="A433" s="32"/>
      <c r="B433" s="32"/>
      <c r="C433" s="33"/>
      <c r="D433" s="32"/>
      <c r="E433" s="32"/>
      <c r="F433" s="32"/>
      <c r="G433" s="35"/>
      <c r="H433" s="32"/>
      <c r="I433" s="35"/>
      <c r="J433" s="35"/>
      <c r="K433" s="34"/>
      <c r="L433" s="33"/>
      <c r="M433" s="37" t="str">
        <f aca="true">IF(OR(B433="",H433&lt;&gt;"Open",G433=""),"",IF(G433&lt;TODAY(),"Overdue",""))</f>
        <v/>
      </c>
    </row>
    <row r="434" customFormat="false" ht="15" hidden="false" customHeight="false" outlineLevel="0" collapsed="false">
      <c r="A434" s="32"/>
      <c r="B434" s="32"/>
      <c r="C434" s="33"/>
      <c r="D434" s="32"/>
      <c r="E434" s="32"/>
      <c r="F434" s="32"/>
      <c r="G434" s="35"/>
      <c r="H434" s="32"/>
      <c r="I434" s="35"/>
      <c r="J434" s="35"/>
      <c r="K434" s="34"/>
      <c r="L434" s="33"/>
      <c r="M434" s="37" t="str">
        <f aca="true">IF(OR(B434="",H434&lt;&gt;"Open",G434=""),"",IF(G434&lt;TODAY(),"Overdue",""))</f>
        <v/>
      </c>
    </row>
    <row r="435" customFormat="false" ht="15" hidden="false" customHeight="false" outlineLevel="0" collapsed="false">
      <c r="A435" s="32"/>
      <c r="B435" s="32"/>
      <c r="C435" s="33"/>
      <c r="D435" s="32"/>
      <c r="E435" s="32"/>
      <c r="F435" s="32"/>
      <c r="G435" s="35"/>
      <c r="H435" s="32"/>
      <c r="I435" s="35"/>
      <c r="J435" s="35"/>
      <c r="K435" s="34"/>
      <c r="L435" s="33"/>
      <c r="M435" s="37" t="str">
        <f aca="true">IF(OR(B435="",H435&lt;&gt;"Open",G435=""),"",IF(G435&lt;TODAY(),"Overdue",""))</f>
        <v/>
      </c>
    </row>
    <row r="436" customFormat="false" ht="15" hidden="false" customHeight="false" outlineLevel="0" collapsed="false">
      <c r="A436" s="32"/>
      <c r="B436" s="32"/>
      <c r="C436" s="33"/>
      <c r="D436" s="32"/>
      <c r="E436" s="32"/>
      <c r="F436" s="32"/>
      <c r="G436" s="35"/>
      <c r="H436" s="32"/>
      <c r="I436" s="35"/>
      <c r="J436" s="35"/>
      <c r="K436" s="34"/>
      <c r="L436" s="33"/>
      <c r="M436" s="37" t="str">
        <f aca="true">IF(OR(B436="",H436&lt;&gt;"Open",G436=""),"",IF(G436&lt;TODAY(),"Overdue",""))</f>
        <v/>
      </c>
    </row>
    <row r="437" customFormat="false" ht="15" hidden="false" customHeight="false" outlineLevel="0" collapsed="false">
      <c r="A437" s="32"/>
      <c r="B437" s="32"/>
      <c r="C437" s="33"/>
      <c r="D437" s="32"/>
      <c r="E437" s="32"/>
      <c r="F437" s="32"/>
      <c r="G437" s="35"/>
      <c r="H437" s="32"/>
      <c r="I437" s="35"/>
      <c r="J437" s="35"/>
      <c r="K437" s="34"/>
      <c r="L437" s="33"/>
      <c r="M437" s="37" t="str">
        <f aca="true">IF(OR(B437="",H437&lt;&gt;"Open",G437=""),"",IF(G437&lt;TODAY(),"Overdue",""))</f>
        <v/>
      </c>
    </row>
    <row r="438" customFormat="false" ht="15" hidden="false" customHeight="false" outlineLevel="0" collapsed="false">
      <c r="A438" s="32"/>
      <c r="B438" s="32"/>
      <c r="C438" s="33"/>
      <c r="D438" s="32"/>
      <c r="E438" s="32"/>
      <c r="F438" s="32"/>
      <c r="G438" s="35"/>
      <c r="H438" s="32"/>
      <c r="I438" s="35"/>
      <c r="J438" s="35"/>
      <c r="K438" s="34"/>
      <c r="L438" s="33"/>
      <c r="M438" s="37" t="str">
        <f aca="true">IF(OR(B438="",H438&lt;&gt;"Open",G438=""),"",IF(G438&lt;TODAY(),"Overdue",""))</f>
        <v/>
      </c>
    </row>
    <row r="439" customFormat="false" ht="15" hidden="false" customHeight="false" outlineLevel="0" collapsed="false">
      <c r="A439" s="32"/>
      <c r="B439" s="32"/>
      <c r="C439" s="33"/>
      <c r="D439" s="32"/>
      <c r="E439" s="32"/>
      <c r="F439" s="32"/>
      <c r="G439" s="35"/>
      <c r="H439" s="32"/>
      <c r="I439" s="35"/>
      <c r="J439" s="35"/>
      <c r="K439" s="34"/>
      <c r="L439" s="33"/>
      <c r="M439" s="37" t="str">
        <f aca="true">IF(OR(B439="",H439&lt;&gt;"Open",G439=""),"",IF(G439&lt;TODAY(),"Overdue",""))</f>
        <v/>
      </c>
    </row>
    <row r="440" customFormat="false" ht="15" hidden="false" customHeight="false" outlineLevel="0" collapsed="false">
      <c r="A440" s="32"/>
      <c r="B440" s="32"/>
      <c r="C440" s="33"/>
      <c r="D440" s="32"/>
      <c r="E440" s="32"/>
      <c r="F440" s="32"/>
      <c r="G440" s="35"/>
      <c r="H440" s="32"/>
      <c r="I440" s="35"/>
      <c r="J440" s="35"/>
      <c r="K440" s="34"/>
      <c r="L440" s="33"/>
      <c r="M440" s="37" t="str">
        <f aca="true">IF(OR(B440="",H440&lt;&gt;"Open",G440=""),"",IF(G440&lt;TODAY(),"Overdue",""))</f>
        <v/>
      </c>
    </row>
    <row r="441" customFormat="false" ht="15" hidden="false" customHeight="false" outlineLevel="0" collapsed="false">
      <c r="A441" s="32"/>
      <c r="B441" s="32"/>
      <c r="C441" s="33"/>
      <c r="D441" s="32"/>
      <c r="E441" s="32"/>
      <c r="F441" s="32"/>
      <c r="G441" s="35"/>
      <c r="H441" s="32"/>
      <c r="I441" s="35"/>
      <c r="J441" s="35"/>
      <c r="K441" s="34"/>
      <c r="L441" s="33"/>
      <c r="M441" s="37" t="str">
        <f aca="true">IF(OR(B441="",H441&lt;&gt;"Open",G441=""),"",IF(G441&lt;TODAY(),"Overdue",""))</f>
        <v/>
      </c>
    </row>
    <row r="442" customFormat="false" ht="15" hidden="false" customHeight="false" outlineLevel="0" collapsed="false">
      <c r="A442" s="32"/>
      <c r="B442" s="32"/>
      <c r="C442" s="33"/>
      <c r="D442" s="32"/>
      <c r="E442" s="32"/>
      <c r="F442" s="32"/>
      <c r="G442" s="35"/>
      <c r="H442" s="32"/>
      <c r="I442" s="35"/>
      <c r="J442" s="35"/>
      <c r="K442" s="34"/>
      <c r="L442" s="33"/>
      <c r="M442" s="37" t="str">
        <f aca="true">IF(OR(B442="",H442&lt;&gt;"Open",G442=""),"",IF(G442&lt;TODAY(),"Overdue",""))</f>
        <v/>
      </c>
    </row>
    <row r="443" customFormat="false" ht="15" hidden="false" customHeight="false" outlineLevel="0" collapsed="false">
      <c r="A443" s="32"/>
      <c r="B443" s="32"/>
      <c r="C443" s="33"/>
      <c r="D443" s="32"/>
      <c r="E443" s="32"/>
      <c r="F443" s="32"/>
      <c r="G443" s="35"/>
      <c r="H443" s="32"/>
      <c r="I443" s="35"/>
      <c r="J443" s="35"/>
      <c r="K443" s="34"/>
      <c r="L443" s="33"/>
      <c r="M443" s="37" t="str">
        <f aca="true">IF(OR(B443="",H443&lt;&gt;"Open",G443=""),"",IF(G443&lt;TODAY(),"Overdue",""))</f>
        <v/>
      </c>
    </row>
    <row r="444" customFormat="false" ht="15" hidden="false" customHeight="false" outlineLevel="0" collapsed="false">
      <c r="A444" s="32"/>
      <c r="B444" s="32"/>
      <c r="C444" s="33"/>
      <c r="D444" s="32"/>
      <c r="E444" s="32"/>
      <c r="F444" s="32"/>
      <c r="G444" s="35"/>
      <c r="H444" s="32"/>
      <c r="I444" s="35"/>
      <c r="J444" s="35"/>
      <c r="K444" s="34"/>
      <c r="L444" s="33"/>
      <c r="M444" s="37" t="str">
        <f aca="true">IF(OR(B444="",H444&lt;&gt;"Open",G444=""),"",IF(G444&lt;TODAY(),"Overdue",""))</f>
        <v/>
      </c>
    </row>
    <row r="445" customFormat="false" ht="15" hidden="false" customHeight="false" outlineLevel="0" collapsed="false">
      <c r="A445" s="32"/>
      <c r="B445" s="32"/>
      <c r="C445" s="33"/>
      <c r="D445" s="32"/>
      <c r="E445" s="32"/>
      <c r="F445" s="32"/>
      <c r="G445" s="35"/>
      <c r="H445" s="32"/>
      <c r="I445" s="35"/>
      <c r="J445" s="35"/>
      <c r="K445" s="34"/>
      <c r="L445" s="33"/>
      <c r="M445" s="37" t="str">
        <f aca="true">IF(OR(B445="",H445&lt;&gt;"Open",G445=""),"",IF(G445&lt;TODAY(),"Overdue",""))</f>
        <v/>
      </c>
    </row>
    <row r="446" customFormat="false" ht="15" hidden="false" customHeight="false" outlineLevel="0" collapsed="false">
      <c r="A446" s="32"/>
      <c r="B446" s="32"/>
      <c r="C446" s="33"/>
      <c r="D446" s="32"/>
      <c r="E446" s="32"/>
      <c r="F446" s="32"/>
      <c r="G446" s="35"/>
      <c r="H446" s="32"/>
      <c r="I446" s="35"/>
      <c r="J446" s="35"/>
      <c r="K446" s="34"/>
      <c r="L446" s="33"/>
      <c r="M446" s="37" t="str">
        <f aca="true">IF(OR(B446="",H446&lt;&gt;"Open",G446=""),"",IF(G446&lt;TODAY(),"Overdue",""))</f>
        <v/>
      </c>
    </row>
    <row r="447" customFormat="false" ht="15" hidden="false" customHeight="false" outlineLevel="0" collapsed="false">
      <c r="A447" s="32"/>
      <c r="B447" s="32"/>
      <c r="C447" s="33"/>
      <c r="D447" s="32"/>
      <c r="E447" s="32"/>
      <c r="F447" s="32"/>
      <c r="G447" s="35"/>
      <c r="H447" s="32"/>
      <c r="I447" s="35"/>
      <c r="J447" s="35"/>
      <c r="K447" s="34"/>
      <c r="L447" s="33"/>
      <c r="M447" s="37" t="str">
        <f aca="true">IF(OR(B447="",H447&lt;&gt;"Open",G447=""),"",IF(G447&lt;TODAY(),"Overdue",""))</f>
        <v/>
      </c>
    </row>
    <row r="448" customFormat="false" ht="15" hidden="false" customHeight="false" outlineLevel="0" collapsed="false">
      <c r="A448" s="32"/>
      <c r="B448" s="32"/>
      <c r="C448" s="33"/>
      <c r="D448" s="32"/>
      <c r="E448" s="32"/>
      <c r="F448" s="32"/>
      <c r="G448" s="35"/>
      <c r="H448" s="32"/>
      <c r="I448" s="35"/>
      <c r="J448" s="35"/>
      <c r="K448" s="34"/>
      <c r="L448" s="33"/>
      <c r="M448" s="37" t="str">
        <f aca="true">IF(OR(B448="",H448&lt;&gt;"Open",G448=""),"",IF(G448&lt;TODAY(),"Overdue",""))</f>
        <v/>
      </c>
    </row>
    <row r="449" customFormat="false" ht="15" hidden="false" customHeight="false" outlineLevel="0" collapsed="false">
      <c r="A449" s="32"/>
      <c r="B449" s="32"/>
      <c r="C449" s="33"/>
      <c r="D449" s="32"/>
      <c r="E449" s="32"/>
      <c r="F449" s="32"/>
      <c r="G449" s="35"/>
      <c r="H449" s="32"/>
      <c r="I449" s="35"/>
      <c r="J449" s="35"/>
      <c r="K449" s="34"/>
      <c r="L449" s="33"/>
      <c r="M449" s="37" t="str">
        <f aca="true">IF(OR(B449="",H449&lt;&gt;"Open",G449=""),"",IF(G449&lt;TODAY(),"Overdue",""))</f>
        <v/>
      </c>
    </row>
    <row r="450" customFormat="false" ht="15" hidden="false" customHeight="false" outlineLevel="0" collapsed="false">
      <c r="A450" s="32"/>
      <c r="B450" s="32"/>
      <c r="C450" s="33"/>
      <c r="D450" s="32"/>
      <c r="E450" s="32"/>
      <c r="F450" s="32"/>
      <c r="G450" s="35"/>
      <c r="H450" s="32"/>
      <c r="I450" s="35"/>
      <c r="J450" s="35"/>
      <c r="K450" s="34"/>
      <c r="L450" s="33"/>
      <c r="M450" s="37" t="str">
        <f aca="true">IF(OR(B450="",H450&lt;&gt;"Open",G450=""),"",IF(G450&lt;TODAY(),"Overdue",""))</f>
        <v/>
      </c>
    </row>
    <row r="451" customFormat="false" ht="15" hidden="false" customHeight="false" outlineLevel="0" collapsed="false">
      <c r="A451" s="32"/>
      <c r="B451" s="32"/>
      <c r="C451" s="33"/>
      <c r="D451" s="32"/>
      <c r="E451" s="32"/>
      <c r="F451" s="32"/>
      <c r="G451" s="35"/>
      <c r="H451" s="32"/>
      <c r="I451" s="35"/>
      <c r="J451" s="35"/>
      <c r="K451" s="34"/>
      <c r="L451" s="33"/>
      <c r="M451" s="37" t="str">
        <f aca="true">IF(OR(B451="",H451&lt;&gt;"Open",G451=""),"",IF(G451&lt;TODAY(),"Overdue",""))</f>
        <v/>
      </c>
    </row>
    <row r="452" customFormat="false" ht="15" hidden="false" customHeight="false" outlineLevel="0" collapsed="false">
      <c r="A452" s="32"/>
      <c r="B452" s="32"/>
      <c r="C452" s="33"/>
      <c r="D452" s="32"/>
      <c r="E452" s="32"/>
      <c r="F452" s="32"/>
      <c r="G452" s="35"/>
      <c r="H452" s="32"/>
      <c r="I452" s="35"/>
      <c r="J452" s="35"/>
      <c r="K452" s="34"/>
      <c r="L452" s="33"/>
      <c r="M452" s="37" t="str">
        <f aca="true">IF(OR(B452="",H452&lt;&gt;"Open",G452=""),"",IF(G452&lt;TODAY(),"Overdue",""))</f>
        <v/>
      </c>
    </row>
    <row r="453" customFormat="false" ht="15" hidden="false" customHeight="false" outlineLevel="0" collapsed="false">
      <c r="A453" s="32"/>
      <c r="B453" s="32"/>
      <c r="C453" s="33"/>
      <c r="D453" s="32"/>
      <c r="E453" s="32"/>
      <c r="F453" s="32"/>
      <c r="G453" s="35"/>
      <c r="H453" s="32"/>
      <c r="I453" s="35"/>
      <c r="J453" s="35"/>
      <c r="K453" s="34"/>
      <c r="L453" s="33"/>
      <c r="M453" s="37" t="str">
        <f aca="true">IF(OR(B453="",H453&lt;&gt;"Open",G453=""),"",IF(G453&lt;TODAY(),"Overdue",""))</f>
        <v/>
      </c>
    </row>
    <row r="454" customFormat="false" ht="15" hidden="false" customHeight="false" outlineLevel="0" collapsed="false">
      <c r="A454" s="32"/>
      <c r="B454" s="32"/>
      <c r="C454" s="33"/>
      <c r="D454" s="32"/>
      <c r="E454" s="32"/>
      <c r="F454" s="32"/>
      <c r="G454" s="35"/>
      <c r="H454" s="32"/>
      <c r="I454" s="35"/>
      <c r="J454" s="35"/>
      <c r="K454" s="34"/>
      <c r="L454" s="33"/>
      <c r="M454" s="37" t="str">
        <f aca="true">IF(OR(B454="",H454&lt;&gt;"Open",G454=""),"",IF(G454&lt;TODAY(),"Overdue",""))</f>
        <v/>
      </c>
    </row>
    <row r="455" customFormat="false" ht="15" hidden="false" customHeight="false" outlineLevel="0" collapsed="false">
      <c r="A455" s="32"/>
      <c r="B455" s="32"/>
      <c r="C455" s="33"/>
      <c r="D455" s="32"/>
      <c r="E455" s="32"/>
      <c r="F455" s="32"/>
      <c r="G455" s="35"/>
      <c r="H455" s="32"/>
      <c r="I455" s="35"/>
      <c r="J455" s="35"/>
      <c r="K455" s="34"/>
      <c r="L455" s="33"/>
      <c r="M455" s="37" t="str">
        <f aca="true">IF(OR(B455="",H455&lt;&gt;"Open",G455=""),"",IF(G455&lt;TODAY(),"Overdue",""))</f>
        <v/>
      </c>
    </row>
    <row r="456" customFormat="false" ht="15" hidden="false" customHeight="false" outlineLevel="0" collapsed="false">
      <c r="A456" s="32"/>
      <c r="B456" s="32"/>
      <c r="C456" s="33"/>
      <c r="D456" s="32"/>
      <c r="E456" s="32"/>
      <c r="F456" s="32"/>
      <c r="G456" s="35"/>
      <c r="H456" s="32"/>
      <c r="I456" s="35"/>
      <c r="J456" s="35"/>
      <c r="K456" s="34"/>
      <c r="L456" s="33"/>
      <c r="M456" s="37" t="str">
        <f aca="true">IF(OR(B456="",H456&lt;&gt;"Open",G456=""),"",IF(G456&lt;TODAY(),"Overdue",""))</f>
        <v/>
      </c>
    </row>
    <row r="457" customFormat="false" ht="15" hidden="false" customHeight="false" outlineLevel="0" collapsed="false">
      <c r="A457" s="32"/>
      <c r="B457" s="32"/>
      <c r="C457" s="33"/>
      <c r="D457" s="32"/>
      <c r="E457" s="32"/>
      <c r="F457" s="32"/>
      <c r="G457" s="35"/>
      <c r="H457" s="32"/>
      <c r="I457" s="35"/>
      <c r="J457" s="35"/>
      <c r="K457" s="34"/>
      <c r="L457" s="33"/>
      <c r="M457" s="37" t="str">
        <f aca="true">IF(OR(B457="",H457&lt;&gt;"Open",G457=""),"",IF(G457&lt;TODAY(),"Overdue",""))</f>
        <v/>
      </c>
    </row>
    <row r="458" customFormat="false" ht="15" hidden="false" customHeight="false" outlineLevel="0" collapsed="false">
      <c r="A458" s="32"/>
      <c r="B458" s="32"/>
      <c r="C458" s="33"/>
      <c r="D458" s="32"/>
      <c r="E458" s="32"/>
      <c r="F458" s="32"/>
      <c r="G458" s="35"/>
      <c r="H458" s="32"/>
      <c r="I458" s="35"/>
      <c r="J458" s="35"/>
      <c r="K458" s="34"/>
      <c r="L458" s="33"/>
      <c r="M458" s="37" t="str">
        <f aca="true">IF(OR(B458="",H458&lt;&gt;"Open",G458=""),"",IF(G458&lt;TODAY(),"Overdue",""))</f>
        <v/>
      </c>
    </row>
    <row r="459" customFormat="false" ht="15" hidden="false" customHeight="false" outlineLevel="0" collapsed="false">
      <c r="A459" s="32"/>
      <c r="B459" s="32"/>
      <c r="C459" s="33"/>
      <c r="D459" s="32"/>
      <c r="E459" s="32"/>
      <c r="F459" s="32"/>
      <c r="G459" s="35"/>
      <c r="H459" s="32"/>
      <c r="I459" s="35"/>
      <c r="J459" s="35"/>
      <c r="K459" s="34"/>
      <c r="L459" s="33"/>
      <c r="M459" s="37" t="str">
        <f aca="true">IF(OR(B459="",H459&lt;&gt;"Open",G459=""),"",IF(G459&lt;TODAY(),"Overdue",""))</f>
        <v/>
      </c>
    </row>
    <row r="460" customFormat="false" ht="15" hidden="false" customHeight="false" outlineLevel="0" collapsed="false">
      <c r="A460" s="32"/>
      <c r="B460" s="32"/>
      <c r="C460" s="33"/>
      <c r="D460" s="32"/>
      <c r="E460" s="32"/>
      <c r="F460" s="32"/>
      <c r="G460" s="35"/>
      <c r="H460" s="32"/>
      <c r="I460" s="35"/>
      <c r="J460" s="35"/>
      <c r="K460" s="34"/>
      <c r="L460" s="33"/>
      <c r="M460" s="37" t="str">
        <f aca="true">IF(OR(B460="",H460&lt;&gt;"Open",G460=""),"",IF(G460&lt;TODAY(),"Overdue",""))</f>
        <v/>
      </c>
    </row>
    <row r="461" customFormat="false" ht="15" hidden="false" customHeight="false" outlineLevel="0" collapsed="false">
      <c r="A461" s="32"/>
      <c r="B461" s="32"/>
      <c r="C461" s="33"/>
      <c r="D461" s="32"/>
      <c r="E461" s="32"/>
      <c r="F461" s="32"/>
      <c r="G461" s="35"/>
      <c r="H461" s="32"/>
      <c r="I461" s="35"/>
      <c r="J461" s="35"/>
      <c r="K461" s="34"/>
      <c r="L461" s="33"/>
      <c r="M461" s="37" t="str">
        <f aca="true">IF(OR(B461="",H461&lt;&gt;"Open",G461=""),"",IF(G461&lt;TODAY(),"Overdue",""))</f>
        <v/>
      </c>
    </row>
    <row r="462" customFormat="false" ht="15" hidden="false" customHeight="false" outlineLevel="0" collapsed="false">
      <c r="A462" s="32"/>
      <c r="B462" s="32"/>
      <c r="C462" s="33"/>
      <c r="D462" s="32"/>
      <c r="E462" s="32"/>
      <c r="F462" s="32"/>
      <c r="G462" s="35"/>
      <c r="H462" s="32"/>
      <c r="I462" s="35"/>
      <c r="J462" s="35"/>
      <c r="K462" s="34"/>
      <c r="L462" s="33"/>
      <c r="M462" s="37" t="str">
        <f aca="true">IF(OR(B462="",H462&lt;&gt;"Open",G462=""),"",IF(G462&lt;TODAY(),"Overdue",""))</f>
        <v/>
      </c>
    </row>
    <row r="463" customFormat="false" ht="15" hidden="false" customHeight="false" outlineLevel="0" collapsed="false">
      <c r="A463" s="32"/>
      <c r="B463" s="32"/>
      <c r="C463" s="33"/>
      <c r="D463" s="32"/>
      <c r="E463" s="32"/>
      <c r="F463" s="32"/>
      <c r="G463" s="35"/>
      <c r="H463" s="32"/>
      <c r="I463" s="35"/>
      <c r="J463" s="35"/>
      <c r="K463" s="34"/>
      <c r="L463" s="33"/>
      <c r="M463" s="37" t="str">
        <f aca="true">IF(OR(B463="",H463&lt;&gt;"Open",G463=""),"",IF(G463&lt;TODAY(),"Overdue",""))</f>
        <v/>
      </c>
    </row>
    <row r="464" customFormat="false" ht="15" hidden="false" customHeight="false" outlineLevel="0" collapsed="false">
      <c r="A464" s="32"/>
      <c r="B464" s="32"/>
      <c r="C464" s="33"/>
      <c r="D464" s="32"/>
      <c r="E464" s="32"/>
      <c r="F464" s="32"/>
      <c r="G464" s="35"/>
      <c r="H464" s="32"/>
      <c r="I464" s="35"/>
      <c r="J464" s="35"/>
      <c r="K464" s="34"/>
      <c r="L464" s="33"/>
      <c r="M464" s="37" t="str">
        <f aca="true">IF(OR(B464="",H464&lt;&gt;"Open",G464=""),"",IF(G464&lt;TODAY(),"Overdue",""))</f>
        <v/>
      </c>
    </row>
    <row r="465" customFormat="false" ht="15" hidden="false" customHeight="false" outlineLevel="0" collapsed="false">
      <c r="A465" s="32"/>
      <c r="B465" s="32"/>
      <c r="C465" s="33"/>
      <c r="D465" s="32"/>
      <c r="E465" s="32"/>
      <c r="F465" s="32"/>
      <c r="G465" s="35"/>
      <c r="H465" s="32"/>
      <c r="I465" s="35"/>
      <c r="J465" s="35"/>
      <c r="K465" s="34"/>
      <c r="L465" s="33"/>
      <c r="M465" s="37" t="str">
        <f aca="true">IF(OR(B465="",H465&lt;&gt;"Open",G465=""),"",IF(G465&lt;TODAY(),"Overdue",""))</f>
        <v/>
      </c>
    </row>
    <row r="466" customFormat="false" ht="15" hidden="false" customHeight="false" outlineLevel="0" collapsed="false">
      <c r="A466" s="32"/>
      <c r="B466" s="32"/>
      <c r="C466" s="33"/>
      <c r="D466" s="32"/>
      <c r="E466" s="32"/>
      <c r="F466" s="32"/>
      <c r="G466" s="35"/>
      <c r="H466" s="32"/>
      <c r="I466" s="35"/>
      <c r="J466" s="35"/>
      <c r="K466" s="34"/>
      <c r="L466" s="33"/>
      <c r="M466" s="37" t="str">
        <f aca="true">IF(OR(B466="",H466&lt;&gt;"Open",G466=""),"",IF(G466&lt;TODAY(),"Overdue",""))</f>
        <v/>
      </c>
    </row>
    <row r="467" customFormat="false" ht="15" hidden="false" customHeight="false" outlineLevel="0" collapsed="false">
      <c r="A467" s="32"/>
      <c r="B467" s="32"/>
      <c r="C467" s="33"/>
      <c r="D467" s="32"/>
      <c r="E467" s="32"/>
      <c r="F467" s="32"/>
      <c r="G467" s="35"/>
      <c r="H467" s="32"/>
      <c r="I467" s="35"/>
      <c r="J467" s="35"/>
      <c r="K467" s="34"/>
      <c r="L467" s="33"/>
      <c r="M467" s="37" t="str">
        <f aca="true">IF(OR(B467="",H467&lt;&gt;"Open",G467=""),"",IF(G467&lt;TODAY(),"Overdue",""))</f>
        <v/>
      </c>
    </row>
    <row r="468" customFormat="false" ht="15" hidden="false" customHeight="false" outlineLevel="0" collapsed="false">
      <c r="A468" s="32"/>
      <c r="B468" s="32"/>
      <c r="C468" s="33"/>
      <c r="D468" s="32"/>
      <c r="E468" s="32"/>
      <c r="F468" s="32"/>
      <c r="G468" s="35"/>
      <c r="H468" s="32"/>
      <c r="I468" s="35"/>
      <c r="J468" s="35"/>
      <c r="K468" s="34"/>
      <c r="L468" s="33"/>
      <c r="M468" s="37" t="str">
        <f aca="true">IF(OR(B468="",H468&lt;&gt;"Open",G468=""),"",IF(G468&lt;TODAY(),"Overdue",""))</f>
        <v/>
      </c>
    </row>
    <row r="469" customFormat="false" ht="15" hidden="false" customHeight="false" outlineLevel="0" collapsed="false">
      <c r="A469" s="32"/>
      <c r="B469" s="32"/>
      <c r="C469" s="33"/>
      <c r="D469" s="32"/>
      <c r="E469" s="32"/>
      <c r="F469" s="32"/>
      <c r="G469" s="35"/>
      <c r="H469" s="32"/>
      <c r="I469" s="35"/>
      <c r="J469" s="35"/>
      <c r="K469" s="34"/>
      <c r="L469" s="33"/>
      <c r="M469" s="37" t="str">
        <f aca="true">IF(OR(B469="",H469&lt;&gt;"Open",G469=""),"",IF(G469&lt;TODAY(),"Overdue",""))</f>
        <v/>
      </c>
    </row>
    <row r="470" customFormat="false" ht="15" hidden="false" customHeight="false" outlineLevel="0" collapsed="false">
      <c r="A470" s="32"/>
      <c r="B470" s="32"/>
      <c r="C470" s="33"/>
      <c r="D470" s="32"/>
      <c r="E470" s="32"/>
      <c r="F470" s="32"/>
      <c r="G470" s="35"/>
      <c r="H470" s="32"/>
      <c r="I470" s="35"/>
      <c r="J470" s="35"/>
      <c r="K470" s="34"/>
      <c r="L470" s="33"/>
      <c r="M470" s="37" t="str">
        <f aca="true">IF(OR(B470="",H470&lt;&gt;"Open",G470=""),"",IF(G470&lt;TODAY(),"Overdue",""))</f>
        <v/>
      </c>
    </row>
    <row r="471" customFormat="false" ht="15" hidden="false" customHeight="false" outlineLevel="0" collapsed="false">
      <c r="A471" s="32"/>
      <c r="B471" s="32"/>
      <c r="C471" s="33"/>
      <c r="D471" s="32"/>
      <c r="E471" s="32"/>
      <c r="F471" s="32"/>
      <c r="G471" s="35"/>
      <c r="H471" s="32"/>
      <c r="I471" s="35"/>
      <c r="J471" s="35"/>
      <c r="K471" s="34"/>
      <c r="L471" s="33"/>
      <c r="M471" s="37" t="str">
        <f aca="true">IF(OR(B471="",H471&lt;&gt;"Open",G471=""),"",IF(G471&lt;TODAY(),"Overdue",""))</f>
        <v/>
      </c>
    </row>
    <row r="472" customFormat="false" ht="15" hidden="false" customHeight="false" outlineLevel="0" collapsed="false">
      <c r="A472" s="32"/>
      <c r="B472" s="32"/>
      <c r="C472" s="33"/>
      <c r="D472" s="32"/>
      <c r="E472" s="32"/>
      <c r="F472" s="32"/>
      <c r="G472" s="35"/>
      <c r="H472" s="32"/>
      <c r="I472" s="35"/>
      <c r="J472" s="35"/>
      <c r="K472" s="34"/>
      <c r="L472" s="33"/>
      <c r="M472" s="37" t="str">
        <f aca="true">IF(OR(B472="",H472&lt;&gt;"Open",G472=""),"",IF(G472&lt;TODAY(),"Overdue",""))</f>
        <v/>
      </c>
    </row>
    <row r="473" customFormat="false" ht="15" hidden="false" customHeight="false" outlineLevel="0" collapsed="false">
      <c r="A473" s="32"/>
      <c r="B473" s="32"/>
      <c r="C473" s="33"/>
      <c r="D473" s="32"/>
      <c r="E473" s="32"/>
      <c r="F473" s="32"/>
      <c r="G473" s="35"/>
      <c r="H473" s="32"/>
      <c r="I473" s="35"/>
      <c r="J473" s="35"/>
      <c r="K473" s="34"/>
      <c r="L473" s="33"/>
      <c r="M473" s="37" t="str">
        <f aca="true">IF(OR(B473="",H473&lt;&gt;"Open",G473=""),"",IF(G473&lt;TODAY(),"Overdue",""))</f>
        <v/>
      </c>
    </row>
    <row r="474" customFormat="false" ht="15" hidden="false" customHeight="false" outlineLevel="0" collapsed="false">
      <c r="A474" s="32"/>
      <c r="B474" s="32"/>
      <c r="C474" s="33"/>
      <c r="D474" s="32"/>
      <c r="E474" s="32"/>
      <c r="F474" s="32"/>
      <c r="G474" s="35"/>
      <c r="H474" s="32"/>
      <c r="I474" s="35"/>
      <c r="J474" s="35"/>
      <c r="K474" s="34"/>
      <c r="L474" s="33"/>
      <c r="M474" s="37" t="str">
        <f aca="true">IF(OR(B474="",H474&lt;&gt;"Open",G474=""),"",IF(G474&lt;TODAY(),"Overdue",""))</f>
        <v/>
      </c>
    </row>
    <row r="475" customFormat="false" ht="15" hidden="false" customHeight="false" outlineLevel="0" collapsed="false">
      <c r="A475" s="32"/>
      <c r="B475" s="32"/>
      <c r="C475" s="33"/>
      <c r="D475" s="32"/>
      <c r="E475" s="32"/>
      <c r="F475" s="32"/>
      <c r="G475" s="35"/>
      <c r="H475" s="32"/>
      <c r="I475" s="35"/>
      <c r="J475" s="35"/>
      <c r="K475" s="34"/>
      <c r="L475" s="33"/>
      <c r="M475" s="37" t="str">
        <f aca="true">IF(OR(B475="",H475&lt;&gt;"Open",G475=""),"",IF(G475&lt;TODAY(),"Overdue",""))</f>
        <v/>
      </c>
    </row>
    <row r="476" customFormat="false" ht="15" hidden="false" customHeight="false" outlineLevel="0" collapsed="false">
      <c r="A476" s="32"/>
      <c r="B476" s="32"/>
      <c r="C476" s="33"/>
      <c r="D476" s="32"/>
      <c r="E476" s="32"/>
      <c r="F476" s="32"/>
      <c r="G476" s="35"/>
      <c r="H476" s="32"/>
      <c r="I476" s="35"/>
      <c r="J476" s="35"/>
      <c r="K476" s="34"/>
      <c r="L476" s="33"/>
      <c r="M476" s="37" t="str">
        <f aca="true">IF(OR(B476="",H476&lt;&gt;"Open",G476=""),"",IF(G476&lt;TODAY(),"Overdue",""))</f>
        <v/>
      </c>
    </row>
    <row r="477" customFormat="false" ht="15" hidden="false" customHeight="false" outlineLevel="0" collapsed="false">
      <c r="A477" s="32"/>
      <c r="B477" s="32"/>
      <c r="C477" s="33"/>
      <c r="D477" s="32"/>
      <c r="E477" s="32"/>
      <c r="F477" s="32"/>
      <c r="G477" s="35"/>
      <c r="H477" s="32"/>
      <c r="I477" s="35"/>
      <c r="J477" s="35"/>
      <c r="K477" s="34"/>
      <c r="L477" s="33"/>
      <c r="M477" s="37" t="str">
        <f aca="true">IF(OR(B477="",H477&lt;&gt;"Open",G477=""),"",IF(G477&lt;TODAY(),"Overdue",""))</f>
        <v/>
      </c>
    </row>
    <row r="478" customFormat="false" ht="15" hidden="false" customHeight="false" outlineLevel="0" collapsed="false">
      <c r="A478" s="32"/>
      <c r="B478" s="32"/>
      <c r="C478" s="33"/>
      <c r="D478" s="32"/>
      <c r="E478" s="32"/>
      <c r="F478" s="32"/>
      <c r="G478" s="35"/>
      <c r="H478" s="32"/>
      <c r="I478" s="35"/>
      <c r="J478" s="35"/>
      <c r="K478" s="34"/>
      <c r="L478" s="33"/>
      <c r="M478" s="37" t="str">
        <f aca="true">IF(OR(B478="",H478&lt;&gt;"Open",G478=""),"",IF(G478&lt;TODAY(),"Overdue",""))</f>
        <v/>
      </c>
    </row>
    <row r="479" customFormat="false" ht="15" hidden="false" customHeight="false" outlineLevel="0" collapsed="false">
      <c r="A479" s="32"/>
      <c r="B479" s="32"/>
      <c r="C479" s="33"/>
      <c r="D479" s="32"/>
      <c r="E479" s="32"/>
      <c r="F479" s="32"/>
      <c r="G479" s="35"/>
      <c r="H479" s="32"/>
      <c r="I479" s="35"/>
      <c r="J479" s="35"/>
      <c r="K479" s="34"/>
      <c r="L479" s="33"/>
      <c r="M479" s="37" t="str">
        <f aca="true">IF(OR(B479="",H479&lt;&gt;"Open",G479=""),"",IF(G479&lt;TODAY(),"Overdue",""))</f>
        <v/>
      </c>
    </row>
    <row r="480" customFormat="false" ht="15" hidden="false" customHeight="false" outlineLevel="0" collapsed="false">
      <c r="A480" s="32"/>
      <c r="B480" s="32"/>
      <c r="C480" s="33"/>
      <c r="D480" s="32"/>
      <c r="E480" s="32"/>
      <c r="F480" s="32"/>
      <c r="G480" s="35"/>
      <c r="H480" s="32"/>
      <c r="I480" s="35"/>
      <c r="J480" s="35"/>
      <c r="K480" s="34"/>
      <c r="L480" s="33"/>
      <c r="M480" s="37" t="str">
        <f aca="true">IF(OR(B480="",H480&lt;&gt;"Open",G480=""),"",IF(G480&lt;TODAY(),"Overdue",""))</f>
        <v/>
      </c>
    </row>
    <row r="481" customFormat="false" ht="15" hidden="false" customHeight="false" outlineLevel="0" collapsed="false">
      <c r="A481" s="32"/>
      <c r="B481" s="32"/>
      <c r="C481" s="33"/>
      <c r="D481" s="32"/>
      <c r="E481" s="32"/>
      <c r="F481" s="32"/>
      <c r="G481" s="35"/>
      <c r="H481" s="32"/>
      <c r="I481" s="35"/>
      <c r="J481" s="35"/>
      <c r="K481" s="34"/>
      <c r="L481" s="33"/>
      <c r="M481" s="37" t="str">
        <f aca="true">IF(OR(B481="",H481&lt;&gt;"Open",G481=""),"",IF(G481&lt;TODAY(),"Overdue",""))</f>
        <v/>
      </c>
    </row>
    <row r="482" customFormat="false" ht="15" hidden="false" customHeight="false" outlineLevel="0" collapsed="false">
      <c r="A482" s="32"/>
      <c r="B482" s="32"/>
      <c r="C482" s="33"/>
      <c r="D482" s="32"/>
      <c r="E482" s="32"/>
      <c r="F482" s="32"/>
      <c r="G482" s="35"/>
      <c r="H482" s="32"/>
      <c r="I482" s="35"/>
      <c r="J482" s="35"/>
      <c r="K482" s="34"/>
      <c r="L482" s="33"/>
      <c r="M482" s="37" t="str">
        <f aca="true">IF(OR(B482="",H482&lt;&gt;"Open",G482=""),"",IF(G482&lt;TODAY(),"Overdue",""))</f>
        <v/>
      </c>
    </row>
    <row r="483" customFormat="false" ht="15" hidden="false" customHeight="false" outlineLevel="0" collapsed="false">
      <c r="A483" s="32"/>
      <c r="B483" s="32"/>
      <c r="C483" s="33"/>
      <c r="D483" s="32"/>
      <c r="E483" s="32"/>
      <c r="F483" s="32"/>
      <c r="G483" s="35"/>
      <c r="H483" s="32"/>
      <c r="I483" s="35"/>
      <c r="J483" s="35"/>
      <c r="K483" s="34"/>
      <c r="L483" s="33"/>
      <c r="M483" s="37" t="str">
        <f aca="true">IF(OR(B483="",H483&lt;&gt;"Open",G483=""),"",IF(G483&lt;TODAY(),"Overdue",""))</f>
        <v/>
      </c>
    </row>
    <row r="484" customFormat="false" ht="15" hidden="false" customHeight="false" outlineLevel="0" collapsed="false">
      <c r="A484" s="32"/>
      <c r="B484" s="32"/>
      <c r="C484" s="33"/>
      <c r="D484" s="32"/>
      <c r="E484" s="32"/>
      <c r="F484" s="32"/>
      <c r="G484" s="35"/>
      <c r="H484" s="32"/>
      <c r="I484" s="35"/>
      <c r="J484" s="35"/>
      <c r="K484" s="34"/>
      <c r="L484" s="33"/>
      <c r="M484" s="37" t="str">
        <f aca="true">IF(OR(B484="",H484&lt;&gt;"Open",G484=""),"",IF(G484&lt;TODAY(),"Overdue",""))</f>
        <v/>
      </c>
    </row>
    <row r="485" customFormat="false" ht="15" hidden="false" customHeight="false" outlineLevel="0" collapsed="false">
      <c r="A485" s="32"/>
      <c r="B485" s="32"/>
      <c r="C485" s="33"/>
      <c r="D485" s="32"/>
      <c r="E485" s="32"/>
      <c r="F485" s="32"/>
      <c r="G485" s="35"/>
      <c r="H485" s="32"/>
      <c r="I485" s="35"/>
      <c r="J485" s="35"/>
      <c r="K485" s="34"/>
      <c r="L485" s="33"/>
      <c r="M485" s="37" t="str">
        <f aca="true">IF(OR(B485="",H485&lt;&gt;"Open",G485=""),"",IF(G485&lt;TODAY(),"Overdue",""))</f>
        <v/>
      </c>
    </row>
    <row r="486" customFormat="false" ht="15" hidden="false" customHeight="false" outlineLevel="0" collapsed="false">
      <c r="A486" s="32"/>
      <c r="B486" s="32"/>
      <c r="C486" s="33"/>
      <c r="D486" s="32"/>
      <c r="E486" s="32"/>
      <c r="F486" s="32"/>
      <c r="G486" s="35"/>
      <c r="H486" s="32"/>
      <c r="I486" s="35"/>
      <c r="J486" s="35"/>
      <c r="K486" s="34"/>
      <c r="L486" s="33"/>
      <c r="M486" s="37" t="str">
        <f aca="true">IF(OR(B486="",H486&lt;&gt;"Open",G486=""),"",IF(G486&lt;TODAY(),"Overdue",""))</f>
        <v/>
      </c>
    </row>
    <row r="487" customFormat="false" ht="15" hidden="false" customHeight="false" outlineLevel="0" collapsed="false">
      <c r="A487" s="32"/>
      <c r="B487" s="32"/>
      <c r="C487" s="33"/>
      <c r="D487" s="32"/>
      <c r="E487" s="32"/>
      <c r="F487" s="32"/>
      <c r="G487" s="35"/>
      <c r="H487" s="32"/>
      <c r="I487" s="35"/>
      <c r="J487" s="35"/>
      <c r="K487" s="34"/>
      <c r="L487" s="33"/>
      <c r="M487" s="37" t="str">
        <f aca="true">IF(OR(B487="",H487&lt;&gt;"Open",G487=""),"",IF(G487&lt;TODAY(),"Overdue",""))</f>
        <v/>
      </c>
    </row>
    <row r="488" customFormat="false" ht="15" hidden="false" customHeight="false" outlineLevel="0" collapsed="false">
      <c r="A488" s="32"/>
      <c r="B488" s="32"/>
      <c r="C488" s="33"/>
      <c r="D488" s="32"/>
      <c r="E488" s="32"/>
      <c r="F488" s="32"/>
      <c r="G488" s="35"/>
      <c r="H488" s="32"/>
      <c r="I488" s="35"/>
      <c r="J488" s="35"/>
      <c r="K488" s="34"/>
      <c r="L488" s="33"/>
      <c r="M488" s="37" t="str">
        <f aca="true">IF(OR(B488="",H488&lt;&gt;"Open",G488=""),"",IF(G488&lt;TODAY(),"Overdue",""))</f>
        <v/>
      </c>
    </row>
    <row r="489" customFormat="false" ht="15" hidden="false" customHeight="false" outlineLevel="0" collapsed="false">
      <c r="A489" s="32"/>
      <c r="B489" s="32"/>
      <c r="C489" s="33"/>
      <c r="D489" s="32"/>
      <c r="E489" s="32"/>
      <c r="F489" s="32"/>
      <c r="G489" s="35"/>
      <c r="H489" s="32"/>
      <c r="I489" s="35"/>
      <c r="J489" s="35"/>
      <c r="K489" s="34"/>
      <c r="L489" s="33"/>
      <c r="M489" s="37" t="str">
        <f aca="true">IF(OR(B489="",H489&lt;&gt;"Open",G489=""),"",IF(G489&lt;TODAY(),"Overdue",""))</f>
        <v/>
      </c>
    </row>
    <row r="490" customFormat="false" ht="15" hidden="false" customHeight="false" outlineLevel="0" collapsed="false">
      <c r="A490" s="32"/>
      <c r="B490" s="32"/>
      <c r="C490" s="33"/>
      <c r="D490" s="32"/>
      <c r="E490" s="32"/>
      <c r="F490" s="32"/>
      <c r="G490" s="35"/>
      <c r="H490" s="32"/>
      <c r="I490" s="35"/>
      <c r="J490" s="35"/>
      <c r="K490" s="34"/>
      <c r="L490" s="33"/>
      <c r="M490" s="37" t="str">
        <f aca="true">IF(OR(B490="",H490&lt;&gt;"Open",G490=""),"",IF(G490&lt;TODAY(),"Overdue",""))</f>
        <v/>
      </c>
    </row>
    <row r="491" customFormat="false" ht="15" hidden="false" customHeight="false" outlineLevel="0" collapsed="false">
      <c r="A491" s="32"/>
      <c r="B491" s="32"/>
      <c r="C491" s="33"/>
      <c r="D491" s="32"/>
      <c r="E491" s="32"/>
      <c r="F491" s="32"/>
      <c r="G491" s="35"/>
      <c r="H491" s="32"/>
      <c r="I491" s="35"/>
      <c r="J491" s="35"/>
      <c r="K491" s="34"/>
      <c r="L491" s="33"/>
      <c r="M491" s="37" t="str">
        <f aca="true">IF(OR(B491="",H491&lt;&gt;"Open",G491=""),"",IF(G491&lt;TODAY(),"Overdue",""))</f>
        <v/>
      </c>
    </row>
    <row r="492" customFormat="false" ht="15" hidden="false" customHeight="false" outlineLevel="0" collapsed="false">
      <c r="A492" s="32"/>
      <c r="B492" s="32"/>
      <c r="C492" s="33"/>
      <c r="D492" s="32"/>
      <c r="E492" s="32"/>
      <c r="F492" s="32"/>
      <c r="G492" s="35"/>
      <c r="H492" s="32"/>
      <c r="I492" s="35"/>
      <c r="J492" s="35"/>
      <c r="K492" s="34"/>
      <c r="L492" s="33"/>
      <c r="M492" s="37" t="str">
        <f aca="true">IF(OR(B492="",H492&lt;&gt;"Open",G492=""),"",IF(G492&lt;TODAY(),"Overdue",""))</f>
        <v/>
      </c>
    </row>
    <row r="493" customFormat="false" ht="15" hidden="false" customHeight="false" outlineLevel="0" collapsed="false">
      <c r="A493" s="32"/>
      <c r="B493" s="32"/>
      <c r="C493" s="33"/>
      <c r="D493" s="32"/>
      <c r="E493" s="32"/>
      <c r="F493" s="32"/>
      <c r="G493" s="35"/>
      <c r="H493" s="32"/>
      <c r="I493" s="35"/>
      <c r="J493" s="35"/>
      <c r="K493" s="34"/>
      <c r="L493" s="33"/>
      <c r="M493" s="37" t="str">
        <f aca="true">IF(OR(B493="",H493&lt;&gt;"Open",G493=""),"",IF(G493&lt;TODAY(),"Overdue",""))</f>
        <v/>
      </c>
    </row>
    <row r="494" customFormat="false" ht="15" hidden="false" customHeight="false" outlineLevel="0" collapsed="false">
      <c r="A494" s="32"/>
      <c r="B494" s="32"/>
      <c r="C494" s="33"/>
      <c r="D494" s="32"/>
      <c r="E494" s="32"/>
      <c r="F494" s="32"/>
      <c r="G494" s="35"/>
      <c r="H494" s="32"/>
      <c r="I494" s="35"/>
      <c r="J494" s="35"/>
      <c r="K494" s="34"/>
      <c r="L494" s="33"/>
      <c r="M494" s="37" t="str">
        <f aca="true">IF(OR(B494="",H494&lt;&gt;"Open",G494=""),"",IF(G494&lt;TODAY(),"Overdue",""))</f>
        <v/>
      </c>
    </row>
    <row r="495" customFormat="false" ht="15" hidden="false" customHeight="false" outlineLevel="0" collapsed="false">
      <c r="A495" s="32"/>
      <c r="B495" s="32"/>
      <c r="C495" s="33"/>
      <c r="D495" s="32"/>
      <c r="E495" s="32"/>
      <c r="F495" s="32"/>
      <c r="G495" s="35"/>
      <c r="H495" s="32"/>
      <c r="I495" s="35"/>
      <c r="J495" s="35"/>
      <c r="K495" s="34"/>
      <c r="L495" s="33"/>
      <c r="M495" s="37" t="str">
        <f aca="true">IF(OR(B495="",H495&lt;&gt;"Open",G495=""),"",IF(G495&lt;TODAY(),"Overdue",""))</f>
        <v/>
      </c>
    </row>
    <row r="496" customFormat="false" ht="15" hidden="false" customHeight="false" outlineLevel="0" collapsed="false">
      <c r="A496" s="32"/>
      <c r="B496" s="32"/>
      <c r="C496" s="33"/>
      <c r="D496" s="32"/>
      <c r="E496" s="32"/>
      <c r="F496" s="32"/>
      <c r="G496" s="35"/>
      <c r="H496" s="32"/>
      <c r="I496" s="35"/>
      <c r="J496" s="35"/>
      <c r="K496" s="34"/>
      <c r="L496" s="33"/>
      <c r="M496" s="37" t="str">
        <f aca="true">IF(OR(B496="",H496&lt;&gt;"Open",G496=""),"",IF(G496&lt;TODAY(),"Overdue",""))</f>
        <v/>
      </c>
    </row>
    <row r="497" customFormat="false" ht="15" hidden="false" customHeight="false" outlineLevel="0" collapsed="false">
      <c r="A497" s="32"/>
      <c r="B497" s="32"/>
      <c r="C497" s="33"/>
      <c r="D497" s="32"/>
      <c r="E497" s="32"/>
      <c r="F497" s="32"/>
      <c r="G497" s="35"/>
      <c r="H497" s="32"/>
      <c r="I497" s="35"/>
      <c r="J497" s="35"/>
      <c r="K497" s="34"/>
      <c r="L497" s="33"/>
      <c r="M497" s="37" t="str">
        <f aca="true">IF(OR(B497="",H497&lt;&gt;"Open",G497=""),"",IF(G497&lt;TODAY(),"Overdue",""))</f>
        <v/>
      </c>
    </row>
    <row r="498" customFormat="false" ht="15" hidden="false" customHeight="false" outlineLevel="0" collapsed="false">
      <c r="A498" s="32"/>
      <c r="B498" s="32"/>
      <c r="C498" s="33"/>
      <c r="D498" s="32"/>
      <c r="E498" s="32"/>
      <c r="F498" s="32"/>
      <c r="G498" s="35"/>
      <c r="H498" s="32"/>
      <c r="I498" s="35"/>
      <c r="J498" s="35"/>
      <c r="K498" s="34"/>
      <c r="L498" s="33"/>
      <c r="M498" s="37" t="str">
        <f aca="true">IF(OR(B498="",H498&lt;&gt;"Open",G498=""),"",IF(G498&lt;TODAY(),"Overdue",""))</f>
        <v/>
      </c>
    </row>
    <row r="499" customFormat="false" ht="15" hidden="false" customHeight="false" outlineLevel="0" collapsed="false">
      <c r="A499" s="32"/>
      <c r="B499" s="32"/>
      <c r="C499" s="33"/>
      <c r="D499" s="32"/>
      <c r="E499" s="32"/>
      <c r="F499" s="32"/>
      <c r="G499" s="35"/>
      <c r="H499" s="32"/>
      <c r="I499" s="35"/>
      <c r="J499" s="35"/>
      <c r="K499" s="34"/>
      <c r="L499" s="33"/>
      <c r="M499" s="37" t="str">
        <f aca="true">IF(OR(B499="",H499&lt;&gt;"Open",G499=""),"",IF(G499&lt;TODAY(),"Overdue",""))</f>
        <v/>
      </c>
    </row>
    <row r="500" customFormat="false" ht="15" hidden="false" customHeight="false" outlineLevel="0" collapsed="false">
      <c r="A500" s="32"/>
      <c r="B500" s="32"/>
      <c r="C500" s="33"/>
      <c r="D500" s="32"/>
      <c r="E500" s="32"/>
      <c r="F500" s="32"/>
      <c r="G500" s="35"/>
      <c r="H500" s="32"/>
      <c r="I500" s="35"/>
      <c r="J500" s="35"/>
      <c r="K500" s="34"/>
      <c r="L500" s="33"/>
      <c r="M500" s="37" t="str">
        <f aca="true">IF(OR(B500="",H500&lt;&gt;"Open",G500=""),"",IF(G500&lt;TODAY(),"Overdue",""))</f>
        <v/>
      </c>
    </row>
    <row r="501" customFormat="false" ht="15" hidden="false" customHeight="false" outlineLevel="0" collapsed="false">
      <c r="A501" s="32"/>
      <c r="B501" s="32"/>
      <c r="C501" s="33"/>
      <c r="D501" s="32"/>
      <c r="E501" s="32"/>
      <c r="F501" s="32"/>
      <c r="G501" s="35"/>
      <c r="H501" s="32"/>
      <c r="I501" s="35"/>
      <c r="J501" s="35"/>
      <c r="K501" s="34"/>
      <c r="L501" s="33"/>
      <c r="M501" s="37" t="str">
        <f aca="true">IF(OR(B501="",H501&lt;&gt;"Open",G501=""),"",IF(G501&lt;TODAY(),"Overdue",""))</f>
        <v/>
      </c>
    </row>
  </sheetData>
  <autoFilter ref="A1:M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conditionalFormatting sqref="M2:M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G501 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lst_DefectStatus</formula1>
      <formula2>0</formula2>
    </dataValidation>
    <dataValidation allowBlank="true" error="Enter a number." errorStyle="stop" errorTitle="Invalid number" operator="between" showDropDown="false" showErrorMessage="false" showInputMessage="false" sqref="K2:K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32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10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193</v>
      </c>
      <c r="D1" s="17" t="s">
        <v>214</v>
      </c>
      <c r="E1" s="17" t="s">
        <v>232</v>
      </c>
      <c r="F1" s="17" t="s">
        <v>195</v>
      </c>
      <c r="G1" s="17" t="s">
        <v>257</v>
      </c>
      <c r="H1" s="17" t="s">
        <v>111</v>
      </c>
      <c r="I1" s="17" t="s">
        <v>197</v>
      </c>
      <c r="J1" s="17" t="s">
        <v>258</v>
      </c>
      <c r="K1" s="17" t="s">
        <v>235</v>
      </c>
      <c r="L1" s="31" t="s">
        <v>236</v>
      </c>
    </row>
    <row r="2" customFormat="false" ht="15" hidden="false" customHeight="false" outlineLevel="0" collapsed="false">
      <c r="A2" s="32"/>
      <c r="B2" s="32"/>
      <c r="C2" s="32"/>
      <c r="D2" s="33"/>
      <c r="E2" s="32"/>
      <c r="F2" s="34"/>
      <c r="G2" s="41"/>
      <c r="H2" s="32"/>
      <c r="I2" s="35"/>
      <c r="J2" s="35"/>
      <c r="K2" s="33"/>
      <c r="L2" s="37" t="str">
        <f aca="false">IF(AND(A2&lt;&gt;"",A2='Project Summary'!$C$3,C2&lt;&gt;""),COUNTIFS($A$2:$A2,'Project Summary'!$C$3,$C$2:$C2,"&lt;&gt;"),"")</f>
        <v/>
      </c>
    </row>
    <row r="3" customFormat="false" ht="15" hidden="false" customHeight="false" outlineLevel="0" collapsed="false">
      <c r="A3" s="32"/>
      <c r="B3" s="32"/>
      <c r="C3" s="32"/>
      <c r="D3" s="33"/>
      <c r="E3" s="32"/>
      <c r="F3" s="34"/>
      <c r="G3" s="41"/>
      <c r="H3" s="32"/>
      <c r="I3" s="35"/>
      <c r="J3" s="35"/>
      <c r="K3" s="33"/>
      <c r="L3" s="37" t="str">
        <f aca="false">IF(AND(A3&lt;&gt;"",A3='Project Summary'!$C$3,C3&lt;&gt;""),COUNTIFS($A$2:$A3,'Project Summary'!$C$3,$C$2:$C3,"&lt;&gt;"),"")</f>
        <v/>
      </c>
    </row>
    <row r="4" customFormat="false" ht="15" hidden="false" customHeight="false" outlineLevel="0" collapsed="false">
      <c r="A4" s="32"/>
      <c r="B4" s="32"/>
      <c r="C4" s="32"/>
      <c r="D4" s="33"/>
      <c r="E4" s="32"/>
      <c r="F4" s="34"/>
      <c r="G4" s="41"/>
      <c r="H4" s="32"/>
      <c r="I4" s="35"/>
      <c r="J4" s="35"/>
      <c r="K4" s="33"/>
      <c r="L4" s="37" t="str">
        <f aca="false">IF(AND(A4&lt;&gt;"",A4='Project Summary'!$C$3,C4&lt;&gt;""),COUNTIFS($A$2:$A4,'Project Summary'!$C$3,$C$2:$C4,"&lt;&gt;"),"")</f>
        <v/>
      </c>
    </row>
    <row r="5" customFormat="false" ht="15" hidden="false" customHeight="false" outlineLevel="0" collapsed="false">
      <c r="A5" s="32"/>
      <c r="B5" s="32"/>
      <c r="C5" s="32"/>
      <c r="D5" s="33"/>
      <c r="E5" s="32"/>
      <c r="F5" s="34"/>
      <c r="G5" s="41"/>
      <c r="H5" s="32"/>
      <c r="I5" s="35"/>
      <c r="J5" s="35"/>
      <c r="K5" s="33"/>
      <c r="L5" s="37" t="str">
        <f aca="false">IF(AND(A5&lt;&gt;"",A5='Project Summary'!$C$3,C5&lt;&gt;""),COUNTIFS($A$2:$A5,'Project Summary'!$C$3,$C$2:$C5,"&lt;&gt;"),"")</f>
        <v/>
      </c>
    </row>
    <row r="6" customFormat="false" ht="15" hidden="false" customHeight="false" outlineLevel="0" collapsed="false">
      <c r="A6" s="32"/>
      <c r="B6" s="32"/>
      <c r="C6" s="32"/>
      <c r="D6" s="33"/>
      <c r="E6" s="32"/>
      <c r="F6" s="34"/>
      <c r="G6" s="41"/>
      <c r="H6" s="32"/>
      <c r="I6" s="35"/>
      <c r="J6" s="35"/>
      <c r="K6" s="33"/>
      <c r="L6" s="37" t="str">
        <f aca="false">IF(AND(A6&lt;&gt;"",A6='Project Summary'!$C$3,C6&lt;&gt;""),COUNTIFS($A$2:$A6,'Project Summary'!$C$3,$C$2:$C6,"&lt;&gt;"),"")</f>
        <v/>
      </c>
    </row>
    <row r="7" customFormat="false" ht="15" hidden="false" customHeight="false" outlineLevel="0" collapsed="false">
      <c r="A7" s="32"/>
      <c r="B7" s="32"/>
      <c r="C7" s="32"/>
      <c r="D7" s="33"/>
      <c r="E7" s="32"/>
      <c r="F7" s="34"/>
      <c r="G7" s="41"/>
      <c r="H7" s="32"/>
      <c r="I7" s="35"/>
      <c r="J7" s="35"/>
      <c r="K7" s="33"/>
      <c r="L7" s="37" t="str">
        <f aca="false">IF(AND(A7&lt;&gt;"",A7='Project Summary'!$C$3,C7&lt;&gt;""),COUNTIFS($A$2:$A7,'Project Summary'!$C$3,$C$2:$C7,"&lt;&gt;"),"")</f>
        <v/>
      </c>
    </row>
    <row r="8" customFormat="false" ht="15" hidden="false" customHeight="false" outlineLevel="0" collapsed="false">
      <c r="A8" s="32"/>
      <c r="B8" s="32"/>
      <c r="C8" s="32"/>
      <c r="D8" s="33"/>
      <c r="E8" s="32"/>
      <c r="F8" s="34"/>
      <c r="G8" s="41"/>
      <c r="H8" s="32"/>
      <c r="I8" s="35"/>
      <c r="J8" s="35"/>
      <c r="K8" s="33"/>
      <c r="L8" s="37" t="str">
        <f aca="false">IF(AND(A8&lt;&gt;"",A8='Project Summary'!$C$3,C8&lt;&gt;""),COUNTIFS($A$2:$A8,'Project Summary'!$C$3,$C$2:$C8,"&lt;&gt;"),"")</f>
        <v/>
      </c>
    </row>
    <row r="9" customFormat="false" ht="15" hidden="false" customHeight="false" outlineLevel="0" collapsed="false">
      <c r="A9" s="32"/>
      <c r="B9" s="32"/>
      <c r="C9" s="32"/>
      <c r="D9" s="33"/>
      <c r="E9" s="32"/>
      <c r="F9" s="34"/>
      <c r="G9" s="41"/>
      <c r="H9" s="32"/>
      <c r="I9" s="35"/>
      <c r="J9" s="35"/>
      <c r="K9" s="33"/>
      <c r="L9" s="37" t="str">
        <f aca="false">IF(AND(A9&lt;&gt;"",A9='Project Summary'!$C$3,C9&lt;&gt;""),COUNTIFS($A$2:$A9,'Project Summary'!$C$3,$C$2:$C9,"&lt;&gt;"),"")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4"/>
      <c r="G10" s="41"/>
      <c r="H10" s="32"/>
      <c r="I10" s="35"/>
      <c r="J10" s="35"/>
      <c r="K10" s="33"/>
      <c r="L10" s="37" t="str">
        <f aca="false">IF(AND(A10&lt;&gt;"",A10='Project Summary'!$C$3,C10&lt;&gt;""),COUNTIFS($A$2:$A10,'Project Summary'!$C$3,$C$2:$C10,"&lt;&gt;"),"")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4"/>
      <c r="G11" s="41"/>
      <c r="H11" s="32"/>
      <c r="I11" s="35"/>
      <c r="J11" s="35"/>
      <c r="K11" s="33"/>
      <c r="L11" s="37" t="str">
        <f aca="false">IF(AND(A11&lt;&gt;"",A11='Project Summary'!$C$3,C11&lt;&gt;""),COUNTIFS($A$2:$A11,'Project Summary'!$C$3,$C$2:$C11,"&lt;&gt;"),"")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4"/>
      <c r="G12" s="41"/>
      <c r="H12" s="32"/>
      <c r="I12" s="35"/>
      <c r="J12" s="35"/>
      <c r="K12" s="33"/>
      <c r="L12" s="37" t="str">
        <f aca="false">IF(AND(A12&lt;&gt;"",A12='Project Summary'!$C$3,C12&lt;&gt;""),COUNTIFS($A$2:$A12,'Project Summary'!$C$3,$C$2:$C12,"&lt;&gt;"),"")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4"/>
      <c r="G13" s="41"/>
      <c r="H13" s="32"/>
      <c r="I13" s="35"/>
      <c r="J13" s="35"/>
      <c r="K13" s="33"/>
      <c r="L13" s="37" t="str">
        <f aca="false">IF(AND(A13&lt;&gt;"",A13='Project Summary'!$C$3,C13&lt;&gt;""),COUNTIFS($A$2:$A13,'Project Summary'!$C$3,$C$2:$C13,"&lt;&gt;"),"")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4"/>
      <c r="G14" s="41"/>
      <c r="H14" s="32"/>
      <c r="I14" s="35"/>
      <c r="J14" s="35"/>
      <c r="K14" s="33"/>
      <c r="L14" s="37" t="str">
        <f aca="false">IF(AND(A14&lt;&gt;"",A14='Project Summary'!$C$3,C14&lt;&gt;""),COUNTIFS($A$2:$A14,'Project Summary'!$C$3,$C$2:$C14,"&lt;&gt;"),"")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4"/>
      <c r="G15" s="41"/>
      <c r="H15" s="32"/>
      <c r="I15" s="35"/>
      <c r="J15" s="35"/>
      <c r="K15" s="33"/>
      <c r="L15" s="37" t="str">
        <f aca="false">IF(AND(A15&lt;&gt;"",A15='Project Summary'!$C$3,C15&lt;&gt;""),COUNTIFS($A$2:$A15,'Project Summary'!$C$3,$C$2:$C15,"&lt;&gt;"),"")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4"/>
      <c r="G16" s="41"/>
      <c r="H16" s="32"/>
      <c r="I16" s="35"/>
      <c r="J16" s="35"/>
      <c r="K16" s="33"/>
      <c r="L16" s="37" t="str">
        <f aca="false">IF(AND(A16&lt;&gt;"",A16='Project Summary'!$C$3,C16&lt;&gt;""),COUNTIFS($A$2:$A16,'Project Summary'!$C$3,$C$2:$C16,"&lt;&gt;"),"")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4"/>
      <c r="G17" s="41"/>
      <c r="H17" s="32"/>
      <c r="I17" s="35"/>
      <c r="J17" s="35"/>
      <c r="K17" s="33"/>
      <c r="L17" s="37" t="str">
        <f aca="false">IF(AND(A17&lt;&gt;"",A17='Project Summary'!$C$3,C17&lt;&gt;""),COUNTIFS($A$2:$A17,'Project Summary'!$C$3,$C$2:$C17,"&lt;&gt;"),"")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4"/>
      <c r="G18" s="41"/>
      <c r="H18" s="32"/>
      <c r="I18" s="35"/>
      <c r="J18" s="35"/>
      <c r="K18" s="33"/>
      <c r="L18" s="37" t="str">
        <f aca="false">IF(AND(A18&lt;&gt;"",A18='Project Summary'!$C$3,C18&lt;&gt;""),COUNTIFS($A$2:$A18,'Project Summary'!$C$3,$C$2:$C18,"&lt;&gt;"),"")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4"/>
      <c r="G19" s="41"/>
      <c r="H19" s="32"/>
      <c r="I19" s="35"/>
      <c r="J19" s="35"/>
      <c r="K19" s="33"/>
      <c r="L19" s="37" t="str">
        <f aca="false">IF(AND(A19&lt;&gt;"",A19='Project Summary'!$C$3,C19&lt;&gt;""),COUNTIFS($A$2:$A19,'Project Summary'!$C$3,$C$2:$C19,"&lt;&gt;"),"")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4"/>
      <c r="G20" s="41"/>
      <c r="H20" s="32"/>
      <c r="I20" s="35"/>
      <c r="J20" s="35"/>
      <c r="K20" s="33"/>
      <c r="L20" s="37" t="str">
        <f aca="false">IF(AND(A20&lt;&gt;"",A20='Project Summary'!$C$3,C20&lt;&gt;""),COUNTIFS($A$2:$A20,'Project Summary'!$C$3,$C$2:$C20,"&lt;&gt;"),"")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4"/>
      <c r="G21" s="41"/>
      <c r="H21" s="32"/>
      <c r="I21" s="35"/>
      <c r="J21" s="35"/>
      <c r="K21" s="33"/>
      <c r="L21" s="37" t="str">
        <f aca="false">IF(AND(A21&lt;&gt;"",A21='Project Summary'!$C$3,C21&lt;&gt;""),COUNTIFS($A$2:$A21,'Project Summary'!$C$3,$C$2:$C21,"&lt;&gt;"),"")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4"/>
      <c r="G22" s="41"/>
      <c r="H22" s="32"/>
      <c r="I22" s="35"/>
      <c r="J22" s="35"/>
      <c r="K22" s="33"/>
      <c r="L22" s="37" t="str">
        <f aca="false">IF(AND(A22&lt;&gt;"",A22='Project Summary'!$C$3,C22&lt;&gt;""),COUNTIFS($A$2:$A22,'Project Summary'!$C$3,$C$2:$C22,"&lt;&gt;"),"")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4"/>
      <c r="G23" s="41"/>
      <c r="H23" s="32"/>
      <c r="I23" s="35"/>
      <c r="J23" s="35"/>
      <c r="K23" s="33"/>
      <c r="L23" s="37" t="str">
        <f aca="false">IF(AND(A23&lt;&gt;"",A23='Project Summary'!$C$3,C23&lt;&gt;""),COUNTIFS($A$2:$A23,'Project Summary'!$C$3,$C$2:$C23,"&lt;&gt;"),"")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4"/>
      <c r="G24" s="41"/>
      <c r="H24" s="32"/>
      <c r="I24" s="35"/>
      <c r="J24" s="35"/>
      <c r="K24" s="33"/>
      <c r="L24" s="37" t="str">
        <f aca="false">IF(AND(A24&lt;&gt;"",A24='Project Summary'!$C$3,C24&lt;&gt;""),COUNTIFS($A$2:$A24,'Project Summary'!$C$3,$C$2:$C24,"&lt;&gt;"),"")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4"/>
      <c r="G25" s="41"/>
      <c r="H25" s="32"/>
      <c r="I25" s="35"/>
      <c r="J25" s="35"/>
      <c r="K25" s="33"/>
      <c r="L25" s="37" t="str">
        <f aca="false">IF(AND(A25&lt;&gt;"",A25='Project Summary'!$C$3,C25&lt;&gt;""),COUNTIFS($A$2:$A25,'Project Summary'!$C$3,$C$2:$C25,"&lt;&gt;"),"")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4"/>
      <c r="G26" s="41"/>
      <c r="H26" s="32"/>
      <c r="I26" s="35"/>
      <c r="J26" s="35"/>
      <c r="K26" s="33"/>
      <c r="L26" s="37" t="str">
        <f aca="false">IF(AND(A26&lt;&gt;"",A26='Project Summary'!$C$3,C26&lt;&gt;""),COUNTIFS($A$2:$A26,'Project Summary'!$C$3,$C$2:$C26,"&lt;&gt;"),"")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4"/>
      <c r="G27" s="41"/>
      <c r="H27" s="32"/>
      <c r="I27" s="35"/>
      <c r="J27" s="35"/>
      <c r="K27" s="33"/>
      <c r="L27" s="37" t="str">
        <f aca="false">IF(AND(A27&lt;&gt;"",A27='Project Summary'!$C$3,C27&lt;&gt;""),COUNTIFS($A$2:$A27,'Project Summary'!$C$3,$C$2:$C27,"&lt;&gt;"),"")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4"/>
      <c r="G28" s="41"/>
      <c r="H28" s="32"/>
      <c r="I28" s="35"/>
      <c r="J28" s="35"/>
      <c r="K28" s="33"/>
      <c r="L28" s="37" t="str">
        <f aca="false">IF(AND(A28&lt;&gt;"",A28='Project Summary'!$C$3,C28&lt;&gt;""),COUNTIFS($A$2:$A28,'Project Summary'!$C$3,$C$2:$C28,"&lt;&gt;"),"")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4"/>
      <c r="G29" s="41"/>
      <c r="H29" s="32"/>
      <c r="I29" s="35"/>
      <c r="J29" s="35"/>
      <c r="K29" s="33"/>
      <c r="L29" s="37" t="str">
        <f aca="false">IF(AND(A29&lt;&gt;"",A29='Project Summary'!$C$3,C29&lt;&gt;""),COUNTIFS($A$2:$A29,'Project Summary'!$C$3,$C$2:$C29,"&lt;&gt;"),"")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4"/>
      <c r="G30" s="41"/>
      <c r="H30" s="32"/>
      <c r="I30" s="35"/>
      <c r="J30" s="35"/>
      <c r="K30" s="33"/>
      <c r="L30" s="37" t="str">
        <f aca="false">IF(AND(A30&lt;&gt;"",A30='Project Summary'!$C$3,C30&lt;&gt;""),COUNTIFS($A$2:$A30,'Project Summary'!$C$3,$C$2:$C30,"&lt;&gt;"),"")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4"/>
      <c r="G31" s="41"/>
      <c r="H31" s="32"/>
      <c r="I31" s="35"/>
      <c r="J31" s="35"/>
      <c r="K31" s="33"/>
      <c r="L31" s="37" t="str">
        <f aca="false">IF(AND(A31&lt;&gt;"",A31='Project Summary'!$C$3,C31&lt;&gt;""),COUNTIFS($A$2:$A31,'Project Summary'!$C$3,$C$2:$C31,"&lt;&gt;"),"")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4"/>
      <c r="G32" s="41"/>
      <c r="H32" s="32"/>
      <c r="I32" s="35"/>
      <c r="J32" s="35"/>
      <c r="K32" s="33"/>
      <c r="L32" s="37" t="str">
        <f aca="false">IF(AND(A32&lt;&gt;"",A32='Project Summary'!$C$3,C32&lt;&gt;""),COUNTIFS($A$2:$A32,'Project Summary'!$C$3,$C$2:$C32,"&lt;&gt;"),"")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4"/>
      <c r="G33" s="41"/>
      <c r="H33" s="32"/>
      <c r="I33" s="35"/>
      <c r="J33" s="35"/>
      <c r="K33" s="33"/>
      <c r="L33" s="37" t="str">
        <f aca="false">IF(AND(A33&lt;&gt;"",A33='Project Summary'!$C$3,C33&lt;&gt;""),COUNTIFS($A$2:$A33,'Project Summary'!$C$3,$C$2:$C33,"&lt;&gt;"),"")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4"/>
      <c r="G34" s="41"/>
      <c r="H34" s="32"/>
      <c r="I34" s="35"/>
      <c r="J34" s="35"/>
      <c r="K34" s="33"/>
      <c r="L34" s="37" t="str">
        <f aca="false">IF(AND(A34&lt;&gt;"",A34='Project Summary'!$C$3,C34&lt;&gt;""),COUNTIFS($A$2:$A34,'Project Summary'!$C$3,$C$2:$C34,"&lt;&gt;"),"")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4"/>
      <c r="G35" s="41"/>
      <c r="H35" s="32"/>
      <c r="I35" s="35"/>
      <c r="J35" s="35"/>
      <c r="K35" s="33"/>
      <c r="L35" s="37" t="str">
        <f aca="false">IF(AND(A35&lt;&gt;"",A35='Project Summary'!$C$3,C35&lt;&gt;""),COUNTIFS($A$2:$A35,'Project Summary'!$C$3,$C$2:$C35,"&lt;&gt;"),"")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4"/>
      <c r="G36" s="41"/>
      <c r="H36" s="32"/>
      <c r="I36" s="35"/>
      <c r="J36" s="35"/>
      <c r="K36" s="33"/>
      <c r="L36" s="37" t="str">
        <f aca="false">IF(AND(A36&lt;&gt;"",A36='Project Summary'!$C$3,C36&lt;&gt;""),COUNTIFS($A$2:$A36,'Project Summary'!$C$3,$C$2:$C36,"&lt;&gt;"),"")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4"/>
      <c r="G37" s="41"/>
      <c r="H37" s="32"/>
      <c r="I37" s="35"/>
      <c r="J37" s="35"/>
      <c r="K37" s="33"/>
      <c r="L37" s="37" t="str">
        <f aca="false">IF(AND(A37&lt;&gt;"",A37='Project Summary'!$C$3,C37&lt;&gt;""),COUNTIFS($A$2:$A37,'Project Summary'!$C$3,$C$2:$C37,"&lt;&gt;"),"")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4"/>
      <c r="G38" s="41"/>
      <c r="H38" s="32"/>
      <c r="I38" s="35"/>
      <c r="J38" s="35"/>
      <c r="K38" s="33"/>
      <c r="L38" s="37" t="str">
        <f aca="false">IF(AND(A38&lt;&gt;"",A38='Project Summary'!$C$3,C38&lt;&gt;""),COUNTIFS($A$2:$A38,'Project Summary'!$C$3,$C$2:$C38,"&lt;&gt;"),"")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4"/>
      <c r="G39" s="41"/>
      <c r="H39" s="32"/>
      <c r="I39" s="35"/>
      <c r="J39" s="35"/>
      <c r="K39" s="33"/>
      <c r="L39" s="37" t="str">
        <f aca="false">IF(AND(A39&lt;&gt;"",A39='Project Summary'!$C$3,C39&lt;&gt;""),COUNTIFS($A$2:$A39,'Project Summary'!$C$3,$C$2:$C39,"&lt;&gt;"),"")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4"/>
      <c r="G40" s="41"/>
      <c r="H40" s="32"/>
      <c r="I40" s="35"/>
      <c r="J40" s="35"/>
      <c r="K40" s="33"/>
      <c r="L40" s="37" t="str">
        <f aca="false">IF(AND(A40&lt;&gt;"",A40='Project Summary'!$C$3,C40&lt;&gt;""),COUNTIFS($A$2:$A40,'Project Summary'!$C$3,$C$2:$C40,"&lt;&gt;"),"")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4"/>
      <c r="G41" s="41"/>
      <c r="H41" s="32"/>
      <c r="I41" s="35"/>
      <c r="J41" s="35"/>
      <c r="K41" s="33"/>
      <c r="L41" s="37" t="str">
        <f aca="false">IF(AND(A41&lt;&gt;"",A41='Project Summary'!$C$3,C41&lt;&gt;""),COUNTIFS($A$2:$A41,'Project Summary'!$C$3,$C$2:$C41,"&lt;&gt;"),"")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4"/>
      <c r="G42" s="41"/>
      <c r="H42" s="32"/>
      <c r="I42" s="35"/>
      <c r="J42" s="35"/>
      <c r="K42" s="33"/>
      <c r="L42" s="37" t="str">
        <f aca="false">IF(AND(A42&lt;&gt;"",A42='Project Summary'!$C$3,C42&lt;&gt;""),COUNTIFS($A$2:$A42,'Project Summary'!$C$3,$C$2:$C42,"&lt;&gt;"),"")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4"/>
      <c r="G43" s="41"/>
      <c r="H43" s="32"/>
      <c r="I43" s="35"/>
      <c r="J43" s="35"/>
      <c r="K43" s="33"/>
      <c r="L43" s="37" t="str">
        <f aca="false">IF(AND(A43&lt;&gt;"",A43='Project Summary'!$C$3,C43&lt;&gt;""),COUNTIFS($A$2:$A43,'Project Summary'!$C$3,$C$2:$C43,"&lt;&gt;"),"")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4"/>
      <c r="G44" s="41"/>
      <c r="H44" s="32"/>
      <c r="I44" s="35"/>
      <c r="J44" s="35"/>
      <c r="K44" s="33"/>
      <c r="L44" s="37" t="str">
        <f aca="false">IF(AND(A44&lt;&gt;"",A44='Project Summary'!$C$3,C44&lt;&gt;""),COUNTIFS($A$2:$A44,'Project Summary'!$C$3,$C$2:$C44,"&lt;&gt;"),"")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4"/>
      <c r="G45" s="41"/>
      <c r="H45" s="32"/>
      <c r="I45" s="35"/>
      <c r="J45" s="35"/>
      <c r="K45" s="33"/>
      <c r="L45" s="37" t="str">
        <f aca="false">IF(AND(A45&lt;&gt;"",A45='Project Summary'!$C$3,C45&lt;&gt;""),COUNTIFS($A$2:$A45,'Project Summary'!$C$3,$C$2:$C45,"&lt;&gt;"),"")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4"/>
      <c r="G46" s="41"/>
      <c r="H46" s="32"/>
      <c r="I46" s="35"/>
      <c r="J46" s="35"/>
      <c r="K46" s="33"/>
      <c r="L46" s="37" t="str">
        <f aca="false">IF(AND(A46&lt;&gt;"",A46='Project Summary'!$C$3,C46&lt;&gt;""),COUNTIFS($A$2:$A46,'Project Summary'!$C$3,$C$2:$C46,"&lt;&gt;"),"")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4"/>
      <c r="G47" s="41"/>
      <c r="H47" s="32"/>
      <c r="I47" s="35"/>
      <c r="J47" s="35"/>
      <c r="K47" s="33"/>
      <c r="L47" s="37" t="str">
        <f aca="false">IF(AND(A47&lt;&gt;"",A47='Project Summary'!$C$3,C47&lt;&gt;""),COUNTIFS($A$2:$A47,'Project Summary'!$C$3,$C$2:$C47,"&lt;&gt;"),"")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4"/>
      <c r="G48" s="41"/>
      <c r="H48" s="32"/>
      <c r="I48" s="35"/>
      <c r="J48" s="35"/>
      <c r="K48" s="33"/>
      <c r="L48" s="37" t="str">
        <f aca="false">IF(AND(A48&lt;&gt;"",A48='Project Summary'!$C$3,C48&lt;&gt;""),COUNTIFS($A$2:$A48,'Project Summary'!$C$3,$C$2:$C48,"&lt;&gt;"),"")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4"/>
      <c r="G49" s="41"/>
      <c r="H49" s="32"/>
      <c r="I49" s="35"/>
      <c r="J49" s="35"/>
      <c r="K49" s="33"/>
      <c r="L49" s="37" t="str">
        <f aca="false">IF(AND(A49&lt;&gt;"",A49='Project Summary'!$C$3,C49&lt;&gt;""),COUNTIFS($A$2:$A49,'Project Summary'!$C$3,$C$2:$C49,"&lt;&gt;"),"")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4"/>
      <c r="G50" s="41"/>
      <c r="H50" s="32"/>
      <c r="I50" s="35"/>
      <c r="J50" s="35"/>
      <c r="K50" s="33"/>
      <c r="L50" s="37" t="str">
        <f aca="false">IF(AND(A50&lt;&gt;"",A50='Project Summary'!$C$3,C50&lt;&gt;""),COUNTIFS($A$2:$A50,'Project Summary'!$C$3,$C$2:$C50,"&lt;&gt;"),"")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4"/>
      <c r="G51" s="41"/>
      <c r="H51" s="32"/>
      <c r="I51" s="35"/>
      <c r="J51" s="35"/>
      <c r="K51" s="33"/>
      <c r="L51" s="37" t="str">
        <f aca="false">IF(AND(A51&lt;&gt;"",A51='Project Summary'!$C$3,C51&lt;&gt;""),COUNTIFS($A$2:$A51,'Project Summary'!$C$3,$C$2:$C51,"&lt;&gt;"),"")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4"/>
      <c r="G52" s="41"/>
      <c r="H52" s="32"/>
      <c r="I52" s="35"/>
      <c r="J52" s="35"/>
      <c r="K52" s="33"/>
      <c r="L52" s="37" t="str">
        <f aca="false">IF(AND(A52&lt;&gt;"",A52='Project Summary'!$C$3,C52&lt;&gt;""),COUNTIFS($A$2:$A52,'Project Summary'!$C$3,$C$2:$C52,"&lt;&gt;"),"")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4"/>
      <c r="G53" s="41"/>
      <c r="H53" s="32"/>
      <c r="I53" s="35"/>
      <c r="J53" s="35"/>
      <c r="K53" s="33"/>
      <c r="L53" s="37" t="str">
        <f aca="false">IF(AND(A53&lt;&gt;"",A53='Project Summary'!$C$3,C53&lt;&gt;""),COUNTIFS($A$2:$A53,'Project Summary'!$C$3,$C$2:$C53,"&lt;&gt;"),"")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4"/>
      <c r="G54" s="41"/>
      <c r="H54" s="32"/>
      <c r="I54" s="35"/>
      <c r="J54" s="35"/>
      <c r="K54" s="33"/>
      <c r="L54" s="37" t="str">
        <f aca="false">IF(AND(A54&lt;&gt;"",A54='Project Summary'!$C$3,C54&lt;&gt;""),COUNTIFS($A$2:$A54,'Project Summary'!$C$3,$C$2:$C54,"&lt;&gt;"),"")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4"/>
      <c r="G55" s="41"/>
      <c r="H55" s="32"/>
      <c r="I55" s="35"/>
      <c r="J55" s="35"/>
      <c r="K55" s="33"/>
      <c r="L55" s="37" t="str">
        <f aca="false">IF(AND(A55&lt;&gt;"",A55='Project Summary'!$C$3,C55&lt;&gt;""),COUNTIFS($A$2:$A55,'Project Summary'!$C$3,$C$2:$C55,"&lt;&gt;"),"")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4"/>
      <c r="G56" s="41"/>
      <c r="H56" s="32"/>
      <c r="I56" s="35"/>
      <c r="J56" s="35"/>
      <c r="K56" s="33"/>
      <c r="L56" s="37" t="str">
        <f aca="false">IF(AND(A56&lt;&gt;"",A56='Project Summary'!$C$3,C56&lt;&gt;""),COUNTIFS($A$2:$A56,'Project Summary'!$C$3,$C$2:$C56,"&lt;&gt;"),"")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4"/>
      <c r="G57" s="41"/>
      <c r="H57" s="32"/>
      <c r="I57" s="35"/>
      <c r="J57" s="35"/>
      <c r="K57" s="33"/>
      <c r="L57" s="37" t="str">
        <f aca="false">IF(AND(A57&lt;&gt;"",A57='Project Summary'!$C$3,C57&lt;&gt;""),COUNTIFS($A$2:$A57,'Project Summary'!$C$3,$C$2:$C57,"&lt;&gt;"),"")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4"/>
      <c r="G58" s="41"/>
      <c r="H58" s="32"/>
      <c r="I58" s="35"/>
      <c r="J58" s="35"/>
      <c r="K58" s="33"/>
      <c r="L58" s="37" t="str">
        <f aca="false">IF(AND(A58&lt;&gt;"",A58='Project Summary'!$C$3,C58&lt;&gt;""),COUNTIFS($A$2:$A58,'Project Summary'!$C$3,$C$2:$C58,"&lt;&gt;"),"")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4"/>
      <c r="G59" s="41"/>
      <c r="H59" s="32"/>
      <c r="I59" s="35"/>
      <c r="J59" s="35"/>
      <c r="K59" s="33"/>
      <c r="L59" s="37" t="str">
        <f aca="false">IF(AND(A59&lt;&gt;"",A59='Project Summary'!$C$3,C59&lt;&gt;""),COUNTIFS($A$2:$A59,'Project Summary'!$C$3,$C$2:$C59,"&lt;&gt;"),"")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4"/>
      <c r="G60" s="41"/>
      <c r="H60" s="32"/>
      <c r="I60" s="35"/>
      <c r="J60" s="35"/>
      <c r="K60" s="33"/>
      <c r="L60" s="37" t="str">
        <f aca="false">IF(AND(A60&lt;&gt;"",A60='Project Summary'!$C$3,C60&lt;&gt;""),COUNTIFS($A$2:$A60,'Project Summary'!$C$3,$C$2:$C60,"&lt;&gt;"),"")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4"/>
      <c r="G61" s="41"/>
      <c r="H61" s="32"/>
      <c r="I61" s="35"/>
      <c r="J61" s="35"/>
      <c r="K61" s="33"/>
      <c r="L61" s="37" t="str">
        <f aca="false">IF(AND(A61&lt;&gt;"",A61='Project Summary'!$C$3,C61&lt;&gt;""),COUNTIFS($A$2:$A61,'Project Summary'!$C$3,$C$2:$C61,"&lt;&gt;"),"")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4"/>
      <c r="G62" s="41"/>
      <c r="H62" s="32"/>
      <c r="I62" s="35"/>
      <c r="J62" s="35"/>
      <c r="K62" s="33"/>
      <c r="L62" s="37" t="str">
        <f aca="false">IF(AND(A62&lt;&gt;"",A62='Project Summary'!$C$3,C62&lt;&gt;""),COUNTIFS($A$2:$A62,'Project Summary'!$C$3,$C$2:$C62,"&lt;&gt;"),"")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4"/>
      <c r="G63" s="41"/>
      <c r="H63" s="32"/>
      <c r="I63" s="35"/>
      <c r="J63" s="35"/>
      <c r="K63" s="33"/>
      <c r="L63" s="37" t="str">
        <f aca="false">IF(AND(A63&lt;&gt;"",A63='Project Summary'!$C$3,C63&lt;&gt;""),COUNTIFS($A$2:$A63,'Project Summary'!$C$3,$C$2:$C63,"&lt;&gt;"),"")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4"/>
      <c r="G64" s="41"/>
      <c r="H64" s="32"/>
      <c r="I64" s="35"/>
      <c r="J64" s="35"/>
      <c r="K64" s="33"/>
      <c r="L64" s="37" t="str">
        <f aca="false">IF(AND(A64&lt;&gt;"",A64='Project Summary'!$C$3,C64&lt;&gt;""),COUNTIFS($A$2:$A64,'Project Summary'!$C$3,$C$2:$C64,"&lt;&gt;"),"")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4"/>
      <c r="G65" s="41"/>
      <c r="H65" s="32"/>
      <c r="I65" s="35"/>
      <c r="J65" s="35"/>
      <c r="K65" s="33"/>
      <c r="L65" s="37" t="str">
        <f aca="false">IF(AND(A65&lt;&gt;"",A65='Project Summary'!$C$3,C65&lt;&gt;""),COUNTIFS($A$2:$A65,'Project Summary'!$C$3,$C$2:$C65,"&lt;&gt;"),"")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4"/>
      <c r="G66" s="41"/>
      <c r="H66" s="32"/>
      <c r="I66" s="35"/>
      <c r="J66" s="35"/>
      <c r="K66" s="33"/>
      <c r="L66" s="37" t="str">
        <f aca="false">IF(AND(A66&lt;&gt;"",A66='Project Summary'!$C$3,C66&lt;&gt;""),COUNTIFS($A$2:$A66,'Project Summary'!$C$3,$C$2:$C66,"&lt;&gt;"),"")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4"/>
      <c r="G67" s="41"/>
      <c r="H67" s="32"/>
      <c r="I67" s="35"/>
      <c r="J67" s="35"/>
      <c r="K67" s="33"/>
      <c r="L67" s="37" t="str">
        <f aca="false">IF(AND(A67&lt;&gt;"",A67='Project Summary'!$C$3,C67&lt;&gt;""),COUNTIFS($A$2:$A67,'Project Summary'!$C$3,$C$2:$C67,"&lt;&gt;"),"")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4"/>
      <c r="G68" s="41"/>
      <c r="H68" s="32"/>
      <c r="I68" s="35"/>
      <c r="J68" s="35"/>
      <c r="K68" s="33"/>
      <c r="L68" s="37" t="str">
        <f aca="false">IF(AND(A68&lt;&gt;"",A68='Project Summary'!$C$3,C68&lt;&gt;""),COUNTIFS($A$2:$A68,'Project Summary'!$C$3,$C$2:$C68,"&lt;&gt;"),"")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4"/>
      <c r="G69" s="41"/>
      <c r="H69" s="32"/>
      <c r="I69" s="35"/>
      <c r="J69" s="35"/>
      <c r="K69" s="33"/>
      <c r="L69" s="37" t="str">
        <f aca="false">IF(AND(A69&lt;&gt;"",A69='Project Summary'!$C$3,C69&lt;&gt;""),COUNTIFS($A$2:$A69,'Project Summary'!$C$3,$C$2:$C69,"&lt;&gt;"),"")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4"/>
      <c r="G70" s="41"/>
      <c r="H70" s="32"/>
      <c r="I70" s="35"/>
      <c r="J70" s="35"/>
      <c r="K70" s="33"/>
      <c r="L70" s="37" t="str">
        <f aca="false">IF(AND(A70&lt;&gt;"",A70='Project Summary'!$C$3,C70&lt;&gt;""),COUNTIFS($A$2:$A70,'Project Summary'!$C$3,$C$2:$C70,"&lt;&gt;"),"")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4"/>
      <c r="G71" s="41"/>
      <c r="H71" s="32"/>
      <c r="I71" s="35"/>
      <c r="J71" s="35"/>
      <c r="K71" s="33"/>
      <c r="L71" s="37" t="str">
        <f aca="false">IF(AND(A71&lt;&gt;"",A71='Project Summary'!$C$3,C71&lt;&gt;""),COUNTIFS($A$2:$A71,'Project Summary'!$C$3,$C$2:$C71,"&lt;&gt;"),"")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4"/>
      <c r="G72" s="41"/>
      <c r="H72" s="32"/>
      <c r="I72" s="35"/>
      <c r="J72" s="35"/>
      <c r="K72" s="33"/>
      <c r="L72" s="37" t="str">
        <f aca="false">IF(AND(A72&lt;&gt;"",A72='Project Summary'!$C$3,C72&lt;&gt;""),COUNTIFS($A$2:$A72,'Project Summary'!$C$3,$C$2:$C72,"&lt;&gt;"),"")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4"/>
      <c r="G73" s="41"/>
      <c r="H73" s="32"/>
      <c r="I73" s="35"/>
      <c r="J73" s="35"/>
      <c r="K73" s="33"/>
      <c r="L73" s="37" t="str">
        <f aca="false">IF(AND(A73&lt;&gt;"",A73='Project Summary'!$C$3,C73&lt;&gt;""),COUNTIFS($A$2:$A73,'Project Summary'!$C$3,$C$2:$C73,"&lt;&gt;"),"")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4"/>
      <c r="G74" s="41"/>
      <c r="H74" s="32"/>
      <c r="I74" s="35"/>
      <c r="J74" s="35"/>
      <c r="K74" s="33"/>
      <c r="L74" s="37" t="str">
        <f aca="false">IF(AND(A74&lt;&gt;"",A74='Project Summary'!$C$3,C74&lt;&gt;""),COUNTIFS($A$2:$A74,'Project Summary'!$C$3,$C$2:$C74,"&lt;&gt;"),"")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4"/>
      <c r="G75" s="41"/>
      <c r="H75" s="32"/>
      <c r="I75" s="35"/>
      <c r="J75" s="35"/>
      <c r="K75" s="33"/>
      <c r="L75" s="37" t="str">
        <f aca="false">IF(AND(A75&lt;&gt;"",A75='Project Summary'!$C$3,C75&lt;&gt;""),COUNTIFS($A$2:$A75,'Project Summary'!$C$3,$C$2:$C75,"&lt;&gt;"),"")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4"/>
      <c r="G76" s="41"/>
      <c r="H76" s="32"/>
      <c r="I76" s="35"/>
      <c r="J76" s="35"/>
      <c r="K76" s="33"/>
      <c r="L76" s="37" t="str">
        <f aca="false">IF(AND(A76&lt;&gt;"",A76='Project Summary'!$C$3,C76&lt;&gt;""),COUNTIFS($A$2:$A76,'Project Summary'!$C$3,$C$2:$C76,"&lt;&gt;"),"")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4"/>
      <c r="G77" s="41"/>
      <c r="H77" s="32"/>
      <c r="I77" s="35"/>
      <c r="J77" s="35"/>
      <c r="K77" s="33"/>
      <c r="L77" s="37" t="str">
        <f aca="false">IF(AND(A77&lt;&gt;"",A77='Project Summary'!$C$3,C77&lt;&gt;""),COUNTIFS($A$2:$A77,'Project Summary'!$C$3,$C$2:$C77,"&lt;&gt;"),"")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4"/>
      <c r="G78" s="41"/>
      <c r="H78" s="32"/>
      <c r="I78" s="35"/>
      <c r="J78" s="35"/>
      <c r="K78" s="33"/>
      <c r="L78" s="37" t="str">
        <f aca="false">IF(AND(A78&lt;&gt;"",A78='Project Summary'!$C$3,C78&lt;&gt;""),COUNTIFS($A$2:$A78,'Project Summary'!$C$3,$C$2:$C78,"&lt;&gt;"),"")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4"/>
      <c r="G79" s="41"/>
      <c r="H79" s="32"/>
      <c r="I79" s="35"/>
      <c r="J79" s="35"/>
      <c r="K79" s="33"/>
      <c r="L79" s="37" t="str">
        <f aca="false">IF(AND(A79&lt;&gt;"",A79='Project Summary'!$C$3,C79&lt;&gt;""),COUNTIFS($A$2:$A79,'Project Summary'!$C$3,$C$2:$C79,"&lt;&gt;"),"")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4"/>
      <c r="G80" s="41"/>
      <c r="H80" s="32"/>
      <c r="I80" s="35"/>
      <c r="J80" s="35"/>
      <c r="K80" s="33"/>
      <c r="L80" s="37" t="str">
        <f aca="false">IF(AND(A80&lt;&gt;"",A80='Project Summary'!$C$3,C80&lt;&gt;""),COUNTIFS($A$2:$A80,'Project Summary'!$C$3,$C$2:$C80,"&lt;&gt;"),"")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4"/>
      <c r="G81" s="41"/>
      <c r="H81" s="32"/>
      <c r="I81" s="35"/>
      <c r="J81" s="35"/>
      <c r="K81" s="33"/>
      <c r="L81" s="37" t="str">
        <f aca="false">IF(AND(A81&lt;&gt;"",A81='Project Summary'!$C$3,C81&lt;&gt;""),COUNTIFS($A$2:$A81,'Project Summary'!$C$3,$C$2:$C81,"&lt;&gt;"),"")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4"/>
      <c r="G82" s="41"/>
      <c r="H82" s="32"/>
      <c r="I82" s="35"/>
      <c r="J82" s="35"/>
      <c r="K82" s="33"/>
      <c r="L82" s="37" t="str">
        <f aca="false">IF(AND(A82&lt;&gt;"",A82='Project Summary'!$C$3,C82&lt;&gt;""),COUNTIFS($A$2:$A82,'Project Summary'!$C$3,$C$2:$C82,"&lt;&gt;"),"")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4"/>
      <c r="G83" s="41"/>
      <c r="H83" s="32"/>
      <c r="I83" s="35"/>
      <c r="J83" s="35"/>
      <c r="K83" s="33"/>
      <c r="L83" s="37" t="str">
        <f aca="false">IF(AND(A83&lt;&gt;"",A83='Project Summary'!$C$3,C83&lt;&gt;""),COUNTIFS($A$2:$A83,'Project Summary'!$C$3,$C$2:$C83,"&lt;&gt;"),"")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4"/>
      <c r="G84" s="41"/>
      <c r="H84" s="32"/>
      <c r="I84" s="35"/>
      <c r="J84" s="35"/>
      <c r="K84" s="33"/>
      <c r="L84" s="37" t="str">
        <f aca="false">IF(AND(A84&lt;&gt;"",A84='Project Summary'!$C$3,C84&lt;&gt;""),COUNTIFS($A$2:$A84,'Project Summary'!$C$3,$C$2:$C84,"&lt;&gt;"),"")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4"/>
      <c r="G85" s="41"/>
      <c r="H85" s="32"/>
      <c r="I85" s="35"/>
      <c r="J85" s="35"/>
      <c r="K85" s="33"/>
      <c r="L85" s="37" t="str">
        <f aca="false">IF(AND(A85&lt;&gt;"",A85='Project Summary'!$C$3,C85&lt;&gt;""),COUNTIFS($A$2:$A85,'Project Summary'!$C$3,$C$2:$C85,"&lt;&gt;"),"")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4"/>
      <c r="G86" s="41"/>
      <c r="H86" s="32"/>
      <c r="I86" s="35"/>
      <c r="J86" s="35"/>
      <c r="K86" s="33"/>
      <c r="L86" s="37" t="str">
        <f aca="false">IF(AND(A86&lt;&gt;"",A86='Project Summary'!$C$3,C86&lt;&gt;""),COUNTIFS($A$2:$A86,'Project Summary'!$C$3,$C$2:$C86,"&lt;&gt;"),"")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4"/>
      <c r="G87" s="41"/>
      <c r="H87" s="32"/>
      <c r="I87" s="35"/>
      <c r="J87" s="35"/>
      <c r="K87" s="33"/>
      <c r="L87" s="37" t="str">
        <f aca="false">IF(AND(A87&lt;&gt;"",A87='Project Summary'!$C$3,C87&lt;&gt;""),COUNTIFS($A$2:$A87,'Project Summary'!$C$3,$C$2:$C87,"&lt;&gt;"),"")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4"/>
      <c r="G88" s="41"/>
      <c r="H88" s="32"/>
      <c r="I88" s="35"/>
      <c r="J88" s="35"/>
      <c r="K88" s="33"/>
      <c r="L88" s="37" t="str">
        <f aca="false">IF(AND(A88&lt;&gt;"",A88='Project Summary'!$C$3,C88&lt;&gt;""),COUNTIFS($A$2:$A88,'Project Summary'!$C$3,$C$2:$C88,"&lt;&gt;"),"")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4"/>
      <c r="G89" s="41"/>
      <c r="H89" s="32"/>
      <c r="I89" s="35"/>
      <c r="J89" s="35"/>
      <c r="K89" s="33"/>
      <c r="L89" s="37" t="str">
        <f aca="false">IF(AND(A89&lt;&gt;"",A89='Project Summary'!$C$3,C89&lt;&gt;""),COUNTIFS($A$2:$A89,'Project Summary'!$C$3,$C$2:$C89,"&lt;&gt;"),"")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4"/>
      <c r="G90" s="41"/>
      <c r="H90" s="32"/>
      <c r="I90" s="35"/>
      <c r="J90" s="35"/>
      <c r="K90" s="33"/>
      <c r="L90" s="37" t="str">
        <f aca="false">IF(AND(A90&lt;&gt;"",A90='Project Summary'!$C$3,C90&lt;&gt;""),COUNTIFS($A$2:$A90,'Project Summary'!$C$3,$C$2:$C90,"&lt;&gt;"),"")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4"/>
      <c r="G91" s="41"/>
      <c r="H91" s="32"/>
      <c r="I91" s="35"/>
      <c r="J91" s="35"/>
      <c r="K91" s="33"/>
      <c r="L91" s="37" t="str">
        <f aca="false">IF(AND(A91&lt;&gt;"",A91='Project Summary'!$C$3,C91&lt;&gt;""),COUNTIFS($A$2:$A91,'Project Summary'!$C$3,$C$2:$C91,"&lt;&gt;"),"")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4"/>
      <c r="G92" s="41"/>
      <c r="H92" s="32"/>
      <c r="I92" s="35"/>
      <c r="J92" s="35"/>
      <c r="K92" s="33"/>
      <c r="L92" s="37" t="str">
        <f aca="false">IF(AND(A92&lt;&gt;"",A92='Project Summary'!$C$3,C92&lt;&gt;""),COUNTIFS($A$2:$A92,'Project Summary'!$C$3,$C$2:$C92,"&lt;&gt;"),"")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4"/>
      <c r="G93" s="41"/>
      <c r="H93" s="32"/>
      <c r="I93" s="35"/>
      <c r="J93" s="35"/>
      <c r="K93" s="33"/>
      <c r="L93" s="37" t="str">
        <f aca="false">IF(AND(A93&lt;&gt;"",A93='Project Summary'!$C$3,C93&lt;&gt;""),COUNTIFS($A$2:$A93,'Project Summary'!$C$3,$C$2:$C93,"&lt;&gt;"),"")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4"/>
      <c r="G94" s="41"/>
      <c r="H94" s="32"/>
      <c r="I94" s="35"/>
      <c r="J94" s="35"/>
      <c r="K94" s="33"/>
      <c r="L94" s="37" t="str">
        <f aca="false">IF(AND(A94&lt;&gt;"",A94='Project Summary'!$C$3,C94&lt;&gt;""),COUNTIFS($A$2:$A94,'Project Summary'!$C$3,$C$2:$C94,"&lt;&gt;"),"")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4"/>
      <c r="G95" s="41"/>
      <c r="H95" s="32"/>
      <c r="I95" s="35"/>
      <c r="J95" s="35"/>
      <c r="K95" s="33"/>
      <c r="L95" s="37" t="str">
        <f aca="false">IF(AND(A95&lt;&gt;"",A95='Project Summary'!$C$3,C95&lt;&gt;""),COUNTIFS($A$2:$A95,'Project Summary'!$C$3,$C$2:$C95,"&lt;&gt;"),"")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4"/>
      <c r="G96" s="41"/>
      <c r="H96" s="32"/>
      <c r="I96" s="35"/>
      <c r="J96" s="35"/>
      <c r="K96" s="33"/>
      <c r="L96" s="37" t="str">
        <f aca="false">IF(AND(A96&lt;&gt;"",A96='Project Summary'!$C$3,C96&lt;&gt;""),COUNTIFS($A$2:$A96,'Project Summary'!$C$3,$C$2:$C96,"&lt;&gt;"),"")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4"/>
      <c r="G97" s="41"/>
      <c r="H97" s="32"/>
      <c r="I97" s="35"/>
      <c r="J97" s="35"/>
      <c r="K97" s="33"/>
      <c r="L97" s="37" t="str">
        <f aca="false">IF(AND(A97&lt;&gt;"",A97='Project Summary'!$C$3,C97&lt;&gt;""),COUNTIFS($A$2:$A97,'Project Summary'!$C$3,$C$2:$C97,"&lt;&gt;"),"")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4"/>
      <c r="G98" s="41"/>
      <c r="H98" s="32"/>
      <c r="I98" s="35"/>
      <c r="J98" s="35"/>
      <c r="K98" s="33"/>
      <c r="L98" s="37" t="str">
        <f aca="false">IF(AND(A98&lt;&gt;"",A98='Project Summary'!$C$3,C98&lt;&gt;""),COUNTIFS($A$2:$A98,'Project Summary'!$C$3,$C$2:$C98,"&lt;&gt;"),"")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4"/>
      <c r="G99" s="41"/>
      <c r="H99" s="32"/>
      <c r="I99" s="35"/>
      <c r="J99" s="35"/>
      <c r="K99" s="33"/>
      <c r="L99" s="37" t="str">
        <f aca="false">IF(AND(A99&lt;&gt;"",A99='Project Summary'!$C$3,C99&lt;&gt;""),COUNTIFS($A$2:$A99,'Project Summary'!$C$3,$C$2:$C99,"&lt;&gt;"),"")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4"/>
      <c r="G100" s="41"/>
      <c r="H100" s="32"/>
      <c r="I100" s="35"/>
      <c r="J100" s="35"/>
      <c r="K100" s="33"/>
      <c r="L100" s="37" t="str">
        <f aca="false">IF(AND(A100&lt;&gt;"",A100='Project Summary'!$C$3,C100&lt;&gt;""),COUNTIFS($A$2:$A100,'Project Summary'!$C$3,$C$2:$C100,"&lt;&gt;"),"")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4"/>
      <c r="G101" s="41"/>
      <c r="H101" s="32"/>
      <c r="I101" s="35"/>
      <c r="J101" s="35"/>
      <c r="K101" s="33"/>
      <c r="L101" s="37" t="str">
        <f aca="false">IF(AND(A101&lt;&gt;"",A101='Project Summary'!$C$3,C101&lt;&gt;""),COUNTIFS($A$2:$A101,'Project Summary'!$C$3,$C$2:$C101,"&lt;&gt;"),"")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4"/>
      <c r="G102" s="41"/>
      <c r="H102" s="32"/>
      <c r="I102" s="35"/>
      <c r="J102" s="35"/>
      <c r="K102" s="33"/>
      <c r="L102" s="37" t="str">
        <f aca="false">IF(AND(A102&lt;&gt;"",A102='Project Summary'!$C$3,C102&lt;&gt;""),COUNTIFS($A$2:$A102,'Project Summary'!$C$3,$C$2:$C102,"&lt;&gt;"),"")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4"/>
      <c r="G103" s="41"/>
      <c r="H103" s="32"/>
      <c r="I103" s="35"/>
      <c r="J103" s="35"/>
      <c r="K103" s="33"/>
      <c r="L103" s="37" t="str">
        <f aca="false">IF(AND(A103&lt;&gt;"",A103='Project Summary'!$C$3,C103&lt;&gt;""),COUNTIFS($A$2:$A103,'Project Summary'!$C$3,$C$2:$C103,"&lt;&gt;"),"")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4"/>
      <c r="G104" s="41"/>
      <c r="H104" s="32"/>
      <c r="I104" s="35"/>
      <c r="J104" s="35"/>
      <c r="K104" s="33"/>
      <c r="L104" s="37" t="str">
        <f aca="false">IF(AND(A104&lt;&gt;"",A104='Project Summary'!$C$3,C104&lt;&gt;""),COUNTIFS($A$2:$A104,'Project Summary'!$C$3,$C$2:$C104,"&lt;&gt;"),"")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4"/>
      <c r="G105" s="41"/>
      <c r="H105" s="32"/>
      <c r="I105" s="35"/>
      <c r="J105" s="35"/>
      <c r="K105" s="33"/>
      <c r="L105" s="37" t="str">
        <f aca="false">IF(AND(A105&lt;&gt;"",A105='Project Summary'!$C$3,C105&lt;&gt;""),COUNTIFS($A$2:$A105,'Project Summary'!$C$3,$C$2:$C105,"&lt;&gt;"),"")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4"/>
      <c r="G106" s="41"/>
      <c r="H106" s="32"/>
      <c r="I106" s="35"/>
      <c r="J106" s="35"/>
      <c r="K106" s="33"/>
      <c r="L106" s="37" t="str">
        <f aca="false">IF(AND(A106&lt;&gt;"",A106='Project Summary'!$C$3,C106&lt;&gt;""),COUNTIFS($A$2:$A106,'Project Summary'!$C$3,$C$2:$C106,"&lt;&gt;"),"")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4"/>
      <c r="G107" s="41"/>
      <c r="H107" s="32"/>
      <c r="I107" s="35"/>
      <c r="J107" s="35"/>
      <c r="K107" s="33"/>
      <c r="L107" s="37" t="str">
        <f aca="false">IF(AND(A107&lt;&gt;"",A107='Project Summary'!$C$3,C107&lt;&gt;""),COUNTIFS($A$2:$A107,'Project Summary'!$C$3,$C$2:$C107,"&lt;&gt;"),"")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4"/>
      <c r="G108" s="41"/>
      <c r="H108" s="32"/>
      <c r="I108" s="35"/>
      <c r="J108" s="35"/>
      <c r="K108" s="33"/>
      <c r="L108" s="37" t="str">
        <f aca="false">IF(AND(A108&lt;&gt;"",A108='Project Summary'!$C$3,C108&lt;&gt;""),COUNTIFS($A$2:$A108,'Project Summary'!$C$3,$C$2:$C108,"&lt;&gt;"),"")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4"/>
      <c r="G109" s="41"/>
      <c r="H109" s="32"/>
      <c r="I109" s="35"/>
      <c r="J109" s="35"/>
      <c r="K109" s="33"/>
      <c r="L109" s="37" t="str">
        <f aca="false">IF(AND(A109&lt;&gt;"",A109='Project Summary'!$C$3,C109&lt;&gt;""),COUNTIFS($A$2:$A109,'Project Summary'!$C$3,$C$2:$C109,"&lt;&gt;"),"")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4"/>
      <c r="G110" s="41"/>
      <c r="H110" s="32"/>
      <c r="I110" s="35"/>
      <c r="J110" s="35"/>
      <c r="K110" s="33"/>
      <c r="L110" s="37" t="str">
        <f aca="false">IF(AND(A110&lt;&gt;"",A110='Project Summary'!$C$3,C110&lt;&gt;""),COUNTIFS($A$2:$A110,'Project Summary'!$C$3,$C$2:$C110,"&lt;&gt;"),"")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4"/>
      <c r="G111" s="41"/>
      <c r="H111" s="32"/>
      <c r="I111" s="35"/>
      <c r="J111" s="35"/>
      <c r="K111" s="33"/>
      <c r="L111" s="37" t="str">
        <f aca="false">IF(AND(A111&lt;&gt;"",A111='Project Summary'!$C$3,C111&lt;&gt;""),COUNTIFS($A$2:$A111,'Project Summary'!$C$3,$C$2:$C111,"&lt;&gt;"),"")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4"/>
      <c r="G112" s="41"/>
      <c r="H112" s="32"/>
      <c r="I112" s="35"/>
      <c r="J112" s="35"/>
      <c r="K112" s="33"/>
      <c r="L112" s="37" t="str">
        <f aca="false">IF(AND(A112&lt;&gt;"",A112='Project Summary'!$C$3,C112&lt;&gt;""),COUNTIFS($A$2:$A112,'Project Summary'!$C$3,$C$2:$C112,"&lt;&gt;"),"")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4"/>
      <c r="G113" s="41"/>
      <c r="H113" s="32"/>
      <c r="I113" s="35"/>
      <c r="J113" s="35"/>
      <c r="K113" s="33"/>
      <c r="L113" s="37" t="str">
        <f aca="false">IF(AND(A113&lt;&gt;"",A113='Project Summary'!$C$3,C113&lt;&gt;""),COUNTIFS($A$2:$A113,'Project Summary'!$C$3,$C$2:$C113,"&lt;&gt;"),"")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4"/>
      <c r="G114" s="41"/>
      <c r="H114" s="32"/>
      <c r="I114" s="35"/>
      <c r="J114" s="35"/>
      <c r="K114" s="33"/>
      <c r="L114" s="37" t="str">
        <f aca="false">IF(AND(A114&lt;&gt;"",A114='Project Summary'!$C$3,C114&lt;&gt;""),COUNTIFS($A$2:$A114,'Project Summary'!$C$3,$C$2:$C114,"&lt;&gt;"),"")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4"/>
      <c r="G115" s="41"/>
      <c r="H115" s="32"/>
      <c r="I115" s="35"/>
      <c r="J115" s="35"/>
      <c r="K115" s="33"/>
      <c r="L115" s="37" t="str">
        <f aca="false">IF(AND(A115&lt;&gt;"",A115='Project Summary'!$C$3,C115&lt;&gt;""),COUNTIFS($A$2:$A115,'Project Summary'!$C$3,$C$2:$C115,"&lt;&gt;"),"")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4"/>
      <c r="G116" s="41"/>
      <c r="H116" s="32"/>
      <c r="I116" s="35"/>
      <c r="J116" s="35"/>
      <c r="K116" s="33"/>
      <c r="L116" s="37" t="str">
        <f aca="false">IF(AND(A116&lt;&gt;"",A116='Project Summary'!$C$3,C116&lt;&gt;""),COUNTIFS($A$2:$A116,'Project Summary'!$C$3,$C$2:$C116,"&lt;&gt;"),"")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4"/>
      <c r="G117" s="41"/>
      <c r="H117" s="32"/>
      <c r="I117" s="35"/>
      <c r="J117" s="35"/>
      <c r="K117" s="33"/>
      <c r="L117" s="37" t="str">
        <f aca="false">IF(AND(A117&lt;&gt;"",A117='Project Summary'!$C$3,C117&lt;&gt;""),COUNTIFS($A$2:$A117,'Project Summary'!$C$3,$C$2:$C117,"&lt;&gt;"),"")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4"/>
      <c r="G118" s="41"/>
      <c r="H118" s="32"/>
      <c r="I118" s="35"/>
      <c r="J118" s="35"/>
      <c r="K118" s="33"/>
      <c r="L118" s="37" t="str">
        <f aca="false">IF(AND(A118&lt;&gt;"",A118='Project Summary'!$C$3,C118&lt;&gt;""),COUNTIFS($A$2:$A118,'Project Summary'!$C$3,$C$2:$C118,"&lt;&gt;"),"")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4"/>
      <c r="G119" s="41"/>
      <c r="H119" s="32"/>
      <c r="I119" s="35"/>
      <c r="J119" s="35"/>
      <c r="K119" s="33"/>
      <c r="L119" s="37" t="str">
        <f aca="false">IF(AND(A119&lt;&gt;"",A119='Project Summary'!$C$3,C119&lt;&gt;""),COUNTIFS($A$2:$A119,'Project Summary'!$C$3,$C$2:$C119,"&lt;&gt;"),"")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4"/>
      <c r="G120" s="41"/>
      <c r="H120" s="32"/>
      <c r="I120" s="35"/>
      <c r="J120" s="35"/>
      <c r="K120" s="33"/>
      <c r="L120" s="37" t="str">
        <f aca="false">IF(AND(A120&lt;&gt;"",A120='Project Summary'!$C$3,C120&lt;&gt;""),COUNTIFS($A$2:$A120,'Project Summary'!$C$3,$C$2:$C120,"&lt;&gt;"),"")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4"/>
      <c r="G121" s="41"/>
      <c r="H121" s="32"/>
      <c r="I121" s="35"/>
      <c r="J121" s="35"/>
      <c r="K121" s="33"/>
      <c r="L121" s="37" t="str">
        <f aca="false">IF(AND(A121&lt;&gt;"",A121='Project Summary'!$C$3,C121&lt;&gt;""),COUNTIFS($A$2:$A121,'Project Summary'!$C$3,$C$2:$C121,"&lt;&gt;"),"")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4"/>
      <c r="G122" s="41"/>
      <c r="H122" s="32"/>
      <c r="I122" s="35"/>
      <c r="J122" s="35"/>
      <c r="K122" s="33"/>
      <c r="L122" s="37" t="str">
        <f aca="false">IF(AND(A122&lt;&gt;"",A122='Project Summary'!$C$3,C122&lt;&gt;""),COUNTIFS($A$2:$A122,'Project Summary'!$C$3,$C$2:$C122,"&lt;&gt;"),"")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4"/>
      <c r="G123" s="41"/>
      <c r="H123" s="32"/>
      <c r="I123" s="35"/>
      <c r="J123" s="35"/>
      <c r="K123" s="33"/>
      <c r="L123" s="37" t="str">
        <f aca="false">IF(AND(A123&lt;&gt;"",A123='Project Summary'!$C$3,C123&lt;&gt;""),COUNTIFS($A$2:$A123,'Project Summary'!$C$3,$C$2:$C123,"&lt;&gt;"),"")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4"/>
      <c r="G124" s="41"/>
      <c r="H124" s="32"/>
      <c r="I124" s="35"/>
      <c r="J124" s="35"/>
      <c r="K124" s="33"/>
      <c r="L124" s="37" t="str">
        <f aca="false">IF(AND(A124&lt;&gt;"",A124='Project Summary'!$C$3,C124&lt;&gt;""),COUNTIFS($A$2:$A124,'Project Summary'!$C$3,$C$2:$C124,"&lt;&gt;"),"")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4"/>
      <c r="G125" s="41"/>
      <c r="H125" s="32"/>
      <c r="I125" s="35"/>
      <c r="J125" s="35"/>
      <c r="K125" s="33"/>
      <c r="L125" s="37" t="str">
        <f aca="false">IF(AND(A125&lt;&gt;"",A125='Project Summary'!$C$3,C125&lt;&gt;""),COUNTIFS($A$2:$A125,'Project Summary'!$C$3,$C$2:$C125,"&lt;&gt;"),"")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4"/>
      <c r="G126" s="41"/>
      <c r="H126" s="32"/>
      <c r="I126" s="35"/>
      <c r="J126" s="35"/>
      <c r="K126" s="33"/>
      <c r="L126" s="37" t="str">
        <f aca="false">IF(AND(A126&lt;&gt;"",A126='Project Summary'!$C$3,C126&lt;&gt;""),COUNTIFS($A$2:$A126,'Project Summary'!$C$3,$C$2:$C126,"&lt;&gt;"),"")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4"/>
      <c r="G127" s="41"/>
      <c r="H127" s="32"/>
      <c r="I127" s="35"/>
      <c r="J127" s="35"/>
      <c r="K127" s="33"/>
      <c r="L127" s="37" t="str">
        <f aca="false">IF(AND(A127&lt;&gt;"",A127='Project Summary'!$C$3,C127&lt;&gt;""),COUNTIFS($A$2:$A127,'Project Summary'!$C$3,$C$2:$C127,"&lt;&gt;"),"")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4"/>
      <c r="G128" s="41"/>
      <c r="H128" s="32"/>
      <c r="I128" s="35"/>
      <c r="J128" s="35"/>
      <c r="K128" s="33"/>
      <c r="L128" s="37" t="str">
        <f aca="false">IF(AND(A128&lt;&gt;"",A128='Project Summary'!$C$3,C128&lt;&gt;""),COUNTIFS($A$2:$A128,'Project Summary'!$C$3,$C$2:$C128,"&lt;&gt;"),"")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4"/>
      <c r="G129" s="41"/>
      <c r="H129" s="32"/>
      <c r="I129" s="35"/>
      <c r="J129" s="35"/>
      <c r="K129" s="33"/>
      <c r="L129" s="37" t="str">
        <f aca="false">IF(AND(A129&lt;&gt;"",A129='Project Summary'!$C$3,C129&lt;&gt;""),COUNTIFS($A$2:$A129,'Project Summary'!$C$3,$C$2:$C129,"&lt;&gt;"),"")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4"/>
      <c r="G130" s="41"/>
      <c r="H130" s="32"/>
      <c r="I130" s="35"/>
      <c r="J130" s="35"/>
      <c r="K130" s="33"/>
      <c r="L130" s="37" t="str">
        <f aca="false">IF(AND(A130&lt;&gt;"",A130='Project Summary'!$C$3,C130&lt;&gt;""),COUNTIFS($A$2:$A130,'Project Summary'!$C$3,$C$2:$C130,"&lt;&gt;"),"")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4"/>
      <c r="G131" s="41"/>
      <c r="H131" s="32"/>
      <c r="I131" s="35"/>
      <c r="J131" s="35"/>
      <c r="K131" s="33"/>
      <c r="L131" s="37" t="str">
        <f aca="false">IF(AND(A131&lt;&gt;"",A131='Project Summary'!$C$3,C131&lt;&gt;""),COUNTIFS($A$2:$A131,'Project Summary'!$C$3,$C$2:$C131,"&lt;&gt;"),"")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4"/>
      <c r="G132" s="41"/>
      <c r="H132" s="32"/>
      <c r="I132" s="35"/>
      <c r="J132" s="35"/>
      <c r="K132" s="33"/>
      <c r="L132" s="37" t="str">
        <f aca="false">IF(AND(A132&lt;&gt;"",A132='Project Summary'!$C$3,C132&lt;&gt;""),COUNTIFS($A$2:$A132,'Project Summary'!$C$3,$C$2:$C132,"&lt;&gt;"),"")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4"/>
      <c r="G133" s="41"/>
      <c r="H133" s="32"/>
      <c r="I133" s="35"/>
      <c r="J133" s="35"/>
      <c r="K133" s="33"/>
      <c r="L133" s="37" t="str">
        <f aca="false">IF(AND(A133&lt;&gt;"",A133='Project Summary'!$C$3,C133&lt;&gt;""),COUNTIFS($A$2:$A133,'Project Summary'!$C$3,$C$2:$C133,"&lt;&gt;"),"")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4"/>
      <c r="G134" s="41"/>
      <c r="H134" s="32"/>
      <c r="I134" s="35"/>
      <c r="J134" s="35"/>
      <c r="K134" s="33"/>
      <c r="L134" s="37" t="str">
        <f aca="false">IF(AND(A134&lt;&gt;"",A134='Project Summary'!$C$3,C134&lt;&gt;""),COUNTIFS($A$2:$A134,'Project Summary'!$C$3,$C$2:$C134,"&lt;&gt;"),"")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4"/>
      <c r="G135" s="41"/>
      <c r="H135" s="32"/>
      <c r="I135" s="35"/>
      <c r="J135" s="35"/>
      <c r="K135" s="33"/>
      <c r="L135" s="37" t="str">
        <f aca="false">IF(AND(A135&lt;&gt;"",A135='Project Summary'!$C$3,C135&lt;&gt;""),COUNTIFS($A$2:$A135,'Project Summary'!$C$3,$C$2:$C135,"&lt;&gt;"),"")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4"/>
      <c r="G136" s="41"/>
      <c r="H136" s="32"/>
      <c r="I136" s="35"/>
      <c r="J136" s="35"/>
      <c r="K136" s="33"/>
      <c r="L136" s="37" t="str">
        <f aca="false">IF(AND(A136&lt;&gt;"",A136='Project Summary'!$C$3,C136&lt;&gt;""),COUNTIFS($A$2:$A136,'Project Summary'!$C$3,$C$2:$C136,"&lt;&gt;"),"")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4"/>
      <c r="G137" s="41"/>
      <c r="H137" s="32"/>
      <c r="I137" s="35"/>
      <c r="J137" s="35"/>
      <c r="K137" s="33"/>
      <c r="L137" s="37" t="str">
        <f aca="false">IF(AND(A137&lt;&gt;"",A137='Project Summary'!$C$3,C137&lt;&gt;""),COUNTIFS($A$2:$A137,'Project Summary'!$C$3,$C$2:$C137,"&lt;&gt;"),"")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4"/>
      <c r="G138" s="41"/>
      <c r="H138" s="32"/>
      <c r="I138" s="35"/>
      <c r="J138" s="35"/>
      <c r="K138" s="33"/>
      <c r="L138" s="37" t="str">
        <f aca="false">IF(AND(A138&lt;&gt;"",A138='Project Summary'!$C$3,C138&lt;&gt;""),COUNTIFS($A$2:$A138,'Project Summary'!$C$3,$C$2:$C138,"&lt;&gt;"),"")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4"/>
      <c r="G139" s="41"/>
      <c r="H139" s="32"/>
      <c r="I139" s="35"/>
      <c r="J139" s="35"/>
      <c r="K139" s="33"/>
      <c r="L139" s="37" t="str">
        <f aca="false">IF(AND(A139&lt;&gt;"",A139='Project Summary'!$C$3,C139&lt;&gt;""),COUNTIFS($A$2:$A139,'Project Summary'!$C$3,$C$2:$C139,"&lt;&gt;"),"")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4"/>
      <c r="G140" s="41"/>
      <c r="H140" s="32"/>
      <c r="I140" s="35"/>
      <c r="J140" s="35"/>
      <c r="K140" s="33"/>
      <c r="L140" s="37" t="str">
        <f aca="false">IF(AND(A140&lt;&gt;"",A140='Project Summary'!$C$3,C140&lt;&gt;""),COUNTIFS($A$2:$A140,'Project Summary'!$C$3,$C$2:$C140,"&lt;&gt;"),"")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4"/>
      <c r="G141" s="41"/>
      <c r="H141" s="32"/>
      <c r="I141" s="35"/>
      <c r="J141" s="35"/>
      <c r="K141" s="33"/>
      <c r="L141" s="37" t="str">
        <f aca="false">IF(AND(A141&lt;&gt;"",A141='Project Summary'!$C$3,C141&lt;&gt;""),COUNTIFS($A$2:$A141,'Project Summary'!$C$3,$C$2:$C141,"&lt;&gt;"),"")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4"/>
      <c r="G142" s="41"/>
      <c r="H142" s="32"/>
      <c r="I142" s="35"/>
      <c r="J142" s="35"/>
      <c r="K142" s="33"/>
      <c r="L142" s="37" t="str">
        <f aca="false">IF(AND(A142&lt;&gt;"",A142='Project Summary'!$C$3,C142&lt;&gt;""),COUNTIFS($A$2:$A142,'Project Summary'!$C$3,$C$2:$C142,"&lt;&gt;"),"")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4"/>
      <c r="G143" s="41"/>
      <c r="H143" s="32"/>
      <c r="I143" s="35"/>
      <c r="J143" s="35"/>
      <c r="K143" s="33"/>
      <c r="L143" s="37" t="str">
        <f aca="false">IF(AND(A143&lt;&gt;"",A143='Project Summary'!$C$3,C143&lt;&gt;""),COUNTIFS($A$2:$A143,'Project Summary'!$C$3,$C$2:$C143,"&lt;&gt;"),"")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4"/>
      <c r="G144" s="41"/>
      <c r="H144" s="32"/>
      <c r="I144" s="35"/>
      <c r="J144" s="35"/>
      <c r="K144" s="33"/>
      <c r="L144" s="37" t="str">
        <f aca="false">IF(AND(A144&lt;&gt;"",A144='Project Summary'!$C$3,C144&lt;&gt;""),COUNTIFS($A$2:$A144,'Project Summary'!$C$3,$C$2:$C144,"&lt;&gt;"),"")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4"/>
      <c r="G145" s="41"/>
      <c r="H145" s="32"/>
      <c r="I145" s="35"/>
      <c r="J145" s="35"/>
      <c r="K145" s="33"/>
      <c r="L145" s="37" t="str">
        <f aca="false">IF(AND(A145&lt;&gt;"",A145='Project Summary'!$C$3,C145&lt;&gt;""),COUNTIFS($A$2:$A145,'Project Summary'!$C$3,$C$2:$C145,"&lt;&gt;"),"")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4"/>
      <c r="G146" s="41"/>
      <c r="H146" s="32"/>
      <c r="I146" s="35"/>
      <c r="J146" s="35"/>
      <c r="K146" s="33"/>
      <c r="L146" s="37" t="str">
        <f aca="false">IF(AND(A146&lt;&gt;"",A146='Project Summary'!$C$3,C146&lt;&gt;""),COUNTIFS($A$2:$A146,'Project Summary'!$C$3,$C$2:$C146,"&lt;&gt;"),"")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4"/>
      <c r="G147" s="41"/>
      <c r="H147" s="32"/>
      <c r="I147" s="35"/>
      <c r="J147" s="35"/>
      <c r="K147" s="33"/>
      <c r="L147" s="37" t="str">
        <f aca="false">IF(AND(A147&lt;&gt;"",A147='Project Summary'!$C$3,C147&lt;&gt;""),COUNTIFS($A$2:$A147,'Project Summary'!$C$3,$C$2:$C147,"&lt;&gt;"),"")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4"/>
      <c r="G148" s="41"/>
      <c r="H148" s="32"/>
      <c r="I148" s="35"/>
      <c r="J148" s="35"/>
      <c r="K148" s="33"/>
      <c r="L148" s="37" t="str">
        <f aca="false">IF(AND(A148&lt;&gt;"",A148='Project Summary'!$C$3,C148&lt;&gt;""),COUNTIFS($A$2:$A148,'Project Summary'!$C$3,$C$2:$C148,"&lt;&gt;"),"")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4"/>
      <c r="G149" s="41"/>
      <c r="H149" s="32"/>
      <c r="I149" s="35"/>
      <c r="J149" s="35"/>
      <c r="K149" s="33"/>
      <c r="L149" s="37" t="str">
        <f aca="false">IF(AND(A149&lt;&gt;"",A149='Project Summary'!$C$3,C149&lt;&gt;""),COUNTIFS($A$2:$A149,'Project Summary'!$C$3,$C$2:$C149,"&lt;&gt;"),"")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4"/>
      <c r="G150" s="41"/>
      <c r="H150" s="32"/>
      <c r="I150" s="35"/>
      <c r="J150" s="35"/>
      <c r="K150" s="33"/>
      <c r="L150" s="37" t="str">
        <f aca="false">IF(AND(A150&lt;&gt;"",A150='Project Summary'!$C$3,C150&lt;&gt;""),COUNTIFS($A$2:$A150,'Project Summary'!$C$3,$C$2:$C150,"&lt;&gt;"),"")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4"/>
      <c r="G151" s="41"/>
      <c r="H151" s="32"/>
      <c r="I151" s="35"/>
      <c r="J151" s="35"/>
      <c r="K151" s="33"/>
      <c r="L151" s="37" t="str">
        <f aca="false">IF(AND(A151&lt;&gt;"",A151='Project Summary'!$C$3,C151&lt;&gt;""),COUNTIFS($A$2:$A151,'Project Summary'!$C$3,$C$2:$C151,"&lt;&gt;"),"")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4"/>
      <c r="G152" s="41"/>
      <c r="H152" s="32"/>
      <c r="I152" s="35"/>
      <c r="J152" s="35"/>
      <c r="K152" s="33"/>
      <c r="L152" s="37" t="str">
        <f aca="false">IF(AND(A152&lt;&gt;"",A152='Project Summary'!$C$3,C152&lt;&gt;""),COUNTIFS($A$2:$A152,'Project Summary'!$C$3,$C$2:$C152,"&lt;&gt;"),"")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4"/>
      <c r="G153" s="41"/>
      <c r="H153" s="32"/>
      <c r="I153" s="35"/>
      <c r="J153" s="35"/>
      <c r="K153" s="33"/>
      <c r="L153" s="37" t="str">
        <f aca="false">IF(AND(A153&lt;&gt;"",A153='Project Summary'!$C$3,C153&lt;&gt;""),COUNTIFS($A$2:$A153,'Project Summary'!$C$3,$C$2:$C153,"&lt;&gt;"),"")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4"/>
      <c r="G154" s="41"/>
      <c r="H154" s="32"/>
      <c r="I154" s="35"/>
      <c r="J154" s="35"/>
      <c r="K154" s="33"/>
      <c r="L154" s="37" t="str">
        <f aca="false">IF(AND(A154&lt;&gt;"",A154='Project Summary'!$C$3,C154&lt;&gt;""),COUNTIFS($A$2:$A154,'Project Summary'!$C$3,$C$2:$C154,"&lt;&gt;"),"")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4"/>
      <c r="G155" s="41"/>
      <c r="H155" s="32"/>
      <c r="I155" s="35"/>
      <c r="J155" s="35"/>
      <c r="K155" s="33"/>
      <c r="L155" s="37" t="str">
        <f aca="false">IF(AND(A155&lt;&gt;"",A155='Project Summary'!$C$3,C155&lt;&gt;""),COUNTIFS($A$2:$A155,'Project Summary'!$C$3,$C$2:$C155,"&lt;&gt;"),"")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4"/>
      <c r="G156" s="41"/>
      <c r="H156" s="32"/>
      <c r="I156" s="35"/>
      <c r="J156" s="35"/>
      <c r="K156" s="33"/>
      <c r="L156" s="37" t="str">
        <f aca="false">IF(AND(A156&lt;&gt;"",A156='Project Summary'!$C$3,C156&lt;&gt;""),COUNTIFS($A$2:$A156,'Project Summary'!$C$3,$C$2:$C156,"&lt;&gt;"),"")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4"/>
      <c r="G157" s="41"/>
      <c r="H157" s="32"/>
      <c r="I157" s="35"/>
      <c r="J157" s="35"/>
      <c r="K157" s="33"/>
      <c r="L157" s="37" t="str">
        <f aca="false">IF(AND(A157&lt;&gt;"",A157='Project Summary'!$C$3,C157&lt;&gt;""),COUNTIFS($A$2:$A157,'Project Summary'!$C$3,$C$2:$C157,"&lt;&gt;"),"")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4"/>
      <c r="G158" s="41"/>
      <c r="H158" s="32"/>
      <c r="I158" s="35"/>
      <c r="J158" s="35"/>
      <c r="K158" s="33"/>
      <c r="L158" s="37" t="str">
        <f aca="false">IF(AND(A158&lt;&gt;"",A158='Project Summary'!$C$3,C158&lt;&gt;""),COUNTIFS($A$2:$A158,'Project Summary'!$C$3,$C$2:$C158,"&lt;&gt;"),"")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4"/>
      <c r="G159" s="41"/>
      <c r="H159" s="32"/>
      <c r="I159" s="35"/>
      <c r="J159" s="35"/>
      <c r="K159" s="33"/>
      <c r="L159" s="37" t="str">
        <f aca="false">IF(AND(A159&lt;&gt;"",A159='Project Summary'!$C$3,C159&lt;&gt;""),COUNTIFS($A$2:$A159,'Project Summary'!$C$3,$C$2:$C159,"&lt;&gt;"),"")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4"/>
      <c r="G160" s="41"/>
      <c r="H160" s="32"/>
      <c r="I160" s="35"/>
      <c r="J160" s="35"/>
      <c r="K160" s="33"/>
      <c r="L160" s="37" t="str">
        <f aca="false">IF(AND(A160&lt;&gt;"",A160='Project Summary'!$C$3,C160&lt;&gt;""),COUNTIFS($A$2:$A160,'Project Summary'!$C$3,$C$2:$C160,"&lt;&gt;"),"")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4"/>
      <c r="G161" s="41"/>
      <c r="H161" s="32"/>
      <c r="I161" s="35"/>
      <c r="J161" s="35"/>
      <c r="K161" s="33"/>
      <c r="L161" s="37" t="str">
        <f aca="false">IF(AND(A161&lt;&gt;"",A161='Project Summary'!$C$3,C161&lt;&gt;""),COUNTIFS($A$2:$A161,'Project Summary'!$C$3,$C$2:$C161,"&lt;&gt;"),"")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4"/>
      <c r="G162" s="41"/>
      <c r="H162" s="32"/>
      <c r="I162" s="35"/>
      <c r="J162" s="35"/>
      <c r="K162" s="33"/>
      <c r="L162" s="37" t="str">
        <f aca="false">IF(AND(A162&lt;&gt;"",A162='Project Summary'!$C$3,C162&lt;&gt;""),COUNTIFS($A$2:$A162,'Project Summary'!$C$3,$C$2:$C162,"&lt;&gt;"),"")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4"/>
      <c r="G163" s="41"/>
      <c r="H163" s="32"/>
      <c r="I163" s="35"/>
      <c r="J163" s="35"/>
      <c r="K163" s="33"/>
      <c r="L163" s="37" t="str">
        <f aca="false">IF(AND(A163&lt;&gt;"",A163='Project Summary'!$C$3,C163&lt;&gt;""),COUNTIFS($A$2:$A163,'Project Summary'!$C$3,$C$2:$C163,"&lt;&gt;"),"")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4"/>
      <c r="G164" s="41"/>
      <c r="H164" s="32"/>
      <c r="I164" s="35"/>
      <c r="J164" s="35"/>
      <c r="K164" s="33"/>
      <c r="L164" s="37" t="str">
        <f aca="false">IF(AND(A164&lt;&gt;"",A164='Project Summary'!$C$3,C164&lt;&gt;""),COUNTIFS($A$2:$A164,'Project Summary'!$C$3,$C$2:$C164,"&lt;&gt;"),"")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4"/>
      <c r="G165" s="41"/>
      <c r="H165" s="32"/>
      <c r="I165" s="35"/>
      <c r="J165" s="35"/>
      <c r="K165" s="33"/>
      <c r="L165" s="37" t="str">
        <f aca="false">IF(AND(A165&lt;&gt;"",A165='Project Summary'!$C$3,C165&lt;&gt;""),COUNTIFS($A$2:$A165,'Project Summary'!$C$3,$C$2:$C165,"&lt;&gt;"),"")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4"/>
      <c r="G166" s="41"/>
      <c r="H166" s="32"/>
      <c r="I166" s="35"/>
      <c r="J166" s="35"/>
      <c r="K166" s="33"/>
      <c r="L166" s="37" t="str">
        <f aca="false">IF(AND(A166&lt;&gt;"",A166='Project Summary'!$C$3,C166&lt;&gt;""),COUNTIFS($A$2:$A166,'Project Summary'!$C$3,$C$2:$C166,"&lt;&gt;"),"")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4"/>
      <c r="G167" s="41"/>
      <c r="H167" s="32"/>
      <c r="I167" s="35"/>
      <c r="J167" s="35"/>
      <c r="K167" s="33"/>
      <c r="L167" s="37" t="str">
        <f aca="false">IF(AND(A167&lt;&gt;"",A167='Project Summary'!$C$3,C167&lt;&gt;""),COUNTIFS($A$2:$A167,'Project Summary'!$C$3,$C$2:$C167,"&lt;&gt;"),"")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4"/>
      <c r="G168" s="41"/>
      <c r="H168" s="32"/>
      <c r="I168" s="35"/>
      <c r="J168" s="35"/>
      <c r="K168" s="33"/>
      <c r="L168" s="37" t="str">
        <f aca="false">IF(AND(A168&lt;&gt;"",A168='Project Summary'!$C$3,C168&lt;&gt;""),COUNTIFS($A$2:$A168,'Project Summary'!$C$3,$C$2:$C168,"&lt;&gt;"),"")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4"/>
      <c r="G169" s="41"/>
      <c r="H169" s="32"/>
      <c r="I169" s="35"/>
      <c r="J169" s="35"/>
      <c r="K169" s="33"/>
      <c r="L169" s="37" t="str">
        <f aca="false">IF(AND(A169&lt;&gt;"",A169='Project Summary'!$C$3,C169&lt;&gt;""),COUNTIFS($A$2:$A169,'Project Summary'!$C$3,$C$2:$C169,"&lt;&gt;"),"")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4"/>
      <c r="G170" s="41"/>
      <c r="H170" s="32"/>
      <c r="I170" s="35"/>
      <c r="J170" s="35"/>
      <c r="K170" s="33"/>
      <c r="L170" s="37" t="str">
        <f aca="false">IF(AND(A170&lt;&gt;"",A170='Project Summary'!$C$3,C170&lt;&gt;""),COUNTIFS($A$2:$A170,'Project Summary'!$C$3,$C$2:$C170,"&lt;&gt;"),"")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4"/>
      <c r="G171" s="41"/>
      <c r="H171" s="32"/>
      <c r="I171" s="35"/>
      <c r="J171" s="35"/>
      <c r="K171" s="33"/>
      <c r="L171" s="37" t="str">
        <f aca="false">IF(AND(A171&lt;&gt;"",A171='Project Summary'!$C$3,C171&lt;&gt;""),COUNTIFS($A$2:$A171,'Project Summary'!$C$3,$C$2:$C171,"&lt;&gt;"),"")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4"/>
      <c r="G172" s="41"/>
      <c r="H172" s="32"/>
      <c r="I172" s="35"/>
      <c r="J172" s="35"/>
      <c r="K172" s="33"/>
      <c r="L172" s="37" t="str">
        <f aca="false">IF(AND(A172&lt;&gt;"",A172='Project Summary'!$C$3,C172&lt;&gt;""),COUNTIFS($A$2:$A172,'Project Summary'!$C$3,$C$2:$C172,"&lt;&gt;"),"")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4"/>
      <c r="G173" s="41"/>
      <c r="H173" s="32"/>
      <c r="I173" s="35"/>
      <c r="J173" s="35"/>
      <c r="K173" s="33"/>
      <c r="L173" s="37" t="str">
        <f aca="false">IF(AND(A173&lt;&gt;"",A173='Project Summary'!$C$3,C173&lt;&gt;""),COUNTIFS($A$2:$A173,'Project Summary'!$C$3,$C$2:$C173,"&lt;&gt;"),"")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4"/>
      <c r="G174" s="41"/>
      <c r="H174" s="32"/>
      <c r="I174" s="35"/>
      <c r="J174" s="35"/>
      <c r="K174" s="33"/>
      <c r="L174" s="37" t="str">
        <f aca="false">IF(AND(A174&lt;&gt;"",A174='Project Summary'!$C$3,C174&lt;&gt;""),COUNTIFS($A$2:$A174,'Project Summary'!$C$3,$C$2:$C174,"&lt;&gt;"),"")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4"/>
      <c r="G175" s="41"/>
      <c r="H175" s="32"/>
      <c r="I175" s="35"/>
      <c r="J175" s="35"/>
      <c r="K175" s="33"/>
      <c r="L175" s="37" t="str">
        <f aca="false">IF(AND(A175&lt;&gt;"",A175='Project Summary'!$C$3,C175&lt;&gt;""),COUNTIFS($A$2:$A175,'Project Summary'!$C$3,$C$2:$C175,"&lt;&gt;"),"")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4"/>
      <c r="G176" s="41"/>
      <c r="H176" s="32"/>
      <c r="I176" s="35"/>
      <c r="J176" s="35"/>
      <c r="K176" s="33"/>
      <c r="L176" s="37" t="str">
        <f aca="false">IF(AND(A176&lt;&gt;"",A176='Project Summary'!$C$3,C176&lt;&gt;""),COUNTIFS($A$2:$A176,'Project Summary'!$C$3,$C$2:$C176,"&lt;&gt;"),"")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4"/>
      <c r="G177" s="41"/>
      <c r="H177" s="32"/>
      <c r="I177" s="35"/>
      <c r="J177" s="35"/>
      <c r="K177" s="33"/>
      <c r="L177" s="37" t="str">
        <f aca="false">IF(AND(A177&lt;&gt;"",A177='Project Summary'!$C$3,C177&lt;&gt;""),COUNTIFS($A$2:$A177,'Project Summary'!$C$3,$C$2:$C177,"&lt;&gt;"),"")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4"/>
      <c r="G178" s="41"/>
      <c r="H178" s="32"/>
      <c r="I178" s="35"/>
      <c r="J178" s="35"/>
      <c r="K178" s="33"/>
      <c r="L178" s="37" t="str">
        <f aca="false">IF(AND(A178&lt;&gt;"",A178='Project Summary'!$C$3,C178&lt;&gt;""),COUNTIFS($A$2:$A178,'Project Summary'!$C$3,$C$2:$C178,"&lt;&gt;"),"")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4"/>
      <c r="G179" s="41"/>
      <c r="H179" s="32"/>
      <c r="I179" s="35"/>
      <c r="J179" s="35"/>
      <c r="K179" s="33"/>
      <c r="L179" s="37" t="str">
        <f aca="false">IF(AND(A179&lt;&gt;"",A179='Project Summary'!$C$3,C179&lt;&gt;""),COUNTIFS($A$2:$A179,'Project Summary'!$C$3,$C$2:$C179,"&lt;&gt;"),"")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4"/>
      <c r="G180" s="41"/>
      <c r="H180" s="32"/>
      <c r="I180" s="35"/>
      <c r="J180" s="35"/>
      <c r="K180" s="33"/>
      <c r="L180" s="37" t="str">
        <f aca="false">IF(AND(A180&lt;&gt;"",A180='Project Summary'!$C$3,C180&lt;&gt;""),COUNTIFS($A$2:$A180,'Project Summary'!$C$3,$C$2:$C180,"&lt;&gt;"),"")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4"/>
      <c r="G181" s="41"/>
      <c r="H181" s="32"/>
      <c r="I181" s="35"/>
      <c r="J181" s="35"/>
      <c r="K181" s="33"/>
      <c r="L181" s="37" t="str">
        <f aca="false">IF(AND(A181&lt;&gt;"",A181='Project Summary'!$C$3,C181&lt;&gt;""),COUNTIFS($A$2:$A181,'Project Summary'!$C$3,$C$2:$C181,"&lt;&gt;"),"")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4"/>
      <c r="G182" s="41"/>
      <c r="H182" s="32"/>
      <c r="I182" s="35"/>
      <c r="J182" s="35"/>
      <c r="K182" s="33"/>
      <c r="L182" s="37" t="str">
        <f aca="false">IF(AND(A182&lt;&gt;"",A182='Project Summary'!$C$3,C182&lt;&gt;""),COUNTIFS($A$2:$A182,'Project Summary'!$C$3,$C$2:$C182,"&lt;&gt;"),"")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4"/>
      <c r="G183" s="41"/>
      <c r="H183" s="32"/>
      <c r="I183" s="35"/>
      <c r="J183" s="35"/>
      <c r="K183" s="33"/>
      <c r="L183" s="37" t="str">
        <f aca="false">IF(AND(A183&lt;&gt;"",A183='Project Summary'!$C$3,C183&lt;&gt;""),COUNTIFS($A$2:$A183,'Project Summary'!$C$3,$C$2:$C183,"&lt;&gt;"),"")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4"/>
      <c r="G184" s="41"/>
      <c r="H184" s="32"/>
      <c r="I184" s="35"/>
      <c r="J184" s="35"/>
      <c r="K184" s="33"/>
      <c r="L184" s="37" t="str">
        <f aca="false">IF(AND(A184&lt;&gt;"",A184='Project Summary'!$C$3,C184&lt;&gt;""),COUNTIFS($A$2:$A184,'Project Summary'!$C$3,$C$2:$C184,"&lt;&gt;"),"")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4"/>
      <c r="G185" s="41"/>
      <c r="H185" s="32"/>
      <c r="I185" s="35"/>
      <c r="J185" s="35"/>
      <c r="K185" s="33"/>
      <c r="L185" s="37" t="str">
        <f aca="false">IF(AND(A185&lt;&gt;"",A185='Project Summary'!$C$3,C185&lt;&gt;""),COUNTIFS($A$2:$A185,'Project Summary'!$C$3,$C$2:$C185,"&lt;&gt;"),"")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4"/>
      <c r="G186" s="41"/>
      <c r="H186" s="32"/>
      <c r="I186" s="35"/>
      <c r="J186" s="35"/>
      <c r="K186" s="33"/>
      <c r="L186" s="37" t="str">
        <f aca="false">IF(AND(A186&lt;&gt;"",A186='Project Summary'!$C$3,C186&lt;&gt;""),COUNTIFS($A$2:$A186,'Project Summary'!$C$3,$C$2:$C186,"&lt;&gt;"),"")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4"/>
      <c r="G187" s="41"/>
      <c r="H187" s="32"/>
      <c r="I187" s="35"/>
      <c r="J187" s="35"/>
      <c r="K187" s="33"/>
      <c r="L187" s="37" t="str">
        <f aca="false">IF(AND(A187&lt;&gt;"",A187='Project Summary'!$C$3,C187&lt;&gt;""),COUNTIFS($A$2:$A187,'Project Summary'!$C$3,$C$2:$C187,"&lt;&gt;"),"")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4"/>
      <c r="G188" s="41"/>
      <c r="H188" s="32"/>
      <c r="I188" s="35"/>
      <c r="J188" s="35"/>
      <c r="K188" s="33"/>
      <c r="L188" s="37" t="str">
        <f aca="false">IF(AND(A188&lt;&gt;"",A188='Project Summary'!$C$3,C188&lt;&gt;""),COUNTIFS($A$2:$A188,'Project Summary'!$C$3,$C$2:$C188,"&lt;&gt;"),"")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4"/>
      <c r="G189" s="41"/>
      <c r="H189" s="32"/>
      <c r="I189" s="35"/>
      <c r="J189" s="35"/>
      <c r="K189" s="33"/>
      <c r="L189" s="37" t="str">
        <f aca="false">IF(AND(A189&lt;&gt;"",A189='Project Summary'!$C$3,C189&lt;&gt;""),COUNTIFS($A$2:$A189,'Project Summary'!$C$3,$C$2:$C189,"&lt;&gt;"),"")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4"/>
      <c r="G190" s="41"/>
      <c r="H190" s="32"/>
      <c r="I190" s="35"/>
      <c r="J190" s="35"/>
      <c r="K190" s="33"/>
      <c r="L190" s="37" t="str">
        <f aca="false">IF(AND(A190&lt;&gt;"",A190='Project Summary'!$C$3,C190&lt;&gt;""),COUNTIFS($A$2:$A190,'Project Summary'!$C$3,$C$2:$C190,"&lt;&gt;"),"")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4"/>
      <c r="G191" s="41"/>
      <c r="H191" s="32"/>
      <c r="I191" s="35"/>
      <c r="J191" s="35"/>
      <c r="K191" s="33"/>
      <c r="L191" s="37" t="str">
        <f aca="false">IF(AND(A191&lt;&gt;"",A191='Project Summary'!$C$3,C191&lt;&gt;""),COUNTIFS($A$2:$A191,'Project Summary'!$C$3,$C$2:$C191,"&lt;&gt;"),"")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4"/>
      <c r="G192" s="41"/>
      <c r="H192" s="32"/>
      <c r="I192" s="35"/>
      <c r="J192" s="35"/>
      <c r="K192" s="33"/>
      <c r="L192" s="37" t="str">
        <f aca="false">IF(AND(A192&lt;&gt;"",A192='Project Summary'!$C$3,C192&lt;&gt;""),COUNTIFS($A$2:$A192,'Project Summary'!$C$3,$C$2:$C192,"&lt;&gt;"),"")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4"/>
      <c r="G193" s="41"/>
      <c r="H193" s="32"/>
      <c r="I193" s="35"/>
      <c r="J193" s="35"/>
      <c r="K193" s="33"/>
      <c r="L193" s="37" t="str">
        <f aca="false">IF(AND(A193&lt;&gt;"",A193='Project Summary'!$C$3,C193&lt;&gt;""),COUNTIFS($A$2:$A193,'Project Summary'!$C$3,$C$2:$C193,"&lt;&gt;"),"")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4"/>
      <c r="G194" s="41"/>
      <c r="H194" s="32"/>
      <c r="I194" s="35"/>
      <c r="J194" s="35"/>
      <c r="K194" s="33"/>
      <c r="L194" s="37" t="str">
        <f aca="false">IF(AND(A194&lt;&gt;"",A194='Project Summary'!$C$3,C194&lt;&gt;""),COUNTIFS($A$2:$A194,'Project Summary'!$C$3,$C$2:$C194,"&lt;&gt;"),"")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4"/>
      <c r="G195" s="41"/>
      <c r="H195" s="32"/>
      <c r="I195" s="35"/>
      <c r="J195" s="35"/>
      <c r="K195" s="33"/>
      <c r="L195" s="37" t="str">
        <f aca="false">IF(AND(A195&lt;&gt;"",A195='Project Summary'!$C$3,C195&lt;&gt;""),COUNTIFS($A$2:$A195,'Project Summary'!$C$3,$C$2:$C195,"&lt;&gt;"),"")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4"/>
      <c r="G196" s="41"/>
      <c r="H196" s="32"/>
      <c r="I196" s="35"/>
      <c r="J196" s="35"/>
      <c r="K196" s="33"/>
      <c r="L196" s="37" t="str">
        <f aca="false">IF(AND(A196&lt;&gt;"",A196='Project Summary'!$C$3,C196&lt;&gt;""),COUNTIFS($A$2:$A196,'Project Summary'!$C$3,$C$2:$C196,"&lt;&gt;"),"")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4"/>
      <c r="G197" s="41"/>
      <c r="H197" s="32"/>
      <c r="I197" s="35"/>
      <c r="J197" s="35"/>
      <c r="K197" s="33"/>
      <c r="L197" s="37" t="str">
        <f aca="false">IF(AND(A197&lt;&gt;"",A197='Project Summary'!$C$3,C197&lt;&gt;""),COUNTIFS($A$2:$A197,'Project Summary'!$C$3,$C$2:$C197,"&lt;&gt;"),"")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4"/>
      <c r="G198" s="41"/>
      <c r="H198" s="32"/>
      <c r="I198" s="35"/>
      <c r="J198" s="35"/>
      <c r="K198" s="33"/>
      <c r="L198" s="37" t="str">
        <f aca="false">IF(AND(A198&lt;&gt;"",A198='Project Summary'!$C$3,C198&lt;&gt;""),COUNTIFS($A$2:$A198,'Project Summary'!$C$3,$C$2:$C198,"&lt;&gt;"),"")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4"/>
      <c r="G199" s="41"/>
      <c r="H199" s="32"/>
      <c r="I199" s="35"/>
      <c r="J199" s="35"/>
      <c r="K199" s="33"/>
      <c r="L199" s="37" t="str">
        <f aca="false">IF(AND(A199&lt;&gt;"",A199='Project Summary'!$C$3,C199&lt;&gt;""),COUNTIFS($A$2:$A199,'Project Summary'!$C$3,$C$2:$C199,"&lt;&gt;"),"")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4"/>
      <c r="G200" s="41"/>
      <c r="H200" s="32"/>
      <c r="I200" s="35"/>
      <c r="J200" s="35"/>
      <c r="K200" s="33"/>
      <c r="L200" s="37" t="str">
        <f aca="false">IF(AND(A200&lt;&gt;"",A200='Project Summary'!$C$3,C200&lt;&gt;""),COUNTIFS($A$2:$A200,'Project Summary'!$C$3,$C$2:$C200,"&lt;&gt;"),"")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4"/>
      <c r="G201" s="41"/>
      <c r="H201" s="32"/>
      <c r="I201" s="35"/>
      <c r="J201" s="35"/>
      <c r="K201" s="33"/>
      <c r="L201" s="37" t="str">
        <f aca="false">IF(AND(A201&lt;&gt;"",A201='Project Summary'!$C$3,C201&lt;&gt;""),COUNTIFS($A$2:$A201,'Project Summary'!$C$3,$C$2:$C201,"&lt;&gt;"),"")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4"/>
      <c r="G202" s="41"/>
      <c r="H202" s="32"/>
      <c r="I202" s="35"/>
      <c r="J202" s="35"/>
      <c r="K202" s="33"/>
      <c r="L202" s="37" t="str">
        <f aca="false">IF(AND(A202&lt;&gt;"",A202='Project Summary'!$C$3,C202&lt;&gt;""),COUNTIFS($A$2:$A202,'Project Summary'!$C$3,$C$2:$C202,"&lt;&gt;"),"")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4"/>
      <c r="G203" s="41"/>
      <c r="H203" s="32"/>
      <c r="I203" s="35"/>
      <c r="J203" s="35"/>
      <c r="K203" s="33"/>
      <c r="L203" s="37" t="str">
        <f aca="false">IF(AND(A203&lt;&gt;"",A203='Project Summary'!$C$3,C203&lt;&gt;""),COUNTIFS($A$2:$A203,'Project Summary'!$C$3,$C$2:$C203,"&lt;&gt;"),"")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4"/>
      <c r="G204" s="41"/>
      <c r="H204" s="32"/>
      <c r="I204" s="35"/>
      <c r="J204" s="35"/>
      <c r="K204" s="33"/>
      <c r="L204" s="37" t="str">
        <f aca="false">IF(AND(A204&lt;&gt;"",A204='Project Summary'!$C$3,C204&lt;&gt;""),COUNTIFS($A$2:$A204,'Project Summary'!$C$3,$C$2:$C204,"&lt;&gt;"),"")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4"/>
      <c r="G205" s="41"/>
      <c r="H205" s="32"/>
      <c r="I205" s="35"/>
      <c r="J205" s="35"/>
      <c r="K205" s="33"/>
      <c r="L205" s="37" t="str">
        <f aca="false">IF(AND(A205&lt;&gt;"",A205='Project Summary'!$C$3,C205&lt;&gt;""),COUNTIFS($A$2:$A205,'Project Summary'!$C$3,$C$2:$C205,"&lt;&gt;"),"")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4"/>
      <c r="G206" s="41"/>
      <c r="H206" s="32"/>
      <c r="I206" s="35"/>
      <c r="J206" s="35"/>
      <c r="K206" s="33"/>
      <c r="L206" s="37" t="str">
        <f aca="false">IF(AND(A206&lt;&gt;"",A206='Project Summary'!$C$3,C206&lt;&gt;""),COUNTIFS($A$2:$A206,'Project Summary'!$C$3,$C$2:$C206,"&lt;&gt;"),"")</f>
        <v/>
      </c>
    </row>
    <row r="207" customFormat="false" ht="15" hidden="false" customHeight="false" outlineLevel="0" collapsed="false">
      <c r="A207" s="32"/>
      <c r="B207" s="32"/>
      <c r="C207" s="32"/>
      <c r="D207" s="33"/>
      <c r="E207" s="32"/>
      <c r="F207" s="34"/>
      <c r="G207" s="41"/>
      <c r="H207" s="32"/>
      <c r="I207" s="35"/>
      <c r="J207" s="35"/>
      <c r="K207" s="33"/>
      <c r="L207" s="37" t="str">
        <f aca="false">IF(AND(A207&lt;&gt;"",A207='Project Summary'!$C$3,C207&lt;&gt;""),COUNTIFS($A$2:$A207,'Project Summary'!$C$3,$C$2:$C207,"&lt;&gt;"),"")</f>
        <v/>
      </c>
    </row>
    <row r="208" customFormat="false" ht="15" hidden="false" customHeight="false" outlineLevel="0" collapsed="false">
      <c r="A208" s="32"/>
      <c r="B208" s="32"/>
      <c r="C208" s="32"/>
      <c r="D208" s="33"/>
      <c r="E208" s="32"/>
      <c r="F208" s="34"/>
      <c r="G208" s="41"/>
      <c r="H208" s="32"/>
      <c r="I208" s="35"/>
      <c r="J208" s="35"/>
      <c r="K208" s="33"/>
      <c r="L208" s="37" t="str">
        <f aca="false">IF(AND(A208&lt;&gt;"",A208='Project Summary'!$C$3,C208&lt;&gt;""),COUNTIFS($A$2:$A208,'Project Summary'!$C$3,$C$2:$C208,"&lt;&gt;"),"")</f>
        <v/>
      </c>
    </row>
    <row r="209" customFormat="false" ht="15" hidden="false" customHeight="false" outlineLevel="0" collapsed="false">
      <c r="A209" s="32"/>
      <c r="B209" s="32"/>
      <c r="C209" s="32"/>
      <c r="D209" s="33"/>
      <c r="E209" s="32"/>
      <c r="F209" s="34"/>
      <c r="G209" s="41"/>
      <c r="H209" s="32"/>
      <c r="I209" s="35"/>
      <c r="J209" s="35"/>
      <c r="K209" s="33"/>
      <c r="L209" s="37" t="str">
        <f aca="false">IF(AND(A209&lt;&gt;"",A209='Project Summary'!$C$3,C209&lt;&gt;""),COUNTIFS($A$2:$A209,'Project Summary'!$C$3,$C$2:$C209,"&lt;&gt;"),"")</f>
        <v/>
      </c>
    </row>
    <row r="210" customFormat="false" ht="15" hidden="false" customHeight="false" outlineLevel="0" collapsed="false">
      <c r="A210" s="32"/>
      <c r="B210" s="32"/>
      <c r="C210" s="32"/>
      <c r="D210" s="33"/>
      <c r="E210" s="32"/>
      <c r="F210" s="34"/>
      <c r="G210" s="41"/>
      <c r="H210" s="32"/>
      <c r="I210" s="35"/>
      <c r="J210" s="35"/>
      <c r="K210" s="33"/>
      <c r="L210" s="37" t="str">
        <f aca="false">IF(AND(A210&lt;&gt;"",A210='Project Summary'!$C$3,C210&lt;&gt;""),COUNTIFS($A$2:$A210,'Project Summary'!$C$3,$C$2:$C210,"&lt;&gt;"),"")</f>
        <v/>
      </c>
    </row>
    <row r="211" customFormat="false" ht="15" hidden="false" customHeight="false" outlineLevel="0" collapsed="false">
      <c r="A211" s="32"/>
      <c r="B211" s="32"/>
      <c r="C211" s="32"/>
      <c r="D211" s="33"/>
      <c r="E211" s="32"/>
      <c r="F211" s="34"/>
      <c r="G211" s="41"/>
      <c r="H211" s="32"/>
      <c r="I211" s="35"/>
      <c r="J211" s="35"/>
      <c r="K211" s="33"/>
      <c r="L211" s="37" t="str">
        <f aca="false">IF(AND(A211&lt;&gt;"",A211='Project Summary'!$C$3,C211&lt;&gt;""),COUNTIFS($A$2:$A211,'Project Summary'!$C$3,$C$2:$C211,"&lt;&gt;"),"")</f>
        <v/>
      </c>
    </row>
    <row r="212" customFormat="false" ht="15" hidden="false" customHeight="false" outlineLevel="0" collapsed="false">
      <c r="A212" s="32"/>
      <c r="B212" s="32"/>
      <c r="C212" s="32"/>
      <c r="D212" s="33"/>
      <c r="E212" s="32"/>
      <c r="F212" s="34"/>
      <c r="G212" s="41"/>
      <c r="H212" s="32"/>
      <c r="I212" s="35"/>
      <c r="J212" s="35"/>
      <c r="K212" s="33"/>
      <c r="L212" s="37" t="str">
        <f aca="false">IF(AND(A212&lt;&gt;"",A212='Project Summary'!$C$3,C212&lt;&gt;""),COUNTIFS($A$2:$A212,'Project Summary'!$C$3,$C$2:$C212,"&lt;&gt;"),"")</f>
        <v/>
      </c>
    </row>
    <row r="213" customFormat="false" ht="15" hidden="false" customHeight="false" outlineLevel="0" collapsed="false">
      <c r="A213" s="32"/>
      <c r="B213" s="32"/>
      <c r="C213" s="32"/>
      <c r="D213" s="33"/>
      <c r="E213" s="32"/>
      <c r="F213" s="34"/>
      <c r="G213" s="41"/>
      <c r="H213" s="32"/>
      <c r="I213" s="35"/>
      <c r="J213" s="35"/>
      <c r="K213" s="33"/>
      <c r="L213" s="37" t="str">
        <f aca="false">IF(AND(A213&lt;&gt;"",A213='Project Summary'!$C$3,C213&lt;&gt;""),COUNTIFS($A$2:$A213,'Project Summary'!$C$3,$C$2:$C213,"&lt;&gt;"),"")</f>
        <v/>
      </c>
    </row>
    <row r="214" customFormat="false" ht="15" hidden="false" customHeight="false" outlineLevel="0" collapsed="false">
      <c r="A214" s="32"/>
      <c r="B214" s="32"/>
      <c r="C214" s="32"/>
      <c r="D214" s="33"/>
      <c r="E214" s="32"/>
      <c r="F214" s="34"/>
      <c r="G214" s="41"/>
      <c r="H214" s="32"/>
      <c r="I214" s="35"/>
      <c r="J214" s="35"/>
      <c r="K214" s="33"/>
      <c r="L214" s="37" t="str">
        <f aca="false">IF(AND(A214&lt;&gt;"",A214='Project Summary'!$C$3,C214&lt;&gt;""),COUNTIFS($A$2:$A214,'Project Summary'!$C$3,$C$2:$C214,"&lt;&gt;"),"")</f>
        <v/>
      </c>
    </row>
    <row r="215" customFormat="false" ht="15" hidden="false" customHeight="false" outlineLevel="0" collapsed="false">
      <c r="A215" s="32"/>
      <c r="B215" s="32"/>
      <c r="C215" s="32"/>
      <c r="D215" s="33"/>
      <c r="E215" s="32"/>
      <c r="F215" s="34"/>
      <c r="G215" s="41"/>
      <c r="H215" s="32"/>
      <c r="I215" s="35"/>
      <c r="J215" s="35"/>
      <c r="K215" s="33"/>
      <c r="L215" s="37" t="str">
        <f aca="false">IF(AND(A215&lt;&gt;"",A215='Project Summary'!$C$3,C215&lt;&gt;""),COUNTIFS($A$2:$A215,'Project Summary'!$C$3,$C$2:$C215,"&lt;&gt;"),"")</f>
        <v/>
      </c>
    </row>
    <row r="216" customFormat="false" ht="15" hidden="false" customHeight="false" outlineLevel="0" collapsed="false">
      <c r="A216" s="32"/>
      <c r="B216" s="32"/>
      <c r="C216" s="32"/>
      <c r="D216" s="33"/>
      <c r="E216" s="32"/>
      <c r="F216" s="34"/>
      <c r="G216" s="41"/>
      <c r="H216" s="32"/>
      <c r="I216" s="35"/>
      <c r="J216" s="35"/>
      <c r="K216" s="33"/>
      <c r="L216" s="37" t="str">
        <f aca="false">IF(AND(A216&lt;&gt;"",A216='Project Summary'!$C$3,C216&lt;&gt;""),COUNTIFS($A$2:$A216,'Project Summary'!$C$3,$C$2:$C216,"&lt;&gt;"),"")</f>
        <v/>
      </c>
    </row>
    <row r="217" customFormat="false" ht="15" hidden="false" customHeight="false" outlineLevel="0" collapsed="false">
      <c r="A217" s="32"/>
      <c r="B217" s="32"/>
      <c r="C217" s="32"/>
      <c r="D217" s="33"/>
      <c r="E217" s="32"/>
      <c r="F217" s="34"/>
      <c r="G217" s="41"/>
      <c r="H217" s="32"/>
      <c r="I217" s="35"/>
      <c r="J217" s="35"/>
      <c r="K217" s="33"/>
      <c r="L217" s="37" t="str">
        <f aca="false">IF(AND(A217&lt;&gt;"",A217='Project Summary'!$C$3,C217&lt;&gt;""),COUNTIFS($A$2:$A217,'Project Summary'!$C$3,$C$2:$C217,"&lt;&gt;"),"")</f>
        <v/>
      </c>
    </row>
    <row r="218" customFormat="false" ht="15" hidden="false" customHeight="false" outlineLevel="0" collapsed="false">
      <c r="A218" s="32"/>
      <c r="B218" s="32"/>
      <c r="C218" s="32"/>
      <c r="D218" s="33"/>
      <c r="E218" s="32"/>
      <c r="F218" s="34"/>
      <c r="G218" s="41"/>
      <c r="H218" s="32"/>
      <c r="I218" s="35"/>
      <c r="J218" s="35"/>
      <c r="K218" s="33"/>
      <c r="L218" s="37" t="str">
        <f aca="false">IF(AND(A218&lt;&gt;"",A218='Project Summary'!$C$3,C218&lt;&gt;""),COUNTIFS($A$2:$A218,'Project Summary'!$C$3,$C$2:$C218,"&lt;&gt;"),"")</f>
        <v/>
      </c>
    </row>
    <row r="219" customFormat="false" ht="15" hidden="false" customHeight="false" outlineLevel="0" collapsed="false">
      <c r="A219" s="32"/>
      <c r="B219" s="32"/>
      <c r="C219" s="32"/>
      <c r="D219" s="33"/>
      <c r="E219" s="32"/>
      <c r="F219" s="34"/>
      <c r="G219" s="41"/>
      <c r="H219" s="32"/>
      <c r="I219" s="35"/>
      <c r="J219" s="35"/>
      <c r="K219" s="33"/>
      <c r="L219" s="37" t="str">
        <f aca="false">IF(AND(A219&lt;&gt;"",A219='Project Summary'!$C$3,C219&lt;&gt;""),COUNTIFS($A$2:$A219,'Project Summary'!$C$3,$C$2:$C219,"&lt;&gt;"),"")</f>
        <v/>
      </c>
    </row>
    <row r="220" customFormat="false" ht="15" hidden="false" customHeight="false" outlineLevel="0" collapsed="false">
      <c r="A220" s="32"/>
      <c r="B220" s="32"/>
      <c r="C220" s="32"/>
      <c r="D220" s="33"/>
      <c r="E220" s="32"/>
      <c r="F220" s="34"/>
      <c r="G220" s="41"/>
      <c r="H220" s="32"/>
      <c r="I220" s="35"/>
      <c r="J220" s="35"/>
      <c r="K220" s="33"/>
      <c r="L220" s="37" t="str">
        <f aca="false">IF(AND(A220&lt;&gt;"",A220='Project Summary'!$C$3,C220&lt;&gt;""),COUNTIFS($A$2:$A220,'Project Summary'!$C$3,$C$2:$C220,"&lt;&gt;"),"")</f>
        <v/>
      </c>
    </row>
    <row r="221" customFormat="false" ht="15" hidden="false" customHeight="false" outlineLevel="0" collapsed="false">
      <c r="A221" s="32"/>
      <c r="B221" s="32"/>
      <c r="C221" s="32"/>
      <c r="D221" s="33"/>
      <c r="E221" s="32"/>
      <c r="F221" s="34"/>
      <c r="G221" s="41"/>
      <c r="H221" s="32"/>
      <c r="I221" s="35"/>
      <c r="J221" s="35"/>
      <c r="K221" s="33"/>
      <c r="L221" s="37" t="str">
        <f aca="false">IF(AND(A221&lt;&gt;"",A221='Project Summary'!$C$3,C221&lt;&gt;""),COUNTIFS($A$2:$A221,'Project Summary'!$C$3,$C$2:$C221,"&lt;&gt;"),"")</f>
        <v/>
      </c>
    </row>
    <row r="222" customFormat="false" ht="15" hidden="false" customHeight="false" outlineLevel="0" collapsed="false">
      <c r="A222" s="32"/>
      <c r="B222" s="32"/>
      <c r="C222" s="32"/>
      <c r="D222" s="33"/>
      <c r="E222" s="32"/>
      <c r="F222" s="34"/>
      <c r="G222" s="41"/>
      <c r="H222" s="32"/>
      <c r="I222" s="35"/>
      <c r="J222" s="35"/>
      <c r="K222" s="33"/>
      <c r="L222" s="37" t="str">
        <f aca="false">IF(AND(A222&lt;&gt;"",A222='Project Summary'!$C$3,C222&lt;&gt;""),COUNTIFS($A$2:$A222,'Project Summary'!$C$3,$C$2:$C222,"&lt;&gt;"),"")</f>
        <v/>
      </c>
    </row>
    <row r="223" customFormat="false" ht="15" hidden="false" customHeight="false" outlineLevel="0" collapsed="false">
      <c r="A223" s="32"/>
      <c r="B223" s="32"/>
      <c r="C223" s="32"/>
      <c r="D223" s="33"/>
      <c r="E223" s="32"/>
      <c r="F223" s="34"/>
      <c r="G223" s="41"/>
      <c r="H223" s="32"/>
      <c r="I223" s="35"/>
      <c r="J223" s="35"/>
      <c r="K223" s="33"/>
      <c r="L223" s="37" t="str">
        <f aca="false">IF(AND(A223&lt;&gt;"",A223='Project Summary'!$C$3,C223&lt;&gt;""),COUNTIFS($A$2:$A223,'Project Summary'!$C$3,$C$2:$C223,"&lt;&gt;"),"")</f>
        <v/>
      </c>
    </row>
    <row r="224" customFormat="false" ht="15" hidden="false" customHeight="false" outlineLevel="0" collapsed="false">
      <c r="A224" s="32"/>
      <c r="B224" s="32"/>
      <c r="C224" s="32"/>
      <c r="D224" s="33"/>
      <c r="E224" s="32"/>
      <c r="F224" s="34"/>
      <c r="G224" s="41"/>
      <c r="H224" s="32"/>
      <c r="I224" s="35"/>
      <c r="J224" s="35"/>
      <c r="K224" s="33"/>
      <c r="L224" s="37" t="str">
        <f aca="false">IF(AND(A224&lt;&gt;"",A224='Project Summary'!$C$3,C224&lt;&gt;""),COUNTIFS($A$2:$A224,'Project Summary'!$C$3,$C$2:$C224,"&lt;&gt;"),"")</f>
        <v/>
      </c>
    </row>
    <row r="225" customFormat="false" ht="15" hidden="false" customHeight="false" outlineLevel="0" collapsed="false">
      <c r="A225" s="32"/>
      <c r="B225" s="32"/>
      <c r="C225" s="32"/>
      <c r="D225" s="33"/>
      <c r="E225" s="32"/>
      <c r="F225" s="34"/>
      <c r="G225" s="41"/>
      <c r="H225" s="32"/>
      <c r="I225" s="35"/>
      <c r="J225" s="35"/>
      <c r="K225" s="33"/>
      <c r="L225" s="37" t="str">
        <f aca="false">IF(AND(A225&lt;&gt;"",A225='Project Summary'!$C$3,C225&lt;&gt;""),COUNTIFS($A$2:$A225,'Project Summary'!$C$3,$C$2:$C225,"&lt;&gt;"),"")</f>
        <v/>
      </c>
    </row>
    <row r="226" customFormat="false" ht="15" hidden="false" customHeight="false" outlineLevel="0" collapsed="false">
      <c r="A226" s="32"/>
      <c r="B226" s="32"/>
      <c r="C226" s="32"/>
      <c r="D226" s="33"/>
      <c r="E226" s="32"/>
      <c r="F226" s="34"/>
      <c r="G226" s="41"/>
      <c r="H226" s="32"/>
      <c r="I226" s="35"/>
      <c r="J226" s="35"/>
      <c r="K226" s="33"/>
      <c r="L226" s="37" t="str">
        <f aca="false">IF(AND(A226&lt;&gt;"",A226='Project Summary'!$C$3,C226&lt;&gt;""),COUNTIFS($A$2:$A226,'Project Summary'!$C$3,$C$2:$C226,"&lt;&gt;"),"")</f>
        <v/>
      </c>
    </row>
    <row r="227" customFormat="false" ht="15" hidden="false" customHeight="false" outlineLevel="0" collapsed="false">
      <c r="A227" s="32"/>
      <c r="B227" s="32"/>
      <c r="C227" s="32"/>
      <c r="D227" s="33"/>
      <c r="E227" s="32"/>
      <c r="F227" s="34"/>
      <c r="G227" s="41"/>
      <c r="H227" s="32"/>
      <c r="I227" s="35"/>
      <c r="J227" s="35"/>
      <c r="K227" s="33"/>
      <c r="L227" s="37" t="str">
        <f aca="false">IF(AND(A227&lt;&gt;"",A227='Project Summary'!$C$3,C227&lt;&gt;""),COUNTIFS($A$2:$A227,'Project Summary'!$C$3,$C$2:$C227,"&lt;&gt;"),"")</f>
        <v/>
      </c>
    </row>
    <row r="228" customFormat="false" ht="15" hidden="false" customHeight="false" outlineLevel="0" collapsed="false">
      <c r="A228" s="32"/>
      <c r="B228" s="32"/>
      <c r="C228" s="32"/>
      <c r="D228" s="33"/>
      <c r="E228" s="32"/>
      <c r="F228" s="34"/>
      <c r="G228" s="41"/>
      <c r="H228" s="32"/>
      <c r="I228" s="35"/>
      <c r="J228" s="35"/>
      <c r="K228" s="33"/>
      <c r="L228" s="37" t="str">
        <f aca="false">IF(AND(A228&lt;&gt;"",A228='Project Summary'!$C$3,C228&lt;&gt;""),COUNTIFS($A$2:$A228,'Project Summary'!$C$3,$C$2:$C228,"&lt;&gt;"),"")</f>
        <v/>
      </c>
    </row>
    <row r="229" customFormat="false" ht="15" hidden="false" customHeight="false" outlineLevel="0" collapsed="false">
      <c r="A229" s="32"/>
      <c r="B229" s="32"/>
      <c r="C229" s="32"/>
      <c r="D229" s="33"/>
      <c r="E229" s="32"/>
      <c r="F229" s="34"/>
      <c r="G229" s="41"/>
      <c r="H229" s="32"/>
      <c r="I229" s="35"/>
      <c r="J229" s="35"/>
      <c r="K229" s="33"/>
      <c r="L229" s="37" t="str">
        <f aca="false">IF(AND(A229&lt;&gt;"",A229='Project Summary'!$C$3,C229&lt;&gt;""),COUNTIFS($A$2:$A229,'Project Summary'!$C$3,$C$2:$C229,"&lt;&gt;"),"")</f>
        <v/>
      </c>
    </row>
    <row r="230" customFormat="false" ht="15" hidden="false" customHeight="false" outlineLevel="0" collapsed="false">
      <c r="A230" s="32"/>
      <c r="B230" s="32"/>
      <c r="C230" s="32"/>
      <c r="D230" s="33"/>
      <c r="E230" s="32"/>
      <c r="F230" s="34"/>
      <c r="G230" s="41"/>
      <c r="H230" s="32"/>
      <c r="I230" s="35"/>
      <c r="J230" s="35"/>
      <c r="K230" s="33"/>
      <c r="L230" s="37" t="str">
        <f aca="false">IF(AND(A230&lt;&gt;"",A230='Project Summary'!$C$3,C230&lt;&gt;""),COUNTIFS($A$2:$A230,'Project Summary'!$C$3,$C$2:$C230,"&lt;&gt;"),"")</f>
        <v/>
      </c>
    </row>
    <row r="231" customFormat="false" ht="15" hidden="false" customHeight="false" outlineLevel="0" collapsed="false">
      <c r="A231" s="32"/>
      <c r="B231" s="32"/>
      <c r="C231" s="32"/>
      <c r="D231" s="33"/>
      <c r="E231" s="32"/>
      <c r="F231" s="34"/>
      <c r="G231" s="41"/>
      <c r="H231" s="32"/>
      <c r="I231" s="35"/>
      <c r="J231" s="35"/>
      <c r="K231" s="33"/>
      <c r="L231" s="37" t="str">
        <f aca="false">IF(AND(A231&lt;&gt;"",A231='Project Summary'!$C$3,C231&lt;&gt;""),COUNTIFS($A$2:$A231,'Project Summary'!$C$3,$C$2:$C231,"&lt;&gt;"),"")</f>
        <v/>
      </c>
    </row>
    <row r="232" customFormat="false" ht="15" hidden="false" customHeight="false" outlineLevel="0" collapsed="false">
      <c r="A232" s="32"/>
      <c r="B232" s="32"/>
      <c r="C232" s="32"/>
      <c r="D232" s="33"/>
      <c r="E232" s="32"/>
      <c r="F232" s="34"/>
      <c r="G232" s="41"/>
      <c r="H232" s="32"/>
      <c r="I232" s="35"/>
      <c r="J232" s="35"/>
      <c r="K232" s="33"/>
      <c r="L232" s="37" t="str">
        <f aca="false">IF(AND(A232&lt;&gt;"",A232='Project Summary'!$C$3,C232&lt;&gt;""),COUNTIFS($A$2:$A232,'Project Summary'!$C$3,$C$2:$C232,"&lt;&gt;"),"")</f>
        <v/>
      </c>
    </row>
    <row r="233" customFormat="false" ht="15" hidden="false" customHeight="false" outlineLevel="0" collapsed="false">
      <c r="A233" s="32"/>
      <c r="B233" s="32"/>
      <c r="C233" s="32"/>
      <c r="D233" s="33"/>
      <c r="E233" s="32"/>
      <c r="F233" s="34"/>
      <c r="G233" s="41"/>
      <c r="H233" s="32"/>
      <c r="I233" s="35"/>
      <c r="J233" s="35"/>
      <c r="K233" s="33"/>
      <c r="L233" s="37" t="str">
        <f aca="false">IF(AND(A233&lt;&gt;"",A233='Project Summary'!$C$3,C233&lt;&gt;""),COUNTIFS($A$2:$A233,'Project Summary'!$C$3,$C$2:$C233,"&lt;&gt;"),"")</f>
        <v/>
      </c>
    </row>
    <row r="234" customFormat="false" ht="15" hidden="false" customHeight="false" outlineLevel="0" collapsed="false">
      <c r="A234" s="32"/>
      <c r="B234" s="32"/>
      <c r="C234" s="32"/>
      <c r="D234" s="33"/>
      <c r="E234" s="32"/>
      <c r="F234" s="34"/>
      <c r="G234" s="41"/>
      <c r="H234" s="32"/>
      <c r="I234" s="35"/>
      <c r="J234" s="35"/>
      <c r="K234" s="33"/>
      <c r="L234" s="37" t="str">
        <f aca="false">IF(AND(A234&lt;&gt;"",A234='Project Summary'!$C$3,C234&lt;&gt;""),COUNTIFS($A$2:$A234,'Project Summary'!$C$3,$C$2:$C234,"&lt;&gt;"),"")</f>
        <v/>
      </c>
    </row>
    <row r="235" customFormat="false" ht="15" hidden="false" customHeight="false" outlineLevel="0" collapsed="false">
      <c r="A235" s="32"/>
      <c r="B235" s="32"/>
      <c r="C235" s="32"/>
      <c r="D235" s="33"/>
      <c r="E235" s="32"/>
      <c r="F235" s="34"/>
      <c r="G235" s="41"/>
      <c r="H235" s="32"/>
      <c r="I235" s="35"/>
      <c r="J235" s="35"/>
      <c r="K235" s="33"/>
      <c r="L235" s="37" t="str">
        <f aca="false">IF(AND(A235&lt;&gt;"",A235='Project Summary'!$C$3,C235&lt;&gt;""),COUNTIFS($A$2:$A235,'Project Summary'!$C$3,$C$2:$C235,"&lt;&gt;"),"")</f>
        <v/>
      </c>
    </row>
    <row r="236" customFormat="false" ht="15" hidden="false" customHeight="false" outlineLevel="0" collapsed="false">
      <c r="A236" s="32"/>
      <c r="B236" s="32"/>
      <c r="C236" s="32"/>
      <c r="D236" s="33"/>
      <c r="E236" s="32"/>
      <c r="F236" s="34"/>
      <c r="G236" s="41"/>
      <c r="H236" s="32"/>
      <c r="I236" s="35"/>
      <c r="J236" s="35"/>
      <c r="K236" s="33"/>
      <c r="L236" s="37" t="str">
        <f aca="false">IF(AND(A236&lt;&gt;"",A236='Project Summary'!$C$3,C236&lt;&gt;""),COUNTIFS($A$2:$A236,'Project Summary'!$C$3,$C$2:$C236,"&lt;&gt;"),"")</f>
        <v/>
      </c>
    </row>
    <row r="237" customFormat="false" ht="15" hidden="false" customHeight="false" outlineLevel="0" collapsed="false">
      <c r="A237" s="32"/>
      <c r="B237" s="32"/>
      <c r="C237" s="32"/>
      <c r="D237" s="33"/>
      <c r="E237" s="32"/>
      <c r="F237" s="34"/>
      <c r="G237" s="41"/>
      <c r="H237" s="32"/>
      <c r="I237" s="35"/>
      <c r="J237" s="35"/>
      <c r="K237" s="33"/>
      <c r="L237" s="37" t="str">
        <f aca="false">IF(AND(A237&lt;&gt;"",A237='Project Summary'!$C$3,C237&lt;&gt;""),COUNTIFS($A$2:$A237,'Project Summary'!$C$3,$C$2:$C237,"&lt;&gt;"),"")</f>
        <v/>
      </c>
    </row>
    <row r="238" customFormat="false" ht="15" hidden="false" customHeight="false" outlineLevel="0" collapsed="false">
      <c r="A238" s="32"/>
      <c r="B238" s="32"/>
      <c r="C238" s="32"/>
      <c r="D238" s="33"/>
      <c r="E238" s="32"/>
      <c r="F238" s="34"/>
      <c r="G238" s="41"/>
      <c r="H238" s="32"/>
      <c r="I238" s="35"/>
      <c r="J238" s="35"/>
      <c r="K238" s="33"/>
      <c r="L238" s="37" t="str">
        <f aca="false">IF(AND(A238&lt;&gt;"",A238='Project Summary'!$C$3,C238&lt;&gt;""),COUNTIFS($A$2:$A238,'Project Summary'!$C$3,$C$2:$C238,"&lt;&gt;"),"")</f>
        <v/>
      </c>
    </row>
    <row r="239" customFormat="false" ht="15" hidden="false" customHeight="false" outlineLevel="0" collapsed="false">
      <c r="A239" s="32"/>
      <c r="B239" s="32"/>
      <c r="C239" s="32"/>
      <c r="D239" s="33"/>
      <c r="E239" s="32"/>
      <c r="F239" s="34"/>
      <c r="G239" s="41"/>
      <c r="H239" s="32"/>
      <c r="I239" s="35"/>
      <c r="J239" s="35"/>
      <c r="K239" s="33"/>
      <c r="L239" s="37" t="str">
        <f aca="false">IF(AND(A239&lt;&gt;"",A239='Project Summary'!$C$3,C239&lt;&gt;""),COUNTIFS($A$2:$A239,'Project Summary'!$C$3,$C$2:$C239,"&lt;&gt;"),"")</f>
        <v/>
      </c>
    </row>
    <row r="240" customFormat="false" ht="15" hidden="false" customHeight="false" outlineLevel="0" collapsed="false">
      <c r="A240" s="32"/>
      <c r="B240" s="32"/>
      <c r="C240" s="32"/>
      <c r="D240" s="33"/>
      <c r="E240" s="32"/>
      <c r="F240" s="34"/>
      <c r="G240" s="41"/>
      <c r="H240" s="32"/>
      <c r="I240" s="35"/>
      <c r="J240" s="35"/>
      <c r="K240" s="33"/>
      <c r="L240" s="37" t="str">
        <f aca="false">IF(AND(A240&lt;&gt;"",A240='Project Summary'!$C$3,C240&lt;&gt;""),COUNTIFS($A$2:$A240,'Project Summary'!$C$3,$C$2:$C240,"&lt;&gt;"),"")</f>
        <v/>
      </c>
    </row>
    <row r="241" customFormat="false" ht="15" hidden="false" customHeight="false" outlineLevel="0" collapsed="false">
      <c r="A241" s="32"/>
      <c r="B241" s="32"/>
      <c r="C241" s="32"/>
      <c r="D241" s="33"/>
      <c r="E241" s="32"/>
      <c r="F241" s="34"/>
      <c r="G241" s="41"/>
      <c r="H241" s="32"/>
      <c r="I241" s="35"/>
      <c r="J241" s="35"/>
      <c r="K241" s="33"/>
      <c r="L241" s="37" t="str">
        <f aca="false">IF(AND(A241&lt;&gt;"",A241='Project Summary'!$C$3,C241&lt;&gt;""),COUNTIFS($A$2:$A241,'Project Summary'!$C$3,$C$2:$C241,"&lt;&gt;"),"")</f>
        <v/>
      </c>
    </row>
    <row r="242" customFormat="false" ht="15" hidden="false" customHeight="false" outlineLevel="0" collapsed="false">
      <c r="A242" s="32"/>
      <c r="B242" s="32"/>
      <c r="C242" s="32"/>
      <c r="D242" s="33"/>
      <c r="E242" s="32"/>
      <c r="F242" s="34"/>
      <c r="G242" s="41"/>
      <c r="H242" s="32"/>
      <c r="I242" s="35"/>
      <c r="J242" s="35"/>
      <c r="K242" s="33"/>
      <c r="L242" s="37" t="str">
        <f aca="false">IF(AND(A242&lt;&gt;"",A242='Project Summary'!$C$3,C242&lt;&gt;""),COUNTIFS($A$2:$A242,'Project Summary'!$C$3,$C$2:$C242,"&lt;&gt;"),"")</f>
        <v/>
      </c>
    </row>
    <row r="243" customFormat="false" ht="15" hidden="false" customHeight="false" outlineLevel="0" collapsed="false">
      <c r="A243" s="32"/>
      <c r="B243" s="32"/>
      <c r="C243" s="32"/>
      <c r="D243" s="33"/>
      <c r="E243" s="32"/>
      <c r="F243" s="34"/>
      <c r="G243" s="41"/>
      <c r="H243" s="32"/>
      <c r="I243" s="35"/>
      <c r="J243" s="35"/>
      <c r="K243" s="33"/>
      <c r="L243" s="37" t="str">
        <f aca="false">IF(AND(A243&lt;&gt;"",A243='Project Summary'!$C$3,C243&lt;&gt;""),COUNTIFS($A$2:$A243,'Project Summary'!$C$3,$C$2:$C243,"&lt;&gt;"),"")</f>
        <v/>
      </c>
    </row>
    <row r="244" customFormat="false" ht="15" hidden="false" customHeight="false" outlineLevel="0" collapsed="false">
      <c r="A244" s="32"/>
      <c r="B244" s="32"/>
      <c r="C244" s="32"/>
      <c r="D244" s="33"/>
      <c r="E244" s="32"/>
      <c r="F244" s="34"/>
      <c r="G244" s="41"/>
      <c r="H244" s="32"/>
      <c r="I244" s="35"/>
      <c r="J244" s="35"/>
      <c r="K244" s="33"/>
      <c r="L244" s="37" t="str">
        <f aca="false">IF(AND(A244&lt;&gt;"",A244='Project Summary'!$C$3,C244&lt;&gt;""),COUNTIFS($A$2:$A244,'Project Summary'!$C$3,$C$2:$C244,"&lt;&gt;"),"")</f>
        <v/>
      </c>
    </row>
    <row r="245" customFormat="false" ht="15" hidden="false" customHeight="false" outlineLevel="0" collapsed="false">
      <c r="A245" s="32"/>
      <c r="B245" s="32"/>
      <c r="C245" s="32"/>
      <c r="D245" s="33"/>
      <c r="E245" s="32"/>
      <c r="F245" s="34"/>
      <c r="G245" s="41"/>
      <c r="H245" s="32"/>
      <c r="I245" s="35"/>
      <c r="J245" s="35"/>
      <c r="K245" s="33"/>
      <c r="L245" s="37" t="str">
        <f aca="false">IF(AND(A245&lt;&gt;"",A245='Project Summary'!$C$3,C245&lt;&gt;""),COUNTIFS($A$2:$A245,'Project Summary'!$C$3,$C$2:$C245,"&lt;&gt;"),"")</f>
        <v/>
      </c>
    </row>
    <row r="246" customFormat="false" ht="15" hidden="false" customHeight="false" outlineLevel="0" collapsed="false">
      <c r="A246" s="32"/>
      <c r="B246" s="32"/>
      <c r="C246" s="32"/>
      <c r="D246" s="33"/>
      <c r="E246" s="32"/>
      <c r="F246" s="34"/>
      <c r="G246" s="41"/>
      <c r="H246" s="32"/>
      <c r="I246" s="35"/>
      <c r="J246" s="35"/>
      <c r="K246" s="33"/>
      <c r="L246" s="37" t="str">
        <f aca="false">IF(AND(A246&lt;&gt;"",A246='Project Summary'!$C$3,C246&lt;&gt;""),COUNTIFS($A$2:$A246,'Project Summary'!$C$3,$C$2:$C246,"&lt;&gt;"),"")</f>
        <v/>
      </c>
    </row>
    <row r="247" customFormat="false" ht="15" hidden="false" customHeight="false" outlineLevel="0" collapsed="false">
      <c r="A247" s="32"/>
      <c r="B247" s="32"/>
      <c r="C247" s="32"/>
      <c r="D247" s="33"/>
      <c r="E247" s="32"/>
      <c r="F247" s="34"/>
      <c r="G247" s="41"/>
      <c r="H247" s="32"/>
      <c r="I247" s="35"/>
      <c r="J247" s="35"/>
      <c r="K247" s="33"/>
      <c r="L247" s="37" t="str">
        <f aca="false">IF(AND(A247&lt;&gt;"",A247='Project Summary'!$C$3,C247&lt;&gt;""),COUNTIFS($A$2:$A247,'Project Summary'!$C$3,$C$2:$C247,"&lt;&gt;"),"")</f>
        <v/>
      </c>
    </row>
    <row r="248" customFormat="false" ht="15" hidden="false" customHeight="false" outlineLevel="0" collapsed="false">
      <c r="A248" s="32"/>
      <c r="B248" s="32"/>
      <c r="C248" s="32"/>
      <c r="D248" s="33"/>
      <c r="E248" s="32"/>
      <c r="F248" s="34"/>
      <c r="G248" s="41"/>
      <c r="H248" s="32"/>
      <c r="I248" s="35"/>
      <c r="J248" s="35"/>
      <c r="K248" s="33"/>
      <c r="L248" s="37" t="str">
        <f aca="false">IF(AND(A248&lt;&gt;"",A248='Project Summary'!$C$3,C248&lt;&gt;""),COUNTIFS($A$2:$A248,'Project Summary'!$C$3,$C$2:$C248,"&lt;&gt;"),"")</f>
        <v/>
      </c>
    </row>
    <row r="249" customFormat="false" ht="15" hidden="false" customHeight="false" outlineLevel="0" collapsed="false">
      <c r="A249" s="32"/>
      <c r="B249" s="32"/>
      <c r="C249" s="32"/>
      <c r="D249" s="33"/>
      <c r="E249" s="32"/>
      <c r="F249" s="34"/>
      <c r="G249" s="41"/>
      <c r="H249" s="32"/>
      <c r="I249" s="35"/>
      <c r="J249" s="35"/>
      <c r="K249" s="33"/>
      <c r="L249" s="37" t="str">
        <f aca="false">IF(AND(A249&lt;&gt;"",A249='Project Summary'!$C$3,C249&lt;&gt;""),COUNTIFS($A$2:$A249,'Project Summary'!$C$3,$C$2:$C249,"&lt;&gt;"),"")</f>
        <v/>
      </c>
    </row>
    <row r="250" customFormat="false" ht="15" hidden="false" customHeight="false" outlineLevel="0" collapsed="false">
      <c r="A250" s="32"/>
      <c r="B250" s="32"/>
      <c r="C250" s="32"/>
      <c r="D250" s="33"/>
      <c r="E250" s="32"/>
      <c r="F250" s="34"/>
      <c r="G250" s="41"/>
      <c r="H250" s="32"/>
      <c r="I250" s="35"/>
      <c r="J250" s="35"/>
      <c r="K250" s="33"/>
      <c r="L250" s="37" t="str">
        <f aca="false">IF(AND(A250&lt;&gt;"",A250='Project Summary'!$C$3,C250&lt;&gt;""),COUNTIFS($A$2:$A250,'Project Summary'!$C$3,$C$2:$C250,"&lt;&gt;"),"")</f>
        <v/>
      </c>
    </row>
    <row r="251" customFormat="false" ht="15" hidden="false" customHeight="false" outlineLevel="0" collapsed="false">
      <c r="A251" s="32"/>
      <c r="B251" s="32"/>
      <c r="C251" s="32"/>
      <c r="D251" s="33"/>
      <c r="E251" s="32"/>
      <c r="F251" s="34"/>
      <c r="G251" s="41"/>
      <c r="H251" s="32"/>
      <c r="I251" s="35"/>
      <c r="J251" s="35"/>
      <c r="K251" s="33"/>
      <c r="L251" s="37" t="str">
        <f aca="false">IF(AND(A251&lt;&gt;"",A251='Project Summary'!$C$3,C251&lt;&gt;""),COUNTIFS($A$2:$A251,'Project Summary'!$C$3,$C$2:$C251,"&lt;&gt;"),"")</f>
        <v/>
      </c>
    </row>
    <row r="252" customFormat="false" ht="15" hidden="false" customHeight="false" outlineLevel="0" collapsed="false">
      <c r="A252" s="32"/>
      <c r="B252" s="32"/>
      <c r="C252" s="32"/>
      <c r="D252" s="33"/>
      <c r="E252" s="32"/>
      <c r="F252" s="34"/>
      <c r="G252" s="41"/>
      <c r="H252" s="32"/>
      <c r="I252" s="35"/>
      <c r="J252" s="35"/>
      <c r="K252" s="33"/>
      <c r="L252" s="37" t="str">
        <f aca="false">IF(AND(A252&lt;&gt;"",A252='Project Summary'!$C$3,C252&lt;&gt;""),COUNTIFS($A$2:$A252,'Project Summary'!$C$3,$C$2:$C252,"&lt;&gt;"),"")</f>
        <v/>
      </c>
    </row>
    <row r="253" customFormat="false" ht="15" hidden="false" customHeight="false" outlineLevel="0" collapsed="false">
      <c r="A253" s="32"/>
      <c r="B253" s="32"/>
      <c r="C253" s="32"/>
      <c r="D253" s="33"/>
      <c r="E253" s="32"/>
      <c r="F253" s="34"/>
      <c r="G253" s="41"/>
      <c r="H253" s="32"/>
      <c r="I253" s="35"/>
      <c r="J253" s="35"/>
      <c r="K253" s="33"/>
      <c r="L253" s="37" t="str">
        <f aca="false">IF(AND(A253&lt;&gt;"",A253='Project Summary'!$C$3,C253&lt;&gt;""),COUNTIFS($A$2:$A253,'Project Summary'!$C$3,$C$2:$C253,"&lt;&gt;"),"")</f>
        <v/>
      </c>
    </row>
    <row r="254" customFormat="false" ht="15" hidden="false" customHeight="false" outlineLevel="0" collapsed="false">
      <c r="A254" s="32"/>
      <c r="B254" s="32"/>
      <c r="C254" s="32"/>
      <c r="D254" s="33"/>
      <c r="E254" s="32"/>
      <c r="F254" s="34"/>
      <c r="G254" s="41"/>
      <c r="H254" s="32"/>
      <c r="I254" s="35"/>
      <c r="J254" s="35"/>
      <c r="K254" s="33"/>
      <c r="L254" s="37" t="str">
        <f aca="false">IF(AND(A254&lt;&gt;"",A254='Project Summary'!$C$3,C254&lt;&gt;""),COUNTIFS($A$2:$A254,'Project Summary'!$C$3,$C$2:$C254,"&lt;&gt;"),"")</f>
        <v/>
      </c>
    </row>
    <row r="255" customFormat="false" ht="15" hidden="false" customHeight="false" outlineLevel="0" collapsed="false">
      <c r="A255" s="32"/>
      <c r="B255" s="32"/>
      <c r="C255" s="32"/>
      <c r="D255" s="33"/>
      <c r="E255" s="32"/>
      <c r="F255" s="34"/>
      <c r="G255" s="41"/>
      <c r="H255" s="32"/>
      <c r="I255" s="35"/>
      <c r="J255" s="35"/>
      <c r="K255" s="33"/>
      <c r="L255" s="37" t="str">
        <f aca="false">IF(AND(A255&lt;&gt;"",A255='Project Summary'!$C$3,C255&lt;&gt;""),COUNTIFS($A$2:$A255,'Project Summary'!$C$3,$C$2:$C255,"&lt;&gt;"),"")</f>
        <v/>
      </c>
    </row>
    <row r="256" customFormat="false" ht="15" hidden="false" customHeight="false" outlineLevel="0" collapsed="false">
      <c r="A256" s="32"/>
      <c r="B256" s="32"/>
      <c r="C256" s="32"/>
      <c r="D256" s="33"/>
      <c r="E256" s="32"/>
      <c r="F256" s="34"/>
      <c r="G256" s="41"/>
      <c r="H256" s="32"/>
      <c r="I256" s="35"/>
      <c r="J256" s="35"/>
      <c r="K256" s="33"/>
      <c r="L256" s="37" t="str">
        <f aca="false">IF(AND(A256&lt;&gt;"",A256='Project Summary'!$C$3,C256&lt;&gt;""),COUNTIFS($A$2:$A256,'Project Summary'!$C$3,$C$2:$C256,"&lt;&gt;"),"")</f>
        <v/>
      </c>
    </row>
    <row r="257" customFormat="false" ht="15" hidden="false" customHeight="false" outlineLevel="0" collapsed="false">
      <c r="A257" s="32"/>
      <c r="B257" s="32"/>
      <c r="C257" s="32"/>
      <c r="D257" s="33"/>
      <c r="E257" s="32"/>
      <c r="F257" s="34"/>
      <c r="G257" s="41"/>
      <c r="H257" s="32"/>
      <c r="I257" s="35"/>
      <c r="J257" s="35"/>
      <c r="K257" s="33"/>
      <c r="L257" s="37" t="str">
        <f aca="false">IF(AND(A257&lt;&gt;"",A257='Project Summary'!$C$3,C257&lt;&gt;""),COUNTIFS($A$2:$A257,'Project Summary'!$C$3,$C$2:$C257,"&lt;&gt;"),"")</f>
        <v/>
      </c>
    </row>
    <row r="258" customFormat="false" ht="15" hidden="false" customHeight="false" outlineLevel="0" collapsed="false">
      <c r="A258" s="32"/>
      <c r="B258" s="32"/>
      <c r="C258" s="32"/>
      <c r="D258" s="33"/>
      <c r="E258" s="32"/>
      <c r="F258" s="34"/>
      <c r="G258" s="41"/>
      <c r="H258" s="32"/>
      <c r="I258" s="35"/>
      <c r="J258" s="35"/>
      <c r="K258" s="33"/>
      <c r="L258" s="37" t="str">
        <f aca="false">IF(AND(A258&lt;&gt;"",A258='Project Summary'!$C$3,C258&lt;&gt;""),COUNTIFS($A$2:$A258,'Project Summary'!$C$3,$C$2:$C258,"&lt;&gt;"),"")</f>
        <v/>
      </c>
    </row>
    <row r="259" customFormat="false" ht="15" hidden="false" customHeight="false" outlineLevel="0" collapsed="false">
      <c r="A259" s="32"/>
      <c r="B259" s="32"/>
      <c r="C259" s="32"/>
      <c r="D259" s="33"/>
      <c r="E259" s="32"/>
      <c r="F259" s="34"/>
      <c r="G259" s="41"/>
      <c r="H259" s="32"/>
      <c r="I259" s="35"/>
      <c r="J259" s="35"/>
      <c r="K259" s="33"/>
      <c r="L259" s="37" t="str">
        <f aca="false">IF(AND(A259&lt;&gt;"",A259='Project Summary'!$C$3,C259&lt;&gt;""),COUNTIFS($A$2:$A259,'Project Summary'!$C$3,$C$2:$C259,"&lt;&gt;"),"")</f>
        <v/>
      </c>
    </row>
    <row r="260" customFormat="false" ht="15" hidden="false" customHeight="false" outlineLevel="0" collapsed="false">
      <c r="A260" s="32"/>
      <c r="B260" s="32"/>
      <c r="C260" s="32"/>
      <c r="D260" s="33"/>
      <c r="E260" s="32"/>
      <c r="F260" s="34"/>
      <c r="G260" s="41"/>
      <c r="H260" s="32"/>
      <c r="I260" s="35"/>
      <c r="J260" s="35"/>
      <c r="K260" s="33"/>
      <c r="L260" s="37" t="str">
        <f aca="false">IF(AND(A260&lt;&gt;"",A260='Project Summary'!$C$3,C260&lt;&gt;""),COUNTIFS($A$2:$A260,'Project Summary'!$C$3,$C$2:$C260,"&lt;&gt;"),"")</f>
        <v/>
      </c>
    </row>
    <row r="261" customFormat="false" ht="15" hidden="false" customHeight="false" outlineLevel="0" collapsed="false">
      <c r="A261" s="32"/>
      <c r="B261" s="32"/>
      <c r="C261" s="32"/>
      <c r="D261" s="33"/>
      <c r="E261" s="32"/>
      <c r="F261" s="34"/>
      <c r="G261" s="41"/>
      <c r="H261" s="32"/>
      <c r="I261" s="35"/>
      <c r="J261" s="35"/>
      <c r="K261" s="33"/>
      <c r="L261" s="37" t="str">
        <f aca="false">IF(AND(A261&lt;&gt;"",A261='Project Summary'!$C$3,C261&lt;&gt;""),COUNTIFS($A$2:$A261,'Project Summary'!$C$3,$C$2:$C261,"&lt;&gt;"),"")</f>
        <v/>
      </c>
    </row>
    <row r="262" customFormat="false" ht="15" hidden="false" customHeight="false" outlineLevel="0" collapsed="false">
      <c r="A262" s="32"/>
      <c r="B262" s="32"/>
      <c r="C262" s="32"/>
      <c r="D262" s="33"/>
      <c r="E262" s="32"/>
      <c r="F262" s="34"/>
      <c r="G262" s="41"/>
      <c r="H262" s="32"/>
      <c r="I262" s="35"/>
      <c r="J262" s="35"/>
      <c r="K262" s="33"/>
      <c r="L262" s="37" t="str">
        <f aca="false">IF(AND(A262&lt;&gt;"",A262='Project Summary'!$C$3,C262&lt;&gt;""),COUNTIFS($A$2:$A262,'Project Summary'!$C$3,$C$2:$C262,"&lt;&gt;"),"")</f>
        <v/>
      </c>
    </row>
    <row r="263" customFormat="false" ht="15" hidden="false" customHeight="false" outlineLevel="0" collapsed="false">
      <c r="A263" s="32"/>
      <c r="B263" s="32"/>
      <c r="C263" s="32"/>
      <c r="D263" s="33"/>
      <c r="E263" s="32"/>
      <c r="F263" s="34"/>
      <c r="G263" s="41"/>
      <c r="H263" s="32"/>
      <c r="I263" s="35"/>
      <c r="J263" s="35"/>
      <c r="K263" s="33"/>
      <c r="L263" s="37" t="str">
        <f aca="false">IF(AND(A263&lt;&gt;"",A263='Project Summary'!$C$3,C263&lt;&gt;""),COUNTIFS($A$2:$A263,'Project Summary'!$C$3,$C$2:$C263,"&lt;&gt;"),"")</f>
        <v/>
      </c>
    </row>
    <row r="264" customFormat="false" ht="15" hidden="false" customHeight="false" outlineLevel="0" collapsed="false">
      <c r="A264" s="32"/>
      <c r="B264" s="32"/>
      <c r="C264" s="32"/>
      <c r="D264" s="33"/>
      <c r="E264" s="32"/>
      <c r="F264" s="34"/>
      <c r="G264" s="41"/>
      <c r="H264" s="32"/>
      <c r="I264" s="35"/>
      <c r="J264" s="35"/>
      <c r="K264" s="33"/>
      <c r="L264" s="37" t="str">
        <f aca="false">IF(AND(A264&lt;&gt;"",A264='Project Summary'!$C$3,C264&lt;&gt;""),COUNTIFS($A$2:$A264,'Project Summary'!$C$3,$C$2:$C264,"&lt;&gt;"),"")</f>
        <v/>
      </c>
    </row>
    <row r="265" customFormat="false" ht="15" hidden="false" customHeight="false" outlineLevel="0" collapsed="false">
      <c r="A265" s="32"/>
      <c r="B265" s="32"/>
      <c r="C265" s="32"/>
      <c r="D265" s="33"/>
      <c r="E265" s="32"/>
      <c r="F265" s="34"/>
      <c r="G265" s="41"/>
      <c r="H265" s="32"/>
      <c r="I265" s="35"/>
      <c r="J265" s="35"/>
      <c r="K265" s="33"/>
      <c r="L265" s="37" t="str">
        <f aca="false">IF(AND(A265&lt;&gt;"",A265='Project Summary'!$C$3,C265&lt;&gt;""),COUNTIFS($A$2:$A265,'Project Summary'!$C$3,$C$2:$C265,"&lt;&gt;"),"")</f>
        <v/>
      </c>
    </row>
    <row r="266" customFormat="false" ht="15" hidden="false" customHeight="false" outlineLevel="0" collapsed="false">
      <c r="A266" s="32"/>
      <c r="B266" s="32"/>
      <c r="C266" s="32"/>
      <c r="D266" s="33"/>
      <c r="E266" s="32"/>
      <c r="F266" s="34"/>
      <c r="G266" s="41"/>
      <c r="H266" s="32"/>
      <c r="I266" s="35"/>
      <c r="J266" s="35"/>
      <c r="K266" s="33"/>
      <c r="L266" s="37" t="str">
        <f aca="false">IF(AND(A266&lt;&gt;"",A266='Project Summary'!$C$3,C266&lt;&gt;""),COUNTIFS($A$2:$A266,'Project Summary'!$C$3,$C$2:$C266,"&lt;&gt;"),"")</f>
        <v/>
      </c>
    </row>
    <row r="267" customFormat="false" ht="15" hidden="false" customHeight="false" outlineLevel="0" collapsed="false">
      <c r="A267" s="32"/>
      <c r="B267" s="32"/>
      <c r="C267" s="32"/>
      <c r="D267" s="33"/>
      <c r="E267" s="32"/>
      <c r="F267" s="34"/>
      <c r="G267" s="41"/>
      <c r="H267" s="32"/>
      <c r="I267" s="35"/>
      <c r="J267" s="35"/>
      <c r="K267" s="33"/>
      <c r="L267" s="37" t="str">
        <f aca="false">IF(AND(A267&lt;&gt;"",A267='Project Summary'!$C$3,C267&lt;&gt;""),COUNTIFS($A$2:$A267,'Project Summary'!$C$3,$C$2:$C267,"&lt;&gt;"),"")</f>
        <v/>
      </c>
    </row>
    <row r="268" customFormat="false" ht="15" hidden="false" customHeight="false" outlineLevel="0" collapsed="false">
      <c r="A268" s="32"/>
      <c r="B268" s="32"/>
      <c r="C268" s="32"/>
      <c r="D268" s="33"/>
      <c r="E268" s="32"/>
      <c r="F268" s="34"/>
      <c r="G268" s="41"/>
      <c r="H268" s="32"/>
      <c r="I268" s="35"/>
      <c r="J268" s="35"/>
      <c r="K268" s="33"/>
      <c r="L268" s="37" t="str">
        <f aca="false">IF(AND(A268&lt;&gt;"",A268='Project Summary'!$C$3,C268&lt;&gt;""),COUNTIFS($A$2:$A268,'Project Summary'!$C$3,$C$2:$C268,"&lt;&gt;"),"")</f>
        <v/>
      </c>
    </row>
    <row r="269" customFormat="false" ht="15" hidden="false" customHeight="false" outlineLevel="0" collapsed="false">
      <c r="A269" s="32"/>
      <c r="B269" s="32"/>
      <c r="C269" s="32"/>
      <c r="D269" s="33"/>
      <c r="E269" s="32"/>
      <c r="F269" s="34"/>
      <c r="G269" s="41"/>
      <c r="H269" s="32"/>
      <c r="I269" s="35"/>
      <c r="J269" s="35"/>
      <c r="K269" s="33"/>
      <c r="L269" s="37" t="str">
        <f aca="false">IF(AND(A269&lt;&gt;"",A269='Project Summary'!$C$3,C269&lt;&gt;""),COUNTIFS($A$2:$A269,'Project Summary'!$C$3,$C$2:$C269,"&lt;&gt;"),"")</f>
        <v/>
      </c>
    </row>
    <row r="270" customFormat="false" ht="15" hidden="false" customHeight="false" outlineLevel="0" collapsed="false">
      <c r="A270" s="32"/>
      <c r="B270" s="32"/>
      <c r="C270" s="32"/>
      <c r="D270" s="33"/>
      <c r="E270" s="32"/>
      <c r="F270" s="34"/>
      <c r="G270" s="41"/>
      <c r="H270" s="32"/>
      <c r="I270" s="35"/>
      <c r="J270" s="35"/>
      <c r="K270" s="33"/>
      <c r="L270" s="37" t="str">
        <f aca="false">IF(AND(A270&lt;&gt;"",A270='Project Summary'!$C$3,C270&lt;&gt;""),COUNTIFS($A$2:$A270,'Project Summary'!$C$3,$C$2:$C270,"&lt;&gt;"),"")</f>
        <v/>
      </c>
    </row>
    <row r="271" customFormat="false" ht="15" hidden="false" customHeight="false" outlineLevel="0" collapsed="false">
      <c r="A271" s="32"/>
      <c r="B271" s="32"/>
      <c r="C271" s="32"/>
      <c r="D271" s="33"/>
      <c r="E271" s="32"/>
      <c r="F271" s="34"/>
      <c r="G271" s="41"/>
      <c r="H271" s="32"/>
      <c r="I271" s="35"/>
      <c r="J271" s="35"/>
      <c r="K271" s="33"/>
      <c r="L271" s="37" t="str">
        <f aca="false">IF(AND(A271&lt;&gt;"",A271='Project Summary'!$C$3,C271&lt;&gt;""),COUNTIFS($A$2:$A271,'Project Summary'!$C$3,$C$2:$C271,"&lt;&gt;"),"")</f>
        <v/>
      </c>
    </row>
    <row r="272" customFormat="false" ht="15" hidden="false" customHeight="false" outlineLevel="0" collapsed="false">
      <c r="A272" s="32"/>
      <c r="B272" s="32"/>
      <c r="C272" s="32"/>
      <c r="D272" s="33"/>
      <c r="E272" s="32"/>
      <c r="F272" s="34"/>
      <c r="G272" s="41"/>
      <c r="H272" s="32"/>
      <c r="I272" s="35"/>
      <c r="J272" s="35"/>
      <c r="K272" s="33"/>
      <c r="L272" s="37" t="str">
        <f aca="false">IF(AND(A272&lt;&gt;"",A272='Project Summary'!$C$3,C272&lt;&gt;""),COUNTIFS($A$2:$A272,'Project Summary'!$C$3,$C$2:$C272,"&lt;&gt;"),"")</f>
        <v/>
      </c>
    </row>
    <row r="273" customFormat="false" ht="15" hidden="false" customHeight="false" outlineLevel="0" collapsed="false">
      <c r="A273" s="32"/>
      <c r="B273" s="32"/>
      <c r="C273" s="32"/>
      <c r="D273" s="33"/>
      <c r="E273" s="32"/>
      <c r="F273" s="34"/>
      <c r="G273" s="41"/>
      <c r="H273" s="32"/>
      <c r="I273" s="35"/>
      <c r="J273" s="35"/>
      <c r="K273" s="33"/>
      <c r="L273" s="37" t="str">
        <f aca="false">IF(AND(A273&lt;&gt;"",A273='Project Summary'!$C$3,C273&lt;&gt;""),COUNTIFS($A$2:$A273,'Project Summary'!$C$3,$C$2:$C273,"&lt;&gt;"),"")</f>
        <v/>
      </c>
    </row>
    <row r="274" customFormat="false" ht="15" hidden="false" customHeight="false" outlineLevel="0" collapsed="false">
      <c r="A274" s="32"/>
      <c r="B274" s="32"/>
      <c r="C274" s="32"/>
      <c r="D274" s="33"/>
      <c r="E274" s="32"/>
      <c r="F274" s="34"/>
      <c r="G274" s="41"/>
      <c r="H274" s="32"/>
      <c r="I274" s="35"/>
      <c r="J274" s="35"/>
      <c r="K274" s="33"/>
      <c r="L274" s="37" t="str">
        <f aca="false">IF(AND(A274&lt;&gt;"",A274='Project Summary'!$C$3,C274&lt;&gt;""),COUNTIFS($A$2:$A274,'Project Summary'!$C$3,$C$2:$C274,"&lt;&gt;"),"")</f>
        <v/>
      </c>
    </row>
    <row r="275" customFormat="false" ht="15" hidden="false" customHeight="false" outlineLevel="0" collapsed="false">
      <c r="A275" s="32"/>
      <c r="B275" s="32"/>
      <c r="C275" s="32"/>
      <c r="D275" s="33"/>
      <c r="E275" s="32"/>
      <c r="F275" s="34"/>
      <c r="G275" s="41"/>
      <c r="H275" s="32"/>
      <c r="I275" s="35"/>
      <c r="J275" s="35"/>
      <c r="K275" s="33"/>
      <c r="L275" s="37" t="str">
        <f aca="false">IF(AND(A275&lt;&gt;"",A275='Project Summary'!$C$3,C275&lt;&gt;""),COUNTIFS($A$2:$A275,'Project Summary'!$C$3,$C$2:$C275,"&lt;&gt;"),"")</f>
        <v/>
      </c>
    </row>
    <row r="276" customFormat="false" ht="15" hidden="false" customHeight="false" outlineLevel="0" collapsed="false">
      <c r="A276" s="32"/>
      <c r="B276" s="32"/>
      <c r="C276" s="32"/>
      <c r="D276" s="33"/>
      <c r="E276" s="32"/>
      <c r="F276" s="34"/>
      <c r="G276" s="41"/>
      <c r="H276" s="32"/>
      <c r="I276" s="35"/>
      <c r="J276" s="35"/>
      <c r="K276" s="33"/>
      <c r="L276" s="37" t="str">
        <f aca="false">IF(AND(A276&lt;&gt;"",A276='Project Summary'!$C$3,C276&lt;&gt;""),COUNTIFS($A$2:$A276,'Project Summary'!$C$3,$C$2:$C276,"&lt;&gt;"),"")</f>
        <v/>
      </c>
    </row>
    <row r="277" customFormat="false" ht="15" hidden="false" customHeight="false" outlineLevel="0" collapsed="false">
      <c r="A277" s="32"/>
      <c r="B277" s="32"/>
      <c r="C277" s="32"/>
      <c r="D277" s="33"/>
      <c r="E277" s="32"/>
      <c r="F277" s="34"/>
      <c r="G277" s="41"/>
      <c r="H277" s="32"/>
      <c r="I277" s="35"/>
      <c r="J277" s="35"/>
      <c r="K277" s="33"/>
      <c r="L277" s="37" t="str">
        <f aca="false">IF(AND(A277&lt;&gt;"",A277='Project Summary'!$C$3,C277&lt;&gt;""),COUNTIFS($A$2:$A277,'Project Summary'!$C$3,$C$2:$C277,"&lt;&gt;"),"")</f>
        <v/>
      </c>
    </row>
    <row r="278" customFormat="false" ht="15" hidden="false" customHeight="false" outlineLevel="0" collapsed="false">
      <c r="A278" s="32"/>
      <c r="B278" s="32"/>
      <c r="C278" s="32"/>
      <c r="D278" s="33"/>
      <c r="E278" s="32"/>
      <c r="F278" s="34"/>
      <c r="G278" s="41"/>
      <c r="H278" s="32"/>
      <c r="I278" s="35"/>
      <c r="J278" s="35"/>
      <c r="K278" s="33"/>
      <c r="L278" s="37" t="str">
        <f aca="false">IF(AND(A278&lt;&gt;"",A278='Project Summary'!$C$3,C278&lt;&gt;""),COUNTIFS($A$2:$A278,'Project Summary'!$C$3,$C$2:$C278,"&lt;&gt;"),"")</f>
        <v/>
      </c>
    </row>
    <row r="279" customFormat="false" ht="15" hidden="false" customHeight="false" outlineLevel="0" collapsed="false">
      <c r="A279" s="32"/>
      <c r="B279" s="32"/>
      <c r="C279" s="32"/>
      <c r="D279" s="33"/>
      <c r="E279" s="32"/>
      <c r="F279" s="34"/>
      <c r="G279" s="41"/>
      <c r="H279" s="32"/>
      <c r="I279" s="35"/>
      <c r="J279" s="35"/>
      <c r="K279" s="33"/>
      <c r="L279" s="37" t="str">
        <f aca="false">IF(AND(A279&lt;&gt;"",A279='Project Summary'!$C$3,C279&lt;&gt;""),COUNTIFS($A$2:$A279,'Project Summary'!$C$3,$C$2:$C279,"&lt;&gt;"),"")</f>
        <v/>
      </c>
    </row>
    <row r="280" customFormat="false" ht="15" hidden="false" customHeight="false" outlineLevel="0" collapsed="false">
      <c r="A280" s="32"/>
      <c r="B280" s="32"/>
      <c r="C280" s="32"/>
      <c r="D280" s="33"/>
      <c r="E280" s="32"/>
      <c r="F280" s="34"/>
      <c r="G280" s="41"/>
      <c r="H280" s="32"/>
      <c r="I280" s="35"/>
      <c r="J280" s="35"/>
      <c r="K280" s="33"/>
      <c r="L280" s="37" t="str">
        <f aca="false">IF(AND(A280&lt;&gt;"",A280='Project Summary'!$C$3,C280&lt;&gt;""),COUNTIFS($A$2:$A280,'Project Summary'!$C$3,$C$2:$C280,"&lt;&gt;"),"")</f>
        <v/>
      </c>
    </row>
    <row r="281" customFormat="false" ht="15" hidden="false" customHeight="false" outlineLevel="0" collapsed="false">
      <c r="A281" s="32"/>
      <c r="B281" s="32"/>
      <c r="C281" s="32"/>
      <c r="D281" s="33"/>
      <c r="E281" s="32"/>
      <c r="F281" s="34"/>
      <c r="G281" s="41"/>
      <c r="H281" s="32"/>
      <c r="I281" s="35"/>
      <c r="J281" s="35"/>
      <c r="K281" s="33"/>
      <c r="L281" s="37" t="str">
        <f aca="false">IF(AND(A281&lt;&gt;"",A281='Project Summary'!$C$3,C281&lt;&gt;""),COUNTIFS($A$2:$A281,'Project Summary'!$C$3,$C$2:$C281,"&lt;&gt;"),"")</f>
        <v/>
      </c>
    </row>
    <row r="282" customFormat="false" ht="15" hidden="false" customHeight="false" outlineLevel="0" collapsed="false">
      <c r="A282" s="32"/>
      <c r="B282" s="32"/>
      <c r="C282" s="32"/>
      <c r="D282" s="33"/>
      <c r="E282" s="32"/>
      <c r="F282" s="34"/>
      <c r="G282" s="41"/>
      <c r="H282" s="32"/>
      <c r="I282" s="35"/>
      <c r="J282" s="35"/>
      <c r="K282" s="33"/>
      <c r="L282" s="37" t="str">
        <f aca="false">IF(AND(A282&lt;&gt;"",A282='Project Summary'!$C$3,C282&lt;&gt;""),COUNTIFS($A$2:$A282,'Project Summary'!$C$3,$C$2:$C282,"&lt;&gt;"),"")</f>
        <v/>
      </c>
    </row>
    <row r="283" customFormat="false" ht="15" hidden="false" customHeight="false" outlineLevel="0" collapsed="false">
      <c r="A283" s="32"/>
      <c r="B283" s="32"/>
      <c r="C283" s="32"/>
      <c r="D283" s="33"/>
      <c r="E283" s="32"/>
      <c r="F283" s="34"/>
      <c r="G283" s="41"/>
      <c r="H283" s="32"/>
      <c r="I283" s="35"/>
      <c r="J283" s="35"/>
      <c r="K283" s="33"/>
      <c r="L283" s="37" t="str">
        <f aca="false">IF(AND(A283&lt;&gt;"",A283='Project Summary'!$C$3,C283&lt;&gt;""),COUNTIFS($A$2:$A283,'Project Summary'!$C$3,$C$2:$C283,"&lt;&gt;"),"")</f>
        <v/>
      </c>
    </row>
    <row r="284" customFormat="false" ht="15" hidden="false" customHeight="false" outlineLevel="0" collapsed="false">
      <c r="A284" s="32"/>
      <c r="B284" s="32"/>
      <c r="C284" s="32"/>
      <c r="D284" s="33"/>
      <c r="E284" s="32"/>
      <c r="F284" s="34"/>
      <c r="G284" s="41"/>
      <c r="H284" s="32"/>
      <c r="I284" s="35"/>
      <c r="J284" s="35"/>
      <c r="K284" s="33"/>
      <c r="L284" s="37" t="str">
        <f aca="false">IF(AND(A284&lt;&gt;"",A284='Project Summary'!$C$3,C284&lt;&gt;""),COUNTIFS($A$2:$A284,'Project Summary'!$C$3,$C$2:$C284,"&lt;&gt;"),"")</f>
        <v/>
      </c>
    </row>
    <row r="285" customFormat="false" ht="15" hidden="false" customHeight="false" outlineLevel="0" collapsed="false">
      <c r="A285" s="32"/>
      <c r="B285" s="32"/>
      <c r="C285" s="32"/>
      <c r="D285" s="33"/>
      <c r="E285" s="32"/>
      <c r="F285" s="34"/>
      <c r="G285" s="41"/>
      <c r="H285" s="32"/>
      <c r="I285" s="35"/>
      <c r="J285" s="35"/>
      <c r="K285" s="33"/>
      <c r="L285" s="37" t="str">
        <f aca="false">IF(AND(A285&lt;&gt;"",A285='Project Summary'!$C$3,C285&lt;&gt;""),COUNTIFS($A$2:$A285,'Project Summary'!$C$3,$C$2:$C285,"&lt;&gt;"),"")</f>
        <v/>
      </c>
    </row>
    <row r="286" customFormat="false" ht="15" hidden="false" customHeight="false" outlineLevel="0" collapsed="false">
      <c r="A286" s="32"/>
      <c r="B286" s="32"/>
      <c r="C286" s="32"/>
      <c r="D286" s="33"/>
      <c r="E286" s="32"/>
      <c r="F286" s="34"/>
      <c r="G286" s="41"/>
      <c r="H286" s="32"/>
      <c r="I286" s="35"/>
      <c r="J286" s="35"/>
      <c r="K286" s="33"/>
      <c r="L286" s="37" t="str">
        <f aca="false">IF(AND(A286&lt;&gt;"",A286='Project Summary'!$C$3,C286&lt;&gt;""),COUNTIFS($A$2:$A286,'Project Summary'!$C$3,$C$2:$C286,"&lt;&gt;"),"")</f>
        <v/>
      </c>
    </row>
    <row r="287" customFormat="false" ht="15" hidden="false" customHeight="false" outlineLevel="0" collapsed="false">
      <c r="A287" s="32"/>
      <c r="B287" s="32"/>
      <c r="C287" s="32"/>
      <c r="D287" s="33"/>
      <c r="E287" s="32"/>
      <c r="F287" s="34"/>
      <c r="G287" s="41"/>
      <c r="H287" s="32"/>
      <c r="I287" s="35"/>
      <c r="J287" s="35"/>
      <c r="K287" s="33"/>
      <c r="L287" s="37" t="str">
        <f aca="false">IF(AND(A287&lt;&gt;"",A287='Project Summary'!$C$3,C287&lt;&gt;""),COUNTIFS($A$2:$A287,'Project Summary'!$C$3,$C$2:$C287,"&lt;&gt;"),"")</f>
        <v/>
      </c>
    </row>
    <row r="288" customFormat="false" ht="15" hidden="false" customHeight="false" outlineLevel="0" collapsed="false">
      <c r="A288" s="32"/>
      <c r="B288" s="32"/>
      <c r="C288" s="32"/>
      <c r="D288" s="33"/>
      <c r="E288" s="32"/>
      <c r="F288" s="34"/>
      <c r="G288" s="41"/>
      <c r="H288" s="32"/>
      <c r="I288" s="35"/>
      <c r="J288" s="35"/>
      <c r="K288" s="33"/>
      <c r="L288" s="37" t="str">
        <f aca="false">IF(AND(A288&lt;&gt;"",A288='Project Summary'!$C$3,C288&lt;&gt;""),COUNTIFS($A$2:$A288,'Project Summary'!$C$3,$C$2:$C288,"&lt;&gt;"),"")</f>
        <v/>
      </c>
    </row>
    <row r="289" customFormat="false" ht="15" hidden="false" customHeight="false" outlineLevel="0" collapsed="false">
      <c r="A289" s="32"/>
      <c r="B289" s="32"/>
      <c r="C289" s="32"/>
      <c r="D289" s="33"/>
      <c r="E289" s="32"/>
      <c r="F289" s="34"/>
      <c r="G289" s="41"/>
      <c r="H289" s="32"/>
      <c r="I289" s="35"/>
      <c r="J289" s="35"/>
      <c r="K289" s="33"/>
      <c r="L289" s="37" t="str">
        <f aca="false">IF(AND(A289&lt;&gt;"",A289='Project Summary'!$C$3,C289&lt;&gt;""),COUNTIFS($A$2:$A289,'Project Summary'!$C$3,$C$2:$C289,"&lt;&gt;"),"")</f>
        <v/>
      </c>
    </row>
    <row r="290" customFormat="false" ht="15" hidden="false" customHeight="false" outlineLevel="0" collapsed="false">
      <c r="A290" s="32"/>
      <c r="B290" s="32"/>
      <c r="C290" s="32"/>
      <c r="D290" s="33"/>
      <c r="E290" s="32"/>
      <c r="F290" s="34"/>
      <c r="G290" s="41"/>
      <c r="H290" s="32"/>
      <c r="I290" s="35"/>
      <c r="J290" s="35"/>
      <c r="K290" s="33"/>
      <c r="L290" s="37" t="str">
        <f aca="false">IF(AND(A290&lt;&gt;"",A290='Project Summary'!$C$3,C290&lt;&gt;""),COUNTIFS($A$2:$A290,'Project Summary'!$C$3,$C$2:$C290,"&lt;&gt;"),"")</f>
        <v/>
      </c>
    </row>
    <row r="291" customFormat="false" ht="15" hidden="false" customHeight="false" outlineLevel="0" collapsed="false">
      <c r="A291" s="32"/>
      <c r="B291" s="32"/>
      <c r="C291" s="32"/>
      <c r="D291" s="33"/>
      <c r="E291" s="32"/>
      <c r="F291" s="34"/>
      <c r="G291" s="41"/>
      <c r="H291" s="32"/>
      <c r="I291" s="35"/>
      <c r="J291" s="35"/>
      <c r="K291" s="33"/>
      <c r="L291" s="37" t="str">
        <f aca="false">IF(AND(A291&lt;&gt;"",A291='Project Summary'!$C$3,C291&lt;&gt;""),COUNTIFS($A$2:$A291,'Project Summary'!$C$3,$C$2:$C291,"&lt;&gt;"),"")</f>
        <v/>
      </c>
    </row>
    <row r="292" customFormat="false" ht="15" hidden="false" customHeight="false" outlineLevel="0" collapsed="false">
      <c r="A292" s="32"/>
      <c r="B292" s="32"/>
      <c r="C292" s="32"/>
      <c r="D292" s="33"/>
      <c r="E292" s="32"/>
      <c r="F292" s="34"/>
      <c r="G292" s="41"/>
      <c r="H292" s="32"/>
      <c r="I292" s="35"/>
      <c r="J292" s="35"/>
      <c r="K292" s="33"/>
      <c r="L292" s="37" t="str">
        <f aca="false">IF(AND(A292&lt;&gt;"",A292='Project Summary'!$C$3,C292&lt;&gt;""),COUNTIFS($A$2:$A292,'Project Summary'!$C$3,$C$2:$C292,"&lt;&gt;"),"")</f>
        <v/>
      </c>
    </row>
    <row r="293" customFormat="false" ht="15" hidden="false" customHeight="false" outlineLevel="0" collapsed="false">
      <c r="A293" s="32"/>
      <c r="B293" s="32"/>
      <c r="C293" s="32"/>
      <c r="D293" s="33"/>
      <c r="E293" s="32"/>
      <c r="F293" s="34"/>
      <c r="G293" s="41"/>
      <c r="H293" s="32"/>
      <c r="I293" s="35"/>
      <c r="J293" s="35"/>
      <c r="K293" s="33"/>
      <c r="L293" s="37" t="str">
        <f aca="false">IF(AND(A293&lt;&gt;"",A293='Project Summary'!$C$3,C293&lt;&gt;""),COUNTIFS($A$2:$A293,'Project Summary'!$C$3,$C$2:$C293,"&lt;&gt;"),"")</f>
        <v/>
      </c>
    </row>
    <row r="294" customFormat="false" ht="15" hidden="false" customHeight="false" outlineLevel="0" collapsed="false">
      <c r="A294" s="32"/>
      <c r="B294" s="32"/>
      <c r="C294" s="32"/>
      <c r="D294" s="33"/>
      <c r="E294" s="32"/>
      <c r="F294" s="34"/>
      <c r="G294" s="41"/>
      <c r="H294" s="32"/>
      <c r="I294" s="35"/>
      <c r="J294" s="35"/>
      <c r="K294" s="33"/>
      <c r="L294" s="37" t="str">
        <f aca="false">IF(AND(A294&lt;&gt;"",A294='Project Summary'!$C$3,C294&lt;&gt;""),COUNTIFS($A$2:$A294,'Project Summary'!$C$3,$C$2:$C294,"&lt;&gt;"),"")</f>
        <v/>
      </c>
    </row>
    <row r="295" customFormat="false" ht="15" hidden="false" customHeight="false" outlineLevel="0" collapsed="false">
      <c r="A295" s="32"/>
      <c r="B295" s="32"/>
      <c r="C295" s="32"/>
      <c r="D295" s="33"/>
      <c r="E295" s="32"/>
      <c r="F295" s="34"/>
      <c r="G295" s="41"/>
      <c r="H295" s="32"/>
      <c r="I295" s="35"/>
      <c r="J295" s="35"/>
      <c r="K295" s="33"/>
      <c r="L295" s="37" t="str">
        <f aca="false">IF(AND(A295&lt;&gt;"",A295='Project Summary'!$C$3,C295&lt;&gt;""),COUNTIFS($A$2:$A295,'Project Summary'!$C$3,$C$2:$C295,"&lt;&gt;"),"")</f>
        <v/>
      </c>
    </row>
    <row r="296" customFormat="false" ht="15" hidden="false" customHeight="false" outlineLevel="0" collapsed="false">
      <c r="A296" s="32"/>
      <c r="B296" s="32"/>
      <c r="C296" s="32"/>
      <c r="D296" s="33"/>
      <c r="E296" s="32"/>
      <c r="F296" s="34"/>
      <c r="G296" s="41"/>
      <c r="H296" s="32"/>
      <c r="I296" s="35"/>
      <c r="J296" s="35"/>
      <c r="K296" s="33"/>
      <c r="L296" s="37" t="str">
        <f aca="false">IF(AND(A296&lt;&gt;"",A296='Project Summary'!$C$3,C296&lt;&gt;""),COUNTIFS($A$2:$A296,'Project Summary'!$C$3,$C$2:$C296,"&lt;&gt;"),"")</f>
        <v/>
      </c>
    </row>
    <row r="297" customFormat="false" ht="15" hidden="false" customHeight="false" outlineLevel="0" collapsed="false">
      <c r="A297" s="32"/>
      <c r="B297" s="32"/>
      <c r="C297" s="32"/>
      <c r="D297" s="33"/>
      <c r="E297" s="32"/>
      <c r="F297" s="34"/>
      <c r="G297" s="41"/>
      <c r="H297" s="32"/>
      <c r="I297" s="35"/>
      <c r="J297" s="35"/>
      <c r="K297" s="33"/>
      <c r="L297" s="37" t="str">
        <f aca="false">IF(AND(A297&lt;&gt;"",A297='Project Summary'!$C$3,C297&lt;&gt;""),COUNTIFS($A$2:$A297,'Project Summary'!$C$3,$C$2:$C297,"&lt;&gt;"),"")</f>
        <v/>
      </c>
    </row>
    <row r="298" customFormat="false" ht="15" hidden="false" customHeight="false" outlineLevel="0" collapsed="false">
      <c r="A298" s="32"/>
      <c r="B298" s="32"/>
      <c r="C298" s="32"/>
      <c r="D298" s="33"/>
      <c r="E298" s="32"/>
      <c r="F298" s="34"/>
      <c r="G298" s="41"/>
      <c r="H298" s="32"/>
      <c r="I298" s="35"/>
      <c r="J298" s="35"/>
      <c r="K298" s="33"/>
      <c r="L298" s="37" t="str">
        <f aca="false">IF(AND(A298&lt;&gt;"",A298='Project Summary'!$C$3,C298&lt;&gt;""),COUNTIFS($A$2:$A298,'Project Summary'!$C$3,$C$2:$C298,"&lt;&gt;"),"")</f>
        <v/>
      </c>
    </row>
    <row r="299" customFormat="false" ht="15" hidden="false" customHeight="false" outlineLevel="0" collapsed="false">
      <c r="A299" s="32"/>
      <c r="B299" s="32"/>
      <c r="C299" s="32"/>
      <c r="D299" s="33"/>
      <c r="E299" s="32"/>
      <c r="F299" s="34"/>
      <c r="G299" s="41"/>
      <c r="H299" s="32"/>
      <c r="I299" s="35"/>
      <c r="J299" s="35"/>
      <c r="K299" s="33"/>
      <c r="L299" s="37" t="str">
        <f aca="false">IF(AND(A299&lt;&gt;"",A299='Project Summary'!$C$3,C299&lt;&gt;""),COUNTIFS($A$2:$A299,'Project Summary'!$C$3,$C$2:$C299,"&lt;&gt;"),"")</f>
        <v/>
      </c>
    </row>
    <row r="300" customFormat="false" ht="15" hidden="false" customHeight="false" outlineLevel="0" collapsed="false">
      <c r="A300" s="32"/>
      <c r="B300" s="32"/>
      <c r="C300" s="32"/>
      <c r="D300" s="33"/>
      <c r="E300" s="32"/>
      <c r="F300" s="34"/>
      <c r="G300" s="41"/>
      <c r="H300" s="32"/>
      <c r="I300" s="35"/>
      <c r="J300" s="35"/>
      <c r="K300" s="33"/>
      <c r="L300" s="37" t="str">
        <f aca="false">IF(AND(A300&lt;&gt;"",A300='Project Summary'!$C$3,C300&lt;&gt;""),COUNTIFS($A$2:$A300,'Project Summary'!$C$3,$C$2:$C300,"&lt;&gt;"),"")</f>
        <v/>
      </c>
    </row>
    <row r="301" customFormat="false" ht="15" hidden="false" customHeight="false" outlineLevel="0" collapsed="false">
      <c r="A301" s="32"/>
      <c r="B301" s="32"/>
      <c r="C301" s="32"/>
      <c r="D301" s="33"/>
      <c r="E301" s="32"/>
      <c r="F301" s="34"/>
      <c r="G301" s="41"/>
      <c r="H301" s="32"/>
      <c r="I301" s="35"/>
      <c r="J301" s="35"/>
      <c r="K301" s="33"/>
      <c r="L301" s="37" t="str">
        <f aca="false">IF(AND(A301&lt;&gt;"",A301='Project Summary'!$C$3,C301&lt;&gt;""),COUNTIFS($A$2:$A301,'Project Summary'!$C$3,$C$2:$C301,"&lt;&gt;"),"")</f>
        <v/>
      </c>
    </row>
    <row r="302" customFormat="false" ht="15" hidden="false" customHeight="false" outlineLevel="0" collapsed="false">
      <c r="A302" s="32"/>
      <c r="B302" s="32"/>
      <c r="C302" s="32"/>
      <c r="D302" s="33"/>
      <c r="E302" s="32"/>
      <c r="F302" s="34"/>
      <c r="G302" s="41"/>
      <c r="H302" s="32"/>
      <c r="I302" s="35"/>
      <c r="J302" s="35"/>
      <c r="K302" s="33"/>
      <c r="L302" s="37" t="str">
        <f aca="false">IF(AND(A302&lt;&gt;"",A302='Project Summary'!$C$3,C302&lt;&gt;""),COUNTIFS($A$2:$A302,'Project Summary'!$C$3,$C$2:$C302,"&lt;&gt;"),"")</f>
        <v/>
      </c>
    </row>
    <row r="303" customFormat="false" ht="15" hidden="false" customHeight="false" outlineLevel="0" collapsed="false">
      <c r="A303" s="32"/>
      <c r="B303" s="32"/>
      <c r="C303" s="32"/>
      <c r="D303" s="33"/>
      <c r="E303" s="32"/>
      <c r="F303" s="34"/>
      <c r="G303" s="41"/>
      <c r="H303" s="32"/>
      <c r="I303" s="35"/>
      <c r="J303" s="35"/>
      <c r="K303" s="33"/>
      <c r="L303" s="37" t="str">
        <f aca="false">IF(AND(A303&lt;&gt;"",A303='Project Summary'!$C$3,C303&lt;&gt;""),COUNTIFS($A$2:$A303,'Project Summary'!$C$3,$C$2:$C303,"&lt;&gt;"),"")</f>
        <v/>
      </c>
    </row>
    <row r="304" customFormat="false" ht="15" hidden="false" customHeight="false" outlineLevel="0" collapsed="false">
      <c r="A304" s="32"/>
      <c r="B304" s="32"/>
      <c r="C304" s="32"/>
      <c r="D304" s="33"/>
      <c r="E304" s="32"/>
      <c r="F304" s="34"/>
      <c r="G304" s="41"/>
      <c r="H304" s="32"/>
      <c r="I304" s="35"/>
      <c r="J304" s="35"/>
      <c r="K304" s="33"/>
      <c r="L304" s="37" t="str">
        <f aca="false">IF(AND(A304&lt;&gt;"",A304='Project Summary'!$C$3,C304&lt;&gt;""),COUNTIFS($A$2:$A304,'Project Summary'!$C$3,$C$2:$C304,"&lt;&gt;"),"")</f>
        <v/>
      </c>
    </row>
    <row r="305" customFormat="false" ht="15" hidden="false" customHeight="false" outlineLevel="0" collapsed="false">
      <c r="A305" s="32"/>
      <c r="B305" s="32"/>
      <c r="C305" s="32"/>
      <c r="D305" s="33"/>
      <c r="E305" s="32"/>
      <c r="F305" s="34"/>
      <c r="G305" s="41"/>
      <c r="H305" s="32"/>
      <c r="I305" s="35"/>
      <c r="J305" s="35"/>
      <c r="K305" s="33"/>
      <c r="L305" s="37" t="str">
        <f aca="false">IF(AND(A305&lt;&gt;"",A305='Project Summary'!$C$3,C305&lt;&gt;""),COUNTIFS($A$2:$A305,'Project Summary'!$C$3,$C$2:$C305,"&lt;&gt;"),"")</f>
        <v/>
      </c>
    </row>
    <row r="306" customFormat="false" ht="15" hidden="false" customHeight="false" outlineLevel="0" collapsed="false">
      <c r="A306" s="32"/>
      <c r="B306" s="32"/>
      <c r="C306" s="32"/>
      <c r="D306" s="33"/>
      <c r="E306" s="32"/>
      <c r="F306" s="34"/>
      <c r="G306" s="41"/>
      <c r="H306" s="32"/>
      <c r="I306" s="35"/>
      <c r="J306" s="35"/>
      <c r="K306" s="33"/>
      <c r="L306" s="37" t="str">
        <f aca="false">IF(AND(A306&lt;&gt;"",A306='Project Summary'!$C$3,C306&lt;&gt;""),COUNTIFS($A$2:$A306,'Project Summary'!$C$3,$C$2:$C306,"&lt;&gt;"),"")</f>
        <v/>
      </c>
    </row>
    <row r="307" customFormat="false" ht="15" hidden="false" customHeight="false" outlineLevel="0" collapsed="false">
      <c r="A307" s="32"/>
      <c r="B307" s="32"/>
      <c r="C307" s="32"/>
      <c r="D307" s="33"/>
      <c r="E307" s="32"/>
      <c r="F307" s="34"/>
      <c r="G307" s="41"/>
      <c r="H307" s="32"/>
      <c r="I307" s="35"/>
      <c r="J307" s="35"/>
      <c r="K307" s="33"/>
      <c r="L307" s="37" t="str">
        <f aca="false">IF(AND(A307&lt;&gt;"",A307='Project Summary'!$C$3,C307&lt;&gt;""),COUNTIFS($A$2:$A307,'Project Summary'!$C$3,$C$2:$C307,"&lt;&gt;"),"")</f>
        <v/>
      </c>
    </row>
    <row r="308" customFormat="false" ht="15" hidden="false" customHeight="false" outlineLevel="0" collapsed="false">
      <c r="A308" s="32"/>
      <c r="B308" s="32"/>
      <c r="C308" s="32"/>
      <c r="D308" s="33"/>
      <c r="E308" s="32"/>
      <c r="F308" s="34"/>
      <c r="G308" s="41"/>
      <c r="H308" s="32"/>
      <c r="I308" s="35"/>
      <c r="J308" s="35"/>
      <c r="K308" s="33"/>
      <c r="L308" s="37" t="str">
        <f aca="false">IF(AND(A308&lt;&gt;"",A308='Project Summary'!$C$3,C308&lt;&gt;""),COUNTIFS($A$2:$A308,'Project Summary'!$C$3,$C$2:$C308,"&lt;&gt;"),"")</f>
        <v/>
      </c>
    </row>
    <row r="309" customFormat="false" ht="15" hidden="false" customHeight="false" outlineLevel="0" collapsed="false">
      <c r="A309" s="32"/>
      <c r="B309" s="32"/>
      <c r="C309" s="32"/>
      <c r="D309" s="33"/>
      <c r="E309" s="32"/>
      <c r="F309" s="34"/>
      <c r="G309" s="41"/>
      <c r="H309" s="32"/>
      <c r="I309" s="35"/>
      <c r="J309" s="35"/>
      <c r="K309" s="33"/>
      <c r="L309" s="37" t="str">
        <f aca="false">IF(AND(A309&lt;&gt;"",A309='Project Summary'!$C$3,C309&lt;&gt;""),COUNTIFS($A$2:$A309,'Project Summary'!$C$3,$C$2:$C309,"&lt;&gt;"),"")</f>
        <v/>
      </c>
    </row>
    <row r="310" customFormat="false" ht="15" hidden="false" customHeight="false" outlineLevel="0" collapsed="false">
      <c r="A310" s="32"/>
      <c r="B310" s="32"/>
      <c r="C310" s="32"/>
      <c r="D310" s="33"/>
      <c r="E310" s="32"/>
      <c r="F310" s="34"/>
      <c r="G310" s="41"/>
      <c r="H310" s="32"/>
      <c r="I310" s="35"/>
      <c r="J310" s="35"/>
      <c r="K310" s="33"/>
      <c r="L310" s="37" t="str">
        <f aca="false">IF(AND(A310&lt;&gt;"",A310='Project Summary'!$C$3,C310&lt;&gt;""),COUNTIFS($A$2:$A310,'Project Summary'!$C$3,$C$2:$C310,"&lt;&gt;"),"")</f>
        <v/>
      </c>
    </row>
    <row r="311" customFormat="false" ht="15" hidden="false" customHeight="false" outlineLevel="0" collapsed="false">
      <c r="A311" s="32"/>
      <c r="B311" s="32"/>
      <c r="C311" s="32"/>
      <c r="D311" s="33"/>
      <c r="E311" s="32"/>
      <c r="F311" s="34"/>
      <c r="G311" s="41"/>
      <c r="H311" s="32"/>
      <c r="I311" s="35"/>
      <c r="J311" s="35"/>
      <c r="K311" s="33"/>
      <c r="L311" s="37" t="str">
        <f aca="false">IF(AND(A311&lt;&gt;"",A311='Project Summary'!$C$3,C311&lt;&gt;""),COUNTIFS($A$2:$A311,'Project Summary'!$C$3,$C$2:$C311,"&lt;&gt;"),"")</f>
        <v/>
      </c>
    </row>
    <row r="312" customFormat="false" ht="15" hidden="false" customHeight="false" outlineLevel="0" collapsed="false">
      <c r="A312" s="32"/>
      <c r="B312" s="32"/>
      <c r="C312" s="32"/>
      <c r="D312" s="33"/>
      <c r="E312" s="32"/>
      <c r="F312" s="34"/>
      <c r="G312" s="41"/>
      <c r="H312" s="32"/>
      <c r="I312" s="35"/>
      <c r="J312" s="35"/>
      <c r="K312" s="33"/>
      <c r="L312" s="37" t="str">
        <f aca="false">IF(AND(A312&lt;&gt;"",A312='Project Summary'!$C$3,C312&lt;&gt;""),COUNTIFS($A$2:$A312,'Project Summary'!$C$3,$C$2:$C312,"&lt;&gt;"),"")</f>
        <v/>
      </c>
    </row>
    <row r="313" customFormat="false" ht="15" hidden="false" customHeight="false" outlineLevel="0" collapsed="false">
      <c r="A313" s="32"/>
      <c r="B313" s="32"/>
      <c r="C313" s="32"/>
      <c r="D313" s="33"/>
      <c r="E313" s="32"/>
      <c r="F313" s="34"/>
      <c r="G313" s="41"/>
      <c r="H313" s="32"/>
      <c r="I313" s="35"/>
      <c r="J313" s="35"/>
      <c r="K313" s="33"/>
      <c r="L313" s="37" t="str">
        <f aca="false">IF(AND(A313&lt;&gt;"",A313='Project Summary'!$C$3,C313&lt;&gt;""),COUNTIFS($A$2:$A313,'Project Summary'!$C$3,$C$2:$C313,"&lt;&gt;"),"")</f>
        <v/>
      </c>
    </row>
    <row r="314" customFormat="false" ht="15" hidden="false" customHeight="false" outlineLevel="0" collapsed="false">
      <c r="A314" s="32"/>
      <c r="B314" s="32"/>
      <c r="C314" s="32"/>
      <c r="D314" s="33"/>
      <c r="E314" s="32"/>
      <c r="F314" s="34"/>
      <c r="G314" s="41"/>
      <c r="H314" s="32"/>
      <c r="I314" s="35"/>
      <c r="J314" s="35"/>
      <c r="K314" s="33"/>
      <c r="L314" s="37" t="str">
        <f aca="false">IF(AND(A314&lt;&gt;"",A314='Project Summary'!$C$3,C314&lt;&gt;""),COUNTIFS($A$2:$A314,'Project Summary'!$C$3,$C$2:$C314,"&lt;&gt;"),"")</f>
        <v/>
      </c>
    </row>
    <row r="315" customFormat="false" ht="15" hidden="false" customHeight="false" outlineLevel="0" collapsed="false">
      <c r="A315" s="32"/>
      <c r="B315" s="32"/>
      <c r="C315" s="32"/>
      <c r="D315" s="33"/>
      <c r="E315" s="32"/>
      <c r="F315" s="34"/>
      <c r="G315" s="41"/>
      <c r="H315" s="32"/>
      <c r="I315" s="35"/>
      <c r="J315" s="35"/>
      <c r="K315" s="33"/>
      <c r="L315" s="37" t="str">
        <f aca="false">IF(AND(A315&lt;&gt;"",A315='Project Summary'!$C$3,C315&lt;&gt;""),COUNTIFS($A$2:$A315,'Project Summary'!$C$3,$C$2:$C315,"&lt;&gt;"),"")</f>
        <v/>
      </c>
    </row>
    <row r="316" customFormat="false" ht="15" hidden="false" customHeight="false" outlineLevel="0" collapsed="false">
      <c r="A316" s="32"/>
      <c r="B316" s="32"/>
      <c r="C316" s="32"/>
      <c r="D316" s="33"/>
      <c r="E316" s="32"/>
      <c r="F316" s="34"/>
      <c r="G316" s="41"/>
      <c r="H316" s="32"/>
      <c r="I316" s="35"/>
      <c r="J316" s="35"/>
      <c r="K316" s="33"/>
      <c r="L316" s="37" t="str">
        <f aca="false">IF(AND(A316&lt;&gt;"",A316='Project Summary'!$C$3,C316&lt;&gt;""),COUNTIFS($A$2:$A316,'Project Summary'!$C$3,$C$2:$C316,"&lt;&gt;"),"")</f>
        <v/>
      </c>
    </row>
    <row r="317" customFormat="false" ht="15" hidden="false" customHeight="false" outlineLevel="0" collapsed="false">
      <c r="A317" s="32"/>
      <c r="B317" s="32"/>
      <c r="C317" s="32"/>
      <c r="D317" s="33"/>
      <c r="E317" s="32"/>
      <c r="F317" s="34"/>
      <c r="G317" s="41"/>
      <c r="H317" s="32"/>
      <c r="I317" s="35"/>
      <c r="J317" s="35"/>
      <c r="K317" s="33"/>
      <c r="L317" s="37" t="str">
        <f aca="false">IF(AND(A317&lt;&gt;"",A317='Project Summary'!$C$3,C317&lt;&gt;""),COUNTIFS($A$2:$A317,'Project Summary'!$C$3,$C$2:$C317,"&lt;&gt;"),"")</f>
        <v/>
      </c>
    </row>
    <row r="318" customFormat="false" ht="15" hidden="false" customHeight="false" outlineLevel="0" collapsed="false">
      <c r="A318" s="32"/>
      <c r="B318" s="32"/>
      <c r="C318" s="32"/>
      <c r="D318" s="33"/>
      <c r="E318" s="32"/>
      <c r="F318" s="34"/>
      <c r="G318" s="41"/>
      <c r="H318" s="32"/>
      <c r="I318" s="35"/>
      <c r="J318" s="35"/>
      <c r="K318" s="33"/>
      <c r="L318" s="37" t="str">
        <f aca="false">IF(AND(A318&lt;&gt;"",A318='Project Summary'!$C$3,C318&lt;&gt;""),COUNTIFS($A$2:$A318,'Project Summary'!$C$3,$C$2:$C318,"&lt;&gt;"),"")</f>
        <v/>
      </c>
    </row>
    <row r="319" customFormat="false" ht="15" hidden="false" customHeight="false" outlineLevel="0" collapsed="false">
      <c r="A319" s="32"/>
      <c r="B319" s="32"/>
      <c r="C319" s="32"/>
      <c r="D319" s="33"/>
      <c r="E319" s="32"/>
      <c r="F319" s="34"/>
      <c r="G319" s="41"/>
      <c r="H319" s="32"/>
      <c r="I319" s="35"/>
      <c r="J319" s="35"/>
      <c r="K319" s="33"/>
      <c r="L319" s="37" t="str">
        <f aca="false">IF(AND(A319&lt;&gt;"",A319='Project Summary'!$C$3,C319&lt;&gt;""),COUNTIFS($A$2:$A319,'Project Summary'!$C$3,$C$2:$C319,"&lt;&gt;"),"")</f>
        <v/>
      </c>
    </row>
    <row r="320" customFormat="false" ht="15" hidden="false" customHeight="false" outlineLevel="0" collapsed="false">
      <c r="A320" s="32"/>
      <c r="B320" s="32"/>
      <c r="C320" s="32"/>
      <c r="D320" s="33"/>
      <c r="E320" s="32"/>
      <c r="F320" s="34"/>
      <c r="G320" s="41"/>
      <c r="H320" s="32"/>
      <c r="I320" s="35"/>
      <c r="J320" s="35"/>
      <c r="K320" s="33"/>
      <c r="L320" s="37" t="str">
        <f aca="false">IF(AND(A320&lt;&gt;"",A320='Project Summary'!$C$3,C320&lt;&gt;""),COUNTIFS($A$2:$A320,'Project Summary'!$C$3,$C$2:$C320,"&lt;&gt;"),"")</f>
        <v/>
      </c>
    </row>
    <row r="321" customFormat="false" ht="15" hidden="false" customHeight="false" outlineLevel="0" collapsed="false">
      <c r="A321" s="32"/>
      <c r="B321" s="32"/>
      <c r="C321" s="32"/>
      <c r="D321" s="33"/>
      <c r="E321" s="32"/>
      <c r="F321" s="34"/>
      <c r="G321" s="41"/>
      <c r="H321" s="32"/>
      <c r="I321" s="35"/>
      <c r="J321" s="35"/>
      <c r="K321" s="33"/>
      <c r="L321" s="37" t="str">
        <f aca="false">IF(AND(A321&lt;&gt;"",A321='Project Summary'!$C$3,C321&lt;&gt;""),COUNTIFS($A$2:$A321,'Project Summary'!$C$3,$C$2:$C321,"&lt;&gt;"),"")</f>
        <v/>
      </c>
    </row>
    <row r="322" customFormat="false" ht="15" hidden="false" customHeight="false" outlineLevel="0" collapsed="false">
      <c r="A322" s="32"/>
      <c r="B322" s="32"/>
      <c r="C322" s="32"/>
      <c r="D322" s="33"/>
      <c r="E322" s="32"/>
      <c r="F322" s="34"/>
      <c r="G322" s="41"/>
      <c r="H322" s="32"/>
      <c r="I322" s="35"/>
      <c r="J322" s="35"/>
      <c r="K322" s="33"/>
      <c r="L322" s="37" t="str">
        <f aca="false">IF(AND(A322&lt;&gt;"",A322='Project Summary'!$C$3,C322&lt;&gt;""),COUNTIFS($A$2:$A322,'Project Summary'!$C$3,$C$2:$C322,"&lt;&gt;"),"")</f>
        <v/>
      </c>
    </row>
    <row r="323" customFormat="false" ht="15" hidden="false" customHeight="false" outlineLevel="0" collapsed="false">
      <c r="A323" s="32"/>
      <c r="B323" s="32"/>
      <c r="C323" s="32"/>
      <c r="D323" s="33"/>
      <c r="E323" s="32"/>
      <c r="F323" s="34"/>
      <c r="G323" s="41"/>
      <c r="H323" s="32"/>
      <c r="I323" s="35"/>
      <c r="J323" s="35"/>
      <c r="K323" s="33"/>
      <c r="L323" s="37" t="str">
        <f aca="false">IF(AND(A323&lt;&gt;"",A323='Project Summary'!$C$3,C323&lt;&gt;""),COUNTIFS($A$2:$A323,'Project Summary'!$C$3,$C$2:$C323,"&lt;&gt;"),"")</f>
        <v/>
      </c>
    </row>
    <row r="324" customFormat="false" ht="15" hidden="false" customHeight="false" outlineLevel="0" collapsed="false">
      <c r="A324" s="32"/>
      <c r="B324" s="32"/>
      <c r="C324" s="32"/>
      <c r="D324" s="33"/>
      <c r="E324" s="32"/>
      <c r="F324" s="34"/>
      <c r="G324" s="41"/>
      <c r="H324" s="32"/>
      <c r="I324" s="35"/>
      <c r="J324" s="35"/>
      <c r="K324" s="33"/>
      <c r="L324" s="37" t="str">
        <f aca="false">IF(AND(A324&lt;&gt;"",A324='Project Summary'!$C$3,C324&lt;&gt;""),COUNTIFS($A$2:$A324,'Project Summary'!$C$3,$C$2:$C324,"&lt;&gt;"),"")</f>
        <v/>
      </c>
    </row>
    <row r="325" customFormat="false" ht="15" hidden="false" customHeight="false" outlineLevel="0" collapsed="false">
      <c r="A325" s="32"/>
      <c r="B325" s="32"/>
      <c r="C325" s="32"/>
      <c r="D325" s="33"/>
      <c r="E325" s="32"/>
      <c r="F325" s="34"/>
      <c r="G325" s="41"/>
      <c r="H325" s="32"/>
      <c r="I325" s="35"/>
      <c r="J325" s="35"/>
      <c r="K325" s="33"/>
      <c r="L325" s="37" t="str">
        <f aca="false">IF(AND(A325&lt;&gt;"",A325='Project Summary'!$C$3,C325&lt;&gt;""),COUNTIFS($A$2:$A325,'Project Summary'!$C$3,$C$2:$C325,"&lt;&gt;"),"")</f>
        <v/>
      </c>
    </row>
    <row r="326" customFormat="false" ht="15" hidden="false" customHeight="false" outlineLevel="0" collapsed="false">
      <c r="A326" s="32"/>
      <c r="B326" s="32"/>
      <c r="C326" s="32"/>
      <c r="D326" s="33"/>
      <c r="E326" s="32"/>
      <c r="F326" s="34"/>
      <c r="G326" s="41"/>
      <c r="H326" s="32"/>
      <c r="I326" s="35"/>
      <c r="J326" s="35"/>
      <c r="K326" s="33"/>
      <c r="L326" s="37" t="str">
        <f aca="false">IF(AND(A326&lt;&gt;"",A326='Project Summary'!$C$3,C326&lt;&gt;""),COUNTIFS($A$2:$A326,'Project Summary'!$C$3,$C$2:$C326,"&lt;&gt;"),"")</f>
        <v/>
      </c>
    </row>
    <row r="327" customFormat="false" ht="15" hidden="false" customHeight="false" outlineLevel="0" collapsed="false">
      <c r="A327" s="32"/>
      <c r="B327" s="32"/>
      <c r="C327" s="32"/>
      <c r="D327" s="33"/>
      <c r="E327" s="32"/>
      <c r="F327" s="34"/>
      <c r="G327" s="41"/>
      <c r="H327" s="32"/>
      <c r="I327" s="35"/>
      <c r="J327" s="35"/>
      <c r="K327" s="33"/>
      <c r="L327" s="37" t="str">
        <f aca="false">IF(AND(A327&lt;&gt;"",A327='Project Summary'!$C$3,C327&lt;&gt;""),COUNTIFS($A$2:$A327,'Project Summary'!$C$3,$C$2:$C327,"&lt;&gt;"),"")</f>
        <v/>
      </c>
    </row>
    <row r="328" customFormat="false" ht="15" hidden="false" customHeight="false" outlineLevel="0" collapsed="false">
      <c r="A328" s="32"/>
      <c r="B328" s="32"/>
      <c r="C328" s="32"/>
      <c r="D328" s="33"/>
      <c r="E328" s="32"/>
      <c r="F328" s="34"/>
      <c r="G328" s="41"/>
      <c r="H328" s="32"/>
      <c r="I328" s="35"/>
      <c r="J328" s="35"/>
      <c r="K328" s="33"/>
      <c r="L328" s="37" t="str">
        <f aca="false">IF(AND(A328&lt;&gt;"",A328='Project Summary'!$C$3,C328&lt;&gt;""),COUNTIFS($A$2:$A328,'Project Summary'!$C$3,$C$2:$C328,"&lt;&gt;"),"")</f>
        <v/>
      </c>
    </row>
    <row r="329" customFormat="false" ht="15" hidden="false" customHeight="false" outlineLevel="0" collapsed="false">
      <c r="A329" s="32"/>
      <c r="B329" s="32"/>
      <c r="C329" s="32"/>
      <c r="D329" s="33"/>
      <c r="E329" s="32"/>
      <c r="F329" s="34"/>
      <c r="G329" s="41"/>
      <c r="H329" s="32"/>
      <c r="I329" s="35"/>
      <c r="J329" s="35"/>
      <c r="K329" s="33"/>
      <c r="L329" s="37" t="str">
        <f aca="false">IF(AND(A329&lt;&gt;"",A329='Project Summary'!$C$3,C329&lt;&gt;""),COUNTIFS($A$2:$A329,'Project Summary'!$C$3,$C$2:$C329,"&lt;&gt;"),"")</f>
        <v/>
      </c>
    </row>
    <row r="330" customFormat="false" ht="15" hidden="false" customHeight="false" outlineLevel="0" collapsed="false">
      <c r="A330" s="32"/>
      <c r="B330" s="32"/>
      <c r="C330" s="32"/>
      <c r="D330" s="33"/>
      <c r="E330" s="32"/>
      <c r="F330" s="34"/>
      <c r="G330" s="41"/>
      <c r="H330" s="32"/>
      <c r="I330" s="35"/>
      <c r="J330" s="35"/>
      <c r="K330" s="33"/>
      <c r="L330" s="37" t="str">
        <f aca="false">IF(AND(A330&lt;&gt;"",A330='Project Summary'!$C$3,C330&lt;&gt;""),COUNTIFS($A$2:$A330,'Project Summary'!$C$3,$C$2:$C330,"&lt;&gt;"),"")</f>
        <v/>
      </c>
    </row>
    <row r="331" customFormat="false" ht="15" hidden="false" customHeight="false" outlineLevel="0" collapsed="false">
      <c r="A331" s="32"/>
      <c r="B331" s="32"/>
      <c r="C331" s="32"/>
      <c r="D331" s="33"/>
      <c r="E331" s="32"/>
      <c r="F331" s="34"/>
      <c r="G331" s="41"/>
      <c r="H331" s="32"/>
      <c r="I331" s="35"/>
      <c r="J331" s="35"/>
      <c r="K331" s="33"/>
      <c r="L331" s="37" t="str">
        <f aca="false">IF(AND(A331&lt;&gt;"",A331='Project Summary'!$C$3,C331&lt;&gt;""),COUNTIFS($A$2:$A331,'Project Summary'!$C$3,$C$2:$C331,"&lt;&gt;"),"")</f>
        <v/>
      </c>
    </row>
    <row r="332" customFormat="false" ht="15" hidden="false" customHeight="false" outlineLevel="0" collapsed="false">
      <c r="A332" s="32"/>
      <c r="B332" s="32"/>
      <c r="C332" s="32"/>
      <c r="D332" s="33"/>
      <c r="E332" s="32"/>
      <c r="F332" s="34"/>
      <c r="G332" s="41"/>
      <c r="H332" s="32"/>
      <c r="I332" s="35"/>
      <c r="J332" s="35"/>
      <c r="K332" s="33"/>
      <c r="L332" s="37" t="str">
        <f aca="false">IF(AND(A332&lt;&gt;"",A332='Project Summary'!$C$3,C332&lt;&gt;""),COUNTIFS($A$2:$A332,'Project Summary'!$C$3,$C$2:$C332,"&lt;&gt;"),"")</f>
        <v/>
      </c>
    </row>
    <row r="333" customFormat="false" ht="15" hidden="false" customHeight="false" outlineLevel="0" collapsed="false">
      <c r="A333" s="32"/>
      <c r="B333" s="32"/>
      <c r="C333" s="32"/>
      <c r="D333" s="33"/>
      <c r="E333" s="32"/>
      <c r="F333" s="34"/>
      <c r="G333" s="41"/>
      <c r="H333" s="32"/>
      <c r="I333" s="35"/>
      <c r="J333" s="35"/>
      <c r="K333" s="33"/>
      <c r="L333" s="37" t="str">
        <f aca="false">IF(AND(A333&lt;&gt;"",A333='Project Summary'!$C$3,C333&lt;&gt;""),COUNTIFS($A$2:$A333,'Project Summary'!$C$3,$C$2:$C333,"&lt;&gt;"),"")</f>
        <v/>
      </c>
    </row>
    <row r="334" customFormat="false" ht="15" hidden="false" customHeight="false" outlineLevel="0" collapsed="false">
      <c r="A334" s="32"/>
      <c r="B334" s="32"/>
      <c r="C334" s="32"/>
      <c r="D334" s="33"/>
      <c r="E334" s="32"/>
      <c r="F334" s="34"/>
      <c r="G334" s="41"/>
      <c r="H334" s="32"/>
      <c r="I334" s="35"/>
      <c r="J334" s="35"/>
      <c r="K334" s="33"/>
      <c r="L334" s="37" t="str">
        <f aca="false">IF(AND(A334&lt;&gt;"",A334='Project Summary'!$C$3,C334&lt;&gt;""),COUNTIFS($A$2:$A334,'Project Summary'!$C$3,$C$2:$C334,"&lt;&gt;"),"")</f>
        <v/>
      </c>
    </row>
    <row r="335" customFormat="false" ht="15" hidden="false" customHeight="false" outlineLevel="0" collapsed="false">
      <c r="A335" s="32"/>
      <c r="B335" s="32"/>
      <c r="C335" s="32"/>
      <c r="D335" s="33"/>
      <c r="E335" s="32"/>
      <c r="F335" s="34"/>
      <c r="G335" s="41"/>
      <c r="H335" s="32"/>
      <c r="I335" s="35"/>
      <c r="J335" s="35"/>
      <c r="K335" s="33"/>
      <c r="L335" s="37" t="str">
        <f aca="false">IF(AND(A335&lt;&gt;"",A335='Project Summary'!$C$3,C335&lt;&gt;""),COUNTIFS($A$2:$A335,'Project Summary'!$C$3,$C$2:$C335,"&lt;&gt;"),"")</f>
        <v/>
      </c>
    </row>
    <row r="336" customFormat="false" ht="15" hidden="false" customHeight="false" outlineLevel="0" collapsed="false">
      <c r="A336" s="32"/>
      <c r="B336" s="32"/>
      <c r="C336" s="32"/>
      <c r="D336" s="33"/>
      <c r="E336" s="32"/>
      <c r="F336" s="34"/>
      <c r="G336" s="41"/>
      <c r="H336" s="32"/>
      <c r="I336" s="35"/>
      <c r="J336" s="35"/>
      <c r="K336" s="33"/>
      <c r="L336" s="37" t="str">
        <f aca="false">IF(AND(A336&lt;&gt;"",A336='Project Summary'!$C$3,C336&lt;&gt;""),COUNTIFS($A$2:$A336,'Project Summary'!$C$3,$C$2:$C336,"&lt;&gt;"),"")</f>
        <v/>
      </c>
    </row>
    <row r="337" customFormat="false" ht="15" hidden="false" customHeight="false" outlineLevel="0" collapsed="false">
      <c r="A337" s="32"/>
      <c r="B337" s="32"/>
      <c r="C337" s="32"/>
      <c r="D337" s="33"/>
      <c r="E337" s="32"/>
      <c r="F337" s="34"/>
      <c r="G337" s="41"/>
      <c r="H337" s="32"/>
      <c r="I337" s="35"/>
      <c r="J337" s="35"/>
      <c r="K337" s="33"/>
      <c r="L337" s="37" t="str">
        <f aca="false">IF(AND(A337&lt;&gt;"",A337='Project Summary'!$C$3,C337&lt;&gt;""),COUNTIFS($A$2:$A337,'Project Summary'!$C$3,$C$2:$C337,"&lt;&gt;"),"")</f>
        <v/>
      </c>
    </row>
    <row r="338" customFormat="false" ht="15" hidden="false" customHeight="false" outlineLevel="0" collapsed="false">
      <c r="A338" s="32"/>
      <c r="B338" s="32"/>
      <c r="C338" s="32"/>
      <c r="D338" s="33"/>
      <c r="E338" s="32"/>
      <c r="F338" s="34"/>
      <c r="G338" s="41"/>
      <c r="H338" s="32"/>
      <c r="I338" s="35"/>
      <c r="J338" s="35"/>
      <c r="K338" s="33"/>
      <c r="L338" s="37" t="str">
        <f aca="false">IF(AND(A338&lt;&gt;"",A338='Project Summary'!$C$3,C338&lt;&gt;""),COUNTIFS($A$2:$A338,'Project Summary'!$C$3,$C$2:$C338,"&lt;&gt;"),"")</f>
        <v/>
      </c>
    </row>
    <row r="339" customFormat="false" ht="15" hidden="false" customHeight="false" outlineLevel="0" collapsed="false">
      <c r="A339" s="32"/>
      <c r="B339" s="32"/>
      <c r="C339" s="32"/>
      <c r="D339" s="33"/>
      <c r="E339" s="32"/>
      <c r="F339" s="34"/>
      <c r="G339" s="41"/>
      <c r="H339" s="32"/>
      <c r="I339" s="35"/>
      <c r="J339" s="35"/>
      <c r="K339" s="33"/>
      <c r="L339" s="37" t="str">
        <f aca="false">IF(AND(A339&lt;&gt;"",A339='Project Summary'!$C$3,C339&lt;&gt;""),COUNTIFS($A$2:$A339,'Project Summary'!$C$3,$C$2:$C339,"&lt;&gt;"),"")</f>
        <v/>
      </c>
    </row>
    <row r="340" customFormat="false" ht="15" hidden="false" customHeight="false" outlineLevel="0" collapsed="false">
      <c r="A340" s="32"/>
      <c r="B340" s="32"/>
      <c r="C340" s="32"/>
      <c r="D340" s="33"/>
      <c r="E340" s="32"/>
      <c r="F340" s="34"/>
      <c r="G340" s="41"/>
      <c r="H340" s="32"/>
      <c r="I340" s="35"/>
      <c r="J340" s="35"/>
      <c r="K340" s="33"/>
      <c r="L340" s="37" t="str">
        <f aca="false">IF(AND(A340&lt;&gt;"",A340='Project Summary'!$C$3,C340&lt;&gt;""),COUNTIFS($A$2:$A340,'Project Summary'!$C$3,$C$2:$C340,"&lt;&gt;"),"")</f>
        <v/>
      </c>
    </row>
    <row r="341" customFormat="false" ht="15" hidden="false" customHeight="false" outlineLevel="0" collapsed="false">
      <c r="A341" s="32"/>
      <c r="B341" s="32"/>
      <c r="C341" s="32"/>
      <c r="D341" s="33"/>
      <c r="E341" s="32"/>
      <c r="F341" s="34"/>
      <c r="G341" s="41"/>
      <c r="H341" s="32"/>
      <c r="I341" s="35"/>
      <c r="J341" s="35"/>
      <c r="K341" s="33"/>
      <c r="L341" s="37" t="str">
        <f aca="false">IF(AND(A341&lt;&gt;"",A341='Project Summary'!$C$3,C341&lt;&gt;""),COUNTIFS($A$2:$A341,'Project Summary'!$C$3,$C$2:$C341,"&lt;&gt;"),"")</f>
        <v/>
      </c>
    </row>
    <row r="342" customFormat="false" ht="15" hidden="false" customHeight="false" outlineLevel="0" collapsed="false">
      <c r="A342" s="32"/>
      <c r="B342" s="32"/>
      <c r="C342" s="32"/>
      <c r="D342" s="33"/>
      <c r="E342" s="32"/>
      <c r="F342" s="34"/>
      <c r="G342" s="41"/>
      <c r="H342" s="32"/>
      <c r="I342" s="35"/>
      <c r="J342" s="35"/>
      <c r="K342" s="33"/>
      <c r="L342" s="37" t="str">
        <f aca="false">IF(AND(A342&lt;&gt;"",A342='Project Summary'!$C$3,C342&lt;&gt;""),COUNTIFS($A$2:$A342,'Project Summary'!$C$3,$C$2:$C342,"&lt;&gt;"),"")</f>
        <v/>
      </c>
    </row>
    <row r="343" customFormat="false" ht="15" hidden="false" customHeight="false" outlineLevel="0" collapsed="false">
      <c r="A343" s="32"/>
      <c r="B343" s="32"/>
      <c r="C343" s="32"/>
      <c r="D343" s="33"/>
      <c r="E343" s="32"/>
      <c r="F343" s="34"/>
      <c r="G343" s="41"/>
      <c r="H343" s="32"/>
      <c r="I343" s="35"/>
      <c r="J343" s="35"/>
      <c r="K343" s="33"/>
      <c r="L343" s="37" t="str">
        <f aca="false">IF(AND(A343&lt;&gt;"",A343='Project Summary'!$C$3,C343&lt;&gt;""),COUNTIFS($A$2:$A343,'Project Summary'!$C$3,$C$2:$C343,"&lt;&gt;"),"")</f>
        <v/>
      </c>
    </row>
    <row r="344" customFormat="false" ht="15" hidden="false" customHeight="false" outlineLevel="0" collapsed="false">
      <c r="A344" s="32"/>
      <c r="B344" s="32"/>
      <c r="C344" s="32"/>
      <c r="D344" s="33"/>
      <c r="E344" s="32"/>
      <c r="F344" s="34"/>
      <c r="G344" s="41"/>
      <c r="H344" s="32"/>
      <c r="I344" s="35"/>
      <c r="J344" s="35"/>
      <c r="K344" s="33"/>
      <c r="L344" s="37" t="str">
        <f aca="false">IF(AND(A344&lt;&gt;"",A344='Project Summary'!$C$3,C344&lt;&gt;""),COUNTIFS($A$2:$A344,'Project Summary'!$C$3,$C$2:$C344,"&lt;&gt;"),"")</f>
        <v/>
      </c>
    </row>
    <row r="345" customFormat="false" ht="15" hidden="false" customHeight="false" outlineLevel="0" collapsed="false">
      <c r="A345" s="32"/>
      <c r="B345" s="32"/>
      <c r="C345" s="32"/>
      <c r="D345" s="33"/>
      <c r="E345" s="32"/>
      <c r="F345" s="34"/>
      <c r="G345" s="41"/>
      <c r="H345" s="32"/>
      <c r="I345" s="35"/>
      <c r="J345" s="35"/>
      <c r="K345" s="33"/>
      <c r="L345" s="37" t="str">
        <f aca="false">IF(AND(A345&lt;&gt;"",A345='Project Summary'!$C$3,C345&lt;&gt;""),COUNTIFS($A$2:$A345,'Project Summary'!$C$3,$C$2:$C345,"&lt;&gt;"),"")</f>
        <v/>
      </c>
    </row>
    <row r="346" customFormat="false" ht="15" hidden="false" customHeight="false" outlineLevel="0" collapsed="false">
      <c r="A346" s="32"/>
      <c r="B346" s="32"/>
      <c r="C346" s="32"/>
      <c r="D346" s="33"/>
      <c r="E346" s="32"/>
      <c r="F346" s="34"/>
      <c r="G346" s="41"/>
      <c r="H346" s="32"/>
      <c r="I346" s="35"/>
      <c r="J346" s="35"/>
      <c r="K346" s="33"/>
      <c r="L346" s="37" t="str">
        <f aca="false">IF(AND(A346&lt;&gt;"",A346='Project Summary'!$C$3,C346&lt;&gt;""),COUNTIFS($A$2:$A346,'Project Summary'!$C$3,$C$2:$C346,"&lt;&gt;"),"")</f>
        <v/>
      </c>
    </row>
    <row r="347" customFormat="false" ht="15" hidden="false" customHeight="false" outlineLevel="0" collapsed="false">
      <c r="A347" s="32"/>
      <c r="B347" s="32"/>
      <c r="C347" s="32"/>
      <c r="D347" s="33"/>
      <c r="E347" s="32"/>
      <c r="F347" s="34"/>
      <c r="G347" s="41"/>
      <c r="H347" s="32"/>
      <c r="I347" s="35"/>
      <c r="J347" s="35"/>
      <c r="K347" s="33"/>
      <c r="L347" s="37" t="str">
        <f aca="false">IF(AND(A347&lt;&gt;"",A347='Project Summary'!$C$3,C347&lt;&gt;""),COUNTIFS($A$2:$A347,'Project Summary'!$C$3,$C$2:$C347,"&lt;&gt;"),"")</f>
        <v/>
      </c>
    </row>
    <row r="348" customFormat="false" ht="15" hidden="false" customHeight="false" outlineLevel="0" collapsed="false">
      <c r="A348" s="32"/>
      <c r="B348" s="32"/>
      <c r="C348" s="32"/>
      <c r="D348" s="33"/>
      <c r="E348" s="32"/>
      <c r="F348" s="34"/>
      <c r="G348" s="41"/>
      <c r="H348" s="32"/>
      <c r="I348" s="35"/>
      <c r="J348" s="35"/>
      <c r="K348" s="33"/>
      <c r="L348" s="37" t="str">
        <f aca="false">IF(AND(A348&lt;&gt;"",A348='Project Summary'!$C$3,C348&lt;&gt;""),COUNTIFS($A$2:$A348,'Project Summary'!$C$3,$C$2:$C348,"&lt;&gt;"),"")</f>
        <v/>
      </c>
    </row>
    <row r="349" customFormat="false" ht="15" hidden="false" customHeight="false" outlineLevel="0" collapsed="false">
      <c r="A349" s="32"/>
      <c r="B349" s="32"/>
      <c r="C349" s="32"/>
      <c r="D349" s="33"/>
      <c r="E349" s="32"/>
      <c r="F349" s="34"/>
      <c r="G349" s="41"/>
      <c r="H349" s="32"/>
      <c r="I349" s="35"/>
      <c r="J349" s="35"/>
      <c r="K349" s="33"/>
      <c r="L349" s="37" t="str">
        <f aca="false">IF(AND(A349&lt;&gt;"",A349='Project Summary'!$C$3,C349&lt;&gt;""),COUNTIFS($A$2:$A349,'Project Summary'!$C$3,$C$2:$C349,"&lt;&gt;"),"")</f>
        <v/>
      </c>
    </row>
    <row r="350" customFormat="false" ht="15" hidden="false" customHeight="false" outlineLevel="0" collapsed="false">
      <c r="A350" s="32"/>
      <c r="B350" s="32"/>
      <c r="C350" s="32"/>
      <c r="D350" s="33"/>
      <c r="E350" s="32"/>
      <c r="F350" s="34"/>
      <c r="G350" s="41"/>
      <c r="H350" s="32"/>
      <c r="I350" s="35"/>
      <c r="J350" s="35"/>
      <c r="K350" s="33"/>
      <c r="L350" s="37" t="str">
        <f aca="false">IF(AND(A350&lt;&gt;"",A350='Project Summary'!$C$3,C350&lt;&gt;""),COUNTIFS($A$2:$A350,'Project Summary'!$C$3,$C$2:$C350,"&lt;&gt;"),"")</f>
        <v/>
      </c>
    </row>
    <row r="351" customFormat="false" ht="15" hidden="false" customHeight="false" outlineLevel="0" collapsed="false">
      <c r="A351" s="32"/>
      <c r="B351" s="32"/>
      <c r="C351" s="32"/>
      <c r="D351" s="33"/>
      <c r="E351" s="32"/>
      <c r="F351" s="34"/>
      <c r="G351" s="41"/>
      <c r="H351" s="32"/>
      <c r="I351" s="35"/>
      <c r="J351" s="35"/>
      <c r="K351" s="33"/>
      <c r="L351" s="37" t="str">
        <f aca="false">IF(AND(A351&lt;&gt;"",A351='Project Summary'!$C$3,C351&lt;&gt;""),COUNTIFS($A$2:$A351,'Project Summary'!$C$3,$C$2:$C351,"&lt;&gt;"),"")</f>
        <v/>
      </c>
    </row>
    <row r="352" customFormat="false" ht="15" hidden="false" customHeight="false" outlineLevel="0" collapsed="false">
      <c r="A352" s="32"/>
      <c r="B352" s="32"/>
      <c r="C352" s="32"/>
      <c r="D352" s="33"/>
      <c r="E352" s="32"/>
      <c r="F352" s="34"/>
      <c r="G352" s="41"/>
      <c r="H352" s="32"/>
      <c r="I352" s="35"/>
      <c r="J352" s="35"/>
      <c r="K352" s="33"/>
      <c r="L352" s="37" t="str">
        <f aca="false">IF(AND(A352&lt;&gt;"",A352='Project Summary'!$C$3,C352&lt;&gt;""),COUNTIFS($A$2:$A352,'Project Summary'!$C$3,$C$2:$C352,"&lt;&gt;"),"")</f>
        <v/>
      </c>
    </row>
    <row r="353" customFormat="false" ht="15" hidden="false" customHeight="false" outlineLevel="0" collapsed="false">
      <c r="A353" s="32"/>
      <c r="B353" s="32"/>
      <c r="C353" s="32"/>
      <c r="D353" s="33"/>
      <c r="E353" s="32"/>
      <c r="F353" s="34"/>
      <c r="G353" s="41"/>
      <c r="H353" s="32"/>
      <c r="I353" s="35"/>
      <c r="J353" s="35"/>
      <c r="K353" s="33"/>
      <c r="L353" s="37" t="str">
        <f aca="false">IF(AND(A353&lt;&gt;"",A353='Project Summary'!$C$3,C353&lt;&gt;""),COUNTIFS($A$2:$A353,'Project Summary'!$C$3,$C$2:$C353,"&lt;&gt;"),"")</f>
        <v/>
      </c>
    </row>
    <row r="354" customFormat="false" ht="15" hidden="false" customHeight="false" outlineLevel="0" collapsed="false">
      <c r="A354" s="32"/>
      <c r="B354" s="32"/>
      <c r="C354" s="32"/>
      <c r="D354" s="33"/>
      <c r="E354" s="32"/>
      <c r="F354" s="34"/>
      <c r="G354" s="41"/>
      <c r="H354" s="32"/>
      <c r="I354" s="35"/>
      <c r="J354" s="35"/>
      <c r="K354" s="33"/>
      <c r="L354" s="37" t="str">
        <f aca="false">IF(AND(A354&lt;&gt;"",A354='Project Summary'!$C$3,C354&lt;&gt;""),COUNTIFS($A$2:$A354,'Project Summary'!$C$3,$C$2:$C354,"&lt;&gt;"),"")</f>
        <v/>
      </c>
    </row>
    <row r="355" customFormat="false" ht="15" hidden="false" customHeight="false" outlineLevel="0" collapsed="false">
      <c r="A355" s="32"/>
      <c r="B355" s="32"/>
      <c r="C355" s="32"/>
      <c r="D355" s="33"/>
      <c r="E355" s="32"/>
      <c r="F355" s="34"/>
      <c r="G355" s="41"/>
      <c r="H355" s="32"/>
      <c r="I355" s="35"/>
      <c r="J355" s="35"/>
      <c r="K355" s="33"/>
      <c r="L355" s="37" t="str">
        <f aca="false">IF(AND(A355&lt;&gt;"",A355='Project Summary'!$C$3,C355&lt;&gt;""),COUNTIFS($A$2:$A355,'Project Summary'!$C$3,$C$2:$C355,"&lt;&gt;"),"")</f>
        <v/>
      </c>
    </row>
    <row r="356" customFormat="false" ht="15" hidden="false" customHeight="false" outlineLevel="0" collapsed="false">
      <c r="A356" s="32"/>
      <c r="B356" s="32"/>
      <c r="C356" s="32"/>
      <c r="D356" s="33"/>
      <c r="E356" s="32"/>
      <c r="F356" s="34"/>
      <c r="G356" s="41"/>
      <c r="H356" s="32"/>
      <c r="I356" s="35"/>
      <c r="J356" s="35"/>
      <c r="K356" s="33"/>
      <c r="L356" s="37" t="str">
        <f aca="false">IF(AND(A356&lt;&gt;"",A356='Project Summary'!$C$3,C356&lt;&gt;""),COUNTIFS($A$2:$A356,'Project Summary'!$C$3,$C$2:$C356,"&lt;&gt;"),"")</f>
        <v/>
      </c>
    </row>
    <row r="357" customFormat="false" ht="15" hidden="false" customHeight="false" outlineLevel="0" collapsed="false">
      <c r="A357" s="32"/>
      <c r="B357" s="32"/>
      <c r="C357" s="32"/>
      <c r="D357" s="33"/>
      <c r="E357" s="32"/>
      <c r="F357" s="34"/>
      <c r="G357" s="41"/>
      <c r="H357" s="32"/>
      <c r="I357" s="35"/>
      <c r="J357" s="35"/>
      <c r="K357" s="33"/>
      <c r="L357" s="37" t="str">
        <f aca="false">IF(AND(A357&lt;&gt;"",A357='Project Summary'!$C$3,C357&lt;&gt;""),COUNTIFS($A$2:$A357,'Project Summary'!$C$3,$C$2:$C357,"&lt;&gt;"),"")</f>
        <v/>
      </c>
    </row>
    <row r="358" customFormat="false" ht="15" hidden="false" customHeight="false" outlineLevel="0" collapsed="false">
      <c r="A358" s="32"/>
      <c r="B358" s="32"/>
      <c r="C358" s="32"/>
      <c r="D358" s="33"/>
      <c r="E358" s="32"/>
      <c r="F358" s="34"/>
      <c r="G358" s="41"/>
      <c r="H358" s="32"/>
      <c r="I358" s="35"/>
      <c r="J358" s="35"/>
      <c r="K358" s="33"/>
      <c r="L358" s="37" t="str">
        <f aca="false">IF(AND(A358&lt;&gt;"",A358='Project Summary'!$C$3,C358&lt;&gt;""),COUNTIFS($A$2:$A358,'Project Summary'!$C$3,$C$2:$C358,"&lt;&gt;"),"")</f>
        <v/>
      </c>
    </row>
    <row r="359" customFormat="false" ht="15" hidden="false" customHeight="false" outlineLevel="0" collapsed="false">
      <c r="A359" s="32"/>
      <c r="B359" s="32"/>
      <c r="C359" s="32"/>
      <c r="D359" s="33"/>
      <c r="E359" s="32"/>
      <c r="F359" s="34"/>
      <c r="G359" s="41"/>
      <c r="H359" s="32"/>
      <c r="I359" s="35"/>
      <c r="J359" s="35"/>
      <c r="K359" s="33"/>
      <c r="L359" s="37" t="str">
        <f aca="false">IF(AND(A359&lt;&gt;"",A359='Project Summary'!$C$3,C359&lt;&gt;""),COUNTIFS($A$2:$A359,'Project Summary'!$C$3,$C$2:$C359,"&lt;&gt;"),"")</f>
        <v/>
      </c>
    </row>
    <row r="360" customFormat="false" ht="15" hidden="false" customHeight="false" outlineLevel="0" collapsed="false">
      <c r="A360" s="32"/>
      <c r="B360" s="32"/>
      <c r="C360" s="32"/>
      <c r="D360" s="33"/>
      <c r="E360" s="32"/>
      <c r="F360" s="34"/>
      <c r="G360" s="41"/>
      <c r="H360" s="32"/>
      <c r="I360" s="35"/>
      <c r="J360" s="35"/>
      <c r="K360" s="33"/>
      <c r="L360" s="37" t="str">
        <f aca="false">IF(AND(A360&lt;&gt;"",A360='Project Summary'!$C$3,C360&lt;&gt;""),COUNTIFS($A$2:$A360,'Project Summary'!$C$3,$C$2:$C360,"&lt;&gt;"),"")</f>
        <v/>
      </c>
    </row>
    <row r="361" customFormat="false" ht="15" hidden="false" customHeight="false" outlineLevel="0" collapsed="false">
      <c r="A361" s="32"/>
      <c r="B361" s="32"/>
      <c r="C361" s="32"/>
      <c r="D361" s="33"/>
      <c r="E361" s="32"/>
      <c r="F361" s="34"/>
      <c r="G361" s="41"/>
      <c r="H361" s="32"/>
      <c r="I361" s="35"/>
      <c r="J361" s="35"/>
      <c r="K361" s="33"/>
      <c r="L361" s="37" t="str">
        <f aca="false">IF(AND(A361&lt;&gt;"",A361='Project Summary'!$C$3,C361&lt;&gt;""),COUNTIFS($A$2:$A361,'Project Summary'!$C$3,$C$2:$C361,"&lt;&gt;"),"")</f>
        <v/>
      </c>
    </row>
    <row r="362" customFormat="false" ht="15" hidden="false" customHeight="false" outlineLevel="0" collapsed="false">
      <c r="A362" s="32"/>
      <c r="B362" s="32"/>
      <c r="C362" s="32"/>
      <c r="D362" s="33"/>
      <c r="E362" s="32"/>
      <c r="F362" s="34"/>
      <c r="G362" s="41"/>
      <c r="H362" s="32"/>
      <c r="I362" s="35"/>
      <c r="J362" s="35"/>
      <c r="K362" s="33"/>
      <c r="L362" s="37" t="str">
        <f aca="false">IF(AND(A362&lt;&gt;"",A362='Project Summary'!$C$3,C362&lt;&gt;""),COUNTIFS($A$2:$A362,'Project Summary'!$C$3,$C$2:$C362,"&lt;&gt;"),"")</f>
        <v/>
      </c>
    </row>
    <row r="363" customFormat="false" ht="15" hidden="false" customHeight="false" outlineLevel="0" collapsed="false">
      <c r="A363" s="32"/>
      <c r="B363" s="32"/>
      <c r="C363" s="32"/>
      <c r="D363" s="33"/>
      <c r="E363" s="32"/>
      <c r="F363" s="34"/>
      <c r="G363" s="41"/>
      <c r="H363" s="32"/>
      <c r="I363" s="35"/>
      <c r="J363" s="35"/>
      <c r="K363" s="33"/>
      <c r="L363" s="37" t="str">
        <f aca="false">IF(AND(A363&lt;&gt;"",A363='Project Summary'!$C$3,C363&lt;&gt;""),COUNTIFS($A$2:$A363,'Project Summary'!$C$3,$C$2:$C363,"&lt;&gt;"),"")</f>
        <v/>
      </c>
    </row>
    <row r="364" customFormat="false" ht="15" hidden="false" customHeight="false" outlineLevel="0" collapsed="false">
      <c r="A364" s="32"/>
      <c r="B364" s="32"/>
      <c r="C364" s="32"/>
      <c r="D364" s="33"/>
      <c r="E364" s="32"/>
      <c r="F364" s="34"/>
      <c r="G364" s="41"/>
      <c r="H364" s="32"/>
      <c r="I364" s="35"/>
      <c r="J364" s="35"/>
      <c r="K364" s="33"/>
      <c r="L364" s="37" t="str">
        <f aca="false">IF(AND(A364&lt;&gt;"",A364='Project Summary'!$C$3,C364&lt;&gt;""),COUNTIFS($A$2:$A364,'Project Summary'!$C$3,$C$2:$C364,"&lt;&gt;"),"")</f>
        <v/>
      </c>
    </row>
    <row r="365" customFormat="false" ht="15" hidden="false" customHeight="false" outlineLevel="0" collapsed="false">
      <c r="A365" s="32"/>
      <c r="B365" s="32"/>
      <c r="C365" s="32"/>
      <c r="D365" s="33"/>
      <c r="E365" s="32"/>
      <c r="F365" s="34"/>
      <c r="G365" s="41"/>
      <c r="H365" s="32"/>
      <c r="I365" s="35"/>
      <c r="J365" s="35"/>
      <c r="K365" s="33"/>
      <c r="L365" s="37" t="str">
        <f aca="false">IF(AND(A365&lt;&gt;"",A365='Project Summary'!$C$3,C365&lt;&gt;""),COUNTIFS($A$2:$A365,'Project Summary'!$C$3,$C$2:$C365,"&lt;&gt;"),"")</f>
        <v/>
      </c>
    </row>
    <row r="366" customFormat="false" ht="15" hidden="false" customHeight="false" outlineLevel="0" collapsed="false">
      <c r="A366" s="32"/>
      <c r="B366" s="32"/>
      <c r="C366" s="32"/>
      <c r="D366" s="33"/>
      <c r="E366" s="32"/>
      <c r="F366" s="34"/>
      <c r="G366" s="41"/>
      <c r="H366" s="32"/>
      <c r="I366" s="35"/>
      <c r="J366" s="35"/>
      <c r="K366" s="33"/>
      <c r="L366" s="37" t="str">
        <f aca="false">IF(AND(A366&lt;&gt;"",A366='Project Summary'!$C$3,C366&lt;&gt;""),COUNTIFS($A$2:$A366,'Project Summary'!$C$3,$C$2:$C366,"&lt;&gt;"),"")</f>
        <v/>
      </c>
    </row>
    <row r="367" customFormat="false" ht="15" hidden="false" customHeight="false" outlineLevel="0" collapsed="false">
      <c r="A367" s="32"/>
      <c r="B367" s="32"/>
      <c r="C367" s="32"/>
      <c r="D367" s="33"/>
      <c r="E367" s="32"/>
      <c r="F367" s="34"/>
      <c r="G367" s="41"/>
      <c r="H367" s="32"/>
      <c r="I367" s="35"/>
      <c r="J367" s="35"/>
      <c r="K367" s="33"/>
      <c r="L367" s="37" t="str">
        <f aca="false">IF(AND(A367&lt;&gt;"",A367='Project Summary'!$C$3,C367&lt;&gt;""),COUNTIFS($A$2:$A367,'Project Summary'!$C$3,$C$2:$C367,"&lt;&gt;"),"")</f>
        <v/>
      </c>
    </row>
    <row r="368" customFormat="false" ht="15" hidden="false" customHeight="false" outlineLevel="0" collapsed="false">
      <c r="A368" s="32"/>
      <c r="B368" s="32"/>
      <c r="C368" s="32"/>
      <c r="D368" s="33"/>
      <c r="E368" s="32"/>
      <c r="F368" s="34"/>
      <c r="G368" s="41"/>
      <c r="H368" s="32"/>
      <c r="I368" s="35"/>
      <c r="J368" s="35"/>
      <c r="K368" s="33"/>
      <c r="L368" s="37" t="str">
        <f aca="false">IF(AND(A368&lt;&gt;"",A368='Project Summary'!$C$3,C368&lt;&gt;""),COUNTIFS($A$2:$A368,'Project Summary'!$C$3,$C$2:$C368,"&lt;&gt;"),"")</f>
        <v/>
      </c>
    </row>
    <row r="369" customFormat="false" ht="15" hidden="false" customHeight="false" outlineLevel="0" collapsed="false">
      <c r="A369" s="32"/>
      <c r="B369" s="32"/>
      <c r="C369" s="32"/>
      <c r="D369" s="33"/>
      <c r="E369" s="32"/>
      <c r="F369" s="34"/>
      <c r="G369" s="41"/>
      <c r="H369" s="32"/>
      <c r="I369" s="35"/>
      <c r="J369" s="35"/>
      <c r="K369" s="33"/>
      <c r="L369" s="37" t="str">
        <f aca="false">IF(AND(A369&lt;&gt;"",A369='Project Summary'!$C$3,C369&lt;&gt;""),COUNTIFS($A$2:$A369,'Project Summary'!$C$3,$C$2:$C369,"&lt;&gt;"),"")</f>
        <v/>
      </c>
    </row>
    <row r="370" customFormat="false" ht="15" hidden="false" customHeight="false" outlineLevel="0" collapsed="false">
      <c r="A370" s="32"/>
      <c r="B370" s="32"/>
      <c r="C370" s="32"/>
      <c r="D370" s="33"/>
      <c r="E370" s="32"/>
      <c r="F370" s="34"/>
      <c r="G370" s="41"/>
      <c r="H370" s="32"/>
      <c r="I370" s="35"/>
      <c r="J370" s="35"/>
      <c r="K370" s="33"/>
      <c r="L370" s="37" t="str">
        <f aca="false">IF(AND(A370&lt;&gt;"",A370='Project Summary'!$C$3,C370&lt;&gt;""),COUNTIFS($A$2:$A370,'Project Summary'!$C$3,$C$2:$C370,"&lt;&gt;"),"")</f>
        <v/>
      </c>
    </row>
    <row r="371" customFormat="false" ht="15" hidden="false" customHeight="false" outlineLevel="0" collapsed="false">
      <c r="A371" s="32"/>
      <c r="B371" s="32"/>
      <c r="C371" s="32"/>
      <c r="D371" s="33"/>
      <c r="E371" s="32"/>
      <c r="F371" s="34"/>
      <c r="G371" s="41"/>
      <c r="H371" s="32"/>
      <c r="I371" s="35"/>
      <c r="J371" s="35"/>
      <c r="K371" s="33"/>
      <c r="L371" s="37" t="str">
        <f aca="false">IF(AND(A371&lt;&gt;"",A371='Project Summary'!$C$3,C371&lt;&gt;""),COUNTIFS($A$2:$A371,'Project Summary'!$C$3,$C$2:$C371,"&lt;&gt;"),"")</f>
        <v/>
      </c>
    </row>
    <row r="372" customFormat="false" ht="15" hidden="false" customHeight="false" outlineLevel="0" collapsed="false">
      <c r="A372" s="32"/>
      <c r="B372" s="32"/>
      <c r="C372" s="32"/>
      <c r="D372" s="33"/>
      <c r="E372" s="32"/>
      <c r="F372" s="34"/>
      <c r="G372" s="41"/>
      <c r="H372" s="32"/>
      <c r="I372" s="35"/>
      <c r="J372" s="35"/>
      <c r="K372" s="33"/>
      <c r="L372" s="37" t="str">
        <f aca="false">IF(AND(A372&lt;&gt;"",A372='Project Summary'!$C$3,C372&lt;&gt;""),COUNTIFS($A$2:$A372,'Project Summary'!$C$3,$C$2:$C372,"&lt;&gt;"),"")</f>
        <v/>
      </c>
    </row>
    <row r="373" customFormat="false" ht="15" hidden="false" customHeight="false" outlineLevel="0" collapsed="false">
      <c r="A373" s="32"/>
      <c r="B373" s="32"/>
      <c r="C373" s="32"/>
      <c r="D373" s="33"/>
      <c r="E373" s="32"/>
      <c r="F373" s="34"/>
      <c r="G373" s="41"/>
      <c r="H373" s="32"/>
      <c r="I373" s="35"/>
      <c r="J373" s="35"/>
      <c r="K373" s="33"/>
      <c r="L373" s="37" t="str">
        <f aca="false">IF(AND(A373&lt;&gt;"",A373='Project Summary'!$C$3,C373&lt;&gt;""),COUNTIFS($A$2:$A373,'Project Summary'!$C$3,$C$2:$C373,"&lt;&gt;"),"")</f>
        <v/>
      </c>
    </row>
    <row r="374" customFormat="false" ht="15" hidden="false" customHeight="false" outlineLevel="0" collapsed="false">
      <c r="A374" s="32"/>
      <c r="B374" s="32"/>
      <c r="C374" s="32"/>
      <c r="D374" s="33"/>
      <c r="E374" s="32"/>
      <c r="F374" s="34"/>
      <c r="G374" s="41"/>
      <c r="H374" s="32"/>
      <c r="I374" s="35"/>
      <c r="J374" s="35"/>
      <c r="K374" s="33"/>
      <c r="L374" s="37" t="str">
        <f aca="false">IF(AND(A374&lt;&gt;"",A374='Project Summary'!$C$3,C374&lt;&gt;""),COUNTIFS($A$2:$A374,'Project Summary'!$C$3,$C$2:$C374,"&lt;&gt;"),"")</f>
        <v/>
      </c>
    </row>
    <row r="375" customFormat="false" ht="15" hidden="false" customHeight="false" outlineLevel="0" collapsed="false">
      <c r="A375" s="32"/>
      <c r="B375" s="32"/>
      <c r="C375" s="32"/>
      <c r="D375" s="33"/>
      <c r="E375" s="32"/>
      <c r="F375" s="34"/>
      <c r="G375" s="41"/>
      <c r="H375" s="32"/>
      <c r="I375" s="35"/>
      <c r="J375" s="35"/>
      <c r="K375" s="33"/>
      <c r="L375" s="37" t="str">
        <f aca="false">IF(AND(A375&lt;&gt;"",A375='Project Summary'!$C$3,C375&lt;&gt;""),COUNTIFS($A$2:$A375,'Project Summary'!$C$3,$C$2:$C375,"&lt;&gt;"),"")</f>
        <v/>
      </c>
    </row>
    <row r="376" customFormat="false" ht="15" hidden="false" customHeight="false" outlineLevel="0" collapsed="false">
      <c r="A376" s="32"/>
      <c r="B376" s="32"/>
      <c r="C376" s="32"/>
      <c r="D376" s="33"/>
      <c r="E376" s="32"/>
      <c r="F376" s="34"/>
      <c r="G376" s="41"/>
      <c r="H376" s="32"/>
      <c r="I376" s="35"/>
      <c r="J376" s="35"/>
      <c r="K376" s="33"/>
      <c r="L376" s="37" t="str">
        <f aca="false">IF(AND(A376&lt;&gt;"",A376='Project Summary'!$C$3,C376&lt;&gt;""),COUNTIFS($A$2:$A376,'Project Summary'!$C$3,$C$2:$C376,"&lt;&gt;"),"")</f>
        <v/>
      </c>
    </row>
    <row r="377" customFormat="false" ht="15" hidden="false" customHeight="false" outlineLevel="0" collapsed="false">
      <c r="A377" s="32"/>
      <c r="B377" s="32"/>
      <c r="C377" s="32"/>
      <c r="D377" s="33"/>
      <c r="E377" s="32"/>
      <c r="F377" s="34"/>
      <c r="G377" s="41"/>
      <c r="H377" s="32"/>
      <c r="I377" s="35"/>
      <c r="J377" s="35"/>
      <c r="K377" s="33"/>
      <c r="L377" s="37" t="str">
        <f aca="false">IF(AND(A377&lt;&gt;"",A377='Project Summary'!$C$3,C377&lt;&gt;""),COUNTIFS($A$2:$A377,'Project Summary'!$C$3,$C$2:$C377,"&lt;&gt;"),"")</f>
        <v/>
      </c>
    </row>
    <row r="378" customFormat="false" ht="15" hidden="false" customHeight="false" outlineLevel="0" collapsed="false">
      <c r="A378" s="32"/>
      <c r="B378" s="32"/>
      <c r="C378" s="32"/>
      <c r="D378" s="33"/>
      <c r="E378" s="32"/>
      <c r="F378" s="34"/>
      <c r="G378" s="41"/>
      <c r="H378" s="32"/>
      <c r="I378" s="35"/>
      <c r="J378" s="35"/>
      <c r="K378" s="33"/>
      <c r="L378" s="37" t="str">
        <f aca="false">IF(AND(A378&lt;&gt;"",A378='Project Summary'!$C$3,C378&lt;&gt;""),COUNTIFS($A$2:$A378,'Project Summary'!$C$3,$C$2:$C378,"&lt;&gt;"),"")</f>
        <v/>
      </c>
    </row>
    <row r="379" customFormat="false" ht="15" hidden="false" customHeight="false" outlineLevel="0" collapsed="false">
      <c r="A379" s="32"/>
      <c r="B379" s="32"/>
      <c r="C379" s="32"/>
      <c r="D379" s="33"/>
      <c r="E379" s="32"/>
      <c r="F379" s="34"/>
      <c r="G379" s="41"/>
      <c r="H379" s="32"/>
      <c r="I379" s="35"/>
      <c r="J379" s="35"/>
      <c r="K379" s="33"/>
      <c r="L379" s="37" t="str">
        <f aca="false">IF(AND(A379&lt;&gt;"",A379='Project Summary'!$C$3,C379&lt;&gt;""),COUNTIFS($A$2:$A379,'Project Summary'!$C$3,$C$2:$C379,"&lt;&gt;"),"")</f>
        <v/>
      </c>
    </row>
    <row r="380" customFormat="false" ht="15" hidden="false" customHeight="false" outlineLevel="0" collapsed="false">
      <c r="A380" s="32"/>
      <c r="B380" s="32"/>
      <c r="C380" s="32"/>
      <c r="D380" s="33"/>
      <c r="E380" s="32"/>
      <c r="F380" s="34"/>
      <c r="G380" s="41"/>
      <c r="H380" s="32"/>
      <c r="I380" s="35"/>
      <c r="J380" s="35"/>
      <c r="K380" s="33"/>
      <c r="L380" s="37" t="str">
        <f aca="false">IF(AND(A380&lt;&gt;"",A380='Project Summary'!$C$3,C380&lt;&gt;""),COUNTIFS($A$2:$A380,'Project Summary'!$C$3,$C$2:$C380,"&lt;&gt;"),"")</f>
        <v/>
      </c>
    </row>
    <row r="381" customFormat="false" ht="15" hidden="false" customHeight="false" outlineLevel="0" collapsed="false">
      <c r="A381" s="32"/>
      <c r="B381" s="32"/>
      <c r="C381" s="32"/>
      <c r="D381" s="33"/>
      <c r="E381" s="32"/>
      <c r="F381" s="34"/>
      <c r="G381" s="41"/>
      <c r="H381" s="32"/>
      <c r="I381" s="35"/>
      <c r="J381" s="35"/>
      <c r="K381" s="33"/>
      <c r="L381" s="37" t="str">
        <f aca="false">IF(AND(A381&lt;&gt;"",A381='Project Summary'!$C$3,C381&lt;&gt;""),COUNTIFS($A$2:$A381,'Project Summary'!$C$3,$C$2:$C381,"&lt;&gt;"),"")</f>
        <v/>
      </c>
    </row>
    <row r="382" customFormat="false" ht="15" hidden="false" customHeight="false" outlineLevel="0" collapsed="false">
      <c r="A382" s="32"/>
      <c r="B382" s="32"/>
      <c r="C382" s="32"/>
      <c r="D382" s="33"/>
      <c r="E382" s="32"/>
      <c r="F382" s="34"/>
      <c r="G382" s="41"/>
      <c r="H382" s="32"/>
      <c r="I382" s="35"/>
      <c r="J382" s="35"/>
      <c r="K382" s="33"/>
      <c r="L382" s="37" t="str">
        <f aca="false">IF(AND(A382&lt;&gt;"",A382='Project Summary'!$C$3,C382&lt;&gt;""),COUNTIFS($A$2:$A382,'Project Summary'!$C$3,$C$2:$C382,"&lt;&gt;"),"")</f>
        <v/>
      </c>
    </row>
    <row r="383" customFormat="false" ht="15" hidden="false" customHeight="false" outlineLevel="0" collapsed="false">
      <c r="A383" s="32"/>
      <c r="B383" s="32"/>
      <c r="C383" s="32"/>
      <c r="D383" s="33"/>
      <c r="E383" s="32"/>
      <c r="F383" s="34"/>
      <c r="G383" s="41"/>
      <c r="H383" s="32"/>
      <c r="I383" s="35"/>
      <c r="J383" s="35"/>
      <c r="K383" s="33"/>
      <c r="L383" s="37" t="str">
        <f aca="false">IF(AND(A383&lt;&gt;"",A383='Project Summary'!$C$3,C383&lt;&gt;""),COUNTIFS($A$2:$A383,'Project Summary'!$C$3,$C$2:$C383,"&lt;&gt;"),"")</f>
        <v/>
      </c>
    </row>
    <row r="384" customFormat="false" ht="15" hidden="false" customHeight="false" outlineLevel="0" collapsed="false">
      <c r="A384" s="32"/>
      <c r="B384" s="32"/>
      <c r="C384" s="32"/>
      <c r="D384" s="33"/>
      <c r="E384" s="32"/>
      <c r="F384" s="34"/>
      <c r="G384" s="41"/>
      <c r="H384" s="32"/>
      <c r="I384" s="35"/>
      <c r="J384" s="35"/>
      <c r="K384" s="33"/>
      <c r="L384" s="37" t="str">
        <f aca="false">IF(AND(A384&lt;&gt;"",A384='Project Summary'!$C$3,C384&lt;&gt;""),COUNTIFS($A$2:$A384,'Project Summary'!$C$3,$C$2:$C384,"&lt;&gt;"),"")</f>
        <v/>
      </c>
    </row>
    <row r="385" customFormat="false" ht="15" hidden="false" customHeight="false" outlineLevel="0" collapsed="false">
      <c r="A385" s="32"/>
      <c r="B385" s="32"/>
      <c r="C385" s="32"/>
      <c r="D385" s="33"/>
      <c r="E385" s="32"/>
      <c r="F385" s="34"/>
      <c r="G385" s="41"/>
      <c r="H385" s="32"/>
      <c r="I385" s="35"/>
      <c r="J385" s="35"/>
      <c r="K385" s="33"/>
      <c r="L385" s="37" t="str">
        <f aca="false">IF(AND(A385&lt;&gt;"",A385='Project Summary'!$C$3,C385&lt;&gt;""),COUNTIFS($A$2:$A385,'Project Summary'!$C$3,$C$2:$C385,"&lt;&gt;"),"")</f>
        <v/>
      </c>
    </row>
    <row r="386" customFormat="false" ht="15" hidden="false" customHeight="false" outlineLevel="0" collapsed="false">
      <c r="A386" s="32"/>
      <c r="B386" s="32"/>
      <c r="C386" s="32"/>
      <c r="D386" s="33"/>
      <c r="E386" s="32"/>
      <c r="F386" s="34"/>
      <c r="G386" s="41"/>
      <c r="H386" s="32"/>
      <c r="I386" s="35"/>
      <c r="J386" s="35"/>
      <c r="K386" s="33"/>
      <c r="L386" s="37" t="str">
        <f aca="false">IF(AND(A386&lt;&gt;"",A386='Project Summary'!$C$3,C386&lt;&gt;""),COUNTIFS($A$2:$A386,'Project Summary'!$C$3,$C$2:$C386,"&lt;&gt;"),"")</f>
        <v/>
      </c>
    </row>
    <row r="387" customFormat="false" ht="15" hidden="false" customHeight="false" outlineLevel="0" collapsed="false">
      <c r="A387" s="32"/>
      <c r="B387" s="32"/>
      <c r="C387" s="32"/>
      <c r="D387" s="33"/>
      <c r="E387" s="32"/>
      <c r="F387" s="34"/>
      <c r="G387" s="41"/>
      <c r="H387" s="32"/>
      <c r="I387" s="35"/>
      <c r="J387" s="35"/>
      <c r="K387" s="33"/>
      <c r="L387" s="37" t="str">
        <f aca="false">IF(AND(A387&lt;&gt;"",A387='Project Summary'!$C$3,C387&lt;&gt;""),COUNTIFS($A$2:$A387,'Project Summary'!$C$3,$C$2:$C387,"&lt;&gt;"),"")</f>
        <v/>
      </c>
    </row>
    <row r="388" customFormat="false" ht="15" hidden="false" customHeight="false" outlineLevel="0" collapsed="false">
      <c r="A388" s="32"/>
      <c r="B388" s="32"/>
      <c r="C388" s="32"/>
      <c r="D388" s="33"/>
      <c r="E388" s="32"/>
      <c r="F388" s="34"/>
      <c r="G388" s="41"/>
      <c r="H388" s="32"/>
      <c r="I388" s="35"/>
      <c r="J388" s="35"/>
      <c r="K388" s="33"/>
      <c r="L388" s="37" t="str">
        <f aca="false">IF(AND(A388&lt;&gt;"",A388='Project Summary'!$C$3,C388&lt;&gt;""),COUNTIFS($A$2:$A388,'Project Summary'!$C$3,$C$2:$C388,"&lt;&gt;"),"")</f>
        <v/>
      </c>
    </row>
    <row r="389" customFormat="false" ht="15" hidden="false" customHeight="false" outlineLevel="0" collapsed="false">
      <c r="A389" s="32"/>
      <c r="B389" s="32"/>
      <c r="C389" s="32"/>
      <c r="D389" s="33"/>
      <c r="E389" s="32"/>
      <c r="F389" s="34"/>
      <c r="G389" s="41"/>
      <c r="H389" s="32"/>
      <c r="I389" s="35"/>
      <c r="J389" s="35"/>
      <c r="K389" s="33"/>
      <c r="L389" s="37" t="str">
        <f aca="false">IF(AND(A389&lt;&gt;"",A389='Project Summary'!$C$3,C389&lt;&gt;""),COUNTIFS($A$2:$A389,'Project Summary'!$C$3,$C$2:$C389,"&lt;&gt;"),"")</f>
        <v/>
      </c>
    </row>
    <row r="390" customFormat="false" ht="15" hidden="false" customHeight="false" outlineLevel="0" collapsed="false">
      <c r="A390" s="32"/>
      <c r="B390" s="32"/>
      <c r="C390" s="32"/>
      <c r="D390" s="33"/>
      <c r="E390" s="32"/>
      <c r="F390" s="34"/>
      <c r="G390" s="41"/>
      <c r="H390" s="32"/>
      <c r="I390" s="35"/>
      <c r="J390" s="35"/>
      <c r="K390" s="33"/>
      <c r="L390" s="37" t="str">
        <f aca="false">IF(AND(A390&lt;&gt;"",A390='Project Summary'!$C$3,C390&lt;&gt;""),COUNTIFS($A$2:$A390,'Project Summary'!$C$3,$C$2:$C390,"&lt;&gt;"),"")</f>
        <v/>
      </c>
    </row>
    <row r="391" customFormat="false" ht="15" hidden="false" customHeight="false" outlineLevel="0" collapsed="false">
      <c r="A391" s="32"/>
      <c r="B391" s="32"/>
      <c r="C391" s="32"/>
      <c r="D391" s="33"/>
      <c r="E391" s="32"/>
      <c r="F391" s="34"/>
      <c r="G391" s="41"/>
      <c r="H391" s="32"/>
      <c r="I391" s="35"/>
      <c r="J391" s="35"/>
      <c r="K391" s="33"/>
      <c r="L391" s="37" t="str">
        <f aca="false">IF(AND(A391&lt;&gt;"",A391='Project Summary'!$C$3,C391&lt;&gt;""),COUNTIFS($A$2:$A391,'Project Summary'!$C$3,$C$2:$C391,"&lt;&gt;"),"")</f>
        <v/>
      </c>
    </row>
    <row r="392" customFormat="false" ht="15" hidden="false" customHeight="false" outlineLevel="0" collapsed="false">
      <c r="A392" s="32"/>
      <c r="B392" s="32"/>
      <c r="C392" s="32"/>
      <c r="D392" s="33"/>
      <c r="E392" s="32"/>
      <c r="F392" s="34"/>
      <c r="G392" s="41"/>
      <c r="H392" s="32"/>
      <c r="I392" s="35"/>
      <c r="J392" s="35"/>
      <c r="K392" s="33"/>
      <c r="L392" s="37" t="str">
        <f aca="false">IF(AND(A392&lt;&gt;"",A392='Project Summary'!$C$3,C392&lt;&gt;""),COUNTIFS($A$2:$A392,'Project Summary'!$C$3,$C$2:$C392,"&lt;&gt;"),"")</f>
        <v/>
      </c>
    </row>
    <row r="393" customFormat="false" ht="15" hidden="false" customHeight="false" outlineLevel="0" collapsed="false">
      <c r="A393" s="32"/>
      <c r="B393" s="32"/>
      <c r="C393" s="32"/>
      <c r="D393" s="33"/>
      <c r="E393" s="32"/>
      <c r="F393" s="34"/>
      <c r="G393" s="41"/>
      <c r="H393" s="32"/>
      <c r="I393" s="35"/>
      <c r="J393" s="35"/>
      <c r="K393" s="33"/>
      <c r="L393" s="37" t="str">
        <f aca="false">IF(AND(A393&lt;&gt;"",A393='Project Summary'!$C$3,C393&lt;&gt;""),COUNTIFS($A$2:$A393,'Project Summary'!$C$3,$C$2:$C393,"&lt;&gt;"),"")</f>
        <v/>
      </c>
    </row>
    <row r="394" customFormat="false" ht="15" hidden="false" customHeight="false" outlineLevel="0" collapsed="false">
      <c r="A394" s="32"/>
      <c r="B394" s="32"/>
      <c r="C394" s="32"/>
      <c r="D394" s="33"/>
      <c r="E394" s="32"/>
      <c r="F394" s="34"/>
      <c r="G394" s="41"/>
      <c r="H394" s="32"/>
      <c r="I394" s="35"/>
      <c r="J394" s="35"/>
      <c r="K394" s="33"/>
      <c r="L394" s="37" t="str">
        <f aca="false">IF(AND(A394&lt;&gt;"",A394='Project Summary'!$C$3,C394&lt;&gt;""),COUNTIFS($A$2:$A394,'Project Summary'!$C$3,$C$2:$C394,"&lt;&gt;"),"")</f>
        <v/>
      </c>
    </row>
    <row r="395" customFormat="false" ht="15" hidden="false" customHeight="false" outlineLevel="0" collapsed="false">
      <c r="A395" s="32"/>
      <c r="B395" s="32"/>
      <c r="C395" s="32"/>
      <c r="D395" s="33"/>
      <c r="E395" s="32"/>
      <c r="F395" s="34"/>
      <c r="G395" s="41"/>
      <c r="H395" s="32"/>
      <c r="I395" s="35"/>
      <c r="J395" s="35"/>
      <c r="K395" s="33"/>
      <c r="L395" s="37" t="str">
        <f aca="false">IF(AND(A395&lt;&gt;"",A395='Project Summary'!$C$3,C395&lt;&gt;""),COUNTIFS($A$2:$A395,'Project Summary'!$C$3,$C$2:$C395,"&lt;&gt;"),"")</f>
        <v/>
      </c>
    </row>
    <row r="396" customFormat="false" ht="15" hidden="false" customHeight="false" outlineLevel="0" collapsed="false">
      <c r="A396" s="32"/>
      <c r="B396" s="32"/>
      <c r="C396" s="32"/>
      <c r="D396" s="33"/>
      <c r="E396" s="32"/>
      <c r="F396" s="34"/>
      <c r="G396" s="41"/>
      <c r="H396" s="32"/>
      <c r="I396" s="35"/>
      <c r="J396" s="35"/>
      <c r="K396" s="33"/>
      <c r="L396" s="37" t="str">
        <f aca="false">IF(AND(A396&lt;&gt;"",A396='Project Summary'!$C$3,C396&lt;&gt;""),COUNTIFS($A$2:$A396,'Project Summary'!$C$3,$C$2:$C396,"&lt;&gt;"),"")</f>
        <v/>
      </c>
    </row>
    <row r="397" customFormat="false" ht="15" hidden="false" customHeight="false" outlineLevel="0" collapsed="false">
      <c r="A397" s="32"/>
      <c r="B397" s="32"/>
      <c r="C397" s="32"/>
      <c r="D397" s="33"/>
      <c r="E397" s="32"/>
      <c r="F397" s="34"/>
      <c r="G397" s="41"/>
      <c r="H397" s="32"/>
      <c r="I397" s="35"/>
      <c r="J397" s="35"/>
      <c r="K397" s="33"/>
      <c r="L397" s="37" t="str">
        <f aca="false">IF(AND(A397&lt;&gt;"",A397='Project Summary'!$C$3,C397&lt;&gt;""),COUNTIFS($A$2:$A397,'Project Summary'!$C$3,$C$2:$C397,"&lt;&gt;"),"")</f>
        <v/>
      </c>
    </row>
    <row r="398" customFormat="false" ht="15" hidden="false" customHeight="false" outlineLevel="0" collapsed="false">
      <c r="A398" s="32"/>
      <c r="B398" s="32"/>
      <c r="C398" s="32"/>
      <c r="D398" s="33"/>
      <c r="E398" s="32"/>
      <c r="F398" s="34"/>
      <c r="G398" s="41"/>
      <c r="H398" s="32"/>
      <c r="I398" s="35"/>
      <c r="J398" s="35"/>
      <c r="K398" s="33"/>
      <c r="L398" s="37" t="str">
        <f aca="false">IF(AND(A398&lt;&gt;"",A398='Project Summary'!$C$3,C398&lt;&gt;""),COUNTIFS($A$2:$A398,'Project Summary'!$C$3,$C$2:$C398,"&lt;&gt;"),"")</f>
        <v/>
      </c>
    </row>
    <row r="399" customFormat="false" ht="15" hidden="false" customHeight="false" outlineLevel="0" collapsed="false">
      <c r="A399" s="32"/>
      <c r="B399" s="32"/>
      <c r="C399" s="32"/>
      <c r="D399" s="33"/>
      <c r="E399" s="32"/>
      <c r="F399" s="34"/>
      <c r="G399" s="41"/>
      <c r="H399" s="32"/>
      <c r="I399" s="35"/>
      <c r="J399" s="35"/>
      <c r="K399" s="33"/>
      <c r="L399" s="37" t="str">
        <f aca="false">IF(AND(A399&lt;&gt;"",A399='Project Summary'!$C$3,C399&lt;&gt;""),COUNTIFS($A$2:$A399,'Project Summary'!$C$3,$C$2:$C399,"&lt;&gt;"),"")</f>
        <v/>
      </c>
    </row>
    <row r="400" customFormat="false" ht="15" hidden="false" customHeight="false" outlineLevel="0" collapsed="false">
      <c r="A400" s="32"/>
      <c r="B400" s="32"/>
      <c r="C400" s="32"/>
      <c r="D400" s="33"/>
      <c r="E400" s="32"/>
      <c r="F400" s="34"/>
      <c r="G400" s="41"/>
      <c r="H400" s="32"/>
      <c r="I400" s="35"/>
      <c r="J400" s="35"/>
      <c r="K400" s="33"/>
      <c r="L400" s="37" t="str">
        <f aca="false">IF(AND(A400&lt;&gt;"",A400='Project Summary'!$C$3,C400&lt;&gt;""),COUNTIFS($A$2:$A400,'Project Summary'!$C$3,$C$2:$C400,"&lt;&gt;"),"")</f>
        <v/>
      </c>
    </row>
    <row r="401" customFormat="false" ht="15" hidden="false" customHeight="false" outlineLevel="0" collapsed="false">
      <c r="A401" s="32"/>
      <c r="B401" s="32"/>
      <c r="C401" s="32"/>
      <c r="D401" s="33"/>
      <c r="E401" s="32"/>
      <c r="F401" s="34"/>
      <c r="G401" s="41"/>
      <c r="H401" s="32"/>
      <c r="I401" s="35"/>
      <c r="J401" s="35"/>
      <c r="K401" s="33"/>
      <c r="L401" s="37" t="str">
        <f aca="false">IF(AND(A401&lt;&gt;"",A401='Project Summary'!$C$3,C401&lt;&gt;""),COUNTIFS($A$2:$A401,'Project Summary'!$C$3,$C$2:$C401,"&lt;&gt;"),"")</f>
        <v/>
      </c>
    </row>
    <row r="402" customFormat="false" ht="15" hidden="false" customHeight="false" outlineLevel="0" collapsed="false">
      <c r="A402" s="32"/>
      <c r="B402" s="32"/>
      <c r="C402" s="32"/>
      <c r="D402" s="33"/>
      <c r="E402" s="32"/>
      <c r="F402" s="34"/>
      <c r="G402" s="41"/>
      <c r="H402" s="32"/>
      <c r="I402" s="35"/>
      <c r="J402" s="35"/>
      <c r="K402" s="33"/>
      <c r="L402" s="37" t="str">
        <f aca="false">IF(AND(A402&lt;&gt;"",A402='Project Summary'!$C$3,C402&lt;&gt;""),COUNTIFS($A$2:$A402,'Project Summary'!$C$3,$C$2:$C402,"&lt;&gt;"),"")</f>
        <v/>
      </c>
    </row>
    <row r="403" customFormat="false" ht="15" hidden="false" customHeight="false" outlineLevel="0" collapsed="false">
      <c r="A403" s="32"/>
      <c r="B403" s="32"/>
      <c r="C403" s="32"/>
      <c r="D403" s="33"/>
      <c r="E403" s="32"/>
      <c r="F403" s="34"/>
      <c r="G403" s="41"/>
      <c r="H403" s="32"/>
      <c r="I403" s="35"/>
      <c r="J403" s="35"/>
      <c r="K403" s="33"/>
      <c r="L403" s="37" t="str">
        <f aca="false">IF(AND(A403&lt;&gt;"",A403='Project Summary'!$C$3,C403&lt;&gt;""),COUNTIFS($A$2:$A403,'Project Summary'!$C$3,$C$2:$C403,"&lt;&gt;"),"")</f>
        <v/>
      </c>
    </row>
    <row r="404" customFormat="false" ht="15" hidden="false" customHeight="false" outlineLevel="0" collapsed="false">
      <c r="A404" s="32"/>
      <c r="B404" s="32"/>
      <c r="C404" s="32"/>
      <c r="D404" s="33"/>
      <c r="E404" s="32"/>
      <c r="F404" s="34"/>
      <c r="G404" s="41"/>
      <c r="H404" s="32"/>
      <c r="I404" s="35"/>
      <c r="J404" s="35"/>
      <c r="K404" s="33"/>
      <c r="L404" s="37" t="str">
        <f aca="false">IF(AND(A404&lt;&gt;"",A404='Project Summary'!$C$3,C404&lt;&gt;""),COUNTIFS($A$2:$A404,'Project Summary'!$C$3,$C$2:$C404,"&lt;&gt;"),"")</f>
        <v/>
      </c>
    </row>
    <row r="405" customFormat="false" ht="15" hidden="false" customHeight="false" outlineLevel="0" collapsed="false">
      <c r="A405" s="32"/>
      <c r="B405" s="32"/>
      <c r="C405" s="32"/>
      <c r="D405" s="33"/>
      <c r="E405" s="32"/>
      <c r="F405" s="34"/>
      <c r="G405" s="41"/>
      <c r="H405" s="32"/>
      <c r="I405" s="35"/>
      <c r="J405" s="35"/>
      <c r="K405" s="33"/>
      <c r="L405" s="37" t="str">
        <f aca="false">IF(AND(A405&lt;&gt;"",A405='Project Summary'!$C$3,C405&lt;&gt;""),COUNTIFS($A$2:$A405,'Project Summary'!$C$3,$C$2:$C405,"&lt;&gt;"),"")</f>
        <v/>
      </c>
    </row>
    <row r="406" customFormat="false" ht="15" hidden="false" customHeight="false" outlineLevel="0" collapsed="false">
      <c r="A406" s="32"/>
      <c r="B406" s="32"/>
      <c r="C406" s="32"/>
      <c r="D406" s="33"/>
      <c r="E406" s="32"/>
      <c r="F406" s="34"/>
      <c r="G406" s="41"/>
      <c r="H406" s="32"/>
      <c r="I406" s="35"/>
      <c r="J406" s="35"/>
      <c r="K406" s="33"/>
      <c r="L406" s="37" t="str">
        <f aca="false">IF(AND(A406&lt;&gt;"",A406='Project Summary'!$C$3,C406&lt;&gt;""),COUNTIFS($A$2:$A406,'Project Summary'!$C$3,$C$2:$C406,"&lt;&gt;"),"")</f>
        <v/>
      </c>
    </row>
    <row r="407" customFormat="false" ht="15" hidden="false" customHeight="false" outlineLevel="0" collapsed="false">
      <c r="A407" s="32"/>
      <c r="B407" s="32"/>
      <c r="C407" s="32"/>
      <c r="D407" s="33"/>
      <c r="E407" s="32"/>
      <c r="F407" s="34"/>
      <c r="G407" s="41"/>
      <c r="H407" s="32"/>
      <c r="I407" s="35"/>
      <c r="J407" s="35"/>
      <c r="K407" s="33"/>
      <c r="L407" s="37" t="str">
        <f aca="false">IF(AND(A407&lt;&gt;"",A407='Project Summary'!$C$3,C407&lt;&gt;""),COUNTIFS($A$2:$A407,'Project Summary'!$C$3,$C$2:$C407,"&lt;&gt;"),"")</f>
        <v/>
      </c>
    </row>
    <row r="408" customFormat="false" ht="15" hidden="false" customHeight="false" outlineLevel="0" collapsed="false">
      <c r="A408" s="32"/>
      <c r="B408" s="32"/>
      <c r="C408" s="32"/>
      <c r="D408" s="33"/>
      <c r="E408" s="32"/>
      <c r="F408" s="34"/>
      <c r="G408" s="41"/>
      <c r="H408" s="32"/>
      <c r="I408" s="35"/>
      <c r="J408" s="35"/>
      <c r="K408" s="33"/>
      <c r="L408" s="37" t="str">
        <f aca="false">IF(AND(A408&lt;&gt;"",A408='Project Summary'!$C$3,C408&lt;&gt;""),COUNTIFS($A$2:$A408,'Project Summary'!$C$3,$C$2:$C408,"&lt;&gt;"),"")</f>
        <v/>
      </c>
    </row>
    <row r="409" customFormat="false" ht="15" hidden="false" customHeight="false" outlineLevel="0" collapsed="false">
      <c r="A409" s="32"/>
      <c r="B409" s="32"/>
      <c r="C409" s="32"/>
      <c r="D409" s="33"/>
      <c r="E409" s="32"/>
      <c r="F409" s="34"/>
      <c r="G409" s="41"/>
      <c r="H409" s="32"/>
      <c r="I409" s="35"/>
      <c r="J409" s="35"/>
      <c r="K409" s="33"/>
      <c r="L409" s="37" t="str">
        <f aca="false">IF(AND(A409&lt;&gt;"",A409='Project Summary'!$C$3,C409&lt;&gt;""),COUNTIFS($A$2:$A409,'Project Summary'!$C$3,$C$2:$C409,"&lt;&gt;"),"")</f>
        <v/>
      </c>
    </row>
    <row r="410" customFormat="false" ht="15" hidden="false" customHeight="false" outlineLevel="0" collapsed="false">
      <c r="A410" s="32"/>
      <c r="B410" s="32"/>
      <c r="C410" s="32"/>
      <c r="D410" s="33"/>
      <c r="E410" s="32"/>
      <c r="F410" s="34"/>
      <c r="G410" s="41"/>
      <c r="H410" s="32"/>
      <c r="I410" s="35"/>
      <c r="J410" s="35"/>
      <c r="K410" s="33"/>
      <c r="L410" s="37" t="str">
        <f aca="false">IF(AND(A410&lt;&gt;"",A410='Project Summary'!$C$3,C410&lt;&gt;""),COUNTIFS($A$2:$A410,'Project Summary'!$C$3,$C$2:$C410,"&lt;&gt;"),"")</f>
        <v/>
      </c>
    </row>
    <row r="411" customFormat="false" ht="15" hidden="false" customHeight="false" outlineLevel="0" collapsed="false">
      <c r="A411" s="32"/>
      <c r="B411" s="32"/>
      <c r="C411" s="32"/>
      <c r="D411" s="33"/>
      <c r="E411" s="32"/>
      <c r="F411" s="34"/>
      <c r="G411" s="41"/>
      <c r="H411" s="32"/>
      <c r="I411" s="35"/>
      <c r="J411" s="35"/>
      <c r="K411" s="33"/>
      <c r="L411" s="37" t="str">
        <f aca="false">IF(AND(A411&lt;&gt;"",A411='Project Summary'!$C$3,C411&lt;&gt;""),COUNTIFS($A$2:$A411,'Project Summary'!$C$3,$C$2:$C411,"&lt;&gt;"),"")</f>
        <v/>
      </c>
    </row>
    <row r="412" customFormat="false" ht="15" hidden="false" customHeight="false" outlineLevel="0" collapsed="false">
      <c r="A412" s="32"/>
      <c r="B412" s="32"/>
      <c r="C412" s="32"/>
      <c r="D412" s="33"/>
      <c r="E412" s="32"/>
      <c r="F412" s="34"/>
      <c r="G412" s="41"/>
      <c r="H412" s="32"/>
      <c r="I412" s="35"/>
      <c r="J412" s="35"/>
      <c r="K412" s="33"/>
      <c r="L412" s="37" t="str">
        <f aca="false">IF(AND(A412&lt;&gt;"",A412='Project Summary'!$C$3,C412&lt;&gt;""),COUNTIFS($A$2:$A412,'Project Summary'!$C$3,$C$2:$C412,"&lt;&gt;"),"")</f>
        <v/>
      </c>
    </row>
    <row r="413" customFormat="false" ht="15" hidden="false" customHeight="false" outlineLevel="0" collapsed="false">
      <c r="A413" s="32"/>
      <c r="B413" s="32"/>
      <c r="C413" s="32"/>
      <c r="D413" s="33"/>
      <c r="E413" s="32"/>
      <c r="F413" s="34"/>
      <c r="G413" s="41"/>
      <c r="H413" s="32"/>
      <c r="I413" s="35"/>
      <c r="J413" s="35"/>
      <c r="K413" s="33"/>
      <c r="L413" s="37" t="str">
        <f aca="false">IF(AND(A413&lt;&gt;"",A413='Project Summary'!$C$3,C413&lt;&gt;""),COUNTIFS($A$2:$A413,'Project Summary'!$C$3,$C$2:$C413,"&lt;&gt;"),"")</f>
        <v/>
      </c>
    </row>
    <row r="414" customFormat="false" ht="15" hidden="false" customHeight="false" outlineLevel="0" collapsed="false">
      <c r="A414" s="32"/>
      <c r="B414" s="32"/>
      <c r="C414" s="32"/>
      <c r="D414" s="33"/>
      <c r="E414" s="32"/>
      <c r="F414" s="34"/>
      <c r="G414" s="41"/>
      <c r="H414" s="32"/>
      <c r="I414" s="35"/>
      <c r="J414" s="35"/>
      <c r="K414" s="33"/>
      <c r="L414" s="37" t="str">
        <f aca="false">IF(AND(A414&lt;&gt;"",A414='Project Summary'!$C$3,C414&lt;&gt;""),COUNTIFS($A$2:$A414,'Project Summary'!$C$3,$C$2:$C414,"&lt;&gt;"),"")</f>
        <v/>
      </c>
    </row>
    <row r="415" customFormat="false" ht="15" hidden="false" customHeight="false" outlineLevel="0" collapsed="false">
      <c r="A415" s="32"/>
      <c r="B415" s="32"/>
      <c r="C415" s="32"/>
      <c r="D415" s="33"/>
      <c r="E415" s="32"/>
      <c r="F415" s="34"/>
      <c r="G415" s="41"/>
      <c r="H415" s="32"/>
      <c r="I415" s="35"/>
      <c r="J415" s="35"/>
      <c r="K415" s="33"/>
      <c r="L415" s="37" t="str">
        <f aca="false">IF(AND(A415&lt;&gt;"",A415='Project Summary'!$C$3,C415&lt;&gt;""),COUNTIFS($A$2:$A415,'Project Summary'!$C$3,$C$2:$C415,"&lt;&gt;"),"")</f>
        <v/>
      </c>
    </row>
    <row r="416" customFormat="false" ht="15" hidden="false" customHeight="false" outlineLevel="0" collapsed="false">
      <c r="A416" s="32"/>
      <c r="B416" s="32"/>
      <c r="C416" s="32"/>
      <c r="D416" s="33"/>
      <c r="E416" s="32"/>
      <c r="F416" s="34"/>
      <c r="G416" s="41"/>
      <c r="H416" s="32"/>
      <c r="I416" s="35"/>
      <c r="J416" s="35"/>
      <c r="K416" s="33"/>
      <c r="L416" s="37" t="str">
        <f aca="false">IF(AND(A416&lt;&gt;"",A416='Project Summary'!$C$3,C416&lt;&gt;""),COUNTIFS($A$2:$A416,'Project Summary'!$C$3,$C$2:$C416,"&lt;&gt;"),"")</f>
        <v/>
      </c>
    </row>
    <row r="417" customFormat="false" ht="15" hidden="false" customHeight="false" outlineLevel="0" collapsed="false">
      <c r="A417" s="32"/>
      <c r="B417" s="32"/>
      <c r="C417" s="32"/>
      <c r="D417" s="33"/>
      <c r="E417" s="32"/>
      <c r="F417" s="34"/>
      <c r="G417" s="41"/>
      <c r="H417" s="32"/>
      <c r="I417" s="35"/>
      <c r="J417" s="35"/>
      <c r="K417" s="33"/>
      <c r="L417" s="37" t="str">
        <f aca="false">IF(AND(A417&lt;&gt;"",A417='Project Summary'!$C$3,C417&lt;&gt;""),COUNTIFS($A$2:$A417,'Project Summary'!$C$3,$C$2:$C417,"&lt;&gt;"),"")</f>
        <v/>
      </c>
    </row>
    <row r="418" customFormat="false" ht="15" hidden="false" customHeight="false" outlineLevel="0" collapsed="false">
      <c r="A418" s="32"/>
      <c r="B418" s="32"/>
      <c r="C418" s="32"/>
      <c r="D418" s="33"/>
      <c r="E418" s="32"/>
      <c r="F418" s="34"/>
      <c r="G418" s="41"/>
      <c r="H418" s="32"/>
      <c r="I418" s="35"/>
      <c r="J418" s="35"/>
      <c r="K418" s="33"/>
      <c r="L418" s="37" t="str">
        <f aca="false">IF(AND(A418&lt;&gt;"",A418='Project Summary'!$C$3,C418&lt;&gt;""),COUNTIFS($A$2:$A418,'Project Summary'!$C$3,$C$2:$C418,"&lt;&gt;"),"")</f>
        <v/>
      </c>
    </row>
    <row r="419" customFormat="false" ht="15" hidden="false" customHeight="false" outlineLevel="0" collapsed="false">
      <c r="A419" s="32"/>
      <c r="B419" s="32"/>
      <c r="C419" s="32"/>
      <c r="D419" s="33"/>
      <c r="E419" s="32"/>
      <c r="F419" s="34"/>
      <c r="G419" s="41"/>
      <c r="H419" s="32"/>
      <c r="I419" s="35"/>
      <c r="J419" s="35"/>
      <c r="K419" s="33"/>
      <c r="L419" s="37" t="str">
        <f aca="false">IF(AND(A419&lt;&gt;"",A419='Project Summary'!$C$3,C419&lt;&gt;""),COUNTIFS($A$2:$A419,'Project Summary'!$C$3,$C$2:$C419,"&lt;&gt;"),"")</f>
        <v/>
      </c>
    </row>
    <row r="420" customFormat="false" ht="15" hidden="false" customHeight="false" outlineLevel="0" collapsed="false">
      <c r="A420" s="32"/>
      <c r="B420" s="32"/>
      <c r="C420" s="32"/>
      <c r="D420" s="33"/>
      <c r="E420" s="32"/>
      <c r="F420" s="34"/>
      <c r="G420" s="41"/>
      <c r="H420" s="32"/>
      <c r="I420" s="35"/>
      <c r="J420" s="35"/>
      <c r="K420" s="33"/>
      <c r="L420" s="37" t="str">
        <f aca="false">IF(AND(A420&lt;&gt;"",A420='Project Summary'!$C$3,C420&lt;&gt;""),COUNTIFS($A$2:$A420,'Project Summary'!$C$3,$C$2:$C420,"&lt;&gt;"),"")</f>
        <v/>
      </c>
    </row>
    <row r="421" customFormat="false" ht="15" hidden="false" customHeight="false" outlineLevel="0" collapsed="false">
      <c r="A421" s="32"/>
      <c r="B421" s="32"/>
      <c r="C421" s="32"/>
      <c r="D421" s="33"/>
      <c r="E421" s="32"/>
      <c r="F421" s="34"/>
      <c r="G421" s="41"/>
      <c r="H421" s="32"/>
      <c r="I421" s="35"/>
      <c r="J421" s="35"/>
      <c r="K421" s="33"/>
      <c r="L421" s="37" t="str">
        <f aca="false">IF(AND(A421&lt;&gt;"",A421='Project Summary'!$C$3,C421&lt;&gt;""),COUNTIFS($A$2:$A421,'Project Summary'!$C$3,$C$2:$C421,"&lt;&gt;"),"")</f>
        <v/>
      </c>
    </row>
    <row r="422" customFormat="false" ht="15" hidden="false" customHeight="false" outlineLevel="0" collapsed="false">
      <c r="A422" s="32"/>
      <c r="B422" s="32"/>
      <c r="C422" s="32"/>
      <c r="D422" s="33"/>
      <c r="E422" s="32"/>
      <c r="F422" s="34"/>
      <c r="G422" s="41"/>
      <c r="H422" s="32"/>
      <c r="I422" s="35"/>
      <c r="J422" s="35"/>
      <c r="K422" s="33"/>
      <c r="L422" s="37" t="str">
        <f aca="false">IF(AND(A422&lt;&gt;"",A422='Project Summary'!$C$3,C422&lt;&gt;""),COUNTIFS($A$2:$A422,'Project Summary'!$C$3,$C$2:$C422,"&lt;&gt;"),"")</f>
        <v/>
      </c>
    </row>
    <row r="423" customFormat="false" ht="15" hidden="false" customHeight="false" outlineLevel="0" collapsed="false">
      <c r="A423" s="32"/>
      <c r="B423" s="32"/>
      <c r="C423" s="32"/>
      <c r="D423" s="33"/>
      <c r="E423" s="32"/>
      <c r="F423" s="34"/>
      <c r="G423" s="41"/>
      <c r="H423" s="32"/>
      <c r="I423" s="35"/>
      <c r="J423" s="35"/>
      <c r="K423" s="33"/>
      <c r="L423" s="37" t="str">
        <f aca="false">IF(AND(A423&lt;&gt;"",A423='Project Summary'!$C$3,C423&lt;&gt;""),COUNTIFS($A$2:$A423,'Project Summary'!$C$3,$C$2:$C423,"&lt;&gt;"),"")</f>
        <v/>
      </c>
    </row>
    <row r="424" customFormat="false" ht="15" hidden="false" customHeight="false" outlineLevel="0" collapsed="false">
      <c r="A424" s="32"/>
      <c r="B424" s="32"/>
      <c r="C424" s="32"/>
      <c r="D424" s="33"/>
      <c r="E424" s="32"/>
      <c r="F424" s="34"/>
      <c r="G424" s="41"/>
      <c r="H424" s="32"/>
      <c r="I424" s="35"/>
      <c r="J424" s="35"/>
      <c r="K424" s="33"/>
      <c r="L424" s="37" t="str">
        <f aca="false">IF(AND(A424&lt;&gt;"",A424='Project Summary'!$C$3,C424&lt;&gt;""),COUNTIFS($A$2:$A424,'Project Summary'!$C$3,$C$2:$C424,"&lt;&gt;"),"")</f>
        <v/>
      </c>
    </row>
    <row r="425" customFormat="false" ht="15" hidden="false" customHeight="false" outlineLevel="0" collapsed="false">
      <c r="A425" s="32"/>
      <c r="B425" s="32"/>
      <c r="C425" s="32"/>
      <c r="D425" s="33"/>
      <c r="E425" s="32"/>
      <c r="F425" s="34"/>
      <c r="G425" s="41"/>
      <c r="H425" s="32"/>
      <c r="I425" s="35"/>
      <c r="J425" s="35"/>
      <c r="K425" s="33"/>
      <c r="L425" s="37" t="str">
        <f aca="false">IF(AND(A425&lt;&gt;"",A425='Project Summary'!$C$3,C425&lt;&gt;""),COUNTIFS($A$2:$A425,'Project Summary'!$C$3,$C$2:$C425,"&lt;&gt;"),"")</f>
        <v/>
      </c>
    </row>
    <row r="426" customFormat="false" ht="15" hidden="false" customHeight="false" outlineLevel="0" collapsed="false">
      <c r="A426" s="32"/>
      <c r="B426" s="32"/>
      <c r="C426" s="32"/>
      <c r="D426" s="33"/>
      <c r="E426" s="32"/>
      <c r="F426" s="34"/>
      <c r="G426" s="41"/>
      <c r="H426" s="32"/>
      <c r="I426" s="35"/>
      <c r="J426" s="35"/>
      <c r="K426" s="33"/>
      <c r="L426" s="37" t="str">
        <f aca="false">IF(AND(A426&lt;&gt;"",A426='Project Summary'!$C$3,C426&lt;&gt;""),COUNTIFS($A$2:$A426,'Project Summary'!$C$3,$C$2:$C426,"&lt;&gt;"),"")</f>
        <v/>
      </c>
    </row>
    <row r="427" customFormat="false" ht="15" hidden="false" customHeight="false" outlineLevel="0" collapsed="false">
      <c r="A427" s="32"/>
      <c r="B427" s="32"/>
      <c r="C427" s="32"/>
      <c r="D427" s="33"/>
      <c r="E427" s="32"/>
      <c r="F427" s="34"/>
      <c r="G427" s="41"/>
      <c r="H427" s="32"/>
      <c r="I427" s="35"/>
      <c r="J427" s="35"/>
      <c r="K427" s="33"/>
      <c r="L427" s="37" t="str">
        <f aca="false">IF(AND(A427&lt;&gt;"",A427='Project Summary'!$C$3,C427&lt;&gt;""),COUNTIFS($A$2:$A427,'Project Summary'!$C$3,$C$2:$C427,"&lt;&gt;"),"")</f>
        <v/>
      </c>
    </row>
    <row r="428" customFormat="false" ht="15" hidden="false" customHeight="false" outlineLevel="0" collapsed="false">
      <c r="A428" s="32"/>
      <c r="B428" s="32"/>
      <c r="C428" s="32"/>
      <c r="D428" s="33"/>
      <c r="E428" s="32"/>
      <c r="F428" s="34"/>
      <c r="G428" s="41"/>
      <c r="H428" s="32"/>
      <c r="I428" s="35"/>
      <c r="J428" s="35"/>
      <c r="K428" s="33"/>
      <c r="L428" s="37" t="str">
        <f aca="false">IF(AND(A428&lt;&gt;"",A428='Project Summary'!$C$3,C428&lt;&gt;""),COUNTIFS($A$2:$A428,'Project Summary'!$C$3,$C$2:$C428,"&lt;&gt;"),"")</f>
        <v/>
      </c>
    </row>
    <row r="429" customFormat="false" ht="15" hidden="false" customHeight="false" outlineLevel="0" collapsed="false">
      <c r="A429" s="32"/>
      <c r="B429" s="32"/>
      <c r="C429" s="32"/>
      <c r="D429" s="33"/>
      <c r="E429" s="32"/>
      <c r="F429" s="34"/>
      <c r="G429" s="41"/>
      <c r="H429" s="32"/>
      <c r="I429" s="35"/>
      <c r="J429" s="35"/>
      <c r="K429" s="33"/>
      <c r="L429" s="37" t="str">
        <f aca="false">IF(AND(A429&lt;&gt;"",A429='Project Summary'!$C$3,C429&lt;&gt;""),COUNTIFS($A$2:$A429,'Project Summary'!$C$3,$C$2:$C429,"&lt;&gt;"),"")</f>
        <v/>
      </c>
    </row>
    <row r="430" customFormat="false" ht="15" hidden="false" customHeight="false" outlineLevel="0" collapsed="false">
      <c r="A430" s="32"/>
      <c r="B430" s="32"/>
      <c r="C430" s="32"/>
      <c r="D430" s="33"/>
      <c r="E430" s="32"/>
      <c r="F430" s="34"/>
      <c r="G430" s="41"/>
      <c r="H430" s="32"/>
      <c r="I430" s="35"/>
      <c r="J430" s="35"/>
      <c r="K430" s="33"/>
      <c r="L430" s="37" t="str">
        <f aca="false">IF(AND(A430&lt;&gt;"",A430='Project Summary'!$C$3,C430&lt;&gt;""),COUNTIFS($A$2:$A430,'Project Summary'!$C$3,$C$2:$C430,"&lt;&gt;"),"")</f>
        <v/>
      </c>
    </row>
    <row r="431" customFormat="false" ht="15" hidden="false" customHeight="false" outlineLevel="0" collapsed="false">
      <c r="A431" s="32"/>
      <c r="B431" s="32"/>
      <c r="C431" s="32"/>
      <c r="D431" s="33"/>
      <c r="E431" s="32"/>
      <c r="F431" s="34"/>
      <c r="G431" s="41"/>
      <c r="H431" s="32"/>
      <c r="I431" s="35"/>
      <c r="J431" s="35"/>
      <c r="K431" s="33"/>
      <c r="L431" s="37" t="str">
        <f aca="false">IF(AND(A431&lt;&gt;"",A431='Project Summary'!$C$3,C431&lt;&gt;""),COUNTIFS($A$2:$A431,'Project Summary'!$C$3,$C$2:$C431,"&lt;&gt;"),"")</f>
        <v/>
      </c>
    </row>
    <row r="432" customFormat="false" ht="15" hidden="false" customHeight="false" outlineLevel="0" collapsed="false">
      <c r="A432" s="32"/>
      <c r="B432" s="32"/>
      <c r="C432" s="32"/>
      <c r="D432" s="33"/>
      <c r="E432" s="32"/>
      <c r="F432" s="34"/>
      <c r="G432" s="41"/>
      <c r="H432" s="32"/>
      <c r="I432" s="35"/>
      <c r="J432" s="35"/>
      <c r="K432" s="33"/>
      <c r="L432" s="37" t="str">
        <f aca="false">IF(AND(A432&lt;&gt;"",A432='Project Summary'!$C$3,C432&lt;&gt;""),COUNTIFS($A$2:$A432,'Project Summary'!$C$3,$C$2:$C432,"&lt;&gt;"),"")</f>
        <v/>
      </c>
    </row>
    <row r="433" customFormat="false" ht="15" hidden="false" customHeight="false" outlineLevel="0" collapsed="false">
      <c r="A433" s="32"/>
      <c r="B433" s="32"/>
      <c r="C433" s="32"/>
      <c r="D433" s="33"/>
      <c r="E433" s="32"/>
      <c r="F433" s="34"/>
      <c r="G433" s="41"/>
      <c r="H433" s="32"/>
      <c r="I433" s="35"/>
      <c r="J433" s="35"/>
      <c r="K433" s="33"/>
      <c r="L433" s="37" t="str">
        <f aca="false">IF(AND(A433&lt;&gt;"",A433='Project Summary'!$C$3,C433&lt;&gt;""),COUNTIFS($A$2:$A433,'Project Summary'!$C$3,$C$2:$C433,"&lt;&gt;"),"")</f>
        <v/>
      </c>
    </row>
    <row r="434" customFormat="false" ht="15" hidden="false" customHeight="false" outlineLevel="0" collapsed="false">
      <c r="A434" s="32"/>
      <c r="B434" s="32"/>
      <c r="C434" s="32"/>
      <c r="D434" s="33"/>
      <c r="E434" s="32"/>
      <c r="F434" s="34"/>
      <c r="G434" s="41"/>
      <c r="H434" s="32"/>
      <c r="I434" s="35"/>
      <c r="J434" s="35"/>
      <c r="K434" s="33"/>
      <c r="L434" s="37" t="str">
        <f aca="false">IF(AND(A434&lt;&gt;"",A434='Project Summary'!$C$3,C434&lt;&gt;""),COUNTIFS($A$2:$A434,'Project Summary'!$C$3,$C$2:$C434,"&lt;&gt;"),"")</f>
        <v/>
      </c>
    </row>
    <row r="435" customFormat="false" ht="15" hidden="false" customHeight="false" outlineLevel="0" collapsed="false">
      <c r="A435" s="32"/>
      <c r="B435" s="32"/>
      <c r="C435" s="32"/>
      <c r="D435" s="33"/>
      <c r="E435" s="32"/>
      <c r="F435" s="34"/>
      <c r="G435" s="41"/>
      <c r="H435" s="32"/>
      <c r="I435" s="35"/>
      <c r="J435" s="35"/>
      <c r="K435" s="33"/>
      <c r="L435" s="37" t="str">
        <f aca="false">IF(AND(A435&lt;&gt;"",A435='Project Summary'!$C$3,C435&lt;&gt;""),COUNTIFS($A$2:$A435,'Project Summary'!$C$3,$C$2:$C435,"&lt;&gt;"),"")</f>
        <v/>
      </c>
    </row>
    <row r="436" customFormat="false" ht="15" hidden="false" customHeight="false" outlineLevel="0" collapsed="false">
      <c r="A436" s="32"/>
      <c r="B436" s="32"/>
      <c r="C436" s="32"/>
      <c r="D436" s="33"/>
      <c r="E436" s="32"/>
      <c r="F436" s="34"/>
      <c r="G436" s="41"/>
      <c r="H436" s="32"/>
      <c r="I436" s="35"/>
      <c r="J436" s="35"/>
      <c r="K436" s="33"/>
      <c r="L436" s="37" t="str">
        <f aca="false">IF(AND(A436&lt;&gt;"",A436='Project Summary'!$C$3,C436&lt;&gt;""),COUNTIFS($A$2:$A436,'Project Summary'!$C$3,$C$2:$C436,"&lt;&gt;"),"")</f>
        <v/>
      </c>
    </row>
    <row r="437" customFormat="false" ht="15" hidden="false" customHeight="false" outlineLevel="0" collapsed="false">
      <c r="A437" s="32"/>
      <c r="B437" s="32"/>
      <c r="C437" s="32"/>
      <c r="D437" s="33"/>
      <c r="E437" s="32"/>
      <c r="F437" s="34"/>
      <c r="G437" s="41"/>
      <c r="H437" s="32"/>
      <c r="I437" s="35"/>
      <c r="J437" s="35"/>
      <c r="K437" s="33"/>
      <c r="L437" s="37" t="str">
        <f aca="false">IF(AND(A437&lt;&gt;"",A437='Project Summary'!$C$3,C437&lt;&gt;""),COUNTIFS($A$2:$A437,'Project Summary'!$C$3,$C$2:$C437,"&lt;&gt;"),"")</f>
        <v/>
      </c>
    </row>
    <row r="438" customFormat="false" ht="15" hidden="false" customHeight="false" outlineLevel="0" collapsed="false">
      <c r="A438" s="32"/>
      <c r="B438" s="32"/>
      <c r="C438" s="32"/>
      <c r="D438" s="33"/>
      <c r="E438" s="32"/>
      <c r="F438" s="34"/>
      <c r="G438" s="41"/>
      <c r="H438" s="32"/>
      <c r="I438" s="35"/>
      <c r="J438" s="35"/>
      <c r="K438" s="33"/>
      <c r="L438" s="37" t="str">
        <f aca="false">IF(AND(A438&lt;&gt;"",A438='Project Summary'!$C$3,C438&lt;&gt;""),COUNTIFS($A$2:$A438,'Project Summary'!$C$3,$C$2:$C438,"&lt;&gt;"),"")</f>
        <v/>
      </c>
    </row>
    <row r="439" customFormat="false" ht="15" hidden="false" customHeight="false" outlineLevel="0" collapsed="false">
      <c r="A439" s="32"/>
      <c r="B439" s="32"/>
      <c r="C439" s="32"/>
      <c r="D439" s="33"/>
      <c r="E439" s="32"/>
      <c r="F439" s="34"/>
      <c r="G439" s="41"/>
      <c r="H439" s="32"/>
      <c r="I439" s="35"/>
      <c r="J439" s="35"/>
      <c r="K439" s="33"/>
      <c r="L439" s="37" t="str">
        <f aca="false">IF(AND(A439&lt;&gt;"",A439='Project Summary'!$C$3,C439&lt;&gt;""),COUNTIFS($A$2:$A439,'Project Summary'!$C$3,$C$2:$C439,"&lt;&gt;"),"")</f>
        <v/>
      </c>
    </row>
    <row r="440" customFormat="false" ht="15" hidden="false" customHeight="false" outlineLevel="0" collapsed="false">
      <c r="A440" s="32"/>
      <c r="B440" s="32"/>
      <c r="C440" s="32"/>
      <c r="D440" s="33"/>
      <c r="E440" s="32"/>
      <c r="F440" s="34"/>
      <c r="G440" s="41"/>
      <c r="H440" s="32"/>
      <c r="I440" s="35"/>
      <c r="J440" s="35"/>
      <c r="K440" s="33"/>
      <c r="L440" s="37" t="str">
        <f aca="false">IF(AND(A440&lt;&gt;"",A440='Project Summary'!$C$3,C440&lt;&gt;""),COUNTIFS($A$2:$A440,'Project Summary'!$C$3,$C$2:$C440,"&lt;&gt;"),"")</f>
        <v/>
      </c>
    </row>
    <row r="441" customFormat="false" ht="15" hidden="false" customHeight="false" outlineLevel="0" collapsed="false">
      <c r="A441" s="32"/>
      <c r="B441" s="32"/>
      <c r="C441" s="32"/>
      <c r="D441" s="33"/>
      <c r="E441" s="32"/>
      <c r="F441" s="34"/>
      <c r="G441" s="41"/>
      <c r="H441" s="32"/>
      <c r="I441" s="35"/>
      <c r="J441" s="35"/>
      <c r="K441" s="33"/>
      <c r="L441" s="37" t="str">
        <f aca="false">IF(AND(A441&lt;&gt;"",A441='Project Summary'!$C$3,C441&lt;&gt;""),COUNTIFS($A$2:$A441,'Project Summary'!$C$3,$C$2:$C441,"&lt;&gt;"),"")</f>
        <v/>
      </c>
    </row>
    <row r="442" customFormat="false" ht="15" hidden="false" customHeight="false" outlineLevel="0" collapsed="false">
      <c r="A442" s="32"/>
      <c r="B442" s="32"/>
      <c r="C442" s="32"/>
      <c r="D442" s="33"/>
      <c r="E442" s="32"/>
      <c r="F442" s="34"/>
      <c r="G442" s="41"/>
      <c r="H442" s="32"/>
      <c r="I442" s="35"/>
      <c r="J442" s="35"/>
      <c r="K442" s="33"/>
      <c r="L442" s="37" t="str">
        <f aca="false">IF(AND(A442&lt;&gt;"",A442='Project Summary'!$C$3,C442&lt;&gt;""),COUNTIFS($A$2:$A442,'Project Summary'!$C$3,$C$2:$C442,"&lt;&gt;"),"")</f>
        <v/>
      </c>
    </row>
    <row r="443" customFormat="false" ht="15" hidden="false" customHeight="false" outlineLevel="0" collapsed="false">
      <c r="A443" s="32"/>
      <c r="B443" s="32"/>
      <c r="C443" s="32"/>
      <c r="D443" s="33"/>
      <c r="E443" s="32"/>
      <c r="F443" s="34"/>
      <c r="G443" s="41"/>
      <c r="H443" s="32"/>
      <c r="I443" s="35"/>
      <c r="J443" s="35"/>
      <c r="K443" s="33"/>
      <c r="L443" s="37" t="str">
        <f aca="false">IF(AND(A443&lt;&gt;"",A443='Project Summary'!$C$3,C443&lt;&gt;""),COUNTIFS($A$2:$A443,'Project Summary'!$C$3,$C$2:$C443,"&lt;&gt;"),"")</f>
        <v/>
      </c>
    </row>
    <row r="444" customFormat="false" ht="15" hidden="false" customHeight="false" outlineLevel="0" collapsed="false">
      <c r="A444" s="32"/>
      <c r="B444" s="32"/>
      <c r="C444" s="32"/>
      <c r="D444" s="33"/>
      <c r="E444" s="32"/>
      <c r="F444" s="34"/>
      <c r="G444" s="41"/>
      <c r="H444" s="32"/>
      <c r="I444" s="35"/>
      <c r="J444" s="35"/>
      <c r="K444" s="33"/>
      <c r="L444" s="37" t="str">
        <f aca="false">IF(AND(A444&lt;&gt;"",A444='Project Summary'!$C$3,C444&lt;&gt;""),COUNTIFS($A$2:$A444,'Project Summary'!$C$3,$C$2:$C444,"&lt;&gt;"),"")</f>
        <v/>
      </c>
    </row>
    <row r="445" customFormat="false" ht="15" hidden="false" customHeight="false" outlineLevel="0" collapsed="false">
      <c r="A445" s="32"/>
      <c r="B445" s="32"/>
      <c r="C445" s="32"/>
      <c r="D445" s="33"/>
      <c r="E445" s="32"/>
      <c r="F445" s="34"/>
      <c r="G445" s="41"/>
      <c r="H445" s="32"/>
      <c r="I445" s="35"/>
      <c r="J445" s="35"/>
      <c r="K445" s="33"/>
      <c r="L445" s="37" t="str">
        <f aca="false">IF(AND(A445&lt;&gt;"",A445='Project Summary'!$C$3,C445&lt;&gt;""),COUNTIFS($A$2:$A445,'Project Summary'!$C$3,$C$2:$C445,"&lt;&gt;"),"")</f>
        <v/>
      </c>
    </row>
    <row r="446" customFormat="false" ht="15" hidden="false" customHeight="false" outlineLevel="0" collapsed="false">
      <c r="A446" s="32"/>
      <c r="B446" s="32"/>
      <c r="C446" s="32"/>
      <c r="D446" s="33"/>
      <c r="E446" s="32"/>
      <c r="F446" s="34"/>
      <c r="G446" s="41"/>
      <c r="H446" s="32"/>
      <c r="I446" s="35"/>
      <c r="J446" s="35"/>
      <c r="K446" s="33"/>
      <c r="L446" s="37" t="str">
        <f aca="false">IF(AND(A446&lt;&gt;"",A446='Project Summary'!$C$3,C446&lt;&gt;""),COUNTIFS($A$2:$A446,'Project Summary'!$C$3,$C$2:$C446,"&lt;&gt;"),"")</f>
        <v/>
      </c>
    </row>
    <row r="447" customFormat="false" ht="15" hidden="false" customHeight="false" outlineLevel="0" collapsed="false">
      <c r="A447" s="32"/>
      <c r="B447" s="32"/>
      <c r="C447" s="32"/>
      <c r="D447" s="33"/>
      <c r="E447" s="32"/>
      <c r="F447" s="34"/>
      <c r="G447" s="41"/>
      <c r="H447" s="32"/>
      <c r="I447" s="35"/>
      <c r="J447" s="35"/>
      <c r="K447" s="33"/>
      <c r="L447" s="37" t="str">
        <f aca="false">IF(AND(A447&lt;&gt;"",A447='Project Summary'!$C$3,C447&lt;&gt;""),COUNTIFS($A$2:$A447,'Project Summary'!$C$3,$C$2:$C447,"&lt;&gt;"),"")</f>
        <v/>
      </c>
    </row>
    <row r="448" customFormat="false" ht="15" hidden="false" customHeight="false" outlineLevel="0" collapsed="false">
      <c r="A448" s="32"/>
      <c r="B448" s="32"/>
      <c r="C448" s="32"/>
      <c r="D448" s="33"/>
      <c r="E448" s="32"/>
      <c r="F448" s="34"/>
      <c r="G448" s="41"/>
      <c r="H448" s="32"/>
      <c r="I448" s="35"/>
      <c r="J448" s="35"/>
      <c r="K448" s="33"/>
      <c r="L448" s="37" t="str">
        <f aca="false">IF(AND(A448&lt;&gt;"",A448='Project Summary'!$C$3,C448&lt;&gt;""),COUNTIFS($A$2:$A448,'Project Summary'!$C$3,$C$2:$C448,"&lt;&gt;"),"")</f>
        <v/>
      </c>
    </row>
    <row r="449" customFormat="false" ht="15" hidden="false" customHeight="false" outlineLevel="0" collapsed="false">
      <c r="A449" s="32"/>
      <c r="B449" s="32"/>
      <c r="C449" s="32"/>
      <c r="D449" s="33"/>
      <c r="E449" s="32"/>
      <c r="F449" s="34"/>
      <c r="G449" s="41"/>
      <c r="H449" s="32"/>
      <c r="I449" s="35"/>
      <c r="J449" s="35"/>
      <c r="K449" s="33"/>
      <c r="L449" s="37" t="str">
        <f aca="false">IF(AND(A449&lt;&gt;"",A449='Project Summary'!$C$3,C449&lt;&gt;""),COUNTIFS($A$2:$A449,'Project Summary'!$C$3,$C$2:$C449,"&lt;&gt;"),"")</f>
        <v/>
      </c>
    </row>
    <row r="450" customFormat="false" ht="15" hidden="false" customHeight="false" outlineLevel="0" collapsed="false">
      <c r="A450" s="32"/>
      <c r="B450" s="32"/>
      <c r="C450" s="32"/>
      <c r="D450" s="33"/>
      <c r="E450" s="32"/>
      <c r="F450" s="34"/>
      <c r="G450" s="41"/>
      <c r="H450" s="32"/>
      <c r="I450" s="35"/>
      <c r="J450" s="35"/>
      <c r="K450" s="33"/>
      <c r="L450" s="37" t="str">
        <f aca="false">IF(AND(A450&lt;&gt;"",A450='Project Summary'!$C$3,C450&lt;&gt;""),COUNTIFS($A$2:$A450,'Project Summary'!$C$3,$C$2:$C450,"&lt;&gt;"),"")</f>
        <v/>
      </c>
    </row>
    <row r="451" customFormat="false" ht="15" hidden="false" customHeight="false" outlineLevel="0" collapsed="false">
      <c r="A451" s="32"/>
      <c r="B451" s="32"/>
      <c r="C451" s="32"/>
      <c r="D451" s="33"/>
      <c r="E451" s="32"/>
      <c r="F451" s="34"/>
      <c r="G451" s="41"/>
      <c r="H451" s="32"/>
      <c r="I451" s="35"/>
      <c r="J451" s="35"/>
      <c r="K451" s="33"/>
      <c r="L451" s="37" t="str">
        <f aca="false">IF(AND(A451&lt;&gt;"",A451='Project Summary'!$C$3,C451&lt;&gt;""),COUNTIFS($A$2:$A451,'Project Summary'!$C$3,$C$2:$C451,"&lt;&gt;"),"")</f>
        <v/>
      </c>
    </row>
    <row r="452" customFormat="false" ht="15" hidden="false" customHeight="false" outlineLevel="0" collapsed="false">
      <c r="A452" s="32"/>
      <c r="B452" s="32"/>
      <c r="C452" s="32"/>
      <c r="D452" s="33"/>
      <c r="E452" s="32"/>
      <c r="F452" s="34"/>
      <c r="G452" s="41"/>
      <c r="H452" s="32"/>
      <c r="I452" s="35"/>
      <c r="J452" s="35"/>
      <c r="K452" s="33"/>
      <c r="L452" s="37" t="str">
        <f aca="false">IF(AND(A452&lt;&gt;"",A452='Project Summary'!$C$3,C452&lt;&gt;""),COUNTIFS($A$2:$A452,'Project Summary'!$C$3,$C$2:$C452,"&lt;&gt;"),"")</f>
        <v/>
      </c>
    </row>
    <row r="453" customFormat="false" ht="15" hidden="false" customHeight="false" outlineLevel="0" collapsed="false">
      <c r="A453" s="32"/>
      <c r="B453" s="32"/>
      <c r="C453" s="32"/>
      <c r="D453" s="33"/>
      <c r="E453" s="32"/>
      <c r="F453" s="34"/>
      <c r="G453" s="41"/>
      <c r="H453" s="32"/>
      <c r="I453" s="35"/>
      <c r="J453" s="35"/>
      <c r="K453" s="33"/>
      <c r="L453" s="37" t="str">
        <f aca="false">IF(AND(A453&lt;&gt;"",A453='Project Summary'!$C$3,C453&lt;&gt;""),COUNTIFS($A$2:$A453,'Project Summary'!$C$3,$C$2:$C453,"&lt;&gt;"),"")</f>
        <v/>
      </c>
    </row>
    <row r="454" customFormat="false" ht="15" hidden="false" customHeight="false" outlineLevel="0" collapsed="false">
      <c r="A454" s="32"/>
      <c r="B454" s="32"/>
      <c r="C454" s="32"/>
      <c r="D454" s="33"/>
      <c r="E454" s="32"/>
      <c r="F454" s="34"/>
      <c r="G454" s="41"/>
      <c r="H454" s="32"/>
      <c r="I454" s="35"/>
      <c r="J454" s="35"/>
      <c r="K454" s="33"/>
      <c r="L454" s="37" t="str">
        <f aca="false">IF(AND(A454&lt;&gt;"",A454='Project Summary'!$C$3,C454&lt;&gt;""),COUNTIFS($A$2:$A454,'Project Summary'!$C$3,$C$2:$C454,"&lt;&gt;"),"")</f>
        <v/>
      </c>
    </row>
    <row r="455" customFormat="false" ht="15" hidden="false" customHeight="false" outlineLevel="0" collapsed="false">
      <c r="A455" s="32"/>
      <c r="B455" s="32"/>
      <c r="C455" s="32"/>
      <c r="D455" s="33"/>
      <c r="E455" s="32"/>
      <c r="F455" s="34"/>
      <c r="G455" s="41"/>
      <c r="H455" s="32"/>
      <c r="I455" s="35"/>
      <c r="J455" s="35"/>
      <c r="K455" s="33"/>
      <c r="L455" s="37" t="str">
        <f aca="false">IF(AND(A455&lt;&gt;"",A455='Project Summary'!$C$3,C455&lt;&gt;""),COUNTIFS($A$2:$A455,'Project Summary'!$C$3,$C$2:$C455,"&lt;&gt;"),"")</f>
        <v/>
      </c>
    </row>
    <row r="456" customFormat="false" ht="15" hidden="false" customHeight="false" outlineLevel="0" collapsed="false">
      <c r="A456" s="32"/>
      <c r="B456" s="32"/>
      <c r="C456" s="32"/>
      <c r="D456" s="33"/>
      <c r="E456" s="32"/>
      <c r="F456" s="34"/>
      <c r="G456" s="41"/>
      <c r="H456" s="32"/>
      <c r="I456" s="35"/>
      <c r="J456" s="35"/>
      <c r="K456" s="33"/>
      <c r="L456" s="37" t="str">
        <f aca="false">IF(AND(A456&lt;&gt;"",A456='Project Summary'!$C$3,C456&lt;&gt;""),COUNTIFS($A$2:$A456,'Project Summary'!$C$3,$C$2:$C456,"&lt;&gt;"),"")</f>
        <v/>
      </c>
    </row>
    <row r="457" customFormat="false" ht="15" hidden="false" customHeight="false" outlineLevel="0" collapsed="false">
      <c r="A457" s="32"/>
      <c r="B457" s="32"/>
      <c r="C457" s="32"/>
      <c r="D457" s="33"/>
      <c r="E457" s="32"/>
      <c r="F457" s="34"/>
      <c r="G457" s="41"/>
      <c r="H457" s="32"/>
      <c r="I457" s="35"/>
      <c r="J457" s="35"/>
      <c r="K457" s="33"/>
      <c r="L457" s="37" t="str">
        <f aca="false">IF(AND(A457&lt;&gt;"",A457='Project Summary'!$C$3,C457&lt;&gt;""),COUNTIFS($A$2:$A457,'Project Summary'!$C$3,$C$2:$C457,"&lt;&gt;"),"")</f>
        <v/>
      </c>
    </row>
    <row r="458" customFormat="false" ht="15" hidden="false" customHeight="false" outlineLevel="0" collapsed="false">
      <c r="A458" s="32"/>
      <c r="B458" s="32"/>
      <c r="C458" s="32"/>
      <c r="D458" s="33"/>
      <c r="E458" s="32"/>
      <c r="F458" s="34"/>
      <c r="G458" s="41"/>
      <c r="H458" s="32"/>
      <c r="I458" s="35"/>
      <c r="J458" s="35"/>
      <c r="K458" s="33"/>
      <c r="L458" s="37" t="str">
        <f aca="false">IF(AND(A458&lt;&gt;"",A458='Project Summary'!$C$3,C458&lt;&gt;""),COUNTIFS($A$2:$A458,'Project Summary'!$C$3,$C$2:$C458,"&lt;&gt;"),"")</f>
        <v/>
      </c>
    </row>
    <row r="459" customFormat="false" ht="15" hidden="false" customHeight="false" outlineLevel="0" collapsed="false">
      <c r="A459" s="32"/>
      <c r="B459" s="32"/>
      <c r="C459" s="32"/>
      <c r="D459" s="33"/>
      <c r="E459" s="32"/>
      <c r="F459" s="34"/>
      <c r="G459" s="41"/>
      <c r="H459" s="32"/>
      <c r="I459" s="35"/>
      <c r="J459" s="35"/>
      <c r="K459" s="33"/>
      <c r="L459" s="37" t="str">
        <f aca="false">IF(AND(A459&lt;&gt;"",A459='Project Summary'!$C$3,C459&lt;&gt;""),COUNTIFS($A$2:$A459,'Project Summary'!$C$3,$C$2:$C459,"&lt;&gt;"),"")</f>
        <v/>
      </c>
    </row>
    <row r="460" customFormat="false" ht="15" hidden="false" customHeight="false" outlineLevel="0" collapsed="false">
      <c r="A460" s="32"/>
      <c r="B460" s="32"/>
      <c r="C460" s="32"/>
      <c r="D460" s="33"/>
      <c r="E460" s="32"/>
      <c r="F460" s="34"/>
      <c r="G460" s="41"/>
      <c r="H460" s="32"/>
      <c r="I460" s="35"/>
      <c r="J460" s="35"/>
      <c r="K460" s="33"/>
      <c r="L460" s="37" t="str">
        <f aca="false">IF(AND(A460&lt;&gt;"",A460='Project Summary'!$C$3,C460&lt;&gt;""),COUNTIFS($A$2:$A460,'Project Summary'!$C$3,$C$2:$C460,"&lt;&gt;"),"")</f>
        <v/>
      </c>
    </row>
    <row r="461" customFormat="false" ht="15" hidden="false" customHeight="false" outlineLevel="0" collapsed="false">
      <c r="A461" s="32"/>
      <c r="B461" s="32"/>
      <c r="C461" s="32"/>
      <c r="D461" s="33"/>
      <c r="E461" s="32"/>
      <c r="F461" s="34"/>
      <c r="G461" s="41"/>
      <c r="H461" s="32"/>
      <c r="I461" s="35"/>
      <c r="J461" s="35"/>
      <c r="K461" s="33"/>
      <c r="L461" s="37" t="str">
        <f aca="false">IF(AND(A461&lt;&gt;"",A461='Project Summary'!$C$3,C461&lt;&gt;""),COUNTIFS($A$2:$A461,'Project Summary'!$C$3,$C$2:$C461,"&lt;&gt;"),"")</f>
        <v/>
      </c>
    </row>
    <row r="462" customFormat="false" ht="15" hidden="false" customHeight="false" outlineLevel="0" collapsed="false">
      <c r="A462" s="32"/>
      <c r="B462" s="32"/>
      <c r="C462" s="32"/>
      <c r="D462" s="33"/>
      <c r="E462" s="32"/>
      <c r="F462" s="34"/>
      <c r="G462" s="41"/>
      <c r="H462" s="32"/>
      <c r="I462" s="35"/>
      <c r="J462" s="35"/>
      <c r="K462" s="33"/>
      <c r="L462" s="37" t="str">
        <f aca="false">IF(AND(A462&lt;&gt;"",A462='Project Summary'!$C$3,C462&lt;&gt;""),COUNTIFS($A$2:$A462,'Project Summary'!$C$3,$C$2:$C462,"&lt;&gt;"),"")</f>
        <v/>
      </c>
    </row>
    <row r="463" customFormat="false" ht="15" hidden="false" customHeight="false" outlineLevel="0" collapsed="false">
      <c r="A463" s="32"/>
      <c r="B463" s="32"/>
      <c r="C463" s="32"/>
      <c r="D463" s="33"/>
      <c r="E463" s="32"/>
      <c r="F463" s="34"/>
      <c r="G463" s="41"/>
      <c r="H463" s="32"/>
      <c r="I463" s="35"/>
      <c r="J463" s="35"/>
      <c r="K463" s="33"/>
      <c r="L463" s="37" t="str">
        <f aca="false">IF(AND(A463&lt;&gt;"",A463='Project Summary'!$C$3,C463&lt;&gt;""),COUNTIFS($A$2:$A463,'Project Summary'!$C$3,$C$2:$C463,"&lt;&gt;"),"")</f>
        <v/>
      </c>
    </row>
    <row r="464" customFormat="false" ht="15" hidden="false" customHeight="false" outlineLevel="0" collapsed="false">
      <c r="A464" s="32"/>
      <c r="B464" s="32"/>
      <c r="C464" s="32"/>
      <c r="D464" s="33"/>
      <c r="E464" s="32"/>
      <c r="F464" s="34"/>
      <c r="G464" s="41"/>
      <c r="H464" s="32"/>
      <c r="I464" s="35"/>
      <c r="J464" s="35"/>
      <c r="K464" s="33"/>
      <c r="L464" s="37" t="str">
        <f aca="false">IF(AND(A464&lt;&gt;"",A464='Project Summary'!$C$3,C464&lt;&gt;""),COUNTIFS($A$2:$A464,'Project Summary'!$C$3,$C$2:$C464,"&lt;&gt;"),"")</f>
        <v/>
      </c>
    </row>
    <row r="465" customFormat="false" ht="15" hidden="false" customHeight="false" outlineLevel="0" collapsed="false">
      <c r="A465" s="32"/>
      <c r="B465" s="32"/>
      <c r="C465" s="32"/>
      <c r="D465" s="33"/>
      <c r="E465" s="32"/>
      <c r="F465" s="34"/>
      <c r="G465" s="41"/>
      <c r="H465" s="32"/>
      <c r="I465" s="35"/>
      <c r="J465" s="35"/>
      <c r="K465" s="33"/>
      <c r="L465" s="37" t="str">
        <f aca="false">IF(AND(A465&lt;&gt;"",A465='Project Summary'!$C$3,C465&lt;&gt;""),COUNTIFS($A$2:$A465,'Project Summary'!$C$3,$C$2:$C465,"&lt;&gt;"),"")</f>
        <v/>
      </c>
    </row>
    <row r="466" customFormat="false" ht="15" hidden="false" customHeight="false" outlineLevel="0" collapsed="false">
      <c r="A466" s="32"/>
      <c r="B466" s="32"/>
      <c r="C466" s="32"/>
      <c r="D466" s="33"/>
      <c r="E466" s="32"/>
      <c r="F466" s="34"/>
      <c r="G466" s="41"/>
      <c r="H466" s="32"/>
      <c r="I466" s="35"/>
      <c r="J466" s="35"/>
      <c r="K466" s="33"/>
      <c r="L466" s="37" t="str">
        <f aca="false">IF(AND(A466&lt;&gt;"",A466='Project Summary'!$C$3,C466&lt;&gt;""),COUNTIFS($A$2:$A466,'Project Summary'!$C$3,$C$2:$C466,"&lt;&gt;"),"")</f>
        <v/>
      </c>
    </row>
    <row r="467" customFormat="false" ht="15" hidden="false" customHeight="false" outlineLevel="0" collapsed="false">
      <c r="A467" s="32"/>
      <c r="B467" s="32"/>
      <c r="C467" s="32"/>
      <c r="D467" s="33"/>
      <c r="E467" s="32"/>
      <c r="F467" s="34"/>
      <c r="G467" s="41"/>
      <c r="H467" s="32"/>
      <c r="I467" s="35"/>
      <c r="J467" s="35"/>
      <c r="K467" s="33"/>
      <c r="L467" s="37" t="str">
        <f aca="false">IF(AND(A467&lt;&gt;"",A467='Project Summary'!$C$3,C467&lt;&gt;""),COUNTIFS($A$2:$A467,'Project Summary'!$C$3,$C$2:$C467,"&lt;&gt;"),"")</f>
        <v/>
      </c>
    </row>
    <row r="468" customFormat="false" ht="15" hidden="false" customHeight="false" outlineLevel="0" collapsed="false">
      <c r="A468" s="32"/>
      <c r="B468" s="32"/>
      <c r="C468" s="32"/>
      <c r="D468" s="33"/>
      <c r="E468" s="32"/>
      <c r="F468" s="34"/>
      <c r="G468" s="41"/>
      <c r="H468" s="32"/>
      <c r="I468" s="35"/>
      <c r="J468" s="35"/>
      <c r="K468" s="33"/>
      <c r="L468" s="37" t="str">
        <f aca="false">IF(AND(A468&lt;&gt;"",A468='Project Summary'!$C$3,C468&lt;&gt;""),COUNTIFS($A$2:$A468,'Project Summary'!$C$3,$C$2:$C468,"&lt;&gt;"),"")</f>
        <v/>
      </c>
    </row>
    <row r="469" customFormat="false" ht="15" hidden="false" customHeight="false" outlineLevel="0" collapsed="false">
      <c r="A469" s="32"/>
      <c r="B469" s="32"/>
      <c r="C469" s="32"/>
      <c r="D469" s="33"/>
      <c r="E469" s="32"/>
      <c r="F469" s="34"/>
      <c r="G469" s="41"/>
      <c r="H469" s="32"/>
      <c r="I469" s="35"/>
      <c r="J469" s="35"/>
      <c r="K469" s="33"/>
      <c r="L469" s="37" t="str">
        <f aca="false">IF(AND(A469&lt;&gt;"",A469='Project Summary'!$C$3,C469&lt;&gt;""),COUNTIFS($A$2:$A469,'Project Summary'!$C$3,$C$2:$C469,"&lt;&gt;"),"")</f>
        <v/>
      </c>
    </row>
    <row r="470" customFormat="false" ht="15" hidden="false" customHeight="false" outlineLevel="0" collapsed="false">
      <c r="A470" s="32"/>
      <c r="B470" s="32"/>
      <c r="C470" s="32"/>
      <c r="D470" s="33"/>
      <c r="E470" s="32"/>
      <c r="F470" s="34"/>
      <c r="G470" s="41"/>
      <c r="H470" s="32"/>
      <c r="I470" s="35"/>
      <c r="J470" s="35"/>
      <c r="K470" s="33"/>
      <c r="L470" s="37" t="str">
        <f aca="false">IF(AND(A470&lt;&gt;"",A470='Project Summary'!$C$3,C470&lt;&gt;""),COUNTIFS($A$2:$A470,'Project Summary'!$C$3,$C$2:$C470,"&lt;&gt;"),"")</f>
        <v/>
      </c>
    </row>
    <row r="471" customFormat="false" ht="15" hidden="false" customHeight="false" outlineLevel="0" collapsed="false">
      <c r="A471" s="32"/>
      <c r="B471" s="32"/>
      <c r="C471" s="32"/>
      <c r="D471" s="33"/>
      <c r="E471" s="32"/>
      <c r="F471" s="34"/>
      <c r="G471" s="41"/>
      <c r="H471" s="32"/>
      <c r="I471" s="35"/>
      <c r="J471" s="35"/>
      <c r="K471" s="33"/>
      <c r="L471" s="37" t="str">
        <f aca="false">IF(AND(A471&lt;&gt;"",A471='Project Summary'!$C$3,C471&lt;&gt;""),COUNTIFS($A$2:$A471,'Project Summary'!$C$3,$C$2:$C471,"&lt;&gt;"),"")</f>
        <v/>
      </c>
    </row>
    <row r="472" customFormat="false" ht="15" hidden="false" customHeight="false" outlineLevel="0" collapsed="false">
      <c r="A472" s="32"/>
      <c r="B472" s="32"/>
      <c r="C472" s="32"/>
      <c r="D472" s="33"/>
      <c r="E472" s="32"/>
      <c r="F472" s="34"/>
      <c r="G472" s="41"/>
      <c r="H472" s="32"/>
      <c r="I472" s="35"/>
      <c r="J472" s="35"/>
      <c r="K472" s="33"/>
      <c r="L472" s="37" t="str">
        <f aca="false">IF(AND(A472&lt;&gt;"",A472='Project Summary'!$C$3,C472&lt;&gt;""),COUNTIFS($A$2:$A472,'Project Summary'!$C$3,$C$2:$C472,"&lt;&gt;"),"")</f>
        <v/>
      </c>
    </row>
    <row r="473" customFormat="false" ht="15" hidden="false" customHeight="false" outlineLevel="0" collapsed="false">
      <c r="A473" s="32"/>
      <c r="B473" s="32"/>
      <c r="C473" s="32"/>
      <c r="D473" s="33"/>
      <c r="E473" s="32"/>
      <c r="F473" s="34"/>
      <c r="G473" s="41"/>
      <c r="H473" s="32"/>
      <c r="I473" s="35"/>
      <c r="J473" s="35"/>
      <c r="K473" s="33"/>
      <c r="L473" s="37" t="str">
        <f aca="false">IF(AND(A473&lt;&gt;"",A473='Project Summary'!$C$3,C473&lt;&gt;""),COUNTIFS($A$2:$A473,'Project Summary'!$C$3,$C$2:$C473,"&lt;&gt;"),"")</f>
        <v/>
      </c>
    </row>
    <row r="474" customFormat="false" ht="15" hidden="false" customHeight="false" outlineLevel="0" collapsed="false">
      <c r="A474" s="32"/>
      <c r="B474" s="32"/>
      <c r="C474" s="32"/>
      <c r="D474" s="33"/>
      <c r="E474" s="32"/>
      <c r="F474" s="34"/>
      <c r="G474" s="41"/>
      <c r="H474" s="32"/>
      <c r="I474" s="35"/>
      <c r="J474" s="35"/>
      <c r="K474" s="33"/>
      <c r="L474" s="37" t="str">
        <f aca="false">IF(AND(A474&lt;&gt;"",A474='Project Summary'!$C$3,C474&lt;&gt;""),COUNTIFS($A$2:$A474,'Project Summary'!$C$3,$C$2:$C474,"&lt;&gt;"),"")</f>
        <v/>
      </c>
    </row>
    <row r="475" customFormat="false" ht="15" hidden="false" customHeight="false" outlineLevel="0" collapsed="false">
      <c r="A475" s="32"/>
      <c r="B475" s="32"/>
      <c r="C475" s="32"/>
      <c r="D475" s="33"/>
      <c r="E475" s="32"/>
      <c r="F475" s="34"/>
      <c r="G475" s="41"/>
      <c r="H475" s="32"/>
      <c r="I475" s="35"/>
      <c r="J475" s="35"/>
      <c r="K475" s="33"/>
      <c r="L475" s="37" t="str">
        <f aca="false">IF(AND(A475&lt;&gt;"",A475='Project Summary'!$C$3,C475&lt;&gt;""),COUNTIFS($A$2:$A475,'Project Summary'!$C$3,$C$2:$C475,"&lt;&gt;"),"")</f>
        <v/>
      </c>
    </row>
    <row r="476" customFormat="false" ht="15" hidden="false" customHeight="false" outlineLevel="0" collapsed="false">
      <c r="A476" s="32"/>
      <c r="B476" s="32"/>
      <c r="C476" s="32"/>
      <c r="D476" s="33"/>
      <c r="E476" s="32"/>
      <c r="F476" s="34"/>
      <c r="G476" s="41"/>
      <c r="H476" s="32"/>
      <c r="I476" s="35"/>
      <c r="J476" s="35"/>
      <c r="K476" s="33"/>
      <c r="L476" s="37" t="str">
        <f aca="false">IF(AND(A476&lt;&gt;"",A476='Project Summary'!$C$3,C476&lt;&gt;""),COUNTIFS($A$2:$A476,'Project Summary'!$C$3,$C$2:$C476,"&lt;&gt;"),"")</f>
        <v/>
      </c>
    </row>
    <row r="477" customFormat="false" ht="15" hidden="false" customHeight="false" outlineLevel="0" collapsed="false">
      <c r="A477" s="32"/>
      <c r="B477" s="32"/>
      <c r="C477" s="32"/>
      <c r="D477" s="33"/>
      <c r="E477" s="32"/>
      <c r="F477" s="34"/>
      <c r="G477" s="41"/>
      <c r="H477" s="32"/>
      <c r="I477" s="35"/>
      <c r="J477" s="35"/>
      <c r="K477" s="33"/>
      <c r="L477" s="37" t="str">
        <f aca="false">IF(AND(A477&lt;&gt;"",A477='Project Summary'!$C$3,C477&lt;&gt;""),COUNTIFS($A$2:$A477,'Project Summary'!$C$3,$C$2:$C477,"&lt;&gt;"),"")</f>
        <v/>
      </c>
    </row>
    <row r="478" customFormat="false" ht="15" hidden="false" customHeight="false" outlineLevel="0" collapsed="false">
      <c r="A478" s="32"/>
      <c r="B478" s="32"/>
      <c r="C478" s="32"/>
      <c r="D478" s="33"/>
      <c r="E478" s="32"/>
      <c r="F478" s="34"/>
      <c r="G478" s="41"/>
      <c r="H478" s="32"/>
      <c r="I478" s="35"/>
      <c r="J478" s="35"/>
      <c r="K478" s="33"/>
      <c r="L478" s="37" t="str">
        <f aca="false">IF(AND(A478&lt;&gt;"",A478='Project Summary'!$C$3,C478&lt;&gt;""),COUNTIFS($A$2:$A478,'Project Summary'!$C$3,$C$2:$C478,"&lt;&gt;"),"")</f>
        <v/>
      </c>
    </row>
    <row r="479" customFormat="false" ht="15" hidden="false" customHeight="false" outlineLevel="0" collapsed="false">
      <c r="A479" s="32"/>
      <c r="B479" s="32"/>
      <c r="C479" s="32"/>
      <c r="D479" s="33"/>
      <c r="E479" s="32"/>
      <c r="F479" s="34"/>
      <c r="G479" s="41"/>
      <c r="H479" s="32"/>
      <c r="I479" s="35"/>
      <c r="J479" s="35"/>
      <c r="K479" s="33"/>
      <c r="L479" s="37" t="str">
        <f aca="false">IF(AND(A479&lt;&gt;"",A479='Project Summary'!$C$3,C479&lt;&gt;""),COUNTIFS($A$2:$A479,'Project Summary'!$C$3,$C$2:$C479,"&lt;&gt;"),"")</f>
        <v/>
      </c>
    </row>
    <row r="480" customFormat="false" ht="15" hidden="false" customHeight="false" outlineLevel="0" collapsed="false">
      <c r="A480" s="32"/>
      <c r="B480" s="32"/>
      <c r="C480" s="32"/>
      <c r="D480" s="33"/>
      <c r="E480" s="32"/>
      <c r="F480" s="34"/>
      <c r="G480" s="41"/>
      <c r="H480" s="32"/>
      <c r="I480" s="35"/>
      <c r="J480" s="35"/>
      <c r="K480" s="33"/>
      <c r="L480" s="37" t="str">
        <f aca="false">IF(AND(A480&lt;&gt;"",A480='Project Summary'!$C$3,C480&lt;&gt;""),COUNTIFS($A$2:$A480,'Project Summary'!$C$3,$C$2:$C480,"&lt;&gt;"),"")</f>
        <v/>
      </c>
    </row>
    <row r="481" customFormat="false" ht="15" hidden="false" customHeight="false" outlineLevel="0" collapsed="false">
      <c r="A481" s="32"/>
      <c r="B481" s="32"/>
      <c r="C481" s="32"/>
      <c r="D481" s="33"/>
      <c r="E481" s="32"/>
      <c r="F481" s="34"/>
      <c r="G481" s="41"/>
      <c r="H481" s="32"/>
      <c r="I481" s="35"/>
      <c r="J481" s="35"/>
      <c r="K481" s="33"/>
      <c r="L481" s="37" t="str">
        <f aca="false">IF(AND(A481&lt;&gt;"",A481='Project Summary'!$C$3,C481&lt;&gt;""),COUNTIFS($A$2:$A481,'Project Summary'!$C$3,$C$2:$C481,"&lt;&gt;"),"")</f>
        <v/>
      </c>
    </row>
    <row r="482" customFormat="false" ht="15" hidden="false" customHeight="false" outlineLevel="0" collapsed="false">
      <c r="A482" s="32"/>
      <c r="B482" s="32"/>
      <c r="C482" s="32"/>
      <c r="D482" s="33"/>
      <c r="E482" s="32"/>
      <c r="F482" s="34"/>
      <c r="G482" s="41"/>
      <c r="H482" s="32"/>
      <c r="I482" s="35"/>
      <c r="J482" s="35"/>
      <c r="K482" s="33"/>
      <c r="L482" s="37" t="str">
        <f aca="false">IF(AND(A482&lt;&gt;"",A482='Project Summary'!$C$3,C482&lt;&gt;""),COUNTIFS($A$2:$A482,'Project Summary'!$C$3,$C$2:$C482,"&lt;&gt;"),"")</f>
        <v/>
      </c>
    </row>
    <row r="483" customFormat="false" ht="15" hidden="false" customHeight="false" outlineLevel="0" collapsed="false">
      <c r="A483" s="32"/>
      <c r="B483" s="32"/>
      <c r="C483" s="32"/>
      <c r="D483" s="33"/>
      <c r="E483" s="32"/>
      <c r="F483" s="34"/>
      <c r="G483" s="41"/>
      <c r="H483" s="32"/>
      <c r="I483" s="35"/>
      <c r="J483" s="35"/>
      <c r="K483" s="33"/>
      <c r="L483" s="37" t="str">
        <f aca="false">IF(AND(A483&lt;&gt;"",A483='Project Summary'!$C$3,C483&lt;&gt;""),COUNTIFS($A$2:$A483,'Project Summary'!$C$3,$C$2:$C483,"&lt;&gt;"),"")</f>
        <v/>
      </c>
    </row>
    <row r="484" customFormat="false" ht="15" hidden="false" customHeight="false" outlineLevel="0" collapsed="false">
      <c r="A484" s="32"/>
      <c r="B484" s="32"/>
      <c r="C484" s="32"/>
      <c r="D484" s="33"/>
      <c r="E484" s="32"/>
      <c r="F484" s="34"/>
      <c r="G484" s="41"/>
      <c r="H484" s="32"/>
      <c r="I484" s="35"/>
      <c r="J484" s="35"/>
      <c r="K484" s="33"/>
      <c r="L484" s="37" t="str">
        <f aca="false">IF(AND(A484&lt;&gt;"",A484='Project Summary'!$C$3,C484&lt;&gt;""),COUNTIFS($A$2:$A484,'Project Summary'!$C$3,$C$2:$C484,"&lt;&gt;"),"")</f>
        <v/>
      </c>
    </row>
    <row r="485" customFormat="false" ht="15" hidden="false" customHeight="false" outlineLevel="0" collapsed="false">
      <c r="A485" s="32"/>
      <c r="B485" s="32"/>
      <c r="C485" s="32"/>
      <c r="D485" s="33"/>
      <c r="E485" s="32"/>
      <c r="F485" s="34"/>
      <c r="G485" s="41"/>
      <c r="H485" s="32"/>
      <c r="I485" s="35"/>
      <c r="J485" s="35"/>
      <c r="K485" s="33"/>
      <c r="L485" s="37" t="str">
        <f aca="false">IF(AND(A485&lt;&gt;"",A485='Project Summary'!$C$3,C485&lt;&gt;""),COUNTIFS($A$2:$A485,'Project Summary'!$C$3,$C$2:$C485,"&lt;&gt;"),"")</f>
        <v/>
      </c>
    </row>
    <row r="486" customFormat="false" ht="15" hidden="false" customHeight="false" outlineLevel="0" collapsed="false">
      <c r="A486" s="32"/>
      <c r="B486" s="32"/>
      <c r="C486" s="32"/>
      <c r="D486" s="33"/>
      <c r="E486" s="32"/>
      <c r="F486" s="34"/>
      <c r="G486" s="41"/>
      <c r="H486" s="32"/>
      <c r="I486" s="35"/>
      <c r="J486" s="35"/>
      <c r="K486" s="33"/>
      <c r="L486" s="37" t="str">
        <f aca="false">IF(AND(A486&lt;&gt;"",A486='Project Summary'!$C$3,C486&lt;&gt;""),COUNTIFS($A$2:$A486,'Project Summary'!$C$3,$C$2:$C486,"&lt;&gt;"),"")</f>
        <v/>
      </c>
    </row>
    <row r="487" customFormat="false" ht="15" hidden="false" customHeight="false" outlineLevel="0" collapsed="false">
      <c r="A487" s="32"/>
      <c r="B487" s="32"/>
      <c r="C487" s="32"/>
      <c r="D487" s="33"/>
      <c r="E487" s="32"/>
      <c r="F487" s="34"/>
      <c r="G487" s="41"/>
      <c r="H487" s="32"/>
      <c r="I487" s="35"/>
      <c r="J487" s="35"/>
      <c r="K487" s="33"/>
      <c r="L487" s="37" t="str">
        <f aca="false">IF(AND(A487&lt;&gt;"",A487='Project Summary'!$C$3,C487&lt;&gt;""),COUNTIFS($A$2:$A487,'Project Summary'!$C$3,$C$2:$C487,"&lt;&gt;"),"")</f>
        <v/>
      </c>
    </row>
    <row r="488" customFormat="false" ht="15" hidden="false" customHeight="false" outlineLevel="0" collapsed="false">
      <c r="A488" s="32"/>
      <c r="B488" s="32"/>
      <c r="C488" s="32"/>
      <c r="D488" s="33"/>
      <c r="E488" s="32"/>
      <c r="F488" s="34"/>
      <c r="G488" s="41"/>
      <c r="H488" s="32"/>
      <c r="I488" s="35"/>
      <c r="J488" s="35"/>
      <c r="K488" s="33"/>
      <c r="L488" s="37" t="str">
        <f aca="false">IF(AND(A488&lt;&gt;"",A488='Project Summary'!$C$3,C488&lt;&gt;""),COUNTIFS($A$2:$A488,'Project Summary'!$C$3,$C$2:$C488,"&lt;&gt;"),"")</f>
        <v/>
      </c>
    </row>
    <row r="489" customFormat="false" ht="15" hidden="false" customHeight="false" outlineLevel="0" collapsed="false">
      <c r="A489" s="32"/>
      <c r="B489" s="32"/>
      <c r="C489" s="32"/>
      <c r="D489" s="33"/>
      <c r="E489" s="32"/>
      <c r="F489" s="34"/>
      <c r="G489" s="41"/>
      <c r="H489" s="32"/>
      <c r="I489" s="35"/>
      <c r="J489" s="35"/>
      <c r="K489" s="33"/>
      <c r="L489" s="37" t="str">
        <f aca="false">IF(AND(A489&lt;&gt;"",A489='Project Summary'!$C$3,C489&lt;&gt;""),COUNTIFS($A$2:$A489,'Project Summary'!$C$3,$C$2:$C489,"&lt;&gt;"),"")</f>
        <v/>
      </c>
    </row>
    <row r="490" customFormat="false" ht="15" hidden="false" customHeight="false" outlineLevel="0" collapsed="false">
      <c r="A490" s="32"/>
      <c r="B490" s="32"/>
      <c r="C490" s="32"/>
      <c r="D490" s="33"/>
      <c r="E490" s="32"/>
      <c r="F490" s="34"/>
      <c r="G490" s="41"/>
      <c r="H490" s="32"/>
      <c r="I490" s="35"/>
      <c r="J490" s="35"/>
      <c r="K490" s="33"/>
      <c r="L490" s="37" t="str">
        <f aca="false">IF(AND(A490&lt;&gt;"",A490='Project Summary'!$C$3,C490&lt;&gt;""),COUNTIFS($A$2:$A490,'Project Summary'!$C$3,$C$2:$C490,"&lt;&gt;"),"")</f>
        <v/>
      </c>
    </row>
    <row r="491" customFormat="false" ht="15" hidden="false" customHeight="false" outlineLevel="0" collapsed="false">
      <c r="A491" s="32"/>
      <c r="B491" s="32"/>
      <c r="C491" s="32"/>
      <c r="D491" s="33"/>
      <c r="E491" s="32"/>
      <c r="F491" s="34"/>
      <c r="G491" s="41"/>
      <c r="H491" s="32"/>
      <c r="I491" s="35"/>
      <c r="J491" s="35"/>
      <c r="K491" s="33"/>
      <c r="L491" s="37" t="str">
        <f aca="false">IF(AND(A491&lt;&gt;"",A491='Project Summary'!$C$3,C491&lt;&gt;""),COUNTIFS($A$2:$A491,'Project Summary'!$C$3,$C$2:$C491,"&lt;&gt;"),"")</f>
        <v/>
      </c>
    </row>
    <row r="492" customFormat="false" ht="15" hidden="false" customHeight="false" outlineLevel="0" collapsed="false">
      <c r="A492" s="32"/>
      <c r="B492" s="32"/>
      <c r="C492" s="32"/>
      <c r="D492" s="33"/>
      <c r="E492" s="32"/>
      <c r="F492" s="34"/>
      <c r="G492" s="41"/>
      <c r="H492" s="32"/>
      <c r="I492" s="35"/>
      <c r="J492" s="35"/>
      <c r="K492" s="33"/>
      <c r="L492" s="37" t="str">
        <f aca="false">IF(AND(A492&lt;&gt;"",A492='Project Summary'!$C$3,C492&lt;&gt;""),COUNTIFS($A$2:$A492,'Project Summary'!$C$3,$C$2:$C492,"&lt;&gt;"),"")</f>
        <v/>
      </c>
    </row>
    <row r="493" customFormat="false" ht="15" hidden="false" customHeight="false" outlineLevel="0" collapsed="false">
      <c r="A493" s="32"/>
      <c r="B493" s="32"/>
      <c r="C493" s="32"/>
      <c r="D493" s="33"/>
      <c r="E493" s="32"/>
      <c r="F493" s="34"/>
      <c r="G493" s="41"/>
      <c r="H493" s="32"/>
      <c r="I493" s="35"/>
      <c r="J493" s="35"/>
      <c r="K493" s="33"/>
      <c r="L493" s="37" t="str">
        <f aca="false">IF(AND(A493&lt;&gt;"",A493='Project Summary'!$C$3,C493&lt;&gt;""),COUNTIFS($A$2:$A493,'Project Summary'!$C$3,$C$2:$C493,"&lt;&gt;"),"")</f>
        <v/>
      </c>
    </row>
    <row r="494" customFormat="false" ht="15" hidden="false" customHeight="false" outlineLevel="0" collapsed="false">
      <c r="A494" s="32"/>
      <c r="B494" s="32"/>
      <c r="C494" s="32"/>
      <c r="D494" s="33"/>
      <c r="E494" s="32"/>
      <c r="F494" s="34"/>
      <c r="G494" s="41"/>
      <c r="H494" s="32"/>
      <c r="I494" s="35"/>
      <c r="J494" s="35"/>
      <c r="K494" s="33"/>
      <c r="L494" s="37" t="str">
        <f aca="false">IF(AND(A494&lt;&gt;"",A494='Project Summary'!$C$3,C494&lt;&gt;""),COUNTIFS($A$2:$A494,'Project Summary'!$C$3,$C$2:$C494,"&lt;&gt;"),"")</f>
        <v/>
      </c>
    </row>
    <row r="495" customFormat="false" ht="15" hidden="false" customHeight="false" outlineLevel="0" collapsed="false">
      <c r="A495" s="32"/>
      <c r="B495" s="32"/>
      <c r="C495" s="32"/>
      <c r="D495" s="33"/>
      <c r="E495" s="32"/>
      <c r="F495" s="34"/>
      <c r="G495" s="41"/>
      <c r="H495" s="32"/>
      <c r="I495" s="35"/>
      <c r="J495" s="35"/>
      <c r="K495" s="33"/>
      <c r="L495" s="37" t="str">
        <f aca="false">IF(AND(A495&lt;&gt;"",A495='Project Summary'!$C$3,C495&lt;&gt;""),COUNTIFS($A$2:$A495,'Project Summary'!$C$3,$C$2:$C495,"&lt;&gt;"),"")</f>
        <v/>
      </c>
    </row>
    <row r="496" customFormat="false" ht="15" hidden="false" customHeight="false" outlineLevel="0" collapsed="false">
      <c r="A496" s="32"/>
      <c r="B496" s="32"/>
      <c r="C496" s="32"/>
      <c r="D496" s="33"/>
      <c r="E496" s="32"/>
      <c r="F496" s="34"/>
      <c r="G496" s="41"/>
      <c r="H496" s="32"/>
      <c r="I496" s="35"/>
      <c r="J496" s="35"/>
      <c r="K496" s="33"/>
      <c r="L496" s="37" t="str">
        <f aca="false">IF(AND(A496&lt;&gt;"",A496='Project Summary'!$C$3,C496&lt;&gt;""),COUNTIFS($A$2:$A496,'Project Summary'!$C$3,$C$2:$C496,"&lt;&gt;"),"")</f>
        <v/>
      </c>
    </row>
    <row r="497" customFormat="false" ht="15" hidden="false" customHeight="false" outlineLevel="0" collapsed="false">
      <c r="A497" s="32"/>
      <c r="B497" s="32"/>
      <c r="C497" s="32"/>
      <c r="D497" s="33"/>
      <c r="E497" s="32"/>
      <c r="F497" s="34"/>
      <c r="G497" s="41"/>
      <c r="H497" s="32"/>
      <c r="I497" s="35"/>
      <c r="J497" s="35"/>
      <c r="K497" s="33"/>
      <c r="L497" s="37" t="str">
        <f aca="false">IF(AND(A497&lt;&gt;"",A497='Project Summary'!$C$3,C497&lt;&gt;""),COUNTIFS($A$2:$A497,'Project Summary'!$C$3,$C$2:$C497,"&lt;&gt;"),"")</f>
        <v/>
      </c>
    </row>
    <row r="498" customFormat="false" ht="15" hidden="false" customHeight="false" outlineLevel="0" collapsed="false">
      <c r="A498" s="32"/>
      <c r="B498" s="32"/>
      <c r="C498" s="32"/>
      <c r="D498" s="33"/>
      <c r="E498" s="32"/>
      <c r="F498" s="34"/>
      <c r="G498" s="41"/>
      <c r="H498" s="32"/>
      <c r="I498" s="35"/>
      <c r="J498" s="35"/>
      <c r="K498" s="33"/>
      <c r="L498" s="37" t="str">
        <f aca="false">IF(AND(A498&lt;&gt;"",A498='Project Summary'!$C$3,C498&lt;&gt;""),COUNTIFS($A$2:$A498,'Project Summary'!$C$3,$C$2:$C498,"&lt;&gt;"),"")</f>
        <v/>
      </c>
    </row>
    <row r="499" customFormat="false" ht="15" hidden="false" customHeight="false" outlineLevel="0" collapsed="false">
      <c r="A499" s="32"/>
      <c r="B499" s="32"/>
      <c r="C499" s="32"/>
      <c r="D499" s="33"/>
      <c r="E499" s="32"/>
      <c r="F499" s="34"/>
      <c r="G499" s="41"/>
      <c r="H499" s="32"/>
      <c r="I499" s="35"/>
      <c r="J499" s="35"/>
      <c r="K499" s="33"/>
      <c r="L499" s="37" t="str">
        <f aca="false">IF(AND(A499&lt;&gt;"",A499='Project Summary'!$C$3,C499&lt;&gt;""),COUNTIFS($A$2:$A499,'Project Summary'!$C$3,$C$2:$C499,"&lt;&gt;"),"")</f>
        <v/>
      </c>
    </row>
    <row r="500" customFormat="false" ht="15" hidden="false" customHeight="false" outlineLevel="0" collapsed="false">
      <c r="A500" s="32"/>
      <c r="B500" s="32"/>
      <c r="C500" s="32"/>
      <c r="D500" s="33"/>
      <c r="E500" s="32"/>
      <c r="F500" s="34"/>
      <c r="G500" s="41"/>
      <c r="H500" s="32"/>
      <c r="I500" s="35"/>
      <c r="J500" s="35"/>
      <c r="K500" s="33"/>
      <c r="L500" s="37" t="str">
        <f aca="false">IF(AND(A500&lt;&gt;"",A500='Project Summary'!$C$3,C500&lt;&gt;""),COUNTIFS($A$2:$A500,'Project Summary'!$C$3,$C$2:$C500,"&lt;&gt;"),"")</f>
        <v/>
      </c>
    </row>
    <row r="501" customFormat="false" ht="15" hidden="false" customHeight="false" outlineLevel="0" collapsed="false">
      <c r="A501" s="32"/>
      <c r="B501" s="32"/>
      <c r="C501" s="32"/>
      <c r="D501" s="33"/>
      <c r="E501" s="32"/>
      <c r="F501" s="34"/>
      <c r="G501" s="41"/>
      <c r="H501" s="32"/>
      <c r="I501" s="35"/>
      <c r="J501" s="35"/>
      <c r="K501" s="33"/>
      <c r="L501" s="37" t="str">
        <f aca="false">IF(AND(A501&lt;&gt;"",A501='Project Summary'!$C$3,C501&lt;&gt;""),COUNTIFS($A$2:$A501,'Project Summary'!$C$3,$C$2:$C501,"&lt;&gt;"),"")</f>
        <v/>
      </c>
    </row>
  </sheetData>
  <autoFilter ref="A1:L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lst_VariationStatus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8" min="6" style="0" width="12"/>
    <col collapsed="false" customWidth="true" hidden="false" outlineLevel="0" max="10" min="9" style="0" width="13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193</v>
      </c>
      <c r="D1" s="17" t="s">
        <v>259</v>
      </c>
      <c r="E1" s="17" t="s">
        <v>214</v>
      </c>
      <c r="F1" s="17" t="s">
        <v>260</v>
      </c>
      <c r="G1" s="17" t="s">
        <v>261</v>
      </c>
      <c r="H1" s="17" t="s">
        <v>111</v>
      </c>
      <c r="I1" s="17" t="s">
        <v>262</v>
      </c>
      <c r="J1" s="17" t="s">
        <v>258</v>
      </c>
      <c r="K1" s="17" t="s">
        <v>235</v>
      </c>
      <c r="L1" s="31" t="s">
        <v>263</v>
      </c>
    </row>
    <row r="2" customFormat="false" ht="15" hidden="false" customHeight="false" outlineLevel="0" collapsed="false">
      <c r="A2" s="32"/>
      <c r="B2" s="32"/>
      <c r="C2" s="32"/>
      <c r="D2" s="32"/>
      <c r="E2" s="33"/>
      <c r="F2" s="41"/>
      <c r="G2" s="41"/>
      <c r="H2" s="32"/>
      <c r="I2" s="35"/>
      <c r="J2" s="35"/>
      <c r="K2" s="33"/>
      <c r="L2" s="37" t="n">
        <f aca="false">IF(OR(C2="",H2&lt;&gt;"Approved"),0,IF(G2&lt;&gt;"",G2,N(F2)))</f>
        <v>0</v>
      </c>
    </row>
    <row r="3" customFormat="false" ht="15" hidden="false" customHeight="false" outlineLevel="0" collapsed="false">
      <c r="A3" s="32"/>
      <c r="B3" s="32"/>
      <c r="C3" s="32"/>
      <c r="D3" s="32"/>
      <c r="E3" s="33"/>
      <c r="F3" s="41"/>
      <c r="G3" s="41"/>
      <c r="H3" s="32"/>
      <c r="I3" s="35"/>
      <c r="J3" s="35"/>
      <c r="K3" s="33"/>
      <c r="L3" s="37" t="n">
        <f aca="false">IF(OR(C3="",H3&lt;&gt;"Approved"),0,IF(G3&lt;&gt;"",G3,N(F3)))</f>
        <v>0</v>
      </c>
    </row>
    <row r="4" customFormat="false" ht="15" hidden="false" customHeight="false" outlineLevel="0" collapsed="false">
      <c r="A4" s="32"/>
      <c r="B4" s="32"/>
      <c r="C4" s="32"/>
      <c r="D4" s="32"/>
      <c r="E4" s="33"/>
      <c r="F4" s="41"/>
      <c r="G4" s="41"/>
      <c r="H4" s="32"/>
      <c r="I4" s="35"/>
      <c r="J4" s="35"/>
      <c r="K4" s="33"/>
      <c r="L4" s="37" t="n">
        <f aca="false">IF(OR(C4="",H4&lt;&gt;"Approved"),0,IF(G4&lt;&gt;"",G4,N(F4)))</f>
        <v>0</v>
      </c>
    </row>
    <row r="5" customFormat="false" ht="15" hidden="false" customHeight="false" outlineLevel="0" collapsed="false">
      <c r="A5" s="32"/>
      <c r="B5" s="32"/>
      <c r="C5" s="32"/>
      <c r="D5" s="32"/>
      <c r="E5" s="33"/>
      <c r="F5" s="41"/>
      <c r="G5" s="41"/>
      <c r="H5" s="32"/>
      <c r="I5" s="35"/>
      <c r="J5" s="35"/>
      <c r="K5" s="33"/>
      <c r="L5" s="37" t="n">
        <f aca="false">IF(OR(C5="",H5&lt;&gt;"Approved"),0,IF(G5&lt;&gt;"",G5,N(F5)))</f>
        <v>0</v>
      </c>
    </row>
    <row r="6" customFormat="false" ht="15" hidden="false" customHeight="false" outlineLevel="0" collapsed="false">
      <c r="A6" s="32"/>
      <c r="B6" s="32"/>
      <c r="C6" s="32"/>
      <c r="D6" s="32"/>
      <c r="E6" s="33"/>
      <c r="F6" s="41"/>
      <c r="G6" s="41"/>
      <c r="H6" s="32"/>
      <c r="I6" s="35"/>
      <c r="J6" s="35"/>
      <c r="K6" s="33"/>
      <c r="L6" s="37" t="n">
        <f aca="false">IF(OR(C6="",H6&lt;&gt;"Approved"),0,IF(G6&lt;&gt;"",G6,N(F6)))</f>
        <v>0</v>
      </c>
    </row>
    <row r="7" customFormat="false" ht="15" hidden="false" customHeight="false" outlineLevel="0" collapsed="false">
      <c r="A7" s="32"/>
      <c r="B7" s="32"/>
      <c r="C7" s="32"/>
      <c r="D7" s="32"/>
      <c r="E7" s="33"/>
      <c r="F7" s="41"/>
      <c r="G7" s="41"/>
      <c r="H7" s="32"/>
      <c r="I7" s="35"/>
      <c r="J7" s="35"/>
      <c r="K7" s="33"/>
      <c r="L7" s="37" t="n">
        <f aca="false">IF(OR(C7="",H7&lt;&gt;"Approved"),0,IF(G7&lt;&gt;"",G7,N(F7)))</f>
        <v>0</v>
      </c>
    </row>
    <row r="8" customFormat="false" ht="15" hidden="false" customHeight="false" outlineLevel="0" collapsed="false">
      <c r="A8" s="32"/>
      <c r="B8" s="32"/>
      <c r="C8" s="32"/>
      <c r="D8" s="32"/>
      <c r="E8" s="33"/>
      <c r="F8" s="41"/>
      <c r="G8" s="41"/>
      <c r="H8" s="32"/>
      <c r="I8" s="35"/>
      <c r="J8" s="35"/>
      <c r="K8" s="33"/>
      <c r="L8" s="37" t="n">
        <f aca="false">IF(OR(C8="",H8&lt;&gt;"Approved"),0,IF(G8&lt;&gt;"",G8,N(F8)))</f>
        <v>0</v>
      </c>
    </row>
    <row r="9" customFormat="false" ht="15" hidden="false" customHeight="false" outlineLevel="0" collapsed="false">
      <c r="A9" s="32"/>
      <c r="B9" s="32"/>
      <c r="C9" s="32"/>
      <c r="D9" s="32"/>
      <c r="E9" s="33"/>
      <c r="F9" s="41"/>
      <c r="G9" s="41"/>
      <c r="H9" s="32"/>
      <c r="I9" s="35"/>
      <c r="J9" s="35"/>
      <c r="K9" s="33"/>
      <c r="L9" s="37" t="n">
        <f aca="false">IF(OR(C9="",H9&lt;&gt;"Approved"),0,IF(G9&lt;&gt;"",G9,N(F9)))</f>
        <v>0</v>
      </c>
    </row>
    <row r="10" customFormat="false" ht="15" hidden="false" customHeight="false" outlineLevel="0" collapsed="false">
      <c r="A10" s="32"/>
      <c r="B10" s="32"/>
      <c r="C10" s="32"/>
      <c r="D10" s="32"/>
      <c r="E10" s="33"/>
      <c r="F10" s="41"/>
      <c r="G10" s="41"/>
      <c r="H10" s="32"/>
      <c r="I10" s="35"/>
      <c r="J10" s="35"/>
      <c r="K10" s="33"/>
      <c r="L10" s="37" t="n">
        <f aca="false">IF(OR(C10="",H10&lt;&gt;"Approved"),0,IF(G10&lt;&gt;"",G10,N(F10)))</f>
        <v>0</v>
      </c>
    </row>
    <row r="11" customFormat="false" ht="15" hidden="false" customHeight="false" outlineLevel="0" collapsed="false">
      <c r="A11" s="32"/>
      <c r="B11" s="32"/>
      <c r="C11" s="32"/>
      <c r="D11" s="32"/>
      <c r="E11" s="33"/>
      <c r="F11" s="41"/>
      <c r="G11" s="41"/>
      <c r="H11" s="32"/>
      <c r="I11" s="35"/>
      <c r="J11" s="35"/>
      <c r="K11" s="33"/>
      <c r="L11" s="37" t="n">
        <f aca="false">IF(OR(C11="",H11&lt;&gt;"Approved"),0,IF(G11&lt;&gt;"",G11,N(F11)))</f>
        <v>0</v>
      </c>
    </row>
    <row r="12" customFormat="false" ht="15" hidden="false" customHeight="false" outlineLevel="0" collapsed="false">
      <c r="A12" s="32"/>
      <c r="B12" s="32"/>
      <c r="C12" s="32"/>
      <c r="D12" s="32"/>
      <c r="E12" s="33"/>
      <c r="F12" s="41"/>
      <c r="G12" s="41"/>
      <c r="H12" s="32"/>
      <c r="I12" s="35"/>
      <c r="J12" s="35"/>
      <c r="K12" s="33"/>
      <c r="L12" s="37" t="n">
        <f aca="false">IF(OR(C12="",H12&lt;&gt;"Approved"),0,IF(G12&lt;&gt;"",G12,N(F12)))</f>
        <v>0</v>
      </c>
    </row>
    <row r="13" customFormat="false" ht="15" hidden="false" customHeight="false" outlineLevel="0" collapsed="false">
      <c r="A13" s="32"/>
      <c r="B13" s="32"/>
      <c r="C13" s="32"/>
      <c r="D13" s="32"/>
      <c r="E13" s="33"/>
      <c r="F13" s="41"/>
      <c r="G13" s="41"/>
      <c r="H13" s="32"/>
      <c r="I13" s="35"/>
      <c r="J13" s="35"/>
      <c r="K13" s="33"/>
      <c r="L13" s="37" t="n">
        <f aca="false">IF(OR(C13="",H13&lt;&gt;"Approved"),0,IF(G13&lt;&gt;"",G13,N(F13)))</f>
        <v>0</v>
      </c>
    </row>
    <row r="14" customFormat="false" ht="15" hidden="false" customHeight="false" outlineLevel="0" collapsed="false">
      <c r="A14" s="32"/>
      <c r="B14" s="32"/>
      <c r="C14" s="32"/>
      <c r="D14" s="32"/>
      <c r="E14" s="33"/>
      <c r="F14" s="41"/>
      <c r="G14" s="41"/>
      <c r="H14" s="32"/>
      <c r="I14" s="35"/>
      <c r="J14" s="35"/>
      <c r="K14" s="33"/>
      <c r="L14" s="37" t="n">
        <f aca="false">IF(OR(C14="",H14&lt;&gt;"Approved"),0,IF(G14&lt;&gt;"",G14,N(F14)))</f>
        <v>0</v>
      </c>
    </row>
    <row r="15" customFormat="false" ht="15" hidden="false" customHeight="false" outlineLevel="0" collapsed="false">
      <c r="A15" s="32"/>
      <c r="B15" s="32"/>
      <c r="C15" s="32"/>
      <c r="D15" s="32"/>
      <c r="E15" s="33"/>
      <c r="F15" s="41"/>
      <c r="G15" s="41"/>
      <c r="H15" s="32"/>
      <c r="I15" s="35"/>
      <c r="J15" s="35"/>
      <c r="K15" s="33"/>
      <c r="L15" s="37" t="n">
        <f aca="false">IF(OR(C15="",H15&lt;&gt;"Approved"),0,IF(G15&lt;&gt;"",G15,N(F15)))</f>
        <v>0</v>
      </c>
    </row>
    <row r="16" customFormat="false" ht="15" hidden="false" customHeight="false" outlineLevel="0" collapsed="false">
      <c r="A16" s="32"/>
      <c r="B16" s="32"/>
      <c r="C16" s="32"/>
      <c r="D16" s="32"/>
      <c r="E16" s="33"/>
      <c r="F16" s="41"/>
      <c r="G16" s="41"/>
      <c r="H16" s="32"/>
      <c r="I16" s="35"/>
      <c r="J16" s="35"/>
      <c r="K16" s="33"/>
      <c r="L16" s="37" t="n">
        <f aca="false">IF(OR(C16="",H16&lt;&gt;"Approved"),0,IF(G16&lt;&gt;"",G16,N(F16)))</f>
        <v>0</v>
      </c>
    </row>
    <row r="17" customFormat="false" ht="15" hidden="false" customHeight="false" outlineLevel="0" collapsed="false">
      <c r="A17" s="32"/>
      <c r="B17" s="32"/>
      <c r="C17" s="32"/>
      <c r="D17" s="32"/>
      <c r="E17" s="33"/>
      <c r="F17" s="41"/>
      <c r="G17" s="41"/>
      <c r="H17" s="32"/>
      <c r="I17" s="35"/>
      <c r="J17" s="35"/>
      <c r="K17" s="33"/>
      <c r="L17" s="37" t="n">
        <f aca="false">IF(OR(C17="",H17&lt;&gt;"Approved"),0,IF(G17&lt;&gt;"",G17,N(F17)))</f>
        <v>0</v>
      </c>
    </row>
    <row r="18" customFormat="false" ht="15" hidden="false" customHeight="false" outlineLevel="0" collapsed="false">
      <c r="A18" s="32"/>
      <c r="B18" s="32"/>
      <c r="C18" s="32"/>
      <c r="D18" s="32"/>
      <c r="E18" s="33"/>
      <c r="F18" s="41"/>
      <c r="G18" s="41"/>
      <c r="H18" s="32"/>
      <c r="I18" s="35"/>
      <c r="J18" s="35"/>
      <c r="K18" s="33"/>
      <c r="L18" s="37" t="n">
        <f aca="false">IF(OR(C18="",H18&lt;&gt;"Approved"),0,IF(G18&lt;&gt;"",G18,N(F18)))</f>
        <v>0</v>
      </c>
    </row>
    <row r="19" customFormat="false" ht="15" hidden="false" customHeight="false" outlineLevel="0" collapsed="false">
      <c r="A19" s="32"/>
      <c r="B19" s="32"/>
      <c r="C19" s="32"/>
      <c r="D19" s="32"/>
      <c r="E19" s="33"/>
      <c r="F19" s="41"/>
      <c r="G19" s="41"/>
      <c r="H19" s="32"/>
      <c r="I19" s="35"/>
      <c r="J19" s="35"/>
      <c r="K19" s="33"/>
      <c r="L19" s="37" t="n">
        <f aca="false">IF(OR(C19="",H19&lt;&gt;"Approved"),0,IF(G19&lt;&gt;"",G19,N(F19)))</f>
        <v>0</v>
      </c>
    </row>
    <row r="20" customFormat="false" ht="15" hidden="false" customHeight="false" outlineLevel="0" collapsed="false">
      <c r="A20" s="32"/>
      <c r="B20" s="32"/>
      <c r="C20" s="32"/>
      <c r="D20" s="32"/>
      <c r="E20" s="33"/>
      <c r="F20" s="41"/>
      <c r="G20" s="41"/>
      <c r="H20" s="32"/>
      <c r="I20" s="35"/>
      <c r="J20" s="35"/>
      <c r="K20" s="33"/>
      <c r="L20" s="37" t="n">
        <f aca="false">IF(OR(C20="",H20&lt;&gt;"Approved"),0,IF(G20&lt;&gt;"",G20,N(F20)))</f>
        <v>0</v>
      </c>
    </row>
    <row r="21" customFormat="false" ht="15" hidden="false" customHeight="false" outlineLevel="0" collapsed="false">
      <c r="A21" s="32"/>
      <c r="B21" s="32"/>
      <c r="C21" s="32"/>
      <c r="D21" s="32"/>
      <c r="E21" s="33"/>
      <c r="F21" s="41"/>
      <c r="G21" s="41"/>
      <c r="H21" s="32"/>
      <c r="I21" s="35"/>
      <c r="J21" s="35"/>
      <c r="K21" s="33"/>
      <c r="L21" s="37" t="n">
        <f aca="false">IF(OR(C21="",H21&lt;&gt;"Approved"),0,IF(G21&lt;&gt;"",G21,N(F21)))</f>
        <v>0</v>
      </c>
    </row>
    <row r="22" customFormat="false" ht="15" hidden="false" customHeight="false" outlineLevel="0" collapsed="false">
      <c r="A22" s="32"/>
      <c r="B22" s="32"/>
      <c r="C22" s="32"/>
      <c r="D22" s="32"/>
      <c r="E22" s="33"/>
      <c r="F22" s="41"/>
      <c r="G22" s="41"/>
      <c r="H22" s="32"/>
      <c r="I22" s="35"/>
      <c r="J22" s="35"/>
      <c r="K22" s="33"/>
      <c r="L22" s="37" t="n">
        <f aca="false">IF(OR(C22="",H22&lt;&gt;"Approved"),0,IF(G22&lt;&gt;"",G22,N(F22)))</f>
        <v>0</v>
      </c>
    </row>
    <row r="23" customFormat="false" ht="15" hidden="false" customHeight="false" outlineLevel="0" collapsed="false">
      <c r="A23" s="32"/>
      <c r="B23" s="32"/>
      <c r="C23" s="32"/>
      <c r="D23" s="32"/>
      <c r="E23" s="33"/>
      <c r="F23" s="41"/>
      <c r="G23" s="41"/>
      <c r="H23" s="32"/>
      <c r="I23" s="35"/>
      <c r="J23" s="35"/>
      <c r="K23" s="33"/>
      <c r="L23" s="37" t="n">
        <f aca="false">IF(OR(C23="",H23&lt;&gt;"Approved"),0,IF(G23&lt;&gt;"",G23,N(F23)))</f>
        <v>0</v>
      </c>
    </row>
    <row r="24" customFormat="false" ht="15" hidden="false" customHeight="false" outlineLevel="0" collapsed="false">
      <c r="A24" s="32"/>
      <c r="B24" s="32"/>
      <c r="C24" s="32"/>
      <c r="D24" s="32"/>
      <c r="E24" s="33"/>
      <c r="F24" s="41"/>
      <c r="G24" s="41"/>
      <c r="H24" s="32"/>
      <c r="I24" s="35"/>
      <c r="J24" s="35"/>
      <c r="K24" s="33"/>
      <c r="L24" s="37" t="n">
        <f aca="false">IF(OR(C24="",H24&lt;&gt;"Approved"),0,IF(G24&lt;&gt;"",G24,N(F24)))</f>
        <v>0</v>
      </c>
    </row>
    <row r="25" customFormat="false" ht="15" hidden="false" customHeight="false" outlineLevel="0" collapsed="false">
      <c r="A25" s="32"/>
      <c r="B25" s="32"/>
      <c r="C25" s="32"/>
      <c r="D25" s="32"/>
      <c r="E25" s="33"/>
      <c r="F25" s="41"/>
      <c r="G25" s="41"/>
      <c r="H25" s="32"/>
      <c r="I25" s="35"/>
      <c r="J25" s="35"/>
      <c r="K25" s="33"/>
      <c r="L25" s="37" t="n">
        <f aca="false">IF(OR(C25="",H25&lt;&gt;"Approved"),0,IF(G25&lt;&gt;"",G25,N(F25)))</f>
        <v>0</v>
      </c>
    </row>
    <row r="26" customFormat="false" ht="15" hidden="false" customHeight="false" outlineLevel="0" collapsed="false">
      <c r="A26" s="32"/>
      <c r="B26" s="32"/>
      <c r="C26" s="32"/>
      <c r="D26" s="32"/>
      <c r="E26" s="33"/>
      <c r="F26" s="41"/>
      <c r="G26" s="41"/>
      <c r="H26" s="32"/>
      <c r="I26" s="35"/>
      <c r="J26" s="35"/>
      <c r="K26" s="33"/>
      <c r="L26" s="37" t="n">
        <f aca="false">IF(OR(C26="",H26&lt;&gt;"Approved"),0,IF(G26&lt;&gt;"",G26,N(F26)))</f>
        <v>0</v>
      </c>
    </row>
    <row r="27" customFormat="false" ht="15" hidden="false" customHeight="false" outlineLevel="0" collapsed="false">
      <c r="A27" s="32"/>
      <c r="B27" s="32"/>
      <c r="C27" s="32"/>
      <c r="D27" s="32"/>
      <c r="E27" s="33"/>
      <c r="F27" s="41"/>
      <c r="G27" s="41"/>
      <c r="H27" s="32"/>
      <c r="I27" s="35"/>
      <c r="J27" s="35"/>
      <c r="K27" s="33"/>
      <c r="L27" s="37" t="n">
        <f aca="false">IF(OR(C27="",H27&lt;&gt;"Approved"),0,IF(G27&lt;&gt;"",G27,N(F27)))</f>
        <v>0</v>
      </c>
    </row>
    <row r="28" customFormat="false" ht="15" hidden="false" customHeight="false" outlineLevel="0" collapsed="false">
      <c r="A28" s="32"/>
      <c r="B28" s="32"/>
      <c r="C28" s="32"/>
      <c r="D28" s="32"/>
      <c r="E28" s="33"/>
      <c r="F28" s="41"/>
      <c r="G28" s="41"/>
      <c r="H28" s="32"/>
      <c r="I28" s="35"/>
      <c r="J28" s="35"/>
      <c r="K28" s="33"/>
      <c r="L28" s="37" t="n">
        <f aca="false">IF(OR(C28="",H28&lt;&gt;"Approved"),0,IF(G28&lt;&gt;"",G28,N(F28)))</f>
        <v>0</v>
      </c>
    </row>
    <row r="29" customFormat="false" ht="15" hidden="false" customHeight="false" outlineLevel="0" collapsed="false">
      <c r="A29" s="32"/>
      <c r="B29" s="32"/>
      <c r="C29" s="32"/>
      <c r="D29" s="32"/>
      <c r="E29" s="33"/>
      <c r="F29" s="41"/>
      <c r="G29" s="41"/>
      <c r="H29" s="32"/>
      <c r="I29" s="35"/>
      <c r="J29" s="35"/>
      <c r="K29" s="33"/>
      <c r="L29" s="37" t="n">
        <f aca="false">IF(OR(C29="",H29&lt;&gt;"Approved"),0,IF(G29&lt;&gt;"",G29,N(F29)))</f>
        <v>0</v>
      </c>
    </row>
    <row r="30" customFormat="false" ht="15" hidden="false" customHeight="false" outlineLevel="0" collapsed="false">
      <c r="A30" s="32"/>
      <c r="B30" s="32"/>
      <c r="C30" s="32"/>
      <c r="D30" s="32"/>
      <c r="E30" s="33"/>
      <c r="F30" s="41"/>
      <c r="G30" s="41"/>
      <c r="H30" s="32"/>
      <c r="I30" s="35"/>
      <c r="J30" s="35"/>
      <c r="K30" s="33"/>
      <c r="L30" s="37" t="n">
        <f aca="false">IF(OR(C30="",H30&lt;&gt;"Approved"),0,IF(G30&lt;&gt;"",G30,N(F30)))</f>
        <v>0</v>
      </c>
    </row>
    <row r="31" customFormat="false" ht="15" hidden="false" customHeight="false" outlineLevel="0" collapsed="false">
      <c r="A31" s="32"/>
      <c r="B31" s="32"/>
      <c r="C31" s="32"/>
      <c r="D31" s="32"/>
      <c r="E31" s="33"/>
      <c r="F31" s="41"/>
      <c r="G31" s="41"/>
      <c r="H31" s="32"/>
      <c r="I31" s="35"/>
      <c r="J31" s="35"/>
      <c r="K31" s="33"/>
      <c r="L31" s="37" t="n">
        <f aca="false">IF(OR(C31="",H31&lt;&gt;"Approved"),0,IF(G31&lt;&gt;"",G31,N(F31)))</f>
        <v>0</v>
      </c>
    </row>
    <row r="32" customFormat="false" ht="15" hidden="false" customHeight="false" outlineLevel="0" collapsed="false">
      <c r="A32" s="32"/>
      <c r="B32" s="32"/>
      <c r="C32" s="32"/>
      <c r="D32" s="32"/>
      <c r="E32" s="33"/>
      <c r="F32" s="41"/>
      <c r="G32" s="41"/>
      <c r="H32" s="32"/>
      <c r="I32" s="35"/>
      <c r="J32" s="35"/>
      <c r="K32" s="33"/>
      <c r="L32" s="37" t="n">
        <f aca="false">IF(OR(C32="",H32&lt;&gt;"Approved"),0,IF(G32&lt;&gt;"",G32,N(F32)))</f>
        <v>0</v>
      </c>
    </row>
    <row r="33" customFormat="false" ht="15" hidden="false" customHeight="false" outlineLevel="0" collapsed="false">
      <c r="A33" s="32"/>
      <c r="B33" s="32"/>
      <c r="C33" s="32"/>
      <c r="D33" s="32"/>
      <c r="E33" s="33"/>
      <c r="F33" s="41"/>
      <c r="G33" s="41"/>
      <c r="H33" s="32"/>
      <c r="I33" s="35"/>
      <c r="J33" s="35"/>
      <c r="K33" s="33"/>
      <c r="L33" s="37" t="n">
        <f aca="false">IF(OR(C33="",H33&lt;&gt;"Approved"),0,IF(G33&lt;&gt;"",G33,N(F33)))</f>
        <v>0</v>
      </c>
    </row>
    <row r="34" customFormat="false" ht="15" hidden="false" customHeight="false" outlineLevel="0" collapsed="false">
      <c r="A34" s="32"/>
      <c r="B34" s="32"/>
      <c r="C34" s="32"/>
      <c r="D34" s="32"/>
      <c r="E34" s="33"/>
      <c r="F34" s="41"/>
      <c r="G34" s="41"/>
      <c r="H34" s="32"/>
      <c r="I34" s="35"/>
      <c r="J34" s="35"/>
      <c r="K34" s="33"/>
      <c r="L34" s="37" t="n">
        <f aca="false">IF(OR(C34="",H34&lt;&gt;"Approved"),0,IF(G34&lt;&gt;"",G34,N(F34)))</f>
        <v>0</v>
      </c>
    </row>
    <row r="35" customFormat="false" ht="15" hidden="false" customHeight="false" outlineLevel="0" collapsed="false">
      <c r="A35" s="32"/>
      <c r="B35" s="32"/>
      <c r="C35" s="32"/>
      <c r="D35" s="32"/>
      <c r="E35" s="33"/>
      <c r="F35" s="41"/>
      <c r="G35" s="41"/>
      <c r="H35" s="32"/>
      <c r="I35" s="35"/>
      <c r="J35" s="35"/>
      <c r="K35" s="33"/>
      <c r="L35" s="37" t="n">
        <f aca="false">IF(OR(C35="",H35&lt;&gt;"Approved"),0,IF(G35&lt;&gt;"",G35,N(F35)))</f>
        <v>0</v>
      </c>
    </row>
    <row r="36" customFormat="false" ht="15" hidden="false" customHeight="false" outlineLevel="0" collapsed="false">
      <c r="A36" s="32"/>
      <c r="B36" s="32"/>
      <c r="C36" s="32"/>
      <c r="D36" s="32"/>
      <c r="E36" s="33"/>
      <c r="F36" s="41"/>
      <c r="G36" s="41"/>
      <c r="H36" s="32"/>
      <c r="I36" s="35"/>
      <c r="J36" s="35"/>
      <c r="K36" s="33"/>
      <c r="L36" s="37" t="n">
        <f aca="false">IF(OR(C36="",H36&lt;&gt;"Approved"),0,IF(G36&lt;&gt;"",G36,N(F36)))</f>
        <v>0</v>
      </c>
    </row>
    <row r="37" customFormat="false" ht="15" hidden="false" customHeight="false" outlineLevel="0" collapsed="false">
      <c r="A37" s="32"/>
      <c r="B37" s="32"/>
      <c r="C37" s="32"/>
      <c r="D37" s="32"/>
      <c r="E37" s="33"/>
      <c r="F37" s="41"/>
      <c r="G37" s="41"/>
      <c r="H37" s="32"/>
      <c r="I37" s="35"/>
      <c r="J37" s="35"/>
      <c r="K37" s="33"/>
      <c r="L37" s="37" t="n">
        <f aca="false">IF(OR(C37="",H37&lt;&gt;"Approved"),0,IF(G37&lt;&gt;"",G37,N(F37)))</f>
        <v>0</v>
      </c>
    </row>
    <row r="38" customFormat="false" ht="15" hidden="false" customHeight="false" outlineLevel="0" collapsed="false">
      <c r="A38" s="32"/>
      <c r="B38" s="32"/>
      <c r="C38" s="32"/>
      <c r="D38" s="32"/>
      <c r="E38" s="33"/>
      <c r="F38" s="41"/>
      <c r="G38" s="41"/>
      <c r="H38" s="32"/>
      <c r="I38" s="35"/>
      <c r="J38" s="35"/>
      <c r="K38" s="33"/>
      <c r="L38" s="37" t="n">
        <f aca="false">IF(OR(C38="",H38&lt;&gt;"Approved"),0,IF(G38&lt;&gt;"",G38,N(F38)))</f>
        <v>0</v>
      </c>
    </row>
    <row r="39" customFormat="false" ht="15" hidden="false" customHeight="false" outlineLevel="0" collapsed="false">
      <c r="A39" s="32"/>
      <c r="B39" s="32"/>
      <c r="C39" s="32"/>
      <c r="D39" s="32"/>
      <c r="E39" s="33"/>
      <c r="F39" s="41"/>
      <c r="G39" s="41"/>
      <c r="H39" s="32"/>
      <c r="I39" s="35"/>
      <c r="J39" s="35"/>
      <c r="K39" s="33"/>
      <c r="L39" s="37" t="n">
        <f aca="false">IF(OR(C39="",H39&lt;&gt;"Approved"),0,IF(G39&lt;&gt;"",G39,N(F39)))</f>
        <v>0</v>
      </c>
    </row>
    <row r="40" customFormat="false" ht="15" hidden="false" customHeight="false" outlineLevel="0" collapsed="false">
      <c r="A40" s="32"/>
      <c r="B40" s="32"/>
      <c r="C40" s="32"/>
      <c r="D40" s="32"/>
      <c r="E40" s="33"/>
      <c r="F40" s="41"/>
      <c r="G40" s="41"/>
      <c r="H40" s="32"/>
      <c r="I40" s="35"/>
      <c r="J40" s="35"/>
      <c r="K40" s="33"/>
      <c r="L40" s="37" t="n">
        <f aca="false">IF(OR(C40="",H40&lt;&gt;"Approved"),0,IF(G40&lt;&gt;"",G40,N(F40)))</f>
        <v>0</v>
      </c>
    </row>
    <row r="41" customFormat="false" ht="15" hidden="false" customHeight="false" outlineLevel="0" collapsed="false">
      <c r="A41" s="32"/>
      <c r="B41" s="32"/>
      <c r="C41" s="32"/>
      <c r="D41" s="32"/>
      <c r="E41" s="33"/>
      <c r="F41" s="41"/>
      <c r="G41" s="41"/>
      <c r="H41" s="32"/>
      <c r="I41" s="35"/>
      <c r="J41" s="35"/>
      <c r="K41" s="33"/>
      <c r="L41" s="37" t="n">
        <f aca="false">IF(OR(C41="",H41&lt;&gt;"Approved"),0,IF(G41&lt;&gt;"",G41,N(F41)))</f>
        <v>0</v>
      </c>
    </row>
    <row r="42" customFormat="false" ht="15" hidden="false" customHeight="false" outlineLevel="0" collapsed="false">
      <c r="A42" s="32"/>
      <c r="B42" s="32"/>
      <c r="C42" s="32"/>
      <c r="D42" s="32"/>
      <c r="E42" s="33"/>
      <c r="F42" s="41"/>
      <c r="G42" s="41"/>
      <c r="H42" s="32"/>
      <c r="I42" s="35"/>
      <c r="J42" s="35"/>
      <c r="K42" s="33"/>
      <c r="L42" s="37" t="n">
        <f aca="false">IF(OR(C42="",H42&lt;&gt;"Approved"),0,IF(G42&lt;&gt;"",G42,N(F42)))</f>
        <v>0</v>
      </c>
    </row>
    <row r="43" customFormat="false" ht="15" hidden="false" customHeight="false" outlineLevel="0" collapsed="false">
      <c r="A43" s="32"/>
      <c r="B43" s="32"/>
      <c r="C43" s="32"/>
      <c r="D43" s="32"/>
      <c r="E43" s="33"/>
      <c r="F43" s="41"/>
      <c r="G43" s="41"/>
      <c r="H43" s="32"/>
      <c r="I43" s="35"/>
      <c r="J43" s="35"/>
      <c r="K43" s="33"/>
      <c r="L43" s="37" t="n">
        <f aca="false">IF(OR(C43="",H43&lt;&gt;"Approved"),0,IF(G43&lt;&gt;"",G43,N(F43)))</f>
        <v>0</v>
      </c>
    </row>
    <row r="44" customFormat="false" ht="15" hidden="false" customHeight="false" outlineLevel="0" collapsed="false">
      <c r="A44" s="32"/>
      <c r="B44" s="32"/>
      <c r="C44" s="32"/>
      <c r="D44" s="32"/>
      <c r="E44" s="33"/>
      <c r="F44" s="41"/>
      <c r="G44" s="41"/>
      <c r="H44" s="32"/>
      <c r="I44" s="35"/>
      <c r="J44" s="35"/>
      <c r="K44" s="33"/>
      <c r="L44" s="37" t="n">
        <f aca="false">IF(OR(C44="",H44&lt;&gt;"Approved"),0,IF(G44&lt;&gt;"",G44,N(F44)))</f>
        <v>0</v>
      </c>
    </row>
    <row r="45" customFormat="false" ht="15" hidden="false" customHeight="false" outlineLevel="0" collapsed="false">
      <c r="A45" s="32"/>
      <c r="B45" s="32"/>
      <c r="C45" s="32"/>
      <c r="D45" s="32"/>
      <c r="E45" s="33"/>
      <c r="F45" s="41"/>
      <c r="G45" s="41"/>
      <c r="H45" s="32"/>
      <c r="I45" s="35"/>
      <c r="J45" s="35"/>
      <c r="K45" s="33"/>
      <c r="L45" s="37" t="n">
        <f aca="false">IF(OR(C45="",H45&lt;&gt;"Approved"),0,IF(G45&lt;&gt;"",G45,N(F45)))</f>
        <v>0</v>
      </c>
    </row>
    <row r="46" customFormat="false" ht="15" hidden="false" customHeight="false" outlineLevel="0" collapsed="false">
      <c r="A46" s="32"/>
      <c r="B46" s="32"/>
      <c r="C46" s="32"/>
      <c r="D46" s="32"/>
      <c r="E46" s="33"/>
      <c r="F46" s="41"/>
      <c r="G46" s="41"/>
      <c r="H46" s="32"/>
      <c r="I46" s="35"/>
      <c r="J46" s="35"/>
      <c r="K46" s="33"/>
      <c r="L46" s="37" t="n">
        <f aca="false">IF(OR(C46="",H46&lt;&gt;"Approved"),0,IF(G46&lt;&gt;"",G46,N(F46)))</f>
        <v>0</v>
      </c>
    </row>
    <row r="47" customFormat="false" ht="15" hidden="false" customHeight="false" outlineLevel="0" collapsed="false">
      <c r="A47" s="32"/>
      <c r="B47" s="32"/>
      <c r="C47" s="32"/>
      <c r="D47" s="32"/>
      <c r="E47" s="33"/>
      <c r="F47" s="41"/>
      <c r="G47" s="41"/>
      <c r="H47" s="32"/>
      <c r="I47" s="35"/>
      <c r="J47" s="35"/>
      <c r="K47" s="33"/>
      <c r="L47" s="37" t="n">
        <f aca="false">IF(OR(C47="",H47&lt;&gt;"Approved"),0,IF(G47&lt;&gt;"",G47,N(F47)))</f>
        <v>0</v>
      </c>
    </row>
    <row r="48" customFormat="false" ht="15" hidden="false" customHeight="false" outlineLevel="0" collapsed="false">
      <c r="A48" s="32"/>
      <c r="B48" s="32"/>
      <c r="C48" s="32"/>
      <c r="D48" s="32"/>
      <c r="E48" s="33"/>
      <c r="F48" s="41"/>
      <c r="G48" s="41"/>
      <c r="H48" s="32"/>
      <c r="I48" s="35"/>
      <c r="J48" s="35"/>
      <c r="K48" s="33"/>
      <c r="L48" s="37" t="n">
        <f aca="false">IF(OR(C48="",H48&lt;&gt;"Approved"),0,IF(G48&lt;&gt;"",G48,N(F48)))</f>
        <v>0</v>
      </c>
    </row>
    <row r="49" customFormat="false" ht="15" hidden="false" customHeight="false" outlineLevel="0" collapsed="false">
      <c r="A49" s="32"/>
      <c r="B49" s="32"/>
      <c r="C49" s="32"/>
      <c r="D49" s="32"/>
      <c r="E49" s="33"/>
      <c r="F49" s="41"/>
      <c r="G49" s="41"/>
      <c r="H49" s="32"/>
      <c r="I49" s="35"/>
      <c r="J49" s="35"/>
      <c r="K49" s="33"/>
      <c r="L49" s="37" t="n">
        <f aca="false">IF(OR(C49="",H49&lt;&gt;"Approved"),0,IF(G49&lt;&gt;"",G49,N(F49)))</f>
        <v>0</v>
      </c>
    </row>
    <row r="50" customFormat="false" ht="15" hidden="false" customHeight="false" outlineLevel="0" collapsed="false">
      <c r="A50" s="32"/>
      <c r="B50" s="32"/>
      <c r="C50" s="32"/>
      <c r="D50" s="32"/>
      <c r="E50" s="33"/>
      <c r="F50" s="41"/>
      <c r="G50" s="41"/>
      <c r="H50" s="32"/>
      <c r="I50" s="35"/>
      <c r="J50" s="35"/>
      <c r="K50" s="33"/>
      <c r="L50" s="37" t="n">
        <f aca="false">IF(OR(C50="",H50&lt;&gt;"Approved"),0,IF(G50&lt;&gt;"",G50,N(F50)))</f>
        <v>0</v>
      </c>
    </row>
    <row r="51" customFormat="false" ht="15" hidden="false" customHeight="false" outlineLevel="0" collapsed="false">
      <c r="A51" s="32"/>
      <c r="B51" s="32"/>
      <c r="C51" s="32"/>
      <c r="D51" s="32"/>
      <c r="E51" s="33"/>
      <c r="F51" s="41"/>
      <c r="G51" s="41"/>
      <c r="H51" s="32"/>
      <c r="I51" s="35"/>
      <c r="J51" s="35"/>
      <c r="K51" s="33"/>
      <c r="L51" s="37" t="n">
        <f aca="false">IF(OR(C51="",H51&lt;&gt;"Approved"),0,IF(G51&lt;&gt;"",G51,N(F51)))</f>
        <v>0</v>
      </c>
    </row>
    <row r="52" customFormat="false" ht="15" hidden="false" customHeight="false" outlineLevel="0" collapsed="false">
      <c r="A52" s="32"/>
      <c r="B52" s="32"/>
      <c r="C52" s="32"/>
      <c r="D52" s="32"/>
      <c r="E52" s="33"/>
      <c r="F52" s="41"/>
      <c r="G52" s="41"/>
      <c r="H52" s="32"/>
      <c r="I52" s="35"/>
      <c r="J52" s="35"/>
      <c r="K52" s="33"/>
      <c r="L52" s="37" t="n">
        <f aca="false">IF(OR(C52="",H52&lt;&gt;"Approved"),0,IF(G52&lt;&gt;"",G52,N(F52)))</f>
        <v>0</v>
      </c>
    </row>
    <row r="53" customFormat="false" ht="15" hidden="false" customHeight="false" outlineLevel="0" collapsed="false">
      <c r="A53" s="32"/>
      <c r="B53" s="32"/>
      <c r="C53" s="32"/>
      <c r="D53" s="32"/>
      <c r="E53" s="33"/>
      <c r="F53" s="41"/>
      <c r="G53" s="41"/>
      <c r="H53" s="32"/>
      <c r="I53" s="35"/>
      <c r="J53" s="35"/>
      <c r="K53" s="33"/>
      <c r="L53" s="37" t="n">
        <f aca="false">IF(OR(C53="",H53&lt;&gt;"Approved"),0,IF(G53&lt;&gt;"",G53,N(F53)))</f>
        <v>0</v>
      </c>
    </row>
    <row r="54" customFormat="false" ht="15" hidden="false" customHeight="false" outlineLevel="0" collapsed="false">
      <c r="A54" s="32"/>
      <c r="B54" s="32"/>
      <c r="C54" s="32"/>
      <c r="D54" s="32"/>
      <c r="E54" s="33"/>
      <c r="F54" s="41"/>
      <c r="G54" s="41"/>
      <c r="H54" s="32"/>
      <c r="I54" s="35"/>
      <c r="J54" s="35"/>
      <c r="K54" s="33"/>
      <c r="L54" s="37" t="n">
        <f aca="false">IF(OR(C54="",H54&lt;&gt;"Approved"),0,IF(G54&lt;&gt;"",G54,N(F54)))</f>
        <v>0</v>
      </c>
    </row>
    <row r="55" customFormat="false" ht="15" hidden="false" customHeight="false" outlineLevel="0" collapsed="false">
      <c r="A55" s="32"/>
      <c r="B55" s="32"/>
      <c r="C55" s="32"/>
      <c r="D55" s="32"/>
      <c r="E55" s="33"/>
      <c r="F55" s="41"/>
      <c r="G55" s="41"/>
      <c r="H55" s="32"/>
      <c r="I55" s="35"/>
      <c r="J55" s="35"/>
      <c r="K55" s="33"/>
      <c r="L55" s="37" t="n">
        <f aca="false">IF(OR(C55="",H55&lt;&gt;"Approved"),0,IF(G55&lt;&gt;"",G55,N(F55)))</f>
        <v>0</v>
      </c>
    </row>
    <row r="56" customFormat="false" ht="15" hidden="false" customHeight="false" outlineLevel="0" collapsed="false">
      <c r="A56" s="32"/>
      <c r="B56" s="32"/>
      <c r="C56" s="32"/>
      <c r="D56" s="32"/>
      <c r="E56" s="33"/>
      <c r="F56" s="41"/>
      <c r="G56" s="41"/>
      <c r="H56" s="32"/>
      <c r="I56" s="35"/>
      <c r="J56" s="35"/>
      <c r="K56" s="33"/>
      <c r="L56" s="37" t="n">
        <f aca="false">IF(OR(C56="",H56&lt;&gt;"Approved"),0,IF(G56&lt;&gt;"",G56,N(F56)))</f>
        <v>0</v>
      </c>
    </row>
    <row r="57" customFormat="false" ht="15" hidden="false" customHeight="false" outlineLevel="0" collapsed="false">
      <c r="A57" s="32"/>
      <c r="B57" s="32"/>
      <c r="C57" s="32"/>
      <c r="D57" s="32"/>
      <c r="E57" s="33"/>
      <c r="F57" s="41"/>
      <c r="G57" s="41"/>
      <c r="H57" s="32"/>
      <c r="I57" s="35"/>
      <c r="J57" s="35"/>
      <c r="K57" s="33"/>
      <c r="L57" s="37" t="n">
        <f aca="false">IF(OR(C57="",H57&lt;&gt;"Approved"),0,IF(G57&lt;&gt;"",G57,N(F57)))</f>
        <v>0</v>
      </c>
    </row>
    <row r="58" customFormat="false" ht="15" hidden="false" customHeight="false" outlineLevel="0" collapsed="false">
      <c r="A58" s="32"/>
      <c r="B58" s="32"/>
      <c r="C58" s="32"/>
      <c r="D58" s="32"/>
      <c r="E58" s="33"/>
      <c r="F58" s="41"/>
      <c r="G58" s="41"/>
      <c r="H58" s="32"/>
      <c r="I58" s="35"/>
      <c r="J58" s="35"/>
      <c r="K58" s="33"/>
      <c r="L58" s="37" t="n">
        <f aca="false">IF(OR(C58="",H58&lt;&gt;"Approved"),0,IF(G58&lt;&gt;"",G58,N(F58)))</f>
        <v>0</v>
      </c>
    </row>
    <row r="59" customFormat="false" ht="15" hidden="false" customHeight="false" outlineLevel="0" collapsed="false">
      <c r="A59" s="32"/>
      <c r="B59" s="32"/>
      <c r="C59" s="32"/>
      <c r="D59" s="32"/>
      <c r="E59" s="33"/>
      <c r="F59" s="41"/>
      <c r="G59" s="41"/>
      <c r="H59" s="32"/>
      <c r="I59" s="35"/>
      <c r="J59" s="35"/>
      <c r="K59" s="33"/>
      <c r="L59" s="37" t="n">
        <f aca="false">IF(OR(C59="",H59&lt;&gt;"Approved"),0,IF(G59&lt;&gt;"",G59,N(F59)))</f>
        <v>0</v>
      </c>
    </row>
    <row r="60" customFormat="false" ht="15" hidden="false" customHeight="false" outlineLevel="0" collapsed="false">
      <c r="A60" s="32"/>
      <c r="B60" s="32"/>
      <c r="C60" s="32"/>
      <c r="D60" s="32"/>
      <c r="E60" s="33"/>
      <c r="F60" s="41"/>
      <c r="G60" s="41"/>
      <c r="H60" s="32"/>
      <c r="I60" s="35"/>
      <c r="J60" s="35"/>
      <c r="K60" s="33"/>
      <c r="L60" s="37" t="n">
        <f aca="false">IF(OR(C60="",H60&lt;&gt;"Approved"),0,IF(G60&lt;&gt;"",G60,N(F60)))</f>
        <v>0</v>
      </c>
    </row>
    <row r="61" customFormat="false" ht="15" hidden="false" customHeight="false" outlineLevel="0" collapsed="false">
      <c r="A61" s="32"/>
      <c r="B61" s="32"/>
      <c r="C61" s="32"/>
      <c r="D61" s="32"/>
      <c r="E61" s="33"/>
      <c r="F61" s="41"/>
      <c r="G61" s="41"/>
      <c r="H61" s="32"/>
      <c r="I61" s="35"/>
      <c r="J61" s="35"/>
      <c r="K61" s="33"/>
      <c r="L61" s="37" t="n">
        <f aca="false">IF(OR(C61="",H61&lt;&gt;"Approved"),0,IF(G61&lt;&gt;"",G61,N(F61)))</f>
        <v>0</v>
      </c>
    </row>
    <row r="62" customFormat="false" ht="15" hidden="false" customHeight="false" outlineLevel="0" collapsed="false">
      <c r="A62" s="32"/>
      <c r="B62" s="32"/>
      <c r="C62" s="32"/>
      <c r="D62" s="32"/>
      <c r="E62" s="33"/>
      <c r="F62" s="41"/>
      <c r="G62" s="41"/>
      <c r="H62" s="32"/>
      <c r="I62" s="35"/>
      <c r="J62" s="35"/>
      <c r="K62" s="33"/>
      <c r="L62" s="37" t="n">
        <f aca="false">IF(OR(C62="",H62&lt;&gt;"Approved"),0,IF(G62&lt;&gt;"",G62,N(F62)))</f>
        <v>0</v>
      </c>
    </row>
    <row r="63" customFormat="false" ht="15" hidden="false" customHeight="false" outlineLevel="0" collapsed="false">
      <c r="A63" s="32"/>
      <c r="B63" s="32"/>
      <c r="C63" s="32"/>
      <c r="D63" s="32"/>
      <c r="E63" s="33"/>
      <c r="F63" s="41"/>
      <c r="G63" s="41"/>
      <c r="H63" s="32"/>
      <c r="I63" s="35"/>
      <c r="J63" s="35"/>
      <c r="K63" s="33"/>
      <c r="L63" s="37" t="n">
        <f aca="false">IF(OR(C63="",H63&lt;&gt;"Approved"),0,IF(G63&lt;&gt;"",G63,N(F63)))</f>
        <v>0</v>
      </c>
    </row>
    <row r="64" customFormat="false" ht="15" hidden="false" customHeight="false" outlineLevel="0" collapsed="false">
      <c r="A64" s="32"/>
      <c r="B64" s="32"/>
      <c r="C64" s="32"/>
      <c r="D64" s="32"/>
      <c r="E64" s="33"/>
      <c r="F64" s="41"/>
      <c r="G64" s="41"/>
      <c r="H64" s="32"/>
      <c r="I64" s="35"/>
      <c r="J64" s="35"/>
      <c r="K64" s="33"/>
      <c r="L64" s="37" t="n">
        <f aca="false">IF(OR(C64="",H64&lt;&gt;"Approved"),0,IF(G64&lt;&gt;"",G64,N(F64)))</f>
        <v>0</v>
      </c>
    </row>
    <row r="65" customFormat="false" ht="15" hidden="false" customHeight="false" outlineLevel="0" collapsed="false">
      <c r="A65" s="32"/>
      <c r="B65" s="32"/>
      <c r="C65" s="32"/>
      <c r="D65" s="32"/>
      <c r="E65" s="33"/>
      <c r="F65" s="41"/>
      <c r="G65" s="41"/>
      <c r="H65" s="32"/>
      <c r="I65" s="35"/>
      <c r="J65" s="35"/>
      <c r="K65" s="33"/>
      <c r="L65" s="37" t="n">
        <f aca="false">IF(OR(C65="",H65&lt;&gt;"Approved"),0,IF(G65&lt;&gt;"",G65,N(F65)))</f>
        <v>0</v>
      </c>
    </row>
    <row r="66" customFormat="false" ht="15" hidden="false" customHeight="false" outlineLevel="0" collapsed="false">
      <c r="A66" s="32"/>
      <c r="B66" s="32"/>
      <c r="C66" s="32"/>
      <c r="D66" s="32"/>
      <c r="E66" s="33"/>
      <c r="F66" s="41"/>
      <c r="G66" s="41"/>
      <c r="H66" s="32"/>
      <c r="I66" s="35"/>
      <c r="J66" s="35"/>
      <c r="K66" s="33"/>
      <c r="L66" s="37" t="n">
        <f aca="false">IF(OR(C66="",H66&lt;&gt;"Approved"),0,IF(G66&lt;&gt;"",G66,N(F66)))</f>
        <v>0</v>
      </c>
    </row>
    <row r="67" customFormat="false" ht="15" hidden="false" customHeight="false" outlineLevel="0" collapsed="false">
      <c r="A67" s="32"/>
      <c r="B67" s="32"/>
      <c r="C67" s="32"/>
      <c r="D67" s="32"/>
      <c r="E67" s="33"/>
      <c r="F67" s="41"/>
      <c r="G67" s="41"/>
      <c r="H67" s="32"/>
      <c r="I67" s="35"/>
      <c r="J67" s="35"/>
      <c r="K67" s="33"/>
      <c r="L67" s="37" t="n">
        <f aca="false">IF(OR(C67="",H67&lt;&gt;"Approved"),0,IF(G67&lt;&gt;"",G67,N(F67)))</f>
        <v>0</v>
      </c>
    </row>
    <row r="68" customFormat="false" ht="15" hidden="false" customHeight="false" outlineLevel="0" collapsed="false">
      <c r="A68" s="32"/>
      <c r="B68" s="32"/>
      <c r="C68" s="32"/>
      <c r="D68" s="32"/>
      <c r="E68" s="33"/>
      <c r="F68" s="41"/>
      <c r="G68" s="41"/>
      <c r="H68" s="32"/>
      <c r="I68" s="35"/>
      <c r="J68" s="35"/>
      <c r="K68" s="33"/>
      <c r="L68" s="37" t="n">
        <f aca="false">IF(OR(C68="",H68&lt;&gt;"Approved"),0,IF(G68&lt;&gt;"",G68,N(F68)))</f>
        <v>0</v>
      </c>
    </row>
    <row r="69" customFormat="false" ht="15" hidden="false" customHeight="false" outlineLevel="0" collapsed="false">
      <c r="A69" s="32"/>
      <c r="B69" s="32"/>
      <c r="C69" s="32"/>
      <c r="D69" s="32"/>
      <c r="E69" s="33"/>
      <c r="F69" s="41"/>
      <c r="G69" s="41"/>
      <c r="H69" s="32"/>
      <c r="I69" s="35"/>
      <c r="J69" s="35"/>
      <c r="K69" s="33"/>
      <c r="L69" s="37" t="n">
        <f aca="false">IF(OR(C69="",H69&lt;&gt;"Approved"),0,IF(G69&lt;&gt;"",G69,N(F69)))</f>
        <v>0</v>
      </c>
    </row>
    <row r="70" customFormat="false" ht="15" hidden="false" customHeight="false" outlineLevel="0" collapsed="false">
      <c r="A70" s="32"/>
      <c r="B70" s="32"/>
      <c r="C70" s="32"/>
      <c r="D70" s="32"/>
      <c r="E70" s="33"/>
      <c r="F70" s="41"/>
      <c r="G70" s="41"/>
      <c r="H70" s="32"/>
      <c r="I70" s="35"/>
      <c r="J70" s="35"/>
      <c r="K70" s="33"/>
      <c r="L70" s="37" t="n">
        <f aca="false">IF(OR(C70="",H70&lt;&gt;"Approved"),0,IF(G70&lt;&gt;"",G70,N(F70)))</f>
        <v>0</v>
      </c>
    </row>
    <row r="71" customFormat="false" ht="15" hidden="false" customHeight="false" outlineLevel="0" collapsed="false">
      <c r="A71" s="32"/>
      <c r="B71" s="32"/>
      <c r="C71" s="32"/>
      <c r="D71" s="32"/>
      <c r="E71" s="33"/>
      <c r="F71" s="41"/>
      <c r="G71" s="41"/>
      <c r="H71" s="32"/>
      <c r="I71" s="35"/>
      <c r="J71" s="35"/>
      <c r="K71" s="33"/>
      <c r="L71" s="37" t="n">
        <f aca="false">IF(OR(C71="",H71&lt;&gt;"Approved"),0,IF(G71&lt;&gt;"",G71,N(F71)))</f>
        <v>0</v>
      </c>
    </row>
    <row r="72" customFormat="false" ht="15" hidden="false" customHeight="false" outlineLevel="0" collapsed="false">
      <c r="A72" s="32"/>
      <c r="B72" s="32"/>
      <c r="C72" s="32"/>
      <c r="D72" s="32"/>
      <c r="E72" s="33"/>
      <c r="F72" s="41"/>
      <c r="G72" s="41"/>
      <c r="H72" s="32"/>
      <c r="I72" s="35"/>
      <c r="J72" s="35"/>
      <c r="K72" s="33"/>
      <c r="L72" s="37" t="n">
        <f aca="false">IF(OR(C72="",H72&lt;&gt;"Approved"),0,IF(G72&lt;&gt;"",G72,N(F72)))</f>
        <v>0</v>
      </c>
    </row>
    <row r="73" customFormat="false" ht="15" hidden="false" customHeight="false" outlineLevel="0" collapsed="false">
      <c r="A73" s="32"/>
      <c r="B73" s="32"/>
      <c r="C73" s="32"/>
      <c r="D73" s="32"/>
      <c r="E73" s="33"/>
      <c r="F73" s="41"/>
      <c r="G73" s="41"/>
      <c r="H73" s="32"/>
      <c r="I73" s="35"/>
      <c r="J73" s="35"/>
      <c r="K73" s="33"/>
      <c r="L73" s="37" t="n">
        <f aca="false">IF(OR(C73="",H73&lt;&gt;"Approved"),0,IF(G73&lt;&gt;"",G73,N(F73)))</f>
        <v>0</v>
      </c>
    </row>
    <row r="74" customFormat="false" ht="15" hidden="false" customHeight="false" outlineLevel="0" collapsed="false">
      <c r="A74" s="32"/>
      <c r="B74" s="32"/>
      <c r="C74" s="32"/>
      <c r="D74" s="32"/>
      <c r="E74" s="33"/>
      <c r="F74" s="41"/>
      <c r="G74" s="41"/>
      <c r="H74" s="32"/>
      <c r="I74" s="35"/>
      <c r="J74" s="35"/>
      <c r="K74" s="33"/>
      <c r="L74" s="37" t="n">
        <f aca="false">IF(OR(C74="",H74&lt;&gt;"Approved"),0,IF(G74&lt;&gt;"",G74,N(F74)))</f>
        <v>0</v>
      </c>
    </row>
    <row r="75" customFormat="false" ht="15" hidden="false" customHeight="false" outlineLevel="0" collapsed="false">
      <c r="A75" s="32"/>
      <c r="B75" s="32"/>
      <c r="C75" s="32"/>
      <c r="D75" s="32"/>
      <c r="E75" s="33"/>
      <c r="F75" s="41"/>
      <c r="G75" s="41"/>
      <c r="H75" s="32"/>
      <c r="I75" s="35"/>
      <c r="J75" s="35"/>
      <c r="K75" s="33"/>
      <c r="L75" s="37" t="n">
        <f aca="false">IF(OR(C75="",H75&lt;&gt;"Approved"),0,IF(G75&lt;&gt;"",G75,N(F75)))</f>
        <v>0</v>
      </c>
    </row>
    <row r="76" customFormat="false" ht="15" hidden="false" customHeight="false" outlineLevel="0" collapsed="false">
      <c r="A76" s="32"/>
      <c r="B76" s="32"/>
      <c r="C76" s="32"/>
      <c r="D76" s="32"/>
      <c r="E76" s="33"/>
      <c r="F76" s="41"/>
      <c r="G76" s="41"/>
      <c r="H76" s="32"/>
      <c r="I76" s="35"/>
      <c r="J76" s="35"/>
      <c r="K76" s="33"/>
      <c r="L76" s="37" t="n">
        <f aca="false">IF(OR(C76="",H76&lt;&gt;"Approved"),0,IF(G76&lt;&gt;"",G76,N(F76)))</f>
        <v>0</v>
      </c>
    </row>
    <row r="77" customFormat="false" ht="15" hidden="false" customHeight="false" outlineLevel="0" collapsed="false">
      <c r="A77" s="32"/>
      <c r="B77" s="32"/>
      <c r="C77" s="32"/>
      <c r="D77" s="32"/>
      <c r="E77" s="33"/>
      <c r="F77" s="41"/>
      <c r="G77" s="41"/>
      <c r="H77" s="32"/>
      <c r="I77" s="35"/>
      <c r="J77" s="35"/>
      <c r="K77" s="33"/>
      <c r="L77" s="37" t="n">
        <f aca="false">IF(OR(C77="",H77&lt;&gt;"Approved"),0,IF(G77&lt;&gt;"",G77,N(F77)))</f>
        <v>0</v>
      </c>
    </row>
    <row r="78" customFormat="false" ht="15" hidden="false" customHeight="false" outlineLevel="0" collapsed="false">
      <c r="A78" s="32"/>
      <c r="B78" s="32"/>
      <c r="C78" s="32"/>
      <c r="D78" s="32"/>
      <c r="E78" s="33"/>
      <c r="F78" s="41"/>
      <c r="G78" s="41"/>
      <c r="H78" s="32"/>
      <c r="I78" s="35"/>
      <c r="J78" s="35"/>
      <c r="K78" s="33"/>
      <c r="L78" s="37" t="n">
        <f aca="false">IF(OR(C78="",H78&lt;&gt;"Approved"),0,IF(G78&lt;&gt;"",G78,N(F78)))</f>
        <v>0</v>
      </c>
    </row>
    <row r="79" customFormat="false" ht="15" hidden="false" customHeight="false" outlineLevel="0" collapsed="false">
      <c r="A79" s="32"/>
      <c r="B79" s="32"/>
      <c r="C79" s="32"/>
      <c r="D79" s="32"/>
      <c r="E79" s="33"/>
      <c r="F79" s="41"/>
      <c r="G79" s="41"/>
      <c r="H79" s="32"/>
      <c r="I79" s="35"/>
      <c r="J79" s="35"/>
      <c r="K79" s="33"/>
      <c r="L79" s="37" t="n">
        <f aca="false">IF(OR(C79="",H79&lt;&gt;"Approved"),0,IF(G79&lt;&gt;"",G79,N(F79)))</f>
        <v>0</v>
      </c>
    </row>
    <row r="80" customFormat="false" ht="15" hidden="false" customHeight="false" outlineLevel="0" collapsed="false">
      <c r="A80" s="32"/>
      <c r="B80" s="32"/>
      <c r="C80" s="32"/>
      <c r="D80" s="32"/>
      <c r="E80" s="33"/>
      <c r="F80" s="41"/>
      <c r="G80" s="41"/>
      <c r="H80" s="32"/>
      <c r="I80" s="35"/>
      <c r="J80" s="35"/>
      <c r="K80" s="33"/>
      <c r="L80" s="37" t="n">
        <f aca="false">IF(OR(C80="",H80&lt;&gt;"Approved"),0,IF(G80&lt;&gt;"",G80,N(F80)))</f>
        <v>0</v>
      </c>
    </row>
    <row r="81" customFormat="false" ht="15" hidden="false" customHeight="false" outlineLevel="0" collapsed="false">
      <c r="A81" s="32"/>
      <c r="B81" s="32"/>
      <c r="C81" s="32"/>
      <c r="D81" s="32"/>
      <c r="E81" s="33"/>
      <c r="F81" s="41"/>
      <c r="G81" s="41"/>
      <c r="H81" s="32"/>
      <c r="I81" s="35"/>
      <c r="J81" s="35"/>
      <c r="K81" s="33"/>
      <c r="L81" s="37" t="n">
        <f aca="false">IF(OR(C81="",H81&lt;&gt;"Approved"),0,IF(G81&lt;&gt;"",G81,N(F81)))</f>
        <v>0</v>
      </c>
    </row>
    <row r="82" customFormat="false" ht="15" hidden="false" customHeight="false" outlineLevel="0" collapsed="false">
      <c r="A82" s="32"/>
      <c r="B82" s="32"/>
      <c r="C82" s="32"/>
      <c r="D82" s="32"/>
      <c r="E82" s="33"/>
      <c r="F82" s="41"/>
      <c r="G82" s="41"/>
      <c r="H82" s="32"/>
      <c r="I82" s="35"/>
      <c r="J82" s="35"/>
      <c r="K82" s="33"/>
      <c r="L82" s="37" t="n">
        <f aca="false">IF(OR(C82="",H82&lt;&gt;"Approved"),0,IF(G82&lt;&gt;"",G82,N(F82)))</f>
        <v>0</v>
      </c>
    </row>
    <row r="83" customFormat="false" ht="15" hidden="false" customHeight="false" outlineLevel="0" collapsed="false">
      <c r="A83" s="32"/>
      <c r="B83" s="32"/>
      <c r="C83" s="32"/>
      <c r="D83" s="32"/>
      <c r="E83" s="33"/>
      <c r="F83" s="41"/>
      <c r="G83" s="41"/>
      <c r="H83" s="32"/>
      <c r="I83" s="35"/>
      <c r="J83" s="35"/>
      <c r="K83" s="33"/>
      <c r="L83" s="37" t="n">
        <f aca="false">IF(OR(C83="",H83&lt;&gt;"Approved"),0,IF(G83&lt;&gt;"",G83,N(F83)))</f>
        <v>0</v>
      </c>
    </row>
    <row r="84" customFormat="false" ht="15" hidden="false" customHeight="false" outlineLevel="0" collapsed="false">
      <c r="A84" s="32"/>
      <c r="B84" s="32"/>
      <c r="C84" s="32"/>
      <c r="D84" s="32"/>
      <c r="E84" s="33"/>
      <c r="F84" s="41"/>
      <c r="G84" s="41"/>
      <c r="H84" s="32"/>
      <c r="I84" s="35"/>
      <c r="J84" s="35"/>
      <c r="K84" s="33"/>
      <c r="L84" s="37" t="n">
        <f aca="false">IF(OR(C84="",H84&lt;&gt;"Approved"),0,IF(G84&lt;&gt;"",G84,N(F84)))</f>
        <v>0</v>
      </c>
    </row>
    <row r="85" customFormat="false" ht="15" hidden="false" customHeight="false" outlineLevel="0" collapsed="false">
      <c r="A85" s="32"/>
      <c r="B85" s="32"/>
      <c r="C85" s="32"/>
      <c r="D85" s="32"/>
      <c r="E85" s="33"/>
      <c r="F85" s="41"/>
      <c r="G85" s="41"/>
      <c r="H85" s="32"/>
      <c r="I85" s="35"/>
      <c r="J85" s="35"/>
      <c r="K85" s="33"/>
      <c r="L85" s="37" t="n">
        <f aca="false">IF(OR(C85="",H85&lt;&gt;"Approved"),0,IF(G85&lt;&gt;"",G85,N(F85)))</f>
        <v>0</v>
      </c>
    </row>
    <row r="86" customFormat="false" ht="15" hidden="false" customHeight="false" outlineLevel="0" collapsed="false">
      <c r="A86" s="32"/>
      <c r="B86" s="32"/>
      <c r="C86" s="32"/>
      <c r="D86" s="32"/>
      <c r="E86" s="33"/>
      <c r="F86" s="41"/>
      <c r="G86" s="41"/>
      <c r="H86" s="32"/>
      <c r="I86" s="35"/>
      <c r="J86" s="35"/>
      <c r="K86" s="33"/>
      <c r="L86" s="37" t="n">
        <f aca="false">IF(OR(C86="",H86&lt;&gt;"Approved"),0,IF(G86&lt;&gt;"",G86,N(F86)))</f>
        <v>0</v>
      </c>
    </row>
    <row r="87" customFormat="false" ht="15" hidden="false" customHeight="false" outlineLevel="0" collapsed="false">
      <c r="A87" s="32"/>
      <c r="B87" s="32"/>
      <c r="C87" s="32"/>
      <c r="D87" s="32"/>
      <c r="E87" s="33"/>
      <c r="F87" s="41"/>
      <c r="G87" s="41"/>
      <c r="H87" s="32"/>
      <c r="I87" s="35"/>
      <c r="J87" s="35"/>
      <c r="K87" s="33"/>
      <c r="L87" s="37" t="n">
        <f aca="false">IF(OR(C87="",H87&lt;&gt;"Approved"),0,IF(G87&lt;&gt;"",G87,N(F87)))</f>
        <v>0</v>
      </c>
    </row>
    <row r="88" customFormat="false" ht="15" hidden="false" customHeight="false" outlineLevel="0" collapsed="false">
      <c r="A88" s="32"/>
      <c r="B88" s="32"/>
      <c r="C88" s="32"/>
      <c r="D88" s="32"/>
      <c r="E88" s="33"/>
      <c r="F88" s="41"/>
      <c r="G88" s="41"/>
      <c r="H88" s="32"/>
      <c r="I88" s="35"/>
      <c r="J88" s="35"/>
      <c r="K88" s="33"/>
      <c r="L88" s="37" t="n">
        <f aca="false">IF(OR(C88="",H88&lt;&gt;"Approved"),0,IF(G88&lt;&gt;"",G88,N(F88)))</f>
        <v>0</v>
      </c>
    </row>
    <row r="89" customFormat="false" ht="15" hidden="false" customHeight="false" outlineLevel="0" collapsed="false">
      <c r="A89" s="32"/>
      <c r="B89" s="32"/>
      <c r="C89" s="32"/>
      <c r="D89" s="32"/>
      <c r="E89" s="33"/>
      <c r="F89" s="41"/>
      <c r="G89" s="41"/>
      <c r="H89" s="32"/>
      <c r="I89" s="35"/>
      <c r="J89" s="35"/>
      <c r="K89" s="33"/>
      <c r="L89" s="37" t="n">
        <f aca="false">IF(OR(C89="",H89&lt;&gt;"Approved"),0,IF(G89&lt;&gt;"",G89,N(F89)))</f>
        <v>0</v>
      </c>
    </row>
    <row r="90" customFormat="false" ht="15" hidden="false" customHeight="false" outlineLevel="0" collapsed="false">
      <c r="A90" s="32"/>
      <c r="B90" s="32"/>
      <c r="C90" s="32"/>
      <c r="D90" s="32"/>
      <c r="E90" s="33"/>
      <c r="F90" s="41"/>
      <c r="G90" s="41"/>
      <c r="H90" s="32"/>
      <c r="I90" s="35"/>
      <c r="J90" s="35"/>
      <c r="K90" s="33"/>
      <c r="L90" s="37" t="n">
        <f aca="false">IF(OR(C90="",H90&lt;&gt;"Approved"),0,IF(G90&lt;&gt;"",G90,N(F90)))</f>
        <v>0</v>
      </c>
    </row>
    <row r="91" customFormat="false" ht="15" hidden="false" customHeight="false" outlineLevel="0" collapsed="false">
      <c r="A91" s="32"/>
      <c r="B91" s="32"/>
      <c r="C91" s="32"/>
      <c r="D91" s="32"/>
      <c r="E91" s="33"/>
      <c r="F91" s="41"/>
      <c r="G91" s="41"/>
      <c r="H91" s="32"/>
      <c r="I91" s="35"/>
      <c r="J91" s="35"/>
      <c r="K91" s="33"/>
      <c r="L91" s="37" t="n">
        <f aca="false">IF(OR(C91="",H91&lt;&gt;"Approved"),0,IF(G91&lt;&gt;"",G91,N(F91)))</f>
        <v>0</v>
      </c>
    </row>
    <row r="92" customFormat="false" ht="15" hidden="false" customHeight="false" outlineLevel="0" collapsed="false">
      <c r="A92" s="32"/>
      <c r="B92" s="32"/>
      <c r="C92" s="32"/>
      <c r="D92" s="32"/>
      <c r="E92" s="33"/>
      <c r="F92" s="41"/>
      <c r="G92" s="41"/>
      <c r="H92" s="32"/>
      <c r="I92" s="35"/>
      <c r="J92" s="35"/>
      <c r="K92" s="33"/>
      <c r="L92" s="37" t="n">
        <f aca="false">IF(OR(C92="",H92&lt;&gt;"Approved"),0,IF(G92&lt;&gt;"",G92,N(F92)))</f>
        <v>0</v>
      </c>
    </row>
    <row r="93" customFormat="false" ht="15" hidden="false" customHeight="false" outlineLevel="0" collapsed="false">
      <c r="A93" s="32"/>
      <c r="B93" s="32"/>
      <c r="C93" s="32"/>
      <c r="D93" s="32"/>
      <c r="E93" s="33"/>
      <c r="F93" s="41"/>
      <c r="G93" s="41"/>
      <c r="H93" s="32"/>
      <c r="I93" s="35"/>
      <c r="J93" s="35"/>
      <c r="K93" s="33"/>
      <c r="L93" s="37" t="n">
        <f aca="false">IF(OR(C93="",H93&lt;&gt;"Approved"),0,IF(G93&lt;&gt;"",G93,N(F93)))</f>
        <v>0</v>
      </c>
    </row>
    <row r="94" customFormat="false" ht="15" hidden="false" customHeight="false" outlineLevel="0" collapsed="false">
      <c r="A94" s="32"/>
      <c r="B94" s="32"/>
      <c r="C94" s="32"/>
      <c r="D94" s="32"/>
      <c r="E94" s="33"/>
      <c r="F94" s="41"/>
      <c r="G94" s="41"/>
      <c r="H94" s="32"/>
      <c r="I94" s="35"/>
      <c r="J94" s="35"/>
      <c r="K94" s="33"/>
      <c r="L94" s="37" t="n">
        <f aca="false">IF(OR(C94="",H94&lt;&gt;"Approved"),0,IF(G94&lt;&gt;"",G94,N(F94)))</f>
        <v>0</v>
      </c>
    </row>
    <row r="95" customFormat="false" ht="15" hidden="false" customHeight="false" outlineLevel="0" collapsed="false">
      <c r="A95" s="32"/>
      <c r="B95" s="32"/>
      <c r="C95" s="32"/>
      <c r="D95" s="32"/>
      <c r="E95" s="33"/>
      <c r="F95" s="41"/>
      <c r="G95" s="41"/>
      <c r="H95" s="32"/>
      <c r="I95" s="35"/>
      <c r="J95" s="35"/>
      <c r="K95" s="33"/>
      <c r="L95" s="37" t="n">
        <f aca="false">IF(OR(C95="",H95&lt;&gt;"Approved"),0,IF(G95&lt;&gt;"",G95,N(F95)))</f>
        <v>0</v>
      </c>
    </row>
    <row r="96" customFormat="false" ht="15" hidden="false" customHeight="false" outlineLevel="0" collapsed="false">
      <c r="A96" s="32"/>
      <c r="B96" s="32"/>
      <c r="C96" s="32"/>
      <c r="D96" s="32"/>
      <c r="E96" s="33"/>
      <c r="F96" s="41"/>
      <c r="G96" s="41"/>
      <c r="H96" s="32"/>
      <c r="I96" s="35"/>
      <c r="J96" s="35"/>
      <c r="K96" s="33"/>
      <c r="L96" s="37" t="n">
        <f aca="false">IF(OR(C96="",H96&lt;&gt;"Approved"),0,IF(G96&lt;&gt;"",G96,N(F96)))</f>
        <v>0</v>
      </c>
    </row>
    <row r="97" customFormat="false" ht="15" hidden="false" customHeight="false" outlineLevel="0" collapsed="false">
      <c r="A97" s="32"/>
      <c r="B97" s="32"/>
      <c r="C97" s="32"/>
      <c r="D97" s="32"/>
      <c r="E97" s="33"/>
      <c r="F97" s="41"/>
      <c r="G97" s="41"/>
      <c r="H97" s="32"/>
      <c r="I97" s="35"/>
      <c r="J97" s="35"/>
      <c r="K97" s="33"/>
      <c r="L97" s="37" t="n">
        <f aca="false">IF(OR(C97="",H97&lt;&gt;"Approved"),0,IF(G97&lt;&gt;"",G97,N(F97)))</f>
        <v>0</v>
      </c>
    </row>
    <row r="98" customFormat="false" ht="15" hidden="false" customHeight="false" outlineLevel="0" collapsed="false">
      <c r="A98" s="32"/>
      <c r="B98" s="32"/>
      <c r="C98" s="32"/>
      <c r="D98" s="32"/>
      <c r="E98" s="33"/>
      <c r="F98" s="41"/>
      <c r="G98" s="41"/>
      <c r="H98" s="32"/>
      <c r="I98" s="35"/>
      <c r="J98" s="35"/>
      <c r="K98" s="33"/>
      <c r="L98" s="37" t="n">
        <f aca="false">IF(OR(C98="",H98&lt;&gt;"Approved"),0,IF(G98&lt;&gt;"",G98,N(F98)))</f>
        <v>0</v>
      </c>
    </row>
    <row r="99" customFormat="false" ht="15" hidden="false" customHeight="false" outlineLevel="0" collapsed="false">
      <c r="A99" s="32"/>
      <c r="B99" s="32"/>
      <c r="C99" s="32"/>
      <c r="D99" s="32"/>
      <c r="E99" s="33"/>
      <c r="F99" s="41"/>
      <c r="G99" s="41"/>
      <c r="H99" s="32"/>
      <c r="I99" s="35"/>
      <c r="J99" s="35"/>
      <c r="K99" s="33"/>
      <c r="L99" s="37" t="n">
        <f aca="false">IF(OR(C99="",H99&lt;&gt;"Approved"),0,IF(G99&lt;&gt;"",G99,N(F99)))</f>
        <v>0</v>
      </c>
    </row>
    <row r="100" customFormat="false" ht="15" hidden="false" customHeight="false" outlineLevel="0" collapsed="false">
      <c r="A100" s="32"/>
      <c r="B100" s="32"/>
      <c r="C100" s="32"/>
      <c r="D100" s="32"/>
      <c r="E100" s="33"/>
      <c r="F100" s="41"/>
      <c r="G100" s="41"/>
      <c r="H100" s="32"/>
      <c r="I100" s="35"/>
      <c r="J100" s="35"/>
      <c r="K100" s="33"/>
      <c r="L100" s="37" t="n">
        <f aca="false">IF(OR(C100="",H100&lt;&gt;"Approved"),0,IF(G100&lt;&gt;"",G100,N(F100)))</f>
        <v>0</v>
      </c>
    </row>
    <row r="101" customFormat="false" ht="15" hidden="false" customHeight="false" outlineLevel="0" collapsed="false">
      <c r="A101" s="32"/>
      <c r="B101" s="32"/>
      <c r="C101" s="32"/>
      <c r="D101" s="32"/>
      <c r="E101" s="33"/>
      <c r="F101" s="41"/>
      <c r="G101" s="41"/>
      <c r="H101" s="32"/>
      <c r="I101" s="35"/>
      <c r="J101" s="35"/>
      <c r="K101" s="33"/>
      <c r="L101" s="37" t="n">
        <f aca="false">IF(OR(C101="",H101&lt;&gt;"Approved"),0,IF(G101&lt;&gt;"",G101,N(F101)))</f>
        <v>0</v>
      </c>
    </row>
    <row r="102" customFormat="false" ht="15" hidden="false" customHeight="false" outlineLevel="0" collapsed="false">
      <c r="A102" s="32"/>
      <c r="B102" s="32"/>
      <c r="C102" s="32"/>
      <c r="D102" s="32"/>
      <c r="E102" s="33"/>
      <c r="F102" s="41"/>
      <c r="G102" s="41"/>
      <c r="H102" s="32"/>
      <c r="I102" s="35"/>
      <c r="J102" s="35"/>
      <c r="K102" s="33"/>
      <c r="L102" s="37" t="n">
        <f aca="false">IF(OR(C102="",H102&lt;&gt;"Approved"),0,IF(G102&lt;&gt;"",G102,N(F102)))</f>
        <v>0</v>
      </c>
    </row>
    <row r="103" customFormat="false" ht="15" hidden="false" customHeight="false" outlineLevel="0" collapsed="false">
      <c r="A103" s="32"/>
      <c r="B103" s="32"/>
      <c r="C103" s="32"/>
      <c r="D103" s="32"/>
      <c r="E103" s="33"/>
      <c r="F103" s="41"/>
      <c r="G103" s="41"/>
      <c r="H103" s="32"/>
      <c r="I103" s="35"/>
      <c r="J103" s="35"/>
      <c r="K103" s="33"/>
      <c r="L103" s="37" t="n">
        <f aca="false">IF(OR(C103="",H103&lt;&gt;"Approved"),0,IF(G103&lt;&gt;"",G103,N(F103)))</f>
        <v>0</v>
      </c>
    </row>
    <row r="104" customFormat="false" ht="15" hidden="false" customHeight="false" outlineLevel="0" collapsed="false">
      <c r="A104" s="32"/>
      <c r="B104" s="32"/>
      <c r="C104" s="32"/>
      <c r="D104" s="32"/>
      <c r="E104" s="33"/>
      <c r="F104" s="41"/>
      <c r="G104" s="41"/>
      <c r="H104" s="32"/>
      <c r="I104" s="35"/>
      <c r="J104" s="35"/>
      <c r="K104" s="33"/>
      <c r="L104" s="37" t="n">
        <f aca="false">IF(OR(C104="",H104&lt;&gt;"Approved"),0,IF(G104&lt;&gt;"",G104,N(F104)))</f>
        <v>0</v>
      </c>
    </row>
    <row r="105" customFormat="false" ht="15" hidden="false" customHeight="false" outlineLevel="0" collapsed="false">
      <c r="A105" s="32"/>
      <c r="B105" s="32"/>
      <c r="C105" s="32"/>
      <c r="D105" s="32"/>
      <c r="E105" s="33"/>
      <c r="F105" s="41"/>
      <c r="G105" s="41"/>
      <c r="H105" s="32"/>
      <c r="I105" s="35"/>
      <c r="J105" s="35"/>
      <c r="K105" s="33"/>
      <c r="L105" s="37" t="n">
        <f aca="false">IF(OR(C105="",H105&lt;&gt;"Approved"),0,IF(G105&lt;&gt;"",G105,N(F105)))</f>
        <v>0</v>
      </c>
    </row>
    <row r="106" customFormat="false" ht="15" hidden="false" customHeight="false" outlineLevel="0" collapsed="false">
      <c r="A106" s="32"/>
      <c r="B106" s="32"/>
      <c r="C106" s="32"/>
      <c r="D106" s="32"/>
      <c r="E106" s="33"/>
      <c r="F106" s="41"/>
      <c r="G106" s="41"/>
      <c r="H106" s="32"/>
      <c r="I106" s="35"/>
      <c r="J106" s="35"/>
      <c r="K106" s="33"/>
      <c r="L106" s="37" t="n">
        <f aca="false">IF(OR(C106="",H106&lt;&gt;"Approved"),0,IF(G106&lt;&gt;"",G106,N(F106)))</f>
        <v>0</v>
      </c>
    </row>
    <row r="107" customFormat="false" ht="15" hidden="false" customHeight="false" outlineLevel="0" collapsed="false">
      <c r="A107" s="32"/>
      <c r="B107" s="32"/>
      <c r="C107" s="32"/>
      <c r="D107" s="32"/>
      <c r="E107" s="33"/>
      <c r="F107" s="41"/>
      <c r="G107" s="41"/>
      <c r="H107" s="32"/>
      <c r="I107" s="35"/>
      <c r="J107" s="35"/>
      <c r="K107" s="33"/>
      <c r="L107" s="37" t="n">
        <f aca="false">IF(OR(C107="",H107&lt;&gt;"Approved"),0,IF(G107&lt;&gt;"",G107,N(F107)))</f>
        <v>0</v>
      </c>
    </row>
    <row r="108" customFormat="false" ht="15" hidden="false" customHeight="false" outlineLevel="0" collapsed="false">
      <c r="A108" s="32"/>
      <c r="B108" s="32"/>
      <c r="C108" s="32"/>
      <c r="D108" s="32"/>
      <c r="E108" s="33"/>
      <c r="F108" s="41"/>
      <c r="G108" s="41"/>
      <c r="H108" s="32"/>
      <c r="I108" s="35"/>
      <c r="J108" s="35"/>
      <c r="K108" s="33"/>
      <c r="L108" s="37" t="n">
        <f aca="false">IF(OR(C108="",H108&lt;&gt;"Approved"),0,IF(G108&lt;&gt;"",G108,N(F108)))</f>
        <v>0</v>
      </c>
    </row>
    <row r="109" customFormat="false" ht="15" hidden="false" customHeight="false" outlineLevel="0" collapsed="false">
      <c r="A109" s="32"/>
      <c r="B109" s="32"/>
      <c r="C109" s="32"/>
      <c r="D109" s="32"/>
      <c r="E109" s="33"/>
      <c r="F109" s="41"/>
      <c r="G109" s="41"/>
      <c r="H109" s="32"/>
      <c r="I109" s="35"/>
      <c r="J109" s="35"/>
      <c r="K109" s="33"/>
      <c r="L109" s="37" t="n">
        <f aca="false">IF(OR(C109="",H109&lt;&gt;"Approved"),0,IF(G109&lt;&gt;"",G109,N(F109)))</f>
        <v>0</v>
      </c>
    </row>
    <row r="110" customFormat="false" ht="15" hidden="false" customHeight="false" outlineLevel="0" collapsed="false">
      <c r="A110" s="32"/>
      <c r="B110" s="32"/>
      <c r="C110" s="32"/>
      <c r="D110" s="32"/>
      <c r="E110" s="33"/>
      <c r="F110" s="41"/>
      <c r="G110" s="41"/>
      <c r="H110" s="32"/>
      <c r="I110" s="35"/>
      <c r="J110" s="35"/>
      <c r="K110" s="33"/>
      <c r="L110" s="37" t="n">
        <f aca="false">IF(OR(C110="",H110&lt;&gt;"Approved"),0,IF(G110&lt;&gt;"",G110,N(F110)))</f>
        <v>0</v>
      </c>
    </row>
    <row r="111" customFormat="false" ht="15" hidden="false" customHeight="false" outlineLevel="0" collapsed="false">
      <c r="A111" s="32"/>
      <c r="B111" s="32"/>
      <c r="C111" s="32"/>
      <c r="D111" s="32"/>
      <c r="E111" s="33"/>
      <c r="F111" s="41"/>
      <c r="G111" s="41"/>
      <c r="H111" s="32"/>
      <c r="I111" s="35"/>
      <c r="J111" s="35"/>
      <c r="K111" s="33"/>
      <c r="L111" s="37" t="n">
        <f aca="false">IF(OR(C111="",H111&lt;&gt;"Approved"),0,IF(G111&lt;&gt;"",G111,N(F111)))</f>
        <v>0</v>
      </c>
    </row>
    <row r="112" customFormat="false" ht="15" hidden="false" customHeight="false" outlineLevel="0" collapsed="false">
      <c r="A112" s="32"/>
      <c r="B112" s="32"/>
      <c r="C112" s="32"/>
      <c r="D112" s="32"/>
      <c r="E112" s="33"/>
      <c r="F112" s="41"/>
      <c r="G112" s="41"/>
      <c r="H112" s="32"/>
      <c r="I112" s="35"/>
      <c r="J112" s="35"/>
      <c r="K112" s="33"/>
      <c r="L112" s="37" t="n">
        <f aca="false">IF(OR(C112="",H112&lt;&gt;"Approved"),0,IF(G112&lt;&gt;"",G112,N(F112)))</f>
        <v>0</v>
      </c>
    </row>
    <row r="113" customFormat="false" ht="15" hidden="false" customHeight="false" outlineLevel="0" collapsed="false">
      <c r="A113" s="32"/>
      <c r="B113" s="32"/>
      <c r="C113" s="32"/>
      <c r="D113" s="32"/>
      <c r="E113" s="33"/>
      <c r="F113" s="41"/>
      <c r="G113" s="41"/>
      <c r="H113" s="32"/>
      <c r="I113" s="35"/>
      <c r="J113" s="35"/>
      <c r="K113" s="33"/>
      <c r="L113" s="37" t="n">
        <f aca="false">IF(OR(C113="",H113&lt;&gt;"Approved"),0,IF(G113&lt;&gt;"",G113,N(F113)))</f>
        <v>0</v>
      </c>
    </row>
    <row r="114" customFormat="false" ht="15" hidden="false" customHeight="false" outlineLevel="0" collapsed="false">
      <c r="A114" s="32"/>
      <c r="B114" s="32"/>
      <c r="C114" s="32"/>
      <c r="D114" s="32"/>
      <c r="E114" s="33"/>
      <c r="F114" s="41"/>
      <c r="G114" s="41"/>
      <c r="H114" s="32"/>
      <c r="I114" s="35"/>
      <c r="J114" s="35"/>
      <c r="K114" s="33"/>
      <c r="L114" s="37" t="n">
        <f aca="false">IF(OR(C114="",H114&lt;&gt;"Approved"),0,IF(G114&lt;&gt;"",G114,N(F114)))</f>
        <v>0</v>
      </c>
    </row>
    <row r="115" customFormat="false" ht="15" hidden="false" customHeight="false" outlineLevel="0" collapsed="false">
      <c r="A115" s="32"/>
      <c r="B115" s="32"/>
      <c r="C115" s="32"/>
      <c r="D115" s="32"/>
      <c r="E115" s="33"/>
      <c r="F115" s="41"/>
      <c r="G115" s="41"/>
      <c r="H115" s="32"/>
      <c r="I115" s="35"/>
      <c r="J115" s="35"/>
      <c r="K115" s="33"/>
      <c r="L115" s="37" t="n">
        <f aca="false">IF(OR(C115="",H115&lt;&gt;"Approved"),0,IF(G115&lt;&gt;"",G115,N(F115)))</f>
        <v>0</v>
      </c>
    </row>
    <row r="116" customFormat="false" ht="15" hidden="false" customHeight="false" outlineLevel="0" collapsed="false">
      <c r="A116" s="32"/>
      <c r="B116" s="32"/>
      <c r="C116" s="32"/>
      <c r="D116" s="32"/>
      <c r="E116" s="33"/>
      <c r="F116" s="41"/>
      <c r="G116" s="41"/>
      <c r="H116" s="32"/>
      <c r="I116" s="35"/>
      <c r="J116" s="35"/>
      <c r="K116" s="33"/>
      <c r="L116" s="37" t="n">
        <f aca="false">IF(OR(C116="",H116&lt;&gt;"Approved"),0,IF(G116&lt;&gt;"",G116,N(F116)))</f>
        <v>0</v>
      </c>
    </row>
    <row r="117" customFormat="false" ht="15" hidden="false" customHeight="false" outlineLevel="0" collapsed="false">
      <c r="A117" s="32"/>
      <c r="B117" s="32"/>
      <c r="C117" s="32"/>
      <c r="D117" s="32"/>
      <c r="E117" s="33"/>
      <c r="F117" s="41"/>
      <c r="G117" s="41"/>
      <c r="H117" s="32"/>
      <c r="I117" s="35"/>
      <c r="J117" s="35"/>
      <c r="K117" s="33"/>
      <c r="L117" s="37" t="n">
        <f aca="false">IF(OR(C117="",H117&lt;&gt;"Approved"),0,IF(G117&lt;&gt;"",G117,N(F117)))</f>
        <v>0</v>
      </c>
    </row>
    <row r="118" customFormat="false" ht="15" hidden="false" customHeight="false" outlineLevel="0" collapsed="false">
      <c r="A118" s="32"/>
      <c r="B118" s="32"/>
      <c r="C118" s="32"/>
      <c r="D118" s="32"/>
      <c r="E118" s="33"/>
      <c r="F118" s="41"/>
      <c r="G118" s="41"/>
      <c r="H118" s="32"/>
      <c r="I118" s="35"/>
      <c r="J118" s="35"/>
      <c r="K118" s="33"/>
      <c r="L118" s="37" t="n">
        <f aca="false">IF(OR(C118="",H118&lt;&gt;"Approved"),0,IF(G118&lt;&gt;"",G118,N(F118)))</f>
        <v>0</v>
      </c>
    </row>
    <row r="119" customFormat="false" ht="15" hidden="false" customHeight="false" outlineLevel="0" collapsed="false">
      <c r="A119" s="32"/>
      <c r="B119" s="32"/>
      <c r="C119" s="32"/>
      <c r="D119" s="32"/>
      <c r="E119" s="33"/>
      <c r="F119" s="41"/>
      <c r="G119" s="41"/>
      <c r="H119" s="32"/>
      <c r="I119" s="35"/>
      <c r="J119" s="35"/>
      <c r="K119" s="33"/>
      <c r="L119" s="37" t="n">
        <f aca="false">IF(OR(C119="",H119&lt;&gt;"Approved"),0,IF(G119&lt;&gt;"",G119,N(F119)))</f>
        <v>0</v>
      </c>
    </row>
    <row r="120" customFormat="false" ht="15" hidden="false" customHeight="false" outlineLevel="0" collapsed="false">
      <c r="A120" s="32"/>
      <c r="B120" s="32"/>
      <c r="C120" s="32"/>
      <c r="D120" s="32"/>
      <c r="E120" s="33"/>
      <c r="F120" s="41"/>
      <c r="G120" s="41"/>
      <c r="H120" s="32"/>
      <c r="I120" s="35"/>
      <c r="J120" s="35"/>
      <c r="K120" s="33"/>
      <c r="L120" s="37" t="n">
        <f aca="false">IF(OR(C120="",H120&lt;&gt;"Approved"),0,IF(G120&lt;&gt;"",G120,N(F120)))</f>
        <v>0</v>
      </c>
    </row>
    <row r="121" customFormat="false" ht="15" hidden="false" customHeight="false" outlineLevel="0" collapsed="false">
      <c r="A121" s="32"/>
      <c r="B121" s="32"/>
      <c r="C121" s="32"/>
      <c r="D121" s="32"/>
      <c r="E121" s="33"/>
      <c r="F121" s="41"/>
      <c r="G121" s="41"/>
      <c r="H121" s="32"/>
      <c r="I121" s="35"/>
      <c r="J121" s="35"/>
      <c r="K121" s="33"/>
      <c r="L121" s="37" t="n">
        <f aca="false">IF(OR(C121="",H121&lt;&gt;"Approved"),0,IF(G121&lt;&gt;"",G121,N(F121)))</f>
        <v>0</v>
      </c>
    </row>
    <row r="122" customFormat="false" ht="15" hidden="false" customHeight="false" outlineLevel="0" collapsed="false">
      <c r="A122" s="32"/>
      <c r="B122" s="32"/>
      <c r="C122" s="32"/>
      <c r="D122" s="32"/>
      <c r="E122" s="33"/>
      <c r="F122" s="41"/>
      <c r="G122" s="41"/>
      <c r="H122" s="32"/>
      <c r="I122" s="35"/>
      <c r="J122" s="35"/>
      <c r="K122" s="33"/>
      <c r="L122" s="37" t="n">
        <f aca="false">IF(OR(C122="",H122&lt;&gt;"Approved"),0,IF(G122&lt;&gt;"",G122,N(F122)))</f>
        <v>0</v>
      </c>
    </row>
    <row r="123" customFormat="false" ht="15" hidden="false" customHeight="false" outlineLevel="0" collapsed="false">
      <c r="A123" s="32"/>
      <c r="B123" s="32"/>
      <c r="C123" s="32"/>
      <c r="D123" s="32"/>
      <c r="E123" s="33"/>
      <c r="F123" s="41"/>
      <c r="G123" s="41"/>
      <c r="H123" s="32"/>
      <c r="I123" s="35"/>
      <c r="J123" s="35"/>
      <c r="K123" s="33"/>
      <c r="L123" s="37" t="n">
        <f aca="false">IF(OR(C123="",H123&lt;&gt;"Approved"),0,IF(G123&lt;&gt;"",G123,N(F123)))</f>
        <v>0</v>
      </c>
    </row>
    <row r="124" customFormat="false" ht="15" hidden="false" customHeight="false" outlineLevel="0" collapsed="false">
      <c r="A124" s="32"/>
      <c r="B124" s="32"/>
      <c r="C124" s="32"/>
      <c r="D124" s="32"/>
      <c r="E124" s="33"/>
      <c r="F124" s="41"/>
      <c r="G124" s="41"/>
      <c r="H124" s="32"/>
      <c r="I124" s="35"/>
      <c r="J124" s="35"/>
      <c r="K124" s="33"/>
      <c r="L124" s="37" t="n">
        <f aca="false">IF(OR(C124="",H124&lt;&gt;"Approved"),0,IF(G124&lt;&gt;"",G124,N(F124)))</f>
        <v>0</v>
      </c>
    </row>
    <row r="125" customFormat="false" ht="15" hidden="false" customHeight="false" outlineLevel="0" collapsed="false">
      <c r="A125" s="32"/>
      <c r="B125" s="32"/>
      <c r="C125" s="32"/>
      <c r="D125" s="32"/>
      <c r="E125" s="33"/>
      <c r="F125" s="41"/>
      <c r="G125" s="41"/>
      <c r="H125" s="32"/>
      <c r="I125" s="35"/>
      <c r="J125" s="35"/>
      <c r="K125" s="33"/>
      <c r="L125" s="37" t="n">
        <f aca="false">IF(OR(C125="",H125&lt;&gt;"Approved"),0,IF(G125&lt;&gt;"",G125,N(F125)))</f>
        <v>0</v>
      </c>
    </row>
    <row r="126" customFormat="false" ht="15" hidden="false" customHeight="false" outlineLevel="0" collapsed="false">
      <c r="A126" s="32"/>
      <c r="B126" s="32"/>
      <c r="C126" s="32"/>
      <c r="D126" s="32"/>
      <c r="E126" s="33"/>
      <c r="F126" s="41"/>
      <c r="G126" s="41"/>
      <c r="H126" s="32"/>
      <c r="I126" s="35"/>
      <c r="J126" s="35"/>
      <c r="K126" s="33"/>
      <c r="L126" s="37" t="n">
        <f aca="false">IF(OR(C126="",H126&lt;&gt;"Approved"),0,IF(G126&lt;&gt;"",G126,N(F126)))</f>
        <v>0</v>
      </c>
    </row>
    <row r="127" customFormat="false" ht="15" hidden="false" customHeight="false" outlineLevel="0" collapsed="false">
      <c r="A127" s="32"/>
      <c r="B127" s="32"/>
      <c r="C127" s="32"/>
      <c r="D127" s="32"/>
      <c r="E127" s="33"/>
      <c r="F127" s="41"/>
      <c r="G127" s="41"/>
      <c r="H127" s="32"/>
      <c r="I127" s="35"/>
      <c r="J127" s="35"/>
      <c r="K127" s="33"/>
      <c r="L127" s="37" t="n">
        <f aca="false">IF(OR(C127="",H127&lt;&gt;"Approved"),0,IF(G127&lt;&gt;"",G127,N(F127)))</f>
        <v>0</v>
      </c>
    </row>
    <row r="128" customFormat="false" ht="15" hidden="false" customHeight="false" outlineLevel="0" collapsed="false">
      <c r="A128" s="32"/>
      <c r="B128" s="32"/>
      <c r="C128" s="32"/>
      <c r="D128" s="32"/>
      <c r="E128" s="33"/>
      <c r="F128" s="41"/>
      <c r="G128" s="41"/>
      <c r="H128" s="32"/>
      <c r="I128" s="35"/>
      <c r="J128" s="35"/>
      <c r="K128" s="33"/>
      <c r="L128" s="37" t="n">
        <f aca="false">IF(OR(C128="",H128&lt;&gt;"Approved"),0,IF(G128&lt;&gt;"",G128,N(F128)))</f>
        <v>0</v>
      </c>
    </row>
    <row r="129" customFormat="false" ht="15" hidden="false" customHeight="false" outlineLevel="0" collapsed="false">
      <c r="A129" s="32"/>
      <c r="B129" s="32"/>
      <c r="C129" s="32"/>
      <c r="D129" s="32"/>
      <c r="E129" s="33"/>
      <c r="F129" s="41"/>
      <c r="G129" s="41"/>
      <c r="H129" s="32"/>
      <c r="I129" s="35"/>
      <c r="J129" s="35"/>
      <c r="K129" s="33"/>
      <c r="L129" s="37" t="n">
        <f aca="false">IF(OR(C129="",H129&lt;&gt;"Approved"),0,IF(G129&lt;&gt;"",G129,N(F129)))</f>
        <v>0</v>
      </c>
    </row>
    <row r="130" customFormat="false" ht="15" hidden="false" customHeight="false" outlineLevel="0" collapsed="false">
      <c r="A130" s="32"/>
      <c r="B130" s="32"/>
      <c r="C130" s="32"/>
      <c r="D130" s="32"/>
      <c r="E130" s="33"/>
      <c r="F130" s="41"/>
      <c r="G130" s="41"/>
      <c r="H130" s="32"/>
      <c r="I130" s="35"/>
      <c r="J130" s="35"/>
      <c r="K130" s="33"/>
      <c r="L130" s="37" t="n">
        <f aca="false">IF(OR(C130="",H130&lt;&gt;"Approved"),0,IF(G130&lt;&gt;"",G130,N(F130)))</f>
        <v>0</v>
      </c>
    </row>
    <row r="131" customFormat="false" ht="15" hidden="false" customHeight="false" outlineLevel="0" collapsed="false">
      <c r="A131" s="32"/>
      <c r="B131" s="32"/>
      <c r="C131" s="32"/>
      <c r="D131" s="32"/>
      <c r="E131" s="33"/>
      <c r="F131" s="41"/>
      <c r="G131" s="41"/>
      <c r="H131" s="32"/>
      <c r="I131" s="35"/>
      <c r="J131" s="35"/>
      <c r="K131" s="33"/>
      <c r="L131" s="37" t="n">
        <f aca="false">IF(OR(C131="",H131&lt;&gt;"Approved"),0,IF(G131&lt;&gt;"",G131,N(F131)))</f>
        <v>0</v>
      </c>
    </row>
    <row r="132" customFormat="false" ht="15" hidden="false" customHeight="false" outlineLevel="0" collapsed="false">
      <c r="A132" s="32"/>
      <c r="B132" s="32"/>
      <c r="C132" s="32"/>
      <c r="D132" s="32"/>
      <c r="E132" s="33"/>
      <c r="F132" s="41"/>
      <c r="G132" s="41"/>
      <c r="H132" s="32"/>
      <c r="I132" s="35"/>
      <c r="J132" s="35"/>
      <c r="K132" s="33"/>
      <c r="L132" s="37" t="n">
        <f aca="false">IF(OR(C132="",H132&lt;&gt;"Approved"),0,IF(G132&lt;&gt;"",G132,N(F132)))</f>
        <v>0</v>
      </c>
    </row>
    <row r="133" customFormat="false" ht="15" hidden="false" customHeight="false" outlineLevel="0" collapsed="false">
      <c r="A133" s="32"/>
      <c r="B133" s="32"/>
      <c r="C133" s="32"/>
      <c r="D133" s="32"/>
      <c r="E133" s="33"/>
      <c r="F133" s="41"/>
      <c r="G133" s="41"/>
      <c r="H133" s="32"/>
      <c r="I133" s="35"/>
      <c r="J133" s="35"/>
      <c r="K133" s="33"/>
      <c r="L133" s="37" t="n">
        <f aca="false">IF(OR(C133="",H133&lt;&gt;"Approved"),0,IF(G133&lt;&gt;"",G133,N(F133)))</f>
        <v>0</v>
      </c>
    </row>
    <row r="134" customFormat="false" ht="15" hidden="false" customHeight="false" outlineLevel="0" collapsed="false">
      <c r="A134" s="32"/>
      <c r="B134" s="32"/>
      <c r="C134" s="32"/>
      <c r="D134" s="32"/>
      <c r="E134" s="33"/>
      <c r="F134" s="41"/>
      <c r="G134" s="41"/>
      <c r="H134" s="32"/>
      <c r="I134" s="35"/>
      <c r="J134" s="35"/>
      <c r="K134" s="33"/>
      <c r="L134" s="37" t="n">
        <f aca="false">IF(OR(C134="",H134&lt;&gt;"Approved"),0,IF(G134&lt;&gt;"",G134,N(F134)))</f>
        <v>0</v>
      </c>
    </row>
    <row r="135" customFormat="false" ht="15" hidden="false" customHeight="false" outlineLevel="0" collapsed="false">
      <c r="A135" s="32"/>
      <c r="B135" s="32"/>
      <c r="C135" s="32"/>
      <c r="D135" s="32"/>
      <c r="E135" s="33"/>
      <c r="F135" s="41"/>
      <c r="G135" s="41"/>
      <c r="H135" s="32"/>
      <c r="I135" s="35"/>
      <c r="J135" s="35"/>
      <c r="K135" s="33"/>
      <c r="L135" s="37" t="n">
        <f aca="false">IF(OR(C135="",H135&lt;&gt;"Approved"),0,IF(G135&lt;&gt;"",G135,N(F135)))</f>
        <v>0</v>
      </c>
    </row>
    <row r="136" customFormat="false" ht="15" hidden="false" customHeight="false" outlineLevel="0" collapsed="false">
      <c r="A136" s="32"/>
      <c r="B136" s="32"/>
      <c r="C136" s="32"/>
      <c r="D136" s="32"/>
      <c r="E136" s="33"/>
      <c r="F136" s="41"/>
      <c r="G136" s="41"/>
      <c r="H136" s="32"/>
      <c r="I136" s="35"/>
      <c r="J136" s="35"/>
      <c r="K136" s="33"/>
      <c r="L136" s="37" t="n">
        <f aca="false">IF(OR(C136="",H136&lt;&gt;"Approved"),0,IF(G136&lt;&gt;"",G136,N(F136)))</f>
        <v>0</v>
      </c>
    </row>
    <row r="137" customFormat="false" ht="15" hidden="false" customHeight="false" outlineLevel="0" collapsed="false">
      <c r="A137" s="32"/>
      <c r="B137" s="32"/>
      <c r="C137" s="32"/>
      <c r="D137" s="32"/>
      <c r="E137" s="33"/>
      <c r="F137" s="41"/>
      <c r="G137" s="41"/>
      <c r="H137" s="32"/>
      <c r="I137" s="35"/>
      <c r="J137" s="35"/>
      <c r="K137" s="33"/>
      <c r="L137" s="37" t="n">
        <f aca="false">IF(OR(C137="",H137&lt;&gt;"Approved"),0,IF(G137&lt;&gt;"",G137,N(F137)))</f>
        <v>0</v>
      </c>
    </row>
    <row r="138" customFormat="false" ht="15" hidden="false" customHeight="false" outlineLevel="0" collapsed="false">
      <c r="A138" s="32"/>
      <c r="B138" s="32"/>
      <c r="C138" s="32"/>
      <c r="D138" s="32"/>
      <c r="E138" s="33"/>
      <c r="F138" s="41"/>
      <c r="G138" s="41"/>
      <c r="H138" s="32"/>
      <c r="I138" s="35"/>
      <c r="J138" s="35"/>
      <c r="K138" s="33"/>
      <c r="L138" s="37" t="n">
        <f aca="false">IF(OR(C138="",H138&lt;&gt;"Approved"),0,IF(G138&lt;&gt;"",G138,N(F138)))</f>
        <v>0</v>
      </c>
    </row>
    <row r="139" customFormat="false" ht="15" hidden="false" customHeight="false" outlineLevel="0" collapsed="false">
      <c r="A139" s="32"/>
      <c r="B139" s="32"/>
      <c r="C139" s="32"/>
      <c r="D139" s="32"/>
      <c r="E139" s="33"/>
      <c r="F139" s="41"/>
      <c r="G139" s="41"/>
      <c r="H139" s="32"/>
      <c r="I139" s="35"/>
      <c r="J139" s="35"/>
      <c r="K139" s="33"/>
      <c r="L139" s="37" t="n">
        <f aca="false">IF(OR(C139="",H139&lt;&gt;"Approved"),0,IF(G139&lt;&gt;"",G139,N(F139)))</f>
        <v>0</v>
      </c>
    </row>
    <row r="140" customFormat="false" ht="15" hidden="false" customHeight="false" outlineLevel="0" collapsed="false">
      <c r="A140" s="32"/>
      <c r="B140" s="32"/>
      <c r="C140" s="32"/>
      <c r="D140" s="32"/>
      <c r="E140" s="33"/>
      <c r="F140" s="41"/>
      <c r="G140" s="41"/>
      <c r="H140" s="32"/>
      <c r="I140" s="35"/>
      <c r="J140" s="35"/>
      <c r="K140" s="33"/>
      <c r="L140" s="37" t="n">
        <f aca="false">IF(OR(C140="",H140&lt;&gt;"Approved"),0,IF(G140&lt;&gt;"",G140,N(F140)))</f>
        <v>0</v>
      </c>
    </row>
    <row r="141" customFormat="false" ht="15" hidden="false" customHeight="false" outlineLevel="0" collapsed="false">
      <c r="A141" s="32"/>
      <c r="B141" s="32"/>
      <c r="C141" s="32"/>
      <c r="D141" s="32"/>
      <c r="E141" s="33"/>
      <c r="F141" s="41"/>
      <c r="G141" s="41"/>
      <c r="H141" s="32"/>
      <c r="I141" s="35"/>
      <c r="J141" s="35"/>
      <c r="K141" s="33"/>
      <c r="L141" s="37" t="n">
        <f aca="false">IF(OR(C141="",H141&lt;&gt;"Approved"),0,IF(G141&lt;&gt;"",G141,N(F141)))</f>
        <v>0</v>
      </c>
    </row>
    <row r="142" customFormat="false" ht="15" hidden="false" customHeight="false" outlineLevel="0" collapsed="false">
      <c r="A142" s="32"/>
      <c r="B142" s="32"/>
      <c r="C142" s="32"/>
      <c r="D142" s="32"/>
      <c r="E142" s="33"/>
      <c r="F142" s="41"/>
      <c r="G142" s="41"/>
      <c r="H142" s="32"/>
      <c r="I142" s="35"/>
      <c r="J142" s="35"/>
      <c r="K142" s="33"/>
      <c r="L142" s="37" t="n">
        <f aca="false">IF(OR(C142="",H142&lt;&gt;"Approved"),0,IF(G142&lt;&gt;"",G142,N(F142)))</f>
        <v>0</v>
      </c>
    </row>
    <row r="143" customFormat="false" ht="15" hidden="false" customHeight="false" outlineLevel="0" collapsed="false">
      <c r="A143" s="32"/>
      <c r="B143" s="32"/>
      <c r="C143" s="32"/>
      <c r="D143" s="32"/>
      <c r="E143" s="33"/>
      <c r="F143" s="41"/>
      <c r="G143" s="41"/>
      <c r="H143" s="32"/>
      <c r="I143" s="35"/>
      <c r="J143" s="35"/>
      <c r="K143" s="33"/>
      <c r="L143" s="37" t="n">
        <f aca="false">IF(OR(C143="",H143&lt;&gt;"Approved"),0,IF(G143&lt;&gt;"",G143,N(F143)))</f>
        <v>0</v>
      </c>
    </row>
    <row r="144" customFormat="false" ht="15" hidden="false" customHeight="false" outlineLevel="0" collapsed="false">
      <c r="A144" s="32"/>
      <c r="B144" s="32"/>
      <c r="C144" s="32"/>
      <c r="D144" s="32"/>
      <c r="E144" s="33"/>
      <c r="F144" s="41"/>
      <c r="G144" s="41"/>
      <c r="H144" s="32"/>
      <c r="I144" s="35"/>
      <c r="J144" s="35"/>
      <c r="K144" s="33"/>
      <c r="L144" s="37" t="n">
        <f aca="false">IF(OR(C144="",H144&lt;&gt;"Approved"),0,IF(G144&lt;&gt;"",G144,N(F144)))</f>
        <v>0</v>
      </c>
    </row>
    <row r="145" customFormat="false" ht="15" hidden="false" customHeight="false" outlineLevel="0" collapsed="false">
      <c r="A145" s="32"/>
      <c r="B145" s="32"/>
      <c r="C145" s="32"/>
      <c r="D145" s="32"/>
      <c r="E145" s="33"/>
      <c r="F145" s="41"/>
      <c r="G145" s="41"/>
      <c r="H145" s="32"/>
      <c r="I145" s="35"/>
      <c r="J145" s="35"/>
      <c r="K145" s="33"/>
      <c r="L145" s="37" t="n">
        <f aca="false">IF(OR(C145="",H145&lt;&gt;"Approved"),0,IF(G145&lt;&gt;"",G145,N(F145)))</f>
        <v>0</v>
      </c>
    </row>
    <row r="146" customFormat="false" ht="15" hidden="false" customHeight="false" outlineLevel="0" collapsed="false">
      <c r="A146" s="32"/>
      <c r="B146" s="32"/>
      <c r="C146" s="32"/>
      <c r="D146" s="32"/>
      <c r="E146" s="33"/>
      <c r="F146" s="41"/>
      <c r="G146" s="41"/>
      <c r="H146" s="32"/>
      <c r="I146" s="35"/>
      <c r="J146" s="35"/>
      <c r="K146" s="33"/>
      <c r="L146" s="37" t="n">
        <f aca="false">IF(OR(C146="",H146&lt;&gt;"Approved"),0,IF(G146&lt;&gt;"",G146,N(F146)))</f>
        <v>0</v>
      </c>
    </row>
    <row r="147" customFormat="false" ht="15" hidden="false" customHeight="false" outlineLevel="0" collapsed="false">
      <c r="A147" s="32"/>
      <c r="B147" s="32"/>
      <c r="C147" s="32"/>
      <c r="D147" s="32"/>
      <c r="E147" s="33"/>
      <c r="F147" s="41"/>
      <c r="G147" s="41"/>
      <c r="H147" s="32"/>
      <c r="I147" s="35"/>
      <c r="J147" s="35"/>
      <c r="K147" s="33"/>
      <c r="L147" s="37" t="n">
        <f aca="false">IF(OR(C147="",H147&lt;&gt;"Approved"),0,IF(G147&lt;&gt;"",G147,N(F147)))</f>
        <v>0</v>
      </c>
    </row>
    <row r="148" customFormat="false" ht="15" hidden="false" customHeight="false" outlineLevel="0" collapsed="false">
      <c r="A148" s="32"/>
      <c r="B148" s="32"/>
      <c r="C148" s="32"/>
      <c r="D148" s="32"/>
      <c r="E148" s="33"/>
      <c r="F148" s="41"/>
      <c r="G148" s="41"/>
      <c r="H148" s="32"/>
      <c r="I148" s="35"/>
      <c r="J148" s="35"/>
      <c r="K148" s="33"/>
      <c r="L148" s="37" t="n">
        <f aca="false">IF(OR(C148="",H148&lt;&gt;"Approved"),0,IF(G148&lt;&gt;"",G148,N(F148)))</f>
        <v>0</v>
      </c>
    </row>
    <row r="149" customFormat="false" ht="15" hidden="false" customHeight="false" outlineLevel="0" collapsed="false">
      <c r="A149" s="32"/>
      <c r="B149" s="32"/>
      <c r="C149" s="32"/>
      <c r="D149" s="32"/>
      <c r="E149" s="33"/>
      <c r="F149" s="41"/>
      <c r="G149" s="41"/>
      <c r="H149" s="32"/>
      <c r="I149" s="35"/>
      <c r="J149" s="35"/>
      <c r="K149" s="33"/>
      <c r="L149" s="37" t="n">
        <f aca="false">IF(OR(C149="",H149&lt;&gt;"Approved"),0,IF(G149&lt;&gt;"",G149,N(F149)))</f>
        <v>0</v>
      </c>
    </row>
    <row r="150" customFormat="false" ht="15" hidden="false" customHeight="false" outlineLevel="0" collapsed="false">
      <c r="A150" s="32"/>
      <c r="B150" s="32"/>
      <c r="C150" s="32"/>
      <c r="D150" s="32"/>
      <c r="E150" s="33"/>
      <c r="F150" s="41"/>
      <c r="G150" s="41"/>
      <c r="H150" s="32"/>
      <c r="I150" s="35"/>
      <c r="J150" s="35"/>
      <c r="K150" s="33"/>
      <c r="L150" s="37" t="n">
        <f aca="false">IF(OR(C150="",H150&lt;&gt;"Approved"),0,IF(G150&lt;&gt;"",G150,N(F150)))</f>
        <v>0</v>
      </c>
    </row>
    <row r="151" customFormat="false" ht="15" hidden="false" customHeight="false" outlineLevel="0" collapsed="false">
      <c r="A151" s="32"/>
      <c r="B151" s="32"/>
      <c r="C151" s="32"/>
      <c r="D151" s="32"/>
      <c r="E151" s="33"/>
      <c r="F151" s="41"/>
      <c r="G151" s="41"/>
      <c r="H151" s="32"/>
      <c r="I151" s="35"/>
      <c r="J151" s="35"/>
      <c r="K151" s="33"/>
      <c r="L151" s="37" t="n">
        <f aca="false">IF(OR(C151="",H151&lt;&gt;"Approved"),0,IF(G151&lt;&gt;"",G151,N(F151)))</f>
        <v>0</v>
      </c>
    </row>
    <row r="152" customFormat="false" ht="15" hidden="false" customHeight="false" outlineLevel="0" collapsed="false">
      <c r="A152" s="32"/>
      <c r="B152" s="32"/>
      <c r="C152" s="32"/>
      <c r="D152" s="32"/>
      <c r="E152" s="33"/>
      <c r="F152" s="41"/>
      <c r="G152" s="41"/>
      <c r="H152" s="32"/>
      <c r="I152" s="35"/>
      <c r="J152" s="35"/>
      <c r="K152" s="33"/>
      <c r="L152" s="37" t="n">
        <f aca="false">IF(OR(C152="",H152&lt;&gt;"Approved"),0,IF(G152&lt;&gt;"",G152,N(F152)))</f>
        <v>0</v>
      </c>
    </row>
    <row r="153" customFormat="false" ht="15" hidden="false" customHeight="false" outlineLevel="0" collapsed="false">
      <c r="A153" s="32"/>
      <c r="B153" s="32"/>
      <c r="C153" s="32"/>
      <c r="D153" s="32"/>
      <c r="E153" s="33"/>
      <c r="F153" s="41"/>
      <c r="G153" s="41"/>
      <c r="H153" s="32"/>
      <c r="I153" s="35"/>
      <c r="J153" s="35"/>
      <c r="K153" s="33"/>
      <c r="L153" s="37" t="n">
        <f aca="false">IF(OR(C153="",H153&lt;&gt;"Approved"),0,IF(G153&lt;&gt;"",G153,N(F153)))</f>
        <v>0</v>
      </c>
    </row>
    <row r="154" customFormat="false" ht="15" hidden="false" customHeight="false" outlineLevel="0" collapsed="false">
      <c r="A154" s="32"/>
      <c r="B154" s="32"/>
      <c r="C154" s="32"/>
      <c r="D154" s="32"/>
      <c r="E154" s="33"/>
      <c r="F154" s="41"/>
      <c r="G154" s="41"/>
      <c r="H154" s="32"/>
      <c r="I154" s="35"/>
      <c r="J154" s="35"/>
      <c r="K154" s="33"/>
      <c r="L154" s="37" t="n">
        <f aca="false">IF(OR(C154="",H154&lt;&gt;"Approved"),0,IF(G154&lt;&gt;"",G154,N(F154)))</f>
        <v>0</v>
      </c>
    </row>
    <row r="155" customFormat="false" ht="15" hidden="false" customHeight="false" outlineLevel="0" collapsed="false">
      <c r="A155" s="32"/>
      <c r="B155" s="32"/>
      <c r="C155" s="32"/>
      <c r="D155" s="32"/>
      <c r="E155" s="33"/>
      <c r="F155" s="41"/>
      <c r="G155" s="41"/>
      <c r="H155" s="32"/>
      <c r="I155" s="35"/>
      <c r="J155" s="35"/>
      <c r="K155" s="33"/>
      <c r="L155" s="37" t="n">
        <f aca="false">IF(OR(C155="",H155&lt;&gt;"Approved"),0,IF(G155&lt;&gt;"",G155,N(F155)))</f>
        <v>0</v>
      </c>
    </row>
    <row r="156" customFormat="false" ht="15" hidden="false" customHeight="false" outlineLevel="0" collapsed="false">
      <c r="A156" s="32"/>
      <c r="B156" s="32"/>
      <c r="C156" s="32"/>
      <c r="D156" s="32"/>
      <c r="E156" s="33"/>
      <c r="F156" s="41"/>
      <c r="G156" s="41"/>
      <c r="H156" s="32"/>
      <c r="I156" s="35"/>
      <c r="J156" s="35"/>
      <c r="K156" s="33"/>
      <c r="L156" s="37" t="n">
        <f aca="false">IF(OR(C156="",H156&lt;&gt;"Approved"),0,IF(G156&lt;&gt;"",G156,N(F156)))</f>
        <v>0</v>
      </c>
    </row>
    <row r="157" customFormat="false" ht="15" hidden="false" customHeight="false" outlineLevel="0" collapsed="false">
      <c r="A157" s="32"/>
      <c r="B157" s="32"/>
      <c r="C157" s="32"/>
      <c r="D157" s="32"/>
      <c r="E157" s="33"/>
      <c r="F157" s="41"/>
      <c r="G157" s="41"/>
      <c r="H157" s="32"/>
      <c r="I157" s="35"/>
      <c r="J157" s="35"/>
      <c r="K157" s="33"/>
      <c r="L157" s="37" t="n">
        <f aca="false">IF(OR(C157="",H157&lt;&gt;"Approved"),0,IF(G157&lt;&gt;"",G157,N(F157)))</f>
        <v>0</v>
      </c>
    </row>
    <row r="158" customFormat="false" ht="15" hidden="false" customHeight="false" outlineLevel="0" collapsed="false">
      <c r="A158" s="32"/>
      <c r="B158" s="32"/>
      <c r="C158" s="32"/>
      <c r="D158" s="32"/>
      <c r="E158" s="33"/>
      <c r="F158" s="41"/>
      <c r="G158" s="41"/>
      <c r="H158" s="32"/>
      <c r="I158" s="35"/>
      <c r="J158" s="35"/>
      <c r="K158" s="33"/>
      <c r="L158" s="37" t="n">
        <f aca="false">IF(OR(C158="",H158&lt;&gt;"Approved"),0,IF(G158&lt;&gt;"",G158,N(F158)))</f>
        <v>0</v>
      </c>
    </row>
    <row r="159" customFormat="false" ht="15" hidden="false" customHeight="false" outlineLevel="0" collapsed="false">
      <c r="A159" s="32"/>
      <c r="B159" s="32"/>
      <c r="C159" s="32"/>
      <c r="D159" s="32"/>
      <c r="E159" s="33"/>
      <c r="F159" s="41"/>
      <c r="G159" s="41"/>
      <c r="H159" s="32"/>
      <c r="I159" s="35"/>
      <c r="J159" s="35"/>
      <c r="K159" s="33"/>
      <c r="L159" s="37" t="n">
        <f aca="false">IF(OR(C159="",H159&lt;&gt;"Approved"),0,IF(G159&lt;&gt;"",G159,N(F159)))</f>
        <v>0</v>
      </c>
    </row>
    <row r="160" customFormat="false" ht="15" hidden="false" customHeight="false" outlineLevel="0" collapsed="false">
      <c r="A160" s="32"/>
      <c r="B160" s="32"/>
      <c r="C160" s="32"/>
      <c r="D160" s="32"/>
      <c r="E160" s="33"/>
      <c r="F160" s="41"/>
      <c r="G160" s="41"/>
      <c r="H160" s="32"/>
      <c r="I160" s="35"/>
      <c r="J160" s="35"/>
      <c r="K160" s="33"/>
      <c r="L160" s="37" t="n">
        <f aca="false">IF(OR(C160="",H160&lt;&gt;"Approved"),0,IF(G160&lt;&gt;"",G160,N(F160)))</f>
        <v>0</v>
      </c>
    </row>
    <row r="161" customFormat="false" ht="15" hidden="false" customHeight="false" outlineLevel="0" collapsed="false">
      <c r="A161" s="32"/>
      <c r="B161" s="32"/>
      <c r="C161" s="32"/>
      <c r="D161" s="32"/>
      <c r="E161" s="33"/>
      <c r="F161" s="41"/>
      <c r="G161" s="41"/>
      <c r="H161" s="32"/>
      <c r="I161" s="35"/>
      <c r="J161" s="35"/>
      <c r="K161" s="33"/>
      <c r="L161" s="37" t="n">
        <f aca="false">IF(OR(C161="",H161&lt;&gt;"Approved"),0,IF(G161&lt;&gt;"",G161,N(F161)))</f>
        <v>0</v>
      </c>
    </row>
    <row r="162" customFormat="false" ht="15" hidden="false" customHeight="false" outlineLevel="0" collapsed="false">
      <c r="A162" s="32"/>
      <c r="B162" s="32"/>
      <c r="C162" s="32"/>
      <c r="D162" s="32"/>
      <c r="E162" s="33"/>
      <c r="F162" s="41"/>
      <c r="G162" s="41"/>
      <c r="H162" s="32"/>
      <c r="I162" s="35"/>
      <c r="J162" s="35"/>
      <c r="K162" s="33"/>
      <c r="L162" s="37" t="n">
        <f aca="false">IF(OR(C162="",H162&lt;&gt;"Approved"),0,IF(G162&lt;&gt;"",G162,N(F162)))</f>
        <v>0</v>
      </c>
    </row>
    <row r="163" customFormat="false" ht="15" hidden="false" customHeight="false" outlineLevel="0" collapsed="false">
      <c r="A163" s="32"/>
      <c r="B163" s="32"/>
      <c r="C163" s="32"/>
      <c r="D163" s="32"/>
      <c r="E163" s="33"/>
      <c r="F163" s="41"/>
      <c r="G163" s="41"/>
      <c r="H163" s="32"/>
      <c r="I163" s="35"/>
      <c r="J163" s="35"/>
      <c r="K163" s="33"/>
      <c r="L163" s="37" t="n">
        <f aca="false">IF(OR(C163="",H163&lt;&gt;"Approved"),0,IF(G163&lt;&gt;"",G163,N(F163)))</f>
        <v>0</v>
      </c>
    </row>
    <row r="164" customFormat="false" ht="15" hidden="false" customHeight="false" outlineLevel="0" collapsed="false">
      <c r="A164" s="32"/>
      <c r="B164" s="32"/>
      <c r="C164" s="32"/>
      <c r="D164" s="32"/>
      <c r="E164" s="33"/>
      <c r="F164" s="41"/>
      <c r="G164" s="41"/>
      <c r="H164" s="32"/>
      <c r="I164" s="35"/>
      <c r="J164" s="35"/>
      <c r="K164" s="33"/>
      <c r="L164" s="37" t="n">
        <f aca="false">IF(OR(C164="",H164&lt;&gt;"Approved"),0,IF(G164&lt;&gt;"",G164,N(F164)))</f>
        <v>0</v>
      </c>
    </row>
    <row r="165" customFormat="false" ht="15" hidden="false" customHeight="false" outlineLevel="0" collapsed="false">
      <c r="A165" s="32"/>
      <c r="B165" s="32"/>
      <c r="C165" s="32"/>
      <c r="D165" s="32"/>
      <c r="E165" s="33"/>
      <c r="F165" s="41"/>
      <c r="G165" s="41"/>
      <c r="H165" s="32"/>
      <c r="I165" s="35"/>
      <c r="J165" s="35"/>
      <c r="K165" s="33"/>
      <c r="L165" s="37" t="n">
        <f aca="false">IF(OR(C165="",H165&lt;&gt;"Approved"),0,IF(G165&lt;&gt;"",G165,N(F165)))</f>
        <v>0</v>
      </c>
    </row>
    <row r="166" customFormat="false" ht="15" hidden="false" customHeight="false" outlineLevel="0" collapsed="false">
      <c r="A166" s="32"/>
      <c r="B166" s="32"/>
      <c r="C166" s="32"/>
      <c r="D166" s="32"/>
      <c r="E166" s="33"/>
      <c r="F166" s="41"/>
      <c r="G166" s="41"/>
      <c r="H166" s="32"/>
      <c r="I166" s="35"/>
      <c r="J166" s="35"/>
      <c r="K166" s="33"/>
      <c r="L166" s="37" t="n">
        <f aca="false">IF(OR(C166="",H166&lt;&gt;"Approved"),0,IF(G166&lt;&gt;"",G166,N(F166)))</f>
        <v>0</v>
      </c>
    </row>
    <row r="167" customFormat="false" ht="15" hidden="false" customHeight="false" outlineLevel="0" collapsed="false">
      <c r="A167" s="32"/>
      <c r="B167" s="32"/>
      <c r="C167" s="32"/>
      <c r="D167" s="32"/>
      <c r="E167" s="33"/>
      <c r="F167" s="41"/>
      <c r="G167" s="41"/>
      <c r="H167" s="32"/>
      <c r="I167" s="35"/>
      <c r="J167" s="35"/>
      <c r="K167" s="33"/>
      <c r="L167" s="37" t="n">
        <f aca="false">IF(OR(C167="",H167&lt;&gt;"Approved"),0,IF(G167&lt;&gt;"",G167,N(F167)))</f>
        <v>0</v>
      </c>
    </row>
    <row r="168" customFormat="false" ht="15" hidden="false" customHeight="false" outlineLevel="0" collapsed="false">
      <c r="A168" s="32"/>
      <c r="B168" s="32"/>
      <c r="C168" s="32"/>
      <c r="D168" s="32"/>
      <c r="E168" s="33"/>
      <c r="F168" s="41"/>
      <c r="G168" s="41"/>
      <c r="H168" s="32"/>
      <c r="I168" s="35"/>
      <c r="J168" s="35"/>
      <c r="K168" s="33"/>
      <c r="L168" s="37" t="n">
        <f aca="false">IF(OR(C168="",H168&lt;&gt;"Approved"),0,IF(G168&lt;&gt;"",G168,N(F168)))</f>
        <v>0</v>
      </c>
    </row>
    <row r="169" customFormat="false" ht="15" hidden="false" customHeight="false" outlineLevel="0" collapsed="false">
      <c r="A169" s="32"/>
      <c r="B169" s="32"/>
      <c r="C169" s="32"/>
      <c r="D169" s="32"/>
      <c r="E169" s="33"/>
      <c r="F169" s="41"/>
      <c r="G169" s="41"/>
      <c r="H169" s="32"/>
      <c r="I169" s="35"/>
      <c r="J169" s="35"/>
      <c r="K169" s="33"/>
      <c r="L169" s="37" t="n">
        <f aca="false">IF(OR(C169="",H169&lt;&gt;"Approved"),0,IF(G169&lt;&gt;"",G169,N(F169)))</f>
        <v>0</v>
      </c>
    </row>
    <row r="170" customFormat="false" ht="15" hidden="false" customHeight="false" outlineLevel="0" collapsed="false">
      <c r="A170" s="32"/>
      <c r="B170" s="32"/>
      <c r="C170" s="32"/>
      <c r="D170" s="32"/>
      <c r="E170" s="33"/>
      <c r="F170" s="41"/>
      <c r="G170" s="41"/>
      <c r="H170" s="32"/>
      <c r="I170" s="35"/>
      <c r="J170" s="35"/>
      <c r="K170" s="33"/>
      <c r="L170" s="37" t="n">
        <f aca="false">IF(OR(C170="",H170&lt;&gt;"Approved"),0,IF(G170&lt;&gt;"",G170,N(F170)))</f>
        <v>0</v>
      </c>
    </row>
    <row r="171" customFormat="false" ht="15" hidden="false" customHeight="false" outlineLevel="0" collapsed="false">
      <c r="A171" s="32"/>
      <c r="B171" s="32"/>
      <c r="C171" s="32"/>
      <c r="D171" s="32"/>
      <c r="E171" s="33"/>
      <c r="F171" s="41"/>
      <c r="G171" s="41"/>
      <c r="H171" s="32"/>
      <c r="I171" s="35"/>
      <c r="J171" s="35"/>
      <c r="K171" s="33"/>
      <c r="L171" s="37" t="n">
        <f aca="false">IF(OR(C171="",H171&lt;&gt;"Approved"),0,IF(G171&lt;&gt;"",G171,N(F171)))</f>
        <v>0</v>
      </c>
    </row>
    <row r="172" customFormat="false" ht="15" hidden="false" customHeight="false" outlineLevel="0" collapsed="false">
      <c r="A172" s="32"/>
      <c r="B172" s="32"/>
      <c r="C172" s="32"/>
      <c r="D172" s="32"/>
      <c r="E172" s="33"/>
      <c r="F172" s="41"/>
      <c r="G172" s="41"/>
      <c r="H172" s="32"/>
      <c r="I172" s="35"/>
      <c r="J172" s="35"/>
      <c r="K172" s="33"/>
      <c r="L172" s="37" t="n">
        <f aca="false">IF(OR(C172="",H172&lt;&gt;"Approved"),0,IF(G172&lt;&gt;"",G172,N(F172)))</f>
        <v>0</v>
      </c>
    </row>
    <row r="173" customFormat="false" ht="15" hidden="false" customHeight="false" outlineLevel="0" collapsed="false">
      <c r="A173" s="32"/>
      <c r="B173" s="32"/>
      <c r="C173" s="32"/>
      <c r="D173" s="32"/>
      <c r="E173" s="33"/>
      <c r="F173" s="41"/>
      <c r="G173" s="41"/>
      <c r="H173" s="32"/>
      <c r="I173" s="35"/>
      <c r="J173" s="35"/>
      <c r="K173" s="33"/>
      <c r="L173" s="37" t="n">
        <f aca="false">IF(OR(C173="",H173&lt;&gt;"Approved"),0,IF(G173&lt;&gt;"",G173,N(F173)))</f>
        <v>0</v>
      </c>
    </row>
    <row r="174" customFormat="false" ht="15" hidden="false" customHeight="false" outlineLevel="0" collapsed="false">
      <c r="A174" s="32"/>
      <c r="B174" s="32"/>
      <c r="C174" s="32"/>
      <c r="D174" s="32"/>
      <c r="E174" s="33"/>
      <c r="F174" s="41"/>
      <c r="G174" s="41"/>
      <c r="H174" s="32"/>
      <c r="I174" s="35"/>
      <c r="J174" s="35"/>
      <c r="K174" s="33"/>
      <c r="L174" s="37" t="n">
        <f aca="false">IF(OR(C174="",H174&lt;&gt;"Approved"),0,IF(G174&lt;&gt;"",G174,N(F174)))</f>
        <v>0</v>
      </c>
    </row>
    <row r="175" customFormat="false" ht="15" hidden="false" customHeight="false" outlineLevel="0" collapsed="false">
      <c r="A175" s="32"/>
      <c r="B175" s="32"/>
      <c r="C175" s="32"/>
      <c r="D175" s="32"/>
      <c r="E175" s="33"/>
      <c r="F175" s="41"/>
      <c r="G175" s="41"/>
      <c r="H175" s="32"/>
      <c r="I175" s="35"/>
      <c r="J175" s="35"/>
      <c r="K175" s="33"/>
      <c r="L175" s="37" t="n">
        <f aca="false">IF(OR(C175="",H175&lt;&gt;"Approved"),0,IF(G175&lt;&gt;"",G175,N(F175)))</f>
        <v>0</v>
      </c>
    </row>
    <row r="176" customFormat="false" ht="15" hidden="false" customHeight="false" outlineLevel="0" collapsed="false">
      <c r="A176" s="32"/>
      <c r="B176" s="32"/>
      <c r="C176" s="32"/>
      <c r="D176" s="32"/>
      <c r="E176" s="33"/>
      <c r="F176" s="41"/>
      <c r="G176" s="41"/>
      <c r="H176" s="32"/>
      <c r="I176" s="35"/>
      <c r="J176" s="35"/>
      <c r="K176" s="33"/>
      <c r="L176" s="37" t="n">
        <f aca="false">IF(OR(C176="",H176&lt;&gt;"Approved"),0,IF(G176&lt;&gt;"",G176,N(F176)))</f>
        <v>0</v>
      </c>
    </row>
    <row r="177" customFormat="false" ht="15" hidden="false" customHeight="false" outlineLevel="0" collapsed="false">
      <c r="A177" s="32"/>
      <c r="B177" s="32"/>
      <c r="C177" s="32"/>
      <c r="D177" s="32"/>
      <c r="E177" s="33"/>
      <c r="F177" s="41"/>
      <c r="G177" s="41"/>
      <c r="H177" s="32"/>
      <c r="I177" s="35"/>
      <c r="J177" s="35"/>
      <c r="K177" s="33"/>
      <c r="L177" s="37" t="n">
        <f aca="false">IF(OR(C177="",H177&lt;&gt;"Approved"),0,IF(G177&lt;&gt;"",G177,N(F177)))</f>
        <v>0</v>
      </c>
    </row>
    <row r="178" customFormat="false" ht="15" hidden="false" customHeight="false" outlineLevel="0" collapsed="false">
      <c r="A178" s="32"/>
      <c r="B178" s="32"/>
      <c r="C178" s="32"/>
      <c r="D178" s="32"/>
      <c r="E178" s="33"/>
      <c r="F178" s="41"/>
      <c r="G178" s="41"/>
      <c r="H178" s="32"/>
      <c r="I178" s="35"/>
      <c r="J178" s="35"/>
      <c r="K178" s="33"/>
      <c r="L178" s="37" t="n">
        <f aca="false">IF(OR(C178="",H178&lt;&gt;"Approved"),0,IF(G178&lt;&gt;"",G178,N(F178)))</f>
        <v>0</v>
      </c>
    </row>
    <row r="179" customFormat="false" ht="15" hidden="false" customHeight="false" outlineLevel="0" collapsed="false">
      <c r="A179" s="32"/>
      <c r="B179" s="32"/>
      <c r="C179" s="32"/>
      <c r="D179" s="32"/>
      <c r="E179" s="33"/>
      <c r="F179" s="41"/>
      <c r="G179" s="41"/>
      <c r="H179" s="32"/>
      <c r="I179" s="35"/>
      <c r="J179" s="35"/>
      <c r="K179" s="33"/>
      <c r="L179" s="37" t="n">
        <f aca="false">IF(OR(C179="",H179&lt;&gt;"Approved"),0,IF(G179&lt;&gt;"",G179,N(F179)))</f>
        <v>0</v>
      </c>
    </row>
    <row r="180" customFormat="false" ht="15" hidden="false" customHeight="false" outlineLevel="0" collapsed="false">
      <c r="A180" s="32"/>
      <c r="B180" s="32"/>
      <c r="C180" s="32"/>
      <c r="D180" s="32"/>
      <c r="E180" s="33"/>
      <c r="F180" s="41"/>
      <c r="G180" s="41"/>
      <c r="H180" s="32"/>
      <c r="I180" s="35"/>
      <c r="J180" s="35"/>
      <c r="K180" s="33"/>
      <c r="L180" s="37" t="n">
        <f aca="false">IF(OR(C180="",H180&lt;&gt;"Approved"),0,IF(G180&lt;&gt;"",G180,N(F180)))</f>
        <v>0</v>
      </c>
    </row>
    <row r="181" customFormat="false" ht="15" hidden="false" customHeight="false" outlineLevel="0" collapsed="false">
      <c r="A181" s="32"/>
      <c r="B181" s="32"/>
      <c r="C181" s="32"/>
      <c r="D181" s="32"/>
      <c r="E181" s="33"/>
      <c r="F181" s="41"/>
      <c r="G181" s="41"/>
      <c r="H181" s="32"/>
      <c r="I181" s="35"/>
      <c r="J181" s="35"/>
      <c r="K181" s="33"/>
      <c r="L181" s="37" t="n">
        <f aca="false">IF(OR(C181="",H181&lt;&gt;"Approved"),0,IF(G181&lt;&gt;"",G181,N(F181)))</f>
        <v>0</v>
      </c>
    </row>
    <row r="182" customFormat="false" ht="15" hidden="false" customHeight="false" outlineLevel="0" collapsed="false">
      <c r="A182" s="32"/>
      <c r="B182" s="32"/>
      <c r="C182" s="32"/>
      <c r="D182" s="32"/>
      <c r="E182" s="33"/>
      <c r="F182" s="41"/>
      <c r="G182" s="41"/>
      <c r="H182" s="32"/>
      <c r="I182" s="35"/>
      <c r="J182" s="35"/>
      <c r="K182" s="33"/>
      <c r="L182" s="37" t="n">
        <f aca="false">IF(OR(C182="",H182&lt;&gt;"Approved"),0,IF(G182&lt;&gt;"",G182,N(F182)))</f>
        <v>0</v>
      </c>
    </row>
    <row r="183" customFormat="false" ht="15" hidden="false" customHeight="false" outlineLevel="0" collapsed="false">
      <c r="A183" s="32"/>
      <c r="B183" s="32"/>
      <c r="C183" s="32"/>
      <c r="D183" s="32"/>
      <c r="E183" s="33"/>
      <c r="F183" s="41"/>
      <c r="G183" s="41"/>
      <c r="H183" s="32"/>
      <c r="I183" s="35"/>
      <c r="J183" s="35"/>
      <c r="K183" s="33"/>
      <c r="L183" s="37" t="n">
        <f aca="false">IF(OR(C183="",H183&lt;&gt;"Approved"),0,IF(G183&lt;&gt;"",G183,N(F183)))</f>
        <v>0</v>
      </c>
    </row>
    <row r="184" customFormat="false" ht="15" hidden="false" customHeight="false" outlineLevel="0" collapsed="false">
      <c r="A184" s="32"/>
      <c r="B184" s="32"/>
      <c r="C184" s="32"/>
      <c r="D184" s="32"/>
      <c r="E184" s="33"/>
      <c r="F184" s="41"/>
      <c r="G184" s="41"/>
      <c r="H184" s="32"/>
      <c r="I184" s="35"/>
      <c r="J184" s="35"/>
      <c r="K184" s="33"/>
      <c r="L184" s="37" t="n">
        <f aca="false">IF(OR(C184="",H184&lt;&gt;"Approved"),0,IF(G184&lt;&gt;"",G184,N(F184)))</f>
        <v>0</v>
      </c>
    </row>
    <row r="185" customFormat="false" ht="15" hidden="false" customHeight="false" outlineLevel="0" collapsed="false">
      <c r="A185" s="32"/>
      <c r="B185" s="32"/>
      <c r="C185" s="32"/>
      <c r="D185" s="32"/>
      <c r="E185" s="33"/>
      <c r="F185" s="41"/>
      <c r="G185" s="41"/>
      <c r="H185" s="32"/>
      <c r="I185" s="35"/>
      <c r="J185" s="35"/>
      <c r="K185" s="33"/>
      <c r="L185" s="37" t="n">
        <f aca="false">IF(OR(C185="",H185&lt;&gt;"Approved"),0,IF(G185&lt;&gt;"",G185,N(F185)))</f>
        <v>0</v>
      </c>
    </row>
    <row r="186" customFormat="false" ht="15" hidden="false" customHeight="false" outlineLevel="0" collapsed="false">
      <c r="A186" s="32"/>
      <c r="B186" s="32"/>
      <c r="C186" s="32"/>
      <c r="D186" s="32"/>
      <c r="E186" s="33"/>
      <c r="F186" s="41"/>
      <c r="G186" s="41"/>
      <c r="H186" s="32"/>
      <c r="I186" s="35"/>
      <c r="J186" s="35"/>
      <c r="K186" s="33"/>
      <c r="L186" s="37" t="n">
        <f aca="false">IF(OR(C186="",H186&lt;&gt;"Approved"),0,IF(G186&lt;&gt;"",G186,N(F186)))</f>
        <v>0</v>
      </c>
    </row>
    <row r="187" customFormat="false" ht="15" hidden="false" customHeight="false" outlineLevel="0" collapsed="false">
      <c r="A187" s="32"/>
      <c r="B187" s="32"/>
      <c r="C187" s="32"/>
      <c r="D187" s="32"/>
      <c r="E187" s="33"/>
      <c r="F187" s="41"/>
      <c r="G187" s="41"/>
      <c r="H187" s="32"/>
      <c r="I187" s="35"/>
      <c r="J187" s="35"/>
      <c r="K187" s="33"/>
      <c r="L187" s="37" t="n">
        <f aca="false">IF(OR(C187="",H187&lt;&gt;"Approved"),0,IF(G187&lt;&gt;"",G187,N(F187)))</f>
        <v>0</v>
      </c>
    </row>
    <row r="188" customFormat="false" ht="15" hidden="false" customHeight="false" outlineLevel="0" collapsed="false">
      <c r="A188" s="32"/>
      <c r="B188" s="32"/>
      <c r="C188" s="32"/>
      <c r="D188" s="32"/>
      <c r="E188" s="33"/>
      <c r="F188" s="41"/>
      <c r="G188" s="41"/>
      <c r="H188" s="32"/>
      <c r="I188" s="35"/>
      <c r="J188" s="35"/>
      <c r="K188" s="33"/>
      <c r="L188" s="37" t="n">
        <f aca="false">IF(OR(C188="",H188&lt;&gt;"Approved"),0,IF(G188&lt;&gt;"",G188,N(F188)))</f>
        <v>0</v>
      </c>
    </row>
    <row r="189" customFormat="false" ht="15" hidden="false" customHeight="false" outlineLevel="0" collapsed="false">
      <c r="A189" s="32"/>
      <c r="B189" s="32"/>
      <c r="C189" s="32"/>
      <c r="D189" s="32"/>
      <c r="E189" s="33"/>
      <c r="F189" s="41"/>
      <c r="G189" s="41"/>
      <c r="H189" s="32"/>
      <c r="I189" s="35"/>
      <c r="J189" s="35"/>
      <c r="K189" s="33"/>
      <c r="L189" s="37" t="n">
        <f aca="false">IF(OR(C189="",H189&lt;&gt;"Approved"),0,IF(G189&lt;&gt;"",G189,N(F189)))</f>
        <v>0</v>
      </c>
    </row>
    <row r="190" customFormat="false" ht="15" hidden="false" customHeight="false" outlineLevel="0" collapsed="false">
      <c r="A190" s="32"/>
      <c r="B190" s="32"/>
      <c r="C190" s="32"/>
      <c r="D190" s="32"/>
      <c r="E190" s="33"/>
      <c r="F190" s="41"/>
      <c r="G190" s="41"/>
      <c r="H190" s="32"/>
      <c r="I190" s="35"/>
      <c r="J190" s="35"/>
      <c r="K190" s="33"/>
      <c r="L190" s="37" t="n">
        <f aca="false">IF(OR(C190="",H190&lt;&gt;"Approved"),0,IF(G190&lt;&gt;"",G190,N(F190)))</f>
        <v>0</v>
      </c>
    </row>
    <row r="191" customFormat="false" ht="15" hidden="false" customHeight="false" outlineLevel="0" collapsed="false">
      <c r="A191" s="32"/>
      <c r="B191" s="32"/>
      <c r="C191" s="32"/>
      <c r="D191" s="32"/>
      <c r="E191" s="33"/>
      <c r="F191" s="41"/>
      <c r="G191" s="41"/>
      <c r="H191" s="32"/>
      <c r="I191" s="35"/>
      <c r="J191" s="35"/>
      <c r="K191" s="33"/>
      <c r="L191" s="37" t="n">
        <f aca="false">IF(OR(C191="",H191&lt;&gt;"Approved"),0,IF(G191&lt;&gt;"",G191,N(F191)))</f>
        <v>0</v>
      </c>
    </row>
    <row r="192" customFormat="false" ht="15" hidden="false" customHeight="false" outlineLevel="0" collapsed="false">
      <c r="A192" s="32"/>
      <c r="B192" s="32"/>
      <c r="C192" s="32"/>
      <c r="D192" s="32"/>
      <c r="E192" s="33"/>
      <c r="F192" s="41"/>
      <c r="G192" s="41"/>
      <c r="H192" s="32"/>
      <c r="I192" s="35"/>
      <c r="J192" s="35"/>
      <c r="K192" s="33"/>
      <c r="L192" s="37" t="n">
        <f aca="false">IF(OR(C192="",H192&lt;&gt;"Approved"),0,IF(G192&lt;&gt;"",G192,N(F192)))</f>
        <v>0</v>
      </c>
    </row>
    <row r="193" customFormat="false" ht="15" hidden="false" customHeight="false" outlineLevel="0" collapsed="false">
      <c r="A193" s="32"/>
      <c r="B193" s="32"/>
      <c r="C193" s="32"/>
      <c r="D193" s="32"/>
      <c r="E193" s="33"/>
      <c r="F193" s="41"/>
      <c r="G193" s="41"/>
      <c r="H193" s="32"/>
      <c r="I193" s="35"/>
      <c r="J193" s="35"/>
      <c r="K193" s="33"/>
      <c r="L193" s="37" t="n">
        <f aca="false">IF(OR(C193="",H193&lt;&gt;"Approved"),0,IF(G193&lt;&gt;"",G193,N(F193)))</f>
        <v>0</v>
      </c>
    </row>
    <row r="194" customFormat="false" ht="15" hidden="false" customHeight="false" outlineLevel="0" collapsed="false">
      <c r="A194" s="32"/>
      <c r="B194" s="32"/>
      <c r="C194" s="32"/>
      <c r="D194" s="32"/>
      <c r="E194" s="33"/>
      <c r="F194" s="41"/>
      <c r="G194" s="41"/>
      <c r="H194" s="32"/>
      <c r="I194" s="35"/>
      <c r="J194" s="35"/>
      <c r="K194" s="33"/>
      <c r="L194" s="37" t="n">
        <f aca="false">IF(OR(C194="",H194&lt;&gt;"Approved"),0,IF(G194&lt;&gt;"",G194,N(F194)))</f>
        <v>0</v>
      </c>
    </row>
    <row r="195" customFormat="false" ht="15" hidden="false" customHeight="false" outlineLevel="0" collapsed="false">
      <c r="A195" s="32"/>
      <c r="B195" s="32"/>
      <c r="C195" s="32"/>
      <c r="D195" s="32"/>
      <c r="E195" s="33"/>
      <c r="F195" s="41"/>
      <c r="G195" s="41"/>
      <c r="H195" s="32"/>
      <c r="I195" s="35"/>
      <c r="J195" s="35"/>
      <c r="K195" s="33"/>
      <c r="L195" s="37" t="n">
        <f aca="false">IF(OR(C195="",H195&lt;&gt;"Approved"),0,IF(G195&lt;&gt;"",G195,N(F195)))</f>
        <v>0</v>
      </c>
    </row>
    <row r="196" customFormat="false" ht="15" hidden="false" customHeight="false" outlineLevel="0" collapsed="false">
      <c r="A196" s="32"/>
      <c r="B196" s="32"/>
      <c r="C196" s="32"/>
      <c r="D196" s="32"/>
      <c r="E196" s="33"/>
      <c r="F196" s="41"/>
      <c r="G196" s="41"/>
      <c r="H196" s="32"/>
      <c r="I196" s="35"/>
      <c r="J196" s="35"/>
      <c r="K196" s="33"/>
      <c r="L196" s="37" t="n">
        <f aca="false">IF(OR(C196="",H196&lt;&gt;"Approved"),0,IF(G196&lt;&gt;"",G196,N(F196)))</f>
        <v>0</v>
      </c>
    </row>
    <row r="197" customFormat="false" ht="15" hidden="false" customHeight="false" outlineLevel="0" collapsed="false">
      <c r="A197" s="32"/>
      <c r="B197" s="32"/>
      <c r="C197" s="32"/>
      <c r="D197" s="32"/>
      <c r="E197" s="33"/>
      <c r="F197" s="41"/>
      <c r="G197" s="41"/>
      <c r="H197" s="32"/>
      <c r="I197" s="35"/>
      <c r="J197" s="35"/>
      <c r="K197" s="33"/>
      <c r="L197" s="37" t="n">
        <f aca="false">IF(OR(C197="",H197&lt;&gt;"Approved"),0,IF(G197&lt;&gt;"",G197,N(F197)))</f>
        <v>0</v>
      </c>
    </row>
    <row r="198" customFormat="false" ht="15" hidden="false" customHeight="false" outlineLevel="0" collapsed="false">
      <c r="A198" s="32"/>
      <c r="B198" s="32"/>
      <c r="C198" s="32"/>
      <c r="D198" s="32"/>
      <c r="E198" s="33"/>
      <c r="F198" s="41"/>
      <c r="G198" s="41"/>
      <c r="H198" s="32"/>
      <c r="I198" s="35"/>
      <c r="J198" s="35"/>
      <c r="K198" s="33"/>
      <c r="L198" s="37" t="n">
        <f aca="false">IF(OR(C198="",H198&lt;&gt;"Approved"),0,IF(G198&lt;&gt;"",G198,N(F198)))</f>
        <v>0</v>
      </c>
    </row>
    <row r="199" customFormat="false" ht="15" hidden="false" customHeight="false" outlineLevel="0" collapsed="false">
      <c r="A199" s="32"/>
      <c r="B199" s="32"/>
      <c r="C199" s="32"/>
      <c r="D199" s="32"/>
      <c r="E199" s="33"/>
      <c r="F199" s="41"/>
      <c r="G199" s="41"/>
      <c r="H199" s="32"/>
      <c r="I199" s="35"/>
      <c r="J199" s="35"/>
      <c r="K199" s="33"/>
      <c r="L199" s="37" t="n">
        <f aca="false">IF(OR(C199="",H199&lt;&gt;"Approved"),0,IF(G199&lt;&gt;"",G199,N(F199)))</f>
        <v>0</v>
      </c>
    </row>
    <row r="200" customFormat="false" ht="15" hidden="false" customHeight="false" outlineLevel="0" collapsed="false">
      <c r="A200" s="32"/>
      <c r="B200" s="32"/>
      <c r="C200" s="32"/>
      <c r="D200" s="32"/>
      <c r="E200" s="33"/>
      <c r="F200" s="41"/>
      <c r="G200" s="41"/>
      <c r="H200" s="32"/>
      <c r="I200" s="35"/>
      <c r="J200" s="35"/>
      <c r="K200" s="33"/>
      <c r="L200" s="37" t="n">
        <f aca="false">IF(OR(C200="",H200&lt;&gt;"Approved"),0,IF(G200&lt;&gt;"",G200,N(F200)))</f>
        <v>0</v>
      </c>
    </row>
    <row r="201" customFormat="false" ht="15" hidden="false" customHeight="false" outlineLevel="0" collapsed="false">
      <c r="A201" s="32"/>
      <c r="B201" s="32"/>
      <c r="C201" s="32"/>
      <c r="D201" s="32"/>
      <c r="E201" s="33"/>
      <c r="F201" s="41"/>
      <c r="G201" s="41"/>
      <c r="H201" s="32"/>
      <c r="I201" s="35"/>
      <c r="J201" s="35"/>
      <c r="K201" s="33"/>
      <c r="L201" s="37" t="n">
        <f aca="false">IF(OR(C201="",H201&lt;&gt;"Approved"),0,IF(G201&lt;&gt;"",G201,N(F201)))</f>
        <v>0</v>
      </c>
    </row>
    <row r="202" customFormat="false" ht="15" hidden="false" customHeight="false" outlineLevel="0" collapsed="false">
      <c r="A202" s="32"/>
      <c r="B202" s="32"/>
      <c r="C202" s="32"/>
      <c r="D202" s="32"/>
      <c r="E202" s="33"/>
      <c r="F202" s="41"/>
      <c r="G202" s="41"/>
      <c r="H202" s="32"/>
      <c r="I202" s="35"/>
      <c r="J202" s="35"/>
      <c r="K202" s="33"/>
      <c r="L202" s="37" t="n">
        <f aca="false">IF(OR(C202="",H202&lt;&gt;"Approved"),0,IF(G202&lt;&gt;"",G202,N(F202)))</f>
        <v>0</v>
      </c>
    </row>
    <row r="203" customFormat="false" ht="15" hidden="false" customHeight="false" outlineLevel="0" collapsed="false">
      <c r="A203" s="32"/>
      <c r="B203" s="32"/>
      <c r="C203" s="32"/>
      <c r="D203" s="32"/>
      <c r="E203" s="33"/>
      <c r="F203" s="41"/>
      <c r="G203" s="41"/>
      <c r="H203" s="32"/>
      <c r="I203" s="35"/>
      <c r="J203" s="35"/>
      <c r="K203" s="33"/>
      <c r="L203" s="37" t="n">
        <f aca="false">IF(OR(C203="",H203&lt;&gt;"Approved"),0,IF(G203&lt;&gt;"",G203,N(F203)))</f>
        <v>0</v>
      </c>
    </row>
    <row r="204" customFormat="false" ht="15" hidden="false" customHeight="false" outlineLevel="0" collapsed="false">
      <c r="A204" s="32"/>
      <c r="B204" s="32"/>
      <c r="C204" s="32"/>
      <c r="D204" s="32"/>
      <c r="E204" s="33"/>
      <c r="F204" s="41"/>
      <c r="G204" s="41"/>
      <c r="H204" s="32"/>
      <c r="I204" s="35"/>
      <c r="J204" s="35"/>
      <c r="K204" s="33"/>
      <c r="L204" s="37" t="n">
        <f aca="false">IF(OR(C204="",H204&lt;&gt;"Approved"),0,IF(G204&lt;&gt;"",G204,N(F204)))</f>
        <v>0</v>
      </c>
    </row>
    <row r="205" customFormat="false" ht="15" hidden="false" customHeight="false" outlineLevel="0" collapsed="false">
      <c r="A205" s="32"/>
      <c r="B205" s="32"/>
      <c r="C205" s="32"/>
      <c r="D205" s="32"/>
      <c r="E205" s="33"/>
      <c r="F205" s="41"/>
      <c r="G205" s="41"/>
      <c r="H205" s="32"/>
      <c r="I205" s="35"/>
      <c r="J205" s="35"/>
      <c r="K205" s="33"/>
      <c r="L205" s="37" t="n">
        <f aca="false">IF(OR(C205="",H205&lt;&gt;"Approved"),0,IF(G205&lt;&gt;"",G205,N(F205)))</f>
        <v>0</v>
      </c>
    </row>
    <row r="206" customFormat="false" ht="15" hidden="false" customHeight="false" outlineLevel="0" collapsed="false">
      <c r="A206" s="32"/>
      <c r="B206" s="32"/>
      <c r="C206" s="32"/>
      <c r="D206" s="32"/>
      <c r="E206" s="33"/>
      <c r="F206" s="41"/>
      <c r="G206" s="41"/>
      <c r="H206" s="32"/>
      <c r="I206" s="35"/>
      <c r="J206" s="35"/>
      <c r="K206" s="33"/>
      <c r="L206" s="37" t="n">
        <f aca="false">IF(OR(C206="",H206&lt;&gt;"Approved"),0,IF(G206&lt;&gt;"",G206,N(F206)))</f>
        <v>0</v>
      </c>
    </row>
    <row r="207" customFormat="false" ht="15" hidden="false" customHeight="false" outlineLevel="0" collapsed="false">
      <c r="A207" s="32"/>
      <c r="B207" s="32"/>
      <c r="C207" s="32"/>
      <c r="D207" s="32"/>
      <c r="E207" s="33"/>
      <c r="F207" s="41"/>
      <c r="G207" s="41"/>
      <c r="H207" s="32"/>
      <c r="I207" s="35"/>
      <c r="J207" s="35"/>
      <c r="K207" s="33"/>
      <c r="L207" s="37" t="n">
        <f aca="false">IF(OR(C207="",H207&lt;&gt;"Approved"),0,IF(G207&lt;&gt;"",G207,N(F207)))</f>
        <v>0</v>
      </c>
    </row>
    <row r="208" customFormat="false" ht="15" hidden="false" customHeight="false" outlineLevel="0" collapsed="false">
      <c r="A208" s="32"/>
      <c r="B208" s="32"/>
      <c r="C208" s="32"/>
      <c r="D208" s="32"/>
      <c r="E208" s="33"/>
      <c r="F208" s="41"/>
      <c r="G208" s="41"/>
      <c r="H208" s="32"/>
      <c r="I208" s="35"/>
      <c r="J208" s="35"/>
      <c r="K208" s="33"/>
      <c r="L208" s="37" t="n">
        <f aca="false">IF(OR(C208="",H208&lt;&gt;"Approved"),0,IF(G208&lt;&gt;"",G208,N(F208)))</f>
        <v>0</v>
      </c>
    </row>
    <row r="209" customFormat="false" ht="15" hidden="false" customHeight="false" outlineLevel="0" collapsed="false">
      <c r="A209" s="32"/>
      <c r="B209" s="32"/>
      <c r="C209" s="32"/>
      <c r="D209" s="32"/>
      <c r="E209" s="33"/>
      <c r="F209" s="41"/>
      <c r="G209" s="41"/>
      <c r="H209" s="32"/>
      <c r="I209" s="35"/>
      <c r="J209" s="35"/>
      <c r="K209" s="33"/>
      <c r="L209" s="37" t="n">
        <f aca="false">IF(OR(C209="",H209&lt;&gt;"Approved"),0,IF(G209&lt;&gt;"",G209,N(F209)))</f>
        <v>0</v>
      </c>
    </row>
    <row r="210" customFormat="false" ht="15" hidden="false" customHeight="false" outlineLevel="0" collapsed="false">
      <c r="A210" s="32"/>
      <c r="B210" s="32"/>
      <c r="C210" s="32"/>
      <c r="D210" s="32"/>
      <c r="E210" s="33"/>
      <c r="F210" s="41"/>
      <c r="G210" s="41"/>
      <c r="H210" s="32"/>
      <c r="I210" s="35"/>
      <c r="J210" s="35"/>
      <c r="K210" s="33"/>
      <c r="L210" s="37" t="n">
        <f aca="false">IF(OR(C210="",H210&lt;&gt;"Approved"),0,IF(G210&lt;&gt;"",G210,N(F210)))</f>
        <v>0</v>
      </c>
    </row>
    <row r="211" customFormat="false" ht="15" hidden="false" customHeight="false" outlineLevel="0" collapsed="false">
      <c r="A211" s="32"/>
      <c r="B211" s="32"/>
      <c r="C211" s="32"/>
      <c r="D211" s="32"/>
      <c r="E211" s="33"/>
      <c r="F211" s="41"/>
      <c r="G211" s="41"/>
      <c r="H211" s="32"/>
      <c r="I211" s="35"/>
      <c r="J211" s="35"/>
      <c r="K211" s="33"/>
      <c r="L211" s="37" t="n">
        <f aca="false">IF(OR(C211="",H211&lt;&gt;"Approved"),0,IF(G211&lt;&gt;"",G211,N(F211)))</f>
        <v>0</v>
      </c>
    </row>
    <row r="212" customFormat="false" ht="15" hidden="false" customHeight="false" outlineLevel="0" collapsed="false">
      <c r="A212" s="32"/>
      <c r="B212" s="32"/>
      <c r="C212" s="32"/>
      <c r="D212" s="32"/>
      <c r="E212" s="33"/>
      <c r="F212" s="41"/>
      <c r="G212" s="41"/>
      <c r="H212" s="32"/>
      <c r="I212" s="35"/>
      <c r="J212" s="35"/>
      <c r="K212" s="33"/>
      <c r="L212" s="37" t="n">
        <f aca="false">IF(OR(C212="",H212&lt;&gt;"Approved"),0,IF(G212&lt;&gt;"",G212,N(F212)))</f>
        <v>0</v>
      </c>
    </row>
    <row r="213" customFormat="false" ht="15" hidden="false" customHeight="false" outlineLevel="0" collapsed="false">
      <c r="A213" s="32"/>
      <c r="B213" s="32"/>
      <c r="C213" s="32"/>
      <c r="D213" s="32"/>
      <c r="E213" s="33"/>
      <c r="F213" s="41"/>
      <c r="G213" s="41"/>
      <c r="H213" s="32"/>
      <c r="I213" s="35"/>
      <c r="J213" s="35"/>
      <c r="K213" s="33"/>
      <c r="L213" s="37" t="n">
        <f aca="false">IF(OR(C213="",H213&lt;&gt;"Approved"),0,IF(G213&lt;&gt;"",G213,N(F213)))</f>
        <v>0</v>
      </c>
    </row>
    <row r="214" customFormat="false" ht="15" hidden="false" customHeight="false" outlineLevel="0" collapsed="false">
      <c r="A214" s="32"/>
      <c r="B214" s="32"/>
      <c r="C214" s="32"/>
      <c r="D214" s="32"/>
      <c r="E214" s="33"/>
      <c r="F214" s="41"/>
      <c r="G214" s="41"/>
      <c r="H214" s="32"/>
      <c r="I214" s="35"/>
      <c r="J214" s="35"/>
      <c r="K214" s="33"/>
      <c r="L214" s="37" t="n">
        <f aca="false">IF(OR(C214="",H214&lt;&gt;"Approved"),0,IF(G214&lt;&gt;"",G214,N(F214)))</f>
        <v>0</v>
      </c>
    </row>
    <row r="215" customFormat="false" ht="15" hidden="false" customHeight="false" outlineLevel="0" collapsed="false">
      <c r="A215" s="32"/>
      <c r="B215" s="32"/>
      <c r="C215" s="32"/>
      <c r="D215" s="32"/>
      <c r="E215" s="33"/>
      <c r="F215" s="41"/>
      <c r="G215" s="41"/>
      <c r="H215" s="32"/>
      <c r="I215" s="35"/>
      <c r="J215" s="35"/>
      <c r="K215" s="33"/>
      <c r="L215" s="37" t="n">
        <f aca="false">IF(OR(C215="",H215&lt;&gt;"Approved"),0,IF(G215&lt;&gt;"",G215,N(F215)))</f>
        <v>0</v>
      </c>
    </row>
    <row r="216" customFormat="false" ht="15" hidden="false" customHeight="false" outlineLevel="0" collapsed="false">
      <c r="A216" s="32"/>
      <c r="B216" s="32"/>
      <c r="C216" s="32"/>
      <c r="D216" s="32"/>
      <c r="E216" s="33"/>
      <c r="F216" s="41"/>
      <c r="G216" s="41"/>
      <c r="H216" s="32"/>
      <c r="I216" s="35"/>
      <c r="J216" s="35"/>
      <c r="K216" s="33"/>
      <c r="L216" s="37" t="n">
        <f aca="false">IF(OR(C216="",H216&lt;&gt;"Approved"),0,IF(G216&lt;&gt;"",G216,N(F216)))</f>
        <v>0</v>
      </c>
    </row>
    <row r="217" customFormat="false" ht="15" hidden="false" customHeight="false" outlineLevel="0" collapsed="false">
      <c r="A217" s="32"/>
      <c r="B217" s="32"/>
      <c r="C217" s="32"/>
      <c r="D217" s="32"/>
      <c r="E217" s="33"/>
      <c r="F217" s="41"/>
      <c r="G217" s="41"/>
      <c r="H217" s="32"/>
      <c r="I217" s="35"/>
      <c r="J217" s="35"/>
      <c r="K217" s="33"/>
      <c r="L217" s="37" t="n">
        <f aca="false">IF(OR(C217="",H217&lt;&gt;"Approved"),0,IF(G217&lt;&gt;"",G217,N(F217)))</f>
        <v>0</v>
      </c>
    </row>
    <row r="218" customFormat="false" ht="15" hidden="false" customHeight="false" outlineLevel="0" collapsed="false">
      <c r="A218" s="32"/>
      <c r="B218" s="32"/>
      <c r="C218" s="32"/>
      <c r="D218" s="32"/>
      <c r="E218" s="33"/>
      <c r="F218" s="41"/>
      <c r="G218" s="41"/>
      <c r="H218" s="32"/>
      <c r="I218" s="35"/>
      <c r="J218" s="35"/>
      <c r="K218" s="33"/>
      <c r="L218" s="37" t="n">
        <f aca="false">IF(OR(C218="",H218&lt;&gt;"Approved"),0,IF(G218&lt;&gt;"",G218,N(F218)))</f>
        <v>0</v>
      </c>
    </row>
    <row r="219" customFormat="false" ht="15" hidden="false" customHeight="false" outlineLevel="0" collapsed="false">
      <c r="A219" s="32"/>
      <c r="B219" s="32"/>
      <c r="C219" s="32"/>
      <c r="D219" s="32"/>
      <c r="E219" s="33"/>
      <c r="F219" s="41"/>
      <c r="G219" s="41"/>
      <c r="H219" s="32"/>
      <c r="I219" s="35"/>
      <c r="J219" s="35"/>
      <c r="K219" s="33"/>
      <c r="L219" s="37" t="n">
        <f aca="false">IF(OR(C219="",H219&lt;&gt;"Approved"),0,IF(G219&lt;&gt;"",G219,N(F219)))</f>
        <v>0</v>
      </c>
    </row>
    <row r="220" customFormat="false" ht="15" hidden="false" customHeight="false" outlineLevel="0" collapsed="false">
      <c r="A220" s="32"/>
      <c r="B220" s="32"/>
      <c r="C220" s="32"/>
      <c r="D220" s="32"/>
      <c r="E220" s="33"/>
      <c r="F220" s="41"/>
      <c r="G220" s="41"/>
      <c r="H220" s="32"/>
      <c r="I220" s="35"/>
      <c r="J220" s="35"/>
      <c r="K220" s="33"/>
      <c r="L220" s="37" t="n">
        <f aca="false">IF(OR(C220="",H220&lt;&gt;"Approved"),0,IF(G220&lt;&gt;"",G220,N(F220)))</f>
        <v>0</v>
      </c>
    </row>
    <row r="221" customFormat="false" ht="15" hidden="false" customHeight="false" outlineLevel="0" collapsed="false">
      <c r="A221" s="32"/>
      <c r="B221" s="32"/>
      <c r="C221" s="32"/>
      <c r="D221" s="32"/>
      <c r="E221" s="33"/>
      <c r="F221" s="41"/>
      <c r="G221" s="41"/>
      <c r="H221" s="32"/>
      <c r="I221" s="35"/>
      <c r="J221" s="35"/>
      <c r="K221" s="33"/>
      <c r="L221" s="37" t="n">
        <f aca="false">IF(OR(C221="",H221&lt;&gt;"Approved"),0,IF(G221&lt;&gt;"",G221,N(F221)))</f>
        <v>0</v>
      </c>
    </row>
    <row r="222" customFormat="false" ht="15" hidden="false" customHeight="false" outlineLevel="0" collapsed="false">
      <c r="A222" s="32"/>
      <c r="B222" s="32"/>
      <c r="C222" s="32"/>
      <c r="D222" s="32"/>
      <c r="E222" s="33"/>
      <c r="F222" s="41"/>
      <c r="G222" s="41"/>
      <c r="H222" s="32"/>
      <c r="I222" s="35"/>
      <c r="J222" s="35"/>
      <c r="K222" s="33"/>
      <c r="L222" s="37" t="n">
        <f aca="false">IF(OR(C222="",H222&lt;&gt;"Approved"),0,IF(G222&lt;&gt;"",G222,N(F222)))</f>
        <v>0</v>
      </c>
    </row>
    <row r="223" customFormat="false" ht="15" hidden="false" customHeight="false" outlineLevel="0" collapsed="false">
      <c r="A223" s="32"/>
      <c r="B223" s="32"/>
      <c r="C223" s="32"/>
      <c r="D223" s="32"/>
      <c r="E223" s="33"/>
      <c r="F223" s="41"/>
      <c r="G223" s="41"/>
      <c r="H223" s="32"/>
      <c r="I223" s="35"/>
      <c r="J223" s="35"/>
      <c r="K223" s="33"/>
      <c r="L223" s="37" t="n">
        <f aca="false">IF(OR(C223="",H223&lt;&gt;"Approved"),0,IF(G223&lt;&gt;"",G223,N(F223)))</f>
        <v>0</v>
      </c>
    </row>
    <row r="224" customFormat="false" ht="15" hidden="false" customHeight="false" outlineLevel="0" collapsed="false">
      <c r="A224" s="32"/>
      <c r="B224" s="32"/>
      <c r="C224" s="32"/>
      <c r="D224" s="32"/>
      <c r="E224" s="33"/>
      <c r="F224" s="41"/>
      <c r="G224" s="41"/>
      <c r="H224" s="32"/>
      <c r="I224" s="35"/>
      <c r="J224" s="35"/>
      <c r="K224" s="33"/>
      <c r="L224" s="37" t="n">
        <f aca="false">IF(OR(C224="",H224&lt;&gt;"Approved"),0,IF(G224&lt;&gt;"",G224,N(F224)))</f>
        <v>0</v>
      </c>
    </row>
    <row r="225" customFormat="false" ht="15" hidden="false" customHeight="false" outlineLevel="0" collapsed="false">
      <c r="A225" s="32"/>
      <c r="B225" s="32"/>
      <c r="C225" s="32"/>
      <c r="D225" s="32"/>
      <c r="E225" s="33"/>
      <c r="F225" s="41"/>
      <c r="G225" s="41"/>
      <c r="H225" s="32"/>
      <c r="I225" s="35"/>
      <c r="J225" s="35"/>
      <c r="K225" s="33"/>
      <c r="L225" s="37" t="n">
        <f aca="false">IF(OR(C225="",H225&lt;&gt;"Approved"),0,IF(G225&lt;&gt;"",G225,N(F225)))</f>
        <v>0</v>
      </c>
    </row>
    <row r="226" customFormat="false" ht="15" hidden="false" customHeight="false" outlineLevel="0" collapsed="false">
      <c r="A226" s="32"/>
      <c r="B226" s="32"/>
      <c r="C226" s="32"/>
      <c r="D226" s="32"/>
      <c r="E226" s="33"/>
      <c r="F226" s="41"/>
      <c r="G226" s="41"/>
      <c r="H226" s="32"/>
      <c r="I226" s="35"/>
      <c r="J226" s="35"/>
      <c r="K226" s="33"/>
      <c r="L226" s="37" t="n">
        <f aca="false">IF(OR(C226="",H226&lt;&gt;"Approved"),0,IF(G226&lt;&gt;"",G226,N(F226)))</f>
        <v>0</v>
      </c>
    </row>
    <row r="227" customFormat="false" ht="15" hidden="false" customHeight="false" outlineLevel="0" collapsed="false">
      <c r="A227" s="32"/>
      <c r="B227" s="32"/>
      <c r="C227" s="32"/>
      <c r="D227" s="32"/>
      <c r="E227" s="33"/>
      <c r="F227" s="41"/>
      <c r="G227" s="41"/>
      <c r="H227" s="32"/>
      <c r="I227" s="35"/>
      <c r="J227" s="35"/>
      <c r="K227" s="33"/>
      <c r="L227" s="37" t="n">
        <f aca="false">IF(OR(C227="",H227&lt;&gt;"Approved"),0,IF(G227&lt;&gt;"",G227,N(F227)))</f>
        <v>0</v>
      </c>
    </row>
    <row r="228" customFormat="false" ht="15" hidden="false" customHeight="false" outlineLevel="0" collapsed="false">
      <c r="A228" s="32"/>
      <c r="B228" s="32"/>
      <c r="C228" s="32"/>
      <c r="D228" s="32"/>
      <c r="E228" s="33"/>
      <c r="F228" s="41"/>
      <c r="G228" s="41"/>
      <c r="H228" s="32"/>
      <c r="I228" s="35"/>
      <c r="J228" s="35"/>
      <c r="K228" s="33"/>
      <c r="L228" s="37" t="n">
        <f aca="false">IF(OR(C228="",H228&lt;&gt;"Approved"),0,IF(G228&lt;&gt;"",G228,N(F228)))</f>
        <v>0</v>
      </c>
    </row>
    <row r="229" customFormat="false" ht="15" hidden="false" customHeight="false" outlineLevel="0" collapsed="false">
      <c r="A229" s="32"/>
      <c r="B229" s="32"/>
      <c r="C229" s="32"/>
      <c r="D229" s="32"/>
      <c r="E229" s="33"/>
      <c r="F229" s="41"/>
      <c r="G229" s="41"/>
      <c r="H229" s="32"/>
      <c r="I229" s="35"/>
      <c r="J229" s="35"/>
      <c r="K229" s="33"/>
      <c r="L229" s="37" t="n">
        <f aca="false">IF(OR(C229="",H229&lt;&gt;"Approved"),0,IF(G229&lt;&gt;"",G229,N(F229)))</f>
        <v>0</v>
      </c>
    </row>
    <row r="230" customFormat="false" ht="15" hidden="false" customHeight="false" outlineLevel="0" collapsed="false">
      <c r="A230" s="32"/>
      <c r="B230" s="32"/>
      <c r="C230" s="32"/>
      <c r="D230" s="32"/>
      <c r="E230" s="33"/>
      <c r="F230" s="41"/>
      <c r="G230" s="41"/>
      <c r="H230" s="32"/>
      <c r="I230" s="35"/>
      <c r="J230" s="35"/>
      <c r="K230" s="33"/>
      <c r="L230" s="37" t="n">
        <f aca="false">IF(OR(C230="",H230&lt;&gt;"Approved"),0,IF(G230&lt;&gt;"",G230,N(F230)))</f>
        <v>0</v>
      </c>
    </row>
    <row r="231" customFormat="false" ht="15" hidden="false" customHeight="false" outlineLevel="0" collapsed="false">
      <c r="A231" s="32"/>
      <c r="B231" s="32"/>
      <c r="C231" s="32"/>
      <c r="D231" s="32"/>
      <c r="E231" s="33"/>
      <c r="F231" s="41"/>
      <c r="G231" s="41"/>
      <c r="H231" s="32"/>
      <c r="I231" s="35"/>
      <c r="J231" s="35"/>
      <c r="K231" s="33"/>
      <c r="L231" s="37" t="n">
        <f aca="false">IF(OR(C231="",H231&lt;&gt;"Approved"),0,IF(G231&lt;&gt;"",G231,N(F231)))</f>
        <v>0</v>
      </c>
    </row>
    <row r="232" customFormat="false" ht="15" hidden="false" customHeight="false" outlineLevel="0" collapsed="false">
      <c r="A232" s="32"/>
      <c r="B232" s="32"/>
      <c r="C232" s="32"/>
      <c r="D232" s="32"/>
      <c r="E232" s="33"/>
      <c r="F232" s="41"/>
      <c r="G232" s="41"/>
      <c r="H232" s="32"/>
      <c r="I232" s="35"/>
      <c r="J232" s="35"/>
      <c r="K232" s="33"/>
      <c r="L232" s="37" t="n">
        <f aca="false">IF(OR(C232="",H232&lt;&gt;"Approved"),0,IF(G232&lt;&gt;"",G232,N(F232)))</f>
        <v>0</v>
      </c>
    </row>
    <row r="233" customFormat="false" ht="15" hidden="false" customHeight="false" outlineLevel="0" collapsed="false">
      <c r="A233" s="32"/>
      <c r="B233" s="32"/>
      <c r="C233" s="32"/>
      <c r="D233" s="32"/>
      <c r="E233" s="33"/>
      <c r="F233" s="41"/>
      <c r="G233" s="41"/>
      <c r="H233" s="32"/>
      <c r="I233" s="35"/>
      <c r="J233" s="35"/>
      <c r="K233" s="33"/>
      <c r="L233" s="37" t="n">
        <f aca="false">IF(OR(C233="",H233&lt;&gt;"Approved"),0,IF(G233&lt;&gt;"",G233,N(F233)))</f>
        <v>0</v>
      </c>
    </row>
    <row r="234" customFormat="false" ht="15" hidden="false" customHeight="false" outlineLevel="0" collapsed="false">
      <c r="A234" s="32"/>
      <c r="B234" s="32"/>
      <c r="C234" s="32"/>
      <c r="D234" s="32"/>
      <c r="E234" s="33"/>
      <c r="F234" s="41"/>
      <c r="G234" s="41"/>
      <c r="H234" s="32"/>
      <c r="I234" s="35"/>
      <c r="J234" s="35"/>
      <c r="K234" s="33"/>
      <c r="L234" s="37" t="n">
        <f aca="false">IF(OR(C234="",H234&lt;&gt;"Approved"),0,IF(G234&lt;&gt;"",G234,N(F234)))</f>
        <v>0</v>
      </c>
    </row>
    <row r="235" customFormat="false" ht="15" hidden="false" customHeight="false" outlineLevel="0" collapsed="false">
      <c r="A235" s="32"/>
      <c r="B235" s="32"/>
      <c r="C235" s="32"/>
      <c r="D235" s="32"/>
      <c r="E235" s="33"/>
      <c r="F235" s="41"/>
      <c r="G235" s="41"/>
      <c r="H235" s="32"/>
      <c r="I235" s="35"/>
      <c r="J235" s="35"/>
      <c r="K235" s="33"/>
      <c r="L235" s="37" t="n">
        <f aca="false">IF(OR(C235="",H235&lt;&gt;"Approved"),0,IF(G235&lt;&gt;"",G235,N(F235)))</f>
        <v>0</v>
      </c>
    </row>
    <row r="236" customFormat="false" ht="15" hidden="false" customHeight="false" outlineLevel="0" collapsed="false">
      <c r="A236" s="32"/>
      <c r="B236" s="32"/>
      <c r="C236" s="32"/>
      <c r="D236" s="32"/>
      <c r="E236" s="33"/>
      <c r="F236" s="41"/>
      <c r="G236" s="41"/>
      <c r="H236" s="32"/>
      <c r="I236" s="35"/>
      <c r="J236" s="35"/>
      <c r="K236" s="33"/>
      <c r="L236" s="37" t="n">
        <f aca="false">IF(OR(C236="",H236&lt;&gt;"Approved"),0,IF(G236&lt;&gt;"",G236,N(F236)))</f>
        <v>0</v>
      </c>
    </row>
    <row r="237" customFormat="false" ht="15" hidden="false" customHeight="false" outlineLevel="0" collapsed="false">
      <c r="A237" s="32"/>
      <c r="B237" s="32"/>
      <c r="C237" s="32"/>
      <c r="D237" s="32"/>
      <c r="E237" s="33"/>
      <c r="F237" s="41"/>
      <c r="G237" s="41"/>
      <c r="H237" s="32"/>
      <c r="I237" s="35"/>
      <c r="J237" s="35"/>
      <c r="K237" s="33"/>
      <c r="L237" s="37" t="n">
        <f aca="false">IF(OR(C237="",H237&lt;&gt;"Approved"),0,IF(G237&lt;&gt;"",G237,N(F237)))</f>
        <v>0</v>
      </c>
    </row>
    <row r="238" customFormat="false" ht="15" hidden="false" customHeight="false" outlineLevel="0" collapsed="false">
      <c r="A238" s="32"/>
      <c r="B238" s="32"/>
      <c r="C238" s="32"/>
      <c r="D238" s="32"/>
      <c r="E238" s="33"/>
      <c r="F238" s="41"/>
      <c r="G238" s="41"/>
      <c r="H238" s="32"/>
      <c r="I238" s="35"/>
      <c r="J238" s="35"/>
      <c r="K238" s="33"/>
      <c r="L238" s="37" t="n">
        <f aca="false">IF(OR(C238="",H238&lt;&gt;"Approved"),0,IF(G238&lt;&gt;"",G238,N(F238)))</f>
        <v>0</v>
      </c>
    </row>
    <row r="239" customFormat="false" ht="15" hidden="false" customHeight="false" outlineLevel="0" collapsed="false">
      <c r="A239" s="32"/>
      <c r="B239" s="32"/>
      <c r="C239" s="32"/>
      <c r="D239" s="32"/>
      <c r="E239" s="33"/>
      <c r="F239" s="41"/>
      <c r="G239" s="41"/>
      <c r="H239" s="32"/>
      <c r="I239" s="35"/>
      <c r="J239" s="35"/>
      <c r="K239" s="33"/>
      <c r="L239" s="37" t="n">
        <f aca="false">IF(OR(C239="",H239&lt;&gt;"Approved"),0,IF(G239&lt;&gt;"",G239,N(F239)))</f>
        <v>0</v>
      </c>
    </row>
    <row r="240" customFormat="false" ht="15" hidden="false" customHeight="false" outlineLevel="0" collapsed="false">
      <c r="A240" s="32"/>
      <c r="B240" s="32"/>
      <c r="C240" s="32"/>
      <c r="D240" s="32"/>
      <c r="E240" s="33"/>
      <c r="F240" s="41"/>
      <c r="G240" s="41"/>
      <c r="H240" s="32"/>
      <c r="I240" s="35"/>
      <c r="J240" s="35"/>
      <c r="K240" s="33"/>
      <c r="L240" s="37" t="n">
        <f aca="false">IF(OR(C240="",H240&lt;&gt;"Approved"),0,IF(G240&lt;&gt;"",G240,N(F240)))</f>
        <v>0</v>
      </c>
    </row>
    <row r="241" customFormat="false" ht="15" hidden="false" customHeight="false" outlineLevel="0" collapsed="false">
      <c r="A241" s="32"/>
      <c r="B241" s="32"/>
      <c r="C241" s="32"/>
      <c r="D241" s="32"/>
      <c r="E241" s="33"/>
      <c r="F241" s="41"/>
      <c r="G241" s="41"/>
      <c r="H241" s="32"/>
      <c r="I241" s="35"/>
      <c r="J241" s="35"/>
      <c r="K241" s="33"/>
      <c r="L241" s="37" t="n">
        <f aca="false">IF(OR(C241="",H241&lt;&gt;"Approved"),0,IF(G241&lt;&gt;"",G241,N(F241)))</f>
        <v>0</v>
      </c>
    </row>
    <row r="242" customFormat="false" ht="15" hidden="false" customHeight="false" outlineLevel="0" collapsed="false">
      <c r="A242" s="32"/>
      <c r="B242" s="32"/>
      <c r="C242" s="32"/>
      <c r="D242" s="32"/>
      <c r="E242" s="33"/>
      <c r="F242" s="41"/>
      <c r="G242" s="41"/>
      <c r="H242" s="32"/>
      <c r="I242" s="35"/>
      <c r="J242" s="35"/>
      <c r="K242" s="33"/>
      <c r="L242" s="37" t="n">
        <f aca="false">IF(OR(C242="",H242&lt;&gt;"Approved"),0,IF(G242&lt;&gt;"",G242,N(F242)))</f>
        <v>0</v>
      </c>
    </row>
    <row r="243" customFormat="false" ht="15" hidden="false" customHeight="false" outlineLevel="0" collapsed="false">
      <c r="A243" s="32"/>
      <c r="B243" s="32"/>
      <c r="C243" s="32"/>
      <c r="D243" s="32"/>
      <c r="E243" s="33"/>
      <c r="F243" s="41"/>
      <c r="G243" s="41"/>
      <c r="H243" s="32"/>
      <c r="I243" s="35"/>
      <c r="J243" s="35"/>
      <c r="K243" s="33"/>
      <c r="L243" s="37" t="n">
        <f aca="false">IF(OR(C243="",H243&lt;&gt;"Approved"),0,IF(G243&lt;&gt;"",G243,N(F243)))</f>
        <v>0</v>
      </c>
    </row>
    <row r="244" customFormat="false" ht="15" hidden="false" customHeight="false" outlineLevel="0" collapsed="false">
      <c r="A244" s="32"/>
      <c r="B244" s="32"/>
      <c r="C244" s="32"/>
      <c r="D244" s="32"/>
      <c r="E244" s="33"/>
      <c r="F244" s="41"/>
      <c r="G244" s="41"/>
      <c r="H244" s="32"/>
      <c r="I244" s="35"/>
      <c r="J244" s="35"/>
      <c r="K244" s="33"/>
      <c r="L244" s="37" t="n">
        <f aca="false">IF(OR(C244="",H244&lt;&gt;"Approved"),0,IF(G244&lt;&gt;"",G244,N(F244)))</f>
        <v>0</v>
      </c>
    </row>
    <row r="245" customFormat="false" ht="15" hidden="false" customHeight="false" outlineLevel="0" collapsed="false">
      <c r="A245" s="32"/>
      <c r="B245" s="32"/>
      <c r="C245" s="32"/>
      <c r="D245" s="32"/>
      <c r="E245" s="33"/>
      <c r="F245" s="41"/>
      <c r="G245" s="41"/>
      <c r="H245" s="32"/>
      <c r="I245" s="35"/>
      <c r="J245" s="35"/>
      <c r="K245" s="33"/>
      <c r="L245" s="37" t="n">
        <f aca="false">IF(OR(C245="",H245&lt;&gt;"Approved"),0,IF(G245&lt;&gt;"",G245,N(F245)))</f>
        <v>0</v>
      </c>
    </row>
    <row r="246" customFormat="false" ht="15" hidden="false" customHeight="false" outlineLevel="0" collapsed="false">
      <c r="A246" s="32"/>
      <c r="B246" s="32"/>
      <c r="C246" s="32"/>
      <c r="D246" s="32"/>
      <c r="E246" s="33"/>
      <c r="F246" s="41"/>
      <c r="G246" s="41"/>
      <c r="H246" s="32"/>
      <c r="I246" s="35"/>
      <c r="J246" s="35"/>
      <c r="K246" s="33"/>
      <c r="L246" s="37" t="n">
        <f aca="false">IF(OR(C246="",H246&lt;&gt;"Approved"),0,IF(G246&lt;&gt;"",G246,N(F246)))</f>
        <v>0</v>
      </c>
    </row>
    <row r="247" customFormat="false" ht="15" hidden="false" customHeight="false" outlineLevel="0" collapsed="false">
      <c r="A247" s="32"/>
      <c r="B247" s="32"/>
      <c r="C247" s="32"/>
      <c r="D247" s="32"/>
      <c r="E247" s="33"/>
      <c r="F247" s="41"/>
      <c r="G247" s="41"/>
      <c r="H247" s="32"/>
      <c r="I247" s="35"/>
      <c r="J247" s="35"/>
      <c r="K247" s="33"/>
      <c r="L247" s="37" t="n">
        <f aca="false">IF(OR(C247="",H247&lt;&gt;"Approved"),0,IF(G247&lt;&gt;"",G247,N(F247)))</f>
        <v>0</v>
      </c>
    </row>
    <row r="248" customFormat="false" ht="15" hidden="false" customHeight="false" outlineLevel="0" collapsed="false">
      <c r="A248" s="32"/>
      <c r="B248" s="32"/>
      <c r="C248" s="32"/>
      <c r="D248" s="32"/>
      <c r="E248" s="33"/>
      <c r="F248" s="41"/>
      <c r="G248" s="41"/>
      <c r="H248" s="32"/>
      <c r="I248" s="35"/>
      <c r="J248" s="35"/>
      <c r="K248" s="33"/>
      <c r="L248" s="37" t="n">
        <f aca="false">IF(OR(C248="",H248&lt;&gt;"Approved"),0,IF(G248&lt;&gt;"",G248,N(F248)))</f>
        <v>0</v>
      </c>
    </row>
    <row r="249" customFormat="false" ht="15" hidden="false" customHeight="false" outlineLevel="0" collapsed="false">
      <c r="A249" s="32"/>
      <c r="B249" s="32"/>
      <c r="C249" s="32"/>
      <c r="D249" s="32"/>
      <c r="E249" s="33"/>
      <c r="F249" s="41"/>
      <c r="G249" s="41"/>
      <c r="H249" s="32"/>
      <c r="I249" s="35"/>
      <c r="J249" s="35"/>
      <c r="K249" s="33"/>
      <c r="L249" s="37" t="n">
        <f aca="false">IF(OR(C249="",H249&lt;&gt;"Approved"),0,IF(G249&lt;&gt;"",G249,N(F249)))</f>
        <v>0</v>
      </c>
    </row>
    <row r="250" customFormat="false" ht="15" hidden="false" customHeight="false" outlineLevel="0" collapsed="false">
      <c r="A250" s="32"/>
      <c r="B250" s="32"/>
      <c r="C250" s="32"/>
      <c r="D250" s="32"/>
      <c r="E250" s="33"/>
      <c r="F250" s="41"/>
      <c r="G250" s="41"/>
      <c r="H250" s="32"/>
      <c r="I250" s="35"/>
      <c r="J250" s="35"/>
      <c r="K250" s="33"/>
      <c r="L250" s="37" t="n">
        <f aca="false">IF(OR(C250="",H250&lt;&gt;"Approved"),0,IF(G250&lt;&gt;"",G250,N(F250)))</f>
        <v>0</v>
      </c>
    </row>
    <row r="251" customFormat="false" ht="15" hidden="false" customHeight="false" outlineLevel="0" collapsed="false">
      <c r="A251" s="32"/>
      <c r="B251" s="32"/>
      <c r="C251" s="32"/>
      <c r="D251" s="32"/>
      <c r="E251" s="33"/>
      <c r="F251" s="41"/>
      <c r="G251" s="41"/>
      <c r="H251" s="32"/>
      <c r="I251" s="35"/>
      <c r="J251" s="35"/>
      <c r="K251" s="33"/>
      <c r="L251" s="37" t="n">
        <f aca="false">IF(OR(C251="",H251&lt;&gt;"Approved"),0,IF(G251&lt;&gt;"",G251,N(F251)))</f>
        <v>0</v>
      </c>
    </row>
    <row r="252" customFormat="false" ht="15" hidden="false" customHeight="false" outlineLevel="0" collapsed="false">
      <c r="A252" s="32"/>
      <c r="B252" s="32"/>
      <c r="C252" s="32"/>
      <c r="D252" s="32"/>
      <c r="E252" s="33"/>
      <c r="F252" s="41"/>
      <c r="G252" s="41"/>
      <c r="H252" s="32"/>
      <c r="I252" s="35"/>
      <c r="J252" s="35"/>
      <c r="K252" s="33"/>
      <c r="L252" s="37" t="n">
        <f aca="false">IF(OR(C252="",H252&lt;&gt;"Approved"),0,IF(G252&lt;&gt;"",G252,N(F252)))</f>
        <v>0</v>
      </c>
    </row>
    <row r="253" customFormat="false" ht="15" hidden="false" customHeight="false" outlineLevel="0" collapsed="false">
      <c r="A253" s="32"/>
      <c r="B253" s="32"/>
      <c r="C253" s="32"/>
      <c r="D253" s="32"/>
      <c r="E253" s="33"/>
      <c r="F253" s="41"/>
      <c r="G253" s="41"/>
      <c r="H253" s="32"/>
      <c r="I253" s="35"/>
      <c r="J253" s="35"/>
      <c r="K253" s="33"/>
      <c r="L253" s="37" t="n">
        <f aca="false">IF(OR(C253="",H253&lt;&gt;"Approved"),0,IF(G253&lt;&gt;"",G253,N(F253)))</f>
        <v>0</v>
      </c>
    </row>
    <row r="254" customFormat="false" ht="15" hidden="false" customHeight="false" outlineLevel="0" collapsed="false">
      <c r="A254" s="32"/>
      <c r="B254" s="32"/>
      <c r="C254" s="32"/>
      <c r="D254" s="32"/>
      <c r="E254" s="33"/>
      <c r="F254" s="41"/>
      <c r="G254" s="41"/>
      <c r="H254" s="32"/>
      <c r="I254" s="35"/>
      <c r="J254" s="35"/>
      <c r="K254" s="33"/>
      <c r="L254" s="37" t="n">
        <f aca="false">IF(OR(C254="",H254&lt;&gt;"Approved"),0,IF(G254&lt;&gt;"",G254,N(F254)))</f>
        <v>0</v>
      </c>
    </row>
    <row r="255" customFormat="false" ht="15" hidden="false" customHeight="false" outlineLevel="0" collapsed="false">
      <c r="A255" s="32"/>
      <c r="B255" s="32"/>
      <c r="C255" s="32"/>
      <c r="D255" s="32"/>
      <c r="E255" s="33"/>
      <c r="F255" s="41"/>
      <c r="G255" s="41"/>
      <c r="H255" s="32"/>
      <c r="I255" s="35"/>
      <c r="J255" s="35"/>
      <c r="K255" s="33"/>
      <c r="L255" s="37" t="n">
        <f aca="false">IF(OR(C255="",H255&lt;&gt;"Approved"),0,IF(G255&lt;&gt;"",G255,N(F255)))</f>
        <v>0</v>
      </c>
    </row>
    <row r="256" customFormat="false" ht="15" hidden="false" customHeight="false" outlineLevel="0" collapsed="false">
      <c r="A256" s="32"/>
      <c r="B256" s="32"/>
      <c r="C256" s="32"/>
      <c r="D256" s="32"/>
      <c r="E256" s="33"/>
      <c r="F256" s="41"/>
      <c r="G256" s="41"/>
      <c r="H256" s="32"/>
      <c r="I256" s="35"/>
      <c r="J256" s="35"/>
      <c r="K256" s="33"/>
      <c r="L256" s="37" t="n">
        <f aca="false">IF(OR(C256="",H256&lt;&gt;"Approved"),0,IF(G256&lt;&gt;"",G256,N(F256)))</f>
        <v>0</v>
      </c>
    </row>
    <row r="257" customFormat="false" ht="15" hidden="false" customHeight="false" outlineLevel="0" collapsed="false">
      <c r="A257" s="32"/>
      <c r="B257" s="32"/>
      <c r="C257" s="32"/>
      <c r="D257" s="32"/>
      <c r="E257" s="33"/>
      <c r="F257" s="41"/>
      <c r="G257" s="41"/>
      <c r="H257" s="32"/>
      <c r="I257" s="35"/>
      <c r="J257" s="35"/>
      <c r="K257" s="33"/>
      <c r="L257" s="37" t="n">
        <f aca="false">IF(OR(C257="",H257&lt;&gt;"Approved"),0,IF(G257&lt;&gt;"",G257,N(F257)))</f>
        <v>0</v>
      </c>
    </row>
    <row r="258" customFormat="false" ht="15" hidden="false" customHeight="false" outlineLevel="0" collapsed="false">
      <c r="A258" s="32"/>
      <c r="B258" s="32"/>
      <c r="C258" s="32"/>
      <c r="D258" s="32"/>
      <c r="E258" s="33"/>
      <c r="F258" s="41"/>
      <c r="G258" s="41"/>
      <c r="H258" s="32"/>
      <c r="I258" s="35"/>
      <c r="J258" s="35"/>
      <c r="K258" s="33"/>
      <c r="L258" s="37" t="n">
        <f aca="false">IF(OR(C258="",H258&lt;&gt;"Approved"),0,IF(G258&lt;&gt;"",G258,N(F258)))</f>
        <v>0</v>
      </c>
    </row>
    <row r="259" customFormat="false" ht="15" hidden="false" customHeight="false" outlineLevel="0" collapsed="false">
      <c r="A259" s="32"/>
      <c r="B259" s="32"/>
      <c r="C259" s="32"/>
      <c r="D259" s="32"/>
      <c r="E259" s="33"/>
      <c r="F259" s="41"/>
      <c r="G259" s="41"/>
      <c r="H259" s="32"/>
      <c r="I259" s="35"/>
      <c r="J259" s="35"/>
      <c r="K259" s="33"/>
      <c r="L259" s="37" t="n">
        <f aca="false">IF(OR(C259="",H259&lt;&gt;"Approved"),0,IF(G259&lt;&gt;"",G259,N(F259)))</f>
        <v>0</v>
      </c>
    </row>
    <row r="260" customFormat="false" ht="15" hidden="false" customHeight="false" outlineLevel="0" collapsed="false">
      <c r="A260" s="32"/>
      <c r="B260" s="32"/>
      <c r="C260" s="32"/>
      <c r="D260" s="32"/>
      <c r="E260" s="33"/>
      <c r="F260" s="41"/>
      <c r="G260" s="41"/>
      <c r="H260" s="32"/>
      <c r="I260" s="35"/>
      <c r="J260" s="35"/>
      <c r="K260" s="33"/>
      <c r="L260" s="37" t="n">
        <f aca="false">IF(OR(C260="",H260&lt;&gt;"Approved"),0,IF(G260&lt;&gt;"",G260,N(F260)))</f>
        <v>0</v>
      </c>
    </row>
    <row r="261" customFormat="false" ht="15" hidden="false" customHeight="false" outlineLevel="0" collapsed="false">
      <c r="A261" s="32"/>
      <c r="B261" s="32"/>
      <c r="C261" s="32"/>
      <c r="D261" s="32"/>
      <c r="E261" s="33"/>
      <c r="F261" s="41"/>
      <c r="G261" s="41"/>
      <c r="H261" s="32"/>
      <c r="I261" s="35"/>
      <c r="J261" s="35"/>
      <c r="K261" s="33"/>
      <c r="L261" s="37" t="n">
        <f aca="false">IF(OR(C261="",H261&lt;&gt;"Approved"),0,IF(G261&lt;&gt;"",G261,N(F261)))</f>
        <v>0</v>
      </c>
    </row>
    <row r="262" customFormat="false" ht="15" hidden="false" customHeight="false" outlineLevel="0" collapsed="false">
      <c r="A262" s="32"/>
      <c r="B262" s="32"/>
      <c r="C262" s="32"/>
      <c r="D262" s="32"/>
      <c r="E262" s="33"/>
      <c r="F262" s="41"/>
      <c r="G262" s="41"/>
      <c r="H262" s="32"/>
      <c r="I262" s="35"/>
      <c r="J262" s="35"/>
      <c r="K262" s="33"/>
      <c r="L262" s="37" t="n">
        <f aca="false">IF(OR(C262="",H262&lt;&gt;"Approved"),0,IF(G262&lt;&gt;"",G262,N(F262)))</f>
        <v>0</v>
      </c>
    </row>
    <row r="263" customFormat="false" ht="15" hidden="false" customHeight="false" outlineLevel="0" collapsed="false">
      <c r="A263" s="32"/>
      <c r="B263" s="32"/>
      <c r="C263" s="32"/>
      <c r="D263" s="32"/>
      <c r="E263" s="33"/>
      <c r="F263" s="41"/>
      <c r="G263" s="41"/>
      <c r="H263" s="32"/>
      <c r="I263" s="35"/>
      <c r="J263" s="35"/>
      <c r="K263" s="33"/>
      <c r="L263" s="37" t="n">
        <f aca="false">IF(OR(C263="",H263&lt;&gt;"Approved"),0,IF(G263&lt;&gt;"",G263,N(F263)))</f>
        <v>0</v>
      </c>
    </row>
    <row r="264" customFormat="false" ht="15" hidden="false" customHeight="false" outlineLevel="0" collapsed="false">
      <c r="A264" s="32"/>
      <c r="B264" s="32"/>
      <c r="C264" s="32"/>
      <c r="D264" s="32"/>
      <c r="E264" s="33"/>
      <c r="F264" s="41"/>
      <c r="G264" s="41"/>
      <c r="H264" s="32"/>
      <c r="I264" s="35"/>
      <c r="J264" s="35"/>
      <c r="K264" s="33"/>
      <c r="L264" s="37" t="n">
        <f aca="false">IF(OR(C264="",H264&lt;&gt;"Approved"),0,IF(G264&lt;&gt;"",G264,N(F264)))</f>
        <v>0</v>
      </c>
    </row>
    <row r="265" customFormat="false" ht="15" hidden="false" customHeight="false" outlineLevel="0" collapsed="false">
      <c r="A265" s="32"/>
      <c r="B265" s="32"/>
      <c r="C265" s="32"/>
      <c r="D265" s="32"/>
      <c r="E265" s="33"/>
      <c r="F265" s="41"/>
      <c r="G265" s="41"/>
      <c r="H265" s="32"/>
      <c r="I265" s="35"/>
      <c r="J265" s="35"/>
      <c r="K265" s="33"/>
      <c r="L265" s="37" t="n">
        <f aca="false">IF(OR(C265="",H265&lt;&gt;"Approved"),0,IF(G265&lt;&gt;"",G265,N(F265)))</f>
        <v>0</v>
      </c>
    </row>
    <row r="266" customFormat="false" ht="15" hidden="false" customHeight="false" outlineLevel="0" collapsed="false">
      <c r="A266" s="32"/>
      <c r="B266" s="32"/>
      <c r="C266" s="32"/>
      <c r="D266" s="32"/>
      <c r="E266" s="33"/>
      <c r="F266" s="41"/>
      <c r="G266" s="41"/>
      <c r="H266" s="32"/>
      <c r="I266" s="35"/>
      <c r="J266" s="35"/>
      <c r="K266" s="33"/>
      <c r="L266" s="37" t="n">
        <f aca="false">IF(OR(C266="",H266&lt;&gt;"Approved"),0,IF(G266&lt;&gt;"",G266,N(F266)))</f>
        <v>0</v>
      </c>
    </row>
    <row r="267" customFormat="false" ht="15" hidden="false" customHeight="false" outlineLevel="0" collapsed="false">
      <c r="A267" s="32"/>
      <c r="B267" s="32"/>
      <c r="C267" s="32"/>
      <c r="D267" s="32"/>
      <c r="E267" s="33"/>
      <c r="F267" s="41"/>
      <c r="G267" s="41"/>
      <c r="H267" s="32"/>
      <c r="I267" s="35"/>
      <c r="J267" s="35"/>
      <c r="K267" s="33"/>
      <c r="L267" s="37" t="n">
        <f aca="false">IF(OR(C267="",H267&lt;&gt;"Approved"),0,IF(G267&lt;&gt;"",G267,N(F267)))</f>
        <v>0</v>
      </c>
    </row>
    <row r="268" customFormat="false" ht="15" hidden="false" customHeight="false" outlineLevel="0" collapsed="false">
      <c r="A268" s="32"/>
      <c r="B268" s="32"/>
      <c r="C268" s="32"/>
      <c r="D268" s="32"/>
      <c r="E268" s="33"/>
      <c r="F268" s="41"/>
      <c r="G268" s="41"/>
      <c r="H268" s="32"/>
      <c r="I268" s="35"/>
      <c r="J268" s="35"/>
      <c r="K268" s="33"/>
      <c r="L268" s="37" t="n">
        <f aca="false">IF(OR(C268="",H268&lt;&gt;"Approved"),0,IF(G268&lt;&gt;"",G268,N(F268)))</f>
        <v>0</v>
      </c>
    </row>
    <row r="269" customFormat="false" ht="15" hidden="false" customHeight="false" outlineLevel="0" collapsed="false">
      <c r="A269" s="32"/>
      <c r="B269" s="32"/>
      <c r="C269" s="32"/>
      <c r="D269" s="32"/>
      <c r="E269" s="33"/>
      <c r="F269" s="41"/>
      <c r="G269" s="41"/>
      <c r="H269" s="32"/>
      <c r="I269" s="35"/>
      <c r="J269" s="35"/>
      <c r="K269" s="33"/>
      <c r="L269" s="37" t="n">
        <f aca="false">IF(OR(C269="",H269&lt;&gt;"Approved"),0,IF(G269&lt;&gt;"",G269,N(F269)))</f>
        <v>0</v>
      </c>
    </row>
    <row r="270" customFormat="false" ht="15" hidden="false" customHeight="false" outlineLevel="0" collapsed="false">
      <c r="A270" s="32"/>
      <c r="B270" s="32"/>
      <c r="C270" s="32"/>
      <c r="D270" s="32"/>
      <c r="E270" s="33"/>
      <c r="F270" s="41"/>
      <c r="G270" s="41"/>
      <c r="H270" s="32"/>
      <c r="I270" s="35"/>
      <c r="J270" s="35"/>
      <c r="K270" s="33"/>
      <c r="L270" s="37" t="n">
        <f aca="false">IF(OR(C270="",H270&lt;&gt;"Approved"),0,IF(G270&lt;&gt;"",G270,N(F270)))</f>
        <v>0</v>
      </c>
    </row>
    <row r="271" customFormat="false" ht="15" hidden="false" customHeight="false" outlineLevel="0" collapsed="false">
      <c r="A271" s="32"/>
      <c r="B271" s="32"/>
      <c r="C271" s="32"/>
      <c r="D271" s="32"/>
      <c r="E271" s="33"/>
      <c r="F271" s="41"/>
      <c r="G271" s="41"/>
      <c r="H271" s="32"/>
      <c r="I271" s="35"/>
      <c r="J271" s="35"/>
      <c r="K271" s="33"/>
      <c r="L271" s="37" t="n">
        <f aca="false">IF(OR(C271="",H271&lt;&gt;"Approved"),0,IF(G271&lt;&gt;"",G271,N(F271)))</f>
        <v>0</v>
      </c>
    </row>
    <row r="272" customFormat="false" ht="15" hidden="false" customHeight="false" outlineLevel="0" collapsed="false">
      <c r="A272" s="32"/>
      <c r="B272" s="32"/>
      <c r="C272" s="32"/>
      <c r="D272" s="32"/>
      <c r="E272" s="33"/>
      <c r="F272" s="41"/>
      <c r="G272" s="41"/>
      <c r="H272" s="32"/>
      <c r="I272" s="35"/>
      <c r="J272" s="35"/>
      <c r="K272" s="33"/>
      <c r="L272" s="37" t="n">
        <f aca="false">IF(OR(C272="",H272&lt;&gt;"Approved"),0,IF(G272&lt;&gt;"",G272,N(F272)))</f>
        <v>0</v>
      </c>
    </row>
    <row r="273" customFormat="false" ht="15" hidden="false" customHeight="false" outlineLevel="0" collapsed="false">
      <c r="A273" s="32"/>
      <c r="B273" s="32"/>
      <c r="C273" s="32"/>
      <c r="D273" s="32"/>
      <c r="E273" s="33"/>
      <c r="F273" s="41"/>
      <c r="G273" s="41"/>
      <c r="H273" s="32"/>
      <c r="I273" s="35"/>
      <c r="J273" s="35"/>
      <c r="K273" s="33"/>
      <c r="L273" s="37" t="n">
        <f aca="false">IF(OR(C273="",H273&lt;&gt;"Approved"),0,IF(G273&lt;&gt;"",G273,N(F273)))</f>
        <v>0</v>
      </c>
    </row>
    <row r="274" customFormat="false" ht="15" hidden="false" customHeight="false" outlineLevel="0" collapsed="false">
      <c r="A274" s="32"/>
      <c r="B274" s="32"/>
      <c r="C274" s="32"/>
      <c r="D274" s="32"/>
      <c r="E274" s="33"/>
      <c r="F274" s="41"/>
      <c r="G274" s="41"/>
      <c r="H274" s="32"/>
      <c r="I274" s="35"/>
      <c r="J274" s="35"/>
      <c r="K274" s="33"/>
      <c r="L274" s="37" t="n">
        <f aca="false">IF(OR(C274="",H274&lt;&gt;"Approved"),0,IF(G274&lt;&gt;"",G274,N(F274)))</f>
        <v>0</v>
      </c>
    </row>
    <row r="275" customFormat="false" ht="15" hidden="false" customHeight="false" outlineLevel="0" collapsed="false">
      <c r="A275" s="32"/>
      <c r="B275" s="32"/>
      <c r="C275" s="32"/>
      <c r="D275" s="32"/>
      <c r="E275" s="33"/>
      <c r="F275" s="41"/>
      <c r="G275" s="41"/>
      <c r="H275" s="32"/>
      <c r="I275" s="35"/>
      <c r="J275" s="35"/>
      <c r="K275" s="33"/>
      <c r="L275" s="37" t="n">
        <f aca="false">IF(OR(C275="",H275&lt;&gt;"Approved"),0,IF(G275&lt;&gt;"",G275,N(F275)))</f>
        <v>0</v>
      </c>
    </row>
    <row r="276" customFormat="false" ht="15" hidden="false" customHeight="false" outlineLevel="0" collapsed="false">
      <c r="A276" s="32"/>
      <c r="B276" s="32"/>
      <c r="C276" s="32"/>
      <c r="D276" s="32"/>
      <c r="E276" s="33"/>
      <c r="F276" s="41"/>
      <c r="G276" s="41"/>
      <c r="H276" s="32"/>
      <c r="I276" s="35"/>
      <c r="J276" s="35"/>
      <c r="K276" s="33"/>
      <c r="L276" s="37" t="n">
        <f aca="false">IF(OR(C276="",H276&lt;&gt;"Approved"),0,IF(G276&lt;&gt;"",G276,N(F276)))</f>
        <v>0</v>
      </c>
    </row>
    <row r="277" customFormat="false" ht="15" hidden="false" customHeight="false" outlineLevel="0" collapsed="false">
      <c r="A277" s="32"/>
      <c r="B277" s="32"/>
      <c r="C277" s="32"/>
      <c r="D277" s="32"/>
      <c r="E277" s="33"/>
      <c r="F277" s="41"/>
      <c r="G277" s="41"/>
      <c r="H277" s="32"/>
      <c r="I277" s="35"/>
      <c r="J277" s="35"/>
      <c r="K277" s="33"/>
      <c r="L277" s="37" t="n">
        <f aca="false">IF(OR(C277="",H277&lt;&gt;"Approved"),0,IF(G277&lt;&gt;"",G277,N(F277)))</f>
        <v>0</v>
      </c>
    </row>
    <row r="278" customFormat="false" ht="15" hidden="false" customHeight="false" outlineLevel="0" collapsed="false">
      <c r="A278" s="32"/>
      <c r="B278" s="32"/>
      <c r="C278" s="32"/>
      <c r="D278" s="32"/>
      <c r="E278" s="33"/>
      <c r="F278" s="41"/>
      <c r="G278" s="41"/>
      <c r="H278" s="32"/>
      <c r="I278" s="35"/>
      <c r="J278" s="35"/>
      <c r="K278" s="33"/>
      <c r="L278" s="37" t="n">
        <f aca="false">IF(OR(C278="",H278&lt;&gt;"Approved"),0,IF(G278&lt;&gt;"",G278,N(F278)))</f>
        <v>0</v>
      </c>
    </row>
    <row r="279" customFormat="false" ht="15" hidden="false" customHeight="false" outlineLevel="0" collapsed="false">
      <c r="A279" s="32"/>
      <c r="B279" s="32"/>
      <c r="C279" s="32"/>
      <c r="D279" s="32"/>
      <c r="E279" s="33"/>
      <c r="F279" s="41"/>
      <c r="G279" s="41"/>
      <c r="H279" s="32"/>
      <c r="I279" s="35"/>
      <c r="J279" s="35"/>
      <c r="K279" s="33"/>
      <c r="L279" s="37" t="n">
        <f aca="false">IF(OR(C279="",H279&lt;&gt;"Approved"),0,IF(G279&lt;&gt;"",G279,N(F279)))</f>
        <v>0</v>
      </c>
    </row>
    <row r="280" customFormat="false" ht="15" hidden="false" customHeight="false" outlineLevel="0" collapsed="false">
      <c r="A280" s="32"/>
      <c r="B280" s="32"/>
      <c r="C280" s="32"/>
      <c r="D280" s="32"/>
      <c r="E280" s="33"/>
      <c r="F280" s="41"/>
      <c r="G280" s="41"/>
      <c r="H280" s="32"/>
      <c r="I280" s="35"/>
      <c r="J280" s="35"/>
      <c r="K280" s="33"/>
      <c r="L280" s="37" t="n">
        <f aca="false">IF(OR(C280="",H280&lt;&gt;"Approved"),0,IF(G280&lt;&gt;"",G280,N(F280)))</f>
        <v>0</v>
      </c>
    </row>
    <row r="281" customFormat="false" ht="15" hidden="false" customHeight="false" outlineLevel="0" collapsed="false">
      <c r="A281" s="32"/>
      <c r="B281" s="32"/>
      <c r="C281" s="32"/>
      <c r="D281" s="32"/>
      <c r="E281" s="33"/>
      <c r="F281" s="41"/>
      <c r="G281" s="41"/>
      <c r="H281" s="32"/>
      <c r="I281" s="35"/>
      <c r="J281" s="35"/>
      <c r="K281" s="33"/>
      <c r="L281" s="37" t="n">
        <f aca="false">IF(OR(C281="",H281&lt;&gt;"Approved"),0,IF(G281&lt;&gt;"",G281,N(F281)))</f>
        <v>0</v>
      </c>
    </row>
    <row r="282" customFormat="false" ht="15" hidden="false" customHeight="false" outlineLevel="0" collapsed="false">
      <c r="A282" s="32"/>
      <c r="B282" s="32"/>
      <c r="C282" s="32"/>
      <c r="D282" s="32"/>
      <c r="E282" s="33"/>
      <c r="F282" s="41"/>
      <c r="G282" s="41"/>
      <c r="H282" s="32"/>
      <c r="I282" s="35"/>
      <c r="J282" s="35"/>
      <c r="K282" s="33"/>
      <c r="L282" s="37" t="n">
        <f aca="false">IF(OR(C282="",H282&lt;&gt;"Approved"),0,IF(G282&lt;&gt;"",G282,N(F282)))</f>
        <v>0</v>
      </c>
    </row>
    <row r="283" customFormat="false" ht="15" hidden="false" customHeight="false" outlineLevel="0" collapsed="false">
      <c r="A283" s="32"/>
      <c r="B283" s="32"/>
      <c r="C283" s="32"/>
      <c r="D283" s="32"/>
      <c r="E283" s="33"/>
      <c r="F283" s="41"/>
      <c r="G283" s="41"/>
      <c r="H283" s="32"/>
      <c r="I283" s="35"/>
      <c r="J283" s="35"/>
      <c r="K283" s="33"/>
      <c r="L283" s="37" t="n">
        <f aca="false">IF(OR(C283="",H283&lt;&gt;"Approved"),0,IF(G283&lt;&gt;"",G283,N(F283)))</f>
        <v>0</v>
      </c>
    </row>
    <row r="284" customFormat="false" ht="15" hidden="false" customHeight="false" outlineLevel="0" collapsed="false">
      <c r="A284" s="32"/>
      <c r="B284" s="32"/>
      <c r="C284" s="32"/>
      <c r="D284" s="32"/>
      <c r="E284" s="33"/>
      <c r="F284" s="41"/>
      <c r="G284" s="41"/>
      <c r="H284" s="32"/>
      <c r="I284" s="35"/>
      <c r="J284" s="35"/>
      <c r="K284" s="33"/>
      <c r="L284" s="37" t="n">
        <f aca="false">IF(OR(C284="",H284&lt;&gt;"Approved"),0,IF(G284&lt;&gt;"",G284,N(F284)))</f>
        <v>0</v>
      </c>
    </row>
    <row r="285" customFormat="false" ht="15" hidden="false" customHeight="false" outlineLevel="0" collapsed="false">
      <c r="A285" s="32"/>
      <c r="B285" s="32"/>
      <c r="C285" s="32"/>
      <c r="D285" s="32"/>
      <c r="E285" s="33"/>
      <c r="F285" s="41"/>
      <c r="G285" s="41"/>
      <c r="H285" s="32"/>
      <c r="I285" s="35"/>
      <c r="J285" s="35"/>
      <c r="K285" s="33"/>
      <c r="L285" s="37" t="n">
        <f aca="false">IF(OR(C285="",H285&lt;&gt;"Approved"),0,IF(G285&lt;&gt;"",G285,N(F285)))</f>
        <v>0</v>
      </c>
    </row>
    <row r="286" customFormat="false" ht="15" hidden="false" customHeight="false" outlineLevel="0" collapsed="false">
      <c r="A286" s="32"/>
      <c r="B286" s="32"/>
      <c r="C286" s="32"/>
      <c r="D286" s="32"/>
      <c r="E286" s="33"/>
      <c r="F286" s="41"/>
      <c r="G286" s="41"/>
      <c r="H286" s="32"/>
      <c r="I286" s="35"/>
      <c r="J286" s="35"/>
      <c r="K286" s="33"/>
      <c r="L286" s="37" t="n">
        <f aca="false">IF(OR(C286="",H286&lt;&gt;"Approved"),0,IF(G286&lt;&gt;"",G286,N(F286)))</f>
        <v>0</v>
      </c>
    </row>
    <row r="287" customFormat="false" ht="15" hidden="false" customHeight="false" outlineLevel="0" collapsed="false">
      <c r="A287" s="32"/>
      <c r="B287" s="32"/>
      <c r="C287" s="32"/>
      <c r="D287" s="32"/>
      <c r="E287" s="33"/>
      <c r="F287" s="41"/>
      <c r="G287" s="41"/>
      <c r="H287" s="32"/>
      <c r="I287" s="35"/>
      <c r="J287" s="35"/>
      <c r="K287" s="33"/>
      <c r="L287" s="37" t="n">
        <f aca="false">IF(OR(C287="",H287&lt;&gt;"Approved"),0,IF(G287&lt;&gt;"",G287,N(F287)))</f>
        <v>0</v>
      </c>
    </row>
    <row r="288" customFormat="false" ht="15" hidden="false" customHeight="false" outlineLevel="0" collapsed="false">
      <c r="A288" s="32"/>
      <c r="B288" s="32"/>
      <c r="C288" s="32"/>
      <c r="D288" s="32"/>
      <c r="E288" s="33"/>
      <c r="F288" s="41"/>
      <c r="G288" s="41"/>
      <c r="H288" s="32"/>
      <c r="I288" s="35"/>
      <c r="J288" s="35"/>
      <c r="K288" s="33"/>
      <c r="L288" s="37" t="n">
        <f aca="false">IF(OR(C288="",H288&lt;&gt;"Approved"),0,IF(G288&lt;&gt;"",G288,N(F288)))</f>
        <v>0</v>
      </c>
    </row>
    <row r="289" customFormat="false" ht="15" hidden="false" customHeight="false" outlineLevel="0" collapsed="false">
      <c r="A289" s="32"/>
      <c r="B289" s="32"/>
      <c r="C289" s="32"/>
      <c r="D289" s="32"/>
      <c r="E289" s="33"/>
      <c r="F289" s="41"/>
      <c r="G289" s="41"/>
      <c r="H289" s="32"/>
      <c r="I289" s="35"/>
      <c r="J289" s="35"/>
      <c r="K289" s="33"/>
      <c r="L289" s="37" t="n">
        <f aca="false">IF(OR(C289="",H289&lt;&gt;"Approved"),0,IF(G289&lt;&gt;"",G289,N(F289)))</f>
        <v>0</v>
      </c>
    </row>
    <row r="290" customFormat="false" ht="15" hidden="false" customHeight="false" outlineLevel="0" collapsed="false">
      <c r="A290" s="32"/>
      <c r="B290" s="32"/>
      <c r="C290" s="32"/>
      <c r="D290" s="32"/>
      <c r="E290" s="33"/>
      <c r="F290" s="41"/>
      <c r="G290" s="41"/>
      <c r="H290" s="32"/>
      <c r="I290" s="35"/>
      <c r="J290" s="35"/>
      <c r="K290" s="33"/>
      <c r="L290" s="37" t="n">
        <f aca="false">IF(OR(C290="",H290&lt;&gt;"Approved"),0,IF(G290&lt;&gt;"",G290,N(F290)))</f>
        <v>0</v>
      </c>
    </row>
    <row r="291" customFormat="false" ht="15" hidden="false" customHeight="false" outlineLevel="0" collapsed="false">
      <c r="A291" s="32"/>
      <c r="B291" s="32"/>
      <c r="C291" s="32"/>
      <c r="D291" s="32"/>
      <c r="E291" s="33"/>
      <c r="F291" s="41"/>
      <c r="G291" s="41"/>
      <c r="H291" s="32"/>
      <c r="I291" s="35"/>
      <c r="J291" s="35"/>
      <c r="K291" s="33"/>
      <c r="L291" s="37" t="n">
        <f aca="false">IF(OR(C291="",H291&lt;&gt;"Approved"),0,IF(G291&lt;&gt;"",G291,N(F291)))</f>
        <v>0</v>
      </c>
    </row>
    <row r="292" customFormat="false" ht="15" hidden="false" customHeight="false" outlineLevel="0" collapsed="false">
      <c r="A292" s="32"/>
      <c r="B292" s="32"/>
      <c r="C292" s="32"/>
      <c r="D292" s="32"/>
      <c r="E292" s="33"/>
      <c r="F292" s="41"/>
      <c r="G292" s="41"/>
      <c r="H292" s="32"/>
      <c r="I292" s="35"/>
      <c r="J292" s="35"/>
      <c r="K292" s="33"/>
      <c r="L292" s="37" t="n">
        <f aca="false">IF(OR(C292="",H292&lt;&gt;"Approved"),0,IF(G292&lt;&gt;"",G292,N(F292)))</f>
        <v>0</v>
      </c>
    </row>
    <row r="293" customFormat="false" ht="15" hidden="false" customHeight="false" outlineLevel="0" collapsed="false">
      <c r="A293" s="32"/>
      <c r="B293" s="32"/>
      <c r="C293" s="32"/>
      <c r="D293" s="32"/>
      <c r="E293" s="33"/>
      <c r="F293" s="41"/>
      <c r="G293" s="41"/>
      <c r="H293" s="32"/>
      <c r="I293" s="35"/>
      <c r="J293" s="35"/>
      <c r="K293" s="33"/>
      <c r="L293" s="37" t="n">
        <f aca="false">IF(OR(C293="",H293&lt;&gt;"Approved"),0,IF(G293&lt;&gt;"",G293,N(F293)))</f>
        <v>0</v>
      </c>
    </row>
    <row r="294" customFormat="false" ht="15" hidden="false" customHeight="false" outlineLevel="0" collapsed="false">
      <c r="A294" s="32"/>
      <c r="B294" s="32"/>
      <c r="C294" s="32"/>
      <c r="D294" s="32"/>
      <c r="E294" s="33"/>
      <c r="F294" s="41"/>
      <c r="G294" s="41"/>
      <c r="H294" s="32"/>
      <c r="I294" s="35"/>
      <c r="J294" s="35"/>
      <c r="K294" s="33"/>
      <c r="L294" s="37" t="n">
        <f aca="false">IF(OR(C294="",H294&lt;&gt;"Approved"),0,IF(G294&lt;&gt;"",G294,N(F294)))</f>
        <v>0</v>
      </c>
    </row>
    <row r="295" customFormat="false" ht="15" hidden="false" customHeight="false" outlineLevel="0" collapsed="false">
      <c r="A295" s="32"/>
      <c r="B295" s="32"/>
      <c r="C295" s="32"/>
      <c r="D295" s="32"/>
      <c r="E295" s="33"/>
      <c r="F295" s="41"/>
      <c r="G295" s="41"/>
      <c r="H295" s="32"/>
      <c r="I295" s="35"/>
      <c r="J295" s="35"/>
      <c r="K295" s="33"/>
      <c r="L295" s="37" t="n">
        <f aca="false">IF(OR(C295="",H295&lt;&gt;"Approved"),0,IF(G295&lt;&gt;"",G295,N(F295)))</f>
        <v>0</v>
      </c>
    </row>
    <row r="296" customFormat="false" ht="15" hidden="false" customHeight="false" outlineLevel="0" collapsed="false">
      <c r="A296" s="32"/>
      <c r="B296" s="32"/>
      <c r="C296" s="32"/>
      <c r="D296" s="32"/>
      <c r="E296" s="33"/>
      <c r="F296" s="41"/>
      <c r="G296" s="41"/>
      <c r="H296" s="32"/>
      <c r="I296" s="35"/>
      <c r="J296" s="35"/>
      <c r="K296" s="33"/>
      <c r="L296" s="37" t="n">
        <f aca="false">IF(OR(C296="",H296&lt;&gt;"Approved"),0,IF(G296&lt;&gt;"",G296,N(F296)))</f>
        <v>0</v>
      </c>
    </row>
    <row r="297" customFormat="false" ht="15" hidden="false" customHeight="false" outlineLevel="0" collapsed="false">
      <c r="A297" s="32"/>
      <c r="B297" s="32"/>
      <c r="C297" s="32"/>
      <c r="D297" s="32"/>
      <c r="E297" s="33"/>
      <c r="F297" s="41"/>
      <c r="G297" s="41"/>
      <c r="H297" s="32"/>
      <c r="I297" s="35"/>
      <c r="J297" s="35"/>
      <c r="K297" s="33"/>
      <c r="L297" s="37" t="n">
        <f aca="false">IF(OR(C297="",H297&lt;&gt;"Approved"),0,IF(G297&lt;&gt;"",G297,N(F297)))</f>
        <v>0</v>
      </c>
    </row>
    <row r="298" customFormat="false" ht="15" hidden="false" customHeight="false" outlineLevel="0" collapsed="false">
      <c r="A298" s="32"/>
      <c r="B298" s="32"/>
      <c r="C298" s="32"/>
      <c r="D298" s="32"/>
      <c r="E298" s="33"/>
      <c r="F298" s="41"/>
      <c r="G298" s="41"/>
      <c r="H298" s="32"/>
      <c r="I298" s="35"/>
      <c r="J298" s="35"/>
      <c r="K298" s="33"/>
      <c r="L298" s="37" t="n">
        <f aca="false">IF(OR(C298="",H298&lt;&gt;"Approved"),0,IF(G298&lt;&gt;"",G298,N(F298)))</f>
        <v>0</v>
      </c>
    </row>
    <row r="299" customFormat="false" ht="15" hidden="false" customHeight="false" outlineLevel="0" collapsed="false">
      <c r="A299" s="32"/>
      <c r="B299" s="32"/>
      <c r="C299" s="32"/>
      <c r="D299" s="32"/>
      <c r="E299" s="33"/>
      <c r="F299" s="41"/>
      <c r="G299" s="41"/>
      <c r="H299" s="32"/>
      <c r="I299" s="35"/>
      <c r="J299" s="35"/>
      <c r="K299" s="33"/>
      <c r="L299" s="37" t="n">
        <f aca="false">IF(OR(C299="",H299&lt;&gt;"Approved"),0,IF(G299&lt;&gt;"",G299,N(F299)))</f>
        <v>0</v>
      </c>
    </row>
    <row r="300" customFormat="false" ht="15" hidden="false" customHeight="false" outlineLevel="0" collapsed="false">
      <c r="A300" s="32"/>
      <c r="B300" s="32"/>
      <c r="C300" s="32"/>
      <c r="D300" s="32"/>
      <c r="E300" s="33"/>
      <c r="F300" s="41"/>
      <c r="G300" s="41"/>
      <c r="H300" s="32"/>
      <c r="I300" s="35"/>
      <c r="J300" s="35"/>
      <c r="K300" s="33"/>
      <c r="L300" s="37" t="n">
        <f aca="false">IF(OR(C300="",H300&lt;&gt;"Approved"),0,IF(G300&lt;&gt;"",G300,N(F300)))</f>
        <v>0</v>
      </c>
    </row>
    <row r="301" customFormat="false" ht="15" hidden="false" customHeight="false" outlineLevel="0" collapsed="false">
      <c r="A301" s="32"/>
      <c r="B301" s="32"/>
      <c r="C301" s="32"/>
      <c r="D301" s="32"/>
      <c r="E301" s="33"/>
      <c r="F301" s="41"/>
      <c r="G301" s="41"/>
      <c r="H301" s="32"/>
      <c r="I301" s="35"/>
      <c r="J301" s="35"/>
      <c r="K301" s="33"/>
      <c r="L301" s="37" t="n">
        <f aca="false">IF(OR(C301="",H301&lt;&gt;"Approved"),0,IF(G301&lt;&gt;"",G301,N(F301)))</f>
        <v>0</v>
      </c>
    </row>
    <row r="302" customFormat="false" ht="15" hidden="false" customHeight="false" outlineLevel="0" collapsed="false">
      <c r="A302" s="32"/>
      <c r="B302" s="32"/>
      <c r="C302" s="32"/>
      <c r="D302" s="32"/>
      <c r="E302" s="33"/>
      <c r="F302" s="41"/>
      <c r="G302" s="41"/>
      <c r="H302" s="32"/>
      <c r="I302" s="35"/>
      <c r="J302" s="35"/>
      <c r="K302" s="33"/>
      <c r="L302" s="37" t="n">
        <f aca="false">IF(OR(C302="",H302&lt;&gt;"Approved"),0,IF(G302&lt;&gt;"",G302,N(F302)))</f>
        <v>0</v>
      </c>
    </row>
    <row r="303" customFormat="false" ht="15" hidden="false" customHeight="false" outlineLevel="0" collapsed="false">
      <c r="A303" s="32"/>
      <c r="B303" s="32"/>
      <c r="C303" s="32"/>
      <c r="D303" s="32"/>
      <c r="E303" s="33"/>
      <c r="F303" s="41"/>
      <c r="G303" s="41"/>
      <c r="H303" s="32"/>
      <c r="I303" s="35"/>
      <c r="J303" s="35"/>
      <c r="K303" s="33"/>
      <c r="L303" s="37" t="n">
        <f aca="false">IF(OR(C303="",H303&lt;&gt;"Approved"),0,IF(G303&lt;&gt;"",G303,N(F303)))</f>
        <v>0</v>
      </c>
    </row>
    <row r="304" customFormat="false" ht="15" hidden="false" customHeight="false" outlineLevel="0" collapsed="false">
      <c r="A304" s="32"/>
      <c r="B304" s="32"/>
      <c r="C304" s="32"/>
      <c r="D304" s="32"/>
      <c r="E304" s="33"/>
      <c r="F304" s="41"/>
      <c r="G304" s="41"/>
      <c r="H304" s="32"/>
      <c r="I304" s="35"/>
      <c r="J304" s="35"/>
      <c r="K304" s="33"/>
      <c r="L304" s="37" t="n">
        <f aca="false">IF(OR(C304="",H304&lt;&gt;"Approved"),0,IF(G304&lt;&gt;"",G304,N(F304)))</f>
        <v>0</v>
      </c>
    </row>
    <row r="305" customFormat="false" ht="15" hidden="false" customHeight="false" outlineLevel="0" collapsed="false">
      <c r="A305" s="32"/>
      <c r="B305" s="32"/>
      <c r="C305" s="32"/>
      <c r="D305" s="32"/>
      <c r="E305" s="33"/>
      <c r="F305" s="41"/>
      <c r="G305" s="41"/>
      <c r="H305" s="32"/>
      <c r="I305" s="35"/>
      <c r="J305" s="35"/>
      <c r="K305" s="33"/>
      <c r="L305" s="37" t="n">
        <f aca="false">IF(OR(C305="",H305&lt;&gt;"Approved"),0,IF(G305&lt;&gt;"",G305,N(F305)))</f>
        <v>0</v>
      </c>
    </row>
    <row r="306" customFormat="false" ht="15" hidden="false" customHeight="false" outlineLevel="0" collapsed="false">
      <c r="A306" s="32"/>
      <c r="B306" s="32"/>
      <c r="C306" s="32"/>
      <c r="D306" s="32"/>
      <c r="E306" s="33"/>
      <c r="F306" s="41"/>
      <c r="G306" s="41"/>
      <c r="H306" s="32"/>
      <c r="I306" s="35"/>
      <c r="J306" s="35"/>
      <c r="K306" s="33"/>
      <c r="L306" s="37" t="n">
        <f aca="false">IF(OR(C306="",H306&lt;&gt;"Approved"),0,IF(G306&lt;&gt;"",G306,N(F306)))</f>
        <v>0</v>
      </c>
    </row>
    <row r="307" customFormat="false" ht="15" hidden="false" customHeight="false" outlineLevel="0" collapsed="false">
      <c r="A307" s="32"/>
      <c r="B307" s="32"/>
      <c r="C307" s="32"/>
      <c r="D307" s="32"/>
      <c r="E307" s="33"/>
      <c r="F307" s="41"/>
      <c r="G307" s="41"/>
      <c r="H307" s="32"/>
      <c r="I307" s="35"/>
      <c r="J307" s="35"/>
      <c r="K307" s="33"/>
      <c r="L307" s="37" t="n">
        <f aca="false">IF(OR(C307="",H307&lt;&gt;"Approved"),0,IF(G307&lt;&gt;"",G307,N(F307)))</f>
        <v>0</v>
      </c>
    </row>
    <row r="308" customFormat="false" ht="15" hidden="false" customHeight="false" outlineLevel="0" collapsed="false">
      <c r="A308" s="32"/>
      <c r="B308" s="32"/>
      <c r="C308" s="32"/>
      <c r="D308" s="32"/>
      <c r="E308" s="33"/>
      <c r="F308" s="41"/>
      <c r="G308" s="41"/>
      <c r="H308" s="32"/>
      <c r="I308" s="35"/>
      <c r="J308" s="35"/>
      <c r="K308" s="33"/>
      <c r="L308" s="37" t="n">
        <f aca="false">IF(OR(C308="",H308&lt;&gt;"Approved"),0,IF(G308&lt;&gt;"",G308,N(F308)))</f>
        <v>0</v>
      </c>
    </row>
    <row r="309" customFormat="false" ht="15" hidden="false" customHeight="false" outlineLevel="0" collapsed="false">
      <c r="A309" s="32"/>
      <c r="B309" s="32"/>
      <c r="C309" s="32"/>
      <c r="D309" s="32"/>
      <c r="E309" s="33"/>
      <c r="F309" s="41"/>
      <c r="G309" s="41"/>
      <c r="H309" s="32"/>
      <c r="I309" s="35"/>
      <c r="J309" s="35"/>
      <c r="K309" s="33"/>
      <c r="L309" s="37" t="n">
        <f aca="false">IF(OR(C309="",H309&lt;&gt;"Approved"),0,IF(G309&lt;&gt;"",G309,N(F309)))</f>
        <v>0</v>
      </c>
    </row>
    <row r="310" customFormat="false" ht="15" hidden="false" customHeight="false" outlineLevel="0" collapsed="false">
      <c r="A310" s="32"/>
      <c r="B310" s="32"/>
      <c r="C310" s="32"/>
      <c r="D310" s="32"/>
      <c r="E310" s="33"/>
      <c r="F310" s="41"/>
      <c r="G310" s="41"/>
      <c r="H310" s="32"/>
      <c r="I310" s="35"/>
      <c r="J310" s="35"/>
      <c r="K310" s="33"/>
      <c r="L310" s="37" t="n">
        <f aca="false">IF(OR(C310="",H310&lt;&gt;"Approved"),0,IF(G310&lt;&gt;"",G310,N(F310)))</f>
        <v>0</v>
      </c>
    </row>
    <row r="311" customFormat="false" ht="15" hidden="false" customHeight="false" outlineLevel="0" collapsed="false">
      <c r="A311" s="32"/>
      <c r="B311" s="32"/>
      <c r="C311" s="32"/>
      <c r="D311" s="32"/>
      <c r="E311" s="33"/>
      <c r="F311" s="41"/>
      <c r="G311" s="41"/>
      <c r="H311" s="32"/>
      <c r="I311" s="35"/>
      <c r="J311" s="35"/>
      <c r="K311" s="33"/>
      <c r="L311" s="37" t="n">
        <f aca="false">IF(OR(C311="",H311&lt;&gt;"Approved"),0,IF(G311&lt;&gt;"",G311,N(F311)))</f>
        <v>0</v>
      </c>
    </row>
    <row r="312" customFormat="false" ht="15" hidden="false" customHeight="false" outlineLevel="0" collapsed="false">
      <c r="A312" s="32"/>
      <c r="B312" s="32"/>
      <c r="C312" s="32"/>
      <c r="D312" s="32"/>
      <c r="E312" s="33"/>
      <c r="F312" s="41"/>
      <c r="G312" s="41"/>
      <c r="H312" s="32"/>
      <c r="I312" s="35"/>
      <c r="J312" s="35"/>
      <c r="K312" s="33"/>
      <c r="L312" s="37" t="n">
        <f aca="false">IF(OR(C312="",H312&lt;&gt;"Approved"),0,IF(G312&lt;&gt;"",G312,N(F312)))</f>
        <v>0</v>
      </c>
    </row>
    <row r="313" customFormat="false" ht="15" hidden="false" customHeight="false" outlineLevel="0" collapsed="false">
      <c r="A313" s="32"/>
      <c r="B313" s="32"/>
      <c r="C313" s="32"/>
      <c r="D313" s="32"/>
      <c r="E313" s="33"/>
      <c r="F313" s="41"/>
      <c r="G313" s="41"/>
      <c r="H313" s="32"/>
      <c r="I313" s="35"/>
      <c r="J313" s="35"/>
      <c r="K313" s="33"/>
      <c r="L313" s="37" t="n">
        <f aca="false">IF(OR(C313="",H313&lt;&gt;"Approved"),0,IF(G313&lt;&gt;"",G313,N(F313)))</f>
        <v>0</v>
      </c>
    </row>
    <row r="314" customFormat="false" ht="15" hidden="false" customHeight="false" outlineLevel="0" collapsed="false">
      <c r="A314" s="32"/>
      <c r="B314" s="32"/>
      <c r="C314" s="32"/>
      <c r="D314" s="32"/>
      <c r="E314" s="33"/>
      <c r="F314" s="41"/>
      <c r="G314" s="41"/>
      <c r="H314" s="32"/>
      <c r="I314" s="35"/>
      <c r="J314" s="35"/>
      <c r="K314" s="33"/>
      <c r="L314" s="37" t="n">
        <f aca="false">IF(OR(C314="",H314&lt;&gt;"Approved"),0,IF(G314&lt;&gt;"",G314,N(F314)))</f>
        <v>0</v>
      </c>
    </row>
    <row r="315" customFormat="false" ht="15" hidden="false" customHeight="false" outlineLevel="0" collapsed="false">
      <c r="A315" s="32"/>
      <c r="B315" s="32"/>
      <c r="C315" s="32"/>
      <c r="D315" s="32"/>
      <c r="E315" s="33"/>
      <c r="F315" s="41"/>
      <c r="G315" s="41"/>
      <c r="H315" s="32"/>
      <c r="I315" s="35"/>
      <c r="J315" s="35"/>
      <c r="K315" s="33"/>
      <c r="L315" s="37" t="n">
        <f aca="false">IF(OR(C315="",H315&lt;&gt;"Approved"),0,IF(G315&lt;&gt;"",G315,N(F315)))</f>
        <v>0</v>
      </c>
    </row>
    <row r="316" customFormat="false" ht="15" hidden="false" customHeight="false" outlineLevel="0" collapsed="false">
      <c r="A316" s="32"/>
      <c r="B316" s="32"/>
      <c r="C316" s="32"/>
      <c r="D316" s="32"/>
      <c r="E316" s="33"/>
      <c r="F316" s="41"/>
      <c r="G316" s="41"/>
      <c r="H316" s="32"/>
      <c r="I316" s="35"/>
      <c r="J316" s="35"/>
      <c r="K316" s="33"/>
      <c r="L316" s="37" t="n">
        <f aca="false">IF(OR(C316="",H316&lt;&gt;"Approved"),0,IF(G316&lt;&gt;"",G316,N(F316)))</f>
        <v>0</v>
      </c>
    </row>
    <row r="317" customFormat="false" ht="15" hidden="false" customHeight="false" outlineLevel="0" collapsed="false">
      <c r="A317" s="32"/>
      <c r="B317" s="32"/>
      <c r="C317" s="32"/>
      <c r="D317" s="32"/>
      <c r="E317" s="33"/>
      <c r="F317" s="41"/>
      <c r="G317" s="41"/>
      <c r="H317" s="32"/>
      <c r="I317" s="35"/>
      <c r="J317" s="35"/>
      <c r="K317" s="33"/>
      <c r="L317" s="37" t="n">
        <f aca="false">IF(OR(C317="",H317&lt;&gt;"Approved"),0,IF(G317&lt;&gt;"",G317,N(F317)))</f>
        <v>0</v>
      </c>
    </row>
    <row r="318" customFormat="false" ht="15" hidden="false" customHeight="false" outlineLevel="0" collapsed="false">
      <c r="A318" s="32"/>
      <c r="B318" s="32"/>
      <c r="C318" s="32"/>
      <c r="D318" s="32"/>
      <c r="E318" s="33"/>
      <c r="F318" s="41"/>
      <c r="G318" s="41"/>
      <c r="H318" s="32"/>
      <c r="I318" s="35"/>
      <c r="J318" s="35"/>
      <c r="K318" s="33"/>
      <c r="L318" s="37" t="n">
        <f aca="false">IF(OR(C318="",H318&lt;&gt;"Approved"),0,IF(G318&lt;&gt;"",G318,N(F318)))</f>
        <v>0</v>
      </c>
    </row>
    <row r="319" customFormat="false" ht="15" hidden="false" customHeight="false" outlineLevel="0" collapsed="false">
      <c r="A319" s="32"/>
      <c r="B319" s="32"/>
      <c r="C319" s="32"/>
      <c r="D319" s="32"/>
      <c r="E319" s="33"/>
      <c r="F319" s="41"/>
      <c r="G319" s="41"/>
      <c r="H319" s="32"/>
      <c r="I319" s="35"/>
      <c r="J319" s="35"/>
      <c r="K319" s="33"/>
      <c r="L319" s="37" t="n">
        <f aca="false">IF(OR(C319="",H319&lt;&gt;"Approved"),0,IF(G319&lt;&gt;"",G319,N(F319)))</f>
        <v>0</v>
      </c>
    </row>
    <row r="320" customFormat="false" ht="15" hidden="false" customHeight="false" outlineLevel="0" collapsed="false">
      <c r="A320" s="32"/>
      <c r="B320" s="32"/>
      <c r="C320" s="32"/>
      <c r="D320" s="32"/>
      <c r="E320" s="33"/>
      <c r="F320" s="41"/>
      <c r="G320" s="41"/>
      <c r="H320" s="32"/>
      <c r="I320" s="35"/>
      <c r="J320" s="35"/>
      <c r="K320" s="33"/>
      <c r="L320" s="37" t="n">
        <f aca="false">IF(OR(C320="",H320&lt;&gt;"Approved"),0,IF(G320&lt;&gt;"",G320,N(F320)))</f>
        <v>0</v>
      </c>
    </row>
    <row r="321" customFormat="false" ht="15" hidden="false" customHeight="false" outlineLevel="0" collapsed="false">
      <c r="A321" s="32"/>
      <c r="B321" s="32"/>
      <c r="C321" s="32"/>
      <c r="D321" s="32"/>
      <c r="E321" s="33"/>
      <c r="F321" s="41"/>
      <c r="G321" s="41"/>
      <c r="H321" s="32"/>
      <c r="I321" s="35"/>
      <c r="J321" s="35"/>
      <c r="K321" s="33"/>
      <c r="L321" s="37" t="n">
        <f aca="false">IF(OR(C321="",H321&lt;&gt;"Approved"),0,IF(G321&lt;&gt;"",G321,N(F321)))</f>
        <v>0</v>
      </c>
    </row>
    <row r="322" customFormat="false" ht="15" hidden="false" customHeight="false" outlineLevel="0" collapsed="false">
      <c r="A322" s="32"/>
      <c r="B322" s="32"/>
      <c r="C322" s="32"/>
      <c r="D322" s="32"/>
      <c r="E322" s="33"/>
      <c r="F322" s="41"/>
      <c r="G322" s="41"/>
      <c r="H322" s="32"/>
      <c r="I322" s="35"/>
      <c r="J322" s="35"/>
      <c r="K322" s="33"/>
      <c r="L322" s="37" t="n">
        <f aca="false">IF(OR(C322="",H322&lt;&gt;"Approved"),0,IF(G322&lt;&gt;"",G322,N(F322)))</f>
        <v>0</v>
      </c>
    </row>
    <row r="323" customFormat="false" ht="15" hidden="false" customHeight="false" outlineLevel="0" collapsed="false">
      <c r="A323" s="32"/>
      <c r="B323" s="32"/>
      <c r="C323" s="32"/>
      <c r="D323" s="32"/>
      <c r="E323" s="33"/>
      <c r="F323" s="41"/>
      <c r="G323" s="41"/>
      <c r="H323" s="32"/>
      <c r="I323" s="35"/>
      <c r="J323" s="35"/>
      <c r="K323" s="33"/>
      <c r="L323" s="37" t="n">
        <f aca="false">IF(OR(C323="",H323&lt;&gt;"Approved"),0,IF(G323&lt;&gt;"",G323,N(F323)))</f>
        <v>0</v>
      </c>
    </row>
    <row r="324" customFormat="false" ht="15" hidden="false" customHeight="false" outlineLevel="0" collapsed="false">
      <c r="A324" s="32"/>
      <c r="B324" s="32"/>
      <c r="C324" s="32"/>
      <c r="D324" s="32"/>
      <c r="E324" s="33"/>
      <c r="F324" s="41"/>
      <c r="G324" s="41"/>
      <c r="H324" s="32"/>
      <c r="I324" s="35"/>
      <c r="J324" s="35"/>
      <c r="K324" s="33"/>
      <c r="L324" s="37" t="n">
        <f aca="false">IF(OR(C324="",H324&lt;&gt;"Approved"),0,IF(G324&lt;&gt;"",G324,N(F324)))</f>
        <v>0</v>
      </c>
    </row>
    <row r="325" customFormat="false" ht="15" hidden="false" customHeight="false" outlineLevel="0" collapsed="false">
      <c r="A325" s="32"/>
      <c r="B325" s="32"/>
      <c r="C325" s="32"/>
      <c r="D325" s="32"/>
      <c r="E325" s="33"/>
      <c r="F325" s="41"/>
      <c r="G325" s="41"/>
      <c r="H325" s="32"/>
      <c r="I325" s="35"/>
      <c r="J325" s="35"/>
      <c r="K325" s="33"/>
      <c r="L325" s="37" t="n">
        <f aca="false">IF(OR(C325="",H325&lt;&gt;"Approved"),0,IF(G325&lt;&gt;"",G325,N(F325)))</f>
        <v>0</v>
      </c>
    </row>
    <row r="326" customFormat="false" ht="15" hidden="false" customHeight="false" outlineLevel="0" collapsed="false">
      <c r="A326" s="32"/>
      <c r="B326" s="32"/>
      <c r="C326" s="32"/>
      <c r="D326" s="32"/>
      <c r="E326" s="33"/>
      <c r="F326" s="41"/>
      <c r="G326" s="41"/>
      <c r="H326" s="32"/>
      <c r="I326" s="35"/>
      <c r="J326" s="35"/>
      <c r="K326" s="33"/>
      <c r="L326" s="37" t="n">
        <f aca="false">IF(OR(C326="",H326&lt;&gt;"Approved"),0,IF(G326&lt;&gt;"",G326,N(F326)))</f>
        <v>0</v>
      </c>
    </row>
    <row r="327" customFormat="false" ht="15" hidden="false" customHeight="false" outlineLevel="0" collapsed="false">
      <c r="A327" s="32"/>
      <c r="B327" s="32"/>
      <c r="C327" s="32"/>
      <c r="D327" s="32"/>
      <c r="E327" s="33"/>
      <c r="F327" s="41"/>
      <c r="G327" s="41"/>
      <c r="H327" s="32"/>
      <c r="I327" s="35"/>
      <c r="J327" s="35"/>
      <c r="K327" s="33"/>
      <c r="L327" s="37" t="n">
        <f aca="false">IF(OR(C327="",H327&lt;&gt;"Approved"),0,IF(G327&lt;&gt;"",G327,N(F327)))</f>
        <v>0</v>
      </c>
    </row>
    <row r="328" customFormat="false" ht="15" hidden="false" customHeight="false" outlineLevel="0" collapsed="false">
      <c r="A328" s="32"/>
      <c r="B328" s="32"/>
      <c r="C328" s="32"/>
      <c r="D328" s="32"/>
      <c r="E328" s="33"/>
      <c r="F328" s="41"/>
      <c r="G328" s="41"/>
      <c r="H328" s="32"/>
      <c r="I328" s="35"/>
      <c r="J328" s="35"/>
      <c r="K328" s="33"/>
      <c r="L328" s="37" t="n">
        <f aca="false">IF(OR(C328="",H328&lt;&gt;"Approved"),0,IF(G328&lt;&gt;"",G328,N(F328)))</f>
        <v>0</v>
      </c>
    </row>
    <row r="329" customFormat="false" ht="15" hidden="false" customHeight="false" outlineLevel="0" collapsed="false">
      <c r="A329" s="32"/>
      <c r="B329" s="32"/>
      <c r="C329" s="32"/>
      <c r="D329" s="32"/>
      <c r="E329" s="33"/>
      <c r="F329" s="41"/>
      <c r="G329" s="41"/>
      <c r="H329" s="32"/>
      <c r="I329" s="35"/>
      <c r="J329" s="35"/>
      <c r="K329" s="33"/>
      <c r="L329" s="37" t="n">
        <f aca="false">IF(OR(C329="",H329&lt;&gt;"Approved"),0,IF(G329&lt;&gt;"",G329,N(F329)))</f>
        <v>0</v>
      </c>
    </row>
    <row r="330" customFormat="false" ht="15" hidden="false" customHeight="false" outlineLevel="0" collapsed="false">
      <c r="A330" s="32"/>
      <c r="B330" s="32"/>
      <c r="C330" s="32"/>
      <c r="D330" s="32"/>
      <c r="E330" s="33"/>
      <c r="F330" s="41"/>
      <c r="G330" s="41"/>
      <c r="H330" s="32"/>
      <c r="I330" s="35"/>
      <c r="J330" s="35"/>
      <c r="K330" s="33"/>
      <c r="L330" s="37" t="n">
        <f aca="false">IF(OR(C330="",H330&lt;&gt;"Approved"),0,IF(G330&lt;&gt;"",G330,N(F330)))</f>
        <v>0</v>
      </c>
    </row>
    <row r="331" customFormat="false" ht="15" hidden="false" customHeight="false" outlineLevel="0" collapsed="false">
      <c r="A331" s="32"/>
      <c r="B331" s="32"/>
      <c r="C331" s="32"/>
      <c r="D331" s="32"/>
      <c r="E331" s="33"/>
      <c r="F331" s="41"/>
      <c r="G331" s="41"/>
      <c r="H331" s="32"/>
      <c r="I331" s="35"/>
      <c r="J331" s="35"/>
      <c r="K331" s="33"/>
      <c r="L331" s="37" t="n">
        <f aca="false">IF(OR(C331="",H331&lt;&gt;"Approved"),0,IF(G331&lt;&gt;"",G331,N(F331)))</f>
        <v>0</v>
      </c>
    </row>
    <row r="332" customFormat="false" ht="15" hidden="false" customHeight="false" outlineLevel="0" collapsed="false">
      <c r="A332" s="32"/>
      <c r="B332" s="32"/>
      <c r="C332" s="32"/>
      <c r="D332" s="32"/>
      <c r="E332" s="33"/>
      <c r="F332" s="41"/>
      <c r="G332" s="41"/>
      <c r="H332" s="32"/>
      <c r="I332" s="35"/>
      <c r="J332" s="35"/>
      <c r="K332" s="33"/>
      <c r="L332" s="37" t="n">
        <f aca="false">IF(OR(C332="",H332&lt;&gt;"Approved"),0,IF(G332&lt;&gt;"",G332,N(F332)))</f>
        <v>0</v>
      </c>
    </row>
    <row r="333" customFormat="false" ht="15" hidden="false" customHeight="false" outlineLevel="0" collapsed="false">
      <c r="A333" s="32"/>
      <c r="B333" s="32"/>
      <c r="C333" s="32"/>
      <c r="D333" s="32"/>
      <c r="E333" s="33"/>
      <c r="F333" s="41"/>
      <c r="G333" s="41"/>
      <c r="H333" s="32"/>
      <c r="I333" s="35"/>
      <c r="J333" s="35"/>
      <c r="K333" s="33"/>
      <c r="L333" s="37" t="n">
        <f aca="false">IF(OR(C333="",H333&lt;&gt;"Approved"),0,IF(G333&lt;&gt;"",G333,N(F333)))</f>
        <v>0</v>
      </c>
    </row>
    <row r="334" customFormat="false" ht="15" hidden="false" customHeight="false" outlineLevel="0" collapsed="false">
      <c r="A334" s="32"/>
      <c r="B334" s="32"/>
      <c r="C334" s="32"/>
      <c r="D334" s="32"/>
      <c r="E334" s="33"/>
      <c r="F334" s="41"/>
      <c r="G334" s="41"/>
      <c r="H334" s="32"/>
      <c r="I334" s="35"/>
      <c r="J334" s="35"/>
      <c r="K334" s="33"/>
      <c r="L334" s="37" t="n">
        <f aca="false">IF(OR(C334="",H334&lt;&gt;"Approved"),0,IF(G334&lt;&gt;"",G334,N(F334)))</f>
        <v>0</v>
      </c>
    </row>
    <row r="335" customFormat="false" ht="15" hidden="false" customHeight="false" outlineLevel="0" collapsed="false">
      <c r="A335" s="32"/>
      <c r="B335" s="32"/>
      <c r="C335" s="32"/>
      <c r="D335" s="32"/>
      <c r="E335" s="33"/>
      <c r="F335" s="41"/>
      <c r="G335" s="41"/>
      <c r="H335" s="32"/>
      <c r="I335" s="35"/>
      <c r="J335" s="35"/>
      <c r="K335" s="33"/>
      <c r="L335" s="37" t="n">
        <f aca="false">IF(OR(C335="",H335&lt;&gt;"Approved"),0,IF(G335&lt;&gt;"",G335,N(F335)))</f>
        <v>0</v>
      </c>
    </row>
    <row r="336" customFormat="false" ht="15" hidden="false" customHeight="false" outlineLevel="0" collapsed="false">
      <c r="A336" s="32"/>
      <c r="B336" s="32"/>
      <c r="C336" s="32"/>
      <c r="D336" s="32"/>
      <c r="E336" s="33"/>
      <c r="F336" s="41"/>
      <c r="G336" s="41"/>
      <c r="H336" s="32"/>
      <c r="I336" s="35"/>
      <c r="J336" s="35"/>
      <c r="K336" s="33"/>
      <c r="L336" s="37" t="n">
        <f aca="false">IF(OR(C336="",H336&lt;&gt;"Approved"),0,IF(G336&lt;&gt;"",G336,N(F336)))</f>
        <v>0</v>
      </c>
    </row>
    <row r="337" customFormat="false" ht="15" hidden="false" customHeight="false" outlineLevel="0" collapsed="false">
      <c r="A337" s="32"/>
      <c r="B337" s="32"/>
      <c r="C337" s="32"/>
      <c r="D337" s="32"/>
      <c r="E337" s="33"/>
      <c r="F337" s="41"/>
      <c r="G337" s="41"/>
      <c r="H337" s="32"/>
      <c r="I337" s="35"/>
      <c r="J337" s="35"/>
      <c r="K337" s="33"/>
      <c r="L337" s="37" t="n">
        <f aca="false">IF(OR(C337="",H337&lt;&gt;"Approved"),0,IF(G337&lt;&gt;"",G337,N(F337)))</f>
        <v>0</v>
      </c>
    </row>
    <row r="338" customFormat="false" ht="15" hidden="false" customHeight="false" outlineLevel="0" collapsed="false">
      <c r="A338" s="32"/>
      <c r="B338" s="32"/>
      <c r="C338" s="32"/>
      <c r="D338" s="32"/>
      <c r="E338" s="33"/>
      <c r="F338" s="41"/>
      <c r="G338" s="41"/>
      <c r="H338" s="32"/>
      <c r="I338" s="35"/>
      <c r="J338" s="35"/>
      <c r="K338" s="33"/>
      <c r="L338" s="37" t="n">
        <f aca="false">IF(OR(C338="",H338&lt;&gt;"Approved"),0,IF(G338&lt;&gt;"",G338,N(F338)))</f>
        <v>0</v>
      </c>
    </row>
    <row r="339" customFormat="false" ht="15" hidden="false" customHeight="false" outlineLevel="0" collapsed="false">
      <c r="A339" s="32"/>
      <c r="B339" s="32"/>
      <c r="C339" s="32"/>
      <c r="D339" s="32"/>
      <c r="E339" s="33"/>
      <c r="F339" s="41"/>
      <c r="G339" s="41"/>
      <c r="H339" s="32"/>
      <c r="I339" s="35"/>
      <c r="J339" s="35"/>
      <c r="K339" s="33"/>
      <c r="L339" s="37" t="n">
        <f aca="false">IF(OR(C339="",H339&lt;&gt;"Approved"),0,IF(G339&lt;&gt;"",G339,N(F339)))</f>
        <v>0</v>
      </c>
    </row>
    <row r="340" customFormat="false" ht="15" hidden="false" customHeight="false" outlineLevel="0" collapsed="false">
      <c r="A340" s="32"/>
      <c r="B340" s="32"/>
      <c r="C340" s="32"/>
      <c r="D340" s="32"/>
      <c r="E340" s="33"/>
      <c r="F340" s="41"/>
      <c r="G340" s="41"/>
      <c r="H340" s="32"/>
      <c r="I340" s="35"/>
      <c r="J340" s="35"/>
      <c r="K340" s="33"/>
      <c r="L340" s="37" t="n">
        <f aca="false">IF(OR(C340="",H340&lt;&gt;"Approved"),0,IF(G340&lt;&gt;"",G340,N(F340)))</f>
        <v>0</v>
      </c>
    </row>
    <row r="341" customFormat="false" ht="15" hidden="false" customHeight="false" outlineLevel="0" collapsed="false">
      <c r="A341" s="32"/>
      <c r="B341" s="32"/>
      <c r="C341" s="32"/>
      <c r="D341" s="32"/>
      <c r="E341" s="33"/>
      <c r="F341" s="41"/>
      <c r="G341" s="41"/>
      <c r="H341" s="32"/>
      <c r="I341" s="35"/>
      <c r="J341" s="35"/>
      <c r="K341" s="33"/>
      <c r="L341" s="37" t="n">
        <f aca="false">IF(OR(C341="",H341&lt;&gt;"Approved"),0,IF(G341&lt;&gt;"",G341,N(F341)))</f>
        <v>0</v>
      </c>
    </row>
    <row r="342" customFormat="false" ht="15" hidden="false" customHeight="false" outlineLevel="0" collapsed="false">
      <c r="A342" s="32"/>
      <c r="B342" s="32"/>
      <c r="C342" s="32"/>
      <c r="D342" s="32"/>
      <c r="E342" s="33"/>
      <c r="F342" s="41"/>
      <c r="G342" s="41"/>
      <c r="H342" s="32"/>
      <c r="I342" s="35"/>
      <c r="J342" s="35"/>
      <c r="K342" s="33"/>
      <c r="L342" s="37" t="n">
        <f aca="false">IF(OR(C342="",H342&lt;&gt;"Approved"),0,IF(G342&lt;&gt;"",G342,N(F342)))</f>
        <v>0</v>
      </c>
    </row>
    <row r="343" customFormat="false" ht="15" hidden="false" customHeight="false" outlineLevel="0" collapsed="false">
      <c r="A343" s="32"/>
      <c r="B343" s="32"/>
      <c r="C343" s="32"/>
      <c r="D343" s="32"/>
      <c r="E343" s="33"/>
      <c r="F343" s="41"/>
      <c r="G343" s="41"/>
      <c r="H343" s="32"/>
      <c r="I343" s="35"/>
      <c r="J343" s="35"/>
      <c r="K343" s="33"/>
      <c r="L343" s="37" t="n">
        <f aca="false">IF(OR(C343="",H343&lt;&gt;"Approved"),0,IF(G343&lt;&gt;"",G343,N(F343)))</f>
        <v>0</v>
      </c>
    </row>
    <row r="344" customFormat="false" ht="15" hidden="false" customHeight="false" outlineLevel="0" collapsed="false">
      <c r="A344" s="32"/>
      <c r="B344" s="32"/>
      <c r="C344" s="32"/>
      <c r="D344" s="32"/>
      <c r="E344" s="33"/>
      <c r="F344" s="41"/>
      <c r="G344" s="41"/>
      <c r="H344" s="32"/>
      <c r="I344" s="35"/>
      <c r="J344" s="35"/>
      <c r="K344" s="33"/>
      <c r="L344" s="37" t="n">
        <f aca="false">IF(OR(C344="",H344&lt;&gt;"Approved"),0,IF(G344&lt;&gt;"",G344,N(F344)))</f>
        <v>0</v>
      </c>
    </row>
    <row r="345" customFormat="false" ht="15" hidden="false" customHeight="false" outlineLevel="0" collapsed="false">
      <c r="A345" s="32"/>
      <c r="B345" s="32"/>
      <c r="C345" s="32"/>
      <c r="D345" s="32"/>
      <c r="E345" s="33"/>
      <c r="F345" s="41"/>
      <c r="G345" s="41"/>
      <c r="H345" s="32"/>
      <c r="I345" s="35"/>
      <c r="J345" s="35"/>
      <c r="K345" s="33"/>
      <c r="L345" s="37" t="n">
        <f aca="false">IF(OR(C345="",H345&lt;&gt;"Approved"),0,IF(G345&lt;&gt;"",G345,N(F345)))</f>
        <v>0</v>
      </c>
    </row>
    <row r="346" customFormat="false" ht="15" hidden="false" customHeight="false" outlineLevel="0" collapsed="false">
      <c r="A346" s="32"/>
      <c r="B346" s="32"/>
      <c r="C346" s="32"/>
      <c r="D346" s="32"/>
      <c r="E346" s="33"/>
      <c r="F346" s="41"/>
      <c r="G346" s="41"/>
      <c r="H346" s="32"/>
      <c r="I346" s="35"/>
      <c r="J346" s="35"/>
      <c r="K346" s="33"/>
      <c r="L346" s="37" t="n">
        <f aca="false">IF(OR(C346="",H346&lt;&gt;"Approved"),0,IF(G346&lt;&gt;"",G346,N(F346)))</f>
        <v>0</v>
      </c>
    </row>
    <row r="347" customFormat="false" ht="15" hidden="false" customHeight="false" outlineLevel="0" collapsed="false">
      <c r="A347" s="32"/>
      <c r="B347" s="32"/>
      <c r="C347" s="32"/>
      <c r="D347" s="32"/>
      <c r="E347" s="33"/>
      <c r="F347" s="41"/>
      <c r="G347" s="41"/>
      <c r="H347" s="32"/>
      <c r="I347" s="35"/>
      <c r="J347" s="35"/>
      <c r="K347" s="33"/>
      <c r="L347" s="37" t="n">
        <f aca="false">IF(OR(C347="",H347&lt;&gt;"Approved"),0,IF(G347&lt;&gt;"",G347,N(F347)))</f>
        <v>0</v>
      </c>
    </row>
    <row r="348" customFormat="false" ht="15" hidden="false" customHeight="false" outlineLevel="0" collapsed="false">
      <c r="A348" s="32"/>
      <c r="B348" s="32"/>
      <c r="C348" s="32"/>
      <c r="D348" s="32"/>
      <c r="E348" s="33"/>
      <c r="F348" s="41"/>
      <c r="G348" s="41"/>
      <c r="H348" s="32"/>
      <c r="I348" s="35"/>
      <c r="J348" s="35"/>
      <c r="K348" s="33"/>
      <c r="L348" s="37" t="n">
        <f aca="false">IF(OR(C348="",H348&lt;&gt;"Approved"),0,IF(G348&lt;&gt;"",G348,N(F348)))</f>
        <v>0</v>
      </c>
    </row>
    <row r="349" customFormat="false" ht="15" hidden="false" customHeight="false" outlineLevel="0" collapsed="false">
      <c r="A349" s="32"/>
      <c r="B349" s="32"/>
      <c r="C349" s="32"/>
      <c r="D349" s="32"/>
      <c r="E349" s="33"/>
      <c r="F349" s="41"/>
      <c r="G349" s="41"/>
      <c r="H349" s="32"/>
      <c r="I349" s="35"/>
      <c r="J349" s="35"/>
      <c r="K349" s="33"/>
      <c r="L349" s="37" t="n">
        <f aca="false">IF(OR(C349="",H349&lt;&gt;"Approved"),0,IF(G349&lt;&gt;"",G349,N(F349)))</f>
        <v>0</v>
      </c>
    </row>
    <row r="350" customFormat="false" ht="15" hidden="false" customHeight="false" outlineLevel="0" collapsed="false">
      <c r="A350" s="32"/>
      <c r="B350" s="32"/>
      <c r="C350" s="32"/>
      <c r="D350" s="32"/>
      <c r="E350" s="33"/>
      <c r="F350" s="41"/>
      <c r="G350" s="41"/>
      <c r="H350" s="32"/>
      <c r="I350" s="35"/>
      <c r="J350" s="35"/>
      <c r="K350" s="33"/>
      <c r="L350" s="37" t="n">
        <f aca="false">IF(OR(C350="",H350&lt;&gt;"Approved"),0,IF(G350&lt;&gt;"",G350,N(F350)))</f>
        <v>0</v>
      </c>
    </row>
    <row r="351" customFormat="false" ht="15" hidden="false" customHeight="false" outlineLevel="0" collapsed="false">
      <c r="A351" s="32"/>
      <c r="B351" s="32"/>
      <c r="C351" s="32"/>
      <c r="D351" s="32"/>
      <c r="E351" s="33"/>
      <c r="F351" s="41"/>
      <c r="G351" s="41"/>
      <c r="H351" s="32"/>
      <c r="I351" s="35"/>
      <c r="J351" s="35"/>
      <c r="K351" s="33"/>
      <c r="L351" s="37" t="n">
        <f aca="false">IF(OR(C351="",H351&lt;&gt;"Approved"),0,IF(G351&lt;&gt;"",G351,N(F351)))</f>
        <v>0</v>
      </c>
    </row>
    <row r="352" customFormat="false" ht="15" hidden="false" customHeight="false" outlineLevel="0" collapsed="false">
      <c r="A352" s="32"/>
      <c r="B352" s="32"/>
      <c r="C352" s="32"/>
      <c r="D352" s="32"/>
      <c r="E352" s="33"/>
      <c r="F352" s="41"/>
      <c r="G352" s="41"/>
      <c r="H352" s="32"/>
      <c r="I352" s="35"/>
      <c r="J352" s="35"/>
      <c r="K352" s="33"/>
      <c r="L352" s="37" t="n">
        <f aca="false">IF(OR(C352="",H352&lt;&gt;"Approved"),0,IF(G352&lt;&gt;"",G352,N(F352)))</f>
        <v>0</v>
      </c>
    </row>
    <row r="353" customFormat="false" ht="15" hidden="false" customHeight="false" outlineLevel="0" collapsed="false">
      <c r="A353" s="32"/>
      <c r="B353" s="32"/>
      <c r="C353" s="32"/>
      <c r="D353" s="32"/>
      <c r="E353" s="33"/>
      <c r="F353" s="41"/>
      <c r="G353" s="41"/>
      <c r="H353" s="32"/>
      <c r="I353" s="35"/>
      <c r="J353" s="35"/>
      <c r="K353" s="33"/>
      <c r="L353" s="37" t="n">
        <f aca="false">IF(OR(C353="",H353&lt;&gt;"Approved"),0,IF(G353&lt;&gt;"",G353,N(F353)))</f>
        <v>0</v>
      </c>
    </row>
    <row r="354" customFormat="false" ht="15" hidden="false" customHeight="false" outlineLevel="0" collapsed="false">
      <c r="A354" s="32"/>
      <c r="B354" s="32"/>
      <c r="C354" s="32"/>
      <c r="D354" s="32"/>
      <c r="E354" s="33"/>
      <c r="F354" s="41"/>
      <c r="G354" s="41"/>
      <c r="H354" s="32"/>
      <c r="I354" s="35"/>
      <c r="J354" s="35"/>
      <c r="K354" s="33"/>
      <c r="L354" s="37" t="n">
        <f aca="false">IF(OR(C354="",H354&lt;&gt;"Approved"),0,IF(G354&lt;&gt;"",G354,N(F354)))</f>
        <v>0</v>
      </c>
    </row>
    <row r="355" customFormat="false" ht="15" hidden="false" customHeight="false" outlineLevel="0" collapsed="false">
      <c r="A355" s="32"/>
      <c r="B355" s="32"/>
      <c r="C355" s="32"/>
      <c r="D355" s="32"/>
      <c r="E355" s="33"/>
      <c r="F355" s="41"/>
      <c r="G355" s="41"/>
      <c r="H355" s="32"/>
      <c r="I355" s="35"/>
      <c r="J355" s="35"/>
      <c r="K355" s="33"/>
      <c r="L355" s="37" t="n">
        <f aca="false">IF(OR(C355="",H355&lt;&gt;"Approved"),0,IF(G355&lt;&gt;"",G355,N(F355)))</f>
        <v>0</v>
      </c>
    </row>
    <row r="356" customFormat="false" ht="15" hidden="false" customHeight="false" outlineLevel="0" collapsed="false">
      <c r="A356" s="32"/>
      <c r="B356" s="32"/>
      <c r="C356" s="32"/>
      <c r="D356" s="32"/>
      <c r="E356" s="33"/>
      <c r="F356" s="41"/>
      <c r="G356" s="41"/>
      <c r="H356" s="32"/>
      <c r="I356" s="35"/>
      <c r="J356" s="35"/>
      <c r="K356" s="33"/>
      <c r="L356" s="37" t="n">
        <f aca="false">IF(OR(C356="",H356&lt;&gt;"Approved"),0,IF(G356&lt;&gt;"",G356,N(F356)))</f>
        <v>0</v>
      </c>
    </row>
    <row r="357" customFormat="false" ht="15" hidden="false" customHeight="false" outlineLevel="0" collapsed="false">
      <c r="A357" s="32"/>
      <c r="B357" s="32"/>
      <c r="C357" s="32"/>
      <c r="D357" s="32"/>
      <c r="E357" s="33"/>
      <c r="F357" s="41"/>
      <c r="G357" s="41"/>
      <c r="H357" s="32"/>
      <c r="I357" s="35"/>
      <c r="J357" s="35"/>
      <c r="K357" s="33"/>
      <c r="L357" s="37" t="n">
        <f aca="false">IF(OR(C357="",H357&lt;&gt;"Approved"),0,IF(G357&lt;&gt;"",G357,N(F357)))</f>
        <v>0</v>
      </c>
    </row>
    <row r="358" customFormat="false" ht="15" hidden="false" customHeight="false" outlineLevel="0" collapsed="false">
      <c r="A358" s="32"/>
      <c r="B358" s="32"/>
      <c r="C358" s="32"/>
      <c r="D358" s="32"/>
      <c r="E358" s="33"/>
      <c r="F358" s="41"/>
      <c r="G358" s="41"/>
      <c r="H358" s="32"/>
      <c r="I358" s="35"/>
      <c r="J358" s="35"/>
      <c r="K358" s="33"/>
      <c r="L358" s="37" t="n">
        <f aca="false">IF(OR(C358="",H358&lt;&gt;"Approved"),0,IF(G358&lt;&gt;"",G358,N(F358)))</f>
        <v>0</v>
      </c>
    </row>
    <row r="359" customFormat="false" ht="15" hidden="false" customHeight="false" outlineLevel="0" collapsed="false">
      <c r="A359" s="32"/>
      <c r="B359" s="32"/>
      <c r="C359" s="32"/>
      <c r="D359" s="32"/>
      <c r="E359" s="33"/>
      <c r="F359" s="41"/>
      <c r="G359" s="41"/>
      <c r="H359" s="32"/>
      <c r="I359" s="35"/>
      <c r="J359" s="35"/>
      <c r="K359" s="33"/>
      <c r="L359" s="37" t="n">
        <f aca="false">IF(OR(C359="",H359&lt;&gt;"Approved"),0,IF(G359&lt;&gt;"",G359,N(F359)))</f>
        <v>0</v>
      </c>
    </row>
    <row r="360" customFormat="false" ht="15" hidden="false" customHeight="false" outlineLevel="0" collapsed="false">
      <c r="A360" s="32"/>
      <c r="B360" s="32"/>
      <c r="C360" s="32"/>
      <c r="D360" s="32"/>
      <c r="E360" s="33"/>
      <c r="F360" s="41"/>
      <c r="G360" s="41"/>
      <c r="H360" s="32"/>
      <c r="I360" s="35"/>
      <c r="J360" s="35"/>
      <c r="K360" s="33"/>
      <c r="L360" s="37" t="n">
        <f aca="false">IF(OR(C360="",H360&lt;&gt;"Approved"),0,IF(G360&lt;&gt;"",G360,N(F360)))</f>
        <v>0</v>
      </c>
    </row>
    <row r="361" customFormat="false" ht="15" hidden="false" customHeight="false" outlineLevel="0" collapsed="false">
      <c r="A361" s="32"/>
      <c r="B361" s="32"/>
      <c r="C361" s="32"/>
      <c r="D361" s="32"/>
      <c r="E361" s="33"/>
      <c r="F361" s="41"/>
      <c r="G361" s="41"/>
      <c r="H361" s="32"/>
      <c r="I361" s="35"/>
      <c r="J361" s="35"/>
      <c r="K361" s="33"/>
      <c r="L361" s="37" t="n">
        <f aca="false">IF(OR(C361="",H361&lt;&gt;"Approved"),0,IF(G361&lt;&gt;"",G361,N(F361)))</f>
        <v>0</v>
      </c>
    </row>
    <row r="362" customFormat="false" ht="15" hidden="false" customHeight="false" outlineLevel="0" collapsed="false">
      <c r="A362" s="32"/>
      <c r="B362" s="32"/>
      <c r="C362" s="32"/>
      <c r="D362" s="32"/>
      <c r="E362" s="33"/>
      <c r="F362" s="41"/>
      <c r="G362" s="41"/>
      <c r="H362" s="32"/>
      <c r="I362" s="35"/>
      <c r="J362" s="35"/>
      <c r="K362" s="33"/>
      <c r="L362" s="37" t="n">
        <f aca="false">IF(OR(C362="",H362&lt;&gt;"Approved"),0,IF(G362&lt;&gt;"",G362,N(F362)))</f>
        <v>0</v>
      </c>
    </row>
    <row r="363" customFormat="false" ht="15" hidden="false" customHeight="false" outlineLevel="0" collapsed="false">
      <c r="A363" s="32"/>
      <c r="B363" s="32"/>
      <c r="C363" s="32"/>
      <c r="D363" s="32"/>
      <c r="E363" s="33"/>
      <c r="F363" s="41"/>
      <c r="G363" s="41"/>
      <c r="H363" s="32"/>
      <c r="I363" s="35"/>
      <c r="J363" s="35"/>
      <c r="K363" s="33"/>
      <c r="L363" s="37" t="n">
        <f aca="false">IF(OR(C363="",H363&lt;&gt;"Approved"),0,IF(G363&lt;&gt;"",G363,N(F363)))</f>
        <v>0</v>
      </c>
    </row>
    <row r="364" customFormat="false" ht="15" hidden="false" customHeight="false" outlineLevel="0" collapsed="false">
      <c r="A364" s="32"/>
      <c r="B364" s="32"/>
      <c r="C364" s="32"/>
      <c r="D364" s="32"/>
      <c r="E364" s="33"/>
      <c r="F364" s="41"/>
      <c r="G364" s="41"/>
      <c r="H364" s="32"/>
      <c r="I364" s="35"/>
      <c r="J364" s="35"/>
      <c r="K364" s="33"/>
      <c r="L364" s="37" t="n">
        <f aca="false">IF(OR(C364="",H364&lt;&gt;"Approved"),0,IF(G364&lt;&gt;"",G364,N(F364)))</f>
        <v>0</v>
      </c>
    </row>
    <row r="365" customFormat="false" ht="15" hidden="false" customHeight="false" outlineLevel="0" collapsed="false">
      <c r="A365" s="32"/>
      <c r="B365" s="32"/>
      <c r="C365" s="32"/>
      <c r="D365" s="32"/>
      <c r="E365" s="33"/>
      <c r="F365" s="41"/>
      <c r="G365" s="41"/>
      <c r="H365" s="32"/>
      <c r="I365" s="35"/>
      <c r="J365" s="35"/>
      <c r="K365" s="33"/>
      <c r="L365" s="37" t="n">
        <f aca="false">IF(OR(C365="",H365&lt;&gt;"Approved"),0,IF(G365&lt;&gt;"",G365,N(F365)))</f>
        <v>0</v>
      </c>
    </row>
    <row r="366" customFormat="false" ht="15" hidden="false" customHeight="false" outlineLevel="0" collapsed="false">
      <c r="A366" s="32"/>
      <c r="B366" s="32"/>
      <c r="C366" s="32"/>
      <c r="D366" s="32"/>
      <c r="E366" s="33"/>
      <c r="F366" s="41"/>
      <c r="G366" s="41"/>
      <c r="H366" s="32"/>
      <c r="I366" s="35"/>
      <c r="J366" s="35"/>
      <c r="K366" s="33"/>
      <c r="L366" s="37" t="n">
        <f aca="false">IF(OR(C366="",H366&lt;&gt;"Approved"),0,IF(G366&lt;&gt;"",G366,N(F366)))</f>
        <v>0</v>
      </c>
    </row>
    <row r="367" customFormat="false" ht="15" hidden="false" customHeight="false" outlineLevel="0" collapsed="false">
      <c r="A367" s="32"/>
      <c r="B367" s="32"/>
      <c r="C367" s="32"/>
      <c r="D367" s="32"/>
      <c r="E367" s="33"/>
      <c r="F367" s="41"/>
      <c r="G367" s="41"/>
      <c r="H367" s="32"/>
      <c r="I367" s="35"/>
      <c r="J367" s="35"/>
      <c r="K367" s="33"/>
      <c r="L367" s="37" t="n">
        <f aca="false">IF(OR(C367="",H367&lt;&gt;"Approved"),0,IF(G367&lt;&gt;"",G367,N(F367)))</f>
        <v>0</v>
      </c>
    </row>
    <row r="368" customFormat="false" ht="15" hidden="false" customHeight="false" outlineLevel="0" collapsed="false">
      <c r="A368" s="32"/>
      <c r="B368" s="32"/>
      <c r="C368" s="32"/>
      <c r="D368" s="32"/>
      <c r="E368" s="33"/>
      <c r="F368" s="41"/>
      <c r="G368" s="41"/>
      <c r="H368" s="32"/>
      <c r="I368" s="35"/>
      <c r="J368" s="35"/>
      <c r="K368" s="33"/>
      <c r="L368" s="37" t="n">
        <f aca="false">IF(OR(C368="",H368&lt;&gt;"Approved"),0,IF(G368&lt;&gt;"",G368,N(F368)))</f>
        <v>0</v>
      </c>
    </row>
    <row r="369" customFormat="false" ht="15" hidden="false" customHeight="false" outlineLevel="0" collapsed="false">
      <c r="A369" s="32"/>
      <c r="B369" s="32"/>
      <c r="C369" s="32"/>
      <c r="D369" s="32"/>
      <c r="E369" s="33"/>
      <c r="F369" s="41"/>
      <c r="G369" s="41"/>
      <c r="H369" s="32"/>
      <c r="I369" s="35"/>
      <c r="J369" s="35"/>
      <c r="K369" s="33"/>
      <c r="L369" s="37" t="n">
        <f aca="false">IF(OR(C369="",H369&lt;&gt;"Approved"),0,IF(G369&lt;&gt;"",G369,N(F369)))</f>
        <v>0</v>
      </c>
    </row>
    <row r="370" customFormat="false" ht="15" hidden="false" customHeight="false" outlineLevel="0" collapsed="false">
      <c r="A370" s="32"/>
      <c r="B370" s="32"/>
      <c r="C370" s="32"/>
      <c r="D370" s="32"/>
      <c r="E370" s="33"/>
      <c r="F370" s="41"/>
      <c r="G370" s="41"/>
      <c r="H370" s="32"/>
      <c r="I370" s="35"/>
      <c r="J370" s="35"/>
      <c r="K370" s="33"/>
      <c r="L370" s="37" t="n">
        <f aca="false">IF(OR(C370="",H370&lt;&gt;"Approved"),0,IF(G370&lt;&gt;"",G370,N(F370)))</f>
        <v>0</v>
      </c>
    </row>
    <row r="371" customFormat="false" ht="15" hidden="false" customHeight="false" outlineLevel="0" collapsed="false">
      <c r="A371" s="32"/>
      <c r="B371" s="32"/>
      <c r="C371" s="32"/>
      <c r="D371" s="32"/>
      <c r="E371" s="33"/>
      <c r="F371" s="41"/>
      <c r="G371" s="41"/>
      <c r="H371" s="32"/>
      <c r="I371" s="35"/>
      <c r="J371" s="35"/>
      <c r="K371" s="33"/>
      <c r="L371" s="37" t="n">
        <f aca="false">IF(OR(C371="",H371&lt;&gt;"Approved"),0,IF(G371&lt;&gt;"",G371,N(F371)))</f>
        <v>0</v>
      </c>
    </row>
    <row r="372" customFormat="false" ht="15" hidden="false" customHeight="false" outlineLevel="0" collapsed="false">
      <c r="A372" s="32"/>
      <c r="B372" s="32"/>
      <c r="C372" s="32"/>
      <c r="D372" s="32"/>
      <c r="E372" s="33"/>
      <c r="F372" s="41"/>
      <c r="G372" s="41"/>
      <c r="H372" s="32"/>
      <c r="I372" s="35"/>
      <c r="J372" s="35"/>
      <c r="K372" s="33"/>
      <c r="L372" s="37" t="n">
        <f aca="false">IF(OR(C372="",H372&lt;&gt;"Approved"),0,IF(G372&lt;&gt;"",G372,N(F372)))</f>
        <v>0</v>
      </c>
    </row>
    <row r="373" customFormat="false" ht="15" hidden="false" customHeight="false" outlineLevel="0" collapsed="false">
      <c r="A373" s="32"/>
      <c r="B373" s="32"/>
      <c r="C373" s="32"/>
      <c r="D373" s="32"/>
      <c r="E373" s="33"/>
      <c r="F373" s="41"/>
      <c r="G373" s="41"/>
      <c r="H373" s="32"/>
      <c r="I373" s="35"/>
      <c r="J373" s="35"/>
      <c r="K373" s="33"/>
      <c r="L373" s="37" t="n">
        <f aca="false">IF(OR(C373="",H373&lt;&gt;"Approved"),0,IF(G373&lt;&gt;"",G373,N(F373)))</f>
        <v>0</v>
      </c>
    </row>
    <row r="374" customFormat="false" ht="15" hidden="false" customHeight="false" outlineLevel="0" collapsed="false">
      <c r="A374" s="32"/>
      <c r="B374" s="32"/>
      <c r="C374" s="32"/>
      <c r="D374" s="32"/>
      <c r="E374" s="33"/>
      <c r="F374" s="41"/>
      <c r="G374" s="41"/>
      <c r="H374" s="32"/>
      <c r="I374" s="35"/>
      <c r="J374" s="35"/>
      <c r="K374" s="33"/>
      <c r="L374" s="37" t="n">
        <f aca="false">IF(OR(C374="",H374&lt;&gt;"Approved"),0,IF(G374&lt;&gt;"",G374,N(F374)))</f>
        <v>0</v>
      </c>
    </row>
    <row r="375" customFormat="false" ht="15" hidden="false" customHeight="false" outlineLevel="0" collapsed="false">
      <c r="A375" s="32"/>
      <c r="B375" s="32"/>
      <c r="C375" s="32"/>
      <c r="D375" s="32"/>
      <c r="E375" s="33"/>
      <c r="F375" s="41"/>
      <c r="G375" s="41"/>
      <c r="H375" s="32"/>
      <c r="I375" s="35"/>
      <c r="J375" s="35"/>
      <c r="K375" s="33"/>
      <c r="L375" s="37" t="n">
        <f aca="false">IF(OR(C375="",H375&lt;&gt;"Approved"),0,IF(G375&lt;&gt;"",G375,N(F375)))</f>
        <v>0</v>
      </c>
    </row>
    <row r="376" customFormat="false" ht="15" hidden="false" customHeight="false" outlineLevel="0" collapsed="false">
      <c r="A376" s="32"/>
      <c r="B376" s="32"/>
      <c r="C376" s="32"/>
      <c r="D376" s="32"/>
      <c r="E376" s="33"/>
      <c r="F376" s="41"/>
      <c r="G376" s="41"/>
      <c r="H376" s="32"/>
      <c r="I376" s="35"/>
      <c r="J376" s="35"/>
      <c r="K376" s="33"/>
      <c r="L376" s="37" t="n">
        <f aca="false">IF(OR(C376="",H376&lt;&gt;"Approved"),0,IF(G376&lt;&gt;"",G376,N(F376)))</f>
        <v>0</v>
      </c>
    </row>
    <row r="377" customFormat="false" ht="15" hidden="false" customHeight="false" outlineLevel="0" collapsed="false">
      <c r="A377" s="32"/>
      <c r="B377" s="32"/>
      <c r="C377" s="32"/>
      <c r="D377" s="32"/>
      <c r="E377" s="33"/>
      <c r="F377" s="41"/>
      <c r="G377" s="41"/>
      <c r="H377" s="32"/>
      <c r="I377" s="35"/>
      <c r="J377" s="35"/>
      <c r="K377" s="33"/>
      <c r="L377" s="37" t="n">
        <f aca="false">IF(OR(C377="",H377&lt;&gt;"Approved"),0,IF(G377&lt;&gt;"",G377,N(F377)))</f>
        <v>0</v>
      </c>
    </row>
    <row r="378" customFormat="false" ht="15" hidden="false" customHeight="false" outlineLevel="0" collapsed="false">
      <c r="A378" s="32"/>
      <c r="B378" s="32"/>
      <c r="C378" s="32"/>
      <c r="D378" s="32"/>
      <c r="E378" s="33"/>
      <c r="F378" s="41"/>
      <c r="G378" s="41"/>
      <c r="H378" s="32"/>
      <c r="I378" s="35"/>
      <c r="J378" s="35"/>
      <c r="K378" s="33"/>
      <c r="L378" s="37" t="n">
        <f aca="false">IF(OR(C378="",H378&lt;&gt;"Approved"),0,IF(G378&lt;&gt;"",G378,N(F378)))</f>
        <v>0</v>
      </c>
    </row>
    <row r="379" customFormat="false" ht="15" hidden="false" customHeight="false" outlineLevel="0" collapsed="false">
      <c r="A379" s="32"/>
      <c r="B379" s="32"/>
      <c r="C379" s="32"/>
      <c r="D379" s="32"/>
      <c r="E379" s="33"/>
      <c r="F379" s="41"/>
      <c r="G379" s="41"/>
      <c r="H379" s="32"/>
      <c r="I379" s="35"/>
      <c r="J379" s="35"/>
      <c r="K379" s="33"/>
      <c r="L379" s="37" t="n">
        <f aca="false">IF(OR(C379="",H379&lt;&gt;"Approved"),0,IF(G379&lt;&gt;"",G379,N(F379)))</f>
        <v>0</v>
      </c>
    </row>
    <row r="380" customFormat="false" ht="15" hidden="false" customHeight="false" outlineLevel="0" collapsed="false">
      <c r="A380" s="32"/>
      <c r="B380" s="32"/>
      <c r="C380" s="32"/>
      <c r="D380" s="32"/>
      <c r="E380" s="33"/>
      <c r="F380" s="41"/>
      <c r="G380" s="41"/>
      <c r="H380" s="32"/>
      <c r="I380" s="35"/>
      <c r="J380" s="35"/>
      <c r="K380" s="33"/>
      <c r="L380" s="37" t="n">
        <f aca="false">IF(OR(C380="",H380&lt;&gt;"Approved"),0,IF(G380&lt;&gt;"",G380,N(F380)))</f>
        <v>0</v>
      </c>
    </row>
    <row r="381" customFormat="false" ht="15" hidden="false" customHeight="false" outlineLevel="0" collapsed="false">
      <c r="A381" s="32"/>
      <c r="B381" s="32"/>
      <c r="C381" s="32"/>
      <c r="D381" s="32"/>
      <c r="E381" s="33"/>
      <c r="F381" s="41"/>
      <c r="G381" s="41"/>
      <c r="H381" s="32"/>
      <c r="I381" s="35"/>
      <c r="J381" s="35"/>
      <c r="K381" s="33"/>
      <c r="L381" s="37" t="n">
        <f aca="false">IF(OR(C381="",H381&lt;&gt;"Approved"),0,IF(G381&lt;&gt;"",G381,N(F381)))</f>
        <v>0</v>
      </c>
    </row>
    <row r="382" customFormat="false" ht="15" hidden="false" customHeight="false" outlineLevel="0" collapsed="false">
      <c r="A382" s="32"/>
      <c r="B382" s="32"/>
      <c r="C382" s="32"/>
      <c r="D382" s="32"/>
      <c r="E382" s="33"/>
      <c r="F382" s="41"/>
      <c r="G382" s="41"/>
      <c r="H382" s="32"/>
      <c r="I382" s="35"/>
      <c r="J382" s="35"/>
      <c r="K382" s="33"/>
      <c r="L382" s="37" t="n">
        <f aca="false">IF(OR(C382="",H382&lt;&gt;"Approved"),0,IF(G382&lt;&gt;"",G382,N(F382)))</f>
        <v>0</v>
      </c>
    </row>
    <row r="383" customFormat="false" ht="15" hidden="false" customHeight="false" outlineLevel="0" collapsed="false">
      <c r="A383" s="32"/>
      <c r="B383" s="32"/>
      <c r="C383" s="32"/>
      <c r="D383" s="32"/>
      <c r="E383" s="33"/>
      <c r="F383" s="41"/>
      <c r="G383" s="41"/>
      <c r="H383" s="32"/>
      <c r="I383" s="35"/>
      <c r="J383" s="35"/>
      <c r="K383" s="33"/>
      <c r="L383" s="37" t="n">
        <f aca="false">IF(OR(C383="",H383&lt;&gt;"Approved"),0,IF(G383&lt;&gt;"",G383,N(F383)))</f>
        <v>0</v>
      </c>
    </row>
    <row r="384" customFormat="false" ht="15" hidden="false" customHeight="false" outlineLevel="0" collapsed="false">
      <c r="A384" s="32"/>
      <c r="B384" s="32"/>
      <c r="C384" s="32"/>
      <c r="D384" s="32"/>
      <c r="E384" s="33"/>
      <c r="F384" s="41"/>
      <c r="G384" s="41"/>
      <c r="H384" s="32"/>
      <c r="I384" s="35"/>
      <c r="J384" s="35"/>
      <c r="K384" s="33"/>
      <c r="L384" s="37" t="n">
        <f aca="false">IF(OR(C384="",H384&lt;&gt;"Approved"),0,IF(G384&lt;&gt;"",G384,N(F384)))</f>
        <v>0</v>
      </c>
    </row>
    <row r="385" customFormat="false" ht="15" hidden="false" customHeight="false" outlineLevel="0" collapsed="false">
      <c r="A385" s="32"/>
      <c r="B385" s="32"/>
      <c r="C385" s="32"/>
      <c r="D385" s="32"/>
      <c r="E385" s="33"/>
      <c r="F385" s="41"/>
      <c r="G385" s="41"/>
      <c r="H385" s="32"/>
      <c r="I385" s="35"/>
      <c r="J385" s="35"/>
      <c r="K385" s="33"/>
      <c r="L385" s="37" t="n">
        <f aca="false">IF(OR(C385="",H385&lt;&gt;"Approved"),0,IF(G385&lt;&gt;"",G385,N(F385)))</f>
        <v>0</v>
      </c>
    </row>
    <row r="386" customFormat="false" ht="15" hidden="false" customHeight="false" outlineLevel="0" collapsed="false">
      <c r="A386" s="32"/>
      <c r="B386" s="32"/>
      <c r="C386" s="32"/>
      <c r="D386" s="32"/>
      <c r="E386" s="33"/>
      <c r="F386" s="41"/>
      <c r="G386" s="41"/>
      <c r="H386" s="32"/>
      <c r="I386" s="35"/>
      <c r="J386" s="35"/>
      <c r="K386" s="33"/>
      <c r="L386" s="37" t="n">
        <f aca="false">IF(OR(C386="",H386&lt;&gt;"Approved"),0,IF(G386&lt;&gt;"",G386,N(F386)))</f>
        <v>0</v>
      </c>
    </row>
    <row r="387" customFormat="false" ht="15" hidden="false" customHeight="false" outlineLevel="0" collapsed="false">
      <c r="A387" s="32"/>
      <c r="B387" s="32"/>
      <c r="C387" s="32"/>
      <c r="D387" s="32"/>
      <c r="E387" s="33"/>
      <c r="F387" s="41"/>
      <c r="G387" s="41"/>
      <c r="H387" s="32"/>
      <c r="I387" s="35"/>
      <c r="J387" s="35"/>
      <c r="K387" s="33"/>
      <c r="L387" s="37" t="n">
        <f aca="false">IF(OR(C387="",H387&lt;&gt;"Approved"),0,IF(G387&lt;&gt;"",G387,N(F387)))</f>
        <v>0</v>
      </c>
    </row>
    <row r="388" customFormat="false" ht="15" hidden="false" customHeight="false" outlineLevel="0" collapsed="false">
      <c r="A388" s="32"/>
      <c r="B388" s="32"/>
      <c r="C388" s="32"/>
      <c r="D388" s="32"/>
      <c r="E388" s="33"/>
      <c r="F388" s="41"/>
      <c r="G388" s="41"/>
      <c r="H388" s="32"/>
      <c r="I388" s="35"/>
      <c r="J388" s="35"/>
      <c r="K388" s="33"/>
      <c r="L388" s="37" t="n">
        <f aca="false">IF(OR(C388="",H388&lt;&gt;"Approved"),0,IF(G388&lt;&gt;"",G388,N(F388)))</f>
        <v>0</v>
      </c>
    </row>
    <row r="389" customFormat="false" ht="15" hidden="false" customHeight="false" outlineLevel="0" collapsed="false">
      <c r="A389" s="32"/>
      <c r="B389" s="32"/>
      <c r="C389" s="32"/>
      <c r="D389" s="32"/>
      <c r="E389" s="33"/>
      <c r="F389" s="41"/>
      <c r="G389" s="41"/>
      <c r="H389" s="32"/>
      <c r="I389" s="35"/>
      <c r="J389" s="35"/>
      <c r="K389" s="33"/>
      <c r="L389" s="37" t="n">
        <f aca="false">IF(OR(C389="",H389&lt;&gt;"Approved"),0,IF(G389&lt;&gt;"",G389,N(F389)))</f>
        <v>0</v>
      </c>
    </row>
    <row r="390" customFormat="false" ht="15" hidden="false" customHeight="false" outlineLevel="0" collapsed="false">
      <c r="A390" s="32"/>
      <c r="B390" s="32"/>
      <c r="C390" s="32"/>
      <c r="D390" s="32"/>
      <c r="E390" s="33"/>
      <c r="F390" s="41"/>
      <c r="G390" s="41"/>
      <c r="H390" s="32"/>
      <c r="I390" s="35"/>
      <c r="J390" s="35"/>
      <c r="K390" s="33"/>
      <c r="L390" s="37" t="n">
        <f aca="false">IF(OR(C390="",H390&lt;&gt;"Approved"),0,IF(G390&lt;&gt;"",G390,N(F390)))</f>
        <v>0</v>
      </c>
    </row>
    <row r="391" customFormat="false" ht="15" hidden="false" customHeight="false" outlineLevel="0" collapsed="false">
      <c r="A391" s="32"/>
      <c r="B391" s="32"/>
      <c r="C391" s="32"/>
      <c r="D391" s="32"/>
      <c r="E391" s="33"/>
      <c r="F391" s="41"/>
      <c r="G391" s="41"/>
      <c r="H391" s="32"/>
      <c r="I391" s="35"/>
      <c r="J391" s="35"/>
      <c r="K391" s="33"/>
      <c r="L391" s="37" t="n">
        <f aca="false">IF(OR(C391="",H391&lt;&gt;"Approved"),0,IF(G391&lt;&gt;"",G391,N(F391)))</f>
        <v>0</v>
      </c>
    </row>
    <row r="392" customFormat="false" ht="15" hidden="false" customHeight="false" outlineLevel="0" collapsed="false">
      <c r="A392" s="32"/>
      <c r="B392" s="32"/>
      <c r="C392" s="32"/>
      <c r="D392" s="32"/>
      <c r="E392" s="33"/>
      <c r="F392" s="41"/>
      <c r="G392" s="41"/>
      <c r="H392" s="32"/>
      <c r="I392" s="35"/>
      <c r="J392" s="35"/>
      <c r="K392" s="33"/>
      <c r="L392" s="37" t="n">
        <f aca="false">IF(OR(C392="",H392&lt;&gt;"Approved"),0,IF(G392&lt;&gt;"",G392,N(F392)))</f>
        <v>0</v>
      </c>
    </row>
    <row r="393" customFormat="false" ht="15" hidden="false" customHeight="false" outlineLevel="0" collapsed="false">
      <c r="A393" s="32"/>
      <c r="B393" s="32"/>
      <c r="C393" s="32"/>
      <c r="D393" s="32"/>
      <c r="E393" s="33"/>
      <c r="F393" s="41"/>
      <c r="G393" s="41"/>
      <c r="H393" s="32"/>
      <c r="I393" s="35"/>
      <c r="J393" s="35"/>
      <c r="K393" s="33"/>
      <c r="L393" s="37" t="n">
        <f aca="false">IF(OR(C393="",H393&lt;&gt;"Approved"),0,IF(G393&lt;&gt;"",G393,N(F393)))</f>
        <v>0</v>
      </c>
    </row>
    <row r="394" customFormat="false" ht="15" hidden="false" customHeight="false" outlineLevel="0" collapsed="false">
      <c r="A394" s="32"/>
      <c r="B394" s="32"/>
      <c r="C394" s="32"/>
      <c r="D394" s="32"/>
      <c r="E394" s="33"/>
      <c r="F394" s="41"/>
      <c r="G394" s="41"/>
      <c r="H394" s="32"/>
      <c r="I394" s="35"/>
      <c r="J394" s="35"/>
      <c r="K394" s="33"/>
      <c r="L394" s="37" t="n">
        <f aca="false">IF(OR(C394="",H394&lt;&gt;"Approved"),0,IF(G394&lt;&gt;"",G394,N(F394)))</f>
        <v>0</v>
      </c>
    </row>
    <row r="395" customFormat="false" ht="15" hidden="false" customHeight="false" outlineLevel="0" collapsed="false">
      <c r="A395" s="32"/>
      <c r="B395" s="32"/>
      <c r="C395" s="32"/>
      <c r="D395" s="32"/>
      <c r="E395" s="33"/>
      <c r="F395" s="41"/>
      <c r="G395" s="41"/>
      <c r="H395" s="32"/>
      <c r="I395" s="35"/>
      <c r="J395" s="35"/>
      <c r="K395" s="33"/>
      <c r="L395" s="37" t="n">
        <f aca="false">IF(OR(C395="",H395&lt;&gt;"Approved"),0,IF(G395&lt;&gt;"",G395,N(F395)))</f>
        <v>0</v>
      </c>
    </row>
    <row r="396" customFormat="false" ht="15" hidden="false" customHeight="false" outlineLevel="0" collapsed="false">
      <c r="A396" s="32"/>
      <c r="B396" s="32"/>
      <c r="C396" s="32"/>
      <c r="D396" s="32"/>
      <c r="E396" s="33"/>
      <c r="F396" s="41"/>
      <c r="G396" s="41"/>
      <c r="H396" s="32"/>
      <c r="I396" s="35"/>
      <c r="J396" s="35"/>
      <c r="K396" s="33"/>
      <c r="L396" s="37" t="n">
        <f aca="false">IF(OR(C396="",H396&lt;&gt;"Approved"),0,IF(G396&lt;&gt;"",G396,N(F396)))</f>
        <v>0</v>
      </c>
    </row>
    <row r="397" customFormat="false" ht="15" hidden="false" customHeight="false" outlineLevel="0" collapsed="false">
      <c r="A397" s="32"/>
      <c r="B397" s="32"/>
      <c r="C397" s="32"/>
      <c r="D397" s="32"/>
      <c r="E397" s="33"/>
      <c r="F397" s="41"/>
      <c r="G397" s="41"/>
      <c r="H397" s="32"/>
      <c r="I397" s="35"/>
      <c r="J397" s="35"/>
      <c r="K397" s="33"/>
      <c r="L397" s="37" t="n">
        <f aca="false">IF(OR(C397="",H397&lt;&gt;"Approved"),0,IF(G397&lt;&gt;"",G397,N(F397)))</f>
        <v>0</v>
      </c>
    </row>
    <row r="398" customFormat="false" ht="15" hidden="false" customHeight="false" outlineLevel="0" collapsed="false">
      <c r="A398" s="32"/>
      <c r="B398" s="32"/>
      <c r="C398" s="32"/>
      <c r="D398" s="32"/>
      <c r="E398" s="33"/>
      <c r="F398" s="41"/>
      <c r="G398" s="41"/>
      <c r="H398" s="32"/>
      <c r="I398" s="35"/>
      <c r="J398" s="35"/>
      <c r="K398" s="33"/>
      <c r="L398" s="37" t="n">
        <f aca="false">IF(OR(C398="",H398&lt;&gt;"Approved"),0,IF(G398&lt;&gt;"",G398,N(F398)))</f>
        <v>0</v>
      </c>
    </row>
    <row r="399" customFormat="false" ht="15" hidden="false" customHeight="false" outlineLevel="0" collapsed="false">
      <c r="A399" s="32"/>
      <c r="B399" s="32"/>
      <c r="C399" s="32"/>
      <c r="D399" s="32"/>
      <c r="E399" s="33"/>
      <c r="F399" s="41"/>
      <c r="G399" s="41"/>
      <c r="H399" s="32"/>
      <c r="I399" s="35"/>
      <c r="J399" s="35"/>
      <c r="K399" s="33"/>
      <c r="L399" s="37" t="n">
        <f aca="false">IF(OR(C399="",H399&lt;&gt;"Approved"),0,IF(G399&lt;&gt;"",G399,N(F399)))</f>
        <v>0</v>
      </c>
    </row>
    <row r="400" customFormat="false" ht="15" hidden="false" customHeight="false" outlineLevel="0" collapsed="false">
      <c r="A400" s="32"/>
      <c r="B400" s="32"/>
      <c r="C400" s="32"/>
      <c r="D400" s="32"/>
      <c r="E400" s="33"/>
      <c r="F400" s="41"/>
      <c r="G400" s="41"/>
      <c r="H400" s="32"/>
      <c r="I400" s="35"/>
      <c r="J400" s="35"/>
      <c r="K400" s="33"/>
      <c r="L400" s="37" t="n">
        <f aca="false">IF(OR(C400="",H400&lt;&gt;"Approved"),0,IF(G400&lt;&gt;"",G400,N(F400)))</f>
        <v>0</v>
      </c>
    </row>
    <row r="401" customFormat="false" ht="15" hidden="false" customHeight="false" outlineLevel="0" collapsed="false">
      <c r="A401" s="32"/>
      <c r="B401" s="32"/>
      <c r="C401" s="32"/>
      <c r="D401" s="32"/>
      <c r="E401" s="33"/>
      <c r="F401" s="41"/>
      <c r="G401" s="41"/>
      <c r="H401" s="32"/>
      <c r="I401" s="35"/>
      <c r="J401" s="35"/>
      <c r="K401" s="33"/>
      <c r="L401" s="37" t="n">
        <f aca="false">IF(OR(C401="",H401&lt;&gt;"Approved"),0,IF(G401&lt;&gt;"",G401,N(F401)))</f>
        <v>0</v>
      </c>
    </row>
    <row r="402" customFormat="false" ht="15" hidden="false" customHeight="false" outlineLevel="0" collapsed="false">
      <c r="A402" s="32"/>
      <c r="B402" s="32"/>
      <c r="C402" s="32"/>
      <c r="D402" s="32"/>
      <c r="E402" s="33"/>
      <c r="F402" s="41"/>
      <c r="G402" s="41"/>
      <c r="H402" s="32"/>
      <c r="I402" s="35"/>
      <c r="J402" s="35"/>
      <c r="K402" s="33"/>
      <c r="L402" s="37" t="n">
        <f aca="false">IF(OR(C402="",H402&lt;&gt;"Approved"),0,IF(G402&lt;&gt;"",G402,N(F402)))</f>
        <v>0</v>
      </c>
    </row>
    <row r="403" customFormat="false" ht="15" hidden="false" customHeight="false" outlineLevel="0" collapsed="false">
      <c r="A403" s="32"/>
      <c r="B403" s="32"/>
      <c r="C403" s="32"/>
      <c r="D403" s="32"/>
      <c r="E403" s="33"/>
      <c r="F403" s="41"/>
      <c r="G403" s="41"/>
      <c r="H403" s="32"/>
      <c r="I403" s="35"/>
      <c r="J403" s="35"/>
      <c r="K403" s="33"/>
      <c r="L403" s="37" t="n">
        <f aca="false">IF(OR(C403="",H403&lt;&gt;"Approved"),0,IF(G403&lt;&gt;"",G403,N(F403)))</f>
        <v>0</v>
      </c>
    </row>
    <row r="404" customFormat="false" ht="15" hidden="false" customHeight="false" outlineLevel="0" collapsed="false">
      <c r="A404" s="32"/>
      <c r="B404" s="32"/>
      <c r="C404" s="32"/>
      <c r="D404" s="32"/>
      <c r="E404" s="33"/>
      <c r="F404" s="41"/>
      <c r="G404" s="41"/>
      <c r="H404" s="32"/>
      <c r="I404" s="35"/>
      <c r="J404" s="35"/>
      <c r="K404" s="33"/>
      <c r="L404" s="37" t="n">
        <f aca="false">IF(OR(C404="",H404&lt;&gt;"Approved"),0,IF(G404&lt;&gt;"",G404,N(F404)))</f>
        <v>0</v>
      </c>
    </row>
    <row r="405" customFormat="false" ht="15" hidden="false" customHeight="false" outlineLevel="0" collapsed="false">
      <c r="A405" s="32"/>
      <c r="B405" s="32"/>
      <c r="C405" s="32"/>
      <c r="D405" s="32"/>
      <c r="E405" s="33"/>
      <c r="F405" s="41"/>
      <c r="G405" s="41"/>
      <c r="H405" s="32"/>
      <c r="I405" s="35"/>
      <c r="J405" s="35"/>
      <c r="K405" s="33"/>
      <c r="L405" s="37" t="n">
        <f aca="false">IF(OR(C405="",H405&lt;&gt;"Approved"),0,IF(G405&lt;&gt;"",G405,N(F405)))</f>
        <v>0</v>
      </c>
    </row>
    <row r="406" customFormat="false" ht="15" hidden="false" customHeight="false" outlineLevel="0" collapsed="false">
      <c r="A406" s="32"/>
      <c r="B406" s="32"/>
      <c r="C406" s="32"/>
      <c r="D406" s="32"/>
      <c r="E406" s="33"/>
      <c r="F406" s="41"/>
      <c r="G406" s="41"/>
      <c r="H406" s="32"/>
      <c r="I406" s="35"/>
      <c r="J406" s="35"/>
      <c r="K406" s="33"/>
      <c r="L406" s="37" t="n">
        <f aca="false">IF(OR(C406="",H406&lt;&gt;"Approved"),0,IF(G406&lt;&gt;"",G406,N(F406)))</f>
        <v>0</v>
      </c>
    </row>
    <row r="407" customFormat="false" ht="15" hidden="false" customHeight="false" outlineLevel="0" collapsed="false">
      <c r="A407" s="32"/>
      <c r="B407" s="32"/>
      <c r="C407" s="32"/>
      <c r="D407" s="32"/>
      <c r="E407" s="33"/>
      <c r="F407" s="41"/>
      <c r="G407" s="41"/>
      <c r="H407" s="32"/>
      <c r="I407" s="35"/>
      <c r="J407" s="35"/>
      <c r="K407" s="33"/>
      <c r="L407" s="37" t="n">
        <f aca="false">IF(OR(C407="",H407&lt;&gt;"Approved"),0,IF(G407&lt;&gt;"",G407,N(F407)))</f>
        <v>0</v>
      </c>
    </row>
    <row r="408" customFormat="false" ht="15" hidden="false" customHeight="false" outlineLevel="0" collapsed="false">
      <c r="A408" s="32"/>
      <c r="B408" s="32"/>
      <c r="C408" s="32"/>
      <c r="D408" s="32"/>
      <c r="E408" s="33"/>
      <c r="F408" s="41"/>
      <c r="G408" s="41"/>
      <c r="H408" s="32"/>
      <c r="I408" s="35"/>
      <c r="J408" s="35"/>
      <c r="K408" s="33"/>
      <c r="L408" s="37" t="n">
        <f aca="false">IF(OR(C408="",H408&lt;&gt;"Approved"),0,IF(G408&lt;&gt;"",G408,N(F408)))</f>
        <v>0</v>
      </c>
    </row>
    <row r="409" customFormat="false" ht="15" hidden="false" customHeight="false" outlineLevel="0" collapsed="false">
      <c r="A409" s="32"/>
      <c r="B409" s="32"/>
      <c r="C409" s="32"/>
      <c r="D409" s="32"/>
      <c r="E409" s="33"/>
      <c r="F409" s="41"/>
      <c r="G409" s="41"/>
      <c r="H409" s="32"/>
      <c r="I409" s="35"/>
      <c r="J409" s="35"/>
      <c r="K409" s="33"/>
      <c r="L409" s="37" t="n">
        <f aca="false">IF(OR(C409="",H409&lt;&gt;"Approved"),0,IF(G409&lt;&gt;"",G409,N(F409)))</f>
        <v>0</v>
      </c>
    </row>
    <row r="410" customFormat="false" ht="15" hidden="false" customHeight="false" outlineLevel="0" collapsed="false">
      <c r="A410" s="32"/>
      <c r="B410" s="32"/>
      <c r="C410" s="32"/>
      <c r="D410" s="32"/>
      <c r="E410" s="33"/>
      <c r="F410" s="41"/>
      <c r="G410" s="41"/>
      <c r="H410" s="32"/>
      <c r="I410" s="35"/>
      <c r="J410" s="35"/>
      <c r="K410" s="33"/>
      <c r="L410" s="37" t="n">
        <f aca="false">IF(OR(C410="",H410&lt;&gt;"Approved"),0,IF(G410&lt;&gt;"",G410,N(F410)))</f>
        <v>0</v>
      </c>
    </row>
    <row r="411" customFormat="false" ht="15" hidden="false" customHeight="false" outlineLevel="0" collapsed="false">
      <c r="A411" s="32"/>
      <c r="B411" s="32"/>
      <c r="C411" s="32"/>
      <c r="D411" s="32"/>
      <c r="E411" s="33"/>
      <c r="F411" s="41"/>
      <c r="G411" s="41"/>
      <c r="H411" s="32"/>
      <c r="I411" s="35"/>
      <c r="J411" s="35"/>
      <c r="K411" s="33"/>
      <c r="L411" s="37" t="n">
        <f aca="false">IF(OR(C411="",H411&lt;&gt;"Approved"),0,IF(G411&lt;&gt;"",G411,N(F411)))</f>
        <v>0</v>
      </c>
    </row>
    <row r="412" customFormat="false" ht="15" hidden="false" customHeight="false" outlineLevel="0" collapsed="false">
      <c r="A412" s="32"/>
      <c r="B412" s="32"/>
      <c r="C412" s="32"/>
      <c r="D412" s="32"/>
      <c r="E412" s="33"/>
      <c r="F412" s="41"/>
      <c r="G412" s="41"/>
      <c r="H412" s="32"/>
      <c r="I412" s="35"/>
      <c r="J412" s="35"/>
      <c r="K412" s="33"/>
      <c r="L412" s="37" t="n">
        <f aca="false">IF(OR(C412="",H412&lt;&gt;"Approved"),0,IF(G412&lt;&gt;"",G412,N(F412)))</f>
        <v>0</v>
      </c>
    </row>
    <row r="413" customFormat="false" ht="15" hidden="false" customHeight="false" outlineLevel="0" collapsed="false">
      <c r="A413" s="32"/>
      <c r="B413" s="32"/>
      <c r="C413" s="32"/>
      <c r="D413" s="32"/>
      <c r="E413" s="33"/>
      <c r="F413" s="41"/>
      <c r="G413" s="41"/>
      <c r="H413" s="32"/>
      <c r="I413" s="35"/>
      <c r="J413" s="35"/>
      <c r="K413" s="33"/>
      <c r="L413" s="37" t="n">
        <f aca="false">IF(OR(C413="",H413&lt;&gt;"Approved"),0,IF(G413&lt;&gt;"",G413,N(F413)))</f>
        <v>0</v>
      </c>
    </row>
    <row r="414" customFormat="false" ht="15" hidden="false" customHeight="false" outlineLevel="0" collapsed="false">
      <c r="A414" s="32"/>
      <c r="B414" s="32"/>
      <c r="C414" s="32"/>
      <c r="D414" s="32"/>
      <c r="E414" s="33"/>
      <c r="F414" s="41"/>
      <c r="G414" s="41"/>
      <c r="H414" s="32"/>
      <c r="I414" s="35"/>
      <c r="J414" s="35"/>
      <c r="K414" s="33"/>
      <c r="L414" s="37" t="n">
        <f aca="false">IF(OR(C414="",H414&lt;&gt;"Approved"),0,IF(G414&lt;&gt;"",G414,N(F414)))</f>
        <v>0</v>
      </c>
    </row>
    <row r="415" customFormat="false" ht="15" hidden="false" customHeight="false" outlineLevel="0" collapsed="false">
      <c r="A415" s="32"/>
      <c r="B415" s="32"/>
      <c r="C415" s="32"/>
      <c r="D415" s="32"/>
      <c r="E415" s="33"/>
      <c r="F415" s="41"/>
      <c r="G415" s="41"/>
      <c r="H415" s="32"/>
      <c r="I415" s="35"/>
      <c r="J415" s="35"/>
      <c r="K415" s="33"/>
      <c r="L415" s="37" t="n">
        <f aca="false">IF(OR(C415="",H415&lt;&gt;"Approved"),0,IF(G415&lt;&gt;"",G415,N(F415)))</f>
        <v>0</v>
      </c>
    </row>
    <row r="416" customFormat="false" ht="15" hidden="false" customHeight="false" outlineLevel="0" collapsed="false">
      <c r="A416" s="32"/>
      <c r="B416" s="32"/>
      <c r="C416" s="32"/>
      <c r="D416" s="32"/>
      <c r="E416" s="33"/>
      <c r="F416" s="41"/>
      <c r="G416" s="41"/>
      <c r="H416" s="32"/>
      <c r="I416" s="35"/>
      <c r="J416" s="35"/>
      <c r="K416" s="33"/>
      <c r="L416" s="37" t="n">
        <f aca="false">IF(OR(C416="",H416&lt;&gt;"Approved"),0,IF(G416&lt;&gt;"",G416,N(F416)))</f>
        <v>0</v>
      </c>
    </row>
    <row r="417" customFormat="false" ht="15" hidden="false" customHeight="false" outlineLevel="0" collapsed="false">
      <c r="A417" s="32"/>
      <c r="B417" s="32"/>
      <c r="C417" s="32"/>
      <c r="D417" s="32"/>
      <c r="E417" s="33"/>
      <c r="F417" s="41"/>
      <c r="G417" s="41"/>
      <c r="H417" s="32"/>
      <c r="I417" s="35"/>
      <c r="J417" s="35"/>
      <c r="K417" s="33"/>
      <c r="L417" s="37" t="n">
        <f aca="false">IF(OR(C417="",H417&lt;&gt;"Approved"),0,IF(G417&lt;&gt;"",G417,N(F417)))</f>
        <v>0</v>
      </c>
    </row>
    <row r="418" customFormat="false" ht="15" hidden="false" customHeight="false" outlineLevel="0" collapsed="false">
      <c r="A418" s="32"/>
      <c r="B418" s="32"/>
      <c r="C418" s="32"/>
      <c r="D418" s="32"/>
      <c r="E418" s="33"/>
      <c r="F418" s="41"/>
      <c r="G418" s="41"/>
      <c r="H418" s="32"/>
      <c r="I418" s="35"/>
      <c r="J418" s="35"/>
      <c r="K418" s="33"/>
      <c r="L418" s="37" t="n">
        <f aca="false">IF(OR(C418="",H418&lt;&gt;"Approved"),0,IF(G418&lt;&gt;"",G418,N(F418)))</f>
        <v>0</v>
      </c>
    </row>
    <row r="419" customFormat="false" ht="15" hidden="false" customHeight="false" outlineLevel="0" collapsed="false">
      <c r="A419" s="32"/>
      <c r="B419" s="32"/>
      <c r="C419" s="32"/>
      <c r="D419" s="32"/>
      <c r="E419" s="33"/>
      <c r="F419" s="41"/>
      <c r="G419" s="41"/>
      <c r="H419" s="32"/>
      <c r="I419" s="35"/>
      <c r="J419" s="35"/>
      <c r="K419" s="33"/>
      <c r="L419" s="37" t="n">
        <f aca="false">IF(OR(C419="",H419&lt;&gt;"Approved"),0,IF(G419&lt;&gt;"",G419,N(F419)))</f>
        <v>0</v>
      </c>
    </row>
    <row r="420" customFormat="false" ht="15" hidden="false" customHeight="false" outlineLevel="0" collapsed="false">
      <c r="A420" s="32"/>
      <c r="B420" s="32"/>
      <c r="C420" s="32"/>
      <c r="D420" s="32"/>
      <c r="E420" s="33"/>
      <c r="F420" s="41"/>
      <c r="G420" s="41"/>
      <c r="H420" s="32"/>
      <c r="I420" s="35"/>
      <c r="J420" s="35"/>
      <c r="K420" s="33"/>
      <c r="L420" s="37" t="n">
        <f aca="false">IF(OR(C420="",H420&lt;&gt;"Approved"),0,IF(G420&lt;&gt;"",G420,N(F420)))</f>
        <v>0</v>
      </c>
    </row>
    <row r="421" customFormat="false" ht="15" hidden="false" customHeight="false" outlineLevel="0" collapsed="false">
      <c r="A421" s="32"/>
      <c r="B421" s="32"/>
      <c r="C421" s="32"/>
      <c r="D421" s="32"/>
      <c r="E421" s="33"/>
      <c r="F421" s="41"/>
      <c r="G421" s="41"/>
      <c r="H421" s="32"/>
      <c r="I421" s="35"/>
      <c r="J421" s="35"/>
      <c r="K421" s="33"/>
      <c r="L421" s="37" t="n">
        <f aca="false">IF(OR(C421="",H421&lt;&gt;"Approved"),0,IF(G421&lt;&gt;"",G421,N(F421)))</f>
        <v>0</v>
      </c>
    </row>
    <row r="422" customFormat="false" ht="15" hidden="false" customHeight="false" outlineLevel="0" collapsed="false">
      <c r="A422" s="32"/>
      <c r="B422" s="32"/>
      <c r="C422" s="32"/>
      <c r="D422" s="32"/>
      <c r="E422" s="33"/>
      <c r="F422" s="41"/>
      <c r="G422" s="41"/>
      <c r="H422" s="32"/>
      <c r="I422" s="35"/>
      <c r="J422" s="35"/>
      <c r="K422" s="33"/>
      <c r="L422" s="37" t="n">
        <f aca="false">IF(OR(C422="",H422&lt;&gt;"Approved"),0,IF(G422&lt;&gt;"",G422,N(F422)))</f>
        <v>0</v>
      </c>
    </row>
    <row r="423" customFormat="false" ht="15" hidden="false" customHeight="false" outlineLevel="0" collapsed="false">
      <c r="A423" s="32"/>
      <c r="B423" s="32"/>
      <c r="C423" s="32"/>
      <c r="D423" s="32"/>
      <c r="E423" s="33"/>
      <c r="F423" s="41"/>
      <c r="G423" s="41"/>
      <c r="H423" s="32"/>
      <c r="I423" s="35"/>
      <c r="J423" s="35"/>
      <c r="K423" s="33"/>
      <c r="L423" s="37" t="n">
        <f aca="false">IF(OR(C423="",H423&lt;&gt;"Approved"),0,IF(G423&lt;&gt;"",G423,N(F423)))</f>
        <v>0</v>
      </c>
    </row>
    <row r="424" customFormat="false" ht="15" hidden="false" customHeight="false" outlineLevel="0" collapsed="false">
      <c r="A424" s="32"/>
      <c r="B424" s="32"/>
      <c r="C424" s="32"/>
      <c r="D424" s="32"/>
      <c r="E424" s="33"/>
      <c r="F424" s="41"/>
      <c r="G424" s="41"/>
      <c r="H424" s="32"/>
      <c r="I424" s="35"/>
      <c r="J424" s="35"/>
      <c r="K424" s="33"/>
      <c r="L424" s="37" t="n">
        <f aca="false">IF(OR(C424="",H424&lt;&gt;"Approved"),0,IF(G424&lt;&gt;"",G424,N(F424)))</f>
        <v>0</v>
      </c>
    </row>
    <row r="425" customFormat="false" ht="15" hidden="false" customHeight="false" outlineLevel="0" collapsed="false">
      <c r="A425" s="32"/>
      <c r="B425" s="32"/>
      <c r="C425" s="32"/>
      <c r="D425" s="32"/>
      <c r="E425" s="33"/>
      <c r="F425" s="41"/>
      <c r="G425" s="41"/>
      <c r="H425" s="32"/>
      <c r="I425" s="35"/>
      <c r="J425" s="35"/>
      <c r="K425" s="33"/>
      <c r="L425" s="37" t="n">
        <f aca="false">IF(OR(C425="",H425&lt;&gt;"Approved"),0,IF(G425&lt;&gt;"",G425,N(F425)))</f>
        <v>0</v>
      </c>
    </row>
    <row r="426" customFormat="false" ht="15" hidden="false" customHeight="false" outlineLevel="0" collapsed="false">
      <c r="A426" s="32"/>
      <c r="B426" s="32"/>
      <c r="C426" s="32"/>
      <c r="D426" s="32"/>
      <c r="E426" s="33"/>
      <c r="F426" s="41"/>
      <c r="G426" s="41"/>
      <c r="H426" s="32"/>
      <c r="I426" s="35"/>
      <c r="J426" s="35"/>
      <c r="K426" s="33"/>
      <c r="L426" s="37" t="n">
        <f aca="false">IF(OR(C426="",H426&lt;&gt;"Approved"),0,IF(G426&lt;&gt;"",G426,N(F426)))</f>
        <v>0</v>
      </c>
    </row>
    <row r="427" customFormat="false" ht="15" hidden="false" customHeight="false" outlineLevel="0" collapsed="false">
      <c r="A427" s="32"/>
      <c r="B427" s="32"/>
      <c r="C427" s="32"/>
      <c r="D427" s="32"/>
      <c r="E427" s="33"/>
      <c r="F427" s="41"/>
      <c r="G427" s="41"/>
      <c r="H427" s="32"/>
      <c r="I427" s="35"/>
      <c r="J427" s="35"/>
      <c r="K427" s="33"/>
      <c r="L427" s="37" t="n">
        <f aca="false">IF(OR(C427="",H427&lt;&gt;"Approved"),0,IF(G427&lt;&gt;"",G427,N(F427)))</f>
        <v>0</v>
      </c>
    </row>
    <row r="428" customFormat="false" ht="15" hidden="false" customHeight="false" outlineLevel="0" collapsed="false">
      <c r="A428" s="32"/>
      <c r="B428" s="32"/>
      <c r="C428" s="32"/>
      <c r="D428" s="32"/>
      <c r="E428" s="33"/>
      <c r="F428" s="41"/>
      <c r="G428" s="41"/>
      <c r="H428" s="32"/>
      <c r="I428" s="35"/>
      <c r="J428" s="35"/>
      <c r="K428" s="33"/>
      <c r="L428" s="37" t="n">
        <f aca="false">IF(OR(C428="",H428&lt;&gt;"Approved"),0,IF(G428&lt;&gt;"",G428,N(F428)))</f>
        <v>0</v>
      </c>
    </row>
    <row r="429" customFormat="false" ht="15" hidden="false" customHeight="false" outlineLevel="0" collapsed="false">
      <c r="A429" s="32"/>
      <c r="B429" s="32"/>
      <c r="C429" s="32"/>
      <c r="D429" s="32"/>
      <c r="E429" s="33"/>
      <c r="F429" s="41"/>
      <c r="G429" s="41"/>
      <c r="H429" s="32"/>
      <c r="I429" s="35"/>
      <c r="J429" s="35"/>
      <c r="K429" s="33"/>
      <c r="L429" s="37" t="n">
        <f aca="false">IF(OR(C429="",H429&lt;&gt;"Approved"),0,IF(G429&lt;&gt;"",G429,N(F429)))</f>
        <v>0</v>
      </c>
    </row>
    <row r="430" customFormat="false" ht="15" hidden="false" customHeight="false" outlineLevel="0" collapsed="false">
      <c r="A430" s="32"/>
      <c r="B430" s="32"/>
      <c r="C430" s="32"/>
      <c r="D430" s="32"/>
      <c r="E430" s="33"/>
      <c r="F430" s="41"/>
      <c r="G430" s="41"/>
      <c r="H430" s="32"/>
      <c r="I430" s="35"/>
      <c r="J430" s="35"/>
      <c r="K430" s="33"/>
      <c r="L430" s="37" t="n">
        <f aca="false">IF(OR(C430="",H430&lt;&gt;"Approved"),0,IF(G430&lt;&gt;"",G430,N(F430)))</f>
        <v>0</v>
      </c>
    </row>
    <row r="431" customFormat="false" ht="15" hidden="false" customHeight="false" outlineLevel="0" collapsed="false">
      <c r="A431" s="32"/>
      <c r="B431" s="32"/>
      <c r="C431" s="32"/>
      <c r="D431" s="32"/>
      <c r="E431" s="33"/>
      <c r="F431" s="41"/>
      <c r="G431" s="41"/>
      <c r="H431" s="32"/>
      <c r="I431" s="35"/>
      <c r="J431" s="35"/>
      <c r="K431" s="33"/>
      <c r="L431" s="37" t="n">
        <f aca="false">IF(OR(C431="",H431&lt;&gt;"Approved"),0,IF(G431&lt;&gt;"",G431,N(F431)))</f>
        <v>0</v>
      </c>
    </row>
    <row r="432" customFormat="false" ht="15" hidden="false" customHeight="false" outlineLevel="0" collapsed="false">
      <c r="A432" s="32"/>
      <c r="B432" s="32"/>
      <c r="C432" s="32"/>
      <c r="D432" s="32"/>
      <c r="E432" s="33"/>
      <c r="F432" s="41"/>
      <c r="G432" s="41"/>
      <c r="H432" s="32"/>
      <c r="I432" s="35"/>
      <c r="J432" s="35"/>
      <c r="K432" s="33"/>
      <c r="L432" s="37" t="n">
        <f aca="false">IF(OR(C432="",H432&lt;&gt;"Approved"),0,IF(G432&lt;&gt;"",G432,N(F432)))</f>
        <v>0</v>
      </c>
    </row>
    <row r="433" customFormat="false" ht="15" hidden="false" customHeight="false" outlineLevel="0" collapsed="false">
      <c r="A433" s="32"/>
      <c r="B433" s="32"/>
      <c r="C433" s="32"/>
      <c r="D433" s="32"/>
      <c r="E433" s="33"/>
      <c r="F433" s="41"/>
      <c r="G433" s="41"/>
      <c r="H433" s="32"/>
      <c r="I433" s="35"/>
      <c r="J433" s="35"/>
      <c r="K433" s="33"/>
      <c r="L433" s="37" t="n">
        <f aca="false">IF(OR(C433="",H433&lt;&gt;"Approved"),0,IF(G433&lt;&gt;"",G433,N(F433)))</f>
        <v>0</v>
      </c>
    </row>
    <row r="434" customFormat="false" ht="15" hidden="false" customHeight="false" outlineLevel="0" collapsed="false">
      <c r="A434" s="32"/>
      <c r="B434" s="32"/>
      <c r="C434" s="32"/>
      <c r="D434" s="32"/>
      <c r="E434" s="33"/>
      <c r="F434" s="41"/>
      <c r="G434" s="41"/>
      <c r="H434" s="32"/>
      <c r="I434" s="35"/>
      <c r="J434" s="35"/>
      <c r="K434" s="33"/>
      <c r="L434" s="37" t="n">
        <f aca="false">IF(OR(C434="",H434&lt;&gt;"Approved"),0,IF(G434&lt;&gt;"",G434,N(F434)))</f>
        <v>0</v>
      </c>
    </row>
    <row r="435" customFormat="false" ht="15" hidden="false" customHeight="false" outlineLevel="0" collapsed="false">
      <c r="A435" s="32"/>
      <c r="B435" s="32"/>
      <c r="C435" s="32"/>
      <c r="D435" s="32"/>
      <c r="E435" s="33"/>
      <c r="F435" s="41"/>
      <c r="G435" s="41"/>
      <c r="H435" s="32"/>
      <c r="I435" s="35"/>
      <c r="J435" s="35"/>
      <c r="K435" s="33"/>
      <c r="L435" s="37" t="n">
        <f aca="false">IF(OR(C435="",H435&lt;&gt;"Approved"),0,IF(G435&lt;&gt;"",G435,N(F435)))</f>
        <v>0</v>
      </c>
    </row>
    <row r="436" customFormat="false" ht="15" hidden="false" customHeight="false" outlineLevel="0" collapsed="false">
      <c r="A436" s="32"/>
      <c r="B436" s="32"/>
      <c r="C436" s="32"/>
      <c r="D436" s="32"/>
      <c r="E436" s="33"/>
      <c r="F436" s="41"/>
      <c r="G436" s="41"/>
      <c r="H436" s="32"/>
      <c r="I436" s="35"/>
      <c r="J436" s="35"/>
      <c r="K436" s="33"/>
      <c r="L436" s="37" t="n">
        <f aca="false">IF(OR(C436="",H436&lt;&gt;"Approved"),0,IF(G436&lt;&gt;"",G436,N(F436)))</f>
        <v>0</v>
      </c>
    </row>
    <row r="437" customFormat="false" ht="15" hidden="false" customHeight="false" outlineLevel="0" collapsed="false">
      <c r="A437" s="32"/>
      <c r="B437" s="32"/>
      <c r="C437" s="32"/>
      <c r="D437" s="32"/>
      <c r="E437" s="33"/>
      <c r="F437" s="41"/>
      <c r="G437" s="41"/>
      <c r="H437" s="32"/>
      <c r="I437" s="35"/>
      <c r="J437" s="35"/>
      <c r="K437" s="33"/>
      <c r="L437" s="37" t="n">
        <f aca="false">IF(OR(C437="",H437&lt;&gt;"Approved"),0,IF(G437&lt;&gt;"",G437,N(F437)))</f>
        <v>0</v>
      </c>
    </row>
    <row r="438" customFormat="false" ht="15" hidden="false" customHeight="false" outlineLevel="0" collapsed="false">
      <c r="A438" s="32"/>
      <c r="B438" s="32"/>
      <c r="C438" s="32"/>
      <c r="D438" s="32"/>
      <c r="E438" s="33"/>
      <c r="F438" s="41"/>
      <c r="G438" s="41"/>
      <c r="H438" s="32"/>
      <c r="I438" s="35"/>
      <c r="J438" s="35"/>
      <c r="K438" s="33"/>
      <c r="L438" s="37" t="n">
        <f aca="false">IF(OR(C438="",H438&lt;&gt;"Approved"),0,IF(G438&lt;&gt;"",G438,N(F438)))</f>
        <v>0</v>
      </c>
    </row>
    <row r="439" customFormat="false" ht="15" hidden="false" customHeight="false" outlineLevel="0" collapsed="false">
      <c r="A439" s="32"/>
      <c r="B439" s="32"/>
      <c r="C439" s="32"/>
      <c r="D439" s="32"/>
      <c r="E439" s="33"/>
      <c r="F439" s="41"/>
      <c r="G439" s="41"/>
      <c r="H439" s="32"/>
      <c r="I439" s="35"/>
      <c r="J439" s="35"/>
      <c r="K439" s="33"/>
      <c r="L439" s="37" t="n">
        <f aca="false">IF(OR(C439="",H439&lt;&gt;"Approved"),0,IF(G439&lt;&gt;"",G439,N(F439)))</f>
        <v>0</v>
      </c>
    </row>
    <row r="440" customFormat="false" ht="15" hidden="false" customHeight="false" outlineLevel="0" collapsed="false">
      <c r="A440" s="32"/>
      <c r="B440" s="32"/>
      <c r="C440" s="32"/>
      <c r="D440" s="32"/>
      <c r="E440" s="33"/>
      <c r="F440" s="41"/>
      <c r="G440" s="41"/>
      <c r="H440" s="32"/>
      <c r="I440" s="35"/>
      <c r="J440" s="35"/>
      <c r="K440" s="33"/>
      <c r="L440" s="37" t="n">
        <f aca="false">IF(OR(C440="",H440&lt;&gt;"Approved"),0,IF(G440&lt;&gt;"",G440,N(F440)))</f>
        <v>0</v>
      </c>
    </row>
    <row r="441" customFormat="false" ht="15" hidden="false" customHeight="false" outlineLevel="0" collapsed="false">
      <c r="A441" s="32"/>
      <c r="B441" s="32"/>
      <c r="C441" s="32"/>
      <c r="D441" s="32"/>
      <c r="E441" s="33"/>
      <c r="F441" s="41"/>
      <c r="G441" s="41"/>
      <c r="H441" s="32"/>
      <c r="I441" s="35"/>
      <c r="J441" s="35"/>
      <c r="K441" s="33"/>
      <c r="L441" s="37" t="n">
        <f aca="false">IF(OR(C441="",H441&lt;&gt;"Approved"),0,IF(G441&lt;&gt;"",G441,N(F441)))</f>
        <v>0</v>
      </c>
    </row>
    <row r="442" customFormat="false" ht="15" hidden="false" customHeight="false" outlineLevel="0" collapsed="false">
      <c r="A442" s="32"/>
      <c r="B442" s="32"/>
      <c r="C442" s="32"/>
      <c r="D442" s="32"/>
      <c r="E442" s="33"/>
      <c r="F442" s="41"/>
      <c r="G442" s="41"/>
      <c r="H442" s="32"/>
      <c r="I442" s="35"/>
      <c r="J442" s="35"/>
      <c r="K442" s="33"/>
      <c r="L442" s="37" t="n">
        <f aca="false">IF(OR(C442="",H442&lt;&gt;"Approved"),0,IF(G442&lt;&gt;"",G442,N(F442)))</f>
        <v>0</v>
      </c>
    </row>
    <row r="443" customFormat="false" ht="15" hidden="false" customHeight="false" outlineLevel="0" collapsed="false">
      <c r="A443" s="32"/>
      <c r="B443" s="32"/>
      <c r="C443" s="32"/>
      <c r="D443" s="32"/>
      <c r="E443" s="33"/>
      <c r="F443" s="41"/>
      <c r="G443" s="41"/>
      <c r="H443" s="32"/>
      <c r="I443" s="35"/>
      <c r="J443" s="35"/>
      <c r="K443" s="33"/>
      <c r="L443" s="37" t="n">
        <f aca="false">IF(OR(C443="",H443&lt;&gt;"Approved"),0,IF(G443&lt;&gt;"",G443,N(F443)))</f>
        <v>0</v>
      </c>
    </row>
    <row r="444" customFormat="false" ht="15" hidden="false" customHeight="false" outlineLevel="0" collapsed="false">
      <c r="A444" s="32"/>
      <c r="B444" s="32"/>
      <c r="C444" s="32"/>
      <c r="D444" s="32"/>
      <c r="E444" s="33"/>
      <c r="F444" s="41"/>
      <c r="G444" s="41"/>
      <c r="H444" s="32"/>
      <c r="I444" s="35"/>
      <c r="J444" s="35"/>
      <c r="K444" s="33"/>
      <c r="L444" s="37" t="n">
        <f aca="false">IF(OR(C444="",H444&lt;&gt;"Approved"),0,IF(G444&lt;&gt;"",G444,N(F444)))</f>
        <v>0</v>
      </c>
    </row>
    <row r="445" customFormat="false" ht="15" hidden="false" customHeight="false" outlineLevel="0" collapsed="false">
      <c r="A445" s="32"/>
      <c r="B445" s="32"/>
      <c r="C445" s="32"/>
      <c r="D445" s="32"/>
      <c r="E445" s="33"/>
      <c r="F445" s="41"/>
      <c r="G445" s="41"/>
      <c r="H445" s="32"/>
      <c r="I445" s="35"/>
      <c r="J445" s="35"/>
      <c r="K445" s="33"/>
      <c r="L445" s="37" t="n">
        <f aca="false">IF(OR(C445="",H445&lt;&gt;"Approved"),0,IF(G445&lt;&gt;"",G445,N(F445)))</f>
        <v>0</v>
      </c>
    </row>
    <row r="446" customFormat="false" ht="15" hidden="false" customHeight="false" outlineLevel="0" collapsed="false">
      <c r="A446" s="32"/>
      <c r="B446" s="32"/>
      <c r="C446" s="32"/>
      <c r="D446" s="32"/>
      <c r="E446" s="33"/>
      <c r="F446" s="41"/>
      <c r="G446" s="41"/>
      <c r="H446" s="32"/>
      <c r="I446" s="35"/>
      <c r="J446" s="35"/>
      <c r="K446" s="33"/>
      <c r="L446" s="37" t="n">
        <f aca="false">IF(OR(C446="",H446&lt;&gt;"Approved"),0,IF(G446&lt;&gt;"",G446,N(F446)))</f>
        <v>0</v>
      </c>
    </row>
    <row r="447" customFormat="false" ht="15" hidden="false" customHeight="false" outlineLevel="0" collapsed="false">
      <c r="A447" s="32"/>
      <c r="B447" s="32"/>
      <c r="C447" s="32"/>
      <c r="D447" s="32"/>
      <c r="E447" s="33"/>
      <c r="F447" s="41"/>
      <c r="G447" s="41"/>
      <c r="H447" s="32"/>
      <c r="I447" s="35"/>
      <c r="J447" s="35"/>
      <c r="K447" s="33"/>
      <c r="L447" s="37" t="n">
        <f aca="false">IF(OR(C447="",H447&lt;&gt;"Approved"),0,IF(G447&lt;&gt;"",G447,N(F447)))</f>
        <v>0</v>
      </c>
    </row>
    <row r="448" customFormat="false" ht="15" hidden="false" customHeight="false" outlineLevel="0" collapsed="false">
      <c r="A448" s="32"/>
      <c r="B448" s="32"/>
      <c r="C448" s="32"/>
      <c r="D448" s="32"/>
      <c r="E448" s="33"/>
      <c r="F448" s="41"/>
      <c r="G448" s="41"/>
      <c r="H448" s="32"/>
      <c r="I448" s="35"/>
      <c r="J448" s="35"/>
      <c r="K448" s="33"/>
      <c r="L448" s="37" t="n">
        <f aca="false">IF(OR(C448="",H448&lt;&gt;"Approved"),0,IF(G448&lt;&gt;"",G448,N(F448)))</f>
        <v>0</v>
      </c>
    </row>
    <row r="449" customFormat="false" ht="15" hidden="false" customHeight="false" outlineLevel="0" collapsed="false">
      <c r="A449" s="32"/>
      <c r="B449" s="32"/>
      <c r="C449" s="32"/>
      <c r="D449" s="32"/>
      <c r="E449" s="33"/>
      <c r="F449" s="41"/>
      <c r="G449" s="41"/>
      <c r="H449" s="32"/>
      <c r="I449" s="35"/>
      <c r="J449" s="35"/>
      <c r="K449" s="33"/>
      <c r="L449" s="37" t="n">
        <f aca="false">IF(OR(C449="",H449&lt;&gt;"Approved"),0,IF(G449&lt;&gt;"",G449,N(F449)))</f>
        <v>0</v>
      </c>
    </row>
    <row r="450" customFormat="false" ht="15" hidden="false" customHeight="false" outlineLevel="0" collapsed="false">
      <c r="A450" s="32"/>
      <c r="B450" s="32"/>
      <c r="C450" s="32"/>
      <c r="D450" s="32"/>
      <c r="E450" s="33"/>
      <c r="F450" s="41"/>
      <c r="G450" s="41"/>
      <c r="H450" s="32"/>
      <c r="I450" s="35"/>
      <c r="J450" s="35"/>
      <c r="K450" s="33"/>
      <c r="L450" s="37" t="n">
        <f aca="false">IF(OR(C450="",H450&lt;&gt;"Approved"),0,IF(G450&lt;&gt;"",G450,N(F450)))</f>
        <v>0</v>
      </c>
    </row>
    <row r="451" customFormat="false" ht="15" hidden="false" customHeight="false" outlineLevel="0" collapsed="false">
      <c r="A451" s="32"/>
      <c r="B451" s="32"/>
      <c r="C451" s="32"/>
      <c r="D451" s="32"/>
      <c r="E451" s="33"/>
      <c r="F451" s="41"/>
      <c r="G451" s="41"/>
      <c r="H451" s="32"/>
      <c r="I451" s="35"/>
      <c r="J451" s="35"/>
      <c r="K451" s="33"/>
      <c r="L451" s="37" t="n">
        <f aca="false">IF(OR(C451="",H451&lt;&gt;"Approved"),0,IF(G451&lt;&gt;"",G451,N(F451)))</f>
        <v>0</v>
      </c>
    </row>
    <row r="452" customFormat="false" ht="15" hidden="false" customHeight="false" outlineLevel="0" collapsed="false">
      <c r="A452" s="32"/>
      <c r="B452" s="32"/>
      <c r="C452" s="32"/>
      <c r="D452" s="32"/>
      <c r="E452" s="33"/>
      <c r="F452" s="41"/>
      <c r="G452" s="41"/>
      <c r="H452" s="32"/>
      <c r="I452" s="35"/>
      <c r="J452" s="35"/>
      <c r="K452" s="33"/>
      <c r="L452" s="37" t="n">
        <f aca="false">IF(OR(C452="",H452&lt;&gt;"Approved"),0,IF(G452&lt;&gt;"",G452,N(F452)))</f>
        <v>0</v>
      </c>
    </row>
    <row r="453" customFormat="false" ht="15" hidden="false" customHeight="false" outlineLevel="0" collapsed="false">
      <c r="A453" s="32"/>
      <c r="B453" s="32"/>
      <c r="C453" s="32"/>
      <c r="D453" s="32"/>
      <c r="E453" s="33"/>
      <c r="F453" s="41"/>
      <c r="G453" s="41"/>
      <c r="H453" s="32"/>
      <c r="I453" s="35"/>
      <c r="J453" s="35"/>
      <c r="K453" s="33"/>
      <c r="L453" s="37" t="n">
        <f aca="false">IF(OR(C453="",H453&lt;&gt;"Approved"),0,IF(G453&lt;&gt;"",G453,N(F453)))</f>
        <v>0</v>
      </c>
    </row>
    <row r="454" customFormat="false" ht="15" hidden="false" customHeight="false" outlineLevel="0" collapsed="false">
      <c r="A454" s="32"/>
      <c r="B454" s="32"/>
      <c r="C454" s="32"/>
      <c r="D454" s="32"/>
      <c r="E454" s="33"/>
      <c r="F454" s="41"/>
      <c r="G454" s="41"/>
      <c r="H454" s="32"/>
      <c r="I454" s="35"/>
      <c r="J454" s="35"/>
      <c r="K454" s="33"/>
      <c r="L454" s="37" t="n">
        <f aca="false">IF(OR(C454="",H454&lt;&gt;"Approved"),0,IF(G454&lt;&gt;"",G454,N(F454)))</f>
        <v>0</v>
      </c>
    </row>
    <row r="455" customFormat="false" ht="15" hidden="false" customHeight="false" outlineLevel="0" collapsed="false">
      <c r="A455" s="32"/>
      <c r="B455" s="32"/>
      <c r="C455" s="32"/>
      <c r="D455" s="32"/>
      <c r="E455" s="33"/>
      <c r="F455" s="41"/>
      <c r="G455" s="41"/>
      <c r="H455" s="32"/>
      <c r="I455" s="35"/>
      <c r="J455" s="35"/>
      <c r="K455" s="33"/>
      <c r="L455" s="37" t="n">
        <f aca="false">IF(OR(C455="",H455&lt;&gt;"Approved"),0,IF(G455&lt;&gt;"",G455,N(F455)))</f>
        <v>0</v>
      </c>
    </row>
    <row r="456" customFormat="false" ht="15" hidden="false" customHeight="false" outlineLevel="0" collapsed="false">
      <c r="A456" s="32"/>
      <c r="B456" s="32"/>
      <c r="C456" s="32"/>
      <c r="D456" s="32"/>
      <c r="E456" s="33"/>
      <c r="F456" s="41"/>
      <c r="G456" s="41"/>
      <c r="H456" s="32"/>
      <c r="I456" s="35"/>
      <c r="J456" s="35"/>
      <c r="K456" s="33"/>
      <c r="L456" s="37" t="n">
        <f aca="false">IF(OR(C456="",H456&lt;&gt;"Approved"),0,IF(G456&lt;&gt;"",G456,N(F456)))</f>
        <v>0</v>
      </c>
    </row>
    <row r="457" customFormat="false" ht="15" hidden="false" customHeight="false" outlineLevel="0" collapsed="false">
      <c r="A457" s="32"/>
      <c r="B457" s="32"/>
      <c r="C457" s="32"/>
      <c r="D457" s="32"/>
      <c r="E457" s="33"/>
      <c r="F457" s="41"/>
      <c r="G457" s="41"/>
      <c r="H457" s="32"/>
      <c r="I457" s="35"/>
      <c r="J457" s="35"/>
      <c r="K457" s="33"/>
      <c r="L457" s="37" t="n">
        <f aca="false">IF(OR(C457="",H457&lt;&gt;"Approved"),0,IF(G457&lt;&gt;"",G457,N(F457)))</f>
        <v>0</v>
      </c>
    </row>
    <row r="458" customFormat="false" ht="15" hidden="false" customHeight="false" outlineLevel="0" collapsed="false">
      <c r="A458" s="32"/>
      <c r="B458" s="32"/>
      <c r="C458" s="32"/>
      <c r="D458" s="32"/>
      <c r="E458" s="33"/>
      <c r="F458" s="41"/>
      <c r="G458" s="41"/>
      <c r="H458" s="32"/>
      <c r="I458" s="35"/>
      <c r="J458" s="35"/>
      <c r="K458" s="33"/>
      <c r="L458" s="37" t="n">
        <f aca="false">IF(OR(C458="",H458&lt;&gt;"Approved"),0,IF(G458&lt;&gt;"",G458,N(F458)))</f>
        <v>0</v>
      </c>
    </row>
    <row r="459" customFormat="false" ht="15" hidden="false" customHeight="false" outlineLevel="0" collapsed="false">
      <c r="A459" s="32"/>
      <c r="B459" s="32"/>
      <c r="C459" s="32"/>
      <c r="D459" s="32"/>
      <c r="E459" s="33"/>
      <c r="F459" s="41"/>
      <c r="G459" s="41"/>
      <c r="H459" s="32"/>
      <c r="I459" s="35"/>
      <c r="J459" s="35"/>
      <c r="K459" s="33"/>
      <c r="L459" s="37" t="n">
        <f aca="false">IF(OR(C459="",H459&lt;&gt;"Approved"),0,IF(G459&lt;&gt;"",G459,N(F459)))</f>
        <v>0</v>
      </c>
    </row>
    <row r="460" customFormat="false" ht="15" hidden="false" customHeight="false" outlineLevel="0" collapsed="false">
      <c r="A460" s="32"/>
      <c r="B460" s="32"/>
      <c r="C460" s="32"/>
      <c r="D460" s="32"/>
      <c r="E460" s="33"/>
      <c r="F460" s="41"/>
      <c r="G460" s="41"/>
      <c r="H460" s="32"/>
      <c r="I460" s="35"/>
      <c r="J460" s="35"/>
      <c r="K460" s="33"/>
      <c r="L460" s="37" t="n">
        <f aca="false">IF(OR(C460="",H460&lt;&gt;"Approved"),0,IF(G460&lt;&gt;"",G460,N(F460)))</f>
        <v>0</v>
      </c>
    </row>
    <row r="461" customFormat="false" ht="15" hidden="false" customHeight="false" outlineLevel="0" collapsed="false">
      <c r="A461" s="32"/>
      <c r="B461" s="32"/>
      <c r="C461" s="32"/>
      <c r="D461" s="32"/>
      <c r="E461" s="33"/>
      <c r="F461" s="41"/>
      <c r="G461" s="41"/>
      <c r="H461" s="32"/>
      <c r="I461" s="35"/>
      <c r="J461" s="35"/>
      <c r="K461" s="33"/>
      <c r="L461" s="37" t="n">
        <f aca="false">IF(OR(C461="",H461&lt;&gt;"Approved"),0,IF(G461&lt;&gt;"",G461,N(F461)))</f>
        <v>0</v>
      </c>
    </row>
    <row r="462" customFormat="false" ht="15" hidden="false" customHeight="false" outlineLevel="0" collapsed="false">
      <c r="A462" s="32"/>
      <c r="B462" s="32"/>
      <c r="C462" s="32"/>
      <c r="D462" s="32"/>
      <c r="E462" s="33"/>
      <c r="F462" s="41"/>
      <c r="G462" s="41"/>
      <c r="H462" s="32"/>
      <c r="I462" s="35"/>
      <c r="J462" s="35"/>
      <c r="K462" s="33"/>
      <c r="L462" s="37" t="n">
        <f aca="false">IF(OR(C462="",H462&lt;&gt;"Approved"),0,IF(G462&lt;&gt;"",G462,N(F462)))</f>
        <v>0</v>
      </c>
    </row>
    <row r="463" customFormat="false" ht="15" hidden="false" customHeight="false" outlineLevel="0" collapsed="false">
      <c r="A463" s="32"/>
      <c r="B463" s="32"/>
      <c r="C463" s="32"/>
      <c r="D463" s="32"/>
      <c r="E463" s="33"/>
      <c r="F463" s="41"/>
      <c r="G463" s="41"/>
      <c r="H463" s="32"/>
      <c r="I463" s="35"/>
      <c r="J463" s="35"/>
      <c r="K463" s="33"/>
      <c r="L463" s="37" t="n">
        <f aca="false">IF(OR(C463="",H463&lt;&gt;"Approved"),0,IF(G463&lt;&gt;"",G463,N(F463)))</f>
        <v>0</v>
      </c>
    </row>
    <row r="464" customFormat="false" ht="15" hidden="false" customHeight="false" outlineLevel="0" collapsed="false">
      <c r="A464" s="32"/>
      <c r="B464" s="32"/>
      <c r="C464" s="32"/>
      <c r="D464" s="32"/>
      <c r="E464" s="33"/>
      <c r="F464" s="41"/>
      <c r="G464" s="41"/>
      <c r="H464" s="32"/>
      <c r="I464" s="35"/>
      <c r="J464" s="35"/>
      <c r="K464" s="33"/>
      <c r="L464" s="37" t="n">
        <f aca="false">IF(OR(C464="",H464&lt;&gt;"Approved"),0,IF(G464&lt;&gt;"",G464,N(F464)))</f>
        <v>0</v>
      </c>
    </row>
    <row r="465" customFormat="false" ht="15" hidden="false" customHeight="false" outlineLevel="0" collapsed="false">
      <c r="A465" s="32"/>
      <c r="B465" s="32"/>
      <c r="C465" s="32"/>
      <c r="D465" s="32"/>
      <c r="E465" s="33"/>
      <c r="F465" s="41"/>
      <c r="G465" s="41"/>
      <c r="H465" s="32"/>
      <c r="I465" s="35"/>
      <c r="J465" s="35"/>
      <c r="K465" s="33"/>
      <c r="L465" s="37" t="n">
        <f aca="false">IF(OR(C465="",H465&lt;&gt;"Approved"),0,IF(G465&lt;&gt;"",G465,N(F465)))</f>
        <v>0</v>
      </c>
    </row>
    <row r="466" customFormat="false" ht="15" hidden="false" customHeight="false" outlineLevel="0" collapsed="false">
      <c r="A466" s="32"/>
      <c r="B466" s="32"/>
      <c r="C466" s="32"/>
      <c r="D466" s="32"/>
      <c r="E466" s="33"/>
      <c r="F466" s="41"/>
      <c r="G466" s="41"/>
      <c r="H466" s="32"/>
      <c r="I466" s="35"/>
      <c r="J466" s="35"/>
      <c r="K466" s="33"/>
      <c r="L466" s="37" t="n">
        <f aca="false">IF(OR(C466="",H466&lt;&gt;"Approved"),0,IF(G466&lt;&gt;"",G466,N(F466)))</f>
        <v>0</v>
      </c>
    </row>
    <row r="467" customFormat="false" ht="15" hidden="false" customHeight="false" outlineLevel="0" collapsed="false">
      <c r="A467" s="32"/>
      <c r="B467" s="32"/>
      <c r="C467" s="32"/>
      <c r="D467" s="32"/>
      <c r="E467" s="33"/>
      <c r="F467" s="41"/>
      <c r="G467" s="41"/>
      <c r="H467" s="32"/>
      <c r="I467" s="35"/>
      <c r="J467" s="35"/>
      <c r="K467" s="33"/>
      <c r="L467" s="37" t="n">
        <f aca="false">IF(OR(C467="",H467&lt;&gt;"Approved"),0,IF(G467&lt;&gt;"",G467,N(F467)))</f>
        <v>0</v>
      </c>
    </row>
    <row r="468" customFormat="false" ht="15" hidden="false" customHeight="false" outlineLevel="0" collapsed="false">
      <c r="A468" s="32"/>
      <c r="B468" s="32"/>
      <c r="C468" s="32"/>
      <c r="D468" s="32"/>
      <c r="E468" s="33"/>
      <c r="F468" s="41"/>
      <c r="G468" s="41"/>
      <c r="H468" s="32"/>
      <c r="I468" s="35"/>
      <c r="J468" s="35"/>
      <c r="K468" s="33"/>
      <c r="L468" s="37" t="n">
        <f aca="false">IF(OR(C468="",H468&lt;&gt;"Approved"),0,IF(G468&lt;&gt;"",G468,N(F468)))</f>
        <v>0</v>
      </c>
    </row>
    <row r="469" customFormat="false" ht="15" hidden="false" customHeight="false" outlineLevel="0" collapsed="false">
      <c r="A469" s="32"/>
      <c r="B469" s="32"/>
      <c r="C469" s="32"/>
      <c r="D469" s="32"/>
      <c r="E469" s="33"/>
      <c r="F469" s="41"/>
      <c r="G469" s="41"/>
      <c r="H469" s="32"/>
      <c r="I469" s="35"/>
      <c r="J469" s="35"/>
      <c r="K469" s="33"/>
      <c r="L469" s="37" t="n">
        <f aca="false">IF(OR(C469="",H469&lt;&gt;"Approved"),0,IF(G469&lt;&gt;"",G469,N(F469)))</f>
        <v>0</v>
      </c>
    </row>
    <row r="470" customFormat="false" ht="15" hidden="false" customHeight="false" outlineLevel="0" collapsed="false">
      <c r="A470" s="32"/>
      <c r="B470" s="32"/>
      <c r="C470" s="32"/>
      <c r="D470" s="32"/>
      <c r="E470" s="33"/>
      <c r="F470" s="41"/>
      <c r="G470" s="41"/>
      <c r="H470" s="32"/>
      <c r="I470" s="35"/>
      <c r="J470" s="35"/>
      <c r="K470" s="33"/>
      <c r="L470" s="37" t="n">
        <f aca="false">IF(OR(C470="",H470&lt;&gt;"Approved"),0,IF(G470&lt;&gt;"",G470,N(F470)))</f>
        <v>0</v>
      </c>
    </row>
    <row r="471" customFormat="false" ht="15" hidden="false" customHeight="false" outlineLevel="0" collapsed="false">
      <c r="A471" s="32"/>
      <c r="B471" s="32"/>
      <c r="C471" s="32"/>
      <c r="D471" s="32"/>
      <c r="E471" s="33"/>
      <c r="F471" s="41"/>
      <c r="G471" s="41"/>
      <c r="H471" s="32"/>
      <c r="I471" s="35"/>
      <c r="J471" s="35"/>
      <c r="K471" s="33"/>
      <c r="L471" s="37" t="n">
        <f aca="false">IF(OR(C471="",H471&lt;&gt;"Approved"),0,IF(G471&lt;&gt;"",G471,N(F471)))</f>
        <v>0</v>
      </c>
    </row>
    <row r="472" customFormat="false" ht="15" hidden="false" customHeight="false" outlineLevel="0" collapsed="false">
      <c r="A472" s="32"/>
      <c r="B472" s="32"/>
      <c r="C472" s="32"/>
      <c r="D472" s="32"/>
      <c r="E472" s="33"/>
      <c r="F472" s="41"/>
      <c r="G472" s="41"/>
      <c r="H472" s="32"/>
      <c r="I472" s="35"/>
      <c r="J472" s="35"/>
      <c r="K472" s="33"/>
      <c r="L472" s="37" t="n">
        <f aca="false">IF(OR(C472="",H472&lt;&gt;"Approved"),0,IF(G472&lt;&gt;"",G472,N(F472)))</f>
        <v>0</v>
      </c>
    </row>
    <row r="473" customFormat="false" ht="15" hidden="false" customHeight="false" outlineLevel="0" collapsed="false">
      <c r="A473" s="32"/>
      <c r="B473" s="32"/>
      <c r="C473" s="32"/>
      <c r="D473" s="32"/>
      <c r="E473" s="33"/>
      <c r="F473" s="41"/>
      <c r="G473" s="41"/>
      <c r="H473" s="32"/>
      <c r="I473" s="35"/>
      <c r="J473" s="35"/>
      <c r="K473" s="33"/>
      <c r="L473" s="37" t="n">
        <f aca="false">IF(OR(C473="",H473&lt;&gt;"Approved"),0,IF(G473&lt;&gt;"",G473,N(F473)))</f>
        <v>0</v>
      </c>
    </row>
    <row r="474" customFormat="false" ht="15" hidden="false" customHeight="false" outlineLevel="0" collapsed="false">
      <c r="A474" s="32"/>
      <c r="B474" s="32"/>
      <c r="C474" s="32"/>
      <c r="D474" s="32"/>
      <c r="E474" s="33"/>
      <c r="F474" s="41"/>
      <c r="G474" s="41"/>
      <c r="H474" s="32"/>
      <c r="I474" s="35"/>
      <c r="J474" s="35"/>
      <c r="K474" s="33"/>
      <c r="L474" s="37" t="n">
        <f aca="false">IF(OR(C474="",H474&lt;&gt;"Approved"),0,IF(G474&lt;&gt;"",G474,N(F474)))</f>
        <v>0</v>
      </c>
    </row>
    <row r="475" customFormat="false" ht="15" hidden="false" customHeight="false" outlineLevel="0" collapsed="false">
      <c r="A475" s="32"/>
      <c r="B475" s="32"/>
      <c r="C475" s="32"/>
      <c r="D475" s="32"/>
      <c r="E475" s="33"/>
      <c r="F475" s="41"/>
      <c r="G475" s="41"/>
      <c r="H475" s="32"/>
      <c r="I475" s="35"/>
      <c r="J475" s="35"/>
      <c r="K475" s="33"/>
      <c r="L475" s="37" t="n">
        <f aca="false">IF(OR(C475="",H475&lt;&gt;"Approved"),0,IF(G475&lt;&gt;"",G475,N(F475)))</f>
        <v>0</v>
      </c>
    </row>
    <row r="476" customFormat="false" ht="15" hidden="false" customHeight="false" outlineLevel="0" collapsed="false">
      <c r="A476" s="32"/>
      <c r="B476" s="32"/>
      <c r="C476" s="32"/>
      <c r="D476" s="32"/>
      <c r="E476" s="33"/>
      <c r="F476" s="41"/>
      <c r="G476" s="41"/>
      <c r="H476" s="32"/>
      <c r="I476" s="35"/>
      <c r="J476" s="35"/>
      <c r="K476" s="33"/>
      <c r="L476" s="37" t="n">
        <f aca="false">IF(OR(C476="",H476&lt;&gt;"Approved"),0,IF(G476&lt;&gt;"",G476,N(F476)))</f>
        <v>0</v>
      </c>
    </row>
    <row r="477" customFormat="false" ht="15" hidden="false" customHeight="false" outlineLevel="0" collapsed="false">
      <c r="A477" s="32"/>
      <c r="B477" s="32"/>
      <c r="C477" s="32"/>
      <c r="D477" s="32"/>
      <c r="E477" s="33"/>
      <c r="F477" s="41"/>
      <c r="G477" s="41"/>
      <c r="H477" s="32"/>
      <c r="I477" s="35"/>
      <c r="J477" s="35"/>
      <c r="K477" s="33"/>
      <c r="L477" s="37" t="n">
        <f aca="false">IF(OR(C477="",H477&lt;&gt;"Approved"),0,IF(G477&lt;&gt;"",G477,N(F477)))</f>
        <v>0</v>
      </c>
    </row>
    <row r="478" customFormat="false" ht="15" hidden="false" customHeight="false" outlineLevel="0" collapsed="false">
      <c r="A478" s="32"/>
      <c r="B478" s="32"/>
      <c r="C478" s="32"/>
      <c r="D478" s="32"/>
      <c r="E478" s="33"/>
      <c r="F478" s="41"/>
      <c r="G478" s="41"/>
      <c r="H478" s="32"/>
      <c r="I478" s="35"/>
      <c r="J478" s="35"/>
      <c r="K478" s="33"/>
      <c r="L478" s="37" t="n">
        <f aca="false">IF(OR(C478="",H478&lt;&gt;"Approved"),0,IF(G478&lt;&gt;"",G478,N(F478)))</f>
        <v>0</v>
      </c>
    </row>
    <row r="479" customFormat="false" ht="15" hidden="false" customHeight="false" outlineLevel="0" collapsed="false">
      <c r="A479" s="32"/>
      <c r="B479" s="32"/>
      <c r="C479" s="32"/>
      <c r="D479" s="32"/>
      <c r="E479" s="33"/>
      <c r="F479" s="41"/>
      <c r="G479" s="41"/>
      <c r="H479" s="32"/>
      <c r="I479" s="35"/>
      <c r="J479" s="35"/>
      <c r="K479" s="33"/>
      <c r="L479" s="37" t="n">
        <f aca="false">IF(OR(C479="",H479&lt;&gt;"Approved"),0,IF(G479&lt;&gt;"",G479,N(F479)))</f>
        <v>0</v>
      </c>
    </row>
    <row r="480" customFormat="false" ht="15" hidden="false" customHeight="false" outlineLevel="0" collapsed="false">
      <c r="A480" s="32"/>
      <c r="B480" s="32"/>
      <c r="C480" s="32"/>
      <c r="D480" s="32"/>
      <c r="E480" s="33"/>
      <c r="F480" s="41"/>
      <c r="G480" s="41"/>
      <c r="H480" s="32"/>
      <c r="I480" s="35"/>
      <c r="J480" s="35"/>
      <c r="K480" s="33"/>
      <c r="L480" s="37" t="n">
        <f aca="false">IF(OR(C480="",H480&lt;&gt;"Approved"),0,IF(G480&lt;&gt;"",G480,N(F480)))</f>
        <v>0</v>
      </c>
    </row>
    <row r="481" customFormat="false" ht="15" hidden="false" customHeight="false" outlineLevel="0" collapsed="false">
      <c r="A481" s="32"/>
      <c r="B481" s="32"/>
      <c r="C481" s="32"/>
      <c r="D481" s="32"/>
      <c r="E481" s="33"/>
      <c r="F481" s="41"/>
      <c r="G481" s="41"/>
      <c r="H481" s="32"/>
      <c r="I481" s="35"/>
      <c r="J481" s="35"/>
      <c r="K481" s="33"/>
      <c r="L481" s="37" t="n">
        <f aca="false">IF(OR(C481="",H481&lt;&gt;"Approved"),0,IF(G481&lt;&gt;"",G481,N(F481)))</f>
        <v>0</v>
      </c>
    </row>
    <row r="482" customFormat="false" ht="15" hidden="false" customHeight="false" outlineLevel="0" collapsed="false">
      <c r="A482" s="32"/>
      <c r="B482" s="32"/>
      <c r="C482" s="32"/>
      <c r="D482" s="32"/>
      <c r="E482" s="33"/>
      <c r="F482" s="41"/>
      <c r="G482" s="41"/>
      <c r="H482" s="32"/>
      <c r="I482" s="35"/>
      <c r="J482" s="35"/>
      <c r="K482" s="33"/>
      <c r="L482" s="37" t="n">
        <f aca="false">IF(OR(C482="",H482&lt;&gt;"Approved"),0,IF(G482&lt;&gt;"",G482,N(F482)))</f>
        <v>0</v>
      </c>
    </row>
    <row r="483" customFormat="false" ht="15" hidden="false" customHeight="false" outlineLevel="0" collapsed="false">
      <c r="A483" s="32"/>
      <c r="B483" s="32"/>
      <c r="C483" s="32"/>
      <c r="D483" s="32"/>
      <c r="E483" s="33"/>
      <c r="F483" s="41"/>
      <c r="G483" s="41"/>
      <c r="H483" s="32"/>
      <c r="I483" s="35"/>
      <c r="J483" s="35"/>
      <c r="K483" s="33"/>
      <c r="L483" s="37" t="n">
        <f aca="false">IF(OR(C483="",H483&lt;&gt;"Approved"),0,IF(G483&lt;&gt;"",G483,N(F483)))</f>
        <v>0</v>
      </c>
    </row>
    <row r="484" customFormat="false" ht="15" hidden="false" customHeight="false" outlineLevel="0" collapsed="false">
      <c r="A484" s="32"/>
      <c r="B484" s="32"/>
      <c r="C484" s="32"/>
      <c r="D484" s="32"/>
      <c r="E484" s="33"/>
      <c r="F484" s="41"/>
      <c r="G484" s="41"/>
      <c r="H484" s="32"/>
      <c r="I484" s="35"/>
      <c r="J484" s="35"/>
      <c r="K484" s="33"/>
      <c r="L484" s="37" t="n">
        <f aca="false">IF(OR(C484="",H484&lt;&gt;"Approved"),0,IF(G484&lt;&gt;"",G484,N(F484)))</f>
        <v>0</v>
      </c>
    </row>
    <row r="485" customFormat="false" ht="15" hidden="false" customHeight="false" outlineLevel="0" collapsed="false">
      <c r="A485" s="32"/>
      <c r="B485" s="32"/>
      <c r="C485" s="32"/>
      <c r="D485" s="32"/>
      <c r="E485" s="33"/>
      <c r="F485" s="41"/>
      <c r="G485" s="41"/>
      <c r="H485" s="32"/>
      <c r="I485" s="35"/>
      <c r="J485" s="35"/>
      <c r="K485" s="33"/>
      <c r="L485" s="37" t="n">
        <f aca="false">IF(OR(C485="",H485&lt;&gt;"Approved"),0,IF(G485&lt;&gt;"",G485,N(F485)))</f>
        <v>0</v>
      </c>
    </row>
    <row r="486" customFormat="false" ht="15" hidden="false" customHeight="false" outlineLevel="0" collapsed="false">
      <c r="A486" s="32"/>
      <c r="B486" s="32"/>
      <c r="C486" s="32"/>
      <c r="D486" s="32"/>
      <c r="E486" s="33"/>
      <c r="F486" s="41"/>
      <c r="G486" s="41"/>
      <c r="H486" s="32"/>
      <c r="I486" s="35"/>
      <c r="J486" s="35"/>
      <c r="K486" s="33"/>
      <c r="L486" s="37" t="n">
        <f aca="false">IF(OR(C486="",H486&lt;&gt;"Approved"),0,IF(G486&lt;&gt;"",G486,N(F486)))</f>
        <v>0</v>
      </c>
    </row>
    <row r="487" customFormat="false" ht="15" hidden="false" customHeight="false" outlineLevel="0" collapsed="false">
      <c r="A487" s="32"/>
      <c r="B487" s="32"/>
      <c r="C487" s="32"/>
      <c r="D487" s="32"/>
      <c r="E487" s="33"/>
      <c r="F487" s="41"/>
      <c r="G487" s="41"/>
      <c r="H487" s="32"/>
      <c r="I487" s="35"/>
      <c r="J487" s="35"/>
      <c r="K487" s="33"/>
      <c r="L487" s="37" t="n">
        <f aca="false">IF(OR(C487="",H487&lt;&gt;"Approved"),0,IF(G487&lt;&gt;"",G487,N(F487)))</f>
        <v>0</v>
      </c>
    </row>
    <row r="488" customFormat="false" ht="15" hidden="false" customHeight="false" outlineLevel="0" collapsed="false">
      <c r="A488" s="32"/>
      <c r="B488" s="32"/>
      <c r="C488" s="32"/>
      <c r="D488" s="32"/>
      <c r="E488" s="33"/>
      <c r="F488" s="41"/>
      <c r="G488" s="41"/>
      <c r="H488" s="32"/>
      <c r="I488" s="35"/>
      <c r="J488" s="35"/>
      <c r="K488" s="33"/>
      <c r="L488" s="37" t="n">
        <f aca="false">IF(OR(C488="",H488&lt;&gt;"Approved"),0,IF(G488&lt;&gt;"",G488,N(F488)))</f>
        <v>0</v>
      </c>
    </row>
    <row r="489" customFormat="false" ht="15" hidden="false" customHeight="false" outlineLevel="0" collapsed="false">
      <c r="A489" s="32"/>
      <c r="B489" s="32"/>
      <c r="C489" s="32"/>
      <c r="D489" s="32"/>
      <c r="E489" s="33"/>
      <c r="F489" s="41"/>
      <c r="G489" s="41"/>
      <c r="H489" s="32"/>
      <c r="I489" s="35"/>
      <c r="J489" s="35"/>
      <c r="K489" s="33"/>
      <c r="L489" s="37" t="n">
        <f aca="false">IF(OR(C489="",H489&lt;&gt;"Approved"),0,IF(G489&lt;&gt;"",G489,N(F489)))</f>
        <v>0</v>
      </c>
    </row>
    <row r="490" customFormat="false" ht="15" hidden="false" customHeight="false" outlineLevel="0" collapsed="false">
      <c r="A490" s="32"/>
      <c r="B490" s="32"/>
      <c r="C490" s="32"/>
      <c r="D490" s="32"/>
      <c r="E490" s="33"/>
      <c r="F490" s="41"/>
      <c r="G490" s="41"/>
      <c r="H490" s="32"/>
      <c r="I490" s="35"/>
      <c r="J490" s="35"/>
      <c r="K490" s="33"/>
      <c r="L490" s="37" t="n">
        <f aca="false">IF(OR(C490="",H490&lt;&gt;"Approved"),0,IF(G490&lt;&gt;"",G490,N(F490)))</f>
        <v>0</v>
      </c>
    </row>
    <row r="491" customFormat="false" ht="15" hidden="false" customHeight="false" outlineLevel="0" collapsed="false">
      <c r="A491" s="32"/>
      <c r="B491" s="32"/>
      <c r="C491" s="32"/>
      <c r="D491" s="32"/>
      <c r="E491" s="33"/>
      <c r="F491" s="41"/>
      <c r="G491" s="41"/>
      <c r="H491" s="32"/>
      <c r="I491" s="35"/>
      <c r="J491" s="35"/>
      <c r="K491" s="33"/>
      <c r="L491" s="37" t="n">
        <f aca="false">IF(OR(C491="",H491&lt;&gt;"Approved"),0,IF(G491&lt;&gt;"",G491,N(F491)))</f>
        <v>0</v>
      </c>
    </row>
    <row r="492" customFormat="false" ht="15" hidden="false" customHeight="false" outlineLevel="0" collapsed="false">
      <c r="A492" s="32"/>
      <c r="B492" s="32"/>
      <c r="C492" s="32"/>
      <c r="D492" s="32"/>
      <c r="E492" s="33"/>
      <c r="F492" s="41"/>
      <c r="G492" s="41"/>
      <c r="H492" s="32"/>
      <c r="I492" s="35"/>
      <c r="J492" s="35"/>
      <c r="K492" s="33"/>
      <c r="L492" s="37" t="n">
        <f aca="false">IF(OR(C492="",H492&lt;&gt;"Approved"),0,IF(G492&lt;&gt;"",G492,N(F492)))</f>
        <v>0</v>
      </c>
    </row>
    <row r="493" customFormat="false" ht="15" hidden="false" customHeight="false" outlineLevel="0" collapsed="false">
      <c r="A493" s="32"/>
      <c r="B493" s="32"/>
      <c r="C493" s="32"/>
      <c r="D493" s="32"/>
      <c r="E493" s="33"/>
      <c r="F493" s="41"/>
      <c r="G493" s="41"/>
      <c r="H493" s="32"/>
      <c r="I493" s="35"/>
      <c r="J493" s="35"/>
      <c r="K493" s="33"/>
      <c r="L493" s="37" t="n">
        <f aca="false">IF(OR(C493="",H493&lt;&gt;"Approved"),0,IF(G493&lt;&gt;"",G493,N(F493)))</f>
        <v>0</v>
      </c>
    </row>
    <row r="494" customFormat="false" ht="15" hidden="false" customHeight="false" outlineLevel="0" collapsed="false">
      <c r="A494" s="32"/>
      <c r="B494" s="32"/>
      <c r="C494" s="32"/>
      <c r="D494" s="32"/>
      <c r="E494" s="33"/>
      <c r="F494" s="41"/>
      <c r="G494" s="41"/>
      <c r="H494" s="32"/>
      <c r="I494" s="35"/>
      <c r="J494" s="35"/>
      <c r="K494" s="33"/>
      <c r="L494" s="37" t="n">
        <f aca="false">IF(OR(C494="",H494&lt;&gt;"Approved"),0,IF(G494&lt;&gt;"",G494,N(F494)))</f>
        <v>0</v>
      </c>
    </row>
    <row r="495" customFormat="false" ht="15" hidden="false" customHeight="false" outlineLevel="0" collapsed="false">
      <c r="A495" s="32"/>
      <c r="B495" s="32"/>
      <c r="C495" s="32"/>
      <c r="D495" s="32"/>
      <c r="E495" s="33"/>
      <c r="F495" s="41"/>
      <c r="G495" s="41"/>
      <c r="H495" s="32"/>
      <c r="I495" s="35"/>
      <c r="J495" s="35"/>
      <c r="K495" s="33"/>
      <c r="L495" s="37" t="n">
        <f aca="false">IF(OR(C495="",H495&lt;&gt;"Approved"),0,IF(G495&lt;&gt;"",G495,N(F495)))</f>
        <v>0</v>
      </c>
    </row>
    <row r="496" customFormat="false" ht="15" hidden="false" customHeight="false" outlineLevel="0" collapsed="false">
      <c r="A496" s="32"/>
      <c r="B496" s="32"/>
      <c r="C496" s="32"/>
      <c r="D496" s="32"/>
      <c r="E496" s="33"/>
      <c r="F496" s="41"/>
      <c r="G496" s="41"/>
      <c r="H496" s="32"/>
      <c r="I496" s="35"/>
      <c r="J496" s="35"/>
      <c r="K496" s="33"/>
      <c r="L496" s="37" t="n">
        <f aca="false">IF(OR(C496="",H496&lt;&gt;"Approved"),0,IF(G496&lt;&gt;"",G496,N(F496)))</f>
        <v>0</v>
      </c>
    </row>
    <row r="497" customFormat="false" ht="15" hidden="false" customHeight="false" outlineLevel="0" collapsed="false">
      <c r="A497" s="32"/>
      <c r="B497" s="32"/>
      <c r="C497" s="32"/>
      <c r="D497" s="32"/>
      <c r="E497" s="33"/>
      <c r="F497" s="41"/>
      <c r="G497" s="41"/>
      <c r="H497" s="32"/>
      <c r="I497" s="35"/>
      <c r="J497" s="35"/>
      <c r="K497" s="33"/>
      <c r="L497" s="37" t="n">
        <f aca="false">IF(OR(C497="",H497&lt;&gt;"Approved"),0,IF(G497&lt;&gt;"",G497,N(F497)))</f>
        <v>0</v>
      </c>
    </row>
    <row r="498" customFormat="false" ht="15" hidden="false" customHeight="false" outlineLevel="0" collapsed="false">
      <c r="A498" s="32"/>
      <c r="B498" s="32"/>
      <c r="C498" s="32"/>
      <c r="D498" s="32"/>
      <c r="E498" s="33"/>
      <c r="F498" s="41"/>
      <c r="G498" s="41"/>
      <c r="H498" s="32"/>
      <c r="I498" s="35"/>
      <c r="J498" s="35"/>
      <c r="K498" s="33"/>
      <c r="L498" s="37" t="n">
        <f aca="false">IF(OR(C498="",H498&lt;&gt;"Approved"),0,IF(G498&lt;&gt;"",G498,N(F498)))</f>
        <v>0</v>
      </c>
    </row>
    <row r="499" customFormat="false" ht="15" hidden="false" customHeight="false" outlineLevel="0" collapsed="false">
      <c r="A499" s="32"/>
      <c r="B499" s="32"/>
      <c r="C499" s="32"/>
      <c r="D499" s="32"/>
      <c r="E499" s="33"/>
      <c r="F499" s="41"/>
      <c r="G499" s="41"/>
      <c r="H499" s="32"/>
      <c r="I499" s="35"/>
      <c r="J499" s="35"/>
      <c r="K499" s="33"/>
      <c r="L499" s="37" t="n">
        <f aca="false">IF(OR(C499="",H499&lt;&gt;"Approved"),0,IF(G499&lt;&gt;"",G499,N(F499)))</f>
        <v>0</v>
      </c>
    </row>
    <row r="500" customFormat="false" ht="15" hidden="false" customHeight="false" outlineLevel="0" collapsed="false">
      <c r="A500" s="32"/>
      <c r="B500" s="32"/>
      <c r="C500" s="32"/>
      <c r="D500" s="32"/>
      <c r="E500" s="33"/>
      <c r="F500" s="41"/>
      <c r="G500" s="41"/>
      <c r="H500" s="32"/>
      <c r="I500" s="35"/>
      <c r="J500" s="35"/>
      <c r="K500" s="33"/>
      <c r="L500" s="37" t="n">
        <f aca="false">IF(OR(C500="",H500&lt;&gt;"Approved"),0,IF(G500&lt;&gt;"",G500,N(F500)))</f>
        <v>0</v>
      </c>
    </row>
    <row r="501" customFormat="false" ht="15" hidden="false" customHeight="false" outlineLevel="0" collapsed="false">
      <c r="A501" s="32"/>
      <c r="B501" s="32"/>
      <c r="C501" s="32"/>
      <c r="D501" s="32"/>
      <c r="E501" s="33"/>
      <c r="F501" s="41"/>
      <c r="G501" s="41"/>
      <c r="H501" s="32"/>
      <c r="I501" s="35"/>
      <c r="J501" s="35"/>
      <c r="K501" s="33"/>
      <c r="L501" s="37" t="n">
        <f aca="false">IF(OR(C501="",H501&lt;&gt;"Approved"),0,IF(G501&lt;&gt;"",G501,N(F501)))</f>
        <v>0</v>
      </c>
    </row>
  </sheetData>
  <autoFilter ref="A1:L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I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lst_EotStatus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7" t="s">
        <v>110</v>
      </c>
      <c r="B1" s="17" t="s">
        <v>264</v>
      </c>
      <c r="C1" s="17" t="s">
        <v>199</v>
      </c>
      <c r="D1" s="17" t="s">
        <v>265</v>
      </c>
      <c r="E1" s="31" t="s">
        <v>266</v>
      </c>
      <c r="F1" s="31" t="s">
        <v>267</v>
      </c>
    </row>
    <row r="2" customFormat="false" ht="15" hidden="false" customHeight="false" outlineLevel="0" collapsed="false">
      <c r="A2" s="32"/>
      <c r="B2" s="35"/>
      <c r="C2" s="32"/>
      <c r="D2" s="34"/>
      <c r="E2" s="42" t="str">
        <f aca="false">IF(OR(A2="",B2=""),"",DATE(YEAR(B2),MONTH(B2),1))</f>
        <v/>
      </c>
      <c r="F2" s="36" t="n">
        <f aca="false">IF(OR(E2="",D2=""),0,IF(C2="Actual",D2,IF(COUNTIFS($A$2:$A$2001,A2,$E$2:$E$2001,E2,$C$2:$C$2001,"Actual")&gt;0,0,D2)))</f>
        <v>0</v>
      </c>
    </row>
    <row r="3" customFormat="false" ht="15" hidden="false" customHeight="false" outlineLevel="0" collapsed="false">
      <c r="A3" s="32"/>
      <c r="B3" s="35"/>
      <c r="C3" s="32"/>
      <c r="D3" s="34"/>
      <c r="E3" s="42" t="str">
        <f aca="false">IF(OR(A3="",B3=""),"",DATE(YEAR(B3),MONTH(B3),1))</f>
        <v/>
      </c>
      <c r="F3" s="36" t="n">
        <f aca="false">IF(OR(E3="",D3=""),0,IF(C3="Actual",D3,IF(COUNTIFS($A$2:$A$2001,A3,$E$2:$E$2001,E3,$C$2:$C$2001,"Actual")&gt;0,0,D3)))</f>
        <v>0</v>
      </c>
    </row>
    <row r="4" customFormat="false" ht="15" hidden="false" customHeight="false" outlineLevel="0" collapsed="false">
      <c r="A4" s="32"/>
      <c r="B4" s="35"/>
      <c r="C4" s="32"/>
      <c r="D4" s="34"/>
      <c r="E4" s="42" t="str">
        <f aca="false">IF(OR(A4="",B4=""),"",DATE(YEAR(B4),MONTH(B4),1))</f>
        <v/>
      </c>
      <c r="F4" s="36" t="n">
        <f aca="false">IF(OR(E4="",D4=""),0,IF(C4="Actual",D4,IF(COUNTIFS($A$2:$A$2001,A4,$E$2:$E$2001,E4,$C$2:$C$2001,"Actual")&gt;0,0,D4)))</f>
        <v>0</v>
      </c>
    </row>
    <row r="5" customFormat="false" ht="15" hidden="false" customHeight="false" outlineLevel="0" collapsed="false">
      <c r="A5" s="32"/>
      <c r="B5" s="35"/>
      <c r="C5" s="32"/>
      <c r="D5" s="34"/>
      <c r="E5" s="42" t="str">
        <f aca="false">IF(OR(A5="",B5=""),"",DATE(YEAR(B5),MONTH(B5),1))</f>
        <v/>
      </c>
      <c r="F5" s="36" t="n">
        <f aca="false">IF(OR(E5="",D5=""),0,IF(C5="Actual",D5,IF(COUNTIFS($A$2:$A$2001,A5,$E$2:$E$2001,E5,$C$2:$C$2001,"Actual")&gt;0,0,D5)))</f>
        <v>0</v>
      </c>
    </row>
    <row r="6" customFormat="false" ht="15" hidden="false" customHeight="false" outlineLevel="0" collapsed="false">
      <c r="A6" s="32"/>
      <c r="B6" s="35"/>
      <c r="C6" s="32"/>
      <c r="D6" s="34"/>
      <c r="E6" s="42" t="str">
        <f aca="false">IF(OR(A6="",B6=""),"",DATE(YEAR(B6),MONTH(B6),1))</f>
        <v/>
      </c>
      <c r="F6" s="36" t="n">
        <f aca="false">IF(OR(E6="",D6=""),0,IF(C6="Actual",D6,IF(COUNTIFS($A$2:$A$2001,A6,$E$2:$E$2001,E6,$C$2:$C$2001,"Actual")&gt;0,0,D6)))</f>
        <v>0</v>
      </c>
    </row>
    <row r="7" customFormat="false" ht="15" hidden="false" customHeight="false" outlineLevel="0" collapsed="false">
      <c r="A7" s="32"/>
      <c r="B7" s="35"/>
      <c r="C7" s="32"/>
      <c r="D7" s="34"/>
      <c r="E7" s="42" t="str">
        <f aca="false">IF(OR(A7="",B7=""),"",DATE(YEAR(B7),MONTH(B7),1))</f>
        <v/>
      </c>
      <c r="F7" s="36" t="n">
        <f aca="false">IF(OR(E7="",D7=""),0,IF(C7="Actual",D7,IF(COUNTIFS($A$2:$A$2001,A7,$E$2:$E$2001,E7,$C$2:$C$2001,"Actual")&gt;0,0,D7)))</f>
        <v>0</v>
      </c>
    </row>
    <row r="8" customFormat="false" ht="15" hidden="false" customHeight="false" outlineLevel="0" collapsed="false">
      <c r="A8" s="32"/>
      <c r="B8" s="35"/>
      <c r="C8" s="32"/>
      <c r="D8" s="34"/>
      <c r="E8" s="42" t="str">
        <f aca="false">IF(OR(A8="",B8=""),"",DATE(YEAR(B8),MONTH(B8),1))</f>
        <v/>
      </c>
      <c r="F8" s="36" t="n">
        <f aca="false">IF(OR(E8="",D8=""),0,IF(C8="Actual",D8,IF(COUNTIFS($A$2:$A$2001,A8,$E$2:$E$2001,E8,$C$2:$C$2001,"Actual")&gt;0,0,D8)))</f>
        <v>0</v>
      </c>
    </row>
    <row r="9" customFormat="false" ht="15" hidden="false" customHeight="false" outlineLevel="0" collapsed="false">
      <c r="A9" s="32"/>
      <c r="B9" s="35"/>
      <c r="C9" s="32"/>
      <c r="D9" s="34"/>
      <c r="E9" s="42" t="str">
        <f aca="false">IF(OR(A9="",B9=""),"",DATE(YEAR(B9),MONTH(B9),1))</f>
        <v/>
      </c>
      <c r="F9" s="36" t="n">
        <f aca="false">IF(OR(E9="",D9=""),0,IF(C9="Actual",D9,IF(COUNTIFS($A$2:$A$2001,A9,$E$2:$E$2001,E9,$C$2:$C$2001,"Actual")&gt;0,0,D9)))</f>
        <v>0</v>
      </c>
    </row>
    <row r="10" customFormat="false" ht="15" hidden="false" customHeight="false" outlineLevel="0" collapsed="false">
      <c r="A10" s="32"/>
      <c r="B10" s="35"/>
      <c r="C10" s="32"/>
      <c r="D10" s="34"/>
      <c r="E10" s="42" t="str">
        <f aca="false">IF(OR(A10="",B10=""),"",DATE(YEAR(B10),MONTH(B10),1))</f>
        <v/>
      </c>
      <c r="F10" s="36" t="n">
        <f aca="false">IF(OR(E10="",D10=""),0,IF(C10="Actual",D10,IF(COUNTIFS($A$2:$A$2001,A10,$E$2:$E$2001,E10,$C$2:$C$2001,"Actual")&gt;0,0,D10)))</f>
        <v>0</v>
      </c>
    </row>
    <row r="11" customFormat="false" ht="15" hidden="false" customHeight="false" outlineLevel="0" collapsed="false">
      <c r="A11" s="32"/>
      <c r="B11" s="35"/>
      <c r="C11" s="32"/>
      <c r="D11" s="34"/>
      <c r="E11" s="42" t="str">
        <f aca="false">IF(OR(A11="",B11=""),"",DATE(YEAR(B11),MONTH(B11),1))</f>
        <v/>
      </c>
      <c r="F11" s="36" t="n">
        <f aca="false">IF(OR(E11="",D11=""),0,IF(C11="Actual",D11,IF(COUNTIFS($A$2:$A$2001,A11,$E$2:$E$2001,E11,$C$2:$C$2001,"Actual")&gt;0,0,D11)))</f>
        <v>0</v>
      </c>
    </row>
    <row r="12" customFormat="false" ht="15" hidden="false" customHeight="false" outlineLevel="0" collapsed="false">
      <c r="A12" s="32"/>
      <c r="B12" s="35"/>
      <c r="C12" s="32"/>
      <c r="D12" s="34"/>
      <c r="E12" s="42" t="str">
        <f aca="false">IF(OR(A12="",B12=""),"",DATE(YEAR(B12),MONTH(B12),1))</f>
        <v/>
      </c>
      <c r="F12" s="36" t="n">
        <f aca="false">IF(OR(E12="",D12=""),0,IF(C12="Actual",D12,IF(COUNTIFS($A$2:$A$2001,A12,$E$2:$E$2001,E12,$C$2:$C$2001,"Actual")&gt;0,0,D12)))</f>
        <v>0</v>
      </c>
    </row>
    <row r="13" customFormat="false" ht="15" hidden="false" customHeight="false" outlineLevel="0" collapsed="false">
      <c r="A13" s="32"/>
      <c r="B13" s="35"/>
      <c r="C13" s="32"/>
      <c r="D13" s="34"/>
      <c r="E13" s="42" t="str">
        <f aca="false">IF(OR(A13="",B13=""),"",DATE(YEAR(B13),MONTH(B13),1))</f>
        <v/>
      </c>
      <c r="F13" s="36" t="n">
        <f aca="false">IF(OR(E13="",D13=""),0,IF(C13="Actual",D13,IF(COUNTIFS($A$2:$A$2001,A13,$E$2:$E$2001,E13,$C$2:$C$2001,"Actual")&gt;0,0,D13)))</f>
        <v>0</v>
      </c>
    </row>
    <row r="14" customFormat="false" ht="15" hidden="false" customHeight="false" outlineLevel="0" collapsed="false">
      <c r="A14" s="32"/>
      <c r="B14" s="35"/>
      <c r="C14" s="32"/>
      <c r="D14" s="34"/>
      <c r="E14" s="42" t="str">
        <f aca="false">IF(OR(A14="",B14=""),"",DATE(YEAR(B14),MONTH(B14),1))</f>
        <v/>
      </c>
      <c r="F14" s="36" t="n">
        <f aca="false">IF(OR(E14="",D14=""),0,IF(C14="Actual",D14,IF(COUNTIFS($A$2:$A$2001,A14,$E$2:$E$2001,E14,$C$2:$C$2001,"Actual")&gt;0,0,D14)))</f>
        <v>0</v>
      </c>
    </row>
    <row r="15" customFormat="false" ht="15" hidden="false" customHeight="false" outlineLevel="0" collapsed="false">
      <c r="A15" s="32"/>
      <c r="B15" s="35"/>
      <c r="C15" s="32"/>
      <c r="D15" s="34"/>
      <c r="E15" s="42" t="str">
        <f aca="false">IF(OR(A15="",B15=""),"",DATE(YEAR(B15),MONTH(B15),1))</f>
        <v/>
      </c>
      <c r="F15" s="36" t="n">
        <f aca="false">IF(OR(E15="",D15=""),0,IF(C15="Actual",D15,IF(COUNTIFS($A$2:$A$2001,A15,$E$2:$E$2001,E15,$C$2:$C$2001,"Actual")&gt;0,0,D15)))</f>
        <v>0</v>
      </c>
    </row>
    <row r="16" customFormat="false" ht="15" hidden="false" customHeight="false" outlineLevel="0" collapsed="false">
      <c r="A16" s="32"/>
      <c r="B16" s="35"/>
      <c r="C16" s="32"/>
      <c r="D16" s="34"/>
      <c r="E16" s="42" t="str">
        <f aca="false">IF(OR(A16="",B16=""),"",DATE(YEAR(B16),MONTH(B16),1))</f>
        <v/>
      </c>
      <c r="F16" s="36" t="n">
        <f aca="false">IF(OR(E16="",D16=""),0,IF(C16="Actual",D16,IF(COUNTIFS($A$2:$A$2001,A16,$E$2:$E$2001,E16,$C$2:$C$2001,"Actual")&gt;0,0,D16)))</f>
        <v>0</v>
      </c>
    </row>
    <row r="17" customFormat="false" ht="15" hidden="false" customHeight="false" outlineLevel="0" collapsed="false">
      <c r="A17" s="32"/>
      <c r="B17" s="35"/>
      <c r="C17" s="32"/>
      <c r="D17" s="34"/>
      <c r="E17" s="42" t="str">
        <f aca="false">IF(OR(A17="",B17=""),"",DATE(YEAR(B17),MONTH(B17),1))</f>
        <v/>
      </c>
      <c r="F17" s="36" t="n">
        <f aca="false">IF(OR(E17="",D17=""),0,IF(C17="Actual",D17,IF(COUNTIFS($A$2:$A$2001,A17,$E$2:$E$2001,E17,$C$2:$C$2001,"Actual")&gt;0,0,D17)))</f>
        <v>0</v>
      </c>
    </row>
    <row r="18" customFormat="false" ht="15" hidden="false" customHeight="false" outlineLevel="0" collapsed="false">
      <c r="A18" s="32"/>
      <c r="B18" s="35"/>
      <c r="C18" s="32"/>
      <c r="D18" s="34"/>
      <c r="E18" s="42" t="str">
        <f aca="false">IF(OR(A18="",B18=""),"",DATE(YEAR(B18),MONTH(B18),1))</f>
        <v/>
      </c>
      <c r="F18" s="36" t="n">
        <f aca="false">IF(OR(E18="",D18=""),0,IF(C18="Actual",D18,IF(COUNTIFS($A$2:$A$2001,A18,$E$2:$E$2001,E18,$C$2:$C$2001,"Actual")&gt;0,0,D18)))</f>
        <v>0</v>
      </c>
    </row>
    <row r="19" customFormat="false" ht="15" hidden="false" customHeight="false" outlineLevel="0" collapsed="false">
      <c r="A19" s="32"/>
      <c r="B19" s="35"/>
      <c r="C19" s="32"/>
      <c r="D19" s="34"/>
      <c r="E19" s="42" t="str">
        <f aca="false">IF(OR(A19="",B19=""),"",DATE(YEAR(B19),MONTH(B19),1))</f>
        <v/>
      </c>
      <c r="F19" s="36" t="n">
        <f aca="false">IF(OR(E19="",D19=""),0,IF(C19="Actual",D19,IF(COUNTIFS($A$2:$A$2001,A19,$E$2:$E$2001,E19,$C$2:$C$2001,"Actual")&gt;0,0,D19)))</f>
        <v>0</v>
      </c>
    </row>
    <row r="20" customFormat="false" ht="15" hidden="false" customHeight="false" outlineLevel="0" collapsed="false">
      <c r="A20" s="32"/>
      <c r="B20" s="35"/>
      <c r="C20" s="32"/>
      <c r="D20" s="34"/>
      <c r="E20" s="42" t="str">
        <f aca="false">IF(OR(A20="",B20=""),"",DATE(YEAR(B20),MONTH(B20),1))</f>
        <v/>
      </c>
      <c r="F20" s="36" t="n">
        <f aca="false">IF(OR(E20="",D20=""),0,IF(C20="Actual",D20,IF(COUNTIFS($A$2:$A$2001,A20,$E$2:$E$2001,E20,$C$2:$C$2001,"Actual")&gt;0,0,D20)))</f>
        <v>0</v>
      </c>
    </row>
    <row r="21" customFormat="false" ht="15" hidden="false" customHeight="false" outlineLevel="0" collapsed="false">
      <c r="A21" s="32"/>
      <c r="B21" s="35"/>
      <c r="C21" s="32"/>
      <c r="D21" s="34"/>
      <c r="E21" s="42" t="str">
        <f aca="false">IF(OR(A21="",B21=""),"",DATE(YEAR(B21),MONTH(B21),1))</f>
        <v/>
      </c>
      <c r="F21" s="36" t="n">
        <f aca="false">IF(OR(E21="",D21=""),0,IF(C21="Actual",D21,IF(COUNTIFS($A$2:$A$2001,A21,$E$2:$E$2001,E21,$C$2:$C$2001,"Actual")&gt;0,0,D21)))</f>
        <v>0</v>
      </c>
    </row>
    <row r="22" customFormat="false" ht="15" hidden="false" customHeight="false" outlineLevel="0" collapsed="false">
      <c r="A22" s="32"/>
      <c r="B22" s="35"/>
      <c r="C22" s="32"/>
      <c r="D22" s="34"/>
      <c r="E22" s="42" t="str">
        <f aca="false">IF(OR(A22="",B22=""),"",DATE(YEAR(B22),MONTH(B22),1))</f>
        <v/>
      </c>
      <c r="F22" s="36" t="n">
        <f aca="false">IF(OR(E22="",D22=""),0,IF(C22="Actual",D22,IF(COUNTIFS($A$2:$A$2001,A22,$E$2:$E$2001,E22,$C$2:$C$2001,"Actual")&gt;0,0,D22)))</f>
        <v>0</v>
      </c>
    </row>
    <row r="23" customFormat="false" ht="15" hidden="false" customHeight="false" outlineLevel="0" collapsed="false">
      <c r="A23" s="32"/>
      <c r="B23" s="35"/>
      <c r="C23" s="32"/>
      <c r="D23" s="34"/>
      <c r="E23" s="42" t="str">
        <f aca="false">IF(OR(A23="",B23=""),"",DATE(YEAR(B23),MONTH(B23),1))</f>
        <v/>
      </c>
      <c r="F23" s="36" t="n">
        <f aca="false">IF(OR(E23="",D23=""),0,IF(C23="Actual",D23,IF(COUNTIFS($A$2:$A$2001,A23,$E$2:$E$2001,E23,$C$2:$C$2001,"Actual")&gt;0,0,D23)))</f>
        <v>0</v>
      </c>
    </row>
    <row r="24" customFormat="false" ht="15" hidden="false" customHeight="false" outlineLevel="0" collapsed="false">
      <c r="A24" s="32"/>
      <c r="B24" s="35"/>
      <c r="C24" s="32"/>
      <c r="D24" s="34"/>
      <c r="E24" s="42" t="str">
        <f aca="false">IF(OR(A24="",B24=""),"",DATE(YEAR(B24),MONTH(B24),1))</f>
        <v/>
      </c>
      <c r="F24" s="36" t="n">
        <f aca="false">IF(OR(E24="",D24=""),0,IF(C24="Actual",D24,IF(COUNTIFS($A$2:$A$2001,A24,$E$2:$E$2001,E24,$C$2:$C$2001,"Actual")&gt;0,0,D24)))</f>
        <v>0</v>
      </c>
    </row>
    <row r="25" customFormat="false" ht="15" hidden="false" customHeight="false" outlineLevel="0" collapsed="false">
      <c r="A25" s="32"/>
      <c r="B25" s="35"/>
      <c r="C25" s="32"/>
      <c r="D25" s="34"/>
      <c r="E25" s="42" t="str">
        <f aca="false">IF(OR(A25="",B25=""),"",DATE(YEAR(B25),MONTH(B25),1))</f>
        <v/>
      </c>
      <c r="F25" s="36" t="n">
        <f aca="false">IF(OR(E25="",D25=""),0,IF(C25="Actual",D25,IF(COUNTIFS($A$2:$A$2001,A25,$E$2:$E$2001,E25,$C$2:$C$2001,"Actual")&gt;0,0,D25)))</f>
        <v>0</v>
      </c>
    </row>
    <row r="26" customFormat="false" ht="15" hidden="false" customHeight="false" outlineLevel="0" collapsed="false">
      <c r="A26" s="32"/>
      <c r="B26" s="35"/>
      <c r="C26" s="32"/>
      <c r="D26" s="34"/>
      <c r="E26" s="42" t="str">
        <f aca="false">IF(OR(A26="",B26=""),"",DATE(YEAR(B26),MONTH(B26),1))</f>
        <v/>
      </c>
      <c r="F26" s="36" t="n">
        <f aca="false">IF(OR(E26="",D26=""),0,IF(C26="Actual",D26,IF(COUNTIFS($A$2:$A$2001,A26,$E$2:$E$2001,E26,$C$2:$C$2001,"Actual")&gt;0,0,D26)))</f>
        <v>0</v>
      </c>
    </row>
    <row r="27" customFormat="false" ht="15" hidden="false" customHeight="false" outlineLevel="0" collapsed="false">
      <c r="A27" s="32"/>
      <c r="B27" s="35"/>
      <c r="C27" s="32"/>
      <c r="D27" s="34"/>
      <c r="E27" s="42" t="str">
        <f aca="false">IF(OR(A27="",B27=""),"",DATE(YEAR(B27),MONTH(B27),1))</f>
        <v/>
      </c>
      <c r="F27" s="36" t="n">
        <f aca="false">IF(OR(E27="",D27=""),0,IF(C27="Actual",D27,IF(COUNTIFS($A$2:$A$2001,A27,$E$2:$E$2001,E27,$C$2:$C$2001,"Actual")&gt;0,0,D27)))</f>
        <v>0</v>
      </c>
    </row>
    <row r="28" customFormat="false" ht="15" hidden="false" customHeight="false" outlineLevel="0" collapsed="false">
      <c r="A28" s="32"/>
      <c r="B28" s="35"/>
      <c r="C28" s="32"/>
      <c r="D28" s="34"/>
      <c r="E28" s="42" t="str">
        <f aca="false">IF(OR(A28="",B28=""),"",DATE(YEAR(B28),MONTH(B28),1))</f>
        <v/>
      </c>
      <c r="F28" s="36" t="n">
        <f aca="false">IF(OR(E28="",D28=""),0,IF(C28="Actual",D28,IF(COUNTIFS($A$2:$A$2001,A28,$E$2:$E$2001,E28,$C$2:$C$2001,"Actual")&gt;0,0,D28)))</f>
        <v>0</v>
      </c>
    </row>
    <row r="29" customFormat="false" ht="15" hidden="false" customHeight="false" outlineLevel="0" collapsed="false">
      <c r="A29" s="32"/>
      <c r="B29" s="35"/>
      <c r="C29" s="32"/>
      <c r="D29" s="34"/>
      <c r="E29" s="42" t="str">
        <f aca="false">IF(OR(A29="",B29=""),"",DATE(YEAR(B29),MONTH(B29),1))</f>
        <v/>
      </c>
      <c r="F29" s="36" t="n">
        <f aca="false">IF(OR(E29="",D29=""),0,IF(C29="Actual",D29,IF(COUNTIFS($A$2:$A$2001,A29,$E$2:$E$2001,E29,$C$2:$C$2001,"Actual")&gt;0,0,D29)))</f>
        <v>0</v>
      </c>
    </row>
    <row r="30" customFormat="false" ht="15" hidden="false" customHeight="false" outlineLevel="0" collapsed="false">
      <c r="A30" s="32"/>
      <c r="B30" s="35"/>
      <c r="C30" s="32"/>
      <c r="D30" s="34"/>
      <c r="E30" s="42" t="str">
        <f aca="false">IF(OR(A30="",B30=""),"",DATE(YEAR(B30),MONTH(B30),1))</f>
        <v/>
      </c>
      <c r="F30" s="36" t="n">
        <f aca="false">IF(OR(E30="",D30=""),0,IF(C30="Actual",D30,IF(COUNTIFS($A$2:$A$2001,A30,$E$2:$E$2001,E30,$C$2:$C$2001,"Actual")&gt;0,0,D30)))</f>
        <v>0</v>
      </c>
    </row>
    <row r="31" customFormat="false" ht="15" hidden="false" customHeight="false" outlineLevel="0" collapsed="false">
      <c r="A31" s="32"/>
      <c r="B31" s="35"/>
      <c r="C31" s="32"/>
      <c r="D31" s="34"/>
      <c r="E31" s="42" t="str">
        <f aca="false">IF(OR(A31="",B31=""),"",DATE(YEAR(B31),MONTH(B31),1))</f>
        <v/>
      </c>
      <c r="F31" s="36" t="n">
        <f aca="false">IF(OR(E31="",D31=""),0,IF(C31="Actual",D31,IF(COUNTIFS($A$2:$A$2001,A31,$E$2:$E$2001,E31,$C$2:$C$2001,"Actual")&gt;0,0,D31)))</f>
        <v>0</v>
      </c>
    </row>
    <row r="32" customFormat="false" ht="15" hidden="false" customHeight="false" outlineLevel="0" collapsed="false">
      <c r="A32" s="32"/>
      <c r="B32" s="35"/>
      <c r="C32" s="32"/>
      <c r="D32" s="34"/>
      <c r="E32" s="42" t="str">
        <f aca="false">IF(OR(A32="",B32=""),"",DATE(YEAR(B32),MONTH(B32),1))</f>
        <v/>
      </c>
      <c r="F32" s="36" t="n">
        <f aca="false">IF(OR(E32="",D32=""),0,IF(C32="Actual",D32,IF(COUNTIFS($A$2:$A$2001,A32,$E$2:$E$2001,E32,$C$2:$C$2001,"Actual")&gt;0,0,D32)))</f>
        <v>0</v>
      </c>
    </row>
    <row r="33" customFormat="false" ht="15" hidden="false" customHeight="false" outlineLevel="0" collapsed="false">
      <c r="A33" s="32"/>
      <c r="B33" s="35"/>
      <c r="C33" s="32"/>
      <c r="D33" s="34"/>
      <c r="E33" s="42" t="str">
        <f aca="false">IF(OR(A33="",B33=""),"",DATE(YEAR(B33),MONTH(B33),1))</f>
        <v/>
      </c>
      <c r="F33" s="36" t="n">
        <f aca="false">IF(OR(E33="",D33=""),0,IF(C33="Actual",D33,IF(COUNTIFS($A$2:$A$2001,A33,$E$2:$E$2001,E33,$C$2:$C$2001,"Actual")&gt;0,0,D33)))</f>
        <v>0</v>
      </c>
    </row>
    <row r="34" customFormat="false" ht="15" hidden="false" customHeight="false" outlineLevel="0" collapsed="false">
      <c r="A34" s="32"/>
      <c r="B34" s="35"/>
      <c r="C34" s="32"/>
      <c r="D34" s="34"/>
      <c r="E34" s="42" t="str">
        <f aca="false">IF(OR(A34="",B34=""),"",DATE(YEAR(B34),MONTH(B34),1))</f>
        <v/>
      </c>
      <c r="F34" s="36" t="n">
        <f aca="false">IF(OR(E34="",D34=""),0,IF(C34="Actual",D34,IF(COUNTIFS($A$2:$A$2001,A34,$E$2:$E$2001,E34,$C$2:$C$2001,"Actual")&gt;0,0,D34)))</f>
        <v>0</v>
      </c>
    </row>
    <row r="35" customFormat="false" ht="15" hidden="false" customHeight="false" outlineLevel="0" collapsed="false">
      <c r="A35" s="32"/>
      <c r="B35" s="35"/>
      <c r="C35" s="32"/>
      <c r="D35" s="34"/>
      <c r="E35" s="42" t="str">
        <f aca="false">IF(OR(A35="",B35=""),"",DATE(YEAR(B35),MONTH(B35),1))</f>
        <v/>
      </c>
      <c r="F35" s="36" t="n">
        <f aca="false">IF(OR(E35="",D35=""),0,IF(C35="Actual",D35,IF(COUNTIFS($A$2:$A$2001,A35,$E$2:$E$2001,E35,$C$2:$C$2001,"Actual")&gt;0,0,D35)))</f>
        <v>0</v>
      </c>
    </row>
    <row r="36" customFormat="false" ht="15" hidden="false" customHeight="false" outlineLevel="0" collapsed="false">
      <c r="A36" s="32"/>
      <c r="B36" s="35"/>
      <c r="C36" s="32"/>
      <c r="D36" s="34"/>
      <c r="E36" s="42" t="str">
        <f aca="false">IF(OR(A36="",B36=""),"",DATE(YEAR(B36),MONTH(B36),1))</f>
        <v/>
      </c>
      <c r="F36" s="36" t="n">
        <f aca="false">IF(OR(E36="",D36=""),0,IF(C36="Actual",D36,IF(COUNTIFS($A$2:$A$2001,A36,$E$2:$E$2001,E36,$C$2:$C$2001,"Actual")&gt;0,0,D36)))</f>
        <v>0</v>
      </c>
    </row>
    <row r="37" customFormat="false" ht="15" hidden="false" customHeight="false" outlineLevel="0" collapsed="false">
      <c r="A37" s="32"/>
      <c r="B37" s="35"/>
      <c r="C37" s="32"/>
      <c r="D37" s="34"/>
      <c r="E37" s="42" t="str">
        <f aca="false">IF(OR(A37="",B37=""),"",DATE(YEAR(B37),MONTH(B37),1))</f>
        <v/>
      </c>
      <c r="F37" s="36" t="n">
        <f aca="false">IF(OR(E37="",D37=""),0,IF(C37="Actual",D37,IF(COUNTIFS($A$2:$A$2001,A37,$E$2:$E$2001,E37,$C$2:$C$2001,"Actual")&gt;0,0,D37)))</f>
        <v>0</v>
      </c>
    </row>
    <row r="38" customFormat="false" ht="15" hidden="false" customHeight="false" outlineLevel="0" collapsed="false">
      <c r="A38" s="32"/>
      <c r="B38" s="35"/>
      <c r="C38" s="32"/>
      <c r="D38" s="34"/>
      <c r="E38" s="42" t="str">
        <f aca="false">IF(OR(A38="",B38=""),"",DATE(YEAR(B38),MONTH(B38),1))</f>
        <v/>
      </c>
      <c r="F38" s="36" t="n">
        <f aca="false">IF(OR(E38="",D38=""),0,IF(C38="Actual",D38,IF(COUNTIFS($A$2:$A$2001,A38,$E$2:$E$2001,E38,$C$2:$C$2001,"Actual")&gt;0,0,D38)))</f>
        <v>0</v>
      </c>
    </row>
    <row r="39" customFormat="false" ht="15" hidden="false" customHeight="false" outlineLevel="0" collapsed="false">
      <c r="A39" s="32"/>
      <c r="B39" s="35"/>
      <c r="C39" s="32"/>
      <c r="D39" s="34"/>
      <c r="E39" s="42" t="str">
        <f aca="false">IF(OR(A39="",B39=""),"",DATE(YEAR(B39),MONTH(B39),1))</f>
        <v/>
      </c>
      <c r="F39" s="36" t="n">
        <f aca="false">IF(OR(E39="",D39=""),0,IF(C39="Actual",D39,IF(COUNTIFS($A$2:$A$2001,A39,$E$2:$E$2001,E39,$C$2:$C$2001,"Actual")&gt;0,0,D39)))</f>
        <v>0</v>
      </c>
    </row>
    <row r="40" customFormat="false" ht="15" hidden="false" customHeight="false" outlineLevel="0" collapsed="false">
      <c r="A40" s="32"/>
      <c r="B40" s="35"/>
      <c r="C40" s="32"/>
      <c r="D40" s="34"/>
      <c r="E40" s="42" t="str">
        <f aca="false">IF(OR(A40="",B40=""),"",DATE(YEAR(B40),MONTH(B40),1))</f>
        <v/>
      </c>
      <c r="F40" s="36" t="n">
        <f aca="false">IF(OR(E40="",D40=""),0,IF(C40="Actual",D40,IF(COUNTIFS($A$2:$A$2001,A40,$E$2:$E$2001,E40,$C$2:$C$2001,"Actual")&gt;0,0,D40)))</f>
        <v>0</v>
      </c>
    </row>
    <row r="41" customFormat="false" ht="15" hidden="false" customHeight="false" outlineLevel="0" collapsed="false">
      <c r="A41" s="32"/>
      <c r="B41" s="35"/>
      <c r="C41" s="32"/>
      <c r="D41" s="34"/>
      <c r="E41" s="42" t="str">
        <f aca="false">IF(OR(A41="",B41=""),"",DATE(YEAR(B41),MONTH(B41),1))</f>
        <v/>
      </c>
      <c r="F41" s="36" t="n">
        <f aca="false">IF(OR(E41="",D41=""),0,IF(C41="Actual",D41,IF(COUNTIFS($A$2:$A$2001,A41,$E$2:$E$2001,E41,$C$2:$C$2001,"Actual")&gt;0,0,D41)))</f>
        <v>0</v>
      </c>
    </row>
    <row r="42" customFormat="false" ht="15" hidden="false" customHeight="false" outlineLevel="0" collapsed="false">
      <c r="A42" s="32"/>
      <c r="B42" s="35"/>
      <c r="C42" s="32"/>
      <c r="D42" s="34"/>
      <c r="E42" s="42" t="str">
        <f aca="false">IF(OR(A42="",B42=""),"",DATE(YEAR(B42),MONTH(B42),1))</f>
        <v/>
      </c>
      <c r="F42" s="36" t="n">
        <f aca="false">IF(OR(E42="",D42=""),0,IF(C42="Actual",D42,IF(COUNTIFS($A$2:$A$2001,A42,$E$2:$E$2001,E42,$C$2:$C$2001,"Actual")&gt;0,0,D42)))</f>
        <v>0</v>
      </c>
    </row>
    <row r="43" customFormat="false" ht="15" hidden="false" customHeight="false" outlineLevel="0" collapsed="false">
      <c r="A43" s="32"/>
      <c r="B43" s="35"/>
      <c r="C43" s="32"/>
      <c r="D43" s="34"/>
      <c r="E43" s="42" t="str">
        <f aca="false">IF(OR(A43="",B43=""),"",DATE(YEAR(B43),MONTH(B43),1))</f>
        <v/>
      </c>
      <c r="F43" s="36" t="n">
        <f aca="false">IF(OR(E43="",D43=""),0,IF(C43="Actual",D43,IF(COUNTIFS($A$2:$A$2001,A43,$E$2:$E$2001,E43,$C$2:$C$2001,"Actual")&gt;0,0,D43)))</f>
        <v>0</v>
      </c>
    </row>
    <row r="44" customFormat="false" ht="15" hidden="false" customHeight="false" outlineLevel="0" collapsed="false">
      <c r="A44" s="32"/>
      <c r="B44" s="35"/>
      <c r="C44" s="32"/>
      <c r="D44" s="34"/>
      <c r="E44" s="42" t="str">
        <f aca="false">IF(OR(A44="",B44=""),"",DATE(YEAR(B44),MONTH(B44),1))</f>
        <v/>
      </c>
      <c r="F44" s="36" t="n">
        <f aca="false">IF(OR(E44="",D44=""),0,IF(C44="Actual",D44,IF(COUNTIFS($A$2:$A$2001,A44,$E$2:$E$2001,E44,$C$2:$C$2001,"Actual")&gt;0,0,D44)))</f>
        <v>0</v>
      </c>
    </row>
    <row r="45" customFormat="false" ht="15" hidden="false" customHeight="false" outlineLevel="0" collapsed="false">
      <c r="A45" s="32"/>
      <c r="B45" s="35"/>
      <c r="C45" s="32"/>
      <c r="D45" s="34"/>
      <c r="E45" s="42" t="str">
        <f aca="false">IF(OR(A45="",B45=""),"",DATE(YEAR(B45),MONTH(B45),1))</f>
        <v/>
      </c>
      <c r="F45" s="36" t="n">
        <f aca="false">IF(OR(E45="",D45=""),0,IF(C45="Actual",D45,IF(COUNTIFS($A$2:$A$2001,A45,$E$2:$E$2001,E45,$C$2:$C$2001,"Actual")&gt;0,0,D45)))</f>
        <v>0</v>
      </c>
    </row>
    <row r="46" customFormat="false" ht="15" hidden="false" customHeight="false" outlineLevel="0" collapsed="false">
      <c r="A46" s="32"/>
      <c r="B46" s="35"/>
      <c r="C46" s="32"/>
      <c r="D46" s="34"/>
      <c r="E46" s="42" t="str">
        <f aca="false">IF(OR(A46="",B46=""),"",DATE(YEAR(B46),MONTH(B46),1))</f>
        <v/>
      </c>
      <c r="F46" s="36" t="n">
        <f aca="false">IF(OR(E46="",D46=""),0,IF(C46="Actual",D46,IF(COUNTIFS($A$2:$A$2001,A46,$E$2:$E$2001,E46,$C$2:$C$2001,"Actual")&gt;0,0,D46)))</f>
        <v>0</v>
      </c>
    </row>
    <row r="47" customFormat="false" ht="15" hidden="false" customHeight="false" outlineLevel="0" collapsed="false">
      <c r="A47" s="32"/>
      <c r="B47" s="35"/>
      <c r="C47" s="32"/>
      <c r="D47" s="34"/>
      <c r="E47" s="42" t="str">
        <f aca="false">IF(OR(A47="",B47=""),"",DATE(YEAR(B47),MONTH(B47),1))</f>
        <v/>
      </c>
      <c r="F47" s="36" t="n">
        <f aca="false">IF(OR(E47="",D47=""),0,IF(C47="Actual",D47,IF(COUNTIFS($A$2:$A$2001,A47,$E$2:$E$2001,E47,$C$2:$C$2001,"Actual")&gt;0,0,D47)))</f>
        <v>0</v>
      </c>
    </row>
    <row r="48" customFormat="false" ht="15" hidden="false" customHeight="false" outlineLevel="0" collapsed="false">
      <c r="A48" s="32"/>
      <c r="B48" s="35"/>
      <c r="C48" s="32"/>
      <c r="D48" s="34"/>
      <c r="E48" s="42" t="str">
        <f aca="false">IF(OR(A48="",B48=""),"",DATE(YEAR(B48),MONTH(B48),1))</f>
        <v/>
      </c>
      <c r="F48" s="36" t="n">
        <f aca="false">IF(OR(E48="",D48=""),0,IF(C48="Actual",D48,IF(COUNTIFS($A$2:$A$2001,A48,$E$2:$E$2001,E48,$C$2:$C$2001,"Actual")&gt;0,0,D48)))</f>
        <v>0</v>
      </c>
    </row>
    <row r="49" customFormat="false" ht="15" hidden="false" customHeight="false" outlineLevel="0" collapsed="false">
      <c r="A49" s="32"/>
      <c r="B49" s="35"/>
      <c r="C49" s="32"/>
      <c r="D49" s="34"/>
      <c r="E49" s="42" t="str">
        <f aca="false">IF(OR(A49="",B49=""),"",DATE(YEAR(B49),MONTH(B49),1))</f>
        <v/>
      </c>
      <c r="F49" s="36" t="n">
        <f aca="false">IF(OR(E49="",D49=""),0,IF(C49="Actual",D49,IF(COUNTIFS($A$2:$A$2001,A49,$E$2:$E$2001,E49,$C$2:$C$2001,"Actual")&gt;0,0,D49)))</f>
        <v>0</v>
      </c>
    </row>
    <row r="50" customFormat="false" ht="15" hidden="false" customHeight="false" outlineLevel="0" collapsed="false">
      <c r="A50" s="32"/>
      <c r="B50" s="35"/>
      <c r="C50" s="32"/>
      <c r="D50" s="34"/>
      <c r="E50" s="42" t="str">
        <f aca="false">IF(OR(A50="",B50=""),"",DATE(YEAR(B50),MONTH(B50),1))</f>
        <v/>
      </c>
      <c r="F50" s="36" t="n">
        <f aca="false">IF(OR(E50="",D50=""),0,IF(C50="Actual",D50,IF(COUNTIFS($A$2:$A$2001,A50,$E$2:$E$2001,E50,$C$2:$C$2001,"Actual")&gt;0,0,D50)))</f>
        <v>0</v>
      </c>
    </row>
    <row r="51" customFormat="false" ht="15" hidden="false" customHeight="false" outlineLevel="0" collapsed="false">
      <c r="A51" s="32"/>
      <c r="B51" s="35"/>
      <c r="C51" s="32"/>
      <c r="D51" s="34"/>
      <c r="E51" s="42" t="str">
        <f aca="false">IF(OR(A51="",B51=""),"",DATE(YEAR(B51),MONTH(B51),1))</f>
        <v/>
      </c>
      <c r="F51" s="36" t="n">
        <f aca="false">IF(OR(E51="",D51=""),0,IF(C51="Actual",D51,IF(COUNTIFS($A$2:$A$2001,A51,$E$2:$E$2001,E51,$C$2:$C$2001,"Actual")&gt;0,0,D51)))</f>
        <v>0</v>
      </c>
    </row>
    <row r="52" customFormat="false" ht="15" hidden="false" customHeight="false" outlineLevel="0" collapsed="false">
      <c r="A52" s="32"/>
      <c r="B52" s="35"/>
      <c r="C52" s="32"/>
      <c r="D52" s="34"/>
      <c r="E52" s="42" t="str">
        <f aca="false">IF(OR(A52="",B52=""),"",DATE(YEAR(B52),MONTH(B52),1))</f>
        <v/>
      </c>
      <c r="F52" s="36" t="n">
        <f aca="false">IF(OR(E52="",D52=""),0,IF(C52="Actual",D52,IF(COUNTIFS($A$2:$A$2001,A52,$E$2:$E$2001,E52,$C$2:$C$2001,"Actual")&gt;0,0,D52)))</f>
        <v>0</v>
      </c>
    </row>
    <row r="53" customFormat="false" ht="15" hidden="false" customHeight="false" outlineLevel="0" collapsed="false">
      <c r="A53" s="32"/>
      <c r="B53" s="35"/>
      <c r="C53" s="32"/>
      <c r="D53" s="34"/>
      <c r="E53" s="42" t="str">
        <f aca="false">IF(OR(A53="",B53=""),"",DATE(YEAR(B53),MONTH(B53),1))</f>
        <v/>
      </c>
      <c r="F53" s="36" t="n">
        <f aca="false">IF(OR(E53="",D53=""),0,IF(C53="Actual",D53,IF(COUNTIFS($A$2:$A$2001,A53,$E$2:$E$2001,E53,$C$2:$C$2001,"Actual")&gt;0,0,D53)))</f>
        <v>0</v>
      </c>
    </row>
    <row r="54" customFormat="false" ht="15" hidden="false" customHeight="false" outlineLevel="0" collapsed="false">
      <c r="A54" s="32"/>
      <c r="B54" s="35"/>
      <c r="C54" s="32"/>
      <c r="D54" s="34"/>
      <c r="E54" s="42" t="str">
        <f aca="false">IF(OR(A54="",B54=""),"",DATE(YEAR(B54),MONTH(B54),1))</f>
        <v/>
      </c>
      <c r="F54" s="36" t="n">
        <f aca="false">IF(OR(E54="",D54=""),0,IF(C54="Actual",D54,IF(COUNTIFS($A$2:$A$2001,A54,$E$2:$E$2001,E54,$C$2:$C$2001,"Actual")&gt;0,0,D54)))</f>
        <v>0</v>
      </c>
    </row>
    <row r="55" customFormat="false" ht="15" hidden="false" customHeight="false" outlineLevel="0" collapsed="false">
      <c r="A55" s="32"/>
      <c r="B55" s="35"/>
      <c r="C55" s="32"/>
      <c r="D55" s="34"/>
      <c r="E55" s="42" t="str">
        <f aca="false">IF(OR(A55="",B55=""),"",DATE(YEAR(B55),MONTH(B55),1))</f>
        <v/>
      </c>
      <c r="F55" s="36" t="n">
        <f aca="false">IF(OR(E55="",D55=""),0,IF(C55="Actual",D55,IF(COUNTIFS($A$2:$A$2001,A55,$E$2:$E$2001,E55,$C$2:$C$2001,"Actual")&gt;0,0,D55)))</f>
        <v>0</v>
      </c>
    </row>
    <row r="56" customFormat="false" ht="15" hidden="false" customHeight="false" outlineLevel="0" collapsed="false">
      <c r="A56" s="32"/>
      <c r="B56" s="35"/>
      <c r="C56" s="32"/>
      <c r="D56" s="34"/>
      <c r="E56" s="42" t="str">
        <f aca="false">IF(OR(A56="",B56=""),"",DATE(YEAR(B56),MONTH(B56),1))</f>
        <v/>
      </c>
      <c r="F56" s="36" t="n">
        <f aca="false">IF(OR(E56="",D56=""),0,IF(C56="Actual",D56,IF(COUNTIFS($A$2:$A$2001,A56,$E$2:$E$2001,E56,$C$2:$C$2001,"Actual")&gt;0,0,D56)))</f>
        <v>0</v>
      </c>
    </row>
    <row r="57" customFormat="false" ht="15" hidden="false" customHeight="false" outlineLevel="0" collapsed="false">
      <c r="A57" s="32"/>
      <c r="B57" s="35"/>
      <c r="C57" s="32"/>
      <c r="D57" s="34"/>
      <c r="E57" s="42" t="str">
        <f aca="false">IF(OR(A57="",B57=""),"",DATE(YEAR(B57),MONTH(B57),1))</f>
        <v/>
      </c>
      <c r="F57" s="36" t="n">
        <f aca="false">IF(OR(E57="",D57=""),0,IF(C57="Actual",D57,IF(COUNTIFS($A$2:$A$2001,A57,$E$2:$E$2001,E57,$C$2:$C$2001,"Actual")&gt;0,0,D57)))</f>
        <v>0</v>
      </c>
    </row>
    <row r="58" customFormat="false" ht="15" hidden="false" customHeight="false" outlineLevel="0" collapsed="false">
      <c r="A58" s="32"/>
      <c r="B58" s="35"/>
      <c r="C58" s="32"/>
      <c r="D58" s="34"/>
      <c r="E58" s="42" t="str">
        <f aca="false">IF(OR(A58="",B58=""),"",DATE(YEAR(B58),MONTH(B58),1))</f>
        <v/>
      </c>
      <c r="F58" s="36" t="n">
        <f aca="false">IF(OR(E58="",D58=""),0,IF(C58="Actual",D58,IF(COUNTIFS($A$2:$A$2001,A58,$E$2:$E$2001,E58,$C$2:$C$2001,"Actual")&gt;0,0,D58)))</f>
        <v>0</v>
      </c>
    </row>
    <row r="59" customFormat="false" ht="15" hidden="false" customHeight="false" outlineLevel="0" collapsed="false">
      <c r="A59" s="32"/>
      <c r="B59" s="35"/>
      <c r="C59" s="32"/>
      <c r="D59" s="34"/>
      <c r="E59" s="42" t="str">
        <f aca="false">IF(OR(A59="",B59=""),"",DATE(YEAR(B59),MONTH(B59),1))</f>
        <v/>
      </c>
      <c r="F59" s="36" t="n">
        <f aca="false">IF(OR(E59="",D59=""),0,IF(C59="Actual",D59,IF(COUNTIFS($A$2:$A$2001,A59,$E$2:$E$2001,E59,$C$2:$C$2001,"Actual")&gt;0,0,D59)))</f>
        <v>0</v>
      </c>
    </row>
    <row r="60" customFormat="false" ht="15" hidden="false" customHeight="false" outlineLevel="0" collapsed="false">
      <c r="A60" s="32"/>
      <c r="B60" s="35"/>
      <c r="C60" s="32"/>
      <c r="D60" s="34"/>
      <c r="E60" s="42" t="str">
        <f aca="false">IF(OR(A60="",B60=""),"",DATE(YEAR(B60),MONTH(B60),1))</f>
        <v/>
      </c>
      <c r="F60" s="36" t="n">
        <f aca="false">IF(OR(E60="",D60=""),0,IF(C60="Actual",D60,IF(COUNTIFS($A$2:$A$2001,A60,$E$2:$E$2001,E60,$C$2:$C$2001,"Actual")&gt;0,0,D60)))</f>
        <v>0</v>
      </c>
    </row>
    <row r="61" customFormat="false" ht="15" hidden="false" customHeight="false" outlineLevel="0" collapsed="false">
      <c r="A61" s="32"/>
      <c r="B61" s="35"/>
      <c r="C61" s="32"/>
      <c r="D61" s="34"/>
      <c r="E61" s="42" t="str">
        <f aca="false">IF(OR(A61="",B61=""),"",DATE(YEAR(B61),MONTH(B61),1))</f>
        <v/>
      </c>
      <c r="F61" s="36" t="n">
        <f aca="false">IF(OR(E61="",D61=""),0,IF(C61="Actual",D61,IF(COUNTIFS($A$2:$A$2001,A61,$E$2:$E$2001,E61,$C$2:$C$2001,"Actual")&gt;0,0,D61)))</f>
        <v>0</v>
      </c>
    </row>
    <row r="62" customFormat="false" ht="15" hidden="false" customHeight="false" outlineLevel="0" collapsed="false">
      <c r="A62" s="32"/>
      <c r="B62" s="35"/>
      <c r="C62" s="32"/>
      <c r="D62" s="34"/>
      <c r="E62" s="42" t="str">
        <f aca="false">IF(OR(A62="",B62=""),"",DATE(YEAR(B62),MONTH(B62),1))</f>
        <v/>
      </c>
      <c r="F62" s="36" t="n">
        <f aca="false">IF(OR(E62="",D62=""),0,IF(C62="Actual",D62,IF(COUNTIFS($A$2:$A$2001,A62,$E$2:$E$2001,E62,$C$2:$C$2001,"Actual")&gt;0,0,D62)))</f>
        <v>0</v>
      </c>
    </row>
    <row r="63" customFormat="false" ht="15" hidden="false" customHeight="false" outlineLevel="0" collapsed="false">
      <c r="A63" s="32"/>
      <c r="B63" s="35"/>
      <c r="C63" s="32"/>
      <c r="D63" s="34"/>
      <c r="E63" s="42" t="str">
        <f aca="false">IF(OR(A63="",B63=""),"",DATE(YEAR(B63),MONTH(B63),1))</f>
        <v/>
      </c>
      <c r="F63" s="36" t="n">
        <f aca="false">IF(OR(E63="",D63=""),0,IF(C63="Actual",D63,IF(COUNTIFS($A$2:$A$2001,A63,$E$2:$E$2001,E63,$C$2:$C$2001,"Actual")&gt;0,0,D63)))</f>
        <v>0</v>
      </c>
    </row>
    <row r="64" customFormat="false" ht="15" hidden="false" customHeight="false" outlineLevel="0" collapsed="false">
      <c r="A64" s="32"/>
      <c r="B64" s="35"/>
      <c r="C64" s="32"/>
      <c r="D64" s="34"/>
      <c r="E64" s="42" t="str">
        <f aca="false">IF(OR(A64="",B64=""),"",DATE(YEAR(B64),MONTH(B64),1))</f>
        <v/>
      </c>
      <c r="F64" s="36" t="n">
        <f aca="false">IF(OR(E64="",D64=""),0,IF(C64="Actual",D64,IF(COUNTIFS($A$2:$A$2001,A64,$E$2:$E$2001,E64,$C$2:$C$2001,"Actual")&gt;0,0,D64)))</f>
        <v>0</v>
      </c>
    </row>
    <row r="65" customFormat="false" ht="15" hidden="false" customHeight="false" outlineLevel="0" collapsed="false">
      <c r="A65" s="32"/>
      <c r="B65" s="35"/>
      <c r="C65" s="32"/>
      <c r="D65" s="34"/>
      <c r="E65" s="42" t="str">
        <f aca="false">IF(OR(A65="",B65=""),"",DATE(YEAR(B65),MONTH(B65),1))</f>
        <v/>
      </c>
      <c r="F65" s="36" t="n">
        <f aca="false">IF(OR(E65="",D65=""),0,IF(C65="Actual",D65,IF(COUNTIFS($A$2:$A$2001,A65,$E$2:$E$2001,E65,$C$2:$C$2001,"Actual")&gt;0,0,D65)))</f>
        <v>0</v>
      </c>
    </row>
    <row r="66" customFormat="false" ht="15" hidden="false" customHeight="false" outlineLevel="0" collapsed="false">
      <c r="A66" s="32"/>
      <c r="B66" s="35"/>
      <c r="C66" s="32"/>
      <c r="D66" s="34"/>
      <c r="E66" s="42" t="str">
        <f aca="false">IF(OR(A66="",B66=""),"",DATE(YEAR(B66),MONTH(B66),1))</f>
        <v/>
      </c>
      <c r="F66" s="36" t="n">
        <f aca="false">IF(OR(E66="",D66=""),0,IF(C66="Actual",D66,IF(COUNTIFS($A$2:$A$2001,A66,$E$2:$E$2001,E66,$C$2:$C$2001,"Actual")&gt;0,0,D66)))</f>
        <v>0</v>
      </c>
    </row>
    <row r="67" customFormat="false" ht="15" hidden="false" customHeight="false" outlineLevel="0" collapsed="false">
      <c r="A67" s="32"/>
      <c r="B67" s="35"/>
      <c r="C67" s="32"/>
      <c r="D67" s="34"/>
      <c r="E67" s="42" t="str">
        <f aca="false">IF(OR(A67="",B67=""),"",DATE(YEAR(B67),MONTH(B67),1))</f>
        <v/>
      </c>
      <c r="F67" s="36" t="n">
        <f aca="false">IF(OR(E67="",D67=""),0,IF(C67="Actual",D67,IF(COUNTIFS($A$2:$A$2001,A67,$E$2:$E$2001,E67,$C$2:$C$2001,"Actual")&gt;0,0,D67)))</f>
        <v>0</v>
      </c>
    </row>
    <row r="68" customFormat="false" ht="15" hidden="false" customHeight="false" outlineLevel="0" collapsed="false">
      <c r="A68" s="32"/>
      <c r="B68" s="35"/>
      <c r="C68" s="32"/>
      <c r="D68" s="34"/>
      <c r="E68" s="42" t="str">
        <f aca="false">IF(OR(A68="",B68=""),"",DATE(YEAR(B68),MONTH(B68),1))</f>
        <v/>
      </c>
      <c r="F68" s="36" t="n">
        <f aca="false">IF(OR(E68="",D68=""),0,IF(C68="Actual",D68,IF(COUNTIFS($A$2:$A$2001,A68,$E$2:$E$2001,E68,$C$2:$C$2001,"Actual")&gt;0,0,D68)))</f>
        <v>0</v>
      </c>
    </row>
    <row r="69" customFormat="false" ht="15" hidden="false" customHeight="false" outlineLevel="0" collapsed="false">
      <c r="A69" s="32"/>
      <c r="B69" s="35"/>
      <c r="C69" s="32"/>
      <c r="D69" s="34"/>
      <c r="E69" s="42" t="str">
        <f aca="false">IF(OR(A69="",B69=""),"",DATE(YEAR(B69),MONTH(B69),1))</f>
        <v/>
      </c>
      <c r="F69" s="36" t="n">
        <f aca="false">IF(OR(E69="",D69=""),0,IF(C69="Actual",D69,IF(COUNTIFS($A$2:$A$2001,A69,$E$2:$E$2001,E69,$C$2:$C$2001,"Actual")&gt;0,0,D69)))</f>
        <v>0</v>
      </c>
    </row>
    <row r="70" customFormat="false" ht="15" hidden="false" customHeight="false" outlineLevel="0" collapsed="false">
      <c r="A70" s="32"/>
      <c r="B70" s="35"/>
      <c r="C70" s="32"/>
      <c r="D70" s="34"/>
      <c r="E70" s="42" t="str">
        <f aca="false">IF(OR(A70="",B70=""),"",DATE(YEAR(B70),MONTH(B70),1))</f>
        <v/>
      </c>
      <c r="F70" s="36" t="n">
        <f aca="false">IF(OR(E70="",D70=""),0,IF(C70="Actual",D70,IF(COUNTIFS($A$2:$A$2001,A70,$E$2:$E$2001,E70,$C$2:$C$2001,"Actual")&gt;0,0,D70)))</f>
        <v>0</v>
      </c>
    </row>
    <row r="71" customFormat="false" ht="15" hidden="false" customHeight="false" outlineLevel="0" collapsed="false">
      <c r="A71" s="32"/>
      <c r="B71" s="35"/>
      <c r="C71" s="32"/>
      <c r="D71" s="34"/>
      <c r="E71" s="42" t="str">
        <f aca="false">IF(OR(A71="",B71=""),"",DATE(YEAR(B71),MONTH(B71),1))</f>
        <v/>
      </c>
      <c r="F71" s="36" t="n">
        <f aca="false">IF(OR(E71="",D71=""),0,IF(C71="Actual",D71,IF(COUNTIFS($A$2:$A$2001,A71,$E$2:$E$2001,E71,$C$2:$C$2001,"Actual")&gt;0,0,D71)))</f>
        <v>0</v>
      </c>
    </row>
    <row r="72" customFormat="false" ht="15" hidden="false" customHeight="false" outlineLevel="0" collapsed="false">
      <c r="A72" s="32"/>
      <c r="B72" s="35"/>
      <c r="C72" s="32"/>
      <c r="D72" s="34"/>
      <c r="E72" s="42" t="str">
        <f aca="false">IF(OR(A72="",B72=""),"",DATE(YEAR(B72),MONTH(B72),1))</f>
        <v/>
      </c>
      <c r="F72" s="36" t="n">
        <f aca="false">IF(OR(E72="",D72=""),0,IF(C72="Actual",D72,IF(COUNTIFS($A$2:$A$2001,A72,$E$2:$E$2001,E72,$C$2:$C$2001,"Actual")&gt;0,0,D72)))</f>
        <v>0</v>
      </c>
    </row>
    <row r="73" customFormat="false" ht="15" hidden="false" customHeight="false" outlineLevel="0" collapsed="false">
      <c r="A73" s="32"/>
      <c r="B73" s="35"/>
      <c r="C73" s="32"/>
      <c r="D73" s="34"/>
      <c r="E73" s="42" t="str">
        <f aca="false">IF(OR(A73="",B73=""),"",DATE(YEAR(B73),MONTH(B73),1))</f>
        <v/>
      </c>
      <c r="F73" s="36" t="n">
        <f aca="false">IF(OR(E73="",D73=""),0,IF(C73="Actual",D73,IF(COUNTIFS($A$2:$A$2001,A73,$E$2:$E$2001,E73,$C$2:$C$2001,"Actual")&gt;0,0,D73)))</f>
        <v>0</v>
      </c>
    </row>
    <row r="74" customFormat="false" ht="15" hidden="false" customHeight="false" outlineLevel="0" collapsed="false">
      <c r="A74" s="32"/>
      <c r="B74" s="35"/>
      <c r="C74" s="32"/>
      <c r="D74" s="34"/>
      <c r="E74" s="42" t="str">
        <f aca="false">IF(OR(A74="",B74=""),"",DATE(YEAR(B74),MONTH(B74),1))</f>
        <v/>
      </c>
      <c r="F74" s="36" t="n">
        <f aca="false">IF(OR(E74="",D74=""),0,IF(C74="Actual",D74,IF(COUNTIFS($A$2:$A$2001,A74,$E$2:$E$2001,E74,$C$2:$C$2001,"Actual")&gt;0,0,D74)))</f>
        <v>0</v>
      </c>
    </row>
    <row r="75" customFormat="false" ht="15" hidden="false" customHeight="false" outlineLevel="0" collapsed="false">
      <c r="A75" s="32"/>
      <c r="B75" s="35"/>
      <c r="C75" s="32"/>
      <c r="D75" s="34"/>
      <c r="E75" s="42" t="str">
        <f aca="false">IF(OR(A75="",B75=""),"",DATE(YEAR(B75),MONTH(B75),1))</f>
        <v/>
      </c>
      <c r="F75" s="36" t="n">
        <f aca="false">IF(OR(E75="",D75=""),0,IF(C75="Actual",D75,IF(COUNTIFS($A$2:$A$2001,A75,$E$2:$E$2001,E75,$C$2:$C$2001,"Actual")&gt;0,0,D75)))</f>
        <v>0</v>
      </c>
    </row>
    <row r="76" customFormat="false" ht="15" hidden="false" customHeight="false" outlineLevel="0" collapsed="false">
      <c r="A76" s="32"/>
      <c r="B76" s="35"/>
      <c r="C76" s="32"/>
      <c r="D76" s="34"/>
      <c r="E76" s="42" t="str">
        <f aca="false">IF(OR(A76="",B76=""),"",DATE(YEAR(B76),MONTH(B76),1))</f>
        <v/>
      </c>
      <c r="F76" s="36" t="n">
        <f aca="false">IF(OR(E76="",D76=""),0,IF(C76="Actual",D76,IF(COUNTIFS($A$2:$A$2001,A76,$E$2:$E$2001,E76,$C$2:$C$2001,"Actual")&gt;0,0,D76)))</f>
        <v>0</v>
      </c>
    </row>
    <row r="77" customFormat="false" ht="15" hidden="false" customHeight="false" outlineLevel="0" collapsed="false">
      <c r="A77" s="32"/>
      <c r="B77" s="35"/>
      <c r="C77" s="32"/>
      <c r="D77" s="34"/>
      <c r="E77" s="42" t="str">
        <f aca="false">IF(OR(A77="",B77=""),"",DATE(YEAR(B77),MONTH(B77),1))</f>
        <v/>
      </c>
      <c r="F77" s="36" t="n">
        <f aca="false">IF(OR(E77="",D77=""),0,IF(C77="Actual",D77,IF(COUNTIFS($A$2:$A$2001,A77,$E$2:$E$2001,E77,$C$2:$C$2001,"Actual")&gt;0,0,D77)))</f>
        <v>0</v>
      </c>
    </row>
    <row r="78" customFormat="false" ht="15" hidden="false" customHeight="false" outlineLevel="0" collapsed="false">
      <c r="A78" s="32"/>
      <c r="B78" s="35"/>
      <c r="C78" s="32"/>
      <c r="D78" s="34"/>
      <c r="E78" s="42" t="str">
        <f aca="false">IF(OR(A78="",B78=""),"",DATE(YEAR(B78),MONTH(B78),1))</f>
        <v/>
      </c>
      <c r="F78" s="36" t="n">
        <f aca="false">IF(OR(E78="",D78=""),0,IF(C78="Actual",D78,IF(COUNTIFS($A$2:$A$2001,A78,$E$2:$E$2001,E78,$C$2:$C$2001,"Actual")&gt;0,0,D78)))</f>
        <v>0</v>
      </c>
    </row>
    <row r="79" customFormat="false" ht="15" hidden="false" customHeight="false" outlineLevel="0" collapsed="false">
      <c r="A79" s="32"/>
      <c r="B79" s="35"/>
      <c r="C79" s="32"/>
      <c r="D79" s="34"/>
      <c r="E79" s="42" t="str">
        <f aca="false">IF(OR(A79="",B79=""),"",DATE(YEAR(B79),MONTH(B79),1))</f>
        <v/>
      </c>
      <c r="F79" s="36" t="n">
        <f aca="false">IF(OR(E79="",D79=""),0,IF(C79="Actual",D79,IF(COUNTIFS($A$2:$A$2001,A79,$E$2:$E$2001,E79,$C$2:$C$2001,"Actual")&gt;0,0,D79)))</f>
        <v>0</v>
      </c>
    </row>
    <row r="80" customFormat="false" ht="15" hidden="false" customHeight="false" outlineLevel="0" collapsed="false">
      <c r="A80" s="32"/>
      <c r="B80" s="35"/>
      <c r="C80" s="32"/>
      <c r="D80" s="34"/>
      <c r="E80" s="42" t="str">
        <f aca="false">IF(OR(A80="",B80=""),"",DATE(YEAR(B80),MONTH(B80),1))</f>
        <v/>
      </c>
      <c r="F80" s="36" t="n">
        <f aca="false">IF(OR(E80="",D80=""),0,IF(C80="Actual",D80,IF(COUNTIFS($A$2:$A$2001,A80,$E$2:$E$2001,E80,$C$2:$C$2001,"Actual")&gt;0,0,D80)))</f>
        <v>0</v>
      </c>
    </row>
    <row r="81" customFormat="false" ht="15" hidden="false" customHeight="false" outlineLevel="0" collapsed="false">
      <c r="A81" s="32"/>
      <c r="B81" s="35"/>
      <c r="C81" s="32"/>
      <c r="D81" s="34"/>
      <c r="E81" s="42" t="str">
        <f aca="false">IF(OR(A81="",B81=""),"",DATE(YEAR(B81),MONTH(B81),1))</f>
        <v/>
      </c>
      <c r="F81" s="36" t="n">
        <f aca="false">IF(OR(E81="",D81=""),0,IF(C81="Actual",D81,IF(COUNTIFS($A$2:$A$2001,A81,$E$2:$E$2001,E81,$C$2:$C$2001,"Actual")&gt;0,0,D81)))</f>
        <v>0</v>
      </c>
    </row>
    <row r="82" customFormat="false" ht="15" hidden="false" customHeight="false" outlineLevel="0" collapsed="false">
      <c r="A82" s="32"/>
      <c r="B82" s="35"/>
      <c r="C82" s="32"/>
      <c r="D82" s="34"/>
      <c r="E82" s="42" t="str">
        <f aca="false">IF(OR(A82="",B82=""),"",DATE(YEAR(B82),MONTH(B82),1))</f>
        <v/>
      </c>
      <c r="F82" s="36" t="n">
        <f aca="false">IF(OR(E82="",D82=""),0,IF(C82="Actual",D82,IF(COUNTIFS($A$2:$A$2001,A82,$E$2:$E$2001,E82,$C$2:$C$2001,"Actual")&gt;0,0,D82)))</f>
        <v>0</v>
      </c>
    </row>
    <row r="83" customFormat="false" ht="15" hidden="false" customHeight="false" outlineLevel="0" collapsed="false">
      <c r="A83" s="32"/>
      <c r="B83" s="35"/>
      <c r="C83" s="32"/>
      <c r="D83" s="34"/>
      <c r="E83" s="42" t="str">
        <f aca="false">IF(OR(A83="",B83=""),"",DATE(YEAR(B83),MONTH(B83),1))</f>
        <v/>
      </c>
      <c r="F83" s="36" t="n">
        <f aca="false">IF(OR(E83="",D83=""),0,IF(C83="Actual",D83,IF(COUNTIFS($A$2:$A$2001,A83,$E$2:$E$2001,E83,$C$2:$C$2001,"Actual")&gt;0,0,D83)))</f>
        <v>0</v>
      </c>
    </row>
    <row r="84" customFormat="false" ht="15" hidden="false" customHeight="false" outlineLevel="0" collapsed="false">
      <c r="A84" s="32"/>
      <c r="B84" s="35"/>
      <c r="C84" s="32"/>
      <c r="D84" s="34"/>
      <c r="E84" s="42" t="str">
        <f aca="false">IF(OR(A84="",B84=""),"",DATE(YEAR(B84),MONTH(B84),1))</f>
        <v/>
      </c>
      <c r="F84" s="36" t="n">
        <f aca="false">IF(OR(E84="",D84=""),0,IF(C84="Actual",D84,IF(COUNTIFS($A$2:$A$2001,A84,$E$2:$E$2001,E84,$C$2:$C$2001,"Actual")&gt;0,0,D84)))</f>
        <v>0</v>
      </c>
    </row>
    <row r="85" customFormat="false" ht="15" hidden="false" customHeight="false" outlineLevel="0" collapsed="false">
      <c r="A85" s="32"/>
      <c r="B85" s="35"/>
      <c r="C85" s="32"/>
      <c r="D85" s="34"/>
      <c r="E85" s="42" t="str">
        <f aca="false">IF(OR(A85="",B85=""),"",DATE(YEAR(B85),MONTH(B85),1))</f>
        <v/>
      </c>
      <c r="F85" s="36" t="n">
        <f aca="false">IF(OR(E85="",D85=""),0,IF(C85="Actual",D85,IF(COUNTIFS($A$2:$A$2001,A85,$E$2:$E$2001,E85,$C$2:$C$2001,"Actual")&gt;0,0,D85)))</f>
        <v>0</v>
      </c>
    </row>
    <row r="86" customFormat="false" ht="15" hidden="false" customHeight="false" outlineLevel="0" collapsed="false">
      <c r="A86" s="32"/>
      <c r="B86" s="35"/>
      <c r="C86" s="32"/>
      <c r="D86" s="34"/>
      <c r="E86" s="42" t="str">
        <f aca="false">IF(OR(A86="",B86=""),"",DATE(YEAR(B86),MONTH(B86),1))</f>
        <v/>
      </c>
      <c r="F86" s="36" t="n">
        <f aca="false">IF(OR(E86="",D86=""),0,IF(C86="Actual",D86,IF(COUNTIFS($A$2:$A$2001,A86,$E$2:$E$2001,E86,$C$2:$C$2001,"Actual")&gt;0,0,D86)))</f>
        <v>0</v>
      </c>
    </row>
    <row r="87" customFormat="false" ht="15" hidden="false" customHeight="false" outlineLevel="0" collapsed="false">
      <c r="A87" s="32"/>
      <c r="B87" s="35"/>
      <c r="C87" s="32"/>
      <c r="D87" s="34"/>
      <c r="E87" s="42" t="str">
        <f aca="false">IF(OR(A87="",B87=""),"",DATE(YEAR(B87),MONTH(B87),1))</f>
        <v/>
      </c>
      <c r="F87" s="36" t="n">
        <f aca="false">IF(OR(E87="",D87=""),0,IF(C87="Actual",D87,IF(COUNTIFS($A$2:$A$2001,A87,$E$2:$E$2001,E87,$C$2:$C$2001,"Actual")&gt;0,0,D87)))</f>
        <v>0</v>
      </c>
    </row>
    <row r="88" customFormat="false" ht="15" hidden="false" customHeight="false" outlineLevel="0" collapsed="false">
      <c r="A88" s="32"/>
      <c r="B88" s="35"/>
      <c r="C88" s="32"/>
      <c r="D88" s="34"/>
      <c r="E88" s="42" t="str">
        <f aca="false">IF(OR(A88="",B88=""),"",DATE(YEAR(B88),MONTH(B88),1))</f>
        <v/>
      </c>
      <c r="F88" s="36" t="n">
        <f aca="false">IF(OR(E88="",D88=""),0,IF(C88="Actual",D88,IF(COUNTIFS($A$2:$A$2001,A88,$E$2:$E$2001,E88,$C$2:$C$2001,"Actual")&gt;0,0,D88)))</f>
        <v>0</v>
      </c>
    </row>
    <row r="89" customFormat="false" ht="15" hidden="false" customHeight="false" outlineLevel="0" collapsed="false">
      <c r="A89" s="32"/>
      <c r="B89" s="35"/>
      <c r="C89" s="32"/>
      <c r="D89" s="34"/>
      <c r="E89" s="42" t="str">
        <f aca="false">IF(OR(A89="",B89=""),"",DATE(YEAR(B89),MONTH(B89),1))</f>
        <v/>
      </c>
      <c r="F89" s="36" t="n">
        <f aca="false">IF(OR(E89="",D89=""),0,IF(C89="Actual",D89,IF(COUNTIFS($A$2:$A$2001,A89,$E$2:$E$2001,E89,$C$2:$C$2001,"Actual")&gt;0,0,D89)))</f>
        <v>0</v>
      </c>
    </row>
    <row r="90" customFormat="false" ht="15" hidden="false" customHeight="false" outlineLevel="0" collapsed="false">
      <c r="A90" s="32"/>
      <c r="B90" s="35"/>
      <c r="C90" s="32"/>
      <c r="D90" s="34"/>
      <c r="E90" s="42" t="str">
        <f aca="false">IF(OR(A90="",B90=""),"",DATE(YEAR(B90),MONTH(B90),1))</f>
        <v/>
      </c>
      <c r="F90" s="36" t="n">
        <f aca="false">IF(OR(E90="",D90=""),0,IF(C90="Actual",D90,IF(COUNTIFS($A$2:$A$2001,A90,$E$2:$E$2001,E90,$C$2:$C$2001,"Actual")&gt;0,0,D90)))</f>
        <v>0</v>
      </c>
    </row>
    <row r="91" customFormat="false" ht="15" hidden="false" customHeight="false" outlineLevel="0" collapsed="false">
      <c r="A91" s="32"/>
      <c r="B91" s="35"/>
      <c r="C91" s="32"/>
      <c r="D91" s="34"/>
      <c r="E91" s="42" t="str">
        <f aca="false">IF(OR(A91="",B91=""),"",DATE(YEAR(B91),MONTH(B91),1))</f>
        <v/>
      </c>
      <c r="F91" s="36" t="n">
        <f aca="false">IF(OR(E91="",D91=""),0,IF(C91="Actual",D91,IF(COUNTIFS($A$2:$A$2001,A91,$E$2:$E$2001,E91,$C$2:$C$2001,"Actual")&gt;0,0,D91)))</f>
        <v>0</v>
      </c>
    </row>
    <row r="92" customFormat="false" ht="15" hidden="false" customHeight="false" outlineLevel="0" collapsed="false">
      <c r="A92" s="32"/>
      <c r="B92" s="35"/>
      <c r="C92" s="32"/>
      <c r="D92" s="34"/>
      <c r="E92" s="42" t="str">
        <f aca="false">IF(OR(A92="",B92=""),"",DATE(YEAR(B92),MONTH(B92),1))</f>
        <v/>
      </c>
      <c r="F92" s="36" t="n">
        <f aca="false">IF(OR(E92="",D92=""),0,IF(C92="Actual",D92,IF(COUNTIFS($A$2:$A$2001,A92,$E$2:$E$2001,E92,$C$2:$C$2001,"Actual")&gt;0,0,D92)))</f>
        <v>0</v>
      </c>
    </row>
    <row r="93" customFormat="false" ht="15" hidden="false" customHeight="false" outlineLevel="0" collapsed="false">
      <c r="A93" s="32"/>
      <c r="B93" s="35"/>
      <c r="C93" s="32"/>
      <c r="D93" s="34"/>
      <c r="E93" s="42" t="str">
        <f aca="false">IF(OR(A93="",B93=""),"",DATE(YEAR(B93),MONTH(B93),1))</f>
        <v/>
      </c>
      <c r="F93" s="36" t="n">
        <f aca="false">IF(OR(E93="",D93=""),0,IF(C93="Actual",D93,IF(COUNTIFS($A$2:$A$2001,A93,$E$2:$E$2001,E93,$C$2:$C$2001,"Actual")&gt;0,0,D93)))</f>
        <v>0</v>
      </c>
    </row>
    <row r="94" customFormat="false" ht="15" hidden="false" customHeight="false" outlineLevel="0" collapsed="false">
      <c r="A94" s="32"/>
      <c r="B94" s="35"/>
      <c r="C94" s="32"/>
      <c r="D94" s="34"/>
      <c r="E94" s="42" t="str">
        <f aca="false">IF(OR(A94="",B94=""),"",DATE(YEAR(B94),MONTH(B94),1))</f>
        <v/>
      </c>
      <c r="F94" s="36" t="n">
        <f aca="false">IF(OR(E94="",D94=""),0,IF(C94="Actual",D94,IF(COUNTIFS($A$2:$A$2001,A94,$E$2:$E$2001,E94,$C$2:$C$2001,"Actual")&gt;0,0,D94)))</f>
        <v>0</v>
      </c>
    </row>
    <row r="95" customFormat="false" ht="15" hidden="false" customHeight="false" outlineLevel="0" collapsed="false">
      <c r="A95" s="32"/>
      <c r="B95" s="35"/>
      <c r="C95" s="32"/>
      <c r="D95" s="34"/>
      <c r="E95" s="42" t="str">
        <f aca="false">IF(OR(A95="",B95=""),"",DATE(YEAR(B95),MONTH(B95),1))</f>
        <v/>
      </c>
      <c r="F95" s="36" t="n">
        <f aca="false">IF(OR(E95="",D95=""),0,IF(C95="Actual",D95,IF(COUNTIFS($A$2:$A$2001,A95,$E$2:$E$2001,E95,$C$2:$C$2001,"Actual")&gt;0,0,D95)))</f>
        <v>0</v>
      </c>
    </row>
    <row r="96" customFormat="false" ht="15" hidden="false" customHeight="false" outlineLevel="0" collapsed="false">
      <c r="A96" s="32"/>
      <c r="B96" s="35"/>
      <c r="C96" s="32"/>
      <c r="D96" s="34"/>
      <c r="E96" s="42" t="str">
        <f aca="false">IF(OR(A96="",B96=""),"",DATE(YEAR(B96),MONTH(B96),1))</f>
        <v/>
      </c>
      <c r="F96" s="36" t="n">
        <f aca="false">IF(OR(E96="",D96=""),0,IF(C96="Actual",D96,IF(COUNTIFS($A$2:$A$2001,A96,$E$2:$E$2001,E96,$C$2:$C$2001,"Actual")&gt;0,0,D96)))</f>
        <v>0</v>
      </c>
    </row>
    <row r="97" customFormat="false" ht="15" hidden="false" customHeight="false" outlineLevel="0" collapsed="false">
      <c r="A97" s="32"/>
      <c r="B97" s="35"/>
      <c r="C97" s="32"/>
      <c r="D97" s="34"/>
      <c r="E97" s="42" t="str">
        <f aca="false">IF(OR(A97="",B97=""),"",DATE(YEAR(B97),MONTH(B97),1))</f>
        <v/>
      </c>
      <c r="F97" s="36" t="n">
        <f aca="false">IF(OR(E97="",D97=""),0,IF(C97="Actual",D97,IF(COUNTIFS($A$2:$A$2001,A97,$E$2:$E$2001,E97,$C$2:$C$2001,"Actual")&gt;0,0,D97)))</f>
        <v>0</v>
      </c>
    </row>
    <row r="98" customFormat="false" ht="15" hidden="false" customHeight="false" outlineLevel="0" collapsed="false">
      <c r="A98" s="32"/>
      <c r="B98" s="35"/>
      <c r="C98" s="32"/>
      <c r="D98" s="34"/>
      <c r="E98" s="42" t="str">
        <f aca="false">IF(OR(A98="",B98=""),"",DATE(YEAR(B98),MONTH(B98),1))</f>
        <v/>
      </c>
      <c r="F98" s="36" t="n">
        <f aca="false">IF(OR(E98="",D98=""),0,IF(C98="Actual",D98,IF(COUNTIFS($A$2:$A$2001,A98,$E$2:$E$2001,E98,$C$2:$C$2001,"Actual")&gt;0,0,D98)))</f>
        <v>0</v>
      </c>
    </row>
    <row r="99" customFormat="false" ht="15" hidden="false" customHeight="false" outlineLevel="0" collapsed="false">
      <c r="A99" s="32"/>
      <c r="B99" s="35"/>
      <c r="C99" s="32"/>
      <c r="D99" s="34"/>
      <c r="E99" s="42" t="str">
        <f aca="false">IF(OR(A99="",B99=""),"",DATE(YEAR(B99),MONTH(B99),1))</f>
        <v/>
      </c>
      <c r="F99" s="36" t="n">
        <f aca="false">IF(OR(E99="",D99=""),0,IF(C99="Actual",D99,IF(COUNTIFS($A$2:$A$2001,A99,$E$2:$E$2001,E99,$C$2:$C$2001,"Actual")&gt;0,0,D99)))</f>
        <v>0</v>
      </c>
    </row>
    <row r="100" customFormat="false" ht="15" hidden="false" customHeight="false" outlineLevel="0" collapsed="false">
      <c r="A100" s="32"/>
      <c r="B100" s="35"/>
      <c r="C100" s="32"/>
      <c r="D100" s="34"/>
      <c r="E100" s="42" t="str">
        <f aca="false">IF(OR(A100="",B100=""),"",DATE(YEAR(B100),MONTH(B100),1))</f>
        <v/>
      </c>
      <c r="F100" s="36" t="n">
        <f aca="false">IF(OR(E100="",D100=""),0,IF(C100="Actual",D100,IF(COUNTIFS($A$2:$A$2001,A100,$E$2:$E$2001,E100,$C$2:$C$2001,"Actual")&gt;0,0,D100)))</f>
        <v>0</v>
      </c>
    </row>
    <row r="101" customFormat="false" ht="15" hidden="false" customHeight="false" outlineLevel="0" collapsed="false">
      <c r="A101" s="32"/>
      <c r="B101" s="35"/>
      <c r="C101" s="32"/>
      <c r="D101" s="34"/>
      <c r="E101" s="42" t="str">
        <f aca="false">IF(OR(A101="",B101=""),"",DATE(YEAR(B101),MONTH(B101),1))</f>
        <v/>
      </c>
      <c r="F101" s="36" t="n">
        <f aca="false">IF(OR(E101="",D101=""),0,IF(C101="Actual",D101,IF(COUNTIFS($A$2:$A$2001,A101,$E$2:$E$2001,E101,$C$2:$C$2001,"Actual")&gt;0,0,D101)))</f>
        <v>0</v>
      </c>
    </row>
    <row r="102" customFormat="false" ht="15" hidden="false" customHeight="false" outlineLevel="0" collapsed="false">
      <c r="A102" s="32"/>
      <c r="B102" s="35"/>
      <c r="C102" s="32"/>
      <c r="D102" s="34"/>
      <c r="E102" s="42" t="str">
        <f aca="false">IF(OR(A102="",B102=""),"",DATE(YEAR(B102),MONTH(B102),1))</f>
        <v/>
      </c>
      <c r="F102" s="36" t="n">
        <f aca="false">IF(OR(E102="",D102=""),0,IF(C102="Actual",D102,IF(COUNTIFS($A$2:$A$2001,A102,$E$2:$E$2001,E102,$C$2:$C$2001,"Actual")&gt;0,0,D102)))</f>
        <v>0</v>
      </c>
    </row>
    <row r="103" customFormat="false" ht="15" hidden="false" customHeight="false" outlineLevel="0" collapsed="false">
      <c r="A103" s="32"/>
      <c r="B103" s="35"/>
      <c r="C103" s="32"/>
      <c r="D103" s="34"/>
      <c r="E103" s="42" t="str">
        <f aca="false">IF(OR(A103="",B103=""),"",DATE(YEAR(B103),MONTH(B103),1))</f>
        <v/>
      </c>
      <c r="F103" s="36" t="n">
        <f aca="false">IF(OR(E103="",D103=""),0,IF(C103="Actual",D103,IF(COUNTIFS($A$2:$A$2001,A103,$E$2:$E$2001,E103,$C$2:$C$2001,"Actual")&gt;0,0,D103)))</f>
        <v>0</v>
      </c>
    </row>
    <row r="104" customFormat="false" ht="15" hidden="false" customHeight="false" outlineLevel="0" collapsed="false">
      <c r="A104" s="32"/>
      <c r="B104" s="35"/>
      <c r="C104" s="32"/>
      <c r="D104" s="34"/>
      <c r="E104" s="42" t="str">
        <f aca="false">IF(OR(A104="",B104=""),"",DATE(YEAR(B104),MONTH(B104),1))</f>
        <v/>
      </c>
      <c r="F104" s="36" t="n">
        <f aca="false">IF(OR(E104="",D104=""),0,IF(C104="Actual",D104,IF(COUNTIFS($A$2:$A$2001,A104,$E$2:$E$2001,E104,$C$2:$C$2001,"Actual")&gt;0,0,D104)))</f>
        <v>0</v>
      </c>
    </row>
    <row r="105" customFormat="false" ht="15" hidden="false" customHeight="false" outlineLevel="0" collapsed="false">
      <c r="A105" s="32"/>
      <c r="B105" s="35"/>
      <c r="C105" s="32"/>
      <c r="D105" s="34"/>
      <c r="E105" s="42" t="str">
        <f aca="false">IF(OR(A105="",B105=""),"",DATE(YEAR(B105),MONTH(B105),1))</f>
        <v/>
      </c>
      <c r="F105" s="36" t="n">
        <f aca="false">IF(OR(E105="",D105=""),0,IF(C105="Actual",D105,IF(COUNTIFS($A$2:$A$2001,A105,$E$2:$E$2001,E105,$C$2:$C$2001,"Actual")&gt;0,0,D105)))</f>
        <v>0</v>
      </c>
    </row>
    <row r="106" customFormat="false" ht="15" hidden="false" customHeight="false" outlineLevel="0" collapsed="false">
      <c r="A106" s="32"/>
      <c r="B106" s="35"/>
      <c r="C106" s="32"/>
      <c r="D106" s="34"/>
      <c r="E106" s="42" t="str">
        <f aca="false">IF(OR(A106="",B106=""),"",DATE(YEAR(B106),MONTH(B106),1))</f>
        <v/>
      </c>
      <c r="F106" s="36" t="n">
        <f aca="false">IF(OR(E106="",D106=""),0,IF(C106="Actual",D106,IF(COUNTIFS($A$2:$A$2001,A106,$E$2:$E$2001,E106,$C$2:$C$2001,"Actual")&gt;0,0,D106)))</f>
        <v>0</v>
      </c>
    </row>
    <row r="107" customFormat="false" ht="15" hidden="false" customHeight="false" outlineLevel="0" collapsed="false">
      <c r="A107" s="32"/>
      <c r="B107" s="35"/>
      <c r="C107" s="32"/>
      <c r="D107" s="34"/>
      <c r="E107" s="42" t="str">
        <f aca="false">IF(OR(A107="",B107=""),"",DATE(YEAR(B107),MONTH(B107),1))</f>
        <v/>
      </c>
      <c r="F107" s="36" t="n">
        <f aca="false">IF(OR(E107="",D107=""),0,IF(C107="Actual",D107,IF(COUNTIFS($A$2:$A$2001,A107,$E$2:$E$2001,E107,$C$2:$C$2001,"Actual")&gt;0,0,D107)))</f>
        <v>0</v>
      </c>
    </row>
    <row r="108" customFormat="false" ht="15" hidden="false" customHeight="false" outlineLevel="0" collapsed="false">
      <c r="A108" s="32"/>
      <c r="B108" s="35"/>
      <c r="C108" s="32"/>
      <c r="D108" s="34"/>
      <c r="E108" s="42" t="str">
        <f aca="false">IF(OR(A108="",B108=""),"",DATE(YEAR(B108),MONTH(B108),1))</f>
        <v/>
      </c>
      <c r="F108" s="36" t="n">
        <f aca="false">IF(OR(E108="",D108=""),0,IF(C108="Actual",D108,IF(COUNTIFS($A$2:$A$2001,A108,$E$2:$E$2001,E108,$C$2:$C$2001,"Actual")&gt;0,0,D108)))</f>
        <v>0</v>
      </c>
    </row>
    <row r="109" customFormat="false" ht="15" hidden="false" customHeight="false" outlineLevel="0" collapsed="false">
      <c r="A109" s="32"/>
      <c r="B109" s="35"/>
      <c r="C109" s="32"/>
      <c r="D109" s="34"/>
      <c r="E109" s="42" t="str">
        <f aca="false">IF(OR(A109="",B109=""),"",DATE(YEAR(B109),MONTH(B109),1))</f>
        <v/>
      </c>
      <c r="F109" s="36" t="n">
        <f aca="false">IF(OR(E109="",D109=""),0,IF(C109="Actual",D109,IF(COUNTIFS($A$2:$A$2001,A109,$E$2:$E$2001,E109,$C$2:$C$2001,"Actual")&gt;0,0,D109)))</f>
        <v>0</v>
      </c>
    </row>
    <row r="110" customFormat="false" ht="15" hidden="false" customHeight="false" outlineLevel="0" collapsed="false">
      <c r="A110" s="32"/>
      <c r="B110" s="35"/>
      <c r="C110" s="32"/>
      <c r="D110" s="34"/>
      <c r="E110" s="42" t="str">
        <f aca="false">IF(OR(A110="",B110=""),"",DATE(YEAR(B110),MONTH(B110),1))</f>
        <v/>
      </c>
      <c r="F110" s="36" t="n">
        <f aca="false">IF(OR(E110="",D110=""),0,IF(C110="Actual",D110,IF(COUNTIFS($A$2:$A$2001,A110,$E$2:$E$2001,E110,$C$2:$C$2001,"Actual")&gt;0,0,D110)))</f>
        <v>0</v>
      </c>
    </row>
    <row r="111" customFormat="false" ht="15" hidden="false" customHeight="false" outlineLevel="0" collapsed="false">
      <c r="A111" s="32"/>
      <c r="B111" s="35"/>
      <c r="C111" s="32"/>
      <c r="D111" s="34"/>
      <c r="E111" s="42" t="str">
        <f aca="false">IF(OR(A111="",B111=""),"",DATE(YEAR(B111),MONTH(B111),1))</f>
        <v/>
      </c>
      <c r="F111" s="36" t="n">
        <f aca="false">IF(OR(E111="",D111=""),0,IF(C111="Actual",D111,IF(COUNTIFS($A$2:$A$2001,A111,$E$2:$E$2001,E111,$C$2:$C$2001,"Actual")&gt;0,0,D111)))</f>
        <v>0</v>
      </c>
    </row>
    <row r="112" customFormat="false" ht="15" hidden="false" customHeight="false" outlineLevel="0" collapsed="false">
      <c r="A112" s="32"/>
      <c r="B112" s="35"/>
      <c r="C112" s="32"/>
      <c r="D112" s="34"/>
      <c r="E112" s="42" t="str">
        <f aca="false">IF(OR(A112="",B112=""),"",DATE(YEAR(B112),MONTH(B112),1))</f>
        <v/>
      </c>
      <c r="F112" s="36" t="n">
        <f aca="false">IF(OR(E112="",D112=""),0,IF(C112="Actual",D112,IF(COUNTIFS($A$2:$A$2001,A112,$E$2:$E$2001,E112,$C$2:$C$2001,"Actual")&gt;0,0,D112)))</f>
        <v>0</v>
      </c>
    </row>
    <row r="113" customFormat="false" ht="15" hidden="false" customHeight="false" outlineLevel="0" collapsed="false">
      <c r="A113" s="32"/>
      <c r="B113" s="35"/>
      <c r="C113" s="32"/>
      <c r="D113" s="34"/>
      <c r="E113" s="42" t="str">
        <f aca="false">IF(OR(A113="",B113=""),"",DATE(YEAR(B113),MONTH(B113),1))</f>
        <v/>
      </c>
      <c r="F113" s="36" t="n">
        <f aca="false">IF(OR(E113="",D113=""),0,IF(C113="Actual",D113,IF(COUNTIFS($A$2:$A$2001,A113,$E$2:$E$2001,E113,$C$2:$C$2001,"Actual")&gt;0,0,D113)))</f>
        <v>0</v>
      </c>
    </row>
    <row r="114" customFormat="false" ht="15" hidden="false" customHeight="false" outlineLevel="0" collapsed="false">
      <c r="A114" s="32"/>
      <c r="B114" s="35"/>
      <c r="C114" s="32"/>
      <c r="D114" s="34"/>
      <c r="E114" s="42" t="str">
        <f aca="false">IF(OR(A114="",B114=""),"",DATE(YEAR(B114),MONTH(B114),1))</f>
        <v/>
      </c>
      <c r="F114" s="36" t="n">
        <f aca="false">IF(OR(E114="",D114=""),0,IF(C114="Actual",D114,IF(COUNTIFS($A$2:$A$2001,A114,$E$2:$E$2001,E114,$C$2:$C$2001,"Actual")&gt;0,0,D114)))</f>
        <v>0</v>
      </c>
    </row>
    <row r="115" customFormat="false" ht="15" hidden="false" customHeight="false" outlineLevel="0" collapsed="false">
      <c r="A115" s="32"/>
      <c r="B115" s="35"/>
      <c r="C115" s="32"/>
      <c r="D115" s="34"/>
      <c r="E115" s="42" t="str">
        <f aca="false">IF(OR(A115="",B115=""),"",DATE(YEAR(B115),MONTH(B115),1))</f>
        <v/>
      </c>
      <c r="F115" s="36" t="n">
        <f aca="false">IF(OR(E115="",D115=""),0,IF(C115="Actual",D115,IF(COUNTIFS($A$2:$A$2001,A115,$E$2:$E$2001,E115,$C$2:$C$2001,"Actual")&gt;0,0,D115)))</f>
        <v>0</v>
      </c>
    </row>
    <row r="116" customFormat="false" ht="15" hidden="false" customHeight="false" outlineLevel="0" collapsed="false">
      <c r="A116" s="32"/>
      <c r="B116" s="35"/>
      <c r="C116" s="32"/>
      <c r="D116" s="34"/>
      <c r="E116" s="42" t="str">
        <f aca="false">IF(OR(A116="",B116=""),"",DATE(YEAR(B116),MONTH(B116),1))</f>
        <v/>
      </c>
      <c r="F116" s="36" t="n">
        <f aca="false">IF(OR(E116="",D116=""),0,IF(C116="Actual",D116,IF(COUNTIFS($A$2:$A$2001,A116,$E$2:$E$2001,E116,$C$2:$C$2001,"Actual")&gt;0,0,D116)))</f>
        <v>0</v>
      </c>
    </row>
    <row r="117" customFormat="false" ht="15" hidden="false" customHeight="false" outlineLevel="0" collapsed="false">
      <c r="A117" s="32"/>
      <c r="B117" s="35"/>
      <c r="C117" s="32"/>
      <c r="D117" s="34"/>
      <c r="E117" s="42" t="str">
        <f aca="false">IF(OR(A117="",B117=""),"",DATE(YEAR(B117),MONTH(B117),1))</f>
        <v/>
      </c>
      <c r="F117" s="36" t="n">
        <f aca="false">IF(OR(E117="",D117=""),0,IF(C117="Actual",D117,IF(COUNTIFS($A$2:$A$2001,A117,$E$2:$E$2001,E117,$C$2:$C$2001,"Actual")&gt;0,0,D117)))</f>
        <v>0</v>
      </c>
    </row>
    <row r="118" customFormat="false" ht="15" hidden="false" customHeight="false" outlineLevel="0" collapsed="false">
      <c r="A118" s="32"/>
      <c r="B118" s="35"/>
      <c r="C118" s="32"/>
      <c r="D118" s="34"/>
      <c r="E118" s="42" t="str">
        <f aca="false">IF(OR(A118="",B118=""),"",DATE(YEAR(B118),MONTH(B118),1))</f>
        <v/>
      </c>
      <c r="F118" s="36" t="n">
        <f aca="false">IF(OR(E118="",D118=""),0,IF(C118="Actual",D118,IF(COUNTIFS($A$2:$A$2001,A118,$E$2:$E$2001,E118,$C$2:$C$2001,"Actual")&gt;0,0,D118)))</f>
        <v>0</v>
      </c>
    </row>
    <row r="119" customFormat="false" ht="15" hidden="false" customHeight="false" outlineLevel="0" collapsed="false">
      <c r="A119" s="32"/>
      <c r="B119" s="35"/>
      <c r="C119" s="32"/>
      <c r="D119" s="34"/>
      <c r="E119" s="42" t="str">
        <f aca="false">IF(OR(A119="",B119=""),"",DATE(YEAR(B119),MONTH(B119),1))</f>
        <v/>
      </c>
      <c r="F119" s="36" t="n">
        <f aca="false">IF(OR(E119="",D119=""),0,IF(C119="Actual",D119,IF(COUNTIFS($A$2:$A$2001,A119,$E$2:$E$2001,E119,$C$2:$C$2001,"Actual")&gt;0,0,D119)))</f>
        <v>0</v>
      </c>
    </row>
    <row r="120" customFormat="false" ht="15" hidden="false" customHeight="false" outlineLevel="0" collapsed="false">
      <c r="A120" s="32"/>
      <c r="B120" s="35"/>
      <c r="C120" s="32"/>
      <c r="D120" s="34"/>
      <c r="E120" s="42" t="str">
        <f aca="false">IF(OR(A120="",B120=""),"",DATE(YEAR(B120),MONTH(B120),1))</f>
        <v/>
      </c>
      <c r="F120" s="36" t="n">
        <f aca="false">IF(OR(E120="",D120=""),0,IF(C120="Actual",D120,IF(COUNTIFS($A$2:$A$2001,A120,$E$2:$E$2001,E120,$C$2:$C$2001,"Actual")&gt;0,0,D120)))</f>
        <v>0</v>
      </c>
    </row>
    <row r="121" customFormat="false" ht="15" hidden="false" customHeight="false" outlineLevel="0" collapsed="false">
      <c r="A121" s="32"/>
      <c r="B121" s="35"/>
      <c r="C121" s="32"/>
      <c r="D121" s="34"/>
      <c r="E121" s="42" t="str">
        <f aca="false">IF(OR(A121="",B121=""),"",DATE(YEAR(B121),MONTH(B121),1))</f>
        <v/>
      </c>
      <c r="F121" s="36" t="n">
        <f aca="false">IF(OR(E121="",D121=""),0,IF(C121="Actual",D121,IF(COUNTIFS($A$2:$A$2001,A121,$E$2:$E$2001,E121,$C$2:$C$2001,"Actual")&gt;0,0,D121)))</f>
        <v>0</v>
      </c>
    </row>
    <row r="122" customFormat="false" ht="15" hidden="false" customHeight="false" outlineLevel="0" collapsed="false">
      <c r="A122" s="32"/>
      <c r="B122" s="35"/>
      <c r="C122" s="32"/>
      <c r="D122" s="34"/>
      <c r="E122" s="42" t="str">
        <f aca="false">IF(OR(A122="",B122=""),"",DATE(YEAR(B122),MONTH(B122),1))</f>
        <v/>
      </c>
      <c r="F122" s="36" t="n">
        <f aca="false">IF(OR(E122="",D122=""),0,IF(C122="Actual",D122,IF(COUNTIFS($A$2:$A$2001,A122,$E$2:$E$2001,E122,$C$2:$C$2001,"Actual")&gt;0,0,D122)))</f>
        <v>0</v>
      </c>
    </row>
    <row r="123" customFormat="false" ht="15" hidden="false" customHeight="false" outlineLevel="0" collapsed="false">
      <c r="A123" s="32"/>
      <c r="B123" s="35"/>
      <c r="C123" s="32"/>
      <c r="D123" s="34"/>
      <c r="E123" s="42" t="str">
        <f aca="false">IF(OR(A123="",B123=""),"",DATE(YEAR(B123),MONTH(B123),1))</f>
        <v/>
      </c>
      <c r="F123" s="36" t="n">
        <f aca="false">IF(OR(E123="",D123=""),0,IF(C123="Actual",D123,IF(COUNTIFS($A$2:$A$2001,A123,$E$2:$E$2001,E123,$C$2:$C$2001,"Actual")&gt;0,0,D123)))</f>
        <v>0</v>
      </c>
    </row>
    <row r="124" customFormat="false" ht="15" hidden="false" customHeight="false" outlineLevel="0" collapsed="false">
      <c r="A124" s="32"/>
      <c r="B124" s="35"/>
      <c r="C124" s="32"/>
      <c r="D124" s="34"/>
      <c r="E124" s="42" t="str">
        <f aca="false">IF(OR(A124="",B124=""),"",DATE(YEAR(B124),MONTH(B124),1))</f>
        <v/>
      </c>
      <c r="F124" s="36" t="n">
        <f aca="false">IF(OR(E124="",D124=""),0,IF(C124="Actual",D124,IF(COUNTIFS($A$2:$A$2001,A124,$E$2:$E$2001,E124,$C$2:$C$2001,"Actual")&gt;0,0,D124)))</f>
        <v>0</v>
      </c>
    </row>
    <row r="125" customFormat="false" ht="15" hidden="false" customHeight="false" outlineLevel="0" collapsed="false">
      <c r="A125" s="32"/>
      <c r="B125" s="35"/>
      <c r="C125" s="32"/>
      <c r="D125" s="34"/>
      <c r="E125" s="42" t="str">
        <f aca="false">IF(OR(A125="",B125=""),"",DATE(YEAR(B125),MONTH(B125),1))</f>
        <v/>
      </c>
      <c r="F125" s="36" t="n">
        <f aca="false">IF(OR(E125="",D125=""),0,IF(C125="Actual",D125,IF(COUNTIFS($A$2:$A$2001,A125,$E$2:$E$2001,E125,$C$2:$C$2001,"Actual")&gt;0,0,D125)))</f>
        <v>0</v>
      </c>
    </row>
    <row r="126" customFormat="false" ht="15" hidden="false" customHeight="false" outlineLevel="0" collapsed="false">
      <c r="A126" s="32"/>
      <c r="B126" s="35"/>
      <c r="C126" s="32"/>
      <c r="D126" s="34"/>
      <c r="E126" s="42" t="str">
        <f aca="false">IF(OR(A126="",B126=""),"",DATE(YEAR(B126),MONTH(B126),1))</f>
        <v/>
      </c>
      <c r="F126" s="36" t="n">
        <f aca="false">IF(OR(E126="",D126=""),0,IF(C126="Actual",D126,IF(COUNTIFS($A$2:$A$2001,A126,$E$2:$E$2001,E126,$C$2:$C$2001,"Actual")&gt;0,0,D126)))</f>
        <v>0</v>
      </c>
    </row>
    <row r="127" customFormat="false" ht="15" hidden="false" customHeight="false" outlineLevel="0" collapsed="false">
      <c r="A127" s="32"/>
      <c r="B127" s="35"/>
      <c r="C127" s="32"/>
      <c r="D127" s="34"/>
      <c r="E127" s="42" t="str">
        <f aca="false">IF(OR(A127="",B127=""),"",DATE(YEAR(B127),MONTH(B127),1))</f>
        <v/>
      </c>
      <c r="F127" s="36" t="n">
        <f aca="false">IF(OR(E127="",D127=""),0,IF(C127="Actual",D127,IF(COUNTIFS($A$2:$A$2001,A127,$E$2:$E$2001,E127,$C$2:$C$2001,"Actual")&gt;0,0,D127)))</f>
        <v>0</v>
      </c>
    </row>
    <row r="128" customFormat="false" ht="15" hidden="false" customHeight="false" outlineLevel="0" collapsed="false">
      <c r="A128" s="32"/>
      <c r="B128" s="35"/>
      <c r="C128" s="32"/>
      <c r="D128" s="34"/>
      <c r="E128" s="42" t="str">
        <f aca="false">IF(OR(A128="",B128=""),"",DATE(YEAR(B128),MONTH(B128),1))</f>
        <v/>
      </c>
      <c r="F128" s="36" t="n">
        <f aca="false">IF(OR(E128="",D128=""),0,IF(C128="Actual",D128,IF(COUNTIFS($A$2:$A$2001,A128,$E$2:$E$2001,E128,$C$2:$C$2001,"Actual")&gt;0,0,D128)))</f>
        <v>0</v>
      </c>
    </row>
    <row r="129" customFormat="false" ht="15" hidden="false" customHeight="false" outlineLevel="0" collapsed="false">
      <c r="A129" s="32"/>
      <c r="B129" s="35"/>
      <c r="C129" s="32"/>
      <c r="D129" s="34"/>
      <c r="E129" s="42" t="str">
        <f aca="false">IF(OR(A129="",B129=""),"",DATE(YEAR(B129),MONTH(B129),1))</f>
        <v/>
      </c>
      <c r="F129" s="36" t="n">
        <f aca="false">IF(OR(E129="",D129=""),0,IF(C129="Actual",D129,IF(COUNTIFS($A$2:$A$2001,A129,$E$2:$E$2001,E129,$C$2:$C$2001,"Actual")&gt;0,0,D129)))</f>
        <v>0</v>
      </c>
    </row>
    <row r="130" customFormat="false" ht="15" hidden="false" customHeight="false" outlineLevel="0" collapsed="false">
      <c r="A130" s="32"/>
      <c r="B130" s="35"/>
      <c r="C130" s="32"/>
      <c r="D130" s="34"/>
      <c r="E130" s="42" t="str">
        <f aca="false">IF(OR(A130="",B130=""),"",DATE(YEAR(B130),MONTH(B130),1))</f>
        <v/>
      </c>
      <c r="F130" s="36" t="n">
        <f aca="false">IF(OR(E130="",D130=""),0,IF(C130="Actual",D130,IF(COUNTIFS($A$2:$A$2001,A130,$E$2:$E$2001,E130,$C$2:$C$2001,"Actual")&gt;0,0,D130)))</f>
        <v>0</v>
      </c>
    </row>
    <row r="131" customFormat="false" ht="15" hidden="false" customHeight="false" outlineLevel="0" collapsed="false">
      <c r="A131" s="32"/>
      <c r="B131" s="35"/>
      <c r="C131" s="32"/>
      <c r="D131" s="34"/>
      <c r="E131" s="42" t="str">
        <f aca="false">IF(OR(A131="",B131=""),"",DATE(YEAR(B131),MONTH(B131),1))</f>
        <v/>
      </c>
      <c r="F131" s="36" t="n">
        <f aca="false">IF(OR(E131="",D131=""),0,IF(C131="Actual",D131,IF(COUNTIFS($A$2:$A$2001,A131,$E$2:$E$2001,E131,$C$2:$C$2001,"Actual")&gt;0,0,D131)))</f>
        <v>0</v>
      </c>
    </row>
    <row r="132" customFormat="false" ht="15" hidden="false" customHeight="false" outlineLevel="0" collapsed="false">
      <c r="A132" s="32"/>
      <c r="B132" s="35"/>
      <c r="C132" s="32"/>
      <c r="D132" s="34"/>
      <c r="E132" s="42" t="str">
        <f aca="false">IF(OR(A132="",B132=""),"",DATE(YEAR(B132),MONTH(B132),1))</f>
        <v/>
      </c>
      <c r="F132" s="36" t="n">
        <f aca="false">IF(OR(E132="",D132=""),0,IF(C132="Actual",D132,IF(COUNTIFS($A$2:$A$2001,A132,$E$2:$E$2001,E132,$C$2:$C$2001,"Actual")&gt;0,0,D132)))</f>
        <v>0</v>
      </c>
    </row>
    <row r="133" customFormat="false" ht="15" hidden="false" customHeight="false" outlineLevel="0" collapsed="false">
      <c r="A133" s="32"/>
      <c r="B133" s="35"/>
      <c r="C133" s="32"/>
      <c r="D133" s="34"/>
      <c r="E133" s="42" t="str">
        <f aca="false">IF(OR(A133="",B133=""),"",DATE(YEAR(B133),MONTH(B133),1))</f>
        <v/>
      </c>
      <c r="F133" s="36" t="n">
        <f aca="false">IF(OR(E133="",D133=""),0,IF(C133="Actual",D133,IF(COUNTIFS($A$2:$A$2001,A133,$E$2:$E$2001,E133,$C$2:$C$2001,"Actual")&gt;0,0,D133)))</f>
        <v>0</v>
      </c>
    </row>
    <row r="134" customFormat="false" ht="15" hidden="false" customHeight="false" outlineLevel="0" collapsed="false">
      <c r="A134" s="32"/>
      <c r="B134" s="35"/>
      <c r="C134" s="32"/>
      <c r="D134" s="34"/>
      <c r="E134" s="42" t="str">
        <f aca="false">IF(OR(A134="",B134=""),"",DATE(YEAR(B134),MONTH(B134),1))</f>
        <v/>
      </c>
      <c r="F134" s="36" t="n">
        <f aca="false">IF(OR(E134="",D134=""),0,IF(C134="Actual",D134,IF(COUNTIFS($A$2:$A$2001,A134,$E$2:$E$2001,E134,$C$2:$C$2001,"Actual")&gt;0,0,D134)))</f>
        <v>0</v>
      </c>
    </row>
    <row r="135" customFormat="false" ht="15" hidden="false" customHeight="false" outlineLevel="0" collapsed="false">
      <c r="A135" s="32"/>
      <c r="B135" s="35"/>
      <c r="C135" s="32"/>
      <c r="D135" s="34"/>
      <c r="E135" s="42" t="str">
        <f aca="false">IF(OR(A135="",B135=""),"",DATE(YEAR(B135),MONTH(B135),1))</f>
        <v/>
      </c>
      <c r="F135" s="36" t="n">
        <f aca="false">IF(OR(E135="",D135=""),0,IF(C135="Actual",D135,IF(COUNTIFS($A$2:$A$2001,A135,$E$2:$E$2001,E135,$C$2:$C$2001,"Actual")&gt;0,0,D135)))</f>
        <v>0</v>
      </c>
    </row>
    <row r="136" customFormat="false" ht="15" hidden="false" customHeight="false" outlineLevel="0" collapsed="false">
      <c r="A136" s="32"/>
      <c r="B136" s="35"/>
      <c r="C136" s="32"/>
      <c r="D136" s="34"/>
      <c r="E136" s="42" t="str">
        <f aca="false">IF(OR(A136="",B136=""),"",DATE(YEAR(B136),MONTH(B136),1))</f>
        <v/>
      </c>
      <c r="F136" s="36" t="n">
        <f aca="false">IF(OR(E136="",D136=""),0,IF(C136="Actual",D136,IF(COUNTIFS($A$2:$A$2001,A136,$E$2:$E$2001,E136,$C$2:$C$2001,"Actual")&gt;0,0,D136)))</f>
        <v>0</v>
      </c>
    </row>
    <row r="137" customFormat="false" ht="15" hidden="false" customHeight="false" outlineLevel="0" collapsed="false">
      <c r="A137" s="32"/>
      <c r="B137" s="35"/>
      <c r="C137" s="32"/>
      <c r="D137" s="34"/>
      <c r="E137" s="42" t="str">
        <f aca="false">IF(OR(A137="",B137=""),"",DATE(YEAR(B137),MONTH(B137),1))</f>
        <v/>
      </c>
      <c r="F137" s="36" t="n">
        <f aca="false">IF(OR(E137="",D137=""),0,IF(C137="Actual",D137,IF(COUNTIFS($A$2:$A$2001,A137,$E$2:$E$2001,E137,$C$2:$C$2001,"Actual")&gt;0,0,D137)))</f>
        <v>0</v>
      </c>
    </row>
    <row r="138" customFormat="false" ht="15" hidden="false" customHeight="false" outlineLevel="0" collapsed="false">
      <c r="A138" s="32"/>
      <c r="B138" s="35"/>
      <c r="C138" s="32"/>
      <c r="D138" s="34"/>
      <c r="E138" s="42" t="str">
        <f aca="false">IF(OR(A138="",B138=""),"",DATE(YEAR(B138),MONTH(B138),1))</f>
        <v/>
      </c>
      <c r="F138" s="36" t="n">
        <f aca="false">IF(OR(E138="",D138=""),0,IF(C138="Actual",D138,IF(COUNTIFS($A$2:$A$2001,A138,$E$2:$E$2001,E138,$C$2:$C$2001,"Actual")&gt;0,0,D138)))</f>
        <v>0</v>
      </c>
    </row>
    <row r="139" customFormat="false" ht="15" hidden="false" customHeight="false" outlineLevel="0" collapsed="false">
      <c r="A139" s="32"/>
      <c r="B139" s="35"/>
      <c r="C139" s="32"/>
      <c r="D139" s="34"/>
      <c r="E139" s="42" t="str">
        <f aca="false">IF(OR(A139="",B139=""),"",DATE(YEAR(B139),MONTH(B139),1))</f>
        <v/>
      </c>
      <c r="F139" s="36" t="n">
        <f aca="false">IF(OR(E139="",D139=""),0,IF(C139="Actual",D139,IF(COUNTIFS($A$2:$A$2001,A139,$E$2:$E$2001,E139,$C$2:$C$2001,"Actual")&gt;0,0,D139)))</f>
        <v>0</v>
      </c>
    </row>
    <row r="140" customFormat="false" ht="15" hidden="false" customHeight="false" outlineLevel="0" collapsed="false">
      <c r="A140" s="32"/>
      <c r="B140" s="35"/>
      <c r="C140" s="32"/>
      <c r="D140" s="34"/>
      <c r="E140" s="42" t="str">
        <f aca="false">IF(OR(A140="",B140=""),"",DATE(YEAR(B140),MONTH(B140),1))</f>
        <v/>
      </c>
      <c r="F140" s="36" t="n">
        <f aca="false">IF(OR(E140="",D140=""),0,IF(C140="Actual",D140,IF(COUNTIFS($A$2:$A$2001,A140,$E$2:$E$2001,E140,$C$2:$C$2001,"Actual")&gt;0,0,D140)))</f>
        <v>0</v>
      </c>
    </row>
    <row r="141" customFormat="false" ht="15" hidden="false" customHeight="false" outlineLevel="0" collapsed="false">
      <c r="A141" s="32"/>
      <c r="B141" s="35"/>
      <c r="C141" s="32"/>
      <c r="D141" s="34"/>
      <c r="E141" s="42" t="str">
        <f aca="false">IF(OR(A141="",B141=""),"",DATE(YEAR(B141),MONTH(B141),1))</f>
        <v/>
      </c>
      <c r="F141" s="36" t="n">
        <f aca="false">IF(OR(E141="",D141=""),0,IF(C141="Actual",D141,IF(COUNTIFS($A$2:$A$2001,A141,$E$2:$E$2001,E141,$C$2:$C$2001,"Actual")&gt;0,0,D141)))</f>
        <v>0</v>
      </c>
    </row>
    <row r="142" customFormat="false" ht="15" hidden="false" customHeight="false" outlineLevel="0" collapsed="false">
      <c r="A142" s="32"/>
      <c r="B142" s="35"/>
      <c r="C142" s="32"/>
      <c r="D142" s="34"/>
      <c r="E142" s="42" t="str">
        <f aca="false">IF(OR(A142="",B142=""),"",DATE(YEAR(B142),MONTH(B142),1))</f>
        <v/>
      </c>
      <c r="F142" s="36" t="n">
        <f aca="false">IF(OR(E142="",D142=""),0,IF(C142="Actual",D142,IF(COUNTIFS($A$2:$A$2001,A142,$E$2:$E$2001,E142,$C$2:$C$2001,"Actual")&gt;0,0,D142)))</f>
        <v>0</v>
      </c>
    </row>
    <row r="143" customFormat="false" ht="15" hidden="false" customHeight="false" outlineLevel="0" collapsed="false">
      <c r="A143" s="32"/>
      <c r="B143" s="35"/>
      <c r="C143" s="32"/>
      <c r="D143" s="34"/>
      <c r="E143" s="42" t="str">
        <f aca="false">IF(OR(A143="",B143=""),"",DATE(YEAR(B143),MONTH(B143),1))</f>
        <v/>
      </c>
      <c r="F143" s="36" t="n">
        <f aca="false">IF(OR(E143="",D143=""),0,IF(C143="Actual",D143,IF(COUNTIFS($A$2:$A$2001,A143,$E$2:$E$2001,E143,$C$2:$C$2001,"Actual")&gt;0,0,D143)))</f>
        <v>0</v>
      </c>
    </row>
    <row r="144" customFormat="false" ht="15" hidden="false" customHeight="false" outlineLevel="0" collapsed="false">
      <c r="A144" s="32"/>
      <c r="B144" s="35"/>
      <c r="C144" s="32"/>
      <c r="D144" s="34"/>
      <c r="E144" s="42" t="str">
        <f aca="false">IF(OR(A144="",B144=""),"",DATE(YEAR(B144),MONTH(B144),1))</f>
        <v/>
      </c>
      <c r="F144" s="36" t="n">
        <f aca="false">IF(OR(E144="",D144=""),0,IF(C144="Actual",D144,IF(COUNTIFS($A$2:$A$2001,A144,$E$2:$E$2001,E144,$C$2:$C$2001,"Actual")&gt;0,0,D144)))</f>
        <v>0</v>
      </c>
    </row>
    <row r="145" customFormat="false" ht="15" hidden="false" customHeight="false" outlineLevel="0" collapsed="false">
      <c r="A145" s="32"/>
      <c r="B145" s="35"/>
      <c r="C145" s="32"/>
      <c r="D145" s="34"/>
      <c r="E145" s="42" t="str">
        <f aca="false">IF(OR(A145="",B145=""),"",DATE(YEAR(B145),MONTH(B145),1))</f>
        <v/>
      </c>
      <c r="F145" s="36" t="n">
        <f aca="false">IF(OR(E145="",D145=""),0,IF(C145="Actual",D145,IF(COUNTIFS($A$2:$A$2001,A145,$E$2:$E$2001,E145,$C$2:$C$2001,"Actual")&gt;0,0,D145)))</f>
        <v>0</v>
      </c>
    </row>
    <row r="146" customFormat="false" ht="15" hidden="false" customHeight="false" outlineLevel="0" collapsed="false">
      <c r="A146" s="32"/>
      <c r="B146" s="35"/>
      <c r="C146" s="32"/>
      <c r="D146" s="34"/>
      <c r="E146" s="42" t="str">
        <f aca="false">IF(OR(A146="",B146=""),"",DATE(YEAR(B146),MONTH(B146),1))</f>
        <v/>
      </c>
      <c r="F146" s="36" t="n">
        <f aca="false">IF(OR(E146="",D146=""),0,IF(C146="Actual",D146,IF(COUNTIFS($A$2:$A$2001,A146,$E$2:$E$2001,E146,$C$2:$C$2001,"Actual")&gt;0,0,D146)))</f>
        <v>0</v>
      </c>
    </row>
    <row r="147" customFormat="false" ht="15" hidden="false" customHeight="false" outlineLevel="0" collapsed="false">
      <c r="A147" s="32"/>
      <c r="B147" s="35"/>
      <c r="C147" s="32"/>
      <c r="D147" s="34"/>
      <c r="E147" s="42" t="str">
        <f aca="false">IF(OR(A147="",B147=""),"",DATE(YEAR(B147),MONTH(B147),1))</f>
        <v/>
      </c>
      <c r="F147" s="36" t="n">
        <f aca="false">IF(OR(E147="",D147=""),0,IF(C147="Actual",D147,IF(COUNTIFS($A$2:$A$2001,A147,$E$2:$E$2001,E147,$C$2:$C$2001,"Actual")&gt;0,0,D147)))</f>
        <v>0</v>
      </c>
    </row>
    <row r="148" customFormat="false" ht="15" hidden="false" customHeight="false" outlineLevel="0" collapsed="false">
      <c r="A148" s="32"/>
      <c r="B148" s="35"/>
      <c r="C148" s="32"/>
      <c r="D148" s="34"/>
      <c r="E148" s="42" t="str">
        <f aca="false">IF(OR(A148="",B148=""),"",DATE(YEAR(B148),MONTH(B148),1))</f>
        <v/>
      </c>
      <c r="F148" s="36" t="n">
        <f aca="false">IF(OR(E148="",D148=""),0,IF(C148="Actual",D148,IF(COUNTIFS($A$2:$A$2001,A148,$E$2:$E$2001,E148,$C$2:$C$2001,"Actual")&gt;0,0,D148)))</f>
        <v>0</v>
      </c>
    </row>
    <row r="149" customFormat="false" ht="15" hidden="false" customHeight="false" outlineLevel="0" collapsed="false">
      <c r="A149" s="32"/>
      <c r="B149" s="35"/>
      <c r="C149" s="32"/>
      <c r="D149" s="34"/>
      <c r="E149" s="42" t="str">
        <f aca="false">IF(OR(A149="",B149=""),"",DATE(YEAR(B149),MONTH(B149),1))</f>
        <v/>
      </c>
      <c r="F149" s="36" t="n">
        <f aca="false">IF(OR(E149="",D149=""),0,IF(C149="Actual",D149,IF(COUNTIFS($A$2:$A$2001,A149,$E$2:$E$2001,E149,$C$2:$C$2001,"Actual")&gt;0,0,D149)))</f>
        <v>0</v>
      </c>
    </row>
    <row r="150" customFormat="false" ht="15" hidden="false" customHeight="false" outlineLevel="0" collapsed="false">
      <c r="A150" s="32"/>
      <c r="B150" s="35"/>
      <c r="C150" s="32"/>
      <c r="D150" s="34"/>
      <c r="E150" s="42" t="str">
        <f aca="false">IF(OR(A150="",B150=""),"",DATE(YEAR(B150),MONTH(B150),1))</f>
        <v/>
      </c>
      <c r="F150" s="36" t="n">
        <f aca="false">IF(OR(E150="",D150=""),0,IF(C150="Actual",D150,IF(COUNTIFS($A$2:$A$2001,A150,$E$2:$E$2001,E150,$C$2:$C$2001,"Actual")&gt;0,0,D150)))</f>
        <v>0</v>
      </c>
    </row>
    <row r="151" customFormat="false" ht="15" hidden="false" customHeight="false" outlineLevel="0" collapsed="false">
      <c r="A151" s="32"/>
      <c r="B151" s="35"/>
      <c r="C151" s="32"/>
      <c r="D151" s="34"/>
      <c r="E151" s="42" t="str">
        <f aca="false">IF(OR(A151="",B151=""),"",DATE(YEAR(B151),MONTH(B151),1))</f>
        <v/>
      </c>
      <c r="F151" s="36" t="n">
        <f aca="false">IF(OR(E151="",D151=""),0,IF(C151="Actual",D151,IF(COUNTIFS($A$2:$A$2001,A151,$E$2:$E$2001,E151,$C$2:$C$2001,"Actual")&gt;0,0,D151)))</f>
        <v>0</v>
      </c>
    </row>
    <row r="152" customFormat="false" ht="15" hidden="false" customHeight="false" outlineLevel="0" collapsed="false">
      <c r="A152" s="32"/>
      <c r="B152" s="35"/>
      <c r="C152" s="32"/>
      <c r="D152" s="34"/>
      <c r="E152" s="42" t="str">
        <f aca="false">IF(OR(A152="",B152=""),"",DATE(YEAR(B152),MONTH(B152),1))</f>
        <v/>
      </c>
      <c r="F152" s="36" t="n">
        <f aca="false">IF(OR(E152="",D152=""),0,IF(C152="Actual",D152,IF(COUNTIFS($A$2:$A$2001,A152,$E$2:$E$2001,E152,$C$2:$C$2001,"Actual")&gt;0,0,D152)))</f>
        <v>0</v>
      </c>
    </row>
    <row r="153" customFormat="false" ht="15" hidden="false" customHeight="false" outlineLevel="0" collapsed="false">
      <c r="A153" s="32"/>
      <c r="B153" s="35"/>
      <c r="C153" s="32"/>
      <c r="D153" s="34"/>
      <c r="E153" s="42" t="str">
        <f aca="false">IF(OR(A153="",B153=""),"",DATE(YEAR(B153),MONTH(B153),1))</f>
        <v/>
      </c>
      <c r="F153" s="36" t="n">
        <f aca="false">IF(OR(E153="",D153=""),0,IF(C153="Actual",D153,IF(COUNTIFS($A$2:$A$2001,A153,$E$2:$E$2001,E153,$C$2:$C$2001,"Actual")&gt;0,0,D153)))</f>
        <v>0</v>
      </c>
    </row>
    <row r="154" customFormat="false" ht="15" hidden="false" customHeight="false" outlineLevel="0" collapsed="false">
      <c r="A154" s="32"/>
      <c r="B154" s="35"/>
      <c r="C154" s="32"/>
      <c r="D154" s="34"/>
      <c r="E154" s="42" t="str">
        <f aca="false">IF(OR(A154="",B154=""),"",DATE(YEAR(B154),MONTH(B154),1))</f>
        <v/>
      </c>
      <c r="F154" s="36" t="n">
        <f aca="false">IF(OR(E154="",D154=""),0,IF(C154="Actual",D154,IF(COUNTIFS($A$2:$A$2001,A154,$E$2:$E$2001,E154,$C$2:$C$2001,"Actual")&gt;0,0,D154)))</f>
        <v>0</v>
      </c>
    </row>
    <row r="155" customFormat="false" ht="15" hidden="false" customHeight="false" outlineLevel="0" collapsed="false">
      <c r="A155" s="32"/>
      <c r="B155" s="35"/>
      <c r="C155" s="32"/>
      <c r="D155" s="34"/>
      <c r="E155" s="42" t="str">
        <f aca="false">IF(OR(A155="",B155=""),"",DATE(YEAR(B155),MONTH(B155),1))</f>
        <v/>
      </c>
      <c r="F155" s="36" t="n">
        <f aca="false">IF(OR(E155="",D155=""),0,IF(C155="Actual",D155,IF(COUNTIFS($A$2:$A$2001,A155,$E$2:$E$2001,E155,$C$2:$C$2001,"Actual")&gt;0,0,D155)))</f>
        <v>0</v>
      </c>
    </row>
    <row r="156" customFormat="false" ht="15" hidden="false" customHeight="false" outlineLevel="0" collapsed="false">
      <c r="A156" s="32"/>
      <c r="B156" s="35"/>
      <c r="C156" s="32"/>
      <c r="D156" s="34"/>
      <c r="E156" s="42" t="str">
        <f aca="false">IF(OR(A156="",B156=""),"",DATE(YEAR(B156),MONTH(B156),1))</f>
        <v/>
      </c>
      <c r="F156" s="36" t="n">
        <f aca="false">IF(OR(E156="",D156=""),0,IF(C156="Actual",D156,IF(COUNTIFS($A$2:$A$2001,A156,$E$2:$E$2001,E156,$C$2:$C$2001,"Actual")&gt;0,0,D156)))</f>
        <v>0</v>
      </c>
    </row>
    <row r="157" customFormat="false" ht="15" hidden="false" customHeight="false" outlineLevel="0" collapsed="false">
      <c r="A157" s="32"/>
      <c r="B157" s="35"/>
      <c r="C157" s="32"/>
      <c r="D157" s="34"/>
      <c r="E157" s="42" t="str">
        <f aca="false">IF(OR(A157="",B157=""),"",DATE(YEAR(B157),MONTH(B157),1))</f>
        <v/>
      </c>
      <c r="F157" s="36" t="n">
        <f aca="false">IF(OR(E157="",D157=""),0,IF(C157="Actual",D157,IF(COUNTIFS($A$2:$A$2001,A157,$E$2:$E$2001,E157,$C$2:$C$2001,"Actual")&gt;0,0,D157)))</f>
        <v>0</v>
      </c>
    </row>
    <row r="158" customFormat="false" ht="15" hidden="false" customHeight="false" outlineLevel="0" collapsed="false">
      <c r="A158" s="32"/>
      <c r="B158" s="35"/>
      <c r="C158" s="32"/>
      <c r="D158" s="34"/>
      <c r="E158" s="42" t="str">
        <f aca="false">IF(OR(A158="",B158=""),"",DATE(YEAR(B158),MONTH(B158),1))</f>
        <v/>
      </c>
      <c r="F158" s="36" t="n">
        <f aca="false">IF(OR(E158="",D158=""),0,IF(C158="Actual",D158,IF(COUNTIFS($A$2:$A$2001,A158,$E$2:$E$2001,E158,$C$2:$C$2001,"Actual")&gt;0,0,D158)))</f>
        <v>0</v>
      </c>
    </row>
    <row r="159" customFormat="false" ht="15" hidden="false" customHeight="false" outlineLevel="0" collapsed="false">
      <c r="A159" s="32"/>
      <c r="B159" s="35"/>
      <c r="C159" s="32"/>
      <c r="D159" s="34"/>
      <c r="E159" s="42" t="str">
        <f aca="false">IF(OR(A159="",B159=""),"",DATE(YEAR(B159),MONTH(B159),1))</f>
        <v/>
      </c>
      <c r="F159" s="36" t="n">
        <f aca="false">IF(OR(E159="",D159=""),0,IF(C159="Actual",D159,IF(COUNTIFS($A$2:$A$2001,A159,$E$2:$E$2001,E159,$C$2:$C$2001,"Actual")&gt;0,0,D159)))</f>
        <v>0</v>
      </c>
    </row>
    <row r="160" customFormat="false" ht="15" hidden="false" customHeight="false" outlineLevel="0" collapsed="false">
      <c r="A160" s="32"/>
      <c r="B160" s="35"/>
      <c r="C160" s="32"/>
      <c r="D160" s="34"/>
      <c r="E160" s="42" t="str">
        <f aca="false">IF(OR(A160="",B160=""),"",DATE(YEAR(B160),MONTH(B160),1))</f>
        <v/>
      </c>
      <c r="F160" s="36" t="n">
        <f aca="false">IF(OR(E160="",D160=""),0,IF(C160="Actual",D160,IF(COUNTIFS($A$2:$A$2001,A160,$E$2:$E$2001,E160,$C$2:$C$2001,"Actual")&gt;0,0,D160)))</f>
        <v>0</v>
      </c>
    </row>
    <row r="161" customFormat="false" ht="15" hidden="false" customHeight="false" outlineLevel="0" collapsed="false">
      <c r="A161" s="32"/>
      <c r="B161" s="35"/>
      <c r="C161" s="32"/>
      <c r="D161" s="34"/>
      <c r="E161" s="42" t="str">
        <f aca="false">IF(OR(A161="",B161=""),"",DATE(YEAR(B161),MONTH(B161),1))</f>
        <v/>
      </c>
      <c r="F161" s="36" t="n">
        <f aca="false">IF(OR(E161="",D161=""),0,IF(C161="Actual",D161,IF(COUNTIFS($A$2:$A$2001,A161,$E$2:$E$2001,E161,$C$2:$C$2001,"Actual")&gt;0,0,D161)))</f>
        <v>0</v>
      </c>
    </row>
    <row r="162" customFormat="false" ht="15" hidden="false" customHeight="false" outlineLevel="0" collapsed="false">
      <c r="A162" s="32"/>
      <c r="B162" s="35"/>
      <c r="C162" s="32"/>
      <c r="D162" s="34"/>
      <c r="E162" s="42" t="str">
        <f aca="false">IF(OR(A162="",B162=""),"",DATE(YEAR(B162),MONTH(B162),1))</f>
        <v/>
      </c>
      <c r="F162" s="36" t="n">
        <f aca="false">IF(OR(E162="",D162=""),0,IF(C162="Actual",D162,IF(COUNTIFS($A$2:$A$2001,A162,$E$2:$E$2001,E162,$C$2:$C$2001,"Actual")&gt;0,0,D162)))</f>
        <v>0</v>
      </c>
    </row>
    <row r="163" customFormat="false" ht="15" hidden="false" customHeight="false" outlineLevel="0" collapsed="false">
      <c r="A163" s="32"/>
      <c r="B163" s="35"/>
      <c r="C163" s="32"/>
      <c r="D163" s="34"/>
      <c r="E163" s="42" t="str">
        <f aca="false">IF(OR(A163="",B163=""),"",DATE(YEAR(B163),MONTH(B163),1))</f>
        <v/>
      </c>
      <c r="F163" s="36" t="n">
        <f aca="false">IF(OR(E163="",D163=""),0,IF(C163="Actual",D163,IF(COUNTIFS($A$2:$A$2001,A163,$E$2:$E$2001,E163,$C$2:$C$2001,"Actual")&gt;0,0,D163)))</f>
        <v>0</v>
      </c>
    </row>
    <row r="164" customFormat="false" ht="15" hidden="false" customHeight="false" outlineLevel="0" collapsed="false">
      <c r="A164" s="32"/>
      <c r="B164" s="35"/>
      <c r="C164" s="32"/>
      <c r="D164" s="34"/>
      <c r="E164" s="42" t="str">
        <f aca="false">IF(OR(A164="",B164=""),"",DATE(YEAR(B164),MONTH(B164),1))</f>
        <v/>
      </c>
      <c r="F164" s="36" t="n">
        <f aca="false">IF(OR(E164="",D164=""),0,IF(C164="Actual",D164,IF(COUNTIFS($A$2:$A$2001,A164,$E$2:$E$2001,E164,$C$2:$C$2001,"Actual")&gt;0,0,D164)))</f>
        <v>0</v>
      </c>
    </row>
    <row r="165" customFormat="false" ht="15" hidden="false" customHeight="false" outlineLevel="0" collapsed="false">
      <c r="A165" s="32"/>
      <c r="B165" s="35"/>
      <c r="C165" s="32"/>
      <c r="D165" s="34"/>
      <c r="E165" s="42" t="str">
        <f aca="false">IF(OR(A165="",B165=""),"",DATE(YEAR(B165),MONTH(B165),1))</f>
        <v/>
      </c>
      <c r="F165" s="36" t="n">
        <f aca="false">IF(OR(E165="",D165=""),0,IF(C165="Actual",D165,IF(COUNTIFS($A$2:$A$2001,A165,$E$2:$E$2001,E165,$C$2:$C$2001,"Actual")&gt;0,0,D165)))</f>
        <v>0</v>
      </c>
    </row>
    <row r="166" customFormat="false" ht="15" hidden="false" customHeight="false" outlineLevel="0" collapsed="false">
      <c r="A166" s="32"/>
      <c r="B166" s="35"/>
      <c r="C166" s="32"/>
      <c r="D166" s="34"/>
      <c r="E166" s="42" t="str">
        <f aca="false">IF(OR(A166="",B166=""),"",DATE(YEAR(B166),MONTH(B166),1))</f>
        <v/>
      </c>
      <c r="F166" s="36" t="n">
        <f aca="false">IF(OR(E166="",D166=""),0,IF(C166="Actual",D166,IF(COUNTIFS($A$2:$A$2001,A166,$E$2:$E$2001,E166,$C$2:$C$2001,"Actual")&gt;0,0,D166)))</f>
        <v>0</v>
      </c>
    </row>
    <row r="167" customFormat="false" ht="15" hidden="false" customHeight="false" outlineLevel="0" collapsed="false">
      <c r="A167" s="32"/>
      <c r="B167" s="35"/>
      <c r="C167" s="32"/>
      <c r="D167" s="34"/>
      <c r="E167" s="42" t="str">
        <f aca="false">IF(OR(A167="",B167=""),"",DATE(YEAR(B167),MONTH(B167),1))</f>
        <v/>
      </c>
      <c r="F167" s="36" t="n">
        <f aca="false">IF(OR(E167="",D167=""),0,IF(C167="Actual",D167,IF(COUNTIFS($A$2:$A$2001,A167,$E$2:$E$2001,E167,$C$2:$C$2001,"Actual")&gt;0,0,D167)))</f>
        <v>0</v>
      </c>
    </row>
    <row r="168" customFormat="false" ht="15" hidden="false" customHeight="false" outlineLevel="0" collapsed="false">
      <c r="A168" s="32"/>
      <c r="B168" s="35"/>
      <c r="C168" s="32"/>
      <c r="D168" s="34"/>
      <c r="E168" s="42" t="str">
        <f aca="false">IF(OR(A168="",B168=""),"",DATE(YEAR(B168),MONTH(B168),1))</f>
        <v/>
      </c>
      <c r="F168" s="36" t="n">
        <f aca="false">IF(OR(E168="",D168=""),0,IF(C168="Actual",D168,IF(COUNTIFS($A$2:$A$2001,A168,$E$2:$E$2001,E168,$C$2:$C$2001,"Actual")&gt;0,0,D168)))</f>
        <v>0</v>
      </c>
    </row>
    <row r="169" customFormat="false" ht="15" hidden="false" customHeight="false" outlineLevel="0" collapsed="false">
      <c r="A169" s="32"/>
      <c r="B169" s="35"/>
      <c r="C169" s="32"/>
      <c r="D169" s="34"/>
      <c r="E169" s="42" t="str">
        <f aca="false">IF(OR(A169="",B169=""),"",DATE(YEAR(B169),MONTH(B169),1))</f>
        <v/>
      </c>
      <c r="F169" s="36" t="n">
        <f aca="false">IF(OR(E169="",D169=""),0,IF(C169="Actual",D169,IF(COUNTIFS($A$2:$A$2001,A169,$E$2:$E$2001,E169,$C$2:$C$2001,"Actual")&gt;0,0,D169)))</f>
        <v>0</v>
      </c>
    </row>
    <row r="170" customFormat="false" ht="15" hidden="false" customHeight="false" outlineLevel="0" collapsed="false">
      <c r="A170" s="32"/>
      <c r="B170" s="35"/>
      <c r="C170" s="32"/>
      <c r="D170" s="34"/>
      <c r="E170" s="42" t="str">
        <f aca="false">IF(OR(A170="",B170=""),"",DATE(YEAR(B170),MONTH(B170),1))</f>
        <v/>
      </c>
      <c r="F170" s="36" t="n">
        <f aca="false">IF(OR(E170="",D170=""),0,IF(C170="Actual",D170,IF(COUNTIFS($A$2:$A$2001,A170,$E$2:$E$2001,E170,$C$2:$C$2001,"Actual")&gt;0,0,D170)))</f>
        <v>0</v>
      </c>
    </row>
    <row r="171" customFormat="false" ht="15" hidden="false" customHeight="false" outlineLevel="0" collapsed="false">
      <c r="A171" s="32"/>
      <c r="B171" s="35"/>
      <c r="C171" s="32"/>
      <c r="D171" s="34"/>
      <c r="E171" s="42" t="str">
        <f aca="false">IF(OR(A171="",B171=""),"",DATE(YEAR(B171),MONTH(B171),1))</f>
        <v/>
      </c>
      <c r="F171" s="36" t="n">
        <f aca="false">IF(OR(E171="",D171=""),0,IF(C171="Actual",D171,IF(COUNTIFS($A$2:$A$2001,A171,$E$2:$E$2001,E171,$C$2:$C$2001,"Actual")&gt;0,0,D171)))</f>
        <v>0</v>
      </c>
    </row>
    <row r="172" customFormat="false" ht="15" hidden="false" customHeight="false" outlineLevel="0" collapsed="false">
      <c r="A172" s="32"/>
      <c r="B172" s="35"/>
      <c r="C172" s="32"/>
      <c r="D172" s="34"/>
      <c r="E172" s="42" t="str">
        <f aca="false">IF(OR(A172="",B172=""),"",DATE(YEAR(B172),MONTH(B172),1))</f>
        <v/>
      </c>
      <c r="F172" s="36" t="n">
        <f aca="false">IF(OR(E172="",D172=""),0,IF(C172="Actual",D172,IF(COUNTIFS($A$2:$A$2001,A172,$E$2:$E$2001,E172,$C$2:$C$2001,"Actual")&gt;0,0,D172)))</f>
        <v>0</v>
      </c>
    </row>
    <row r="173" customFormat="false" ht="15" hidden="false" customHeight="false" outlineLevel="0" collapsed="false">
      <c r="A173" s="32"/>
      <c r="B173" s="35"/>
      <c r="C173" s="32"/>
      <c r="D173" s="34"/>
      <c r="E173" s="42" t="str">
        <f aca="false">IF(OR(A173="",B173=""),"",DATE(YEAR(B173),MONTH(B173),1))</f>
        <v/>
      </c>
      <c r="F173" s="36" t="n">
        <f aca="false">IF(OR(E173="",D173=""),0,IF(C173="Actual",D173,IF(COUNTIFS($A$2:$A$2001,A173,$E$2:$E$2001,E173,$C$2:$C$2001,"Actual")&gt;0,0,D173)))</f>
        <v>0</v>
      </c>
    </row>
    <row r="174" customFormat="false" ht="15" hidden="false" customHeight="false" outlineLevel="0" collapsed="false">
      <c r="A174" s="32"/>
      <c r="B174" s="35"/>
      <c r="C174" s="32"/>
      <c r="D174" s="34"/>
      <c r="E174" s="42" t="str">
        <f aca="false">IF(OR(A174="",B174=""),"",DATE(YEAR(B174),MONTH(B174),1))</f>
        <v/>
      </c>
      <c r="F174" s="36" t="n">
        <f aca="false">IF(OR(E174="",D174=""),0,IF(C174="Actual",D174,IF(COUNTIFS($A$2:$A$2001,A174,$E$2:$E$2001,E174,$C$2:$C$2001,"Actual")&gt;0,0,D174)))</f>
        <v>0</v>
      </c>
    </row>
    <row r="175" customFormat="false" ht="15" hidden="false" customHeight="false" outlineLevel="0" collapsed="false">
      <c r="A175" s="32"/>
      <c r="B175" s="35"/>
      <c r="C175" s="32"/>
      <c r="D175" s="34"/>
      <c r="E175" s="42" t="str">
        <f aca="false">IF(OR(A175="",B175=""),"",DATE(YEAR(B175),MONTH(B175),1))</f>
        <v/>
      </c>
      <c r="F175" s="36" t="n">
        <f aca="false">IF(OR(E175="",D175=""),0,IF(C175="Actual",D175,IF(COUNTIFS($A$2:$A$2001,A175,$E$2:$E$2001,E175,$C$2:$C$2001,"Actual")&gt;0,0,D175)))</f>
        <v>0</v>
      </c>
    </row>
    <row r="176" customFormat="false" ht="15" hidden="false" customHeight="false" outlineLevel="0" collapsed="false">
      <c r="A176" s="32"/>
      <c r="B176" s="35"/>
      <c r="C176" s="32"/>
      <c r="D176" s="34"/>
      <c r="E176" s="42" t="str">
        <f aca="false">IF(OR(A176="",B176=""),"",DATE(YEAR(B176),MONTH(B176),1))</f>
        <v/>
      </c>
      <c r="F176" s="36" t="n">
        <f aca="false">IF(OR(E176="",D176=""),0,IF(C176="Actual",D176,IF(COUNTIFS($A$2:$A$2001,A176,$E$2:$E$2001,E176,$C$2:$C$2001,"Actual")&gt;0,0,D176)))</f>
        <v>0</v>
      </c>
    </row>
    <row r="177" customFormat="false" ht="15" hidden="false" customHeight="false" outlineLevel="0" collapsed="false">
      <c r="A177" s="32"/>
      <c r="B177" s="35"/>
      <c r="C177" s="32"/>
      <c r="D177" s="34"/>
      <c r="E177" s="42" t="str">
        <f aca="false">IF(OR(A177="",B177=""),"",DATE(YEAR(B177),MONTH(B177),1))</f>
        <v/>
      </c>
      <c r="F177" s="36" t="n">
        <f aca="false">IF(OR(E177="",D177=""),0,IF(C177="Actual",D177,IF(COUNTIFS($A$2:$A$2001,A177,$E$2:$E$2001,E177,$C$2:$C$2001,"Actual")&gt;0,0,D177)))</f>
        <v>0</v>
      </c>
    </row>
    <row r="178" customFormat="false" ht="15" hidden="false" customHeight="false" outlineLevel="0" collapsed="false">
      <c r="A178" s="32"/>
      <c r="B178" s="35"/>
      <c r="C178" s="32"/>
      <c r="D178" s="34"/>
      <c r="E178" s="42" t="str">
        <f aca="false">IF(OR(A178="",B178=""),"",DATE(YEAR(B178),MONTH(B178),1))</f>
        <v/>
      </c>
      <c r="F178" s="36" t="n">
        <f aca="false">IF(OR(E178="",D178=""),0,IF(C178="Actual",D178,IF(COUNTIFS($A$2:$A$2001,A178,$E$2:$E$2001,E178,$C$2:$C$2001,"Actual")&gt;0,0,D178)))</f>
        <v>0</v>
      </c>
    </row>
    <row r="179" customFormat="false" ht="15" hidden="false" customHeight="false" outlineLevel="0" collapsed="false">
      <c r="A179" s="32"/>
      <c r="B179" s="35"/>
      <c r="C179" s="32"/>
      <c r="D179" s="34"/>
      <c r="E179" s="42" t="str">
        <f aca="false">IF(OR(A179="",B179=""),"",DATE(YEAR(B179),MONTH(B179),1))</f>
        <v/>
      </c>
      <c r="F179" s="36" t="n">
        <f aca="false">IF(OR(E179="",D179=""),0,IF(C179="Actual",D179,IF(COUNTIFS($A$2:$A$2001,A179,$E$2:$E$2001,E179,$C$2:$C$2001,"Actual")&gt;0,0,D179)))</f>
        <v>0</v>
      </c>
    </row>
    <row r="180" customFormat="false" ht="15" hidden="false" customHeight="false" outlineLevel="0" collapsed="false">
      <c r="A180" s="32"/>
      <c r="B180" s="35"/>
      <c r="C180" s="32"/>
      <c r="D180" s="34"/>
      <c r="E180" s="42" t="str">
        <f aca="false">IF(OR(A180="",B180=""),"",DATE(YEAR(B180),MONTH(B180),1))</f>
        <v/>
      </c>
      <c r="F180" s="36" t="n">
        <f aca="false">IF(OR(E180="",D180=""),0,IF(C180="Actual",D180,IF(COUNTIFS($A$2:$A$2001,A180,$E$2:$E$2001,E180,$C$2:$C$2001,"Actual")&gt;0,0,D180)))</f>
        <v>0</v>
      </c>
    </row>
    <row r="181" customFormat="false" ht="15" hidden="false" customHeight="false" outlineLevel="0" collapsed="false">
      <c r="A181" s="32"/>
      <c r="B181" s="35"/>
      <c r="C181" s="32"/>
      <c r="D181" s="34"/>
      <c r="E181" s="42" t="str">
        <f aca="false">IF(OR(A181="",B181=""),"",DATE(YEAR(B181),MONTH(B181),1))</f>
        <v/>
      </c>
      <c r="F181" s="36" t="n">
        <f aca="false">IF(OR(E181="",D181=""),0,IF(C181="Actual",D181,IF(COUNTIFS($A$2:$A$2001,A181,$E$2:$E$2001,E181,$C$2:$C$2001,"Actual")&gt;0,0,D181)))</f>
        <v>0</v>
      </c>
    </row>
    <row r="182" customFormat="false" ht="15" hidden="false" customHeight="false" outlineLevel="0" collapsed="false">
      <c r="A182" s="32"/>
      <c r="B182" s="35"/>
      <c r="C182" s="32"/>
      <c r="D182" s="34"/>
      <c r="E182" s="42" t="str">
        <f aca="false">IF(OR(A182="",B182=""),"",DATE(YEAR(B182),MONTH(B182),1))</f>
        <v/>
      </c>
      <c r="F182" s="36" t="n">
        <f aca="false">IF(OR(E182="",D182=""),0,IF(C182="Actual",D182,IF(COUNTIFS($A$2:$A$2001,A182,$E$2:$E$2001,E182,$C$2:$C$2001,"Actual")&gt;0,0,D182)))</f>
        <v>0</v>
      </c>
    </row>
    <row r="183" customFormat="false" ht="15" hidden="false" customHeight="false" outlineLevel="0" collapsed="false">
      <c r="A183" s="32"/>
      <c r="B183" s="35"/>
      <c r="C183" s="32"/>
      <c r="D183" s="34"/>
      <c r="E183" s="42" t="str">
        <f aca="false">IF(OR(A183="",B183=""),"",DATE(YEAR(B183),MONTH(B183),1))</f>
        <v/>
      </c>
      <c r="F183" s="36" t="n">
        <f aca="false">IF(OR(E183="",D183=""),0,IF(C183="Actual",D183,IF(COUNTIFS($A$2:$A$2001,A183,$E$2:$E$2001,E183,$C$2:$C$2001,"Actual")&gt;0,0,D183)))</f>
        <v>0</v>
      </c>
    </row>
    <row r="184" customFormat="false" ht="15" hidden="false" customHeight="false" outlineLevel="0" collapsed="false">
      <c r="A184" s="32"/>
      <c r="B184" s="35"/>
      <c r="C184" s="32"/>
      <c r="D184" s="34"/>
      <c r="E184" s="42" t="str">
        <f aca="false">IF(OR(A184="",B184=""),"",DATE(YEAR(B184),MONTH(B184),1))</f>
        <v/>
      </c>
      <c r="F184" s="36" t="n">
        <f aca="false">IF(OR(E184="",D184=""),0,IF(C184="Actual",D184,IF(COUNTIFS($A$2:$A$2001,A184,$E$2:$E$2001,E184,$C$2:$C$2001,"Actual")&gt;0,0,D184)))</f>
        <v>0</v>
      </c>
    </row>
    <row r="185" customFormat="false" ht="15" hidden="false" customHeight="false" outlineLevel="0" collapsed="false">
      <c r="A185" s="32"/>
      <c r="B185" s="35"/>
      <c r="C185" s="32"/>
      <c r="D185" s="34"/>
      <c r="E185" s="42" t="str">
        <f aca="false">IF(OR(A185="",B185=""),"",DATE(YEAR(B185),MONTH(B185),1))</f>
        <v/>
      </c>
      <c r="F185" s="36" t="n">
        <f aca="false">IF(OR(E185="",D185=""),0,IF(C185="Actual",D185,IF(COUNTIFS($A$2:$A$2001,A185,$E$2:$E$2001,E185,$C$2:$C$2001,"Actual")&gt;0,0,D185)))</f>
        <v>0</v>
      </c>
    </row>
    <row r="186" customFormat="false" ht="15" hidden="false" customHeight="false" outlineLevel="0" collapsed="false">
      <c r="A186" s="32"/>
      <c r="B186" s="35"/>
      <c r="C186" s="32"/>
      <c r="D186" s="34"/>
      <c r="E186" s="42" t="str">
        <f aca="false">IF(OR(A186="",B186=""),"",DATE(YEAR(B186),MONTH(B186),1))</f>
        <v/>
      </c>
      <c r="F186" s="36" t="n">
        <f aca="false">IF(OR(E186="",D186=""),0,IF(C186="Actual",D186,IF(COUNTIFS($A$2:$A$2001,A186,$E$2:$E$2001,E186,$C$2:$C$2001,"Actual")&gt;0,0,D186)))</f>
        <v>0</v>
      </c>
    </row>
    <row r="187" customFormat="false" ht="15" hidden="false" customHeight="false" outlineLevel="0" collapsed="false">
      <c r="A187" s="32"/>
      <c r="B187" s="35"/>
      <c r="C187" s="32"/>
      <c r="D187" s="34"/>
      <c r="E187" s="42" t="str">
        <f aca="false">IF(OR(A187="",B187=""),"",DATE(YEAR(B187),MONTH(B187),1))</f>
        <v/>
      </c>
      <c r="F187" s="36" t="n">
        <f aca="false">IF(OR(E187="",D187=""),0,IF(C187="Actual",D187,IF(COUNTIFS($A$2:$A$2001,A187,$E$2:$E$2001,E187,$C$2:$C$2001,"Actual")&gt;0,0,D187)))</f>
        <v>0</v>
      </c>
    </row>
    <row r="188" customFormat="false" ht="15" hidden="false" customHeight="false" outlineLevel="0" collapsed="false">
      <c r="A188" s="32"/>
      <c r="B188" s="35"/>
      <c r="C188" s="32"/>
      <c r="D188" s="34"/>
      <c r="E188" s="42" t="str">
        <f aca="false">IF(OR(A188="",B188=""),"",DATE(YEAR(B188),MONTH(B188),1))</f>
        <v/>
      </c>
      <c r="F188" s="36" t="n">
        <f aca="false">IF(OR(E188="",D188=""),0,IF(C188="Actual",D188,IF(COUNTIFS($A$2:$A$2001,A188,$E$2:$E$2001,E188,$C$2:$C$2001,"Actual")&gt;0,0,D188)))</f>
        <v>0</v>
      </c>
    </row>
    <row r="189" customFormat="false" ht="15" hidden="false" customHeight="false" outlineLevel="0" collapsed="false">
      <c r="A189" s="32"/>
      <c r="B189" s="35"/>
      <c r="C189" s="32"/>
      <c r="D189" s="34"/>
      <c r="E189" s="42" t="str">
        <f aca="false">IF(OR(A189="",B189=""),"",DATE(YEAR(B189),MONTH(B189),1))</f>
        <v/>
      </c>
      <c r="F189" s="36" t="n">
        <f aca="false">IF(OR(E189="",D189=""),0,IF(C189="Actual",D189,IF(COUNTIFS($A$2:$A$2001,A189,$E$2:$E$2001,E189,$C$2:$C$2001,"Actual")&gt;0,0,D189)))</f>
        <v>0</v>
      </c>
    </row>
    <row r="190" customFormat="false" ht="15" hidden="false" customHeight="false" outlineLevel="0" collapsed="false">
      <c r="A190" s="32"/>
      <c r="B190" s="35"/>
      <c r="C190" s="32"/>
      <c r="D190" s="34"/>
      <c r="E190" s="42" t="str">
        <f aca="false">IF(OR(A190="",B190=""),"",DATE(YEAR(B190),MONTH(B190),1))</f>
        <v/>
      </c>
      <c r="F190" s="36" t="n">
        <f aca="false">IF(OR(E190="",D190=""),0,IF(C190="Actual",D190,IF(COUNTIFS($A$2:$A$2001,A190,$E$2:$E$2001,E190,$C$2:$C$2001,"Actual")&gt;0,0,D190)))</f>
        <v>0</v>
      </c>
    </row>
    <row r="191" customFormat="false" ht="15" hidden="false" customHeight="false" outlineLevel="0" collapsed="false">
      <c r="A191" s="32"/>
      <c r="B191" s="35"/>
      <c r="C191" s="32"/>
      <c r="D191" s="34"/>
      <c r="E191" s="42" t="str">
        <f aca="false">IF(OR(A191="",B191=""),"",DATE(YEAR(B191),MONTH(B191),1))</f>
        <v/>
      </c>
      <c r="F191" s="36" t="n">
        <f aca="false">IF(OR(E191="",D191=""),0,IF(C191="Actual",D191,IF(COUNTIFS($A$2:$A$2001,A191,$E$2:$E$2001,E191,$C$2:$C$2001,"Actual")&gt;0,0,D191)))</f>
        <v>0</v>
      </c>
    </row>
    <row r="192" customFormat="false" ht="15" hidden="false" customHeight="false" outlineLevel="0" collapsed="false">
      <c r="A192" s="32"/>
      <c r="B192" s="35"/>
      <c r="C192" s="32"/>
      <c r="D192" s="34"/>
      <c r="E192" s="42" t="str">
        <f aca="false">IF(OR(A192="",B192=""),"",DATE(YEAR(B192),MONTH(B192),1))</f>
        <v/>
      </c>
      <c r="F192" s="36" t="n">
        <f aca="false">IF(OR(E192="",D192=""),0,IF(C192="Actual",D192,IF(COUNTIFS($A$2:$A$2001,A192,$E$2:$E$2001,E192,$C$2:$C$2001,"Actual")&gt;0,0,D192)))</f>
        <v>0</v>
      </c>
    </row>
    <row r="193" customFormat="false" ht="15" hidden="false" customHeight="false" outlineLevel="0" collapsed="false">
      <c r="A193" s="32"/>
      <c r="B193" s="35"/>
      <c r="C193" s="32"/>
      <c r="D193" s="34"/>
      <c r="E193" s="42" t="str">
        <f aca="false">IF(OR(A193="",B193=""),"",DATE(YEAR(B193),MONTH(B193),1))</f>
        <v/>
      </c>
      <c r="F193" s="36" t="n">
        <f aca="false">IF(OR(E193="",D193=""),0,IF(C193="Actual",D193,IF(COUNTIFS($A$2:$A$2001,A193,$E$2:$E$2001,E193,$C$2:$C$2001,"Actual")&gt;0,0,D193)))</f>
        <v>0</v>
      </c>
    </row>
    <row r="194" customFormat="false" ht="15" hidden="false" customHeight="false" outlineLevel="0" collapsed="false">
      <c r="A194" s="32"/>
      <c r="B194" s="35"/>
      <c r="C194" s="32"/>
      <c r="D194" s="34"/>
      <c r="E194" s="42" t="str">
        <f aca="false">IF(OR(A194="",B194=""),"",DATE(YEAR(B194),MONTH(B194),1))</f>
        <v/>
      </c>
      <c r="F194" s="36" t="n">
        <f aca="false">IF(OR(E194="",D194=""),0,IF(C194="Actual",D194,IF(COUNTIFS($A$2:$A$2001,A194,$E$2:$E$2001,E194,$C$2:$C$2001,"Actual")&gt;0,0,D194)))</f>
        <v>0</v>
      </c>
    </row>
    <row r="195" customFormat="false" ht="15" hidden="false" customHeight="false" outlineLevel="0" collapsed="false">
      <c r="A195" s="32"/>
      <c r="B195" s="35"/>
      <c r="C195" s="32"/>
      <c r="D195" s="34"/>
      <c r="E195" s="42" t="str">
        <f aca="false">IF(OR(A195="",B195=""),"",DATE(YEAR(B195),MONTH(B195),1))</f>
        <v/>
      </c>
      <c r="F195" s="36" t="n">
        <f aca="false">IF(OR(E195="",D195=""),0,IF(C195="Actual",D195,IF(COUNTIFS($A$2:$A$2001,A195,$E$2:$E$2001,E195,$C$2:$C$2001,"Actual")&gt;0,0,D195)))</f>
        <v>0</v>
      </c>
    </row>
    <row r="196" customFormat="false" ht="15" hidden="false" customHeight="false" outlineLevel="0" collapsed="false">
      <c r="A196" s="32"/>
      <c r="B196" s="35"/>
      <c r="C196" s="32"/>
      <c r="D196" s="34"/>
      <c r="E196" s="42" t="str">
        <f aca="false">IF(OR(A196="",B196=""),"",DATE(YEAR(B196),MONTH(B196),1))</f>
        <v/>
      </c>
      <c r="F196" s="36" t="n">
        <f aca="false">IF(OR(E196="",D196=""),0,IF(C196="Actual",D196,IF(COUNTIFS($A$2:$A$2001,A196,$E$2:$E$2001,E196,$C$2:$C$2001,"Actual")&gt;0,0,D196)))</f>
        <v>0</v>
      </c>
    </row>
    <row r="197" customFormat="false" ht="15" hidden="false" customHeight="false" outlineLevel="0" collapsed="false">
      <c r="A197" s="32"/>
      <c r="B197" s="35"/>
      <c r="C197" s="32"/>
      <c r="D197" s="34"/>
      <c r="E197" s="42" t="str">
        <f aca="false">IF(OR(A197="",B197=""),"",DATE(YEAR(B197),MONTH(B197),1))</f>
        <v/>
      </c>
      <c r="F197" s="36" t="n">
        <f aca="false">IF(OR(E197="",D197=""),0,IF(C197="Actual",D197,IF(COUNTIFS($A$2:$A$2001,A197,$E$2:$E$2001,E197,$C$2:$C$2001,"Actual")&gt;0,0,D197)))</f>
        <v>0</v>
      </c>
    </row>
    <row r="198" customFormat="false" ht="15" hidden="false" customHeight="false" outlineLevel="0" collapsed="false">
      <c r="A198" s="32"/>
      <c r="B198" s="35"/>
      <c r="C198" s="32"/>
      <c r="D198" s="34"/>
      <c r="E198" s="42" t="str">
        <f aca="false">IF(OR(A198="",B198=""),"",DATE(YEAR(B198),MONTH(B198),1))</f>
        <v/>
      </c>
      <c r="F198" s="36" t="n">
        <f aca="false">IF(OR(E198="",D198=""),0,IF(C198="Actual",D198,IF(COUNTIFS($A$2:$A$2001,A198,$E$2:$E$2001,E198,$C$2:$C$2001,"Actual")&gt;0,0,D198)))</f>
        <v>0</v>
      </c>
    </row>
    <row r="199" customFormat="false" ht="15" hidden="false" customHeight="false" outlineLevel="0" collapsed="false">
      <c r="A199" s="32"/>
      <c r="B199" s="35"/>
      <c r="C199" s="32"/>
      <c r="D199" s="34"/>
      <c r="E199" s="42" t="str">
        <f aca="false">IF(OR(A199="",B199=""),"",DATE(YEAR(B199),MONTH(B199),1))</f>
        <v/>
      </c>
      <c r="F199" s="36" t="n">
        <f aca="false">IF(OR(E199="",D199=""),0,IF(C199="Actual",D199,IF(COUNTIFS($A$2:$A$2001,A199,$E$2:$E$2001,E199,$C$2:$C$2001,"Actual")&gt;0,0,D199)))</f>
        <v>0</v>
      </c>
    </row>
    <row r="200" customFormat="false" ht="15" hidden="false" customHeight="false" outlineLevel="0" collapsed="false">
      <c r="A200" s="32"/>
      <c r="B200" s="35"/>
      <c r="C200" s="32"/>
      <c r="D200" s="34"/>
      <c r="E200" s="42" t="str">
        <f aca="false">IF(OR(A200="",B200=""),"",DATE(YEAR(B200),MONTH(B200),1))</f>
        <v/>
      </c>
      <c r="F200" s="36" t="n">
        <f aca="false">IF(OR(E200="",D200=""),0,IF(C200="Actual",D200,IF(COUNTIFS($A$2:$A$2001,A200,$E$2:$E$2001,E200,$C$2:$C$2001,"Actual")&gt;0,0,D200)))</f>
        <v>0</v>
      </c>
    </row>
    <row r="201" customFormat="false" ht="15" hidden="false" customHeight="false" outlineLevel="0" collapsed="false">
      <c r="A201" s="32"/>
      <c r="B201" s="35"/>
      <c r="C201" s="32"/>
      <c r="D201" s="34"/>
      <c r="E201" s="42" t="str">
        <f aca="false">IF(OR(A201="",B201=""),"",DATE(YEAR(B201),MONTH(B201),1))</f>
        <v/>
      </c>
      <c r="F201" s="36" t="n">
        <f aca="false">IF(OR(E201="",D201=""),0,IF(C201="Actual",D201,IF(COUNTIFS($A$2:$A$2001,A201,$E$2:$E$2001,E201,$C$2:$C$2001,"Actual")&gt;0,0,D201)))</f>
        <v>0</v>
      </c>
    </row>
    <row r="202" customFormat="false" ht="15" hidden="false" customHeight="false" outlineLevel="0" collapsed="false">
      <c r="A202" s="32"/>
      <c r="B202" s="35"/>
      <c r="C202" s="32"/>
      <c r="D202" s="34"/>
      <c r="E202" s="42" t="str">
        <f aca="false">IF(OR(A202="",B202=""),"",DATE(YEAR(B202),MONTH(B202),1))</f>
        <v/>
      </c>
      <c r="F202" s="36" t="n">
        <f aca="false">IF(OR(E202="",D202=""),0,IF(C202="Actual",D202,IF(COUNTIFS($A$2:$A$2001,A202,$E$2:$E$2001,E202,$C$2:$C$2001,"Actual")&gt;0,0,D202)))</f>
        <v>0</v>
      </c>
    </row>
    <row r="203" customFormat="false" ht="15" hidden="false" customHeight="false" outlineLevel="0" collapsed="false">
      <c r="A203" s="32"/>
      <c r="B203" s="35"/>
      <c r="C203" s="32"/>
      <c r="D203" s="34"/>
      <c r="E203" s="42" t="str">
        <f aca="false">IF(OR(A203="",B203=""),"",DATE(YEAR(B203),MONTH(B203),1))</f>
        <v/>
      </c>
      <c r="F203" s="36" t="n">
        <f aca="false">IF(OR(E203="",D203=""),0,IF(C203="Actual",D203,IF(COUNTIFS($A$2:$A$2001,A203,$E$2:$E$2001,E203,$C$2:$C$2001,"Actual")&gt;0,0,D203)))</f>
        <v>0</v>
      </c>
    </row>
    <row r="204" customFormat="false" ht="15" hidden="false" customHeight="false" outlineLevel="0" collapsed="false">
      <c r="A204" s="32"/>
      <c r="B204" s="35"/>
      <c r="C204" s="32"/>
      <c r="D204" s="34"/>
      <c r="E204" s="42" t="str">
        <f aca="false">IF(OR(A204="",B204=""),"",DATE(YEAR(B204),MONTH(B204),1))</f>
        <v/>
      </c>
      <c r="F204" s="36" t="n">
        <f aca="false">IF(OR(E204="",D204=""),0,IF(C204="Actual",D204,IF(COUNTIFS($A$2:$A$2001,A204,$E$2:$E$2001,E204,$C$2:$C$2001,"Actual")&gt;0,0,D204)))</f>
        <v>0</v>
      </c>
    </row>
    <row r="205" customFormat="false" ht="15" hidden="false" customHeight="false" outlineLevel="0" collapsed="false">
      <c r="A205" s="32"/>
      <c r="B205" s="35"/>
      <c r="C205" s="32"/>
      <c r="D205" s="34"/>
      <c r="E205" s="42" t="str">
        <f aca="false">IF(OR(A205="",B205=""),"",DATE(YEAR(B205),MONTH(B205),1))</f>
        <v/>
      </c>
      <c r="F205" s="36" t="n">
        <f aca="false">IF(OR(E205="",D205=""),0,IF(C205="Actual",D205,IF(COUNTIFS($A$2:$A$2001,A205,$E$2:$E$2001,E205,$C$2:$C$2001,"Actual")&gt;0,0,D205)))</f>
        <v>0</v>
      </c>
    </row>
    <row r="206" customFormat="false" ht="15" hidden="false" customHeight="false" outlineLevel="0" collapsed="false">
      <c r="A206" s="32"/>
      <c r="B206" s="35"/>
      <c r="C206" s="32"/>
      <c r="D206" s="34"/>
      <c r="E206" s="42" t="str">
        <f aca="false">IF(OR(A206="",B206=""),"",DATE(YEAR(B206),MONTH(B206),1))</f>
        <v/>
      </c>
      <c r="F206" s="36" t="n">
        <f aca="false">IF(OR(E206="",D206=""),0,IF(C206="Actual",D206,IF(COUNTIFS($A$2:$A$2001,A206,$E$2:$E$2001,E206,$C$2:$C$2001,"Actual")&gt;0,0,D206)))</f>
        <v>0</v>
      </c>
    </row>
    <row r="207" customFormat="false" ht="15" hidden="false" customHeight="false" outlineLevel="0" collapsed="false">
      <c r="A207" s="32"/>
      <c r="B207" s="35"/>
      <c r="C207" s="32"/>
      <c r="D207" s="34"/>
      <c r="E207" s="42" t="str">
        <f aca="false">IF(OR(A207="",B207=""),"",DATE(YEAR(B207),MONTH(B207),1))</f>
        <v/>
      </c>
      <c r="F207" s="36" t="n">
        <f aca="false">IF(OR(E207="",D207=""),0,IF(C207="Actual",D207,IF(COUNTIFS($A$2:$A$2001,A207,$E$2:$E$2001,E207,$C$2:$C$2001,"Actual")&gt;0,0,D207)))</f>
        <v>0</v>
      </c>
    </row>
    <row r="208" customFormat="false" ht="15" hidden="false" customHeight="false" outlineLevel="0" collapsed="false">
      <c r="A208" s="32"/>
      <c r="B208" s="35"/>
      <c r="C208" s="32"/>
      <c r="D208" s="34"/>
      <c r="E208" s="42" t="str">
        <f aca="false">IF(OR(A208="",B208=""),"",DATE(YEAR(B208),MONTH(B208),1))</f>
        <v/>
      </c>
      <c r="F208" s="36" t="n">
        <f aca="false">IF(OR(E208="",D208=""),0,IF(C208="Actual",D208,IF(COUNTIFS($A$2:$A$2001,A208,$E$2:$E$2001,E208,$C$2:$C$2001,"Actual")&gt;0,0,D208)))</f>
        <v>0</v>
      </c>
    </row>
    <row r="209" customFormat="false" ht="15" hidden="false" customHeight="false" outlineLevel="0" collapsed="false">
      <c r="A209" s="32"/>
      <c r="B209" s="35"/>
      <c r="C209" s="32"/>
      <c r="D209" s="34"/>
      <c r="E209" s="42" t="str">
        <f aca="false">IF(OR(A209="",B209=""),"",DATE(YEAR(B209),MONTH(B209),1))</f>
        <v/>
      </c>
      <c r="F209" s="36" t="n">
        <f aca="false">IF(OR(E209="",D209=""),0,IF(C209="Actual",D209,IF(COUNTIFS($A$2:$A$2001,A209,$E$2:$E$2001,E209,$C$2:$C$2001,"Actual")&gt;0,0,D209)))</f>
        <v>0</v>
      </c>
    </row>
    <row r="210" customFormat="false" ht="15" hidden="false" customHeight="false" outlineLevel="0" collapsed="false">
      <c r="A210" s="32"/>
      <c r="B210" s="35"/>
      <c r="C210" s="32"/>
      <c r="D210" s="34"/>
      <c r="E210" s="42" t="str">
        <f aca="false">IF(OR(A210="",B210=""),"",DATE(YEAR(B210),MONTH(B210),1))</f>
        <v/>
      </c>
      <c r="F210" s="36" t="n">
        <f aca="false">IF(OR(E210="",D210=""),0,IF(C210="Actual",D210,IF(COUNTIFS($A$2:$A$2001,A210,$E$2:$E$2001,E210,$C$2:$C$2001,"Actual")&gt;0,0,D210)))</f>
        <v>0</v>
      </c>
    </row>
    <row r="211" customFormat="false" ht="15" hidden="false" customHeight="false" outlineLevel="0" collapsed="false">
      <c r="A211" s="32"/>
      <c r="B211" s="35"/>
      <c r="C211" s="32"/>
      <c r="D211" s="34"/>
      <c r="E211" s="42" t="str">
        <f aca="false">IF(OR(A211="",B211=""),"",DATE(YEAR(B211),MONTH(B211),1))</f>
        <v/>
      </c>
      <c r="F211" s="36" t="n">
        <f aca="false">IF(OR(E211="",D211=""),0,IF(C211="Actual",D211,IF(COUNTIFS($A$2:$A$2001,A211,$E$2:$E$2001,E211,$C$2:$C$2001,"Actual")&gt;0,0,D211)))</f>
        <v>0</v>
      </c>
    </row>
    <row r="212" customFormat="false" ht="15" hidden="false" customHeight="false" outlineLevel="0" collapsed="false">
      <c r="A212" s="32"/>
      <c r="B212" s="35"/>
      <c r="C212" s="32"/>
      <c r="D212" s="34"/>
      <c r="E212" s="42" t="str">
        <f aca="false">IF(OR(A212="",B212=""),"",DATE(YEAR(B212),MONTH(B212),1))</f>
        <v/>
      </c>
      <c r="F212" s="36" t="n">
        <f aca="false">IF(OR(E212="",D212=""),0,IF(C212="Actual",D212,IF(COUNTIFS($A$2:$A$2001,A212,$E$2:$E$2001,E212,$C$2:$C$2001,"Actual")&gt;0,0,D212)))</f>
        <v>0</v>
      </c>
    </row>
    <row r="213" customFormat="false" ht="15" hidden="false" customHeight="false" outlineLevel="0" collapsed="false">
      <c r="A213" s="32"/>
      <c r="B213" s="35"/>
      <c r="C213" s="32"/>
      <c r="D213" s="34"/>
      <c r="E213" s="42" t="str">
        <f aca="false">IF(OR(A213="",B213=""),"",DATE(YEAR(B213),MONTH(B213),1))</f>
        <v/>
      </c>
      <c r="F213" s="36" t="n">
        <f aca="false">IF(OR(E213="",D213=""),0,IF(C213="Actual",D213,IF(COUNTIFS($A$2:$A$2001,A213,$E$2:$E$2001,E213,$C$2:$C$2001,"Actual")&gt;0,0,D213)))</f>
        <v>0</v>
      </c>
    </row>
    <row r="214" customFormat="false" ht="15" hidden="false" customHeight="false" outlineLevel="0" collapsed="false">
      <c r="A214" s="32"/>
      <c r="B214" s="35"/>
      <c r="C214" s="32"/>
      <c r="D214" s="34"/>
      <c r="E214" s="42" t="str">
        <f aca="false">IF(OR(A214="",B214=""),"",DATE(YEAR(B214),MONTH(B214),1))</f>
        <v/>
      </c>
      <c r="F214" s="36" t="n">
        <f aca="false">IF(OR(E214="",D214=""),0,IF(C214="Actual",D214,IF(COUNTIFS($A$2:$A$2001,A214,$E$2:$E$2001,E214,$C$2:$C$2001,"Actual")&gt;0,0,D214)))</f>
        <v>0</v>
      </c>
    </row>
    <row r="215" customFormat="false" ht="15" hidden="false" customHeight="false" outlineLevel="0" collapsed="false">
      <c r="A215" s="32"/>
      <c r="B215" s="35"/>
      <c r="C215" s="32"/>
      <c r="D215" s="34"/>
      <c r="E215" s="42" t="str">
        <f aca="false">IF(OR(A215="",B215=""),"",DATE(YEAR(B215),MONTH(B215),1))</f>
        <v/>
      </c>
      <c r="F215" s="36" t="n">
        <f aca="false">IF(OR(E215="",D215=""),0,IF(C215="Actual",D215,IF(COUNTIFS($A$2:$A$2001,A215,$E$2:$E$2001,E215,$C$2:$C$2001,"Actual")&gt;0,0,D215)))</f>
        <v>0</v>
      </c>
    </row>
    <row r="216" customFormat="false" ht="15" hidden="false" customHeight="false" outlineLevel="0" collapsed="false">
      <c r="A216" s="32"/>
      <c r="B216" s="35"/>
      <c r="C216" s="32"/>
      <c r="D216" s="34"/>
      <c r="E216" s="42" t="str">
        <f aca="false">IF(OR(A216="",B216=""),"",DATE(YEAR(B216),MONTH(B216),1))</f>
        <v/>
      </c>
      <c r="F216" s="36" t="n">
        <f aca="false">IF(OR(E216="",D216=""),0,IF(C216="Actual",D216,IF(COUNTIFS($A$2:$A$2001,A216,$E$2:$E$2001,E216,$C$2:$C$2001,"Actual")&gt;0,0,D216)))</f>
        <v>0</v>
      </c>
    </row>
    <row r="217" customFormat="false" ht="15" hidden="false" customHeight="false" outlineLevel="0" collapsed="false">
      <c r="A217" s="32"/>
      <c r="B217" s="35"/>
      <c r="C217" s="32"/>
      <c r="D217" s="34"/>
      <c r="E217" s="42" t="str">
        <f aca="false">IF(OR(A217="",B217=""),"",DATE(YEAR(B217),MONTH(B217),1))</f>
        <v/>
      </c>
      <c r="F217" s="36" t="n">
        <f aca="false">IF(OR(E217="",D217=""),0,IF(C217="Actual",D217,IF(COUNTIFS($A$2:$A$2001,A217,$E$2:$E$2001,E217,$C$2:$C$2001,"Actual")&gt;0,0,D217)))</f>
        <v>0</v>
      </c>
    </row>
    <row r="218" customFormat="false" ht="15" hidden="false" customHeight="false" outlineLevel="0" collapsed="false">
      <c r="A218" s="32"/>
      <c r="B218" s="35"/>
      <c r="C218" s="32"/>
      <c r="D218" s="34"/>
      <c r="E218" s="42" t="str">
        <f aca="false">IF(OR(A218="",B218=""),"",DATE(YEAR(B218),MONTH(B218),1))</f>
        <v/>
      </c>
      <c r="F218" s="36" t="n">
        <f aca="false">IF(OR(E218="",D218=""),0,IF(C218="Actual",D218,IF(COUNTIFS($A$2:$A$2001,A218,$E$2:$E$2001,E218,$C$2:$C$2001,"Actual")&gt;0,0,D218)))</f>
        <v>0</v>
      </c>
    </row>
    <row r="219" customFormat="false" ht="15" hidden="false" customHeight="false" outlineLevel="0" collapsed="false">
      <c r="A219" s="32"/>
      <c r="B219" s="35"/>
      <c r="C219" s="32"/>
      <c r="D219" s="34"/>
      <c r="E219" s="42" t="str">
        <f aca="false">IF(OR(A219="",B219=""),"",DATE(YEAR(B219),MONTH(B219),1))</f>
        <v/>
      </c>
      <c r="F219" s="36" t="n">
        <f aca="false">IF(OR(E219="",D219=""),0,IF(C219="Actual",D219,IF(COUNTIFS($A$2:$A$2001,A219,$E$2:$E$2001,E219,$C$2:$C$2001,"Actual")&gt;0,0,D219)))</f>
        <v>0</v>
      </c>
    </row>
    <row r="220" customFormat="false" ht="15" hidden="false" customHeight="false" outlineLevel="0" collapsed="false">
      <c r="A220" s="32"/>
      <c r="B220" s="35"/>
      <c r="C220" s="32"/>
      <c r="D220" s="34"/>
      <c r="E220" s="42" t="str">
        <f aca="false">IF(OR(A220="",B220=""),"",DATE(YEAR(B220),MONTH(B220),1))</f>
        <v/>
      </c>
      <c r="F220" s="36" t="n">
        <f aca="false">IF(OR(E220="",D220=""),0,IF(C220="Actual",D220,IF(COUNTIFS($A$2:$A$2001,A220,$E$2:$E$2001,E220,$C$2:$C$2001,"Actual")&gt;0,0,D220)))</f>
        <v>0</v>
      </c>
    </row>
    <row r="221" customFormat="false" ht="15" hidden="false" customHeight="false" outlineLevel="0" collapsed="false">
      <c r="A221" s="32"/>
      <c r="B221" s="35"/>
      <c r="C221" s="32"/>
      <c r="D221" s="34"/>
      <c r="E221" s="42" t="str">
        <f aca="false">IF(OR(A221="",B221=""),"",DATE(YEAR(B221),MONTH(B221),1))</f>
        <v/>
      </c>
      <c r="F221" s="36" t="n">
        <f aca="false">IF(OR(E221="",D221=""),0,IF(C221="Actual",D221,IF(COUNTIFS($A$2:$A$2001,A221,$E$2:$E$2001,E221,$C$2:$C$2001,"Actual")&gt;0,0,D221)))</f>
        <v>0</v>
      </c>
    </row>
    <row r="222" customFormat="false" ht="15" hidden="false" customHeight="false" outlineLevel="0" collapsed="false">
      <c r="A222" s="32"/>
      <c r="B222" s="35"/>
      <c r="C222" s="32"/>
      <c r="D222" s="34"/>
      <c r="E222" s="42" t="str">
        <f aca="false">IF(OR(A222="",B222=""),"",DATE(YEAR(B222),MONTH(B222),1))</f>
        <v/>
      </c>
      <c r="F222" s="36" t="n">
        <f aca="false">IF(OR(E222="",D222=""),0,IF(C222="Actual",D222,IF(COUNTIFS($A$2:$A$2001,A222,$E$2:$E$2001,E222,$C$2:$C$2001,"Actual")&gt;0,0,D222)))</f>
        <v>0</v>
      </c>
    </row>
    <row r="223" customFormat="false" ht="15" hidden="false" customHeight="false" outlineLevel="0" collapsed="false">
      <c r="A223" s="32"/>
      <c r="B223" s="35"/>
      <c r="C223" s="32"/>
      <c r="D223" s="34"/>
      <c r="E223" s="42" t="str">
        <f aca="false">IF(OR(A223="",B223=""),"",DATE(YEAR(B223),MONTH(B223),1))</f>
        <v/>
      </c>
      <c r="F223" s="36" t="n">
        <f aca="false">IF(OR(E223="",D223=""),0,IF(C223="Actual",D223,IF(COUNTIFS($A$2:$A$2001,A223,$E$2:$E$2001,E223,$C$2:$C$2001,"Actual")&gt;0,0,D223)))</f>
        <v>0</v>
      </c>
    </row>
    <row r="224" customFormat="false" ht="15" hidden="false" customHeight="false" outlineLevel="0" collapsed="false">
      <c r="A224" s="32"/>
      <c r="B224" s="35"/>
      <c r="C224" s="32"/>
      <c r="D224" s="34"/>
      <c r="E224" s="42" t="str">
        <f aca="false">IF(OR(A224="",B224=""),"",DATE(YEAR(B224),MONTH(B224),1))</f>
        <v/>
      </c>
      <c r="F224" s="36" t="n">
        <f aca="false">IF(OR(E224="",D224=""),0,IF(C224="Actual",D224,IF(COUNTIFS($A$2:$A$2001,A224,$E$2:$E$2001,E224,$C$2:$C$2001,"Actual")&gt;0,0,D224)))</f>
        <v>0</v>
      </c>
    </row>
    <row r="225" customFormat="false" ht="15" hidden="false" customHeight="false" outlineLevel="0" collapsed="false">
      <c r="A225" s="32"/>
      <c r="B225" s="35"/>
      <c r="C225" s="32"/>
      <c r="D225" s="34"/>
      <c r="E225" s="42" t="str">
        <f aca="false">IF(OR(A225="",B225=""),"",DATE(YEAR(B225),MONTH(B225),1))</f>
        <v/>
      </c>
      <c r="F225" s="36" t="n">
        <f aca="false">IF(OR(E225="",D225=""),0,IF(C225="Actual",D225,IF(COUNTIFS($A$2:$A$2001,A225,$E$2:$E$2001,E225,$C$2:$C$2001,"Actual")&gt;0,0,D225)))</f>
        <v>0</v>
      </c>
    </row>
    <row r="226" customFormat="false" ht="15" hidden="false" customHeight="false" outlineLevel="0" collapsed="false">
      <c r="A226" s="32"/>
      <c r="B226" s="35"/>
      <c r="C226" s="32"/>
      <c r="D226" s="34"/>
      <c r="E226" s="42" t="str">
        <f aca="false">IF(OR(A226="",B226=""),"",DATE(YEAR(B226),MONTH(B226),1))</f>
        <v/>
      </c>
      <c r="F226" s="36" t="n">
        <f aca="false">IF(OR(E226="",D226=""),0,IF(C226="Actual",D226,IF(COUNTIFS($A$2:$A$2001,A226,$E$2:$E$2001,E226,$C$2:$C$2001,"Actual")&gt;0,0,D226)))</f>
        <v>0</v>
      </c>
    </row>
    <row r="227" customFormat="false" ht="15" hidden="false" customHeight="false" outlineLevel="0" collapsed="false">
      <c r="A227" s="32"/>
      <c r="B227" s="35"/>
      <c r="C227" s="32"/>
      <c r="D227" s="34"/>
      <c r="E227" s="42" t="str">
        <f aca="false">IF(OR(A227="",B227=""),"",DATE(YEAR(B227),MONTH(B227),1))</f>
        <v/>
      </c>
      <c r="F227" s="36" t="n">
        <f aca="false">IF(OR(E227="",D227=""),0,IF(C227="Actual",D227,IF(COUNTIFS($A$2:$A$2001,A227,$E$2:$E$2001,E227,$C$2:$C$2001,"Actual")&gt;0,0,D227)))</f>
        <v>0</v>
      </c>
    </row>
    <row r="228" customFormat="false" ht="15" hidden="false" customHeight="false" outlineLevel="0" collapsed="false">
      <c r="A228" s="32"/>
      <c r="B228" s="35"/>
      <c r="C228" s="32"/>
      <c r="D228" s="34"/>
      <c r="E228" s="42" t="str">
        <f aca="false">IF(OR(A228="",B228=""),"",DATE(YEAR(B228),MONTH(B228),1))</f>
        <v/>
      </c>
      <c r="F228" s="36" t="n">
        <f aca="false">IF(OR(E228="",D228=""),0,IF(C228="Actual",D228,IF(COUNTIFS($A$2:$A$2001,A228,$E$2:$E$2001,E228,$C$2:$C$2001,"Actual")&gt;0,0,D228)))</f>
        <v>0</v>
      </c>
    </row>
    <row r="229" customFormat="false" ht="15" hidden="false" customHeight="false" outlineLevel="0" collapsed="false">
      <c r="A229" s="32"/>
      <c r="B229" s="35"/>
      <c r="C229" s="32"/>
      <c r="D229" s="34"/>
      <c r="E229" s="42" t="str">
        <f aca="false">IF(OR(A229="",B229=""),"",DATE(YEAR(B229),MONTH(B229),1))</f>
        <v/>
      </c>
      <c r="F229" s="36" t="n">
        <f aca="false">IF(OR(E229="",D229=""),0,IF(C229="Actual",D229,IF(COUNTIFS($A$2:$A$2001,A229,$E$2:$E$2001,E229,$C$2:$C$2001,"Actual")&gt;0,0,D229)))</f>
        <v>0</v>
      </c>
    </row>
    <row r="230" customFormat="false" ht="15" hidden="false" customHeight="false" outlineLevel="0" collapsed="false">
      <c r="A230" s="32"/>
      <c r="B230" s="35"/>
      <c r="C230" s="32"/>
      <c r="D230" s="34"/>
      <c r="E230" s="42" t="str">
        <f aca="false">IF(OR(A230="",B230=""),"",DATE(YEAR(B230),MONTH(B230),1))</f>
        <v/>
      </c>
      <c r="F230" s="36" t="n">
        <f aca="false">IF(OR(E230="",D230=""),0,IF(C230="Actual",D230,IF(COUNTIFS($A$2:$A$2001,A230,$E$2:$E$2001,E230,$C$2:$C$2001,"Actual")&gt;0,0,D230)))</f>
        <v>0</v>
      </c>
    </row>
    <row r="231" customFormat="false" ht="15" hidden="false" customHeight="false" outlineLevel="0" collapsed="false">
      <c r="A231" s="32"/>
      <c r="B231" s="35"/>
      <c r="C231" s="32"/>
      <c r="D231" s="34"/>
      <c r="E231" s="42" t="str">
        <f aca="false">IF(OR(A231="",B231=""),"",DATE(YEAR(B231),MONTH(B231),1))</f>
        <v/>
      </c>
      <c r="F231" s="36" t="n">
        <f aca="false">IF(OR(E231="",D231=""),0,IF(C231="Actual",D231,IF(COUNTIFS($A$2:$A$2001,A231,$E$2:$E$2001,E231,$C$2:$C$2001,"Actual")&gt;0,0,D231)))</f>
        <v>0</v>
      </c>
    </row>
    <row r="232" customFormat="false" ht="15" hidden="false" customHeight="false" outlineLevel="0" collapsed="false">
      <c r="A232" s="32"/>
      <c r="B232" s="35"/>
      <c r="C232" s="32"/>
      <c r="D232" s="34"/>
      <c r="E232" s="42" t="str">
        <f aca="false">IF(OR(A232="",B232=""),"",DATE(YEAR(B232),MONTH(B232),1))</f>
        <v/>
      </c>
      <c r="F232" s="36" t="n">
        <f aca="false">IF(OR(E232="",D232=""),0,IF(C232="Actual",D232,IF(COUNTIFS($A$2:$A$2001,A232,$E$2:$E$2001,E232,$C$2:$C$2001,"Actual")&gt;0,0,D232)))</f>
        <v>0</v>
      </c>
    </row>
    <row r="233" customFormat="false" ht="15" hidden="false" customHeight="false" outlineLevel="0" collapsed="false">
      <c r="A233" s="32"/>
      <c r="B233" s="35"/>
      <c r="C233" s="32"/>
      <c r="D233" s="34"/>
      <c r="E233" s="42" t="str">
        <f aca="false">IF(OR(A233="",B233=""),"",DATE(YEAR(B233),MONTH(B233),1))</f>
        <v/>
      </c>
      <c r="F233" s="36" t="n">
        <f aca="false">IF(OR(E233="",D233=""),0,IF(C233="Actual",D233,IF(COUNTIFS($A$2:$A$2001,A233,$E$2:$E$2001,E233,$C$2:$C$2001,"Actual")&gt;0,0,D233)))</f>
        <v>0</v>
      </c>
    </row>
    <row r="234" customFormat="false" ht="15" hidden="false" customHeight="false" outlineLevel="0" collapsed="false">
      <c r="A234" s="32"/>
      <c r="B234" s="35"/>
      <c r="C234" s="32"/>
      <c r="D234" s="34"/>
      <c r="E234" s="42" t="str">
        <f aca="false">IF(OR(A234="",B234=""),"",DATE(YEAR(B234),MONTH(B234),1))</f>
        <v/>
      </c>
      <c r="F234" s="36" t="n">
        <f aca="false">IF(OR(E234="",D234=""),0,IF(C234="Actual",D234,IF(COUNTIFS($A$2:$A$2001,A234,$E$2:$E$2001,E234,$C$2:$C$2001,"Actual")&gt;0,0,D234)))</f>
        <v>0</v>
      </c>
    </row>
    <row r="235" customFormat="false" ht="15" hidden="false" customHeight="false" outlineLevel="0" collapsed="false">
      <c r="A235" s="32"/>
      <c r="B235" s="35"/>
      <c r="C235" s="32"/>
      <c r="D235" s="34"/>
      <c r="E235" s="42" t="str">
        <f aca="false">IF(OR(A235="",B235=""),"",DATE(YEAR(B235),MONTH(B235),1))</f>
        <v/>
      </c>
      <c r="F235" s="36" t="n">
        <f aca="false">IF(OR(E235="",D235=""),0,IF(C235="Actual",D235,IF(COUNTIFS($A$2:$A$2001,A235,$E$2:$E$2001,E235,$C$2:$C$2001,"Actual")&gt;0,0,D235)))</f>
        <v>0</v>
      </c>
    </row>
    <row r="236" customFormat="false" ht="15" hidden="false" customHeight="false" outlineLevel="0" collapsed="false">
      <c r="A236" s="32"/>
      <c r="B236" s="35"/>
      <c r="C236" s="32"/>
      <c r="D236" s="34"/>
      <c r="E236" s="42" t="str">
        <f aca="false">IF(OR(A236="",B236=""),"",DATE(YEAR(B236),MONTH(B236),1))</f>
        <v/>
      </c>
      <c r="F236" s="36" t="n">
        <f aca="false">IF(OR(E236="",D236=""),0,IF(C236="Actual",D236,IF(COUNTIFS($A$2:$A$2001,A236,$E$2:$E$2001,E236,$C$2:$C$2001,"Actual")&gt;0,0,D236)))</f>
        <v>0</v>
      </c>
    </row>
    <row r="237" customFormat="false" ht="15" hidden="false" customHeight="false" outlineLevel="0" collapsed="false">
      <c r="A237" s="32"/>
      <c r="B237" s="35"/>
      <c r="C237" s="32"/>
      <c r="D237" s="34"/>
      <c r="E237" s="42" t="str">
        <f aca="false">IF(OR(A237="",B237=""),"",DATE(YEAR(B237),MONTH(B237),1))</f>
        <v/>
      </c>
      <c r="F237" s="36" t="n">
        <f aca="false">IF(OR(E237="",D237=""),0,IF(C237="Actual",D237,IF(COUNTIFS($A$2:$A$2001,A237,$E$2:$E$2001,E237,$C$2:$C$2001,"Actual")&gt;0,0,D237)))</f>
        <v>0</v>
      </c>
    </row>
    <row r="238" customFormat="false" ht="15" hidden="false" customHeight="false" outlineLevel="0" collapsed="false">
      <c r="A238" s="32"/>
      <c r="B238" s="35"/>
      <c r="C238" s="32"/>
      <c r="D238" s="34"/>
      <c r="E238" s="42" t="str">
        <f aca="false">IF(OR(A238="",B238=""),"",DATE(YEAR(B238),MONTH(B238),1))</f>
        <v/>
      </c>
      <c r="F238" s="36" t="n">
        <f aca="false">IF(OR(E238="",D238=""),0,IF(C238="Actual",D238,IF(COUNTIFS($A$2:$A$2001,A238,$E$2:$E$2001,E238,$C$2:$C$2001,"Actual")&gt;0,0,D238)))</f>
        <v>0</v>
      </c>
    </row>
    <row r="239" customFormat="false" ht="15" hidden="false" customHeight="false" outlineLevel="0" collapsed="false">
      <c r="A239" s="32"/>
      <c r="B239" s="35"/>
      <c r="C239" s="32"/>
      <c r="D239" s="34"/>
      <c r="E239" s="42" t="str">
        <f aca="false">IF(OR(A239="",B239=""),"",DATE(YEAR(B239),MONTH(B239),1))</f>
        <v/>
      </c>
      <c r="F239" s="36" t="n">
        <f aca="false">IF(OR(E239="",D239=""),0,IF(C239="Actual",D239,IF(COUNTIFS($A$2:$A$2001,A239,$E$2:$E$2001,E239,$C$2:$C$2001,"Actual")&gt;0,0,D239)))</f>
        <v>0</v>
      </c>
    </row>
    <row r="240" customFormat="false" ht="15" hidden="false" customHeight="false" outlineLevel="0" collapsed="false">
      <c r="A240" s="32"/>
      <c r="B240" s="35"/>
      <c r="C240" s="32"/>
      <c r="D240" s="34"/>
      <c r="E240" s="42" t="str">
        <f aca="false">IF(OR(A240="",B240=""),"",DATE(YEAR(B240),MONTH(B240),1))</f>
        <v/>
      </c>
      <c r="F240" s="36" t="n">
        <f aca="false">IF(OR(E240="",D240=""),0,IF(C240="Actual",D240,IF(COUNTIFS($A$2:$A$2001,A240,$E$2:$E$2001,E240,$C$2:$C$2001,"Actual")&gt;0,0,D240)))</f>
        <v>0</v>
      </c>
    </row>
    <row r="241" customFormat="false" ht="15" hidden="false" customHeight="false" outlineLevel="0" collapsed="false">
      <c r="A241" s="32"/>
      <c r="B241" s="35"/>
      <c r="C241" s="32"/>
      <c r="D241" s="34"/>
      <c r="E241" s="42" t="str">
        <f aca="false">IF(OR(A241="",B241=""),"",DATE(YEAR(B241),MONTH(B241),1))</f>
        <v/>
      </c>
      <c r="F241" s="36" t="n">
        <f aca="false">IF(OR(E241="",D241=""),0,IF(C241="Actual",D241,IF(COUNTIFS($A$2:$A$2001,A241,$E$2:$E$2001,E241,$C$2:$C$2001,"Actual")&gt;0,0,D241)))</f>
        <v>0</v>
      </c>
    </row>
    <row r="242" customFormat="false" ht="15" hidden="false" customHeight="false" outlineLevel="0" collapsed="false">
      <c r="A242" s="32"/>
      <c r="B242" s="35"/>
      <c r="C242" s="32"/>
      <c r="D242" s="34"/>
      <c r="E242" s="42" t="str">
        <f aca="false">IF(OR(A242="",B242=""),"",DATE(YEAR(B242),MONTH(B242),1))</f>
        <v/>
      </c>
      <c r="F242" s="36" t="n">
        <f aca="false">IF(OR(E242="",D242=""),0,IF(C242="Actual",D242,IF(COUNTIFS($A$2:$A$2001,A242,$E$2:$E$2001,E242,$C$2:$C$2001,"Actual")&gt;0,0,D242)))</f>
        <v>0</v>
      </c>
    </row>
    <row r="243" customFormat="false" ht="15" hidden="false" customHeight="false" outlineLevel="0" collapsed="false">
      <c r="A243" s="32"/>
      <c r="B243" s="35"/>
      <c r="C243" s="32"/>
      <c r="D243" s="34"/>
      <c r="E243" s="42" t="str">
        <f aca="false">IF(OR(A243="",B243=""),"",DATE(YEAR(B243),MONTH(B243),1))</f>
        <v/>
      </c>
      <c r="F243" s="36" t="n">
        <f aca="false">IF(OR(E243="",D243=""),0,IF(C243="Actual",D243,IF(COUNTIFS($A$2:$A$2001,A243,$E$2:$E$2001,E243,$C$2:$C$2001,"Actual")&gt;0,0,D243)))</f>
        <v>0</v>
      </c>
    </row>
    <row r="244" customFormat="false" ht="15" hidden="false" customHeight="false" outlineLevel="0" collapsed="false">
      <c r="A244" s="32"/>
      <c r="B244" s="35"/>
      <c r="C244" s="32"/>
      <c r="D244" s="34"/>
      <c r="E244" s="42" t="str">
        <f aca="false">IF(OR(A244="",B244=""),"",DATE(YEAR(B244),MONTH(B244),1))</f>
        <v/>
      </c>
      <c r="F244" s="36" t="n">
        <f aca="false">IF(OR(E244="",D244=""),0,IF(C244="Actual",D244,IF(COUNTIFS($A$2:$A$2001,A244,$E$2:$E$2001,E244,$C$2:$C$2001,"Actual")&gt;0,0,D244)))</f>
        <v>0</v>
      </c>
    </row>
    <row r="245" customFormat="false" ht="15" hidden="false" customHeight="false" outlineLevel="0" collapsed="false">
      <c r="A245" s="32"/>
      <c r="B245" s="35"/>
      <c r="C245" s="32"/>
      <c r="D245" s="34"/>
      <c r="E245" s="42" t="str">
        <f aca="false">IF(OR(A245="",B245=""),"",DATE(YEAR(B245),MONTH(B245),1))</f>
        <v/>
      </c>
      <c r="F245" s="36" t="n">
        <f aca="false">IF(OR(E245="",D245=""),0,IF(C245="Actual",D245,IF(COUNTIFS($A$2:$A$2001,A245,$E$2:$E$2001,E245,$C$2:$C$2001,"Actual")&gt;0,0,D245)))</f>
        <v>0</v>
      </c>
    </row>
    <row r="246" customFormat="false" ht="15" hidden="false" customHeight="false" outlineLevel="0" collapsed="false">
      <c r="A246" s="32"/>
      <c r="B246" s="35"/>
      <c r="C246" s="32"/>
      <c r="D246" s="34"/>
      <c r="E246" s="42" t="str">
        <f aca="false">IF(OR(A246="",B246=""),"",DATE(YEAR(B246),MONTH(B246),1))</f>
        <v/>
      </c>
      <c r="F246" s="36" t="n">
        <f aca="false">IF(OR(E246="",D246=""),0,IF(C246="Actual",D246,IF(COUNTIFS($A$2:$A$2001,A246,$E$2:$E$2001,E246,$C$2:$C$2001,"Actual")&gt;0,0,D246)))</f>
        <v>0</v>
      </c>
    </row>
    <row r="247" customFormat="false" ht="15" hidden="false" customHeight="false" outlineLevel="0" collapsed="false">
      <c r="A247" s="32"/>
      <c r="B247" s="35"/>
      <c r="C247" s="32"/>
      <c r="D247" s="34"/>
      <c r="E247" s="42" t="str">
        <f aca="false">IF(OR(A247="",B247=""),"",DATE(YEAR(B247),MONTH(B247),1))</f>
        <v/>
      </c>
      <c r="F247" s="36" t="n">
        <f aca="false">IF(OR(E247="",D247=""),0,IF(C247="Actual",D247,IF(COUNTIFS($A$2:$A$2001,A247,$E$2:$E$2001,E247,$C$2:$C$2001,"Actual")&gt;0,0,D247)))</f>
        <v>0</v>
      </c>
    </row>
    <row r="248" customFormat="false" ht="15" hidden="false" customHeight="false" outlineLevel="0" collapsed="false">
      <c r="A248" s="32"/>
      <c r="B248" s="35"/>
      <c r="C248" s="32"/>
      <c r="D248" s="34"/>
      <c r="E248" s="42" t="str">
        <f aca="false">IF(OR(A248="",B248=""),"",DATE(YEAR(B248),MONTH(B248),1))</f>
        <v/>
      </c>
      <c r="F248" s="36" t="n">
        <f aca="false">IF(OR(E248="",D248=""),0,IF(C248="Actual",D248,IF(COUNTIFS($A$2:$A$2001,A248,$E$2:$E$2001,E248,$C$2:$C$2001,"Actual")&gt;0,0,D248)))</f>
        <v>0</v>
      </c>
    </row>
    <row r="249" customFormat="false" ht="15" hidden="false" customHeight="false" outlineLevel="0" collapsed="false">
      <c r="A249" s="32"/>
      <c r="B249" s="35"/>
      <c r="C249" s="32"/>
      <c r="D249" s="34"/>
      <c r="E249" s="42" t="str">
        <f aca="false">IF(OR(A249="",B249=""),"",DATE(YEAR(B249),MONTH(B249),1))</f>
        <v/>
      </c>
      <c r="F249" s="36" t="n">
        <f aca="false">IF(OR(E249="",D249=""),0,IF(C249="Actual",D249,IF(COUNTIFS($A$2:$A$2001,A249,$E$2:$E$2001,E249,$C$2:$C$2001,"Actual")&gt;0,0,D249)))</f>
        <v>0</v>
      </c>
    </row>
    <row r="250" customFormat="false" ht="15" hidden="false" customHeight="false" outlineLevel="0" collapsed="false">
      <c r="A250" s="32"/>
      <c r="B250" s="35"/>
      <c r="C250" s="32"/>
      <c r="D250" s="34"/>
      <c r="E250" s="42" t="str">
        <f aca="false">IF(OR(A250="",B250=""),"",DATE(YEAR(B250),MONTH(B250),1))</f>
        <v/>
      </c>
      <c r="F250" s="36" t="n">
        <f aca="false">IF(OR(E250="",D250=""),0,IF(C250="Actual",D250,IF(COUNTIFS($A$2:$A$2001,A250,$E$2:$E$2001,E250,$C$2:$C$2001,"Actual")&gt;0,0,D250)))</f>
        <v>0</v>
      </c>
    </row>
    <row r="251" customFormat="false" ht="15" hidden="false" customHeight="false" outlineLevel="0" collapsed="false">
      <c r="A251" s="32"/>
      <c r="B251" s="35"/>
      <c r="C251" s="32"/>
      <c r="D251" s="34"/>
      <c r="E251" s="42" t="str">
        <f aca="false">IF(OR(A251="",B251=""),"",DATE(YEAR(B251),MONTH(B251),1))</f>
        <v/>
      </c>
      <c r="F251" s="36" t="n">
        <f aca="false">IF(OR(E251="",D251=""),0,IF(C251="Actual",D251,IF(COUNTIFS($A$2:$A$2001,A251,$E$2:$E$2001,E251,$C$2:$C$2001,"Actual")&gt;0,0,D251)))</f>
        <v>0</v>
      </c>
    </row>
    <row r="252" customFormat="false" ht="15" hidden="false" customHeight="false" outlineLevel="0" collapsed="false">
      <c r="A252" s="32"/>
      <c r="B252" s="35"/>
      <c r="C252" s="32"/>
      <c r="D252" s="34"/>
      <c r="E252" s="42" t="str">
        <f aca="false">IF(OR(A252="",B252=""),"",DATE(YEAR(B252),MONTH(B252),1))</f>
        <v/>
      </c>
      <c r="F252" s="36" t="n">
        <f aca="false">IF(OR(E252="",D252=""),0,IF(C252="Actual",D252,IF(COUNTIFS($A$2:$A$2001,A252,$E$2:$E$2001,E252,$C$2:$C$2001,"Actual")&gt;0,0,D252)))</f>
        <v>0</v>
      </c>
    </row>
    <row r="253" customFormat="false" ht="15" hidden="false" customHeight="false" outlineLevel="0" collapsed="false">
      <c r="A253" s="32"/>
      <c r="B253" s="35"/>
      <c r="C253" s="32"/>
      <c r="D253" s="34"/>
      <c r="E253" s="42" t="str">
        <f aca="false">IF(OR(A253="",B253=""),"",DATE(YEAR(B253),MONTH(B253),1))</f>
        <v/>
      </c>
      <c r="F253" s="36" t="n">
        <f aca="false">IF(OR(E253="",D253=""),0,IF(C253="Actual",D253,IF(COUNTIFS($A$2:$A$2001,A253,$E$2:$E$2001,E253,$C$2:$C$2001,"Actual")&gt;0,0,D253)))</f>
        <v>0</v>
      </c>
    </row>
    <row r="254" customFormat="false" ht="15" hidden="false" customHeight="false" outlineLevel="0" collapsed="false">
      <c r="A254" s="32"/>
      <c r="B254" s="35"/>
      <c r="C254" s="32"/>
      <c r="D254" s="34"/>
      <c r="E254" s="42" t="str">
        <f aca="false">IF(OR(A254="",B254=""),"",DATE(YEAR(B254),MONTH(B254),1))</f>
        <v/>
      </c>
      <c r="F254" s="36" t="n">
        <f aca="false">IF(OR(E254="",D254=""),0,IF(C254="Actual",D254,IF(COUNTIFS($A$2:$A$2001,A254,$E$2:$E$2001,E254,$C$2:$C$2001,"Actual")&gt;0,0,D254)))</f>
        <v>0</v>
      </c>
    </row>
    <row r="255" customFormat="false" ht="15" hidden="false" customHeight="false" outlineLevel="0" collapsed="false">
      <c r="A255" s="32"/>
      <c r="B255" s="35"/>
      <c r="C255" s="32"/>
      <c r="D255" s="34"/>
      <c r="E255" s="42" t="str">
        <f aca="false">IF(OR(A255="",B255=""),"",DATE(YEAR(B255),MONTH(B255),1))</f>
        <v/>
      </c>
      <c r="F255" s="36" t="n">
        <f aca="false">IF(OR(E255="",D255=""),0,IF(C255="Actual",D255,IF(COUNTIFS($A$2:$A$2001,A255,$E$2:$E$2001,E255,$C$2:$C$2001,"Actual")&gt;0,0,D255)))</f>
        <v>0</v>
      </c>
    </row>
    <row r="256" customFormat="false" ht="15" hidden="false" customHeight="false" outlineLevel="0" collapsed="false">
      <c r="A256" s="32"/>
      <c r="B256" s="35"/>
      <c r="C256" s="32"/>
      <c r="D256" s="34"/>
      <c r="E256" s="42" t="str">
        <f aca="false">IF(OR(A256="",B256=""),"",DATE(YEAR(B256),MONTH(B256),1))</f>
        <v/>
      </c>
      <c r="F256" s="36" t="n">
        <f aca="false">IF(OR(E256="",D256=""),0,IF(C256="Actual",D256,IF(COUNTIFS($A$2:$A$2001,A256,$E$2:$E$2001,E256,$C$2:$C$2001,"Actual")&gt;0,0,D256)))</f>
        <v>0</v>
      </c>
    </row>
    <row r="257" customFormat="false" ht="15" hidden="false" customHeight="false" outlineLevel="0" collapsed="false">
      <c r="A257" s="32"/>
      <c r="B257" s="35"/>
      <c r="C257" s="32"/>
      <c r="D257" s="34"/>
      <c r="E257" s="42" t="str">
        <f aca="false">IF(OR(A257="",B257=""),"",DATE(YEAR(B257),MONTH(B257),1))</f>
        <v/>
      </c>
      <c r="F257" s="36" t="n">
        <f aca="false">IF(OR(E257="",D257=""),0,IF(C257="Actual",D257,IF(COUNTIFS($A$2:$A$2001,A257,$E$2:$E$2001,E257,$C$2:$C$2001,"Actual")&gt;0,0,D257)))</f>
        <v>0</v>
      </c>
    </row>
    <row r="258" customFormat="false" ht="15" hidden="false" customHeight="false" outlineLevel="0" collapsed="false">
      <c r="A258" s="32"/>
      <c r="B258" s="35"/>
      <c r="C258" s="32"/>
      <c r="D258" s="34"/>
      <c r="E258" s="42" t="str">
        <f aca="false">IF(OR(A258="",B258=""),"",DATE(YEAR(B258),MONTH(B258),1))</f>
        <v/>
      </c>
      <c r="F258" s="36" t="n">
        <f aca="false">IF(OR(E258="",D258=""),0,IF(C258="Actual",D258,IF(COUNTIFS($A$2:$A$2001,A258,$E$2:$E$2001,E258,$C$2:$C$2001,"Actual")&gt;0,0,D258)))</f>
        <v>0</v>
      </c>
    </row>
    <row r="259" customFormat="false" ht="15" hidden="false" customHeight="false" outlineLevel="0" collapsed="false">
      <c r="A259" s="32"/>
      <c r="B259" s="35"/>
      <c r="C259" s="32"/>
      <c r="D259" s="34"/>
      <c r="E259" s="42" t="str">
        <f aca="false">IF(OR(A259="",B259=""),"",DATE(YEAR(B259),MONTH(B259),1))</f>
        <v/>
      </c>
      <c r="F259" s="36" t="n">
        <f aca="false">IF(OR(E259="",D259=""),0,IF(C259="Actual",D259,IF(COUNTIFS($A$2:$A$2001,A259,$E$2:$E$2001,E259,$C$2:$C$2001,"Actual")&gt;0,0,D259)))</f>
        <v>0</v>
      </c>
    </row>
    <row r="260" customFormat="false" ht="15" hidden="false" customHeight="false" outlineLevel="0" collapsed="false">
      <c r="A260" s="32"/>
      <c r="B260" s="35"/>
      <c r="C260" s="32"/>
      <c r="D260" s="34"/>
      <c r="E260" s="42" t="str">
        <f aca="false">IF(OR(A260="",B260=""),"",DATE(YEAR(B260),MONTH(B260),1))</f>
        <v/>
      </c>
      <c r="F260" s="36" t="n">
        <f aca="false">IF(OR(E260="",D260=""),0,IF(C260="Actual",D260,IF(COUNTIFS($A$2:$A$2001,A260,$E$2:$E$2001,E260,$C$2:$C$2001,"Actual")&gt;0,0,D260)))</f>
        <v>0</v>
      </c>
    </row>
    <row r="261" customFormat="false" ht="15" hidden="false" customHeight="false" outlineLevel="0" collapsed="false">
      <c r="A261" s="32"/>
      <c r="B261" s="35"/>
      <c r="C261" s="32"/>
      <c r="D261" s="34"/>
      <c r="E261" s="42" t="str">
        <f aca="false">IF(OR(A261="",B261=""),"",DATE(YEAR(B261),MONTH(B261),1))</f>
        <v/>
      </c>
      <c r="F261" s="36" t="n">
        <f aca="false">IF(OR(E261="",D261=""),0,IF(C261="Actual",D261,IF(COUNTIFS($A$2:$A$2001,A261,$E$2:$E$2001,E261,$C$2:$C$2001,"Actual")&gt;0,0,D261)))</f>
        <v>0</v>
      </c>
    </row>
    <row r="262" customFormat="false" ht="15" hidden="false" customHeight="false" outlineLevel="0" collapsed="false">
      <c r="A262" s="32"/>
      <c r="B262" s="35"/>
      <c r="C262" s="32"/>
      <c r="D262" s="34"/>
      <c r="E262" s="42" t="str">
        <f aca="false">IF(OR(A262="",B262=""),"",DATE(YEAR(B262),MONTH(B262),1))</f>
        <v/>
      </c>
      <c r="F262" s="36" t="n">
        <f aca="false">IF(OR(E262="",D262=""),0,IF(C262="Actual",D262,IF(COUNTIFS($A$2:$A$2001,A262,$E$2:$E$2001,E262,$C$2:$C$2001,"Actual")&gt;0,0,D262)))</f>
        <v>0</v>
      </c>
    </row>
    <row r="263" customFormat="false" ht="15" hidden="false" customHeight="false" outlineLevel="0" collapsed="false">
      <c r="A263" s="32"/>
      <c r="B263" s="35"/>
      <c r="C263" s="32"/>
      <c r="D263" s="34"/>
      <c r="E263" s="42" t="str">
        <f aca="false">IF(OR(A263="",B263=""),"",DATE(YEAR(B263),MONTH(B263),1))</f>
        <v/>
      </c>
      <c r="F263" s="36" t="n">
        <f aca="false">IF(OR(E263="",D263=""),0,IF(C263="Actual",D263,IF(COUNTIFS($A$2:$A$2001,A263,$E$2:$E$2001,E263,$C$2:$C$2001,"Actual")&gt;0,0,D263)))</f>
        <v>0</v>
      </c>
    </row>
    <row r="264" customFormat="false" ht="15" hidden="false" customHeight="false" outlineLevel="0" collapsed="false">
      <c r="A264" s="32"/>
      <c r="B264" s="35"/>
      <c r="C264" s="32"/>
      <c r="D264" s="34"/>
      <c r="E264" s="42" t="str">
        <f aca="false">IF(OR(A264="",B264=""),"",DATE(YEAR(B264),MONTH(B264),1))</f>
        <v/>
      </c>
      <c r="F264" s="36" t="n">
        <f aca="false">IF(OR(E264="",D264=""),0,IF(C264="Actual",D264,IF(COUNTIFS($A$2:$A$2001,A264,$E$2:$E$2001,E264,$C$2:$C$2001,"Actual")&gt;0,0,D264)))</f>
        <v>0</v>
      </c>
    </row>
    <row r="265" customFormat="false" ht="15" hidden="false" customHeight="false" outlineLevel="0" collapsed="false">
      <c r="A265" s="32"/>
      <c r="B265" s="35"/>
      <c r="C265" s="32"/>
      <c r="D265" s="34"/>
      <c r="E265" s="42" t="str">
        <f aca="false">IF(OR(A265="",B265=""),"",DATE(YEAR(B265),MONTH(B265),1))</f>
        <v/>
      </c>
      <c r="F265" s="36" t="n">
        <f aca="false">IF(OR(E265="",D265=""),0,IF(C265="Actual",D265,IF(COUNTIFS($A$2:$A$2001,A265,$E$2:$E$2001,E265,$C$2:$C$2001,"Actual")&gt;0,0,D265)))</f>
        <v>0</v>
      </c>
    </row>
    <row r="266" customFormat="false" ht="15" hidden="false" customHeight="false" outlineLevel="0" collapsed="false">
      <c r="A266" s="32"/>
      <c r="B266" s="35"/>
      <c r="C266" s="32"/>
      <c r="D266" s="34"/>
      <c r="E266" s="42" t="str">
        <f aca="false">IF(OR(A266="",B266=""),"",DATE(YEAR(B266),MONTH(B266),1))</f>
        <v/>
      </c>
      <c r="F266" s="36" t="n">
        <f aca="false">IF(OR(E266="",D266=""),0,IF(C266="Actual",D266,IF(COUNTIFS($A$2:$A$2001,A266,$E$2:$E$2001,E266,$C$2:$C$2001,"Actual")&gt;0,0,D266)))</f>
        <v>0</v>
      </c>
    </row>
    <row r="267" customFormat="false" ht="15" hidden="false" customHeight="false" outlineLevel="0" collapsed="false">
      <c r="A267" s="32"/>
      <c r="B267" s="35"/>
      <c r="C267" s="32"/>
      <c r="D267" s="34"/>
      <c r="E267" s="42" t="str">
        <f aca="false">IF(OR(A267="",B267=""),"",DATE(YEAR(B267),MONTH(B267),1))</f>
        <v/>
      </c>
      <c r="F267" s="36" t="n">
        <f aca="false">IF(OR(E267="",D267=""),0,IF(C267="Actual",D267,IF(COUNTIFS($A$2:$A$2001,A267,$E$2:$E$2001,E267,$C$2:$C$2001,"Actual")&gt;0,0,D267)))</f>
        <v>0</v>
      </c>
    </row>
    <row r="268" customFormat="false" ht="15" hidden="false" customHeight="false" outlineLevel="0" collapsed="false">
      <c r="A268" s="32"/>
      <c r="B268" s="35"/>
      <c r="C268" s="32"/>
      <c r="D268" s="34"/>
      <c r="E268" s="42" t="str">
        <f aca="false">IF(OR(A268="",B268=""),"",DATE(YEAR(B268),MONTH(B268),1))</f>
        <v/>
      </c>
      <c r="F268" s="36" t="n">
        <f aca="false">IF(OR(E268="",D268=""),0,IF(C268="Actual",D268,IF(COUNTIFS($A$2:$A$2001,A268,$E$2:$E$2001,E268,$C$2:$C$2001,"Actual")&gt;0,0,D268)))</f>
        <v>0</v>
      </c>
    </row>
    <row r="269" customFormat="false" ht="15" hidden="false" customHeight="false" outlineLevel="0" collapsed="false">
      <c r="A269" s="32"/>
      <c r="B269" s="35"/>
      <c r="C269" s="32"/>
      <c r="D269" s="34"/>
      <c r="E269" s="42" t="str">
        <f aca="false">IF(OR(A269="",B269=""),"",DATE(YEAR(B269),MONTH(B269),1))</f>
        <v/>
      </c>
      <c r="F269" s="36" t="n">
        <f aca="false">IF(OR(E269="",D269=""),0,IF(C269="Actual",D269,IF(COUNTIFS($A$2:$A$2001,A269,$E$2:$E$2001,E269,$C$2:$C$2001,"Actual")&gt;0,0,D269)))</f>
        <v>0</v>
      </c>
    </row>
    <row r="270" customFormat="false" ht="15" hidden="false" customHeight="false" outlineLevel="0" collapsed="false">
      <c r="A270" s="32"/>
      <c r="B270" s="35"/>
      <c r="C270" s="32"/>
      <c r="D270" s="34"/>
      <c r="E270" s="42" t="str">
        <f aca="false">IF(OR(A270="",B270=""),"",DATE(YEAR(B270),MONTH(B270),1))</f>
        <v/>
      </c>
      <c r="F270" s="36" t="n">
        <f aca="false">IF(OR(E270="",D270=""),0,IF(C270="Actual",D270,IF(COUNTIFS($A$2:$A$2001,A270,$E$2:$E$2001,E270,$C$2:$C$2001,"Actual")&gt;0,0,D270)))</f>
        <v>0</v>
      </c>
    </row>
    <row r="271" customFormat="false" ht="15" hidden="false" customHeight="false" outlineLevel="0" collapsed="false">
      <c r="A271" s="32"/>
      <c r="B271" s="35"/>
      <c r="C271" s="32"/>
      <c r="D271" s="34"/>
      <c r="E271" s="42" t="str">
        <f aca="false">IF(OR(A271="",B271=""),"",DATE(YEAR(B271),MONTH(B271),1))</f>
        <v/>
      </c>
      <c r="F271" s="36" t="n">
        <f aca="false">IF(OR(E271="",D271=""),0,IF(C271="Actual",D271,IF(COUNTIFS($A$2:$A$2001,A271,$E$2:$E$2001,E271,$C$2:$C$2001,"Actual")&gt;0,0,D271)))</f>
        <v>0</v>
      </c>
    </row>
    <row r="272" customFormat="false" ht="15" hidden="false" customHeight="false" outlineLevel="0" collapsed="false">
      <c r="A272" s="32"/>
      <c r="B272" s="35"/>
      <c r="C272" s="32"/>
      <c r="D272" s="34"/>
      <c r="E272" s="42" t="str">
        <f aca="false">IF(OR(A272="",B272=""),"",DATE(YEAR(B272),MONTH(B272),1))</f>
        <v/>
      </c>
      <c r="F272" s="36" t="n">
        <f aca="false">IF(OR(E272="",D272=""),0,IF(C272="Actual",D272,IF(COUNTIFS($A$2:$A$2001,A272,$E$2:$E$2001,E272,$C$2:$C$2001,"Actual")&gt;0,0,D272)))</f>
        <v>0</v>
      </c>
    </row>
    <row r="273" customFormat="false" ht="15" hidden="false" customHeight="false" outlineLevel="0" collapsed="false">
      <c r="A273" s="32"/>
      <c r="B273" s="35"/>
      <c r="C273" s="32"/>
      <c r="D273" s="34"/>
      <c r="E273" s="42" t="str">
        <f aca="false">IF(OR(A273="",B273=""),"",DATE(YEAR(B273),MONTH(B273),1))</f>
        <v/>
      </c>
      <c r="F273" s="36" t="n">
        <f aca="false">IF(OR(E273="",D273=""),0,IF(C273="Actual",D273,IF(COUNTIFS($A$2:$A$2001,A273,$E$2:$E$2001,E273,$C$2:$C$2001,"Actual")&gt;0,0,D273)))</f>
        <v>0</v>
      </c>
    </row>
    <row r="274" customFormat="false" ht="15" hidden="false" customHeight="false" outlineLevel="0" collapsed="false">
      <c r="A274" s="32"/>
      <c r="B274" s="35"/>
      <c r="C274" s="32"/>
      <c r="D274" s="34"/>
      <c r="E274" s="42" t="str">
        <f aca="false">IF(OR(A274="",B274=""),"",DATE(YEAR(B274),MONTH(B274),1))</f>
        <v/>
      </c>
      <c r="F274" s="36" t="n">
        <f aca="false">IF(OR(E274="",D274=""),0,IF(C274="Actual",D274,IF(COUNTIFS($A$2:$A$2001,A274,$E$2:$E$2001,E274,$C$2:$C$2001,"Actual")&gt;0,0,D274)))</f>
        <v>0</v>
      </c>
    </row>
    <row r="275" customFormat="false" ht="15" hidden="false" customHeight="false" outlineLevel="0" collapsed="false">
      <c r="A275" s="32"/>
      <c r="B275" s="35"/>
      <c r="C275" s="32"/>
      <c r="D275" s="34"/>
      <c r="E275" s="42" t="str">
        <f aca="false">IF(OR(A275="",B275=""),"",DATE(YEAR(B275),MONTH(B275),1))</f>
        <v/>
      </c>
      <c r="F275" s="36" t="n">
        <f aca="false">IF(OR(E275="",D275=""),0,IF(C275="Actual",D275,IF(COUNTIFS($A$2:$A$2001,A275,$E$2:$E$2001,E275,$C$2:$C$2001,"Actual")&gt;0,0,D275)))</f>
        <v>0</v>
      </c>
    </row>
    <row r="276" customFormat="false" ht="15" hidden="false" customHeight="false" outlineLevel="0" collapsed="false">
      <c r="A276" s="32"/>
      <c r="B276" s="35"/>
      <c r="C276" s="32"/>
      <c r="D276" s="34"/>
      <c r="E276" s="42" t="str">
        <f aca="false">IF(OR(A276="",B276=""),"",DATE(YEAR(B276),MONTH(B276),1))</f>
        <v/>
      </c>
      <c r="F276" s="36" t="n">
        <f aca="false">IF(OR(E276="",D276=""),0,IF(C276="Actual",D276,IF(COUNTIFS($A$2:$A$2001,A276,$E$2:$E$2001,E276,$C$2:$C$2001,"Actual")&gt;0,0,D276)))</f>
        <v>0</v>
      </c>
    </row>
    <row r="277" customFormat="false" ht="15" hidden="false" customHeight="false" outlineLevel="0" collapsed="false">
      <c r="A277" s="32"/>
      <c r="B277" s="35"/>
      <c r="C277" s="32"/>
      <c r="D277" s="34"/>
      <c r="E277" s="42" t="str">
        <f aca="false">IF(OR(A277="",B277=""),"",DATE(YEAR(B277),MONTH(B277),1))</f>
        <v/>
      </c>
      <c r="F277" s="36" t="n">
        <f aca="false">IF(OR(E277="",D277=""),0,IF(C277="Actual",D277,IF(COUNTIFS($A$2:$A$2001,A277,$E$2:$E$2001,E277,$C$2:$C$2001,"Actual")&gt;0,0,D277)))</f>
        <v>0</v>
      </c>
    </row>
    <row r="278" customFormat="false" ht="15" hidden="false" customHeight="false" outlineLevel="0" collapsed="false">
      <c r="A278" s="32"/>
      <c r="B278" s="35"/>
      <c r="C278" s="32"/>
      <c r="D278" s="34"/>
      <c r="E278" s="42" t="str">
        <f aca="false">IF(OR(A278="",B278=""),"",DATE(YEAR(B278),MONTH(B278),1))</f>
        <v/>
      </c>
      <c r="F278" s="36" t="n">
        <f aca="false">IF(OR(E278="",D278=""),0,IF(C278="Actual",D278,IF(COUNTIFS($A$2:$A$2001,A278,$E$2:$E$2001,E278,$C$2:$C$2001,"Actual")&gt;0,0,D278)))</f>
        <v>0</v>
      </c>
    </row>
    <row r="279" customFormat="false" ht="15" hidden="false" customHeight="false" outlineLevel="0" collapsed="false">
      <c r="A279" s="32"/>
      <c r="B279" s="35"/>
      <c r="C279" s="32"/>
      <c r="D279" s="34"/>
      <c r="E279" s="42" t="str">
        <f aca="false">IF(OR(A279="",B279=""),"",DATE(YEAR(B279),MONTH(B279),1))</f>
        <v/>
      </c>
      <c r="F279" s="36" t="n">
        <f aca="false">IF(OR(E279="",D279=""),0,IF(C279="Actual",D279,IF(COUNTIFS($A$2:$A$2001,A279,$E$2:$E$2001,E279,$C$2:$C$2001,"Actual")&gt;0,0,D279)))</f>
        <v>0</v>
      </c>
    </row>
    <row r="280" customFormat="false" ht="15" hidden="false" customHeight="false" outlineLevel="0" collapsed="false">
      <c r="A280" s="32"/>
      <c r="B280" s="35"/>
      <c r="C280" s="32"/>
      <c r="D280" s="34"/>
      <c r="E280" s="42" t="str">
        <f aca="false">IF(OR(A280="",B280=""),"",DATE(YEAR(B280),MONTH(B280),1))</f>
        <v/>
      </c>
      <c r="F280" s="36" t="n">
        <f aca="false">IF(OR(E280="",D280=""),0,IF(C280="Actual",D280,IF(COUNTIFS($A$2:$A$2001,A280,$E$2:$E$2001,E280,$C$2:$C$2001,"Actual")&gt;0,0,D280)))</f>
        <v>0</v>
      </c>
    </row>
    <row r="281" customFormat="false" ht="15" hidden="false" customHeight="false" outlineLevel="0" collapsed="false">
      <c r="A281" s="32"/>
      <c r="B281" s="35"/>
      <c r="C281" s="32"/>
      <c r="D281" s="34"/>
      <c r="E281" s="42" t="str">
        <f aca="false">IF(OR(A281="",B281=""),"",DATE(YEAR(B281),MONTH(B281),1))</f>
        <v/>
      </c>
      <c r="F281" s="36" t="n">
        <f aca="false">IF(OR(E281="",D281=""),0,IF(C281="Actual",D281,IF(COUNTIFS($A$2:$A$2001,A281,$E$2:$E$2001,E281,$C$2:$C$2001,"Actual")&gt;0,0,D281)))</f>
        <v>0</v>
      </c>
    </row>
    <row r="282" customFormat="false" ht="15" hidden="false" customHeight="false" outlineLevel="0" collapsed="false">
      <c r="A282" s="32"/>
      <c r="B282" s="35"/>
      <c r="C282" s="32"/>
      <c r="D282" s="34"/>
      <c r="E282" s="42" t="str">
        <f aca="false">IF(OR(A282="",B282=""),"",DATE(YEAR(B282),MONTH(B282),1))</f>
        <v/>
      </c>
      <c r="F282" s="36" t="n">
        <f aca="false">IF(OR(E282="",D282=""),0,IF(C282="Actual",D282,IF(COUNTIFS($A$2:$A$2001,A282,$E$2:$E$2001,E282,$C$2:$C$2001,"Actual")&gt;0,0,D282)))</f>
        <v>0</v>
      </c>
    </row>
    <row r="283" customFormat="false" ht="15" hidden="false" customHeight="false" outlineLevel="0" collapsed="false">
      <c r="A283" s="32"/>
      <c r="B283" s="35"/>
      <c r="C283" s="32"/>
      <c r="D283" s="34"/>
      <c r="E283" s="42" t="str">
        <f aca="false">IF(OR(A283="",B283=""),"",DATE(YEAR(B283),MONTH(B283),1))</f>
        <v/>
      </c>
      <c r="F283" s="36" t="n">
        <f aca="false">IF(OR(E283="",D283=""),0,IF(C283="Actual",D283,IF(COUNTIFS($A$2:$A$2001,A283,$E$2:$E$2001,E283,$C$2:$C$2001,"Actual")&gt;0,0,D283)))</f>
        <v>0</v>
      </c>
    </row>
    <row r="284" customFormat="false" ht="15" hidden="false" customHeight="false" outlineLevel="0" collapsed="false">
      <c r="A284" s="32"/>
      <c r="B284" s="35"/>
      <c r="C284" s="32"/>
      <c r="D284" s="34"/>
      <c r="E284" s="42" t="str">
        <f aca="false">IF(OR(A284="",B284=""),"",DATE(YEAR(B284),MONTH(B284),1))</f>
        <v/>
      </c>
      <c r="F284" s="36" t="n">
        <f aca="false">IF(OR(E284="",D284=""),0,IF(C284="Actual",D284,IF(COUNTIFS($A$2:$A$2001,A284,$E$2:$E$2001,E284,$C$2:$C$2001,"Actual")&gt;0,0,D284)))</f>
        <v>0</v>
      </c>
    </row>
    <row r="285" customFormat="false" ht="15" hidden="false" customHeight="false" outlineLevel="0" collapsed="false">
      <c r="A285" s="32"/>
      <c r="B285" s="35"/>
      <c r="C285" s="32"/>
      <c r="D285" s="34"/>
      <c r="E285" s="42" t="str">
        <f aca="false">IF(OR(A285="",B285=""),"",DATE(YEAR(B285),MONTH(B285),1))</f>
        <v/>
      </c>
      <c r="F285" s="36" t="n">
        <f aca="false">IF(OR(E285="",D285=""),0,IF(C285="Actual",D285,IF(COUNTIFS($A$2:$A$2001,A285,$E$2:$E$2001,E285,$C$2:$C$2001,"Actual")&gt;0,0,D285)))</f>
        <v>0</v>
      </c>
    </row>
    <row r="286" customFormat="false" ht="15" hidden="false" customHeight="false" outlineLevel="0" collapsed="false">
      <c r="A286" s="32"/>
      <c r="B286" s="35"/>
      <c r="C286" s="32"/>
      <c r="D286" s="34"/>
      <c r="E286" s="42" t="str">
        <f aca="false">IF(OR(A286="",B286=""),"",DATE(YEAR(B286),MONTH(B286),1))</f>
        <v/>
      </c>
      <c r="F286" s="36" t="n">
        <f aca="false">IF(OR(E286="",D286=""),0,IF(C286="Actual",D286,IF(COUNTIFS($A$2:$A$2001,A286,$E$2:$E$2001,E286,$C$2:$C$2001,"Actual")&gt;0,0,D286)))</f>
        <v>0</v>
      </c>
    </row>
    <row r="287" customFormat="false" ht="15" hidden="false" customHeight="false" outlineLevel="0" collapsed="false">
      <c r="A287" s="32"/>
      <c r="B287" s="35"/>
      <c r="C287" s="32"/>
      <c r="D287" s="34"/>
      <c r="E287" s="42" t="str">
        <f aca="false">IF(OR(A287="",B287=""),"",DATE(YEAR(B287),MONTH(B287),1))</f>
        <v/>
      </c>
      <c r="F287" s="36" t="n">
        <f aca="false">IF(OR(E287="",D287=""),0,IF(C287="Actual",D287,IF(COUNTIFS($A$2:$A$2001,A287,$E$2:$E$2001,E287,$C$2:$C$2001,"Actual")&gt;0,0,D287)))</f>
        <v>0</v>
      </c>
    </row>
    <row r="288" customFormat="false" ht="15" hidden="false" customHeight="false" outlineLevel="0" collapsed="false">
      <c r="A288" s="32"/>
      <c r="B288" s="35"/>
      <c r="C288" s="32"/>
      <c r="D288" s="34"/>
      <c r="E288" s="42" t="str">
        <f aca="false">IF(OR(A288="",B288=""),"",DATE(YEAR(B288),MONTH(B288),1))</f>
        <v/>
      </c>
      <c r="F288" s="36" t="n">
        <f aca="false">IF(OR(E288="",D288=""),0,IF(C288="Actual",D288,IF(COUNTIFS($A$2:$A$2001,A288,$E$2:$E$2001,E288,$C$2:$C$2001,"Actual")&gt;0,0,D288)))</f>
        <v>0</v>
      </c>
    </row>
    <row r="289" customFormat="false" ht="15" hidden="false" customHeight="false" outlineLevel="0" collapsed="false">
      <c r="A289" s="32"/>
      <c r="B289" s="35"/>
      <c r="C289" s="32"/>
      <c r="D289" s="34"/>
      <c r="E289" s="42" t="str">
        <f aca="false">IF(OR(A289="",B289=""),"",DATE(YEAR(B289),MONTH(B289),1))</f>
        <v/>
      </c>
      <c r="F289" s="36" t="n">
        <f aca="false">IF(OR(E289="",D289=""),0,IF(C289="Actual",D289,IF(COUNTIFS($A$2:$A$2001,A289,$E$2:$E$2001,E289,$C$2:$C$2001,"Actual")&gt;0,0,D289)))</f>
        <v>0</v>
      </c>
    </row>
    <row r="290" customFormat="false" ht="15" hidden="false" customHeight="false" outlineLevel="0" collapsed="false">
      <c r="A290" s="32"/>
      <c r="B290" s="35"/>
      <c r="C290" s="32"/>
      <c r="D290" s="34"/>
      <c r="E290" s="42" t="str">
        <f aca="false">IF(OR(A290="",B290=""),"",DATE(YEAR(B290),MONTH(B290),1))</f>
        <v/>
      </c>
      <c r="F290" s="36" t="n">
        <f aca="false">IF(OR(E290="",D290=""),0,IF(C290="Actual",D290,IF(COUNTIFS($A$2:$A$2001,A290,$E$2:$E$2001,E290,$C$2:$C$2001,"Actual")&gt;0,0,D290)))</f>
        <v>0</v>
      </c>
    </row>
    <row r="291" customFormat="false" ht="15" hidden="false" customHeight="false" outlineLevel="0" collapsed="false">
      <c r="A291" s="32"/>
      <c r="B291" s="35"/>
      <c r="C291" s="32"/>
      <c r="D291" s="34"/>
      <c r="E291" s="42" t="str">
        <f aca="false">IF(OR(A291="",B291=""),"",DATE(YEAR(B291),MONTH(B291),1))</f>
        <v/>
      </c>
      <c r="F291" s="36" t="n">
        <f aca="false">IF(OR(E291="",D291=""),0,IF(C291="Actual",D291,IF(COUNTIFS($A$2:$A$2001,A291,$E$2:$E$2001,E291,$C$2:$C$2001,"Actual")&gt;0,0,D291)))</f>
        <v>0</v>
      </c>
    </row>
    <row r="292" customFormat="false" ht="15" hidden="false" customHeight="false" outlineLevel="0" collapsed="false">
      <c r="A292" s="32"/>
      <c r="B292" s="35"/>
      <c r="C292" s="32"/>
      <c r="D292" s="34"/>
      <c r="E292" s="42" t="str">
        <f aca="false">IF(OR(A292="",B292=""),"",DATE(YEAR(B292),MONTH(B292),1))</f>
        <v/>
      </c>
      <c r="F292" s="36" t="n">
        <f aca="false">IF(OR(E292="",D292=""),0,IF(C292="Actual",D292,IF(COUNTIFS($A$2:$A$2001,A292,$E$2:$E$2001,E292,$C$2:$C$2001,"Actual")&gt;0,0,D292)))</f>
        <v>0</v>
      </c>
    </row>
    <row r="293" customFormat="false" ht="15" hidden="false" customHeight="false" outlineLevel="0" collapsed="false">
      <c r="A293" s="32"/>
      <c r="B293" s="35"/>
      <c r="C293" s="32"/>
      <c r="D293" s="34"/>
      <c r="E293" s="42" t="str">
        <f aca="false">IF(OR(A293="",B293=""),"",DATE(YEAR(B293),MONTH(B293),1))</f>
        <v/>
      </c>
      <c r="F293" s="36" t="n">
        <f aca="false">IF(OR(E293="",D293=""),0,IF(C293="Actual",D293,IF(COUNTIFS($A$2:$A$2001,A293,$E$2:$E$2001,E293,$C$2:$C$2001,"Actual")&gt;0,0,D293)))</f>
        <v>0</v>
      </c>
    </row>
    <row r="294" customFormat="false" ht="15" hidden="false" customHeight="false" outlineLevel="0" collapsed="false">
      <c r="A294" s="32"/>
      <c r="B294" s="35"/>
      <c r="C294" s="32"/>
      <c r="D294" s="34"/>
      <c r="E294" s="42" t="str">
        <f aca="false">IF(OR(A294="",B294=""),"",DATE(YEAR(B294),MONTH(B294),1))</f>
        <v/>
      </c>
      <c r="F294" s="36" t="n">
        <f aca="false">IF(OR(E294="",D294=""),0,IF(C294="Actual",D294,IF(COUNTIFS($A$2:$A$2001,A294,$E$2:$E$2001,E294,$C$2:$C$2001,"Actual")&gt;0,0,D294)))</f>
        <v>0</v>
      </c>
    </row>
    <row r="295" customFormat="false" ht="15" hidden="false" customHeight="false" outlineLevel="0" collapsed="false">
      <c r="A295" s="32"/>
      <c r="B295" s="35"/>
      <c r="C295" s="32"/>
      <c r="D295" s="34"/>
      <c r="E295" s="42" t="str">
        <f aca="false">IF(OR(A295="",B295=""),"",DATE(YEAR(B295),MONTH(B295),1))</f>
        <v/>
      </c>
      <c r="F295" s="36" t="n">
        <f aca="false">IF(OR(E295="",D295=""),0,IF(C295="Actual",D295,IF(COUNTIFS($A$2:$A$2001,A295,$E$2:$E$2001,E295,$C$2:$C$2001,"Actual")&gt;0,0,D295)))</f>
        <v>0</v>
      </c>
    </row>
    <row r="296" customFormat="false" ht="15" hidden="false" customHeight="false" outlineLevel="0" collapsed="false">
      <c r="A296" s="32"/>
      <c r="B296" s="35"/>
      <c r="C296" s="32"/>
      <c r="D296" s="34"/>
      <c r="E296" s="42" t="str">
        <f aca="false">IF(OR(A296="",B296=""),"",DATE(YEAR(B296),MONTH(B296),1))</f>
        <v/>
      </c>
      <c r="F296" s="36" t="n">
        <f aca="false">IF(OR(E296="",D296=""),0,IF(C296="Actual",D296,IF(COUNTIFS($A$2:$A$2001,A296,$E$2:$E$2001,E296,$C$2:$C$2001,"Actual")&gt;0,0,D296)))</f>
        <v>0</v>
      </c>
    </row>
    <row r="297" customFormat="false" ht="15" hidden="false" customHeight="false" outlineLevel="0" collapsed="false">
      <c r="A297" s="32"/>
      <c r="B297" s="35"/>
      <c r="C297" s="32"/>
      <c r="D297" s="34"/>
      <c r="E297" s="42" t="str">
        <f aca="false">IF(OR(A297="",B297=""),"",DATE(YEAR(B297),MONTH(B297),1))</f>
        <v/>
      </c>
      <c r="F297" s="36" t="n">
        <f aca="false">IF(OR(E297="",D297=""),0,IF(C297="Actual",D297,IF(COUNTIFS($A$2:$A$2001,A297,$E$2:$E$2001,E297,$C$2:$C$2001,"Actual")&gt;0,0,D297)))</f>
        <v>0</v>
      </c>
    </row>
    <row r="298" customFormat="false" ht="15" hidden="false" customHeight="false" outlineLevel="0" collapsed="false">
      <c r="A298" s="32"/>
      <c r="B298" s="35"/>
      <c r="C298" s="32"/>
      <c r="D298" s="34"/>
      <c r="E298" s="42" t="str">
        <f aca="false">IF(OR(A298="",B298=""),"",DATE(YEAR(B298),MONTH(B298),1))</f>
        <v/>
      </c>
      <c r="F298" s="36" t="n">
        <f aca="false">IF(OR(E298="",D298=""),0,IF(C298="Actual",D298,IF(COUNTIFS($A$2:$A$2001,A298,$E$2:$E$2001,E298,$C$2:$C$2001,"Actual")&gt;0,0,D298)))</f>
        <v>0</v>
      </c>
    </row>
    <row r="299" customFormat="false" ht="15" hidden="false" customHeight="false" outlineLevel="0" collapsed="false">
      <c r="A299" s="32"/>
      <c r="B299" s="35"/>
      <c r="C299" s="32"/>
      <c r="D299" s="34"/>
      <c r="E299" s="42" t="str">
        <f aca="false">IF(OR(A299="",B299=""),"",DATE(YEAR(B299),MONTH(B299),1))</f>
        <v/>
      </c>
      <c r="F299" s="36" t="n">
        <f aca="false">IF(OR(E299="",D299=""),0,IF(C299="Actual",D299,IF(COUNTIFS($A$2:$A$2001,A299,$E$2:$E$2001,E299,$C$2:$C$2001,"Actual")&gt;0,0,D299)))</f>
        <v>0</v>
      </c>
    </row>
    <row r="300" customFormat="false" ht="15" hidden="false" customHeight="false" outlineLevel="0" collapsed="false">
      <c r="A300" s="32"/>
      <c r="B300" s="35"/>
      <c r="C300" s="32"/>
      <c r="D300" s="34"/>
      <c r="E300" s="42" t="str">
        <f aca="false">IF(OR(A300="",B300=""),"",DATE(YEAR(B300),MONTH(B300),1))</f>
        <v/>
      </c>
      <c r="F300" s="36" t="n">
        <f aca="false">IF(OR(E300="",D300=""),0,IF(C300="Actual",D300,IF(COUNTIFS($A$2:$A$2001,A300,$E$2:$E$2001,E300,$C$2:$C$2001,"Actual")&gt;0,0,D300)))</f>
        <v>0</v>
      </c>
    </row>
    <row r="301" customFormat="false" ht="15" hidden="false" customHeight="false" outlineLevel="0" collapsed="false">
      <c r="A301" s="32"/>
      <c r="B301" s="35"/>
      <c r="C301" s="32"/>
      <c r="D301" s="34"/>
      <c r="E301" s="42" t="str">
        <f aca="false">IF(OR(A301="",B301=""),"",DATE(YEAR(B301),MONTH(B301),1))</f>
        <v/>
      </c>
      <c r="F301" s="36" t="n">
        <f aca="false">IF(OR(E301="",D301=""),0,IF(C301="Actual",D301,IF(COUNTIFS($A$2:$A$2001,A301,$E$2:$E$2001,E301,$C$2:$C$2001,"Actual")&gt;0,0,D301)))</f>
        <v>0</v>
      </c>
    </row>
    <row r="302" customFormat="false" ht="15" hidden="false" customHeight="false" outlineLevel="0" collapsed="false">
      <c r="A302" s="32"/>
      <c r="B302" s="35"/>
      <c r="C302" s="32"/>
      <c r="D302" s="34"/>
      <c r="E302" s="42" t="str">
        <f aca="false">IF(OR(A302="",B302=""),"",DATE(YEAR(B302),MONTH(B302),1))</f>
        <v/>
      </c>
      <c r="F302" s="36" t="n">
        <f aca="false">IF(OR(E302="",D302=""),0,IF(C302="Actual",D302,IF(COUNTIFS($A$2:$A$2001,A302,$E$2:$E$2001,E302,$C$2:$C$2001,"Actual")&gt;0,0,D302)))</f>
        <v>0</v>
      </c>
    </row>
    <row r="303" customFormat="false" ht="15" hidden="false" customHeight="false" outlineLevel="0" collapsed="false">
      <c r="A303" s="32"/>
      <c r="B303" s="35"/>
      <c r="C303" s="32"/>
      <c r="D303" s="34"/>
      <c r="E303" s="42" t="str">
        <f aca="false">IF(OR(A303="",B303=""),"",DATE(YEAR(B303),MONTH(B303),1))</f>
        <v/>
      </c>
      <c r="F303" s="36" t="n">
        <f aca="false">IF(OR(E303="",D303=""),0,IF(C303="Actual",D303,IF(COUNTIFS($A$2:$A$2001,A303,$E$2:$E$2001,E303,$C$2:$C$2001,"Actual")&gt;0,0,D303)))</f>
        <v>0</v>
      </c>
    </row>
    <row r="304" customFormat="false" ht="15" hidden="false" customHeight="false" outlineLevel="0" collapsed="false">
      <c r="A304" s="32"/>
      <c r="B304" s="35"/>
      <c r="C304" s="32"/>
      <c r="D304" s="34"/>
      <c r="E304" s="42" t="str">
        <f aca="false">IF(OR(A304="",B304=""),"",DATE(YEAR(B304),MONTH(B304),1))</f>
        <v/>
      </c>
      <c r="F304" s="36" t="n">
        <f aca="false">IF(OR(E304="",D304=""),0,IF(C304="Actual",D304,IF(COUNTIFS($A$2:$A$2001,A304,$E$2:$E$2001,E304,$C$2:$C$2001,"Actual")&gt;0,0,D304)))</f>
        <v>0</v>
      </c>
    </row>
    <row r="305" customFormat="false" ht="15" hidden="false" customHeight="false" outlineLevel="0" collapsed="false">
      <c r="A305" s="32"/>
      <c r="B305" s="35"/>
      <c r="C305" s="32"/>
      <c r="D305" s="34"/>
      <c r="E305" s="42" t="str">
        <f aca="false">IF(OR(A305="",B305=""),"",DATE(YEAR(B305),MONTH(B305),1))</f>
        <v/>
      </c>
      <c r="F305" s="36" t="n">
        <f aca="false">IF(OR(E305="",D305=""),0,IF(C305="Actual",D305,IF(COUNTIFS($A$2:$A$2001,A305,$E$2:$E$2001,E305,$C$2:$C$2001,"Actual")&gt;0,0,D305)))</f>
        <v>0</v>
      </c>
    </row>
    <row r="306" customFormat="false" ht="15" hidden="false" customHeight="false" outlineLevel="0" collapsed="false">
      <c r="A306" s="32"/>
      <c r="B306" s="35"/>
      <c r="C306" s="32"/>
      <c r="D306" s="34"/>
      <c r="E306" s="42" t="str">
        <f aca="false">IF(OR(A306="",B306=""),"",DATE(YEAR(B306),MONTH(B306),1))</f>
        <v/>
      </c>
      <c r="F306" s="36" t="n">
        <f aca="false">IF(OR(E306="",D306=""),0,IF(C306="Actual",D306,IF(COUNTIFS($A$2:$A$2001,A306,$E$2:$E$2001,E306,$C$2:$C$2001,"Actual")&gt;0,0,D306)))</f>
        <v>0</v>
      </c>
    </row>
    <row r="307" customFormat="false" ht="15" hidden="false" customHeight="false" outlineLevel="0" collapsed="false">
      <c r="A307" s="32"/>
      <c r="B307" s="35"/>
      <c r="C307" s="32"/>
      <c r="D307" s="34"/>
      <c r="E307" s="42" t="str">
        <f aca="false">IF(OR(A307="",B307=""),"",DATE(YEAR(B307),MONTH(B307),1))</f>
        <v/>
      </c>
      <c r="F307" s="36" t="n">
        <f aca="false">IF(OR(E307="",D307=""),0,IF(C307="Actual",D307,IF(COUNTIFS($A$2:$A$2001,A307,$E$2:$E$2001,E307,$C$2:$C$2001,"Actual")&gt;0,0,D307)))</f>
        <v>0</v>
      </c>
    </row>
    <row r="308" customFormat="false" ht="15" hidden="false" customHeight="false" outlineLevel="0" collapsed="false">
      <c r="A308" s="32"/>
      <c r="B308" s="35"/>
      <c r="C308" s="32"/>
      <c r="D308" s="34"/>
      <c r="E308" s="42" t="str">
        <f aca="false">IF(OR(A308="",B308=""),"",DATE(YEAR(B308),MONTH(B308),1))</f>
        <v/>
      </c>
      <c r="F308" s="36" t="n">
        <f aca="false">IF(OR(E308="",D308=""),0,IF(C308="Actual",D308,IF(COUNTIFS($A$2:$A$2001,A308,$E$2:$E$2001,E308,$C$2:$C$2001,"Actual")&gt;0,0,D308)))</f>
        <v>0</v>
      </c>
    </row>
    <row r="309" customFormat="false" ht="15" hidden="false" customHeight="false" outlineLevel="0" collapsed="false">
      <c r="A309" s="32"/>
      <c r="B309" s="35"/>
      <c r="C309" s="32"/>
      <c r="D309" s="34"/>
      <c r="E309" s="42" t="str">
        <f aca="false">IF(OR(A309="",B309=""),"",DATE(YEAR(B309),MONTH(B309),1))</f>
        <v/>
      </c>
      <c r="F309" s="36" t="n">
        <f aca="false">IF(OR(E309="",D309=""),0,IF(C309="Actual",D309,IF(COUNTIFS($A$2:$A$2001,A309,$E$2:$E$2001,E309,$C$2:$C$2001,"Actual")&gt;0,0,D309)))</f>
        <v>0</v>
      </c>
    </row>
    <row r="310" customFormat="false" ht="15" hidden="false" customHeight="false" outlineLevel="0" collapsed="false">
      <c r="A310" s="32"/>
      <c r="B310" s="35"/>
      <c r="C310" s="32"/>
      <c r="D310" s="34"/>
      <c r="E310" s="42" t="str">
        <f aca="false">IF(OR(A310="",B310=""),"",DATE(YEAR(B310),MONTH(B310),1))</f>
        <v/>
      </c>
      <c r="F310" s="36" t="n">
        <f aca="false">IF(OR(E310="",D310=""),0,IF(C310="Actual",D310,IF(COUNTIFS($A$2:$A$2001,A310,$E$2:$E$2001,E310,$C$2:$C$2001,"Actual")&gt;0,0,D310)))</f>
        <v>0</v>
      </c>
    </row>
    <row r="311" customFormat="false" ht="15" hidden="false" customHeight="false" outlineLevel="0" collapsed="false">
      <c r="A311" s="32"/>
      <c r="B311" s="35"/>
      <c r="C311" s="32"/>
      <c r="D311" s="34"/>
      <c r="E311" s="42" t="str">
        <f aca="false">IF(OR(A311="",B311=""),"",DATE(YEAR(B311),MONTH(B311),1))</f>
        <v/>
      </c>
      <c r="F311" s="36" t="n">
        <f aca="false">IF(OR(E311="",D311=""),0,IF(C311="Actual",D311,IF(COUNTIFS($A$2:$A$2001,A311,$E$2:$E$2001,E311,$C$2:$C$2001,"Actual")&gt;0,0,D311)))</f>
        <v>0</v>
      </c>
    </row>
    <row r="312" customFormat="false" ht="15" hidden="false" customHeight="false" outlineLevel="0" collapsed="false">
      <c r="A312" s="32"/>
      <c r="B312" s="35"/>
      <c r="C312" s="32"/>
      <c r="D312" s="34"/>
      <c r="E312" s="42" t="str">
        <f aca="false">IF(OR(A312="",B312=""),"",DATE(YEAR(B312),MONTH(B312),1))</f>
        <v/>
      </c>
      <c r="F312" s="36" t="n">
        <f aca="false">IF(OR(E312="",D312=""),0,IF(C312="Actual",D312,IF(COUNTIFS($A$2:$A$2001,A312,$E$2:$E$2001,E312,$C$2:$C$2001,"Actual")&gt;0,0,D312)))</f>
        <v>0</v>
      </c>
    </row>
    <row r="313" customFormat="false" ht="15" hidden="false" customHeight="false" outlineLevel="0" collapsed="false">
      <c r="A313" s="32"/>
      <c r="B313" s="35"/>
      <c r="C313" s="32"/>
      <c r="D313" s="34"/>
      <c r="E313" s="42" t="str">
        <f aca="false">IF(OR(A313="",B313=""),"",DATE(YEAR(B313),MONTH(B313),1))</f>
        <v/>
      </c>
      <c r="F313" s="36" t="n">
        <f aca="false">IF(OR(E313="",D313=""),0,IF(C313="Actual",D313,IF(COUNTIFS($A$2:$A$2001,A313,$E$2:$E$2001,E313,$C$2:$C$2001,"Actual")&gt;0,0,D313)))</f>
        <v>0</v>
      </c>
    </row>
    <row r="314" customFormat="false" ht="15" hidden="false" customHeight="false" outlineLevel="0" collapsed="false">
      <c r="A314" s="32"/>
      <c r="B314" s="35"/>
      <c r="C314" s="32"/>
      <c r="D314" s="34"/>
      <c r="E314" s="42" t="str">
        <f aca="false">IF(OR(A314="",B314=""),"",DATE(YEAR(B314),MONTH(B314),1))</f>
        <v/>
      </c>
      <c r="F314" s="36" t="n">
        <f aca="false">IF(OR(E314="",D314=""),0,IF(C314="Actual",D314,IF(COUNTIFS($A$2:$A$2001,A314,$E$2:$E$2001,E314,$C$2:$C$2001,"Actual")&gt;0,0,D314)))</f>
        <v>0</v>
      </c>
    </row>
    <row r="315" customFormat="false" ht="15" hidden="false" customHeight="false" outlineLevel="0" collapsed="false">
      <c r="A315" s="32"/>
      <c r="B315" s="35"/>
      <c r="C315" s="32"/>
      <c r="D315" s="34"/>
      <c r="E315" s="42" t="str">
        <f aca="false">IF(OR(A315="",B315=""),"",DATE(YEAR(B315),MONTH(B315),1))</f>
        <v/>
      </c>
      <c r="F315" s="36" t="n">
        <f aca="false">IF(OR(E315="",D315=""),0,IF(C315="Actual",D315,IF(COUNTIFS($A$2:$A$2001,A315,$E$2:$E$2001,E315,$C$2:$C$2001,"Actual")&gt;0,0,D315)))</f>
        <v>0</v>
      </c>
    </row>
    <row r="316" customFormat="false" ht="15" hidden="false" customHeight="false" outlineLevel="0" collapsed="false">
      <c r="A316" s="32"/>
      <c r="B316" s="35"/>
      <c r="C316" s="32"/>
      <c r="D316" s="34"/>
      <c r="E316" s="42" t="str">
        <f aca="false">IF(OR(A316="",B316=""),"",DATE(YEAR(B316),MONTH(B316),1))</f>
        <v/>
      </c>
      <c r="F316" s="36" t="n">
        <f aca="false">IF(OR(E316="",D316=""),0,IF(C316="Actual",D316,IF(COUNTIFS($A$2:$A$2001,A316,$E$2:$E$2001,E316,$C$2:$C$2001,"Actual")&gt;0,0,D316)))</f>
        <v>0</v>
      </c>
    </row>
    <row r="317" customFormat="false" ht="15" hidden="false" customHeight="false" outlineLevel="0" collapsed="false">
      <c r="A317" s="32"/>
      <c r="B317" s="35"/>
      <c r="C317" s="32"/>
      <c r="D317" s="34"/>
      <c r="E317" s="42" t="str">
        <f aca="false">IF(OR(A317="",B317=""),"",DATE(YEAR(B317),MONTH(B317),1))</f>
        <v/>
      </c>
      <c r="F317" s="36" t="n">
        <f aca="false">IF(OR(E317="",D317=""),0,IF(C317="Actual",D317,IF(COUNTIFS($A$2:$A$2001,A317,$E$2:$E$2001,E317,$C$2:$C$2001,"Actual")&gt;0,0,D317)))</f>
        <v>0</v>
      </c>
    </row>
    <row r="318" customFormat="false" ht="15" hidden="false" customHeight="false" outlineLevel="0" collapsed="false">
      <c r="A318" s="32"/>
      <c r="B318" s="35"/>
      <c r="C318" s="32"/>
      <c r="D318" s="34"/>
      <c r="E318" s="42" t="str">
        <f aca="false">IF(OR(A318="",B318=""),"",DATE(YEAR(B318),MONTH(B318),1))</f>
        <v/>
      </c>
      <c r="F318" s="36" t="n">
        <f aca="false">IF(OR(E318="",D318=""),0,IF(C318="Actual",D318,IF(COUNTIFS($A$2:$A$2001,A318,$E$2:$E$2001,E318,$C$2:$C$2001,"Actual")&gt;0,0,D318)))</f>
        <v>0</v>
      </c>
    </row>
    <row r="319" customFormat="false" ht="15" hidden="false" customHeight="false" outlineLevel="0" collapsed="false">
      <c r="A319" s="32"/>
      <c r="B319" s="35"/>
      <c r="C319" s="32"/>
      <c r="D319" s="34"/>
      <c r="E319" s="42" t="str">
        <f aca="false">IF(OR(A319="",B319=""),"",DATE(YEAR(B319),MONTH(B319),1))</f>
        <v/>
      </c>
      <c r="F319" s="36" t="n">
        <f aca="false">IF(OR(E319="",D319=""),0,IF(C319="Actual",D319,IF(COUNTIFS($A$2:$A$2001,A319,$E$2:$E$2001,E319,$C$2:$C$2001,"Actual")&gt;0,0,D319)))</f>
        <v>0</v>
      </c>
    </row>
    <row r="320" customFormat="false" ht="15" hidden="false" customHeight="false" outlineLevel="0" collapsed="false">
      <c r="A320" s="32"/>
      <c r="B320" s="35"/>
      <c r="C320" s="32"/>
      <c r="D320" s="34"/>
      <c r="E320" s="42" t="str">
        <f aca="false">IF(OR(A320="",B320=""),"",DATE(YEAR(B320),MONTH(B320),1))</f>
        <v/>
      </c>
      <c r="F320" s="36" t="n">
        <f aca="false">IF(OR(E320="",D320=""),0,IF(C320="Actual",D320,IF(COUNTIFS($A$2:$A$2001,A320,$E$2:$E$2001,E320,$C$2:$C$2001,"Actual")&gt;0,0,D320)))</f>
        <v>0</v>
      </c>
    </row>
    <row r="321" customFormat="false" ht="15" hidden="false" customHeight="false" outlineLevel="0" collapsed="false">
      <c r="A321" s="32"/>
      <c r="B321" s="35"/>
      <c r="C321" s="32"/>
      <c r="D321" s="34"/>
      <c r="E321" s="42" t="str">
        <f aca="false">IF(OR(A321="",B321=""),"",DATE(YEAR(B321),MONTH(B321),1))</f>
        <v/>
      </c>
      <c r="F321" s="36" t="n">
        <f aca="false">IF(OR(E321="",D321=""),0,IF(C321="Actual",D321,IF(COUNTIFS($A$2:$A$2001,A321,$E$2:$E$2001,E321,$C$2:$C$2001,"Actual")&gt;0,0,D321)))</f>
        <v>0</v>
      </c>
    </row>
    <row r="322" customFormat="false" ht="15" hidden="false" customHeight="false" outlineLevel="0" collapsed="false">
      <c r="A322" s="32"/>
      <c r="B322" s="35"/>
      <c r="C322" s="32"/>
      <c r="D322" s="34"/>
      <c r="E322" s="42" t="str">
        <f aca="false">IF(OR(A322="",B322=""),"",DATE(YEAR(B322),MONTH(B322),1))</f>
        <v/>
      </c>
      <c r="F322" s="36" t="n">
        <f aca="false">IF(OR(E322="",D322=""),0,IF(C322="Actual",D322,IF(COUNTIFS($A$2:$A$2001,A322,$E$2:$E$2001,E322,$C$2:$C$2001,"Actual")&gt;0,0,D322)))</f>
        <v>0</v>
      </c>
    </row>
    <row r="323" customFormat="false" ht="15" hidden="false" customHeight="false" outlineLevel="0" collapsed="false">
      <c r="A323" s="32"/>
      <c r="B323" s="35"/>
      <c r="C323" s="32"/>
      <c r="D323" s="34"/>
      <c r="E323" s="42" t="str">
        <f aca="false">IF(OR(A323="",B323=""),"",DATE(YEAR(B323),MONTH(B323),1))</f>
        <v/>
      </c>
      <c r="F323" s="36" t="n">
        <f aca="false">IF(OR(E323="",D323=""),0,IF(C323="Actual",D323,IF(COUNTIFS($A$2:$A$2001,A323,$E$2:$E$2001,E323,$C$2:$C$2001,"Actual")&gt;0,0,D323)))</f>
        <v>0</v>
      </c>
    </row>
    <row r="324" customFormat="false" ht="15" hidden="false" customHeight="false" outlineLevel="0" collapsed="false">
      <c r="A324" s="32"/>
      <c r="B324" s="35"/>
      <c r="C324" s="32"/>
      <c r="D324" s="34"/>
      <c r="E324" s="42" t="str">
        <f aca="false">IF(OR(A324="",B324=""),"",DATE(YEAR(B324),MONTH(B324),1))</f>
        <v/>
      </c>
      <c r="F324" s="36" t="n">
        <f aca="false">IF(OR(E324="",D324=""),0,IF(C324="Actual",D324,IF(COUNTIFS($A$2:$A$2001,A324,$E$2:$E$2001,E324,$C$2:$C$2001,"Actual")&gt;0,0,D324)))</f>
        <v>0</v>
      </c>
    </row>
    <row r="325" customFormat="false" ht="15" hidden="false" customHeight="false" outlineLevel="0" collapsed="false">
      <c r="A325" s="32"/>
      <c r="B325" s="35"/>
      <c r="C325" s="32"/>
      <c r="D325" s="34"/>
      <c r="E325" s="42" t="str">
        <f aca="false">IF(OR(A325="",B325=""),"",DATE(YEAR(B325),MONTH(B325),1))</f>
        <v/>
      </c>
      <c r="F325" s="36" t="n">
        <f aca="false">IF(OR(E325="",D325=""),0,IF(C325="Actual",D325,IF(COUNTIFS($A$2:$A$2001,A325,$E$2:$E$2001,E325,$C$2:$C$2001,"Actual")&gt;0,0,D325)))</f>
        <v>0</v>
      </c>
    </row>
    <row r="326" customFormat="false" ht="15" hidden="false" customHeight="false" outlineLevel="0" collapsed="false">
      <c r="A326" s="32"/>
      <c r="B326" s="35"/>
      <c r="C326" s="32"/>
      <c r="D326" s="34"/>
      <c r="E326" s="42" t="str">
        <f aca="false">IF(OR(A326="",B326=""),"",DATE(YEAR(B326),MONTH(B326),1))</f>
        <v/>
      </c>
      <c r="F326" s="36" t="n">
        <f aca="false">IF(OR(E326="",D326=""),0,IF(C326="Actual",D326,IF(COUNTIFS($A$2:$A$2001,A326,$E$2:$E$2001,E326,$C$2:$C$2001,"Actual")&gt;0,0,D326)))</f>
        <v>0</v>
      </c>
    </row>
    <row r="327" customFormat="false" ht="15" hidden="false" customHeight="false" outlineLevel="0" collapsed="false">
      <c r="A327" s="32"/>
      <c r="B327" s="35"/>
      <c r="C327" s="32"/>
      <c r="D327" s="34"/>
      <c r="E327" s="42" t="str">
        <f aca="false">IF(OR(A327="",B327=""),"",DATE(YEAR(B327),MONTH(B327),1))</f>
        <v/>
      </c>
      <c r="F327" s="36" t="n">
        <f aca="false">IF(OR(E327="",D327=""),0,IF(C327="Actual",D327,IF(COUNTIFS($A$2:$A$2001,A327,$E$2:$E$2001,E327,$C$2:$C$2001,"Actual")&gt;0,0,D327)))</f>
        <v>0</v>
      </c>
    </row>
    <row r="328" customFormat="false" ht="15" hidden="false" customHeight="false" outlineLevel="0" collapsed="false">
      <c r="A328" s="32"/>
      <c r="B328" s="35"/>
      <c r="C328" s="32"/>
      <c r="D328" s="34"/>
      <c r="E328" s="42" t="str">
        <f aca="false">IF(OR(A328="",B328=""),"",DATE(YEAR(B328),MONTH(B328),1))</f>
        <v/>
      </c>
      <c r="F328" s="36" t="n">
        <f aca="false">IF(OR(E328="",D328=""),0,IF(C328="Actual",D328,IF(COUNTIFS($A$2:$A$2001,A328,$E$2:$E$2001,E328,$C$2:$C$2001,"Actual")&gt;0,0,D328)))</f>
        <v>0</v>
      </c>
    </row>
    <row r="329" customFormat="false" ht="15" hidden="false" customHeight="false" outlineLevel="0" collapsed="false">
      <c r="A329" s="32"/>
      <c r="B329" s="35"/>
      <c r="C329" s="32"/>
      <c r="D329" s="34"/>
      <c r="E329" s="42" t="str">
        <f aca="false">IF(OR(A329="",B329=""),"",DATE(YEAR(B329),MONTH(B329),1))</f>
        <v/>
      </c>
      <c r="F329" s="36" t="n">
        <f aca="false">IF(OR(E329="",D329=""),0,IF(C329="Actual",D329,IF(COUNTIFS($A$2:$A$2001,A329,$E$2:$E$2001,E329,$C$2:$C$2001,"Actual")&gt;0,0,D329)))</f>
        <v>0</v>
      </c>
    </row>
    <row r="330" customFormat="false" ht="15" hidden="false" customHeight="false" outlineLevel="0" collapsed="false">
      <c r="A330" s="32"/>
      <c r="B330" s="35"/>
      <c r="C330" s="32"/>
      <c r="D330" s="34"/>
      <c r="E330" s="42" t="str">
        <f aca="false">IF(OR(A330="",B330=""),"",DATE(YEAR(B330),MONTH(B330),1))</f>
        <v/>
      </c>
      <c r="F330" s="36" t="n">
        <f aca="false">IF(OR(E330="",D330=""),0,IF(C330="Actual",D330,IF(COUNTIFS($A$2:$A$2001,A330,$E$2:$E$2001,E330,$C$2:$C$2001,"Actual")&gt;0,0,D330)))</f>
        <v>0</v>
      </c>
    </row>
    <row r="331" customFormat="false" ht="15" hidden="false" customHeight="false" outlineLevel="0" collapsed="false">
      <c r="A331" s="32"/>
      <c r="B331" s="35"/>
      <c r="C331" s="32"/>
      <c r="D331" s="34"/>
      <c r="E331" s="42" t="str">
        <f aca="false">IF(OR(A331="",B331=""),"",DATE(YEAR(B331),MONTH(B331),1))</f>
        <v/>
      </c>
      <c r="F331" s="36" t="n">
        <f aca="false">IF(OR(E331="",D331=""),0,IF(C331="Actual",D331,IF(COUNTIFS($A$2:$A$2001,A331,$E$2:$E$2001,E331,$C$2:$C$2001,"Actual")&gt;0,0,D331)))</f>
        <v>0</v>
      </c>
    </row>
    <row r="332" customFormat="false" ht="15" hidden="false" customHeight="false" outlineLevel="0" collapsed="false">
      <c r="A332" s="32"/>
      <c r="B332" s="35"/>
      <c r="C332" s="32"/>
      <c r="D332" s="34"/>
      <c r="E332" s="42" t="str">
        <f aca="false">IF(OR(A332="",B332=""),"",DATE(YEAR(B332),MONTH(B332),1))</f>
        <v/>
      </c>
      <c r="F332" s="36" t="n">
        <f aca="false">IF(OR(E332="",D332=""),0,IF(C332="Actual",D332,IF(COUNTIFS($A$2:$A$2001,A332,$E$2:$E$2001,E332,$C$2:$C$2001,"Actual")&gt;0,0,D332)))</f>
        <v>0</v>
      </c>
    </row>
    <row r="333" customFormat="false" ht="15" hidden="false" customHeight="false" outlineLevel="0" collapsed="false">
      <c r="A333" s="32"/>
      <c r="B333" s="35"/>
      <c r="C333" s="32"/>
      <c r="D333" s="34"/>
      <c r="E333" s="42" t="str">
        <f aca="false">IF(OR(A333="",B333=""),"",DATE(YEAR(B333),MONTH(B333),1))</f>
        <v/>
      </c>
      <c r="F333" s="36" t="n">
        <f aca="false">IF(OR(E333="",D333=""),0,IF(C333="Actual",D333,IF(COUNTIFS($A$2:$A$2001,A333,$E$2:$E$2001,E333,$C$2:$C$2001,"Actual")&gt;0,0,D333)))</f>
        <v>0</v>
      </c>
    </row>
    <row r="334" customFormat="false" ht="15" hidden="false" customHeight="false" outlineLevel="0" collapsed="false">
      <c r="A334" s="32"/>
      <c r="B334" s="35"/>
      <c r="C334" s="32"/>
      <c r="D334" s="34"/>
      <c r="E334" s="42" t="str">
        <f aca="false">IF(OR(A334="",B334=""),"",DATE(YEAR(B334),MONTH(B334),1))</f>
        <v/>
      </c>
      <c r="F334" s="36" t="n">
        <f aca="false">IF(OR(E334="",D334=""),0,IF(C334="Actual",D334,IF(COUNTIFS($A$2:$A$2001,A334,$E$2:$E$2001,E334,$C$2:$C$2001,"Actual")&gt;0,0,D334)))</f>
        <v>0</v>
      </c>
    </row>
    <row r="335" customFormat="false" ht="15" hidden="false" customHeight="false" outlineLevel="0" collapsed="false">
      <c r="A335" s="32"/>
      <c r="B335" s="35"/>
      <c r="C335" s="32"/>
      <c r="D335" s="34"/>
      <c r="E335" s="42" t="str">
        <f aca="false">IF(OR(A335="",B335=""),"",DATE(YEAR(B335),MONTH(B335),1))</f>
        <v/>
      </c>
      <c r="F335" s="36" t="n">
        <f aca="false">IF(OR(E335="",D335=""),0,IF(C335="Actual",D335,IF(COUNTIFS($A$2:$A$2001,A335,$E$2:$E$2001,E335,$C$2:$C$2001,"Actual")&gt;0,0,D335)))</f>
        <v>0</v>
      </c>
    </row>
    <row r="336" customFormat="false" ht="15" hidden="false" customHeight="false" outlineLevel="0" collapsed="false">
      <c r="A336" s="32"/>
      <c r="B336" s="35"/>
      <c r="C336" s="32"/>
      <c r="D336" s="34"/>
      <c r="E336" s="42" t="str">
        <f aca="false">IF(OR(A336="",B336=""),"",DATE(YEAR(B336),MONTH(B336),1))</f>
        <v/>
      </c>
      <c r="F336" s="36" t="n">
        <f aca="false">IF(OR(E336="",D336=""),0,IF(C336="Actual",D336,IF(COUNTIFS($A$2:$A$2001,A336,$E$2:$E$2001,E336,$C$2:$C$2001,"Actual")&gt;0,0,D336)))</f>
        <v>0</v>
      </c>
    </row>
    <row r="337" customFormat="false" ht="15" hidden="false" customHeight="false" outlineLevel="0" collapsed="false">
      <c r="A337" s="32"/>
      <c r="B337" s="35"/>
      <c r="C337" s="32"/>
      <c r="D337" s="34"/>
      <c r="E337" s="42" t="str">
        <f aca="false">IF(OR(A337="",B337=""),"",DATE(YEAR(B337),MONTH(B337),1))</f>
        <v/>
      </c>
      <c r="F337" s="36" t="n">
        <f aca="false">IF(OR(E337="",D337=""),0,IF(C337="Actual",D337,IF(COUNTIFS($A$2:$A$2001,A337,$E$2:$E$2001,E337,$C$2:$C$2001,"Actual")&gt;0,0,D337)))</f>
        <v>0</v>
      </c>
    </row>
    <row r="338" customFormat="false" ht="15" hidden="false" customHeight="false" outlineLevel="0" collapsed="false">
      <c r="A338" s="32"/>
      <c r="B338" s="35"/>
      <c r="C338" s="32"/>
      <c r="D338" s="34"/>
      <c r="E338" s="42" t="str">
        <f aca="false">IF(OR(A338="",B338=""),"",DATE(YEAR(B338),MONTH(B338),1))</f>
        <v/>
      </c>
      <c r="F338" s="36" t="n">
        <f aca="false">IF(OR(E338="",D338=""),0,IF(C338="Actual",D338,IF(COUNTIFS($A$2:$A$2001,A338,$E$2:$E$2001,E338,$C$2:$C$2001,"Actual")&gt;0,0,D338)))</f>
        <v>0</v>
      </c>
    </row>
    <row r="339" customFormat="false" ht="15" hidden="false" customHeight="false" outlineLevel="0" collapsed="false">
      <c r="A339" s="32"/>
      <c r="B339" s="35"/>
      <c r="C339" s="32"/>
      <c r="D339" s="34"/>
      <c r="E339" s="42" t="str">
        <f aca="false">IF(OR(A339="",B339=""),"",DATE(YEAR(B339),MONTH(B339),1))</f>
        <v/>
      </c>
      <c r="F339" s="36" t="n">
        <f aca="false">IF(OR(E339="",D339=""),0,IF(C339="Actual",D339,IF(COUNTIFS($A$2:$A$2001,A339,$E$2:$E$2001,E339,$C$2:$C$2001,"Actual")&gt;0,0,D339)))</f>
        <v>0</v>
      </c>
    </row>
    <row r="340" customFormat="false" ht="15" hidden="false" customHeight="false" outlineLevel="0" collapsed="false">
      <c r="A340" s="32"/>
      <c r="B340" s="35"/>
      <c r="C340" s="32"/>
      <c r="D340" s="34"/>
      <c r="E340" s="42" t="str">
        <f aca="false">IF(OR(A340="",B340=""),"",DATE(YEAR(B340),MONTH(B340),1))</f>
        <v/>
      </c>
      <c r="F340" s="36" t="n">
        <f aca="false">IF(OR(E340="",D340=""),0,IF(C340="Actual",D340,IF(COUNTIFS($A$2:$A$2001,A340,$E$2:$E$2001,E340,$C$2:$C$2001,"Actual")&gt;0,0,D340)))</f>
        <v>0</v>
      </c>
    </row>
    <row r="341" customFormat="false" ht="15" hidden="false" customHeight="false" outlineLevel="0" collapsed="false">
      <c r="A341" s="32"/>
      <c r="B341" s="35"/>
      <c r="C341" s="32"/>
      <c r="D341" s="34"/>
      <c r="E341" s="42" t="str">
        <f aca="false">IF(OR(A341="",B341=""),"",DATE(YEAR(B341),MONTH(B341),1))</f>
        <v/>
      </c>
      <c r="F341" s="36" t="n">
        <f aca="false">IF(OR(E341="",D341=""),0,IF(C341="Actual",D341,IF(COUNTIFS($A$2:$A$2001,A341,$E$2:$E$2001,E341,$C$2:$C$2001,"Actual")&gt;0,0,D341)))</f>
        <v>0</v>
      </c>
    </row>
    <row r="342" customFormat="false" ht="15" hidden="false" customHeight="false" outlineLevel="0" collapsed="false">
      <c r="A342" s="32"/>
      <c r="B342" s="35"/>
      <c r="C342" s="32"/>
      <c r="D342" s="34"/>
      <c r="E342" s="42" t="str">
        <f aca="false">IF(OR(A342="",B342=""),"",DATE(YEAR(B342),MONTH(B342),1))</f>
        <v/>
      </c>
      <c r="F342" s="36" t="n">
        <f aca="false">IF(OR(E342="",D342=""),0,IF(C342="Actual",D342,IF(COUNTIFS($A$2:$A$2001,A342,$E$2:$E$2001,E342,$C$2:$C$2001,"Actual")&gt;0,0,D342)))</f>
        <v>0</v>
      </c>
    </row>
    <row r="343" customFormat="false" ht="15" hidden="false" customHeight="false" outlineLevel="0" collapsed="false">
      <c r="A343" s="32"/>
      <c r="B343" s="35"/>
      <c r="C343" s="32"/>
      <c r="D343" s="34"/>
      <c r="E343" s="42" t="str">
        <f aca="false">IF(OR(A343="",B343=""),"",DATE(YEAR(B343),MONTH(B343),1))</f>
        <v/>
      </c>
      <c r="F343" s="36" t="n">
        <f aca="false">IF(OR(E343="",D343=""),0,IF(C343="Actual",D343,IF(COUNTIFS($A$2:$A$2001,A343,$E$2:$E$2001,E343,$C$2:$C$2001,"Actual")&gt;0,0,D343)))</f>
        <v>0</v>
      </c>
    </row>
    <row r="344" customFormat="false" ht="15" hidden="false" customHeight="false" outlineLevel="0" collapsed="false">
      <c r="A344" s="32"/>
      <c r="B344" s="35"/>
      <c r="C344" s="32"/>
      <c r="D344" s="34"/>
      <c r="E344" s="42" t="str">
        <f aca="false">IF(OR(A344="",B344=""),"",DATE(YEAR(B344),MONTH(B344),1))</f>
        <v/>
      </c>
      <c r="F344" s="36" t="n">
        <f aca="false">IF(OR(E344="",D344=""),0,IF(C344="Actual",D344,IF(COUNTIFS($A$2:$A$2001,A344,$E$2:$E$2001,E344,$C$2:$C$2001,"Actual")&gt;0,0,D344)))</f>
        <v>0</v>
      </c>
    </row>
    <row r="345" customFormat="false" ht="15" hidden="false" customHeight="false" outlineLevel="0" collapsed="false">
      <c r="A345" s="32"/>
      <c r="B345" s="35"/>
      <c r="C345" s="32"/>
      <c r="D345" s="34"/>
      <c r="E345" s="42" t="str">
        <f aca="false">IF(OR(A345="",B345=""),"",DATE(YEAR(B345),MONTH(B345),1))</f>
        <v/>
      </c>
      <c r="F345" s="36" t="n">
        <f aca="false">IF(OR(E345="",D345=""),0,IF(C345="Actual",D345,IF(COUNTIFS($A$2:$A$2001,A345,$E$2:$E$2001,E345,$C$2:$C$2001,"Actual")&gt;0,0,D345)))</f>
        <v>0</v>
      </c>
    </row>
    <row r="346" customFormat="false" ht="15" hidden="false" customHeight="false" outlineLevel="0" collapsed="false">
      <c r="A346" s="32"/>
      <c r="B346" s="35"/>
      <c r="C346" s="32"/>
      <c r="D346" s="34"/>
      <c r="E346" s="42" t="str">
        <f aca="false">IF(OR(A346="",B346=""),"",DATE(YEAR(B346),MONTH(B346),1))</f>
        <v/>
      </c>
      <c r="F346" s="36" t="n">
        <f aca="false">IF(OR(E346="",D346=""),0,IF(C346="Actual",D346,IF(COUNTIFS($A$2:$A$2001,A346,$E$2:$E$2001,E346,$C$2:$C$2001,"Actual")&gt;0,0,D346)))</f>
        <v>0</v>
      </c>
    </row>
    <row r="347" customFormat="false" ht="15" hidden="false" customHeight="false" outlineLevel="0" collapsed="false">
      <c r="A347" s="32"/>
      <c r="B347" s="35"/>
      <c r="C347" s="32"/>
      <c r="D347" s="34"/>
      <c r="E347" s="42" t="str">
        <f aca="false">IF(OR(A347="",B347=""),"",DATE(YEAR(B347),MONTH(B347),1))</f>
        <v/>
      </c>
      <c r="F347" s="36" t="n">
        <f aca="false">IF(OR(E347="",D347=""),0,IF(C347="Actual",D347,IF(COUNTIFS($A$2:$A$2001,A347,$E$2:$E$2001,E347,$C$2:$C$2001,"Actual")&gt;0,0,D347)))</f>
        <v>0</v>
      </c>
    </row>
    <row r="348" customFormat="false" ht="15" hidden="false" customHeight="false" outlineLevel="0" collapsed="false">
      <c r="A348" s="32"/>
      <c r="B348" s="35"/>
      <c r="C348" s="32"/>
      <c r="D348" s="34"/>
      <c r="E348" s="42" t="str">
        <f aca="false">IF(OR(A348="",B348=""),"",DATE(YEAR(B348),MONTH(B348),1))</f>
        <v/>
      </c>
      <c r="F348" s="36" t="n">
        <f aca="false">IF(OR(E348="",D348=""),0,IF(C348="Actual",D348,IF(COUNTIFS($A$2:$A$2001,A348,$E$2:$E$2001,E348,$C$2:$C$2001,"Actual")&gt;0,0,D348)))</f>
        <v>0</v>
      </c>
    </row>
    <row r="349" customFormat="false" ht="15" hidden="false" customHeight="false" outlineLevel="0" collapsed="false">
      <c r="A349" s="32"/>
      <c r="B349" s="35"/>
      <c r="C349" s="32"/>
      <c r="D349" s="34"/>
      <c r="E349" s="42" t="str">
        <f aca="false">IF(OR(A349="",B349=""),"",DATE(YEAR(B349),MONTH(B349),1))</f>
        <v/>
      </c>
      <c r="F349" s="36" t="n">
        <f aca="false">IF(OR(E349="",D349=""),0,IF(C349="Actual",D349,IF(COUNTIFS($A$2:$A$2001,A349,$E$2:$E$2001,E349,$C$2:$C$2001,"Actual")&gt;0,0,D349)))</f>
        <v>0</v>
      </c>
    </row>
    <row r="350" customFormat="false" ht="15" hidden="false" customHeight="false" outlineLevel="0" collapsed="false">
      <c r="A350" s="32"/>
      <c r="B350" s="35"/>
      <c r="C350" s="32"/>
      <c r="D350" s="34"/>
      <c r="E350" s="42" t="str">
        <f aca="false">IF(OR(A350="",B350=""),"",DATE(YEAR(B350),MONTH(B350),1))</f>
        <v/>
      </c>
      <c r="F350" s="36" t="n">
        <f aca="false">IF(OR(E350="",D350=""),0,IF(C350="Actual",D350,IF(COUNTIFS($A$2:$A$2001,A350,$E$2:$E$2001,E350,$C$2:$C$2001,"Actual")&gt;0,0,D350)))</f>
        <v>0</v>
      </c>
    </row>
    <row r="351" customFormat="false" ht="15" hidden="false" customHeight="false" outlineLevel="0" collapsed="false">
      <c r="A351" s="32"/>
      <c r="B351" s="35"/>
      <c r="C351" s="32"/>
      <c r="D351" s="34"/>
      <c r="E351" s="42" t="str">
        <f aca="false">IF(OR(A351="",B351=""),"",DATE(YEAR(B351),MONTH(B351),1))</f>
        <v/>
      </c>
      <c r="F351" s="36" t="n">
        <f aca="false">IF(OR(E351="",D351=""),0,IF(C351="Actual",D351,IF(COUNTIFS($A$2:$A$2001,A351,$E$2:$E$2001,E351,$C$2:$C$2001,"Actual")&gt;0,0,D351)))</f>
        <v>0</v>
      </c>
    </row>
    <row r="352" customFormat="false" ht="15" hidden="false" customHeight="false" outlineLevel="0" collapsed="false">
      <c r="A352" s="32"/>
      <c r="B352" s="35"/>
      <c r="C352" s="32"/>
      <c r="D352" s="34"/>
      <c r="E352" s="42" t="str">
        <f aca="false">IF(OR(A352="",B352=""),"",DATE(YEAR(B352),MONTH(B352),1))</f>
        <v/>
      </c>
      <c r="F352" s="36" t="n">
        <f aca="false">IF(OR(E352="",D352=""),0,IF(C352="Actual",D352,IF(COUNTIFS($A$2:$A$2001,A352,$E$2:$E$2001,E352,$C$2:$C$2001,"Actual")&gt;0,0,D352)))</f>
        <v>0</v>
      </c>
    </row>
    <row r="353" customFormat="false" ht="15" hidden="false" customHeight="false" outlineLevel="0" collapsed="false">
      <c r="A353" s="32"/>
      <c r="B353" s="35"/>
      <c r="C353" s="32"/>
      <c r="D353" s="34"/>
      <c r="E353" s="42" t="str">
        <f aca="false">IF(OR(A353="",B353=""),"",DATE(YEAR(B353),MONTH(B353),1))</f>
        <v/>
      </c>
      <c r="F353" s="36" t="n">
        <f aca="false">IF(OR(E353="",D353=""),0,IF(C353="Actual",D353,IF(COUNTIFS($A$2:$A$2001,A353,$E$2:$E$2001,E353,$C$2:$C$2001,"Actual")&gt;0,0,D353)))</f>
        <v>0</v>
      </c>
    </row>
    <row r="354" customFormat="false" ht="15" hidden="false" customHeight="false" outlineLevel="0" collapsed="false">
      <c r="A354" s="32"/>
      <c r="B354" s="35"/>
      <c r="C354" s="32"/>
      <c r="D354" s="34"/>
      <c r="E354" s="42" t="str">
        <f aca="false">IF(OR(A354="",B354=""),"",DATE(YEAR(B354),MONTH(B354),1))</f>
        <v/>
      </c>
      <c r="F354" s="36" t="n">
        <f aca="false">IF(OR(E354="",D354=""),0,IF(C354="Actual",D354,IF(COUNTIFS($A$2:$A$2001,A354,$E$2:$E$2001,E354,$C$2:$C$2001,"Actual")&gt;0,0,D354)))</f>
        <v>0</v>
      </c>
    </row>
    <row r="355" customFormat="false" ht="15" hidden="false" customHeight="false" outlineLevel="0" collapsed="false">
      <c r="A355" s="32"/>
      <c r="B355" s="35"/>
      <c r="C355" s="32"/>
      <c r="D355" s="34"/>
      <c r="E355" s="42" t="str">
        <f aca="false">IF(OR(A355="",B355=""),"",DATE(YEAR(B355),MONTH(B355),1))</f>
        <v/>
      </c>
      <c r="F355" s="36" t="n">
        <f aca="false">IF(OR(E355="",D355=""),0,IF(C355="Actual",D355,IF(COUNTIFS($A$2:$A$2001,A355,$E$2:$E$2001,E355,$C$2:$C$2001,"Actual")&gt;0,0,D355)))</f>
        <v>0</v>
      </c>
    </row>
    <row r="356" customFormat="false" ht="15" hidden="false" customHeight="false" outlineLevel="0" collapsed="false">
      <c r="A356" s="32"/>
      <c r="B356" s="35"/>
      <c r="C356" s="32"/>
      <c r="D356" s="34"/>
      <c r="E356" s="42" t="str">
        <f aca="false">IF(OR(A356="",B356=""),"",DATE(YEAR(B356),MONTH(B356),1))</f>
        <v/>
      </c>
      <c r="F356" s="36" t="n">
        <f aca="false">IF(OR(E356="",D356=""),0,IF(C356="Actual",D356,IF(COUNTIFS($A$2:$A$2001,A356,$E$2:$E$2001,E356,$C$2:$C$2001,"Actual")&gt;0,0,D356)))</f>
        <v>0</v>
      </c>
    </row>
    <row r="357" customFormat="false" ht="15" hidden="false" customHeight="false" outlineLevel="0" collapsed="false">
      <c r="A357" s="32"/>
      <c r="B357" s="35"/>
      <c r="C357" s="32"/>
      <c r="D357" s="34"/>
      <c r="E357" s="42" t="str">
        <f aca="false">IF(OR(A357="",B357=""),"",DATE(YEAR(B357),MONTH(B357),1))</f>
        <v/>
      </c>
      <c r="F357" s="36" t="n">
        <f aca="false">IF(OR(E357="",D357=""),0,IF(C357="Actual",D357,IF(COUNTIFS($A$2:$A$2001,A357,$E$2:$E$2001,E357,$C$2:$C$2001,"Actual")&gt;0,0,D357)))</f>
        <v>0</v>
      </c>
    </row>
    <row r="358" customFormat="false" ht="15" hidden="false" customHeight="false" outlineLevel="0" collapsed="false">
      <c r="A358" s="32"/>
      <c r="B358" s="35"/>
      <c r="C358" s="32"/>
      <c r="D358" s="34"/>
      <c r="E358" s="42" t="str">
        <f aca="false">IF(OR(A358="",B358=""),"",DATE(YEAR(B358),MONTH(B358),1))</f>
        <v/>
      </c>
      <c r="F358" s="36" t="n">
        <f aca="false">IF(OR(E358="",D358=""),0,IF(C358="Actual",D358,IF(COUNTIFS($A$2:$A$2001,A358,$E$2:$E$2001,E358,$C$2:$C$2001,"Actual")&gt;0,0,D358)))</f>
        <v>0</v>
      </c>
    </row>
    <row r="359" customFormat="false" ht="15" hidden="false" customHeight="false" outlineLevel="0" collapsed="false">
      <c r="A359" s="32"/>
      <c r="B359" s="35"/>
      <c r="C359" s="32"/>
      <c r="D359" s="34"/>
      <c r="E359" s="42" t="str">
        <f aca="false">IF(OR(A359="",B359=""),"",DATE(YEAR(B359),MONTH(B359),1))</f>
        <v/>
      </c>
      <c r="F359" s="36" t="n">
        <f aca="false">IF(OR(E359="",D359=""),0,IF(C359="Actual",D359,IF(COUNTIFS($A$2:$A$2001,A359,$E$2:$E$2001,E359,$C$2:$C$2001,"Actual")&gt;0,0,D359)))</f>
        <v>0</v>
      </c>
    </row>
    <row r="360" customFormat="false" ht="15" hidden="false" customHeight="false" outlineLevel="0" collapsed="false">
      <c r="A360" s="32"/>
      <c r="B360" s="35"/>
      <c r="C360" s="32"/>
      <c r="D360" s="34"/>
      <c r="E360" s="42" t="str">
        <f aca="false">IF(OR(A360="",B360=""),"",DATE(YEAR(B360),MONTH(B360),1))</f>
        <v/>
      </c>
      <c r="F360" s="36" t="n">
        <f aca="false">IF(OR(E360="",D360=""),0,IF(C360="Actual",D360,IF(COUNTIFS($A$2:$A$2001,A360,$E$2:$E$2001,E360,$C$2:$C$2001,"Actual")&gt;0,0,D360)))</f>
        <v>0</v>
      </c>
    </row>
    <row r="361" customFormat="false" ht="15" hidden="false" customHeight="false" outlineLevel="0" collapsed="false">
      <c r="A361" s="32"/>
      <c r="B361" s="35"/>
      <c r="C361" s="32"/>
      <c r="D361" s="34"/>
      <c r="E361" s="42" t="str">
        <f aca="false">IF(OR(A361="",B361=""),"",DATE(YEAR(B361),MONTH(B361),1))</f>
        <v/>
      </c>
      <c r="F361" s="36" t="n">
        <f aca="false">IF(OR(E361="",D361=""),0,IF(C361="Actual",D361,IF(COUNTIFS($A$2:$A$2001,A361,$E$2:$E$2001,E361,$C$2:$C$2001,"Actual")&gt;0,0,D361)))</f>
        <v>0</v>
      </c>
    </row>
    <row r="362" customFormat="false" ht="15" hidden="false" customHeight="false" outlineLevel="0" collapsed="false">
      <c r="A362" s="32"/>
      <c r="B362" s="35"/>
      <c r="C362" s="32"/>
      <c r="D362" s="34"/>
      <c r="E362" s="42" t="str">
        <f aca="false">IF(OR(A362="",B362=""),"",DATE(YEAR(B362),MONTH(B362),1))</f>
        <v/>
      </c>
      <c r="F362" s="36" t="n">
        <f aca="false">IF(OR(E362="",D362=""),0,IF(C362="Actual",D362,IF(COUNTIFS($A$2:$A$2001,A362,$E$2:$E$2001,E362,$C$2:$C$2001,"Actual")&gt;0,0,D362)))</f>
        <v>0</v>
      </c>
    </row>
    <row r="363" customFormat="false" ht="15" hidden="false" customHeight="false" outlineLevel="0" collapsed="false">
      <c r="A363" s="32"/>
      <c r="B363" s="35"/>
      <c r="C363" s="32"/>
      <c r="D363" s="34"/>
      <c r="E363" s="42" t="str">
        <f aca="false">IF(OR(A363="",B363=""),"",DATE(YEAR(B363),MONTH(B363),1))</f>
        <v/>
      </c>
      <c r="F363" s="36" t="n">
        <f aca="false">IF(OR(E363="",D363=""),0,IF(C363="Actual",D363,IF(COUNTIFS($A$2:$A$2001,A363,$E$2:$E$2001,E363,$C$2:$C$2001,"Actual")&gt;0,0,D363)))</f>
        <v>0</v>
      </c>
    </row>
    <row r="364" customFormat="false" ht="15" hidden="false" customHeight="false" outlineLevel="0" collapsed="false">
      <c r="A364" s="32"/>
      <c r="B364" s="35"/>
      <c r="C364" s="32"/>
      <c r="D364" s="34"/>
      <c r="E364" s="42" t="str">
        <f aca="false">IF(OR(A364="",B364=""),"",DATE(YEAR(B364),MONTH(B364),1))</f>
        <v/>
      </c>
      <c r="F364" s="36" t="n">
        <f aca="false">IF(OR(E364="",D364=""),0,IF(C364="Actual",D364,IF(COUNTIFS($A$2:$A$2001,A364,$E$2:$E$2001,E364,$C$2:$C$2001,"Actual")&gt;0,0,D364)))</f>
        <v>0</v>
      </c>
    </row>
    <row r="365" customFormat="false" ht="15" hidden="false" customHeight="false" outlineLevel="0" collapsed="false">
      <c r="A365" s="32"/>
      <c r="B365" s="35"/>
      <c r="C365" s="32"/>
      <c r="D365" s="34"/>
      <c r="E365" s="42" t="str">
        <f aca="false">IF(OR(A365="",B365=""),"",DATE(YEAR(B365),MONTH(B365),1))</f>
        <v/>
      </c>
      <c r="F365" s="36" t="n">
        <f aca="false">IF(OR(E365="",D365=""),0,IF(C365="Actual",D365,IF(COUNTIFS($A$2:$A$2001,A365,$E$2:$E$2001,E365,$C$2:$C$2001,"Actual")&gt;0,0,D365)))</f>
        <v>0</v>
      </c>
    </row>
    <row r="366" customFormat="false" ht="15" hidden="false" customHeight="false" outlineLevel="0" collapsed="false">
      <c r="A366" s="32"/>
      <c r="B366" s="35"/>
      <c r="C366" s="32"/>
      <c r="D366" s="34"/>
      <c r="E366" s="42" t="str">
        <f aca="false">IF(OR(A366="",B366=""),"",DATE(YEAR(B366),MONTH(B366),1))</f>
        <v/>
      </c>
      <c r="F366" s="36" t="n">
        <f aca="false">IF(OR(E366="",D366=""),0,IF(C366="Actual",D366,IF(COUNTIFS($A$2:$A$2001,A366,$E$2:$E$2001,E366,$C$2:$C$2001,"Actual")&gt;0,0,D366)))</f>
        <v>0</v>
      </c>
    </row>
    <row r="367" customFormat="false" ht="15" hidden="false" customHeight="false" outlineLevel="0" collapsed="false">
      <c r="A367" s="32"/>
      <c r="B367" s="35"/>
      <c r="C367" s="32"/>
      <c r="D367" s="34"/>
      <c r="E367" s="42" t="str">
        <f aca="false">IF(OR(A367="",B367=""),"",DATE(YEAR(B367),MONTH(B367),1))</f>
        <v/>
      </c>
      <c r="F367" s="36" t="n">
        <f aca="false">IF(OR(E367="",D367=""),0,IF(C367="Actual",D367,IF(COUNTIFS($A$2:$A$2001,A367,$E$2:$E$2001,E367,$C$2:$C$2001,"Actual")&gt;0,0,D367)))</f>
        <v>0</v>
      </c>
    </row>
    <row r="368" customFormat="false" ht="15" hidden="false" customHeight="false" outlineLevel="0" collapsed="false">
      <c r="A368" s="32"/>
      <c r="B368" s="35"/>
      <c r="C368" s="32"/>
      <c r="D368" s="34"/>
      <c r="E368" s="42" t="str">
        <f aca="false">IF(OR(A368="",B368=""),"",DATE(YEAR(B368),MONTH(B368),1))</f>
        <v/>
      </c>
      <c r="F368" s="36" t="n">
        <f aca="false">IF(OR(E368="",D368=""),0,IF(C368="Actual",D368,IF(COUNTIFS($A$2:$A$2001,A368,$E$2:$E$2001,E368,$C$2:$C$2001,"Actual")&gt;0,0,D368)))</f>
        <v>0</v>
      </c>
    </row>
    <row r="369" customFormat="false" ht="15" hidden="false" customHeight="false" outlineLevel="0" collapsed="false">
      <c r="A369" s="32"/>
      <c r="B369" s="35"/>
      <c r="C369" s="32"/>
      <c r="D369" s="34"/>
      <c r="E369" s="42" t="str">
        <f aca="false">IF(OR(A369="",B369=""),"",DATE(YEAR(B369),MONTH(B369),1))</f>
        <v/>
      </c>
      <c r="F369" s="36" t="n">
        <f aca="false">IF(OR(E369="",D369=""),0,IF(C369="Actual",D369,IF(COUNTIFS($A$2:$A$2001,A369,$E$2:$E$2001,E369,$C$2:$C$2001,"Actual")&gt;0,0,D369)))</f>
        <v>0</v>
      </c>
    </row>
    <row r="370" customFormat="false" ht="15" hidden="false" customHeight="false" outlineLevel="0" collapsed="false">
      <c r="A370" s="32"/>
      <c r="B370" s="35"/>
      <c r="C370" s="32"/>
      <c r="D370" s="34"/>
      <c r="E370" s="42" t="str">
        <f aca="false">IF(OR(A370="",B370=""),"",DATE(YEAR(B370),MONTH(B370),1))</f>
        <v/>
      </c>
      <c r="F370" s="36" t="n">
        <f aca="false">IF(OR(E370="",D370=""),0,IF(C370="Actual",D370,IF(COUNTIFS($A$2:$A$2001,A370,$E$2:$E$2001,E370,$C$2:$C$2001,"Actual")&gt;0,0,D370)))</f>
        <v>0</v>
      </c>
    </row>
    <row r="371" customFormat="false" ht="15" hidden="false" customHeight="false" outlineLevel="0" collapsed="false">
      <c r="A371" s="32"/>
      <c r="B371" s="35"/>
      <c r="C371" s="32"/>
      <c r="D371" s="34"/>
      <c r="E371" s="42" t="str">
        <f aca="false">IF(OR(A371="",B371=""),"",DATE(YEAR(B371),MONTH(B371),1))</f>
        <v/>
      </c>
      <c r="F371" s="36" t="n">
        <f aca="false">IF(OR(E371="",D371=""),0,IF(C371="Actual",D371,IF(COUNTIFS($A$2:$A$2001,A371,$E$2:$E$2001,E371,$C$2:$C$2001,"Actual")&gt;0,0,D371)))</f>
        <v>0</v>
      </c>
    </row>
    <row r="372" customFormat="false" ht="15" hidden="false" customHeight="false" outlineLevel="0" collapsed="false">
      <c r="A372" s="32"/>
      <c r="B372" s="35"/>
      <c r="C372" s="32"/>
      <c r="D372" s="34"/>
      <c r="E372" s="42" t="str">
        <f aca="false">IF(OR(A372="",B372=""),"",DATE(YEAR(B372),MONTH(B372),1))</f>
        <v/>
      </c>
      <c r="F372" s="36" t="n">
        <f aca="false">IF(OR(E372="",D372=""),0,IF(C372="Actual",D372,IF(COUNTIFS($A$2:$A$2001,A372,$E$2:$E$2001,E372,$C$2:$C$2001,"Actual")&gt;0,0,D372)))</f>
        <v>0</v>
      </c>
    </row>
    <row r="373" customFormat="false" ht="15" hidden="false" customHeight="false" outlineLevel="0" collapsed="false">
      <c r="A373" s="32"/>
      <c r="B373" s="35"/>
      <c r="C373" s="32"/>
      <c r="D373" s="34"/>
      <c r="E373" s="42" t="str">
        <f aca="false">IF(OR(A373="",B373=""),"",DATE(YEAR(B373),MONTH(B373),1))</f>
        <v/>
      </c>
      <c r="F373" s="36" t="n">
        <f aca="false">IF(OR(E373="",D373=""),0,IF(C373="Actual",D373,IF(COUNTIFS($A$2:$A$2001,A373,$E$2:$E$2001,E373,$C$2:$C$2001,"Actual")&gt;0,0,D373)))</f>
        <v>0</v>
      </c>
    </row>
    <row r="374" customFormat="false" ht="15" hidden="false" customHeight="false" outlineLevel="0" collapsed="false">
      <c r="A374" s="32"/>
      <c r="B374" s="35"/>
      <c r="C374" s="32"/>
      <c r="D374" s="34"/>
      <c r="E374" s="42" t="str">
        <f aca="false">IF(OR(A374="",B374=""),"",DATE(YEAR(B374),MONTH(B374),1))</f>
        <v/>
      </c>
      <c r="F374" s="36" t="n">
        <f aca="false">IF(OR(E374="",D374=""),0,IF(C374="Actual",D374,IF(COUNTIFS($A$2:$A$2001,A374,$E$2:$E$2001,E374,$C$2:$C$2001,"Actual")&gt;0,0,D374)))</f>
        <v>0</v>
      </c>
    </row>
    <row r="375" customFormat="false" ht="15" hidden="false" customHeight="false" outlineLevel="0" collapsed="false">
      <c r="A375" s="32"/>
      <c r="B375" s="35"/>
      <c r="C375" s="32"/>
      <c r="D375" s="34"/>
      <c r="E375" s="42" t="str">
        <f aca="false">IF(OR(A375="",B375=""),"",DATE(YEAR(B375),MONTH(B375),1))</f>
        <v/>
      </c>
      <c r="F375" s="36" t="n">
        <f aca="false">IF(OR(E375="",D375=""),0,IF(C375="Actual",D375,IF(COUNTIFS($A$2:$A$2001,A375,$E$2:$E$2001,E375,$C$2:$C$2001,"Actual")&gt;0,0,D375)))</f>
        <v>0</v>
      </c>
    </row>
    <row r="376" customFormat="false" ht="15" hidden="false" customHeight="false" outlineLevel="0" collapsed="false">
      <c r="A376" s="32"/>
      <c r="B376" s="35"/>
      <c r="C376" s="32"/>
      <c r="D376" s="34"/>
      <c r="E376" s="42" t="str">
        <f aca="false">IF(OR(A376="",B376=""),"",DATE(YEAR(B376),MONTH(B376),1))</f>
        <v/>
      </c>
      <c r="F376" s="36" t="n">
        <f aca="false">IF(OR(E376="",D376=""),0,IF(C376="Actual",D376,IF(COUNTIFS($A$2:$A$2001,A376,$E$2:$E$2001,E376,$C$2:$C$2001,"Actual")&gt;0,0,D376)))</f>
        <v>0</v>
      </c>
    </row>
    <row r="377" customFormat="false" ht="15" hidden="false" customHeight="false" outlineLevel="0" collapsed="false">
      <c r="A377" s="32"/>
      <c r="B377" s="35"/>
      <c r="C377" s="32"/>
      <c r="D377" s="34"/>
      <c r="E377" s="42" t="str">
        <f aca="false">IF(OR(A377="",B377=""),"",DATE(YEAR(B377),MONTH(B377),1))</f>
        <v/>
      </c>
      <c r="F377" s="36" t="n">
        <f aca="false">IF(OR(E377="",D377=""),0,IF(C377="Actual",D377,IF(COUNTIFS($A$2:$A$2001,A377,$E$2:$E$2001,E377,$C$2:$C$2001,"Actual")&gt;0,0,D377)))</f>
        <v>0</v>
      </c>
    </row>
    <row r="378" customFormat="false" ht="15" hidden="false" customHeight="false" outlineLevel="0" collapsed="false">
      <c r="A378" s="32"/>
      <c r="B378" s="35"/>
      <c r="C378" s="32"/>
      <c r="D378" s="34"/>
      <c r="E378" s="42" t="str">
        <f aca="false">IF(OR(A378="",B378=""),"",DATE(YEAR(B378),MONTH(B378),1))</f>
        <v/>
      </c>
      <c r="F378" s="36" t="n">
        <f aca="false">IF(OR(E378="",D378=""),0,IF(C378="Actual",D378,IF(COUNTIFS($A$2:$A$2001,A378,$E$2:$E$2001,E378,$C$2:$C$2001,"Actual")&gt;0,0,D378)))</f>
        <v>0</v>
      </c>
    </row>
    <row r="379" customFormat="false" ht="15" hidden="false" customHeight="false" outlineLevel="0" collapsed="false">
      <c r="A379" s="32"/>
      <c r="B379" s="35"/>
      <c r="C379" s="32"/>
      <c r="D379" s="34"/>
      <c r="E379" s="42" t="str">
        <f aca="false">IF(OR(A379="",B379=""),"",DATE(YEAR(B379),MONTH(B379),1))</f>
        <v/>
      </c>
      <c r="F379" s="36" t="n">
        <f aca="false">IF(OR(E379="",D379=""),0,IF(C379="Actual",D379,IF(COUNTIFS($A$2:$A$2001,A379,$E$2:$E$2001,E379,$C$2:$C$2001,"Actual")&gt;0,0,D379)))</f>
        <v>0</v>
      </c>
    </row>
    <row r="380" customFormat="false" ht="15" hidden="false" customHeight="false" outlineLevel="0" collapsed="false">
      <c r="A380" s="32"/>
      <c r="B380" s="35"/>
      <c r="C380" s="32"/>
      <c r="D380" s="34"/>
      <c r="E380" s="42" t="str">
        <f aca="false">IF(OR(A380="",B380=""),"",DATE(YEAR(B380),MONTH(B380),1))</f>
        <v/>
      </c>
      <c r="F380" s="36" t="n">
        <f aca="false">IF(OR(E380="",D380=""),0,IF(C380="Actual",D380,IF(COUNTIFS($A$2:$A$2001,A380,$E$2:$E$2001,E380,$C$2:$C$2001,"Actual")&gt;0,0,D380)))</f>
        <v>0</v>
      </c>
    </row>
    <row r="381" customFormat="false" ht="15" hidden="false" customHeight="false" outlineLevel="0" collapsed="false">
      <c r="A381" s="32"/>
      <c r="B381" s="35"/>
      <c r="C381" s="32"/>
      <c r="D381" s="34"/>
      <c r="E381" s="42" t="str">
        <f aca="false">IF(OR(A381="",B381=""),"",DATE(YEAR(B381),MONTH(B381),1))</f>
        <v/>
      </c>
      <c r="F381" s="36" t="n">
        <f aca="false">IF(OR(E381="",D381=""),0,IF(C381="Actual",D381,IF(COUNTIFS($A$2:$A$2001,A381,$E$2:$E$2001,E381,$C$2:$C$2001,"Actual")&gt;0,0,D381)))</f>
        <v>0</v>
      </c>
    </row>
    <row r="382" customFormat="false" ht="15" hidden="false" customHeight="false" outlineLevel="0" collapsed="false">
      <c r="A382" s="32"/>
      <c r="B382" s="35"/>
      <c r="C382" s="32"/>
      <c r="D382" s="34"/>
      <c r="E382" s="42" t="str">
        <f aca="false">IF(OR(A382="",B382=""),"",DATE(YEAR(B382),MONTH(B382),1))</f>
        <v/>
      </c>
      <c r="F382" s="36" t="n">
        <f aca="false">IF(OR(E382="",D382=""),0,IF(C382="Actual",D382,IF(COUNTIFS($A$2:$A$2001,A382,$E$2:$E$2001,E382,$C$2:$C$2001,"Actual")&gt;0,0,D382)))</f>
        <v>0</v>
      </c>
    </row>
    <row r="383" customFormat="false" ht="15" hidden="false" customHeight="false" outlineLevel="0" collapsed="false">
      <c r="A383" s="32"/>
      <c r="B383" s="35"/>
      <c r="C383" s="32"/>
      <c r="D383" s="34"/>
      <c r="E383" s="42" t="str">
        <f aca="false">IF(OR(A383="",B383=""),"",DATE(YEAR(B383),MONTH(B383),1))</f>
        <v/>
      </c>
      <c r="F383" s="36" t="n">
        <f aca="false">IF(OR(E383="",D383=""),0,IF(C383="Actual",D383,IF(COUNTIFS($A$2:$A$2001,A383,$E$2:$E$2001,E383,$C$2:$C$2001,"Actual")&gt;0,0,D383)))</f>
        <v>0</v>
      </c>
    </row>
    <row r="384" customFormat="false" ht="15" hidden="false" customHeight="false" outlineLevel="0" collapsed="false">
      <c r="A384" s="32"/>
      <c r="B384" s="35"/>
      <c r="C384" s="32"/>
      <c r="D384" s="34"/>
      <c r="E384" s="42" t="str">
        <f aca="false">IF(OR(A384="",B384=""),"",DATE(YEAR(B384),MONTH(B384),1))</f>
        <v/>
      </c>
      <c r="F384" s="36" t="n">
        <f aca="false">IF(OR(E384="",D384=""),0,IF(C384="Actual",D384,IF(COUNTIFS($A$2:$A$2001,A384,$E$2:$E$2001,E384,$C$2:$C$2001,"Actual")&gt;0,0,D384)))</f>
        <v>0</v>
      </c>
    </row>
    <row r="385" customFormat="false" ht="15" hidden="false" customHeight="false" outlineLevel="0" collapsed="false">
      <c r="A385" s="32"/>
      <c r="B385" s="35"/>
      <c r="C385" s="32"/>
      <c r="D385" s="34"/>
      <c r="E385" s="42" t="str">
        <f aca="false">IF(OR(A385="",B385=""),"",DATE(YEAR(B385),MONTH(B385),1))</f>
        <v/>
      </c>
      <c r="F385" s="36" t="n">
        <f aca="false">IF(OR(E385="",D385=""),0,IF(C385="Actual",D385,IF(COUNTIFS($A$2:$A$2001,A385,$E$2:$E$2001,E385,$C$2:$C$2001,"Actual")&gt;0,0,D385)))</f>
        <v>0</v>
      </c>
    </row>
    <row r="386" customFormat="false" ht="15" hidden="false" customHeight="false" outlineLevel="0" collapsed="false">
      <c r="A386" s="32"/>
      <c r="B386" s="35"/>
      <c r="C386" s="32"/>
      <c r="D386" s="34"/>
      <c r="E386" s="42" t="str">
        <f aca="false">IF(OR(A386="",B386=""),"",DATE(YEAR(B386),MONTH(B386),1))</f>
        <v/>
      </c>
      <c r="F386" s="36" t="n">
        <f aca="false">IF(OR(E386="",D386=""),0,IF(C386="Actual",D386,IF(COUNTIFS($A$2:$A$2001,A386,$E$2:$E$2001,E386,$C$2:$C$2001,"Actual")&gt;0,0,D386)))</f>
        <v>0</v>
      </c>
    </row>
    <row r="387" customFormat="false" ht="15" hidden="false" customHeight="false" outlineLevel="0" collapsed="false">
      <c r="A387" s="32"/>
      <c r="B387" s="35"/>
      <c r="C387" s="32"/>
      <c r="D387" s="34"/>
      <c r="E387" s="42" t="str">
        <f aca="false">IF(OR(A387="",B387=""),"",DATE(YEAR(B387),MONTH(B387),1))</f>
        <v/>
      </c>
      <c r="F387" s="36" t="n">
        <f aca="false">IF(OR(E387="",D387=""),0,IF(C387="Actual",D387,IF(COUNTIFS($A$2:$A$2001,A387,$E$2:$E$2001,E387,$C$2:$C$2001,"Actual")&gt;0,0,D387)))</f>
        <v>0</v>
      </c>
    </row>
    <row r="388" customFormat="false" ht="15" hidden="false" customHeight="false" outlineLevel="0" collapsed="false">
      <c r="A388" s="32"/>
      <c r="B388" s="35"/>
      <c r="C388" s="32"/>
      <c r="D388" s="34"/>
      <c r="E388" s="42" t="str">
        <f aca="false">IF(OR(A388="",B388=""),"",DATE(YEAR(B388),MONTH(B388),1))</f>
        <v/>
      </c>
      <c r="F388" s="36" t="n">
        <f aca="false">IF(OR(E388="",D388=""),0,IF(C388="Actual",D388,IF(COUNTIFS($A$2:$A$2001,A388,$E$2:$E$2001,E388,$C$2:$C$2001,"Actual")&gt;0,0,D388)))</f>
        <v>0</v>
      </c>
    </row>
    <row r="389" customFormat="false" ht="15" hidden="false" customHeight="false" outlineLevel="0" collapsed="false">
      <c r="A389" s="32"/>
      <c r="B389" s="35"/>
      <c r="C389" s="32"/>
      <c r="D389" s="34"/>
      <c r="E389" s="42" t="str">
        <f aca="false">IF(OR(A389="",B389=""),"",DATE(YEAR(B389),MONTH(B389),1))</f>
        <v/>
      </c>
      <c r="F389" s="36" t="n">
        <f aca="false">IF(OR(E389="",D389=""),0,IF(C389="Actual",D389,IF(COUNTIFS($A$2:$A$2001,A389,$E$2:$E$2001,E389,$C$2:$C$2001,"Actual")&gt;0,0,D389)))</f>
        <v>0</v>
      </c>
    </row>
    <row r="390" customFormat="false" ht="15" hidden="false" customHeight="false" outlineLevel="0" collapsed="false">
      <c r="A390" s="32"/>
      <c r="B390" s="35"/>
      <c r="C390" s="32"/>
      <c r="D390" s="34"/>
      <c r="E390" s="42" t="str">
        <f aca="false">IF(OR(A390="",B390=""),"",DATE(YEAR(B390),MONTH(B390),1))</f>
        <v/>
      </c>
      <c r="F390" s="36" t="n">
        <f aca="false">IF(OR(E390="",D390=""),0,IF(C390="Actual",D390,IF(COUNTIFS($A$2:$A$2001,A390,$E$2:$E$2001,E390,$C$2:$C$2001,"Actual")&gt;0,0,D390)))</f>
        <v>0</v>
      </c>
    </row>
    <row r="391" customFormat="false" ht="15" hidden="false" customHeight="false" outlineLevel="0" collapsed="false">
      <c r="A391" s="32"/>
      <c r="B391" s="35"/>
      <c r="C391" s="32"/>
      <c r="D391" s="34"/>
      <c r="E391" s="42" t="str">
        <f aca="false">IF(OR(A391="",B391=""),"",DATE(YEAR(B391),MONTH(B391),1))</f>
        <v/>
      </c>
      <c r="F391" s="36" t="n">
        <f aca="false">IF(OR(E391="",D391=""),0,IF(C391="Actual",D391,IF(COUNTIFS($A$2:$A$2001,A391,$E$2:$E$2001,E391,$C$2:$C$2001,"Actual")&gt;0,0,D391)))</f>
        <v>0</v>
      </c>
    </row>
    <row r="392" customFormat="false" ht="15" hidden="false" customHeight="false" outlineLevel="0" collapsed="false">
      <c r="A392" s="32"/>
      <c r="B392" s="35"/>
      <c r="C392" s="32"/>
      <c r="D392" s="34"/>
      <c r="E392" s="42" t="str">
        <f aca="false">IF(OR(A392="",B392=""),"",DATE(YEAR(B392),MONTH(B392),1))</f>
        <v/>
      </c>
      <c r="F392" s="36" t="n">
        <f aca="false">IF(OR(E392="",D392=""),0,IF(C392="Actual",D392,IF(COUNTIFS($A$2:$A$2001,A392,$E$2:$E$2001,E392,$C$2:$C$2001,"Actual")&gt;0,0,D392)))</f>
        <v>0</v>
      </c>
    </row>
    <row r="393" customFormat="false" ht="15" hidden="false" customHeight="false" outlineLevel="0" collapsed="false">
      <c r="A393" s="32"/>
      <c r="B393" s="35"/>
      <c r="C393" s="32"/>
      <c r="D393" s="34"/>
      <c r="E393" s="42" t="str">
        <f aca="false">IF(OR(A393="",B393=""),"",DATE(YEAR(B393),MONTH(B393),1))</f>
        <v/>
      </c>
      <c r="F393" s="36" t="n">
        <f aca="false">IF(OR(E393="",D393=""),0,IF(C393="Actual",D393,IF(COUNTIFS($A$2:$A$2001,A393,$E$2:$E$2001,E393,$C$2:$C$2001,"Actual")&gt;0,0,D393)))</f>
        <v>0</v>
      </c>
    </row>
    <row r="394" customFormat="false" ht="15" hidden="false" customHeight="false" outlineLevel="0" collapsed="false">
      <c r="A394" s="32"/>
      <c r="B394" s="35"/>
      <c r="C394" s="32"/>
      <c r="D394" s="34"/>
      <c r="E394" s="42" t="str">
        <f aca="false">IF(OR(A394="",B394=""),"",DATE(YEAR(B394),MONTH(B394),1))</f>
        <v/>
      </c>
      <c r="F394" s="36" t="n">
        <f aca="false">IF(OR(E394="",D394=""),0,IF(C394="Actual",D394,IF(COUNTIFS($A$2:$A$2001,A394,$E$2:$E$2001,E394,$C$2:$C$2001,"Actual")&gt;0,0,D394)))</f>
        <v>0</v>
      </c>
    </row>
    <row r="395" customFormat="false" ht="15" hidden="false" customHeight="false" outlineLevel="0" collapsed="false">
      <c r="A395" s="32"/>
      <c r="B395" s="35"/>
      <c r="C395" s="32"/>
      <c r="D395" s="34"/>
      <c r="E395" s="42" t="str">
        <f aca="false">IF(OR(A395="",B395=""),"",DATE(YEAR(B395),MONTH(B395),1))</f>
        <v/>
      </c>
      <c r="F395" s="36" t="n">
        <f aca="false">IF(OR(E395="",D395=""),0,IF(C395="Actual",D395,IF(COUNTIFS($A$2:$A$2001,A395,$E$2:$E$2001,E395,$C$2:$C$2001,"Actual")&gt;0,0,D395)))</f>
        <v>0</v>
      </c>
    </row>
    <row r="396" customFormat="false" ht="15" hidden="false" customHeight="false" outlineLevel="0" collapsed="false">
      <c r="A396" s="32"/>
      <c r="B396" s="35"/>
      <c r="C396" s="32"/>
      <c r="D396" s="34"/>
      <c r="E396" s="42" t="str">
        <f aca="false">IF(OR(A396="",B396=""),"",DATE(YEAR(B396),MONTH(B396),1))</f>
        <v/>
      </c>
      <c r="F396" s="36" t="n">
        <f aca="false">IF(OR(E396="",D396=""),0,IF(C396="Actual",D396,IF(COUNTIFS($A$2:$A$2001,A396,$E$2:$E$2001,E396,$C$2:$C$2001,"Actual")&gt;0,0,D396)))</f>
        <v>0</v>
      </c>
    </row>
    <row r="397" customFormat="false" ht="15" hidden="false" customHeight="false" outlineLevel="0" collapsed="false">
      <c r="A397" s="32"/>
      <c r="B397" s="35"/>
      <c r="C397" s="32"/>
      <c r="D397" s="34"/>
      <c r="E397" s="42" t="str">
        <f aca="false">IF(OR(A397="",B397=""),"",DATE(YEAR(B397),MONTH(B397),1))</f>
        <v/>
      </c>
      <c r="F397" s="36" t="n">
        <f aca="false">IF(OR(E397="",D397=""),0,IF(C397="Actual",D397,IF(COUNTIFS($A$2:$A$2001,A397,$E$2:$E$2001,E397,$C$2:$C$2001,"Actual")&gt;0,0,D397)))</f>
        <v>0</v>
      </c>
    </row>
    <row r="398" customFormat="false" ht="15" hidden="false" customHeight="false" outlineLevel="0" collapsed="false">
      <c r="A398" s="32"/>
      <c r="B398" s="35"/>
      <c r="C398" s="32"/>
      <c r="D398" s="34"/>
      <c r="E398" s="42" t="str">
        <f aca="false">IF(OR(A398="",B398=""),"",DATE(YEAR(B398),MONTH(B398),1))</f>
        <v/>
      </c>
      <c r="F398" s="36" t="n">
        <f aca="false">IF(OR(E398="",D398=""),0,IF(C398="Actual",D398,IF(COUNTIFS($A$2:$A$2001,A398,$E$2:$E$2001,E398,$C$2:$C$2001,"Actual")&gt;0,0,D398)))</f>
        <v>0</v>
      </c>
    </row>
    <row r="399" customFormat="false" ht="15" hidden="false" customHeight="false" outlineLevel="0" collapsed="false">
      <c r="A399" s="32"/>
      <c r="B399" s="35"/>
      <c r="C399" s="32"/>
      <c r="D399" s="34"/>
      <c r="E399" s="42" t="str">
        <f aca="false">IF(OR(A399="",B399=""),"",DATE(YEAR(B399),MONTH(B399),1))</f>
        <v/>
      </c>
      <c r="F399" s="36" t="n">
        <f aca="false">IF(OR(E399="",D399=""),0,IF(C399="Actual",D399,IF(COUNTIFS($A$2:$A$2001,A399,$E$2:$E$2001,E399,$C$2:$C$2001,"Actual")&gt;0,0,D399)))</f>
        <v>0</v>
      </c>
    </row>
    <row r="400" customFormat="false" ht="15" hidden="false" customHeight="false" outlineLevel="0" collapsed="false">
      <c r="A400" s="32"/>
      <c r="B400" s="35"/>
      <c r="C400" s="32"/>
      <c r="D400" s="34"/>
      <c r="E400" s="42" t="str">
        <f aca="false">IF(OR(A400="",B400=""),"",DATE(YEAR(B400),MONTH(B400),1))</f>
        <v/>
      </c>
      <c r="F400" s="36" t="n">
        <f aca="false">IF(OR(E400="",D400=""),0,IF(C400="Actual",D400,IF(COUNTIFS($A$2:$A$2001,A400,$E$2:$E$2001,E400,$C$2:$C$2001,"Actual")&gt;0,0,D400)))</f>
        <v>0</v>
      </c>
    </row>
    <row r="401" customFormat="false" ht="15" hidden="false" customHeight="false" outlineLevel="0" collapsed="false">
      <c r="A401" s="32"/>
      <c r="B401" s="35"/>
      <c r="C401" s="32"/>
      <c r="D401" s="34"/>
      <c r="E401" s="42" t="str">
        <f aca="false">IF(OR(A401="",B401=""),"",DATE(YEAR(B401),MONTH(B401),1))</f>
        <v/>
      </c>
      <c r="F401" s="36" t="n">
        <f aca="false">IF(OR(E401="",D401=""),0,IF(C401="Actual",D401,IF(COUNTIFS($A$2:$A$2001,A401,$E$2:$E$2001,E401,$C$2:$C$2001,"Actual")&gt;0,0,D401)))</f>
        <v>0</v>
      </c>
    </row>
    <row r="402" customFormat="false" ht="15" hidden="false" customHeight="false" outlineLevel="0" collapsed="false">
      <c r="A402" s="32"/>
      <c r="B402" s="35"/>
      <c r="C402" s="32"/>
      <c r="D402" s="34"/>
      <c r="E402" s="42" t="str">
        <f aca="false">IF(OR(A402="",B402=""),"",DATE(YEAR(B402),MONTH(B402),1))</f>
        <v/>
      </c>
      <c r="F402" s="36" t="n">
        <f aca="false">IF(OR(E402="",D402=""),0,IF(C402="Actual",D402,IF(COUNTIFS($A$2:$A$2001,A402,$E$2:$E$2001,E402,$C$2:$C$2001,"Actual")&gt;0,0,D402)))</f>
        <v>0</v>
      </c>
    </row>
    <row r="403" customFormat="false" ht="15" hidden="false" customHeight="false" outlineLevel="0" collapsed="false">
      <c r="A403" s="32"/>
      <c r="B403" s="35"/>
      <c r="C403" s="32"/>
      <c r="D403" s="34"/>
      <c r="E403" s="42" t="str">
        <f aca="false">IF(OR(A403="",B403=""),"",DATE(YEAR(B403),MONTH(B403),1))</f>
        <v/>
      </c>
      <c r="F403" s="36" t="n">
        <f aca="false">IF(OR(E403="",D403=""),0,IF(C403="Actual",D403,IF(COUNTIFS($A$2:$A$2001,A403,$E$2:$E$2001,E403,$C$2:$C$2001,"Actual")&gt;0,0,D403)))</f>
        <v>0</v>
      </c>
    </row>
    <row r="404" customFormat="false" ht="15" hidden="false" customHeight="false" outlineLevel="0" collapsed="false">
      <c r="A404" s="32"/>
      <c r="B404" s="35"/>
      <c r="C404" s="32"/>
      <c r="D404" s="34"/>
      <c r="E404" s="42" t="str">
        <f aca="false">IF(OR(A404="",B404=""),"",DATE(YEAR(B404),MONTH(B404),1))</f>
        <v/>
      </c>
      <c r="F404" s="36" t="n">
        <f aca="false">IF(OR(E404="",D404=""),0,IF(C404="Actual",D404,IF(COUNTIFS($A$2:$A$2001,A404,$E$2:$E$2001,E404,$C$2:$C$2001,"Actual")&gt;0,0,D404)))</f>
        <v>0</v>
      </c>
    </row>
    <row r="405" customFormat="false" ht="15" hidden="false" customHeight="false" outlineLevel="0" collapsed="false">
      <c r="A405" s="32"/>
      <c r="B405" s="35"/>
      <c r="C405" s="32"/>
      <c r="D405" s="34"/>
      <c r="E405" s="42" t="str">
        <f aca="false">IF(OR(A405="",B405=""),"",DATE(YEAR(B405),MONTH(B405),1))</f>
        <v/>
      </c>
      <c r="F405" s="36" t="n">
        <f aca="false">IF(OR(E405="",D405=""),0,IF(C405="Actual",D405,IF(COUNTIFS($A$2:$A$2001,A405,$E$2:$E$2001,E405,$C$2:$C$2001,"Actual")&gt;0,0,D405)))</f>
        <v>0</v>
      </c>
    </row>
    <row r="406" customFormat="false" ht="15" hidden="false" customHeight="false" outlineLevel="0" collapsed="false">
      <c r="A406" s="32"/>
      <c r="B406" s="35"/>
      <c r="C406" s="32"/>
      <c r="D406" s="34"/>
      <c r="E406" s="42" t="str">
        <f aca="false">IF(OR(A406="",B406=""),"",DATE(YEAR(B406),MONTH(B406),1))</f>
        <v/>
      </c>
      <c r="F406" s="36" t="n">
        <f aca="false">IF(OR(E406="",D406=""),0,IF(C406="Actual",D406,IF(COUNTIFS($A$2:$A$2001,A406,$E$2:$E$2001,E406,$C$2:$C$2001,"Actual")&gt;0,0,D406)))</f>
        <v>0</v>
      </c>
    </row>
    <row r="407" customFormat="false" ht="15" hidden="false" customHeight="false" outlineLevel="0" collapsed="false">
      <c r="A407" s="32"/>
      <c r="B407" s="35"/>
      <c r="C407" s="32"/>
      <c r="D407" s="34"/>
      <c r="E407" s="42" t="str">
        <f aca="false">IF(OR(A407="",B407=""),"",DATE(YEAR(B407),MONTH(B407),1))</f>
        <v/>
      </c>
      <c r="F407" s="36" t="n">
        <f aca="false">IF(OR(E407="",D407=""),0,IF(C407="Actual",D407,IF(COUNTIFS($A$2:$A$2001,A407,$E$2:$E$2001,E407,$C$2:$C$2001,"Actual")&gt;0,0,D407)))</f>
        <v>0</v>
      </c>
    </row>
    <row r="408" customFormat="false" ht="15" hidden="false" customHeight="false" outlineLevel="0" collapsed="false">
      <c r="A408" s="32"/>
      <c r="B408" s="35"/>
      <c r="C408" s="32"/>
      <c r="D408" s="34"/>
      <c r="E408" s="42" t="str">
        <f aca="false">IF(OR(A408="",B408=""),"",DATE(YEAR(B408),MONTH(B408),1))</f>
        <v/>
      </c>
      <c r="F408" s="36" t="n">
        <f aca="false">IF(OR(E408="",D408=""),0,IF(C408="Actual",D408,IF(COUNTIFS($A$2:$A$2001,A408,$E$2:$E$2001,E408,$C$2:$C$2001,"Actual")&gt;0,0,D408)))</f>
        <v>0</v>
      </c>
    </row>
    <row r="409" customFormat="false" ht="15" hidden="false" customHeight="false" outlineLevel="0" collapsed="false">
      <c r="A409" s="32"/>
      <c r="B409" s="35"/>
      <c r="C409" s="32"/>
      <c r="D409" s="34"/>
      <c r="E409" s="42" t="str">
        <f aca="false">IF(OR(A409="",B409=""),"",DATE(YEAR(B409),MONTH(B409),1))</f>
        <v/>
      </c>
      <c r="F409" s="36" t="n">
        <f aca="false">IF(OR(E409="",D409=""),0,IF(C409="Actual",D409,IF(COUNTIFS($A$2:$A$2001,A409,$E$2:$E$2001,E409,$C$2:$C$2001,"Actual")&gt;0,0,D409)))</f>
        <v>0</v>
      </c>
    </row>
    <row r="410" customFormat="false" ht="15" hidden="false" customHeight="false" outlineLevel="0" collapsed="false">
      <c r="A410" s="32"/>
      <c r="B410" s="35"/>
      <c r="C410" s="32"/>
      <c r="D410" s="34"/>
      <c r="E410" s="42" t="str">
        <f aca="false">IF(OR(A410="",B410=""),"",DATE(YEAR(B410),MONTH(B410),1))</f>
        <v/>
      </c>
      <c r="F410" s="36" t="n">
        <f aca="false">IF(OR(E410="",D410=""),0,IF(C410="Actual",D410,IF(COUNTIFS($A$2:$A$2001,A410,$E$2:$E$2001,E410,$C$2:$C$2001,"Actual")&gt;0,0,D410)))</f>
        <v>0</v>
      </c>
    </row>
    <row r="411" customFormat="false" ht="15" hidden="false" customHeight="false" outlineLevel="0" collapsed="false">
      <c r="A411" s="32"/>
      <c r="B411" s="35"/>
      <c r="C411" s="32"/>
      <c r="D411" s="34"/>
      <c r="E411" s="42" t="str">
        <f aca="false">IF(OR(A411="",B411=""),"",DATE(YEAR(B411),MONTH(B411),1))</f>
        <v/>
      </c>
      <c r="F411" s="36" t="n">
        <f aca="false">IF(OR(E411="",D411=""),0,IF(C411="Actual",D411,IF(COUNTIFS($A$2:$A$2001,A411,$E$2:$E$2001,E411,$C$2:$C$2001,"Actual")&gt;0,0,D411)))</f>
        <v>0</v>
      </c>
    </row>
    <row r="412" customFormat="false" ht="15" hidden="false" customHeight="false" outlineLevel="0" collapsed="false">
      <c r="A412" s="32"/>
      <c r="B412" s="35"/>
      <c r="C412" s="32"/>
      <c r="D412" s="34"/>
      <c r="E412" s="42" t="str">
        <f aca="false">IF(OR(A412="",B412=""),"",DATE(YEAR(B412),MONTH(B412),1))</f>
        <v/>
      </c>
      <c r="F412" s="36" t="n">
        <f aca="false">IF(OR(E412="",D412=""),0,IF(C412="Actual",D412,IF(COUNTIFS($A$2:$A$2001,A412,$E$2:$E$2001,E412,$C$2:$C$2001,"Actual")&gt;0,0,D412)))</f>
        <v>0</v>
      </c>
    </row>
    <row r="413" customFormat="false" ht="15" hidden="false" customHeight="false" outlineLevel="0" collapsed="false">
      <c r="A413" s="32"/>
      <c r="B413" s="35"/>
      <c r="C413" s="32"/>
      <c r="D413" s="34"/>
      <c r="E413" s="42" t="str">
        <f aca="false">IF(OR(A413="",B413=""),"",DATE(YEAR(B413),MONTH(B413),1))</f>
        <v/>
      </c>
      <c r="F413" s="36" t="n">
        <f aca="false">IF(OR(E413="",D413=""),0,IF(C413="Actual",D413,IF(COUNTIFS($A$2:$A$2001,A413,$E$2:$E$2001,E413,$C$2:$C$2001,"Actual")&gt;0,0,D413)))</f>
        <v>0</v>
      </c>
    </row>
    <row r="414" customFormat="false" ht="15" hidden="false" customHeight="false" outlineLevel="0" collapsed="false">
      <c r="A414" s="32"/>
      <c r="B414" s="35"/>
      <c r="C414" s="32"/>
      <c r="D414" s="34"/>
      <c r="E414" s="42" t="str">
        <f aca="false">IF(OR(A414="",B414=""),"",DATE(YEAR(B414),MONTH(B414),1))</f>
        <v/>
      </c>
      <c r="F414" s="36" t="n">
        <f aca="false">IF(OR(E414="",D414=""),0,IF(C414="Actual",D414,IF(COUNTIFS($A$2:$A$2001,A414,$E$2:$E$2001,E414,$C$2:$C$2001,"Actual")&gt;0,0,D414)))</f>
        <v>0</v>
      </c>
    </row>
    <row r="415" customFormat="false" ht="15" hidden="false" customHeight="false" outlineLevel="0" collapsed="false">
      <c r="A415" s="32"/>
      <c r="B415" s="35"/>
      <c r="C415" s="32"/>
      <c r="D415" s="34"/>
      <c r="E415" s="42" t="str">
        <f aca="false">IF(OR(A415="",B415=""),"",DATE(YEAR(B415),MONTH(B415),1))</f>
        <v/>
      </c>
      <c r="F415" s="36" t="n">
        <f aca="false">IF(OR(E415="",D415=""),0,IF(C415="Actual",D415,IF(COUNTIFS($A$2:$A$2001,A415,$E$2:$E$2001,E415,$C$2:$C$2001,"Actual")&gt;0,0,D415)))</f>
        <v>0</v>
      </c>
    </row>
    <row r="416" customFormat="false" ht="15" hidden="false" customHeight="false" outlineLevel="0" collapsed="false">
      <c r="A416" s="32"/>
      <c r="B416" s="35"/>
      <c r="C416" s="32"/>
      <c r="D416" s="34"/>
      <c r="E416" s="42" t="str">
        <f aca="false">IF(OR(A416="",B416=""),"",DATE(YEAR(B416),MONTH(B416),1))</f>
        <v/>
      </c>
      <c r="F416" s="36" t="n">
        <f aca="false">IF(OR(E416="",D416=""),0,IF(C416="Actual",D416,IF(COUNTIFS($A$2:$A$2001,A416,$E$2:$E$2001,E416,$C$2:$C$2001,"Actual")&gt;0,0,D416)))</f>
        <v>0</v>
      </c>
    </row>
    <row r="417" customFormat="false" ht="15" hidden="false" customHeight="false" outlineLevel="0" collapsed="false">
      <c r="A417" s="32"/>
      <c r="B417" s="35"/>
      <c r="C417" s="32"/>
      <c r="D417" s="34"/>
      <c r="E417" s="42" t="str">
        <f aca="false">IF(OR(A417="",B417=""),"",DATE(YEAR(B417),MONTH(B417),1))</f>
        <v/>
      </c>
      <c r="F417" s="36" t="n">
        <f aca="false">IF(OR(E417="",D417=""),0,IF(C417="Actual",D417,IF(COUNTIFS($A$2:$A$2001,A417,$E$2:$E$2001,E417,$C$2:$C$2001,"Actual")&gt;0,0,D417)))</f>
        <v>0</v>
      </c>
    </row>
    <row r="418" customFormat="false" ht="15" hidden="false" customHeight="false" outlineLevel="0" collapsed="false">
      <c r="A418" s="32"/>
      <c r="B418" s="35"/>
      <c r="C418" s="32"/>
      <c r="D418" s="34"/>
      <c r="E418" s="42" t="str">
        <f aca="false">IF(OR(A418="",B418=""),"",DATE(YEAR(B418),MONTH(B418),1))</f>
        <v/>
      </c>
      <c r="F418" s="36" t="n">
        <f aca="false">IF(OR(E418="",D418=""),0,IF(C418="Actual",D418,IF(COUNTIFS($A$2:$A$2001,A418,$E$2:$E$2001,E418,$C$2:$C$2001,"Actual")&gt;0,0,D418)))</f>
        <v>0</v>
      </c>
    </row>
    <row r="419" customFormat="false" ht="15" hidden="false" customHeight="false" outlineLevel="0" collapsed="false">
      <c r="A419" s="32"/>
      <c r="B419" s="35"/>
      <c r="C419" s="32"/>
      <c r="D419" s="34"/>
      <c r="E419" s="42" t="str">
        <f aca="false">IF(OR(A419="",B419=""),"",DATE(YEAR(B419),MONTH(B419),1))</f>
        <v/>
      </c>
      <c r="F419" s="36" t="n">
        <f aca="false">IF(OR(E419="",D419=""),0,IF(C419="Actual",D419,IF(COUNTIFS($A$2:$A$2001,A419,$E$2:$E$2001,E419,$C$2:$C$2001,"Actual")&gt;0,0,D419)))</f>
        <v>0</v>
      </c>
    </row>
    <row r="420" customFormat="false" ht="15" hidden="false" customHeight="false" outlineLevel="0" collapsed="false">
      <c r="A420" s="32"/>
      <c r="B420" s="35"/>
      <c r="C420" s="32"/>
      <c r="D420" s="34"/>
      <c r="E420" s="42" t="str">
        <f aca="false">IF(OR(A420="",B420=""),"",DATE(YEAR(B420),MONTH(B420),1))</f>
        <v/>
      </c>
      <c r="F420" s="36" t="n">
        <f aca="false">IF(OR(E420="",D420=""),0,IF(C420="Actual",D420,IF(COUNTIFS($A$2:$A$2001,A420,$E$2:$E$2001,E420,$C$2:$C$2001,"Actual")&gt;0,0,D420)))</f>
        <v>0</v>
      </c>
    </row>
    <row r="421" customFormat="false" ht="15" hidden="false" customHeight="false" outlineLevel="0" collapsed="false">
      <c r="A421" s="32"/>
      <c r="B421" s="35"/>
      <c r="C421" s="32"/>
      <c r="D421" s="34"/>
      <c r="E421" s="42" t="str">
        <f aca="false">IF(OR(A421="",B421=""),"",DATE(YEAR(B421),MONTH(B421),1))</f>
        <v/>
      </c>
      <c r="F421" s="36" t="n">
        <f aca="false">IF(OR(E421="",D421=""),0,IF(C421="Actual",D421,IF(COUNTIFS($A$2:$A$2001,A421,$E$2:$E$2001,E421,$C$2:$C$2001,"Actual")&gt;0,0,D421)))</f>
        <v>0</v>
      </c>
    </row>
    <row r="422" customFormat="false" ht="15" hidden="false" customHeight="false" outlineLevel="0" collapsed="false">
      <c r="A422" s="32"/>
      <c r="B422" s="35"/>
      <c r="C422" s="32"/>
      <c r="D422" s="34"/>
      <c r="E422" s="42" t="str">
        <f aca="false">IF(OR(A422="",B422=""),"",DATE(YEAR(B422),MONTH(B422),1))</f>
        <v/>
      </c>
      <c r="F422" s="36" t="n">
        <f aca="false">IF(OR(E422="",D422=""),0,IF(C422="Actual",D422,IF(COUNTIFS($A$2:$A$2001,A422,$E$2:$E$2001,E422,$C$2:$C$2001,"Actual")&gt;0,0,D422)))</f>
        <v>0</v>
      </c>
    </row>
    <row r="423" customFormat="false" ht="15" hidden="false" customHeight="false" outlineLevel="0" collapsed="false">
      <c r="A423" s="32"/>
      <c r="B423" s="35"/>
      <c r="C423" s="32"/>
      <c r="D423" s="34"/>
      <c r="E423" s="42" t="str">
        <f aca="false">IF(OR(A423="",B423=""),"",DATE(YEAR(B423),MONTH(B423),1))</f>
        <v/>
      </c>
      <c r="F423" s="36" t="n">
        <f aca="false">IF(OR(E423="",D423=""),0,IF(C423="Actual",D423,IF(COUNTIFS($A$2:$A$2001,A423,$E$2:$E$2001,E423,$C$2:$C$2001,"Actual")&gt;0,0,D423)))</f>
        <v>0</v>
      </c>
    </row>
    <row r="424" customFormat="false" ht="15" hidden="false" customHeight="false" outlineLevel="0" collapsed="false">
      <c r="A424" s="32"/>
      <c r="B424" s="35"/>
      <c r="C424" s="32"/>
      <c r="D424" s="34"/>
      <c r="E424" s="42" t="str">
        <f aca="false">IF(OR(A424="",B424=""),"",DATE(YEAR(B424),MONTH(B424),1))</f>
        <v/>
      </c>
      <c r="F424" s="36" t="n">
        <f aca="false">IF(OR(E424="",D424=""),0,IF(C424="Actual",D424,IF(COUNTIFS($A$2:$A$2001,A424,$E$2:$E$2001,E424,$C$2:$C$2001,"Actual")&gt;0,0,D424)))</f>
        <v>0</v>
      </c>
    </row>
    <row r="425" customFormat="false" ht="15" hidden="false" customHeight="false" outlineLevel="0" collapsed="false">
      <c r="A425" s="32"/>
      <c r="B425" s="35"/>
      <c r="C425" s="32"/>
      <c r="D425" s="34"/>
      <c r="E425" s="42" t="str">
        <f aca="false">IF(OR(A425="",B425=""),"",DATE(YEAR(B425),MONTH(B425),1))</f>
        <v/>
      </c>
      <c r="F425" s="36" t="n">
        <f aca="false">IF(OR(E425="",D425=""),0,IF(C425="Actual",D425,IF(COUNTIFS($A$2:$A$2001,A425,$E$2:$E$2001,E425,$C$2:$C$2001,"Actual")&gt;0,0,D425)))</f>
        <v>0</v>
      </c>
    </row>
    <row r="426" customFormat="false" ht="15" hidden="false" customHeight="false" outlineLevel="0" collapsed="false">
      <c r="A426" s="32"/>
      <c r="B426" s="35"/>
      <c r="C426" s="32"/>
      <c r="D426" s="34"/>
      <c r="E426" s="42" t="str">
        <f aca="false">IF(OR(A426="",B426=""),"",DATE(YEAR(B426),MONTH(B426),1))</f>
        <v/>
      </c>
      <c r="F426" s="36" t="n">
        <f aca="false">IF(OR(E426="",D426=""),0,IF(C426="Actual",D426,IF(COUNTIFS($A$2:$A$2001,A426,$E$2:$E$2001,E426,$C$2:$C$2001,"Actual")&gt;0,0,D426)))</f>
        <v>0</v>
      </c>
    </row>
    <row r="427" customFormat="false" ht="15" hidden="false" customHeight="false" outlineLevel="0" collapsed="false">
      <c r="A427" s="32"/>
      <c r="B427" s="35"/>
      <c r="C427" s="32"/>
      <c r="D427" s="34"/>
      <c r="E427" s="42" t="str">
        <f aca="false">IF(OR(A427="",B427=""),"",DATE(YEAR(B427),MONTH(B427),1))</f>
        <v/>
      </c>
      <c r="F427" s="36" t="n">
        <f aca="false">IF(OR(E427="",D427=""),0,IF(C427="Actual",D427,IF(COUNTIFS($A$2:$A$2001,A427,$E$2:$E$2001,E427,$C$2:$C$2001,"Actual")&gt;0,0,D427)))</f>
        <v>0</v>
      </c>
    </row>
    <row r="428" customFormat="false" ht="15" hidden="false" customHeight="false" outlineLevel="0" collapsed="false">
      <c r="A428" s="32"/>
      <c r="B428" s="35"/>
      <c r="C428" s="32"/>
      <c r="D428" s="34"/>
      <c r="E428" s="42" t="str">
        <f aca="false">IF(OR(A428="",B428=""),"",DATE(YEAR(B428),MONTH(B428),1))</f>
        <v/>
      </c>
      <c r="F428" s="36" t="n">
        <f aca="false">IF(OR(E428="",D428=""),0,IF(C428="Actual",D428,IF(COUNTIFS($A$2:$A$2001,A428,$E$2:$E$2001,E428,$C$2:$C$2001,"Actual")&gt;0,0,D428)))</f>
        <v>0</v>
      </c>
    </row>
    <row r="429" customFormat="false" ht="15" hidden="false" customHeight="false" outlineLevel="0" collapsed="false">
      <c r="A429" s="32"/>
      <c r="B429" s="35"/>
      <c r="C429" s="32"/>
      <c r="D429" s="34"/>
      <c r="E429" s="42" t="str">
        <f aca="false">IF(OR(A429="",B429=""),"",DATE(YEAR(B429),MONTH(B429),1))</f>
        <v/>
      </c>
      <c r="F429" s="36" t="n">
        <f aca="false">IF(OR(E429="",D429=""),0,IF(C429="Actual",D429,IF(COUNTIFS($A$2:$A$2001,A429,$E$2:$E$2001,E429,$C$2:$C$2001,"Actual")&gt;0,0,D429)))</f>
        <v>0</v>
      </c>
    </row>
    <row r="430" customFormat="false" ht="15" hidden="false" customHeight="false" outlineLevel="0" collapsed="false">
      <c r="A430" s="32"/>
      <c r="B430" s="35"/>
      <c r="C430" s="32"/>
      <c r="D430" s="34"/>
      <c r="E430" s="42" t="str">
        <f aca="false">IF(OR(A430="",B430=""),"",DATE(YEAR(B430),MONTH(B430),1))</f>
        <v/>
      </c>
      <c r="F430" s="36" t="n">
        <f aca="false">IF(OR(E430="",D430=""),0,IF(C430="Actual",D430,IF(COUNTIFS($A$2:$A$2001,A430,$E$2:$E$2001,E430,$C$2:$C$2001,"Actual")&gt;0,0,D430)))</f>
        <v>0</v>
      </c>
    </row>
    <row r="431" customFormat="false" ht="15" hidden="false" customHeight="false" outlineLevel="0" collapsed="false">
      <c r="A431" s="32"/>
      <c r="B431" s="35"/>
      <c r="C431" s="32"/>
      <c r="D431" s="34"/>
      <c r="E431" s="42" t="str">
        <f aca="false">IF(OR(A431="",B431=""),"",DATE(YEAR(B431),MONTH(B431),1))</f>
        <v/>
      </c>
      <c r="F431" s="36" t="n">
        <f aca="false">IF(OR(E431="",D431=""),0,IF(C431="Actual",D431,IF(COUNTIFS($A$2:$A$2001,A431,$E$2:$E$2001,E431,$C$2:$C$2001,"Actual")&gt;0,0,D431)))</f>
        <v>0</v>
      </c>
    </row>
    <row r="432" customFormat="false" ht="15" hidden="false" customHeight="false" outlineLevel="0" collapsed="false">
      <c r="A432" s="32"/>
      <c r="B432" s="35"/>
      <c r="C432" s="32"/>
      <c r="D432" s="34"/>
      <c r="E432" s="42" t="str">
        <f aca="false">IF(OR(A432="",B432=""),"",DATE(YEAR(B432),MONTH(B432),1))</f>
        <v/>
      </c>
      <c r="F432" s="36" t="n">
        <f aca="false">IF(OR(E432="",D432=""),0,IF(C432="Actual",D432,IF(COUNTIFS($A$2:$A$2001,A432,$E$2:$E$2001,E432,$C$2:$C$2001,"Actual")&gt;0,0,D432)))</f>
        <v>0</v>
      </c>
    </row>
    <row r="433" customFormat="false" ht="15" hidden="false" customHeight="false" outlineLevel="0" collapsed="false">
      <c r="A433" s="32"/>
      <c r="B433" s="35"/>
      <c r="C433" s="32"/>
      <c r="D433" s="34"/>
      <c r="E433" s="42" t="str">
        <f aca="false">IF(OR(A433="",B433=""),"",DATE(YEAR(B433),MONTH(B433),1))</f>
        <v/>
      </c>
      <c r="F433" s="36" t="n">
        <f aca="false">IF(OR(E433="",D433=""),0,IF(C433="Actual",D433,IF(COUNTIFS($A$2:$A$2001,A433,$E$2:$E$2001,E433,$C$2:$C$2001,"Actual")&gt;0,0,D433)))</f>
        <v>0</v>
      </c>
    </row>
    <row r="434" customFormat="false" ht="15" hidden="false" customHeight="false" outlineLevel="0" collapsed="false">
      <c r="A434" s="32"/>
      <c r="B434" s="35"/>
      <c r="C434" s="32"/>
      <c r="D434" s="34"/>
      <c r="E434" s="42" t="str">
        <f aca="false">IF(OR(A434="",B434=""),"",DATE(YEAR(B434),MONTH(B434),1))</f>
        <v/>
      </c>
      <c r="F434" s="36" t="n">
        <f aca="false">IF(OR(E434="",D434=""),0,IF(C434="Actual",D434,IF(COUNTIFS($A$2:$A$2001,A434,$E$2:$E$2001,E434,$C$2:$C$2001,"Actual")&gt;0,0,D434)))</f>
        <v>0</v>
      </c>
    </row>
    <row r="435" customFormat="false" ht="15" hidden="false" customHeight="false" outlineLevel="0" collapsed="false">
      <c r="A435" s="32"/>
      <c r="B435" s="35"/>
      <c r="C435" s="32"/>
      <c r="D435" s="34"/>
      <c r="E435" s="42" t="str">
        <f aca="false">IF(OR(A435="",B435=""),"",DATE(YEAR(B435),MONTH(B435),1))</f>
        <v/>
      </c>
      <c r="F435" s="36" t="n">
        <f aca="false">IF(OR(E435="",D435=""),0,IF(C435="Actual",D435,IF(COUNTIFS($A$2:$A$2001,A435,$E$2:$E$2001,E435,$C$2:$C$2001,"Actual")&gt;0,0,D435)))</f>
        <v>0</v>
      </c>
    </row>
    <row r="436" customFormat="false" ht="15" hidden="false" customHeight="false" outlineLevel="0" collapsed="false">
      <c r="A436" s="32"/>
      <c r="B436" s="35"/>
      <c r="C436" s="32"/>
      <c r="D436" s="34"/>
      <c r="E436" s="42" t="str">
        <f aca="false">IF(OR(A436="",B436=""),"",DATE(YEAR(B436),MONTH(B436),1))</f>
        <v/>
      </c>
      <c r="F436" s="36" t="n">
        <f aca="false">IF(OR(E436="",D436=""),0,IF(C436="Actual",D436,IF(COUNTIFS($A$2:$A$2001,A436,$E$2:$E$2001,E436,$C$2:$C$2001,"Actual")&gt;0,0,D436)))</f>
        <v>0</v>
      </c>
    </row>
    <row r="437" customFormat="false" ht="15" hidden="false" customHeight="false" outlineLevel="0" collapsed="false">
      <c r="A437" s="32"/>
      <c r="B437" s="35"/>
      <c r="C437" s="32"/>
      <c r="D437" s="34"/>
      <c r="E437" s="42" t="str">
        <f aca="false">IF(OR(A437="",B437=""),"",DATE(YEAR(B437),MONTH(B437),1))</f>
        <v/>
      </c>
      <c r="F437" s="36" t="n">
        <f aca="false">IF(OR(E437="",D437=""),0,IF(C437="Actual",D437,IF(COUNTIFS($A$2:$A$2001,A437,$E$2:$E$2001,E437,$C$2:$C$2001,"Actual")&gt;0,0,D437)))</f>
        <v>0</v>
      </c>
    </row>
    <row r="438" customFormat="false" ht="15" hidden="false" customHeight="false" outlineLevel="0" collapsed="false">
      <c r="A438" s="32"/>
      <c r="B438" s="35"/>
      <c r="C438" s="32"/>
      <c r="D438" s="34"/>
      <c r="E438" s="42" t="str">
        <f aca="false">IF(OR(A438="",B438=""),"",DATE(YEAR(B438),MONTH(B438),1))</f>
        <v/>
      </c>
      <c r="F438" s="36" t="n">
        <f aca="false">IF(OR(E438="",D438=""),0,IF(C438="Actual",D438,IF(COUNTIFS($A$2:$A$2001,A438,$E$2:$E$2001,E438,$C$2:$C$2001,"Actual")&gt;0,0,D438)))</f>
        <v>0</v>
      </c>
    </row>
    <row r="439" customFormat="false" ht="15" hidden="false" customHeight="false" outlineLevel="0" collapsed="false">
      <c r="A439" s="32"/>
      <c r="B439" s="35"/>
      <c r="C439" s="32"/>
      <c r="D439" s="34"/>
      <c r="E439" s="42" t="str">
        <f aca="false">IF(OR(A439="",B439=""),"",DATE(YEAR(B439),MONTH(B439),1))</f>
        <v/>
      </c>
      <c r="F439" s="36" t="n">
        <f aca="false">IF(OR(E439="",D439=""),0,IF(C439="Actual",D439,IF(COUNTIFS($A$2:$A$2001,A439,$E$2:$E$2001,E439,$C$2:$C$2001,"Actual")&gt;0,0,D439)))</f>
        <v>0</v>
      </c>
    </row>
    <row r="440" customFormat="false" ht="15" hidden="false" customHeight="false" outlineLevel="0" collapsed="false">
      <c r="A440" s="32"/>
      <c r="B440" s="35"/>
      <c r="C440" s="32"/>
      <c r="D440" s="34"/>
      <c r="E440" s="42" t="str">
        <f aca="false">IF(OR(A440="",B440=""),"",DATE(YEAR(B440),MONTH(B440),1))</f>
        <v/>
      </c>
      <c r="F440" s="36" t="n">
        <f aca="false">IF(OR(E440="",D440=""),0,IF(C440="Actual",D440,IF(COUNTIFS($A$2:$A$2001,A440,$E$2:$E$2001,E440,$C$2:$C$2001,"Actual")&gt;0,0,D440)))</f>
        <v>0</v>
      </c>
    </row>
    <row r="441" customFormat="false" ht="15" hidden="false" customHeight="false" outlineLevel="0" collapsed="false">
      <c r="A441" s="32"/>
      <c r="B441" s="35"/>
      <c r="C441" s="32"/>
      <c r="D441" s="34"/>
      <c r="E441" s="42" t="str">
        <f aca="false">IF(OR(A441="",B441=""),"",DATE(YEAR(B441),MONTH(B441),1))</f>
        <v/>
      </c>
      <c r="F441" s="36" t="n">
        <f aca="false">IF(OR(E441="",D441=""),0,IF(C441="Actual",D441,IF(COUNTIFS($A$2:$A$2001,A441,$E$2:$E$2001,E441,$C$2:$C$2001,"Actual")&gt;0,0,D441)))</f>
        <v>0</v>
      </c>
    </row>
    <row r="442" customFormat="false" ht="15" hidden="false" customHeight="false" outlineLevel="0" collapsed="false">
      <c r="A442" s="32"/>
      <c r="B442" s="35"/>
      <c r="C442" s="32"/>
      <c r="D442" s="34"/>
      <c r="E442" s="42" t="str">
        <f aca="false">IF(OR(A442="",B442=""),"",DATE(YEAR(B442),MONTH(B442),1))</f>
        <v/>
      </c>
      <c r="F442" s="36" t="n">
        <f aca="false">IF(OR(E442="",D442=""),0,IF(C442="Actual",D442,IF(COUNTIFS($A$2:$A$2001,A442,$E$2:$E$2001,E442,$C$2:$C$2001,"Actual")&gt;0,0,D442)))</f>
        <v>0</v>
      </c>
    </row>
    <row r="443" customFormat="false" ht="15" hidden="false" customHeight="false" outlineLevel="0" collapsed="false">
      <c r="A443" s="32"/>
      <c r="B443" s="35"/>
      <c r="C443" s="32"/>
      <c r="D443" s="34"/>
      <c r="E443" s="42" t="str">
        <f aca="false">IF(OR(A443="",B443=""),"",DATE(YEAR(B443),MONTH(B443),1))</f>
        <v/>
      </c>
      <c r="F443" s="36" t="n">
        <f aca="false">IF(OR(E443="",D443=""),0,IF(C443="Actual",D443,IF(COUNTIFS($A$2:$A$2001,A443,$E$2:$E$2001,E443,$C$2:$C$2001,"Actual")&gt;0,0,D443)))</f>
        <v>0</v>
      </c>
    </row>
    <row r="444" customFormat="false" ht="15" hidden="false" customHeight="false" outlineLevel="0" collapsed="false">
      <c r="A444" s="32"/>
      <c r="B444" s="35"/>
      <c r="C444" s="32"/>
      <c r="D444" s="34"/>
      <c r="E444" s="42" t="str">
        <f aca="false">IF(OR(A444="",B444=""),"",DATE(YEAR(B444),MONTH(B444),1))</f>
        <v/>
      </c>
      <c r="F444" s="36" t="n">
        <f aca="false">IF(OR(E444="",D444=""),0,IF(C444="Actual",D444,IF(COUNTIFS($A$2:$A$2001,A444,$E$2:$E$2001,E444,$C$2:$C$2001,"Actual")&gt;0,0,D444)))</f>
        <v>0</v>
      </c>
    </row>
    <row r="445" customFormat="false" ht="15" hidden="false" customHeight="false" outlineLevel="0" collapsed="false">
      <c r="A445" s="32"/>
      <c r="B445" s="35"/>
      <c r="C445" s="32"/>
      <c r="D445" s="34"/>
      <c r="E445" s="42" t="str">
        <f aca="false">IF(OR(A445="",B445=""),"",DATE(YEAR(B445),MONTH(B445),1))</f>
        <v/>
      </c>
      <c r="F445" s="36" t="n">
        <f aca="false">IF(OR(E445="",D445=""),0,IF(C445="Actual",D445,IF(COUNTIFS($A$2:$A$2001,A445,$E$2:$E$2001,E445,$C$2:$C$2001,"Actual")&gt;0,0,D445)))</f>
        <v>0</v>
      </c>
    </row>
    <row r="446" customFormat="false" ht="15" hidden="false" customHeight="false" outlineLevel="0" collapsed="false">
      <c r="A446" s="32"/>
      <c r="B446" s="35"/>
      <c r="C446" s="32"/>
      <c r="D446" s="34"/>
      <c r="E446" s="42" t="str">
        <f aca="false">IF(OR(A446="",B446=""),"",DATE(YEAR(B446),MONTH(B446),1))</f>
        <v/>
      </c>
      <c r="F446" s="36" t="n">
        <f aca="false">IF(OR(E446="",D446=""),0,IF(C446="Actual",D446,IF(COUNTIFS($A$2:$A$2001,A446,$E$2:$E$2001,E446,$C$2:$C$2001,"Actual")&gt;0,0,D446)))</f>
        <v>0</v>
      </c>
    </row>
    <row r="447" customFormat="false" ht="15" hidden="false" customHeight="false" outlineLevel="0" collapsed="false">
      <c r="A447" s="32"/>
      <c r="B447" s="35"/>
      <c r="C447" s="32"/>
      <c r="D447" s="34"/>
      <c r="E447" s="42" t="str">
        <f aca="false">IF(OR(A447="",B447=""),"",DATE(YEAR(B447),MONTH(B447),1))</f>
        <v/>
      </c>
      <c r="F447" s="36" t="n">
        <f aca="false">IF(OR(E447="",D447=""),0,IF(C447="Actual",D447,IF(COUNTIFS($A$2:$A$2001,A447,$E$2:$E$2001,E447,$C$2:$C$2001,"Actual")&gt;0,0,D447)))</f>
        <v>0</v>
      </c>
    </row>
    <row r="448" customFormat="false" ht="15" hidden="false" customHeight="false" outlineLevel="0" collapsed="false">
      <c r="A448" s="32"/>
      <c r="B448" s="35"/>
      <c r="C448" s="32"/>
      <c r="D448" s="34"/>
      <c r="E448" s="42" t="str">
        <f aca="false">IF(OR(A448="",B448=""),"",DATE(YEAR(B448),MONTH(B448),1))</f>
        <v/>
      </c>
      <c r="F448" s="36" t="n">
        <f aca="false">IF(OR(E448="",D448=""),0,IF(C448="Actual",D448,IF(COUNTIFS($A$2:$A$2001,A448,$E$2:$E$2001,E448,$C$2:$C$2001,"Actual")&gt;0,0,D448)))</f>
        <v>0</v>
      </c>
    </row>
    <row r="449" customFormat="false" ht="15" hidden="false" customHeight="false" outlineLevel="0" collapsed="false">
      <c r="A449" s="32"/>
      <c r="B449" s="35"/>
      <c r="C449" s="32"/>
      <c r="D449" s="34"/>
      <c r="E449" s="42" t="str">
        <f aca="false">IF(OR(A449="",B449=""),"",DATE(YEAR(B449),MONTH(B449),1))</f>
        <v/>
      </c>
      <c r="F449" s="36" t="n">
        <f aca="false">IF(OR(E449="",D449=""),0,IF(C449="Actual",D449,IF(COUNTIFS($A$2:$A$2001,A449,$E$2:$E$2001,E449,$C$2:$C$2001,"Actual")&gt;0,0,D449)))</f>
        <v>0</v>
      </c>
    </row>
    <row r="450" customFormat="false" ht="15" hidden="false" customHeight="false" outlineLevel="0" collapsed="false">
      <c r="A450" s="32"/>
      <c r="B450" s="35"/>
      <c r="C450" s="32"/>
      <c r="D450" s="34"/>
      <c r="E450" s="42" t="str">
        <f aca="false">IF(OR(A450="",B450=""),"",DATE(YEAR(B450),MONTH(B450),1))</f>
        <v/>
      </c>
      <c r="F450" s="36" t="n">
        <f aca="false">IF(OR(E450="",D450=""),0,IF(C450="Actual",D450,IF(COUNTIFS($A$2:$A$2001,A450,$E$2:$E$2001,E450,$C$2:$C$2001,"Actual")&gt;0,0,D450)))</f>
        <v>0</v>
      </c>
    </row>
    <row r="451" customFormat="false" ht="15" hidden="false" customHeight="false" outlineLevel="0" collapsed="false">
      <c r="A451" s="32"/>
      <c r="B451" s="35"/>
      <c r="C451" s="32"/>
      <c r="D451" s="34"/>
      <c r="E451" s="42" t="str">
        <f aca="false">IF(OR(A451="",B451=""),"",DATE(YEAR(B451),MONTH(B451),1))</f>
        <v/>
      </c>
      <c r="F451" s="36" t="n">
        <f aca="false">IF(OR(E451="",D451=""),0,IF(C451="Actual",D451,IF(COUNTIFS($A$2:$A$2001,A451,$E$2:$E$2001,E451,$C$2:$C$2001,"Actual")&gt;0,0,D451)))</f>
        <v>0</v>
      </c>
    </row>
    <row r="452" customFormat="false" ht="15" hidden="false" customHeight="false" outlineLevel="0" collapsed="false">
      <c r="A452" s="32"/>
      <c r="B452" s="35"/>
      <c r="C452" s="32"/>
      <c r="D452" s="34"/>
      <c r="E452" s="42" t="str">
        <f aca="false">IF(OR(A452="",B452=""),"",DATE(YEAR(B452),MONTH(B452),1))</f>
        <v/>
      </c>
      <c r="F452" s="36" t="n">
        <f aca="false">IF(OR(E452="",D452=""),0,IF(C452="Actual",D452,IF(COUNTIFS($A$2:$A$2001,A452,$E$2:$E$2001,E452,$C$2:$C$2001,"Actual")&gt;0,0,D452)))</f>
        <v>0</v>
      </c>
    </row>
    <row r="453" customFormat="false" ht="15" hidden="false" customHeight="false" outlineLevel="0" collapsed="false">
      <c r="A453" s="32"/>
      <c r="B453" s="35"/>
      <c r="C453" s="32"/>
      <c r="D453" s="34"/>
      <c r="E453" s="42" t="str">
        <f aca="false">IF(OR(A453="",B453=""),"",DATE(YEAR(B453),MONTH(B453),1))</f>
        <v/>
      </c>
      <c r="F453" s="36" t="n">
        <f aca="false">IF(OR(E453="",D453=""),0,IF(C453="Actual",D453,IF(COUNTIFS($A$2:$A$2001,A453,$E$2:$E$2001,E453,$C$2:$C$2001,"Actual")&gt;0,0,D453)))</f>
        <v>0</v>
      </c>
    </row>
    <row r="454" customFormat="false" ht="15" hidden="false" customHeight="false" outlineLevel="0" collapsed="false">
      <c r="A454" s="32"/>
      <c r="B454" s="35"/>
      <c r="C454" s="32"/>
      <c r="D454" s="34"/>
      <c r="E454" s="42" t="str">
        <f aca="false">IF(OR(A454="",B454=""),"",DATE(YEAR(B454),MONTH(B454),1))</f>
        <v/>
      </c>
      <c r="F454" s="36" t="n">
        <f aca="false">IF(OR(E454="",D454=""),0,IF(C454="Actual",D454,IF(COUNTIFS($A$2:$A$2001,A454,$E$2:$E$2001,E454,$C$2:$C$2001,"Actual")&gt;0,0,D454)))</f>
        <v>0</v>
      </c>
    </row>
    <row r="455" customFormat="false" ht="15" hidden="false" customHeight="false" outlineLevel="0" collapsed="false">
      <c r="A455" s="32"/>
      <c r="B455" s="35"/>
      <c r="C455" s="32"/>
      <c r="D455" s="34"/>
      <c r="E455" s="42" t="str">
        <f aca="false">IF(OR(A455="",B455=""),"",DATE(YEAR(B455),MONTH(B455),1))</f>
        <v/>
      </c>
      <c r="F455" s="36" t="n">
        <f aca="false">IF(OR(E455="",D455=""),0,IF(C455="Actual",D455,IF(COUNTIFS($A$2:$A$2001,A455,$E$2:$E$2001,E455,$C$2:$C$2001,"Actual")&gt;0,0,D455)))</f>
        <v>0</v>
      </c>
    </row>
    <row r="456" customFormat="false" ht="15" hidden="false" customHeight="false" outlineLevel="0" collapsed="false">
      <c r="A456" s="32"/>
      <c r="B456" s="35"/>
      <c r="C456" s="32"/>
      <c r="D456" s="34"/>
      <c r="E456" s="42" t="str">
        <f aca="false">IF(OR(A456="",B456=""),"",DATE(YEAR(B456),MONTH(B456),1))</f>
        <v/>
      </c>
      <c r="F456" s="36" t="n">
        <f aca="false">IF(OR(E456="",D456=""),0,IF(C456="Actual",D456,IF(COUNTIFS($A$2:$A$2001,A456,$E$2:$E$2001,E456,$C$2:$C$2001,"Actual")&gt;0,0,D456)))</f>
        <v>0</v>
      </c>
    </row>
    <row r="457" customFormat="false" ht="15" hidden="false" customHeight="false" outlineLevel="0" collapsed="false">
      <c r="A457" s="32"/>
      <c r="B457" s="35"/>
      <c r="C457" s="32"/>
      <c r="D457" s="34"/>
      <c r="E457" s="42" t="str">
        <f aca="false">IF(OR(A457="",B457=""),"",DATE(YEAR(B457),MONTH(B457),1))</f>
        <v/>
      </c>
      <c r="F457" s="36" t="n">
        <f aca="false">IF(OR(E457="",D457=""),0,IF(C457="Actual",D457,IF(COUNTIFS($A$2:$A$2001,A457,$E$2:$E$2001,E457,$C$2:$C$2001,"Actual")&gt;0,0,D457)))</f>
        <v>0</v>
      </c>
    </row>
    <row r="458" customFormat="false" ht="15" hidden="false" customHeight="false" outlineLevel="0" collapsed="false">
      <c r="A458" s="32"/>
      <c r="B458" s="35"/>
      <c r="C458" s="32"/>
      <c r="D458" s="34"/>
      <c r="E458" s="42" t="str">
        <f aca="false">IF(OR(A458="",B458=""),"",DATE(YEAR(B458),MONTH(B458),1))</f>
        <v/>
      </c>
      <c r="F458" s="36" t="n">
        <f aca="false">IF(OR(E458="",D458=""),0,IF(C458="Actual",D458,IF(COUNTIFS($A$2:$A$2001,A458,$E$2:$E$2001,E458,$C$2:$C$2001,"Actual")&gt;0,0,D458)))</f>
        <v>0</v>
      </c>
    </row>
    <row r="459" customFormat="false" ht="15" hidden="false" customHeight="false" outlineLevel="0" collapsed="false">
      <c r="A459" s="32"/>
      <c r="B459" s="35"/>
      <c r="C459" s="32"/>
      <c r="D459" s="34"/>
      <c r="E459" s="42" t="str">
        <f aca="false">IF(OR(A459="",B459=""),"",DATE(YEAR(B459),MONTH(B459),1))</f>
        <v/>
      </c>
      <c r="F459" s="36" t="n">
        <f aca="false">IF(OR(E459="",D459=""),0,IF(C459="Actual",D459,IF(COUNTIFS($A$2:$A$2001,A459,$E$2:$E$2001,E459,$C$2:$C$2001,"Actual")&gt;0,0,D459)))</f>
        <v>0</v>
      </c>
    </row>
    <row r="460" customFormat="false" ht="15" hidden="false" customHeight="false" outlineLevel="0" collapsed="false">
      <c r="A460" s="32"/>
      <c r="B460" s="35"/>
      <c r="C460" s="32"/>
      <c r="D460" s="34"/>
      <c r="E460" s="42" t="str">
        <f aca="false">IF(OR(A460="",B460=""),"",DATE(YEAR(B460),MONTH(B460),1))</f>
        <v/>
      </c>
      <c r="F460" s="36" t="n">
        <f aca="false">IF(OR(E460="",D460=""),0,IF(C460="Actual",D460,IF(COUNTIFS($A$2:$A$2001,A460,$E$2:$E$2001,E460,$C$2:$C$2001,"Actual")&gt;0,0,D460)))</f>
        <v>0</v>
      </c>
    </row>
    <row r="461" customFormat="false" ht="15" hidden="false" customHeight="false" outlineLevel="0" collapsed="false">
      <c r="A461" s="32"/>
      <c r="B461" s="35"/>
      <c r="C461" s="32"/>
      <c r="D461" s="34"/>
      <c r="E461" s="42" t="str">
        <f aca="false">IF(OR(A461="",B461=""),"",DATE(YEAR(B461),MONTH(B461),1))</f>
        <v/>
      </c>
      <c r="F461" s="36" t="n">
        <f aca="false">IF(OR(E461="",D461=""),0,IF(C461="Actual",D461,IF(COUNTIFS($A$2:$A$2001,A461,$E$2:$E$2001,E461,$C$2:$C$2001,"Actual")&gt;0,0,D461)))</f>
        <v>0</v>
      </c>
    </row>
    <row r="462" customFormat="false" ht="15" hidden="false" customHeight="false" outlineLevel="0" collapsed="false">
      <c r="A462" s="32"/>
      <c r="B462" s="35"/>
      <c r="C462" s="32"/>
      <c r="D462" s="34"/>
      <c r="E462" s="42" t="str">
        <f aca="false">IF(OR(A462="",B462=""),"",DATE(YEAR(B462),MONTH(B462),1))</f>
        <v/>
      </c>
      <c r="F462" s="36" t="n">
        <f aca="false">IF(OR(E462="",D462=""),0,IF(C462="Actual",D462,IF(COUNTIFS($A$2:$A$2001,A462,$E$2:$E$2001,E462,$C$2:$C$2001,"Actual")&gt;0,0,D462)))</f>
        <v>0</v>
      </c>
    </row>
    <row r="463" customFormat="false" ht="15" hidden="false" customHeight="false" outlineLevel="0" collapsed="false">
      <c r="A463" s="32"/>
      <c r="B463" s="35"/>
      <c r="C463" s="32"/>
      <c r="D463" s="34"/>
      <c r="E463" s="42" t="str">
        <f aca="false">IF(OR(A463="",B463=""),"",DATE(YEAR(B463),MONTH(B463),1))</f>
        <v/>
      </c>
      <c r="F463" s="36" t="n">
        <f aca="false">IF(OR(E463="",D463=""),0,IF(C463="Actual",D463,IF(COUNTIFS($A$2:$A$2001,A463,$E$2:$E$2001,E463,$C$2:$C$2001,"Actual")&gt;0,0,D463)))</f>
        <v>0</v>
      </c>
    </row>
    <row r="464" customFormat="false" ht="15" hidden="false" customHeight="false" outlineLevel="0" collapsed="false">
      <c r="A464" s="32"/>
      <c r="B464" s="35"/>
      <c r="C464" s="32"/>
      <c r="D464" s="34"/>
      <c r="E464" s="42" t="str">
        <f aca="false">IF(OR(A464="",B464=""),"",DATE(YEAR(B464),MONTH(B464),1))</f>
        <v/>
      </c>
      <c r="F464" s="36" t="n">
        <f aca="false">IF(OR(E464="",D464=""),0,IF(C464="Actual",D464,IF(COUNTIFS($A$2:$A$2001,A464,$E$2:$E$2001,E464,$C$2:$C$2001,"Actual")&gt;0,0,D464)))</f>
        <v>0</v>
      </c>
    </row>
    <row r="465" customFormat="false" ht="15" hidden="false" customHeight="false" outlineLevel="0" collapsed="false">
      <c r="A465" s="32"/>
      <c r="B465" s="35"/>
      <c r="C465" s="32"/>
      <c r="D465" s="34"/>
      <c r="E465" s="42" t="str">
        <f aca="false">IF(OR(A465="",B465=""),"",DATE(YEAR(B465),MONTH(B465),1))</f>
        <v/>
      </c>
      <c r="F465" s="36" t="n">
        <f aca="false">IF(OR(E465="",D465=""),0,IF(C465="Actual",D465,IF(COUNTIFS($A$2:$A$2001,A465,$E$2:$E$2001,E465,$C$2:$C$2001,"Actual")&gt;0,0,D465)))</f>
        <v>0</v>
      </c>
    </row>
    <row r="466" customFormat="false" ht="15" hidden="false" customHeight="false" outlineLevel="0" collapsed="false">
      <c r="A466" s="32"/>
      <c r="B466" s="35"/>
      <c r="C466" s="32"/>
      <c r="D466" s="34"/>
      <c r="E466" s="42" t="str">
        <f aca="false">IF(OR(A466="",B466=""),"",DATE(YEAR(B466),MONTH(B466),1))</f>
        <v/>
      </c>
      <c r="F466" s="36" t="n">
        <f aca="false">IF(OR(E466="",D466=""),0,IF(C466="Actual",D466,IF(COUNTIFS($A$2:$A$2001,A466,$E$2:$E$2001,E466,$C$2:$C$2001,"Actual")&gt;0,0,D466)))</f>
        <v>0</v>
      </c>
    </row>
    <row r="467" customFormat="false" ht="15" hidden="false" customHeight="false" outlineLevel="0" collapsed="false">
      <c r="A467" s="32"/>
      <c r="B467" s="35"/>
      <c r="C467" s="32"/>
      <c r="D467" s="34"/>
      <c r="E467" s="42" t="str">
        <f aca="false">IF(OR(A467="",B467=""),"",DATE(YEAR(B467),MONTH(B467),1))</f>
        <v/>
      </c>
      <c r="F467" s="36" t="n">
        <f aca="false">IF(OR(E467="",D467=""),0,IF(C467="Actual",D467,IF(COUNTIFS($A$2:$A$2001,A467,$E$2:$E$2001,E467,$C$2:$C$2001,"Actual")&gt;0,0,D467)))</f>
        <v>0</v>
      </c>
    </row>
    <row r="468" customFormat="false" ht="15" hidden="false" customHeight="false" outlineLevel="0" collapsed="false">
      <c r="A468" s="32"/>
      <c r="B468" s="35"/>
      <c r="C468" s="32"/>
      <c r="D468" s="34"/>
      <c r="E468" s="42" t="str">
        <f aca="false">IF(OR(A468="",B468=""),"",DATE(YEAR(B468),MONTH(B468),1))</f>
        <v/>
      </c>
      <c r="F468" s="36" t="n">
        <f aca="false">IF(OR(E468="",D468=""),0,IF(C468="Actual",D468,IF(COUNTIFS($A$2:$A$2001,A468,$E$2:$E$2001,E468,$C$2:$C$2001,"Actual")&gt;0,0,D468)))</f>
        <v>0</v>
      </c>
    </row>
    <row r="469" customFormat="false" ht="15" hidden="false" customHeight="false" outlineLevel="0" collapsed="false">
      <c r="A469" s="32"/>
      <c r="B469" s="35"/>
      <c r="C469" s="32"/>
      <c r="D469" s="34"/>
      <c r="E469" s="42" t="str">
        <f aca="false">IF(OR(A469="",B469=""),"",DATE(YEAR(B469),MONTH(B469),1))</f>
        <v/>
      </c>
      <c r="F469" s="36" t="n">
        <f aca="false">IF(OR(E469="",D469=""),0,IF(C469="Actual",D469,IF(COUNTIFS($A$2:$A$2001,A469,$E$2:$E$2001,E469,$C$2:$C$2001,"Actual")&gt;0,0,D469)))</f>
        <v>0</v>
      </c>
    </row>
    <row r="470" customFormat="false" ht="15" hidden="false" customHeight="false" outlineLevel="0" collapsed="false">
      <c r="A470" s="32"/>
      <c r="B470" s="35"/>
      <c r="C470" s="32"/>
      <c r="D470" s="34"/>
      <c r="E470" s="42" t="str">
        <f aca="false">IF(OR(A470="",B470=""),"",DATE(YEAR(B470),MONTH(B470),1))</f>
        <v/>
      </c>
      <c r="F470" s="36" t="n">
        <f aca="false">IF(OR(E470="",D470=""),0,IF(C470="Actual",D470,IF(COUNTIFS($A$2:$A$2001,A470,$E$2:$E$2001,E470,$C$2:$C$2001,"Actual")&gt;0,0,D470)))</f>
        <v>0</v>
      </c>
    </row>
    <row r="471" customFormat="false" ht="15" hidden="false" customHeight="false" outlineLevel="0" collapsed="false">
      <c r="A471" s="32"/>
      <c r="B471" s="35"/>
      <c r="C471" s="32"/>
      <c r="D471" s="34"/>
      <c r="E471" s="42" t="str">
        <f aca="false">IF(OR(A471="",B471=""),"",DATE(YEAR(B471),MONTH(B471),1))</f>
        <v/>
      </c>
      <c r="F471" s="36" t="n">
        <f aca="false">IF(OR(E471="",D471=""),0,IF(C471="Actual",D471,IF(COUNTIFS($A$2:$A$2001,A471,$E$2:$E$2001,E471,$C$2:$C$2001,"Actual")&gt;0,0,D471)))</f>
        <v>0</v>
      </c>
    </row>
    <row r="472" customFormat="false" ht="15" hidden="false" customHeight="false" outlineLevel="0" collapsed="false">
      <c r="A472" s="32"/>
      <c r="B472" s="35"/>
      <c r="C472" s="32"/>
      <c r="D472" s="34"/>
      <c r="E472" s="42" t="str">
        <f aca="false">IF(OR(A472="",B472=""),"",DATE(YEAR(B472),MONTH(B472),1))</f>
        <v/>
      </c>
      <c r="F472" s="36" t="n">
        <f aca="false">IF(OR(E472="",D472=""),0,IF(C472="Actual",D472,IF(COUNTIFS($A$2:$A$2001,A472,$E$2:$E$2001,E472,$C$2:$C$2001,"Actual")&gt;0,0,D472)))</f>
        <v>0</v>
      </c>
    </row>
    <row r="473" customFormat="false" ht="15" hidden="false" customHeight="false" outlineLevel="0" collapsed="false">
      <c r="A473" s="32"/>
      <c r="B473" s="35"/>
      <c r="C473" s="32"/>
      <c r="D473" s="34"/>
      <c r="E473" s="42" t="str">
        <f aca="false">IF(OR(A473="",B473=""),"",DATE(YEAR(B473),MONTH(B473),1))</f>
        <v/>
      </c>
      <c r="F473" s="36" t="n">
        <f aca="false">IF(OR(E473="",D473=""),0,IF(C473="Actual",D473,IF(COUNTIFS($A$2:$A$2001,A473,$E$2:$E$2001,E473,$C$2:$C$2001,"Actual")&gt;0,0,D473)))</f>
        <v>0</v>
      </c>
    </row>
    <row r="474" customFormat="false" ht="15" hidden="false" customHeight="false" outlineLevel="0" collapsed="false">
      <c r="A474" s="32"/>
      <c r="B474" s="35"/>
      <c r="C474" s="32"/>
      <c r="D474" s="34"/>
      <c r="E474" s="42" t="str">
        <f aca="false">IF(OR(A474="",B474=""),"",DATE(YEAR(B474),MONTH(B474),1))</f>
        <v/>
      </c>
      <c r="F474" s="36" t="n">
        <f aca="false">IF(OR(E474="",D474=""),0,IF(C474="Actual",D474,IF(COUNTIFS($A$2:$A$2001,A474,$E$2:$E$2001,E474,$C$2:$C$2001,"Actual")&gt;0,0,D474)))</f>
        <v>0</v>
      </c>
    </row>
    <row r="475" customFormat="false" ht="15" hidden="false" customHeight="false" outlineLevel="0" collapsed="false">
      <c r="A475" s="32"/>
      <c r="B475" s="35"/>
      <c r="C475" s="32"/>
      <c r="D475" s="34"/>
      <c r="E475" s="42" t="str">
        <f aca="false">IF(OR(A475="",B475=""),"",DATE(YEAR(B475),MONTH(B475),1))</f>
        <v/>
      </c>
      <c r="F475" s="36" t="n">
        <f aca="false">IF(OR(E475="",D475=""),0,IF(C475="Actual",D475,IF(COUNTIFS($A$2:$A$2001,A475,$E$2:$E$2001,E475,$C$2:$C$2001,"Actual")&gt;0,0,D475)))</f>
        <v>0</v>
      </c>
    </row>
    <row r="476" customFormat="false" ht="15" hidden="false" customHeight="false" outlineLevel="0" collapsed="false">
      <c r="A476" s="32"/>
      <c r="B476" s="35"/>
      <c r="C476" s="32"/>
      <c r="D476" s="34"/>
      <c r="E476" s="42" t="str">
        <f aca="false">IF(OR(A476="",B476=""),"",DATE(YEAR(B476),MONTH(B476),1))</f>
        <v/>
      </c>
      <c r="F476" s="36" t="n">
        <f aca="false">IF(OR(E476="",D476=""),0,IF(C476="Actual",D476,IF(COUNTIFS($A$2:$A$2001,A476,$E$2:$E$2001,E476,$C$2:$C$2001,"Actual")&gt;0,0,D476)))</f>
        <v>0</v>
      </c>
    </row>
    <row r="477" customFormat="false" ht="15" hidden="false" customHeight="false" outlineLevel="0" collapsed="false">
      <c r="A477" s="32"/>
      <c r="B477" s="35"/>
      <c r="C477" s="32"/>
      <c r="D477" s="34"/>
      <c r="E477" s="42" t="str">
        <f aca="false">IF(OR(A477="",B477=""),"",DATE(YEAR(B477),MONTH(B477),1))</f>
        <v/>
      </c>
      <c r="F477" s="36" t="n">
        <f aca="false">IF(OR(E477="",D477=""),0,IF(C477="Actual",D477,IF(COUNTIFS($A$2:$A$2001,A477,$E$2:$E$2001,E477,$C$2:$C$2001,"Actual")&gt;0,0,D477)))</f>
        <v>0</v>
      </c>
    </row>
    <row r="478" customFormat="false" ht="15" hidden="false" customHeight="false" outlineLevel="0" collapsed="false">
      <c r="A478" s="32"/>
      <c r="B478" s="35"/>
      <c r="C478" s="32"/>
      <c r="D478" s="34"/>
      <c r="E478" s="42" t="str">
        <f aca="false">IF(OR(A478="",B478=""),"",DATE(YEAR(B478),MONTH(B478),1))</f>
        <v/>
      </c>
      <c r="F478" s="36" t="n">
        <f aca="false">IF(OR(E478="",D478=""),0,IF(C478="Actual",D478,IF(COUNTIFS($A$2:$A$2001,A478,$E$2:$E$2001,E478,$C$2:$C$2001,"Actual")&gt;0,0,D478)))</f>
        <v>0</v>
      </c>
    </row>
    <row r="479" customFormat="false" ht="15" hidden="false" customHeight="false" outlineLevel="0" collapsed="false">
      <c r="A479" s="32"/>
      <c r="B479" s="35"/>
      <c r="C479" s="32"/>
      <c r="D479" s="34"/>
      <c r="E479" s="42" t="str">
        <f aca="false">IF(OR(A479="",B479=""),"",DATE(YEAR(B479),MONTH(B479),1))</f>
        <v/>
      </c>
      <c r="F479" s="36" t="n">
        <f aca="false">IF(OR(E479="",D479=""),0,IF(C479="Actual",D479,IF(COUNTIFS($A$2:$A$2001,A479,$E$2:$E$2001,E479,$C$2:$C$2001,"Actual")&gt;0,0,D479)))</f>
        <v>0</v>
      </c>
    </row>
    <row r="480" customFormat="false" ht="15" hidden="false" customHeight="false" outlineLevel="0" collapsed="false">
      <c r="A480" s="32"/>
      <c r="B480" s="35"/>
      <c r="C480" s="32"/>
      <c r="D480" s="34"/>
      <c r="E480" s="42" t="str">
        <f aca="false">IF(OR(A480="",B480=""),"",DATE(YEAR(B480),MONTH(B480),1))</f>
        <v/>
      </c>
      <c r="F480" s="36" t="n">
        <f aca="false">IF(OR(E480="",D480=""),0,IF(C480="Actual",D480,IF(COUNTIFS($A$2:$A$2001,A480,$E$2:$E$2001,E480,$C$2:$C$2001,"Actual")&gt;0,0,D480)))</f>
        <v>0</v>
      </c>
    </row>
    <row r="481" customFormat="false" ht="15" hidden="false" customHeight="false" outlineLevel="0" collapsed="false">
      <c r="A481" s="32"/>
      <c r="B481" s="35"/>
      <c r="C481" s="32"/>
      <c r="D481" s="34"/>
      <c r="E481" s="42" t="str">
        <f aca="false">IF(OR(A481="",B481=""),"",DATE(YEAR(B481),MONTH(B481),1))</f>
        <v/>
      </c>
      <c r="F481" s="36" t="n">
        <f aca="false">IF(OR(E481="",D481=""),0,IF(C481="Actual",D481,IF(COUNTIFS($A$2:$A$2001,A481,$E$2:$E$2001,E481,$C$2:$C$2001,"Actual")&gt;0,0,D481)))</f>
        <v>0</v>
      </c>
    </row>
    <row r="482" customFormat="false" ht="15" hidden="false" customHeight="false" outlineLevel="0" collapsed="false">
      <c r="A482" s="32"/>
      <c r="B482" s="35"/>
      <c r="C482" s="32"/>
      <c r="D482" s="34"/>
      <c r="E482" s="42" t="str">
        <f aca="false">IF(OR(A482="",B482=""),"",DATE(YEAR(B482),MONTH(B482),1))</f>
        <v/>
      </c>
      <c r="F482" s="36" t="n">
        <f aca="false">IF(OR(E482="",D482=""),0,IF(C482="Actual",D482,IF(COUNTIFS($A$2:$A$2001,A482,$E$2:$E$2001,E482,$C$2:$C$2001,"Actual")&gt;0,0,D482)))</f>
        <v>0</v>
      </c>
    </row>
    <row r="483" customFormat="false" ht="15" hidden="false" customHeight="false" outlineLevel="0" collapsed="false">
      <c r="A483" s="32"/>
      <c r="B483" s="35"/>
      <c r="C483" s="32"/>
      <c r="D483" s="34"/>
      <c r="E483" s="42" t="str">
        <f aca="false">IF(OR(A483="",B483=""),"",DATE(YEAR(B483),MONTH(B483),1))</f>
        <v/>
      </c>
      <c r="F483" s="36" t="n">
        <f aca="false">IF(OR(E483="",D483=""),0,IF(C483="Actual",D483,IF(COUNTIFS($A$2:$A$2001,A483,$E$2:$E$2001,E483,$C$2:$C$2001,"Actual")&gt;0,0,D483)))</f>
        <v>0</v>
      </c>
    </row>
    <row r="484" customFormat="false" ht="15" hidden="false" customHeight="false" outlineLevel="0" collapsed="false">
      <c r="A484" s="32"/>
      <c r="B484" s="35"/>
      <c r="C484" s="32"/>
      <c r="D484" s="34"/>
      <c r="E484" s="42" t="str">
        <f aca="false">IF(OR(A484="",B484=""),"",DATE(YEAR(B484),MONTH(B484),1))</f>
        <v/>
      </c>
      <c r="F484" s="36" t="n">
        <f aca="false">IF(OR(E484="",D484=""),0,IF(C484="Actual",D484,IF(COUNTIFS($A$2:$A$2001,A484,$E$2:$E$2001,E484,$C$2:$C$2001,"Actual")&gt;0,0,D484)))</f>
        <v>0</v>
      </c>
    </row>
    <row r="485" customFormat="false" ht="15" hidden="false" customHeight="false" outlineLevel="0" collapsed="false">
      <c r="A485" s="32"/>
      <c r="B485" s="35"/>
      <c r="C485" s="32"/>
      <c r="D485" s="34"/>
      <c r="E485" s="42" t="str">
        <f aca="false">IF(OR(A485="",B485=""),"",DATE(YEAR(B485),MONTH(B485),1))</f>
        <v/>
      </c>
      <c r="F485" s="36" t="n">
        <f aca="false">IF(OR(E485="",D485=""),0,IF(C485="Actual",D485,IF(COUNTIFS($A$2:$A$2001,A485,$E$2:$E$2001,E485,$C$2:$C$2001,"Actual")&gt;0,0,D485)))</f>
        <v>0</v>
      </c>
    </row>
    <row r="486" customFormat="false" ht="15" hidden="false" customHeight="false" outlineLevel="0" collapsed="false">
      <c r="A486" s="32"/>
      <c r="B486" s="35"/>
      <c r="C486" s="32"/>
      <c r="D486" s="34"/>
      <c r="E486" s="42" t="str">
        <f aca="false">IF(OR(A486="",B486=""),"",DATE(YEAR(B486),MONTH(B486),1))</f>
        <v/>
      </c>
      <c r="F486" s="36" t="n">
        <f aca="false">IF(OR(E486="",D486=""),0,IF(C486="Actual",D486,IF(COUNTIFS($A$2:$A$2001,A486,$E$2:$E$2001,E486,$C$2:$C$2001,"Actual")&gt;0,0,D486)))</f>
        <v>0</v>
      </c>
    </row>
    <row r="487" customFormat="false" ht="15" hidden="false" customHeight="false" outlineLevel="0" collapsed="false">
      <c r="A487" s="32"/>
      <c r="B487" s="35"/>
      <c r="C487" s="32"/>
      <c r="D487" s="34"/>
      <c r="E487" s="42" t="str">
        <f aca="false">IF(OR(A487="",B487=""),"",DATE(YEAR(B487),MONTH(B487),1))</f>
        <v/>
      </c>
      <c r="F487" s="36" t="n">
        <f aca="false">IF(OR(E487="",D487=""),0,IF(C487="Actual",D487,IF(COUNTIFS($A$2:$A$2001,A487,$E$2:$E$2001,E487,$C$2:$C$2001,"Actual")&gt;0,0,D487)))</f>
        <v>0</v>
      </c>
    </row>
    <row r="488" customFormat="false" ht="15" hidden="false" customHeight="false" outlineLevel="0" collapsed="false">
      <c r="A488" s="32"/>
      <c r="B488" s="35"/>
      <c r="C488" s="32"/>
      <c r="D488" s="34"/>
      <c r="E488" s="42" t="str">
        <f aca="false">IF(OR(A488="",B488=""),"",DATE(YEAR(B488),MONTH(B488),1))</f>
        <v/>
      </c>
      <c r="F488" s="36" t="n">
        <f aca="false">IF(OR(E488="",D488=""),0,IF(C488="Actual",D488,IF(COUNTIFS($A$2:$A$2001,A488,$E$2:$E$2001,E488,$C$2:$C$2001,"Actual")&gt;0,0,D488)))</f>
        <v>0</v>
      </c>
    </row>
    <row r="489" customFormat="false" ht="15" hidden="false" customHeight="false" outlineLevel="0" collapsed="false">
      <c r="A489" s="32"/>
      <c r="B489" s="35"/>
      <c r="C489" s="32"/>
      <c r="D489" s="34"/>
      <c r="E489" s="42" t="str">
        <f aca="false">IF(OR(A489="",B489=""),"",DATE(YEAR(B489),MONTH(B489),1))</f>
        <v/>
      </c>
      <c r="F489" s="36" t="n">
        <f aca="false">IF(OR(E489="",D489=""),0,IF(C489="Actual",D489,IF(COUNTIFS($A$2:$A$2001,A489,$E$2:$E$2001,E489,$C$2:$C$2001,"Actual")&gt;0,0,D489)))</f>
        <v>0</v>
      </c>
    </row>
    <row r="490" customFormat="false" ht="15" hidden="false" customHeight="false" outlineLevel="0" collapsed="false">
      <c r="A490" s="32"/>
      <c r="B490" s="35"/>
      <c r="C490" s="32"/>
      <c r="D490" s="34"/>
      <c r="E490" s="42" t="str">
        <f aca="false">IF(OR(A490="",B490=""),"",DATE(YEAR(B490),MONTH(B490),1))</f>
        <v/>
      </c>
      <c r="F490" s="36" t="n">
        <f aca="false">IF(OR(E490="",D490=""),0,IF(C490="Actual",D490,IF(COUNTIFS($A$2:$A$2001,A490,$E$2:$E$2001,E490,$C$2:$C$2001,"Actual")&gt;0,0,D490)))</f>
        <v>0</v>
      </c>
    </row>
    <row r="491" customFormat="false" ht="15" hidden="false" customHeight="false" outlineLevel="0" collapsed="false">
      <c r="A491" s="32"/>
      <c r="B491" s="35"/>
      <c r="C491" s="32"/>
      <c r="D491" s="34"/>
      <c r="E491" s="42" t="str">
        <f aca="false">IF(OR(A491="",B491=""),"",DATE(YEAR(B491),MONTH(B491),1))</f>
        <v/>
      </c>
      <c r="F491" s="36" t="n">
        <f aca="false">IF(OR(E491="",D491=""),0,IF(C491="Actual",D491,IF(COUNTIFS($A$2:$A$2001,A491,$E$2:$E$2001,E491,$C$2:$C$2001,"Actual")&gt;0,0,D491)))</f>
        <v>0</v>
      </c>
    </row>
    <row r="492" customFormat="false" ht="15" hidden="false" customHeight="false" outlineLevel="0" collapsed="false">
      <c r="A492" s="32"/>
      <c r="B492" s="35"/>
      <c r="C492" s="32"/>
      <c r="D492" s="34"/>
      <c r="E492" s="42" t="str">
        <f aca="false">IF(OR(A492="",B492=""),"",DATE(YEAR(B492),MONTH(B492),1))</f>
        <v/>
      </c>
      <c r="F492" s="36" t="n">
        <f aca="false">IF(OR(E492="",D492=""),0,IF(C492="Actual",D492,IF(COUNTIFS($A$2:$A$2001,A492,$E$2:$E$2001,E492,$C$2:$C$2001,"Actual")&gt;0,0,D492)))</f>
        <v>0</v>
      </c>
    </row>
    <row r="493" customFormat="false" ht="15" hidden="false" customHeight="false" outlineLevel="0" collapsed="false">
      <c r="A493" s="32"/>
      <c r="B493" s="35"/>
      <c r="C493" s="32"/>
      <c r="D493" s="34"/>
      <c r="E493" s="42" t="str">
        <f aca="false">IF(OR(A493="",B493=""),"",DATE(YEAR(B493),MONTH(B493),1))</f>
        <v/>
      </c>
      <c r="F493" s="36" t="n">
        <f aca="false">IF(OR(E493="",D493=""),0,IF(C493="Actual",D493,IF(COUNTIFS($A$2:$A$2001,A493,$E$2:$E$2001,E493,$C$2:$C$2001,"Actual")&gt;0,0,D493)))</f>
        <v>0</v>
      </c>
    </row>
    <row r="494" customFormat="false" ht="15" hidden="false" customHeight="false" outlineLevel="0" collapsed="false">
      <c r="A494" s="32"/>
      <c r="B494" s="35"/>
      <c r="C494" s="32"/>
      <c r="D494" s="34"/>
      <c r="E494" s="42" t="str">
        <f aca="false">IF(OR(A494="",B494=""),"",DATE(YEAR(B494),MONTH(B494),1))</f>
        <v/>
      </c>
      <c r="F494" s="36" t="n">
        <f aca="false">IF(OR(E494="",D494=""),0,IF(C494="Actual",D494,IF(COUNTIFS($A$2:$A$2001,A494,$E$2:$E$2001,E494,$C$2:$C$2001,"Actual")&gt;0,0,D494)))</f>
        <v>0</v>
      </c>
    </row>
    <row r="495" customFormat="false" ht="15" hidden="false" customHeight="false" outlineLevel="0" collapsed="false">
      <c r="A495" s="32"/>
      <c r="B495" s="35"/>
      <c r="C495" s="32"/>
      <c r="D495" s="34"/>
      <c r="E495" s="42" t="str">
        <f aca="false">IF(OR(A495="",B495=""),"",DATE(YEAR(B495),MONTH(B495),1))</f>
        <v/>
      </c>
      <c r="F495" s="36" t="n">
        <f aca="false">IF(OR(E495="",D495=""),0,IF(C495="Actual",D495,IF(COUNTIFS($A$2:$A$2001,A495,$E$2:$E$2001,E495,$C$2:$C$2001,"Actual")&gt;0,0,D495)))</f>
        <v>0</v>
      </c>
    </row>
    <row r="496" customFormat="false" ht="15" hidden="false" customHeight="false" outlineLevel="0" collapsed="false">
      <c r="A496" s="32"/>
      <c r="B496" s="35"/>
      <c r="C496" s="32"/>
      <c r="D496" s="34"/>
      <c r="E496" s="42" t="str">
        <f aca="false">IF(OR(A496="",B496=""),"",DATE(YEAR(B496),MONTH(B496),1))</f>
        <v/>
      </c>
      <c r="F496" s="36" t="n">
        <f aca="false">IF(OR(E496="",D496=""),0,IF(C496="Actual",D496,IF(COUNTIFS($A$2:$A$2001,A496,$E$2:$E$2001,E496,$C$2:$C$2001,"Actual")&gt;0,0,D496)))</f>
        <v>0</v>
      </c>
    </row>
    <row r="497" customFormat="false" ht="15" hidden="false" customHeight="false" outlineLevel="0" collapsed="false">
      <c r="A497" s="32"/>
      <c r="B497" s="35"/>
      <c r="C497" s="32"/>
      <c r="D497" s="34"/>
      <c r="E497" s="42" t="str">
        <f aca="false">IF(OR(A497="",B497=""),"",DATE(YEAR(B497),MONTH(B497),1))</f>
        <v/>
      </c>
      <c r="F497" s="36" t="n">
        <f aca="false">IF(OR(E497="",D497=""),0,IF(C497="Actual",D497,IF(COUNTIFS($A$2:$A$2001,A497,$E$2:$E$2001,E497,$C$2:$C$2001,"Actual")&gt;0,0,D497)))</f>
        <v>0</v>
      </c>
    </row>
    <row r="498" customFormat="false" ht="15" hidden="false" customHeight="false" outlineLevel="0" collapsed="false">
      <c r="A498" s="32"/>
      <c r="B498" s="35"/>
      <c r="C498" s="32"/>
      <c r="D498" s="34"/>
      <c r="E498" s="42" t="str">
        <f aca="false">IF(OR(A498="",B498=""),"",DATE(YEAR(B498),MONTH(B498),1))</f>
        <v/>
      </c>
      <c r="F498" s="36" t="n">
        <f aca="false">IF(OR(E498="",D498=""),0,IF(C498="Actual",D498,IF(COUNTIFS($A$2:$A$2001,A498,$E$2:$E$2001,E498,$C$2:$C$2001,"Actual")&gt;0,0,D498)))</f>
        <v>0</v>
      </c>
    </row>
    <row r="499" customFormat="false" ht="15" hidden="false" customHeight="false" outlineLevel="0" collapsed="false">
      <c r="A499" s="32"/>
      <c r="B499" s="35"/>
      <c r="C499" s="32"/>
      <c r="D499" s="34"/>
      <c r="E499" s="42" t="str">
        <f aca="false">IF(OR(A499="",B499=""),"",DATE(YEAR(B499),MONTH(B499),1))</f>
        <v/>
      </c>
      <c r="F499" s="36" t="n">
        <f aca="false">IF(OR(E499="",D499=""),0,IF(C499="Actual",D499,IF(COUNTIFS($A$2:$A$2001,A499,$E$2:$E$2001,E499,$C$2:$C$2001,"Actual")&gt;0,0,D499)))</f>
        <v>0</v>
      </c>
    </row>
    <row r="500" customFormat="false" ht="15" hidden="false" customHeight="false" outlineLevel="0" collapsed="false">
      <c r="A500" s="32"/>
      <c r="B500" s="35"/>
      <c r="C500" s="32"/>
      <c r="D500" s="34"/>
      <c r="E500" s="42" t="str">
        <f aca="false">IF(OR(A500="",B500=""),"",DATE(YEAR(B500),MONTH(B500),1))</f>
        <v/>
      </c>
      <c r="F500" s="36" t="n">
        <f aca="false">IF(OR(E500="",D500=""),0,IF(C500="Actual",D500,IF(COUNTIFS($A$2:$A$2001,A500,$E$2:$E$2001,E500,$C$2:$C$2001,"Actual")&gt;0,0,D500)))</f>
        <v>0</v>
      </c>
    </row>
    <row r="501" customFormat="false" ht="15" hidden="false" customHeight="false" outlineLevel="0" collapsed="false">
      <c r="A501" s="32"/>
      <c r="B501" s="35"/>
      <c r="C501" s="32"/>
      <c r="D501" s="34"/>
      <c r="E501" s="42" t="str">
        <f aca="false">IF(OR(A501="",B501=""),"",DATE(YEAR(B501),MONTH(B501),1))</f>
        <v/>
      </c>
      <c r="F501" s="36" t="n">
        <f aca="false">IF(OR(E501="",D501=""),0,IF(C501="Actual",D501,IF(COUNTIFS($A$2:$A$2001,A501,$E$2:$E$2001,E501,$C$2:$C$2001,"Actual")&gt;0,0,D501)))</f>
        <v>0</v>
      </c>
    </row>
    <row r="502" customFormat="false" ht="15" hidden="false" customHeight="false" outlineLevel="0" collapsed="false">
      <c r="A502" s="32"/>
      <c r="B502" s="35"/>
      <c r="C502" s="32"/>
      <c r="D502" s="34"/>
      <c r="E502" s="42" t="str">
        <f aca="false">IF(OR(A502="",B502=""),"",DATE(YEAR(B502),MONTH(B502),1))</f>
        <v/>
      </c>
      <c r="F502" s="36" t="n">
        <f aca="false">IF(OR(E502="",D502=""),0,IF(C502="Actual",D502,IF(COUNTIFS($A$2:$A$2001,A502,$E$2:$E$2001,E502,$C$2:$C$2001,"Actual")&gt;0,0,D502)))</f>
        <v>0</v>
      </c>
    </row>
    <row r="503" customFormat="false" ht="15" hidden="false" customHeight="false" outlineLevel="0" collapsed="false">
      <c r="A503" s="32"/>
      <c r="B503" s="35"/>
      <c r="C503" s="32"/>
      <c r="D503" s="34"/>
      <c r="E503" s="42" t="str">
        <f aca="false">IF(OR(A503="",B503=""),"",DATE(YEAR(B503),MONTH(B503),1))</f>
        <v/>
      </c>
      <c r="F503" s="36" t="n">
        <f aca="false">IF(OR(E503="",D503=""),0,IF(C503="Actual",D503,IF(COUNTIFS($A$2:$A$2001,A503,$E$2:$E$2001,E503,$C$2:$C$2001,"Actual")&gt;0,0,D503)))</f>
        <v>0</v>
      </c>
    </row>
    <row r="504" customFormat="false" ht="15" hidden="false" customHeight="false" outlineLevel="0" collapsed="false">
      <c r="A504" s="32"/>
      <c r="B504" s="35"/>
      <c r="C504" s="32"/>
      <c r="D504" s="34"/>
      <c r="E504" s="42" t="str">
        <f aca="false">IF(OR(A504="",B504=""),"",DATE(YEAR(B504),MONTH(B504),1))</f>
        <v/>
      </c>
      <c r="F504" s="36" t="n">
        <f aca="false">IF(OR(E504="",D504=""),0,IF(C504="Actual",D504,IF(COUNTIFS($A$2:$A$2001,A504,$E$2:$E$2001,E504,$C$2:$C$2001,"Actual")&gt;0,0,D504)))</f>
        <v>0</v>
      </c>
    </row>
    <row r="505" customFormat="false" ht="15" hidden="false" customHeight="false" outlineLevel="0" collapsed="false">
      <c r="A505" s="32"/>
      <c r="B505" s="35"/>
      <c r="C505" s="32"/>
      <c r="D505" s="34"/>
      <c r="E505" s="42" t="str">
        <f aca="false">IF(OR(A505="",B505=""),"",DATE(YEAR(B505),MONTH(B505),1))</f>
        <v/>
      </c>
      <c r="F505" s="36" t="n">
        <f aca="false">IF(OR(E505="",D505=""),0,IF(C505="Actual",D505,IF(COUNTIFS($A$2:$A$2001,A505,$E$2:$E$2001,E505,$C$2:$C$2001,"Actual")&gt;0,0,D505)))</f>
        <v>0</v>
      </c>
    </row>
    <row r="506" customFormat="false" ht="15" hidden="false" customHeight="false" outlineLevel="0" collapsed="false">
      <c r="A506" s="32"/>
      <c r="B506" s="35"/>
      <c r="C506" s="32"/>
      <c r="D506" s="34"/>
      <c r="E506" s="42" t="str">
        <f aca="false">IF(OR(A506="",B506=""),"",DATE(YEAR(B506),MONTH(B506),1))</f>
        <v/>
      </c>
      <c r="F506" s="36" t="n">
        <f aca="false">IF(OR(E506="",D506=""),0,IF(C506="Actual",D506,IF(COUNTIFS($A$2:$A$2001,A506,$E$2:$E$2001,E506,$C$2:$C$2001,"Actual")&gt;0,0,D506)))</f>
        <v>0</v>
      </c>
    </row>
    <row r="507" customFormat="false" ht="15" hidden="false" customHeight="false" outlineLevel="0" collapsed="false">
      <c r="A507" s="32"/>
      <c r="B507" s="35"/>
      <c r="C507" s="32"/>
      <c r="D507" s="34"/>
      <c r="E507" s="42" t="str">
        <f aca="false">IF(OR(A507="",B507=""),"",DATE(YEAR(B507),MONTH(B507),1))</f>
        <v/>
      </c>
      <c r="F507" s="36" t="n">
        <f aca="false">IF(OR(E507="",D507=""),0,IF(C507="Actual",D507,IF(COUNTIFS($A$2:$A$2001,A507,$E$2:$E$2001,E507,$C$2:$C$2001,"Actual")&gt;0,0,D507)))</f>
        <v>0</v>
      </c>
    </row>
    <row r="508" customFormat="false" ht="15" hidden="false" customHeight="false" outlineLevel="0" collapsed="false">
      <c r="A508" s="32"/>
      <c r="B508" s="35"/>
      <c r="C508" s="32"/>
      <c r="D508" s="34"/>
      <c r="E508" s="42" t="str">
        <f aca="false">IF(OR(A508="",B508=""),"",DATE(YEAR(B508),MONTH(B508),1))</f>
        <v/>
      </c>
      <c r="F508" s="36" t="n">
        <f aca="false">IF(OR(E508="",D508=""),0,IF(C508="Actual",D508,IF(COUNTIFS($A$2:$A$2001,A508,$E$2:$E$2001,E508,$C$2:$C$2001,"Actual")&gt;0,0,D508)))</f>
        <v>0</v>
      </c>
    </row>
    <row r="509" customFormat="false" ht="15" hidden="false" customHeight="false" outlineLevel="0" collapsed="false">
      <c r="A509" s="32"/>
      <c r="B509" s="35"/>
      <c r="C509" s="32"/>
      <c r="D509" s="34"/>
      <c r="E509" s="42" t="str">
        <f aca="false">IF(OR(A509="",B509=""),"",DATE(YEAR(B509),MONTH(B509),1))</f>
        <v/>
      </c>
      <c r="F509" s="36" t="n">
        <f aca="false">IF(OR(E509="",D509=""),0,IF(C509="Actual",D509,IF(COUNTIFS($A$2:$A$2001,A509,$E$2:$E$2001,E509,$C$2:$C$2001,"Actual")&gt;0,0,D509)))</f>
        <v>0</v>
      </c>
    </row>
    <row r="510" customFormat="false" ht="15" hidden="false" customHeight="false" outlineLevel="0" collapsed="false">
      <c r="A510" s="32"/>
      <c r="B510" s="35"/>
      <c r="C510" s="32"/>
      <c r="D510" s="34"/>
      <c r="E510" s="42" t="str">
        <f aca="false">IF(OR(A510="",B510=""),"",DATE(YEAR(B510),MONTH(B510),1))</f>
        <v/>
      </c>
      <c r="F510" s="36" t="n">
        <f aca="false">IF(OR(E510="",D510=""),0,IF(C510="Actual",D510,IF(COUNTIFS($A$2:$A$2001,A510,$E$2:$E$2001,E510,$C$2:$C$2001,"Actual")&gt;0,0,D510)))</f>
        <v>0</v>
      </c>
    </row>
    <row r="511" customFormat="false" ht="15" hidden="false" customHeight="false" outlineLevel="0" collapsed="false">
      <c r="A511" s="32"/>
      <c r="B511" s="35"/>
      <c r="C511" s="32"/>
      <c r="D511" s="34"/>
      <c r="E511" s="42" t="str">
        <f aca="false">IF(OR(A511="",B511=""),"",DATE(YEAR(B511),MONTH(B511),1))</f>
        <v/>
      </c>
      <c r="F511" s="36" t="n">
        <f aca="false">IF(OR(E511="",D511=""),0,IF(C511="Actual",D511,IF(COUNTIFS($A$2:$A$2001,A511,$E$2:$E$2001,E511,$C$2:$C$2001,"Actual")&gt;0,0,D511)))</f>
        <v>0</v>
      </c>
    </row>
    <row r="512" customFormat="false" ht="15" hidden="false" customHeight="false" outlineLevel="0" collapsed="false">
      <c r="A512" s="32"/>
      <c r="B512" s="35"/>
      <c r="C512" s="32"/>
      <c r="D512" s="34"/>
      <c r="E512" s="42" t="str">
        <f aca="false">IF(OR(A512="",B512=""),"",DATE(YEAR(B512),MONTH(B512),1))</f>
        <v/>
      </c>
      <c r="F512" s="36" t="n">
        <f aca="false">IF(OR(E512="",D512=""),0,IF(C512="Actual",D512,IF(COUNTIFS($A$2:$A$2001,A512,$E$2:$E$2001,E512,$C$2:$C$2001,"Actual")&gt;0,0,D512)))</f>
        <v>0</v>
      </c>
    </row>
    <row r="513" customFormat="false" ht="15" hidden="false" customHeight="false" outlineLevel="0" collapsed="false">
      <c r="A513" s="32"/>
      <c r="B513" s="35"/>
      <c r="C513" s="32"/>
      <c r="D513" s="34"/>
      <c r="E513" s="42" t="str">
        <f aca="false">IF(OR(A513="",B513=""),"",DATE(YEAR(B513),MONTH(B513),1))</f>
        <v/>
      </c>
      <c r="F513" s="36" t="n">
        <f aca="false">IF(OR(E513="",D513=""),0,IF(C513="Actual",D513,IF(COUNTIFS($A$2:$A$2001,A513,$E$2:$E$2001,E513,$C$2:$C$2001,"Actual")&gt;0,0,D513)))</f>
        <v>0</v>
      </c>
    </row>
    <row r="514" customFormat="false" ht="15" hidden="false" customHeight="false" outlineLevel="0" collapsed="false">
      <c r="A514" s="32"/>
      <c r="B514" s="35"/>
      <c r="C514" s="32"/>
      <c r="D514" s="34"/>
      <c r="E514" s="42" t="str">
        <f aca="false">IF(OR(A514="",B514=""),"",DATE(YEAR(B514),MONTH(B514),1))</f>
        <v/>
      </c>
      <c r="F514" s="36" t="n">
        <f aca="false">IF(OR(E514="",D514=""),0,IF(C514="Actual",D514,IF(COUNTIFS($A$2:$A$2001,A514,$E$2:$E$2001,E514,$C$2:$C$2001,"Actual")&gt;0,0,D514)))</f>
        <v>0</v>
      </c>
    </row>
    <row r="515" customFormat="false" ht="15" hidden="false" customHeight="false" outlineLevel="0" collapsed="false">
      <c r="A515" s="32"/>
      <c r="B515" s="35"/>
      <c r="C515" s="32"/>
      <c r="D515" s="34"/>
      <c r="E515" s="42" t="str">
        <f aca="false">IF(OR(A515="",B515=""),"",DATE(YEAR(B515),MONTH(B515),1))</f>
        <v/>
      </c>
      <c r="F515" s="36" t="n">
        <f aca="false">IF(OR(E515="",D515=""),0,IF(C515="Actual",D515,IF(COUNTIFS($A$2:$A$2001,A515,$E$2:$E$2001,E515,$C$2:$C$2001,"Actual")&gt;0,0,D515)))</f>
        <v>0</v>
      </c>
    </row>
    <row r="516" customFormat="false" ht="15" hidden="false" customHeight="false" outlineLevel="0" collapsed="false">
      <c r="A516" s="32"/>
      <c r="B516" s="35"/>
      <c r="C516" s="32"/>
      <c r="D516" s="34"/>
      <c r="E516" s="42" t="str">
        <f aca="false">IF(OR(A516="",B516=""),"",DATE(YEAR(B516),MONTH(B516),1))</f>
        <v/>
      </c>
      <c r="F516" s="36" t="n">
        <f aca="false">IF(OR(E516="",D516=""),0,IF(C516="Actual",D516,IF(COUNTIFS($A$2:$A$2001,A516,$E$2:$E$2001,E516,$C$2:$C$2001,"Actual")&gt;0,0,D516)))</f>
        <v>0</v>
      </c>
    </row>
    <row r="517" customFormat="false" ht="15" hidden="false" customHeight="false" outlineLevel="0" collapsed="false">
      <c r="A517" s="32"/>
      <c r="B517" s="35"/>
      <c r="C517" s="32"/>
      <c r="D517" s="34"/>
      <c r="E517" s="42" t="str">
        <f aca="false">IF(OR(A517="",B517=""),"",DATE(YEAR(B517),MONTH(B517),1))</f>
        <v/>
      </c>
      <c r="F517" s="36" t="n">
        <f aca="false">IF(OR(E517="",D517=""),0,IF(C517="Actual",D517,IF(COUNTIFS($A$2:$A$2001,A517,$E$2:$E$2001,E517,$C$2:$C$2001,"Actual")&gt;0,0,D517)))</f>
        <v>0</v>
      </c>
    </row>
    <row r="518" customFormat="false" ht="15" hidden="false" customHeight="false" outlineLevel="0" collapsed="false">
      <c r="A518" s="32"/>
      <c r="B518" s="35"/>
      <c r="C518" s="32"/>
      <c r="D518" s="34"/>
      <c r="E518" s="42" t="str">
        <f aca="false">IF(OR(A518="",B518=""),"",DATE(YEAR(B518),MONTH(B518),1))</f>
        <v/>
      </c>
      <c r="F518" s="36" t="n">
        <f aca="false">IF(OR(E518="",D518=""),0,IF(C518="Actual",D518,IF(COUNTIFS($A$2:$A$2001,A518,$E$2:$E$2001,E518,$C$2:$C$2001,"Actual")&gt;0,0,D518)))</f>
        <v>0</v>
      </c>
    </row>
    <row r="519" customFormat="false" ht="15" hidden="false" customHeight="false" outlineLevel="0" collapsed="false">
      <c r="A519" s="32"/>
      <c r="B519" s="35"/>
      <c r="C519" s="32"/>
      <c r="D519" s="34"/>
      <c r="E519" s="42" t="str">
        <f aca="false">IF(OR(A519="",B519=""),"",DATE(YEAR(B519),MONTH(B519),1))</f>
        <v/>
      </c>
      <c r="F519" s="36" t="n">
        <f aca="false">IF(OR(E519="",D519=""),0,IF(C519="Actual",D519,IF(COUNTIFS($A$2:$A$2001,A519,$E$2:$E$2001,E519,$C$2:$C$2001,"Actual")&gt;0,0,D519)))</f>
        <v>0</v>
      </c>
    </row>
    <row r="520" customFormat="false" ht="15" hidden="false" customHeight="false" outlineLevel="0" collapsed="false">
      <c r="A520" s="32"/>
      <c r="B520" s="35"/>
      <c r="C520" s="32"/>
      <c r="D520" s="34"/>
      <c r="E520" s="42" t="str">
        <f aca="false">IF(OR(A520="",B520=""),"",DATE(YEAR(B520),MONTH(B520),1))</f>
        <v/>
      </c>
      <c r="F520" s="36" t="n">
        <f aca="false">IF(OR(E520="",D520=""),0,IF(C520="Actual",D520,IF(COUNTIFS($A$2:$A$2001,A520,$E$2:$E$2001,E520,$C$2:$C$2001,"Actual")&gt;0,0,D520)))</f>
        <v>0</v>
      </c>
    </row>
    <row r="521" customFormat="false" ht="15" hidden="false" customHeight="false" outlineLevel="0" collapsed="false">
      <c r="A521" s="32"/>
      <c r="B521" s="35"/>
      <c r="C521" s="32"/>
      <c r="D521" s="34"/>
      <c r="E521" s="42" t="str">
        <f aca="false">IF(OR(A521="",B521=""),"",DATE(YEAR(B521),MONTH(B521),1))</f>
        <v/>
      </c>
      <c r="F521" s="36" t="n">
        <f aca="false">IF(OR(E521="",D521=""),0,IF(C521="Actual",D521,IF(COUNTIFS($A$2:$A$2001,A521,$E$2:$E$2001,E521,$C$2:$C$2001,"Actual")&gt;0,0,D521)))</f>
        <v>0</v>
      </c>
    </row>
    <row r="522" customFormat="false" ht="15" hidden="false" customHeight="false" outlineLevel="0" collapsed="false">
      <c r="A522" s="32"/>
      <c r="B522" s="35"/>
      <c r="C522" s="32"/>
      <c r="D522" s="34"/>
      <c r="E522" s="42" t="str">
        <f aca="false">IF(OR(A522="",B522=""),"",DATE(YEAR(B522),MONTH(B522),1))</f>
        <v/>
      </c>
      <c r="F522" s="36" t="n">
        <f aca="false">IF(OR(E522="",D522=""),0,IF(C522="Actual",D522,IF(COUNTIFS($A$2:$A$2001,A522,$E$2:$E$2001,E522,$C$2:$C$2001,"Actual")&gt;0,0,D522)))</f>
        <v>0</v>
      </c>
    </row>
    <row r="523" customFormat="false" ht="15" hidden="false" customHeight="false" outlineLevel="0" collapsed="false">
      <c r="A523" s="32"/>
      <c r="B523" s="35"/>
      <c r="C523" s="32"/>
      <c r="D523" s="34"/>
      <c r="E523" s="42" t="str">
        <f aca="false">IF(OR(A523="",B523=""),"",DATE(YEAR(B523),MONTH(B523),1))</f>
        <v/>
      </c>
      <c r="F523" s="36" t="n">
        <f aca="false">IF(OR(E523="",D523=""),0,IF(C523="Actual",D523,IF(COUNTIFS($A$2:$A$2001,A523,$E$2:$E$2001,E523,$C$2:$C$2001,"Actual")&gt;0,0,D523)))</f>
        <v>0</v>
      </c>
    </row>
    <row r="524" customFormat="false" ht="15" hidden="false" customHeight="false" outlineLevel="0" collapsed="false">
      <c r="A524" s="32"/>
      <c r="B524" s="35"/>
      <c r="C524" s="32"/>
      <c r="D524" s="34"/>
      <c r="E524" s="42" t="str">
        <f aca="false">IF(OR(A524="",B524=""),"",DATE(YEAR(B524),MONTH(B524),1))</f>
        <v/>
      </c>
      <c r="F524" s="36" t="n">
        <f aca="false">IF(OR(E524="",D524=""),0,IF(C524="Actual",D524,IF(COUNTIFS($A$2:$A$2001,A524,$E$2:$E$2001,E524,$C$2:$C$2001,"Actual")&gt;0,0,D524)))</f>
        <v>0</v>
      </c>
    </row>
    <row r="525" customFormat="false" ht="15" hidden="false" customHeight="false" outlineLevel="0" collapsed="false">
      <c r="A525" s="32"/>
      <c r="B525" s="35"/>
      <c r="C525" s="32"/>
      <c r="D525" s="34"/>
      <c r="E525" s="42" t="str">
        <f aca="false">IF(OR(A525="",B525=""),"",DATE(YEAR(B525),MONTH(B525),1))</f>
        <v/>
      </c>
      <c r="F525" s="36" t="n">
        <f aca="false">IF(OR(E525="",D525=""),0,IF(C525="Actual",D525,IF(COUNTIFS($A$2:$A$2001,A525,$E$2:$E$2001,E525,$C$2:$C$2001,"Actual")&gt;0,0,D525)))</f>
        <v>0</v>
      </c>
    </row>
    <row r="526" customFormat="false" ht="15" hidden="false" customHeight="false" outlineLevel="0" collapsed="false">
      <c r="A526" s="32"/>
      <c r="B526" s="35"/>
      <c r="C526" s="32"/>
      <c r="D526" s="34"/>
      <c r="E526" s="42" t="str">
        <f aca="false">IF(OR(A526="",B526=""),"",DATE(YEAR(B526),MONTH(B526),1))</f>
        <v/>
      </c>
      <c r="F526" s="36" t="n">
        <f aca="false">IF(OR(E526="",D526=""),0,IF(C526="Actual",D526,IF(COUNTIFS($A$2:$A$2001,A526,$E$2:$E$2001,E526,$C$2:$C$2001,"Actual")&gt;0,0,D526)))</f>
        <v>0</v>
      </c>
    </row>
    <row r="527" customFormat="false" ht="15" hidden="false" customHeight="false" outlineLevel="0" collapsed="false">
      <c r="A527" s="32"/>
      <c r="B527" s="35"/>
      <c r="C527" s="32"/>
      <c r="D527" s="34"/>
      <c r="E527" s="42" t="str">
        <f aca="false">IF(OR(A527="",B527=""),"",DATE(YEAR(B527),MONTH(B527),1))</f>
        <v/>
      </c>
      <c r="F527" s="36" t="n">
        <f aca="false">IF(OR(E527="",D527=""),0,IF(C527="Actual",D527,IF(COUNTIFS($A$2:$A$2001,A527,$E$2:$E$2001,E527,$C$2:$C$2001,"Actual")&gt;0,0,D527)))</f>
        <v>0</v>
      </c>
    </row>
    <row r="528" customFormat="false" ht="15" hidden="false" customHeight="false" outlineLevel="0" collapsed="false">
      <c r="A528" s="32"/>
      <c r="B528" s="35"/>
      <c r="C528" s="32"/>
      <c r="D528" s="34"/>
      <c r="E528" s="42" t="str">
        <f aca="false">IF(OR(A528="",B528=""),"",DATE(YEAR(B528),MONTH(B528),1))</f>
        <v/>
      </c>
      <c r="F528" s="36" t="n">
        <f aca="false">IF(OR(E528="",D528=""),0,IF(C528="Actual",D528,IF(COUNTIFS($A$2:$A$2001,A528,$E$2:$E$2001,E528,$C$2:$C$2001,"Actual")&gt;0,0,D528)))</f>
        <v>0</v>
      </c>
    </row>
    <row r="529" customFormat="false" ht="15" hidden="false" customHeight="false" outlineLevel="0" collapsed="false">
      <c r="A529" s="32"/>
      <c r="B529" s="35"/>
      <c r="C529" s="32"/>
      <c r="D529" s="34"/>
      <c r="E529" s="42" t="str">
        <f aca="false">IF(OR(A529="",B529=""),"",DATE(YEAR(B529),MONTH(B529),1))</f>
        <v/>
      </c>
      <c r="F529" s="36" t="n">
        <f aca="false">IF(OR(E529="",D529=""),0,IF(C529="Actual",D529,IF(COUNTIFS($A$2:$A$2001,A529,$E$2:$E$2001,E529,$C$2:$C$2001,"Actual")&gt;0,0,D529)))</f>
        <v>0</v>
      </c>
    </row>
    <row r="530" customFormat="false" ht="15" hidden="false" customHeight="false" outlineLevel="0" collapsed="false">
      <c r="A530" s="32"/>
      <c r="B530" s="35"/>
      <c r="C530" s="32"/>
      <c r="D530" s="34"/>
      <c r="E530" s="42" t="str">
        <f aca="false">IF(OR(A530="",B530=""),"",DATE(YEAR(B530),MONTH(B530),1))</f>
        <v/>
      </c>
      <c r="F530" s="36" t="n">
        <f aca="false">IF(OR(E530="",D530=""),0,IF(C530="Actual",D530,IF(COUNTIFS($A$2:$A$2001,A530,$E$2:$E$2001,E530,$C$2:$C$2001,"Actual")&gt;0,0,D530)))</f>
        <v>0</v>
      </c>
    </row>
    <row r="531" customFormat="false" ht="15" hidden="false" customHeight="false" outlineLevel="0" collapsed="false">
      <c r="A531" s="32"/>
      <c r="B531" s="35"/>
      <c r="C531" s="32"/>
      <c r="D531" s="34"/>
      <c r="E531" s="42" t="str">
        <f aca="false">IF(OR(A531="",B531=""),"",DATE(YEAR(B531),MONTH(B531),1))</f>
        <v/>
      </c>
      <c r="F531" s="36" t="n">
        <f aca="false">IF(OR(E531="",D531=""),0,IF(C531="Actual",D531,IF(COUNTIFS($A$2:$A$2001,A531,$E$2:$E$2001,E531,$C$2:$C$2001,"Actual")&gt;0,0,D531)))</f>
        <v>0</v>
      </c>
    </row>
    <row r="532" customFormat="false" ht="15" hidden="false" customHeight="false" outlineLevel="0" collapsed="false">
      <c r="A532" s="32"/>
      <c r="B532" s="35"/>
      <c r="C532" s="32"/>
      <c r="D532" s="34"/>
      <c r="E532" s="42" t="str">
        <f aca="false">IF(OR(A532="",B532=""),"",DATE(YEAR(B532),MONTH(B532),1))</f>
        <v/>
      </c>
      <c r="F532" s="36" t="n">
        <f aca="false">IF(OR(E532="",D532=""),0,IF(C532="Actual",D532,IF(COUNTIFS($A$2:$A$2001,A532,$E$2:$E$2001,E532,$C$2:$C$2001,"Actual")&gt;0,0,D532)))</f>
        <v>0</v>
      </c>
    </row>
    <row r="533" customFormat="false" ht="15" hidden="false" customHeight="false" outlineLevel="0" collapsed="false">
      <c r="A533" s="32"/>
      <c r="B533" s="35"/>
      <c r="C533" s="32"/>
      <c r="D533" s="34"/>
      <c r="E533" s="42" t="str">
        <f aca="false">IF(OR(A533="",B533=""),"",DATE(YEAR(B533),MONTH(B533),1))</f>
        <v/>
      </c>
      <c r="F533" s="36" t="n">
        <f aca="false">IF(OR(E533="",D533=""),0,IF(C533="Actual",D533,IF(COUNTIFS($A$2:$A$2001,A533,$E$2:$E$2001,E533,$C$2:$C$2001,"Actual")&gt;0,0,D533)))</f>
        <v>0</v>
      </c>
    </row>
    <row r="534" customFormat="false" ht="15" hidden="false" customHeight="false" outlineLevel="0" collapsed="false">
      <c r="A534" s="32"/>
      <c r="B534" s="35"/>
      <c r="C534" s="32"/>
      <c r="D534" s="34"/>
      <c r="E534" s="42" t="str">
        <f aca="false">IF(OR(A534="",B534=""),"",DATE(YEAR(B534),MONTH(B534),1))</f>
        <v/>
      </c>
      <c r="F534" s="36" t="n">
        <f aca="false">IF(OR(E534="",D534=""),0,IF(C534="Actual",D534,IF(COUNTIFS($A$2:$A$2001,A534,$E$2:$E$2001,E534,$C$2:$C$2001,"Actual")&gt;0,0,D534)))</f>
        <v>0</v>
      </c>
    </row>
    <row r="535" customFormat="false" ht="15" hidden="false" customHeight="false" outlineLevel="0" collapsed="false">
      <c r="A535" s="32"/>
      <c r="B535" s="35"/>
      <c r="C535" s="32"/>
      <c r="D535" s="34"/>
      <c r="E535" s="42" t="str">
        <f aca="false">IF(OR(A535="",B535=""),"",DATE(YEAR(B535),MONTH(B535),1))</f>
        <v/>
      </c>
      <c r="F535" s="36" t="n">
        <f aca="false">IF(OR(E535="",D535=""),0,IF(C535="Actual",D535,IF(COUNTIFS($A$2:$A$2001,A535,$E$2:$E$2001,E535,$C$2:$C$2001,"Actual")&gt;0,0,D535)))</f>
        <v>0</v>
      </c>
    </row>
    <row r="536" customFormat="false" ht="15" hidden="false" customHeight="false" outlineLevel="0" collapsed="false">
      <c r="A536" s="32"/>
      <c r="B536" s="35"/>
      <c r="C536" s="32"/>
      <c r="D536" s="34"/>
      <c r="E536" s="42" t="str">
        <f aca="false">IF(OR(A536="",B536=""),"",DATE(YEAR(B536),MONTH(B536),1))</f>
        <v/>
      </c>
      <c r="F536" s="36" t="n">
        <f aca="false">IF(OR(E536="",D536=""),0,IF(C536="Actual",D536,IF(COUNTIFS($A$2:$A$2001,A536,$E$2:$E$2001,E536,$C$2:$C$2001,"Actual")&gt;0,0,D536)))</f>
        <v>0</v>
      </c>
    </row>
    <row r="537" customFormat="false" ht="15" hidden="false" customHeight="false" outlineLevel="0" collapsed="false">
      <c r="A537" s="32"/>
      <c r="B537" s="35"/>
      <c r="C537" s="32"/>
      <c r="D537" s="34"/>
      <c r="E537" s="42" t="str">
        <f aca="false">IF(OR(A537="",B537=""),"",DATE(YEAR(B537),MONTH(B537),1))</f>
        <v/>
      </c>
      <c r="F537" s="36" t="n">
        <f aca="false">IF(OR(E537="",D537=""),0,IF(C537="Actual",D537,IF(COUNTIFS($A$2:$A$2001,A537,$E$2:$E$2001,E537,$C$2:$C$2001,"Actual")&gt;0,0,D537)))</f>
        <v>0</v>
      </c>
    </row>
    <row r="538" customFormat="false" ht="15" hidden="false" customHeight="false" outlineLevel="0" collapsed="false">
      <c r="A538" s="32"/>
      <c r="B538" s="35"/>
      <c r="C538" s="32"/>
      <c r="D538" s="34"/>
      <c r="E538" s="42" t="str">
        <f aca="false">IF(OR(A538="",B538=""),"",DATE(YEAR(B538),MONTH(B538),1))</f>
        <v/>
      </c>
      <c r="F538" s="36" t="n">
        <f aca="false">IF(OR(E538="",D538=""),0,IF(C538="Actual",D538,IF(COUNTIFS($A$2:$A$2001,A538,$E$2:$E$2001,E538,$C$2:$C$2001,"Actual")&gt;0,0,D538)))</f>
        <v>0</v>
      </c>
    </row>
    <row r="539" customFormat="false" ht="15" hidden="false" customHeight="false" outlineLevel="0" collapsed="false">
      <c r="A539" s="32"/>
      <c r="B539" s="35"/>
      <c r="C539" s="32"/>
      <c r="D539" s="34"/>
      <c r="E539" s="42" t="str">
        <f aca="false">IF(OR(A539="",B539=""),"",DATE(YEAR(B539),MONTH(B539),1))</f>
        <v/>
      </c>
      <c r="F539" s="36" t="n">
        <f aca="false">IF(OR(E539="",D539=""),0,IF(C539="Actual",D539,IF(COUNTIFS($A$2:$A$2001,A539,$E$2:$E$2001,E539,$C$2:$C$2001,"Actual")&gt;0,0,D539)))</f>
        <v>0</v>
      </c>
    </row>
    <row r="540" customFormat="false" ht="15" hidden="false" customHeight="false" outlineLevel="0" collapsed="false">
      <c r="A540" s="32"/>
      <c r="B540" s="35"/>
      <c r="C540" s="32"/>
      <c r="D540" s="34"/>
      <c r="E540" s="42" t="str">
        <f aca="false">IF(OR(A540="",B540=""),"",DATE(YEAR(B540),MONTH(B540),1))</f>
        <v/>
      </c>
      <c r="F540" s="36" t="n">
        <f aca="false">IF(OR(E540="",D540=""),0,IF(C540="Actual",D540,IF(COUNTIFS($A$2:$A$2001,A540,$E$2:$E$2001,E540,$C$2:$C$2001,"Actual")&gt;0,0,D540)))</f>
        <v>0</v>
      </c>
    </row>
    <row r="541" customFormat="false" ht="15" hidden="false" customHeight="false" outlineLevel="0" collapsed="false">
      <c r="A541" s="32"/>
      <c r="B541" s="35"/>
      <c r="C541" s="32"/>
      <c r="D541" s="34"/>
      <c r="E541" s="42" t="str">
        <f aca="false">IF(OR(A541="",B541=""),"",DATE(YEAR(B541),MONTH(B541),1))</f>
        <v/>
      </c>
      <c r="F541" s="36" t="n">
        <f aca="false">IF(OR(E541="",D541=""),0,IF(C541="Actual",D541,IF(COUNTIFS($A$2:$A$2001,A541,$E$2:$E$2001,E541,$C$2:$C$2001,"Actual")&gt;0,0,D541)))</f>
        <v>0</v>
      </c>
    </row>
    <row r="542" customFormat="false" ht="15" hidden="false" customHeight="false" outlineLevel="0" collapsed="false">
      <c r="A542" s="32"/>
      <c r="B542" s="35"/>
      <c r="C542" s="32"/>
      <c r="D542" s="34"/>
      <c r="E542" s="42" t="str">
        <f aca="false">IF(OR(A542="",B542=""),"",DATE(YEAR(B542),MONTH(B542),1))</f>
        <v/>
      </c>
      <c r="F542" s="36" t="n">
        <f aca="false">IF(OR(E542="",D542=""),0,IF(C542="Actual",D542,IF(COUNTIFS($A$2:$A$2001,A542,$E$2:$E$2001,E542,$C$2:$C$2001,"Actual")&gt;0,0,D542)))</f>
        <v>0</v>
      </c>
    </row>
    <row r="543" customFormat="false" ht="15" hidden="false" customHeight="false" outlineLevel="0" collapsed="false">
      <c r="A543" s="32"/>
      <c r="B543" s="35"/>
      <c r="C543" s="32"/>
      <c r="D543" s="34"/>
      <c r="E543" s="42" t="str">
        <f aca="false">IF(OR(A543="",B543=""),"",DATE(YEAR(B543),MONTH(B543),1))</f>
        <v/>
      </c>
      <c r="F543" s="36" t="n">
        <f aca="false">IF(OR(E543="",D543=""),0,IF(C543="Actual",D543,IF(COUNTIFS($A$2:$A$2001,A543,$E$2:$E$2001,E543,$C$2:$C$2001,"Actual")&gt;0,0,D543)))</f>
        <v>0</v>
      </c>
    </row>
    <row r="544" customFormat="false" ht="15" hidden="false" customHeight="false" outlineLevel="0" collapsed="false">
      <c r="A544" s="32"/>
      <c r="B544" s="35"/>
      <c r="C544" s="32"/>
      <c r="D544" s="34"/>
      <c r="E544" s="42" t="str">
        <f aca="false">IF(OR(A544="",B544=""),"",DATE(YEAR(B544),MONTH(B544),1))</f>
        <v/>
      </c>
      <c r="F544" s="36" t="n">
        <f aca="false">IF(OR(E544="",D544=""),0,IF(C544="Actual",D544,IF(COUNTIFS($A$2:$A$2001,A544,$E$2:$E$2001,E544,$C$2:$C$2001,"Actual")&gt;0,0,D544)))</f>
        <v>0</v>
      </c>
    </row>
    <row r="545" customFormat="false" ht="15" hidden="false" customHeight="false" outlineLevel="0" collapsed="false">
      <c r="A545" s="32"/>
      <c r="B545" s="35"/>
      <c r="C545" s="32"/>
      <c r="D545" s="34"/>
      <c r="E545" s="42" t="str">
        <f aca="false">IF(OR(A545="",B545=""),"",DATE(YEAR(B545),MONTH(B545),1))</f>
        <v/>
      </c>
      <c r="F545" s="36" t="n">
        <f aca="false">IF(OR(E545="",D545=""),0,IF(C545="Actual",D545,IF(COUNTIFS($A$2:$A$2001,A545,$E$2:$E$2001,E545,$C$2:$C$2001,"Actual")&gt;0,0,D545)))</f>
        <v>0</v>
      </c>
    </row>
    <row r="546" customFormat="false" ht="15" hidden="false" customHeight="false" outlineLevel="0" collapsed="false">
      <c r="A546" s="32"/>
      <c r="B546" s="35"/>
      <c r="C546" s="32"/>
      <c r="D546" s="34"/>
      <c r="E546" s="42" t="str">
        <f aca="false">IF(OR(A546="",B546=""),"",DATE(YEAR(B546),MONTH(B546),1))</f>
        <v/>
      </c>
      <c r="F546" s="36" t="n">
        <f aca="false">IF(OR(E546="",D546=""),0,IF(C546="Actual",D546,IF(COUNTIFS($A$2:$A$2001,A546,$E$2:$E$2001,E546,$C$2:$C$2001,"Actual")&gt;0,0,D546)))</f>
        <v>0</v>
      </c>
    </row>
    <row r="547" customFormat="false" ht="15" hidden="false" customHeight="false" outlineLevel="0" collapsed="false">
      <c r="A547" s="32"/>
      <c r="B547" s="35"/>
      <c r="C547" s="32"/>
      <c r="D547" s="34"/>
      <c r="E547" s="42" t="str">
        <f aca="false">IF(OR(A547="",B547=""),"",DATE(YEAR(B547),MONTH(B547),1))</f>
        <v/>
      </c>
      <c r="F547" s="36" t="n">
        <f aca="false">IF(OR(E547="",D547=""),0,IF(C547="Actual",D547,IF(COUNTIFS($A$2:$A$2001,A547,$E$2:$E$2001,E547,$C$2:$C$2001,"Actual")&gt;0,0,D547)))</f>
        <v>0</v>
      </c>
    </row>
    <row r="548" customFormat="false" ht="15" hidden="false" customHeight="false" outlineLevel="0" collapsed="false">
      <c r="A548" s="32"/>
      <c r="B548" s="35"/>
      <c r="C548" s="32"/>
      <c r="D548" s="34"/>
      <c r="E548" s="42" t="str">
        <f aca="false">IF(OR(A548="",B548=""),"",DATE(YEAR(B548),MONTH(B548),1))</f>
        <v/>
      </c>
      <c r="F548" s="36" t="n">
        <f aca="false">IF(OR(E548="",D548=""),0,IF(C548="Actual",D548,IF(COUNTIFS($A$2:$A$2001,A548,$E$2:$E$2001,E548,$C$2:$C$2001,"Actual")&gt;0,0,D548)))</f>
        <v>0</v>
      </c>
    </row>
    <row r="549" customFormat="false" ht="15" hidden="false" customHeight="false" outlineLevel="0" collapsed="false">
      <c r="A549" s="32"/>
      <c r="B549" s="35"/>
      <c r="C549" s="32"/>
      <c r="D549" s="34"/>
      <c r="E549" s="42" t="str">
        <f aca="false">IF(OR(A549="",B549=""),"",DATE(YEAR(B549),MONTH(B549),1))</f>
        <v/>
      </c>
      <c r="F549" s="36" t="n">
        <f aca="false">IF(OR(E549="",D549=""),0,IF(C549="Actual",D549,IF(COUNTIFS($A$2:$A$2001,A549,$E$2:$E$2001,E549,$C$2:$C$2001,"Actual")&gt;0,0,D549)))</f>
        <v>0</v>
      </c>
    </row>
    <row r="550" customFormat="false" ht="15" hidden="false" customHeight="false" outlineLevel="0" collapsed="false">
      <c r="A550" s="32"/>
      <c r="B550" s="35"/>
      <c r="C550" s="32"/>
      <c r="D550" s="34"/>
      <c r="E550" s="42" t="str">
        <f aca="false">IF(OR(A550="",B550=""),"",DATE(YEAR(B550),MONTH(B550),1))</f>
        <v/>
      </c>
      <c r="F550" s="36" t="n">
        <f aca="false">IF(OR(E550="",D550=""),0,IF(C550="Actual",D550,IF(COUNTIFS($A$2:$A$2001,A550,$E$2:$E$2001,E550,$C$2:$C$2001,"Actual")&gt;0,0,D550)))</f>
        <v>0</v>
      </c>
    </row>
    <row r="551" customFormat="false" ht="15" hidden="false" customHeight="false" outlineLevel="0" collapsed="false">
      <c r="A551" s="32"/>
      <c r="B551" s="35"/>
      <c r="C551" s="32"/>
      <c r="D551" s="34"/>
      <c r="E551" s="42" t="str">
        <f aca="false">IF(OR(A551="",B551=""),"",DATE(YEAR(B551),MONTH(B551),1))</f>
        <v/>
      </c>
      <c r="F551" s="36" t="n">
        <f aca="false">IF(OR(E551="",D551=""),0,IF(C551="Actual",D551,IF(COUNTIFS($A$2:$A$2001,A551,$E$2:$E$2001,E551,$C$2:$C$2001,"Actual")&gt;0,0,D551)))</f>
        <v>0</v>
      </c>
    </row>
    <row r="552" customFormat="false" ht="15" hidden="false" customHeight="false" outlineLevel="0" collapsed="false">
      <c r="A552" s="32"/>
      <c r="B552" s="35"/>
      <c r="C552" s="32"/>
      <c r="D552" s="34"/>
      <c r="E552" s="42" t="str">
        <f aca="false">IF(OR(A552="",B552=""),"",DATE(YEAR(B552),MONTH(B552),1))</f>
        <v/>
      </c>
      <c r="F552" s="36" t="n">
        <f aca="false">IF(OR(E552="",D552=""),0,IF(C552="Actual",D552,IF(COUNTIFS($A$2:$A$2001,A552,$E$2:$E$2001,E552,$C$2:$C$2001,"Actual")&gt;0,0,D552)))</f>
        <v>0</v>
      </c>
    </row>
    <row r="553" customFormat="false" ht="15" hidden="false" customHeight="false" outlineLevel="0" collapsed="false">
      <c r="A553" s="32"/>
      <c r="B553" s="35"/>
      <c r="C553" s="32"/>
      <c r="D553" s="34"/>
      <c r="E553" s="42" t="str">
        <f aca="false">IF(OR(A553="",B553=""),"",DATE(YEAR(B553),MONTH(B553),1))</f>
        <v/>
      </c>
      <c r="F553" s="36" t="n">
        <f aca="false">IF(OR(E553="",D553=""),0,IF(C553="Actual",D553,IF(COUNTIFS($A$2:$A$2001,A553,$E$2:$E$2001,E553,$C$2:$C$2001,"Actual")&gt;0,0,D553)))</f>
        <v>0</v>
      </c>
    </row>
    <row r="554" customFormat="false" ht="15" hidden="false" customHeight="false" outlineLevel="0" collapsed="false">
      <c r="A554" s="32"/>
      <c r="B554" s="35"/>
      <c r="C554" s="32"/>
      <c r="D554" s="34"/>
      <c r="E554" s="42" t="str">
        <f aca="false">IF(OR(A554="",B554=""),"",DATE(YEAR(B554),MONTH(B554),1))</f>
        <v/>
      </c>
      <c r="F554" s="36" t="n">
        <f aca="false">IF(OR(E554="",D554=""),0,IF(C554="Actual",D554,IF(COUNTIFS($A$2:$A$2001,A554,$E$2:$E$2001,E554,$C$2:$C$2001,"Actual")&gt;0,0,D554)))</f>
        <v>0</v>
      </c>
    </row>
    <row r="555" customFormat="false" ht="15" hidden="false" customHeight="false" outlineLevel="0" collapsed="false">
      <c r="A555" s="32"/>
      <c r="B555" s="35"/>
      <c r="C555" s="32"/>
      <c r="D555" s="34"/>
      <c r="E555" s="42" t="str">
        <f aca="false">IF(OR(A555="",B555=""),"",DATE(YEAR(B555),MONTH(B555),1))</f>
        <v/>
      </c>
      <c r="F555" s="36" t="n">
        <f aca="false">IF(OR(E555="",D555=""),0,IF(C555="Actual",D555,IF(COUNTIFS($A$2:$A$2001,A555,$E$2:$E$2001,E555,$C$2:$C$2001,"Actual")&gt;0,0,D555)))</f>
        <v>0</v>
      </c>
    </row>
    <row r="556" customFormat="false" ht="15" hidden="false" customHeight="false" outlineLevel="0" collapsed="false">
      <c r="A556" s="32"/>
      <c r="B556" s="35"/>
      <c r="C556" s="32"/>
      <c r="D556" s="34"/>
      <c r="E556" s="42" t="str">
        <f aca="false">IF(OR(A556="",B556=""),"",DATE(YEAR(B556),MONTH(B556),1))</f>
        <v/>
      </c>
      <c r="F556" s="36" t="n">
        <f aca="false">IF(OR(E556="",D556=""),0,IF(C556="Actual",D556,IF(COUNTIFS($A$2:$A$2001,A556,$E$2:$E$2001,E556,$C$2:$C$2001,"Actual")&gt;0,0,D556)))</f>
        <v>0</v>
      </c>
    </row>
    <row r="557" customFormat="false" ht="15" hidden="false" customHeight="false" outlineLevel="0" collapsed="false">
      <c r="A557" s="32"/>
      <c r="B557" s="35"/>
      <c r="C557" s="32"/>
      <c r="D557" s="34"/>
      <c r="E557" s="42" t="str">
        <f aca="false">IF(OR(A557="",B557=""),"",DATE(YEAR(B557),MONTH(B557),1))</f>
        <v/>
      </c>
      <c r="F557" s="36" t="n">
        <f aca="false">IF(OR(E557="",D557=""),0,IF(C557="Actual",D557,IF(COUNTIFS($A$2:$A$2001,A557,$E$2:$E$2001,E557,$C$2:$C$2001,"Actual")&gt;0,0,D557)))</f>
        <v>0</v>
      </c>
    </row>
    <row r="558" customFormat="false" ht="15" hidden="false" customHeight="false" outlineLevel="0" collapsed="false">
      <c r="A558" s="32"/>
      <c r="B558" s="35"/>
      <c r="C558" s="32"/>
      <c r="D558" s="34"/>
      <c r="E558" s="42" t="str">
        <f aca="false">IF(OR(A558="",B558=""),"",DATE(YEAR(B558),MONTH(B558),1))</f>
        <v/>
      </c>
      <c r="F558" s="36" t="n">
        <f aca="false">IF(OR(E558="",D558=""),0,IF(C558="Actual",D558,IF(COUNTIFS($A$2:$A$2001,A558,$E$2:$E$2001,E558,$C$2:$C$2001,"Actual")&gt;0,0,D558)))</f>
        <v>0</v>
      </c>
    </row>
    <row r="559" customFormat="false" ht="15" hidden="false" customHeight="false" outlineLevel="0" collapsed="false">
      <c r="A559" s="32"/>
      <c r="B559" s="35"/>
      <c r="C559" s="32"/>
      <c r="D559" s="34"/>
      <c r="E559" s="42" t="str">
        <f aca="false">IF(OR(A559="",B559=""),"",DATE(YEAR(B559),MONTH(B559),1))</f>
        <v/>
      </c>
      <c r="F559" s="36" t="n">
        <f aca="false">IF(OR(E559="",D559=""),0,IF(C559="Actual",D559,IF(COUNTIFS($A$2:$A$2001,A559,$E$2:$E$2001,E559,$C$2:$C$2001,"Actual")&gt;0,0,D559)))</f>
        <v>0</v>
      </c>
    </row>
    <row r="560" customFormat="false" ht="15" hidden="false" customHeight="false" outlineLevel="0" collapsed="false">
      <c r="A560" s="32"/>
      <c r="B560" s="35"/>
      <c r="C560" s="32"/>
      <c r="D560" s="34"/>
      <c r="E560" s="42" t="str">
        <f aca="false">IF(OR(A560="",B560=""),"",DATE(YEAR(B560),MONTH(B560),1))</f>
        <v/>
      </c>
      <c r="F560" s="36" t="n">
        <f aca="false">IF(OR(E560="",D560=""),0,IF(C560="Actual",D560,IF(COUNTIFS($A$2:$A$2001,A560,$E$2:$E$2001,E560,$C$2:$C$2001,"Actual")&gt;0,0,D560)))</f>
        <v>0</v>
      </c>
    </row>
    <row r="561" customFormat="false" ht="15" hidden="false" customHeight="false" outlineLevel="0" collapsed="false">
      <c r="A561" s="32"/>
      <c r="B561" s="35"/>
      <c r="C561" s="32"/>
      <c r="D561" s="34"/>
      <c r="E561" s="42" t="str">
        <f aca="false">IF(OR(A561="",B561=""),"",DATE(YEAR(B561),MONTH(B561),1))</f>
        <v/>
      </c>
      <c r="F561" s="36" t="n">
        <f aca="false">IF(OR(E561="",D561=""),0,IF(C561="Actual",D561,IF(COUNTIFS($A$2:$A$2001,A561,$E$2:$E$2001,E561,$C$2:$C$2001,"Actual")&gt;0,0,D561)))</f>
        <v>0</v>
      </c>
    </row>
    <row r="562" customFormat="false" ht="15" hidden="false" customHeight="false" outlineLevel="0" collapsed="false">
      <c r="A562" s="32"/>
      <c r="B562" s="35"/>
      <c r="C562" s="32"/>
      <c r="D562" s="34"/>
      <c r="E562" s="42" t="str">
        <f aca="false">IF(OR(A562="",B562=""),"",DATE(YEAR(B562),MONTH(B562),1))</f>
        <v/>
      </c>
      <c r="F562" s="36" t="n">
        <f aca="false">IF(OR(E562="",D562=""),0,IF(C562="Actual",D562,IF(COUNTIFS($A$2:$A$2001,A562,$E$2:$E$2001,E562,$C$2:$C$2001,"Actual")&gt;0,0,D562)))</f>
        <v>0</v>
      </c>
    </row>
    <row r="563" customFormat="false" ht="15" hidden="false" customHeight="false" outlineLevel="0" collapsed="false">
      <c r="A563" s="32"/>
      <c r="B563" s="35"/>
      <c r="C563" s="32"/>
      <c r="D563" s="34"/>
      <c r="E563" s="42" t="str">
        <f aca="false">IF(OR(A563="",B563=""),"",DATE(YEAR(B563),MONTH(B563),1))</f>
        <v/>
      </c>
      <c r="F563" s="36" t="n">
        <f aca="false">IF(OR(E563="",D563=""),0,IF(C563="Actual",D563,IF(COUNTIFS($A$2:$A$2001,A563,$E$2:$E$2001,E563,$C$2:$C$2001,"Actual")&gt;0,0,D563)))</f>
        <v>0</v>
      </c>
    </row>
    <row r="564" customFormat="false" ht="15" hidden="false" customHeight="false" outlineLevel="0" collapsed="false">
      <c r="A564" s="32"/>
      <c r="B564" s="35"/>
      <c r="C564" s="32"/>
      <c r="D564" s="34"/>
      <c r="E564" s="42" t="str">
        <f aca="false">IF(OR(A564="",B564=""),"",DATE(YEAR(B564),MONTH(B564),1))</f>
        <v/>
      </c>
      <c r="F564" s="36" t="n">
        <f aca="false">IF(OR(E564="",D564=""),0,IF(C564="Actual",D564,IF(COUNTIFS($A$2:$A$2001,A564,$E$2:$E$2001,E564,$C$2:$C$2001,"Actual")&gt;0,0,D564)))</f>
        <v>0</v>
      </c>
    </row>
    <row r="565" customFormat="false" ht="15" hidden="false" customHeight="false" outlineLevel="0" collapsed="false">
      <c r="A565" s="32"/>
      <c r="B565" s="35"/>
      <c r="C565" s="32"/>
      <c r="D565" s="34"/>
      <c r="E565" s="42" t="str">
        <f aca="false">IF(OR(A565="",B565=""),"",DATE(YEAR(B565),MONTH(B565),1))</f>
        <v/>
      </c>
      <c r="F565" s="36" t="n">
        <f aca="false">IF(OR(E565="",D565=""),0,IF(C565="Actual",D565,IF(COUNTIFS($A$2:$A$2001,A565,$E$2:$E$2001,E565,$C$2:$C$2001,"Actual")&gt;0,0,D565)))</f>
        <v>0</v>
      </c>
    </row>
    <row r="566" customFormat="false" ht="15" hidden="false" customHeight="false" outlineLevel="0" collapsed="false">
      <c r="A566" s="32"/>
      <c r="B566" s="35"/>
      <c r="C566" s="32"/>
      <c r="D566" s="34"/>
      <c r="E566" s="42" t="str">
        <f aca="false">IF(OR(A566="",B566=""),"",DATE(YEAR(B566),MONTH(B566),1))</f>
        <v/>
      </c>
      <c r="F566" s="36" t="n">
        <f aca="false">IF(OR(E566="",D566=""),0,IF(C566="Actual",D566,IF(COUNTIFS($A$2:$A$2001,A566,$E$2:$E$2001,E566,$C$2:$C$2001,"Actual")&gt;0,0,D566)))</f>
        <v>0</v>
      </c>
    </row>
    <row r="567" customFormat="false" ht="15" hidden="false" customHeight="false" outlineLevel="0" collapsed="false">
      <c r="A567" s="32"/>
      <c r="B567" s="35"/>
      <c r="C567" s="32"/>
      <c r="D567" s="34"/>
      <c r="E567" s="42" t="str">
        <f aca="false">IF(OR(A567="",B567=""),"",DATE(YEAR(B567),MONTH(B567),1))</f>
        <v/>
      </c>
      <c r="F567" s="36" t="n">
        <f aca="false">IF(OR(E567="",D567=""),0,IF(C567="Actual",D567,IF(COUNTIFS($A$2:$A$2001,A567,$E$2:$E$2001,E567,$C$2:$C$2001,"Actual")&gt;0,0,D567)))</f>
        <v>0</v>
      </c>
    </row>
    <row r="568" customFormat="false" ht="15" hidden="false" customHeight="false" outlineLevel="0" collapsed="false">
      <c r="A568" s="32"/>
      <c r="B568" s="35"/>
      <c r="C568" s="32"/>
      <c r="D568" s="34"/>
      <c r="E568" s="42" t="str">
        <f aca="false">IF(OR(A568="",B568=""),"",DATE(YEAR(B568),MONTH(B568),1))</f>
        <v/>
      </c>
      <c r="F568" s="36" t="n">
        <f aca="false">IF(OR(E568="",D568=""),0,IF(C568="Actual",D568,IF(COUNTIFS($A$2:$A$2001,A568,$E$2:$E$2001,E568,$C$2:$C$2001,"Actual")&gt;0,0,D568)))</f>
        <v>0</v>
      </c>
    </row>
    <row r="569" customFormat="false" ht="15" hidden="false" customHeight="false" outlineLevel="0" collapsed="false">
      <c r="A569" s="32"/>
      <c r="B569" s="35"/>
      <c r="C569" s="32"/>
      <c r="D569" s="34"/>
      <c r="E569" s="42" t="str">
        <f aca="false">IF(OR(A569="",B569=""),"",DATE(YEAR(B569),MONTH(B569),1))</f>
        <v/>
      </c>
      <c r="F569" s="36" t="n">
        <f aca="false">IF(OR(E569="",D569=""),0,IF(C569="Actual",D569,IF(COUNTIFS($A$2:$A$2001,A569,$E$2:$E$2001,E569,$C$2:$C$2001,"Actual")&gt;0,0,D569)))</f>
        <v>0</v>
      </c>
    </row>
    <row r="570" customFormat="false" ht="15" hidden="false" customHeight="false" outlineLevel="0" collapsed="false">
      <c r="A570" s="32"/>
      <c r="B570" s="35"/>
      <c r="C570" s="32"/>
      <c r="D570" s="34"/>
      <c r="E570" s="42" t="str">
        <f aca="false">IF(OR(A570="",B570=""),"",DATE(YEAR(B570),MONTH(B570),1))</f>
        <v/>
      </c>
      <c r="F570" s="36" t="n">
        <f aca="false">IF(OR(E570="",D570=""),0,IF(C570="Actual",D570,IF(COUNTIFS($A$2:$A$2001,A570,$E$2:$E$2001,E570,$C$2:$C$2001,"Actual")&gt;0,0,D570)))</f>
        <v>0</v>
      </c>
    </row>
    <row r="571" customFormat="false" ht="15" hidden="false" customHeight="false" outlineLevel="0" collapsed="false">
      <c r="A571" s="32"/>
      <c r="B571" s="35"/>
      <c r="C571" s="32"/>
      <c r="D571" s="34"/>
      <c r="E571" s="42" t="str">
        <f aca="false">IF(OR(A571="",B571=""),"",DATE(YEAR(B571),MONTH(B571),1))</f>
        <v/>
      </c>
      <c r="F571" s="36" t="n">
        <f aca="false">IF(OR(E571="",D571=""),0,IF(C571="Actual",D571,IF(COUNTIFS($A$2:$A$2001,A571,$E$2:$E$2001,E571,$C$2:$C$2001,"Actual")&gt;0,0,D571)))</f>
        <v>0</v>
      </c>
    </row>
    <row r="572" customFormat="false" ht="15" hidden="false" customHeight="false" outlineLevel="0" collapsed="false">
      <c r="A572" s="32"/>
      <c r="B572" s="35"/>
      <c r="C572" s="32"/>
      <c r="D572" s="34"/>
      <c r="E572" s="42" t="str">
        <f aca="false">IF(OR(A572="",B572=""),"",DATE(YEAR(B572),MONTH(B572),1))</f>
        <v/>
      </c>
      <c r="F572" s="36" t="n">
        <f aca="false">IF(OR(E572="",D572=""),0,IF(C572="Actual",D572,IF(COUNTIFS($A$2:$A$2001,A572,$E$2:$E$2001,E572,$C$2:$C$2001,"Actual")&gt;0,0,D572)))</f>
        <v>0</v>
      </c>
    </row>
    <row r="573" customFormat="false" ht="15" hidden="false" customHeight="false" outlineLevel="0" collapsed="false">
      <c r="A573" s="32"/>
      <c r="B573" s="35"/>
      <c r="C573" s="32"/>
      <c r="D573" s="34"/>
      <c r="E573" s="42" t="str">
        <f aca="false">IF(OR(A573="",B573=""),"",DATE(YEAR(B573),MONTH(B573),1))</f>
        <v/>
      </c>
      <c r="F573" s="36" t="n">
        <f aca="false">IF(OR(E573="",D573=""),0,IF(C573="Actual",D573,IF(COUNTIFS($A$2:$A$2001,A573,$E$2:$E$2001,E573,$C$2:$C$2001,"Actual")&gt;0,0,D573)))</f>
        <v>0</v>
      </c>
    </row>
    <row r="574" customFormat="false" ht="15" hidden="false" customHeight="false" outlineLevel="0" collapsed="false">
      <c r="A574" s="32"/>
      <c r="B574" s="35"/>
      <c r="C574" s="32"/>
      <c r="D574" s="34"/>
      <c r="E574" s="42" t="str">
        <f aca="false">IF(OR(A574="",B574=""),"",DATE(YEAR(B574),MONTH(B574),1))</f>
        <v/>
      </c>
      <c r="F574" s="36" t="n">
        <f aca="false">IF(OR(E574="",D574=""),0,IF(C574="Actual",D574,IF(COUNTIFS($A$2:$A$2001,A574,$E$2:$E$2001,E574,$C$2:$C$2001,"Actual")&gt;0,0,D574)))</f>
        <v>0</v>
      </c>
    </row>
    <row r="575" customFormat="false" ht="15" hidden="false" customHeight="false" outlineLevel="0" collapsed="false">
      <c r="A575" s="32"/>
      <c r="B575" s="35"/>
      <c r="C575" s="32"/>
      <c r="D575" s="34"/>
      <c r="E575" s="42" t="str">
        <f aca="false">IF(OR(A575="",B575=""),"",DATE(YEAR(B575),MONTH(B575),1))</f>
        <v/>
      </c>
      <c r="F575" s="36" t="n">
        <f aca="false">IF(OR(E575="",D575=""),0,IF(C575="Actual",D575,IF(COUNTIFS($A$2:$A$2001,A575,$E$2:$E$2001,E575,$C$2:$C$2001,"Actual")&gt;0,0,D575)))</f>
        <v>0</v>
      </c>
    </row>
    <row r="576" customFormat="false" ht="15" hidden="false" customHeight="false" outlineLevel="0" collapsed="false">
      <c r="A576" s="32"/>
      <c r="B576" s="35"/>
      <c r="C576" s="32"/>
      <c r="D576" s="34"/>
      <c r="E576" s="42" t="str">
        <f aca="false">IF(OR(A576="",B576=""),"",DATE(YEAR(B576),MONTH(B576),1))</f>
        <v/>
      </c>
      <c r="F576" s="36" t="n">
        <f aca="false">IF(OR(E576="",D576=""),0,IF(C576="Actual",D576,IF(COUNTIFS($A$2:$A$2001,A576,$E$2:$E$2001,E576,$C$2:$C$2001,"Actual")&gt;0,0,D576)))</f>
        <v>0</v>
      </c>
    </row>
    <row r="577" customFormat="false" ht="15" hidden="false" customHeight="false" outlineLevel="0" collapsed="false">
      <c r="A577" s="32"/>
      <c r="B577" s="35"/>
      <c r="C577" s="32"/>
      <c r="D577" s="34"/>
      <c r="E577" s="42" t="str">
        <f aca="false">IF(OR(A577="",B577=""),"",DATE(YEAR(B577),MONTH(B577),1))</f>
        <v/>
      </c>
      <c r="F577" s="36" t="n">
        <f aca="false">IF(OR(E577="",D577=""),0,IF(C577="Actual",D577,IF(COUNTIFS($A$2:$A$2001,A577,$E$2:$E$2001,E577,$C$2:$C$2001,"Actual")&gt;0,0,D577)))</f>
        <v>0</v>
      </c>
    </row>
    <row r="578" customFormat="false" ht="15" hidden="false" customHeight="false" outlineLevel="0" collapsed="false">
      <c r="A578" s="32"/>
      <c r="B578" s="35"/>
      <c r="C578" s="32"/>
      <c r="D578" s="34"/>
      <c r="E578" s="42" t="str">
        <f aca="false">IF(OR(A578="",B578=""),"",DATE(YEAR(B578),MONTH(B578),1))</f>
        <v/>
      </c>
      <c r="F578" s="36" t="n">
        <f aca="false">IF(OR(E578="",D578=""),0,IF(C578="Actual",D578,IF(COUNTIFS($A$2:$A$2001,A578,$E$2:$E$2001,E578,$C$2:$C$2001,"Actual")&gt;0,0,D578)))</f>
        <v>0</v>
      </c>
    </row>
    <row r="579" customFormat="false" ht="15" hidden="false" customHeight="false" outlineLevel="0" collapsed="false">
      <c r="A579" s="32"/>
      <c r="B579" s="35"/>
      <c r="C579" s="32"/>
      <c r="D579" s="34"/>
      <c r="E579" s="42" t="str">
        <f aca="false">IF(OR(A579="",B579=""),"",DATE(YEAR(B579),MONTH(B579),1))</f>
        <v/>
      </c>
      <c r="F579" s="36" t="n">
        <f aca="false">IF(OR(E579="",D579=""),0,IF(C579="Actual",D579,IF(COUNTIFS($A$2:$A$2001,A579,$E$2:$E$2001,E579,$C$2:$C$2001,"Actual")&gt;0,0,D579)))</f>
        <v>0</v>
      </c>
    </row>
    <row r="580" customFormat="false" ht="15" hidden="false" customHeight="false" outlineLevel="0" collapsed="false">
      <c r="A580" s="32"/>
      <c r="B580" s="35"/>
      <c r="C580" s="32"/>
      <c r="D580" s="34"/>
      <c r="E580" s="42" t="str">
        <f aca="false">IF(OR(A580="",B580=""),"",DATE(YEAR(B580),MONTH(B580),1))</f>
        <v/>
      </c>
      <c r="F580" s="36" t="n">
        <f aca="false">IF(OR(E580="",D580=""),0,IF(C580="Actual",D580,IF(COUNTIFS($A$2:$A$2001,A580,$E$2:$E$2001,E580,$C$2:$C$2001,"Actual")&gt;0,0,D580)))</f>
        <v>0</v>
      </c>
    </row>
    <row r="581" customFormat="false" ht="15" hidden="false" customHeight="false" outlineLevel="0" collapsed="false">
      <c r="A581" s="32"/>
      <c r="B581" s="35"/>
      <c r="C581" s="32"/>
      <c r="D581" s="34"/>
      <c r="E581" s="42" t="str">
        <f aca="false">IF(OR(A581="",B581=""),"",DATE(YEAR(B581),MONTH(B581),1))</f>
        <v/>
      </c>
      <c r="F581" s="36" t="n">
        <f aca="false">IF(OR(E581="",D581=""),0,IF(C581="Actual",D581,IF(COUNTIFS($A$2:$A$2001,A581,$E$2:$E$2001,E581,$C$2:$C$2001,"Actual")&gt;0,0,D581)))</f>
        <v>0</v>
      </c>
    </row>
    <row r="582" customFormat="false" ht="15" hidden="false" customHeight="false" outlineLevel="0" collapsed="false">
      <c r="A582" s="32"/>
      <c r="B582" s="35"/>
      <c r="C582" s="32"/>
      <c r="D582" s="34"/>
      <c r="E582" s="42" t="str">
        <f aca="false">IF(OR(A582="",B582=""),"",DATE(YEAR(B582),MONTH(B582),1))</f>
        <v/>
      </c>
      <c r="F582" s="36" t="n">
        <f aca="false">IF(OR(E582="",D582=""),0,IF(C582="Actual",D582,IF(COUNTIFS($A$2:$A$2001,A582,$E$2:$E$2001,E582,$C$2:$C$2001,"Actual")&gt;0,0,D582)))</f>
        <v>0</v>
      </c>
    </row>
    <row r="583" customFormat="false" ht="15" hidden="false" customHeight="false" outlineLevel="0" collapsed="false">
      <c r="A583" s="32"/>
      <c r="B583" s="35"/>
      <c r="C583" s="32"/>
      <c r="D583" s="34"/>
      <c r="E583" s="42" t="str">
        <f aca="false">IF(OR(A583="",B583=""),"",DATE(YEAR(B583),MONTH(B583),1))</f>
        <v/>
      </c>
      <c r="F583" s="36" t="n">
        <f aca="false">IF(OR(E583="",D583=""),0,IF(C583="Actual",D583,IF(COUNTIFS($A$2:$A$2001,A583,$E$2:$E$2001,E583,$C$2:$C$2001,"Actual")&gt;0,0,D583)))</f>
        <v>0</v>
      </c>
    </row>
    <row r="584" customFormat="false" ht="15" hidden="false" customHeight="false" outlineLevel="0" collapsed="false">
      <c r="A584" s="32"/>
      <c r="B584" s="35"/>
      <c r="C584" s="32"/>
      <c r="D584" s="34"/>
      <c r="E584" s="42" t="str">
        <f aca="false">IF(OR(A584="",B584=""),"",DATE(YEAR(B584),MONTH(B584),1))</f>
        <v/>
      </c>
      <c r="F584" s="36" t="n">
        <f aca="false">IF(OR(E584="",D584=""),0,IF(C584="Actual",D584,IF(COUNTIFS($A$2:$A$2001,A584,$E$2:$E$2001,E584,$C$2:$C$2001,"Actual")&gt;0,0,D584)))</f>
        <v>0</v>
      </c>
    </row>
    <row r="585" customFormat="false" ht="15" hidden="false" customHeight="false" outlineLevel="0" collapsed="false">
      <c r="A585" s="32"/>
      <c r="B585" s="35"/>
      <c r="C585" s="32"/>
      <c r="D585" s="34"/>
      <c r="E585" s="42" t="str">
        <f aca="false">IF(OR(A585="",B585=""),"",DATE(YEAR(B585),MONTH(B585),1))</f>
        <v/>
      </c>
      <c r="F585" s="36" t="n">
        <f aca="false">IF(OR(E585="",D585=""),0,IF(C585="Actual",D585,IF(COUNTIFS($A$2:$A$2001,A585,$E$2:$E$2001,E585,$C$2:$C$2001,"Actual")&gt;0,0,D585)))</f>
        <v>0</v>
      </c>
    </row>
    <row r="586" customFormat="false" ht="15" hidden="false" customHeight="false" outlineLevel="0" collapsed="false">
      <c r="A586" s="32"/>
      <c r="B586" s="35"/>
      <c r="C586" s="32"/>
      <c r="D586" s="34"/>
      <c r="E586" s="42" t="str">
        <f aca="false">IF(OR(A586="",B586=""),"",DATE(YEAR(B586),MONTH(B586),1))</f>
        <v/>
      </c>
      <c r="F586" s="36" t="n">
        <f aca="false">IF(OR(E586="",D586=""),0,IF(C586="Actual",D586,IF(COUNTIFS($A$2:$A$2001,A586,$E$2:$E$2001,E586,$C$2:$C$2001,"Actual")&gt;0,0,D586)))</f>
        <v>0</v>
      </c>
    </row>
    <row r="587" customFormat="false" ht="15" hidden="false" customHeight="false" outlineLevel="0" collapsed="false">
      <c r="A587" s="32"/>
      <c r="B587" s="35"/>
      <c r="C587" s="32"/>
      <c r="D587" s="34"/>
      <c r="E587" s="42" t="str">
        <f aca="false">IF(OR(A587="",B587=""),"",DATE(YEAR(B587),MONTH(B587),1))</f>
        <v/>
      </c>
      <c r="F587" s="36" t="n">
        <f aca="false">IF(OR(E587="",D587=""),0,IF(C587="Actual",D587,IF(COUNTIFS($A$2:$A$2001,A587,$E$2:$E$2001,E587,$C$2:$C$2001,"Actual")&gt;0,0,D587)))</f>
        <v>0</v>
      </c>
    </row>
    <row r="588" customFormat="false" ht="15" hidden="false" customHeight="false" outlineLevel="0" collapsed="false">
      <c r="A588" s="32"/>
      <c r="B588" s="35"/>
      <c r="C588" s="32"/>
      <c r="D588" s="34"/>
      <c r="E588" s="42" t="str">
        <f aca="false">IF(OR(A588="",B588=""),"",DATE(YEAR(B588),MONTH(B588),1))</f>
        <v/>
      </c>
      <c r="F588" s="36" t="n">
        <f aca="false">IF(OR(E588="",D588=""),0,IF(C588="Actual",D588,IF(COUNTIFS($A$2:$A$2001,A588,$E$2:$E$2001,E588,$C$2:$C$2001,"Actual")&gt;0,0,D588)))</f>
        <v>0</v>
      </c>
    </row>
    <row r="589" customFormat="false" ht="15" hidden="false" customHeight="false" outlineLevel="0" collapsed="false">
      <c r="A589" s="32"/>
      <c r="B589" s="35"/>
      <c r="C589" s="32"/>
      <c r="D589" s="34"/>
      <c r="E589" s="42" t="str">
        <f aca="false">IF(OR(A589="",B589=""),"",DATE(YEAR(B589),MONTH(B589),1))</f>
        <v/>
      </c>
      <c r="F589" s="36" t="n">
        <f aca="false">IF(OR(E589="",D589=""),0,IF(C589="Actual",D589,IF(COUNTIFS($A$2:$A$2001,A589,$E$2:$E$2001,E589,$C$2:$C$2001,"Actual")&gt;0,0,D589)))</f>
        <v>0</v>
      </c>
    </row>
    <row r="590" customFormat="false" ht="15" hidden="false" customHeight="false" outlineLevel="0" collapsed="false">
      <c r="A590" s="32"/>
      <c r="B590" s="35"/>
      <c r="C590" s="32"/>
      <c r="D590" s="34"/>
      <c r="E590" s="42" t="str">
        <f aca="false">IF(OR(A590="",B590=""),"",DATE(YEAR(B590),MONTH(B590),1))</f>
        <v/>
      </c>
      <c r="F590" s="36" t="n">
        <f aca="false">IF(OR(E590="",D590=""),0,IF(C590="Actual",D590,IF(COUNTIFS($A$2:$A$2001,A590,$E$2:$E$2001,E590,$C$2:$C$2001,"Actual")&gt;0,0,D590)))</f>
        <v>0</v>
      </c>
    </row>
    <row r="591" customFormat="false" ht="15" hidden="false" customHeight="false" outlineLevel="0" collapsed="false">
      <c r="A591" s="32"/>
      <c r="B591" s="35"/>
      <c r="C591" s="32"/>
      <c r="D591" s="34"/>
      <c r="E591" s="42" t="str">
        <f aca="false">IF(OR(A591="",B591=""),"",DATE(YEAR(B591),MONTH(B591),1))</f>
        <v/>
      </c>
      <c r="F591" s="36" t="n">
        <f aca="false">IF(OR(E591="",D591=""),0,IF(C591="Actual",D591,IF(COUNTIFS($A$2:$A$2001,A591,$E$2:$E$2001,E591,$C$2:$C$2001,"Actual")&gt;0,0,D591)))</f>
        <v>0</v>
      </c>
    </row>
    <row r="592" customFormat="false" ht="15" hidden="false" customHeight="false" outlineLevel="0" collapsed="false">
      <c r="A592" s="32"/>
      <c r="B592" s="35"/>
      <c r="C592" s="32"/>
      <c r="D592" s="34"/>
      <c r="E592" s="42" t="str">
        <f aca="false">IF(OR(A592="",B592=""),"",DATE(YEAR(B592),MONTH(B592),1))</f>
        <v/>
      </c>
      <c r="F592" s="36" t="n">
        <f aca="false">IF(OR(E592="",D592=""),0,IF(C592="Actual",D592,IF(COUNTIFS($A$2:$A$2001,A592,$E$2:$E$2001,E592,$C$2:$C$2001,"Actual")&gt;0,0,D592)))</f>
        <v>0</v>
      </c>
    </row>
    <row r="593" customFormat="false" ht="15" hidden="false" customHeight="false" outlineLevel="0" collapsed="false">
      <c r="A593" s="32"/>
      <c r="B593" s="35"/>
      <c r="C593" s="32"/>
      <c r="D593" s="34"/>
      <c r="E593" s="42" t="str">
        <f aca="false">IF(OR(A593="",B593=""),"",DATE(YEAR(B593),MONTH(B593),1))</f>
        <v/>
      </c>
      <c r="F593" s="36" t="n">
        <f aca="false">IF(OR(E593="",D593=""),0,IF(C593="Actual",D593,IF(COUNTIFS($A$2:$A$2001,A593,$E$2:$E$2001,E593,$C$2:$C$2001,"Actual")&gt;0,0,D593)))</f>
        <v>0</v>
      </c>
    </row>
    <row r="594" customFormat="false" ht="15" hidden="false" customHeight="false" outlineLevel="0" collapsed="false">
      <c r="A594" s="32"/>
      <c r="B594" s="35"/>
      <c r="C594" s="32"/>
      <c r="D594" s="34"/>
      <c r="E594" s="42" t="str">
        <f aca="false">IF(OR(A594="",B594=""),"",DATE(YEAR(B594),MONTH(B594),1))</f>
        <v/>
      </c>
      <c r="F594" s="36" t="n">
        <f aca="false">IF(OR(E594="",D594=""),0,IF(C594="Actual",D594,IF(COUNTIFS($A$2:$A$2001,A594,$E$2:$E$2001,E594,$C$2:$C$2001,"Actual")&gt;0,0,D594)))</f>
        <v>0</v>
      </c>
    </row>
    <row r="595" customFormat="false" ht="15" hidden="false" customHeight="false" outlineLevel="0" collapsed="false">
      <c r="A595" s="32"/>
      <c r="B595" s="35"/>
      <c r="C595" s="32"/>
      <c r="D595" s="34"/>
      <c r="E595" s="42" t="str">
        <f aca="false">IF(OR(A595="",B595=""),"",DATE(YEAR(B595),MONTH(B595),1))</f>
        <v/>
      </c>
      <c r="F595" s="36" t="n">
        <f aca="false">IF(OR(E595="",D595=""),0,IF(C595="Actual",D595,IF(COUNTIFS($A$2:$A$2001,A595,$E$2:$E$2001,E595,$C$2:$C$2001,"Actual")&gt;0,0,D595)))</f>
        <v>0</v>
      </c>
    </row>
    <row r="596" customFormat="false" ht="15" hidden="false" customHeight="false" outlineLevel="0" collapsed="false">
      <c r="A596" s="32"/>
      <c r="B596" s="35"/>
      <c r="C596" s="32"/>
      <c r="D596" s="34"/>
      <c r="E596" s="42" t="str">
        <f aca="false">IF(OR(A596="",B596=""),"",DATE(YEAR(B596),MONTH(B596),1))</f>
        <v/>
      </c>
      <c r="F596" s="36" t="n">
        <f aca="false">IF(OR(E596="",D596=""),0,IF(C596="Actual",D596,IF(COUNTIFS($A$2:$A$2001,A596,$E$2:$E$2001,E596,$C$2:$C$2001,"Actual")&gt;0,0,D596)))</f>
        <v>0</v>
      </c>
    </row>
    <row r="597" customFormat="false" ht="15" hidden="false" customHeight="false" outlineLevel="0" collapsed="false">
      <c r="A597" s="32"/>
      <c r="B597" s="35"/>
      <c r="C597" s="32"/>
      <c r="D597" s="34"/>
      <c r="E597" s="42" t="str">
        <f aca="false">IF(OR(A597="",B597=""),"",DATE(YEAR(B597),MONTH(B597),1))</f>
        <v/>
      </c>
      <c r="F597" s="36" t="n">
        <f aca="false">IF(OR(E597="",D597=""),0,IF(C597="Actual",D597,IF(COUNTIFS($A$2:$A$2001,A597,$E$2:$E$2001,E597,$C$2:$C$2001,"Actual")&gt;0,0,D597)))</f>
        <v>0</v>
      </c>
    </row>
    <row r="598" customFormat="false" ht="15" hidden="false" customHeight="false" outlineLevel="0" collapsed="false">
      <c r="A598" s="32"/>
      <c r="B598" s="35"/>
      <c r="C598" s="32"/>
      <c r="D598" s="34"/>
      <c r="E598" s="42" t="str">
        <f aca="false">IF(OR(A598="",B598=""),"",DATE(YEAR(B598),MONTH(B598),1))</f>
        <v/>
      </c>
      <c r="F598" s="36" t="n">
        <f aca="false">IF(OR(E598="",D598=""),0,IF(C598="Actual",D598,IF(COUNTIFS($A$2:$A$2001,A598,$E$2:$E$2001,E598,$C$2:$C$2001,"Actual")&gt;0,0,D598)))</f>
        <v>0</v>
      </c>
    </row>
    <row r="599" customFormat="false" ht="15" hidden="false" customHeight="false" outlineLevel="0" collapsed="false">
      <c r="A599" s="32"/>
      <c r="B599" s="35"/>
      <c r="C599" s="32"/>
      <c r="D599" s="34"/>
      <c r="E599" s="42" t="str">
        <f aca="false">IF(OR(A599="",B599=""),"",DATE(YEAR(B599),MONTH(B599),1))</f>
        <v/>
      </c>
      <c r="F599" s="36" t="n">
        <f aca="false">IF(OR(E599="",D599=""),0,IF(C599="Actual",D599,IF(COUNTIFS($A$2:$A$2001,A599,$E$2:$E$2001,E599,$C$2:$C$2001,"Actual")&gt;0,0,D599)))</f>
        <v>0</v>
      </c>
    </row>
    <row r="600" customFormat="false" ht="15" hidden="false" customHeight="false" outlineLevel="0" collapsed="false">
      <c r="A600" s="32"/>
      <c r="B600" s="35"/>
      <c r="C600" s="32"/>
      <c r="D600" s="34"/>
      <c r="E600" s="42" t="str">
        <f aca="false">IF(OR(A600="",B600=""),"",DATE(YEAR(B600),MONTH(B600),1))</f>
        <v/>
      </c>
      <c r="F600" s="36" t="n">
        <f aca="false">IF(OR(E600="",D600=""),0,IF(C600="Actual",D600,IF(COUNTIFS($A$2:$A$2001,A600,$E$2:$E$2001,E600,$C$2:$C$2001,"Actual")&gt;0,0,D600)))</f>
        <v>0</v>
      </c>
    </row>
    <row r="601" customFormat="false" ht="15" hidden="false" customHeight="false" outlineLevel="0" collapsed="false">
      <c r="A601" s="32"/>
      <c r="B601" s="35"/>
      <c r="C601" s="32"/>
      <c r="D601" s="34"/>
      <c r="E601" s="42" t="str">
        <f aca="false">IF(OR(A601="",B601=""),"",DATE(YEAR(B601),MONTH(B601),1))</f>
        <v/>
      </c>
      <c r="F601" s="36" t="n">
        <f aca="false">IF(OR(E601="",D601=""),0,IF(C601="Actual",D601,IF(COUNTIFS($A$2:$A$2001,A601,$E$2:$E$2001,E601,$C$2:$C$2001,"Actual")&gt;0,0,D601)))</f>
        <v>0</v>
      </c>
    </row>
    <row r="602" customFormat="false" ht="15" hidden="false" customHeight="false" outlineLevel="0" collapsed="false">
      <c r="A602" s="32"/>
      <c r="B602" s="35"/>
      <c r="C602" s="32"/>
      <c r="D602" s="34"/>
      <c r="E602" s="42" t="str">
        <f aca="false">IF(OR(A602="",B602=""),"",DATE(YEAR(B602),MONTH(B602),1))</f>
        <v/>
      </c>
      <c r="F602" s="36" t="n">
        <f aca="false">IF(OR(E602="",D602=""),0,IF(C602="Actual",D602,IF(COUNTIFS($A$2:$A$2001,A602,$E$2:$E$2001,E602,$C$2:$C$2001,"Actual")&gt;0,0,D602)))</f>
        <v>0</v>
      </c>
    </row>
    <row r="603" customFormat="false" ht="15" hidden="false" customHeight="false" outlineLevel="0" collapsed="false">
      <c r="A603" s="32"/>
      <c r="B603" s="35"/>
      <c r="C603" s="32"/>
      <c r="D603" s="34"/>
      <c r="E603" s="42" t="str">
        <f aca="false">IF(OR(A603="",B603=""),"",DATE(YEAR(B603),MONTH(B603),1))</f>
        <v/>
      </c>
      <c r="F603" s="36" t="n">
        <f aca="false">IF(OR(E603="",D603=""),0,IF(C603="Actual",D603,IF(COUNTIFS($A$2:$A$2001,A603,$E$2:$E$2001,E603,$C$2:$C$2001,"Actual")&gt;0,0,D603)))</f>
        <v>0</v>
      </c>
    </row>
    <row r="604" customFormat="false" ht="15" hidden="false" customHeight="false" outlineLevel="0" collapsed="false">
      <c r="A604" s="32"/>
      <c r="B604" s="35"/>
      <c r="C604" s="32"/>
      <c r="D604" s="34"/>
      <c r="E604" s="42" t="str">
        <f aca="false">IF(OR(A604="",B604=""),"",DATE(YEAR(B604),MONTH(B604),1))</f>
        <v/>
      </c>
      <c r="F604" s="36" t="n">
        <f aca="false">IF(OR(E604="",D604=""),0,IF(C604="Actual",D604,IF(COUNTIFS($A$2:$A$2001,A604,$E$2:$E$2001,E604,$C$2:$C$2001,"Actual")&gt;0,0,D604)))</f>
        <v>0</v>
      </c>
    </row>
    <row r="605" customFormat="false" ht="15" hidden="false" customHeight="false" outlineLevel="0" collapsed="false">
      <c r="A605" s="32"/>
      <c r="B605" s="35"/>
      <c r="C605" s="32"/>
      <c r="D605" s="34"/>
      <c r="E605" s="42" t="str">
        <f aca="false">IF(OR(A605="",B605=""),"",DATE(YEAR(B605),MONTH(B605),1))</f>
        <v/>
      </c>
      <c r="F605" s="36" t="n">
        <f aca="false">IF(OR(E605="",D605=""),0,IF(C605="Actual",D605,IF(COUNTIFS($A$2:$A$2001,A605,$E$2:$E$2001,E605,$C$2:$C$2001,"Actual")&gt;0,0,D605)))</f>
        <v>0</v>
      </c>
    </row>
    <row r="606" customFormat="false" ht="15" hidden="false" customHeight="false" outlineLevel="0" collapsed="false">
      <c r="A606" s="32"/>
      <c r="B606" s="35"/>
      <c r="C606" s="32"/>
      <c r="D606" s="34"/>
      <c r="E606" s="42" t="str">
        <f aca="false">IF(OR(A606="",B606=""),"",DATE(YEAR(B606),MONTH(B606),1))</f>
        <v/>
      </c>
      <c r="F606" s="36" t="n">
        <f aca="false">IF(OR(E606="",D606=""),0,IF(C606="Actual",D606,IF(COUNTIFS($A$2:$A$2001,A606,$E$2:$E$2001,E606,$C$2:$C$2001,"Actual")&gt;0,0,D606)))</f>
        <v>0</v>
      </c>
    </row>
    <row r="607" customFormat="false" ht="15" hidden="false" customHeight="false" outlineLevel="0" collapsed="false">
      <c r="A607" s="32"/>
      <c r="B607" s="35"/>
      <c r="C607" s="32"/>
      <c r="D607" s="34"/>
      <c r="E607" s="42" t="str">
        <f aca="false">IF(OR(A607="",B607=""),"",DATE(YEAR(B607),MONTH(B607),1))</f>
        <v/>
      </c>
      <c r="F607" s="36" t="n">
        <f aca="false">IF(OR(E607="",D607=""),0,IF(C607="Actual",D607,IF(COUNTIFS($A$2:$A$2001,A607,$E$2:$E$2001,E607,$C$2:$C$2001,"Actual")&gt;0,0,D607)))</f>
        <v>0</v>
      </c>
    </row>
    <row r="608" customFormat="false" ht="15" hidden="false" customHeight="false" outlineLevel="0" collapsed="false">
      <c r="A608" s="32"/>
      <c r="B608" s="35"/>
      <c r="C608" s="32"/>
      <c r="D608" s="34"/>
      <c r="E608" s="42" t="str">
        <f aca="false">IF(OR(A608="",B608=""),"",DATE(YEAR(B608),MONTH(B608),1))</f>
        <v/>
      </c>
      <c r="F608" s="36" t="n">
        <f aca="false">IF(OR(E608="",D608=""),0,IF(C608="Actual",D608,IF(COUNTIFS($A$2:$A$2001,A608,$E$2:$E$2001,E608,$C$2:$C$2001,"Actual")&gt;0,0,D608)))</f>
        <v>0</v>
      </c>
    </row>
    <row r="609" customFormat="false" ht="15" hidden="false" customHeight="false" outlineLevel="0" collapsed="false">
      <c r="A609" s="32"/>
      <c r="B609" s="35"/>
      <c r="C609" s="32"/>
      <c r="D609" s="34"/>
      <c r="E609" s="42" t="str">
        <f aca="false">IF(OR(A609="",B609=""),"",DATE(YEAR(B609),MONTH(B609),1))</f>
        <v/>
      </c>
      <c r="F609" s="36" t="n">
        <f aca="false">IF(OR(E609="",D609=""),0,IF(C609="Actual",D609,IF(COUNTIFS($A$2:$A$2001,A609,$E$2:$E$2001,E609,$C$2:$C$2001,"Actual")&gt;0,0,D609)))</f>
        <v>0</v>
      </c>
    </row>
    <row r="610" customFormat="false" ht="15" hidden="false" customHeight="false" outlineLevel="0" collapsed="false">
      <c r="A610" s="32"/>
      <c r="B610" s="35"/>
      <c r="C610" s="32"/>
      <c r="D610" s="34"/>
      <c r="E610" s="42" t="str">
        <f aca="false">IF(OR(A610="",B610=""),"",DATE(YEAR(B610),MONTH(B610),1))</f>
        <v/>
      </c>
      <c r="F610" s="36" t="n">
        <f aca="false">IF(OR(E610="",D610=""),0,IF(C610="Actual",D610,IF(COUNTIFS($A$2:$A$2001,A610,$E$2:$E$2001,E610,$C$2:$C$2001,"Actual")&gt;0,0,D610)))</f>
        <v>0</v>
      </c>
    </row>
    <row r="611" customFormat="false" ht="15" hidden="false" customHeight="false" outlineLevel="0" collapsed="false">
      <c r="A611" s="32"/>
      <c r="B611" s="35"/>
      <c r="C611" s="32"/>
      <c r="D611" s="34"/>
      <c r="E611" s="42" t="str">
        <f aca="false">IF(OR(A611="",B611=""),"",DATE(YEAR(B611),MONTH(B611),1))</f>
        <v/>
      </c>
      <c r="F611" s="36" t="n">
        <f aca="false">IF(OR(E611="",D611=""),0,IF(C611="Actual",D611,IF(COUNTIFS($A$2:$A$2001,A611,$E$2:$E$2001,E611,$C$2:$C$2001,"Actual")&gt;0,0,D611)))</f>
        <v>0</v>
      </c>
    </row>
    <row r="612" customFormat="false" ht="15" hidden="false" customHeight="false" outlineLevel="0" collapsed="false">
      <c r="A612" s="32"/>
      <c r="B612" s="35"/>
      <c r="C612" s="32"/>
      <c r="D612" s="34"/>
      <c r="E612" s="42" t="str">
        <f aca="false">IF(OR(A612="",B612=""),"",DATE(YEAR(B612),MONTH(B612),1))</f>
        <v/>
      </c>
      <c r="F612" s="36" t="n">
        <f aca="false">IF(OR(E612="",D612=""),0,IF(C612="Actual",D612,IF(COUNTIFS($A$2:$A$2001,A612,$E$2:$E$2001,E612,$C$2:$C$2001,"Actual")&gt;0,0,D612)))</f>
        <v>0</v>
      </c>
    </row>
    <row r="613" customFormat="false" ht="15" hidden="false" customHeight="false" outlineLevel="0" collapsed="false">
      <c r="A613" s="32"/>
      <c r="B613" s="35"/>
      <c r="C613" s="32"/>
      <c r="D613" s="34"/>
      <c r="E613" s="42" t="str">
        <f aca="false">IF(OR(A613="",B613=""),"",DATE(YEAR(B613),MONTH(B613),1))</f>
        <v/>
      </c>
      <c r="F613" s="36" t="n">
        <f aca="false">IF(OR(E613="",D613=""),0,IF(C613="Actual",D613,IF(COUNTIFS($A$2:$A$2001,A613,$E$2:$E$2001,E613,$C$2:$C$2001,"Actual")&gt;0,0,D613)))</f>
        <v>0</v>
      </c>
    </row>
    <row r="614" customFormat="false" ht="15" hidden="false" customHeight="false" outlineLevel="0" collapsed="false">
      <c r="A614" s="32"/>
      <c r="B614" s="35"/>
      <c r="C614" s="32"/>
      <c r="D614" s="34"/>
      <c r="E614" s="42" t="str">
        <f aca="false">IF(OR(A614="",B614=""),"",DATE(YEAR(B614),MONTH(B614),1))</f>
        <v/>
      </c>
      <c r="F614" s="36" t="n">
        <f aca="false">IF(OR(E614="",D614=""),0,IF(C614="Actual",D614,IF(COUNTIFS($A$2:$A$2001,A614,$E$2:$E$2001,E614,$C$2:$C$2001,"Actual")&gt;0,0,D614)))</f>
        <v>0</v>
      </c>
    </row>
    <row r="615" customFormat="false" ht="15" hidden="false" customHeight="false" outlineLevel="0" collapsed="false">
      <c r="A615" s="32"/>
      <c r="B615" s="35"/>
      <c r="C615" s="32"/>
      <c r="D615" s="34"/>
      <c r="E615" s="42" t="str">
        <f aca="false">IF(OR(A615="",B615=""),"",DATE(YEAR(B615),MONTH(B615),1))</f>
        <v/>
      </c>
      <c r="F615" s="36" t="n">
        <f aca="false">IF(OR(E615="",D615=""),0,IF(C615="Actual",D615,IF(COUNTIFS($A$2:$A$2001,A615,$E$2:$E$2001,E615,$C$2:$C$2001,"Actual")&gt;0,0,D615)))</f>
        <v>0</v>
      </c>
    </row>
    <row r="616" customFormat="false" ht="15" hidden="false" customHeight="false" outlineLevel="0" collapsed="false">
      <c r="A616" s="32"/>
      <c r="B616" s="35"/>
      <c r="C616" s="32"/>
      <c r="D616" s="34"/>
      <c r="E616" s="42" t="str">
        <f aca="false">IF(OR(A616="",B616=""),"",DATE(YEAR(B616),MONTH(B616),1))</f>
        <v/>
      </c>
      <c r="F616" s="36" t="n">
        <f aca="false">IF(OR(E616="",D616=""),0,IF(C616="Actual",D616,IF(COUNTIFS($A$2:$A$2001,A616,$E$2:$E$2001,E616,$C$2:$C$2001,"Actual")&gt;0,0,D616)))</f>
        <v>0</v>
      </c>
    </row>
    <row r="617" customFormat="false" ht="15" hidden="false" customHeight="false" outlineLevel="0" collapsed="false">
      <c r="A617" s="32"/>
      <c r="B617" s="35"/>
      <c r="C617" s="32"/>
      <c r="D617" s="34"/>
      <c r="E617" s="42" t="str">
        <f aca="false">IF(OR(A617="",B617=""),"",DATE(YEAR(B617),MONTH(B617),1))</f>
        <v/>
      </c>
      <c r="F617" s="36" t="n">
        <f aca="false">IF(OR(E617="",D617=""),0,IF(C617="Actual",D617,IF(COUNTIFS($A$2:$A$2001,A617,$E$2:$E$2001,E617,$C$2:$C$2001,"Actual")&gt;0,0,D617)))</f>
        <v>0</v>
      </c>
    </row>
    <row r="618" customFormat="false" ht="15" hidden="false" customHeight="false" outlineLevel="0" collapsed="false">
      <c r="A618" s="32"/>
      <c r="B618" s="35"/>
      <c r="C618" s="32"/>
      <c r="D618" s="34"/>
      <c r="E618" s="42" t="str">
        <f aca="false">IF(OR(A618="",B618=""),"",DATE(YEAR(B618),MONTH(B618),1))</f>
        <v/>
      </c>
      <c r="F618" s="36" t="n">
        <f aca="false">IF(OR(E618="",D618=""),0,IF(C618="Actual",D618,IF(COUNTIFS($A$2:$A$2001,A618,$E$2:$E$2001,E618,$C$2:$C$2001,"Actual")&gt;0,0,D618)))</f>
        <v>0</v>
      </c>
    </row>
    <row r="619" customFormat="false" ht="15" hidden="false" customHeight="false" outlineLevel="0" collapsed="false">
      <c r="A619" s="32"/>
      <c r="B619" s="35"/>
      <c r="C619" s="32"/>
      <c r="D619" s="34"/>
      <c r="E619" s="42" t="str">
        <f aca="false">IF(OR(A619="",B619=""),"",DATE(YEAR(B619),MONTH(B619),1))</f>
        <v/>
      </c>
      <c r="F619" s="36" t="n">
        <f aca="false">IF(OR(E619="",D619=""),0,IF(C619="Actual",D619,IF(COUNTIFS($A$2:$A$2001,A619,$E$2:$E$2001,E619,$C$2:$C$2001,"Actual")&gt;0,0,D619)))</f>
        <v>0</v>
      </c>
    </row>
    <row r="620" customFormat="false" ht="15" hidden="false" customHeight="false" outlineLevel="0" collapsed="false">
      <c r="A620" s="32"/>
      <c r="B620" s="35"/>
      <c r="C620" s="32"/>
      <c r="D620" s="34"/>
      <c r="E620" s="42" t="str">
        <f aca="false">IF(OR(A620="",B620=""),"",DATE(YEAR(B620),MONTH(B620),1))</f>
        <v/>
      </c>
      <c r="F620" s="36" t="n">
        <f aca="false">IF(OR(E620="",D620=""),0,IF(C620="Actual",D620,IF(COUNTIFS($A$2:$A$2001,A620,$E$2:$E$2001,E620,$C$2:$C$2001,"Actual")&gt;0,0,D620)))</f>
        <v>0</v>
      </c>
    </row>
    <row r="621" customFormat="false" ht="15" hidden="false" customHeight="false" outlineLevel="0" collapsed="false">
      <c r="A621" s="32"/>
      <c r="B621" s="35"/>
      <c r="C621" s="32"/>
      <c r="D621" s="34"/>
      <c r="E621" s="42" t="str">
        <f aca="false">IF(OR(A621="",B621=""),"",DATE(YEAR(B621),MONTH(B621),1))</f>
        <v/>
      </c>
      <c r="F621" s="36" t="n">
        <f aca="false">IF(OR(E621="",D621=""),0,IF(C621="Actual",D621,IF(COUNTIFS($A$2:$A$2001,A621,$E$2:$E$2001,E621,$C$2:$C$2001,"Actual")&gt;0,0,D621)))</f>
        <v>0</v>
      </c>
    </row>
    <row r="622" customFormat="false" ht="15" hidden="false" customHeight="false" outlineLevel="0" collapsed="false">
      <c r="A622" s="32"/>
      <c r="B622" s="35"/>
      <c r="C622" s="32"/>
      <c r="D622" s="34"/>
      <c r="E622" s="42" t="str">
        <f aca="false">IF(OR(A622="",B622=""),"",DATE(YEAR(B622),MONTH(B622),1))</f>
        <v/>
      </c>
      <c r="F622" s="36" t="n">
        <f aca="false">IF(OR(E622="",D622=""),0,IF(C622="Actual",D622,IF(COUNTIFS($A$2:$A$2001,A622,$E$2:$E$2001,E622,$C$2:$C$2001,"Actual")&gt;0,0,D622)))</f>
        <v>0</v>
      </c>
    </row>
    <row r="623" customFormat="false" ht="15" hidden="false" customHeight="false" outlineLevel="0" collapsed="false">
      <c r="A623" s="32"/>
      <c r="B623" s="35"/>
      <c r="C623" s="32"/>
      <c r="D623" s="34"/>
      <c r="E623" s="42" t="str">
        <f aca="false">IF(OR(A623="",B623=""),"",DATE(YEAR(B623),MONTH(B623),1))</f>
        <v/>
      </c>
      <c r="F623" s="36" t="n">
        <f aca="false">IF(OR(E623="",D623=""),0,IF(C623="Actual",D623,IF(COUNTIFS($A$2:$A$2001,A623,$E$2:$E$2001,E623,$C$2:$C$2001,"Actual")&gt;0,0,D623)))</f>
        <v>0</v>
      </c>
    </row>
    <row r="624" customFormat="false" ht="15" hidden="false" customHeight="false" outlineLevel="0" collapsed="false">
      <c r="A624" s="32"/>
      <c r="B624" s="35"/>
      <c r="C624" s="32"/>
      <c r="D624" s="34"/>
      <c r="E624" s="42" t="str">
        <f aca="false">IF(OR(A624="",B624=""),"",DATE(YEAR(B624),MONTH(B624),1))</f>
        <v/>
      </c>
      <c r="F624" s="36" t="n">
        <f aca="false">IF(OR(E624="",D624=""),0,IF(C624="Actual",D624,IF(COUNTIFS($A$2:$A$2001,A624,$E$2:$E$2001,E624,$C$2:$C$2001,"Actual")&gt;0,0,D624)))</f>
        <v>0</v>
      </c>
    </row>
    <row r="625" customFormat="false" ht="15" hidden="false" customHeight="false" outlineLevel="0" collapsed="false">
      <c r="A625" s="32"/>
      <c r="B625" s="35"/>
      <c r="C625" s="32"/>
      <c r="D625" s="34"/>
      <c r="E625" s="42" t="str">
        <f aca="false">IF(OR(A625="",B625=""),"",DATE(YEAR(B625),MONTH(B625),1))</f>
        <v/>
      </c>
      <c r="F625" s="36" t="n">
        <f aca="false">IF(OR(E625="",D625=""),0,IF(C625="Actual",D625,IF(COUNTIFS($A$2:$A$2001,A625,$E$2:$E$2001,E625,$C$2:$C$2001,"Actual")&gt;0,0,D625)))</f>
        <v>0</v>
      </c>
    </row>
    <row r="626" customFormat="false" ht="15" hidden="false" customHeight="false" outlineLevel="0" collapsed="false">
      <c r="A626" s="32"/>
      <c r="B626" s="35"/>
      <c r="C626" s="32"/>
      <c r="D626" s="34"/>
      <c r="E626" s="42" t="str">
        <f aca="false">IF(OR(A626="",B626=""),"",DATE(YEAR(B626),MONTH(B626),1))</f>
        <v/>
      </c>
      <c r="F626" s="36" t="n">
        <f aca="false">IF(OR(E626="",D626=""),0,IF(C626="Actual",D626,IF(COUNTIFS($A$2:$A$2001,A626,$E$2:$E$2001,E626,$C$2:$C$2001,"Actual")&gt;0,0,D626)))</f>
        <v>0</v>
      </c>
    </row>
    <row r="627" customFormat="false" ht="15" hidden="false" customHeight="false" outlineLevel="0" collapsed="false">
      <c r="A627" s="32"/>
      <c r="B627" s="35"/>
      <c r="C627" s="32"/>
      <c r="D627" s="34"/>
      <c r="E627" s="42" t="str">
        <f aca="false">IF(OR(A627="",B627=""),"",DATE(YEAR(B627),MONTH(B627),1))</f>
        <v/>
      </c>
      <c r="F627" s="36" t="n">
        <f aca="false">IF(OR(E627="",D627=""),0,IF(C627="Actual",D627,IF(COUNTIFS($A$2:$A$2001,A627,$E$2:$E$2001,E627,$C$2:$C$2001,"Actual")&gt;0,0,D627)))</f>
        <v>0</v>
      </c>
    </row>
    <row r="628" customFormat="false" ht="15" hidden="false" customHeight="false" outlineLevel="0" collapsed="false">
      <c r="A628" s="32"/>
      <c r="B628" s="35"/>
      <c r="C628" s="32"/>
      <c r="D628" s="34"/>
      <c r="E628" s="42" t="str">
        <f aca="false">IF(OR(A628="",B628=""),"",DATE(YEAR(B628),MONTH(B628),1))</f>
        <v/>
      </c>
      <c r="F628" s="36" t="n">
        <f aca="false">IF(OR(E628="",D628=""),0,IF(C628="Actual",D628,IF(COUNTIFS($A$2:$A$2001,A628,$E$2:$E$2001,E628,$C$2:$C$2001,"Actual")&gt;0,0,D628)))</f>
        <v>0</v>
      </c>
    </row>
    <row r="629" customFormat="false" ht="15" hidden="false" customHeight="false" outlineLevel="0" collapsed="false">
      <c r="A629" s="32"/>
      <c r="B629" s="35"/>
      <c r="C629" s="32"/>
      <c r="D629" s="34"/>
      <c r="E629" s="42" t="str">
        <f aca="false">IF(OR(A629="",B629=""),"",DATE(YEAR(B629),MONTH(B629),1))</f>
        <v/>
      </c>
      <c r="F629" s="36" t="n">
        <f aca="false">IF(OR(E629="",D629=""),0,IF(C629="Actual",D629,IF(COUNTIFS($A$2:$A$2001,A629,$E$2:$E$2001,E629,$C$2:$C$2001,"Actual")&gt;0,0,D629)))</f>
        <v>0</v>
      </c>
    </row>
    <row r="630" customFormat="false" ht="15" hidden="false" customHeight="false" outlineLevel="0" collapsed="false">
      <c r="A630" s="32"/>
      <c r="B630" s="35"/>
      <c r="C630" s="32"/>
      <c r="D630" s="34"/>
      <c r="E630" s="42" t="str">
        <f aca="false">IF(OR(A630="",B630=""),"",DATE(YEAR(B630),MONTH(B630),1))</f>
        <v/>
      </c>
      <c r="F630" s="36" t="n">
        <f aca="false">IF(OR(E630="",D630=""),0,IF(C630="Actual",D630,IF(COUNTIFS($A$2:$A$2001,A630,$E$2:$E$2001,E630,$C$2:$C$2001,"Actual")&gt;0,0,D630)))</f>
        <v>0</v>
      </c>
    </row>
    <row r="631" customFormat="false" ht="15" hidden="false" customHeight="false" outlineLevel="0" collapsed="false">
      <c r="A631" s="32"/>
      <c r="B631" s="35"/>
      <c r="C631" s="32"/>
      <c r="D631" s="34"/>
      <c r="E631" s="42" t="str">
        <f aca="false">IF(OR(A631="",B631=""),"",DATE(YEAR(B631),MONTH(B631),1))</f>
        <v/>
      </c>
      <c r="F631" s="36" t="n">
        <f aca="false">IF(OR(E631="",D631=""),0,IF(C631="Actual",D631,IF(COUNTIFS($A$2:$A$2001,A631,$E$2:$E$2001,E631,$C$2:$C$2001,"Actual")&gt;0,0,D631)))</f>
        <v>0</v>
      </c>
    </row>
    <row r="632" customFormat="false" ht="15" hidden="false" customHeight="false" outlineLevel="0" collapsed="false">
      <c r="A632" s="32"/>
      <c r="B632" s="35"/>
      <c r="C632" s="32"/>
      <c r="D632" s="34"/>
      <c r="E632" s="42" t="str">
        <f aca="false">IF(OR(A632="",B632=""),"",DATE(YEAR(B632),MONTH(B632),1))</f>
        <v/>
      </c>
      <c r="F632" s="36" t="n">
        <f aca="false">IF(OR(E632="",D632=""),0,IF(C632="Actual",D632,IF(COUNTIFS($A$2:$A$2001,A632,$E$2:$E$2001,E632,$C$2:$C$2001,"Actual")&gt;0,0,D632)))</f>
        <v>0</v>
      </c>
    </row>
    <row r="633" customFormat="false" ht="15" hidden="false" customHeight="false" outlineLevel="0" collapsed="false">
      <c r="A633" s="32"/>
      <c r="B633" s="35"/>
      <c r="C633" s="32"/>
      <c r="D633" s="34"/>
      <c r="E633" s="42" t="str">
        <f aca="false">IF(OR(A633="",B633=""),"",DATE(YEAR(B633),MONTH(B633),1))</f>
        <v/>
      </c>
      <c r="F633" s="36" t="n">
        <f aca="false">IF(OR(E633="",D633=""),0,IF(C633="Actual",D633,IF(COUNTIFS($A$2:$A$2001,A633,$E$2:$E$2001,E633,$C$2:$C$2001,"Actual")&gt;0,0,D633)))</f>
        <v>0</v>
      </c>
    </row>
    <row r="634" customFormat="false" ht="15" hidden="false" customHeight="false" outlineLevel="0" collapsed="false">
      <c r="A634" s="32"/>
      <c r="B634" s="35"/>
      <c r="C634" s="32"/>
      <c r="D634" s="34"/>
      <c r="E634" s="42" t="str">
        <f aca="false">IF(OR(A634="",B634=""),"",DATE(YEAR(B634),MONTH(B634),1))</f>
        <v/>
      </c>
      <c r="F634" s="36" t="n">
        <f aca="false">IF(OR(E634="",D634=""),0,IF(C634="Actual",D634,IF(COUNTIFS($A$2:$A$2001,A634,$E$2:$E$2001,E634,$C$2:$C$2001,"Actual")&gt;0,0,D634)))</f>
        <v>0</v>
      </c>
    </row>
    <row r="635" customFormat="false" ht="15" hidden="false" customHeight="false" outlineLevel="0" collapsed="false">
      <c r="A635" s="32"/>
      <c r="B635" s="35"/>
      <c r="C635" s="32"/>
      <c r="D635" s="34"/>
      <c r="E635" s="42" t="str">
        <f aca="false">IF(OR(A635="",B635=""),"",DATE(YEAR(B635),MONTH(B635),1))</f>
        <v/>
      </c>
      <c r="F635" s="36" t="n">
        <f aca="false">IF(OR(E635="",D635=""),0,IF(C635="Actual",D635,IF(COUNTIFS($A$2:$A$2001,A635,$E$2:$E$2001,E635,$C$2:$C$2001,"Actual")&gt;0,0,D635)))</f>
        <v>0</v>
      </c>
    </row>
    <row r="636" customFormat="false" ht="15" hidden="false" customHeight="false" outlineLevel="0" collapsed="false">
      <c r="A636" s="32"/>
      <c r="B636" s="35"/>
      <c r="C636" s="32"/>
      <c r="D636" s="34"/>
      <c r="E636" s="42" t="str">
        <f aca="false">IF(OR(A636="",B636=""),"",DATE(YEAR(B636),MONTH(B636),1))</f>
        <v/>
      </c>
      <c r="F636" s="36" t="n">
        <f aca="false">IF(OR(E636="",D636=""),0,IF(C636="Actual",D636,IF(COUNTIFS($A$2:$A$2001,A636,$E$2:$E$2001,E636,$C$2:$C$2001,"Actual")&gt;0,0,D636)))</f>
        <v>0</v>
      </c>
    </row>
    <row r="637" customFormat="false" ht="15" hidden="false" customHeight="false" outlineLevel="0" collapsed="false">
      <c r="A637" s="32"/>
      <c r="B637" s="35"/>
      <c r="C637" s="32"/>
      <c r="D637" s="34"/>
      <c r="E637" s="42" t="str">
        <f aca="false">IF(OR(A637="",B637=""),"",DATE(YEAR(B637),MONTH(B637),1))</f>
        <v/>
      </c>
      <c r="F637" s="36" t="n">
        <f aca="false">IF(OR(E637="",D637=""),0,IF(C637="Actual",D637,IF(COUNTIFS($A$2:$A$2001,A637,$E$2:$E$2001,E637,$C$2:$C$2001,"Actual")&gt;0,0,D637)))</f>
        <v>0</v>
      </c>
    </row>
    <row r="638" customFormat="false" ht="15" hidden="false" customHeight="false" outlineLevel="0" collapsed="false">
      <c r="A638" s="32"/>
      <c r="B638" s="35"/>
      <c r="C638" s="32"/>
      <c r="D638" s="34"/>
      <c r="E638" s="42" t="str">
        <f aca="false">IF(OR(A638="",B638=""),"",DATE(YEAR(B638),MONTH(B638),1))</f>
        <v/>
      </c>
      <c r="F638" s="36" t="n">
        <f aca="false">IF(OR(E638="",D638=""),0,IF(C638="Actual",D638,IF(COUNTIFS($A$2:$A$2001,A638,$E$2:$E$2001,E638,$C$2:$C$2001,"Actual")&gt;0,0,D638)))</f>
        <v>0</v>
      </c>
    </row>
    <row r="639" customFormat="false" ht="15" hidden="false" customHeight="false" outlineLevel="0" collapsed="false">
      <c r="A639" s="32"/>
      <c r="B639" s="35"/>
      <c r="C639" s="32"/>
      <c r="D639" s="34"/>
      <c r="E639" s="42" t="str">
        <f aca="false">IF(OR(A639="",B639=""),"",DATE(YEAR(B639),MONTH(B639),1))</f>
        <v/>
      </c>
      <c r="F639" s="36" t="n">
        <f aca="false">IF(OR(E639="",D639=""),0,IF(C639="Actual",D639,IF(COUNTIFS($A$2:$A$2001,A639,$E$2:$E$2001,E639,$C$2:$C$2001,"Actual")&gt;0,0,D639)))</f>
        <v>0</v>
      </c>
    </row>
    <row r="640" customFormat="false" ht="15" hidden="false" customHeight="false" outlineLevel="0" collapsed="false">
      <c r="A640" s="32"/>
      <c r="B640" s="35"/>
      <c r="C640" s="32"/>
      <c r="D640" s="34"/>
      <c r="E640" s="42" t="str">
        <f aca="false">IF(OR(A640="",B640=""),"",DATE(YEAR(B640),MONTH(B640),1))</f>
        <v/>
      </c>
      <c r="F640" s="36" t="n">
        <f aca="false">IF(OR(E640="",D640=""),0,IF(C640="Actual",D640,IF(COUNTIFS($A$2:$A$2001,A640,$E$2:$E$2001,E640,$C$2:$C$2001,"Actual")&gt;0,0,D640)))</f>
        <v>0</v>
      </c>
    </row>
    <row r="641" customFormat="false" ht="15" hidden="false" customHeight="false" outlineLevel="0" collapsed="false">
      <c r="A641" s="32"/>
      <c r="B641" s="35"/>
      <c r="C641" s="32"/>
      <c r="D641" s="34"/>
      <c r="E641" s="42" t="str">
        <f aca="false">IF(OR(A641="",B641=""),"",DATE(YEAR(B641),MONTH(B641),1))</f>
        <v/>
      </c>
      <c r="F641" s="36" t="n">
        <f aca="false">IF(OR(E641="",D641=""),0,IF(C641="Actual",D641,IF(COUNTIFS($A$2:$A$2001,A641,$E$2:$E$2001,E641,$C$2:$C$2001,"Actual")&gt;0,0,D641)))</f>
        <v>0</v>
      </c>
    </row>
    <row r="642" customFormat="false" ht="15" hidden="false" customHeight="false" outlineLevel="0" collapsed="false">
      <c r="A642" s="32"/>
      <c r="B642" s="35"/>
      <c r="C642" s="32"/>
      <c r="D642" s="34"/>
      <c r="E642" s="42" t="str">
        <f aca="false">IF(OR(A642="",B642=""),"",DATE(YEAR(B642),MONTH(B642),1))</f>
        <v/>
      </c>
      <c r="F642" s="36" t="n">
        <f aca="false">IF(OR(E642="",D642=""),0,IF(C642="Actual",D642,IF(COUNTIFS($A$2:$A$2001,A642,$E$2:$E$2001,E642,$C$2:$C$2001,"Actual")&gt;0,0,D642)))</f>
        <v>0</v>
      </c>
    </row>
    <row r="643" customFormat="false" ht="15" hidden="false" customHeight="false" outlineLevel="0" collapsed="false">
      <c r="A643" s="32"/>
      <c r="B643" s="35"/>
      <c r="C643" s="32"/>
      <c r="D643" s="34"/>
      <c r="E643" s="42" t="str">
        <f aca="false">IF(OR(A643="",B643=""),"",DATE(YEAR(B643),MONTH(B643),1))</f>
        <v/>
      </c>
      <c r="F643" s="36" t="n">
        <f aca="false">IF(OR(E643="",D643=""),0,IF(C643="Actual",D643,IF(COUNTIFS($A$2:$A$2001,A643,$E$2:$E$2001,E643,$C$2:$C$2001,"Actual")&gt;0,0,D643)))</f>
        <v>0</v>
      </c>
    </row>
    <row r="644" customFormat="false" ht="15" hidden="false" customHeight="false" outlineLevel="0" collapsed="false">
      <c r="A644" s="32"/>
      <c r="B644" s="35"/>
      <c r="C644" s="32"/>
      <c r="D644" s="34"/>
      <c r="E644" s="42" t="str">
        <f aca="false">IF(OR(A644="",B644=""),"",DATE(YEAR(B644),MONTH(B644),1))</f>
        <v/>
      </c>
      <c r="F644" s="36" t="n">
        <f aca="false">IF(OR(E644="",D644=""),0,IF(C644="Actual",D644,IF(COUNTIFS($A$2:$A$2001,A644,$E$2:$E$2001,E644,$C$2:$C$2001,"Actual")&gt;0,0,D644)))</f>
        <v>0</v>
      </c>
    </row>
    <row r="645" customFormat="false" ht="15" hidden="false" customHeight="false" outlineLevel="0" collapsed="false">
      <c r="A645" s="32"/>
      <c r="B645" s="35"/>
      <c r="C645" s="32"/>
      <c r="D645" s="34"/>
      <c r="E645" s="42" t="str">
        <f aca="false">IF(OR(A645="",B645=""),"",DATE(YEAR(B645),MONTH(B645),1))</f>
        <v/>
      </c>
      <c r="F645" s="36" t="n">
        <f aca="false">IF(OR(E645="",D645=""),0,IF(C645="Actual",D645,IF(COUNTIFS($A$2:$A$2001,A645,$E$2:$E$2001,E645,$C$2:$C$2001,"Actual")&gt;0,0,D645)))</f>
        <v>0</v>
      </c>
    </row>
    <row r="646" customFormat="false" ht="15" hidden="false" customHeight="false" outlineLevel="0" collapsed="false">
      <c r="A646" s="32"/>
      <c r="B646" s="35"/>
      <c r="C646" s="32"/>
      <c r="D646" s="34"/>
      <c r="E646" s="42" t="str">
        <f aca="false">IF(OR(A646="",B646=""),"",DATE(YEAR(B646),MONTH(B646),1))</f>
        <v/>
      </c>
      <c r="F646" s="36" t="n">
        <f aca="false">IF(OR(E646="",D646=""),0,IF(C646="Actual",D646,IF(COUNTIFS($A$2:$A$2001,A646,$E$2:$E$2001,E646,$C$2:$C$2001,"Actual")&gt;0,0,D646)))</f>
        <v>0</v>
      </c>
    </row>
    <row r="647" customFormat="false" ht="15" hidden="false" customHeight="false" outlineLevel="0" collapsed="false">
      <c r="A647" s="32"/>
      <c r="B647" s="35"/>
      <c r="C647" s="32"/>
      <c r="D647" s="34"/>
      <c r="E647" s="42" t="str">
        <f aca="false">IF(OR(A647="",B647=""),"",DATE(YEAR(B647),MONTH(B647),1))</f>
        <v/>
      </c>
      <c r="F647" s="36" t="n">
        <f aca="false">IF(OR(E647="",D647=""),0,IF(C647="Actual",D647,IF(COUNTIFS($A$2:$A$2001,A647,$E$2:$E$2001,E647,$C$2:$C$2001,"Actual")&gt;0,0,D647)))</f>
        <v>0</v>
      </c>
    </row>
    <row r="648" customFormat="false" ht="15" hidden="false" customHeight="false" outlineLevel="0" collapsed="false">
      <c r="A648" s="32"/>
      <c r="B648" s="35"/>
      <c r="C648" s="32"/>
      <c r="D648" s="34"/>
      <c r="E648" s="42" t="str">
        <f aca="false">IF(OR(A648="",B648=""),"",DATE(YEAR(B648),MONTH(B648),1))</f>
        <v/>
      </c>
      <c r="F648" s="36" t="n">
        <f aca="false">IF(OR(E648="",D648=""),0,IF(C648="Actual",D648,IF(COUNTIFS($A$2:$A$2001,A648,$E$2:$E$2001,E648,$C$2:$C$2001,"Actual")&gt;0,0,D648)))</f>
        <v>0</v>
      </c>
    </row>
    <row r="649" customFormat="false" ht="15" hidden="false" customHeight="false" outlineLevel="0" collapsed="false">
      <c r="A649" s="32"/>
      <c r="B649" s="35"/>
      <c r="C649" s="32"/>
      <c r="D649" s="34"/>
      <c r="E649" s="42" t="str">
        <f aca="false">IF(OR(A649="",B649=""),"",DATE(YEAR(B649),MONTH(B649),1))</f>
        <v/>
      </c>
      <c r="F649" s="36" t="n">
        <f aca="false">IF(OR(E649="",D649=""),0,IF(C649="Actual",D649,IF(COUNTIFS($A$2:$A$2001,A649,$E$2:$E$2001,E649,$C$2:$C$2001,"Actual")&gt;0,0,D649)))</f>
        <v>0</v>
      </c>
    </row>
    <row r="650" customFormat="false" ht="15" hidden="false" customHeight="false" outlineLevel="0" collapsed="false">
      <c r="A650" s="32"/>
      <c r="B650" s="35"/>
      <c r="C650" s="32"/>
      <c r="D650" s="34"/>
      <c r="E650" s="42" t="str">
        <f aca="false">IF(OR(A650="",B650=""),"",DATE(YEAR(B650),MONTH(B650),1))</f>
        <v/>
      </c>
      <c r="F650" s="36" t="n">
        <f aca="false">IF(OR(E650="",D650=""),0,IF(C650="Actual",D650,IF(COUNTIFS($A$2:$A$2001,A650,$E$2:$E$2001,E650,$C$2:$C$2001,"Actual")&gt;0,0,D650)))</f>
        <v>0</v>
      </c>
    </row>
    <row r="651" customFormat="false" ht="15" hidden="false" customHeight="false" outlineLevel="0" collapsed="false">
      <c r="A651" s="32"/>
      <c r="B651" s="35"/>
      <c r="C651" s="32"/>
      <c r="D651" s="34"/>
      <c r="E651" s="42" t="str">
        <f aca="false">IF(OR(A651="",B651=""),"",DATE(YEAR(B651),MONTH(B651),1))</f>
        <v/>
      </c>
      <c r="F651" s="36" t="n">
        <f aca="false">IF(OR(E651="",D651=""),0,IF(C651="Actual",D651,IF(COUNTIFS($A$2:$A$2001,A651,$E$2:$E$2001,E651,$C$2:$C$2001,"Actual")&gt;0,0,D651)))</f>
        <v>0</v>
      </c>
    </row>
    <row r="652" customFormat="false" ht="15" hidden="false" customHeight="false" outlineLevel="0" collapsed="false">
      <c r="A652" s="32"/>
      <c r="B652" s="35"/>
      <c r="C652" s="32"/>
      <c r="D652" s="34"/>
      <c r="E652" s="42" t="str">
        <f aca="false">IF(OR(A652="",B652=""),"",DATE(YEAR(B652),MONTH(B652),1))</f>
        <v/>
      </c>
      <c r="F652" s="36" t="n">
        <f aca="false">IF(OR(E652="",D652=""),0,IF(C652="Actual",D652,IF(COUNTIFS($A$2:$A$2001,A652,$E$2:$E$2001,E652,$C$2:$C$2001,"Actual")&gt;0,0,D652)))</f>
        <v>0</v>
      </c>
    </row>
    <row r="653" customFormat="false" ht="15" hidden="false" customHeight="false" outlineLevel="0" collapsed="false">
      <c r="A653" s="32"/>
      <c r="B653" s="35"/>
      <c r="C653" s="32"/>
      <c r="D653" s="34"/>
      <c r="E653" s="42" t="str">
        <f aca="false">IF(OR(A653="",B653=""),"",DATE(YEAR(B653),MONTH(B653),1))</f>
        <v/>
      </c>
      <c r="F653" s="36" t="n">
        <f aca="false">IF(OR(E653="",D653=""),0,IF(C653="Actual",D653,IF(COUNTIFS($A$2:$A$2001,A653,$E$2:$E$2001,E653,$C$2:$C$2001,"Actual")&gt;0,0,D653)))</f>
        <v>0</v>
      </c>
    </row>
    <row r="654" customFormat="false" ht="15" hidden="false" customHeight="false" outlineLevel="0" collapsed="false">
      <c r="A654" s="32"/>
      <c r="B654" s="35"/>
      <c r="C654" s="32"/>
      <c r="D654" s="34"/>
      <c r="E654" s="42" t="str">
        <f aca="false">IF(OR(A654="",B654=""),"",DATE(YEAR(B654),MONTH(B654),1))</f>
        <v/>
      </c>
      <c r="F654" s="36" t="n">
        <f aca="false">IF(OR(E654="",D654=""),0,IF(C654="Actual",D654,IF(COUNTIFS($A$2:$A$2001,A654,$E$2:$E$2001,E654,$C$2:$C$2001,"Actual")&gt;0,0,D654)))</f>
        <v>0</v>
      </c>
    </row>
    <row r="655" customFormat="false" ht="15" hidden="false" customHeight="false" outlineLevel="0" collapsed="false">
      <c r="A655" s="32"/>
      <c r="B655" s="35"/>
      <c r="C655" s="32"/>
      <c r="D655" s="34"/>
      <c r="E655" s="42" t="str">
        <f aca="false">IF(OR(A655="",B655=""),"",DATE(YEAR(B655),MONTH(B655),1))</f>
        <v/>
      </c>
      <c r="F655" s="36" t="n">
        <f aca="false">IF(OR(E655="",D655=""),0,IF(C655="Actual",D655,IF(COUNTIFS($A$2:$A$2001,A655,$E$2:$E$2001,E655,$C$2:$C$2001,"Actual")&gt;0,0,D655)))</f>
        <v>0</v>
      </c>
    </row>
    <row r="656" customFormat="false" ht="15" hidden="false" customHeight="false" outlineLevel="0" collapsed="false">
      <c r="A656" s="32"/>
      <c r="B656" s="35"/>
      <c r="C656" s="32"/>
      <c r="D656" s="34"/>
      <c r="E656" s="42" t="str">
        <f aca="false">IF(OR(A656="",B656=""),"",DATE(YEAR(B656),MONTH(B656),1))</f>
        <v/>
      </c>
      <c r="F656" s="36" t="n">
        <f aca="false">IF(OR(E656="",D656=""),0,IF(C656="Actual",D656,IF(COUNTIFS($A$2:$A$2001,A656,$E$2:$E$2001,E656,$C$2:$C$2001,"Actual")&gt;0,0,D656)))</f>
        <v>0</v>
      </c>
    </row>
    <row r="657" customFormat="false" ht="15" hidden="false" customHeight="false" outlineLevel="0" collapsed="false">
      <c r="A657" s="32"/>
      <c r="B657" s="35"/>
      <c r="C657" s="32"/>
      <c r="D657" s="34"/>
      <c r="E657" s="42" t="str">
        <f aca="false">IF(OR(A657="",B657=""),"",DATE(YEAR(B657),MONTH(B657),1))</f>
        <v/>
      </c>
      <c r="F657" s="36" t="n">
        <f aca="false">IF(OR(E657="",D657=""),0,IF(C657="Actual",D657,IF(COUNTIFS($A$2:$A$2001,A657,$E$2:$E$2001,E657,$C$2:$C$2001,"Actual")&gt;0,0,D657)))</f>
        <v>0</v>
      </c>
    </row>
    <row r="658" customFormat="false" ht="15" hidden="false" customHeight="false" outlineLevel="0" collapsed="false">
      <c r="A658" s="32"/>
      <c r="B658" s="35"/>
      <c r="C658" s="32"/>
      <c r="D658" s="34"/>
      <c r="E658" s="42" t="str">
        <f aca="false">IF(OR(A658="",B658=""),"",DATE(YEAR(B658),MONTH(B658),1))</f>
        <v/>
      </c>
      <c r="F658" s="36" t="n">
        <f aca="false">IF(OR(E658="",D658=""),0,IF(C658="Actual",D658,IF(COUNTIFS($A$2:$A$2001,A658,$E$2:$E$2001,E658,$C$2:$C$2001,"Actual")&gt;0,0,D658)))</f>
        <v>0</v>
      </c>
    </row>
    <row r="659" customFormat="false" ht="15" hidden="false" customHeight="false" outlineLevel="0" collapsed="false">
      <c r="A659" s="32"/>
      <c r="B659" s="35"/>
      <c r="C659" s="32"/>
      <c r="D659" s="34"/>
      <c r="E659" s="42" t="str">
        <f aca="false">IF(OR(A659="",B659=""),"",DATE(YEAR(B659),MONTH(B659),1))</f>
        <v/>
      </c>
      <c r="F659" s="36" t="n">
        <f aca="false">IF(OR(E659="",D659=""),0,IF(C659="Actual",D659,IF(COUNTIFS($A$2:$A$2001,A659,$E$2:$E$2001,E659,$C$2:$C$2001,"Actual")&gt;0,0,D659)))</f>
        <v>0</v>
      </c>
    </row>
    <row r="660" customFormat="false" ht="15" hidden="false" customHeight="false" outlineLevel="0" collapsed="false">
      <c r="A660" s="32"/>
      <c r="B660" s="35"/>
      <c r="C660" s="32"/>
      <c r="D660" s="34"/>
      <c r="E660" s="42" t="str">
        <f aca="false">IF(OR(A660="",B660=""),"",DATE(YEAR(B660),MONTH(B660),1))</f>
        <v/>
      </c>
      <c r="F660" s="36" t="n">
        <f aca="false">IF(OR(E660="",D660=""),0,IF(C660="Actual",D660,IF(COUNTIFS($A$2:$A$2001,A660,$E$2:$E$2001,E660,$C$2:$C$2001,"Actual")&gt;0,0,D660)))</f>
        <v>0</v>
      </c>
    </row>
    <row r="661" customFormat="false" ht="15" hidden="false" customHeight="false" outlineLevel="0" collapsed="false">
      <c r="A661" s="32"/>
      <c r="B661" s="35"/>
      <c r="C661" s="32"/>
      <c r="D661" s="34"/>
      <c r="E661" s="42" t="str">
        <f aca="false">IF(OR(A661="",B661=""),"",DATE(YEAR(B661),MONTH(B661),1))</f>
        <v/>
      </c>
      <c r="F661" s="36" t="n">
        <f aca="false">IF(OR(E661="",D661=""),0,IF(C661="Actual",D661,IF(COUNTIFS($A$2:$A$2001,A661,$E$2:$E$2001,E661,$C$2:$C$2001,"Actual")&gt;0,0,D661)))</f>
        <v>0</v>
      </c>
    </row>
    <row r="662" customFormat="false" ht="15" hidden="false" customHeight="false" outlineLevel="0" collapsed="false">
      <c r="A662" s="32"/>
      <c r="B662" s="35"/>
      <c r="C662" s="32"/>
      <c r="D662" s="34"/>
      <c r="E662" s="42" t="str">
        <f aca="false">IF(OR(A662="",B662=""),"",DATE(YEAR(B662),MONTH(B662),1))</f>
        <v/>
      </c>
      <c r="F662" s="36" t="n">
        <f aca="false">IF(OR(E662="",D662=""),0,IF(C662="Actual",D662,IF(COUNTIFS($A$2:$A$2001,A662,$E$2:$E$2001,E662,$C$2:$C$2001,"Actual")&gt;0,0,D662)))</f>
        <v>0</v>
      </c>
    </row>
    <row r="663" customFormat="false" ht="15" hidden="false" customHeight="false" outlineLevel="0" collapsed="false">
      <c r="A663" s="32"/>
      <c r="B663" s="35"/>
      <c r="C663" s="32"/>
      <c r="D663" s="34"/>
      <c r="E663" s="42" t="str">
        <f aca="false">IF(OR(A663="",B663=""),"",DATE(YEAR(B663),MONTH(B663),1))</f>
        <v/>
      </c>
      <c r="F663" s="36" t="n">
        <f aca="false">IF(OR(E663="",D663=""),0,IF(C663="Actual",D663,IF(COUNTIFS($A$2:$A$2001,A663,$E$2:$E$2001,E663,$C$2:$C$2001,"Actual")&gt;0,0,D663)))</f>
        <v>0</v>
      </c>
    </row>
    <row r="664" customFormat="false" ht="15" hidden="false" customHeight="false" outlineLevel="0" collapsed="false">
      <c r="A664" s="32"/>
      <c r="B664" s="35"/>
      <c r="C664" s="32"/>
      <c r="D664" s="34"/>
      <c r="E664" s="42" t="str">
        <f aca="false">IF(OR(A664="",B664=""),"",DATE(YEAR(B664),MONTH(B664),1))</f>
        <v/>
      </c>
      <c r="F664" s="36" t="n">
        <f aca="false">IF(OR(E664="",D664=""),0,IF(C664="Actual",D664,IF(COUNTIFS($A$2:$A$2001,A664,$E$2:$E$2001,E664,$C$2:$C$2001,"Actual")&gt;0,0,D664)))</f>
        <v>0</v>
      </c>
    </row>
    <row r="665" customFormat="false" ht="15" hidden="false" customHeight="false" outlineLevel="0" collapsed="false">
      <c r="A665" s="32"/>
      <c r="B665" s="35"/>
      <c r="C665" s="32"/>
      <c r="D665" s="34"/>
      <c r="E665" s="42" t="str">
        <f aca="false">IF(OR(A665="",B665=""),"",DATE(YEAR(B665),MONTH(B665),1))</f>
        <v/>
      </c>
      <c r="F665" s="36" t="n">
        <f aca="false">IF(OR(E665="",D665=""),0,IF(C665="Actual",D665,IF(COUNTIFS($A$2:$A$2001,A665,$E$2:$E$2001,E665,$C$2:$C$2001,"Actual")&gt;0,0,D665)))</f>
        <v>0</v>
      </c>
    </row>
    <row r="666" customFormat="false" ht="15" hidden="false" customHeight="false" outlineLevel="0" collapsed="false">
      <c r="A666" s="32"/>
      <c r="B666" s="35"/>
      <c r="C666" s="32"/>
      <c r="D666" s="34"/>
      <c r="E666" s="42" t="str">
        <f aca="false">IF(OR(A666="",B666=""),"",DATE(YEAR(B666),MONTH(B666),1))</f>
        <v/>
      </c>
      <c r="F666" s="36" t="n">
        <f aca="false">IF(OR(E666="",D666=""),0,IF(C666="Actual",D666,IF(COUNTIFS($A$2:$A$2001,A666,$E$2:$E$2001,E666,$C$2:$C$2001,"Actual")&gt;0,0,D666)))</f>
        <v>0</v>
      </c>
    </row>
    <row r="667" customFormat="false" ht="15" hidden="false" customHeight="false" outlineLevel="0" collapsed="false">
      <c r="A667" s="32"/>
      <c r="B667" s="35"/>
      <c r="C667" s="32"/>
      <c r="D667" s="34"/>
      <c r="E667" s="42" t="str">
        <f aca="false">IF(OR(A667="",B667=""),"",DATE(YEAR(B667),MONTH(B667),1))</f>
        <v/>
      </c>
      <c r="F667" s="36" t="n">
        <f aca="false">IF(OR(E667="",D667=""),0,IF(C667="Actual",D667,IF(COUNTIFS($A$2:$A$2001,A667,$E$2:$E$2001,E667,$C$2:$C$2001,"Actual")&gt;0,0,D667)))</f>
        <v>0</v>
      </c>
    </row>
    <row r="668" customFormat="false" ht="15" hidden="false" customHeight="false" outlineLevel="0" collapsed="false">
      <c r="A668" s="32"/>
      <c r="B668" s="35"/>
      <c r="C668" s="32"/>
      <c r="D668" s="34"/>
      <c r="E668" s="42" t="str">
        <f aca="false">IF(OR(A668="",B668=""),"",DATE(YEAR(B668),MONTH(B668),1))</f>
        <v/>
      </c>
      <c r="F668" s="36" t="n">
        <f aca="false">IF(OR(E668="",D668=""),0,IF(C668="Actual",D668,IF(COUNTIFS($A$2:$A$2001,A668,$E$2:$E$2001,E668,$C$2:$C$2001,"Actual")&gt;0,0,D668)))</f>
        <v>0</v>
      </c>
    </row>
    <row r="669" customFormat="false" ht="15" hidden="false" customHeight="false" outlineLevel="0" collapsed="false">
      <c r="A669" s="32"/>
      <c r="B669" s="35"/>
      <c r="C669" s="32"/>
      <c r="D669" s="34"/>
      <c r="E669" s="42" t="str">
        <f aca="false">IF(OR(A669="",B669=""),"",DATE(YEAR(B669),MONTH(B669),1))</f>
        <v/>
      </c>
      <c r="F669" s="36" t="n">
        <f aca="false">IF(OR(E669="",D669=""),0,IF(C669="Actual",D669,IF(COUNTIFS($A$2:$A$2001,A669,$E$2:$E$2001,E669,$C$2:$C$2001,"Actual")&gt;0,0,D669)))</f>
        <v>0</v>
      </c>
    </row>
    <row r="670" customFormat="false" ht="15" hidden="false" customHeight="false" outlineLevel="0" collapsed="false">
      <c r="A670" s="32"/>
      <c r="B670" s="35"/>
      <c r="C670" s="32"/>
      <c r="D670" s="34"/>
      <c r="E670" s="42" t="str">
        <f aca="false">IF(OR(A670="",B670=""),"",DATE(YEAR(B670),MONTH(B670),1))</f>
        <v/>
      </c>
      <c r="F670" s="36" t="n">
        <f aca="false">IF(OR(E670="",D670=""),0,IF(C670="Actual",D670,IF(COUNTIFS($A$2:$A$2001,A670,$E$2:$E$2001,E670,$C$2:$C$2001,"Actual")&gt;0,0,D670)))</f>
        <v>0</v>
      </c>
    </row>
    <row r="671" customFormat="false" ht="15" hidden="false" customHeight="false" outlineLevel="0" collapsed="false">
      <c r="A671" s="32"/>
      <c r="B671" s="35"/>
      <c r="C671" s="32"/>
      <c r="D671" s="34"/>
      <c r="E671" s="42" t="str">
        <f aca="false">IF(OR(A671="",B671=""),"",DATE(YEAR(B671),MONTH(B671),1))</f>
        <v/>
      </c>
      <c r="F671" s="36" t="n">
        <f aca="false">IF(OR(E671="",D671=""),0,IF(C671="Actual",D671,IF(COUNTIFS($A$2:$A$2001,A671,$E$2:$E$2001,E671,$C$2:$C$2001,"Actual")&gt;0,0,D671)))</f>
        <v>0</v>
      </c>
    </row>
    <row r="672" customFormat="false" ht="15" hidden="false" customHeight="false" outlineLevel="0" collapsed="false">
      <c r="A672" s="32"/>
      <c r="B672" s="35"/>
      <c r="C672" s="32"/>
      <c r="D672" s="34"/>
      <c r="E672" s="42" t="str">
        <f aca="false">IF(OR(A672="",B672=""),"",DATE(YEAR(B672),MONTH(B672),1))</f>
        <v/>
      </c>
      <c r="F672" s="36" t="n">
        <f aca="false">IF(OR(E672="",D672=""),0,IF(C672="Actual",D672,IF(COUNTIFS($A$2:$A$2001,A672,$E$2:$E$2001,E672,$C$2:$C$2001,"Actual")&gt;0,0,D672)))</f>
        <v>0</v>
      </c>
    </row>
    <row r="673" customFormat="false" ht="15" hidden="false" customHeight="false" outlineLevel="0" collapsed="false">
      <c r="A673" s="32"/>
      <c r="B673" s="35"/>
      <c r="C673" s="32"/>
      <c r="D673" s="34"/>
      <c r="E673" s="42" t="str">
        <f aca="false">IF(OR(A673="",B673=""),"",DATE(YEAR(B673),MONTH(B673),1))</f>
        <v/>
      </c>
      <c r="F673" s="36" t="n">
        <f aca="false">IF(OR(E673="",D673=""),0,IF(C673="Actual",D673,IF(COUNTIFS($A$2:$A$2001,A673,$E$2:$E$2001,E673,$C$2:$C$2001,"Actual")&gt;0,0,D673)))</f>
        <v>0</v>
      </c>
    </row>
    <row r="674" customFormat="false" ht="15" hidden="false" customHeight="false" outlineLevel="0" collapsed="false">
      <c r="A674" s="32"/>
      <c r="B674" s="35"/>
      <c r="C674" s="32"/>
      <c r="D674" s="34"/>
      <c r="E674" s="42" t="str">
        <f aca="false">IF(OR(A674="",B674=""),"",DATE(YEAR(B674),MONTH(B674),1))</f>
        <v/>
      </c>
      <c r="F674" s="36" t="n">
        <f aca="false">IF(OR(E674="",D674=""),0,IF(C674="Actual",D674,IF(COUNTIFS($A$2:$A$2001,A674,$E$2:$E$2001,E674,$C$2:$C$2001,"Actual")&gt;0,0,D674)))</f>
        <v>0</v>
      </c>
    </row>
    <row r="675" customFormat="false" ht="15" hidden="false" customHeight="false" outlineLevel="0" collapsed="false">
      <c r="A675" s="32"/>
      <c r="B675" s="35"/>
      <c r="C675" s="32"/>
      <c r="D675" s="34"/>
      <c r="E675" s="42" t="str">
        <f aca="false">IF(OR(A675="",B675=""),"",DATE(YEAR(B675),MONTH(B675),1))</f>
        <v/>
      </c>
      <c r="F675" s="36" t="n">
        <f aca="false">IF(OR(E675="",D675=""),0,IF(C675="Actual",D675,IF(COUNTIFS($A$2:$A$2001,A675,$E$2:$E$2001,E675,$C$2:$C$2001,"Actual")&gt;0,0,D675)))</f>
        <v>0</v>
      </c>
    </row>
    <row r="676" customFormat="false" ht="15" hidden="false" customHeight="false" outlineLevel="0" collapsed="false">
      <c r="A676" s="32"/>
      <c r="B676" s="35"/>
      <c r="C676" s="32"/>
      <c r="D676" s="34"/>
      <c r="E676" s="42" t="str">
        <f aca="false">IF(OR(A676="",B676=""),"",DATE(YEAR(B676),MONTH(B676),1))</f>
        <v/>
      </c>
      <c r="F676" s="36" t="n">
        <f aca="false">IF(OR(E676="",D676=""),0,IF(C676="Actual",D676,IF(COUNTIFS($A$2:$A$2001,A676,$E$2:$E$2001,E676,$C$2:$C$2001,"Actual")&gt;0,0,D676)))</f>
        <v>0</v>
      </c>
    </row>
    <row r="677" customFormat="false" ht="15" hidden="false" customHeight="false" outlineLevel="0" collapsed="false">
      <c r="A677" s="32"/>
      <c r="B677" s="35"/>
      <c r="C677" s="32"/>
      <c r="D677" s="34"/>
      <c r="E677" s="42" t="str">
        <f aca="false">IF(OR(A677="",B677=""),"",DATE(YEAR(B677),MONTH(B677),1))</f>
        <v/>
      </c>
      <c r="F677" s="36" t="n">
        <f aca="false">IF(OR(E677="",D677=""),0,IF(C677="Actual",D677,IF(COUNTIFS($A$2:$A$2001,A677,$E$2:$E$2001,E677,$C$2:$C$2001,"Actual")&gt;0,0,D677)))</f>
        <v>0</v>
      </c>
    </row>
    <row r="678" customFormat="false" ht="15" hidden="false" customHeight="false" outlineLevel="0" collapsed="false">
      <c r="A678" s="32"/>
      <c r="B678" s="35"/>
      <c r="C678" s="32"/>
      <c r="D678" s="34"/>
      <c r="E678" s="42" t="str">
        <f aca="false">IF(OR(A678="",B678=""),"",DATE(YEAR(B678),MONTH(B678),1))</f>
        <v/>
      </c>
      <c r="F678" s="36" t="n">
        <f aca="false">IF(OR(E678="",D678=""),0,IF(C678="Actual",D678,IF(COUNTIFS($A$2:$A$2001,A678,$E$2:$E$2001,E678,$C$2:$C$2001,"Actual")&gt;0,0,D678)))</f>
        <v>0</v>
      </c>
    </row>
    <row r="679" customFormat="false" ht="15" hidden="false" customHeight="false" outlineLevel="0" collapsed="false">
      <c r="A679" s="32"/>
      <c r="B679" s="35"/>
      <c r="C679" s="32"/>
      <c r="D679" s="34"/>
      <c r="E679" s="42" t="str">
        <f aca="false">IF(OR(A679="",B679=""),"",DATE(YEAR(B679),MONTH(B679),1))</f>
        <v/>
      </c>
      <c r="F679" s="36" t="n">
        <f aca="false">IF(OR(E679="",D679=""),0,IF(C679="Actual",D679,IF(COUNTIFS($A$2:$A$2001,A679,$E$2:$E$2001,E679,$C$2:$C$2001,"Actual")&gt;0,0,D679)))</f>
        <v>0</v>
      </c>
    </row>
    <row r="680" customFormat="false" ht="15" hidden="false" customHeight="false" outlineLevel="0" collapsed="false">
      <c r="A680" s="32"/>
      <c r="B680" s="35"/>
      <c r="C680" s="32"/>
      <c r="D680" s="34"/>
      <c r="E680" s="42" t="str">
        <f aca="false">IF(OR(A680="",B680=""),"",DATE(YEAR(B680),MONTH(B680),1))</f>
        <v/>
      </c>
      <c r="F680" s="36" t="n">
        <f aca="false">IF(OR(E680="",D680=""),0,IF(C680="Actual",D680,IF(COUNTIFS($A$2:$A$2001,A680,$E$2:$E$2001,E680,$C$2:$C$2001,"Actual")&gt;0,0,D680)))</f>
        <v>0</v>
      </c>
    </row>
    <row r="681" customFormat="false" ht="15" hidden="false" customHeight="false" outlineLevel="0" collapsed="false">
      <c r="A681" s="32"/>
      <c r="B681" s="35"/>
      <c r="C681" s="32"/>
      <c r="D681" s="34"/>
      <c r="E681" s="42" t="str">
        <f aca="false">IF(OR(A681="",B681=""),"",DATE(YEAR(B681),MONTH(B681),1))</f>
        <v/>
      </c>
      <c r="F681" s="36" t="n">
        <f aca="false">IF(OR(E681="",D681=""),0,IF(C681="Actual",D681,IF(COUNTIFS($A$2:$A$2001,A681,$E$2:$E$2001,E681,$C$2:$C$2001,"Actual")&gt;0,0,D681)))</f>
        <v>0</v>
      </c>
    </row>
    <row r="682" customFormat="false" ht="15" hidden="false" customHeight="false" outlineLevel="0" collapsed="false">
      <c r="A682" s="32"/>
      <c r="B682" s="35"/>
      <c r="C682" s="32"/>
      <c r="D682" s="34"/>
      <c r="E682" s="42" t="str">
        <f aca="false">IF(OR(A682="",B682=""),"",DATE(YEAR(B682),MONTH(B682),1))</f>
        <v/>
      </c>
      <c r="F682" s="36" t="n">
        <f aca="false">IF(OR(E682="",D682=""),0,IF(C682="Actual",D682,IF(COUNTIFS($A$2:$A$2001,A682,$E$2:$E$2001,E682,$C$2:$C$2001,"Actual")&gt;0,0,D682)))</f>
        <v>0</v>
      </c>
    </row>
    <row r="683" customFormat="false" ht="15" hidden="false" customHeight="false" outlineLevel="0" collapsed="false">
      <c r="A683" s="32"/>
      <c r="B683" s="35"/>
      <c r="C683" s="32"/>
      <c r="D683" s="34"/>
      <c r="E683" s="42" t="str">
        <f aca="false">IF(OR(A683="",B683=""),"",DATE(YEAR(B683),MONTH(B683),1))</f>
        <v/>
      </c>
      <c r="F683" s="36" t="n">
        <f aca="false">IF(OR(E683="",D683=""),0,IF(C683="Actual",D683,IF(COUNTIFS($A$2:$A$2001,A683,$E$2:$E$2001,E683,$C$2:$C$2001,"Actual")&gt;0,0,D683)))</f>
        <v>0</v>
      </c>
    </row>
    <row r="684" customFormat="false" ht="15" hidden="false" customHeight="false" outlineLevel="0" collapsed="false">
      <c r="A684" s="32"/>
      <c r="B684" s="35"/>
      <c r="C684" s="32"/>
      <c r="D684" s="34"/>
      <c r="E684" s="42" t="str">
        <f aca="false">IF(OR(A684="",B684=""),"",DATE(YEAR(B684),MONTH(B684),1))</f>
        <v/>
      </c>
      <c r="F684" s="36" t="n">
        <f aca="false">IF(OR(E684="",D684=""),0,IF(C684="Actual",D684,IF(COUNTIFS($A$2:$A$2001,A684,$E$2:$E$2001,E684,$C$2:$C$2001,"Actual")&gt;0,0,D684)))</f>
        <v>0</v>
      </c>
    </row>
    <row r="685" customFormat="false" ht="15" hidden="false" customHeight="false" outlineLevel="0" collapsed="false">
      <c r="A685" s="32"/>
      <c r="B685" s="35"/>
      <c r="C685" s="32"/>
      <c r="D685" s="34"/>
      <c r="E685" s="42" t="str">
        <f aca="false">IF(OR(A685="",B685=""),"",DATE(YEAR(B685),MONTH(B685),1))</f>
        <v/>
      </c>
      <c r="F685" s="36" t="n">
        <f aca="false">IF(OR(E685="",D685=""),0,IF(C685="Actual",D685,IF(COUNTIFS($A$2:$A$2001,A685,$E$2:$E$2001,E685,$C$2:$C$2001,"Actual")&gt;0,0,D685)))</f>
        <v>0</v>
      </c>
    </row>
    <row r="686" customFormat="false" ht="15" hidden="false" customHeight="false" outlineLevel="0" collapsed="false">
      <c r="A686" s="32"/>
      <c r="B686" s="35"/>
      <c r="C686" s="32"/>
      <c r="D686" s="34"/>
      <c r="E686" s="42" t="str">
        <f aca="false">IF(OR(A686="",B686=""),"",DATE(YEAR(B686),MONTH(B686),1))</f>
        <v/>
      </c>
      <c r="F686" s="36" t="n">
        <f aca="false">IF(OR(E686="",D686=""),0,IF(C686="Actual",D686,IF(COUNTIFS($A$2:$A$2001,A686,$E$2:$E$2001,E686,$C$2:$C$2001,"Actual")&gt;0,0,D686)))</f>
        <v>0</v>
      </c>
    </row>
    <row r="687" customFormat="false" ht="15" hidden="false" customHeight="false" outlineLevel="0" collapsed="false">
      <c r="A687" s="32"/>
      <c r="B687" s="35"/>
      <c r="C687" s="32"/>
      <c r="D687" s="34"/>
      <c r="E687" s="42" t="str">
        <f aca="false">IF(OR(A687="",B687=""),"",DATE(YEAR(B687),MONTH(B687),1))</f>
        <v/>
      </c>
      <c r="F687" s="36" t="n">
        <f aca="false">IF(OR(E687="",D687=""),0,IF(C687="Actual",D687,IF(COUNTIFS($A$2:$A$2001,A687,$E$2:$E$2001,E687,$C$2:$C$2001,"Actual")&gt;0,0,D687)))</f>
        <v>0</v>
      </c>
    </row>
    <row r="688" customFormat="false" ht="15" hidden="false" customHeight="false" outlineLevel="0" collapsed="false">
      <c r="A688" s="32"/>
      <c r="B688" s="35"/>
      <c r="C688" s="32"/>
      <c r="D688" s="34"/>
      <c r="E688" s="42" t="str">
        <f aca="false">IF(OR(A688="",B688=""),"",DATE(YEAR(B688),MONTH(B688),1))</f>
        <v/>
      </c>
      <c r="F688" s="36" t="n">
        <f aca="false">IF(OR(E688="",D688=""),0,IF(C688="Actual",D688,IF(COUNTIFS($A$2:$A$2001,A688,$E$2:$E$2001,E688,$C$2:$C$2001,"Actual")&gt;0,0,D688)))</f>
        <v>0</v>
      </c>
    </row>
    <row r="689" customFormat="false" ht="15" hidden="false" customHeight="false" outlineLevel="0" collapsed="false">
      <c r="A689" s="32"/>
      <c r="B689" s="35"/>
      <c r="C689" s="32"/>
      <c r="D689" s="34"/>
      <c r="E689" s="42" t="str">
        <f aca="false">IF(OR(A689="",B689=""),"",DATE(YEAR(B689),MONTH(B689),1))</f>
        <v/>
      </c>
      <c r="F689" s="36" t="n">
        <f aca="false">IF(OR(E689="",D689=""),0,IF(C689="Actual",D689,IF(COUNTIFS($A$2:$A$2001,A689,$E$2:$E$2001,E689,$C$2:$C$2001,"Actual")&gt;0,0,D689)))</f>
        <v>0</v>
      </c>
    </row>
    <row r="690" customFormat="false" ht="15" hidden="false" customHeight="false" outlineLevel="0" collapsed="false">
      <c r="A690" s="32"/>
      <c r="B690" s="35"/>
      <c r="C690" s="32"/>
      <c r="D690" s="34"/>
      <c r="E690" s="42" t="str">
        <f aca="false">IF(OR(A690="",B690=""),"",DATE(YEAR(B690),MONTH(B690),1))</f>
        <v/>
      </c>
      <c r="F690" s="36" t="n">
        <f aca="false">IF(OR(E690="",D690=""),0,IF(C690="Actual",D690,IF(COUNTIFS($A$2:$A$2001,A690,$E$2:$E$2001,E690,$C$2:$C$2001,"Actual")&gt;0,0,D690)))</f>
        <v>0</v>
      </c>
    </row>
    <row r="691" customFormat="false" ht="15" hidden="false" customHeight="false" outlineLevel="0" collapsed="false">
      <c r="A691" s="32"/>
      <c r="B691" s="35"/>
      <c r="C691" s="32"/>
      <c r="D691" s="34"/>
      <c r="E691" s="42" t="str">
        <f aca="false">IF(OR(A691="",B691=""),"",DATE(YEAR(B691),MONTH(B691),1))</f>
        <v/>
      </c>
      <c r="F691" s="36" t="n">
        <f aca="false">IF(OR(E691="",D691=""),0,IF(C691="Actual",D691,IF(COUNTIFS($A$2:$A$2001,A691,$E$2:$E$2001,E691,$C$2:$C$2001,"Actual")&gt;0,0,D691)))</f>
        <v>0</v>
      </c>
    </row>
    <row r="692" customFormat="false" ht="15" hidden="false" customHeight="false" outlineLevel="0" collapsed="false">
      <c r="A692" s="32"/>
      <c r="B692" s="35"/>
      <c r="C692" s="32"/>
      <c r="D692" s="34"/>
      <c r="E692" s="42" t="str">
        <f aca="false">IF(OR(A692="",B692=""),"",DATE(YEAR(B692),MONTH(B692),1))</f>
        <v/>
      </c>
      <c r="F692" s="36" t="n">
        <f aca="false">IF(OR(E692="",D692=""),0,IF(C692="Actual",D692,IF(COUNTIFS($A$2:$A$2001,A692,$E$2:$E$2001,E692,$C$2:$C$2001,"Actual")&gt;0,0,D692)))</f>
        <v>0</v>
      </c>
    </row>
    <row r="693" customFormat="false" ht="15" hidden="false" customHeight="false" outlineLevel="0" collapsed="false">
      <c r="A693" s="32"/>
      <c r="B693" s="35"/>
      <c r="C693" s="32"/>
      <c r="D693" s="34"/>
      <c r="E693" s="42" t="str">
        <f aca="false">IF(OR(A693="",B693=""),"",DATE(YEAR(B693),MONTH(B693),1))</f>
        <v/>
      </c>
      <c r="F693" s="36" t="n">
        <f aca="false">IF(OR(E693="",D693=""),0,IF(C693="Actual",D693,IF(COUNTIFS($A$2:$A$2001,A693,$E$2:$E$2001,E693,$C$2:$C$2001,"Actual")&gt;0,0,D693)))</f>
        <v>0</v>
      </c>
    </row>
    <row r="694" customFormat="false" ht="15" hidden="false" customHeight="false" outlineLevel="0" collapsed="false">
      <c r="A694" s="32"/>
      <c r="B694" s="35"/>
      <c r="C694" s="32"/>
      <c r="D694" s="34"/>
      <c r="E694" s="42" t="str">
        <f aca="false">IF(OR(A694="",B694=""),"",DATE(YEAR(B694),MONTH(B694),1))</f>
        <v/>
      </c>
      <c r="F694" s="36" t="n">
        <f aca="false">IF(OR(E694="",D694=""),0,IF(C694="Actual",D694,IF(COUNTIFS($A$2:$A$2001,A694,$E$2:$E$2001,E694,$C$2:$C$2001,"Actual")&gt;0,0,D694)))</f>
        <v>0</v>
      </c>
    </row>
    <row r="695" customFormat="false" ht="15" hidden="false" customHeight="false" outlineLevel="0" collapsed="false">
      <c r="A695" s="32"/>
      <c r="B695" s="35"/>
      <c r="C695" s="32"/>
      <c r="D695" s="34"/>
      <c r="E695" s="42" t="str">
        <f aca="false">IF(OR(A695="",B695=""),"",DATE(YEAR(B695),MONTH(B695),1))</f>
        <v/>
      </c>
      <c r="F695" s="36" t="n">
        <f aca="false">IF(OR(E695="",D695=""),0,IF(C695="Actual",D695,IF(COUNTIFS($A$2:$A$2001,A695,$E$2:$E$2001,E695,$C$2:$C$2001,"Actual")&gt;0,0,D695)))</f>
        <v>0</v>
      </c>
    </row>
    <row r="696" customFormat="false" ht="15" hidden="false" customHeight="false" outlineLevel="0" collapsed="false">
      <c r="A696" s="32"/>
      <c r="B696" s="35"/>
      <c r="C696" s="32"/>
      <c r="D696" s="34"/>
      <c r="E696" s="42" t="str">
        <f aca="false">IF(OR(A696="",B696=""),"",DATE(YEAR(B696),MONTH(B696),1))</f>
        <v/>
      </c>
      <c r="F696" s="36" t="n">
        <f aca="false">IF(OR(E696="",D696=""),0,IF(C696="Actual",D696,IF(COUNTIFS($A$2:$A$2001,A696,$E$2:$E$2001,E696,$C$2:$C$2001,"Actual")&gt;0,0,D696)))</f>
        <v>0</v>
      </c>
    </row>
    <row r="697" customFormat="false" ht="15" hidden="false" customHeight="false" outlineLevel="0" collapsed="false">
      <c r="A697" s="32"/>
      <c r="B697" s="35"/>
      <c r="C697" s="32"/>
      <c r="D697" s="34"/>
      <c r="E697" s="42" t="str">
        <f aca="false">IF(OR(A697="",B697=""),"",DATE(YEAR(B697),MONTH(B697),1))</f>
        <v/>
      </c>
      <c r="F697" s="36" t="n">
        <f aca="false">IF(OR(E697="",D697=""),0,IF(C697="Actual",D697,IF(COUNTIFS($A$2:$A$2001,A697,$E$2:$E$2001,E697,$C$2:$C$2001,"Actual")&gt;0,0,D697)))</f>
        <v>0</v>
      </c>
    </row>
    <row r="698" customFormat="false" ht="15" hidden="false" customHeight="false" outlineLevel="0" collapsed="false">
      <c r="A698" s="32"/>
      <c r="B698" s="35"/>
      <c r="C698" s="32"/>
      <c r="D698" s="34"/>
      <c r="E698" s="42" t="str">
        <f aca="false">IF(OR(A698="",B698=""),"",DATE(YEAR(B698),MONTH(B698),1))</f>
        <v/>
      </c>
      <c r="F698" s="36" t="n">
        <f aca="false">IF(OR(E698="",D698=""),0,IF(C698="Actual",D698,IF(COUNTIFS($A$2:$A$2001,A698,$E$2:$E$2001,E698,$C$2:$C$2001,"Actual")&gt;0,0,D698)))</f>
        <v>0</v>
      </c>
    </row>
    <row r="699" customFormat="false" ht="15" hidden="false" customHeight="false" outlineLevel="0" collapsed="false">
      <c r="A699" s="32"/>
      <c r="B699" s="35"/>
      <c r="C699" s="32"/>
      <c r="D699" s="34"/>
      <c r="E699" s="42" t="str">
        <f aca="false">IF(OR(A699="",B699=""),"",DATE(YEAR(B699),MONTH(B699),1))</f>
        <v/>
      </c>
      <c r="F699" s="36" t="n">
        <f aca="false">IF(OR(E699="",D699=""),0,IF(C699="Actual",D699,IF(COUNTIFS($A$2:$A$2001,A699,$E$2:$E$2001,E699,$C$2:$C$2001,"Actual")&gt;0,0,D699)))</f>
        <v>0</v>
      </c>
    </row>
    <row r="700" customFormat="false" ht="15" hidden="false" customHeight="false" outlineLevel="0" collapsed="false">
      <c r="A700" s="32"/>
      <c r="B700" s="35"/>
      <c r="C700" s="32"/>
      <c r="D700" s="34"/>
      <c r="E700" s="42" t="str">
        <f aca="false">IF(OR(A700="",B700=""),"",DATE(YEAR(B700),MONTH(B700),1))</f>
        <v/>
      </c>
      <c r="F700" s="36" t="n">
        <f aca="false">IF(OR(E700="",D700=""),0,IF(C700="Actual",D700,IF(COUNTIFS($A$2:$A$2001,A700,$E$2:$E$2001,E700,$C$2:$C$2001,"Actual")&gt;0,0,D700)))</f>
        <v>0</v>
      </c>
    </row>
    <row r="701" customFormat="false" ht="15" hidden="false" customHeight="false" outlineLevel="0" collapsed="false">
      <c r="A701" s="32"/>
      <c r="B701" s="35"/>
      <c r="C701" s="32"/>
      <c r="D701" s="34"/>
      <c r="E701" s="42" t="str">
        <f aca="false">IF(OR(A701="",B701=""),"",DATE(YEAR(B701),MONTH(B701),1))</f>
        <v/>
      </c>
      <c r="F701" s="36" t="n">
        <f aca="false">IF(OR(E701="",D701=""),0,IF(C701="Actual",D701,IF(COUNTIFS($A$2:$A$2001,A701,$E$2:$E$2001,E701,$C$2:$C$2001,"Actual")&gt;0,0,D701)))</f>
        <v>0</v>
      </c>
    </row>
    <row r="702" customFormat="false" ht="15" hidden="false" customHeight="false" outlineLevel="0" collapsed="false">
      <c r="A702" s="32"/>
      <c r="B702" s="35"/>
      <c r="C702" s="32"/>
      <c r="D702" s="34"/>
      <c r="E702" s="42" t="str">
        <f aca="false">IF(OR(A702="",B702=""),"",DATE(YEAR(B702),MONTH(B702),1))</f>
        <v/>
      </c>
      <c r="F702" s="36" t="n">
        <f aca="false">IF(OR(E702="",D702=""),0,IF(C702="Actual",D702,IF(COUNTIFS($A$2:$A$2001,A702,$E$2:$E$2001,E702,$C$2:$C$2001,"Actual")&gt;0,0,D702)))</f>
        <v>0</v>
      </c>
    </row>
    <row r="703" customFormat="false" ht="15" hidden="false" customHeight="false" outlineLevel="0" collapsed="false">
      <c r="A703" s="32"/>
      <c r="B703" s="35"/>
      <c r="C703" s="32"/>
      <c r="D703" s="34"/>
      <c r="E703" s="42" t="str">
        <f aca="false">IF(OR(A703="",B703=""),"",DATE(YEAR(B703),MONTH(B703),1))</f>
        <v/>
      </c>
      <c r="F703" s="36" t="n">
        <f aca="false">IF(OR(E703="",D703=""),0,IF(C703="Actual",D703,IF(COUNTIFS($A$2:$A$2001,A703,$E$2:$E$2001,E703,$C$2:$C$2001,"Actual")&gt;0,0,D703)))</f>
        <v>0</v>
      </c>
    </row>
    <row r="704" customFormat="false" ht="15" hidden="false" customHeight="false" outlineLevel="0" collapsed="false">
      <c r="A704" s="32"/>
      <c r="B704" s="35"/>
      <c r="C704" s="32"/>
      <c r="D704" s="34"/>
      <c r="E704" s="42" t="str">
        <f aca="false">IF(OR(A704="",B704=""),"",DATE(YEAR(B704),MONTH(B704),1))</f>
        <v/>
      </c>
      <c r="F704" s="36" t="n">
        <f aca="false">IF(OR(E704="",D704=""),0,IF(C704="Actual",D704,IF(COUNTIFS($A$2:$A$2001,A704,$E$2:$E$2001,E704,$C$2:$C$2001,"Actual")&gt;0,0,D704)))</f>
        <v>0</v>
      </c>
    </row>
    <row r="705" customFormat="false" ht="15" hidden="false" customHeight="false" outlineLevel="0" collapsed="false">
      <c r="A705" s="32"/>
      <c r="B705" s="35"/>
      <c r="C705" s="32"/>
      <c r="D705" s="34"/>
      <c r="E705" s="42" t="str">
        <f aca="false">IF(OR(A705="",B705=""),"",DATE(YEAR(B705),MONTH(B705),1))</f>
        <v/>
      </c>
      <c r="F705" s="36" t="n">
        <f aca="false">IF(OR(E705="",D705=""),0,IF(C705="Actual",D705,IF(COUNTIFS($A$2:$A$2001,A705,$E$2:$E$2001,E705,$C$2:$C$2001,"Actual")&gt;0,0,D705)))</f>
        <v>0</v>
      </c>
    </row>
    <row r="706" customFormat="false" ht="15" hidden="false" customHeight="false" outlineLevel="0" collapsed="false">
      <c r="A706" s="32"/>
      <c r="B706" s="35"/>
      <c r="C706" s="32"/>
      <c r="D706" s="34"/>
      <c r="E706" s="42" t="str">
        <f aca="false">IF(OR(A706="",B706=""),"",DATE(YEAR(B706),MONTH(B706),1))</f>
        <v/>
      </c>
      <c r="F706" s="36" t="n">
        <f aca="false">IF(OR(E706="",D706=""),0,IF(C706="Actual",D706,IF(COUNTIFS($A$2:$A$2001,A706,$E$2:$E$2001,E706,$C$2:$C$2001,"Actual")&gt;0,0,D706)))</f>
        <v>0</v>
      </c>
    </row>
    <row r="707" customFormat="false" ht="15" hidden="false" customHeight="false" outlineLevel="0" collapsed="false">
      <c r="A707" s="32"/>
      <c r="B707" s="35"/>
      <c r="C707" s="32"/>
      <c r="D707" s="34"/>
      <c r="E707" s="42" t="str">
        <f aca="false">IF(OR(A707="",B707=""),"",DATE(YEAR(B707),MONTH(B707),1))</f>
        <v/>
      </c>
      <c r="F707" s="36" t="n">
        <f aca="false">IF(OR(E707="",D707=""),0,IF(C707="Actual",D707,IF(COUNTIFS($A$2:$A$2001,A707,$E$2:$E$2001,E707,$C$2:$C$2001,"Actual")&gt;0,0,D707)))</f>
        <v>0</v>
      </c>
    </row>
    <row r="708" customFormat="false" ht="15" hidden="false" customHeight="false" outlineLevel="0" collapsed="false">
      <c r="A708" s="32"/>
      <c r="B708" s="35"/>
      <c r="C708" s="32"/>
      <c r="D708" s="34"/>
      <c r="E708" s="42" t="str">
        <f aca="false">IF(OR(A708="",B708=""),"",DATE(YEAR(B708),MONTH(B708),1))</f>
        <v/>
      </c>
      <c r="F708" s="36" t="n">
        <f aca="false">IF(OR(E708="",D708=""),0,IF(C708="Actual",D708,IF(COUNTIFS($A$2:$A$2001,A708,$E$2:$E$2001,E708,$C$2:$C$2001,"Actual")&gt;0,0,D708)))</f>
        <v>0</v>
      </c>
    </row>
    <row r="709" customFormat="false" ht="15" hidden="false" customHeight="false" outlineLevel="0" collapsed="false">
      <c r="A709" s="32"/>
      <c r="B709" s="35"/>
      <c r="C709" s="32"/>
      <c r="D709" s="34"/>
      <c r="E709" s="42" t="str">
        <f aca="false">IF(OR(A709="",B709=""),"",DATE(YEAR(B709),MONTH(B709),1))</f>
        <v/>
      </c>
      <c r="F709" s="36" t="n">
        <f aca="false">IF(OR(E709="",D709=""),0,IF(C709="Actual",D709,IF(COUNTIFS($A$2:$A$2001,A709,$E$2:$E$2001,E709,$C$2:$C$2001,"Actual")&gt;0,0,D709)))</f>
        <v>0</v>
      </c>
    </row>
    <row r="710" customFormat="false" ht="15" hidden="false" customHeight="false" outlineLevel="0" collapsed="false">
      <c r="A710" s="32"/>
      <c r="B710" s="35"/>
      <c r="C710" s="32"/>
      <c r="D710" s="34"/>
      <c r="E710" s="42" t="str">
        <f aca="false">IF(OR(A710="",B710=""),"",DATE(YEAR(B710),MONTH(B710),1))</f>
        <v/>
      </c>
      <c r="F710" s="36" t="n">
        <f aca="false">IF(OR(E710="",D710=""),0,IF(C710="Actual",D710,IF(COUNTIFS($A$2:$A$2001,A710,$E$2:$E$2001,E710,$C$2:$C$2001,"Actual")&gt;0,0,D710)))</f>
        <v>0</v>
      </c>
    </row>
    <row r="711" customFormat="false" ht="15" hidden="false" customHeight="false" outlineLevel="0" collapsed="false">
      <c r="A711" s="32"/>
      <c r="B711" s="35"/>
      <c r="C711" s="32"/>
      <c r="D711" s="34"/>
      <c r="E711" s="42" t="str">
        <f aca="false">IF(OR(A711="",B711=""),"",DATE(YEAR(B711),MONTH(B711),1))</f>
        <v/>
      </c>
      <c r="F711" s="36" t="n">
        <f aca="false">IF(OR(E711="",D711=""),0,IF(C711="Actual",D711,IF(COUNTIFS($A$2:$A$2001,A711,$E$2:$E$2001,E711,$C$2:$C$2001,"Actual")&gt;0,0,D711)))</f>
        <v>0</v>
      </c>
    </row>
    <row r="712" customFormat="false" ht="15" hidden="false" customHeight="false" outlineLevel="0" collapsed="false">
      <c r="A712" s="32"/>
      <c r="B712" s="35"/>
      <c r="C712" s="32"/>
      <c r="D712" s="34"/>
      <c r="E712" s="42" t="str">
        <f aca="false">IF(OR(A712="",B712=""),"",DATE(YEAR(B712),MONTH(B712),1))</f>
        <v/>
      </c>
      <c r="F712" s="36" t="n">
        <f aca="false">IF(OR(E712="",D712=""),0,IF(C712="Actual",D712,IF(COUNTIFS($A$2:$A$2001,A712,$E$2:$E$2001,E712,$C$2:$C$2001,"Actual")&gt;0,0,D712)))</f>
        <v>0</v>
      </c>
    </row>
    <row r="713" customFormat="false" ht="15" hidden="false" customHeight="false" outlineLevel="0" collapsed="false">
      <c r="A713" s="32"/>
      <c r="B713" s="35"/>
      <c r="C713" s="32"/>
      <c r="D713" s="34"/>
      <c r="E713" s="42" t="str">
        <f aca="false">IF(OR(A713="",B713=""),"",DATE(YEAR(B713),MONTH(B713),1))</f>
        <v/>
      </c>
      <c r="F713" s="36" t="n">
        <f aca="false">IF(OR(E713="",D713=""),0,IF(C713="Actual",D713,IF(COUNTIFS($A$2:$A$2001,A713,$E$2:$E$2001,E713,$C$2:$C$2001,"Actual")&gt;0,0,D713)))</f>
        <v>0</v>
      </c>
    </row>
    <row r="714" customFormat="false" ht="15" hidden="false" customHeight="false" outlineLevel="0" collapsed="false">
      <c r="A714" s="32"/>
      <c r="B714" s="35"/>
      <c r="C714" s="32"/>
      <c r="D714" s="34"/>
      <c r="E714" s="42" t="str">
        <f aca="false">IF(OR(A714="",B714=""),"",DATE(YEAR(B714),MONTH(B714),1))</f>
        <v/>
      </c>
      <c r="F714" s="36" t="n">
        <f aca="false">IF(OR(E714="",D714=""),0,IF(C714="Actual",D714,IF(COUNTIFS($A$2:$A$2001,A714,$E$2:$E$2001,E714,$C$2:$C$2001,"Actual")&gt;0,0,D714)))</f>
        <v>0</v>
      </c>
    </row>
    <row r="715" customFormat="false" ht="15" hidden="false" customHeight="false" outlineLevel="0" collapsed="false">
      <c r="A715" s="32"/>
      <c r="B715" s="35"/>
      <c r="C715" s="32"/>
      <c r="D715" s="34"/>
      <c r="E715" s="42" t="str">
        <f aca="false">IF(OR(A715="",B715=""),"",DATE(YEAR(B715),MONTH(B715),1))</f>
        <v/>
      </c>
      <c r="F715" s="36" t="n">
        <f aca="false">IF(OR(E715="",D715=""),0,IF(C715="Actual",D715,IF(COUNTIFS($A$2:$A$2001,A715,$E$2:$E$2001,E715,$C$2:$C$2001,"Actual")&gt;0,0,D715)))</f>
        <v>0</v>
      </c>
    </row>
    <row r="716" customFormat="false" ht="15" hidden="false" customHeight="false" outlineLevel="0" collapsed="false">
      <c r="A716" s="32"/>
      <c r="B716" s="35"/>
      <c r="C716" s="32"/>
      <c r="D716" s="34"/>
      <c r="E716" s="42" t="str">
        <f aca="false">IF(OR(A716="",B716=""),"",DATE(YEAR(B716),MONTH(B716),1))</f>
        <v/>
      </c>
      <c r="F716" s="36" t="n">
        <f aca="false">IF(OR(E716="",D716=""),0,IF(C716="Actual",D716,IF(COUNTIFS($A$2:$A$2001,A716,$E$2:$E$2001,E716,$C$2:$C$2001,"Actual")&gt;0,0,D716)))</f>
        <v>0</v>
      </c>
    </row>
    <row r="717" customFormat="false" ht="15" hidden="false" customHeight="false" outlineLevel="0" collapsed="false">
      <c r="A717" s="32"/>
      <c r="B717" s="35"/>
      <c r="C717" s="32"/>
      <c r="D717" s="34"/>
      <c r="E717" s="42" t="str">
        <f aca="false">IF(OR(A717="",B717=""),"",DATE(YEAR(B717),MONTH(B717),1))</f>
        <v/>
      </c>
      <c r="F717" s="36" t="n">
        <f aca="false">IF(OR(E717="",D717=""),0,IF(C717="Actual",D717,IF(COUNTIFS($A$2:$A$2001,A717,$E$2:$E$2001,E717,$C$2:$C$2001,"Actual")&gt;0,0,D717)))</f>
        <v>0</v>
      </c>
    </row>
    <row r="718" customFormat="false" ht="15" hidden="false" customHeight="false" outlineLevel="0" collapsed="false">
      <c r="A718" s="32"/>
      <c r="B718" s="35"/>
      <c r="C718" s="32"/>
      <c r="D718" s="34"/>
      <c r="E718" s="42" t="str">
        <f aca="false">IF(OR(A718="",B718=""),"",DATE(YEAR(B718),MONTH(B718),1))</f>
        <v/>
      </c>
      <c r="F718" s="36" t="n">
        <f aca="false">IF(OR(E718="",D718=""),0,IF(C718="Actual",D718,IF(COUNTIFS($A$2:$A$2001,A718,$E$2:$E$2001,E718,$C$2:$C$2001,"Actual")&gt;0,0,D718)))</f>
        <v>0</v>
      </c>
    </row>
    <row r="719" customFormat="false" ht="15" hidden="false" customHeight="false" outlineLevel="0" collapsed="false">
      <c r="A719" s="32"/>
      <c r="B719" s="35"/>
      <c r="C719" s="32"/>
      <c r="D719" s="34"/>
      <c r="E719" s="42" t="str">
        <f aca="false">IF(OR(A719="",B719=""),"",DATE(YEAR(B719),MONTH(B719),1))</f>
        <v/>
      </c>
      <c r="F719" s="36" t="n">
        <f aca="false">IF(OR(E719="",D719=""),0,IF(C719="Actual",D719,IF(COUNTIFS($A$2:$A$2001,A719,$E$2:$E$2001,E719,$C$2:$C$2001,"Actual")&gt;0,0,D719)))</f>
        <v>0</v>
      </c>
    </row>
    <row r="720" customFormat="false" ht="15" hidden="false" customHeight="false" outlineLevel="0" collapsed="false">
      <c r="A720" s="32"/>
      <c r="B720" s="35"/>
      <c r="C720" s="32"/>
      <c r="D720" s="34"/>
      <c r="E720" s="42" t="str">
        <f aca="false">IF(OR(A720="",B720=""),"",DATE(YEAR(B720),MONTH(B720),1))</f>
        <v/>
      </c>
      <c r="F720" s="36" t="n">
        <f aca="false">IF(OR(E720="",D720=""),0,IF(C720="Actual",D720,IF(COUNTIFS($A$2:$A$2001,A720,$E$2:$E$2001,E720,$C$2:$C$2001,"Actual")&gt;0,0,D720)))</f>
        <v>0</v>
      </c>
    </row>
    <row r="721" customFormat="false" ht="15" hidden="false" customHeight="false" outlineLevel="0" collapsed="false">
      <c r="A721" s="32"/>
      <c r="B721" s="35"/>
      <c r="C721" s="32"/>
      <c r="D721" s="34"/>
      <c r="E721" s="42" t="str">
        <f aca="false">IF(OR(A721="",B721=""),"",DATE(YEAR(B721),MONTH(B721),1))</f>
        <v/>
      </c>
      <c r="F721" s="36" t="n">
        <f aca="false">IF(OR(E721="",D721=""),0,IF(C721="Actual",D721,IF(COUNTIFS($A$2:$A$2001,A721,$E$2:$E$2001,E721,$C$2:$C$2001,"Actual")&gt;0,0,D721)))</f>
        <v>0</v>
      </c>
    </row>
    <row r="722" customFormat="false" ht="15" hidden="false" customHeight="false" outlineLevel="0" collapsed="false">
      <c r="A722" s="32"/>
      <c r="B722" s="35"/>
      <c r="C722" s="32"/>
      <c r="D722" s="34"/>
      <c r="E722" s="42" t="str">
        <f aca="false">IF(OR(A722="",B722=""),"",DATE(YEAR(B722),MONTH(B722),1))</f>
        <v/>
      </c>
      <c r="F722" s="36" t="n">
        <f aca="false">IF(OR(E722="",D722=""),0,IF(C722="Actual",D722,IF(COUNTIFS($A$2:$A$2001,A722,$E$2:$E$2001,E722,$C$2:$C$2001,"Actual")&gt;0,0,D722)))</f>
        <v>0</v>
      </c>
    </row>
    <row r="723" customFormat="false" ht="15" hidden="false" customHeight="false" outlineLevel="0" collapsed="false">
      <c r="A723" s="32"/>
      <c r="B723" s="35"/>
      <c r="C723" s="32"/>
      <c r="D723" s="34"/>
      <c r="E723" s="42" t="str">
        <f aca="false">IF(OR(A723="",B723=""),"",DATE(YEAR(B723),MONTH(B723),1))</f>
        <v/>
      </c>
      <c r="F723" s="36" t="n">
        <f aca="false">IF(OR(E723="",D723=""),0,IF(C723="Actual",D723,IF(COUNTIFS($A$2:$A$2001,A723,$E$2:$E$2001,E723,$C$2:$C$2001,"Actual")&gt;0,0,D723)))</f>
        <v>0</v>
      </c>
    </row>
    <row r="724" customFormat="false" ht="15" hidden="false" customHeight="false" outlineLevel="0" collapsed="false">
      <c r="A724" s="32"/>
      <c r="B724" s="35"/>
      <c r="C724" s="32"/>
      <c r="D724" s="34"/>
      <c r="E724" s="42" t="str">
        <f aca="false">IF(OR(A724="",B724=""),"",DATE(YEAR(B724),MONTH(B724),1))</f>
        <v/>
      </c>
      <c r="F724" s="36" t="n">
        <f aca="false">IF(OR(E724="",D724=""),0,IF(C724="Actual",D724,IF(COUNTIFS($A$2:$A$2001,A724,$E$2:$E$2001,E724,$C$2:$C$2001,"Actual")&gt;0,0,D724)))</f>
        <v>0</v>
      </c>
    </row>
    <row r="725" customFormat="false" ht="15" hidden="false" customHeight="false" outlineLevel="0" collapsed="false">
      <c r="A725" s="32"/>
      <c r="B725" s="35"/>
      <c r="C725" s="32"/>
      <c r="D725" s="34"/>
      <c r="E725" s="42" t="str">
        <f aca="false">IF(OR(A725="",B725=""),"",DATE(YEAR(B725),MONTH(B725),1))</f>
        <v/>
      </c>
      <c r="F725" s="36" t="n">
        <f aca="false">IF(OR(E725="",D725=""),0,IF(C725="Actual",D725,IF(COUNTIFS($A$2:$A$2001,A725,$E$2:$E$2001,E725,$C$2:$C$2001,"Actual")&gt;0,0,D725)))</f>
        <v>0</v>
      </c>
    </row>
    <row r="726" customFormat="false" ht="15" hidden="false" customHeight="false" outlineLevel="0" collapsed="false">
      <c r="A726" s="32"/>
      <c r="B726" s="35"/>
      <c r="C726" s="32"/>
      <c r="D726" s="34"/>
      <c r="E726" s="42" t="str">
        <f aca="false">IF(OR(A726="",B726=""),"",DATE(YEAR(B726),MONTH(B726),1))</f>
        <v/>
      </c>
      <c r="F726" s="36" t="n">
        <f aca="false">IF(OR(E726="",D726=""),0,IF(C726="Actual",D726,IF(COUNTIFS($A$2:$A$2001,A726,$E$2:$E$2001,E726,$C$2:$C$2001,"Actual")&gt;0,0,D726)))</f>
        <v>0</v>
      </c>
    </row>
    <row r="727" customFormat="false" ht="15" hidden="false" customHeight="false" outlineLevel="0" collapsed="false">
      <c r="A727" s="32"/>
      <c r="B727" s="35"/>
      <c r="C727" s="32"/>
      <c r="D727" s="34"/>
      <c r="E727" s="42" t="str">
        <f aca="false">IF(OR(A727="",B727=""),"",DATE(YEAR(B727),MONTH(B727),1))</f>
        <v/>
      </c>
      <c r="F727" s="36" t="n">
        <f aca="false">IF(OR(E727="",D727=""),0,IF(C727="Actual",D727,IF(COUNTIFS($A$2:$A$2001,A727,$E$2:$E$2001,E727,$C$2:$C$2001,"Actual")&gt;0,0,D727)))</f>
        <v>0</v>
      </c>
    </row>
    <row r="728" customFormat="false" ht="15" hidden="false" customHeight="false" outlineLevel="0" collapsed="false">
      <c r="A728" s="32"/>
      <c r="B728" s="35"/>
      <c r="C728" s="32"/>
      <c r="D728" s="34"/>
      <c r="E728" s="42" t="str">
        <f aca="false">IF(OR(A728="",B728=""),"",DATE(YEAR(B728),MONTH(B728),1))</f>
        <v/>
      </c>
      <c r="F728" s="36" t="n">
        <f aca="false">IF(OR(E728="",D728=""),0,IF(C728="Actual",D728,IF(COUNTIFS($A$2:$A$2001,A728,$E$2:$E$2001,E728,$C$2:$C$2001,"Actual")&gt;0,0,D728)))</f>
        <v>0</v>
      </c>
    </row>
    <row r="729" customFormat="false" ht="15" hidden="false" customHeight="false" outlineLevel="0" collapsed="false">
      <c r="A729" s="32"/>
      <c r="B729" s="35"/>
      <c r="C729" s="32"/>
      <c r="D729" s="34"/>
      <c r="E729" s="42" t="str">
        <f aca="false">IF(OR(A729="",B729=""),"",DATE(YEAR(B729),MONTH(B729),1))</f>
        <v/>
      </c>
      <c r="F729" s="36" t="n">
        <f aca="false">IF(OR(E729="",D729=""),0,IF(C729="Actual",D729,IF(COUNTIFS($A$2:$A$2001,A729,$E$2:$E$2001,E729,$C$2:$C$2001,"Actual")&gt;0,0,D729)))</f>
        <v>0</v>
      </c>
    </row>
    <row r="730" customFormat="false" ht="15" hidden="false" customHeight="false" outlineLevel="0" collapsed="false">
      <c r="A730" s="32"/>
      <c r="B730" s="35"/>
      <c r="C730" s="32"/>
      <c r="D730" s="34"/>
      <c r="E730" s="42" t="str">
        <f aca="false">IF(OR(A730="",B730=""),"",DATE(YEAR(B730),MONTH(B730),1))</f>
        <v/>
      </c>
      <c r="F730" s="36" t="n">
        <f aca="false">IF(OR(E730="",D730=""),0,IF(C730="Actual",D730,IF(COUNTIFS($A$2:$A$2001,A730,$E$2:$E$2001,E730,$C$2:$C$2001,"Actual")&gt;0,0,D730)))</f>
        <v>0</v>
      </c>
    </row>
    <row r="731" customFormat="false" ht="15" hidden="false" customHeight="false" outlineLevel="0" collapsed="false">
      <c r="A731" s="32"/>
      <c r="B731" s="35"/>
      <c r="C731" s="32"/>
      <c r="D731" s="34"/>
      <c r="E731" s="42" t="str">
        <f aca="false">IF(OR(A731="",B731=""),"",DATE(YEAR(B731),MONTH(B731),1))</f>
        <v/>
      </c>
      <c r="F731" s="36" t="n">
        <f aca="false">IF(OR(E731="",D731=""),0,IF(C731="Actual",D731,IF(COUNTIFS($A$2:$A$2001,A731,$E$2:$E$2001,E731,$C$2:$C$2001,"Actual")&gt;0,0,D731)))</f>
        <v>0</v>
      </c>
    </row>
    <row r="732" customFormat="false" ht="15" hidden="false" customHeight="false" outlineLevel="0" collapsed="false">
      <c r="A732" s="32"/>
      <c r="B732" s="35"/>
      <c r="C732" s="32"/>
      <c r="D732" s="34"/>
      <c r="E732" s="42" t="str">
        <f aca="false">IF(OR(A732="",B732=""),"",DATE(YEAR(B732),MONTH(B732),1))</f>
        <v/>
      </c>
      <c r="F732" s="36" t="n">
        <f aca="false">IF(OR(E732="",D732=""),0,IF(C732="Actual",D732,IF(COUNTIFS($A$2:$A$2001,A732,$E$2:$E$2001,E732,$C$2:$C$2001,"Actual")&gt;0,0,D732)))</f>
        <v>0</v>
      </c>
    </row>
    <row r="733" customFormat="false" ht="15" hidden="false" customHeight="false" outlineLevel="0" collapsed="false">
      <c r="A733" s="32"/>
      <c r="B733" s="35"/>
      <c r="C733" s="32"/>
      <c r="D733" s="34"/>
      <c r="E733" s="42" t="str">
        <f aca="false">IF(OR(A733="",B733=""),"",DATE(YEAR(B733),MONTH(B733),1))</f>
        <v/>
      </c>
      <c r="F733" s="36" t="n">
        <f aca="false">IF(OR(E733="",D733=""),0,IF(C733="Actual",D733,IF(COUNTIFS($A$2:$A$2001,A733,$E$2:$E$2001,E733,$C$2:$C$2001,"Actual")&gt;0,0,D733)))</f>
        <v>0</v>
      </c>
    </row>
    <row r="734" customFormat="false" ht="15" hidden="false" customHeight="false" outlineLevel="0" collapsed="false">
      <c r="A734" s="32"/>
      <c r="B734" s="35"/>
      <c r="C734" s="32"/>
      <c r="D734" s="34"/>
      <c r="E734" s="42" t="str">
        <f aca="false">IF(OR(A734="",B734=""),"",DATE(YEAR(B734),MONTH(B734),1))</f>
        <v/>
      </c>
      <c r="F734" s="36" t="n">
        <f aca="false">IF(OR(E734="",D734=""),0,IF(C734="Actual",D734,IF(COUNTIFS($A$2:$A$2001,A734,$E$2:$E$2001,E734,$C$2:$C$2001,"Actual")&gt;0,0,D734)))</f>
        <v>0</v>
      </c>
    </row>
    <row r="735" customFormat="false" ht="15" hidden="false" customHeight="false" outlineLevel="0" collapsed="false">
      <c r="A735" s="32"/>
      <c r="B735" s="35"/>
      <c r="C735" s="32"/>
      <c r="D735" s="34"/>
      <c r="E735" s="42" t="str">
        <f aca="false">IF(OR(A735="",B735=""),"",DATE(YEAR(B735),MONTH(B735),1))</f>
        <v/>
      </c>
      <c r="F735" s="36" t="n">
        <f aca="false">IF(OR(E735="",D735=""),0,IF(C735="Actual",D735,IF(COUNTIFS($A$2:$A$2001,A735,$E$2:$E$2001,E735,$C$2:$C$2001,"Actual")&gt;0,0,D735)))</f>
        <v>0</v>
      </c>
    </row>
    <row r="736" customFormat="false" ht="15" hidden="false" customHeight="false" outlineLevel="0" collapsed="false">
      <c r="A736" s="32"/>
      <c r="B736" s="35"/>
      <c r="C736" s="32"/>
      <c r="D736" s="34"/>
      <c r="E736" s="42" t="str">
        <f aca="false">IF(OR(A736="",B736=""),"",DATE(YEAR(B736),MONTH(B736),1))</f>
        <v/>
      </c>
      <c r="F736" s="36" t="n">
        <f aca="false">IF(OR(E736="",D736=""),0,IF(C736="Actual",D736,IF(COUNTIFS($A$2:$A$2001,A736,$E$2:$E$2001,E736,$C$2:$C$2001,"Actual")&gt;0,0,D736)))</f>
        <v>0</v>
      </c>
    </row>
    <row r="737" customFormat="false" ht="15" hidden="false" customHeight="false" outlineLevel="0" collapsed="false">
      <c r="A737" s="32"/>
      <c r="B737" s="35"/>
      <c r="C737" s="32"/>
      <c r="D737" s="34"/>
      <c r="E737" s="42" t="str">
        <f aca="false">IF(OR(A737="",B737=""),"",DATE(YEAR(B737),MONTH(B737),1))</f>
        <v/>
      </c>
      <c r="F737" s="36" t="n">
        <f aca="false">IF(OR(E737="",D737=""),0,IF(C737="Actual",D737,IF(COUNTIFS($A$2:$A$2001,A737,$E$2:$E$2001,E737,$C$2:$C$2001,"Actual")&gt;0,0,D737)))</f>
        <v>0</v>
      </c>
    </row>
    <row r="738" customFormat="false" ht="15" hidden="false" customHeight="false" outlineLevel="0" collapsed="false">
      <c r="A738" s="32"/>
      <c r="B738" s="35"/>
      <c r="C738" s="32"/>
      <c r="D738" s="34"/>
      <c r="E738" s="42" t="str">
        <f aca="false">IF(OR(A738="",B738=""),"",DATE(YEAR(B738),MONTH(B738),1))</f>
        <v/>
      </c>
      <c r="F738" s="36" t="n">
        <f aca="false">IF(OR(E738="",D738=""),0,IF(C738="Actual",D738,IF(COUNTIFS($A$2:$A$2001,A738,$E$2:$E$2001,E738,$C$2:$C$2001,"Actual")&gt;0,0,D738)))</f>
        <v>0</v>
      </c>
    </row>
    <row r="739" customFormat="false" ht="15" hidden="false" customHeight="false" outlineLevel="0" collapsed="false">
      <c r="A739" s="32"/>
      <c r="B739" s="35"/>
      <c r="C739" s="32"/>
      <c r="D739" s="34"/>
      <c r="E739" s="42" t="str">
        <f aca="false">IF(OR(A739="",B739=""),"",DATE(YEAR(B739),MONTH(B739),1))</f>
        <v/>
      </c>
      <c r="F739" s="36" t="n">
        <f aca="false">IF(OR(E739="",D739=""),0,IF(C739="Actual",D739,IF(COUNTIFS($A$2:$A$2001,A739,$E$2:$E$2001,E739,$C$2:$C$2001,"Actual")&gt;0,0,D739)))</f>
        <v>0</v>
      </c>
    </row>
    <row r="740" customFormat="false" ht="15" hidden="false" customHeight="false" outlineLevel="0" collapsed="false">
      <c r="A740" s="32"/>
      <c r="B740" s="35"/>
      <c r="C740" s="32"/>
      <c r="D740" s="34"/>
      <c r="E740" s="42" t="str">
        <f aca="false">IF(OR(A740="",B740=""),"",DATE(YEAR(B740),MONTH(B740),1))</f>
        <v/>
      </c>
      <c r="F740" s="36" t="n">
        <f aca="false">IF(OR(E740="",D740=""),0,IF(C740="Actual",D740,IF(COUNTIFS($A$2:$A$2001,A740,$E$2:$E$2001,E740,$C$2:$C$2001,"Actual")&gt;0,0,D740)))</f>
        <v>0</v>
      </c>
    </row>
    <row r="741" customFormat="false" ht="15" hidden="false" customHeight="false" outlineLevel="0" collapsed="false">
      <c r="A741" s="32"/>
      <c r="B741" s="35"/>
      <c r="C741" s="32"/>
      <c r="D741" s="34"/>
      <c r="E741" s="42" t="str">
        <f aca="false">IF(OR(A741="",B741=""),"",DATE(YEAR(B741),MONTH(B741),1))</f>
        <v/>
      </c>
      <c r="F741" s="36" t="n">
        <f aca="false">IF(OR(E741="",D741=""),0,IF(C741="Actual",D741,IF(COUNTIFS($A$2:$A$2001,A741,$E$2:$E$2001,E741,$C$2:$C$2001,"Actual")&gt;0,0,D741)))</f>
        <v>0</v>
      </c>
    </row>
    <row r="742" customFormat="false" ht="15" hidden="false" customHeight="false" outlineLevel="0" collapsed="false">
      <c r="A742" s="32"/>
      <c r="B742" s="35"/>
      <c r="C742" s="32"/>
      <c r="D742" s="34"/>
      <c r="E742" s="42" t="str">
        <f aca="false">IF(OR(A742="",B742=""),"",DATE(YEAR(B742),MONTH(B742),1))</f>
        <v/>
      </c>
      <c r="F742" s="36" t="n">
        <f aca="false">IF(OR(E742="",D742=""),0,IF(C742="Actual",D742,IF(COUNTIFS($A$2:$A$2001,A742,$E$2:$E$2001,E742,$C$2:$C$2001,"Actual")&gt;0,0,D742)))</f>
        <v>0</v>
      </c>
    </row>
    <row r="743" customFormat="false" ht="15" hidden="false" customHeight="false" outlineLevel="0" collapsed="false">
      <c r="A743" s="32"/>
      <c r="B743" s="35"/>
      <c r="C743" s="32"/>
      <c r="D743" s="34"/>
      <c r="E743" s="42" t="str">
        <f aca="false">IF(OR(A743="",B743=""),"",DATE(YEAR(B743),MONTH(B743),1))</f>
        <v/>
      </c>
      <c r="F743" s="36" t="n">
        <f aca="false">IF(OR(E743="",D743=""),0,IF(C743="Actual",D743,IF(COUNTIFS($A$2:$A$2001,A743,$E$2:$E$2001,E743,$C$2:$C$2001,"Actual")&gt;0,0,D743)))</f>
        <v>0</v>
      </c>
    </row>
    <row r="744" customFormat="false" ht="15" hidden="false" customHeight="false" outlineLevel="0" collapsed="false">
      <c r="A744" s="32"/>
      <c r="B744" s="35"/>
      <c r="C744" s="32"/>
      <c r="D744" s="34"/>
      <c r="E744" s="42" t="str">
        <f aca="false">IF(OR(A744="",B744=""),"",DATE(YEAR(B744),MONTH(B744),1))</f>
        <v/>
      </c>
      <c r="F744" s="36" t="n">
        <f aca="false">IF(OR(E744="",D744=""),0,IF(C744="Actual",D744,IF(COUNTIFS($A$2:$A$2001,A744,$E$2:$E$2001,E744,$C$2:$C$2001,"Actual")&gt;0,0,D744)))</f>
        <v>0</v>
      </c>
    </row>
    <row r="745" customFormat="false" ht="15" hidden="false" customHeight="false" outlineLevel="0" collapsed="false">
      <c r="A745" s="32"/>
      <c r="B745" s="35"/>
      <c r="C745" s="32"/>
      <c r="D745" s="34"/>
      <c r="E745" s="42" t="str">
        <f aca="false">IF(OR(A745="",B745=""),"",DATE(YEAR(B745),MONTH(B745),1))</f>
        <v/>
      </c>
      <c r="F745" s="36" t="n">
        <f aca="false">IF(OR(E745="",D745=""),0,IF(C745="Actual",D745,IF(COUNTIFS($A$2:$A$2001,A745,$E$2:$E$2001,E745,$C$2:$C$2001,"Actual")&gt;0,0,D745)))</f>
        <v>0</v>
      </c>
    </row>
    <row r="746" customFormat="false" ht="15" hidden="false" customHeight="false" outlineLevel="0" collapsed="false">
      <c r="A746" s="32"/>
      <c r="B746" s="35"/>
      <c r="C746" s="32"/>
      <c r="D746" s="34"/>
      <c r="E746" s="42" t="str">
        <f aca="false">IF(OR(A746="",B746=""),"",DATE(YEAR(B746),MONTH(B746),1))</f>
        <v/>
      </c>
      <c r="F746" s="36" t="n">
        <f aca="false">IF(OR(E746="",D746=""),0,IF(C746="Actual",D746,IF(COUNTIFS($A$2:$A$2001,A746,$E$2:$E$2001,E746,$C$2:$C$2001,"Actual")&gt;0,0,D746)))</f>
        <v>0</v>
      </c>
    </row>
    <row r="747" customFormat="false" ht="15" hidden="false" customHeight="false" outlineLevel="0" collapsed="false">
      <c r="A747" s="32"/>
      <c r="B747" s="35"/>
      <c r="C747" s="32"/>
      <c r="D747" s="34"/>
      <c r="E747" s="42" t="str">
        <f aca="false">IF(OR(A747="",B747=""),"",DATE(YEAR(B747),MONTH(B747),1))</f>
        <v/>
      </c>
      <c r="F747" s="36" t="n">
        <f aca="false">IF(OR(E747="",D747=""),0,IF(C747="Actual",D747,IF(COUNTIFS($A$2:$A$2001,A747,$E$2:$E$2001,E747,$C$2:$C$2001,"Actual")&gt;0,0,D747)))</f>
        <v>0</v>
      </c>
    </row>
    <row r="748" customFormat="false" ht="15" hidden="false" customHeight="false" outlineLevel="0" collapsed="false">
      <c r="A748" s="32"/>
      <c r="B748" s="35"/>
      <c r="C748" s="32"/>
      <c r="D748" s="34"/>
      <c r="E748" s="42" t="str">
        <f aca="false">IF(OR(A748="",B748=""),"",DATE(YEAR(B748),MONTH(B748),1))</f>
        <v/>
      </c>
      <c r="F748" s="36" t="n">
        <f aca="false">IF(OR(E748="",D748=""),0,IF(C748="Actual",D748,IF(COUNTIFS($A$2:$A$2001,A748,$E$2:$E$2001,E748,$C$2:$C$2001,"Actual")&gt;0,0,D748)))</f>
        <v>0</v>
      </c>
    </row>
    <row r="749" customFormat="false" ht="15" hidden="false" customHeight="false" outlineLevel="0" collapsed="false">
      <c r="A749" s="32"/>
      <c r="B749" s="35"/>
      <c r="C749" s="32"/>
      <c r="D749" s="34"/>
      <c r="E749" s="42" t="str">
        <f aca="false">IF(OR(A749="",B749=""),"",DATE(YEAR(B749),MONTH(B749),1))</f>
        <v/>
      </c>
      <c r="F749" s="36" t="n">
        <f aca="false">IF(OR(E749="",D749=""),0,IF(C749="Actual",D749,IF(COUNTIFS($A$2:$A$2001,A749,$E$2:$E$2001,E749,$C$2:$C$2001,"Actual")&gt;0,0,D749)))</f>
        <v>0</v>
      </c>
    </row>
    <row r="750" customFormat="false" ht="15" hidden="false" customHeight="false" outlineLevel="0" collapsed="false">
      <c r="A750" s="32"/>
      <c r="B750" s="35"/>
      <c r="C750" s="32"/>
      <c r="D750" s="34"/>
      <c r="E750" s="42" t="str">
        <f aca="false">IF(OR(A750="",B750=""),"",DATE(YEAR(B750),MONTH(B750),1))</f>
        <v/>
      </c>
      <c r="F750" s="36" t="n">
        <f aca="false">IF(OR(E750="",D750=""),0,IF(C750="Actual",D750,IF(COUNTIFS($A$2:$A$2001,A750,$E$2:$E$2001,E750,$C$2:$C$2001,"Actual")&gt;0,0,D750)))</f>
        <v>0</v>
      </c>
    </row>
    <row r="751" customFormat="false" ht="15" hidden="false" customHeight="false" outlineLevel="0" collapsed="false">
      <c r="A751" s="32"/>
      <c r="B751" s="35"/>
      <c r="C751" s="32"/>
      <c r="D751" s="34"/>
      <c r="E751" s="42" t="str">
        <f aca="false">IF(OR(A751="",B751=""),"",DATE(YEAR(B751),MONTH(B751),1))</f>
        <v/>
      </c>
      <c r="F751" s="36" t="n">
        <f aca="false">IF(OR(E751="",D751=""),0,IF(C751="Actual",D751,IF(COUNTIFS($A$2:$A$2001,A751,$E$2:$E$2001,E751,$C$2:$C$2001,"Actual")&gt;0,0,D751)))</f>
        <v>0</v>
      </c>
    </row>
    <row r="752" customFormat="false" ht="15" hidden="false" customHeight="false" outlineLevel="0" collapsed="false">
      <c r="A752" s="32"/>
      <c r="B752" s="35"/>
      <c r="C752" s="32"/>
      <c r="D752" s="34"/>
      <c r="E752" s="42" t="str">
        <f aca="false">IF(OR(A752="",B752=""),"",DATE(YEAR(B752),MONTH(B752),1))</f>
        <v/>
      </c>
      <c r="F752" s="36" t="n">
        <f aca="false">IF(OR(E752="",D752=""),0,IF(C752="Actual",D752,IF(COUNTIFS($A$2:$A$2001,A752,$E$2:$E$2001,E752,$C$2:$C$2001,"Actual")&gt;0,0,D752)))</f>
        <v>0</v>
      </c>
    </row>
    <row r="753" customFormat="false" ht="15" hidden="false" customHeight="false" outlineLevel="0" collapsed="false">
      <c r="A753" s="32"/>
      <c r="B753" s="35"/>
      <c r="C753" s="32"/>
      <c r="D753" s="34"/>
      <c r="E753" s="42" t="str">
        <f aca="false">IF(OR(A753="",B753=""),"",DATE(YEAR(B753),MONTH(B753),1))</f>
        <v/>
      </c>
      <c r="F753" s="36" t="n">
        <f aca="false">IF(OR(E753="",D753=""),0,IF(C753="Actual",D753,IF(COUNTIFS($A$2:$A$2001,A753,$E$2:$E$2001,E753,$C$2:$C$2001,"Actual")&gt;0,0,D753)))</f>
        <v>0</v>
      </c>
    </row>
    <row r="754" customFormat="false" ht="15" hidden="false" customHeight="false" outlineLevel="0" collapsed="false">
      <c r="A754" s="32"/>
      <c r="B754" s="35"/>
      <c r="C754" s="32"/>
      <c r="D754" s="34"/>
      <c r="E754" s="42" t="str">
        <f aca="false">IF(OR(A754="",B754=""),"",DATE(YEAR(B754),MONTH(B754),1))</f>
        <v/>
      </c>
      <c r="F754" s="36" t="n">
        <f aca="false">IF(OR(E754="",D754=""),0,IF(C754="Actual",D754,IF(COUNTIFS($A$2:$A$2001,A754,$E$2:$E$2001,E754,$C$2:$C$2001,"Actual")&gt;0,0,D754)))</f>
        <v>0</v>
      </c>
    </row>
    <row r="755" customFormat="false" ht="15" hidden="false" customHeight="false" outlineLevel="0" collapsed="false">
      <c r="A755" s="32"/>
      <c r="B755" s="35"/>
      <c r="C755" s="32"/>
      <c r="D755" s="34"/>
      <c r="E755" s="42" t="str">
        <f aca="false">IF(OR(A755="",B755=""),"",DATE(YEAR(B755),MONTH(B755),1))</f>
        <v/>
      </c>
      <c r="F755" s="36" t="n">
        <f aca="false">IF(OR(E755="",D755=""),0,IF(C755="Actual",D755,IF(COUNTIFS($A$2:$A$2001,A755,$E$2:$E$2001,E755,$C$2:$C$2001,"Actual")&gt;0,0,D755)))</f>
        <v>0</v>
      </c>
    </row>
    <row r="756" customFormat="false" ht="15" hidden="false" customHeight="false" outlineLevel="0" collapsed="false">
      <c r="A756" s="32"/>
      <c r="B756" s="35"/>
      <c r="C756" s="32"/>
      <c r="D756" s="34"/>
      <c r="E756" s="42" t="str">
        <f aca="false">IF(OR(A756="",B756=""),"",DATE(YEAR(B756),MONTH(B756),1))</f>
        <v/>
      </c>
      <c r="F756" s="36" t="n">
        <f aca="false">IF(OR(E756="",D756=""),0,IF(C756="Actual",D756,IF(COUNTIFS($A$2:$A$2001,A756,$E$2:$E$2001,E756,$C$2:$C$2001,"Actual")&gt;0,0,D756)))</f>
        <v>0</v>
      </c>
    </row>
    <row r="757" customFormat="false" ht="15" hidden="false" customHeight="false" outlineLevel="0" collapsed="false">
      <c r="A757" s="32"/>
      <c r="B757" s="35"/>
      <c r="C757" s="32"/>
      <c r="D757" s="34"/>
      <c r="E757" s="42" t="str">
        <f aca="false">IF(OR(A757="",B757=""),"",DATE(YEAR(B757),MONTH(B757),1))</f>
        <v/>
      </c>
      <c r="F757" s="36" t="n">
        <f aca="false">IF(OR(E757="",D757=""),0,IF(C757="Actual",D757,IF(COUNTIFS($A$2:$A$2001,A757,$E$2:$E$2001,E757,$C$2:$C$2001,"Actual")&gt;0,0,D757)))</f>
        <v>0</v>
      </c>
    </row>
    <row r="758" customFormat="false" ht="15" hidden="false" customHeight="false" outlineLevel="0" collapsed="false">
      <c r="A758" s="32"/>
      <c r="B758" s="35"/>
      <c r="C758" s="32"/>
      <c r="D758" s="34"/>
      <c r="E758" s="42" t="str">
        <f aca="false">IF(OR(A758="",B758=""),"",DATE(YEAR(B758),MONTH(B758),1))</f>
        <v/>
      </c>
      <c r="F758" s="36" t="n">
        <f aca="false">IF(OR(E758="",D758=""),0,IF(C758="Actual",D758,IF(COUNTIFS($A$2:$A$2001,A758,$E$2:$E$2001,E758,$C$2:$C$2001,"Actual")&gt;0,0,D758)))</f>
        <v>0</v>
      </c>
    </row>
    <row r="759" customFormat="false" ht="15" hidden="false" customHeight="false" outlineLevel="0" collapsed="false">
      <c r="A759" s="32"/>
      <c r="B759" s="35"/>
      <c r="C759" s="32"/>
      <c r="D759" s="34"/>
      <c r="E759" s="42" t="str">
        <f aca="false">IF(OR(A759="",B759=""),"",DATE(YEAR(B759),MONTH(B759),1))</f>
        <v/>
      </c>
      <c r="F759" s="36" t="n">
        <f aca="false">IF(OR(E759="",D759=""),0,IF(C759="Actual",D759,IF(COUNTIFS($A$2:$A$2001,A759,$E$2:$E$2001,E759,$C$2:$C$2001,"Actual")&gt;0,0,D759)))</f>
        <v>0</v>
      </c>
    </row>
    <row r="760" customFormat="false" ht="15" hidden="false" customHeight="false" outlineLevel="0" collapsed="false">
      <c r="A760" s="32"/>
      <c r="B760" s="35"/>
      <c r="C760" s="32"/>
      <c r="D760" s="34"/>
      <c r="E760" s="42" t="str">
        <f aca="false">IF(OR(A760="",B760=""),"",DATE(YEAR(B760),MONTH(B760),1))</f>
        <v/>
      </c>
      <c r="F760" s="36" t="n">
        <f aca="false">IF(OR(E760="",D760=""),0,IF(C760="Actual",D760,IF(COUNTIFS($A$2:$A$2001,A760,$E$2:$E$2001,E760,$C$2:$C$2001,"Actual")&gt;0,0,D760)))</f>
        <v>0</v>
      </c>
    </row>
    <row r="761" customFormat="false" ht="15" hidden="false" customHeight="false" outlineLevel="0" collapsed="false">
      <c r="A761" s="32"/>
      <c r="B761" s="35"/>
      <c r="C761" s="32"/>
      <c r="D761" s="34"/>
      <c r="E761" s="42" t="str">
        <f aca="false">IF(OR(A761="",B761=""),"",DATE(YEAR(B761),MONTH(B761),1))</f>
        <v/>
      </c>
      <c r="F761" s="36" t="n">
        <f aca="false">IF(OR(E761="",D761=""),0,IF(C761="Actual",D761,IF(COUNTIFS($A$2:$A$2001,A761,$E$2:$E$2001,E761,$C$2:$C$2001,"Actual")&gt;0,0,D761)))</f>
        <v>0</v>
      </c>
    </row>
    <row r="762" customFormat="false" ht="15" hidden="false" customHeight="false" outlineLevel="0" collapsed="false">
      <c r="A762" s="32"/>
      <c r="B762" s="35"/>
      <c r="C762" s="32"/>
      <c r="D762" s="34"/>
      <c r="E762" s="42" t="str">
        <f aca="false">IF(OR(A762="",B762=""),"",DATE(YEAR(B762),MONTH(B762),1))</f>
        <v/>
      </c>
      <c r="F762" s="36" t="n">
        <f aca="false">IF(OR(E762="",D762=""),0,IF(C762="Actual",D762,IF(COUNTIFS($A$2:$A$2001,A762,$E$2:$E$2001,E762,$C$2:$C$2001,"Actual")&gt;0,0,D762)))</f>
        <v>0</v>
      </c>
    </row>
    <row r="763" customFormat="false" ht="15" hidden="false" customHeight="false" outlineLevel="0" collapsed="false">
      <c r="A763" s="32"/>
      <c r="B763" s="35"/>
      <c r="C763" s="32"/>
      <c r="D763" s="34"/>
      <c r="E763" s="42" t="str">
        <f aca="false">IF(OR(A763="",B763=""),"",DATE(YEAR(B763),MONTH(B763),1))</f>
        <v/>
      </c>
      <c r="F763" s="36" t="n">
        <f aca="false">IF(OR(E763="",D763=""),0,IF(C763="Actual",D763,IF(COUNTIFS($A$2:$A$2001,A763,$E$2:$E$2001,E763,$C$2:$C$2001,"Actual")&gt;0,0,D763)))</f>
        <v>0</v>
      </c>
    </row>
    <row r="764" customFormat="false" ht="15" hidden="false" customHeight="false" outlineLevel="0" collapsed="false">
      <c r="A764" s="32"/>
      <c r="B764" s="35"/>
      <c r="C764" s="32"/>
      <c r="D764" s="34"/>
      <c r="E764" s="42" t="str">
        <f aca="false">IF(OR(A764="",B764=""),"",DATE(YEAR(B764),MONTH(B764),1))</f>
        <v/>
      </c>
      <c r="F764" s="36" t="n">
        <f aca="false">IF(OR(E764="",D764=""),0,IF(C764="Actual",D764,IF(COUNTIFS($A$2:$A$2001,A764,$E$2:$E$2001,E764,$C$2:$C$2001,"Actual")&gt;0,0,D764)))</f>
        <v>0</v>
      </c>
    </row>
    <row r="765" customFormat="false" ht="15" hidden="false" customHeight="false" outlineLevel="0" collapsed="false">
      <c r="A765" s="32"/>
      <c r="B765" s="35"/>
      <c r="C765" s="32"/>
      <c r="D765" s="34"/>
      <c r="E765" s="42" t="str">
        <f aca="false">IF(OR(A765="",B765=""),"",DATE(YEAR(B765),MONTH(B765),1))</f>
        <v/>
      </c>
      <c r="F765" s="36" t="n">
        <f aca="false">IF(OR(E765="",D765=""),0,IF(C765="Actual",D765,IF(COUNTIFS($A$2:$A$2001,A765,$E$2:$E$2001,E765,$C$2:$C$2001,"Actual")&gt;0,0,D765)))</f>
        <v>0</v>
      </c>
    </row>
    <row r="766" customFormat="false" ht="15" hidden="false" customHeight="false" outlineLevel="0" collapsed="false">
      <c r="A766" s="32"/>
      <c r="B766" s="35"/>
      <c r="C766" s="32"/>
      <c r="D766" s="34"/>
      <c r="E766" s="42" t="str">
        <f aca="false">IF(OR(A766="",B766=""),"",DATE(YEAR(B766),MONTH(B766),1))</f>
        <v/>
      </c>
      <c r="F766" s="36" t="n">
        <f aca="false">IF(OR(E766="",D766=""),0,IF(C766="Actual",D766,IF(COUNTIFS($A$2:$A$2001,A766,$E$2:$E$2001,E766,$C$2:$C$2001,"Actual")&gt;0,0,D766)))</f>
        <v>0</v>
      </c>
    </row>
    <row r="767" customFormat="false" ht="15" hidden="false" customHeight="false" outlineLevel="0" collapsed="false">
      <c r="A767" s="32"/>
      <c r="B767" s="35"/>
      <c r="C767" s="32"/>
      <c r="D767" s="34"/>
      <c r="E767" s="42" t="str">
        <f aca="false">IF(OR(A767="",B767=""),"",DATE(YEAR(B767),MONTH(B767),1))</f>
        <v/>
      </c>
      <c r="F767" s="36" t="n">
        <f aca="false">IF(OR(E767="",D767=""),0,IF(C767="Actual",D767,IF(COUNTIFS($A$2:$A$2001,A767,$E$2:$E$2001,E767,$C$2:$C$2001,"Actual")&gt;0,0,D767)))</f>
        <v>0</v>
      </c>
    </row>
    <row r="768" customFormat="false" ht="15" hidden="false" customHeight="false" outlineLevel="0" collapsed="false">
      <c r="A768" s="32"/>
      <c r="B768" s="35"/>
      <c r="C768" s="32"/>
      <c r="D768" s="34"/>
      <c r="E768" s="42" t="str">
        <f aca="false">IF(OR(A768="",B768=""),"",DATE(YEAR(B768),MONTH(B768),1))</f>
        <v/>
      </c>
      <c r="F768" s="36" t="n">
        <f aca="false">IF(OR(E768="",D768=""),0,IF(C768="Actual",D768,IF(COUNTIFS($A$2:$A$2001,A768,$E$2:$E$2001,E768,$C$2:$C$2001,"Actual")&gt;0,0,D768)))</f>
        <v>0</v>
      </c>
    </row>
    <row r="769" customFormat="false" ht="15" hidden="false" customHeight="false" outlineLevel="0" collapsed="false">
      <c r="A769" s="32"/>
      <c r="B769" s="35"/>
      <c r="C769" s="32"/>
      <c r="D769" s="34"/>
      <c r="E769" s="42" t="str">
        <f aca="false">IF(OR(A769="",B769=""),"",DATE(YEAR(B769),MONTH(B769),1))</f>
        <v/>
      </c>
      <c r="F769" s="36" t="n">
        <f aca="false">IF(OR(E769="",D769=""),0,IF(C769="Actual",D769,IF(COUNTIFS($A$2:$A$2001,A769,$E$2:$E$2001,E769,$C$2:$C$2001,"Actual")&gt;0,0,D769)))</f>
        <v>0</v>
      </c>
    </row>
    <row r="770" customFormat="false" ht="15" hidden="false" customHeight="false" outlineLevel="0" collapsed="false">
      <c r="A770" s="32"/>
      <c r="B770" s="35"/>
      <c r="C770" s="32"/>
      <c r="D770" s="34"/>
      <c r="E770" s="42" t="str">
        <f aca="false">IF(OR(A770="",B770=""),"",DATE(YEAR(B770),MONTH(B770),1))</f>
        <v/>
      </c>
      <c r="F770" s="36" t="n">
        <f aca="false">IF(OR(E770="",D770=""),0,IF(C770="Actual",D770,IF(COUNTIFS($A$2:$A$2001,A770,$E$2:$E$2001,E770,$C$2:$C$2001,"Actual")&gt;0,0,D770)))</f>
        <v>0</v>
      </c>
    </row>
    <row r="771" customFormat="false" ht="15" hidden="false" customHeight="false" outlineLevel="0" collapsed="false">
      <c r="A771" s="32"/>
      <c r="B771" s="35"/>
      <c r="C771" s="32"/>
      <c r="D771" s="34"/>
      <c r="E771" s="42" t="str">
        <f aca="false">IF(OR(A771="",B771=""),"",DATE(YEAR(B771),MONTH(B771),1))</f>
        <v/>
      </c>
      <c r="F771" s="36" t="n">
        <f aca="false">IF(OR(E771="",D771=""),0,IF(C771="Actual",D771,IF(COUNTIFS($A$2:$A$2001,A771,$E$2:$E$2001,E771,$C$2:$C$2001,"Actual")&gt;0,0,D771)))</f>
        <v>0</v>
      </c>
    </row>
    <row r="772" customFormat="false" ht="15" hidden="false" customHeight="false" outlineLevel="0" collapsed="false">
      <c r="A772" s="32"/>
      <c r="B772" s="35"/>
      <c r="C772" s="32"/>
      <c r="D772" s="34"/>
      <c r="E772" s="42" t="str">
        <f aca="false">IF(OR(A772="",B772=""),"",DATE(YEAR(B772),MONTH(B772),1))</f>
        <v/>
      </c>
      <c r="F772" s="36" t="n">
        <f aca="false">IF(OR(E772="",D772=""),0,IF(C772="Actual",D772,IF(COUNTIFS($A$2:$A$2001,A772,$E$2:$E$2001,E772,$C$2:$C$2001,"Actual")&gt;0,0,D772)))</f>
        <v>0</v>
      </c>
    </row>
    <row r="773" customFormat="false" ht="15" hidden="false" customHeight="false" outlineLevel="0" collapsed="false">
      <c r="A773" s="32"/>
      <c r="B773" s="35"/>
      <c r="C773" s="32"/>
      <c r="D773" s="34"/>
      <c r="E773" s="42" t="str">
        <f aca="false">IF(OR(A773="",B773=""),"",DATE(YEAR(B773),MONTH(B773),1))</f>
        <v/>
      </c>
      <c r="F773" s="36" t="n">
        <f aca="false">IF(OR(E773="",D773=""),0,IF(C773="Actual",D773,IF(COUNTIFS($A$2:$A$2001,A773,$E$2:$E$2001,E773,$C$2:$C$2001,"Actual")&gt;0,0,D773)))</f>
        <v>0</v>
      </c>
    </row>
    <row r="774" customFormat="false" ht="15" hidden="false" customHeight="false" outlineLevel="0" collapsed="false">
      <c r="A774" s="32"/>
      <c r="B774" s="35"/>
      <c r="C774" s="32"/>
      <c r="D774" s="34"/>
      <c r="E774" s="42" t="str">
        <f aca="false">IF(OR(A774="",B774=""),"",DATE(YEAR(B774),MONTH(B774),1))</f>
        <v/>
      </c>
      <c r="F774" s="36" t="n">
        <f aca="false">IF(OR(E774="",D774=""),0,IF(C774="Actual",D774,IF(COUNTIFS($A$2:$A$2001,A774,$E$2:$E$2001,E774,$C$2:$C$2001,"Actual")&gt;0,0,D774)))</f>
        <v>0</v>
      </c>
    </row>
    <row r="775" customFormat="false" ht="15" hidden="false" customHeight="false" outlineLevel="0" collapsed="false">
      <c r="A775" s="32"/>
      <c r="B775" s="35"/>
      <c r="C775" s="32"/>
      <c r="D775" s="34"/>
      <c r="E775" s="42" t="str">
        <f aca="false">IF(OR(A775="",B775=""),"",DATE(YEAR(B775),MONTH(B775),1))</f>
        <v/>
      </c>
      <c r="F775" s="36" t="n">
        <f aca="false">IF(OR(E775="",D775=""),0,IF(C775="Actual",D775,IF(COUNTIFS($A$2:$A$2001,A775,$E$2:$E$2001,E775,$C$2:$C$2001,"Actual")&gt;0,0,D775)))</f>
        <v>0</v>
      </c>
    </row>
    <row r="776" customFormat="false" ht="15" hidden="false" customHeight="false" outlineLevel="0" collapsed="false">
      <c r="A776" s="32"/>
      <c r="B776" s="35"/>
      <c r="C776" s="32"/>
      <c r="D776" s="34"/>
      <c r="E776" s="42" t="str">
        <f aca="false">IF(OR(A776="",B776=""),"",DATE(YEAR(B776),MONTH(B776),1))</f>
        <v/>
      </c>
      <c r="F776" s="36" t="n">
        <f aca="false">IF(OR(E776="",D776=""),0,IF(C776="Actual",D776,IF(COUNTIFS($A$2:$A$2001,A776,$E$2:$E$2001,E776,$C$2:$C$2001,"Actual")&gt;0,0,D776)))</f>
        <v>0</v>
      </c>
    </row>
    <row r="777" customFormat="false" ht="15" hidden="false" customHeight="false" outlineLevel="0" collapsed="false">
      <c r="A777" s="32"/>
      <c r="B777" s="35"/>
      <c r="C777" s="32"/>
      <c r="D777" s="34"/>
      <c r="E777" s="42" t="str">
        <f aca="false">IF(OR(A777="",B777=""),"",DATE(YEAR(B777),MONTH(B777),1))</f>
        <v/>
      </c>
      <c r="F777" s="36" t="n">
        <f aca="false">IF(OR(E777="",D777=""),0,IF(C777="Actual",D777,IF(COUNTIFS($A$2:$A$2001,A777,$E$2:$E$2001,E777,$C$2:$C$2001,"Actual")&gt;0,0,D777)))</f>
        <v>0</v>
      </c>
    </row>
    <row r="778" customFormat="false" ht="15" hidden="false" customHeight="false" outlineLevel="0" collapsed="false">
      <c r="A778" s="32"/>
      <c r="B778" s="35"/>
      <c r="C778" s="32"/>
      <c r="D778" s="34"/>
      <c r="E778" s="42" t="str">
        <f aca="false">IF(OR(A778="",B778=""),"",DATE(YEAR(B778),MONTH(B778),1))</f>
        <v/>
      </c>
      <c r="F778" s="36" t="n">
        <f aca="false">IF(OR(E778="",D778=""),0,IF(C778="Actual",D778,IF(COUNTIFS($A$2:$A$2001,A778,$E$2:$E$2001,E778,$C$2:$C$2001,"Actual")&gt;0,0,D778)))</f>
        <v>0</v>
      </c>
    </row>
    <row r="779" customFormat="false" ht="15" hidden="false" customHeight="false" outlineLevel="0" collapsed="false">
      <c r="A779" s="32"/>
      <c r="B779" s="35"/>
      <c r="C779" s="32"/>
      <c r="D779" s="34"/>
      <c r="E779" s="42" t="str">
        <f aca="false">IF(OR(A779="",B779=""),"",DATE(YEAR(B779),MONTH(B779),1))</f>
        <v/>
      </c>
      <c r="F779" s="36" t="n">
        <f aca="false">IF(OR(E779="",D779=""),0,IF(C779="Actual",D779,IF(COUNTIFS($A$2:$A$2001,A779,$E$2:$E$2001,E779,$C$2:$C$2001,"Actual")&gt;0,0,D779)))</f>
        <v>0</v>
      </c>
    </row>
    <row r="780" customFormat="false" ht="15" hidden="false" customHeight="false" outlineLevel="0" collapsed="false">
      <c r="A780" s="32"/>
      <c r="B780" s="35"/>
      <c r="C780" s="32"/>
      <c r="D780" s="34"/>
      <c r="E780" s="42" t="str">
        <f aca="false">IF(OR(A780="",B780=""),"",DATE(YEAR(B780),MONTH(B780),1))</f>
        <v/>
      </c>
      <c r="F780" s="36" t="n">
        <f aca="false">IF(OR(E780="",D780=""),0,IF(C780="Actual",D780,IF(COUNTIFS($A$2:$A$2001,A780,$E$2:$E$2001,E780,$C$2:$C$2001,"Actual")&gt;0,0,D780)))</f>
        <v>0</v>
      </c>
    </row>
    <row r="781" customFormat="false" ht="15" hidden="false" customHeight="false" outlineLevel="0" collapsed="false">
      <c r="A781" s="32"/>
      <c r="B781" s="35"/>
      <c r="C781" s="32"/>
      <c r="D781" s="34"/>
      <c r="E781" s="42" t="str">
        <f aca="false">IF(OR(A781="",B781=""),"",DATE(YEAR(B781),MONTH(B781),1))</f>
        <v/>
      </c>
      <c r="F781" s="36" t="n">
        <f aca="false">IF(OR(E781="",D781=""),0,IF(C781="Actual",D781,IF(COUNTIFS($A$2:$A$2001,A781,$E$2:$E$2001,E781,$C$2:$C$2001,"Actual")&gt;0,0,D781)))</f>
        <v>0</v>
      </c>
    </row>
    <row r="782" customFormat="false" ht="15" hidden="false" customHeight="false" outlineLevel="0" collapsed="false">
      <c r="A782" s="32"/>
      <c r="B782" s="35"/>
      <c r="C782" s="32"/>
      <c r="D782" s="34"/>
      <c r="E782" s="42" t="str">
        <f aca="false">IF(OR(A782="",B782=""),"",DATE(YEAR(B782),MONTH(B782),1))</f>
        <v/>
      </c>
      <c r="F782" s="36" t="n">
        <f aca="false">IF(OR(E782="",D782=""),0,IF(C782="Actual",D782,IF(COUNTIFS($A$2:$A$2001,A782,$E$2:$E$2001,E782,$C$2:$C$2001,"Actual")&gt;0,0,D782)))</f>
        <v>0</v>
      </c>
    </row>
    <row r="783" customFormat="false" ht="15" hidden="false" customHeight="false" outlineLevel="0" collapsed="false">
      <c r="A783" s="32"/>
      <c r="B783" s="35"/>
      <c r="C783" s="32"/>
      <c r="D783" s="34"/>
      <c r="E783" s="42" t="str">
        <f aca="false">IF(OR(A783="",B783=""),"",DATE(YEAR(B783),MONTH(B783),1))</f>
        <v/>
      </c>
      <c r="F783" s="36" t="n">
        <f aca="false">IF(OR(E783="",D783=""),0,IF(C783="Actual",D783,IF(COUNTIFS($A$2:$A$2001,A783,$E$2:$E$2001,E783,$C$2:$C$2001,"Actual")&gt;0,0,D783)))</f>
        <v>0</v>
      </c>
    </row>
    <row r="784" customFormat="false" ht="15" hidden="false" customHeight="false" outlineLevel="0" collapsed="false">
      <c r="A784" s="32"/>
      <c r="B784" s="35"/>
      <c r="C784" s="32"/>
      <c r="D784" s="34"/>
      <c r="E784" s="42" t="str">
        <f aca="false">IF(OR(A784="",B784=""),"",DATE(YEAR(B784),MONTH(B784),1))</f>
        <v/>
      </c>
      <c r="F784" s="36" t="n">
        <f aca="false">IF(OR(E784="",D784=""),0,IF(C784="Actual",D784,IF(COUNTIFS($A$2:$A$2001,A784,$E$2:$E$2001,E784,$C$2:$C$2001,"Actual")&gt;0,0,D784)))</f>
        <v>0</v>
      </c>
    </row>
    <row r="785" customFormat="false" ht="15" hidden="false" customHeight="false" outlineLevel="0" collapsed="false">
      <c r="A785" s="32"/>
      <c r="B785" s="35"/>
      <c r="C785" s="32"/>
      <c r="D785" s="34"/>
      <c r="E785" s="42" t="str">
        <f aca="false">IF(OR(A785="",B785=""),"",DATE(YEAR(B785),MONTH(B785),1))</f>
        <v/>
      </c>
      <c r="F785" s="36" t="n">
        <f aca="false">IF(OR(E785="",D785=""),0,IF(C785="Actual",D785,IF(COUNTIFS($A$2:$A$2001,A785,$E$2:$E$2001,E785,$C$2:$C$2001,"Actual")&gt;0,0,D785)))</f>
        <v>0</v>
      </c>
    </row>
    <row r="786" customFormat="false" ht="15" hidden="false" customHeight="false" outlineLevel="0" collapsed="false">
      <c r="A786" s="32"/>
      <c r="B786" s="35"/>
      <c r="C786" s="32"/>
      <c r="D786" s="34"/>
      <c r="E786" s="42" t="str">
        <f aca="false">IF(OR(A786="",B786=""),"",DATE(YEAR(B786),MONTH(B786),1))</f>
        <v/>
      </c>
      <c r="F786" s="36" t="n">
        <f aca="false">IF(OR(E786="",D786=""),0,IF(C786="Actual",D786,IF(COUNTIFS($A$2:$A$2001,A786,$E$2:$E$2001,E786,$C$2:$C$2001,"Actual")&gt;0,0,D786)))</f>
        <v>0</v>
      </c>
    </row>
    <row r="787" customFormat="false" ht="15" hidden="false" customHeight="false" outlineLevel="0" collapsed="false">
      <c r="A787" s="32"/>
      <c r="B787" s="35"/>
      <c r="C787" s="32"/>
      <c r="D787" s="34"/>
      <c r="E787" s="42" t="str">
        <f aca="false">IF(OR(A787="",B787=""),"",DATE(YEAR(B787),MONTH(B787),1))</f>
        <v/>
      </c>
      <c r="F787" s="36" t="n">
        <f aca="false">IF(OR(E787="",D787=""),0,IF(C787="Actual",D787,IF(COUNTIFS($A$2:$A$2001,A787,$E$2:$E$2001,E787,$C$2:$C$2001,"Actual")&gt;0,0,D787)))</f>
        <v>0</v>
      </c>
    </row>
    <row r="788" customFormat="false" ht="15" hidden="false" customHeight="false" outlineLevel="0" collapsed="false">
      <c r="A788" s="32"/>
      <c r="B788" s="35"/>
      <c r="C788" s="32"/>
      <c r="D788" s="34"/>
      <c r="E788" s="42" t="str">
        <f aca="false">IF(OR(A788="",B788=""),"",DATE(YEAR(B788),MONTH(B788),1))</f>
        <v/>
      </c>
      <c r="F788" s="36" t="n">
        <f aca="false">IF(OR(E788="",D788=""),0,IF(C788="Actual",D788,IF(COUNTIFS($A$2:$A$2001,A788,$E$2:$E$2001,E788,$C$2:$C$2001,"Actual")&gt;0,0,D788)))</f>
        <v>0</v>
      </c>
    </row>
    <row r="789" customFormat="false" ht="15" hidden="false" customHeight="false" outlineLevel="0" collapsed="false">
      <c r="A789" s="32"/>
      <c r="B789" s="35"/>
      <c r="C789" s="32"/>
      <c r="D789" s="34"/>
      <c r="E789" s="42" t="str">
        <f aca="false">IF(OR(A789="",B789=""),"",DATE(YEAR(B789),MONTH(B789),1))</f>
        <v/>
      </c>
      <c r="F789" s="36" t="n">
        <f aca="false">IF(OR(E789="",D789=""),0,IF(C789="Actual",D789,IF(COUNTIFS($A$2:$A$2001,A789,$E$2:$E$2001,E789,$C$2:$C$2001,"Actual")&gt;0,0,D789)))</f>
        <v>0</v>
      </c>
    </row>
    <row r="790" customFormat="false" ht="15" hidden="false" customHeight="false" outlineLevel="0" collapsed="false">
      <c r="A790" s="32"/>
      <c r="B790" s="35"/>
      <c r="C790" s="32"/>
      <c r="D790" s="34"/>
      <c r="E790" s="42" t="str">
        <f aca="false">IF(OR(A790="",B790=""),"",DATE(YEAR(B790),MONTH(B790),1))</f>
        <v/>
      </c>
      <c r="F790" s="36" t="n">
        <f aca="false">IF(OR(E790="",D790=""),0,IF(C790="Actual",D790,IF(COUNTIFS($A$2:$A$2001,A790,$E$2:$E$2001,E790,$C$2:$C$2001,"Actual")&gt;0,0,D790)))</f>
        <v>0</v>
      </c>
    </row>
    <row r="791" customFormat="false" ht="15" hidden="false" customHeight="false" outlineLevel="0" collapsed="false">
      <c r="A791" s="32"/>
      <c r="B791" s="35"/>
      <c r="C791" s="32"/>
      <c r="D791" s="34"/>
      <c r="E791" s="42" t="str">
        <f aca="false">IF(OR(A791="",B791=""),"",DATE(YEAR(B791),MONTH(B791),1))</f>
        <v/>
      </c>
      <c r="F791" s="36" t="n">
        <f aca="false">IF(OR(E791="",D791=""),0,IF(C791="Actual",D791,IF(COUNTIFS($A$2:$A$2001,A791,$E$2:$E$2001,E791,$C$2:$C$2001,"Actual")&gt;0,0,D791)))</f>
        <v>0</v>
      </c>
    </row>
    <row r="792" customFormat="false" ht="15" hidden="false" customHeight="false" outlineLevel="0" collapsed="false">
      <c r="A792" s="32"/>
      <c r="B792" s="35"/>
      <c r="C792" s="32"/>
      <c r="D792" s="34"/>
      <c r="E792" s="42" t="str">
        <f aca="false">IF(OR(A792="",B792=""),"",DATE(YEAR(B792),MONTH(B792),1))</f>
        <v/>
      </c>
      <c r="F792" s="36" t="n">
        <f aca="false">IF(OR(E792="",D792=""),0,IF(C792="Actual",D792,IF(COUNTIFS($A$2:$A$2001,A792,$E$2:$E$2001,E792,$C$2:$C$2001,"Actual")&gt;0,0,D792)))</f>
        <v>0</v>
      </c>
    </row>
    <row r="793" customFormat="false" ht="15" hidden="false" customHeight="false" outlineLevel="0" collapsed="false">
      <c r="A793" s="32"/>
      <c r="B793" s="35"/>
      <c r="C793" s="32"/>
      <c r="D793" s="34"/>
      <c r="E793" s="42" t="str">
        <f aca="false">IF(OR(A793="",B793=""),"",DATE(YEAR(B793),MONTH(B793),1))</f>
        <v/>
      </c>
      <c r="F793" s="36" t="n">
        <f aca="false">IF(OR(E793="",D793=""),0,IF(C793="Actual",D793,IF(COUNTIFS($A$2:$A$2001,A793,$E$2:$E$2001,E793,$C$2:$C$2001,"Actual")&gt;0,0,D793)))</f>
        <v>0</v>
      </c>
    </row>
    <row r="794" customFormat="false" ht="15" hidden="false" customHeight="false" outlineLevel="0" collapsed="false">
      <c r="A794" s="32"/>
      <c r="B794" s="35"/>
      <c r="C794" s="32"/>
      <c r="D794" s="34"/>
      <c r="E794" s="42" t="str">
        <f aca="false">IF(OR(A794="",B794=""),"",DATE(YEAR(B794),MONTH(B794),1))</f>
        <v/>
      </c>
      <c r="F794" s="36" t="n">
        <f aca="false">IF(OR(E794="",D794=""),0,IF(C794="Actual",D794,IF(COUNTIFS($A$2:$A$2001,A794,$E$2:$E$2001,E794,$C$2:$C$2001,"Actual")&gt;0,0,D794)))</f>
        <v>0</v>
      </c>
    </row>
    <row r="795" customFormat="false" ht="15" hidden="false" customHeight="false" outlineLevel="0" collapsed="false">
      <c r="A795" s="32"/>
      <c r="B795" s="35"/>
      <c r="C795" s="32"/>
      <c r="D795" s="34"/>
      <c r="E795" s="42" t="str">
        <f aca="false">IF(OR(A795="",B795=""),"",DATE(YEAR(B795),MONTH(B795),1))</f>
        <v/>
      </c>
      <c r="F795" s="36" t="n">
        <f aca="false">IF(OR(E795="",D795=""),0,IF(C795="Actual",D795,IF(COUNTIFS($A$2:$A$2001,A795,$E$2:$E$2001,E795,$C$2:$C$2001,"Actual")&gt;0,0,D795)))</f>
        <v>0</v>
      </c>
    </row>
    <row r="796" customFormat="false" ht="15" hidden="false" customHeight="false" outlineLevel="0" collapsed="false">
      <c r="A796" s="32"/>
      <c r="B796" s="35"/>
      <c r="C796" s="32"/>
      <c r="D796" s="34"/>
      <c r="E796" s="42" t="str">
        <f aca="false">IF(OR(A796="",B796=""),"",DATE(YEAR(B796),MONTH(B796),1))</f>
        <v/>
      </c>
      <c r="F796" s="36" t="n">
        <f aca="false">IF(OR(E796="",D796=""),0,IF(C796="Actual",D796,IF(COUNTIFS($A$2:$A$2001,A796,$E$2:$E$2001,E796,$C$2:$C$2001,"Actual")&gt;0,0,D796)))</f>
        <v>0</v>
      </c>
    </row>
    <row r="797" customFormat="false" ht="15" hidden="false" customHeight="false" outlineLevel="0" collapsed="false">
      <c r="A797" s="32"/>
      <c r="B797" s="35"/>
      <c r="C797" s="32"/>
      <c r="D797" s="34"/>
      <c r="E797" s="42" t="str">
        <f aca="false">IF(OR(A797="",B797=""),"",DATE(YEAR(B797),MONTH(B797),1))</f>
        <v/>
      </c>
      <c r="F797" s="36" t="n">
        <f aca="false">IF(OR(E797="",D797=""),0,IF(C797="Actual",D797,IF(COUNTIFS($A$2:$A$2001,A797,$E$2:$E$2001,E797,$C$2:$C$2001,"Actual")&gt;0,0,D797)))</f>
        <v>0</v>
      </c>
    </row>
    <row r="798" customFormat="false" ht="15" hidden="false" customHeight="false" outlineLevel="0" collapsed="false">
      <c r="A798" s="32"/>
      <c r="B798" s="35"/>
      <c r="C798" s="32"/>
      <c r="D798" s="34"/>
      <c r="E798" s="42" t="str">
        <f aca="false">IF(OR(A798="",B798=""),"",DATE(YEAR(B798),MONTH(B798),1))</f>
        <v/>
      </c>
      <c r="F798" s="36" t="n">
        <f aca="false">IF(OR(E798="",D798=""),0,IF(C798="Actual",D798,IF(COUNTIFS($A$2:$A$2001,A798,$E$2:$E$2001,E798,$C$2:$C$2001,"Actual")&gt;0,0,D798)))</f>
        <v>0</v>
      </c>
    </row>
    <row r="799" customFormat="false" ht="15" hidden="false" customHeight="false" outlineLevel="0" collapsed="false">
      <c r="A799" s="32"/>
      <c r="B799" s="35"/>
      <c r="C799" s="32"/>
      <c r="D799" s="34"/>
      <c r="E799" s="42" t="str">
        <f aca="false">IF(OR(A799="",B799=""),"",DATE(YEAR(B799),MONTH(B799),1))</f>
        <v/>
      </c>
      <c r="F799" s="36" t="n">
        <f aca="false">IF(OR(E799="",D799=""),0,IF(C799="Actual",D799,IF(COUNTIFS($A$2:$A$2001,A799,$E$2:$E$2001,E799,$C$2:$C$2001,"Actual")&gt;0,0,D799)))</f>
        <v>0</v>
      </c>
    </row>
    <row r="800" customFormat="false" ht="15" hidden="false" customHeight="false" outlineLevel="0" collapsed="false">
      <c r="A800" s="32"/>
      <c r="B800" s="35"/>
      <c r="C800" s="32"/>
      <c r="D800" s="34"/>
      <c r="E800" s="42" t="str">
        <f aca="false">IF(OR(A800="",B800=""),"",DATE(YEAR(B800),MONTH(B800),1))</f>
        <v/>
      </c>
      <c r="F800" s="36" t="n">
        <f aca="false">IF(OR(E800="",D800=""),0,IF(C800="Actual",D800,IF(COUNTIFS($A$2:$A$2001,A800,$E$2:$E$2001,E800,$C$2:$C$2001,"Actual")&gt;0,0,D800)))</f>
        <v>0</v>
      </c>
    </row>
    <row r="801" customFormat="false" ht="15" hidden="false" customHeight="false" outlineLevel="0" collapsed="false">
      <c r="A801" s="32"/>
      <c r="B801" s="35"/>
      <c r="C801" s="32"/>
      <c r="D801" s="34"/>
      <c r="E801" s="42" t="str">
        <f aca="false">IF(OR(A801="",B801=""),"",DATE(YEAR(B801),MONTH(B801),1))</f>
        <v/>
      </c>
      <c r="F801" s="36" t="n">
        <f aca="false">IF(OR(E801="",D801=""),0,IF(C801="Actual",D801,IF(COUNTIFS($A$2:$A$2001,A801,$E$2:$E$2001,E801,$C$2:$C$2001,"Actual")&gt;0,0,D801)))</f>
        <v>0</v>
      </c>
    </row>
    <row r="802" customFormat="false" ht="15" hidden="false" customHeight="false" outlineLevel="0" collapsed="false">
      <c r="A802" s="32"/>
      <c r="B802" s="35"/>
      <c r="C802" s="32"/>
      <c r="D802" s="34"/>
      <c r="E802" s="42" t="str">
        <f aca="false">IF(OR(A802="",B802=""),"",DATE(YEAR(B802),MONTH(B802),1))</f>
        <v/>
      </c>
      <c r="F802" s="36" t="n">
        <f aca="false">IF(OR(E802="",D802=""),0,IF(C802="Actual",D802,IF(COUNTIFS($A$2:$A$2001,A802,$E$2:$E$2001,E802,$C$2:$C$2001,"Actual")&gt;0,0,D802)))</f>
        <v>0</v>
      </c>
    </row>
    <row r="803" customFormat="false" ht="15" hidden="false" customHeight="false" outlineLevel="0" collapsed="false">
      <c r="A803" s="32"/>
      <c r="B803" s="35"/>
      <c r="C803" s="32"/>
      <c r="D803" s="34"/>
      <c r="E803" s="42" t="str">
        <f aca="false">IF(OR(A803="",B803=""),"",DATE(YEAR(B803),MONTH(B803),1))</f>
        <v/>
      </c>
      <c r="F803" s="36" t="n">
        <f aca="false">IF(OR(E803="",D803=""),0,IF(C803="Actual",D803,IF(COUNTIFS($A$2:$A$2001,A803,$E$2:$E$2001,E803,$C$2:$C$2001,"Actual")&gt;0,0,D803)))</f>
        <v>0</v>
      </c>
    </row>
    <row r="804" customFormat="false" ht="15" hidden="false" customHeight="false" outlineLevel="0" collapsed="false">
      <c r="A804" s="32"/>
      <c r="B804" s="35"/>
      <c r="C804" s="32"/>
      <c r="D804" s="34"/>
      <c r="E804" s="42" t="str">
        <f aca="false">IF(OR(A804="",B804=""),"",DATE(YEAR(B804),MONTH(B804),1))</f>
        <v/>
      </c>
      <c r="F804" s="36" t="n">
        <f aca="false">IF(OR(E804="",D804=""),0,IF(C804="Actual",D804,IF(COUNTIFS($A$2:$A$2001,A804,$E$2:$E$2001,E804,$C$2:$C$2001,"Actual")&gt;0,0,D804)))</f>
        <v>0</v>
      </c>
    </row>
    <row r="805" customFormat="false" ht="15" hidden="false" customHeight="false" outlineLevel="0" collapsed="false">
      <c r="A805" s="32"/>
      <c r="B805" s="35"/>
      <c r="C805" s="32"/>
      <c r="D805" s="34"/>
      <c r="E805" s="42" t="str">
        <f aca="false">IF(OR(A805="",B805=""),"",DATE(YEAR(B805),MONTH(B805),1))</f>
        <v/>
      </c>
      <c r="F805" s="36" t="n">
        <f aca="false">IF(OR(E805="",D805=""),0,IF(C805="Actual",D805,IF(COUNTIFS($A$2:$A$2001,A805,$E$2:$E$2001,E805,$C$2:$C$2001,"Actual")&gt;0,0,D805)))</f>
        <v>0</v>
      </c>
    </row>
    <row r="806" customFormat="false" ht="15" hidden="false" customHeight="false" outlineLevel="0" collapsed="false">
      <c r="A806" s="32"/>
      <c r="B806" s="35"/>
      <c r="C806" s="32"/>
      <c r="D806" s="34"/>
      <c r="E806" s="42" t="str">
        <f aca="false">IF(OR(A806="",B806=""),"",DATE(YEAR(B806),MONTH(B806),1))</f>
        <v/>
      </c>
      <c r="F806" s="36" t="n">
        <f aca="false">IF(OR(E806="",D806=""),0,IF(C806="Actual",D806,IF(COUNTIFS($A$2:$A$2001,A806,$E$2:$E$2001,E806,$C$2:$C$2001,"Actual")&gt;0,0,D806)))</f>
        <v>0</v>
      </c>
    </row>
    <row r="807" customFormat="false" ht="15" hidden="false" customHeight="false" outlineLevel="0" collapsed="false">
      <c r="A807" s="32"/>
      <c r="B807" s="35"/>
      <c r="C807" s="32"/>
      <c r="D807" s="34"/>
      <c r="E807" s="42" t="str">
        <f aca="false">IF(OR(A807="",B807=""),"",DATE(YEAR(B807),MONTH(B807),1))</f>
        <v/>
      </c>
      <c r="F807" s="36" t="n">
        <f aca="false">IF(OR(E807="",D807=""),0,IF(C807="Actual",D807,IF(COUNTIFS($A$2:$A$2001,A807,$E$2:$E$2001,E807,$C$2:$C$2001,"Actual")&gt;0,0,D807)))</f>
        <v>0</v>
      </c>
    </row>
    <row r="808" customFormat="false" ht="15" hidden="false" customHeight="false" outlineLevel="0" collapsed="false">
      <c r="A808" s="32"/>
      <c r="B808" s="35"/>
      <c r="C808" s="32"/>
      <c r="D808" s="34"/>
      <c r="E808" s="42" t="str">
        <f aca="false">IF(OR(A808="",B808=""),"",DATE(YEAR(B808),MONTH(B808),1))</f>
        <v/>
      </c>
      <c r="F808" s="36" t="n">
        <f aca="false">IF(OR(E808="",D808=""),0,IF(C808="Actual",D808,IF(COUNTIFS($A$2:$A$2001,A808,$E$2:$E$2001,E808,$C$2:$C$2001,"Actual")&gt;0,0,D808)))</f>
        <v>0</v>
      </c>
    </row>
    <row r="809" customFormat="false" ht="15" hidden="false" customHeight="false" outlineLevel="0" collapsed="false">
      <c r="A809" s="32"/>
      <c r="B809" s="35"/>
      <c r="C809" s="32"/>
      <c r="D809" s="34"/>
      <c r="E809" s="42" t="str">
        <f aca="false">IF(OR(A809="",B809=""),"",DATE(YEAR(B809),MONTH(B809),1))</f>
        <v/>
      </c>
      <c r="F809" s="36" t="n">
        <f aca="false">IF(OR(E809="",D809=""),0,IF(C809="Actual",D809,IF(COUNTIFS($A$2:$A$2001,A809,$E$2:$E$2001,E809,$C$2:$C$2001,"Actual")&gt;0,0,D809)))</f>
        <v>0</v>
      </c>
    </row>
    <row r="810" customFormat="false" ht="15" hidden="false" customHeight="false" outlineLevel="0" collapsed="false">
      <c r="A810" s="32"/>
      <c r="B810" s="35"/>
      <c r="C810" s="32"/>
      <c r="D810" s="34"/>
      <c r="E810" s="42" t="str">
        <f aca="false">IF(OR(A810="",B810=""),"",DATE(YEAR(B810),MONTH(B810),1))</f>
        <v/>
      </c>
      <c r="F810" s="36" t="n">
        <f aca="false">IF(OR(E810="",D810=""),0,IF(C810="Actual",D810,IF(COUNTIFS($A$2:$A$2001,A810,$E$2:$E$2001,E810,$C$2:$C$2001,"Actual")&gt;0,0,D810)))</f>
        <v>0</v>
      </c>
    </row>
    <row r="811" customFormat="false" ht="15" hidden="false" customHeight="false" outlineLevel="0" collapsed="false">
      <c r="A811" s="32"/>
      <c r="B811" s="35"/>
      <c r="C811" s="32"/>
      <c r="D811" s="34"/>
      <c r="E811" s="42" t="str">
        <f aca="false">IF(OR(A811="",B811=""),"",DATE(YEAR(B811),MONTH(B811),1))</f>
        <v/>
      </c>
      <c r="F811" s="36" t="n">
        <f aca="false">IF(OR(E811="",D811=""),0,IF(C811="Actual",D811,IF(COUNTIFS($A$2:$A$2001,A811,$E$2:$E$2001,E811,$C$2:$C$2001,"Actual")&gt;0,0,D811)))</f>
        <v>0</v>
      </c>
    </row>
    <row r="812" customFormat="false" ht="15" hidden="false" customHeight="false" outlineLevel="0" collapsed="false">
      <c r="A812" s="32"/>
      <c r="B812" s="35"/>
      <c r="C812" s="32"/>
      <c r="D812" s="34"/>
      <c r="E812" s="42" t="str">
        <f aca="false">IF(OR(A812="",B812=""),"",DATE(YEAR(B812),MONTH(B812),1))</f>
        <v/>
      </c>
      <c r="F812" s="36" t="n">
        <f aca="false">IF(OR(E812="",D812=""),0,IF(C812="Actual",D812,IF(COUNTIFS($A$2:$A$2001,A812,$E$2:$E$2001,E812,$C$2:$C$2001,"Actual")&gt;0,0,D812)))</f>
        <v>0</v>
      </c>
    </row>
    <row r="813" customFormat="false" ht="15" hidden="false" customHeight="false" outlineLevel="0" collapsed="false">
      <c r="A813" s="32"/>
      <c r="B813" s="35"/>
      <c r="C813" s="32"/>
      <c r="D813" s="34"/>
      <c r="E813" s="42" t="str">
        <f aca="false">IF(OR(A813="",B813=""),"",DATE(YEAR(B813),MONTH(B813),1))</f>
        <v/>
      </c>
      <c r="F813" s="36" t="n">
        <f aca="false">IF(OR(E813="",D813=""),0,IF(C813="Actual",D813,IF(COUNTIFS($A$2:$A$2001,A813,$E$2:$E$2001,E813,$C$2:$C$2001,"Actual")&gt;0,0,D813)))</f>
        <v>0</v>
      </c>
    </row>
    <row r="814" customFormat="false" ht="15" hidden="false" customHeight="false" outlineLevel="0" collapsed="false">
      <c r="A814" s="32"/>
      <c r="B814" s="35"/>
      <c r="C814" s="32"/>
      <c r="D814" s="34"/>
      <c r="E814" s="42" t="str">
        <f aca="false">IF(OR(A814="",B814=""),"",DATE(YEAR(B814),MONTH(B814),1))</f>
        <v/>
      </c>
      <c r="F814" s="36" t="n">
        <f aca="false">IF(OR(E814="",D814=""),0,IF(C814="Actual",D814,IF(COUNTIFS($A$2:$A$2001,A814,$E$2:$E$2001,E814,$C$2:$C$2001,"Actual")&gt;0,0,D814)))</f>
        <v>0</v>
      </c>
    </row>
    <row r="815" customFormat="false" ht="15" hidden="false" customHeight="false" outlineLevel="0" collapsed="false">
      <c r="A815" s="32"/>
      <c r="B815" s="35"/>
      <c r="C815" s="32"/>
      <c r="D815" s="34"/>
      <c r="E815" s="42" t="str">
        <f aca="false">IF(OR(A815="",B815=""),"",DATE(YEAR(B815),MONTH(B815),1))</f>
        <v/>
      </c>
      <c r="F815" s="36" t="n">
        <f aca="false">IF(OR(E815="",D815=""),0,IF(C815="Actual",D815,IF(COUNTIFS($A$2:$A$2001,A815,$E$2:$E$2001,E815,$C$2:$C$2001,"Actual")&gt;0,0,D815)))</f>
        <v>0</v>
      </c>
    </row>
    <row r="816" customFormat="false" ht="15" hidden="false" customHeight="false" outlineLevel="0" collapsed="false">
      <c r="A816" s="32"/>
      <c r="B816" s="35"/>
      <c r="C816" s="32"/>
      <c r="D816" s="34"/>
      <c r="E816" s="42" t="str">
        <f aca="false">IF(OR(A816="",B816=""),"",DATE(YEAR(B816),MONTH(B816),1))</f>
        <v/>
      </c>
      <c r="F816" s="36" t="n">
        <f aca="false">IF(OR(E816="",D816=""),0,IF(C816="Actual",D816,IF(COUNTIFS($A$2:$A$2001,A816,$E$2:$E$2001,E816,$C$2:$C$2001,"Actual")&gt;0,0,D816)))</f>
        <v>0</v>
      </c>
    </row>
    <row r="817" customFormat="false" ht="15" hidden="false" customHeight="false" outlineLevel="0" collapsed="false">
      <c r="A817" s="32"/>
      <c r="B817" s="35"/>
      <c r="C817" s="32"/>
      <c r="D817" s="34"/>
      <c r="E817" s="42" t="str">
        <f aca="false">IF(OR(A817="",B817=""),"",DATE(YEAR(B817),MONTH(B817),1))</f>
        <v/>
      </c>
      <c r="F817" s="36" t="n">
        <f aca="false">IF(OR(E817="",D817=""),0,IF(C817="Actual",D817,IF(COUNTIFS($A$2:$A$2001,A817,$E$2:$E$2001,E817,$C$2:$C$2001,"Actual")&gt;0,0,D817)))</f>
        <v>0</v>
      </c>
    </row>
    <row r="818" customFormat="false" ht="15" hidden="false" customHeight="false" outlineLevel="0" collapsed="false">
      <c r="A818" s="32"/>
      <c r="B818" s="35"/>
      <c r="C818" s="32"/>
      <c r="D818" s="34"/>
      <c r="E818" s="42" t="str">
        <f aca="false">IF(OR(A818="",B818=""),"",DATE(YEAR(B818),MONTH(B818),1))</f>
        <v/>
      </c>
      <c r="F818" s="36" t="n">
        <f aca="false">IF(OR(E818="",D818=""),0,IF(C818="Actual",D818,IF(COUNTIFS($A$2:$A$2001,A818,$E$2:$E$2001,E818,$C$2:$C$2001,"Actual")&gt;0,0,D818)))</f>
        <v>0</v>
      </c>
    </row>
    <row r="819" customFormat="false" ht="15" hidden="false" customHeight="false" outlineLevel="0" collapsed="false">
      <c r="A819" s="32"/>
      <c r="B819" s="35"/>
      <c r="C819" s="32"/>
      <c r="D819" s="34"/>
      <c r="E819" s="42" t="str">
        <f aca="false">IF(OR(A819="",B819=""),"",DATE(YEAR(B819),MONTH(B819),1))</f>
        <v/>
      </c>
      <c r="F819" s="36" t="n">
        <f aca="false">IF(OR(E819="",D819=""),0,IF(C819="Actual",D819,IF(COUNTIFS($A$2:$A$2001,A819,$E$2:$E$2001,E819,$C$2:$C$2001,"Actual")&gt;0,0,D819)))</f>
        <v>0</v>
      </c>
    </row>
    <row r="820" customFormat="false" ht="15" hidden="false" customHeight="false" outlineLevel="0" collapsed="false">
      <c r="A820" s="32"/>
      <c r="B820" s="35"/>
      <c r="C820" s="32"/>
      <c r="D820" s="34"/>
      <c r="E820" s="42" t="str">
        <f aca="false">IF(OR(A820="",B820=""),"",DATE(YEAR(B820),MONTH(B820),1))</f>
        <v/>
      </c>
      <c r="F820" s="36" t="n">
        <f aca="false">IF(OR(E820="",D820=""),0,IF(C820="Actual",D820,IF(COUNTIFS($A$2:$A$2001,A820,$E$2:$E$2001,E820,$C$2:$C$2001,"Actual")&gt;0,0,D820)))</f>
        <v>0</v>
      </c>
    </row>
    <row r="821" customFormat="false" ht="15" hidden="false" customHeight="false" outlineLevel="0" collapsed="false">
      <c r="A821" s="32"/>
      <c r="B821" s="35"/>
      <c r="C821" s="32"/>
      <c r="D821" s="34"/>
      <c r="E821" s="42" t="str">
        <f aca="false">IF(OR(A821="",B821=""),"",DATE(YEAR(B821),MONTH(B821),1))</f>
        <v/>
      </c>
      <c r="F821" s="36" t="n">
        <f aca="false">IF(OR(E821="",D821=""),0,IF(C821="Actual",D821,IF(COUNTIFS($A$2:$A$2001,A821,$E$2:$E$2001,E821,$C$2:$C$2001,"Actual")&gt;0,0,D821)))</f>
        <v>0</v>
      </c>
    </row>
    <row r="822" customFormat="false" ht="15" hidden="false" customHeight="false" outlineLevel="0" collapsed="false">
      <c r="A822" s="32"/>
      <c r="B822" s="35"/>
      <c r="C822" s="32"/>
      <c r="D822" s="34"/>
      <c r="E822" s="42" t="str">
        <f aca="false">IF(OR(A822="",B822=""),"",DATE(YEAR(B822),MONTH(B822),1))</f>
        <v/>
      </c>
      <c r="F822" s="36" t="n">
        <f aca="false">IF(OR(E822="",D822=""),0,IF(C822="Actual",D822,IF(COUNTIFS($A$2:$A$2001,A822,$E$2:$E$2001,E822,$C$2:$C$2001,"Actual")&gt;0,0,D822)))</f>
        <v>0</v>
      </c>
    </row>
    <row r="823" customFormat="false" ht="15" hidden="false" customHeight="false" outlineLevel="0" collapsed="false">
      <c r="A823" s="32"/>
      <c r="B823" s="35"/>
      <c r="C823" s="32"/>
      <c r="D823" s="34"/>
      <c r="E823" s="42" t="str">
        <f aca="false">IF(OR(A823="",B823=""),"",DATE(YEAR(B823),MONTH(B823),1))</f>
        <v/>
      </c>
      <c r="F823" s="36" t="n">
        <f aca="false">IF(OR(E823="",D823=""),0,IF(C823="Actual",D823,IF(COUNTIFS($A$2:$A$2001,A823,$E$2:$E$2001,E823,$C$2:$C$2001,"Actual")&gt;0,0,D823)))</f>
        <v>0</v>
      </c>
    </row>
    <row r="824" customFormat="false" ht="15" hidden="false" customHeight="false" outlineLevel="0" collapsed="false">
      <c r="A824" s="32"/>
      <c r="B824" s="35"/>
      <c r="C824" s="32"/>
      <c r="D824" s="34"/>
      <c r="E824" s="42" t="str">
        <f aca="false">IF(OR(A824="",B824=""),"",DATE(YEAR(B824),MONTH(B824),1))</f>
        <v/>
      </c>
      <c r="F824" s="36" t="n">
        <f aca="false">IF(OR(E824="",D824=""),0,IF(C824="Actual",D824,IF(COUNTIFS($A$2:$A$2001,A824,$E$2:$E$2001,E824,$C$2:$C$2001,"Actual")&gt;0,0,D824)))</f>
        <v>0</v>
      </c>
    </row>
    <row r="825" customFormat="false" ht="15" hidden="false" customHeight="false" outlineLevel="0" collapsed="false">
      <c r="A825" s="32"/>
      <c r="B825" s="35"/>
      <c r="C825" s="32"/>
      <c r="D825" s="34"/>
      <c r="E825" s="42" t="str">
        <f aca="false">IF(OR(A825="",B825=""),"",DATE(YEAR(B825),MONTH(B825),1))</f>
        <v/>
      </c>
      <c r="F825" s="36" t="n">
        <f aca="false">IF(OR(E825="",D825=""),0,IF(C825="Actual",D825,IF(COUNTIFS($A$2:$A$2001,A825,$E$2:$E$2001,E825,$C$2:$C$2001,"Actual")&gt;0,0,D825)))</f>
        <v>0</v>
      </c>
    </row>
    <row r="826" customFormat="false" ht="15" hidden="false" customHeight="false" outlineLevel="0" collapsed="false">
      <c r="A826" s="32"/>
      <c r="B826" s="35"/>
      <c r="C826" s="32"/>
      <c r="D826" s="34"/>
      <c r="E826" s="42" t="str">
        <f aca="false">IF(OR(A826="",B826=""),"",DATE(YEAR(B826),MONTH(B826),1))</f>
        <v/>
      </c>
      <c r="F826" s="36" t="n">
        <f aca="false">IF(OR(E826="",D826=""),0,IF(C826="Actual",D826,IF(COUNTIFS($A$2:$A$2001,A826,$E$2:$E$2001,E826,$C$2:$C$2001,"Actual")&gt;0,0,D826)))</f>
        <v>0</v>
      </c>
    </row>
    <row r="827" customFormat="false" ht="15" hidden="false" customHeight="false" outlineLevel="0" collapsed="false">
      <c r="A827" s="32"/>
      <c r="B827" s="35"/>
      <c r="C827" s="32"/>
      <c r="D827" s="34"/>
      <c r="E827" s="42" t="str">
        <f aca="false">IF(OR(A827="",B827=""),"",DATE(YEAR(B827),MONTH(B827),1))</f>
        <v/>
      </c>
      <c r="F827" s="36" t="n">
        <f aca="false">IF(OR(E827="",D827=""),0,IF(C827="Actual",D827,IF(COUNTIFS($A$2:$A$2001,A827,$E$2:$E$2001,E827,$C$2:$C$2001,"Actual")&gt;0,0,D827)))</f>
        <v>0</v>
      </c>
    </row>
    <row r="828" customFormat="false" ht="15" hidden="false" customHeight="false" outlineLevel="0" collapsed="false">
      <c r="A828" s="32"/>
      <c r="B828" s="35"/>
      <c r="C828" s="32"/>
      <c r="D828" s="34"/>
      <c r="E828" s="42" t="str">
        <f aca="false">IF(OR(A828="",B828=""),"",DATE(YEAR(B828),MONTH(B828),1))</f>
        <v/>
      </c>
      <c r="F828" s="36" t="n">
        <f aca="false">IF(OR(E828="",D828=""),0,IF(C828="Actual",D828,IF(COUNTIFS($A$2:$A$2001,A828,$E$2:$E$2001,E828,$C$2:$C$2001,"Actual")&gt;0,0,D828)))</f>
        <v>0</v>
      </c>
    </row>
    <row r="829" customFormat="false" ht="15" hidden="false" customHeight="false" outlineLevel="0" collapsed="false">
      <c r="A829" s="32"/>
      <c r="B829" s="35"/>
      <c r="C829" s="32"/>
      <c r="D829" s="34"/>
      <c r="E829" s="42" t="str">
        <f aca="false">IF(OR(A829="",B829=""),"",DATE(YEAR(B829),MONTH(B829),1))</f>
        <v/>
      </c>
      <c r="F829" s="36" t="n">
        <f aca="false">IF(OR(E829="",D829=""),0,IF(C829="Actual",D829,IF(COUNTIFS($A$2:$A$2001,A829,$E$2:$E$2001,E829,$C$2:$C$2001,"Actual")&gt;0,0,D829)))</f>
        <v>0</v>
      </c>
    </row>
    <row r="830" customFormat="false" ht="15" hidden="false" customHeight="false" outlineLevel="0" collapsed="false">
      <c r="A830" s="32"/>
      <c r="B830" s="35"/>
      <c r="C830" s="32"/>
      <c r="D830" s="34"/>
      <c r="E830" s="42" t="str">
        <f aca="false">IF(OR(A830="",B830=""),"",DATE(YEAR(B830),MONTH(B830),1))</f>
        <v/>
      </c>
      <c r="F830" s="36" t="n">
        <f aca="false">IF(OR(E830="",D830=""),0,IF(C830="Actual",D830,IF(COUNTIFS($A$2:$A$2001,A830,$E$2:$E$2001,E830,$C$2:$C$2001,"Actual")&gt;0,0,D830)))</f>
        <v>0</v>
      </c>
    </row>
    <row r="831" customFormat="false" ht="15" hidden="false" customHeight="false" outlineLevel="0" collapsed="false">
      <c r="A831" s="32"/>
      <c r="B831" s="35"/>
      <c r="C831" s="32"/>
      <c r="D831" s="34"/>
      <c r="E831" s="42" t="str">
        <f aca="false">IF(OR(A831="",B831=""),"",DATE(YEAR(B831),MONTH(B831),1))</f>
        <v/>
      </c>
      <c r="F831" s="36" t="n">
        <f aca="false">IF(OR(E831="",D831=""),0,IF(C831="Actual",D831,IF(COUNTIFS($A$2:$A$2001,A831,$E$2:$E$2001,E831,$C$2:$C$2001,"Actual")&gt;0,0,D831)))</f>
        <v>0</v>
      </c>
    </row>
    <row r="832" customFormat="false" ht="15" hidden="false" customHeight="false" outlineLevel="0" collapsed="false">
      <c r="A832" s="32"/>
      <c r="B832" s="35"/>
      <c r="C832" s="32"/>
      <c r="D832" s="34"/>
      <c r="E832" s="42" t="str">
        <f aca="false">IF(OR(A832="",B832=""),"",DATE(YEAR(B832),MONTH(B832),1))</f>
        <v/>
      </c>
      <c r="F832" s="36" t="n">
        <f aca="false">IF(OR(E832="",D832=""),0,IF(C832="Actual",D832,IF(COUNTIFS($A$2:$A$2001,A832,$E$2:$E$2001,E832,$C$2:$C$2001,"Actual")&gt;0,0,D832)))</f>
        <v>0</v>
      </c>
    </row>
    <row r="833" customFormat="false" ht="15" hidden="false" customHeight="false" outlineLevel="0" collapsed="false">
      <c r="A833" s="32"/>
      <c r="B833" s="35"/>
      <c r="C833" s="32"/>
      <c r="D833" s="34"/>
      <c r="E833" s="42" t="str">
        <f aca="false">IF(OR(A833="",B833=""),"",DATE(YEAR(B833),MONTH(B833),1))</f>
        <v/>
      </c>
      <c r="F833" s="36" t="n">
        <f aca="false">IF(OR(E833="",D833=""),0,IF(C833="Actual",D833,IF(COUNTIFS($A$2:$A$2001,A833,$E$2:$E$2001,E833,$C$2:$C$2001,"Actual")&gt;0,0,D833)))</f>
        <v>0</v>
      </c>
    </row>
    <row r="834" customFormat="false" ht="15" hidden="false" customHeight="false" outlineLevel="0" collapsed="false">
      <c r="A834" s="32"/>
      <c r="B834" s="35"/>
      <c r="C834" s="32"/>
      <c r="D834" s="34"/>
      <c r="E834" s="42" t="str">
        <f aca="false">IF(OR(A834="",B834=""),"",DATE(YEAR(B834),MONTH(B834),1))</f>
        <v/>
      </c>
      <c r="F834" s="36" t="n">
        <f aca="false">IF(OR(E834="",D834=""),0,IF(C834="Actual",D834,IF(COUNTIFS($A$2:$A$2001,A834,$E$2:$E$2001,E834,$C$2:$C$2001,"Actual")&gt;0,0,D834)))</f>
        <v>0</v>
      </c>
    </row>
    <row r="835" customFormat="false" ht="15" hidden="false" customHeight="false" outlineLevel="0" collapsed="false">
      <c r="A835" s="32"/>
      <c r="B835" s="35"/>
      <c r="C835" s="32"/>
      <c r="D835" s="34"/>
      <c r="E835" s="42" t="str">
        <f aca="false">IF(OR(A835="",B835=""),"",DATE(YEAR(B835),MONTH(B835),1))</f>
        <v/>
      </c>
      <c r="F835" s="36" t="n">
        <f aca="false">IF(OR(E835="",D835=""),0,IF(C835="Actual",D835,IF(COUNTIFS($A$2:$A$2001,A835,$E$2:$E$2001,E835,$C$2:$C$2001,"Actual")&gt;0,0,D835)))</f>
        <v>0</v>
      </c>
    </row>
    <row r="836" customFormat="false" ht="15" hidden="false" customHeight="false" outlineLevel="0" collapsed="false">
      <c r="A836" s="32"/>
      <c r="B836" s="35"/>
      <c r="C836" s="32"/>
      <c r="D836" s="34"/>
      <c r="E836" s="42" t="str">
        <f aca="false">IF(OR(A836="",B836=""),"",DATE(YEAR(B836),MONTH(B836),1))</f>
        <v/>
      </c>
      <c r="F836" s="36" t="n">
        <f aca="false">IF(OR(E836="",D836=""),0,IF(C836="Actual",D836,IF(COUNTIFS($A$2:$A$2001,A836,$E$2:$E$2001,E836,$C$2:$C$2001,"Actual")&gt;0,0,D836)))</f>
        <v>0</v>
      </c>
    </row>
    <row r="837" customFormat="false" ht="15" hidden="false" customHeight="false" outlineLevel="0" collapsed="false">
      <c r="A837" s="32"/>
      <c r="B837" s="35"/>
      <c r="C837" s="32"/>
      <c r="D837" s="34"/>
      <c r="E837" s="42" t="str">
        <f aca="false">IF(OR(A837="",B837=""),"",DATE(YEAR(B837),MONTH(B837),1))</f>
        <v/>
      </c>
      <c r="F837" s="36" t="n">
        <f aca="false">IF(OR(E837="",D837=""),0,IF(C837="Actual",D837,IF(COUNTIFS($A$2:$A$2001,A837,$E$2:$E$2001,E837,$C$2:$C$2001,"Actual")&gt;0,0,D837)))</f>
        <v>0</v>
      </c>
    </row>
    <row r="838" customFormat="false" ht="15" hidden="false" customHeight="false" outlineLevel="0" collapsed="false">
      <c r="A838" s="32"/>
      <c r="B838" s="35"/>
      <c r="C838" s="32"/>
      <c r="D838" s="34"/>
      <c r="E838" s="42" t="str">
        <f aca="false">IF(OR(A838="",B838=""),"",DATE(YEAR(B838),MONTH(B838),1))</f>
        <v/>
      </c>
      <c r="F838" s="36" t="n">
        <f aca="false">IF(OR(E838="",D838=""),0,IF(C838="Actual",D838,IF(COUNTIFS($A$2:$A$2001,A838,$E$2:$E$2001,E838,$C$2:$C$2001,"Actual")&gt;0,0,D838)))</f>
        <v>0</v>
      </c>
    </row>
    <row r="839" customFormat="false" ht="15" hidden="false" customHeight="false" outlineLevel="0" collapsed="false">
      <c r="A839" s="32"/>
      <c r="B839" s="35"/>
      <c r="C839" s="32"/>
      <c r="D839" s="34"/>
      <c r="E839" s="42" t="str">
        <f aca="false">IF(OR(A839="",B839=""),"",DATE(YEAR(B839),MONTH(B839),1))</f>
        <v/>
      </c>
      <c r="F839" s="36" t="n">
        <f aca="false">IF(OR(E839="",D839=""),0,IF(C839="Actual",D839,IF(COUNTIFS($A$2:$A$2001,A839,$E$2:$E$2001,E839,$C$2:$C$2001,"Actual")&gt;0,0,D839)))</f>
        <v>0</v>
      </c>
    </row>
    <row r="840" customFormat="false" ht="15" hidden="false" customHeight="false" outlineLevel="0" collapsed="false">
      <c r="A840" s="32"/>
      <c r="B840" s="35"/>
      <c r="C840" s="32"/>
      <c r="D840" s="34"/>
      <c r="E840" s="42" t="str">
        <f aca="false">IF(OR(A840="",B840=""),"",DATE(YEAR(B840),MONTH(B840),1))</f>
        <v/>
      </c>
      <c r="F840" s="36" t="n">
        <f aca="false">IF(OR(E840="",D840=""),0,IF(C840="Actual",D840,IF(COUNTIFS($A$2:$A$2001,A840,$E$2:$E$2001,E840,$C$2:$C$2001,"Actual")&gt;0,0,D840)))</f>
        <v>0</v>
      </c>
    </row>
    <row r="841" customFormat="false" ht="15" hidden="false" customHeight="false" outlineLevel="0" collapsed="false">
      <c r="A841" s="32"/>
      <c r="B841" s="35"/>
      <c r="C841" s="32"/>
      <c r="D841" s="34"/>
      <c r="E841" s="42" t="str">
        <f aca="false">IF(OR(A841="",B841=""),"",DATE(YEAR(B841),MONTH(B841),1))</f>
        <v/>
      </c>
      <c r="F841" s="36" t="n">
        <f aca="false">IF(OR(E841="",D841=""),0,IF(C841="Actual",D841,IF(COUNTIFS($A$2:$A$2001,A841,$E$2:$E$2001,E841,$C$2:$C$2001,"Actual")&gt;0,0,D841)))</f>
        <v>0</v>
      </c>
    </row>
    <row r="842" customFormat="false" ht="15" hidden="false" customHeight="false" outlineLevel="0" collapsed="false">
      <c r="A842" s="32"/>
      <c r="B842" s="35"/>
      <c r="C842" s="32"/>
      <c r="D842" s="34"/>
      <c r="E842" s="42" t="str">
        <f aca="false">IF(OR(A842="",B842=""),"",DATE(YEAR(B842),MONTH(B842),1))</f>
        <v/>
      </c>
      <c r="F842" s="36" t="n">
        <f aca="false">IF(OR(E842="",D842=""),0,IF(C842="Actual",D842,IF(COUNTIFS($A$2:$A$2001,A842,$E$2:$E$2001,E842,$C$2:$C$2001,"Actual")&gt;0,0,D842)))</f>
        <v>0</v>
      </c>
    </row>
    <row r="843" customFormat="false" ht="15" hidden="false" customHeight="false" outlineLevel="0" collapsed="false">
      <c r="A843" s="32"/>
      <c r="B843" s="35"/>
      <c r="C843" s="32"/>
      <c r="D843" s="34"/>
      <c r="E843" s="42" t="str">
        <f aca="false">IF(OR(A843="",B843=""),"",DATE(YEAR(B843),MONTH(B843),1))</f>
        <v/>
      </c>
      <c r="F843" s="36" t="n">
        <f aca="false">IF(OR(E843="",D843=""),0,IF(C843="Actual",D843,IF(COUNTIFS($A$2:$A$2001,A843,$E$2:$E$2001,E843,$C$2:$C$2001,"Actual")&gt;0,0,D843)))</f>
        <v>0</v>
      </c>
    </row>
    <row r="844" customFormat="false" ht="15" hidden="false" customHeight="false" outlineLevel="0" collapsed="false">
      <c r="A844" s="32"/>
      <c r="B844" s="35"/>
      <c r="C844" s="32"/>
      <c r="D844" s="34"/>
      <c r="E844" s="42" t="str">
        <f aca="false">IF(OR(A844="",B844=""),"",DATE(YEAR(B844),MONTH(B844),1))</f>
        <v/>
      </c>
      <c r="F844" s="36" t="n">
        <f aca="false">IF(OR(E844="",D844=""),0,IF(C844="Actual",D844,IF(COUNTIFS($A$2:$A$2001,A844,$E$2:$E$2001,E844,$C$2:$C$2001,"Actual")&gt;0,0,D844)))</f>
        <v>0</v>
      </c>
    </row>
    <row r="845" customFormat="false" ht="15" hidden="false" customHeight="false" outlineLevel="0" collapsed="false">
      <c r="A845" s="32"/>
      <c r="B845" s="35"/>
      <c r="C845" s="32"/>
      <c r="D845" s="34"/>
      <c r="E845" s="42" t="str">
        <f aca="false">IF(OR(A845="",B845=""),"",DATE(YEAR(B845),MONTH(B845),1))</f>
        <v/>
      </c>
      <c r="F845" s="36" t="n">
        <f aca="false">IF(OR(E845="",D845=""),0,IF(C845="Actual",D845,IF(COUNTIFS($A$2:$A$2001,A845,$E$2:$E$2001,E845,$C$2:$C$2001,"Actual")&gt;0,0,D845)))</f>
        <v>0</v>
      </c>
    </row>
    <row r="846" customFormat="false" ht="15" hidden="false" customHeight="false" outlineLevel="0" collapsed="false">
      <c r="A846" s="32"/>
      <c r="B846" s="35"/>
      <c r="C846" s="32"/>
      <c r="D846" s="34"/>
      <c r="E846" s="42" t="str">
        <f aca="false">IF(OR(A846="",B846=""),"",DATE(YEAR(B846),MONTH(B846),1))</f>
        <v/>
      </c>
      <c r="F846" s="36" t="n">
        <f aca="false">IF(OR(E846="",D846=""),0,IF(C846="Actual",D846,IF(COUNTIFS($A$2:$A$2001,A846,$E$2:$E$2001,E846,$C$2:$C$2001,"Actual")&gt;0,0,D846)))</f>
        <v>0</v>
      </c>
    </row>
    <row r="847" customFormat="false" ht="15" hidden="false" customHeight="false" outlineLevel="0" collapsed="false">
      <c r="A847" s="32"/>
      <c r="B847" s="35"/>
      <c r="C847" s="32"/>
      <c r="D847" s="34"/>
      <c r="E847" s="42" t="str">
        <f aca="false">IF(OR(A847="",B847=""),"",DATE(YEAR(B847),MONTH(B847),1))</f>
        <v/>
      </c>
      <c r="F847" s="36" t="n">
        <f aca="false">IF(OR(E847="",D847=""),0,IF(C847="Actual",D847,IF(COUNTIFS($A$2:$A$2001,A847,$E$2:$E$2001,E847,$C$2:$C$2001,"Actual")&gt;0,0,D847)))</f>
        <v>0</v>
      </c>
    </row>
    <row r="848" customFormat="false" ht="15" hidden="false" customHeight="false" outlineLevel="0" collapsed="false">
      <c r="A848" s="32"/>
      <c r="B848" s="35"/>
      <c r="C848" s="32"/>
      <c r="D848" s="34"/>
      <c r="E848" s="42" t="str">
        <f aca="false">IF(OR(A848="",B848=""),"",DATE(YEAR(B848),MONTH(B848),1))</f>
        <v/>
      </c>
      <c r="F848" s="36" t="n">
        <f aca="false">IF(OR(E848="",D848=""),0,IF(C848="Actual",D848,IF(COUNTIFS($A$2:$A$2001,A848,$E$2:$E$2001,E848,$C$2:$C$2001,"Actual")&gt;0,0,D848)))</f>
        <v>0</v>
      </c>
    </row>
    <row r="849" customFormat="false" ht="15" hidden="false" customHeight="false" outlineLevel="0" collapsed="false">
      <c r="A849" s="32"/>
      <c r="B849" s="35"/>
      <c r="C849" s="32"/>
      <c r="D849" s="34"/>
      <c r="E849" s="42" t="str">
        <f aca="false">IF(OR(A849="",B849=""),"",DATE(YEAR(B849),MONTH(B849),1))</f>
        <v/>
      </c>
      <c r="F849" s="36" t="n">
        <f aca="false">IF(OR(E849="",D849=""),0,IF(C849="Actual",D849,IF(COUNTIFS($A$2:$A$2001,A849,$E$2:$E$2001,E849,$C$2:$C$2001,"Actual")&gt;0,0,D849)))</f>
        <v>0</v>
      </c>
    </row>
    <row r="850" customFormat="false" ht="15" hidden="false" customHeight="false" outlineLevel="0" collapsed="false">
      <c r="A850" s="32"/>
      <c r="B850" s="35"/>
      <c r="C850" s="32"/>
      <c r="D850" s="34"/>
      <c r="E850" s="42" t="str">
        <f aca="false">IF(OR(A850="",B850=""),"",DATE(YEAR(B850),MONTH(B850),1))</f>
        <v/>
      </c>
      <c r="F850" s="36" t="n">
        <f aca="false">IF(OR(E850="",D850=""),0,IF(C850="Actual",D850,IF(COUNTIFS($A$2:$A$2001,A850,$E$2:$E$2001,E850,$C$2:$C$2001,"Actual")&gt;0,0,D850)))</f>
        <v>0</v>
      </c>
    </row>
    <row r="851" customFormat="false" ht="15" hidden="false" customHeight="false" outlineLevel="0" collapsed="false">
      <c r="A851" s="32"/>
      <c r="B851" s="35"/>
      <c r="C851" s="32"/>
      <c r="D851" s="34"/>
      <c r="E851" s="42" t="str">
        <f aca="false">IF(OR(A851="",B851=""),"",DATE(YEAR(B851),MONTH(B851),1))</f>
        <v/>
      </c>
      <c r="F851" s="36" t="n">
        <f aca="false">IF(OR(E851="",D851=""),0,IF(C851="Actual",D851,IF(COUNTIFS($A$2:$A$2001,A851,$E$2:$E$2001,E851,$C$2:$C$2001,"Actual")&gt;0,0,D851)))</f>
        <v>0</v>
      </c>
    </row>
    <row r="852" customFormat="false" ht="15" hidden="false" customHeight="false" outlineLevel="0" collapsed="false">
      <c r="A852" s="32"/>
      <c r="B852" s="35"/>
      <c r="C852" s="32"/>
      <c r="D852" s="34"/>
      <c r="E852" s="42" t="str">
        <f aca="false">IF(OR(A852="",B852=""),"",DATE(YEAR(B852),MONTH(B852),1))</f>
        <v/>
      </c>
      <c r="F852" s="36" t="n">
        <f aca="false">IF(OR(E852="",D852=""),0,IF(C852="Actual",D852,IF(COUNTIFS($A$2:$A$2001,A852,$E$2:$E$2001,E852,$C$2:$C$2001,"Actual")&gt;0,0,D852)))</f>
        <v>0</v>
      </c>
    </row>
    <row r="853" customFormat="false" ht="15" hidden="false" customHeight="false" outlineLevel="0" collapsed="false">
      <c r="A853" s="32"/>
      <c r="B853" s="35"/>
      <c r="C853" s="32"/>
      <c r="D853" s="34"/>
      <c r="E853" s="42" t="str">
        <f aca="false">IF(OR(A853="",B853=""),"",DATE(YEAR(B853),MONTH(B853),1))</f>
        <v/>
      </c>
      <c r="F853" s="36" t="n">
        <f aca="false">IF(OR(E853="",D853=""),0,IF(C853="Actual",D853,IF(COUNTIFS($A$2:$A$2001,A853,$E$2:$E$2001,E853,$C$2:$C$2001,"Actual")&gt;0,0,D853)))</f>
        <v>0</v>
      </c>
    </row>
    <row r="854" customFormat="false" ht="15" hidden="false" customHeight="false" outlineLevel="0" collapsed="false">
      <c r="A854" s="32"/>
      <c r="B854" s="35"/>
      <c r="C854" s="32"/>
      <c r="D854" s="34"/>
      <c r="E854" s="42" t="str">
        <f aca="false">IF(OR(A854="",B854=""),"",DATE(YEAR(B854),MONTH(B854),1))</f>
        <v/>
      </c>
      <c r="F854" s="36" t="n">
        <f aca="false">IF(OR(E854="",D854=""),0,IF(C854="Actual",D854,IF(COUNTIFS($A$2:$A$2001,A854,$E$2:$E$2001,E854,$C$2:$C$2001,"Actual")&gt;0,0,D854)))</f>
        <v>0</v>
      </c>
    </row>
    <row r="855" customFormat="false" ht="15" hidden="false" customHeight="false" outlineLevel="0" collapsed="false">
      <c r="A855" s="32"/>
      <c r="B855" s="35"/>
      <c r="C855" s="32"/>
      <c r="D855" s="34"/>
      <c r="E855" s="42" t="str">
        <f aca="false">IF(OR(A855="",B855=""),"",DATE(YEAR(B855),MONTH(B855),1))</f>
        <v/>
      </c>
      <c r="F855" s="36" t="n">
        <f aca="false">IF(OR(E855="",D855=""),0,IF(C855="Actual",D855,IF(COUNTIFS($A$2:$A$2001,A855,$E$2:$E$2001,E855,$C$2:$C$2001,"Actual")&gt;0,0,D855)))</f>
        <v>0</v>
      </c>
    </row>
    <row r="856" customFormat="false" ht="15" hidden="false" customHeight="false" outlineLevel="0" collapsed="false">
      <c r="A856" s="32"/>
      <c r="B856" s="35"/>
      <c r="C856" s="32"/>
      <c r="D856" s="34"/>
      <c r="E856" s="42" t="str">
        <f aca="false">IF(OR(A856="",B856=""),"",DATE(YEAR(B856),MONTH(B856),1))</f>
        <v/>
      </c>
      <c r="F856" s="36" t="n">
        <f aca="false">IF(OR(E856="",D856=""),0,IF(C856="Actual",D856,IF(COUNTIFS($A$2:$A$2001,A856,$E$2:$E$2001,E856,$C$2:$C$2001,"Actual")&gt;0,0,D856)))</f>
        <v>0</v>
      </c>
    </row>
    <row r="857" customFormat="false" ht="15" hidden="false" customHeight="false" outlineLevel="0" collapsed="false">
      <c r="A857" s="32"/>
      <c r="B857" s="35"/>
      <c r="C857" s="32"/>
      <c r="D857" s="34"/>
      <c r="E857" s="42" t="str">
        <f aca="false">IF(OR(A857="",B857=""),"",DATE(YEAR(B857),MONTH(B857),1))</f>
        <v/>
      </c>
      <c r="F857" s="36" t="n">
        <f aca="false">IF(OR(E857="",D857=""),0,IF(C857="Actual",D857,IF(COUNTIFS($A$2:$A$2001,A857,$E$2:$E$2001,E857,$C$2:$C$2001,"Actual")&gt;0,0,D857)))</f>
        <v>0</v>
      </c>
    </row>
    <row r="858" customFormat="false" ht="15" hidden="false" customHeight="false" outlineLevel="0" collapsed="false">
      <c r="A858" s="32"/>
      <c r="B858" s="35"/>
      <c r="C858" s="32"/>
      <c r="D858" s="34"/>
      <c r="E858" s="42" t="str">
        <f aca="false">IF(OR(A858="",B858=""),"",DATE(YEAR(B858),MONTH(B858),1))</f>
        <v/>
      </c>
      <c r="F858" s="36" t="n">
        <f aca="false">IF(OR(E858="",D858=""),0,IF(C858="Actual",D858,IF(COUNTIFS($A$2:$A$2001,A858,$E$2:$E$2001,E858,$C$2:$C$2001,"Actual")&gt;0,0,D858)))</f>
        <v>0</v>
      </c>
    </row>
    <row r="859" customFormat="false" ht="15" hidden="false" customHeight="false" outlineLevel="0" collapsed="false">
      <c r="A859" s="32"/>
      <c r="B859" s="35"/>
      <c r="C859" s="32"/>
      <c r="D859" s="34"/>
      <c r="E859" s="42" t="str">
        <f aca="false">IF(OR(A859="",B859=""),"",DATE(YEAR(B859),MONTH(B859),1))</f>
        <v/>
      </c>
      <c r="F859" s="36" t="n">
        <f aca="false">IF(OR(E859="",D859=""),0,IF(C859="Actual",D859,IF(COUNTIFS($A$2:$A$2001,A859,$E$2:$E$2001,E859,$C$2:$C$2001,"Actual")&gt;0,0,D859)))</f>
        <v>0</v>
      </c>
    </row>
    <row r="860" customFormat="false" ht="15" hidden="false" customHeight="false" outlineLevel="0" collapsed="false">
      <c r="A860" s="32"/>
      <c r="B860" s="35"/>
      <c r="C860" s="32"/>
      <c r="D860" s="34"/>
      <c r="E860" s="42" t="str">
        <f aca="false">IF(OR(A860="",B860=""),"",DATE(YEAR(B860),MONTH(B860),1))</f>
        <v/>
      </c>
      <c r="F860" s="36" t="n">
        <f aca="false">IF(OR(E860="",D860=""),0,IF(C860="Actual",D860,IF(COUNTIFS($A$2:$A$2001,A860,$E$2:$E$2001,E860,$C$2:$C$2001,"Actual")&gt;0,0,D860)))</f>
        <v>0</v>
      </c>
    </row>
    <row r="861" customFormat="false" ht="15" hidden="false" customHeight="false" outlineLevel="0" collapsed="false">
      <c r="A861" s="32"/>
      <c r="B861" s="35"/>
      <c r="C861" s="32"/>
      <c r="D861" s="34"/>
      <c r="E861" s="42" t="str">
        <f aca="false">IF(OR(A861="",B861=""),"",DATE(YEAR(B861),MONTH(B861),1))</f>
        <v/>
      </c>
      <c r="F861" s="36" t="n">
        <f aca="false">IF(OR(E861="",D861=""),0,IF(C861="Actual",D861,IF(COUNTIFS($A$2:$A$2001,A861,$E$2:$E$2001,E861,$C$2:$C$2001,"Actual")&gt;0,0,D861)))</f>
        <v>0</v>
      </c>
    </row>
    <row r="862" customFormat="false" ht="15" hidden="false" customHeight="false" outlineLevel="0" collapsed="false">
      <c r="A862" s="32"/>
      <c r="B862" s="35"/>
      <c r="C862" s="32"/>
      <c r="D862" s="34"/>
      <c r="E862" s="42" t="str">
        <f aca="false">IF(OR(A862="",B862=""),"",DATE(YEAR(B862),MONTH(B862),1))</f>
        <v/>
      </c>
      <c r="F862" s="36" t="n">
        <f aca="false">IF(OR(E862="",D862=""),0,IF(C862="Actual",D862,IF(COUNTIFS($A$2:$A$2001,A862,$E$2:$E$2001,E862,$C$2:$C$2001,"Actual")&gt;0,0,D862)))</f>
        <v>0</v>
      </c>
    </row>
    <row r="863" customFormat="false" ht="15" hidden="false" customHeight="false" outlineLevel="0" collapsed="false">
      <c r="A863" s="32"/>
      <c r="B863" s="35"/>
      <c r="C863" s="32"/>
      <c r="D863" s="34"/>
      <c r="E863" s="42" t="str">
        <f aca="false">IF(OR(A863="",B863=""),"",DATE(YEAR(B863),MONTH(B863),1))</f>
        <v/>
      </c>
      <c r="F863" s="36" t="n">
        <f aca="false">IF(OR(E863="",D863=""),0,IF(C863="Actual",D863,IF(COUNTIFS($A$2:$A$2001,A863,$E$2:$E$2001,E863,$C$2:$C$2001,"Actual")&gt;0,0,D863)))</f>
        <v>0</v>
      </c>
    </row>
    <row r="864" customFormat="false" ht="15" hidden="false" customHeight="false" outlineLevel="0" collapsed="false">
      <c r="A864" s="32"/>
      <c r="B864" s="35"/>
      <c r="C864" s="32"/>
      <c r="D864" s="34"/>
      <c r="E864" s="42" t="str">
        <f aca="false">IF(OR(A864="",B864=""),"",DATE(YEAR(B864),MONTH(B864),1))</f>
        <v/>
      </c>
      <c r="F864" s="36" t="n">
        <f aca="false">IF(OR(E864="",D864=""),0,IF(C864="Actual",D864,IF(COUNTIFS($A$2:$A$2001,A864,$E$2:$E$2001,E864,$C$2:$C$2001,"Actual")&gt;0,0,D864)))</f>
        <v>0</v>
      </c>
    </row>
    <row r="865" customFormat="false" ht="15" hidden="false" customHeight="false" outlineLevel="0" collapsed="false">
      <c r="A865" s="32"/>
      <c r="B865" s="35"/>
      <c r="C865" s="32"/>
      <c r="D865" s="34"/>
      <c r="E865" s="42" t="str">
        <f aca="false">IF(OR(A865="",B865=""),"",DATE(YEAR(B865),MONTH(B865),1))</f>
        <v/>
      </c>
      <c r="F865" s="36" t="n">
        <f aca="false">IF(OR(E865="",D865=""),0,IF(C865="Actual",D865,IF(COUNTIFS($A$2:$A$2001,A865,$E$2:$E$2001,E865,$C$2:$C$2001,"Actual")&gt;0,0,D865)))</f>
        <v>0</v>
      </c>
    </row>
    <row r="866" customFormat="false" ht="15" hidden="false" customHeight="false" outlineLevel="0" collapsed="false">
      <c r="A866" s="32"/>
      <c r="B866" s="35"/>
      <c r="C866" s="32"/>
      <c r="D866" s="34"/>
      <c r="E866" s="42" t="str">
        <f aca="false">IF(OR(A866="",B866=""),"",DATE(YEAR(B866),MONTH(B866),1))</f>
        <v/>
      </c>
      <c r="F866" s="36" t="n">
        <f aca="false">IF(OR(E866="",D866=""),0,IF(C866="Actual",D866,IF(COUNTIFS($A$2:$A$2001,A866,$E$2:$E$2001,E866,$C$2:$C$2001,"Actual")&gt;0,0,D866)))</f>
        <v>0</v>
      </c>
    </row>
    <row r="867" customFormat="false" ht="15" hidden="false" customHeight="false" outlineLevel="0" collapsed="false">
      <c r="A867" s="32"/>
      <c r="B867" s="35"/>
      <c r="C867" s="32"/>
      <c r="D867" s="34"/>
      <c r="E867" s="42" t="str">
        <f aca="false">IF(OR(A867="",B867=""),"",DATE(YEAR(B867),MONTH(B867),1))</f>
        <v/>
      </c>
      <c r="F867" s="36" t="n">
        <f aca="false">IF(OR(E867="",D867=""),0,IF(C867="Actual",D867,IF(COUNTIFS($A$2:$A$2001,A867,$E$2:$E$2001,E867,$C$2:$C$2001,"Actual")&gt;0,0,D867)))</f>
        <v>0</v>
      </c>
    </row>
    <row r="868" customFormat="false" ht="15" hidden="false" customHeight="false" outlineLevel="0" collapsed="false">
      <c r="A868" s="32"/>
      <c r="B868" s="35"/>
      <c r="C868" s="32"/>
      <c r="D868" s="34"/>
      <c r="E868" s="42" t="str">
        <f aca="false">IF(OR(A868="",B868=""),"",DATE(YEAR(B868),MONTH(B868),1))</f>
        <v/>
      </c>
      <c r="F868" s="36" t="n">
        <f aca="false">IF(OR(E868="",D868=""),0,IF(C868="Actual",D868,IF(COUNTIFS($A$2:$A$2001,A868,$E$2:$E$2001,E868,$C$2:$C$2001,"Actual")&gt;0,0,D868)))</f>
        <v>0</v>
      </c>
    </row>
    <row r="869" customFormat="false" ht="15" hidden="false" customHeight="false" outlineLevel="0" collapsed="false">
      <c r="A869" s="32"/>
      <c r="B869" s="35"/>
      <c r="C869" s="32"/>
      <c r="D869" s="34"/>
      <c r="E869" s="42" t="str">
        <f aca="false">IF(OR(A869="",B869=""),"",DATE(YEAR(B869),MONTH(B869),1))</f>
        <v/>
      </c>
      <c r="F869" s="36" t="n">
        <f aca="false">IF(OR(E869="",D869=""),0,IF(C869="Actual",D869,IF(COUNTIFS($A$2:$A$2001,A869,$E$2:$E$2001,E869,$C$2:$C$2001,"Actual")&gt;0,0,D869)))</f>
        <v>0</v>
      </c>
    </row>
    <row r="870" customFormat="false" ht="15" hidden="false" customHeight="false" outlineLevel="0" collapsed="false">
      <c r="A870" s="32"/>
      <c r="B870" s="35"/>
      <c r="C870" s="32"/>
      <c r="D870" s="34"/>
      <c r="E870" s="42" t="str">
        <f aca="false">IF(OR(A870="",B870=""),"",DATE(YEAR(B870),MONTH(B870),1))</f>
        <v/>
      </c>
      <c r="F870" s="36" t="n">
        <f aca="false">IF(OR(E870="",D870=""),0,IF(C870="Actual",D870,IF(COUNTIFS($A$2:$A$2001,A870,$E$2:$E$2001,E870,$C$2:$C$2001,"Actual")&gt;0,0,D870)))</f>
        <v>0</v>
      </c>
    </row>
    <row r="871" customFormat="false" ht="15" hidden="false" customHeight="false" outlineLevel="0" collapsed="false">
      <c r="A871" s="32"/>
      <c r="B871" s="35"/>
      <c r="C871" s="32"/>
      <c r="D871" s="34"/>
      <c r="E871" s="42" t="str">
        <f aca="false">IF(OR(A871="",B871=""),"",DATE(YEAR(B871),MONTH(B871),1))</f>
        <v/>
      </c>
      <c r="F871" s="36" t="n">
        <f aca="false">IF(OR(E871="",D871=""),0,IF(C871="Actual",D871,IF(COUNTIFS($A$2:$A$2001,A871,$E$2:$E$2001,E871,$C$2:$C$2001,"Actual")&gt;0,0,D871)))</f>
        <v>0</v>
      </c>
    </row>
    <row r="872" customFormat="false" ht="15" hidden="false" customHeight="false" outlineLevel="0" collapsed="false">
      <c r="A872" s="32"/>
      <c r="B872" s="35"/>
      <c r="C872" s="32"/>
      <c r="D872" s="34"/>
      <c r="E872" s="42" t="str">
        <f aca="false">IF(OR(A872="",B872=""),"",DATE(YEAR(B872),MONTH(B872),1))</f>
        <v/>
      </c>
      <c r="F872" s="36" t="n">
        <f aca="false">IF(OR(E872="",D872=""),0,IF(C872="Actual",D872,IF(COUNTIFS($A$2:$A$2001,A872,$E$2:$E$2001,E872,$C$2:$C$2001,"Actual")&gt;0,0,D872)))</f>
        <v>0</v>
      </c>
    </row>
    <row r="873" customFormat="false" ht="15" hidden="false" customHeight="false" outlineLevel="0" collapsed="false">
      <c r="A873" s="32"/>
      <c r="B873" s="35"/>
      <c r="C873" s="32"/>
      <c r="D873" s="34"/>
      <c r="E873" s="42" t="str">
        <f aca="false">IF(OR(A873="",B873=""),"",DATE(YEAR(B873),MONTH(B873),1))</f>
        <v/>
      </c>
      <c r="F873" s="36" t="n">
        <f aca="false">IF(OR(E873="",D873=""),0,IF(C873="Actual",D873,IF(COUNTIFS($A$2:$A$2001,A873,$E$2:$E$2001,E873,$C$2:$C$2001,"Actual")&gt;0,0,D873)))</f>
        <v>0</v>
      </c>
    </row>
    <row r="874" customFormat="false" ht="15" hidden="false" customHeight="false" outlineLevel="0" collapsed="false">
      <c r="A874" s="32"/>
      <c r="B874" s="35"/>
      <c r="C874" s="32"/>
      <c r="D874" s="34"/>
      <c r="E874" s="42" t="str">
        <f aca="false">IF(OR(A874="",B874=""),"",DATE(YEAR(B874),MONTH(B874),1))</f>
        <v/>
      </c>
      <c r="F874" s="36" t="n">
        <f aca="false">IF(OR(E874="",D874=""),0,IF(C874="Actual",D874,IF(COUNTIFS($A$2:$A$2001,A874,$E$2:$E$2001,E874,$C$2:$C$2001,"Actual")&gt;0,0,D874)))</f>
        <v>0</v>
      </c>
    </row>
    <row r="875" customFormat="false" ht="15" hidden="false" customHeight="false" outlineLevel="0" collapsed="false">
      <c r="A875" s="32"/>
      <c r="B875" s="35"/>
      <c r="C875" s="32"/>
      <c r="D875" s="34"/>
      <c r="E875" s="42" t="str">
        <f aca="false">IF(OR(A875="",B875=""),"",DATE(YEAR(B875),MONTH(B875),1))</f>
        <v/>
      </c>
      <c r="F875" s="36" t="n">
        <f aca="false">IF(OR(E875="",D875=""),0,IF(C875="Actual",D875,IF(COUNTIFS($A$2:$A$2001,A875,$E$2:$E$2001,E875,$C$2:$C$2001,"Actual")&gt;0,0,D875)))</f>
        <v>0</v>
      </c>
    </row>
    <row r="876" customFormat="false" ht="15" hidden="false" customHeight="false" outlineLevel="0" collapsed="false">
      <c r="A876" s="32"/>
      <c r="B876" s="35"/>
      <c r="C876" s="32"/>
      <c r="D876" s="34"/>
      <c r="E876" s="42" t="str">
        <f aca="false">IF(OR(A876="",B876=""),"",DATE(YEAR(B876),MONTH(B876),1))</f>
        <v/>
      </c>
      <c r="F876" s="36" t="n">
        <f aca="false">IF(OR(E876="",D876=""),0,IF(C876="Actual",D876,IF(COUNTIFS($A$2:$A$2001,A876,$E$2:$E$2001,E876,$C$2:$C$2001,"Actual")&gt;0,0,D876)))</f>
        <v>0</v>
      </c>
    </row>
    <row r="877" customFormat="false" ht="15" hidden="false" customHeight="false" outlineLevel="0" collapsed="false">
      <c r="A877" s="32"/>
      <c r="B877" s="35"/>
      <c r="C877" s="32"/>
      <c r="D877" s="34"/>
      <c r="E877" s="42" t="str">
        <f aca="false">IF(OR(A877="",B877=""),"",DATE(YEAR(B877),MONTH(B877),1))</f>
        <v/>
      </c>
      <c r="F877" s="36" t="n">
        <f aca="false">IF(OR(E877="",D877=""),0,IF(C877="Actual",D877,IF(COUNTIFS($A$2:$A$2001,A877,$E$2:$E$2001,E877,$C$2:$C$2001,"Actual")&gt;0,0,D877)))</f>
        <v>0</v>
      </c>
    </row>
    <row r="878" customFormat="false" ht="15" hidden="false" customHeight="false" outlineLevel="0" collapsed="false">
      <c r="A878" s="32"/>
      <c r="B878" s="35"/>
      <c r="C878" s="32"/>
      <c r="D878" s="34"/>
      <c r="E878" s="42" t="str">
        <f aca="false">IF(OR(A878="",B878=""),"",DATE(YEAR(B878),MONTH(B878),1))</f>
        <v/>
      </c>
      <c r="F878" s="36" t="n">
        <f aca="false">IF(OR(E878="",D878=""),0,IF(C878="Actual",D878,IF(COUNTIFS($A$2:$A$2001,A878,$E$2:$E$2001,E878,$C$2:$C$2001,"Actual")&gt;0,0,D878)))</f>
        <v>0</v>
      </c>
    </row>
    <row r="879" customFormat="false" ht="15" hidden="false" customHeight="false" outlineLevel="0" collapsed="false">
      <c r="A879" s="32"/>
      <c r="B879" s="35"/>
      <c r="C879" s="32"/>
      <c r="D879" s="34"/>
      <c r="E879" s="42" t="str">
        <f aca="false">IF(OR(A879="",B879=""),"",DATE(YEAR(B879),MONTH(B879),1))</f>
        <v/>
      </c>
      <c r="F879" s="36" t="n">
        <f aca="false">IF(OR(E879="",D879=""),0,IF(C879="Actual",D879,IF(COUNTIFS($A$2:$A$2001,A879,$E$2:$E$2001,E879,$C$2:$C$2001,"Actual")&gt;0,0,D879)))</f>
        <v>0</v>
      </c>
    </row>
    <row r="880" customFormat="false" ht="15" hidden="false" customHeight="false" outlineLevel="0" collapsed="false">
      <c r="A880" s="32"/>
      <c r="B880" s="35"/>
      <c r="C880" s="32"/>
      <c r="D880" s="34"/>
      <c r="E880" s="42" t="str">
        <f aca="false">IF(OR(A880="",B880=""),"",DATE(YEAR(B880),MONTH(B880),1))</f>
        <v/>
      </c>
      <c r="F880" s="36" t="n">
        <f aca="false">IF(OR(E880="",D880=""),0,IF(C880="Actual",D880,IF(COUNTIFS($A$2:$A$2001,A880,$E$2:$E$2001,E880,$C$2:$C$2001,"Actual")&gt;0,0,D880)))</f>
        <v>0</v>
      </c>
    </row>
    <row r="881" customFormat="false" ht="15" hidden="false" customHeight="false" outlineLevel="0" collapsed="false">
      <c r="A881" s="32"/>
      <c r="B881" s="35"/>
      <c r="C881" s="32"/>
      <c r="D881" s="34"/>
      <c r="E881" s="42" t="str">
        <f aca="false">IF(OR(A881="",B881=""),"",DATE(YEAR(B881),MONTH(B881),1))</f>
        <v/>
      </c>
      <c r="F881" s="36" t="n">
        <f aca="false">IF(OR(E881="",D881=""),0,IF(C881="Actual",D881,IF(COUNTIFS($A$2:$A$2001,A881,$E$2:$E$2001,E881,$C$2:$C$2001,"Actual")&gt;0,0,D881)))</f>
        <v>0</v>
      </c>
    </row>
    <row r="882" customFormat="false" ht="15" hidden="false" customHeight="false" outlineLevel="0" collapsed="false">
      <c r="A882" s="32"/>
      <c r="B882" s="35"/>
      <c r="C882" s="32"/>
      <c r="D882" s="34"/>
      <c r="E882" s="42" t="str">
        <f aca="false">IF(OR(A882="",B882=""),"",DATE(YEAR(B882),MONTH(B882),1))</f>
        <v/>
      </c>
      <c r="F882" s="36" t="n">
        <f aca="false">IF(OR(E882="",D882=""),0,IF(C882="Actual",D882,IF(COUNTIFS($A$2:$A$2001,A882,$E$2:$E$2001,E882,$C$2:$C$2001,"Actual")&gt;0,0,D882)))</f>
        <v>0</v>
      </c>
    </row>
    <row r="883" customFormat="false" ht="15" hidden="false" customHeight="false" outlineLevel="0" collapsed="false">
      <c r="A883" s="32"/>
      <c r="B883" s="35"/>
      <c r="C883" s="32"/>
      <c r="D883" s="34"/>
      <c r="E883" s="42" t="str">
        <f aca="false">IF(OR(A883="",B883=""),"",DATE(YEAR(B883),MONTH(B883),1))</f>
        <v/>
      </c>
      <c r="F883" s="36" t="n">
        <f aca="false">IF(OR(E883="",D883=""),0,IF(C883="Actual",D883,IF(COUNTIFS($A$2:$A$2001,A883,$E$2:$E$2001,E883,$C$2:$C$2001,"Actual")&gt;0,0,D883)))</f>
        <v>0</v>
      </c>
    </row>
    <row r="884" customFormat="false" ht="15" hidden="false" customHeight="false" outlineLevel="0" collapsed="false">
      <c r="A884" s="32"/>
      <c r="B884" s="35"/>
      <c r="C884" s="32"/>
      <c r="D884" s="34"/>
      <c r="E884" s="42" t="str">
        <f aca="false">IF(OR(A884="",B884=""),"",DATE(YEAR(B884),MONTH(B884),1))</f>
        <v/>
      </c>
      <c r="F884" s="36" t="n">
        <f aca="false">IF(OR(E884="",D884=""),0,IF(C884="Actual",D884,IF(COUNTIFS($A$2:$A$2001,A884,$E$2:$E$2001,E884,$C$2:$C$2001,"Actual")&gt;0,0,D884)))</f>
        <v>0</v>
      </c>
    </row>
    <row r="885" customFormat="false" ht="15" hidden="false" customHeight="false" outlineLevel="0" collapsed="false">
      <c r="A885" s="32"/>
      <c r="B885" s="35"/>
      <c r="C885" s="32"/>
      <c r="D885" s="34"/>
      <c r="E885" s="42" t="str">
        <f aca="false">IF(OR(A885="",B885=""),"",DATE(YEAR(B885),MONTH(B885),1))</f>
        <v/>
      </c>
      <c r="F885" s="36" t="n">
        <f aca="false">IF(OR(E885="",D885=""),0,IF(C885="Actual",D885,IF(COUNTIFS($A$2:$A$2001,A885,$E$2:$E$2001,E885,$C$2:$C$2001,"Actual")&gt;0,0,D885)))</f>
        <v>0</v>
      </c>
    </row>
    <row r="886" customFormat="false" ht="15" hidden="false" customHeight="false" outlineLevel="0" collapsed="false">
      <c r="A886" s="32"/>
      <c r="B886" s="35"/>
      <c r="C886" s="32"/>
      <c r="D886" s="34"/>
      <c r="E886" s="42" t="str">
        <f aca="false">IF(OR(A886="",B886=""),"",DATE(YEAR(B886),MONTH(B886),1))</f>
        <v/>
      </c>
      <c r="F886" s="36" t="n">
        <f aca="false">IF(OR(E886="",D886=""),0,IF(C886="Actual",D886,IF(COUNTIFS($A$2:$A$2001,A886,$E$2:$E$2001,E886,$C$2:$C$2001,"Actual")&gt;0,0,D886)))</f>
        <v>0</v>
      </c>
    </row>
    <row r="887" customFormat="false" ht="15" hidden="false" customHeight="false" outlineLevel="0" collapsed="false">
      <c r="A887" s="32"/>
      <c r="B887" s="35"/>
      <c r="C887" s="32"/>
      <c r="D887" s="34"/>
      <c r="E887" s="42" t="str">
        <f aca="false">IF(OR(A887="",B887=""),"",DATE(YEAR(B887),MONTH(B887),1))</f>
        <v/>
      </c>
      <c r="F887" s="36" t="n">
        <f aca="false">IF(OR(E887="",D887=""),0,IF(C887="Actual",D887,IF(COUNTIFS($A$2:$A$2001,A887,$E$2:$E$2001,E887,$C$2:$C$2001,"Actual")&gt;0,0,D887)))</f>
        <v>0</v>
      </c>
    </row>
    <row r="888" customFormat="false" ht="15" hidden="false" customHeight="false" outlineLevel="0" collapsed="false">
      <c r="A888" s="32"/>
      <c r="B888" s="35"/>
      <c r="C888" s="32"/>
      <c r="D888" s="34"/>
      <c r="E888" s="42" t="str">
        <f aca="false">IF(OR(A888="",B888=""),"",DATE(YEAR(B888),MONTH(B888),1))</f>
        <v/>
      </c>
      <c r="F888" s="36" t="n">
        <f aca="false">IF(OR(E888="",D888=""),0,IF(C888="Actual",D888,IF(COUNTIFS($A$2:$A$2001,A888,$E$2:$E$2001,E888,$C$2:$C$2001,"Actual")&gt;0,0,D888)))</f>
        <v>0</v>
      </c>
    </row>
    <row r="889" customFormat="false" ht="15" hidden="false" customHeight="false" outlineLevel="0" collapsed="false">
      <c r="A889" s="32"/>
      <c r="B889" s="35"/>
      <c r="C889" s="32"/>
      <c r="D889" s="34"/>
      <c r="E889" s="42" t="str">
        <f aca="false">IF(OR(A889="",B889=""),"",DATE(YEAR(B889),MONTH(B889),1))</f>
        <v/>
      </c>
      <c r="F889" s="36" t="n">
        <f aca="false">IF(OR(E889="",D889=""),0,IF(C889="Actual",D889,IF(COUNTIFS($A$2:$A$2001,A889,$E$2:$E$2001,E889,$C$2:$C$2001,"Actual")&gt;0,0,D889)))</f>
        <v>0</v>
      </c>
    </row>
    <row r="890" customFormat="false" ht="15" hidden="false" customHeight="false" outlineLevel="0" collapsed="false">
      <c r="A890" s="32"/>
      <c r="B890" s="35"/>
      <c r="C890" s="32"/>
      <c r="D890" s="34"/>
      <c r="E890" s="42" t="str">
        <f aca="false">IF(OR(A890="",B890=""),"",DATE(YEAR(B890),MONTH(B890),1))</f>
        <v/>
      </c>
      <c r="F890" s="36" t="n">
        <f aca="false">IF(OR(E890="",D890=""),0,IF(C890="Actual",D890,IF(COUNTIFS($A$2:$A$2001,A890,$E$2:$E$2001,E890,$C$2:$C$2001,"Actual")&gt;0,0,D890)))</f>
        <v>0</v>
      </c>
    </row>
    <row r="891" customFormat="false" ht="15" hidden="false" customHeight="false" outlineLevel="0" collapsed="false">
      <c r="A891" s="32"/>
      <c r="B891" s="35"/>
      <c r="C891" s="32"/>
      <c r="D891" s="34"/>
      <c r="E891" s="42" t="str">
        <f aca="false">IF(OR(A891="",B891=""),"",DATE(YEAR(B891),MONTH(B891),1))</f>
        <v/>
      </c>
      <c r="F891" s="36" t="n">
        <f aca="false">IF(OR(E891="",D891=""),0,IF(C891="Actual",D891,IF(COUNTIFS($A$2:$A$2001,A891,$E$2:$E$2001,E891,$C$2:$C$2001,"Actual")&gt;0,0,D891)))</f>
        <v>0</v>
      </c>
    </row>
    <row r="892" customFormat="false" ht="15" hidden="false" customHeight="false" outlineLevel="0" collapsed="false">
      <c r="A892" s="32"/>
      <c r="B892" s="35"/>
      <c r="C892" s="32"/>
      <c r="D892" s="34"/>
      <c r="E892" s="42" t="str">
        <f aca="false">IF(OR(A892="",B892=""),"",DATE(YEAR(B892),MONTH(B892),1))</f>
        <v/>
      </c>
      <c r="F892" s="36" t="n">
        <f aca="false">IF(OR(E892="",D892=""),0,IF(C892="Actual",D892,IF(COUNTIFS($A$2:$A$2001,A892,$E$2:$E$2001,E892,$C$2:$C$2001,"Actual")&gt;0,0,D892)))</f>
        <v>0</v>
      </c>
    </row>
    <row r="893" customFormat="false" ht="15" hidden="false" customHeight="false" outlineLevel="0" collapsed="false">
      <c r="A893" s="32"/>
      <c r="B893" s="35"/>
      <c r="C893" s="32"/>
      <c r="D893" s="34"/>
      <c r="E893" s="42" t="str">
        <f aca="false">IF(OR(A893="",B893=""),"",DATE(YEAR(B893),MONTH(B893),1))</f>
        <v/>
      </c>
      <c r="F893" s="36" t="n">
        <f aca="false">IF(OR(E893="",D893=""),0,IF(C893="Actual",D893,IF(COUNTIFS($A$2:$A$2001,A893,$E$2:$E$2001,E893,$C$2:$C$2001,"Actual")&gt;0,0,D893)))</f>
        <v>0</v>
      </c>
    </row>
    <row r="894" customFormat="false" ht="15" hidden="false" customHeight="false" outlineLevel="0" collapsed="false">
      <c r="A894" s="32"/>
      <c r="B894" s="35"/>
      <c r="C894" s="32"/>
      <c r="D894" s="34"/>
      <c r="E894" s="42" t="str">
        <f aca="false">IF(OR(A894="",B894=""),"",DATE(YEAR(B894),MONTH(B894),1))</f>
        <v/>
      </c>
      <c r="F894" s="36" t="n">
        <f aca="false">IF(OR(E894="",D894=""),0,IF(C894="Actual",D894,IF(COUNTIFS($A$2:$A$2001,A894,$E$2:$E$2001,E894,$C$2:$C$2001,"Actual")&gt;0,0,D894)))</f>
        <v>0</v>
      </c>
    </row>
    <row r="895" customFormat="false" ht="15" hidden="false" customHeight="false" outlineLevel="0" collapsed="false">
      <c r="A895" s="32"/>
      <c r="B895" s="35"/>
      <c r="C895" s="32"/>
      <c r="D895" s="34"/>
      <c r="E895" s="42" t="str">
        <f aca="false">IF(OR(A895="",B895=""),"",DATE(YEAR(B895),MONTH(B895),1))</f>
        <v/>
      </c>
      <c r="F895" s="36" t="n">
        <f aca="false">IF(OR(E895="",D895=""),0,IF(C895="Actual",D895,IF(COUNTIFS($A$2:$A$2001,A895,$E$2:$E$2001,E895,$C$2:$C$2001,"Actual")&gt;0,0,D895)))</f>
        <v>0</v>
      </c>
    </row>
    <row r="896" customFormat="false" ht="15" hidden="false" customHeight="false" outlineLevel="0" collapsed="false">
      <c r="A896" s="32"/>
      <c r="B896" s="35"/>
      <c r="C896" s="32"/>
      <c r="D896" s="34"/>
      <c r="E896" s="42" t="str">
        <f aca="false">IF(OR(A896="",B896=""),"",DATE(YEAR(B896),MONTH(B896),1))</f>
        <v/>
      </c>
      <c r="F896" s="36" t="n">
        <f aca="false">IF(OR(E896="",D896=""),0,IF(C896="Actual",D896,IF(COUNTIFS($A$2:$A$2001,A896,$E$2:$E$2001,E896,$C$2:$C$2001,"Actual")&gt;0,0,D896)))</f>
        <v>0</v>
      </c>
    </row>
    <row r="897" customFormat="false" ht="15" hidden="false" customHeight="false" outlineLevel="0" collapsed="false">
      <c r="A897" s="32"/>
      <c r="B897" s="35"/>
      <c r="C897" s="32"/>
      <c r="D897" s="34"/>
      <c r="E897" s="42" t="str">
        <f aca="false">IF(OR(A897="",B897=""),"",DATE(YEAR(B897),MONTH(B897),1))</f>
        <v/>
      </c>
      <c r="F897" s="36" t="n">
        <f aca="false">IF(OR(E897="",D897=""),0,IF(C897="Actual",D897,IF(COUNTIFS($A$2:$A$2001,A897,$E$2:$E$2001,E897,$C$2:$C$2001,"Actual")&gt;0,0,D897)))</f>
        <v>0</v>
      </c>
    </row>
    <row r="898" customFormat="false" ht="15" hidden="false" customHeight="false" outlineLevel="0" collapsed="false">
      <c r="A898" s="32"/>
      <c r="B898" s="35"/>
      <c r="C898" s="32"/>
      <c r="D898" s="34"/>
      <c r="E898" s="42" t="str">
        <f aca="false">IF(OR(A898="",B898=""),"",DATE(YEAR(B898),MONTH(B898),1))</f>
        <v/>
      </c>
      <c r="F898" s="36" t="n">
        <f aca="false">IF(OR(E898="",D898=""),0,IF(C898="Actual",D898,IF(COUNTIFS($A$2:$A$2001,A898,$E$2:$E$2001,E898,$C$2:$C$2001,"Actual")&gt;0,0,D898)))</f>
        <v>0</v>
      </c>
    </row>
    <row r="899" customFormat="false" ht="15" hidden="false" customHeight="false" outlineLevel="0" collapsed="false">
      <c r="A899" s="32"/>
      <c r="B899" s="35"/>
      <c r="C899" s="32"/>
      <c r="D899" s="34"/>
      <c r="E899" s="42" t="str">
        <f aca="false">IF(OR(A899="",B899=""),"",DATE(YEAR(B899),MONTH(B899),1))</f>
        <v/>
      </c>
      <c r="F899" s="36" t="n">
        <f aca="false">IF(OR(E899="",D899=""),0,IF(C899="Actual",D899,IF(COUNTIFS($A$2:$A$2001,A899,$E$2:$E$2001,E899,$C$2:$C$2001,"Actual")&gt;0,0,D899)))</f>
        <v>0</v>
      </c>
    </row>
    <row r="900" customFormat="false" ht="15" hidden="false" customHeight="false" outlineLevel="0" collapsed="false">
      <c r="A900" s="32"/>
      <c r="B900" s="35"/>
      <c r="C900" s="32"/>
      <c r="D900" s="34"/>
      <c r="E900" s="42" t="str">
        <f aca="false">IF(OR(A900="",B900=""),"",DATE(YEAR(B900),MONTH(B900),1))</f>
        <v/>
      </c>
      <c r="F900" s="36" t="n">
        <f aca="false">IF(OR(E900="",D900=""),0,IF(C900="Actual",D900,IF(COUNTIFS($A$2:$A$2001,A900,$E$2:$E$2001,E900,$C$2:$C$2001,"Actual")&gt;0,0,D900)))</f>
        <v>0</v>
      </c>
    </row>
    <row r="901" customFormat="false" ht="15" hidden="false" customHeight="false" outlineLevel="0" collapsed="false">
      <c r="A901" s="32"/>
      <c r="B901" s="35"/>
      <c r="C901" s="32"/>
      <c r="D901" s="34"/>
      <c r="E901" s="42" t="str">
        <f aca="false">IF(OR(A901="",B901=""),"",DATE(YEAR(B901),MONTH(B901),1))</f>
        <v/>
      </c>
      <c r="F901" s="36" t="n">
        <f aca="false">IF(OR(E901="",D901=""),0,IF(C901="Actual",D901,IF(COUNTIFS($A$2:$A$2001,A901,$E$2:$E$2001,E901,$C$2:$C$2001,"Actual")&gt;0,0,D901)))</f>
        <v>0</v>
      </c>
    </row>
    <row r="902" customFormat="false" ht="15" hidden="false" customHeight="false" outlineLevel="0" collapsed="false">
      <c r="A902" s="32"/>
      <c r="B902" s="35"/>
      <c r="C902" s="32"/>
      <c r="D902" s="34"/>
      <c r="E902" s="42" t="str">
        <f aca="false">IF(OR(A902="",B902=""),"",DATE(YEAR(B902),MONTH(B902),1))</f>
        <v/>
      </c>
      <c r="F902" s="36" t="n">
        <f aca="false">IF(OR(E902="",D902=""),0,IF(C902="Actual",D902,IF(COUNTIFS($A$2:$A$2001,A902,$E$2:$E$2001,E902,$C$2:$C$2001,"Actual")&gt;0,0,D902)))</f>
        <v>0</v>
      </c>
    </row>
    <row r="903" customFormat="false" ht="15" hidden="false" customHeight="false" outlineLevel="0" collapsed="false">
      <c r="A903" s="32"/>
      <c r="B903" s="35"/>
      <c r="C903" s="32"/>
      <c r="D903" s="34"/>
      <c r="E903" s="42" t="str">
        <f aca="false">IF(OR(A903="",B903=""),"",DATE(YEAR(B903),MONTH(B903),1))</f>
        <v/>
      </c>
      <c r="F903" s="36" t="n">
        <f aca="false">IF(OR(E903="",D903=""),0,IF(C903="Actual",D903,IF(COUNTIFS($A$2:$A$2001,A903,$E$2:$E$2001,E903,$C$2:$C$2001,"Actual")&gt;0,0,D903)))</f>
        <v>0</v>
      </c>
    </row>
    <row r="904" customFormat="false" ht="15" hidden="false" customHeight="false" outlineLevel="0" collapsed="false">
      <c r="A904" s="32"/>
      <c r="B904" s="35"/>
      <c r="C904" s="32"/>
      <c r="D904" s="34"/>
      <c r="E904" s="42" t="str">
        <f aca="false">IF(OR(A904="",B904=""),"",DATE(YEAR(B904),MONTH(B904),1))</f>
        <v/>
      </c>
      <c r="F904" s="36" t="n">
        <f aca="false">IF(OR(E904="",D904=""),0,IF(C904="Actual",D904,IF(COUNTIFS($A$2:$A$2001,A904,$E$2:$E$2001,E904,$C$2:$C$2001,"Actual")&gt;0,0,D904)))</f>
        <v>0</v>
      </c>
    </row>
    <row r="905" customFormat="false" ht="15" hidden="false" customHeight="false" outlineLevel="0" collapsed="false">
      <c r="A905" s="32"/>
      <c r="B905" s="35"/>
      <c r="C905" s="32"/>
      <c r="D905" s="34"/>
      <c r="E905" s="42" t="str">
        <f aca="false">IF(OR(A905="",B905=""),"",DATE(YEAR(B905),MONTH(B905),1))</f>
        <v/>
      </c>
      <c r="F905" s="36" t="n">
        <f aca="false">IF(OR(E905="",D905=""),0,IF(C905="Actual",D905,IF(COUNTIFS($A$2:$A$2001,A905,$E$2:$E$2001,E905,$C$2:$C$2001,"Actual")&gt;0,0,D905)))</f>
        <v>0</v>
      </c>
    </row>
    <row r="906" customFormat="false" ht="15" hidden="false" customHeight="false" outlineLevel="0" collapsed="false">
      <c r="A906" s="32"/>
      <c r="B906" s="35"/>
      <c r="C906" s="32"/>
      <c r="D906" s="34"/>
      <c r="E906" s="42" t="str">
        <f aca="false">IF(OR(A906="",B906=""),"",DATE(YEAR(B906),MONTH(B906),1))</f>
        <v/>
      </c>
      <c r="F906" s="36" t="n">
        <f aca="false">IF(OR(E906="",D906=""),0,IF(C906="Actual",D906,IF(COUNTIFS($A$2:$A$2001,A906,$E$2:$E$2001,E906,$C$2:$C$2001,"Actual")&gt;0,0,D906)))</f>
        <v>0</v>
      </c>
    </row>
    <row r="907" customFormat="false" ht="15" hidden="false" customHeight="false" outlineLevel="0" collapsed="false">
      <c r="A907" s="32"/>
      <c r="B907" s="35"/>
      <c r="C907" s="32"/>
      <c r="D907" s="34"/>
      <c r="E907" s="42" t="str">
        <f aca="false">IF(OR(A907="",B907=""),"",DATE(YEAR(B907),MONTH(B907),1))</f>
        <v/>
      </c>
      <c r="F907" s="36" t="n">
        <f aca="false">IF(OR(E907="",D907=""),0,IF(C907="Actual",D907,IF(COUNTIFS($A$2:$A$2001,A907,$E$2:$E$2001,E907,$C$2:$C$2001,"Actual")&gt;0,0,D907)))</f>
        <v>0</v>
      </c>
    </row>
    <row r="908" customFormat="false" ht="15" hidden="false" customHeight="false" outlineLevel="0" collapsed="false">
      <c r="A908" s="32"/>
      <c r="B908" s="35"/>
      <c r="C908" s="32"/>
      <c r="D908" s="34"/>
      <c r="E908" s="42" t="str">
        <f aca="false">IF(OR(A908="",B908=""),"",DATE(YEAR(B908),MONTH(B908),1))</f>
        <v/>
      </c>
      <c r="F908" s="36" t="n">
        <f aca="false">IF(OR(E908="",D908=""),0,IF(C908="Actual",D908,IF(COUNTIFS($A$2:$A$2001,A908,$E$2:$E$2001,E908,$C$2:$C$2001,"Actual")&gt;0,0,D908)))</f>
        <v>0</v>
      </c>
    </row>
    <row r="909" customFormat="false" ht="15" hidden="false" customHeight="false" outlineLevel="0" collapsed="false">
      <c r="A909" s="32"/>
      <c r="B909" s="35"/>
      <c r="C909" s="32"/>
      <c r="D909" s="34"/>
      <c r="E909" s="42" t="str">
        <f aca="false">IF(OR(A909="",B909=""),"",DATE(YEAR(B909),MONTH(B909),1))</f>
        <v/>
      </c>
      <c r="F909" s="36" t="n">
        <f aca="false">IF(OR(E909="",D909=""),0,IF(C909="Actual",D909,IF(COUNTIFS($A$2:$A$2001,A909,$E$2:$E$2001,E909,$C$2:$C$2001,"Actual")&gt;0,0,D909)))</f>
        <v>0</v>
      </c>
    </row>
    <row r="910" customFormat="false" ht="15" hidden="false" customHeight="false" outlineLevel="0" collapsed="false">
      <c r="A910" s="32"/>
      <c r="B910" s="35"/>
      <c r="C910" s="32"/>
      <c r="D910" s="34"/>
      <c r="E910" s="42" t="str">
        <f aca="false">IF(OR(A910="",B910=""),"",DATE(YEAR(B910),MONTH(B910),1))</f>
        <v/>
      </c>
      <c r="F910" s="36" t="n">
        <f aca="false">IF(OR(E910="",D910=""),0,IF(C910="Actual",D910,IF(COUNTIFS($A$2:$A$2001,A910,$E$2:$E$2001,E910,$C$2:$C$2001,"Actual")&gt;0,0,D910)))</f>
        <v>0</v>
      </c>
    </row>
    <row r="911" customFormat="false" ht="15" hidden="false" customHeight="false" outlineLevel="0" collapsed="false">
      <c r="A911" s="32"/>
      <c r="B911" s="35"/>
      <c r="C911" s="32"/>
      <c r="D911" s="34"/>
      <c r="E911" s="42" t="str">
        <f aca="false">IF(OR(A911="",B911=""),"",DATE(YEAR(B911),MONTH(B911),1))</f>
        <v/>
      </c>
      <c r="F911" s="36" t="n">
        <f aca="false">IF(OR(E911="",D911=""),0,IF(C911="Actual",D911,IF(COUNTIFS($A$2:$A$2001,A911,$E$2:$E$2001,E911,$C$2:$C$2001,"Actual")&gt;0,0,D911)))</f>
        <v>0</v>
      </c>
    </row>
    <row r="912" customFormat="false" ht="15" hidden="false" customHeight="false" outlineLevel="0" collapsed="false">
      <c r="A912" s="32"/>
      <c r="B912" s="35"/>
      <c r="C912" s="32"/>
      <c r="D912" s="34"/>
      <c r="E912" s="42" t="str">
        <f aca="false">IF(OR(A912="",B912=""),"",DATE(YEAR(B912),MONTH(B912),1))</f>
        <v/>
      </c>
      <c r="F912" s="36" t="n">
        <f aca="false">IF(OR(E912="",D912=""),0,IF(C912="Actual",D912,IF(COUNTIFS($A$2:$A$2001,A912,$E$2:$E$2001,E912,$C$2:$C$2001,"Actual")&gt;0,0,D912)))</f>
        <v>0</v>
      </c>
    </row>
    <row r="913" customFormat="false" ht="15" hidden="false" customHeight="false" outlineLevel="0" collapsed="false">
      <c r="A913" s="32"/>
      <c r="B913" s="35"/>
      <c r="C913" s="32"/>
      <c r="D913" s="34"/>
      <c r="E913" s="42" t="str">
        <f aca="false">IF(OR(A913="",B913=""),"",DATE(YEAR(B913),MONTH(B913),1))</f>
        <v/>
      </c>
      <c r="F913" s="36" t="n">
        <f aca="false">IF(OR(E913="",D913=""),0,IF(C913="Actual",D913,IF(COUNTIFS($A$2:$A$2001,A913,$E$2:$E$2001,E913,$C$2:$C$2001,"Actual")&gt;0,0,D913)))</f>
        <v>0</v>
      </c>
    </row>
    <row r="914" customFormat="false" ht="15" hidden="false" customHeight="false" outlineLevel="0" collapsed="false">
      <c r="A914" s="32"/>
      <c r="B914" s="35"/>
      <c r="C914" s="32"/>
      <c r="D914" s="34"/>
      <c r="E914" s="42" t="str">
        <f aca="false">IF(OR(A914="",B914=""),"",DATE(YEAR(B914),MONTH(B914),1))</f>
        <v/>
      </c>
      <c r="F914" s="36" t="n">
        <f aca="false">IF(OR(E914="",D914=""),0,IF(C914="Actual",D914,IF(COUNTIFS($A$2:$A$2001,A914,$E$2:$E$2001,E914,$C$2:$C$2001,"Actual")&gt;0,0,D914)))</f>
        <v>0</v>
      </c>
    </row>
    <row r="915" customFormat="false" ht="15" hidden="false" customHeight="false" outlineLevel="0" collapsed="false">
      <c r="A915" s="32"/>
      <c r="B915" s="35"/>
      <c r="C915" s="32"/>
      <c r="D915" s="34"/>
      <c r="E915" s="42" t="str">
        <f aca="false">IF(OR(A915="",B915=""),"",DATE(YEAR(B915),MONTH(B915),1))</f>
        <v/>
      </c>
      <c r="F915" s="36" t="n">
        <f aca="false">IF(OR(E915="",D915=""),0,IF(C915="Actual",D915,IF(COUNTIFS($A$2:$A$2001,A915,$E$2:$E$2001,E915,$C$2:$C$2001,"Actual")&gt;0,0,D915)))</f>
        <v>0</v>
      </c>
    </row>
    <row r="916" customFormat="false" ht="15" hidden="false" customHeight="false" outlineLevel="0" collapsed="false">
      <c r="A916" s="32"/>
      <c r="B916" s="35"/>
      <c r="C916" s="32"/>
      <c r="D916" s="34"/>
      <c r="E916" s="42" t="str">
        <f aca="false">IF(OR(A916="",B916=""),"",DATE(YEAR(B916),MONTH(B916),1))</f>
        <v/>
      </c>
      <c r="F916" s="36" t="n">
        <f aca="false">IF(OR(E916="",D916=""),0,IF(C916="Actual",D916,IF(COUNTIFS($A$2:$A$2001,A916,$E$2:$E$2001,E916,$C$2:$C$2001,"Actual")&gt;0,0,D916)))</f>
        <v>0</v>
      </c>
    </row>
    <row r="917" customFormat="false" ht="15" hidden="false" customHeight="false" outlineLevel="0" collapsed="false">
      <c r="A917" s="32"/>
      <c r="B917" s="35"/>
      <c r="C917" s="32"/>
      <c r="D917" s="34"/>
      <c r="E917" s="42" t="str">
        <f aca="false">IF(OR(A917="",B917=""),"",DATE(YEAR(B917),MONTH(B917),1))</f>
        <v/>
      </c>
      <c r="F917" s="36" t="n">
        <f aca="false">IF(OR(E917="",D917=""),0,IF(C917="Actual",D917,IF(COUNTIFS($A$2:$A$2001,A917,$E$2:$E$2001,E917,$C$2:$C$2001,"Actual")&gt;0,0,D917)))</f>
        <v>0</v>
      </c>
    </row>
    <row r="918" customFormat="false" ht="15" hidden="false" customHeight="false" outlineLevel="0" collapsed="false">
      <c r="A918" s="32"/>
      <c r="B918" s="35"/>
      <c r="C918" s="32"/>
      <c r="D918" s="34"/>
      <c r="E918" s="42" t="str">
        <f aca="false">IF(OR(A918="",B918=""),"",DATE(YEAR(B918),MONTH(B918),1))</f>
        <v/>
      </c>
      <c r="F918" s="36" t="n">
        <f aca="false">IF(OR(E918="",D918=""),0,IF(C918="Actual",D918,IF(COUNTIFS($A$2:$A$2001,A918,$E$2:$E$2001,E918,$C$2:$C$2001,"Actual")&gt;0,0,D918)))</f>
        <v>0</v>
      </c>
    </row>
    <row r="919" customFormat="false" ht="15" hidden="false" customHeight="false" outlineLevel="0" collapsed="false">
      <c r="A919" s="32"/>
      <c r="B919" s="35"/>
      <c r="C919" s="32"/>
      <c r="D919" s="34"/>
      <c r="E919" s="42" t="str">
        <f aca="false">IF(OR(A919="",B919=""),"",DATE(YEAR(B919),MONTH(B919),1))</f>
        <v/>
      </c>
      <c r="F919" s="36" t="n">
        <f aca="false">IF(OR(E919="",D919=""),0,IF(C919="Actual",D919,IF(COUNTIFS($A$2:$A$2001,A919,$E$2:$E$2001,E919,$C$2:$C$2001,"Actual")&gt;0,0,D919)))</f>
        <v>0</v>
      </c>
    </row>
    <row r="920" customFormat="false" ht="15" hidden="false" customHeight="false" outlineLevel="0" collapsed="false">
      <c r="A920" s="32"/>
      <c r="B920" s="35"/>
      <c r="C920" s="32"/>
      <c r="D920" s="34"/>
      <c r="E920" s="42" t="str">
        <f aca="false">IF(OR(A920="",B920=""),"",DATE(YEAR(B920),MONTH(B920),1))</f>
        <v/>
      </c>
      <c r="F920" s="36" t="n">
        <f aca="false">IF(OR(E920="",D920=""),0,IF(C920="Actual",D920,IF(COUNTIFS($A$2:$A$2001,A920,$E$2:$E$2001,E920,$C$2:$C$2001,"Actual")&gt;0,0,D920)))</f>
        <v>0</v>
      </c>
    </row>
    <row r="921" customFormat="false" ht="15" hidden="false" customHeight="false" outlineLevel="0" collapsed="false">
      <c r="A921" s="32"/>
      <c r="B921" s="35"/>
      <c r="C921" s="32"/>
      <c r="D921" s="34"/>
      <c r="E921" s="42" t="str">
        <f aca="false">IF(OR(A921="",B921=""),"",DATE(YEAR(B921),MONTH(B921),1))</f>
        <v/>
      </c>
      <c r="F921" s="36" t="n">
        <f aca="false">IF(OR(E921="",D921=""),0,IF(C921="Actual",D921,IF(COUNTIFS($A$2:$A$2001,A921,$E$2:$E$2001,E921,$C$2:$C$2001,"Actual")&gt;0,0,D921)))</f>
        <v>0</v>
      </c>
    </row>
    <row r="922" customFormat="false" ht="15" hidden="false" customHeight="false" outlineLevel="0" collapsed="false">
      <c r="A922" s="32"/>
      <c r="B922" s="35"/>
      <c r="C922" s="32"/>
      <c r="D922" s="34"/>
      <c r="E922" s="42" t="str">
        <f aca="false">IF(OR(A922="",B922=""),"",DATE(YEAR(B922),MONTH(B922),1))</f>
        <v/>
      </c>
      <c r="F922" s="36" t="n">
        <f aca="false">IF(OR(E922="",D922=""),0,IF(C922="Actual",D922,IF(COUNTIFS($A$2:$A$2001,A922,$E$2:$E$2001,E922,$C$2:$C$2001,"Actual")&gt;0,0,D922)))</f>
        <v>0</v>
      </c>
    </row>
    <row r="923" customFormat="false" ht="15" hidden="false" customHeight="false" outlineLevel="0" collapsed="false">
      <c r="A923" s="32"/>
      <c r="B923" s="35"/>
      <c r="C923" s="32"/>
      <c r="D923" s="34"/>
      <c r="E923" s="42" t="str">
        <f aca="false">IF(OR(A923="",B923=""),"",DATE(YEAR(B923),MONTH(B923),1))</f>
        <v/>
      </c>
      <c r="F923" s="36" t="n">
        <f aca="false">IF(OR(E923="",D923=""),0,IF(C923="Actual",D923,IF(COUNTIFS($A$2:$A$2001,A923,$E$2:$E$2001,E923,$C$2:$C$2001,"Actual")&gt;0,0,D923)))</f>
        <v>0</v>
      </c>
    </row>
    <row r="924" customFormat="false" ht="15" hidden="false" customHeight="false" outlineLevel="0" collapsed="false">
      <c r="A924" s="32"/>
      <c r="B924" s="35"/>
      <c r="C924" s="32"/>
      <c r="D924" s="34"/>
      <c r="E924" s="42" t="str">
        <f aca="false">IF(OR(A924="",B924=""),"",DATE(YEAR(B924),MONTH(B924),1))</f>
        <v/>
      </c>
      <c r="F924" s="36" t="n">
        <f aca="false">IF(OR(E924="",D924=""),0,IF(C924="Actual",D924,IF(COUNTIFS($A$2:$A$2001,A924,$E$2:$E$2001,E924,$C$2:$C$2001,"Actual")&gt;0,0,D924)))</f>
        <v>0</v>
      </c>
    </row>
    <row r="925" customFormat="false" ht="15" hidden="false" customHeight="false" outlineLevel="0" collapsed="false">
      <c r="A925" s="32"/>
      <c r="B925" s="35"/>
      <c r="C925" s="32"/>
      <c r="D925" s="34"/>
      <c r="E925" s="42" t="str">
        <f aca="false">IF(OR(A925="",B925=""),"",DATE(YEAR(B925),MONTH(B925),1))</f>
        <v/>
      </c>
      <c r="F925" s="36" t="n">
        <f aca="false">IF(OR(E925="",D925=""),0,IF(C925="Actual",D925,IF(COUNTIFS($A$2:$A$2001,A925,$E$2:$E$2001,E925,$C$2:$C$2001,"Actual")&gt;0,0,D925)))</f>
        <v>0</v>
      </c>
    </row>
    <row r="926" customFormat="false" ht="15" hidden="false" customHeight="false" outlineLevel="0" collapsed="false">
      <c r="A926" s="32"/>
      <c r="B926" s="35"/>
      <c r="C926" s="32"/>
      <c r="D926" s="34"/>
      <c r="E926" s="42" t="str">
        <f aca="false">IF(OR(A926="",B926=""),"",DATE(YEAR(B926),MONTH(B926),1))</f>
        <v/>
      </c>
      <c r="F926" s="36" t="n">
        <f aca="false">IF(OR(E926="",D926=""),0,IF(C926="Actual",D926,IF(COUNTIFS($A$2:$A$2001,A926,$E$2:$E$2001,E926,$C$2:$C$2001,"Actual")&gt;0,0,D926)))</f>
        <v>0</v>
      </c>
    </row>
    <row r="927" customFormat="false" ht="15" hidden="false" customHeight="false" outlineLevel="0" collapsed="false">
      <c r="A927" s="32"/>
      <c r="B927" s="35"/>
      <c r="C927" s="32"/>
      <c r="D927" s="34"/>
      <c r="E927" s="42" t="str">
        <f aca="false">IF(OR(A927="",B927=""),"",DATE(YEAR(B927),MONTH(B927),1))</f>
        <v/>
      </c>
      <c r="F927" s="36" t="n">
        <f aca="false">IF(OR(E927="",D927=""),0,IF(C927="Actual",D927,IF(COUNTIFS($A$2:$A$2001,A927,$E$2:$E$2001,E927,$C$2:$C$2001,"Actual")&gt;0,0,D927)))</f>
        <v>0</v>
      </c>
    </row>
    <row r="928" customFormat="false" ht="15" hidden="false" customHeight="false" outlineLevel="0" collapsed="false">
      <c r="A928" s="32"/>
      <c r="B928" s="35"/>
      <c r="C928" s="32"/>
      <c r="D928" s="34"/>
      <c r="E928" s="42" t="str">
        <f aca="false">IF(OR(A928="",B928=""),"",DATE(YEAR(B928),MONTH(B928),1))</f>
        <v/>
      </c>
      <c r="F928" s="36" t="n">
        <f aca="false">IF(OR(E928="",D928=""),0,IF(C928="Actual",D928,IF(COUNTIFS($A$2:$A$2001,A928,$E$2:$E$2001,E928,$C$2:$C$2001,"Actual")&gt;0,0,D928)))</f>
        <v>0</v>
      </c>
    </row>
    <row r="929" customFormat="false" ht="15" hidden="false" customHeight="false" outlineLevel="0" collapsed="false">
      <c r="A929" s="32"/>
      <c r="B929" s="35"/>
      <c r="C929" s="32"/>
      <c r="D929" s="34"/>
      <c r="E929" s="42" t="str">
        <f aca="false">IF(OR(A929="",B929=""),"",DATE(YEAR(B929),MONTH(B929),1))</f>
        <v/>
      </c>
      <c r="F929" s="36" t="n">
        <f aca="false">IF(OR(E929="",D929=""),0,IF(C929="Actual",D929,IF(COUNTIFS($A$2:$A$2001,A929,$E$2:$E$2001,E929,$C$2:$C$2001,"Actual")&gt;0,0,D929)))</f>
        <v>0</v>
      </c>
    </row>
    <row r="930" customFormat="false" ht="15" hidden="false" customHeight="false" outlineLevel="0" collapsed="false">
      <c r="A930" s="32"/>
      <c r="B930" s="35"/>
      <c r="C930" s="32"/>
      <c r="D930" s="34"/>
      <c r="E930" s="42" t="str">
        <f aca="false">IF(OR(A930="",B930=""),"",DATE(YEAR(B930),MONTH(B930),1))</f>
        <v/>
      </c>
      <c r="F930" s="36" t="n">
        <f aca="false">IF(OR(E930="",D930=""),0,IF(C930="Actual",D930,IF(COUNTIFS($A$2:$A$2001,A930,$E$2:$E$2001,E930,$C$2:$C$2001,"Actual")&gt;0,0,D930)))</f>
        <v>0</v>
      </c>
    </row>
    <row r="931" customFormat="false" ht="15" hidden="false" customHeight="false" outlineLevel="0" collapsed="false">
      <c r="A931" s="32"/>
      <c r="B931" s="35"/>
      <c r="C931" s="32"/>
      <c r="D931" s="34"/>
      <c r="E931" s="42" t="str">
        <f aca="false">IF(OR(A931="",B931=""),"",DATE(YEAR(B931),MONTH(B931),1))</f>
        <v/>
      </c>
      <c r="F931" s="36" t="n">
        <f aca="false">IF(OR(E931="",D931=""),0,IF(C931="Actual",D931,IF(COUNTIFS($A$2:$A$2001,A931,$E$2:$E$2001,E931,$C$2:$C$2001,"Actual")&gt;0,0,D931)))</f>
        <v>0</v>
      </c>
    </row>
    <row r="932" customFormat="false" ht="15" hidden="false" customHeight="false" outlineLevel="0" collapsed="false">
      <c r="A932" s="32"/>
      <c r="B932" s="35"/>
      <c r="C932" s="32"/>
      <c r="D932" s="34"/>
      <c r="E932" s="42" t="str">
        <f aca="false">IF(OR(A932="",B932=""),"",DATE(YEAR(B932),MONTH(B932),1))</f>
        <v/>
      </c>
      <c r="F932" s="36" t="n">
        <f aca="false">IF(OR(E932="",D932=""),0,IF(C932="Actual",D932,IF(COUNTIFS($A$2:$A$2001,A932,$E$2:$E$2001,E932,$C$2:$C$2001,"Actual")&gt;0,0,D932)))</f>
        <v>0</v>
      </c>
    </row>
    <row r="933" customFormat="false" ht="15" hidden="false" customHeight="false" outlineLevel="0" collapsed="false">
      <c r="A933" s="32"/>
      <c r="B933" s="35"/>
      <c r="C933" s="32"/>
      <c r="D933" s="34"/>
      <c r="E933" s="42" t="str">
        <f aca="false">IF(OR(A933="",B933=""),"",DATE(YEAR(B933),MONTH(B933),1))</f>
        <v/>
      </c>
      <c r="F933" s="36" t="n">
        <f aca="false">IF(OR(E933="",D933=""),0,IF(C933="Actual",D933,IF(COUNTIFS($A$2:$A$2001,A933,$E$2:$E$2001,E933,$C$2:$C$2001,"Actual")&gt;0,0,D933)))</f>
        <v>0</v>
      </c>
    </row>
    <row r="934" customFormat="false" ht="15" hidden="false" customHeight="false" outlineLevel="0" collapsed="false">
      <c r="A934" s="32"/>
      <c r="B934" s="35"/>
      <c r="C934" s="32"/>
      <c r="D934" s="34"/>
      <c r="E934" s="42" t="str">
        <f aca="false">IF(OR(A934="",B934=""),"",DATE(YEAR(B934),MONTH(B934),1))</f>
        <v/>
      </c>
      <c r="F934" s="36" t="n">
        <f aca="false">IF(OR(E934="",D934=""),0,IF(C934="Actual",D934,IF(COUNTIFS($A$2:$A$2001,A934,$E$2:$E$2001,E934,$C$2:$C$2001,"Actual")&gt;0,0,D934)))</f>
        <v>0</v>
      </c>
    </row>
    <row r="935" customFormat="false" ht="15" hidden="false" customHeight="false" outlineLevel="0" collapsed="false">
      <c r="A935" s="32"/>
      <c r="B935" s="35"/>
      <c r="C935" s="32"/>
      <c r="D935" s="34"/>
      <c r="E935" s="42" t="str">
        <f aca="false">IF(OR(A935="",B935=""),"",DATE(YEAR(B935),MONTH(B935),1))</f>
        <v/>
      </c>
      <c r="F935" s="36" t="n">
        <f aca="false">IF(OR(E935="",D935=""),0,IF(C935="Actual",D935,IF(COUNTIFS($A$2:$A$2001,A935,$E$2:$E$2001,E935,$C$2:$C$2001,"Actual")&gt;0,0,D935)))</f>
        <v>0</v>
      </c>
    </row>
    <row r="936" customFormat="false" ht="15" hidden="false" customHeight="false" outlineLevel="0" collapsed="false">
      <c r="A936" s="32"/>
      <c r="B936" s="35"/>
      <c r="C936" s="32"/>
      <c r="D936" s="34"/>
      <c r="E936" s="42" t="str">
        <f aca="false">IF(OR(A936="",B936=""),"",DATE(YEAR(B936),MONTH(B936),1))</f>
        <v/>
      </c>
      <c r="F936" s="36" t="n">
        <f aca="false">IF(OR(E936="",D936=""),0,IF(C936="Actual",D936,IF(COUNTIFS($A$2:$A$2001,A936,$E$2:$E$2001,E936,$C$2:$C$2001,"Actual")&gt;0,0,D936)))</f>
        <v>0</v>
      </c>
    </row>
    <row r="937" customFormat="false" ht="15" hidden="false" customHeight="false" outlineLevel="0" collapsed="false">
      <c r="A937" s="32"/>
      <c r="B937" s="35"/>
      <c r="C937" s="32"/>
      <c r="D937" s="34"/>
      <c r="E937" s="42" t="str">
        <f aca="false">IF(OR(A937="",B937=""),"",DATE(YEAR(B937),MONTH(B937),1))</f>
        <v/>
      </c>
      <c r="F937" s="36" t="n">
        <f aca="false">IF(OR(E937="",D937=""),0,IF(C937="Actual",D937,IF(COUNTIFS($A$2:$A$2001,A937,$E$2:$E$2001,E937,$C$2:$C$2001,"Actual")&gt;0,0,D937)))</f>
        <v>0</v>
      </c>
    </row>
    <row r="938" customFormat="false" ht="15" hidden="false" customHeight="false" outlineLevel="0" collapsed="false">
      <c r="A938" s="32"/>
      <c r="B938" s="35"/>
      <c r="C938" s="32"/>
      <c r="D938" s="34"/>
      <c r="E938" s="42" t="str">
        <f aca="false">IF(OR(A938="",B938=""),"",DATE(YEAR(B938),MONTH(B938),1))</f>
        <v/>
      </c>
      <c r="F938" s="36" t="n">
        <f aca="false">IF(OR(E938="",D938=""),0,IF(C938="Actual",D938,IF(COUNTIFS($A$2:$A$2001,A938,$E$2:$E$2001,E938,$C$2:$C$2001,"Actual")&gt;0,0,D938)))</f>
        <v>0</v>
      </c>
    </row>
    <row r="939" customFormat="false" ht="15" hidden="false" customHeight="false" outlineLevel="0" collapsed="false">
      <c r="A939" s="32"/>
      <c r="B939" s="35"/>
      <c r="C939" s="32"/>
      <c r="D939" s="34"/>
      <c r="E939" s="42" t="str">
        <f aca="false">IF(OR(A939="",B939=""),"",DATE(YEAR(B939),MONTH(B939),1))</f>
        <v/>
      </c>
      <c r="F939" s="36" t="n">
        <f aca="false">IF(OR(E939="",D939=""),0,IF(C939="Actual",D939,IF(COUNTIFS($A$2:$A$2001,A939,$E$2:$E$2001,E939,$C$2:$C$2001,"Actual")&gt;0,0,D939)))</f>
        <v>0</v>
      </c>
    </row>
    <row r="940" customFormat="false" ht="15" hidden="false" customHeight="false" outlineLevel="0" collapsed="false">
      <c r="A940" s="32"/>
      <c r="B940" s="35"/>
      <c r="C940" s="32"/>
      <c r="D940" s="34"/>
      <c r="E940" s="42" t="str">
        <f aca="false">IF(OR(A940="",B940=""),"",DATE(YEAR(B940),MONTH(B940),1))</f>
        <v/>
      </c>
      <c r="F940" s="36" t="n">
        <f aca="false">IF(OR(E940="",D940=""),0,IF(C940="Actual",D940,IF(COUNTIFS($A$2:$A$2001,A940,$E$2:$E$2001,E940,$C$2:$C$2001,"Actual")&gt;0,0,D940)))</f>
        <v>0</v>
      </c>
    </row>
    <row r="941" customFormat="false" ht="15" hidden="false" customHeight="false" outlineLevel="0" collapsed="false">
      <c r="A941" s="32"/>
      <c r="B941" s="35"/>
      <c r="C941" s="32"/>
      <c r="D941" s="34"/>
      <c r="E941" s="42" t="str">
        <f aca="false">IF(OR(A941="",B941=""),"",DATE(YEAR(B941),MONTH(B941),1))</f>
        <v/>
      </c>
      <c r="F941" s="36" t="n">
        <f aca="false">IF(OR(E941="",D941=""),0,IF(C941="Actual",D941,IF(COUNTIFS($A$2:$A$2001,A941,$E$2:$E$2001,E941,$C$2:$C$2001,"Actual")&gt;0,0,D941)))</f>
        <v>0</v>
      </c>
    </row>
    <row r="942" customFormat="false" ht="15" hidden="false" customHeight="false" outlineLevel="0" collapsed="false">
      <c r="A942" s="32"/>
      <c r="B942" s="35"/>
      <c r="C942" s="32"/>
      <c r="D942" s="34"/>
      <c r="E942" s="42" t="str">
        <f aca="false">IF(OR(A942="",B942=""),"",DATE(YEAR(B942),MONTH(B942),1))</f>
        <v/>
      </c>
      <c r="F942" s="36" t="n">
        <f aca="false">IF(OR(E942="",D942=""),0,IF(C942="Actual",D942,IF(COUNTIFS($A$2:$A$2001,A942,$E$2:$E$2001,E942,$C$2:$C$2001,"Actual")&gt;0,0,D942)))</f>
        <v>0</v>
      </c>
    </row>
    <row r="943" customFormat="false" ht="15" hidden="false" customHeight="false" outlineLevel="0" collapsed="false">
      <c r="A943" s="32"/>
      <c r="B943" s="35"/>
      <c r="C943" s="32"/>
      <c r="D943" s="34"/>
      <c r="E943" s="42" t="str">
        <f aca="false">IF(OR(A943="",B943=""),"",DATE(YEAR(B943),MONTH(B943),1))</f>
        <v/>
      </c>
      <c r="F943" s="36" t="n">
        <f aca="false">IF(OR(E943="",D943=""),0,IF(C943="Actual",D943,IF(COUNTIFS($A$2:$A$2001,A943,$E$2:$E$2001,E943,$C$2:$C$2001,"Actual")&gt;0,0,D943)))</f>
        <v>0</v>
      </c>
    </row>
    <row r="944" customFormat="false" ht="15" hidden="false" customHeight="false" outlineLevel="0" collapsed="false">
      <c r="A944" s="32"/>
      <c r="B944" s="35"/>
      <c r="C944" s="32"/>
      <c r="D944" s="34"/>
      <c r="E944" s="42" t="str">
        <f aca="false">IF(OR(A944="",B944=""),"",DATE(YEAR(B944),MONTH(B944),1))</f>
        <v/>
      </c>
      <c r="F944" s="36" t="n">
        <f aca="false">IF(OR(E944="",D944=""),0,IF(C944="Actual",D944,IF(COUNTIFS($A$2:$A$2001,A944,$E$2:$E$2001,E944,$C$2:$C$2001,"Actual")&gt;0,0,D944)))</f>
        <v>0</v>
      </c>
    </row>
    <row r="945" customFormat="false" ht="15" hidden="false" customHeight="false" outlineLevel="0" collapsed="false">
      <c r="A945" s="32"/>
      <c r="B945" s="35"/>
      <c r="C945" s="32"/>
      <c r="D945" s="34"/>
      <c r="E945" s="42" t="str">
        <f aca="false">IF(OR(A945="",B945=""),"",DATE(YEAR(B945),MONTH(B945),1))</f>
        <v/>
      </c>
      <c r="F945" s="36" t="n">
        <f aca="false">IF(OR(E945="",D945=""),0,IF(C945="Actual",D945,IF(COUNTIFS($A$2:$A$2001,A945,$E$2:$E$2001,E945,$C$2:$C$2001,"Actual")&gt;0,0,D945)))</f>
        <v>0</v>
      </c>
    </row>
    <row r="946" customFormat="false" ht="15" hidden="false" customHeight="false" outlineLevel="0" collapsed="false">
      <c r="A946" s="32"/>
      <c r="B946" s="35"/>
      <c r="C946" s="32"/>
      <c r="D946" s="34"/>
      <c r="E946" s="42" t="str">
        <f aca="false">IF(OR(A946="",B946=""),"",DATE(YEAR(B946),MONTH(B946),1))</f>
        <v/>
      </c>
      <c r="F946" s="36" t="n">
        <f aca="false">IF(OR(E946="",D946=""),0,IF(C946="Actual",D946,IF(COUNTIFS($A$2:$A$2001,A946,$E$2:$E$2001,E946,$C$2:$C$2001,"Actual")&gt;0,0,D946)))</f>
        <v>0</v>
      </c>
    </row>
    <row r="947" customFormat="false" ht="15" hidden="false" customHeight="false" outlineLevel="0" collapsed="false">
      <c r="A947" s="32"/>
      <c r="B947" s="35"/>
      <c r="C947" s="32"/>
      <c r="D947" s="34"/>
      <c r="E947" s="42" t="str">
        <f aca="false">IF(OR(A947="",B947=""),"",DATE(YEAR(B947),MONTH(B947),1))</f>
        <v/>
      </c>
      <c r="F947" s="36" t="n">
        <f aca="false">IF(OR(E947="",D947=""),0,IF(C947="Actual",D947,IF(COUNTIFS($A$2:$A$2001,A947,$E$2:$E$2001,E947,$C$2:$C$2001,"Actual")&gt;0,0,D947)))</f>
        <v>0</v>
      </c>
    </row>
    <row r="948" customFormat="false" ht="15" hidden="false" customHeight="false" outlineLevel="0" collapsed="false">
      <c r="A948" s="32"/>
      <c r="B948" s="35"/>
      <c r="C948" s="32"/>
      <c r="D948" s="34"/>
      <c r="E948" s="42" t="str">
        <f aca="false">IF(OR(A948="",B948=""),"",DATE(YEAR(B948),MONTH(B948),1))</f>
        <v/>
      </c>
      <c r="F948" s="36" t="n">
        <f aca="false">IF(OR(E948="",D948=""),0,IF(C948="Actual",D948,IF(COUNTIFS($A$2:$A$2001,A948,$E$2:$E$2001,E948,$C$2:$C$2001,"Actual")&gt;0,0,D948)))</f>
        <v>0</v>
      </c>
    </row>
    <row r="949" customFormat="false" ht="15" hidden="false" customHeight="false" outlineLevel="0" collapsed="false">
      <c r="A949" s="32"/>
      <c r="B949" s="35"/>
      <c r="C949" s="32"/>
      <c r="D949" s="34"/>
      <c r="E949" s="42" t="str">
        <f aca="false">IF(OR(A949="",B949=""),"",DATE(YEAR(B949),MONTH(B949),1))</f>
        <v/>
      </c>
      <c r="F949" s="36" t="n">
        <f aca="false">IF(OR(E949="",D949=""),0,IF(C949="Actual",D949,IF(COUNTIFS($A$2:$A$2001,A949,$E$2:$E$2001,E949,$C$2:$C$2001,"Actual")&gt;0,0,D949)))</f>
        <v>0</v>
      </c>
    </row>
    <row r="950" customFormat="false" ht="15" hidden="false" customHeight="false" outlineLevel="0" collapsed="false">
      <c r="A950" s="32"/>
      <c r="B950" s="35"/>
      <c r="C950" s="32"/>
      <c r="D950" s="34"/>
      <c r="E950" s="42" t="str">
        <f aca="false">IF(OR(A950="",B950=""),"",DATE(YEAR(B950),MONTH(B950),1))</f>
        <v/>
      </c>
      <c r="F950" s="36" t="n">
        <f aca="false">IF(OR(E950="",D950=""),0,IF(C950="Actual",D950,IF(COUNTIFS($A$2:$A$2001,A950,$E$2:$E$2001,E950,$C$2:$C$2001,"Actual")&gt;0,0,D950)))</f>
        <v>0</v>
      </c>
    </row>
    <row r="951" customFormat="false" ht="15" hidden="false" customHeight="false" outlineLevel="0" collapsed="false">
      <c r="A951" s="32"/>
      <c r="B951" s="35"/>
      <c r="C951" s="32"/>
      <c r="D951" s="34"/>
      <c r="E951" s="42" t="str">
        <f aca="false">IF(OR(A951="",B951=""),"",DATE(YEAR(B951),MONTH(B951),1))</f>
        <v/>
      </c>
      <c r="F951" s="36" t="n">
        <f aca="false">IF(OR(E951="",D951=""),0,IF(C951="Actual",D951,IF(COUNTIFS($A$2:$A$2001,A951,$E$2:$E$2001,E951,$C$2:$C$2001,"Actual")&gt;0,0,D951)))</f>
        <v>0</v>
      </c>
    </row>
    <row r="952" customFormat="false" ht="15" hidden="false" customHeight="false" outlineLevel="0" collapsed="false">
      <c r="A952" s="32"/>
      <c r="B952" s="35"/>
      <c r="C952" s="32"/>
      <c r="D952" s="34"/>
      <c r="E952" s="42" t="str">
        <f aca="false">IF(OR(A952="",B952=""),"",DATE(YEAR(B952),MONTH(B952),1))</f>
        <v/>
      </c>
      <c r="F952" s="36" t="n">
        <f aca="false">IF(OR(E952="",D952=""),0,IF(C952="Actual",D952,IF(COUNTIFS($A$2:$A$2001,A952,$E$2:$E$2001,E952,$C$2:$C$2001,"Actual")&gt;0,0,D952)))</f>
        <v>0</v>
      </c>
    </row>
    <row r="953" customFormat="false" ht="15" hidden="false" customHeight="false" outlineLevel="0" collapsed="false">
      <c r="A953" s="32"/>
      <c r="B953" s="35"/>
      <c r="C953" s="32"/>
      <c r="D953" s="34"/>
      <c r="E953" s="42" t="str">
        <f aca="false">IF(OR(A953="",B953=""),"",DATE(YEAR(B953),MONTH(B953),1))</f>
        <v/>
      </c>
      <c r="F953" s="36" t="n">
        <f aca="false">IF(OR(E953="",D953=""),0,IF(C953="Actual",D953,IF(COUNTIFS($A$2:$A$2001,A953,$E$2:$E$2001,E953,$C$2:$C$2001,"Actual")&gt;0,0,D953)))</f>
        <v>0</v>
      </c>
    </row>
    <row r="954" customFormat="false" ht="15" hidden="false" customHeight="false" outlineLevel="0" collapsed="false">
      <c r="A954" s="32"/>
      <c r="B954" s="35"/>
      <c r="C954" s="32"/>
      <c r="D954" s="34"/>
      <c r="E954" s="42" t="str">
        <f aca="false">IF(OR(A954="",B954=""),"",DATE(YEAR(B954),MONTH(B954),1))</f>
        <v/>
      </c>
      <c r="F954" s="36" t="n">
        <f aca="false">IF(OR(E954="",D954=""),0,IF(C954="Actual",D954,IF(COUNTIFS($A$2:$A$2001,A954,$E$2:$E$2001,E954,$C$2:$C$2001,"Actual")&gt;0,0,D954)))</f>
        <v>0</v>
      </c>
    </row>
    <row r="955" customFormat="false" ht="15" hidden="false" customHeight="false" outlineLevel="0" collapsed="false">
      <c r="A955" s="32"/>
      <c r="B955" s="35"/>
      <c r="C955" s="32"/>
      <c r="D955" s="34"/>
      <c r="E955" s="42" t="str">
        <f aca="false">IF(OR(A955="",B955=""),"",DATE(YEAR(B955),MONTH(B955),1))</f>
        <v/>
      </c>
      <c r="F955" s="36" t="n">
        <f aca="false">IF(OR(E955="",D955=""),0,IF(C955="Actual",D955,IF(COUNTIFS($A$2:$A$2001,A955,$E$2:$E$2001,E955,$C$2:$C$2001,"Actual")&gt;0,0,D955)))</f>
        <v>0</v>
      </c>
    </row>
    <row r="956" customFormat="false" ht="15" hidden="false" customHeight="false" outlineLevel="0" collapsed="false">
      <c r="A956" s="32"/>
      <c r="B956" s="35"/>
      <c r="C956" s="32"/>
      <c r="D956" s="34"/>
      <c r="E956" s="42" t="str">
        <f aca="false">IF(OR(A956="",B956=""),"",DATE(YEAR(B956),MONTH(B956),1))</f>
        <v/>
      </c>
      <c r="F956" s="36" t="n">
        <f aca="false">IF(OR(E956="",D956=""),0,IF(C956="Actual",D956,IF(COUNTIFS($A$2:$A$2001,A956,$E$2:$E$2001,E956,$C$2:$C$2001,"Actual")&gt;0,0,D956)))</f>
        <v>0</v>
      </c>
    </row>
    <row r="957" customFormat="false" ht="15" hidden="false" customHeight="false" outlineLevel="0" collapsed="false">
      <c r="A957" s="32"/>
      <c r="B957" s="35"/>
      <c r="C957" s="32"/>
      <c r="D957" s="34"/>
      <c r="E957" s="42" t="str">
        <f aca="false">IF(OR(A957="",B957=""),"",DATE(YEAR(B957),MONTH(B957),1))</f>
        <v/>
      </c>
      <c r="F957" s="36" t="n">
        <f aca="false">IF(OR(E957="",D957=""),0,IF(C957="Actual",D957,IF(COUNTIFS($A$2:$A$2001,A957,$E$2:$E$2001,E957,$C$2:$C$2001,"Actual")&gt;0,0,D957)))</f>
        <v>0</v>
      </c>
    </row>
    <row r="958" customFormat="false" ht="15" hidden="false" customHeight="false" outlineLevel="0" collapsed="false">
      <c r="A958" s="32"/>
      <c r="B958" s="35"/>
      <c r="C958" s="32"/>
      <c r="D958" s="34"/>
      <c r="E958" s="42" t="str">
        <f aca="false">IF(OR(A958="",B958=""),"",DATE(YEAR(B958),MONTH(B958),1))</f>
        <v/>
      </c>
      <c r="F958" s="36" t="n">
        <f aca="false">IF(OR(E958="",D958=""),0,IF(C958="Actual",D958,IF(COUNTIFS($A$2:$A$2001,A958,$E$2:$E$2001,E958,$C$2:$C$2001,"Actual")&gt;0,0,D958)))</f>
        <v>0</v>
      </c>
    </row>
    <row r="959" customFormat="false" ht="15" hidden="false" customHeight="false" outlineLevel="0" collapsed="false">
      <c r="A959" s="32"/>
      <c r="B959" s="35"/>
      <c r="C959" s="32"/>
      <c r="D959" s="34"/>
      <c r="E959" s="42" t="str">
        <f aca="false">IF(OR(A959="",B959=""),"",DATE(YEAR(B959),MONTH(B959),1))</f>
        <v/>
      </c>
      <c r="F959" s="36" t="n">
        <f aca="false">IF(OR(E959="",D959=""),0,IF(C959="Actual",D959,IF(COUNTIFS($A$2:$A$2001,A959,$E$2:$E$2001,E959,$C$2:$C$2001,"Actual")&gt;0,0,D959)))</f>
        <v>0</v>
      </c>
    </row>
    <row r="960" customFormat="false" ht="15" hidden="false" customHeight="false" outlineLevel="0" collapsed="false">
      <c r="A960" s="32"/>
      <c r="B960" s="35"/>
      <c r="C960" s="32"/>
      <c r="D960" s="34"/>
      <c r="E960" s="42" t="str">
        <f aca="false">IF(OR(A960="",B960=""),"",DATE(YEAR(B960),MONTH(B960),1))</f>
        <v/>
      </c>
      <c r="F960" s="36" t="n">
        <f aca="false">IF(OR(E960="",D960=""),0,IF(C960="Actual",D960,IF(COUNTIFS($A$2:$A$2001,A960,$E$2:$E$2001,E960,$C$2:$C$2001,"Actual")&gt;0,0,D960)))</f>
        <v>0</v>
      </c>
    </row>
    <row r="961" customFormat="false" ht="15" hidden="false" customHeight="false" outlineLevel="0" collapsed="false">
      <c r="A961" s="32"/>
      <c r="B961" s="35"/>
      <c r="C961" s="32"/>
      <c r="D961" s="34"/>
      <c r="E961" s="42" t="str">
        <f aca="false">IF(OR(A961="",B961=""),"",DATE(YEAR(B961),MONTH(B961),1))</f>
        <v/>
      </c>
      <c r="F961" s="36" t="n">
        <f aca="false">IF(OR(E961="",D961=""),0,IF(C961="Actual",D961,IF(COUNTIFS($A$2:$A$2001,A961,$E$2:$E$2001,E961,$C$2:$C$2001,"Actual")&gt;0,0,D961)))</f>
        <v>0</v>
      </c>
    </row>
    <row r="962" customFormat="false" ht="15" hidden="false" customHeight="false" outlineLevel="0" collapsed="false">
      <c r="A962" s="32"/>
      <c r="B962" s="35"/>
      <c r="C962" s="32"/>
      <c r="D962" s="34"/>
      <c r="E962" s="42" t="str">
        <f aca="false">IF(OR(A962="",B962=""),"",DATE(YEAR(B962),MONTH(B962),1))</f>
        <v/>
      </c>
      <c r="F962" s="36" t="n">
        <f aca="false">IF(OR(E962="",D962=""),0,IF(C962="Actual",D962,IF(COUNTIFS($A$2:$A$2001,A962,$E$2:$E$2001,E962,$C$2:$C$2001,"Actual")&gt;0,0,D962)))</f>
        <v>0</v>
      </c>
    </row>
    <row r="963" customFormat="false" ht="15" hidden="false" customHeight="false" outlineLevel="0" collapsed="false">
      <c r="A963" s="32"/>
      <c r="B963" s="35"/>
      <c r="C963" s="32"/>
      <c r="D963" s="34"/>
      <c r="E963" s="42" t="str">
        <f aca="false">IF(OR(A963="",B963=""),"",DATE(YEAR(B963),MONTH(B963),1))</f>
        <v/>
      </c>
      <c r="F963" s="36" t="n">
        <f aca="false">IF(OR(E963="",D963=""),0,IF(C963="Actual",D963,IF(COUNTIFS($A$2:$A$2001,A963,$E$2:$E$2001,E963,$C$2:$C$2001,"Actual")&gt;0,0,D963)))</f>
        <v>0</v>
      </c>
    </row>
    <row r="964" customFormat="false" ht="15" hidden="false" customHeight="false" outlineLevel="0" collapsed="false">
      <c r="A964" s="32"/>
      <c r="B964" s="35"/>
      <c r="C964" s="32"/>
      <c r="D964" s="34"/>
      <c r="E964" s="42" t="str">
        <f aca="false">IF(OR(A964="",B964=""),"",DATE(YEAR(B964),MONTH(B964),1))</f>
        <v/>
      </c>
      <c r="F964" s="36" t="n">
        <f aca="false">IF(OR(E964="",D964=""),0,IF(C964="Actual",D964,IF(COUNTIFS($A$2:$A$2001,A964,$E$2:$E$2001,E964,$C$2:$C$2001,"Actual")&gt;0,0,D964)))</f>
        <v>0</v>
      </c>
    </row>
    <row r="965" customFormat="false" ht="15" hidden="false" customHeight="false" outlineLevel="0" collapsed="false">
      <c r="A965" s="32"/>
      <c r="B965" s="35"/>
      <c r="C965" s="32"/>
      <c r="D965" s="34"/>
      <c r="E965" s="42" t="str">
        <f aca="false">IF(OR(A965="",B965=""),"",DATE(YEAR(B965),MONTH(B965),1))</f>
        <v/>
      </c>
      <c r="F965" s="36" t="n">
        <f aca="false">IF(OR(E965="",D965=""),0,IF(C965="Actual",D965,IF(COUNTIFS($A$2:$A$2001,A965,$E$2:$E$2001,E965,$C$2:$C$2001,"Actual")&gt;0,0,D965)))</f>
        <v>0</v>
      </c>
    </row>
    <row r="966" customFormat="false" ht="15" hidden="false" customHeight="false" outlineLevel="0" collapsed="false">
      <c r="A966" s="32"/>
      <c r="B966" s="35"/>
      <c r="C966" s="32"/>
      <c r="D966" s="34"/>
      <c r="E966" s="42" t="str">
        <f aca="false">IF(OR(A966="",B966=""),"",DATE(YEAR(B966),MONTH(B966),1))</f>
        <v/>
      </c>
      <c r="F966" s="36" t="n">
        <f aca="false">IF(OR(E966="",D966=""),0,IF(C966="Actual",D966,IF(COUNTIFS($A$2:$A$2001,A966,$E$2:$E$2001,E966,$C$2:$C$2001,"Actual")&gt;0,0,D966)))</f>
        <v>0</v>
      </c>
    </row>
    <row r="967" customFormat="false" ht="15" hidden="false" customHeight="false" outlineLevel="0" collapsed="false">
      <c r="A967" s="32"/>
      <c r="B967" s="35"/>
      <c r="C967" s="32"/>
      <c r="D967" s="34"/>
      <c r="E967" s="42" t="str">
        <f aca="false">IF(OR(A967="",B967=""),"",DATE(YEAR(B967),MONTH(B967),1))</f>
        <v/>
      </c>
      <c r="F967" s="36" t="n">
        <f aca="false">IF(OR(E967="",D967=""),0,IF(C967="Actual",D967,IF(COUNTIFS($A$2:$A$2001,A967,$E$2:$E$2001,E967,$C$2:$C$2001,"Actual")&gt;0,0,D967)))</f>
        <v>0</v>
      </c>
    </row>
    <row r="968" customFormat="false" ht="15" hidden="false" customHeight="false" outlineLevel="0" collapsed="false">
      <c r="A968" s="32"/>
      <c r="B968" s="35"/>
      <c r="C968" s="32"/>
      <c r="D968" s="34"/>
      <c r="E968" s="42" t="str">
        <f aca="false">IF(OR(A968="",B968=""),"",DATE(YEAR(B968),MONTH(B968),1))</f>
        <v/>
      </c>
      <c r="F968" s="36" t="n">
        <f aca="false">IF(OR(E968="",D968=""),0,IF(C968="Actual",D968,IF(COUNTIFS($A$2:$A$2001,A968,$E$2:$E$2001,E968,$C$2:$C$2001,"Actual")&gt;0,0,D968)))</f>
        <v>0</v>
      </c>
    </row>
    <row r="969" customFormat="false" ht="15" hidden="false" customHeight="false" outlineLevel="0" collapsed="false">
      <c r="A969" s="32"/>
      <c r="B969" s="35"/>
      <c r="C969" s="32"/>
      <c r="D969" s="34"/>
      <c r="E969" s="42" t="str">
        <f aca="false">IF(OR(A969="",B969=""),"",DATE(YEAR(B969),MONTH(B969),1))</f>
        <v/>
      </c>
      <c r="F969" s="36" t="n">
        <f aca="false">IF(OR(E969="",D969=""),0,IF(C969="Actual",D969,IF(COUNTIFS($A$2:$A$2001,A969,$E$2:$E$2001,E969,$C$2:$C$2001,"Actual")&gt;0,0,D969)))</f>
        <v>0</v>
      </c>
    </row>
    <row r="970" customFormat="false" ht="15" hidden="false" customHeight="false" outlineLevel="0" collapsed="false">
      <c r="A970" s="32"/>
      <c r="B970" s="35"/>
      <c r="C970" s="32"/>
      <c r="D970" s="34"/>
      <c r="E970" s="42" t="str">
        <f aca="false">IF(OR(A970="",B970=""),"",DATE(YEAR(B970),MONTH(B970),1))</f>
        <v/>
      </c>
      <c r="F970" s="36" t="n">
        <f aca="false">IF(OR(E970="",D970=""),0,IF(C970="Actual",D970,IF(COUNTIFS($A$2:$A$2001,A970,$E$2:$E$2001,E970,$C$2:$C$2001,"Actual")&gt;0,0,D970)))</f>
        <v>0</v>
      </c>
    </row>
    <row r="971" customFormat="false" ht="15" hidden="false" customHeight="false" outlineLevel="0" collapsed="false">
      <c r="A971" s="32"/>
      <c r="B971" s="35"/>
      <c r="C971" s="32"/>
      <c r="D971" s="34"/>
      <c r="E971" s="42" t="str">
        <f aca="false">IF(OR(A971="",B971=""),"",DATE(YEAR(B971),MONTH(B971),1))</f>
        <v/>
      </c>
      <c r="F971" s="36" t="n">
        <f aca="false">IF(OR(E971="",D971=""),0,IF(C971="Actual",D971,IF(COUNTIFS($A$2:$A$2001,A971,$E$2:$E$2001,E971,$C$2:$C$2001,"Actual")&gt;0,0,D971)))</f>
        <v>0</v>
      </c>
    </row>
    <row r="972" customFormat="false" ht="15" hidden="false" customHeight="false" outlineLevel="0" collapsed="false">
      <c r="A972" s="32"/>
      <c r="B972" s="35"/>
      <c r="C972" s="32"/>
      <c r="D972" s="34"/>
      <c r="E972" s="42" t="str">
        <f aca="false">IF(OR(A972="",B972=""),"",DATE(YEAR(B972),MONTH(B972),1))</f>
        <v/>
      </c>
      <c r="F972" s="36" t="n">
        <f aca="false">IF(OR(E972="",D972=""),0,IF(C972="Actual",D972,IF(COUNTIFS($A$2:$A$2001,A972,$E$2:$E$2001,E972,$C$2:$C$2001,"Actual")&gt;0,0,D972)))</f>
        <v>0</v>
      </c>
    </row>
    <row r="973" customFormat="false" ht="15" hidden="false" customHeight="false" outlineLevel="0" collapsed="false">
      <c r="A973" s="32"/>
      <c r="B973" s="35"/>
      <c r="C973" s="32"/>
      <c r="D973" s="34"/>
      <c r="E973" s="42" t="str">
        <f aca="false">IF(OR(A973="",B973=""),"",DATE(YEAR(B973),MONTH(B973),1))</f>
        <v/>
      </c>
      <c r="F973" s="36" t="n">
        <f aca="false">IF(OR(E973="",D973=""),0,IF(C973="Actual",D973,IF(COUNTIFS($A$2:$A$2001,A973,$E$2:$E$2001,E973,$C$2:$C$2001,"Actual")&gt;0,0,D973)))</f>
        <v>0</v>
      </c>
    </row>
    <row r="974" customFormat="false" ht="15" hidden="false" customHeight="false" outlineLevel="0" collapsed="false">
      <c r="A974" s="32"/>
      <c r="B974" s="35"/>
      <c r="C974" s="32"/>
      <c r="D974" s="34"/>
      <c r="E974" s="42" t="str">
        <f aca="false">IF(OR(A974="",B974=""),"",DATE(YEAR(B974),MONTH(B974),1))</f>
        <v/>
      </c>
      <c r="F974" s="36" t="n">
        <f aca="false">IF(OR(E974="",D974=""),0,IF(C974="Actual",D974,IF(COUNTIFS($A$2:$A$2001,A974,$E$2:$E$2001,E974,$C$2:$C$2001,"Actual")&gt;0,0,D974)))</f>
        <v>0</v>
      </c>
    </row>
    <row r="975" customFormat="false" ht="15" hidden="false" customHeight="false" outlineLevel="0" collapsed="false">
      <c r="A975" s="32"/>
      <c r="B975" s="35"/>
      <c r="C975" s="32"/>
      <c r="D975" s="34"/>
      <c r="E975" s="42" t="str">
        <f aca="false">IF(OR(A975="",B975=""),"",DATE(YEAR(B975),MONTH(B975),1))</f>
        <v/>
      </c>
      <c r="F975" s="36" t="n">
        <f aca="false">IF(OR(E975="",D975=""),0,IF(C975="Actual",D975,IF(COUNTIFS($A$2:$A$2001,A975,$E$2:$E$2001,E975,$C$2:$C$2001,"Actual")&gt;0,0,D975)))</f>
        <v>0</v>
      </c>
    </row>
    <row r="976" customFormat="false" ht="15" hidden="false" customHeight="false" outlineLevel="0" collapsed="false">
      <c r="A976" s="32"/>
      <c r="B976" s="35"/>
      <c r="C976" s="32"/>
      <c r="D976" s="34"/>
      <c r="E976" s="42" t="str">
        <f aca="false">IF(OR(A976="",B976=""),"",DATE(YEAR(B976),MONTH(B976),1))</f>
        <v/>
      </c>
      <c r="F976" s="36" t="n">
        <f aca="false">IF(OR(E976="",D976=""),0,IF(C976="Actual",D976,IF(COUNTIFS($A$2:$A$2001,A976,$E$2:$E$2001,E976,$C$2:$C$2001,"Actual")&gt;0,0,D976)))</f>
        <v>0</v>
      </c>
    </row>
    <row r="977" customFormat="false" ht="15" hidden="false" customHeight="false" outlineLevel="0" collapsed="false">
      <c r="A977" s="32"/>
      <c r="B977" s="35"/>
      <c r="C977" s="32"/>
      <c r="D977" s="34"/>
      <c r="E977" s="42" t="str">
        <f aca="false">IF(OR(A977="",B977=""),"",DATE(YEAR(B977),MONTH(B977),1))</f>
        <v/>
      </c>
      <c r="F977" s="36" t="n">
        <f aca="false">IF(OR(E977="",D977=""),0,IF(C977="Actual",D977,IF(COUNTIFS($A$2:$A$2001,A977,$E$2:$E$2001,E977,$C$2:$C$2001,"Actual")&gt;0,0,D977)))</f>
        <v>0</v>
      </c>
    </row>
    <row r="978" customFormat="false" ht="15" hidden="false" customHeight="false" outlineLevel="0" collapsed="false">
      <c r="A978" s="32"/>
      <c r="B978" s="35"/>
      <c r="C978" s="32"/>
      <c r="D978" s="34"/>
      <c r="E978" s="42" t="str">
        <f aca="false">IF(OR(A978="",B978=""),"",DATE(YEAR(B978),MONTH(B978),1))</f>
        <v/>
      </c>
      <c r="F978" s="36" t="n">
        <f aca="false">IF(OR(E978="",D978=""),0,IF(C978="Actual",D978,IF(COUNTIFS($A$2:$A$2001,A978,$E$2:$E$2001,E978,$C$2:$C$2001,"Actual")&gt;0,0,D978)))</f>
        <v>0</v>
      </c>
    </row>
    <row r="979" customFormat="false" ht="15" hidden="false" customHeight="false" outlineLevel="0" collapsed="false">
      <c r="A979" s="32"/>
      <c r="B979" s="35"/>
      <c r="C979" s="32"/>
      <c r="D979" s="34"/>
      <c r="E979" s="42" t="str">
        <f aca="false">IF(OR(A979="",B979=""),"",DATE(YEAR(B979),MONTH(B979),1))</f>
        <v/>
      </c>
      <c r="F979" s="36" t="n">
        <f aca="false">IF(OR(E979="",D979=""),0,IF(C979="Actual",D979,IF(COUNTIFS($A$2:$A$2001,A979,$E$2:$E$2001,E979,$C$2:$C$2001,"Actual")&gt;0,0,D979)))</f>
        <v>0</v>
      </c>
    </row>
    <row r="980" customFormat="false" ht="15" hidden="false" customHeight="false" outlineLevel="0" collapsed="false">
      <c r="A980" s="32"/>
      <c r="B980" s="35"/>
      <c r="C980" s="32"/>
      <c r="D980" s="34"/>
      <c r="E980" s="42" t="str">
        <f aca="false">IF(OR(A980="",B980=""),"",DATE(YEAR(B980),MONTH(B980),1))</f>
        <v/>
      </c>
      <c r="F980" s="36" t="n">
        <f aca="false">IF(OR(E980="",D980=""),0,IF(C980="Actual",D980,IF(COUNTIFS($A$2:$A$2001,A980,$E$2:$E$2001,E980,$C$2:$C$2001,"Actual")&gt;0,0,D980)))</f>
        <v>0</v>
      </c>
    </row>
    <row r="981" customFormat="false" ht="15" hidden="false" customHeight="false" outlineLevel="0" collapsed="false">
      <c r="A981" s="32"/>
      <c r="B981" s="35"/>
      <c r="C981" s="32"/>
      <c r="D981" s="34"/>
      <c r="E981" s="42" t="str">
        <f aca="false">IF(OR(A981="",B981=""),"",DATE(YEAR(B981),MONTH(B981),1))</f>
        <v/>
      </c>
      <c r="F981" s="36" t="n">
        <f aca="false">IF(OR(E981="",D981=""),0,IF(C981="Actual",D981,IF(COUNTIFS($A$2:$A$2001,A981,$E$2:$E$2001,E981,$C$2:$C$2001,"Actual")&gt;0,0,D981)))</f>
        <v>0</v>
      </c>
    </row>
    <row r="982" customFormat="false" ht="15" hidden="false" customHeight="false" outlineLevel="0" collapsed="false">
      <c r="A982" s="32"/>
      <c r="B982" s="35"/>
      <c r="C982" s="32"/>
      <c r="D982" s="34"/>
      <c r="E982" s="42" t="str">
        <f aca="false">IF(OR(A982="",B982=""),"",DATE(YEAR(B982),MONTH(B982),1))</f>
        <v/>
      </c>
      <c r="F982" s="36" t="n">
        <f aca="false">IF(OR(E982="",D982=""),0,IF(C982="Actual",D982,IF(COUNTIFS($A$2:$A$2001,A982,$E$2:$E$2001,E982,$C$2:$C$2001,"Actual")&gt;0,0,D982)))</f>
        <v>0</v>
      </c>
    </row>
    <row r="983" customFormat="false" ht="15" hidden="false" customHeight="false" outlineLevel="0" collapsed="false">
      <c r="A983" s="32"/>
      <c r="B983" s="35"/>
      <c r="C983" s="32"/>
      <c r="D983" s="34"/>
      <c r="E983" s="42" t="str">
        <f aca="false">IF(OR(A983="",B983=""),"",DATE(YEAR(B983),MONTH(B983),1))</f>
        <v/>
      </c>
      <c r="F983" s="36" t="n">
        <f aca="false">IF(OR(E983="",D983=""),0,IF(C983="Actual",D983,IF(COUNTIFS($A$2:$A$2001,A983,$E$2:$E$2001,E983,$C$2:$C$2001,"Actual")&gt;0,0,D983)))</f>
        <v>0</v>
      </c>
    </row>
    <row r="984" customFormat="false" ht="15" hidden="false" customHeight="false" outlineLevel="0" collapsed="false">
      <c r="A984" s="32"/>
      <c r="B984" s="35"/>
      <c r="C984" s="32"/>
      <c r="D984" s="34"/>
      <c r="E984" s="42" t="str">
        <f aca="false">IF(OR(A984="",B984=""),"",DATE(YEAR(B984),MONTH(B984),1))</f>
        <v/>
      </c>
      <c r="F984" s="36" t="n">
        <f aca="false">IF(OR(E984="",D984=""),0,IF(C984="Actual",D984,IF(COUNTIFS($A$2:$A$2001,A984,$E$2:$E$2001,E984,$C$2:$C$2001,"Actual")&gt;0,0,D984)))</f>
        <v>0</v>
      </c>
    </row>
    <row r="985" customFormat="false" ht="15" hidden="false" customHeight="false" outlineLevel="0" collapsed="false">
      <c r="A985" s="32"/>
      <c r="B985" s="35"/>
      <c r="C985" s="32"/>
      <c r="D985" s="34"/>
      <c r="E985" s="42" t="str">
        <f aca="false">IF(OR(A985="",B985=""),"",DATE(YEAR(B985),MONTH(B985),1))</f>
        <v/>
      </c>
      <c r="F985" s="36" t="n">
        <f aca="false">IF(OR(E985="",D985=""),0,IF(C985="Actual",D985,IF(COUNTIFS($A$2:$A$2001,A985,$E$2:$E$2001,E985,$C$2:$C$2001,"Actual")&gt;0,0,D985)))</f>
        <v>0</v>
      </c>
    </row>
    <row r="986" customFormat="false" ht="15" hidden="false" customHeight="false" outlineLevel="0" collapsed="false">
      <c r="A986" s="32"/>
      <c r="B986" s="35"/>
      <c r="C986" s="32"/>
      <c r="D986" s="34"/>
      <c r="E986" s="42" t="str">
        <f aca="false">IF(OR(A986="",B986=""),"",DATE(YEAR(B986),MONTH(B986),1))</f>
        <v/>
      </c>
      <c r="F986" s="36" t="n">
        <f aca="false">IF(OR(E986="",D986=""),0,IF(C986="Actual",D986,IF(COUNTIFS($A$2:$A$2001,A986,$E$2:$E$2001,E986,$C$2:$C$2001,"Actual")&gt;0,0,D986)))</f>
        <v>0</v>
      </c>
    </row>
    <row r="987" customFormat="false" ht="15" hidden="false" customHeight="false" outlineLevel="0" collapsed="false">
      <c r="A987" s="32"/>
      <c r="B987" s="35"/>
      <c r="C987" s="32"/>
      <c r="D987" s="34"/>
      <c r="E987" s="42" t="str">
        <f aca="false">IF(OR(A987="",B987=""),"",DATE(YEAR(B987),MONTH(B987),1))</f>
        <v/>
      </c>
      <c r="F987" s="36" t="n">
        <f aca="false">IF(OR(E987="",D987=""),0,IF(C987="Actual",D987,IF(COUNTIFS($A$2:$A$2001,A987,$E$2:$E$2001,E987,$C$2:$C$2001,"Actual")&gt;0,0,D987)))</f>
        <v>0</v>
      </c>
    </row>
    <row r="988" customFormat="false" ht="15" hidden="false" customHeight="false" outlineLevel="0" collapsed="false">
      <c r="A988" s="32"/>
      <c r="B988" s="35"/>
      <c r="C988" s="32"/>
      <c r="D988" s="34"/>
      <c r="E988" s="42" t="str">
        <f aca="false">IF(OR(A988="",B988=""),"",DATE(YEAR(B988),MONTH(B988),1))</f>
        <v/>
      </c>
      <c r="F988" s="36" t="n">
        <f aca="false">IF(OR(E988="",D988=""),0,IF(C988="Actual",D988,IF(COUNTIFS($A$2:$A$2001,A988,$E$2:$E$2001,E988,$C$2:$C$2001,"Actual")&gt;0,0,D988)))</f>
        <v>0</v>
      </c>
    </row>
    <row r="989" customFormat="false" ht="15" hidden="false" customHeight="false" outlineLevel="0" collapsed="false">
      <c r="A989" s="32"/>
      <c r="B989" s="35"/>
      <c r="C989" s="32"/>
      <c r="D989" s="34"/>
      <c r="E989" s="42" t="str">
        <f aca="false">IF(OR(A989="",B989=""),"",DATE(YEAR(B989),MONTH(B989),1))</f>
        <v/>
      </c>
      <c r="F989" s="36" t="n">
        <f aca="false">IF(OR(E989="",D989=""),0,IF(C989="Actual",D989,IF(COUNTIFS($A$2:$A$2001,A989,$E$2:$E$2001,E989,$C$2:$C$2001,"Actual")&gt;0,0,D989)))</f>
        <v>0</v>
      </c>
    </row>
    <row r="990" customFormat="false" ht="15" hidden="false" customHeight="false" outlineLevel="0" collapsed="false">
      <c r="A990" s="32"/>
      <c r="B990" s="35"/>
      <c r="C990" s="32"/>
      <c r="D990" s="34"/>
      <c r="E990" s="42" t="str">
        <f aca="false">IF(OR(A990="",B990=""),"",DATE(YEAR(B990),MONTH(B990),1))</f>
        <v/>
      </c>
      <c r="F990" s="36" t="n">
        <f aca="false">IF(OR(E990="",D990=""),0,IF(C990="Actual",D990,IF(COUNTIFS($A$2:$A$2001,A990,$E$2:$E$2001,E990,$C$2:$C$2001,"Actual")&gt;0,0,D990)))</f>
        <v>0</v>
      </c>
    </row>
    <row r="991" customFormat="false" ht="15" hidden="false" customHeight="false" outlineLevel="0" collapsed="false">
      <c r="A991" s="32"/>
      <c r="B991" s="35"/>
      <c r="C991" s="32"/>
      <c r="D991" s="34"/>
      <c r="E991" s="42" t="str">
        <f aca="false">IF(OR(A991="",B991=""),"",DATE(YEAR(B991),MONTH(B991),1))</f>
        <v/>
      </c>
      <c r="F991" s="36" t="n">
        <f aca="false">IF(OR(E991="",D991=""),0,IF(C991="Actual",D991,IF(COUNTIFS($A$2:$A$2001,A991,$E$2:$E$2001,E991,$C$2:$C$2001,"Actual")&gt;0,0,D991)))</f>
        <v>0</v>
      </c>
    </row>
    <row r="992" customFormat="false" ht="15" hidden="false" customHeight="false" outlineLevel="0" collapsed="false">
      <c r="A992" s="32"/>
      <c r="B992" s="35"/>
      <c r="C992" s="32"/>
      <c r="D992" s="34"/>
      <c r="E992" s="42" t="str">
        <f aca="false">IF(OR(A992="",B992=""),"",DATE(YEAR(B992),MONTH(B992),1))</f>
        <v/>
      </c>
      <c r="F992" s="36" t="n">
        <f aca="false">IF(OR(E992="",D992=""),0,IF(C992="Actual",D992,IF(COUNTIFS($A$2:$A$2001,A992,$E$2:$E$2001,E992,$C$2:$C$2001,"Actual")&gt;0,0,D992)))</f>
        <v>0</v>
      </c>
    </row>
    <row r="993" customFormat="false" ht="15" hidden="false" customHeight="false" outlineLevel="0" collapsed="false">
      <c r="A993" s="32"/>
      <c r="B993" s="35"/>
      <c r="C993" s="32"/>
      <c r="D993" s="34"/>
      <c r="E993" s="42" t="str">
        <f aca="false">IF(OR(A993="",B993=""),"",DATE(YEAR(B993),MONTH(B993),1))</f>
        <v/>
      </c>
      <c r="F993" s="36" t="n">
        <f aca="false">IF(OR(E993="",D993=""),0,IF(C993="Actual",D993,IF(COUNTIFS($A$2:$A$2001,A993,$E$2:$E$2001,E993,$C$2:$C$2001,"Actual")&gt;0,0,D993)))</f>
        <v>0</v>
      </c>
    </row>
    <row r="994" customFormat="false" ht="15" hidden="false" customHeight="false" outlineLevel="0" collapsed="false">
      <c r="A994" s="32"/>
      <c r="B994" s="35"/>
      <c r="C994" s="32"/>
      <c r="D994" s="34"/>
      <c r="E994" s="42" t="str">
        <f aca="false">IF(OR(A994="",B994=""),"",DATE(YEAR(B994),MONTH(B994),1))</f>
        <v/>
      </c>
      <c r="F994" s="36" t="n">
        <f aca="false">IF(OR(E994="",D994=""),0,IF(C994="Actual",D994,IF(COUNTIFS($A$2:$A$2001,A994,$E$2:$E$2001,E994,$C$2:$C$2001,"Actual")&gt;0,0,D994)))</f>
        <v>0</v>
      </c>
    </row>
    <row r="995" customFormat="false" ht="15" hidden="false" customHeight="false" outlineLevel="0" collapsed="false">
      <c r="A995" s="32"/>
      <c r="B995" s="35"/>
      <c r="C995" s="32"/>
      <c r="D995" s="34"/>
      <c r="E995" s="42" t="str">
        <f aca="false">IF(OR(A995="",B995=""),"",DATE(YEAR(B995),MONTH(B995),1))</f>
        <v/>
      </c>
      <c r="F995" s="36" t="n">
        <f aca="false">IF(OR(E995="",D995=""),0,IF(C995="Actual",D995,IF(COUNTIFS($A$2:$A$2001,A995,$E$2:$E$2001,E995,$C$2:$C$2001,"Actual")&gt;0,0,D995)))</f>
        <v>0</v>
      </c>
    </row>
    <row r="996" customFormat="false" ht="15" hidden="false" customHeight="false" outlineLevel="0" collapsed="false">
      <c r="A996" s="32"/>
      <c r="B996" s="35"/>
      <c r="C996" s="32"/>
      <c r="D996" s="34"/>
      <c r="E996" s="42" t="str">
        <f aca="false">IF(OR(A996="",B996=""),"",DATE(YEAR(B996),MONTH(B996),1))</f>
        <v/>
      </c>
      <c r="F996" s="36" t="n">
        <f aca="false">IF(OR(E996="",D996=""),0,IF(C996="Actual",D996,IF(COUNTIFS($A$2:$A$2001,A996,$E$2:$E$2001,E996,$C$2:$C$2001,"Actual")&gt;0,0,D996)))</f>
        <v>0</v>
      </c>
    </row>
    <row r="997" customFormat="false" ht="15" hidden="false" customHeight="false" outlineLevel="0" collapsed="false">
      <c r="A997" s="32"/>
      <c r="B997" s="35"/>
      <c r="C997" s="32"/>
      <c r="D997" s="34"/>
      <c r="E997" s="42" t="str">
        <f aca="false">IF(OR(A997="",B997=""),"",DATE(YEAR(B997),MONTH(B997),1))</f>
        <v/>
      </c>
      <c r="F997" s="36" t="n">
        <f aca="false">IF(OR(E997="",D997=""),0,IF(C997="Actual",D997,IF(COUNTIFS($A$2:$A$2001,A997,$E$2:$E$2001,E997,$C$2:$C$2001,"Actual")&gt;0,0,D997)))</f>
        <v>0</v>
      </c>
    </row>
    <row r="998" customFormat="false" ht="15" hidden="false" customHeight="false" outlineLevel="0" collapsed="false">
      <c r="A998" s="32"/>
      <c r="B998" s="35"/>
      <c r="C998" s="32"/>
      <c r="D998" s="34"/>
      <c r="E998" s="42" t="str">
        <f aca="false">IF(OR(A998="",B998=""),"",DATE(YEAR(B998),MONTH(B998),1))</f>
        <v/>
      </c>
      <c r="F998" s="36" t="n">
        <f aca="false">IF(OR(E998="",D998=""),0,IF(C998="Actual",D998,IF(COUNTIFS($A$2:$A$2001,A998,$E$2:$E$2001,E998,$C$2:$C$2001,"Actual")&gt;0,0,D998)))</f>
        <v>0</v>
      </c>
    </row>
    <row r="999" customFormat="false" ht="15" hidden="false" customHeight="false" outlineLevel="0" collapsed="false">
      <c r="A999" s="32"/>
      <c r="B999" s="35"/>
      <c r="C999" s="32"/>
      <c r="D999" s="34"/>
      <c r="E999" s="42" t="str">
        <f aca="false">IF(OR(A999="",B999=""),"",DATE(YEAR(B999),MONTH(B999),1))</f>
        <v/>
      </c>
      <c r="F999" s="36" t="n">
        <f aca="false">IF(OR(E999="",D999=""),0,IF(C999="Actual",D999,IF(COUNTIFS($A$2:$A$2001,A999,$E$2:$E$2001,E999,$C$2:$C$2001,"Actual")&gt;0,0,D999)))</f>
        <v>0</v>
      </c>
    </row>
    <row r="1000" customFormat="false" ht="15" hidden="false" customHeight="false" outlineLevel="0" collapsed="false">
      <c r="A1000" s="32"/>
      <c r="B1000" s="35"/>
      <c r="C1000" s="32"/>
      <c r="D1000" s="34"/>
      <c r="E1000" s="42" t="str">
        <f aca="false">IF(OR(A1000="",B1000=""),"",DATE(YEAR(B1000),MONTH(B1000),1))</f>
        <v/>
      </c>
      <c r="F1000" s="36" t="n">
        <f aca="false">IF(OR(E1000="",D1000=""),0,IF(C1000="Actual",D1000,IF(COUNTIFS($A$2:$A$2001,A1000,$E$2:$E$2001,E1000,$C$2:$C$2001,"Actual")&gt;0,0,D1000)))</f>
        <v>0</v>
      </c>
    </row>
    <row r="1001" customFormat="false" ht="15" hidden="false" customHeight="false" outlineLevel="0" collapsed="false">
      <c r="A1001" s="32"/>
      <c r="B1001" s="35"/>
      <c r="C1001" s="32"/>
      <c r="D1001" s="34"/>
      <c r="E1001" s="42" t="str">
        <f aca="false">IF(OR(A1001="",B1001=""),"",DATE(YEAR(B1001),MONTH(B1001),1))</f>
        <v/>
      </c>
      <c r="F1001" s="36" t="n">
        <f aca="false">IF(OR(E1001="",D1001=""),0,IF(C1001="Actual",D1001,IF(COUNTIFS($A$2:$A$2001,A1001,$E$2:$E$2001,E1001,$C$2:$C$2001,"Actual")&gt;0,0,D1001)))</f>
        <v>0</v>
      </c>
    </row>
    <row r="1002" customFormat="false" ht="15" hidden="false" customHeight="false" outlineLevel="0" collapsed="false">
      <c r="A1002" s="32"/>
      <c r="B1002" s="35"/>
      <c r="C1002" s="32"/>
      <c r="D1002" s="34"/>
      <c r="E1002" s="42" t="str">
        <f aca="false">IF(OR(A1002="",B1002=""),"",DATE(YEAR(B1002),MONTH(B1002),1))</f>
        <v/>
      </c>
      <c r="F1002" s="36" t="n">
        <f aca="false">IF(OR(E1002="",D1002=""),0,IF(C1002="Actual",D1002,IF(COUNTIFS($A$2:$A$2001,A1002,$E$2:$E$2001,E1002,$C$2:$C$2001,"Actual")&gt;0,0,D1002)))</f>
        <v>0</v>
      </c>
    </row>
    <row r="1003" customFormat="false" ht="15" hidden="false" customHeight="false" outlineLevel="0" collapsed="false">
      <c r="A1003" s="32"/>
      <c r="B1003" s="35"/>
      <c r="C1003" s="32"/>
      <c r="D1003" s="34"/>
      <c r="E1003" s="42" t="str">
        <f aca="false">IF(OR(A1003="",B1003=""),"",DATE(YEAR(B1003),MONTH(B1003),1))</f>
        <v/>
      </c>
      <c r="F1003" s="36" t="n">
        <f aca="false">IF(OR(E1003="",D1003=""),0,IF(C1003="Actual",D1003,IF(COUNTIFS($A$2:$A$2001,A1003,$E$2:$E$2001,E1003,$C$2:$C$2001,"Actual")&gt;0,0,D1003)))</f>
        <v>0</v>
      </c>
    </row>
    <row r="1004" customFormat="false" ht="15" hidden="false" customHeight="false" outlineLevel="0" collapsed="false">
      <c r="A1004" s="32"/>
      <c r="B1004" s="35"/>
      <c r="C1004" s="32"/>
      <c r="D1004" s="34"/>
      <c r="E1004" s="42" t="str">
        <f aca="false">IF(OR(A1004="",B1004=""),"",DATE(YEAR(B1004),MONTH(B1004),1))</f>
        <v/>
      </c>
      <c r="F1004" s="36" t="n">
        <f aca="false">IF(OR(E1004="",D1004=""),0,IF(C1004="Actual",D1004,IF(COUNTIFS($A$2:$A$2001,A1004,$E$2:$E$2001,E1004,$C$2:$C$2001,"Actual")&gt;0,0,D1004)))</f>
        <v>0</v>
      </c>
    </row>
    <row r="1005" customFormat="false" ht="15" hidden="false" customHeight="false" outlineLevel="0" collapsed="false">
      <c r="A1005" s="32"/>
      <c r="B1005" s="35"/>
      <c r="C1005" s="32"/>
      <c r="D1005" s="34"/>
      <c r="E1005" s="42" t="str">
        <f aca="false">IF(OR(A1005="",B1005=""),"",DATE(YEAR(B1005),MONTH(B1005),1))</f>
        <v/>
      </c>
      <c r="F1005" s="36" t="n">
        <f aca="false">IF(OR(E1005="",D1005=""),0,IF(C1005="Actual",D1005,IF(COUNTIFS($A$2:$A$2001,A1005,$E$2:$E$2001,E1005,$C$2:$C$2001,"Actual")&gt;0,0,D1005)))</f>
        <v>0</v>
      </c>
    </row>
    <row r="1006" customFormat="false" ht="15" hidden="false" customHeight="false" outlineLevel="0" collapsed="false">
      <c r="A1006" s="32"/>
      <c r="B1006" s="35"/>
      <c r="C1006" s="32"/>
      <c r="D1006" s="34"/>
      <c r="E1006" s="42" t="str">
        <f aca="false">IF(OR(A1006="",B1006=""),"",DATE(YEAR(B1006),MONTH(B1006),1))</f>
        <v/>
      </c>
      <c r="F1006" s="36" t="n">
        <f aca="false">IF(OR(E1006="",D1006=""),0,IF(C1006="Actual",D1006,IF(COUNTIFS($A$2:$A$2001,A1006,$E$2:$E$2001,E1006,$C$2:$C$2001,"Actual")&gt;0,0,D1006)))</f>
        <v>0</v>
      </c>
    </row>
    <row r="1007" customFormat="false" ht="15" hidden="false" customHeight="false" outlineLevel="0" collapsed="false">
      <c r="A1007" s="32"/>
      <c r="B1007" s="35"/>
      <c r="C1007" s="32"/>
      <c r="D1007" s="34"/>
      <c r="E1007" s="42" t="str">
        <f aca="false">IF(OR(A1007="",B1007=""),"",DATE(YEAR(B1007),MONTH(B1007),1))</f>
        <v/>
      </c>
      <c r="F1007" s="36" t="n">
        <f aca="false">IF(OR(E1007="",D1007=""),0,IF(C1007="Actual",D1007,IF(COUNTIFS($A$2:$A$2001,A1007,$E$2:$E$2001,E1007,$C$2:$C$2001,"Actual")&gt;0,0,D1007)))</f>
        <v>0</v>
      </c>
    </row>
    <row r="1008" customFormat="false" ht="15" hidden="false" customHeight="false" outlineLevel="0" collapsed="false">
      <c r="A1008" s="32"/>
      <c r="B1008" s="35"/>
      <c r="C1008" s="32"/>
      <c r="D1008" s="34"/>
      <c r="E1008" s="42" t="str">
        <f aca="false">IF(OR(A1008="",B1008=""),"",DATE(YEAR(B1008),MONTH(B1008),1))</f>
        <v/>
      </c>
      <c r="F1008" s="36" t="n">
        <f aca="false">IF(OR(E1008="",D1008=""),0,IF(C1008="Actual",D1008,IF(COUNTIFS($A$2:$A$2001,A1008,$E$2:$E$2001,E1008,$C$2:$C$2001,"Actual")&gt;0,0,D1008)))</f>
        <v>0</v>
      </c>
    </row>
    <row r="1009" customFormat="false" ht="15" hidden="false" customHeight="false" outlineLevel="0" collapsed="false">
      <c r="A1009" s="32"/>
      <c r="B1009" s="35"/>
      <c r="C1009" s="32"/>
      <c r="D1009" s="34"/>
      <c r="E1009" s="42" t="str">
        <f aca="false">IF(OR(A1009="",B1009=""),"",DATE(YEAR(B1009),MONTH(B1009),1))</f>
        <v/>
      </c>
      <c r="F1009" s="36" t="n">
        <f aca="false">IF(OR(E1009="",D1009=""),0,IF(C1009="Actual",D1009,IF(COUNTIFS($A$2:$A$2001,A1009,$E$2:$E$2001,E1009,$C$2:$C$2001,"Actual")&gt;0,0,D1009)))</f>
        <v>0</v>
      </c>
    </row>
    <row r="1010" customFormat="false" ht="15" hidden="false" customHeight="false" outlineLevel="0" collapsed="false">
      <c r="A1010" s="32"/>
      <c r="B1010" s="35"/>
      <c r="C1010" s="32"/>
      <c r="D1010" s="34"/>
      <c r="E1010" s="42" t="str">
        <f aca="false">IF(OR(A1010="",B1010=""),"",DATE(YEAR(B1010),MONTH(B1010),1))</f>
        <v/>
      </c>
      <c r="F1010" s="36" t="n">
        <f aca="false">IF(OR(E1010="",D1010=""),0,IF(C1010="Actual",D1010,IF(COUNTIFS($A$2:$A$2001,A1010,$E$2:$E$2001,E1010,$C$2:$C$2001,"Actual")&gt;0,0,D1010)))</f>
        <v>0</v>
      </c>
    </row>
    <row r="1011" customFormat="false" ht="15" hidden="false" customHeight="false" outlineLevel="0" collapsed="false">
      <c r="A1011" s="32"/>
      <c r="B1011" s="35"/>
      <c r="C1011" s="32"/>
      <c r="D1011" s="34"/>
      <c r="E1011" s="42" t="str">
        <f aca="false">IF(OR(A1011="",B1011=""),"",DATE(YEAR(B1011),MONTH(B1011),1))</f>
        <v/>
      </c>
      <c r="F1011" s="36" t="n">
        <f aca="false">IF(OR(E1011="",D1011=""),0,IF(C1011="Actual",D1011,IF(COUNTIFS($A$2:$A$2001,A1011,$E$2:$E$2001,E1011,$C$2:$C$2001,"Actual")&gt;0,0,D1011)))</f>
        <v>0</v>
      </c>
    </row>
    <row r="1012" customFormat="false" ht="15" hidden="false" customHeight="false" outlineLevel="0" collapsed="false">
      <c r="A1012" s="32"/>
      <c r="B1012" s="35"/>
      <c r="C1012" s="32"/>
      <c r="D1012" s="34"/>
      <c r="E1012" s="42" t="str">
        <f aca="false">IF(OR(A1012="",B1012=""),"",DATE(YEAR(B1012),MONTH(B1012),1))</f>
        <v/>
      </c>
      <c r="F1012" s="36" t="n">
        <f aca="false">IF(OR(E1012="",D1012=""),0,IF(C1012="Actual",D1012,IF(COUNTIFS($A$2:$A$2001,A1012,$E$2:$E$2001,E1012,$C$2:$C$2001,"Actual")&gt;0,0,D1012)))</f>
        <v>0</v>
      </c>
    </row>
    <row r="1013" customFormat="false" ht="15" hidden="false" customHeight="false" outlineLevel="0" collapsed="false">
      <c r="A1013" s="32"/>
      <c r="B1013" s="35"/>
      <c r="C1013" s="32"/>
      <c r="D1013" s="34"/>
      <c r="E1013" s="42" t="str">
        <f aca="false">IF(OR(A1013="",B1013=""),"",DATE(YEAR(B1013),MONTH(B1013),1))</f>
        <v/>
      </c>
      <c r="F1013" s="36" t="n">
        <f aca="false">IF(OR(E1013="",D1013=""),0,IF(C1013="Actual",D1013,IF(COUNTIFS($A$2:$A$2001,A1013,$E$2:$E$2001,E1013,$C$2:$C$2001,"Actual")&gt;0,0,D1013)))</f>
        <v>0</v>
      </c>
    </row>
    <row r="1014" customFormat="false" ht="15" hidden="false" customHeight="false" outlineLevel="0" collapsed="false">
      <c r="A1014" s="32"/>
      <c r="B1014" s="35"/>
      <c r="C1014" s="32"/>
      <c r="D1014" s="34"/>
      <c r="E1014" s="42" t="str">
        <f aca="false">IF(OR(A1014="",B1014=""),"",DATE(YEAR(B1014),MONTH(B1014),1))</f>
        <v/>
      </c>
      <c r="F1014" s="36" t="n">
        <f aca="false">IF(OR(E1014="",D1014=""),0,IF(C1014="Actual",D1014,IF(COUNTIFS($A$2:$A$2001,A1014,$E$2:$E$2001,E1014,$C$2:$C$2001,"Actual")&gt;0,0,D1014)))</f>
        <v>0</v>
      </c>
    </row>
    <row r="1015" customFormat="false" ht="15" hidden="false" customHeight="false" outlineLevel="0" collapsed="false">
      <c r="A1015" s="32"/>
      <c r="B1015" s="35"/>
      <c r="C1015" s="32"/>
      <c r="D1015" s="34"/>
      <c r="E1015" s="42" t="str">
        <f aca="false">IF(OR(A1015="",B1015=""),"",DATE(YEAR(B1015),MONTH(B1015),1))</f>
        <v/>
      </c>
      <c r="F1015" s="36" t="n">
        <f aca="false">IF(OR(E1015="",D1015=""),0,IF(C1015="Actual",D1015,IF(COUNTIFS($A$2:$A$2001,A1015,$E$2:$E$2001,E1015,$C$2:$C$2001,"Actual")&gt;0,0,D1015)))</f>
        <v>0</v>
      </c>
    </row>
    <row r="1016" customFormat="false" ht="15" hidden="false" customHeight="false" outlineLevel="0" collapsed="false">
      <c r="A1016" s="32"/>
      <c r="B1016" s="35"/>
      <c r="C1016" s="32"/>
      <c r="D1016" s="34"/>
      <c r="E1016" s="42" t="str">
        <f aca="false">IF(OR(A1016="",B1016=""),"",DATE(YEAR(B1016),MONTH(B1016),1))</f>
        <v/>
      </c>
      <c r="F1016" s="36" t="n">
        <f aca="false">IF(OR(E1016="",D1016=""),0,IF(C1016="Actual",D1016,IF(COUNTIFS($A$2:$A$2001,A1016,$E$2:$E$2001,E1016,$C$2:$C$2001,"Actual")&gt;0,0,D1016)))</f>
        <v>0</v>
      </c>
    </row>
    <row r="1017" customFormat="false" ht="15" hidden="false" customHeight="false" outlineLevel="0" collapsed="false">
      <c r="A1017" s="32"/>
      <c r="B1017" s="35"/>
      <c r="C1017" s="32"/>
      <c r="D1017" s="34"/>
      <c r="E1017" s="42" t="str">
        <f aca="false">IF(OR(A1017="",B1017=""),"",DATE(YEAR(B1017),MONTH(B1017),1))</f>
        <v/>
      </c>
      <c r="F1017" s="36" t="n">
        <f aca="false">IF(OR(E1017="",D1017=""),0,IF(C1017="Actual",D1017,IF(COUNTIFS($A$2:$A$2001,A1017,$E$2:$E$2001,E1017,$C$2:$C$2001,"Actual")&gt;0,0,D1017)))</f>
        <v>0</v>
      </c>
    </row>
    <row r="1018" customFormat="false" ht="15" hidden="false" customHeight="false" outlineLevel="0" collapsed="false">
      <c r="A1018" s="32"/>
      <c r="B1018" s="35"/>
      <c r="C1018" s="32"/>
      <c r="D1018" s="34"/>
      <c r="E1018" s="42" t="str">
        <f aca="false">IF(OR(A1018="",B1018=""),"",DATE(YEAR(B1018),MONTH(B1018),1))</f>
        <v/>
      </c>
      <c r="F1018" s="36" t="n">
        <f aca="false">IF(OR(E1018="",D1018=""),0,IF(C1018="Actual",D1018,IF(COUNTIFS($A$2:$A$2001,A1018,$E$2:$E$2001,E1018,$C$2:$C$2001,"Actual")&gt;0,0,D1018)))</f>
        <v>0</v>
      </c>
    </row>
    <row r="1019" customFormat="false" ht="15" hidden="false" customHeight="false" outlineLevel="0" collapsed="false">
      <c r="A1019" s="32"/>
      <c r="B1019" s="35"/>
      <c r="C1019" s="32"/>
      <c r="D1019" s="34"/>
      <c r="E1019" s="42" t="str">
        <f aca="false">IF(OR(A1019="",B1019=""),"",DATE(YEAR(B1019),MONTH(B1019),1))</f>
        <v/>
      </c>
      <c r="F1019" s="36" t="n">
        <f aca="false">IF(OR(E1019="",D1019=""),0,IF(C1019="Actual",D1019,IF(COUNTIFS($A$2:$A$2001,A1019,$E$2:$E$2001,E1019,$C$2:$C$2001,"Actual")&gt;0,0,D1019)))</f>
        <v>0</v>
      </c>
    </row>
    <row r="1020" customFormat="false" ht="15" hidden="false" customHeight="false" outlineLevel="0" collapsed="false">
      <c r="A1020" s="32"/>
      <c r="B1020" s="35"/>
      <c r="C1020" s="32"/>
      <c r="D1020" s="34"/>
      <c r="E1020" s="42" t="str">
        <f aca="false">IF(OR(A1020="",B1020=""),"",DATE(YEAR(B1020),MONTH(B1020),1))</f>
        <v/>
      </c>
      <c r="F1020" s="36" t="n">
        <f aca="false">IF(OR(E1020="",D1020=""),0,IF(C1020="Actual",D1020,IF(COUNTIFS($A$2:$A$2001,A1020,$E$2:$E$2001,E1020,$C$2:$C$2001,"Actual")&gt;0,0,D1020)))</f>
        <v>0</v>
      </c>
    </row>
    <row r="1021" customFormat="false" ht="15" hidden="false" customHeight="false" outlineLevel="0" collapsed="false">
      <c r="A1021" s="32"/>
      <c r="B1021" s="35"/>
      <c r="C1021" s="32"/>
      <c r="D1021" s="34"/>
      <c r="E1021" s="42" t="str">
        <f aca="false">IF(OR(A1021="",B1021=""),"",DATE(YEAR(B1021),MONTH(B1021),1))</f>
        <v/>
      </c>
      <c r="F1021" s="36" t="n">
        <f aca="false">IF(OR(E1021="",D1021=""),0,IF(C1021="Actual",D1021,IF(COUNTIFS($A$2:$A$2001,A1021,$E$2:$E$2001,E1021,$C$2:$C$2001,"Actual")&gt;0,0,D1021)))</f>
        <v>0</v>
      </c>
    </row>
    <row r="1022" customFormat="false" ht="15" hidden="false" customHeight="false" outlineLevel="0" collapsed="false">
      <c r="A1022" s="32"/>
      <c r="B1022" s="35"/>
      <c r="C1022" s="32"/>
      <c r="D1022" s="34"/>
      <c r="E1022" s="42" t="str">
        <f aca="false">IF(OR(A1022="",B1022=""),"",DATE(YEAR(B1022),MONTH(B1022),1))</f>
        <v/>
      </c>
      <c r="F1022" s="36" t="n">
        <f aca="false">IF(OR(E1022="",D1022=""),0,IF(C1022="Actual",D1022,IF(COUNTIFS($A$2:$A$2001,A1022,$E$2:$E$2001,E1022,$C$2:$C$2001,"Actual")&gt;0,0,D1022)))</f>
        <v>0</v>
      </c>
    </row>
    <row r="1023" customFormat="false" ht="15" hidden="false" customHeight="false" outlineLevel="0" collapsed="false">
      <c r="A1023" s="32"/>
      <c r="B1023" s="35"/>
      <c r="C1023" s="32"/>
      <c r="D1023" s="34"/>
      <c r="E1023" s="42" t="str">
        <f aca="false">IF(OR(A1023="",B1023=""),"",DATE(YEAR(B1023),MONTH(B1023),1))</f>
        <v/>
      </c>
      <c r="F1023" s="36" t="n">
        <f aca="false">IF(OR(E1023="",D1023=""),0,IF(C1023="Actual",D1023,IF(COUNTIFS($A$2:$A$2001,A1023,$E$2:$E$2001,E1023,$C$2:$C$2001,"Actual")&gt;0,0,D1023)))</f>
        <v>0</v>
      </c>
    </row>
    <row r="1024" customFormat="false" ht="15" hidden="false" customHeight="false" outlineLevel="0" collapsed="false">
      <c r="A1024" s="32"/>
      <c r="B1024" s="35"/>
      <c r="C1024" s="32"/>
      <c r="D1024" s="34"/>
      <c r="E1024" s="42" t="str">
        <f aca="false">IF(OR(A1024="",B1024=""),"",DATE(YEAR(B1024),MONTH(B1024),1))</f>
        <v/>
      </c>
      <c r="F1024" s="36" t="n">
        <f aca="false">IF(OR(E1024="",D1024=""),0,IF(C1024="Actual",D1024,IF(COUNTIFS($A$2:$A$2001,A1024,$E$2:$E$2001,E1024,$C$2:$C$2001,"Actual")&gt;0,0,D1024)))</f>
        <v>0</v>
      </c>
    </row>
    <row r="1025" customFormat="false" ht="15" hidden="false" customHeight="false" outlineLevel="0" collapsed="false">
      <c r="A1025" s="32"/>
      <c r="B1025" s="35"/>
      <c r="C1025" s="32"/>
      <c r="D1025" s="34"/>
      <c r="E1025" s="42" t="str">
        <f aca="false">IF(OR(A1025="",B1025=""),"",DATE(YEAR(B1025),MONTH(B1025),1))</f>
        <v/>
      </c>
      <c r="F1025" s="36" t="n">
        <f aca="false">IF(OR(E1025="",D1025=""),0,IF(C1025="Actual",D1025,IF(COUNTIFS($A$2:$A$2001,A1025,$E$2:$E$2001,E1025,$C$2:$C$2001,"Actual")&gt;0,0,D1025)))</f>
        <v>0</v>
      </c>
    </row>
    <row r="1026" customFormat="false" ht="15" hidden="false" customHeight="false" outlineLevel="0" collapsed="false">
      <c r="A1026" s="32"/>
      <c r="B1026" s="35"/>
      <c r="C1026" s="32"/>
      <c r="D1026" s="34"/>
      <c r="E1026" s="42" t="str">
        <f aca="false">IF(OR(A1026="",B1026=""),"",DATE(YEAR(B1026),MONTH(B1026),1))</f>
        <v/>
      </c>
      <c r="F1026" s="36" t="n">
        <f aca="false">IF(OR(E1026="",D1026=""),0,IF(C1026="Actual",D1026,IF(COUNTIFS($A$2:$A$2001,A1026,$E$2:$E$2001,E1026,$C$2:$C$2001,"Actual")&gt;0,0,D1026)))</f>
        <v>0</v>
      </c>
    </row>
    <row r="1027" customFormat="false" ht="15" hidden="false" customHeight="false" outlineLevel="0" collapsed="false">
      <c r="A1027" s="32"/>
      <c r="B1027" s="35"/>
      <c r="C1027" s="32"/>
      <c r="D1027" s="34"/>
      <c r="E1027" s="42" t="str">
        <f aca="false">IF(OR(A1027="",B1027=""),"",DATE(YEAR(B1027),MONTH(B1027),1))</f>
        <v/>
      </c>
      <c r="F1027" s="36" t="n">
        <f aca="false">IF(OR(E1027="",D1027=""),0,IF(C1027="Actual",D1027,IF(COUNTIFS($A$2:$A$2001,A1027,$E$2:$E$2001,E1027,$C$2:$C$2001,"Actual")&gt;0,0,D1027)))</f>
        <v>0</v>
      </c>
    </row>
    <row r="1028" customFormat="false" ht="15" hidden="false" customHeight="false" outlineLevel="0" collapsed="false">
      <c r="A1028" s="32"/>
      <c r="B1028" s="35"/>
      <c r="C1028" s="32"/>
      <c r="D1028" s="34"/>
      <c r="E1028" s="42" t="str">
        <f aca="false">IF(OR(A1028="",B1028=""),"",DATE(YEAR(B1028),MONTH(B1028),1))</f>
        <v/>
      </c>
      <c r="F1028" s="36" t="n">
        <f aca="false">IF(OR(E1028="",D1028=""),0,IF(C1028="Actual",D1028,IF(COUNTIFS($A$2:$A$2001,A1028,$E$2:$E$2001,E1028,$C$2:$C$2001,"Actual")&gt;0,0,D1028)))</f>
        <v>0</v>
      </c>
    </row>
    <row r="1029" customFormat="false" ht="15" hidden="false" customHeight="false" outlineLevel="0" collapsed="false">
      <c r="A1029" s="32"/>
      <c r="B1029" s="35"/>
      <c r="C1029" s="32"/>
      <c r="D1029" s="34"/>
      <c r="E1029" s="42" t="str">
        <f aca="false">IF(OR(A1029="",B1029=""),"",DATE(YEAR(B1029),MONTH(B1029),1))</f>
        <v/>
      </c>
      <c r="F1029" s="36" t="n">
        <f aca="false">IF(OR(E1029="",D1029=""),0,IF(C1029="Actual",D1029,IF(COUNTIFS($A$2:$A$2001,A1029,$E$2:$E$2001,E1029,$C$2:$C$2001,"Actual")&gt;0,0,D1029)))</f>
        <v>0</v>
      </c>
    </row>
    <row r="1030" customFormat="false" ht="15" hidden="false" customHeight="false" outlineLevel="0" collapsed="false">
      <c r="A1030" s="32"/>
      <c r="B1030" s="35"/>
      <c r="C1030" s="32"/>
      <c r="D1030" s="34"/>
      <c r="E1030" s="42" t="str">
        <f aca="false">IF(OR(A1030="",B1030=""),"",DATE(YEAR(B1030),MONTH(B1030),1))</f>
        <v/>
      </c>
      <c r="F1030" s="36" t="n">
        <f aca="false">IF(OR(E1030="",D1030=""),0,IF(C1030="Actual",D1030,IF(COUNTIFS($A$2:$A$2001,A1030,$E$2:$E$2001,E1030,$C$2:$C$2001,"Actual")&gt;0,0,D1030)))</f>
        <v>0</v>
      </c>
    </row>
    <row r="1031" customFormat="false" ht="15" hidden="false" customHeight="false" outlineLevel="0" collapsed="false">
      <c r="A1031" s="32"/>
      <c r="B1031" s="35"/>
      <c r="C1031" s="32"/>
      <c r="D1031" s="34"/>
      <c r="E1031" s="42" t="str">
        <f aca="false">IF(OR(A1031="",B1031=""),"",DATE(YEAR(B1031),MONTH(B1031),1))</f>
        <v/>
      </c>
      <c r="F1031" s="36" t="n">
        <f aca="false">IF(OR(E1031="",D1031=""),0,IF(C1031="Actual",D1031,IF(COUNTIFS($A$2:$A$2001,A1031,$E$2:$E$2001,E1031,$C$2:$C$2001,"Actual")&gt;0,0,D1031)))</f>
        <v>0</v>
      </c>
    </row>
    <row r="1032" customFormat="false" ht="15" hidden="false" customHeight="false" outlineLevel="0" collapsed="false">
      <c r="A1032" s="32"/>
      <c r="B1032" s="35"/>
      <c r="C1032" s="32"/>
      <c r="D1032" s="34"/>
      <c r="E1032" s="42" t="str">
        <f aca="false">IF(OR(A1032="",B1032=""),"",DATE(YEAR(B1032),MONTH(B1032),1))</f>
        <v/>
      </c>
      <c r="F1032" s="36" t="n">
        <f aca="false">IF(OR(E1032="",D1032=""),0,IF(C1032="Actual",D1032,IF(COUNTIFS($A$2:$A$2001,A1032,$E$2:$E$2001,E1032,$C$2:$C$2001,"Actual")&gt;0,0,D1032)))</f>
        <v>0</v>
      </c>
    </row>
    <row r="1033" customFormat="false" ht="15" hidden="false" customHeight="false" outlineLevel="0" collapsed="false">
      <c r="A1033" s="32"/>
      <c r="B1033" s="35"/>
      <c r="C1033" s="32"/>
      <c r="D1033" s="34"/>
      <c r="E1033" s="42" t="str">
        <f aca="false">IF(OR(A1033="",B1033=""),"",DATE(YEAR(B1033),MONTH(B1033),1))</f>
        <v/>
      </c>
      <c r="F1033" s="36" t="n">
        <f aca="false">IF(OR(E1033="",D1033=""),0,IF(C1033="Actual",D1033,IF(COUNTIFS($A$2:$A$2001,A1033,$E$2:$E$2001,E1033,$C$2:$C$2001,"Actual")&gt;0,0,D1033)))</f>
        <v>0</v>
      </c>
    </row>
    <row r="1034" customFormat="false" ht="15" hidden="false" customHeight="false" outlineLevel="0" collapsed="false">
      <c r="A1034" s="32"/>
      <c r="B1034" s="35"/>
      <c r="C1034" s="32"/>
      <c r="D1034" s="34"/>
      <c r="E1034" s="42" t="str">
        <f aca="false">IF(OR(A1034="",B1034=""),"",DATE(YEAR(B1034),MONTH(B1034),1))</f>
        <v/>
      </c>
      <c r="F1034" s="36" t="n">
        <f aca="false">IF(OR(E1034="",D1034=""),0,IF(C1034="Actual",D1034,IF(COUNTIFS($A$2:$A$2001,A1034,$E$2:$E$2001,E1034,$C$2:$C$2001,"Actual")&gt;0,0,D1034)))</f>
        <v>0</v>
      </c>
    </row>
    <row r="1035" customFormat="false" ht="15" hidden="false" customHeight="false" outlineLevel="0" collapsed="false">
      <c r="A1035" s="32"/>
      <c r="B1035" s="35"/>
      <c r="C1035" s="32"/>
      <c r="D1035" s="34"/>
      <c r="E1035" s="42" t="str">
        <f aca="false">IF(OR(A1035="",B1035=""),"",DATE(YEAR(B1035),MONTH(B1035),1))</f>
        <v/>
      </c>
      <c r="F1035" s="36" t="n">
        <f aca="false">IF(OR(E1035="",D1035=""),0,IF(C1035="Actual",D1035,IF(COUNTIFS($A$2:$A$2001,A1035,$E$2:$E$2001,E1035,$C$2:$C$2001,"Actual")&gt;0,0,D1035)))</f>
        <v>0</v>
      </c>
    </row>
    <row r="1036" customFormat="false" ht="15" hidden="false" customHeight="false" outlineLevel="0" collapsed="false">
      <c r="A1036" s="32"/>
      <c r="B1036" s="35"/>
      <c r="C1036" s="32"/>
      <c r="D1036" s="34"/>
      <c r="E1036" s="42" t="str">
        <f aca="false">IF(OR(A1036="",B1036=""),"",DATE(YEAR(B1036),MONTH(B1036),1))</f>
        <v/>
      </c>
      <c r="F1036" s="36" t="n">
        <f aca="false">IF(OR(E1036="",D1036=""),0,IF(C1036="Actual",D1036,IF(COUNTIFS($A$2:$A$2001,A1036,$E$2:$E$2001,E1036,$C$2:$C$2001,"Actual")&gt;0,0,D1036)))</f>
        <v>0</v>
      </c>
    </row>
    <row r="1037" customFormat="false" ht="15" hidden="false" customHeight="false" outlineLevel="0" collapsed="false">
      <c r="A1037" s="32"/>
      <c r="B1037" s="35"/>
      <c r="C1037" s="32"/>
      <c r="D1037" s="34"/>
      <c r="E1037" s="42" t="str">
        <f aca="false">IF(OR(A1037="",B1037=""),"",DATE(YEAR(B1037),MONTH(B1037),1))</f>
        <v/>
      </c>
      <c r="F1037" s="36" t="n">
        <f aca="false">IF(OR(E1037="",D1037=""),0,IF(C1037="Actual",D1037,IF(COUNTIFS($A$2:$A$2001,A1037,$E$2:$E$2001,E1037,$C$2:$C$2001,"Actual")&gt;0,0,D1037)))</f>
        <v>0</v>
      </c>
    </row>
    <row r="1038" customFormat="false" ht="15" hidden="false" customHeight="false" outlineLevel="0" collapsed="false">
      <c r="A1038" s="32"/>
      <c r="B1038" s="35"/>
      <c r="C1038" s="32"/>
      <c r="D1038" s="34"/>
      <c r="E1038" s="42" t="str">
        <f aca="false">IF(OR(A1038="",B1038=""),"",DATE(YEAR(B1038),MONTH(B1038),1))</f>
        <v/>
      </c>
      <c r="F1038" s="36" t="n">
        <f aca="false">IF(OR(E1038="",D1038=""),0,IF(C1038="Actual",D1038,IF(COUNTIFS($A$2:$A$2001,A1038,$E$2:$E$2001,E1038,$C$2:$C$2001,"Actual")&gt;0,0,D1038)))</f>
        <v>0</v>
      </c>
    </row>
    <row r="1039" customFormat="false" ht="15" hidden="false" customHeight="false" outlineLevel="0" collapsed="false">
      <c r="A1039" s="32"/>
      <c r="B1039" s="35"/>
      <c r="C1039" s="32"/>
      <c r="D1039" s="34"/>
      <c r="E1039" s="42" t="str">
        <f aca="false">IF(OR(A1039="",B1039=""),"",DATE(YEAR(B1039),MONTH(B1039),1))</f>
        <v/>
      </c>
      <c r="F1039" s="36" t="n">
        <f aca="false">IF(OR(E1039="",D1039=""),0,IF(C1039="Actual",D1039,IF(COUNTIFS($A$2:$A$2001,A1039,$E$2:$E$2001,E1039,$C$2:$C$2001,"Actual")&gt;0,0,D1039)))</f>
        <v>0</v>
      </c>
    </row>
    <row r="1040" customFormat="false" ht="15" hidden="false" customHeight="false" outlineLevel="0" collapsed="false">
      <c r="A1040" s="32"/>
      <c r="B1040" s="35"/>
      <c r="C1040" s="32"/>
      <c r="D1040" s="34"/>
      <c r="E1040" s="42" t="str">
        <f aca="false">IF(OR(A1040="",B1040=""),"",DATE(YEAR(B1040),MONTH(B1040),1))</f>
        <v/>
      </c>
      <c r="F1040" s="36" t="n">
        <f aca="false">IF(OR(E1040="",D1040=""),0,IF(C1040="Actual",D1040,IF(COUNTIFS($A$2:$A$2001,A1040,$E$2:$E$2001,E1040,$C$2:$C$2001,"Actual")&gt;0,0,D1040)))</f>
        <v>0</v>
      </c>
    </row>
    <row r="1041" customFormat="false" ht="15" hidden="false" customHeight="false" outlineLevel="0" collapsed="false">
      <c r="A1041" s="32"/>
      <c r="B1041" s="35"/>
      <c r="C1041" s="32"/>
      <c r="D1041" s="34"/>
      <c r="E1041" s="42" t="str">
        <f aca="false">IF(OR(A1041="",B1041=""),"",DATE(YEAR(B1041),MONTH(B1041),1))</f>
        <v/>
      </c>
      <c r="F1041" s="36" t="n">
        <f aca="false">IF(OR(E1041="",D1041=""),0,IF(C1041="Actual",D1041,IF(COUNTIFS($A$2:$A$2001,A1041,$E$2:$E$2001,E1041,$C$2:$C$2001,"Actual")&gt;0,0,D1041)))</f>
        <v>0</v>
      </c>
    </row>
    <row r="1042" customFormat="false" ht="15" hidden="false" customHeight="false" outlineLevel="0" collapsed="false">
      <c r="A1042" s="32"/>
      <c r="B1042" s="35"/>
      <c r="C1042" s="32"/>
      <c r="D1042" s="34"/>
      <c r="E1042" s="42" t="str">
        <f aca="false">IF(OR(A1042="",B1042=""),"",DATE(YEAR(B1042),MONTH(B1042),1))</f>
        <v/>
      </c>
      <c r="F1042" s="36" t="n">
        <f aca="false">IF(OR(E1042="",D1042=""),0,IF(C1042="Actual",D1042,IF(COUNTIFS($A$2:$A$2001,A1042,$E$2:$E$2001,E1042,$C$2:$C$2001,"Actual")&gt;0,0,D1042)))</f>
        <v>0</v>
      </c>
    </row>
    <row r="1043" customFormat="false" ht="15" hidden="false" customHeight="false" outlineLevel="0" collapsed="false">
      <c r="A1043" s="32"/>
      <c r="B1043" s="35"/>
      <c r="C1043" s="32"/>
      <c r="D1043" s="34"/>
      <c r="E1043" s="42" t="str">
        <f aca="false">IF(OR(A1043="",B1043=""),"",DATE(YEAR(B1043),MONTH(B1043),1))</f>
        <v/>
      </c>
      <c r="F1043" s="36" t="n">
        <f aca="false">IF(OR(E1043="",D1043=""),0,IF(C1043="Actual",D1043,IF(COUNTIFS($A$2:$A$2001,A1043,$E$2:$E$2001,E1043,$C$2:$C$2001,"Actual")&gt;0,0,D1043)))</f>
        <v>0</v>
      </c>
    </row>
    <row r="1044" customFormat="false" ht="15" hidden="false" customHeight="false" outlineLevel="0" collapsed="false">
      <c r="A1044" s="32"/>
      <c r="B1044" s="35"/>
      <c r="C1044" s="32"/>
      <c r="D1044" s="34"/>
      <c r="E1044" s="42" t="str">
        <f aca="false">IF(OR(A1044="",B1044=""),"",DATE(YEAR(B1044),MONTH(B1044),1))</f>
        <v/>
      </c>
      <c r="F1044" s="36" t="n">
        <f aca="false">IF(OR(E1044="",D1044=""),0,IF(C1044="Actual",D1044,IF(COUNTIFS($A$2:$A$2001,A1044,$E$2:$E$2001,E1044,$C$2:$C$2001,"Actual")&gt;0,0,D1044)))</f>
        <v>0</v>
      </c>
    </row>
    <row r="1045" customFormat="false" ht="15" hidden="false" customHeight="false" outlineLevel="0" collapsed="false">
      <c r="A1045" s="32"/>
      <c r="B1045" s="35"/>
      <c r="C1045" s="32"/>
      <c r="D1045" s="34"/>
      <c r="E1045" s="42" t="str">
        <f aca="false">IF(OR(A1045="",B1045=""),"",DATE(YEAR(B1045),MONTH(B1045),1))</f>
        <v/>
      </c>
      <c r="F1045" s="36" t="n">
        <f aca="false">IF(OR(E1045="",D1045=""),0,IF(C1045="Actual",D1045,IF(COUNTIFS($A$2:$A$2001,A1045,$E$2:$E$2001,E1045,$C$2:$C$2001,"Actual")&gt;0,0,D1045)))</f>
        <v>0</v>
      </c>
    </row>
    <row r="1046" customFormat="false" ht="15" hidden="false" customHeight="false" outlineLevel="0" collapsed="false">
      <c r="A1046" s="32"/>
      <c r="B1046" s="35"/>
      <c r="C1046" s="32"/>
      <c r="D1046" s="34"/>
      <c r="E1046" s="42" t="str">
        <f aca="false">IF(OR(A1046="",B1046=""),"",DATE(YEAR(B1046),MONTH(B1046),1))</f>
        <v/>
      </c>
      <c r="F1046" s="36" t="n">
        <f aca="false">IF(OR(E1046="",D1046=""),0,IF(C1046="Actual",D1046,IF(COUNTIFS($A$2:$A$2001,A1046,$E$2:$E$2001,E1046,$C$2:$C$2001,"Actual")&gt;0,0,D1046)))</f>
        <v>0</v>
      </c>
    </row>
    <row r="1047" customFormat="false" ht="15" hidden="false" customHeight="false" outlineLevel="0" collapsed="false">
      <c r="A1047" s="32"/>
      <c r="B1047" s="35"/>
      <c r="C1047" s="32"/>
      <c r="D1047" s="34"/>
      <c r="E1047" s="42" t="str">
        <f aca="false">IF(OR(A1047="",B1047=""),"",DATE(YEAR(B1047),MONTH(B1047),1))</f>
        <v/>
      </c>
      <c r="F1047" s="36" t="n">
        <f aca="false">IF(OR(E1047="",D1047=""),0,IF(C1047="Actual",D1047,IF(COUNTIFS($A$2:$A$2001,A1047,$E$2:$E$2001,E1047,$C$2:$C$2001,"Actual")&gt;0,0,D1047)))</f>
        <v>0</v>
      </c>
    </row>
    <row r="1048" customFormat="false" ht="15" hidden="false" customHeight="false" outlineLevel="0" collapsed="false">
      <c r="A1048" s="32"/>
      <c r="B1048" s="35"/>
      <c r="C1048" s="32"/>
      <c r="D1048" s="34"/>
      <c r="E1048" s="42" t="str">
        <f aca="false">IF(OR(A1048="",B1048=""),"",DATE(YEAR(B1048),MONTH(B1048),1))</f>
        <v/>
      </c>
      <c r="F1048" s="36" t="n">
        <f aca="false">IF(OR(E1048="",D1048=""),0,IF(C1048="Actual",D1048,IF(COUNTIFS($A$2:$A$2001,A1048,$E$2:$E$2001,E1048,$C$2:$C$2001,"Actual")&gt;0,0,D1048)))</f>
        <v>0</v>
      </c>
    </row>
    <row r="1049" customFormat="false" ht="15" hidden="false" customHeight="false" outlineLevel="0" collapsed="false">
      <c r="A1049" s="32"/>
      <c r="B1049" s="35"/>
      <c r="C1049" s="32"/>
      <c r="D1049" s="34"/>
      <c r="E1049" s="42" t="str">
        <f aca="false">IF(OR(A1049="",B1049=""),"",DATE(YEAR(B1049),MONTH(B1049),1))</f>
        <v/>
      </c>
      <c r="F1049" s="36" t="n">
        <f aca="false">IF(OR(E1049="",D1049=""),0,IF(C1049="Actual",D1049,IF(COUNTIFS($A$2:$A$2001,A1049,$E$2:$E$2001,E1049,$C$2:$C$2001,"Actual")&gt;0,0,D1049)))</f>
        <v>0</v>
      </c>
    </row>
    <row r="1050" customFormat="false" ht="15" hidden="false" customHeight="false" outlineLevel="0" collapsed="false">
      <c r="A1050" s="32"/>
      <c r="B1050" s="35"/>
      <c r="C1050" s="32"/>
      <c r="D1050" s="34"/>
      <c r="E1050" s="42" t="str">
        <f aca="false">IF(OR(A1050="",B1050=""),"",DATE(YEAR(B1050),MONTH(B1050),1))</f>
        <v/>
      </c>
      <c r="F1050" s="36" t="n">
        <f aca="false">IF(OR(E1050="",D1050=""),0,IF(C1050="Actual",D1050,IF(COUNTIFS($A$2:$A$2001,A1050,$E$2:$E$2001,E1050,$C$2:$C$2001,"Actual")&gt;0,0,D1050)))</f>
        <v>0</v>
      </c>
    </row>
    <row r="1051" customFormat="false" ht="15" hidden="false" customHeight="false" outlineLevel="0" collapsed="false">
      <c r="A1051" s="32"/>
      <c r="B1051" s="35"/>
      <c r="C1051" s="32"/>
      <c r="D1051" s="34"/>
      <c r="E1051" s="42" t="str">
        <f aca="false">IF(OR(A1051="",B1051=""),"",DATE(YEAR(B1051),MONTH(B1051),1))</f>
        <v/>
      </c>
      <c r="F1051" s="36" t="n">
        <f aca="false">IF(OR(E1051="",D1051=""),0,IF(C1051="Actual",D1051,IF(COUNTIFS($A$2:$A$2001,A1051,$E$2:$E$2001,E1051,$C$2:$C$2001,"Actual")&gt;0,0,D1051)))</f>
        <v>0</v>
      </c>
    </row>
    <row r="1052" customFormat="false" ht="15" hidden="false" customHeight="false" outlineLevel="0" collapsed="false">
      <c r="A1052" s="32"/>
      <c r="B1052" s="35"/>
      <c r="C1052" s="32"/>
      <c r="D1052" s="34"/>
      <c r="E1052" s="42" t="str">
        <f aca="false">IF(OR(A1052="",B1052=""),"",DATE(YEAR(B1052),MONTH(B1052),1))</f>
        <v/>
      </c>
      <c r="F1052" s="36" t="n">
        <f aca="false">IF(OR(E1052="",D1052=""),0,IF(C1052="Actual",D1052,IF(COUNTIFS($A$2:$A$2001,A1052,$E$2:$E$2001,E1052,$C$2:$C$2001,"Actual")&gt;0,0,D1052)))</f>
        <v>0</v>
      </c>
    </row>
    <row r="1053" customFormat="false" ht="15" hidden="false" customHeight="false" outlineLevel="0" collapsed="false">
      <c r="A1053" s="32"/>
      <c r="B1053" s="35"/>
      <c r="C1053" s="32"/>
      <c r="D1053" s="34"/>
      <c r="E1053" s="42" t="str">
        <f aca="false">IF(OR(A1053="",B1053=""),"",DATE(YEAR(B1053),MONTH(B1053),1))</f>
        <v/>
      </c>
      <c r="F1053" s="36" t="n">
        <f aca="false">IF(OR(E1053="",D1053=""),0,IF(C1053="Actual",D1053,IF(COUNTIFS($A$2:$A$2001,A1053,$E$2:$E$2001,E1053,$C$2:$C$2001,"Actual")&gt;0,0,D1053)))</f>
        <v>0</v>
      </c>
    </row>
    <row r="1054" customFormat="false" ht="15" hidden="false" customHeight="false" outlineLevel="0" collapsed="false">
      <c r="A1054" s="32"/>
      <c r="B1054" s="35"/>
      <c r="C1054" s="32"/>
      <c r="D1054" s="34"/>
      <c r="E1054" s="42" t="str">
        <f aca="false">IF(OR(A1054="",B1054=""),"",DATE(YEAR(B1054),MONTH(B1054),1))</f>
        <v/>
      </c>
      <c r="F1054" s="36" t="n">
        <f aca="false">IF(OR(E1054="",D1054=""),0,IF(C1054="Actual",D1054,IF(COUNTIFS($A$2:$A$2001,A1054,$E$2:$E$2001,E1054,$C$2:$C$2001,"Actual")&gt;0,0,D1054)))</f>
        <v>0</v>
      </c>
    </row>
    <row r="1055" customFormat="false" ht="15" hidden="false" customHeight="false" outlineLevel="0" collapsed="false">
      <c r="A1055" s="32"/>
      <c r="B1055" s="35"/>
      <c r="C1055" s="32"/>
      <c r="D1055" s="34"/>
      <c r="E1055" s="42" t="str">
        <f aca="false">IF(OR(A1055="",B1055=""),"",DATE(YEAR(B1055),MONTH(B1055),1))</f>
        <v/>
      </c>
      <c r="F1055" s="36" t="n">
        <f aca="false">IF(OR(E1055="",D1055=""),0,IF(C1055="Actual",D1055,IF(COUNTIFS($A$2:$A$2001,A1055,$E$2:$E$2001,E1055,$C$2:$C$2001,"Actual")&gt;0,0,D1055)))</f>
        <v>0</v>
      </c>
    </row>
    <row r="1056" customFormat="false" ht="15" hidden="false" customHeight="false" outlineLevel="0" collapsed="false">
      <c r="A1056" s="32"/>
      <c r="B1056" s="35"/>
      <c r="C1056" s="32"/>
      <c r="D1056" s="34"/>
      <c r="E1056" s="42" t="str">
        <f aca="false">IF(OR(A1056="",B1056=""),"",DATE(YEAR(B1056),MONTH(B1056),1))</f>
        <v/>
      </c>
      <c r="F1056" s="36" t="n">
        <f aca="false">IF(OR(E1056="",D1056=""),0,IF(C1056="Actual",D1056,IF(COUNTIFS($A$2:$A$2001,A1056,$E$2:$E$2001,E1056,$C$2:$C$2001,"Actual")&gt;0,0,D1056)))</f>
        <v>0</v>
      </c>
    </row>
    <row r="1057" customFormat="false" ht="15" hidden="false" customHeight="false" outlineLevel="0" collapsed="false">
      <c r="A1057" s="32"/>
      <c r="B1057" s="35"/>
      <c r="C1057" s="32"/>
      <c r="D1057" s="34"/>
      <c r="E1057" s="42" t="str">
        <f aca="false">IF(OR(A1057="",B1057=""),"",DATE(YEAR(B1057),MONTH(B1057),1))</f>
        <v/>
      </c>
      <c r="F1057" s="36" t="n">
        <f aca="false">IF(OR(E1057="",D1057=""),0,IF(C1057="Actual",D1057,IF(COUNTIFS($A$2:$A$2001,A1057,$E$2:$E$2001,E1057,$C$2:$C$2001,"Actual")&gt;0,0,D1057)))</f>
        <v>0</v>
      </c>
    </row>
    <row r="1058" customFormat="false" ht="15" hidden="false" customHeight="false" outlineLevel="0" collapsed="false">
      <c r="A1058" s="32"/>
      <c r="B1058" s="35"/>
      <c r="C1058" s="32"/>
      <c r="D1058" s="34"/>
      <c r="E1058" s="42" t="str">
        <f aca="false">IF(OR(A1058="",B1058=""),"",DATE(YEAR(B1058),MONTH(B1058),1))</f>
        <v/>
      </c>
      <c r="F1058" s="36" t="n">
        <f aca="false">IF(OR(E1058="",D1058=""),0,IF(C1058="Actual",D1058,IF(COUNTIFS($A$2:$A$2001,A1058,$E$2:$E$2001,E1058,$C$2:$C$2001,"Actual")&gt;0,0,D1058)))</f>
        <v>0</v>
      </c>
    </row>
    <row r="1059" customFormat="false" ht="15" hidden="false" customHeight="false" outlineLevel="0" collapsed="false">
      <c r="A1059" s="32"/>
      <c r="B1059" s="35"/>
      <c r="C1059" s="32"/>
      <c r="D1059" s="34"/>
      <c r="E1059" s="42" t="str">
        <f aca="false">IF(OR(A1059="",B1059=""),"",DATE(YEAR(B1059),MONTH(B1059),1))</f>
        <v/>
      </c>
      <c r="F1059" s="36" t="n">
        <f aca="false">IF(OR(E1059="",D1059=""),0,IF(C1059="Actual",D1059,IF(COUNTIFS($A$2:$A$2001,A1059,$E$2:$E$2001,E1059,$C$2:$C$2001,"Actual")&gt;0,0,D1059)))</f>
        <v>0</v>
      </c>
    </row>
    <row r="1060" customFormat="false" ht="15" hidden="false" customHeight="false" outlineLevel="0" collapsed="false">
      <c r="A1060" s="32"/>
      <c r="B1060" s="35"/>
      <c r="C1060" s="32"/>
      <c r="D1060" s="34"/>
      <c r="E1060" s="42" t="str">
        <f aca="false">IF(OR(A1060="",B1060=""),"",DATE(YEAR(B1060),MONTH(B1060),1))</f>
        <v/>
      </c>
      <c r="F1060" s="36" t="n">
        <f aca="false">IF(OR(E1060="",D1060=""),0,IF(C1060="Actual",D1060,IF(COUNTIFS($A$2:$A$2001,A1060,$E$2:$E$2001,E1060,$C$2:$C$2001,"Actual")&gt;0,0,D1060)))</f>
        <v>0</v>
      </c>
    </row>
    <row r="1061" customFormat="false" ht="15" hidden="false" customHeight="false" outlineLevel="0" collapsed="false">
      <c r="A1061" s="32"/>
      <c r="B1061" s="35"/>
      <c r="C1061" s="32"/>
      <c r="D1061" s="34"/>
      <c r="E1061" s="42" t="str">
        <f aca="false">IF(OR(A1061="",B1061=""),"",DATE(YEAR(B1061),MONTH(B1061),1))</f>
        <v/>
      </c>
      <c r="F1061" s="36" t="n">
        <f aca="false">IF(OR(E1061="",D1061=""),0,IF(C1061="Actual",D1061,IF(COUNTIFS($A$2:$A$2001,A1061,$E$2:$E$2001,E1061,$C$2:$C$2001,"Actual")&gt;0,0,D1061)))</f>
        <v>0</v>
      </c>
    </row>
    <row r="1062" customFormat="false" ht="15" hidden="false" customHeight="false" outlineLevel="0" collapsed="false">
      <c r="A1062" s="32"/>
      <c r="B1062" s="35"/>
      <c r="C1062" s="32"/>
      <c r="D1062" s="34"/>
      <c r="E1062" s="42" t="str">
        <f aca="false">IF(OR(A1062="",B1062=""),"",DATE(YEAR(B1062),MONTH(B1062),1))</f>
        <v/>
      </c>
      <c r="F1062" s="36" t="n">
        <f aca="false">IF(OR(E1062="",D1062=""),0,IF(C1062="Actual",D1062,IF(COUNTIFS($A$2:$A$2001,A1062,$E$2:$E$2001,E1062,$C$2:$C$2001,"Actual")&gt;0,0,D1062)))</f>
        <v>0</v>
      </c>
    </row>
    <row r="1063" customFormat="false" ht="15" hidden="false" customHeight="false" outlineLevel="0" collapsed="false">
      <c r="A1063" s="32"/>
      <c r="B1063" s="35"/>
      <c r="C1063" s="32"/>
      <c r="D1063" s="34"/>
      <c r="E1063" s="42" t="str">
        <f aca="false">IF(OR(A1063="",B1063=""),"",DATE(YEAR(B1063),MONTH(B1063),1))</f>
        <v/>
      </c>
      <c r="F1063" s="36" t="n">
        <f aca="false">IF(OR(E1063="",D1063=""),0,IF(C1063="Actual",D1063,IF(COUNTIFS($A$2:$A$2001,A1063,$E$2:$E$2001,E1063,$C$2:$C$2001,"Actual")&gt;0,0,D1063)))</f>
        <v>0</v>
      </c>
    </row>
    <row r="1064" customFormat="false" ht="15" hidden="false" customHeight="false" outlineLevel="0" collapsed="false">
      <c r="A1064" s="32"/>
      <c r="B1064" s="35"/>
      <c r="C1064" s="32"/>
      <c r="D1064" s="34"/>
      <c r="E1064" s="42" t="str">
        <f aca="false">IF(OR(A1064="",B1064=""),"",DATE(YEAR(B1064),MONTH(B1064),1))</f>
        <v/>
      </c>
      <c r="F1064" s="36" t="n">
        <f aca="false">IF(OR(E1064="",D1064=""),0,IF(C1064="Actual",D1064,IF(COUNTIFS($A$2:$A$2001,A1064,$E$2:$E$2001,E1064,$C$2:$C$2001,"Actual")&gt;0,0,D1064)))</f>
        <v>0</v>
      </c>
    </row>
    <row r="1065" customFormat="false" ht="15" hidden="false" customHeight="false" outlineLevel="0" collapsed="false">
      <c r="A1065" s="32"/>
      <c r="B1065" s="35"/>
      <c r="C1065" s="32"/>
      <c r="D1065" s="34"/>
      <c r="E1065" s="42" t="str">
        <f aca="false">IF(OR(A1065="",B1065=""),"",DATE(YEAR(B1065),MONTH(B1065),1))</f>
        <v/>
      </c>
      <c r="F1065" s="36" t="n">
        <f aca="false">IF(OR(E1065="",D1065=""),0,IF(C1065="Actual",D1065,IF(COUNTIFS($A$2:$A$2001,A1065,$E$2:$E$2001,E1065,$C$2:$C$2001,"Actual")&gt;0,0,D1065)))</f>
        <v>0</v>
      </c>
    </row>
    <row r="1066" customFormat="false" ht="15" hidden="false" customHeight="false" outlineLevel="0" collapsed="false">
      <c r="A1066" s="32"/>
      <c r="B1066" s="35"/>
      <c r="C1066" s="32"/>
      <c r="D1066" s="34"/>
      <c r="E1066" s="42" t="str">
        <f aca="false">IF(OR(A1066="",B1066=""),"",DATE(YEAR(B1066),MONTH(B1066),1))</f>
        <v/>
      </c>
      <c r="F1066" s="36" t="n">
        <f aca="false">IF(OR(E1066="",D1066=""),0,IF(C1066="Actual",D1066,IF(COUNTIFS($A$2:$A$2001,A1066,$E$2:$E$2001,E1066,$C$2:$C$2001,"Actual")&gt;0,0,D1066)))</f>
        <v>0</v>
      </c>
    </row>
    <row r="1067" customFormat="false" ht="15" hidden="false" customHeight="false" outlineLevel="0" collapsed="false">
      <c r="A1067" s="32"/>
      <c r="B1067" s="35"/>
      <c r="C1067" s="32"/>
      <c r="D1067" s="34"/>
      <c r="E1067" s="42" t="str">
        <f aca="false">IF(OR(A1067="",B1067=""),"",DATE(YEAR(B1067),MONTH(B1067),1))</f>
        <v/>
      </c>
      <c r="F1067" s="36" t="n">
        <f aca="false">IF(OR(E1067="",D1067=""),0,IF(C1067="Actual",D1067,IF(COUNTIFS($A$2:$A$2001,A1067,$E$2:$E$2001,E1067,$C$2:$C$2001,"Actual")&gt;0,0,D1067)))</f>
        <v>0</v>
      </c>
    </row>
    <row r="1068" customFormat="false" ht="15" hidden="false" customHeight="false" outlineLevel="0" collapsed="false">
      <c r="A1068" s="32"/>
      <c r="B1068" s="35"/>
      <c r="C1068" s="32"/>
      <c r="D1068" s="34"/>
      <c r="E1068" s="42" t="str">
        <f aca="false">IF(OR(A1068="",B1068=""),"",DATE(YEAR(B1068),MONTH(B1068),1))</f>
        <v/>
      </c>
      <c r="F1068" s="36" t="n">
        <f aca="false">IF(OR(E1068="",D1068=""),0,IF(C1068="Actual",D1068,IF(COUNTIFS($A$2:$A$2001,A1068,$E$2:$E$2001,E1068,$C$2:$C$2001,"Actual")&gt;0,0,D1068)))</f>
        <v>0</v>
      </c>
    </row>
    <row r="1069" customFormat="false" ht="15" hidden="false" customHeight="false" outlineLevel="0" collapsed="false">
      <c r="A1069" s="32"/>
      <c r="B1069" s="35"/>
      <c r="C1069" s="32"/>
      <c r="D1069" s="34"/>
      <c r="E1069" s="42" t="str">
        <f aca="false">IF(OR(A1069="",B1069=""),"",DATE(YEAR(B1069),MONTH(B1069),1))</f>
        <v/>
      </c>
      <c r="F1069" s="36" t="n">
        <f aca="false">IF(OR(E1069="",D1069=""),0,IF(C1069="Actual",D1069,IF(COUNTIFS($A$2:$A$2001,A1069,$E$2:$E$2001,E1069,$C$2:$C$2001,"Actual")&gt;0,0,D1069)))</f>
        <v>0</v>
      </c>
    </row>
    <row r="1070" customFormat="false" ht="15" hidden="false" customHeight="false" outlineLevel="0" collapsed="false">
      <c r="A1070" s="32"/>
      <c r="B1070" s="35"/>
      <c r="C1070" s="32"/>
      <c r="D1070" s="34"/>
      <c r="E1070" s="42" t="str">
        <f aca="false">IF(OR(A1070="",B1070=""),"",DATE(YEAR(B1070),MONTH(B1070),1))</f>
        <v/>
      </c>
      <c r="F1070" s="36" t="n">
        <f aca="false">IF(OR(E1070="",D1070=""),0,IF(C1070="Actual",D1070,IF(COUNTIFS($A$2:$A$2001,A1070,$E$2:$E$2001,E1070,$C$2:$C$2001,"Actual")&gt;0,0,D1070)))</f>
        <v>0</v>
      </c>
    </row>
    <row r="1071" customFormat="false" ht="15" hidden="false" customHeight="false" outlineLevel="0" collapsed="false">
      <c r="A1071" s="32"/>
      <c r="B1071" s="35"/>
      <c r="C1071" s="32"/>
      <c r="D1071" s="34"/>
      <c r="E1071" s="42" t="str">
        <f aca="false">IF(OR(A1071="",B1071=""),"",DATE(YEAR(B1071),MONTH(B1071),1))</f>
        <v/>
      </c>
      <c r="F1071" s="36" t="n">
        <f aca="false">IF(OR(E1071="",D1071=""),0,IF(C1071="Actual",D1071,IF(COUNTIFS($A$2:$A$2001,A1071,$E$2:$E$2001,E1071,$C$2:$C$2001,"Actual")&gt;0,0,D1071)))</f>
        <v>0</v>
      </c>
    </row>
    <row r="1072" customFormat="false" ht="15" hidden="false" customHeight="false" outlineLevel="0" collapsed="false">
      <c r="A1072" s="32"/>
      <c r="B1072" s="35"/>
      <c r="C1072" s="32"/>
      <c r="D1072" s="34"/>
      <c r="E1072" s="42" t="str">
        <f aca="false">IF(OR(A1072="",B1072=""),"",DATE(YEAR(B1072),MONTH(B1072),1))</f>
        <v/>
      </c>
      <c r="F1072" s="36" t="n">
        <f aca="false">IF(OR(E1072="",D1072=""),0,IF(C1072="Actual",D1072,IF(COUNTIFS($A$2:$A$2001,A1072,$E$2:$E$2001,E1072,$C$2:$C$2001,"Actual")&gt;0,0,D1072)))</f>
        <v>0</v>
      </c>
    </row>
    <row r="1073" customFormat="false" ht="15" hidden="false" customHeight="false" outlineLevel="0" collapsed="false">
      <c r="A1073" s="32"/>
      <c r="B1073" s="35"/>
      <c r="C1073" s="32"/>
      <c r="D1073" s="34"/>
      <c r="E1073" s="42" t="str">
        <f aca="false">IF(OR(A1073="",B1073=""),"",DATE(YEAR(B1073),MONTH(B1073),1))</f>
        <v/>
      </c>
      <c r="F1073" s="36" t="n">
        <f aca="false">IF(OR(E1073="",D1073=""),0,IF(C1073="Actual",D1073,IF(COUNTIFS($A$2:$A$2001,A1073,$E$2:$E$2001,E1073,$C$2:$C$2001,"Actual")&gt;0,0,D1073)))</f>
        <v>0</v>
      </c>
    </row>
    <row r="1074" customFormat="false" ht="15" hidden="false" customHeight="false" outlineLevel="0" collapsed="false">
      <c r="A1074" s="32"/>
      <c r="B1074" s="35"/>
      <c r="C1074" s="32"/>
      <c r="D1074" s="34"/>
      <c r="E1074" s="42" t="str">
        <f aca="false">IF(OR(A1074="",B1074=""),"",DATE(YEAR(B1074),MONTH(B1074),1))</f>
        <v/>
      </c>
      <c r="F1074" s="36" t="n">
        <f aca="false">IF(OR(E1074="",D1074=""),0,IF(C1074="Actual",D1074,IF(COUNTIFS($A$2:$A$2001,A1074,$E$2:$E$2001,E1074,$C$2:$C$2001,"Actual")&gt;0,0,D1074)))</f>
        <v>0</v>
      </c>
    </row>
    <row r="1075" customFormat="false" ht="15" hidden="false" customHeight="false" outlineLevel="0" collapsed="false">
      <c r="A1075" s="32"/>
      <c r="B1075" s="35"/>
      <c r="C1075" s="32"/>
      <c r="D1075" s="34"/>
      <c r="E1075" s="42" t="str">
        <f aca="false">IF(OR(A1075="",B1075=""),"",DATE(YEAR(B1075),MONTH(B1075),1))</f>
        <v/>
      </c>
      <c r="F1075" s="36" t="n">
        <f aca="false">IF(OR(E1075="",D1075=""),0,IF(C1075="Actual",D1075,IF(COUNTIFS($A$2:$A$2001,A1075,$E$2:$E$2001,E1075,$C$2:$C$2001,"Actual")&gt;0,0,D1075)))</f>
        <v>0</v>
      </c>
    </row>
    <row r="1076" customFormat="false" ht="15" hidden="false" customHeight="false" outlineLevel="0" collapsed="false">
      <c r="A1076" s="32"/>
      <c r="B1076" s="35"/>
      <c r="C1076" s="32"/>
      <c r="D1076" s="34"/>
      <c r="E1076" s="42" t="str">
        <f aca="false">IF(OR(A1076="",B1076=""),"",DATE(YEAR(B1076),MONTH(B1076),1))</f>
        <v/>
      </c>
      <c r="F1076" s="36" t="n">
        <f aca="false">IF(OR(E1076="",D1076=""),0,IF(C1076="Actual",D1076,IF(COUNTIFS($A$2:$A$2001,A1076,$E$2:$E$2001,E1076,$C$2:$C$2001,"Actual")&gt;0,0,D1076)))</f>
        <v>0</v>
      </c>
    </row>
    <row r="1077" customFormat="false" ht="15" hidden="false" customHeight="false" outlineLevel="0" collapsed="false">
      <c r="A1077" s="32"/>
      <c r="B1077" s="35"/>
      <c r="C1077" s="32"/>
      <c r="D1077" s="34"/>
      <c r="E1077" s="42" t="str">
        <f aca="false">IF(OR(A1077="",B1077=""),"",DATE(YEAR(B1077),MONTH(B1077),1))</f>
        <v/>
      </c>
      <c r="F1077" s="36" t="n">
        <f aca="false">IF(OR(E1077="",D1077=""),0,IF(C1077="Actual",D1077,IF(COUNTIFS($A$2:$A$2001,A1077,$E$2:$E$2001,E1077,$C$2:$C$2001,"Actual")&gt;0,0,D1077)))</f>
        <v>0</v>
      </c>
    </row>
    <row r="1078" customFormat="false" ht="15" hidden="false" customHeight="false" outlineLevel="0" collapsed="false">
      <c r="A1078" s="32"/>
      <c r="B1078" s="35"/>
      <c r="C1078" s="32"/>
      <c r="D1078" s="34"/>
      <c r="E1078" s="42" t="str">
        <f aca="false">IF(OR(A1078="",B1078=""),"",DATE(YEAR(B1078),MONTH(B1078),1))</f>
        <v/>
      </c>
      <c r="F1078" s="36" t="n">
        <f aca="false">IF(OR(E1078="",D1078=""),0,IF(C1078="Actual",D1078,IF(COUNTIFS($A$2:$A$2001,A1078,$E$2:$E$2001,E1078,$C$2:$C$2001,"Actual")&gt;0,0,D1078)))</f>
        <v>0</v>
      </c>
    </row>
    <row r="1079" customFormat="false" ht="15" hidden="false" customHeight="false" outlineLevel="0" collapsed="false">
      <c r="A1079" s="32"/>
      <c r="B1079" s="35"/>
      <c r="C1079" s="32"/>
      <c r="D1079" s="34"/>
      <c r="E1079" s="42" t="str">
        <f aca="false">IF(OR(A1079="",B1079=""),"",DATE(YEAR(B1079),MONTH(B1079),1))</f>
        <v/>
      </c>
      <c r="F1079" s="36" t="n">
        <f aca="false">IF(OR(E1079="",D1079=""),0,IF(C1079="Actual",D1079,IF(COUNTIFS($A$2:$A$2001,A1079,$E$2:$E$2001,E1079,$C$2:$C$2001,"Actual")&gt;0,0,D1079)))</f>
        <v>0</v>
      </c>
    </row>
    <row r="1080" customFormat="false" ht="15" hidden="false" customHeight="false" outlineLevel="0" collapsed="false">
      <c r="A1080" s="32"/>
      <c r="B1080" s="35"/>
      <c r="C1080" s="32"/>
      <c r="D1080" s="34"/>
      <c r="E1080" s="42" t="str">
        <f aca="false">IF(OR(A1080="",B1080=""),"",DATE(YEAR(B1080),MONTH(B1080),1))</f>
        <v/>
      </c>
      <c r="F1080" s="36" t="n">
        <f aca="false">IF(OR(E1080="",D1080=""),0,IF(C1080="Actual",D1080,IF(COUNTIFS($A$2:$A$2001,A1080,$E$2:$E$2001,E1080,$C$2:$C$2001,"Actual")&gt;0,0,D1080)))</f>
        <v>0</v>
      </c>
    </row>
    <row r="1081" customFormat="false" ht="15" hidden="false" customHeight="false" outlineLevel="0" collapsed="false">
      <c r="A1081" s="32"/>
      <c r="B1081" s="35"/>
      <c r="C1081" s="32"/>
      <c r="D1081" s="34"/>
      <c r="E1081" s="42" t="str">
        <f aca="false">IF(OR(A1081="",B1081=""),"",DATE(YEAR(B1081),MONTH(B1081),1))</f>
        <v/>
      </c>
      <c r="F1081" s="36" t="n">
        <f aca="false">IF(OR(E1081="",D1081=""),0,IF(C1081="Actual",D1081,IF(COUNTIFS($A$2:$A$2001,A1081,$E$2:$E$2001,E1081,$C$2:$C$2001,"Actual")&gt;0,0,D1081)))</f>
        <v>0</v>
      </c>
    </row>
    <row r="1082" customFormat="false" ht="15" hidden="false" customHeight="false" outlineLevel="0" collapsed="false">
      <c r="A1082" s="32"/>
      <c r="B1082" s="35"/>
      <c r="C1082" s="32"/>
      <c r="D1082" s="34"/>
      <c r="E1082" s="42" t="str">
        <f aca="false">IF(OR(A1082="",B1082=""),"",DATE(YEAR(B1082),MONTH(B1082),1))</f>
        <v/>
      </c>
      <c r="F1082" s="36" t="n">
        <f aca="false">IF(OR(E1082="",D1082=""),0,IF(C1082="Actual",D1082,IF(COUNTIFS($A$2:$A$2001,A1082,$E$2:$E$2001,E1082,$C$2:$C$2001,"Actual")&gt;0,0,D1082)))</f>
        <v>0</v>
      </c>
    </row>
    <row r="1083" customFormat="false" ht="15" hidden="false" customHeight="false" outlineLevel="0" collapsed="false">
      <c r="A1083" s="32"/>
      <c r="B1083" s="35"/>
      <c r="C1083" s="32"/>
      <c r="D1083" s="34"/>
      <c r="E1083" s="42" t="str">
        <f aca="false">IF(OR(A1083="",B1083=""),"",DATE(YEAR(B1083),MONTH(B1083),1))</f>
        <v/>
      </c>
      <c r="F1083" s="36" t="n">
        <f aca="false">IF(OR(E1083="",D1083=""),0,IF(C1083="Actual",D1083,IF(COUNTIFS($A$2:$A$2001,A1083,$E$2:$E$2001,E1083,$C$2:$C$2001,"Actual")&gt;0,0,D1083)))</f>
        <v>0</v>
      </c>
    </row>
    <row r="1084" customFormat="false" ht="15" hidden="false" customHeight="false" outlineLevel="0" collapsed="false">
      <c r="A1084" s="32"/>
      <c r="B1084" s="35"/>
      <c r="C1084" s="32"/>
      <c r="D1084" s="34"/>
      <c r="E1084" s="42" t="str">
        <f aca="false">IF(OR(A1084="",B1084=""),"",DATE(YEAR(B1084),MONTH(B1084),1))</f>
        <v/>
      </c>
      <c r="F1084" s="36" t="n">
        <f aca="false">IF(OR(E1084="",D1084=""),0,IF(C1084="Actual",D1084,IF(COUNTIFS($A$2:$A$2001,A1084,$E$2:$E$2001,E1084,$C$2:$C$2001,"Actual")&gt;0,0,D1084)))</f>
        <v>0</v>
      </c>
    </row>
    <row r="1085" customFormat="false" ht="15" hidden="false" customHeight="false" outlineLevel="0" collapsed="false">
      <c r="A1085" s="32"/>
      <c r="B1085" s="35"/>
      <c r="C1085" s="32"/>
      <c r="D1085" s="34"/>
      <c r="E1085" s="42" t="str">
        <f aca="false">IF(OR(A1085="",B1085=""),"",DATE(YEAR(B1085),MONTH(B1085),1))</f>
        <v/>
      </c>
      <c r="F1085" s="36" t="n">
        <f aca="false">IF(OR(E1085="",D1085=""),0,IF(C1085="Actual",D1085,IF(COUNTIFS($A$2:$A$2001,A1085,$E$2:$E$2001,E1085,$C$2:$C$2001,"Actual")&gt;0,0,D1085)))</f>
        <v>0</v>
      </c>
    </row>
    <row r="1086" customFormat="false" ht="15" hidden="false" customHeight="false" outlineLevel="0" collapsed="false">
      <c r="A1086" s="32"/>
      <c r="B1086" s="35"/>
      <c r="C1086" s="32"/>
      <c r="D1086" s="34"/>
      <c r="E1086" s="42" t="str">
        <f aca="false">IF(OR(A1086="",B1086=""),"",DATE(YEAR(B1086),MONTH(B1086),1))</f>
        <v/>
      </c>
      <c r="F1086" s="36" t="n">
        <f aca="false">IF(OR(E1086="",D1086=""),0,IF(C1086="Actual",D1086,IF(COUNTIFS($A$2:$A$2001,A1086,$E$2:$E$2001,E1086,$C$2:$C$2001,"Actual")&gt;0,0,D1086)))</f>
        <v>0</v>
      </c>
    </row>
    <row r="1087" customFormat="false" ht="15" hidden="false" customHeight="false" outlineLevel="0" collapsed="false">
      <c r="A1087" s="32"/>
      <c r="B1087" s="35"/>
      <c r="C1087" s="32"/>
      <c r="D1087" s="34"/>
      <c r="E1087" s="42" t="str">
        <f aca="false">IF(OR(A1087="",B1087=""),"",DATE(YEAR(B1087),MONTH(B1087),1))</f>
        <v/>
      </c>
      <c r="F1087" s="36" t="n">
        <f aca="false">IF(OR(E1087="",D1087=""),0,IF(C1087="Actual",D1087,IF(COUNTIFS($A$2:$A$2001,A1087,$E$2:$E$2001,E1087,$C$2:$C$2001,"Actual")&gt;0,0,D1087)))</f>
        <v>0</v>
      </c>
    </row>
    <row r="1088" customFormat="false" ht="15" hidden="false" customHeight="false" outlineLevel="0" collapsed="false">
      <c r="A1088" s="32"/>
      <c r="B1088" s="35"/>
      <c r="C1088" s="32"/>
      <c r="D1088" s="34"/>
      <c r="E1088" s="42" t="str">
        <f aca="false">IF(OR(A1088="",B1088=""),"",DATE(YEAR(B1088),MONTH(B1088),1))</f>
        <v/>
      </c>
      <c r="F1088" s="36" t="n">
        <f aca="false">IF(OR(E1088="",D1088=""),0,IF(C1088="Actual",D1088,IF(COUNTIFS($A$2:$A$2001,A1088,$E$2:$E$2001,E1088,$C$2:$C$2001,"Actual")&gt;0,0,D1088)))</f>
        <v>0</v>
      </c>
    </row>
    <row r="1089" customFormat="false" ht="15" hidden="false" customHeight="false" outlineLevel="0" collapsed="false">
      <c r="A1089" s="32"/>
      <c r="B1089" s="35"/>
      <c r="C1089" s="32"/>
      <c r="D1089" s="34"/>
      <c r="E1089" s="42" t="str">
        <f aca="false">IF(OR(A1089="",B1089=""),"",DATE(YEAR(B1089),MONTH(B1089),1))</f>
        <v/>
      </c>
      <c r="F1089" s="36" t="n">
        <f aca="false">IF(OR(E1089="",D1089=""),0,IF(C1089="Actual",D1089,IF(COUNTIFS($A$2:$A$2001,A1089,$E$2:$E$2001,E1089,$C$2:$C$2001,"Actual")&gt;0,0,D1089)))</f>
        <v>0</v>
      </c>
    </row>
    <row r="1090" customFormat="false" ht="15" hidden="false" customHeight="false" outlineLevel="0" collapsed="false">
      <c r="A1090" s="32"/>
      <c r="B1090" s="35"/>
      <c r="C1090" s="32"/>
      <c r="D1090" s="34"/>
      <c r="E1090" s="42" t="str">
        <f aca="false">IF(OR(A1090="",B1090=""),"",DATE(YEAR(B1090),MONTH(B1090),1))</f>
        <v/>
      </c>
      <c r="F1090" s="36" t="n">
        <f aca="false">IF(OR(E1090="",D1090=""),0,IF(C1090="Actual",D1090,IF(COUNTIFS($A$2:$A$2001,A1090,$E$2:$E$2001,E1090,$C$2:$C$2001,"Actual")&gt;0,0,D1090)))</f>
        <v>0</v>
      </c>
    </row>
    <row r="1091" customFormat="false" ht="15" hidden="false" customHeight="false" outlineLevel="0" collapsed="false">
      <c r="A1091" s="32"/>
      <c r="B1091" s="35"/>
      <c r="C1091" s="32"/>
      <c r="D1091" s="34"/>
      <c r="E1091" s="42" t="str">
        <f aca="false">IF(OR(A1091="",B1091=""),"",DATE(YEAR(B1091),MONTH(B1091),1))</f>
        <v/>
      </c>
      <c r="F1091" s="36" t="n">
        <f aca="false">IF(OR(E1091="",D1091=""),0,IF(C1091="Actual",D1091,IF(COUNTIFS($A$2:$A$2001,A1091,$E$2:$E$2001,E1091,$C$2:$C$2001,"Actual")&gt;0,0,D1091)))</f>
        <v>0</v>
      </c>
    </row>
    <row r="1092" customFormat="false" ht="15" hidden="false" customHeight="false" outlineLevel="0" collapsed="false">
      <c r="A1092" s="32"/>
      <c r="B1092" s="35"/>
      <c r="C1092" s="32"/>
      <c r="D1092" s="34"/>
      <c r="E1092" s="42" t="str">
        <f aca="false">IF(OR(A1092="",B1092=""),"",DATE(YEAR(B1092),MONTH(B1092),1))</f>
        <v/>
      </c>
      <c r="F1092" s="36" t="n">
        <f aca="false">IF(OR(E1092="",D1092=""),0,IF(C1092="Actual",D1092,IF(COUNTIFS($A$2:$A$2001,A1092,$E$2:$E$2001,E1092,$C$2:$C$2001,"Actual")&gt;0,0,D1092)))</f>
        <v>0</v>
      </c>
    </row>
    <row r="1093" customFormat="false" ht="15" hidden="false" customHeight="false" outlineLevel="0" collapsed="false">
      <c r="A1093" s="32"/>
      <c r="B1093" s="35"/>
      <c r="C1093" s="32"/>
      <c r="D1093" s="34"/>
      <c r="E1093" s="42" t="str">
        <f aca="false">IF(OR(A1093="",B1093=""),"",DATE(YEAR(B1093),MONTH(B1093),1))</f>
        <v/>
      </c>
      <c r="F1093" s="36" t="n">
        <f aca="false">IF(OR(E1093="",D1093=""),0,IF(C1093="Actual",D1093,IF(COUNTIFS($A$2:$A$2001,A1093,$E$2:$E$2001,E1093,$C$2:$C$2001,"Actual")&gt;0,0,D1093)))</f>
        <v>0</v>
      </c>
    </row>
    <row r="1094" customFormat="false" ht="15" hidden="false" customHeight="false" outlineLevel="0" collapsed="false">
      <c r="A1094" s="32"/>
      <c r="B1094" s="35"/>
      <c r="C1094" s="32"/>
      <c r="D1094" s="34"/>
      <c r="E1094" s="42" t="str">
        <f aca="false">IF(OR(A1094="",B1094=""),"",DATE(YEAR(B1094),MONTH(B1094),1))</f>
        <v/>
      </c>
      <c r="F1094" s="36" t="n">
        <f aca="false">IF(OR(E1094="",D1094=""),0,IF(C1094="Actual",D1094,IF(COUNTIFS($A$2:$A$2001,A1094,$E$2:$E$2001,E1094,$C$2:$C$2001,"Actual")&gt;0,0,D1094)))</f>
        <v>0</v>
      </c>
    </row>
    <row r="1095" customFormat="false" ht="15" hidden="false" customHeight="false" outlineLevel="0" collapsed="false">
      <c r="A1095" s="32"/>
      <c r="B1095" s="35"/>
      <c r="C1095" s="32"/>
      <c r="D1095" s="34"/>
      <c r="E1095" s="42" t="str">
        <f aca="false">IF(OR(A1095="",B1095=""),"",DATE(YEAR(B1095),MONTH(B1095),1))</f>
        <v/>
      </c>
      <c r="F1095" s="36" t="n">
        <f aca="false">IF(OR(E1095="",D1095=""),0,IF(C1095="Actual",D1095,IF(COUNTIFS($A$2:$A$2001,A1095,$E$2:$E$2001,E1095,$C$2:$C$2001,"Actual")&gt;0,0,D1095)))</f>
        <v>0</v>
      </c>
    </row>
    <row r="1096" customFormat="false" ht="15" hidden="false" customHeight="false" outlineLevel="0" collapsed="false">
      <c r="A1096" s="32"/>
      <c r="B1096" s="35"/>
      <c r="C1096" s="32"/>
      <c r="D1096" s="34"/>
      <c r="E1096" s="42" t="str">
        <f aca="false">IF(OR(A1096="",B1096=""),"",DATE(YEAR(B1096),MONTH(B1096),1))</f>
        <v/>
      </c>
      <c r="F1096" s="36" t="n">
        <f aca="false">IF(OR(E1096="",D1096=""),0,IF(C1096="Actual",D1096,IF(COUNTIFS($A$2:$A$2001,A1096,$E$2:$E$2001,E1096,$C$2:$C$2001,"Actual")&gt;0,0,D1096)))</f>
        <v>0</v>
      </c>
    </row>
    <row r="1097" customFormat="false" ht="15" hidden="false" customHeight="false" outlineLevel="0" collapsed="false">
      <c r="A1097" s="32"/>
      <c r="B1097" s="35"/>
      <c r="C1097" s="32"/>
      <c r="D1097" s="34"/>
      <c r="E1097" s="42" t="str">
        <f aca="false">IF(OR(A1097="",B1097=""),"",DATE(YEAR(B1097),MONTH(B1097),1))</f>
        <v/>
      </c>
      <c r="F1097" s="36" t="n">
        <f aca="false">IF(OR(E1097="",D1097=""),0,IF(C1097="Actual",D1097,IF(COUNTIFS($A$2:$A$2001,A1097,$E$2:$E$2001,E1097,$C$2:$C$2001,"Actual")&gt;0,0,D1097)))</f>
        <v>0</v>
      </c>
    </row>
    <row r="1098" customFormat="false" ht="15" hidden="false" customHeight="false" outlineLevel="0" collapsed="false">
      <c r="A1098" s="32"/>
      <c r="B1098" s="35"/>
      <c r="C1098" s="32"/>
      <c r="D1098" s="34"/>
      <c r="E1098" s="42" t="str">
        <f aca="false">IF(OR(A1098="",B1098=""),"",DATE(YEAR(B1098),MONTH(B1098),1))</f>
        <v/>
      </c>
      <c r="F1098" s="36" t="n">
        <f aca="false">IF(OR(E1098="",D1098=""),0,IF(C1098="Actual",D1098,IF(COUNTIFS($A$2:$A$2001,A1098,$E$2:$E$2001,E1098,$C$2:$C$2001,"Actual")&gt;0,0,D1098)))</f>
        <v>0</v>
      </c>
    </row>
    <row r="1099" customFormat="false" ht="15" hidden="false" customHeight="false" outlineLevel="0" collapsed="false">
      <c r="A1099" s="32"/>
      <c r="B1099" s="35"/>
      <c r="C1099" s="32"/>
      <c r="D1099" s="34"/>
      <c r="E1099" s="42" t="str">
        <f aca="false">IF(OR(A1099="",B1099=""),"",DATE(YEAR(B1099),MONTH(B1099),1))</f>
        <v/>
      </c>
      <c r="F1099" s="36" t="n">
        <f aca="false">IF(OR(E1099="",D1099=""),0,IF(C1099="Actual",D1099,IF(COUNTIFS($A$2:$A$2001,A1099,$E$2:$E$2001,E1099,$C$2:$C$2001,"Actual")&gt;0,0,D1099)))</f>
        <v>0</v>
      </c>
    </row>
    <row r="1100" customFormat="false" ht="15" hidden="false" customHeight="false" outlineLevel="0" collapsed="false">
      <c r="A1100" s="32"/>
      <c r="B1100" s="35"/>
      <c r="C1100" s="32"/>
      <c r="D1100" s="34"/>
      <c r="E1100" s="42" t="str">
        <f aca="false">IF(OR(A1100="",B1100=""),"",DATE(YEAR(B1100),MONTH(B1100),1))</f>
        <v/>
      </c>
      <c r="F1100" s="36" t="n">
        <f aca="false">IF(OR(E1100="",D1100=""),0,IF(C1100="Actual",D1100,IF(COUNTIFS($A$2:$A$2001,A1100,$E$2:$E$2001,E1100,$C$2:$C$2001,"Actual")&gt;0,0,D1100)))</f>
        <v>0</v>
      </c>
    </row>
    <row r="1101" customFormat="false" ht="15" hidden="false" customHeight="false" outlineLevel="0" collapsed="false">
      <c r="A1101" s="32"/>
      <c r="B1101" s="35"/>
      <c r="C1101" s="32"/>
      <c r="D1101" s="34"/>
      <c r="E1101" s="42" t="str">
        <f aca="false">IF(OR(A1101="",B1101=""),"",DATE(YEAR(B1101),MONTH(B1101),1))</f>
        <v/>
      </c>
      <c r="F1101" s="36" t="n">
        <f aca="false">IF(OR(E1101="",D1101=""),0,IF(C1101="Actual",D1101,IF(COUNTIFS($A$2:$A$2001,A1101,$E$2:$E$2001,E1101,$C$2:$C$2001,"Actual")&gt;0,0,D1101)))</f>
        <v>0</v>
      </c>
    </row>
    <row r="1102" customFormat="false" ht="15" hidden="false" customHeight="false" outlineLevel="0" collapsed="false">
      <c r="A1102" s="32"/>
      <c r="B1102" s="35"/>
      <c r="C1102" s="32"/>
      <c r="D1102" s="34"/>
      <c r="E1102" s="42" t="str">
        <f aca="false">IF(OR(A1102="",B1102=""),"",DATE(YEAR(B1102),MONTH(B1102),1))</f>
        <v/>
      </c>
      <c r="F1102" s="36" t="n">
        <f aca="false">IF(OR(E1102="",D1102=""),0,IF(C1102="Actual",D1102,IF(COUNTIFS($A$2:$A$2001,A1102,$E$2:$E$2001,E1102,$C$2:$C$2001,"Actual")&gt;0,0,D1102)))</f>
        <v>0</v>
      </c>
    </row>
    <row r="1103" customFormat="false" ht="15" hidden="false" customHeight="false" outlineLevel="0" collapsed="false">
      <c r="A1103" s="32"/>
      <c r="B1103" s="35"/>
      <c r="C1103" s="32"/>
      <c r="D1103" s="34"/>
      <c r="E1103" s="42" t="str">
        <f aca="false">IF(OR(A1103="",B1103=""),"",DATE(YEAR(B1103),MONTH(B1103),1))</f>
        <v/>
      </c>
      <c r="F1103" s="36" t="n">
        <f aca="false">IF(OR(E1103="",D1103=""),0,IF(C1103="Actual",D1103,IF(COUNTIFS($A$2:$A$2001,A1103,$E$2:$E$2001,E1103,$C$2:$C$2001,"Actual")&gt;0,0,D1103)))</f>
        <v>0</v>
      </c>
    </row>
    <row r="1104" customFormat="false" ht="15" hidden="false" customHeight="false" outlineLevel="0" collapsed="false">
      <c r="A1104" s="32"/>
      <c r="B1104" s="35"/>
      <c r="C1104" s="32"/>
      <c r="D1104" s="34"/>
      <c r="E1104" s="42" t="str">
        <f aca="false">IF(OR(A1104="",B1104=""),"",DATE(YEAR(B1104),MONTH(B1104),1))</f>
        <v/>
      </c>
      <c r="F1104" s="36" t="n">
        <f aca="false">IF(OR(E1104="",D1104=""),0,IF(C1104="Actual",D1104,IF(COUNTIFS($A$2:$A$2001,A1104,$E$2:$E$2001,E1104,$C$2:$C$2001,"Actual")&gt;0,0,D1104)))</f>
        <v>0</v>
      </c>
    </row>
    <row r="1105" customFormat="false" ht="15" hidden="false" customHeight="false" outlineLevel="0" collapsed="false">
      <c r="A1105" s="32"/>
      <c r="B1105" s="35"/>
      <c r="C1105" s="32"/>
      <c r="D1105" s="34"/>
      <c r="E1105" s="42" t="str">
        <f aca="false">IF(OR(A1105="",B1105=""),"",DATE(YEAR(B1105),MONTH(B1105),1))</f>
        <v/>
      </c>
      <c r="F1105" s="36" t="n">
        <f aca="false">IF(OR(E1105="",D1105=""),0,IF(C1105="Actual",D1105,IF(COUNTIFS($A$2:$A$2001,A1105,$E$2:$E$2001,E1105,$C$2:$C$2001,"Actual")&gt;0,0,D1105)))</f>
        <v>0</v>
      </c>
    </row>
    <row r="1106" customFormat="false" ht="15" hidden="false" customHeight="false" outlineLevel="0" collapsed="false">
      <c r="A1106" s="32"/>
      <c r="B1106" s="35"/>
      <c r="C1106" s="32"/>
      <c r="D1106" s="34"/>
      <c r="E1106" s="42" t="str">
        <f aca="false">IF(OR(A1106="",B1106=""),"",DATE(YEAR(B1106),MONTH(B1106),1))</f>
        <v/>
      </c>
      <c r="F1106" s="36" t="n">
        <f aca="false">IF(OR(E1106="",D1106=""),0,IF(C1106="Actual",D1106,IF(COUNTIFS($A$2:$A$2001,A1106,$E$2:$E$2001,E1106,$C$2:$C$2001,"Actual")&gt;0,0,D1106)))</f>
        <v>0</v>
      </c>
    </row>
    <row r="1107" customFormat="false" ht="15" hidden="false" customHeight="false" outlineLevel="0" collapsed="false">
      <c r="A1107" s="32"/>
      <c r="B1107" s="35"/>
      <c r="C1107" s="32"/>
      <c r="D1107" s="34"/>
      <c r="E1107" s="42" t="str">
        <f aca="false">IF(OR(A1107="",B1107=""),"",DATE(YEAR(B1107),MONTH(B1107),1))</f>
        <v/>
      </c>
      <c r="F1107" s="36" t="n">
        <f aca="false">IF(OR(E1107="",D1107=""),0,IF(C1107="Actual",D1107,IF(COUNTIFS($A$2:$A$2001,A1107,$E$2:$E$2001,E1107,$C$2:$C$2001,"Actual")&gt;0,0,D1107)))</f>
        <v>0</v>
      </c>
    </row>
    <row r="1108" customFormat="false" ht="15" hidden="false" customHeight="false" outlineLevel="0" collapsed="false">
      <c r="A1108" s="32"/>
      <c r="B1108" s="35"/>
      <c r="C1108" s="32"/>
      <c r="D1108" s="34"/>
      <c r="E1108" s="42" t="str">
        <f aca="false">IF(OR(A1108="",B1108=""),"",DATE(YEAR(B1108),MONTH(B1108),1))</f>
        <v/>
      </c>
      <c r="F1108" s="36" t="n">
        <f aca="false">IF(OR(E1108="",D1108=""),0,IF(C1108="Actual",D1108,IF(COUNTIFS($A$2:$A$2001,A1108,$E$2:$E$2001,E1108,$C$2:$C$2001,"Actual")&gt;0,0,D1108)))</f>
        <v>0</v>
      </c>
    </row>
    <row r="1109" customFormat="false" ht="15" hidden="false" customHeight="false" outlineLevel="0" collapsed="false">
      <c r="A1109" s="32"/>
      <c r="B1109" s="35"/>
      <c r="C1109" s="32"/>
      <c r="D1109" s="34"/>
      <c r="E1109" s="42" t="str">
        <f aca="false">IF(OR(A1109="",B1109=""),"",DATE(YEAR(B1109),MONTH(B1109),1))</f>
        <v/>
      </c>
      <c r="F1109" s="36" t="n">
        <f aca="false">IF(OR(E1109="",D1109=""),0,IF(C1109="Actual",D1109,IF(COUNTIFS($A$2:$A$2001,A1109,$E$2:$E$2001,E1109,$C$2:$C$2001,"Actual")&gt;0,0,D1109)))</f>
        <v>0</v>
      </c>
    </row>
    <row r="1110" customFormat="false" ht="15" hidden="false" customHeight="false" outlineLevel="0" collapsed="false">
      <c r="A1110" s="32"/>
      <c r="B1110" s="35"/>
      <c r="C1110" s="32"/>
      <c r="D1110" s="34"/>
      <c r="E1110" s="42" t="str">
        <f aca="false">IF(OR(A1110="",B1110=""),"",DATE(YEAR(B1110),MONTH(B1110),1))</f>
        <v/>
      </c>
      <c r="F1110" s="36" t="n">
        <f aca="false">IF(OR(E1110="",D1110=""),0,IF(C1110="Actual",D1110,IF(COUNTIFS($A$2:$A$2001,A1110,$E$2:$E$2001,E1110,$C$2:$C$2001,"Actual")&gt;0,0,D1110)))</f>
        <v>0</v>
      </c>
    </row>
    <row r="1111" customFormat="false" ht="15" hidden="false" customHeight="false" outlineLevel="0" collapsed="false">
      <c r="A1111" s="32"/>
      <c r="B1111" s="35"/>
      <c r="C1111" s="32"/>
      <c r="D1111" s="34"/>
      <c r="E1111" s="42" t="str">
        <f aca="false">IF(OR(A1111="",B1111=""),"",DATE(YEAR(B1111),MONTH(B1111),1))</f>
        <v/>
      </c>
      <c r="F1111" s="36" t="n">
        <f aca="false">IF(OR(E1111="",D1111=""),0,IF(C1111="Actual",D1111,IF(COUNTIFS($A$2:$A$2001,A1111,$E$2:$E$2001,E1111,$C$2:$C$2001,"Actual")&gt;0,0,D1111)))</f>
        <v>0</v>
      </c>
    </row>
    <row r="1112" customFormat="false" ht="15" hidden="false" customHeight="false" outlineLevel="0" collapsed="false">
      <c r="A1112" s="32"/>
      <c r="B1112" s="35"/>
      <c r="C1112" s="32"/>
      <c r="D1112" s="34"/>
      <c r="E1112" s="42" t="str">
        <f aca="false">IF(OR(A1112="",B1112=""),"",DATE(YEAR(B1112),MONTH(B1112),1))</f>
        <v/>
      </c>
      <c r="F1112" s="36" t="n">
        <f aca="false">IF(OR(E1112="",D1112=""),0,IF(C1112="Actual",D1112,IF(COUNTIFS($A$2:$A$2001,A1112,$E$2:$E$2001,E1112,$C$2:$C$2001,"Actual")&gt;0,0,D1112)))</f>
        <v>0</v>
      </c>
    </row>
    <row r="1113" customFormat="false" ht="15" hidden="false" customHeight="false" outlineLevel="0" collapsed="false">
      <c r="A1113" s="32"/>
      <c r="B1113" s="35"/>
      <c r="C1113" s="32"/>
      <c r="D1113" s="34"/>
      <c r="E1113" s="42" t="str">
        <f aca="false">IF(OR(A1113="",B1113=""),"",DATE(YEAR(B1113),MONTH(B1113),1))</f>
        <v/>
      </c>
      <c r="F1113" s="36" t="n">
        <f aca="false">IF(OR(E1113="",D1113=""),0,IF(C1113="Actual",D1113,IF(COUNTIFS($A$2:$A$2001,A1113,$E$2:$E$2001,E1113,$C$2:$C$2001,"Actual")&gt;0,0,D1113)))</f>
        <v>0</v>
      </c>
    </row>
    <row r="1114" customFormat="false" ht="15" hidden="false" customHeight="false" outlineLevel="0" collapsed="false">
      <c r="A1114" s="32"/>
      <c r="B1114" s="35"/>
      <c r="C1114" s="32"/>
      <c r="D1114" s="34"/>
      <c r="E1114" s="42" t="str">
        <f aca="false">IF(OR(A1114="",B1114=""),"",DATE(YEAR(B1114),MONTH(B1114),1))</f>
        <v/>
      </c>
      <c r="F1114" s="36" t="n">
        <f aca="false">IF(OR(E1114="",D1114=""),0,IF(C1114="Actual",D1114,IF(COUNTIFS($A$2:$A$2001,A1114,$E$2:$E$2001,E1114,$C$2:$C$2001,"Actual")&gt;0,0,D1114)))</f>
        <v>0</v>
      </c>
    </row>
    <row r="1115" customFormat="false" ht="15" hidden="false" customHeight="false" outlineLevel="0" collapsed="false">
      <c r="A1115" s="32"/>
      <c r="B1115" s="35"/>
      <c r="C1115" s="32"/>
      <c r="D1115" s="34"/>
      <c r="E1115" s="42" t="str">
        <f aca="false">IF(OR(A1115="",B1115=""),"",DATE(YEAR(B1115),MONTH(B1115),1))</f>
        <v/>
      </c>
      <c r="F1115" s="36" t="n">
        <f aca="false">IF(OR(E1115="",D1115=""),0,IF(C1115="Actual",D1115,IF(COUNTIFS($A$2:$A$2001,A1115,$E$2:$E$2001,E1115,$C$2:$C$2001,"Actual")&gt;0,0,D1115)))</f>
        <v>0</v>
      </c>
    </row>
    <row r="1116" customFormat="false" ht="15" hidden="false" customHeight="false" outlineLevel="0" collapsed="false">
      <c r="A1116" s="32"/>
      <c r="B1116" s="35"/>
      <c r="C1116" s="32"/>
      <c r="D1116" s="34"/>
      <c r="E1116" s="42" t="str">
        <f aca="false">IF(OR(A1116="",B1116=""),"",DATE(YEAR(B1116),MONTH(B1116),1))</f>
        <v/>
      </c>
      <c r="F1116" s="36" t="n">
        <f aca="false">IF(OR(E1116="",D1116=""),0,IF(C1116="Actual",D1116,IF(COUNTIFS($A$2:$A$2001,A1116,$E$2:$E$2001,E1116,$C$2:$C$2001,"Actual")&gt;0,0,D1116)))</f>
        <v>0</v>
      </c>
    </row>
    <row r="1117" customFormat="false" ht="15" hidden="false" customHeight="false" outlineLevel="0" collapsed="false">
      <c r="A1117" s="32"/>
      <c r="B1117" s="35"/>
      <c r="C1117" s="32"/>
      <c r="D1117" s="34"/>
      <c r="E1117" s="42" t="str">
        <f aca="false">IF(OR(A1117="",B1117=""),"",DATE(YEAR(B1117),MONTH(B1117),1))</f>
        <v/>
      </c>
      <c r="F1117" s="36" t="n">
        <f aca="false">IF(OR(E1117="",D1117=""),0,IF(C1117="Actual",D1117,IF(COUNTIFS($A$2:$A$2001,A1117,$E$2:$E$2001,E1117,$C$2:$C$2001,"Actual")&gt;0,0,D1117)))</f>
        <v>0</v>
      </c>
    </row>
    <row r="1118" customFormat="false" ht="15" hidden="false" customHeight="false" outlineLevel="0" collapsed="false">
      <c r="A1118" s="32"/>
      <c r="B1118" s="35"/>
      <c r="C1118" s="32"/>
      <c r="D1118" s="34"/>
      <c r="E1118" s="42" t="str">
        <f aca="false">IF(OR(A1118="",B1118=""),"",DATE(YEAR(B1118),MONTH(B1118),1))</f>
        <v/>
      </c>
      <c r="F1118" s="36" t="n">
        <f aca="false">IF(OR(E1118="",D1118=""),0,IF(C1118="Actual",D1118,IF(COUNTIFS($A$2:$A$2001,A1118,$E$2:$E$2001,E1118,$C$2:$C$2001,"Actual")&gt;0,0,D1118)))</f>
        <v>0</v>
      </c>
    </row>
    <row r="1119" customFormat="false" ht="15" hidden="false" customHeight="false" outlineLevel="0" collapsed="false">
      <c r="A1119" s="32"/>
      <c r="B1119" s="35"/>
      <c r="C1119" s="32"/>
      <c r="D1119" s="34"/>
      <c r="E1119" s="42" t="str">
        <f aca="false">IF(OR(A1119="",B1119=""),"",DATE(YEAR(B1119),MONTH(B1119),1))</f>
        <v/>
      </c>
      <c r="F1119" s="36" t="n">
        <f aca="false">IF(OR(E1119="",D1119=""),0,IF(C1119="Actual",D1119,IF(COUNTIFS($A$2:$A$2001,A1119,$E$2:$E$2001,E1119,$C$2:$C$2001,"Actual")&gt;0,0,D1119)))</f>
        <v>0</v>
      </c>
    </row>
    <row r="1120" customFormat="false" ht="15" hidden="false" customHeight="false" outlineLevel="0" collapsed="false">
      <c r="A1120" s="32"/>
      <c r="B1120" s="35"/>
      <c r="C1120" s="32"/>
      <c r="D1120" s="34"/>
      <c r="E1120" s="42" t="str">
        <f aca="false">IF(OR(A1120="",B1120=""),"",DATE(YEAR(B1120),MONTH(B1120),1))</f>
        <v/>
      </c>
      <c r="F1120" s="36" t="n">
        <f aca="false">IF(OR(E1120="",D1120=""),0,IF(C1120="Actual",D1120,IF(COUNTIFS($A$2:$A$2001,A1120,$E$2:$E$2001,E1120,$C$2:$C$2001,"Actual")&gt;0,0,D1120)))</f>
        <v>0</v>
      </c>
    </row>
    <row r="1121" customFormat="false" ht="15" hidden="false" customHeight="false" outlineLevel="0" collapsed="false">
      <c r="A1121" s="32"/>
      <c r="B1121" s="35"/>
      <c r="C1121" s="32"/>
      <c r="D1121" s="34"/>
      <c r="E1121" s="42" t="str">
        <f aca="false">IF(OR(A1121="",B1121=""),"",DATE(YEAR(B1121),MONTH(B1121),1))</f>
        <v/>
      </c>
      <c r="F1121" s="36" t="n">
        <f aca="false">IF(OR(E1121="",D1121=""),0,IF(C1121="Actual",D1121,IF(COUNTIFS($A$2:$A$2001,A1121,$E$2:$E$2001,E1121,$C$2:$C$2001,"Actual")&gt;0,0,D1121)))</f>
        <v>0</v>
      </c>
    </row>
    <row r="1122" customFormat="false" ht="15" hidden="false" customHeight="false" outlineLevel="0" collapsed="false">
      <c r="A1122" s="32"/>
      <c r="B1122" s="35"/>
      <c r="C1122" s="32"/>
      <c r="D1122" s="34"/>
      <c r="E1122" s="42" t="str">
        <f aca="false">IF(OR(A1122="",B1122=""),"",DATE(YEAR(B1122),MONTH(B1122),1))</f>
        <v/>
      </c>
      <c r="F1122" s="36" t="n">
        <f aca="false">IF(OR(E1122="",D1122=""),0,IF(C1122="Actual",D1122,IF(COUNTIFS($A$2:$A$2001,A1122,$E$2:$E$2001,E1122,$C$2:$C$2001,"Actual")&gt;0,0,D1122)))</f>
        <v>0</v>
      </c>
    </row>
    <row r="1123" customFormat="false" ht="15" hidden="false" customHeight="false" outlineLevel="0" collapsed="false">
      <c r="A1123" s="32"/>
      <c r="B1123" s="35"/>
      <c r="C1123" s="32"/>
      <c r="D1123" s="34"/>
      <c r="E1123" s="42" t="str">
        <f aca="false">IF(OR(A1123="",B1123=""),"",DATE(YEAR(B1123),MONTH(B1123),1))</f>
        <v/>
      </c>
      <c r="F1123" s="36" t="n">
        <f aca="false">IF(OR(E1123="",D1123=""),0,IF(C1123="Actual",D1123,IF(COUNTIFS($A$2:$A$2001,A1123,$E$2:$E$2001,E1123,$C$2:$C$2001,"Actual")&gt;0,0,D1123)))</f>
        <v>0</v>
      </c>
    </row>
    <row r="1124" customFormat="false" ht="15" hidden="false" customHeight="false" outlineLevel="0" collapsed="false">
      <c r="A1124" s="32"/>
      <c r="B1124" s="35"/>
      <c r="C1124" s="32"/>
      <c r="D1124" s="34"/>
      <c r="E1124" s="42" t="str">
        <f aca="false">IF(OR(A1124="",B1124=""),"",DATE(YEAR(B1124),MONTH(B1124),1))</f>
        <v/>
      </c>
      <c r="F1124" s="36" t="n">
        <f aca="false">IF(OR(E1124="",D1124=""),0,IF(C1124="Actual",D1124,IF(COUNTIFS($A$2:$A$2001,A1124,$E$2:$E$2001,E1124,$C$2:$C$2001,"Actual")&gt;0,0,D1124)))</f>
        <v>0</v>
      </c>
    </row>
    <row r="1125" customFormat="false" ht="15" hidden="false" customHeight="false" outlineLevel="0" collapsed="false">
      <c r="A1125" s="32"/>
      <c r="B1125" s="35"/>
      <c r="C1125" s="32"/>
      <c r="D1125" s="34"/>
      <c r="E1125" s="42" t="str">
        <f aca="false">IF(OR(A1125="",B1125=""),"",DATE(YEAR(B1125),MONTH(B1125),1))</f>
        <v/>
      </c>
      <c r="F1125" s="36" t="n">
        <f aca="false">IF(OR(E1125="",D1125=""),0,IF(C1125="Actual",D1125,IF(COUNTIFS($A$2:$A$2001,A1125,$E$2:$E$2001,E1125,$C$2:$C$2001,"Actual")&gt;0,0,D1125)))</f>
        <v>0</v>
      </c>
    </row>
    <row r="1126" customFormat="false" ht="15" hidden="false" customHeight="false" outlineLevel="0" collapsed="false">
      <c r="A1126" s="32"/>
      <c r="B1126" s="35"/>
      <c r="C1126" s="32"/>
      <c r="D1126" s="34"/>
      <c r="E1126" s="42" t="str">
        <f aca="false">IF(OR(A1126="",B1126=""),"",DATE(YEAR(B1126),MONTH(B1126),1))</f>
        <v/>
      </c>
      <c r="F1126" s="36" t="n">
        <f aca="false">IF(OR(E1126="",D1126=""),0,IF(C1126="Actual",D1126,IF(COUNTIFS($A$2:$A$2001,A1126,$E$2:$E$2001,E1126,$C$2:$C$2001,"Actual")&gt;0,0,D1126)))</f>
        <v>0</v>
      </c>
    </row>
    <row r="1127" customFormat="false" ht="15" hidden="false" customHeight="false" outlineLevel="0" collapsed="false">
      <c r="A1127" s="32"/>
      <c r="B1127" s="35"/>
      <c r="C1127" s="32"/>
      <c r="D1127" s="34"/>
      <c r="E1127" s="42" t="str">
        <f aca="false">IF(OR(A1127="",B1127=""),"",DATE(YEAR(B1127),MONTH(B1127),1))</f>
        <v/>
      </c>
      <c r="F1127" s="36" t="n">
        <f aca="false">IF(OR(E1127="",D1127=""),0,IF(C1127="Actual",D1127,IF(COUNTIFS($A$2:$A$2001,A1127,$E$2:$E$2001,E1127,$C$2:$C$2001,"Actual")&gt;0,0,D1127)))</f>
        <v>0</v>
      </c>
    </row>
    <row r="1128" customFormat="false" ht="15" hidden="false" customHeight="false" outlineLevel="0" collapsed="false">
      <c r="A1128" s="32"/>
      <c r="B1128" s="35"/>
      <c r="C1128" s="32"/>
      <c r="D1128" s="34"/>
      <c r="E1128" s="42" t="str">
        <f aca="false">IF(OR(A1128="",B1128=""),"",DATE(YEAR(B1128),MONTH(B1128),1))</f>
        <v/>
      </c>
      <c r="F1128" s="36" t="n">
        <f aca="false">IF(OR(E1128="",D1128=""),0,IF(C1128="Actual",D1128,IF(COUNTIFS($A$2:$A$2001,A1128,$E$2:$E$2001,E1128,$C$2:$C$2001,"Actual")&gt;0,0,D1128)))</f>
        <v>0</v>
      </c>
    </row>
    <row r="1129" customFormat="false" ht="15" hidden="false" customHeight="false" outlineLevel="0" collapsed="false">
      <c r="A1129" s="32"/>
      <c r="B1129" s="35"/>
      <c r="C1129" s="32"/>
      <c r="D1129" s="34"/>
      <c r="E1129" s="42" t="str">
        <f aca="false">IF(OR(A1129="",B1129=""),"",DATE(YEAR(B1129),MONTH(B1129),1))</f>
        <v/>
      </c>
      <c r="F1129" s="36" t="n">
        <f aca="false">IF(OR(E1129="",D1129=""),0,IF(C1129="Actual",D1129,IF(COUNTIFS($A$2:$A$2001,A1129,$E$2:$E$2001,E1129,$C$2:$C$2001,"Actual")&gt;0,0,D1129)))</f>
        <v>0</v>
      </c>
    </row>
    <row r="1130" customFormat="false" ht="15" hidden="false" customHeight="false" outlineLevel="0" collapsed="false">
      <c r="A1130" s="32"/>
      <c r="B1130" s="35"/>
      <c r="C1130" s="32"/>
      <c r="D1130" s="34"/>
      <c r="E1130" s="42" t="str">
        <f aca="false">IF(OR(A1130="",B1130=""),"",DATE(YEAR(B1130),MONTH(B1130),1))</f>
        <v/>
      </c>
      <c r="F1130" s="36" t="n">
        <f aca="false">IF(OR(E1130="",D1130=""),0,IF(C1130="Actual",D1130,IF(COUNTIFS($A$2:$A$2001,A1130,$E$2:$E$2001,E1130,$C$2:$C$2001,"Actual")&gt;0,0,D1130)))</f>
        <v>0</v>
      </c>
    </row>
    <row r="1131" customFormat="false" ht="15" hidden="false" customHeight="false" outlineLevel="0" collapsed="false">
      <c r="A1131" s="32"/>
      <c r="B1131" s="35"/>
      <c r="C1131" s="32"/>
      <c r="D1131" s="34"/>
      <c r="E1131" s="42" t="str">
        <f aca="false">IF(OR(A1131="",B1131=""),"",DATE(YEAR(B1131),MONTH(B1131),1))</f>
        <v/>
      </c>
      <c r="F1131" s="36" t="n">
        <f aca="false">IF(OR(E1131="",D1131=""),0,IF(C1131="Actual",D1131,IF(COUNTIFS($A$2:$A$2001,A1131,$E$2:$E$2001,E1131,$C$2:$C$2001,"Actual")&gt;0,0,D1131)))</f>
        <v>0</v>
      </c>
    </row>
    <row r="1132" customFormat="false" ht="15" hidden="false" customHeight="false" outlineLevel="0" collapsed="false">
      <c r="A1132" s="32"/>
      <c r="B1132" s="35"/>
      <c r="C1132" s="32"/>
      <c r="D1132" s="34"/>
      <c r="E1132" s="42" t="str">
        <f aca="false">IF(OR(A1132="",B1132=""),"",DATE(YEAR(B1132),MONTH(B1132),1))</f>
        <v/>
      </c>
      <c r="F1132" s="36" t="n">
        <f aca="false">IF(OR(E1132="",D1132=""),0,IF(C1132="Actual",D1132,IF(COUNTIFS($A$2:$A$2001,A1132,$E$2:$E$2001,E1132,$C$2:$C$2001,"Actual")&gt;0,0,D1132)))</f>
        <v>0</v>
      </c>
    </row>
    <row r="1133" customFormat="false" ht="15" hidden="false" customHeight="false" outlineLevel="0" collapsed="false">
      <c r="A1133" s="32"/>
      <c r="B1133" s="35"/>
      <c r="C1133" s="32"/>
      <c r="D1133" s="34"/>
      <c r="E1133" s="42" t="str">
        <f aca="false">IF(OR(A1133="",B1133=""),"",DATE(YEAR(B1133),MONTH(B1133),1))</f>
        <v/>
      </c>
      <c r="F1133" s="36" t="n">
        <f aca="false">IF(OR(E1133="",D1133=""),0,IF(C1133="Actual",D1133,IF(COUNTIFS($A$2:$A$2001,A1133,$E$2:$E$2001,E1133,$C$2:$C$2001,"Actual")&gt;0,0,D1133)))</f>
        <v>0</v>
      </c>
    </row>
    <row r="1134" customFormat="false" ht="15" hidden="false" customHeight="false" outlineLevel="0" collapsed="false">
      <c r="A1134" s="32"/>
      <c r="B1134" s="35"/>
      <c r="C1134" s="32"/>
      <c r="D1134" s="34"/>
      <c r="E1134" s="42" t="str">
        <f aca="false">IF(OR(A1134="",B1134=""),"",DATE(YEAR(B1134),MONTH(B1134),1))</f>
        <v/>
      </c>
      <c r="F1134" s="36" t="n">
        <f aca="false">IF(OR(E1134="",D1134=""),0,IF(C1134="Actual",D1134,IF(COUNTIFS($A$2:$A$2001,A1134,$E$2:$E$2001,E1134,$C$2:$C$2001,"Actual")&gt;0,0,D1134)))</f>
        <v>0</v>
      </c>
    </row>
    <row r="1135" customFormat="false" ht="15" hidden="false" customHeight="false" outlineLevel="0" collapsed="false">
      <c r="A1135" s="32"/>
      <c r="B1135" s="35"/>
      <c r="C1135" s="32"/>
      <c r="D1135" s="34"/>
      <c r="E1135" s="42" t="str">
        <f aca="false">IF(OR(A1135="",B1135=""),"",DATE(YEAR(B1135),MONTH(B1135),1))</f>
        <v/>
      </c>
      <c r="F1135" s="36" t="n">
        <f aca="false">IF(OR(E1135="",D1135=""),0,IF(C1135="Actual",D1135,IF(COUNTIFS($A$2:$A$2001,A1135,$E$2:$E$2001,E1135,$C$2:$C$2001,"Actual")&gt;0,0,D1135)))</f>
        <v>0</v>
      </c>
    </row>
    <row r="1136" customFormat="false" ht="15" hidden="false" customHeight="false" outlineLevel="0" collapsed="false">
      <c r="A1136" s="32"/>
      <c r="B1136" s="35"/>
      <c r="C1136" s="32"/>
      <c r="D1136" s="34"/>
      <c r="E1136" s="42" t="str">
        <f aca="false">IF(OR(A1136="",B1136=""),"",DATE(YEAR(B1136),MONTH(B1136),1))</f>
        <v/>
      </c>
      <c r="F1136" s="36" t="n">
        <f aca="false">IF(OR(E1136="",D1136=""),0,IF(C1136="Actual",D1136,IF(COUNTIFS($A$2:$A$2001,A1136,$E$2:$E$2001,E1136,$C$2:$C$2001,"Actual")&gt;0,0,D1136)))</f>
        <v>0</v>
      </c>
    </row>
    <row r="1137" customFormat="false" ht="15" hidden="false" customHeight="false" outlineLevel="0" collapsed="false">
      <c r="A1137" s="32"/>
      <c r="B1137" s="35"/>
      <c r="C1137" s="32"/>
      <c r="D1137" s="34"/>
      <c r="E1137" s="42" t="str">
        <f aca="false">IF(OR(A1137="",B1137=""),"",DATE(YEAR(B1137),MONTH(B1137),1))</f>
        <v/>
      </c>
      <c r="F1137" s="36" t="n">
        <f aca="false">IF(OR(E1137="",D1137=""),0,IF(C1137="Actual",D1137,IF(COUNTIFS($A$2:$A$2001,A1137,$E$2:$E$2001,E1137,$C$2:$C$2001,"Actual")&gt;0,0,D1137)))</f>
        <v>0</v>
      </c>
    </row>
    <row r="1138" customFormat="false" ht="15" hidden="false" customHeight="false" outlineLevel="0" collapsed="false">
      <c r="A1138" s="32"/>
      <c r="B1138" s="35"/>
      <c r="C1138" s="32"/>
      <c r="D1138" s="34"/>
      <c r="E1138" s="42" t="str">
        <f aca="false">IF(OR(A1138="",B1138=""),"",DATE(YEAR(B1138),MONTH(B1138),1))</f>
        <v/>
      </c>
      <c r="F1138" s="36" t="n">
        <f aca="false">IF(OR(E1138="",D1138=""),0,IF(C1138="Actual",D1138,IF(COUNTIFS($A$2:$A$2001,A1138,$E$2:$E$2001,E1138,$C$2:$C$2001,"Actual")&gt;0,0,D1138)))</f>
        <v>0</v>
      </c>
    </row>
    <row r="1139" customFormat="false" ht="15" hidden="false" customHeight="false" outlineLevel="0" collapsed="false">
      <c r="A1139" s="32"/>
      <c r="B1139" s="35"/>
      <c r="C1139" s="32"/>
      <c r="D1139" s="34"/>
      <c r="E1139" s="42" t="str">
        <f aca="false">IF(OR(A1139="",B1139=""),"",DATE(YEAR(B1139),MONTH(B1139),1))</f>
        <v/>
      </c>
      <c r="F1139" s="36" t="n">
        <f aca="false">IF(OR(E1139="",D1139=""),0,IF(C1139="Actual",D1139,IF(COUNTIFS($A$2:$A$2001,A1139,$E$2:$E$2001,E1139,$C$2:$C$2001,"Actual")&gt;0,0,D1139)))</f>
        <v>0</v>
      </c>
    </row>
    <row r="1140" customFormat="false" ht="15" hidden="false" customHeight="false" outlineLevel="0" collapsed="false">
      <c r="A1140" s="32"/>
      <c r="B1140" s="35"/>
      <c r="C1140" s="32"/>
      <c r="D1140" s="34"/>
      <c r="E1140" s="42" t="str">
        <f aca="false">IF(OR(A1140="",B1140=""),"",DATE(YEAR(B1140),MONTH(B1140),1))</f>
        <v/>
      </c>
      <c r="F1140" s="36" t="n">
        <f aca="false">IF(OR(E1140="",D1140=""),0,IF(C1140="Actual",D1140,IF(COUNTIFS($A$2:$A$2001,A1140,$E$2:$E$2001,E1140,$C$2:$C$2001,"Actual")&gt;0,0,D1140)))</f>
        <v>0</v>
      </c>
    </row>
    <row r="1141" customFormat="false" ht="15" hidden="false" customHeight="false" outlineLevel="0" collapsed="false">
      <c r="A1141" s="32"/>
      <c r="B1141" s="35"/>
      <c r="C1141" s="32"/>
      <c r="D1141" s="34"/>
      <c r="E1141" s="42" t="str">
        <f aca="false">IF(OR(A1141="",B1141=""),"",DATE(YEAR(B1141),MONTH(B1141),1))</f>
        <v/>
      </c>
      <c r="F1141" s="36" t="n">
        <f aca="false">IF(OR(E1141="",D1141=""),0,IF(C1141="Actual",D1141,IF(COUNTIFS($A$2:$A$2001,A1141,$E$2:$E$2001,E1141,$C$2:$C$2001,"Actual")&gt;0,0,D1141)))</f>
        <v>0</v>
      </c>
    </row>
    <row r="1142" customFormat="false" ht="15" hidden="false" customHeight="false" outlineLevel="0" collapsed="false">
      <c r="A1142" s="32"/>
      <c r="B1142" s="35"/>
      <c r="C1142" s="32"/>
      <c r="D1142" s="34"/>
      <c r="E1142" s="42" t="str">
        <f aca="false">IF(OR(A1142="",B1142=""),"",DATE(YEAR(B1142),MONTH(B1142),1))</f>
        <v/>
      </c>
      <c r="F1142" s="36" t="n">
        <f aca="false">IF(OR(E1142="",D1142=""),0,IF(C1142="Actual",D1142,IF(COUNTIFS($A$2:$A$2001,A1142,$E$2:$E$2001,E1142,$C$2:$C$2001,"Actual")&gt;0,0,D1142)))</f>
        <v>0</v>
      </c>
    </row>
    <row r="1143" customFormat="false" ht="15" hidden="false" customHeight="false" outlineLevel="0" collapsed="false">
      <c r="A1143" s="32"/>
      <c r="B1143" s="35"/>
      <c r="C1143" s="32"/>
      <c r="D1143" s="34"/>
      <c r="E1143" s="42" t="str">
        <f aca="false">IF(OR(A1143="",B1143=""),"",DATE(YEAR(B1143),MONTH(B1143),1))</f>
        <v/>
      </c>
      <c r="F1143" s="36" t="n">
        <f aca="false">IF(OR(E1143="",D1143=""),0,IF(C1143="Actual",D1143,IF(COUNTIFS($A$2:$A$2001,A1143,$E$2:$E$2001,E1143,$C$2:$C$2001,"Actual")&gt;0,0,D1143)))</f>
        <v>0</v>
      </c>
    </row>
    <row r="1144" customFormat="false" ht="15" hidden="false" customHeight="false" outlineLevel="0" collapsed="false">
      <c r="A1144" s="32"/>
      <c r="B1144" s="35"/>
      <c r="C1144" s="32"/>
      <c r="D1144" s="34"/>
      <c r="E1144" s="42" t="str">
        <f aca="false">IF(OR(A1144="",B1144=""),"",DATE(YEAR(B1144),MONTH(B1144),1))</f>
        <v/>
      </c>
      <c r="F1144" s="36" t="n">
        <f aca="false">IF(OR(E1144="",D1144=""),0,IF(C1144="Actual",D1144,IF(COUNTIFS($A$2:$A$2001,A1144,$E$2:$E$2001,E1144,$C$2:$C$2001,"Actual")&gt;0,0,D1144)))</f>
        <v>0</v>
      </c>
    </row>
    <row r="1145" customFormat="false" ht="15" hidden="false" customHeight="false" outlineLevel="0" collapsed="false">
      <c r="A1145" s="32"/>
      <c r="B1145" s="35"/>
      <c r="C1145" s="32"/>
      <c r="D1145" s="34"/>
      <c r="E1145" s="42" t="str">
        <f aca="false">IF(OR(A1145="",B1145=""),"",DATE(YEAR(B1145),MONTH(B1145),1))</f>
        <v/>
      </c>
      <c r="F1145" s="36" t="n">
        <f aca="false">IF(OR(E1145="",D1145=""),0,IF(C1145="Actual",D1145,IF(COUNTIFS($A$2:$A$2001,A1145,$E$2:$E$2001,E1145,$C$2:$C$2001,"Actual")&gt;0,0,D1145)))</f>
        <v>0</v>
      </c>
    </row>
    <row r="1146" customFormat="false" ht="15" hidden="false" customHeight="false" outlineLevel="0" collapsed="false">
      <c r="A1146" s="32"/>
      <c r="B1146" s="35"/>
      <c r="C1146" s="32"/>
      <c r="D1146" s="34"/>
      <c r="E1146" s="42" t="str">
        <f aca="false">IF(OR(A1146="",B1146=""),"",DATE(YEAR(B1146),MONTH(B1146),1))</f>
        <v/>
      </c>
      <c r="F1146" s="36" t="n">
        <f aca="false">IF(OR(E1146="",D1146=""),0,IF(C1146="Actual",D1146,IF(COUNTIFS($A$2:$A$2001,A1146,$E$2:$E$2001,E1146,$C$2:$C$2001,"Actual")&gt;0,0,D1146)))</f>
        <v>0</v>
      </c>
    </row>
    <row r="1147" customFormat="false" ht="15" hidden="false" customHeight="false" outlineLevel="0" collapsed="false">
      <c r="A1147" s="32"/>
      <c r="B1147" s="35"/>
      <c r="C1147" s="32"/>
      <c r="D1147" s="34"/>
      <c r="E1147" s="42" t="str">
        <f aca="false">IF(OR(A1147="",B1147=""),"",DATE(YEAR(B1147),MONTH(B1147),1))</f>
        <v/>
      </c>
      <c r="F1147" s="36" t="n">
        <f aca="false">IF(OR(E1147="",D1147=""),0,IF(C1147="Actual",D1147,IF(COUNTIFS($A$2:$A$2001,A1147,$E$2:$E$2001,E1147,$C$2:$C$2001,"Actual")&gt;0,0,D1147)))</f>
        <v>0</v>
      </c>
    </row>
    <row r="1148" customFormat="false" ht="15" hidden="false" customHeight="false" outlineLevel="0" collapsed="false">
      <c r="A1148" s="32"/>
      <c r="B1148" s="35"/>
      <c r="C1148" s="32"/>
      <c r="D1148" s="34"/>
      <c r="E1148" s="42" t="str">
        <f aca="false">IF(OR(A1148="",B1148=""),"",DATE(YEAR(B1148),MONTH(B1148),1))</f>
        <v/>
      </c>
      <c r="F1148" s="36" t="n">
        <f aca="false">IF(OR(E1148="",D1148=""),0,IF(C1148="Actual",D1148,IF(COUNTIFS($A$2:$A$2001,A1148,$E$2:$E$2001,E1148,$C$2:$C$2001,"Actual")&gt;0,0,D1148)))</f>
        <v>0</v>
      </c>
    </row>
    <row r="1149" customFormat="false" ht="15" hidden="false" customHeight="false" outlineLevel="0" collapsed="false">
      <c r="A1149" s="32"/>
      <c r="B1149" s="35"/>
      <c r="C1149" s="32"/>
      <c r="D1149" s="34"/>
      <c r="E1149" s="42" t="str">
        <f aca="false">IF(OR(A1149="",B1149=""),"",DATE(YEAR(B1149),MONTH(B1149),1))</f>
        <v/>
      </c>
      <c r="F1149" s="36" t="n">
        <f aca="false">IF(OR(E1149="",D1149=""),0,IF(C1149="Actual",D1149,IF(COUNTIFS($A$2:$A$2001,A1149,$E$2:$E$2001,E1149,$C$2:$C$2001,"Actual")&gt;0,0,D1149)))</f>
        <v>0</v>
      </c>
    </row>
    <row r="1150" customFormat="false" ht="15" hidden="false" customHeight="false" outlineLevel="0" collapsed="false">
      <c r="A1150" s="32"/>
      <c r="B1150" s="35"/>
      <c r="C1150" s="32"/>
      <c r="D1150" s="34"/>
      <c r="E1150" s="42" t="str">
        <f aca="false">IF(OR(A1150="",B1150=""),"",DATE(YEAR(B1150),MONTH(B1150),1))</f>
        <v/>
      </c>
      <c r="F1150" s="36" t="n">
        <f aca="false">IF(OR(E1150="",D1150=""),0,IF(C1150="Actual",D1150,IF(COUNTIFS($A$2:$A$2001,A1150,$E$2:$E$2001,E1150,$C$2:$C$2001,"Actual")&gt;0,0,D1150)))</f>
        <v>0</v>
      </c>
    </row>
    <row r="1151" customFormat="false" ht="15" hidden="false" customHeight="false" outlineLevel="0" collapsed="false">
      <c r="A1151" s="32"/>
      <c r="B1151" s="35"/>
      <c r="C1151" s="32"/>
      <c r="D1151" s="34"/>
      <c r="E1151" s="42" t="str">
        <f aca="false">IF(OR(A1151="",B1151=""),"",DATE(YEAR(B1151),MONTH(B1151),1))</f>
        <v/>
      </c>
      <c r="F1151" s="36" t="n">
        <f aca="false">IF(OR(E1151="",D1151=""),0,IF(C1151="Actual",D1151,IF(COUNTIFS($A$2:$A$2001,A1151,$E$2:$E$2001,E1151,$C$2:$C$2001,"Actual")&gt;0,0,D1151)))</f>
        <v>0</v>
      </c>
    </row>
    <row r="1152" customFormat="false" ht="15" hidden="false" customHeight="false" outlineLevel="0" collapsed="false">
      <c r="A1152" s="32"/>
      <c r="B1152" s="35"/>
      <c r="C1152" s="32"/>
      <c r="D1152" s="34"/>
      <c r="E1152" s="42" t="str">
        <f aca="false">IF(OR(A1152="",B1152=""),"",DATE(YEAR(B1152),MONTH(B1152),1))</f>
        <v/>
      </c>
      <c r="F1152" s="36" t="n">
        <f aca="false">IF(OR(E1152="",D1152=""),0,IF(C1152="Actual",D1152,IF(COUNTIFS($A$2:$A$2001,A1152,$E$2:$E$2001,E1152,$C$2:$C$2001,"Actual")&gt;0,0,D1152)))</f>
        <v>0</v>
      </c>
    </row>
    <row r="1153" customFormat="false" ht="15" hidden="false" customHeight="false" outlineLevel="0" collapsed="false">
      <c r="A1153" s="32"/>
      <c r="B1153" s="35"/>
      <c r="C1153" s="32"/>
      <c r="D1153" s="34"/>
      <c r="E1153" s="42" t="str">
        <f aca="false">IF(OR(A1153="",B1153=""),"",DATE(YEAR(B1153),MONTH(B1153),1))</f>
        <v/>
      </c>
      <c r="F1153" s="36" t="n">
        <f aca="false">IF(OR(E1153="",D1153=""),0,IF(C1153="Actual",D1153,IF(COUNTIFS($A$2:$A$2001,A1153,$E$2:$E$2001,E1153,$C$2:$C$2001,"Actual")&gt;0,0,D1153)))</f>
        <v>0</v>
      </c>
    </row>
    <row r="1154" customFormat="false" ht="15" hidden="false" customHeight="false" outlineLevel="0" collapsed="false">
      <c r="A1154" s="32"/>
      <c r="B1154" s="35"/>
      <c r="C1154" s="32"/>
      <c r="D1154" s="34"/>
      <c r="E1154" s="42" t="str">
        <f aca="false">IF(OR(A1154="",B1154=""),"",DATE(YEAR(B1154),MONTH(B1154),1))</f>
        <v/>
      </c>
      <c r="F1154" s="36" t="n">
        <f aca="false">IF(OR(E1154="",D1154=""),0,IF(C1154="Actual",D1154,IF(COUNTIFS($A$2:$A$2001,A1154,$E$2:$E$2001,E1154,$C$2:$C$2001,"Actual")&gt;0,0,D1154)))</f>
        <v>0</v>
      </c>
    </row>
    <row r="1155" customFormat="false" ht="15" hidden="false" customHeight="false" outlineLevel="0" collapsed="false">
      <c r="A1155" s="32"/>
      <c r="B1155" s="35"/>
      <c r="C1155" s="32"/>
      <c r="D1155" s="34"/>
      <c r="E1155" s="42" t="str">
        <f aca="false">IF(OR(A1155="",B1155=""),"",DATE(YEAR(B1155),MONTH(B1155),1))</f>
        <v/>
      </c>
      <c r="F1155" s="36" t="n">
        <f aca="false">IF(OR(E1155="",D1155=""),0,IF(C1155="Actual",D1155,IF(COUNTIFS($A$2:$A$2001,A1155,$E$2:$E$2001,E1155,$C$2:$C$2001,"Actual")&gt;0,0,D1155)))</f>
        <v>0</v>
      </c>
    </row>
    <row r="1156" customFormat="false" ht="15" hidden="false" customHeight="false" outlineLevel="0" collapsed="false">
      <c r="A1156" s="32"/>
      <c r="B1156" s="35"/>
      <c r="C1156" s="32"/>
      <c r="D1156" s="34"/>
      <c r="E1156" s="42" t="str">
        <f aca="false">IF(OR(A1156="",B1156=""),"",DATE(YEAR(B1156),MONTH(B1156),1))</f>
        <v/>
      </c>
      <c r="F1156" s="36" t="n">
        <f aca="false">IF(OR(E1156="",D1156=""),0,IF(C1156="Actual",D1156,IF(COUNTIFS($A$2:$A$2001,A1156,$E$2:$E$2001,E1156,$C$2:$C$2001,"Actual")&gt;0,0,D1156)))</f>
        <v>0</v>
      </c>
    </row>
    <row r="1157" customFormat="false" ht="15" hidden="false" customHeight="false" outlineLevel="0" collapsed="false">
      <c r="A1157" s="32"/>
      <c r="B1157" s="35"/>
      <c r="C1157" s="32"/>
      <c r="D1157" s="34"/>
      <c r="E1157" s="42" t="str">
        <f aca="false">IF(OR(A1157="",B1157=""),"",DATE(YEAR(B1157),MONTH(B1157),1))</f>
        <v/>
      </c>
      <c r="F1157" s="36" t="n">
        <f aca="false">IF(OR(E1157="",D1157=""),0,IF(C1157="Actual",D1157,IF(COUNTIFS($A$2:$A$2001,A1157,$E$2:$E$2001,E1157,$C$2:$C$2001,"Actual")&gt;0,0,D1157)))</f>
        <v>0</v>
      </c>
    </row>
    <row r="1158" customFormat="false" ht="15" hidden="false" customHeight="false" outlineLevel="0" collapsed="false">
      <c r="A1158" s="32"/>
      <c r="B1158" s="35"/>
      <c r="C1158" s="32"/>
      <c r="D1158" s="34"/>
      <c r="E1158" s="42" t="str">
        <f aca="false">IF(OR(A1158="",B1158=""),"",DATE(YEAR(B1158),MONTH(B1158),1))</f>
        <v/>
      </c>
      <c r="F1158" s="36" t="n">
        <f aca="false">IF(OR(E1158="",D1158=""),0,IF(C1158="Actual",D1158,IF(COUNTIFS($A$2:$A$2001,A1158,$E$2:$E$2001,E1158,$C$2:$C$2001,"Actual")&gt;0,0,D1158)))</f>
        <v>0</v>
      </c>
    </row>
    <row r="1159" customFormat="false" ht="15" hidden="false" customHeight="false" outlineLevel="0" collapsed="false">
      <c r="A1159" s="32"/>
      <c r="B1159" s="35"/>
      <c r="C1159" s="32"/>
      <c r="D1159" s="34"/>
      <c r="E1159" s="42" t="str">
        <f aca="false">IF(OR(A1159="",B1159=""),"",DATE(YEAR(B1159),MONTH(B1159),1))</f>
        <v/>
      </c>
      <c r="F1159" s="36" t="n">
        <f aca="false">IF(OR(E1159="",D1159=""),0,IF(C1159="Actual",D1159,IF(COUNTIFS($A$2:$A$2001,A1159,$E$2:$E$2001,E1159,$C$2:$C$2001,"Actual")&gt;0,0,D1159)))</f>
        <v>0</v>
      </c>
    </row>
    <row r="1160" customFormat="false" ht="15" hidden="false" customHeight="false" outlineLevel="0" collapsed="false">
      <c r="A1160" s="32"/>
      <c r="B1160" s="35"/>
      <c r="C1160" s="32"/>
      <c r="D1160" s="34"/>
      <c r="E1160" s="42" t="str">
        <f aca="false">IF(OR(A1160="",B1160=""),"",DATE(YEAR(B1160),MONTH(B1160),1))</f>
        <v/>
      </c>
      <c r="F1160" s="36" t="n">
        <f aca="false">IF(OR(E1160="",D1160=""),0,IF(C1160="Actual",D1160,IF(COUNTIFS($A$2:$A$2001,A1160,$E$2:$E$2001,E1160,$C$2:$C$2001,"Actual")&gt;0,0,D1160)))</f>
        <v>0</v>
      </c>
    </row>
    <row r="1161" customFormat="false" ht="15" hidden="false" customHeight="false" outlineLevel="0" collapsed="false">
      <c r="A1161" s="32"/>
      <c r="B1161" s="35"/>
      <c r="C1161" s="32"/>
      <c r="D1161" s="34"/>
      <c r="E1161" s="42" t="str">
        <f aca="false">IF(OR(A1161="",B1161=""),"",DATE(YEAR(B1161),MONTH(B1161),1))</f>
        <v/>
      </c>
      <c r="F1161" s="36" t="n">
        <f aca="false">IF(OR(E1161="",D1161=""),0,IF(C1161="Actual",D1161,IF(COUNTIFS($A$2:$A$2001,A1161,$E$2:$E$2001,E1161,$C$2:$C$2001,"Actual")&gt;0,0,D1161)))</f>
        <v>0</v>
      </c>
    </row>
    <row r="1162" customFormat="false" ht="15" hidden="false" customHeight="false" outlineLevel="0" collapsed="false">
      <c r="A1162" s="32"/>
      <c r="B1162" s="35"/>
      <c r="C1162" s="32"/>
      <c r="D1162" s="34"/>
      <c r="E1162" s="42" t="str">
        <f aca="false">IF(OR(A1162="",B1162=""),"",DATE(YEAR(B1162),MONTH(B1162),1))</f>
        <v/>
      </c>
      <c r="F1162" s="36" t="n">
        <f aca="false">IF(OR(E1162="",D1162=""),0,IF(C1162="Actual",D1162,IF(COUNTIFS($A$2:$A$2001,A1162,$E$2:$E$2001,E1162,$C$2:$C$2001,"Actual")&gt;0,0,D1162)))</f>
        <v>0</v>
      </c>
    </row>
    <row r="1163" customFormat="false" ht="15" hidden="false" customHeight="false" outlineLevel="0" collapsed="false">
      <c r="A1163" s="32"/>
      <c r="B1163" s="35"/>
      <c r="C1163" s="32"/>
      <c r="D1163" s="34"/>
      <c r="E1163" s="42" t="str">
        <f aca="false">IF(OR(A1163="",B1163=""),"",DATE(YEAR(B1163),MONTH(B1163),1))</f>
        <v/>
      </c>
      <c r="F1163" s="36" t="n">
        <f aca="false">IF(OR(E1163="",D1163=""),0,IF(C1163="Actual",D1163,IF(COUNTIFS($A$2:$A$2001,A1163,$E$2:$E$2001,E1163,$C$2:$C$2001,"Actual")&gt;0,0,D1163)))</f>
        <v>0</v>
      </c>
    </row>
    <row r="1164" customFormat="false" ht="15" hidden="false" customHeight="false" outlineLevel="0" collapsed="false">
      <c r="A1164" s="32"/>
      <c r="B1164" s="35"/>
      <c r="C1164" s="32"/>
      <c r="D1164" s="34"/>
      <c r="E1164" s="42" t="str">
        <f aca="false">IF(OR(A1164="",B1164=""),"",DATE(YEAR(B1164),MONTH(B1164),1))</f>
        <v/>
      </c>
      <c r="F1164" s="36" t="n">
        <f aca="false">IF(OR(E1164="",D1164=""),0,IF(C1164="Actual",D1164,IF(COUNTIFS($A$2:$A$2001,A1164,$E$2:$E$2001,E1164,$C$2:$C$2001,"Actual")&gt;0,0,D1164)))</f>
        <v>0</v>
      </c>
    </row>
    <row r="1165" customFormat="false" ht="15" hidden="false" customHeight="false" outlineLevel="0" collapsed="false">
      <c r="A1165" s="32"/>
      <c r="B1165" s="35"/>
      <c r="C1165" s="32"/>
      <c r="D1165" s="34"/>
      <c r="E1165" s="42" t="str">
        <f aca="false">IF(OR(A1165="",B1165=""),"",DATE(YEAR(B1165),MONTH(B1165),1))</f>
        <v/>
      </c>
      <c r="F1165" s="36" t="n">
        <f aca="false">IF(OR(E1165="",D1165=""),0,IF(C1165="Actual",D1165,IF(COUNTIFS($A$2:$A$2001,A1165,$E$2:$E$2001,E1165,$C$2:$C$2001,"Actual")&gt;0,0,D1165)))</f>
        <v>0</v>
      </c>
    </row>
    <row r="1166" customFormat="false" ht="15" hidden="false" customHeight="false" outlineLevel="0" collapsed="false">
      <c r="A1166" s="32"/>
      <c r="B1166" s="35"/>
      <c r="C1166" s="32"/>
      <c r="D1166" s="34"/>
      <c r="E1166" s="42" t="str">
        <f aca="false">IF(OR(A1166="",B1166=""),"",DATE(YEAR(B1166),MONTH(B1166),1))</f>
        <v/>
      </c>
      <c r="F1166" s="36" t="n">
        <f aca="false">IF(OR(E1166="",D1166=""),0,IF(C1166="Actual",D1166,IF(COUNTIFS($A$2:$A$2001,A1166,$E$2:$E$2001,E1166,$C$2:$C$2001,"Actual")&gt;0,0,D1166)))</f>
        <v>0</v>
      </c>
    </row>
    <row r="1167" customFormat="false" ht="15" hidden="false" customHeight="false" outlineLevel="0" collapsed="false">
      <c r="A1167" s="32"/>
      <c r="B1167" s="35"/>
      <c r="C1167" s="32"/>
      <c r="D1167" s="34"/>
      <c r="E1167" s="42" t="str">
        <f aca="false">IF(OR(A1167="",B1167=""),"",DATE(YEAR(B1167),MONTH(B1167),1))</f>
        <v/>
      </c>
      <c r="F1167" s="36" t="n">
        <f aca="false">IF(OR(E1167="",D1167=""),0,IF(C1167="Actual",D1167,IF(COUNTIFS($A$2:$A$2001,A1167,$E$2:$E$2001,E1167,$C$2:$C$2001,"Actual")&gt;0,0,D1167)))</f>
        <v>0</v>
      </c>
    </row>
    <row r="1168" customFormat="false" ht="15" hidden="false" customHeight="false" outlineLevel="0" collapsed="false">
      <c r="A1168" s="32"/>
      <c r="B1168" s="35"/>
      <c r="C1168" s="32"/>
      <c r="D1168" s="34"/>
      <c r="E1168" s="42" t="str">
        <f aca="false">IF(OR(A1168="",B1168=""),"",DATE(YEAR(B1168),MONTH(B1168),1))</f>
        <v/>
      </c>
      <c r="F1168" s="36" t="n">
        <f aca="false">IF(OR(E1168="",D1168=""),0,IF(C1168="Actual",D1168,IF(COUNTIFS($A$2:$A$2001,A1168,$E$2:$E$2001,E1168,$C$2:$C$2001,"Actual")&gt;0,0,D1168)))</f>
        <v>0</v>
      </c>
    </row>
    <row r="1169" customFormat="false" ht="15" hidden="false" customHeight="false" outlineLevel="0" collapsed="false">
      <c r="A1169" s="32"/>
      <c r="B1169" s="35"/>
      <c r="C1169" s="32"/>
      <c r="D1169" s="34"/>
      <c r="E1169" s="42" t="str">
        <f aca="false">IF(OR(A1169="",B1169=""),"",DATE(YEAR(B1169),MONTH(B1169),1))</f>
        <v/>
      </c>
      <c r="F1169" s="36" t="n">
        <f aca="false">IF(OR(E1169="",D1169=""),0,IF(C1169="Actual",D1169,IF(COUNTIFS($A$2:$A$2001,A1169,$E$2:$E$2001,E1169,$C$2:$C$2001,"Actual")&gt;0,0,D1169)))</f>
        <v>0</v>
      </c>
    </row>
    <row r="1170" customFormat="false" ht="15" hidden="false" customHeight="false" outlineLevel="0" collapsed="false">
      <c r="A1170" s="32"/>
      <c r="B1170" s="35"/>
      <c r="C1170" s="32"/>
      <c r="D1170" s="34"/>
      <c r="E1170" s="42" t="str">
        <f aca="false">IF(OR(A1170="",B1170=""),"",DATE(YEAR(B1170),MONTH(B1170),1))</f>
        <v/>
      </c>
      <c r="F1170" s="36" t="n">
        <f aca="false">IF(OR(E1170="",D1170=""),0,IF(C1170="Actual",D1170,IF(COUNTIFS($A$2:$A$2001,A1170,$E$2:$E$2001,E1170,$C$2:$C$2001,"Actual")&gt;0,0,D1170)))</f>
        <v>0</v>
      </c>
    </row>
    <row r="1171" customFormat="false" ht="15" hidden="false" customHeight="false" outlineLevel="0" collapsed="false">
      <c r="A1171" s="32"/>
      <c r="B1171" s="35"/>
      <c r="C1171" s="32"/>
      <c r="D1171" s="34"/>
      <c r="E1171" s="42" t="str">
        <f aca="false">IF(OR(A1171="",B1171=""),"",DATE(YEAR(B1171),MONTH(B1171),1))</f>
        <v/>
      </c>
      <c r="F1171" s="36" t="n">
        <f aca="false">IF(OR(E1171="",D1171=""),0,IF(C1171="Actual",D1171,IF(COUNTIFS($A$2:$A$2001,A1171,$E$2:$E$2001,E1171,$C$2:$C$2001,"Actual")&gt;0,0,D1171)))</f>
        <v>0</v>
      </c>
    </row>
    <row r="1172" customFormat="false" ht="15" hidden="false" customHeight="false" outlineLevel="0" collapsed="false">
      <c r="A1172" s="32"/>
      <c r="B1172" s="35"/>
      <c r="C1172" s="32"/>
      <c r="D1172" s="34"/>
      <c r="E1172" s="42" t="str">
        <f aca="false">IF(OR(A1172="",B1172=""),"",DATE(YEAR(B1172),MONTH(B1172),1))</f>
        <v/>
      </c>
      <c r="F1172" s="36" t="n">
        <f aca="false">IF(OR(E1172="",D1172=""),0,IF(C1172="Actual",D1172,IF(COUNTIFS($A$2:$A$2001,A1172,$E$2:$E$2001,E1172,$C$2:$C$2001,"Actual")&gt;0,0,D1172)))</f>
        <v>0</v>
      </c>
    </row>
    <row r="1173" customFormat="false" ht="15" hidden="false" customHeight="false" outlineLevel="0" collapsed="false">
      <c r="A1173" s="32"/>
      <c r="B1173" s="35"/>
      <c r="C1173" s="32"/>
      <c r="D1173" s="34"/>
      <c r="E1173" s="42" t="str">
        <f aca="false">IF(OR(A1173="",B1173=""),"",DATE(YEAR(B1173),MONTH(B1173),1))</f>
        <v/>
      </c>
      <c r="F1173" s="36" t="n">
        <f aca="false">IF(OR(E1173="",D1173=""),0,IF(C1173="Actual",D1173,IF(COUNTIFS($A$2:$A$2001,A1173,$E$2:$E$2001,E1173,$C$2:$C$2001,"Actual")&gt;0,0,D1173)))</f>
        <v>0</v>
      </c>
    </row>
    <row r="1174" customFormat="false" ht="15" hidden="false" customHeight="false" outlineLevel="0" collapsed="false">
      <c r="A1174" s="32"/>
      <c r="B1174" s="35"/>
      <c r="C1174" s="32"/>
      <c r="D1174" s="34"/>
      <c r="E1174" s="42" t="str">
        <f aca="false">IF(OR(A1174="",B1174=""),"",DATE(YEAR(B1174),MONTH(B1174),1))</f>
        <v/>
      </c>
      <c r="F1174" s="36" t="n">
        <f aca="false">IF(OR(E1174="",D1174=""),0,IF(C1174="Actual",D1174,IF(COUNTIFS($A$2:$A$2001,A1174,$E$2:$E$2001,E1174,$C$2:$C$2001,"Actual")&gt;0,0,D1174)))</f>
        <v>0</v>
      </c>
    </row>
    <row r="1175" customFormat="false" ht="15" hidden="false" customHeight="false" outlineLevel="0" collapsed="false">
      <c r="A1175" s="32"/>
      <c r="B1175" s="35"/>
      <c r="C1175" s="32"/>
      <c r="D1175" s="34"/>
      <c r="E1175" s="42" t="str">
        <f aca="false">IF(OR(A1175="",B1175=""),"",DATE(YEAR(B1175),MONTH(B1175),1))</f>
        <v/>
      </c>
      <c r="F1175" s="36" t="n">
        <f aca="false">IF(OR(E1175="",D1175=""),0,IF(C1175="Actual",D1175,IF(COUNTIFS($A$2:$A$2001,A1175,$E$2:$E$2001,E1175,$C$2:$C$2001,"Actual")&gt;0,0,D1175)))</f>
        <v>0</v>
      </c>
    </row>
    <row r="1176" customFormat="false" ht="15" hidden="false" customHeight="false" outlineLevel="0" collapsed="false">
      <c r="A1176" s="32"/>
      <c r="B1176" s="35"/>
      <c r="C1176" s="32"/>
      <c r="D1176" s="34"/>
      <c r="E1176" s="42" t="str">
        <f aca="false">IF(OR(A1176="",B1176=""),"",DATE(YEAR(B1176),MONTH(B1176),1))</f>
        <v/>
      </c>
      <c r="F1176" s="36" t="n">
        <f aca="false">IF(OR(E1176="",D1176=""),0,IF(C1176="Actual",D1176,IF(COUNTIFS($A$2:$A$2001,A1176,$E$2:$E$2001,E1176,$C$2:$C$2001,"Actual")&gt;0,0,D1176)))</f>
        <v>0</v>
      </c>
    </row>
    <row r="1177" customFormat="false" ht="15" hidden="false" customHeight="false" outlineLevel="0" collapsed="false">
      <c r="A1177" s="32"/>
      <c r="B1177" s="35"/>
      <c r="C1177" s="32"/>
      <c r="D1177" s="34"/>
      <c r="E1177" s="42" t="str">
        <f aca="false">IF(OR(A1177="",B1177=""),"",DATE(YEAR(B1177),MONTH(B1177),1))</f>
        <v/>
      </c>
      <c r="F1177" s="36" t="n">
        <f aca="false">IF(OR(E1177="",D1177=""),0,IF(C1177="Actual",D1177,IF(COUNTIFS($A$2:$A$2001,A1177,$E$2:$E$2001,E1177,$C$2:$C$2001,"Actual")&gt;0,0,D1177)))</f>
        <v>0</v>
      </c>
    </row>
    <row r="1178" customFormat="false" ht="15" hidden="false" customHeight="false" outlineLevel="0" collapsed="false">
      <c r="A1178" s="32"/>
      <c r="B1178" s="35"/>
      <c r="C1178" s="32"/>
      <c r="D1178" s="34"/>
      <c r="E1178" s="42" t="str">
        <f aca="false">IF(OR(A1178="",B1178=""),"",DATE(YEAR(B1178),MONTH(B1178),1))</f>
        <v/>
      </c>
      <c r="F1178" s="36" t="n">
        <f aca="false">IF(OR(E1178="",D1178=""),0,IF(C1178="Actual",D1178,IF(COUNTIFS($A$2:$A$2001,A1178,$E$2:$E$2001,E1178,$C$2:$C$2001,"Actual")&gt;0,0,D1178)))</f>
        <v>0</v>
      </c>
    </row>
    <row r="1179" customFormat="false" ht="15" hidden="false" customHeight="false" outlineLevel="0" collapsed="false">
      <c r="A1179" s="32"/>
      <c r="B1179" s="35"/>
      <c r="C1179" s="32"/>
      <c r="D1179" s="34"/>
      <c r="E1179" s="42" t="str">
        <f aca="false">IF(OR(A1179="",B1179=""),"",DATE(YEAR(B1179),MONTH(B1179),1))</f>
        <v/>
      </c>
      <c r="F1179" s="36" t="n">
        <f aca="false">IF(OR(E1179="",D1179=""),0,IF(C1179="Actual",D1179,IF(COUNTIFS($A$2:$A$2001,A1179,$E$2:$E$2001,E1179,$C$2:$C$2001,"Actual")&gt;0,0,D1179)))</f>
        <v>0</v>
      </c>
    </row>
    <row r="1180" customFormat="false" ht="15" hidden="false" customHeight="false" outlineLevel="0" collapsed="false">
      <c r="A1180" s="32"/>
      <c r="B1180" s="35"/>
      <c r="C1180" s="32"/>
      <c r="D1180" s="34"/>
      <c r="E1180" s="42" t="str">
        <f aca="false">IF(OR(A1180="",B1180=""),"",DATE(YEAR(B1180),MONTH(B1180),1))</f>
        <v/>
      </c>
      <c r="F1180" s="36" t="n">
        <f aca="false">IF(OR(E1180="",D1180=""),0,IF(C1180="Actual",D1180,IF(COUNTIFS($A$2:$A$2001,A1180,$E$2:$E$2001,E1180,$C$2:$C$2001,"Actual")&gt;0,0,D1180)))</f>
        <v>0</v>
      </c>
    </row>
    <row r="1181" customFormat="false" ht="15" hidden="false" customHeight="false" outlineLevel="0" collapsed="false">
      <c r="A1181" s="32"/>
      <c r="B1181" s="35"/>
      <c r="C1181" s="32"/>
      <c r="D1181" s="34"/>
      <c r="E1181" s="42" t="str">
        <f aca="false">IF(OR(A1181="",B1181=""),"",DATE(YEAR(B1181),MONTH(B1181),1))</f>
        <v/>
      </c>
      <c r="F1181" s="36" t="n">
        <f aca="false">IF(OR(E1181="",D1181=""),0,IF(C1181="Actual",D1181,IF(COUNTIFS($A$2:$A$2001,A1181,$E$2:$E$2001,E1181,$C$2:$C$2001,"Actual")&gt;0,0,D1181)))</f>
        <v>0</v>
      </c>
    </row>
    <row r="1182" customFormat="false" ht="15" hidden="false" customHeight="false" outlineLevel="0" collapsed="false">
      <c r="A1182" s="32"/>
      <c r="B1182" s="35"/>
      <c r="C1182" s="32"/>
      <c r="D1182" s="34"/>
      <c r="E1182" s="42" t="str">
        <f aca="false">IF(OR(A1182="",B1182=""),"",DATE(YEAR(B1182),MONTH(B1182),1))</f>
        <v/>
      </c>
      <c r="F1182" s="36" t="n">
        <f aca="false">IF(OR(E1182="",D1182=""),0,IF(C1182="Actual",D1182,IF(COUNTIFS($A$2:$A$2001,A1182,$E$2:$E$2001,E1182,$C$2:$C$2001,"Actual")&gt;0,0,D1182)))</f>
        <v>0</v>
      </c>
    </row>
    <row r="1183" customFormat="false" ht="15" hidden="false" customHeight="false" outlineLevel="0" collapsed="false">
      <c r="A1183" s="32"/>
      <c r="B1183" s="35"/>
      <c r="C1183" s="32"/>
      <c r="D1183" s="34"/>
      <c r="E1183" s="42" t="str">
        <f aca="false">IF(OR(A1183="",B1183=""),"",DATE(YEAR(B1183),MONTH(B1183),1))</f>
        <v/>
      </c>
      <c r="F1183" s="36" t="n">
        <f aca="false">IF(OR(E1183="",D1183=""),0,IF(C1183="Actual",D1183,IF(COUNTIFS($A$2:$A$2001,A1183,$E$2:$E$2001,E1183,$C$2:$C$2001,"Actual")&gt;0,0,D1183)))</f>
        <v>0</v>
      </c>
    </row>
    <row r="1184" customFormat="false" ht="15" hidden="false" customHeight="false" outlineLevel="0" collapsed="false">
      <c r="A1184" s="32"/>
      <c r="B1184" s="35"/>
      <c r="C1184" s="32"/>
      <c r="D1184" s="34"/>
      <c r="E1184" s="42" t="str">
        <f aca="false">IF(OR(A1184="",B1184=""),"",DATE(YEAR(B1184),MONTH(B1184),1))</f>
        <v/>
      </c>
      <c r="F1184" s="36" t="n">
        <f aca="false">IF(OR(E1184="",D1184=""),0,IF(C1184="Actual",D1184,IF(COUNTIFS($A$2:$A$2001,A1184,$E$2:$E$2001,E1184,$C$2:$C$2001,"Actual")&gt;0,0,D1184)))</f>
        <v>0</v>
      </c>
    </row>
    <row r="1185" customFormat="false" ht="15" hidden="false" customHeight="false" outlineLevel="0" collapsed="false">
      <c r="A1185" s="32"/>
      <c r="B1185" s="35"/>
      <c r="C1185" s="32"/>
      <c r="D1185" s="34"/>
      <c r="E1185" s="42" t="str">
        <f aca="false">IF(OR(A1185="",B1185=""),"",DATE(YEAR(B1185),MONTH(B1185),1))</f>
        <v/>
      </c>
      <c r="F1185" s="36" t="n">
        <f aca="false">IF(OR(E1185="",D1185=""),0,IF(C1185="Actual",D1185,IF(COUNTIFS($A$2:$A$2001,A1185,$E$2:$E$2001,E1185,$C$2:$C$2001,"Actual")&gt;0,0,D1185)))</f>
        <v>0</v>
      </c>
    </row>
    <row r="1186" customFormat="false" ht="15" hidden="false" customHeight="false" outlineLevel="0" collapsed="false">
      <c r="A1186" s="32"/>
      <c r="B1186" s="35"/>
      <c r="C1186" s="32"/>
      <c r="D1186" s="34"/>
      <c r="E1186" s="42" t="str">
        <f aca="false">IF(OR(A1186="",B1186=""),"",DATE(YEAR(B1186),MONTH(B1186),1))</f>
        <v/>
      </c>
      <c r="F1186" s="36" t="n">
        <f aca="false">IF(OR(E1186="",D1186=""),0,IF(C1186="Actual",D1186,IF(COUNTIFS($A$2:$A$2001,A1186,$E$2:$E$2001,E1186,$C$2:$C$2001,"Actual")&gt;0,0,D1186)))</f>
        <v>0</v>
      </c>
    </row>
    <row r="1187" customFormat="false" ht="15" hidden="false" customHeight="false" outlineLevel="0" collapsed="false">
      <c r="A1187" s="32"/>
      <c r="B1187" s="35"/>
      <c r="C1187" s="32"/>
      <c r="D1187" s="34"/>
      <c r="E1187" s="42" t="str">
        <f aca="false">IF(OR(A1187="",B1187=""),"",DATE(YEAR(B1187),MONTH(B1187),1))</f>
        <v/>
      </c>
      <c r="F1187" s="36" t="n">
        <f aca="false">IF(OR(E1187="",D1187=""),0,IF(C1187="Actual",D1187,IF(COUNTIFS($A$2:$A$2001,A1187,$E$2:$E$2001,E1187,$C$2:$C$2001,"Actual")&gt;0,0,D1187)))</f>
        <v>0</v>
      </c>
    </row>
    <row r="1188" customFormat="false" ht="15" hidden="false" customHeight="false" outlineLevel="0" collapsed="false">
      <c r="A1188" s="32"/>
      <c r="B1188" s="35"/>
      <c r="C1188" s="32"/>
      <c r="D1188" s="34"/>
      <c r="E1188" s="42" t="str">
        <f aca="false">IF(OR(A1188="",B1188=""),"",DATE(YEAR(B1188),MONTH(B1188),1))</f>
        <v/>
      </c>
      <c r="F1188" s="36" t="n">
        <f aca="false">IF(OR(E1188="",D1188=""),0,IF(C1188="Actual",D1188,IF(COUNTIFS($A$2:$A$2001,A1188,$E$2:$E$2001,E1188,$C$2:$C$2001,"Actual")&gt;0,0,D1188)))</f>
        <v>0</v>
      </c>
    </row>
    <row r="1189" customFormat="false" ht="15" hidden="false" customHeight="false" outlineLevel="0" collapsed="false">
      <c r="A1189" s="32"/>
      <c r="B1189" s="35"/>
      <c r="C1189" s="32"/>
      <c r="D1189" s="34"/>
      <c r="E1189" s="42" t="str">
        <f aca="false">IF(OR(A1189="",B1189=""),"",DATE(YEAR(B1189),MONTH(B1189),1))</f>
        <v/>
      </c>
      <c r="F1189" s="36" t="n">
        <f aca="false">IF(OR(E1189="",D1189=""),0,IF(C1189="Actual",D1189,IF(COUNTIFS($A$2:$A$2001,A1189,$E$2:$E$2001,E1189,$C$2:$C$2001,"Actual")&gt;0,0,D1189)))</f>
        <v>0</v>
      </c>
    </row>
    <row r="1190" customFormat="false" ht="15" hidden="false" customHeight="false" outlineLevel="0" collapsed="false">
      <c r="A1190" s="32"/>
      <c r="B1190" s="35"/>
      <c r="C1190" s="32"/>
      <c r="D1190" s="34"/>
      <c r="E1190" s="42" t="str">
        <f aca="false">IF(OR(A1190="",B1190=""),"",DATE(YEAR(B1190),MONTH(B1190),1))</f>
        <v/>
      </c>
      <c r="F1190" s="36" t="n">
        <f aca="false">IF(OR(E1190="",D1190=""),0,IF(C1190="Actual",D1190,IF(COUNTIFS($A$2:$A$2001,A1190,$E$2:$E$2001,E1190,$C$2:$C$2001,"Actual")&gt;0,0,D1190)))</f>
        <v>0</v>
      </c>
    </row>
    <row r="1191" customFormat="false" ht="15" hidden="false" customHeight="false" outlineLevel="0" collapsed="false">
      <c r="A1191" s="32"/>
      <c r="B1191" s="35"/>
      <c r="C1191" s="32"/>
      <c r="D1191" s="34"/>
      <c r="E1191" s="42" t="str">
        <f aca="false">IF(OR(A1191="",B1191=""),"",DATE(YEAR(B1191),MONTH(B1191),1))</f>
        <v/>
      </c>
      <c r="F1191" s="36" t="n">
        <f aca="false">IF(OR(E1191="",D1191=""),0,IF(C1191="Actual",D1191,IF(COUNTIFS($A$2:$A$2001,A1191,$E$2:$E$2001,E1191,$C$2:$C$2001,"Actual")&gt;0,0,D1191)))</f>
        <v>0</v>
      </c>
    </row>
    <row r="1192" customFormat="false" ht="15" hidden="false" customHeight="false" outlineLevel="0" collapsed="false">
      <c r="A1192" s="32"/>
      <c r="B1192" s="35"/>
      <c r="C1192" s="32"/>
      <c r="D1192" s="34"/>
      <c r="E1192" s="42" t="str">
        <f aca="false">IF(OR(A1192="",B1192=""),"",DATE(YEAR(B1192),MONTH(B1192),1))</f>
        <v/>
      </c>
      <c r="F1192" s="36" t="n">
        <f aca="false">IF(OR(E1192="",D1192=""),0,IF(C1192="Actual",D1192,IF(COUNTIFS($A$2:$A$2001,A1192,$E$2:$E$2001,E1192,$C$2:$C$2001,"Actual")&gt;0,0,D1192)))</f>
        <v>0</v>
      </c>
    </row>
    <row r="1193" customFormat="false" ht="15" hidden="false" customHeight="false" outlineLevel="0" collapsed="false">
      <c r="A1193" s="32"/>
      <c r="B1193" s="35"/>
      <c r="C1193" s="32"/>
      <c r="D1193" s="34"/>
      <c r="E1193" s="42" t="str">
        <f aca="false">IF(OR(A1193="",B1193=""),"",DATE(YEAR(B1193),MONTH(B1193),1))</f>
        <v/>
      </c>
      <c r="F1193" s="36" t="n">
        <f aca="false">IF(OR(E1193="",D1193=""),0,IF(C1193="Actual",D1193,IF(COUNTIFS($A$2:$A$2001,A1193,$E$2:$E$2001,E1193,$C$2:$C$2001,"Actual")&gt;0,0,D1193)))</f>
        <v>0</v>
      </c>
    </row>
    <row r="1194" customFormat="false" ht="15" hidden="false" customHeight="false" outlineLevel="0" collapsed="false">
      <c r="A1194" s="32"/>
      <c r="B1194" s="35"/>
      <c r="C1194" s="32"/>
      <c r="D1194" s="34"/>
      <c r="E1194" s="42" t="str">
        <f aca="false">IF(OR(A1194="",B1194=""),"",DATE(YEAR(B1194),MONTH(B1194),1))</f>
        <v/>
      </c>
      <c r="F1194" s="36" t="n">
        <f aca="false">IF(OR(E1194="",D1194=""),0,IF(C1194="Actual",D1194,IF(COUNTIFS($A$2:$A$2001,A1194,$E$2:$E$2001,E1194,$C$2:$C$2001,"Actual")&gt;0,0,D1194)))</f>
        <v>0</v>
      </c>
    </row>
    <row r="1195" customFormat="false" ht="15" hidden="false" customHeight="false" outlineLevel="0" collapsed="false">
      <c r="A1195" s="32"/>
      <c r="B1195" s="35"/>
      <c r="C1195" s="32"/>
      <c r="D1195" s="34"/>
      <c r="E1195" s="42" t="str">
        <f aca="false">IF(OR(A1195="",B1195=""),"",DATE(YEAR(B1195),MONTH(B1195),1))</f>
        <v/>
      </c>
      <c r="F1195" s="36" t="n">
        <f aca="false">IF(OR(E1195="",D1195=""),0,IF(C1195="Actual",D1195,IF(COUNTIFS($A$2:$A$2001,A1195,$E$2:$E$2001,E1195,$C$2:$C$2001,"Actual")&gt;0,0,D1195)))</f>
        <v>0</v>
      </c>
    </row>
    <row r="1196" customFormat="false" ht="15" hidden="false" customHeight="false" outlineLevel="0" collapsed="false">
      <c r="A1196" s="32"/>
      <c r="B1196" s="35"/>
      <c r="C1196" s="32"/>
      <c r="D1196" s="34"/>
      <c r="E1196" s="42" t="str">
        <f aca="false">IF(OR(A1196="",B1196=""),"",DATE(YEAR(B1196),MONTH(B1196),1))</f>
        <v/>
      </c>
      <c r="F1196" s="36" t="n">
        <f aca="false">IF(OR(E1196="",D1196=""),0,IF(C1196="Actual",D1196,IF(COUNTIFS($A$2:$A$2001,A1196,$E$2:$E$2001,E1196,$C$2:$C$2001,"Actual")&gt;0,0,D1196)))</f>
        <v>0</v>
      </c>
    </row>
    <row r="1197" customFormat="false" ht="15" hidden="false" customHeight="false" outlineLevel="0" collapsed="false">
      <c r="A1197" s="32"/>
      <c r="B1197" s="35"/>
      <c r="C1197" s="32"/>
      <c r="D1197" s="34"/>
      <c r="E1197" s="42" t="str">
        <f aca="false">IF(OR(A1197="",B1197=""),"",DATE(YEAR(B1197),MONTH(B1197),1))</f>
        <v/>
      </c>
      <c r="F1197" s="36" t="n">
        <f aca="false">IF(OR(E1197="",D1197=""),0,IF(C1197="Actual",D1197,IF(COUNTIFS($A$2:$A$2001,A1197,$E$2:$E$2001,E1197,$C$2:$C$2001,"Actual")&gt;0,0,D1197)))</f>
        <v>0</v>
      </c>
    </row>
    <row r="1198" customFormat="false" ht="15" hidden="false" customHeight="false" outlineLevel="0" collapsed="false">
      <c r="A1198" s="32"/>
      <c r="B1198" s="35"/>
      <c r="C1198" s="32"/>
      <c r="D1198" s="34"/>
      <c r="E1198" s="42" t="str">
        <f aca="false">IF(OR(A1198="",B1198=""),"",DATE(YEAR(B1198),MONTH(B1198),1))</f>
        <v/>
      </c>
      <c r="F1198" s="36" t="n">
        <f aca="false">IF(OR(E1198="",D1198=""),0,IF(C1198="Actual",D1198,IF(COUNTIFS($A$2:$A$2001,A1198,$E$2:$E$2001,E1198,$C$2:$C$2001,"Actual")&gt;0,0,D1198)))</f>
        <v>0</v>
      </c>
    </row>
    <row r="1199" customFormat="false" ht="15" hidden="false" customHeight="false" outlineLevel="0" collapsed="false">
      <c r="A1199" s="32"/>
      <c r="B1199" s="35"/>
      <c r="C1199" s="32"/>
      <c r="D1199" s="34"/>
      <c r="E1199" s="42" t="str">
        <f aca="false">IF(OR(A1199="",B1199=""),"",DATE(YEAR(B1199),MONTH(B1199),1))</f>
        <v/>
      </c>
      <c r="F1199" s="36" t="n">
        <f aca="false">IF(OR(E1199="",D1199=""),0,IF(C1199="Actual",D1199,IF(COUNTIFS($A$2:$A$2001,A1199,$E$2:$E$2001,E1199,$C$2:$C$2001,"Actual")&gt;0,0,D1199)))</f>
        <v>0</v>
      </c>
    </row>
    <row r="1200" customFormat="false" ht="15" hidden="false" customHeight="false" outlineLevel="0" collapsed="false">
      <c r="A1200" s="32"/>
      <c r="B1200" s="35"/>
      <c r="C1200" s="32"/>
      <c r="D1200" s="34"/>
      <c r="E1200" s="42" t="str">
        <f aca="false">IF(OR(A1200="",B1200=""),"",DATE(YEAR(B1200),MONTH(B1200),1))</f>
        <v/>
      </c>
      <c r="F1200" s="36" t="n">
        <f aca="false">IF(OR(E1200="",D1200=""),0,IF(C1200="Actual",D1200,IF(COUNTIFS($A$2:$A$2001,A1200,$E$2:$E$2001,E1200,$C$2:$C$2001,"Actual")&gt;0,0,D1200)))</f>
        <v>0</v>
      </c>
    </row>
    <row r="1201" customFormat="false" ht="15" hidden="false" customHeight="false" outlineLevel="0" collapsed="false">
      <c r="A1201" s="32"/>
      <c r="B1201" s="35"/>
      <c r="C1201" s="32"/>
      <c r="D1201" s="34"/>
      <c r="E1201" s="42" t="str">
        <f aca="false">IF(OR(A1201="",B1201=""),"",DATE(YEAR(B1201),MONTH(B1201),1))</f>
        <v/>
      </c>
      <c r="F1201" s="36" t="n">
        <f aca="false">IF(OR(E1201="",D1201=""),0,IF(C1201="Actual",D1201,IF(COUNTIFS($A$2:$A$2001,A1201,$E$2:$E$2001,E1201,$C$2:$C$2001,"Actual")&gt;0,0,D1201)))</f>
        <v>0</v>
      </c>
    </row>
    <row r="1202" customFormat="false" ht="15" hidden="false" customHeight="false" outlineLevel="0" collapsed="false">
      <c r="A1202" s="32"/>
      <c r="B1202" s="35"/>
      <c r="C1202" s="32"/>
      <c r="D1202" s="34"/>
      <c r="E1202" s="42" t="str">
        <f aca="false">IF(OR(A1202="",B1202=""),"",DATE(YEAR(B1202),MONTH(B1202),1))</f>
        <v/>
      </c>
      <c r="F1202" s="36" t="n">
        <f aca="false">IF(OR(E1202="",D1202=""),0,IF(C1202="Actual",D1202,IF(COUNTIFS($A$2:$A$2001,A1202,$E$2:$E$2001,E1202,$C$2:$C$2001,"Actual")&gt;0,0,D1202)))</f>
        <v>0</v>
      </c>
    </row>
    <row r="1203" customFormat="false" ht="15" hidden="false" customHeight="false" outlineLevel="0" collapsed="false">
      <c r="A1203" s="32"/>
      <c r="B1203" s="35"/>
      <c r="C1203" s="32"/>
      <c r="D1203" s="34"/>
      <c r="E1203" s="42" t="str">
        <f aca="false">IF(OR(A1203="",B1203=""),"",DATE(YEAR(B1203),MONTH(B1203),1))</f>
        <v/>
      </c>
      <c r="F1203" s="36" t="n">
        <f aca="false">IF(OR(E1203="",D1203=""),0,IF(C1203="Actual",D1203,IF(COUNTIFS($A$2:$A$2001,A1203,$E$2:$E$2001,E1203,$C$2:$C$2001,"Actual")&gt;0,0,D1203)))</f>
        <v>0</v>
      </c>
    </row>
    <row r="1204" customFormat="false" ht="15" hidden="false" customHeight="false" outlineLevel="0" collapsed="false">
      <c r="A1204" s="32"/>
      <c r="B1204" s="35"/>
      <c r="C1204" s="32"/>
      <c r="D1204" s="34"/>
      <c r="E1204" s="42" t="str">
        <f aca="false">IF(OR(A1204="",B1204=""),"",DATE(YEAR(B1204),MONTH(B1204),1))</f>
        <v/>
      </c>
      <c r="F1204" s="36" t="n">
        <f aca="false">IF(OR(E1204="",D1204=""),0,IF(C1204="Actual",D1204,IF(COUNTIFS($A$2:$A$2001,A1204,$E$2:$E$2001,E1204,$C$2:$C$2001,"Actual")&gt;0,0,D1204)))</f>
        <v>0</v>
      </c>
    </row>
    <row r="1205" customFormat="false" ht="15" hidden="false" customHeight="false" outlineLevel="0" collapsed="false">
      <c r="A1205" s="32"/>
      <c r="B1205" s="35"/>
      <c r="C1205" s="32"/>
      <c r="D1205" s="34"/>
      <c r="E1205" s="42" t="str">
        <f aca="false">IF(OR(A1205="",B1205=""),"",DATE(YEAR(B1205),MONTH(B1205),1))</f>
        <v/>
      </c>
      <c r="F1205" s="36" t="n">
        <f aca="false">IF(OR(E1205="",D1205=""),0,IF(C1205="Actual",D1205,IF(COUNTIFS($A$2:$A$2001,A1205,$E$2:$E$2001,E1205,$C$2:$C$2001,"Actual")&gt;0,0,D1205)))</f>
        <v>0</v>
      </c>
    </row>
    <row r="1206" customFormat="false" ht="15" hidden="false" customHeight="false" outlineLevel="0" collapsed="false">
      <c r="A1206" s="32"/>
      <c r="B1206" s="35"/>
      <c r="C1206" s="32"/>
      <c r="D1206" s="34"/>
      <c r="E1206" s="42" t="str">
        <f aca="false">IF(OR(A1206="",B1206=""),"",DATE(YEAR(B1206),MONTH(B1206),1))</f>
        <v/>
      </c>
      <c r="F1206" s="36" t="n">
        <f aca="false">IF(OR(E1206="",D1206=""),0,IF(C1206="Actual",D1206,IF(COUNTIFS($A$2:$A$2001,A1206,$E$2:$E$2001,E1206,$C$2:$C$2001,"Actual")&gt;0,0,D1206)))</f>
        <v>0</v>
      </c>
    </row>
    <row r="1207" customFormat="false" ht="15" hidden="false" customHeight="false" outlineLevel="0" collapsed="false">
      <c r="A1207" s="32"/>
      <c r="B1207" s="35"/>
      <c r="C1207" s="32"/>
      <c r="D1207" s="34"/>
      <c r="E1207" s="42" t="str">
        <f aca="false">IF(OR(A1207="",B1207=""),"",DATE(YEAR(B1207),MONTH(B1207),1))</f>
        <v/>
      </c>
      <c r="F1207" s="36" t="n">
        <f aca="false">IF(OR(E1207="",D1207=""),0,IF(C1207="Actual",D1207,IF(COUNTIFS($A$2:$A$2001,A1207,$E$2:$E$2001,E1207,$C$2:$C$2001,"Actual")&gt;0,0,D1207)))</f>
        <v>0</v>
      </c>
    </row>
    <row r="1208" customFormat="false" ht="15" hidden="false" customHeight="false" outlineLevel="0" collapsed="false">
      <c r="A1208" s="32"/>
      <c r="B1208" s="35"/>
      <c r="C1208" s="32"/>
      <c r="D1208" s="34"/>
      <c r="E1208" s="42" t="str">
        <f aca="false">IF(OR(A1208="",B1208=""),"",DATE(YEAR(B1208),MONTH(B1208),1))</f>
        <v/>
      </c>
      <c r="F1208" s="36" t="n">
        <f aca="false">IF(OR(E1208="",D1208=""),0,IF(C1208="Actual",D1208,IF(COUNTIFS($A$2:$A$2001,A1208,$E$2:$E$2001,E1208,$C$2:$C$2001,"Actual")&gt;0,0,D1208)))</f>
        <v>0</v>
      </c>
    </row>
    <row r="1209" customFormat="false" ht="15" hidden="false" customHeight="false" outlineLevel="0" collapsed="false">
      <c r="A1209" s="32"/>
      <c r="B1209" s="35"/>
      <c r="C1209" s="32"/>
      <c r="D1209" s="34"/>
      <c r="E1209" s="42" t="str">
        <f aca="false">IF(OR(A1209="",B1209=""),"",DATE(YEAR(B1209),MONTH(B1209),1))</f>
        <v/>
      </c>
      <c r="F1209" s="36" t="n">
        <f aca="false">IF(OR(E1209="",D1209=""),0,IF(C1209="Actual",D1209,IF(COUNTIFS($A$2:$A$2001,A1209,$E$2:$E$2001,E1209,$C$2:$C$2001,"Actual")&gt;0,0,D1209)))</f>
        <v>0</v>
      </c>
    </row>
    <row r="1210" customFormat="false" ht="15" hidden="false" customHeight="false" outlineLevel="0" collapsed="false">
      <c r="A1210" s="32"/>
      <c r="B1210" s="35"/>
      <c r="C1210" s="32"/>
      <c r="D1210" s="34"/>
      <c r="E1210" s="42" t="str">
        <f aca="false">IF(OR(A1210="",B1210=""),"",DATE(YEAR(B1210),MONTH(B1210),1))</f>
        <v/>
      </c>
      <c r="F1210" s="36" t="n">
        <f aca="false">IF(OR(E1210="",D1210=""),0,IF(C1210="Actual",D1210,IF(COUNTIFS($A$2:$A$2001,A1210,$E$2:$E$2001,E1210,$C$2:$C$2001,"Actual")&gt;0,0,D1210)))</f>
        <v>0</v>
      </c>
    </row>
    <row r="1211" customFormat="false" ht="15" hidden="false" customHeight="false" outlineLevel="0" collapsed="false">
      <c r="A1211" s="32"/>
      <c r="B1211" s="35"/>
      <c r="C1211" s="32"/>
      <c r="D1211" s="34"/>
      <c r="E1211" s="42" t="str">
        <f aca="false">IF(OR(A1211="",B1211=""),"",DATE(YEAR(B1211),MONTH(B1211),1))</f>
        <v/>
      </c>
      <c r="F1211" s="36" t="n">
        <f aca="false">IF(OR(E1211="",D1211=""),0,IF(C1211="Actual",D1211,IF(COUNTIFS($A$2:$A$2001,A1211,$E$2:$E$2001,E1211,$C$2:$C$2001,"Actual")&gt;0,0,D1211)))</f>
        <v>0</v>
      </c>
    </row>
    <row r="1212" customFormat="false" ht="15" hidden="false" customHeight="false" outlineLevel="0" collapsed="false">
      <c r="A1212" s="32"/>
      <c r="B1212" s="35"/>
      <c r="C1212" s="32"/>
      <c r="D1212" s="34"/>
      <c r="E1212" s="42" t="str">
        <f aca="false">IF(OR(A1212="",B1212=""),"",DATE(YEAR(B1212),MONTH(B1212),1))</f>
        <v/>
      </c>
      <c r="F1212" s="36" t="n">
        <f aca="false">IF(OR(E1212="",D1212=""),0,IF(C1212="Actual",D1212,IF(COUNTIFS($A$2:$A$2001,A1212,$E$2:$E$2001,E1212,$C$2:$C$2001,"Actual")&gt;0,0,D1212)))</f>
        <v>0</v>
      </c>
    </row>
    <row r="1213" customFormat="false" ht="15" hidden="false" customHeight="false" outlineLevel="0" collapsed="false">
      <c r="A1213" s="32"/>
      <c r="B1213" s="35"/>
      <c r="C1213" s="32"/>
      <c r="D1213" s="34"/>
      <c r="E1213" s="42" t="str">
        <f aca="false">IF(OR(A1213="",B1213=""),"",DATE(YEAR(B1213),MONTH(B1213),1))</f>
        <v/>
      </c>
      <c r="F1213" s="36" t="n">
        <f aca="false">IF(OR(E1213="",D1213=""),0,IF(C1213="Actual",D1213,IF(COUNTIFS($A$2:$A$2001,A1213,$E$2:$E$2001,E1213,$C$2:$C$2001,"Actual")&gt;0,0,D1213)))</f>
        <v>0</v>
      </c>
    </row>
    <row r="1214" customFormat="false" ht="15" hidden="false" customHeight="false" outlineLevel="0" collapsed="false">
      <c r="A1214" s="32"/>
      <c r="B1214" s="35"/>
      <c r="C1214" s="32"/>
      <c r="D1214" s="34"/>
      <c r="E1214" s="42" t="str">
        <f aca="false">IF(OR(A1214="",B1214=""),"",DATE(YEAR(B1214),MONTH(B1214),1))</f>
        <v/>
      </c>
      <c r="F1214" s="36" t="n">
        <f aca="false">IF(OR(E1214="",D1214=""),0,IF(C1214="Actual",D1214,IF(COUNTIFS($A$2:$A$2001,A1214,$E$2:$E$2001,E1214,$C$2:$C$2001,"Actual")&gt;0,0,D1214)))</f>
        <v>0</v>
      </c>
    </row>
    <row r="1215" customFormat="false" ht="15" hidden="false" customHeight="false" outlineLevel="0" collapsed="false">
      <c r="A1215" s="32"/>
      <c r="B1215" s="35"/>
      <c r="C1215" s="32"/>
      <c r="D1215" s="34"/>
      <c r="E1215" s="42" t="str">
        <f aca="false">IF(OR(A1215="",B1215=""),"",DATE(YEAR(B1215),MONTH(B1215),1))</f>
        <v/>
      </c>
      <c r="F1215" s="36" t="n">
        <f aca="false">IF(OR(E1215="",D1215=""),0,IF(C1215="Actual",D1215,IF(COUNTIFS($A$2:$A$2001,A1215,$E$2:$E$2001,E1215,$C$2:$C$2001,"Actual")&gt;0,0,D1215)))</f>
        <v>0</v>
      </c>
    </row>
    <row r="1216" customFormat="false" ht="15" hidden="false" customHeight="false" outlineLevel="0" collapsed="false">
      <c r="A1216" s="32"/>
      <c r="B1216" s="35"/>
      <c r="C1216" s="32"/>
      <c r="D1216" s="34"/>
      <c r="E1216" s="42" t="str">
        <f aca="false">IF(OR(A1216="",B1216=""),"",DATE(YEAR(B1216),MONTH(B1216),1))</f>
        <v/>
      </c>
      <c r="F1216" s="36" t="n">
        <f aca="false">IF(OR(E1216="",D1216=""),0,IF(C1216="Actual",D1216,IF(COUNTIFS($A$2:$A$2001,A1216,$E$2:$E$2001,E1216,$C$2:$C$2001,"Actual")&gt;0,0,D1216)))</f>
        <v>0</v>
      </c>
    </row>
    <row r="1217" customFormat="false" ht="15" hidden="false" customHeight="false" outlineLevel="0" collapsed="false">
      <c r="A1217" s="32"/>
      <c r="B1217" s="35"/>
      <c r="C1217" s="32"/>
      <c r="D1217" s="34"/>
      <c r="E1217" s="42" t="str">
        <f aca="false">IF(OR(A1217="",B1217=""),"",DATE(YEAR(B1217),MONTH(B1217),1))</f>
        <v/>
      </c>
      <c r="F1217" s="36" t="n">
        <f aca="false">IF(OR(E1217="",D1217=""),0,IF(C1217="Actual",D1217,IF(COUNTIFS($A$2:$A$2001,A1217,$E$2:$E$2001,E1217,$C$2:$C$2001,"Actual")&gt;0,0,D1217)))</f>
        <v>0</v>
      </c>
    </row>
    <row r="1218" customFormat="false" ht="15" hidden="false" customHeight="false" outlineLevel="0" collapsed="false">
      <c r="A1218" s="32"/>
      <c r="B1218" s="35"/>
      <c r="C1218" s="32"/>
      <c r="D1218" s="34"/>
      <c r="E1218" s="42" t="str">
        <f aca="false">IF(OR(A1218="",B1218=""),"",DATE(YEAR(B1218),MONTH(B1218),1))</f>
        <v/>
      </c>
      <c r="F1218" s="36" t="n">
        <f aca="false">IF(OR(E1218="",D1218=""),0,IF(C1218="Actual",D1218,IF(COUNTIFS($A$2:$A$2001,A1218,$E$2:$E$2001,E1218,$C$2:$C$2001,"Actual")&gt;0,0,D1218)))</f>
        <v>0</v>
      </c>
    </row>
    <row r="1219" customFormat="false" ht="15" hidden="false" customHeight="false" outlineLevel="0" collapsed="false">
      <c r="A1219" s="32"/>
      <c r="B1219" s="35"/>
      <c r="C1219" s="32"/>
      <c r="D1219" s="34"/>
      <c r="E1219" s="42" t="str">
        <f aca="false">IF(OR(A1219="",B1219=""),"",DATE(YEAR(B1219),MONTH(B1219),1))</f>
        <v/>
      </c>
      <c r="F1219" s="36" t="n">
        <f aca="false">IF(OR(E1219="",D1219=""),0,IF(C1219="Actual",D1219,IF(COUNTIFS($A$2:$A$2001,A1219,$E$2:$E$2001,E1219,$C$2:$C$2001,"Actual")&gt;0,0,D1219)))</f>
        <v>0</v>
      </c>
    </row>
    <row r="1220" customFormat="false" ht="15" hidden="false" customHeight="false" outlineLevel="0" collapsed="false">
      <c r="A1220" s="32"/>
      <c r="B1220" s="35"/>
      <c r="C1220" s="32"/>
      <c r="D1220" s="34"/>
      <c r="E1220" s="42" t="str">
        <f aca="false">IF(OR(A1220="",B1220=""),"",DATE(YEAR(B1220),MONTH(B1220),1))</f>
        <v/>
      </c>
      <c r="F1220" s="36" t="n">
        <f aca="false">IF(OR(E1220="",D1220=""),0,IF(C1220="Actual",D1220,IF(COUNTIFS($A$2:$A$2001,A1220,$E$2:$E$2001,E1220,$C$2:$C$2001,"Actual")&gt;0,0,D1220)))</f>
        <v>0</v>
      </c>
    </row>
    <row r="1221" customFormat="false" ht="15" hidden="false" customHeight="false" outlineLevel="0" collapsed="false">
      <c r="A1221" s="32"/>
      <c r="B1221" s="35"/>
      <c r="C1221" s="32"/>
      <c r="D1221" s="34"/>
      <c r="E1221" s="42" t="str">
        <f aca="false">IF(OR(A1221="",B1221=""),"",DATE(YEAR(B1221),MONTH(B1221),1))</f>
        <v/>
      </c>
      <c r="F1221" s="36" t="n">
        <f aca="false">IF(OR(E1221="",D1221=""),0,IF(C1221="Actual",D1221,IF(COUNTIFS($A$2:$A$2001,A1221,$E$2:$E$2001,E1221,$C$2:$C$2001,"Actual")&gt;0,0,D1221)))</f>
        <v>0</v>
      </c>
    </row>
    <row r="1222" customFormat="false" ht="15" hidden="false" customHeight="false" outlineLevel="0" collapsed="false">
      <c r="A1222" s="32"/>
      <c r="B1222" s="35"/>
      <c r="C1222" s="32"/>
      <c r="D1222" s="34"/>
      <c r="E1222" s="42" t="str">
        <f aca="false">IF(OR(A1222="",B1222=""),"",DATE(YEAR(B1222),MONTH(B1222),1))</f>
        <v/>
      </c>
      <c r="F1222" s="36" t="n">
        <f aca="false">IF(OR(E1222="",D1222=""),0,IF(C1222="Actual",D1222,IF(COUNTIFS($A$2:$A$2001,A1222,$E$2:$E$2001,E1222,$C$2:$C$2001,"Actual")&gt;0,0,D1222)))</f>
        <v>0</v>
      </c>
    </row>
    <row r="1223" customFormat="false" ht="15" hidden="false" customHeight="false" outlineLevel="0" collapsed="false">
      <c r="A1223" s="32"/>
      <c r="B1223" s="35"/>
      <c r="C1223" s="32"/>
      <c r="D1223" s="34"/>
      <c r="E1223" s="42" t="str">
        <f aca="false">IF(OR(A1223="",B1223=""),"",DATE(YEAR(B1223),MONTH(B1223),1))</f>
        <v/>
      </c>
      <c r="F1223" s="36" t="n">
        <f aca="false">IF(OR(E1223="",D1223=""),0,IF(C1223="Actual",D1223,IF(COUNTIFS($A$2:$A$2001,A1223,$E$2:$E$2001,E1223,$C$2:$C$2001,"Actual")&gt;0,0,D1223)))</f>
        <v>0</v>
      </c>
    </row>
    <row r="1224" customFormat="false" ht="15" hidden="false" customHeight="false" outlineLevel="0" collapsed="false">
      <c r="A1224" s="32"/>
      <c r="B1224" s="35"/>
      <c r="C1224" s="32"/>
      <c r="D1224" s="34"/>
      <c r="E1224" s="42" t="str">
        <f aca="false">IF(OR(A1224="",B1224=""),"",DATE(YEAR(B1224),MONTH(B1224),1))</f>
        <v/>
      </c>
      <c r="F1224" s="36" t="n">
        <f aca="false">IF(OR(E1224="",D1224=""),0,IF(C1224="Actual",D1224,IF(COUNTIFS($A$2:$A$2001,A1224,$E$2:$E$2001,E1224,$C$2:$C$2001,"Actual")&gt;0,0,D1224)))</f>
        <v>0</v>
      </c>
    </row>
    <row r="1225" customFormat="false" ht="15" hidden="false" customHeight="false" outlineLevel="0" collapsed="false">
      <c r="A1225" s="32"/>
      <c r="B1225" s="35"/>
      <c r="C1225" s="32"/>
      <c r="D1225" s="34"/>
      <c r="E1225" s="42" t="str">
        <f aca="false">IF(OR(A1225="",B1225=""),"",DATE(YEAR(B1225),MONTH(B1225),1))</f>
        <v/>
      </c>
      <c r="F1225" s="36" t="n">
        <f aca="false">IF(OR(E1225="",D1225=""),0,IF(C1225="Actual",D1225,IF(COUNTIFS($A$2:$A$2001,A1225,$E$2:$E$2001,E1225,$C$2:$C$2001,"Actual")&gt;0,0,D1225)))</f>
        <v>0</v>
      </c>
    </row>
    <row r="1226" customFormat="false" ht="15" hidden="false" customHeight="false" outlineLevel="0" collapsed="false">
      <c r="A1226" s="32"/>
      <c r="B1226" s="35"/>
      <c r="C1226" s="32"/>
      <c r="D1226" s="34"/>
      <c r="E1226" s="42" t="str">
        <f aca="false">IF(OR(A1226="",B1226=""),"",DATE(YEAR(B1226),MONTH(B1226),1))</f>
        <v/>
      </c>
      <c r="F1226" s="36" t="n">
        <f aca="false">IF(OR(E1226="",D1226=""),0,IF(C1226="Actual",D1226,IF(COUNTIFS($A$2:$A$2001,A1226,$E$2:$E$2001,E1226,$C$2:$C$2001,"Actual")&gt;0,0,D1226)))</f>
        <v>0</v>
      </c>
    </row>
    <row r="1227" customFormat="false" ht="15" hidden="false" customHeight="false" outlineLevel="0" collapsed="false">
      <c r="A1227" s="32"/>
      <c r="B1227" s="35"/>
      <c r="C1227" s="32"/>
      <c r="D1227" s="34"/>
      <c r="E1227" s="42" t="str">
        <f aca="false">IF(OR(A1227="",B1227=""),"",DATE(YEAR(B1227),MONTH(B1227),1))</f>
        <v/>
      </c>
      <c r="F1227" s="36" t="n">
        <f aca="false">IF(OR(E1227="",D1227=""),0,IF(C1227="Actual",D1227,IF(COUNTIFS($A$2:$A$2001,A1227,$E$2:$E$2001,E1227,$C$2:$C$2001,"Actual")&gt;0,0,D1227)))</f>
        <v>0</v>
      </c>
    </row>
    <row r="1228" customFormat="false" ht="15" hidden="false" customHeight="false" outlineLevel="0" collapsed="false">
      <c r="A1228" s="32"/>
      <c r="B1228" s="35"/>
      <c r="C1228" s="32"/>
      <c r="D1228" s="34"/>
      <c r="E1228" s="42" t="str">
        <f aca="false">IF(OR(A1228="",B1228=""),"",DATE(YEAR(B1228),MONTH(B1228),1))</f>
        <v/>
      </c>
      <c r="F1228" s="36" t="n">
        <f aca="false">IF(OR(E1228="",D1228=""),0,IF(C1228="Actual",D1228,IF(COUNTIFS($A$2:$A$2001,A1228,$E$2:$E$2001,E1228,$C$2:$C$2001,"Actual")&gt;0,0,D1228)))</f>
        <v>0</v>
      </c>
    </row>
    <row r="1229" customFormat="false" ht="15" hidden="false" customHeight="false" outlineLevel="0" collapsed="false">
      <c r="A1229" s="32"/>
      <c r="B1229" s="35"/>
      <c r="C1229" s="32"/>
      <c r="D1229" s="34"/>
      <c r="E1229" s="42" t="str">
        <f aca="false">IF(OR(A1229="",B1229=""),"",DATE(YEAR(B1229),MONTH(B1229),1))</f>
        <v/>
      </c>
      <c r="F1229" s="36" t="n">
        <f aca="false">IF(OR(E1229="",D1229=""),0,IF(C1229="Actual",D1229,IF(COUNTIFS($A$2:$A$2001,A1229,$E$2:$E$2001,E1229,$C$2:$C$2001,"Actual")&gt;0,0,D1229)))</f>
        <v>0</v>
      </c>
    </row>
    <row r="1230" customFormat="false" ht="15" hidden="false" customHeight="false" outlineLevel="0" collapsed="false">
      <c r="A1230" s="32"/>
      <c r="B1230" s="35"/>
      <c r="C1230" s="32"/>
      <c r="D1230" s="34"/>
      <c r="E1230" s="42" t="str">
        <f aca="false">IF(OR(A1230="",B1230=""),"",DATE(YEAR(B1230),MONTH(B1230),1))</f>
        <v/>
      </c>
      <c r="F1230" s="36" t="n">
        <f aca="false">IF(OR(E1230="",D1230=""),0,IF(C1230="Actual",D1230,IF(COUNTIFS($A$2:$A$2001,A1230,$E$2:$E$2001,E1230,$C$2:$C$2001,"Actual")&gt;0,0,D1230)))</f>
        <v>0</v>
      </c>
    </row>
    <row r="1231" customFormat="false" ht="15" hidden="false" customHeight="false" outlineLevel="0" collapsed="false">
      <c r="A1231" s="32"/>
      <c r="B1231" s="35"/>
      <c r="C1231" s="32"/>
      <c r="D1231" s="34"/>
      <c r="E1231" s="42" t="str">
        <f aca="false">IF(OR(A1231="",B1231=""),"",DATE(YEAR(B1231),MONTH(B1231),1))</f>
        <v/>
      </c>
      <c r="F1231" s="36" t="n">
        <f aca="false">IF(OR(E1231="",D1231=""),0,IF(C1231="Actual",D1231,IF(COUNTIFS($A$2:$A$2001,A1231,$E$2:$E$2001,E1231,$C$2:$C$2001,"Actual")&gt;0,0,D1231)))</f>
        <v>0</v>
      </c>
    </row>
    <row r="1232" customFormat="false" ht="15" hidden="false" customHeight="false" outlineLevel="0" collapsed="false">
      <c r="A1232" s="32"/>
      <c r="B1232" s="35"/>
      <c r="C1232" s="32"/>
      <c r="D1232" s="34"/>
      <c r="E1232" s="42" t="str">
        <f aca="false">IF(OR(A1232="",B1232=""),"",DATE(YEAR(B1232),MONTH(B1232),1))</f>
        <v/>
      </c>
      <c r="F1232" s="36" t="n">
        <f aca="false">IF(OR(E1232="",D1232=""),0,IF(C1232="Actual",D1232,IF(COUNTIFS($A$2:$A$2001,A1232,$E$2:$E$2001,E1232,$C$2:$C$2001,"Actual")&gt;0,0,D1232)))</f>
        <v>0</v>
      </c>
    </row>
    <row r="1233" customFormat="false" ht="15" hidden="false" customHeight="false" outlineLevel="0" collapsed="false">
      <c r="A1233" s="32"/>
      <c r="B1233" s="35"/>
      <c r="C1233" s="32"/>
      <c r="D1233" s="34"/>
      <c r="E1233" s="42" t="str">
        <f aca="false">IF(OR(A1233="",B1233=""),"",DATE(YEAR(B1233),MONTH(B1233),1))</f>
        <v/>
      </c>
      <c r="F1233" s="36" t="n">
        <f aca="false">IF(OR(E1233="",D1233=""),0,IF(C1233="Actual",D1233,IF(COUNTIFS($A$2:$A$2001,A1233,$E$2:$E$2001,E1233,$C$2:$C$2001,"Actual")&gt;0,0,D1233)))</f>
        <v>0</v>
      </c>
    </row>
    <row r="1234" customFormat="false" ht="15" hidden="false" customHeight="false" outlineLevel="0" collapsed="false">
      <c r="A1234" s="32"/>
      <c r="B1234" s="35"/>
      <c r="C1234" s="32"/>
      <c r="D1234" s="34"/>
      <c r="E1234" s="42" t="str">
        <f aca="false">IF(OR(A1234="",B1234=""),"",DATE(YEAR(B1234),MONTH(B1234),1))</f>
        <v/>
      </c>
      <c r="F1234" s="36" t="n">
        <f aca="false">IF(OR(E1234="",D1234=""),0,IF(C1234="Actual",D1234,IF(COUNTIFS($A$2:$A$2001,A1234,$E$2:$E$2001,E1234,$C$2:$C$2001,"Actual")&gt;0,0,D1234)))</f>
        <v>0</v>
      </c>
    </row>
    <row r="1235" customFormat="false" ht="15" hidden="false" customHeight="false" outlineLevel="0" collapsed="false">
      <c r="A1235" s="32"/>
      <c r="B1235" s="35"/>
      <c r="C1235" s="32"/>
      <c r="D1235" s="34"/>
      <c r="E1235" s="42" t="str">
        <f aca="false">IF(OR(A1235="",B1235=""),"",DATE(YEAR(B1235),MONTH(B1235),1))</f>
        <v/>
      </c>
      <c r="F1235" s="36" t="n">
        <f aca="false">IF(OR(E1235="",D1235=""),0,IF(C1235="Actual",D1235,IF(COUNTIFS($A$2:$A$2001,A1235,$E$2:$E$2001,E1235,$C$2:$C$2001,"Actual")&gt;0,0,D1235)))</f>
        <v>0</v>
      </c>
    </row>
    <row r="1236" customFormat="false" ht="15" hidden="false" customHeight="false" outlineLevel="0" collapsed="false">
      <c r="A1236" s="32"/>
      <c r="B1236" s="35"/>
      <c r="C1236" s="32"/>
      <c r="D1236" s="34"/>
      <c r="E1236" s="42" t="str">
        <f aca="false">IF(OR(A1236="",B1236=""),"",DATE(YEAR(B1236),MONTH(B1236),1))</f>
        <v/>
      </c>
      <c r="F1236" s="36" t="n">
        <f aca="false">IF(OR(E1236="",D1236=""),0,IF(C1236="Actual",D1236,IF(COUNTIFS($A$2:$A$2001,A1236,$E$2:$E$2001,E1236,$C$2:$C$2001,"Actual")&gt;0,0,D1236)))</f>
        <v>0</v>
      </c>
    </row>
    <row r="1237" customFormat="false" ht="15" hidden="false" customHeight="false" outlineLevel="0" collapsed="false">
      <c r="A1237" s="32"/>
      <c r="B1237" s="35"/>
      <c r="C1237" s="32"/>
      <c r="D1237" s="34"/>
      <c r="E1237" s="42" t="str">
        <f aca="false">IF(OR(A1237="",B1237=""),"",DATE(YEAR(B1237),MONTH(B1237),1))</f>
        <v/>
      </c>
      <c r="F1237" s="36" t="n">
        <f aca="false">IF(OR(E1237="",D1237=""),0,IF(C1237="Actual",D1237,IF(COUNTIFS($A$2:$A$2001,A1237,$E$2:$E$2001,E1237,$C$2:$C$2001,"Actual")&gt;0,0,D1237)))</f>
        <v>0</v>
      </c>
    </row>
    <row r="1238" customFormat="false" ht="15" hidden="false" customHeight="false" outlineLevel="0" collapsed="false">
      <c r="A1238" s="32"/>
      <c r="B1238" s="35"/>
      <c r="C1238" s="32"/>
      <c r="D1238" s="34"/>
      <c r="E1238" s="42" t="str">
        <f aca="false">IF(OR(A1238="",B1238=""),"",DATE(YEAR(B1238),MONTH(B1238),1))</f>
        <v/>
      </c>
      <c r="F1238" s="36" t="n">
        <f aca="false">IF(OR(E1238="",D1238=""),0,IF(C1238="Actual",D1238,IF(COUNTIFS($A$2:$A$2001,A1238,$E$2:$E$2001,E1238,$C$2:$C$2001,"Actual")&gt;0,0,D1238)))</f>
        <v>0</v>
      </c>
    </row>
    <row r="1239" customFormat="false" ht="15" hidden="false" customHeight="false" outlineLevel="0" collapsed="false">
      <c r="A1239" s="32"/>
      <c r="B1239" s="35"/>
      <c r="C1239" s="32"/>
      <c r="D1239" s="34"/>
      <c r="E1239" s="42" t="str">
        <f aca="false">IF(OR(A1239="",B1239=""),"",DATE(YEAR(B1239),MONTH(B1239),1))</f>
        <v/>
      </c>
      <c r="F1239" s="36" t="n">
        <f aca="false">IF(OR(E1239="",D1239=""),0,IF(C1239="Actual",D1239,IF(COUNTIFS($A$2:$A$2001,A1239,$E$2:$E$2001,E1239,$C$2:$C$2001,"Actual")&gt;0,0,D1239)))</f>
        <v>0</v>
      </c>
    </row>
    <row r="1240" customFormat="false" ht="15" hidden="false" customHeight="false" outlineLevel="0" collapsed="false">
      <c r="A1240" s="32"/>
      <c r="B1240" s="35"/>
      <c r="C1240" s="32"/>
      <c r="D1240" s="34"/>
      <c r="E1240" s="42" t="str">
        <f aca="false">IF(OR(A1240="",B1240=""),"",DATE(YEAR(B1240),MONTH(B1240),1))</f>
        <v/>
      </c>
      <c r="F1240" s="36" t="n">
        <f aca="false">IF(OR(E1240="",D1240=""),0,IF(C1240="Actual",D1240,IF(COUNTIFS($A$2:$A$2001,A1240,$E$2:$E$2001,E1240,$C$2:$C$2001,"Actual")&gt;0,0,D1240)))</f>
        <v>0</v>
      </c>
    </row>
    <row r="1241" customFormat="false" ht="15" hidden="false" customHeight="false" outlineLevel="0" collapsed="false">
      <c r="A1241" s="32"/>
      <c r="B1241" s="35"/>
      <c r="C1241" s="32"/>
      <c r="D1241" s="34"/>
      <c r="E1241" s="42" t="str">
        <f aca="false">IF(OR(A1241="",B1241=""),"",DATE(YEAR(B1241),MONTH(B1241),1))</f>
        <v/>
      </c>
      <c r="F1241" s="36" t="n">
        <f aca="false">IF(OR(E1241="",D1241=""),0,IF(C1241="Actual",D1241,IF(COUNTIFS($A$2:$A$2001,A1241,$E$2:$E$2001,E1241,$C$2:$C$2001,"Actual")&gt;0,0,D1241)))</f>
        <v>0</v>
      </c>
    </row>
    <row r="1242" customFormat="false" ht="15" hidden="false" customHeight="false" outlineLevel="0" collapsed="false">
      <c r="A1242" s="32"/>
      <c r="B1242" s="35"/>
      <c r="C1242" s="32"/>
      <c r="D1242" s="34"/>
      <c r="E1242" s="42" t="str">
        <f aca="false">IF(OR(A1242="",B1242=""),"",DATE(YEAR(B1242),MONTH(B1242),1))</f>
        <v/>
      </c>
      <c r="F1242" s="36" t="n">
        <f aca="false">IF(OR(E1242="",D1242=""),0,IF(C1242="Actual",D1242,IF(COUNTIFS($A$2:$A$2001,A1242,$E$2:$E$2001,E1242,$C$2:$C$2001,"Actual")&gt;0,0,D1242)))</f>
        <v>0</v>
      </c>
    </row>
    <row r="1243" customFormat="false" ht="15" hidden="false" customHeight="false" outlineLevel="0" collapsed="false">
      <c r="A1243" s="32"/>
      <c r="B1243" s="35"/>
      <c r="C1243" s="32"/>
      <c r="D1243" s="34"/>
      <c r="E1243" s="42" t="str">
        <f aca="false">IF(OR(A1243="",B1243=""),"",DATE(YEAR(B1243),MONTH(B1243),1))</f>
        <v/>
      </c>
      <c r="F1243" s="36" t="n">
        <f aca="false">IF(OR(E1243="",D1243=""),0,IF(C1243="Actual",D1243,IF(COUNTIFS($A$2:$A$2001,A1243,$E$2:$E$2001,E1243,$C$2:$C$2001,"Actual")&gt;0,0,D1243)))</f>
        <v>0</v>
      </c>
    </row>
    <row r="1244" customFormat="false" ht="15" hidden="false" customHeight="false" outlineLevel="0" collapsed="false">
      <c r="A1244" s="32"/>
      <c r="B1244" s="35"/>
      <c r="C1244" s="32"/>
      <c r="D1244" s="34"/>
      <c r="E1244" s="42" t="str">
        <f aca="false">IF(OR(A1244="",B1244=""),"",DATE(YEAR(B1244),MONTH(B1244),1))</f>
        <v/>
      </c>
      <c r="F1244" s="36" t="n">
        <f aca="false">IF(OR(E1244="",D1244=""),0,IF(C1244="Actual",D1244,IF(COUNTIFS($A$2:$A$2001,A1244,$E$2:$E$2001,E1244,$C$2:$C$2001,"Actual")&gt;0,0,D1244)))</f>
        <v>0</v>
      </c>
    </row>
    <row r="1245" customFormat="false" ht="15" hidden="false" customHeight="false" outlineLevel="0" collapsed="false">
      <c r="A1245" s="32"/>
      <c r="B1245" s="35"/>
      <c r="C1245" s="32"/>
      <c r="D1245" s="34"/>
      <c r="E1245" s="42" t="str">
        <f aca="false">IF(OR(A1245="",B1245=""),"",DATE(YEAR(B1245),MONTH(B1245),1))</f>
        <v/>
      </c>
      <c r="F1245" s="36" t="n">
        <f aca="false">IF(OR(E1245="",D1245=""),0,IF(C1245="Actual",D1245,IF(COUNTIFS($A$2:$A$2001,A1245,$E$2:$E$2001,E1245,$C$2:$C$2001,"Actual")&gt;0,0,D1245)))</f>
        <v>0</v>
      </c>
    </row>
    <row r="1246" customFormat="false" ht="15" hidden="false" customHeight="false" outlineLevel="0" collapsed="false">
      <c r="A1246" s="32"/>
      <c r="B1246" s="35"/>
      <c r="C1246" s="32"/>
      <c r="D1246" s="34"/>
      <c r="E1246" s="42" t="str">
        <f aca="false">IF(OR(A1246="",B1246=""),"",DATE(YEAR(B1246),MONTH(B1246),1))</f>
        <v/>
      </c>
      <c r="F1246" s="36" t="n">
        <f aca="false">IF(OR(E1246="",D1246=""),0,IF(C1246="Actual",D1246,IF(COUNTIFS($A$2:$A$2001,A1246,$E$2:$E$2001,E1246,$C$2:$C$2001,"Actual")&gt;0,0,D1246)))</f>
        <v>0</v>
      </c>
    </row>
    <row r="1247" customFormat="false" ht="15" hidden="false" customHeight="false" outlineLevel="0" collapsed="false">
      <c r="A1247" s="32"/>
      <c r="B1247" s="35"/>
      <c r="C1247" s="32"/>
      <c r="D1247" s="34"/>
      <c r="E1247" s="42" t="str">
        <f aca="false">IF(OR(A1247="",B1247=""),"",DATE(YEAR(B1247),MONTH(B1247),1))</f>
        <v/>
      </c>
      <c r="F1247" s="36" t="n">
        <f aca="false">IF(OR(E1247="",D1247=""),0,IF(C1247="Actual",D1247,IF(COUNTIFS($A$2:$A$2001,A1247,$E$2:$E$2001,E1247,$C$2:$C$2001,"Actual")&gt;0,0,D1247)))</f>
        <v>0</v>
      </c>
    </row>
    <row r="1248" customFormat="false" ht="15" hidden="false" customHeight="false" outlineLevel="0" collapsed="false">
      <c r="A1248" s="32"/>
      <c r="B1248" s="35"/>
      <c r="C1248" s="32"/>
      <c r="D1248" s="34"/>
      <c r="E1248" s="42" t="str">
        <f aca="false">IF(OR(A1248="",B1248=""),"",DATE(YEAR(B1248),MONTH(B1248),1))</f>
        <v/>
      </c>
      <c r="F1248" s="36" t="n">
        <f aca="false">IF(OR(E1248="",D1248=""),0,IF(C1248="Actual",D1248,IF(COUNTIFS($A$2:$A$2001,A1248,$E$2:$E$2001,E1248,$C$2:$C$2001,"Actual")&gt;0,0,D1248)))</f>
        <v>0</v>
      </c>
    </row>
    <row r="1249" customFormat="false" ht="15" hidden="false" customHeight="false" outlineLevel="0" collapsed="false">
      <c r="A1249" s="32"/>
      <c r="B1249" s="35"/>
      <c r="C1249" s="32"/>
      <c r="D1249" s="34"/>
      <c r="E1249" s="42" t="str">
        <f aca="false">IF(OR(A1249="",B1249=""),"",DATE(YEAR(B1249),MONTH(B1249),1))</f>
        <v/>
      </c>
      <c r="F1249" s="36" t="n">
        <f aca="false">IF(OR(E1249="",D1249=""),0,IF(C1249="Actual",D1249,IF(COUNTIFS($A$2:$A$2001,A1249,$E$2:$E$2001,E1249,$C$2:$C$2001,"Actual")&gt;0,0,D1249)))</f>
        <v>0</v>
      </c>
    </row>
    <row r="1250" customFormat="false" ht="15" hidden="false" customHeight="false" outlineLevel="0" collapsed="false">
      <c r="A1250" s="32"/>
      <c r="B1250" s="35"/>
      <c r="C1250" s="32"/>
      <c r="D1250" s="34"/>
      <c r="E1250" s="42" t="str">
        <f aca="false">IF(OR(A1250="",B1250=""),"",DATE(YEAR(B1250),MONTH(B1250),1))</f>
        <v/>
      </c>
      <c r="F1250" s="36" t="n">
        <f aca="false">IF(OR(E1250="",D1250=""),0,IF(C1250="Actual",D1250,IF(COUNTIFS($A$2:$A$2001,A1250,$E$2:$E$2001,E1250,$C$2:$C$2001,"Actual")&gt;0,0,D1250)))</f>
        <v>0</v>
      </c>
    </row>
    <row r="1251" customFormat="false" ht="15" hidden="false" customHeight="false" outlineLevel="0" collapsed="false">
      <c r="A1251" s="32"/>
      <c r="B1251" s="35"/>
      <c r="C1251" s="32"/>
      <c r="D1251" s="34"/>
      <c r="E1251" s="42" t="str">
        <f aca="false">IF(OR(A1251="",B1251=""),"",DATE(YEAR(B1251),MONTH(B1251),1))</f>
        <v/>
      </c>
      <c r="F1251" s="36" t="n">
        <f aca="false">IF(OR(E1251="",D1251=""),0,IF(C1251="Actual",D1251,IF(COUNTIFS($A$2:$A$2001,A1251,$E$2:$E$2001,E1251,$C$2:$C$2001,"Actual")&gt;0,0,D1251)))</f>
        <v>0</v>
      </c>
    </row>
    <row r="1252" customFormat="false" ht="15" hidden="false" customHeight="false" outlineLevel="0" collapsed="false">
      <c r="A1252" s="32"/>
      <c r="B1252" s="35"/>
      <c r="C1252" s="32"/>
      <c r="D1252" s="34"/>
      <c r="E1252" s="42" t="str">
        <f aca="false">IF(OR(A1252="",B1252=""),"",DATE(YEAR(B1252),MONTH(B1252),1))</f>
        <v/>
      </c>
      <c r="F1252" s="36" t="n">
        <f aca="false">IF(OR(E1252="",D1252=""),0,IF(C1252="Actual",D1252,IF(COUNTIFS($A$2:$A$2001,A1252,$E$2:$E$2001,E1252,$C$2:$C$2001,"Actual")&gt;0,0,D1252)))</f>
        <v>0</v>
      </c>
    </row>
    <row r="1253" customFormat="false" ht="15" hidden="false" customHeight="false" outlineLevel="0" collapsed="false">
      <c r="A1253" s="32"/>
      <c r="B1253" s="35"/>
      <c r="C1253" s="32"/>
      <c r="D1253" s="34"/>
      <c r="E1253" s="42" t="str">
        <f aca="false">IF(OR(A1253="",B1253=""),"",DATE(YEAR(B1253),MONTH(B1253),1))</f>
        <v/>
      </c>
      <c r="F1253" s="36" t="n">
        <f aca="false">IF(OR(E1253="",D1253=""),0,IF(C1253="Actual",D1253,IF(COUNTIFS($A$2:$A$2001,A1253,$E$2:$E$2001,E1253,$C$2:$C$2001,"Actual")&gt;0,0,D1253)))</f>
        <v>0</v>
      </c>
    </row>
    <row r="1254" customFormat="false" ht="15" hidden="false" customHeight="false" outlineLevel="0" collapsed="false">
      <c r="A1254" s="32"/>
      <c r="B1254" s="35"/>
      <c r="C1254" s="32"/>
      <c r="D1254" s="34"/>
      <c r="E1254" s="42" t="str">
        <f aca="false">IF(OR(A1254="",B1254=""),"",DATE(YEAR(B1254),MONTH(B1254),1))</f>
        <v/>
      </c>
      <c r="F1254" s="36" t="n">
        <f aca="false">IF(OR(E1254="",D1254=""),0,IF(C1254="Actual",D1254,IF(COUNTIFS($A$2:$A$2001,A1254,$E$2:$E$2001,E1254,$C$2:$C$2001,"Actual")&gt;0,0,D1254)))</f>
        <v>0</v>
      </c>
    </row>
    <row r="1255" customFormat="false" ht="15" hidden="false" customHeight="false" outlineLevel="0" collapsed="false">
      <c r="A1255" s="32"/>
      <c r="B1255" s="35"/>
      <c r="C1255" s="32"/>
      <c r="D1255" s="34"/>
      <c r="E1255" s="42" t="str">
        <f aca="false">IF(OR(A1255="",B1255=""),"",DATE(YEAR(B1255),MONTH(B1255),1))</f>
        <v/>
      </c>
      <c r="F1255" s="36" t="n">
        <f aca="false">IF(OR(E1255="",D1255=""),0,IF(C1255="Actual",D1255,IF(COUNTIFS($A$2:$A$2001,A1255,$E$2:$E$2001,E1255,$C$2:$C$2001,"Actual")&gt;0,0,D1255)))</f>
        <v>0</v>
      </c>
    </row>
    <row r="1256" customFormat="false" ht="15" hidden="false" customHeight="false" outlineLevel="0" collapsed="false">
      <c r="A1256" s="32"/>
      <c r="B1256" s="35"/>
      <c r="C1256" s="32"/>
      <c r="D1256" s="34"/>
      <c r="E1256" s="42" t="str">
        <f aca="false">IF(OR(A1256="",B1256=""),"",DATE(YEAR(B1256),MONTH(B1256),1))</f>
        <v/>
      </c>
      <c r="F1256" s="36" t="n">
        <f aca="false">IF(OR(E1256="",D1256=""),0,IF(C1256="Actual",D1256,IF(COUNTIFS($A$2:$A$2001,A1256,$E$2:$E$2001,E1256,$C$2:$C$2001,"Actual")&gt;0,0,D1256)))</f>
        <v>0</v>
      </c>
    </row>
    <row r="1257" customFormat="false" ht="15" hidden="false" customHeight="false" outlineLevel="0" collapsed="false">
      <c r="A1257" s="32"/>
      <c r="B1257" s="35"/>
      <c r="C1257" s="32"/>
      <c r="D1257" s="34"/>
      <c r="E1257" s="42" t="str">
        <f aca="false">IF(OR(A1257="",B1257=""),"",DATE(YEAR(B1257),MONTH(B1257),1))</f>
        <v/>
      </c>
      <c r="F1257" s="36" t="n">
        <f aca="false">IF(OR(E1257="",D1257=""),0,IF(C1257="Actual",D1257,IF(COUNTIFS($A$2:$A$2001,A1257,$E$2:$E$2001,E1257,$C$2:$C$2001,"Actual")&gt;0,0,D1257)))</f>
        <v>0</v>
      </c>
    </row>
    <row r="1258" customFormat="false" ht="15" hidden="false" customHeight="false" outlineLevel="0" collapsed="false">
      <c r="A1258" s="32"/>
      <c r="B1258" s="35"/>
      <c r="C1258" s="32"/>
      <c r="D1258" s="34"/>
      <c r="E1258" s="42" t="str">
        <f aca="false">IF(OR(A1258="",B1258=""),"",DATE(YEAR(B1258),MONTH(B1258),1))</f>
        <v/>
      </c>
      <c r="F1258" s="36" t="n">
        <f aca="false">IF(OR(E1258="",D1258=""),0,IF(C1258="Actual",D1258,IF(COUNTIFS($A$2:$A$2001,A1258,$E$2:$E$2001,E1258,$C$2:$C$2001,"Actual")&gt;0,0,D1258)))</f>
        <v>0</v>
      </c>
    </row>
    <row r="1259" customFormat="false" ht="15" hidden="false" customHeight="false" outlineLevel="0" collapsed="false">
      <c r="A1259" s="32"/>
      <c r="B1259" s="35"/>
      <c r="C1259" s="32"/>
      <c r="D1259" s="34"/>
      <c r="E1259" s="42" t="str">
        <f aca="false">IF(OR(A1259="",B1259=""),"",DATE(YEAR(B1259),MONTH(B1259),1))</f>
        <v/>
      </c>
      <c r="F1259" s="36" t="n">
        <f aca="false">IF(OR(E1259="",D1259=""),0,IF(C1259="Actual",D1259,IF(COUNTIFS($A$2:$A$2001,A1259,$E$2:$E$2001,E1259,$C$2:$C$2001,"Actual")&gt;0,0,D1259)))</f>
        <v>0</v>
      </c>
    </row>
    <row r="1260" customFormat="false" ht="15" hidden="false" customHeight="false" outlineLevel="0" collapsed="false">
      <c r="A1260" s="32"/>
      <c r="B1260" s="35"/>
      <c r="C1260" s="32"/>
      <c r="D1260" s="34"/>
      <c r="E1260" s="42" t="str">
        <f aca="false">IF(OR(A1260="",B1260=""),"",DATE(YEAR(B1260),MONTH(B1260),1))</f>
        <v/>
      </c>
      <c r="F1260" s="36" t="n">
        <f aca="false">IF(OR(E1260="",D1260=""),0,IF(C1260="Actual",D1260,IF(COUNTIFS($A$2:$A$2001,A1260,$E$2:$E$2001,E1260,$C$2:$C$2001,"Actual")&gt;0,0,D1260)))</f>
        <v>0</v>
      </c>
    </row>
    <row r="1261" customFormat="false" ht="15" hidden="false" customHeight="false" outlineLevel="0" collapsed="false">
      <c r="A1261" s="32"/>
      <c r="B1261" s="35"/>
      <c r="C1261" s="32"/>
      <c r="D1261" s="34"/>
      <c r="E1261" s="42" t="str">
        <f aca="false">IF(OR(A1261="",B1261=""),"",DATE(YEAR(B1261),MONTH(B1261),1))</f>
        <v/>
      </c>
      <c r="F1261" s="36" t="n">
        <f aca="false">IF(OR(E1261="",D1261=""),0,IF(C1261="Actual",D1261,IF(COUNTIFS($A$2:$A$2001,A1261,$E$2:$E$2001,E1261,$C$2:$C$2001,"Actual")&gt;0,0,D1261)))</f>
        <v>0</v>
      </c>
    </row>
    <row r="1262" customFormat="false" ht="15" hidden="false" customHeight="false" outlineLevel="0" collapsed="false">
      <c r="A1262" s="32"/>
      <c r="B1262" s="35"/>
      <c r="C1262" s="32"/>
      <c r="D1262" s="34"/>
      <c r="E1262" s="42" t="str">
        <f aca="false">IF(OR(A1262="",B1262=""),"",DATE(YEAR(B1262),MONTH(B1262),1))</f>
        <v/>
      </c>
      <c r="F1262" s="36" t="n">
        <f aca="false">IF(OR(E1262="",D1262=""),0,IF(C1262="Actual",D1262,IF(COUNTIFS($A$2:$A$2001,A1262,$E$2:$E$2001,E1262,$C$2:$C$2001,"Actual")&gt;0,0,D1262)))</f>
        <v>0</v>
      </c>
    </row>
    <row r="1263" customFormat="false" ht="15" hidden="false" customHeight="false" outlineLevel="0" collapsed="false">
      <c r="A1263" s="32"/>
      <c r="B1263" s="35"/>
      <c r="C1263" s="32"/>
      <c r="D1263" s="34"/>
      <c r="E1263" s="42" t="str">
        <f aca="false">IF(OR(A1263="",B1263=""),"",DATE(YEAR(B1263),MONTH(B1263),1))</f>
        <v/>
      </c>
      <c r="F1263" s="36" t="n">
        <f aca="false">IF(OR(E1263="",D1263=""),0,IF(C1263="Actual",D1263,IF(COUNTIFS($A$2:$A$2001,A1263,$E$2:$E$2001,E1263,$C$2:$C$2001,"Actual")&gt;0,0,D1263)))</f>
        <v>0</v>
      </c>
    </row>
    <row r="1264" customFormat="false" ht="15" hidden="false" customHeight="false" outlineLevel="0" collapsed="false">
      <c r="A1264" s="32"/>
      <c r="B1264" s="35"/>
      <c r="C1264" s="32"/>
      <c r="D1264" s="34"/>
      <c r="E1264" s="42" t="str">
        <f aca="false">IF(OR(A1264="",B1264=""),"",DATE(YEAR(B1264),MONTH(B1264),1))</f>
        <v/>
      </c>
      <c r="F1264" s="36" t="n">
        <f aca="false">IF(OR(E1264="",D1264=""),0,IF(C1264="Actual",D1264,IF(COUNTIFS($A$2:$A$2001,A1264,$E$2:$E$2001,E1264,$C$2:$C$2001,"Actual")&gt;0,0,D1264)))</f>
        <v>0</v>
      </c>
    </row>
    <row r="1265" customFormat="false" ht="15" hidden="false" customHeight="false" outlineLevel="0" collapsed="false">
      <c r="A1265" s="32"/>
      <c r="B1265" s="35"/>
      <c r="C1265" s="32"/>
      <c r="D1265" s="34"/>
      <c r="E1265" s="42" t="str">
        <f aca="false">IF(OR(A1265="",B1265=""),"",DATE(YEAR(B1265),MONTH(B1265),1))</f>
        <v/>
      </c>
      <c r="F1265" s="36" t="n">
        <f aca="false">IF(OR(E1265="",D1265=""),0,IF(C1265="Actual",D1265,IF(COUNTIFS($A$2:$A$2001,A1265,$E$2:$E$2001,E1265,$C$2:$C$2001,"Actual")&gt;0,0,D1265)))</f>
        <v>0</v>
      </c>
    </row>
    <row r="1266" customFormat="false" ht="15" hidden="false" customHeight="false" outlineLevel="0" collapsed="false">
      <c r="A1266" s="32"/>
      <c r="B1266" s="35"/>
      <c r="C1266" s="32"/>
      <c r="D1266" s="34"/>
      <c r="E1266" s="42" t="str">
        <f aca="false">IF(OR(A1266="",B1266=""),"",DATE(YEAR(B1266),MONTH(B1266),1))</f>
        <v/>
      </c>
      <c r="F1266" s="36" t="n">
        <f aca="false">IF(OR(E1266="",D1266=""),0,IF(C1266="Actual",D1266,IF(COUNTIFS($A$2:$A$2001,A1266,$E$2:$E$2001,E1266,$C$2:$C$2001,"Actual")&gt;0,0,D1266)))</f>
        <v>0</v>
      </c>
    </row>
    <row r="1267" customFormat="false" ht="15" hidden="false" customHeight="false" outlineLevel="0" collapsed="false">
      <c r="A1267" s="32"/>
      <c r="B1267" s="35"/>
      <c r="C1267" s="32"/>
      <c r="D1267" s="34"/>
      <c r="E1267" s="42" t="str">
        <f aca="false">IF(OR(A1267="",B1267=""),"",DATE(YEAR(B1267),MONTH(B1267),1))</f>
        <v/>
      </c>
      <c r="F1267" s="36" t="n">
        <f aca="false">IF(OR(E1267="",D1267=""),0,IF(C1267="Actual",D1267,IF(COUNTIFS($A$2:$A$2001,A1267,$E$2:$E$2001,E1267,$C$2:$C$2001,"Actual")&gt;0,0,D1267)))</f>
        <v>0</v>
      </c>
    </row>
    <row r="1268" customFormat="false" ht="15" hidden="false" customHeight="false" outlineLevel="0" collapsed="false">
      <c r="A1268" s="32"/>
      <c r="B1268" s="35"/>
      <c r="C1268" s="32"/>
      <c r="D1268" s="34"/>
      <c r="E1268" s="42" t="str">
        <f aca="false">IF(OR(A1268="",B1268=""),"",DATE(YEAR(B1268),MONTH(B1268),1))</f>
        <v/>
      </c>
      <c r="F1268" s="36" t="n">
        <f aca="false">IF(OR(E1268="",D1268=""),0,IF(C1268="Actual",D1268,IF(COUNTIFS($A$2:$A$2001,A1268,$E$2:$E$2001,E1268,$C$2:$C$2001,"Actual")&gt;0,0,D1268)))</f>
        <v>0</v>
      </c>
    </row>
    <row r="1269" customFormat="false" ht="15" hidden="false" customHeight="false" outlineLevel="0" collapsed="false">
      <c r="A1269" s="32"/>
      <c r="B1269" s="35"/>
      <c r="C1269" s="32"/>
      <c r="D1269" s="34"/>
      <c r="E1269" s="42" t="str">
        <f aca="false">IF(OR(A1269="",B1269=""),"",DATE(YEAR(B1269),MONTH(B1269),1))</f>
        <v/>
      </c>
      <c r="F1269" s="36" t="n">
        <f aca="false">IF(OR(E1269="",D1269=""),0,IF(C1269="Actual",D1269,IF(COUNTIFS($A$2:$A$2001,A1269,$E$2:$E$2001,E1269,$C$2:$C$2001,"Actual")&gt;0,0,D1269)))</f>
        <v>0</v>
      </c>
    </row>
    <row r="1270" customFormat="false" ht="15" hidden="false" customHeight="false" outlineLevel="0" collapsed="false">
      <c r="A1270" s="32"/>
      <c r="B1270" s="35"/>
      <c r="C1270" s="32"/>
      <c r="D1270" s="34"/>
      <c r="E1270" s="42" t="str">
        <f aca="false">IF(OR(A1270="",B1270=""),"",DATE(YEAR(B1270),MONTH(B1270),1))</f>
        <v/>
      </c>
      <c r="F1270" s="36" t="n">
        <f aca="false">IF(OR(E1270="",D1270=""),0,IF(C1270="Actual",D1270,IF(COUNTIFS($A$2:$A$2001,A1270,$E$2:$E$2001,E1270,$C$2:$C$2001,"Actual")&gt;0,0,D1270)))</f>
        <v>0</v>
      </c>
    </row>
    <row r="1271" customFormat="false" ht="15" hidden="false" customHeight="false" outlineLevel="0" collapsed="false">
      <c r="A1271" s="32"/>
      <c r="B1271" s="35"/>
      <c r="C1271" s="32"/>
      <c r="D1271" s="34"/>
      <c r="E1271" s="42" t="str">
        <f aca="false">IF(OR(A1271="",B1271=""),"",DATE(YEAR(B1271),MONTH(B1271),1))</f>
        <v/>
      </c>
      <c r="F1271" s="36" t="n">
        <f aca="false">IF(OR(E1271="",D1271=""),0,IF(C1271="Actual",D1271,IF(COUNTIFS($A$2:$A$2001,A1271,$E$2:$E$2001,E1271,$C$2:$C$2001,"Actual")&gt;0,0,D1271)))</f>
        <v>0</v>
      </c>
    </row>
    <row r="1272" customFormat="false" ht="15" hidden="false" customHeight="false" outlineLevel="0" collapsed="false">
      <c r="A1272" s="32"/>
      <c r="B1272" s="35"/>
      <c r="C1272" s="32"/>
      <c r="D1272" s="34"/>
      <c r="E1272" s="42" t="str">
        <f aca="false">IF(OR(A1272="",B1272=""),"",DATE(YEAR(B1272),MONTH(B1272),1))</f>
        <v/>
      </c>
      <c r="F1272" s="36" t="n">
        <f aca="false">IF(OR(E1272="",D1272=""),0,IF(C1272="Actual",D1272,IF(COUNTIFS($A$2:$A$2001,A1272,$E$2:$E$2001,E1272,$C$2:$C$2001,"Actual")&gt;0,0,D1272)))</f>
        <v>0</v>
      </c>
    </row>
    <row r="1273" customFormat="false" ht="15" hidden="false" customHeight="false" outlineLevel="0" collapsed="false">
      <c r="A1273" s="32"/>
      <c r="B1273" s="35"/>
      <c r="C1273" s="32"/>
      <c r="D1273" s="34"/>
      <c r="E1273" s="42" t="str">
        <f aca="false">IF(OR(A1273="",B1273=""),"",DATE(YEAR(B1273),MONTH(B1273),1))</f>
        <v/>
      </c>
      <c r="F1273" s="36" t="n">
        <f aca="false">IF(OR(E1273="",D1273=""),0,IF(C1273="Actual",D1273,IF(COUNTIFS($A$2:$A$2001,A1273,$E$2:$E$2001,E1273,$C$2:$C$2001,"Actual")&gt;0,0,D1273)))</f>
        <v>0</v>
      </c>
    </row>
    <row r="1274" customFormat="false" ht="15" hidden="false" customHeight="false" outlineLevel="0" collapsed="false">
      <c r="A1274" s="32"/>
      <c r="B1274" s="35"/>
      <c r="C1274" s="32"/>
      <c r="D1274" s="34"/>
      <c r="E1274" s="42" t="str">
        <f aca="false">IF(OR(A1274="",B1274=""),"",DATE(YEAR(B1274),MONTH(B1274),1))</f>
        <v/>
      </c>
      <c r="F1274" s="36" t="n">
        <f aca="false">IF(OR(E1274="",D1274=""),0,IF(C1274="Actual",D1274,IF(COUNTIFS($A$2:$A$2001,A1274,$E$2:$E$2001,E1274,$C$2:$C$2001,"Actual")&gt;0,0,D1274)))</f>
        <v>0</v>
      </c>
    </row>
    <row r="1275" customFormat="false" ht="15" hidden="false" customHeight="false" outlineLevel="0" collapsed="false">
      <c r="A1275" s="32"/>
      <c r="B1275" s="35"/>
      <c r="C1275" s="32"/>
      <c r="D1275" s="34"/>
      <c r="E1275" s="42" t="str">
        <f aca="false">IF(OR(A1275="",B1275=""),"",DATE(YEAR(B1275),MONTH(B1275),1))</f>
        <v/>
      </c>
      <c r="F1275" s="36" t="n">
        <f aca="false">IF(OR(E1275="",D1275=""),0,IF(C1275="Actual",D1275,IF(COUNTIFS($A$2:$A$2001,A1275,$E$2:$E$2001,E1275,$C$2:$C$2001,"Actual")&gt;0,0,D1275)))</f>
        <v>0</v>
      </c>
    </row>
    <row r="1276" customFormat="false" ht="15" hidden="false" customHeight="false" outlineLevel="0" collapsed="false">
      <c r="A1276" s="32"/>
      <c r="B1276" s="35"/>
      <c r="C1276" s="32"/>
      <c r="D1276" s="34"/>
      <c r="E1276" s="42" t="str">
        <f aca="false">IF(OR(A1276="",B1276=""),"",DATE(YEAR(B1276),MONTH(B1276),1))</f>
        <v/>
      </c>
      <c r="F1276" s="36" t="n">
        <f aca="false">IF(OR(E1276="",D1276=""),0,IF(C1276="Actual",D1276,IF(COUNTIFS($A$2:$A$2001,A1276,$E$2:$E$2001,E1276,$C$2:$C$2001,"Actual")&gt;0,0,D1276)))</f>
        <v>0</v>
      </c>
    </row>
    <row r="1277" customFormat="false" ht="15" hidden="false" customHeight="false" outlineLevel="0" collapsed="false">
      <c r="A1277" s="32"/>
      <c r="B1277" s="35"/>
      <c r="C1277" s="32"/>
      <c r="D1277" s="34"/>
      <c r="E1277" s="42" t="str">
        <f aca="false">IF(OR(A1277="",B1277=""),"",DATE(YEAR(B1277),MONTH(B1277),1))</f>
        <v/>
      </c>
      <c r="F1277" s="36" t="n">
        <f aca="false">IF(OR(E1277="",D1277=""),0,IF(C1277="Actual",D1277,IF(COUNTIFS($A$2:$A$2001,A1277,$E$2:$E$2001,E1277,$C$2:$C$2001,"Actual")&gt;0,0,D1277)))</f>
        <v>0</v>
      </c>
    </row>
    <row r="1278" customFormat="false" ht="15" hidden="false" customHeight="false" outlineLevel="0" collapsed="false">
      <c r="A1278" s="32"/>
      <c r="B1278" s="35"/>
      <c r="C1278" s="32"/>
      <c r="D1278" s="34"/>
      <c r="E1278" s="42" t="str">
        <f aca="false">IF(OR(A1278="",B1278=""),"",DATE(YEAR(B1278),MONTH(B1278),1))</f>
        <v/>
      </c>
      <c r="F1278" s="36" t="n">
        <f aca="false">IF(OR(E1278="",D1278=""),0,IF(C1278="Actual",D1278,IF(COUNTIFS($A$2:$A$2001,A1278,$E$2:$E$2001,E1278,$C$2:$C$2001,"Actual")&gt;0,0,D1278)))</f>
        <v>0</v>
      </c>
    </row>
    <row r="1279" customFormat="false" ht="15" hidden="false" customHeight="false" outlineLevel="0" collapsed="false">
      <c r="A1279" s="32"/>
      <c r="B1279" s="35"/>
      <c r="C1279" s="32"/>
      <c r="D1279" s="34"/>
      <c r="E1279" s="42" t="str">
        <f aca="false">IF(OR(A1279="",B1279=""),"",DATE(YEAR(B1279),MONTH(B1279),1))</f>
        <v/>
      </c>
      <c r="F1279" s="36" t="n">
        <f aca="false">IF(OR(E1279="",D1279=""),0,IF(C1279="Actual",D1279,IF(COUNTIFS($A$2:$A$2001,A1279,$E$2:$E$2001,E1279,$C$2:$C$2001,"Actual")&gt;0,0,D1279)))</f>
        <v>0</v>
      </c>
    </row>
    <row r="1280" customFormat="false" ht="15" hidden="false" customHeight="false" outlineLevel="0" collapsed="false">
      <c r="A1280" s="32"/>
      <c r="B1280" s="35"/>
      <c r="C1280" s="32"/>
      <c r="D1280" s="34"/>
      <c r="E1280" s="42" t="str">
        <f aca="false">IF(OR(A1280="",B1280=""),"",DATE(YEAR(B1280),MONTH(B1280),1))</f>
        <v/>
      </c>
      <c r="F1280" s="36" t="n">
        <f aca="false">IF(OR(E1280="",D1280=""),0,IF(C1280="Actual",D1280,IF(COUNTIFS($A$2:$A$2001,A1280,$E$2:$E$2001,E1280,$C$2:$C$2001,"Actual")&gt;0,0,D1280)))</f>
        <v>0</v>
      </c>
    </row>
    <row r="1281" customFormat="false" ht="15" hidden="false" customHeight="false" outlineLevel="0" collapsed="false">
      <c r="A1281" s="32"/>
      <c r="B1281" s="35"/>
      <c r="C1281" s="32"/>
      <c r="D1281" s="34"/>
      <c r="E1281" s="42" t="str">
        <f aca="false">IF(OR(A1281="",B1281=""),"",DATE(YEAR(B1281),MONTH(B1281),1))</f>
        <v/>
      </c>
      <c r="F1281" s="36" t="n">
        <f aca="false">IF(OR(E1281="",D1281=""),0,IF(C1281="Actual",D1281,IF(COUNTIFS($A$2:$A$2001,A1281,$E$2:$E$2001,E1281,$C$2:$C$2001,"Actual")&gt;0,0,D1281)))</f>
        <v>0</v>
      </c>
    </row>
    <row r="1282" customFormat="false" ht="15" hidden="false" customHeight="false" outlineLevel="0" collapsed="false">
      <c r="A1282" s="32"/>
      <c r="B1282" s="35"/>
      <c r="C1282" s="32"/>
      <c r="D1282" s="34"/>
      <c r="E1282" s="42" t="str">
        <f aca="false">IF(OR(A1282="",B1282=""),"",DATE(YEAR(B1282),MONTH(B1282),1))</f>
        <v/>
      </c>
      <c r="F1282" s="36" t="n">
        <f aca="false">IF(OR(E1282="",D1282=""),0,IF(C1282="Actual",D1282,IF(COUNTIFS($A$2:$A$2001,A1282,$E$2:$E$2001,E1282,$C$2:$C$2001,"Actual")&gt;0,0,D1282)))</f>
        <v>0</v>
      </c>
    </row>
    <row r="1283" customFormat="false" ht="15" hidden="false" customHeight="false" outlineLevel="0" collapsed="false">
      <c r="A1283" s="32"/>
      <c r="B1283" s="35"/>
      <c r="C1283" s="32"/>
      <c r="D1283" s="34"/>
      <c r="E1283" s="42" t="str">
        <f aca="false">IF(OR(A1283="",B1283=""),"",DATE(YEAR(B1283),MONTH(B1283),1))</f>
        <v/>
      </c>
      <c r="F1283" s="36" t="n">
        <f aca="false">IF(OR(E1283="",D1283=""),0,IF(C1283="Actual",D1283,IF(COUNTIFS($A$2:$A$2001,A1283,$E$2:$E$2001,E1283,$C$2:$C$2001,"Actual")&gt;0,0,D1283)))</f>
        <v>0</v>
      </c>
    </row>
    <row r="1284" customFormat="false" ht="15" hidden="false" customHeight="false" outlineLevel="0" collapsed="false">
      <c r="A1284" s="32"/>
      <c r="B1284" s="35"/>
      <c r="C1284" s="32"/>
      <c r="D1284" s="34"/>
      <c r="E1284" s="42" t="str">
        <f aca="false">IF(OR(A1284="",B1284=""),"",DATE(YEAR(B1284),MONTH(B1284),1))</f>
        <v/>
      </c>
      <c r="F1284" s="36" t="n">
        <f aca="false">IF(OR(E1284="",D1284=""),0,IF(C1284="Actual",D1284,IF(COUNTIFS($A$2:$A$2001,A1284,$E$2:$E$2001,E1284,$C$2:$C$2001,"Actual")&gt;0,0,D1284)))</f>
        <v>0</v>
      </c>
    </row>
    <row r="1285" customFormat="false" ht="15" hidden="false" customHeight="false" outlineLevel="0" collapsed="false">
      <c r="A1285" s="32"/>
      <c r="B1285" s="35"/>
      <c r="C1285" s="32"/>
      <c r="D1285" s="34"/>
      <c r="E1285" s="42" t="str">
        <f aca="false">IF(OR(A1285="",B1285=""),"",DATE(YEAR(B1285),MONTH(B1285),1))</f>
        <v/>
      </c>
      <c r="F1285" s="36" t="n">
        <f aca="false">IF(OR(E1285="",D1285=""),0,IF(C1285="Actual",D1285,IF(COUNTIFS($A$2:$A$2001,A1285,$E$2:$E$2001,E1285,$C$2:$C$2001,"Actual")&gt;0,0,D1285)))</f>
        <v>0</v>
      </c>
    </row>
    <row r="1286" customFormat="false" ht="15" hidden="false" customHeight="false" outlineLevel="0" collapsed="false">
      <c r="A1286" s="32"/>
      <c r="B1286" s="35"/>
      <c r="C1286" s="32"/>
      <c r="D1286" s="34"/>
      <c r="E1286" s="42" t="str">
        <f aca="false">IF(OR(A1286="",B1286=""),"",DATE(YEAR(B1286),MONTH(B1286),1))</f>
        <v/>
      </c>
      <c r="F1286" s="36" t="n">
        <f aca="false">IF(OR(E1286="",D1286=""),0,IF(C1286="Actual",D1286,IF(COUNTIFS($A$2:$A$2001,A1286,$E$2:$E$2001,E1286,$C$2:$C$2001,"Actual")&gt;0,0,D1286)))</f>
        <v>0</v>
      </c>
    </row>
    <row r="1287" customFormat="false" ht="15" hidden="false" customHeight="false" outlineLevel="0" collapsed="false">
      <c r="A1287" s="32"/>
      <c r="B1287" s="35"/>
      <c r="C1287" s="32"/>
      <c r="D1287" s="34"/>
      <c r="E1287" s="42" t="str">
        <f aca="false">IF(OR(A1287="",B1287=""),"",DATE(YEAR(B1287),MONTH(B1287),1))</f>
        <v/>
      </c>
      <c r="F1287" s="36" t="n">
        <f aca="false">IF(OR(E1287="",D1287=""),0,IF(C1287="Actual",D1287,IF(COUNTIFS($A$2:$A$2001,A1287,$E$2:$E$2001,E1287,$C$2:$C$2001,"Actual")&gt;0,0,D1287)))</f>
        <v>0</v>
      </c>
    </row>
    <row r="1288" customFormat="false" ht="15" hidden="false" customHeight="false" outlineLevel="0" collapsed="false">
      <c r="A1288" s="32"/>
      <c r="B1288" s="35"/>
      <c r="C1288" s="32"/>
      <c r="D1288" s="34"/>
      <c r="E1288" s="42" t="str">
        <f aca="false">IF(OR(A1288="",B1288=""),"",DATE(YEAR(B1288),MONTH(B1288),1))</f>
        <v/>
      </c>
      <c r="F1288" s="36" t="n">
        <f aca="false">IF(OR(E1288="",D1288=""),0,IF(C1288="Actual",D1288,IF(COUNTIFS($A$2:$A$2001,A1288,$E$2:$E$2001,E1288,$C$2:$C$2001,"Actual")&gt;0,0,D1288)))</f>
        <v>0</v>
      </c>
    </row>
    <row r="1289" customFormat="false" ht="15" hidden="false" customHeight="false" outlineLevel="0" collapsed="false">
      <c r="A1289" s="32"/>
      <c r="B1289" s="35"/>
      <c r="C1289" s="32"/>
      <c r="D1289" s="34"/>
      <c r="E1289" s="42" t="str">
        <f aca="false">IF(OR(A1289="",B1289=""),"",DATE(YEAR(B1289),MONTH(B1289),1))</f>
        <v/>
      </c>
      <c r="F1289" s="36" t="n">
        <f aca="false">IF(OR(E1289="",D1289=""),0,IF(C1289="Actual",D1289,IF(COUNTIFS($A$2:$A$2001,A1289,$E$2:$E$2001,E1289,$C$2:$C$2001,"Actual")&gt;0,0,D1289)))</f>
        <v>0</v>
      </c>
    </row>
    <row r="1290" customFormat="false" ht="15" hidden="false" customHeight="false" outlineLevel="0" collapsed="false">
      <c r="A1290" s="32"/>
      <c r="B1290" s="35"/>
      <c r="C1290" s="32"/>
      <c r="D1290" s="34"/>
      <c r="E1290" s="42" t="str">
        <f aca="false">IF(OR(A1290="",B1290=""),"",DATE(YEAR(B1290),MONTH(B1290),1))</f>
        <v/>
      </c>
      <c r="F1290" s="36" t="n">
        <f aca="false">IF(OR(E1290="",D1290=""),0,IF(C1290="Actual",D1290,IF(COUNTIFS($A$2:$A$2001,A1290,$E$2:$E$2001,E1290,$C$2:$C$2001,"Actual")&gt;0,0,D1290)))</f>
        <v>0</v>
      </c>
    </row>
    <row r="1291" customFormat="false" ht="15" hidden="false" customHeight="false" outlineLevel="0" collapsed="false">
      <c r="A1291" s="32"/>
      <c r="B1291" s="35"/>
      <c r="C1291" s="32"/>
      <c r="D1291" s="34"/>
      <c r="E1291" s="42" t="str">
        <f aca="false">IF(OR(A1291="",B1291=""),"",DATE(YEAR(B1291),MONTH(B1291),1))</f>
        <v/>
      </c>
      <c r="F1291" s="36" t="n">
        <f aca="false">IF(OR(E1291="",D1291=""),0,IF(C1291="Actual",D1291,IF(COUNTIFS($A$2:$A$2001,A1291,$E$2:$E$2001,E1291,$C$2:$C$2001,"Actual")&gt;0,0,D1291)))</f>
        <v>0</v>
      </c>
    </row>
    <row r="1292" customFormat="false" ht="15" hidden="false" customHeight="false" outlineLevel="0" collapsed="false">
      <c r="A1292" s="32"/>
      <c r="B1292" s="35"/>
      <c r="C1292" s="32"/>
      <c r="D1292" s="34"/>
      <c r="E1292" s="42" t="str">
        <f aca="false">IF(OR(A1292="",B1292=""),"",DATE(YEAR(B1292),MONTH(B1292),1))</f>
        <v/>
      </c>
      <c r="F1292" s="36" t="n">
        <f aca="false">IF(OR(E1292="",D1292=""),0,IF(C1292="Actual",D1292,IF(COUNTIFS($A$2:$A$2001,A1292,$E$2:$E$2001,E1292,$C$2:$C$2001,"Actual")&gt;0,0,D1292)))</f>
        <v>0</v>
      </c>
    </row>
    <row r="1293" customFormat="false" ht="15" hidden="false" customHeight="false" outlineLevel="0" collapsed="false">
      <c r="A1293" s="32"/>
      <c r="B1293" s="35"/>
      <c r="C1293" s="32"/>
      <c r="D1293" s="34"/>
      <c r="E1293" s="42" t="str">
        <f aca="false">IF(OR(A1293="",B1293=""),"",DATE(YEAR(B1293),MONTH(B1293),1))</f>
        <v/>
      </c>
      <c r="F1293" s="36" t="n">
        <f aca="false">IF(OR(E1293="",D1293=""),0,IF(C1293="Actual",D1293,IF(COUNTIFS($A$2:$A$2001,A1293,$E$2:$E$2001,E1293,$C$2:$C$2001,"Actual")&gt;0,0,D1293)))</f>
        <v>0</v>
      </c>
    </row>
    <row r="1294" customFormat="false" ht="15" hidden="false" customHeight="false" outlineLevel="0" collapsed="false">
      <c r="A1294" s="32"/>
      <c r="B1294" s="35"/>
      <c r="C1294" s="32"/>
      <c r="D1294" s="34"/>
      <c r="E1294" s="42" t="str">
        <f aca="false">IF(OR(A1294="",B1294=""),"",DATE(YEAR(B1294),MONTH(B1294),1))</f>
        <v/>
      </c>
      <c r="F1294" s="36" t="n">
        <f aca="false">IF(OR(E1294="",D1294=""),0,IF(C1294="Actual",D1294,IF(COUNTIFS($A$2:$A$2001,A1294,$E$2:$E$2001,E1294,$C$2:$C$2001,"Actual")&gt;0,0,D1294)))</f>
        <v>0</v>
      </c>
    </row>
    <row r="1295" customFormat="false" ht="15" hidden="false" customHeight="false" outlineLevel="0" collapsed="false">
      <c r="A1295" s="32"/>
      <c r="B1295" s="35"/>
      <c r="C1295" s="32"/>
      <c r="D1295" s="34"/>
      <c r="E1295" s="42" t="str">
        <f aca="false">IF(OR(A1295="",B1295=""),"",DATE(YEAR(B1295),MONTH(B1295),1))</f>
        <v/>
      </c>
      <c r="F1295" s="36" t="n">
        <f aca="false">IF(OR(E1295="",D1295=""),0,IF(C1295="Actual",D1295,IF(COUNTIFS($A$2:$A$2001,A1295,$E$2:$E$2001,E1295,$C$2:$C$2001,"Actual")&gt;0,0,D1295)))</f>
        <v>0</v>
      </c>
    </row>
    <row r="1296" customFormat="false" ht="15" hidden="false" customHeight="false" outlineLevel="0" collapsed="false">
      <c r="A1296" s="32"/>
      <c r="B1296" s="35"/>
      <c r="C1296" s="32"/>
      <c r="D1296" s="34"/>
      <c r="E1296" s="42" t="str">
        <f aca="false">IF(OR(A1296="",B1296=""),"",DATE(YEAR(B1296),MONTH(B1296),1))</f>
        <v/>
      </c>
      <c r="F1296" s="36" t="n">
        <f aca="false">IF(OR(E1296="",D1296=""),0,IF(C1296="Actual",D1296,IF(COUNTIFS($A$2:$A$2001,A1296,$E$2:$E$2001,E1296,$C$2:$C$2001,"Actual")&gt;0,0,D1296)))</f>
        <v>0</v>
      </c>
    </row>
    <row r="1297" customFormat="false" ht="15" hidden="false" customHeight="false" outlineLevel="0" collapsed="false">
      <c r="A1297" s="32"/>
      <c r="B1297" s="35"/>
      <c r="C1297" s="32"/>
      <c r="D1297" s="34"/>
      <c r="E1297" s="42" t="str">
        <f aca="false">IF(OR(A1297="",B1297=""),"",DATE(YEAR(B1297),MONTH(B1297),1))</f>
        <v/>
      </c>
      <c r="F1297" s="36" t="n">
        <f aca="false">IF(OR(E1297="",D1297=""),0,IF(C1297="Actual",D1297,IF(COUNTIFS($A$2:$A$2001,A1297,$E$2:$E$2001,E1297,$C$2:$C$2001,"Actual")&gt;0,0,D1297)))</f>
        <v>0</v>
      </c>
    </row>
    <row r="1298" customFormat="false" ht="15" hidden="false" customHeight="false" outlineLevel="0" collapsed="false">
      <c r="A1298" s="32"/>
      <c r="B1298" s="35"/>
      <c r="C1298" s="32"/>
      <c r="D1298" s="34"/>
      <c r="E1298" s="42" t="str">
        <f aca="false">IF(OR(A1298="",B1298=""),"",DATE(YEAR(B1298),MONTH(B1298),1))</f>
        <v/>
      </c>
      <c r="F1298" s="36" t="n">
        <f aca="false">IF(OR(E1298="",D1298=""),0,IF(C1298="Actual",D1298,IF(COUNTIFS($A$2:$A$2001,A1298,$E$2:$E$2001,E1298,$C$2:$C$2001,"Actual")&gt;0,0,D1298)))</f>
        <v>0</v>
      </c>
    </row>
    <row r="1299" customFormat="false" ht="15" hidden="false" customHeight="false" outlineLevel="0" collapsed="false">
      <c r="A1299" s="32"/>
      <c r="B1299" s="35"/>
      <c r="C1299" s="32"/>
      <c r="D1299" s="34"/>
      <c r="E1299" s="42" t="str">
        <f aca="false">IF(OR(A1299="",B1299=""),"",DATE(YEAR(B1299),MONTH(B1299),1))</f>
        <v/>
      </c>
      <c r="F1299" s="36" t="n">
        <f aca="false">IF(OR(E1299="",D1299=""),0,IF(C1299="Actual",D1299,IF(COUNTIFS($A$2:$A$2001,A1299,$E$2:$E$2001,E1299,$C$2:$C$2001,"Actual")&gt;0,0,D1299)))</f>
        <v>0</v>
      </c>
    </row>
    <row r="1300" customFormat="false" ht="15" hidden="false" customHeight="false" outlineLevel="0" collapsed="false">
      <c r="A1300" s="32"/>
      <c r="B1300" s="35"/>
      <c r="C1300" s="32"/>
      <c r="D1300" s="34"/>
      <c r="E1300" s="42" t="str">
        <f aca="false">IF(OR(A1300="",B1300=""),"",DATE(YEAR(B1300),MONTH(B1300),1))</f>
        <v/>
      </c>
      <c r="F1300" s="36" t="n">
        <f aca="false">IF(OR(E1300="",D1300=""),0,IF(C1300="Actual",D1300,IF(COUNTIFS($A$2:$A$2001,A1300,$E$2:$E$2001,E1300,$C$2:$C$2001,"Actual")&gt;0,0,D1300)))</f>
        <v>0</v>
      </c>
    </row>
    <row r="1301" customFormat="false" ht="15" hidden="false" customHeight="false" outlineLevel="0" collapsed="false">
      <c r="A1301" s="32"/>
      <c r="B1301" s="35"/>
      <c r="C1301" s="32"/>
      <c r="D1301" s="34"/>
      <c r="E1301" s="42" t="str">
        <f aca="false">IF(OR(A1301="",B1301=""),"",DATE(YEAR(B1301),MONTH(B1301),1))</f>
        <v/>
      </c>
      <c r="F1301" s="36" t="n">
        <f aca="false">IF(OR(E1301="",D1301=""),0,IF(C1301="Actual",D1301,IF(COUNTIFS($A$2:$A$2001,A1301,$E$2:$E$2001,E1301,$C$2:$C$2001,"Actual")&gt;0,0,D1301)))</f>
        <v>0</v>
      </c>
    </row>
    <row r="1302" customFormat="false" ht="15" hidden="false" customHeight="false" outlineLevel="0" collapsed="false">
      <c r="A1302" s="32"/>
      <c r="B1302" s="35"/>
      <c r="C1302" s="32"/>
      <c r="D1302" s="34"/>
      <c r="E1302" s="42" t="str">
        <f aca="false">IF(OR(A1302="",B1302=""),"",DATE(YEAR(B1302),MONTH(B1302),1))</f>
        <v/>
      </c>
      <c r="F1302" s="36" t="n">
        <f aca="false">IF(OR(E1302="",D1302=""),0,IF(C1302="Actual",D1302,IF(COUNTIFS($A$2:$A$2001,A1302,$E$2:$E$2001,E1302,$C$2:$C$2001,"Actual")&gt;0,0,D1302)))</f>
        <v>0</v>
      </c>
    </row>
    <row r="1303" customFormat="false" ht="15" hidden="false" customHeight="false" outlineLevel="0" collapsed="false">
      <c r="A1303" s="32"/>
      <c r="B1303" s="35"/>
      <c r="C1303" s="32"/>
      <c r="D1303" s="34"/>
      <c r="E1303" s="42" t="str">
        <f aca="false">IF(OR(A1303="",B1303=""),"",DATE(YEAR(B1303),MONTH(B1303),1))</f>
        <v/>
      </c>
      <c r="F1303" s="36" t="n">
        <f aca="false">IF(OR(E1303="",D1303=""),0,IF(C1303="Actual",D1303,IF(COUNTIFS($A$2:$A$2001,A1303,$E$2:$E$2001,E1303,$C$2:$C$2001,"Actual")&gt;0,0,D1303)))</f>
        <v>0</v>
      </c>
    </row>
    <row r="1304" customFormat="false" ht="15" hidden="false" customHeight="false" outlineLevel="0" collapsed="false">
      <c r="A1304" s="32"/>
      <c r="B1304" s="35"/>
      <c r="C1304" s="32"/>
      <c r="D1304" s="34"/>
      <c r="E1304" s="42" t="str">
        <f aca="false">IF(OR(A1304="",B1304=""),"",DATE(YEAR(B1304),MONTH(B1304),1))</f>
        <v/>
      </c>
      <c r="F1304" s="36" t="n">
        <f aca="false">IF(OR(E1304="",D1304=""),0,IF(C1304="Actual",D1304,IF(COUNTIFS($A$2:$A$2001,A1304,$E$2:$E$2001,E1304,$C$2:$C$2001,"Actual")&gt;0,0,D1304)))</f>
        <v>0</v>
      </c>
    </row>
    <row r="1305" customFormat="false" ht="15" hidden="false" customHeight="false" outlineLevel="0" collapsed="false">
      <c r="A1305" s="32"/>
      <c r="B1305" s="35"/>
      <c r="C1305" s="32"/>
      <c r="D1305" s="34"/>
      <c r="E1305" s="42" t="str">
        <f aca="false">IF(OR(A1305="",B1305=""),"",DATE(YEAR(B1305),MONTH(B1305),1))</f>
        <v/>
      </c>
      <c r="F1305" s="36" t="n">
        <f aca="false">IF(OR(E1305="",D1305=""),0,IF(C1305="Actual",D1305,IF(COUNTIFS($A$2:$A$2001,A1305,$E$2:$E$2001,E1305,$C$2:$C$2001,"Actual")&gt;0,0,D1305)))</f>
        <v>0</v>
      </c>
    </row>
    <row r="1306" customFormat="false" ht="15" hidden="false" customHeight="false" outlineLevel="0" collapsed="false">
      <c r="A1306" s="32"/>
      <c r="B1306" s="35"/>
      <c r="C1306" s="32"/>
      <c r="D1306" s="34"/>
      <c r="E1306" s="42" t="str">
        <f aca="false">IF(OR(A1306="",B1306=""),"",DATE(YEAR(B1306),MONTH(B1306),1))</f>
        <v/>
      </c>
      <c r="F1306" s="36" t="n">
        <f aca="false">IF(OR(E1306="",D1306=""),0,IF(C1306="Actual",D1306,IF(COUNTIFS($A$2:$A$2001,A1306,$E$2:$E$2001,E1306,$C$2:$C$2001,"Actual")&gt;0,0,D1306)))</f>
        <v>0</v>
      </c>
    </row>
    <row r="1307" customFormat="false" ht="15" hidden="false" customHeight="false" outlineLevel="0" collapsed="false">
      <c r="A1307" s="32"/>
      <c r="B1307" s="35"/>
      <c r="C1307" s="32"/>
      <c r="D1307" s="34"/>
      <c r="E1307" s="42" t="str">
        <f aca="false">IF(OR(A1307="",B1307=""),"",DATE(YEAR(B1307),MONTH(B1307),1))</f>
        <v/>
      </c>
      <c r="F1307" s="36" t="n">
        <f aca="false">IF(OR(E1307="",D1307=""),0,IF(C1307="Actual",D1307,IF(COUNTIFS($A$2:$A$2001,A1307,$E$2:$E$2001,E1307,$C$2:$C$2001,"Actual")&gt;0,0,D1307)))</f>
        <v>0</v>
      </c>
    </row>
    <row r="1308" customFormat="false" ht="15" hidden="false" customHeight="false" outlineLevel="0" collapsed="false">
      <c r="A1308" s="32"/>
      <c r="B1308" s="35"/>
      <c r="C1308" s="32"/>
      <c r="D1308" s="34"/>
      <c r="E1308" s="42" t="str">
        <f aca="false">IF(OR(A1308="",B1308=""),"",DATE(YEAR(B1308),MONTH(B1308),1))</f>
        <v/>
      </c>
      <c r="F1308" s="36" t="n">
        <f aca="false">IF(OR(E1308="",D1308=""),0,IF(C1308="Actual",D1308,IF(COUNTIFS($A$2:$A$2001,A1308,$E$2:$E$2001,E1308,$C$2:$C$2001,"Actual")&gt;0,0,D1308)))</f>
        <v>0</v>
      </c>
    </row>
    <row r="1309" customFormat="false" ht="15" hidden="false" customHeight="false" outlineLevel="0" collapsed="false">
      <c r="A1309" s="32"/>
      <c r="B1309" s="35"/>
      <c r="C1309" s="32"/>
      <c r="D1309" s="34"/>
      <c r="E1309" s="42" t="str">
        <f aca="false">IF(OR(A1309="",B1309=""),"",DATE(YEAR(B1309),MONTH(B1309),1))</f>
        <v/>
      </c>
      <c r="F1309" s="36" t="n">
        <f aca="false">IF(OR(E1309="",D1309=""),0,IF(C1309="Actual",D1309,IF(COUNTIFS($A$2:$A$2001,A1309,$E$2:$E$2001,E1309,$C$2:$C$2001,"Actual")&gt;0,0,D1309)))</f>
        <v>0</v>
      </c>
    </row>
    <row r="1310" customFormat="false" ht="15" hidden="false" customHeight="false" outlineLevel="0" collapsed="false">
      <c r="A1310" s="32"/>
      <c r="B1310" s="35"/>
      <c r="C1310" s="32"/>
      <c r="D1310" s="34"/>
      <c r="E1310" s="42" t="str">
        <f aca="false">IF(OR(A1310="",B1310=""),"",DATE(YEAR(B1310),MONTH(B1310),1))</f>
        <v/>
      </c>
      <c r="F1310" s="36" t="n">
        <f aca="false">IF(OR(E1310="",D1310=""),0,IF(C1310="Actual",D1310,IF(COUNTIFS($A$2:$A$2001,A1310,$E$2:$E$2001,E1310,$C$2:$C$2001,"Actual")&gt;0,0,D1310)))</f>
        <v>0</v>
      </c>
    </row>
    <row r="1311" customFormat="false" ht="15" hidden="false" customHeight="false" outlineLevel="0" collapsed="false">
      <c r="A1311" s="32"/>
      <c r="B1311" s="35"/>
      <c r="C1311" s="32"/>
      <c r="D1311" s="34"/>
      <c r="E1311" s="42" t="str">
        <f aca="false">IF(OR(A1311="",B1311=""),"",DATE(YEAR(B1311),MONTH(B1311),1))</f>
        <v/>
      </c>
      <c r="F1311" s="36" t="n">
        <f aca="false">IF(OR(E1311="",D1311=""),0,IF(C1311="Actual",D1311,IF(COUNTIFS($A$2:$A$2001,A1311,$E$2:$E$2001,E1311,$C$2:$C$2001,"Actual")&gt;0,0,D1311)))</f>
        <v>0</v>
      </c>
    </row>
    <row r="1312" customFormat="false" ht="15" hidden="false" customHeight="false" outlineLevel="0" collapsed="false">
      <c r="A1312" s="32"/>
      <c r="B1312" s="35"/>
      <c r="C1312" s="32"/>
      <c r="D1312" s="34"/>
      <c r="E1312" s="42" t="str">
        <f aca="false">IF(OR(A1312="",B1312=""),"",DATE(YEAR(B1312),MONTH(B1312),1))</f>
        <v/>
      </c>
      <c r="F1312" s="36" t="n">
        <f aca="false">IF(OR(E1312="",D1312=""),0,IF(C1312="Actual",D1312,IF(COUNTIFS($A$2:$A$2001,A1312,$E$2:$E$2001,E1312,$C$2:$C$2001,"Actual")&gt;0,0,D1312)))</f>
        <v>0</v>
      </c>
    </row>
    <row r="1313" customFormat="false" ht="15" hidden="false" customHeight="false" outlineLevel="0" collapsed="false">
      <c r="A1313" s="32"/>
      <c r="B1313" s="35"/>
      <c r="C1313" s="32"/>
      <c r="D1313" s="34"/>
      <c r="E1313" s="42" t="str">
        <f aca="false">IF(OR(A1313="",B1313=""),"",DATE(YEAR(B1313),MONTH(B1313),1))</f>
        <v/>
      </c>
      <c r="F1313" s="36" t="n">
        <f aca="false">IF(OR(E1313="",D1313=""),0,IF(C1313="Actual",D1313,IF(COUNTIFS($A$2:$A$2001,A1313,$E$2:$E$2001,E1313,$C$2:$C$2001,"Actual")&gt;0,0,D1313)))</f>
        <v>0</v>
      </c>
    </row>
    <row r="1314" customFormat="false" ht="15" hidden="false" customHeight="false" outlineLevel="0" collapsed="false">
      <c r="A1314" s="32"/>
      <c r="B1314" s="35"/>
      <c r="C1314" s="32"/>
      <c r="D1314" s="34"/>
      <c r="E1314" s="42" t="str">
        <f aca="false">IF(OR(A1314="",B1314=""),"",DATE(YEAR(B1314),MONTH(B1314),1))</f>
        <v/>
      </c>
      <c r="F1314" s="36" t="n">
        <f aca="false">IF(OR(E1314="",D1314=""),0,IF(C1314="Actual",D1314,IF(COUNTIFS($A$2:$A$2001,A1314,$E$2:$E$2001,E1314,$C$2:$C$2001,"Actual")&gt;0,0,D1314)))</f>
        <v>0</v>
      </c>
    </row>
    <row r="1315" customFormat="false" ht="15" hidden="false" customHeight="false" outlineLevel="0" collapsed="false">
      <c r="A1315" s="32"/>
      <c r="B1315" s="35"/>
      <c r="C1315" s="32"/>
      <c r="D1315" s="34"/>
      <c r="E1315" s="42" t="str">
        <f aca="false">IF(OR(A1315="",B1315=""),"",DATE(YEAR(B1315),MONTH(B1315),1))</f>
        <v/>
      </c>
      <c r="F1315" s="36" t="n">
        <f aca="false">IF(OR(E1315="",D1315=""),0,IF(C1315="Actual",D1315,IF(COUNTIFS($A$2:$A$2001,A1315,$E$2:$E$2001,E1315,$C$2:$C$2001,"Actual")&gt;0,0,D1315)))</f>
        <v>0</v>
      </c>
    </row>
    <row r="1316" customFormat="false" ht="15" hidden="false" customHeight="false" outlineLevel="0" collapsed="false">
      <c r="A1316" s="32"/>
      <c r="B1316" s="35"/>
      <c r="C1316" s="32"/>
      <c r="D1316" s="34"/>
      <c r="E1316" s="42" t="str">
        <f aca="false">IF(OR(A1316="",B1316=""),"",DATE(YEAR(B1316),MONTH(B1316),1))</f>
        <v/>
      </c>
      <c r="F1316" s="36" t="n">
        <f aca="false">IF(OR(E1316="",D1316=""),0,IF(C1316="Actual",D1316,IF(COUNTIFS($A$2:$A$2001,A1316,$E$2:$E$2001,E1316,$C$2:$C$2001,"Actual")&gt;0,0,D1316)))</f>
        <v>0</v>
      </c>
    </row>
    <row r="1317" customFormat="false" ht="15" hidden="false" customHeight="false" outlineLevel="0" collapsed="false">
      <c r="A1317" s="32"/>
      <c r="B1317" s="35"/>
      <c r="C1317" s="32"/>
      <c r="D1317" s="34"/>
      <c r="E1317" s="42" t="str">
        <f aca="false">IF(OR(A1317="",B1317=""),"",DATE(YEAR(B1317),MONTH(B1317),1))</f>
        <v/>
      </c>
      <c r="F1317" s="36" t="n">
        <f aca="false">IF(OR(E1317="",D1317=""),0,IF(C1317="Actual",D1317,IF(COUNTIFS($A$2:$A$2001,A1317,$E$2:$E$2001,E1317,$C$2:$C$2001,"Actual")&gt;0,0,D1317)))</f>
        <v>0</v>
      </c>
    </row>
    <row r="1318" customFormat="false" ht="15" hidden="false" customHeight="false" outlineLevel="0" collapsed="false">
      <c r="A1318" s="32"/>
      <c r="B1318" s="35"/>
      <c r="C1318" s="32"/>
      <c r="D1318" s="34"/>
      <c r="E1318" s="42" t="str">
        <f aca="false">IF(OR(A1318="",B1318=""),"",DATE(YEAR(B1318),MONTH(B1318),1))</f>
        <v/>
      </c>
      <c r="F1318" s="36" t="n">
        <f aca="false">IF(OR(E1318="",D1318=""),0,IF(C1318="Actual",D1318,IF(COUNTIFS($A$2:$A$2001,A1318,$E$2:$E$2001,E1318,$C$2:$C$2001,"Actual")&gt;0,0,D1318)))</f>
        <v>0</v>
      </c>
    </row>
    <row r="1319" customFormat="false" ht="15" hidden="false" customHeight="false" outlineLevel="0" collapsed="false">
      <c r="A1319" s="32"/>
      <c r="B1319" s="35"/>
      <c r="C1319" s="32"/>
      <c r="D1319" s="34"/>
      <c r="E1319" s="42" t="str">
        <f aca="false">IF(OR(A1319="",B1319=""),"",DATE(YEAR(B1319),MONTH(B1319),1))</f>
        <v/>
      </c>
      <c r="F1319" s="36" t="n">
        <f aca="false">IF(OR(E1319="",D1319=""),0,IF(C1319="Actual",D1319,IF(COUNTIFS($A$2:$A$2001,A1319,$E$2:$E$2001,E1319,$C$2:$C$2001,"Actual")&gt;0,0,D1319)))</f>
        <v>0</v>
      </c>
    </row>
    <row r="1320" customFormat="false" ht="15" hidden="false" customHeight="false" outlineLevel="0" collapsed="false">
      <c r="A1320" s="32"/>
      <c r="B1320" s="35"/>
      <c r="C1320" s="32"/>
      <c r="D1320" s="34"/>
      <c r="E1320" s="42" t="str">
        <f aca="false">IF(OR(A1320="",B1320=""),"",DATE(YEAR(B1320),MONTH(B1320),1))</f>
        <v/>
      </c>
      <c r="F1320" s="36" t="n">
        <f aca="false">IF(OR(E1320="",D1320=""),0,IF(C1320="Actual",D1320,IF(COUNTIFS($A$2:$A$2001,A1320,$E$2:$E$2001,E1320,$C$2:$C$2001,"Actual")&gt;0,0,D1320)))</f>
        <v>0</v>
      </c>
    </row>
    <row r="1321" customFormat="false" ht="15" hidden="false" customHeight="false" outlineLevel="0" collapsed="false">
      <c r="A1321" s="32"/>
      <c r="B1321" s="35"/>
      <c r="C1321" s="32"/>
      <c r="D1321" s="34"/>
      <c r="E1321" s="42" t="str">
        <f aca="false">IF(OR(A1321="",B1321=""),"",DATE(YEAR(B1321),MONTH(B1321),1))</f>
        <v/>
      </c>
      <c r="F1321" s="36" t="n">
        <f aca="false">IF(OR(E1321="",D1321=""),0,IF(C1321="Actual",D1321,IF(COUNTIFS($A$2:$A$2001,A1321,$E$2:$E$2001,E1321,$C$2:$C$2001,"Actual")&gt;0,0,D1321)))</f>
        <v>0</v>
      </c>
    </row>
    <row r="1322" customFormat="false" ht="15" hidden="false" customHeight="false" outlineLevel="0" collapsed="false">
      <c r="A1322" s="32"/>
      <c r="B1322" s="35"/>
      <c r="C1322" s="32"/>
      <c r="D1322" s="34"/>
      <c r="E1322" s="42" t="str">
        <f aca="false">IF(OR(A1322="",B1322=""),"",DATE(YEAR(B1322),MONTH(B1322),1))</f>
        <v/>
      </c>
      <c r="F1322" s="36" t="n">
        <f aca="false">IF(OR(E1322="",D1322=""),0,IF(C1322="Actual",D1322,IF(COUNTIFS($A$2:$A$2001,A1322,$E$2:$E$2001,E1322,$C$2:$C$2001,"Actual")&gt;0,0,D1322)))</f>
        <v>0</v>
      </c>
    </row>
    <row r="1323" customFormat="false" ht="15" hidden="false" customHeight="false" outlineLevel="0" collapsed="false">
      <c r="A1323" s="32"/>
      <c r="B1323" s="35"/>
      <c r="C1323" s="32"/>
      <c r="D1323" s="34"/>
      <c r="E1323" s="42" t="str">
        <f aca="false">IF(OR(A1323="",B1323=""),"",DATE(YEAR(B1323),MONTH(B1323),1))</f>
        <v/>
      </c>
      <c r="F1323" s="36" t="n">
        <f aca="false">IF(OR(E1323="",D1323=""),0,IF(C1323="Actual",D1323,IF(COUNTIFS($A$2:$A$2001,A1323,$E$2:$E$2001,E1323,$C$2:$C$2001,"Actual")&gt;0,0,D1323)))</f>
        <v>0</v>
      </c>
    </row>
    <row r="1324" customFormat="false" ht="15" hidden="false" customHeight="false" outlineLevel="0" collapsed="false">
      <c r="A1324" s="32"/>
      <c r="B1324" s="35"/>
      <c r="C1324" s="32"/>
      <c r="D1324" s="34"/>
      <c r="E1324" s="42" t="str">
        <f aca="false">IF(OR(A1324="",B1324=""),"",DATE(YEAR(B1324),MONTH(B1324),1))</f>
        <v/>
      </c>
      <c r="F1324" s="36" t="n">
        <f aca="false">IF(OR(E1324="",D1324=""),0,IF(C1324="Actual",D1324,IF(COUNTIFS($A$2:$A$2001,A1324,$E$2:$E$2001,E1324,$C$2:$C$2001,"Actual")&gt;0,0,D1324)))</f>
        <v>0</v>
      </c>
    </row>
    <row r="1325" customFormat="false" ht="15" hidden="false" customHeight="false" outlineLevel="0" collapsed="false">
      <c r="A1325" s="32"/>
      <c r="B1325" s="35"/>
      <c r="C1325" s="32"/>
      <c r="D1325" s="34"/>
      <c r="E1325" s="42" t="str">
        <f aca="false">IF(OR(A1325="",B1325=""),"",DATE(YEAR(B1325),MONTH(B1325),1))</f>
        <v/>
      </c>
      <c r="F1325" s="36" t="n">
        <f aca="false">IF(OR(E1325="",D1325=""),0,IF(C1325="Actual",D1325,IF(COUNTIFS($A$2:$A$2001,A1325,$E$2:$E$2001,E1325,$C$2:$C$2001,"Actual")&gt;0,0,D1325)))</f>
        <v>0</v>
      </c>
    </row>
    <row r="1326" customFormat="false" ht="15" hidden="false" customHeight="false" outlineLevel="0" collapsed="false">
      <c r="A1326" s="32"/>
      <c r="B1326" s="35"/>
      <c r="C1326" s="32"/>
      <c r="D1326" s="34"/>
      <c r="E1326" s="42" t="str">
        <f aca="false">IF(OR(A1326="",B1326=""),"",DATE(YEAR(B1326),MONTH(B1326),1))</f>
        <v/>
      </c>
      <c r="F1326" s="36" t="n">
        <f aca="false">IF(OR(E1326="",D1326=""),0,IF(C1326="Actual",D1326,IF(COUNTIFS($A$2:$A$2001,A1326,$E$2:$E$2001,E1326,$C$2:$C$2001,"Actual")&gt;0,0,D1326)))</f>
        <v>0</v>
      </c>
    </row>
    <row r="1327" customFormat="false" ht="15" hidden="false" customHeight="false" outlineLevel="0" collapsed="false">
      <c r="A1327" s="32"/>
      <c r="B1327" s="35"/>
      <c r="C1327" s="32"/>
      <c r="D1327" s="34"/>
      <c r="E1327" s="42" t="str">
        <f aca="false">IF(OR(A1327="",B1327=""),"",DATE(YEAR(B1327),MONTH(B1327),1))</f>
        <v/>
      </c>
      <c r="F1327" s="36" t="n">
        <f aca="false">IF(OR(E1327="",D1327=""),0,IF(C1327="Actual",D1327,IF(COUNTIFS($A$2:$A$2001,A1327,$E$2:$E$2001,E1327,$C$2:$C$2001,"Actual")&gt;0,0,D1327)))</f>
        <v>0</v>
      </c>
    </row>
    <row r="1328" customFormat="false" ht="15" hidden="false" customHeight="false" outlineLevel="0" collapsed="false">
      <c r="A1328" s="32"/>
      <c r="B1328" s="35"/>
      <c r="C1328" s="32"/>
      <c r="D1328" s="34"/>
      <c r="E1328" s="42" t="str">
        <f aca="false">IF(OR(A1328="",B1328=""),"",DATE(YEAR(B1328),MONTH(B1328),1))</f>
        <v/>
      </c>
      <c r="F1328" s="36" t="n">
        <f aca="false">IF(OR(E1328="",D1328=""),0,IF(C1328="Actual",D1328,IF(COUNTIFS($A$2:$A$2001,A1328,$E$2:$E$2001,E1328,$C$2:$C$2001,"Actual")&gt;0,0,D1328)))</f>
        <v>0</v>
      </c>
    </row>
    <row r="1329" customFormat="false" ht="15" hidden="false" customHeight="false" outlineLevel="0" collapsed="false">
      <c r="A1329" s="32"/>
      <c r="B1329" s="35"/>
      <c r="C1329" s="32"/>
      <c r="D1329" s="34"/>
      <c r="E1329" s="42" t="str">
        <f aca="false">IF(OR(A1329="",B1329=""),"",DATE(YEAR(B1329),MONTH(B1329),1))</f>
        <v/>
      </c>
      <c r="F1329" s="36" t="n">
        <f aca="false">IF(OR(E1329="",D1329=""),0,IF(C1329="Actual",D1329,IF(COUNTIFS($A$2:$A$2001,A1329,$E$2:$E$2001,E1329,$C$2:$C$2001,"Actual")&gt;0,0,D1329)))</f>
        <v>0</v>
      </c>
    </row>
    <row r="1330" customFormat="false" ht="15" hidden="false" customHeight="false" outlineLevel="0" collapsed="false">
      <c r="A1330" s="32"/>
      <c r="B1330" s="35"/>
      <c r="C1330" s="32"/>
      <c r="D1330" s="34"/>
      <c r="E1330" s="42" t="str">
        <f aca="false">IF(OR(A1330="",B1330=""),"",DATE(YEAR(B1330),MONTH(B1330),1))</f>
        <v/>
      </c>
      <c r="F1330" s="36" t="n">
        <f aca="false">IF(OR(E1330="",D1330=""),0,IF(C1330="Actual",D1330,IF(COUNTIFS($A$2:$A$2001,A1330,$E$2:$E$2001,E1330,$C$2:$C$2001,"Actual")&gt;0,0,D1330)))</f>
        <v>0</v>
      </c>
    </row>
    <row r="1331" customFormat="false" ht="15" hidden="false" customHeight="false" outlineLevel="0" collapsed="false">
      <c r="A1331" s="32"/>
      <c r="B1331" s="35"/>
      <c r="C1331" s="32"/>
      <c r="D1331" s="34"/>
      <c r="E1331" s="42" t="str">
        <f aca="false">IF(OR(A1331="",B1331=""),"",DATE(YEAR(B1331),MONTH(B1331),1))</f>
        <v/>
      </c>
      <c r="F1331" s="36" t="n">
        <f aca="false">IF(OR(E1331="",D1331=""),0,IF(C1331="Actual",D1331,IF(COUNTIFS($A$2:$A$2001,A1331,$E$2:$E$2001,E1331,$C$2:$C$2001,"Actual")&gt;0,0,D1331)))</f>
        <v>0</v>
      </c>
    </row>
    <row r="1332" customFormat="false" ht="15" hidden="false" customHeight="false" outlineLevel="0" collapsed="false">
      <c r="A1332" s="32"/>
      <c r="B1332" s="35"/>
      <c r="C1332" s="32"/>
      <c r="D1332" s="34"/>
      <c r="E1332" s="42" t="str">
        <f aca="false">IF(OR(A1332="",B1332=""),"",DATE(YEAR(B1332),MONTH(B1332),1))</f>
        <v/>
      </c>
      <c r="F1332" s="36" t="n">
        <f aca="false">IF(OR(E1332="",D1332=""),0,IF(C1332="Actual",D1332,IF(COUNTIFS($A$2:$A$2001,A1332,$E$2:$E$2001,E1332,$C$2:$C$2001,"Actual")&gt;0,0,D1332)))</f>
        <v>0</v>
      </c>
    </row>
    <row r="1333" customFormat="false" ht="15" hidden="false" customHeight="false" outlineLevel="0" collapsed="false">
      <c r="A1333" s="32"/>
      <c r="B1333" s="35"/>
      <c r="C1333" s="32"/>
      <c r="D1333" s="34"/>
      <c r="E1333" s="42" t="str">
        <f aca="false">IF(OR(A1333="",B1333=""),"",DATE(YEAR(B1333),MONTH(B1333),1))</f>
        <v/>
      </c>
      <c r="F1333" s="36" t="n">
        <f aca="false">IF(OR(E1333="",D1333=""),0,IF(C1333="Actual",D1333,IF(COUNTIFS($A$2:$A$2001,A1333,$E$2:$E$2001,E1333,$C$2:$C$2001,"Actual")&gt;0,0,D1333)))</f>
        <v>0</v>
      </c>
    </row>
    <row r="1334" customFormat="false" ht="15" hidden="false" customHeight="false" outlineLevel="0" collapsed="false">
      <c r="A1334" s="32"/>
      <c r="B1334" s="35"/>
      <c r="C1334" s="32"/>
      <c r="D1334" s="34"/>
      <c r="E1334" s="42" t="str">
        <f aca="false">IF(OR(A1334="",B1334=""),"",DATE(YEAR(B1334),MONTH(B1334),1))</f>
        <v/>
      </c>
      <c r="F1334" s="36" t="n">
        <f aca="false">IF(OR(E1334="",D1334=""),0,IF(C1334="Actual",D1334,IF(COUNTIFS($A$2:$A$2001,A1334,$E$2:$E$2001,E1334,$C$2:$C$2001,"Actual")&gt;0,0,D1334)))</f>
        <v>0</v>
      </c>
    </row>
    <row r="1335" customFormat="false" ht="15" hidden="false" customHeight="false" outlineLevel="0" collapsed="false">
      <c r="A1335" s="32"/>
      <c r="B1335" s="35"/>
      <c r="C1335" s="32"/>
      <c r="D1335" s="34"/>
      <c r="E1335" s="42" t="str">
        <f aca="false">IF(OR(A1335="",B1335=""),"",DATE(YEAR(B1335),MONTH(B1335),1))</f>
        <v/>
      </c>
      <c r="F1335" s="36" t="n">
        <f aca="false">IF(OR(E1335="",D1335=""),0,IF(C1335="Actual",D1335,IF(COUNTIFS($A$2:$A$2001,A1335,$E$2:$E$2001,E1335,$C$2:$C$2001,"Actual")&gt;0,0,D1335)))</f>
        <v>0</v>
      </c>
    </row>
    <row r="1336" customFormat="false" ht="15" hidden="false" customHeight="false" outlineLevel="0" collapsed="false">
      <c r="A1336" s="32"/>
      <c r="B1336" s="35"/>
      <c r="C1336" s="32"/>
      <c r="D1336" s="34"/>
      <c r="E1336" s="42" t="str">
        <f aca="false">IF(OR(A1336="",B1336=""),"",DATE(YEAR(B1336),MONTH(B1336),1))</f>
        <v/>
      </c>
      <c r="F1336" s="36" t="n">
        <f aca="false">IF(OR(E1336="",D1336=""),0,IF(C1336="Actual",D1336,IF(COUNTIFS($A$2:$A$2001,A1336,$E$2:$E$2001,E1336,$C$2:$C$2001,"Actual")&gt;0,0,D1336)))</f>
        <v>0</v>
      </c>
    </row>
    <row r="1337" customFormat="false" ht="15" hidden="false" customHeight="false" outlineLevel="0" collapsed="false">
      <c r="A1337" s="32"/>
      <c r="B1337" s="35"/>
      <c r="C1337" s="32"/>
      <c r="D1337" s="34"/>
      <c r="E1337" s="42" t="str">
        <f aca="false">IF(OR(A1337="",B1337=""),"",DATE(YEAR(B1337),MONTH(B1337),1))</f>
        <v/>
      </c>
      <c r="F1337" s="36" t="n">
        <f aca="false">IF(OR(E1337="",D1337=""),0,IF(C1337="Actual",D1337,IF(COUNTIFS($A$2:$A$2001,A1337,$E$2:$E$2001,E1337,$C$2:$C$2001,"Actual")&gt;0,0,D1337)))</f>
        <v>0</v>
      </c>
    </row>
    <row r="1338" customFormat="false" ht="15" hidden="false" customHeight="false" outlineLevel="0" collapsed="false">
      <c r="A1338" s="32"/>
      <c r="B1338" s="35"/>
      <c r="C1338" s="32"/>
      <c r="D1338" s="34"/>
      <c r="E1338" s="42" t="str">
        <f aca="false">IF(OR(A1338="",B1338=""),"",DATE(YEAR(B1338),MONTH(B1338),1))</f>
        <v/>
      </c>
      <c r="F1338" s="36" t="n">
        <f aca="false">IF(OR(E1338="",D1338=""),0,IF(C1338="Actual",D1338,IF(COUNTIFS($A$2:$A$2001,A1338,$E$2:$E$2001,E1338,$C$2:$C$2001,"Actual")&gt;0,0,D1338)))</f>
        <v>0</v>
      </c>
    </row>
    <row r="1339" customFormat="false" ht="15" hidden="false" customHeight="false" outlineLevel="0" collapsed="false">
      <c r="A1339" s="32"/>
      <c r="B1339" s="35"/>
      <c r="C1339" s="32"/>
      <c r="D1339" s="34"/>
      <c r="E1339" s="42" t="str">
        <f aca="false">IF(OR(A1339="",B1339=""),"",DATE(YEAR(B1339),MONTH(B1339),1))</f>
        <v/>
      </c>
      <c r="F1339" s="36" t="n">
        <f aca="false">IF(OR(E1339="",D1339=""),0,IF(C1339="Actual",D1339,IF(COUNTIFS($A$2:$A$2001,A1339,$E$2:$E$2001,E1339,$C$2:$C$2001,"Actual")&gt;0,0,D1339)))</f>
        <v>0</v>
      </c>
    </row>
    <row r="1340" customFormat="false" ht="15" hidden="false" customHeight="false" outlineLevel="0" collapsed="false">
      <c r="A1340" s="32"/>
      <c r="B1340" s="35"/>
      <c r="C1340" s="32"/>
      <c r="D1340" s="34"/>
      <c r="E1340" s="42" t="str">
        <f aca="false">IF(OR(A1340="",B1340=""),"",DATE(YEAR(B1340),MONTH(B1340),1))</f>
        <v/>
      </c>
      <c r="F1340" s="36" t="n">
        <f aca="false">IF(OR(E1340="",D1340=""),0,IF(C1340="Actual",D1340,IF(COUNTIFS($A$2:$A$2001,A1340,$E$2:$E$2001,E1340,$C$2:$C$2001,"Actual")&gt;0,0,D1340)))</f>
        <v>0</v>
      </c>
    </row>
    <row r="1341" customFormat="false" ht="15" hidden="false" customHeight="false" outlineLevel="0" collapsed="false">
      <c r="A1341" s="32"/>
      <c r="B1341" s="35"/>
      <c r="C1341" s="32"/>
      <c r="D1341" s="34"/>
      <c r="E1341" s="42" t="str">
        <f aca="false">IF(OR(A1341="",B1341=""),"",DATE(YEAR(B1341),MONTH(B1341),1))</f>
        <v/>
      </c>
      <c r="F1341" s="36" t="n">
        <f aca="false">IF(OR(E1341="",D1341=""),0,IF(C1341="Actual",D1341,IF(COUNTIFS($A$2:$A$2001,A1341,$E$2:$E$2001,E1341,$C$2:$C$2001,"Actual")&gt;0,0,D1341)))</f>
        <v>0</v>
      </c>
    </row>
    <row r="1342" customFormat="false" ht="15" hidden="false" customHeight="false" outlineLevel="0" collapsed="false">
      <c r="A1342" s="32"/>
      <c r="B1342" s="35"/>
      <c r="C1342" s="32"/>
      <c r="D1342" s="34"/>
      <c r="E1342" s="42" t="str">
        <f aca="false">IF(OR(A1342="",B1342=""),"",DATE(YEAR(B1342),MONTH(B1342),1))</f>
        <v/>
      </c>
      <c r="F1342" s="36" t="n">
        <f aca="false">IF(OR(E1342="",D1342=""),0,IF(C1342="Actual",D1342,IF(COUNTIFS($A$2:$A$2001,A1342,$E$2:$E$2001,E1342,$C$2:$C$2001,"Actual")&gt;0,0,D1342)))</f>
        <v>0</v>
      </c>
    </row>
    <row r="1343" customFormat="false" ht="15" hidden="false" customHeight="false" outlineLevel="0" collapsed="false">
      <c r="A1343" s="32"/>
      <c r="B1343" s="35"/>
      <c r="C1343" s="32"/>
      <c r="D1343" s="34"/>
      <c r="E1343" s="42" t="str">
        <f aca="false">IF(OR(A1343="",B1343=""),"",DATE(YEAR(B1343),MONTH(B1343),1))</f>
        <v/>
      </c>
      <c r="F1343" s="36" t="n">
        <f aca="false">IF(OR(E1343="",D1343=""),0,IF(C1343="Actual",D1343,IF(COUNTIFS($A$2:$A$2001,A1343,$E$2:$E$2001,E1343,$C$2:$C$2001,"Actual")&gt;0,0,D1343)))</f>
        <v>0</v>
      </c>
    </row>
    <row r="1344" customFormat="false" ht="15" hidden="false" customHeight="false" outlineLevel="0" collapsed="false">
      <c r="A1344" s="32"/>
      <c r="B1344" s="35"/>
      <c r="C1344" s="32"/>
      <c r="D1344" s="34"/>
      <c r="E1344" s="42" t="str">
        <f aca="false">IF(OR(A1344="",B1344=""),"",DATE(YEAR(B1344),MONTH(B1344),1))</f>
        <v/>
      </c>
      <c r="F1344" s="36" t="n">
        <f aca="false">IF(OR(E1344="",D1344=""),0,IF(C1344="Actual",D1344,IF(COUNTIFS($A$2:$A$2001,A1344,$E$2:$E$2001,E1344,$C$2:$C$2001,"Actual")&gt;0,0,D1344)))</f>
        <v>0</v>
      </c>
    </row>
    <row r="1345" customFormat="false" ht="15" hidden="false" customHeight="false" outlineLevel="0" collapsed="false">
      <c r="A1345" s="32"/>
      <c r="B1345" s="35"/>
      <c r="C1345" s="32"/>
      <c r="D1345" s="34"/>
      <c r="E1345" s="42" t="str">
        <f aca="false">IF(OR(A1345="",B1345=""),"",DATE(YEAR(B1345),MONTH(B1345),1))</f>
        <v/>
      </c>
      <c r="F1345" s="36" t="n">
        <f aca="false">IF(OR(E1345="",D1345=""),0,IF(C1345="Actual",D1345,IF(COUNTIFS($A$2:$A$2001,A1345,$E$2:$E$2001,E1345,$C$2:$C$2001,"Actual")&gt;0,0,D1345)))</f>
        <v>0</v>
      </c>
    </row>
    <row r="1346" customFormat="false" ht="15" hidden="false" customHeight="false" outlineLevel="0" collapsed="false">
      <c r="A1346" s="32"/>
      <c r="B1346" s="35"/>
      <c r="C1346" s="32"/>
      <c r="D1346" s="34"/>
      <c r="E1346" s="42" t="str">
        <f aca="false">IF(OR(A1346="",B1346=""),"",DATE(YEAR(B1346),MONTH(B1346),1))</f>
        <v/>
      </c>
      <c r="F1346" s="36" t="n">
        <f aca="false">IF(OR(E1346="",D1346=""),0,IF(C1346="Actual",D1346,IF(COUNTIFS($A$2:$A$2001,A1346,$E$2:$E$2001,E1346,$C$2:$C$2001,"Actual")&gt;0,0,D1346)))</f>
        <v>0</v>
      </c>
    </row>
    <row r="1347" customFormat="false" ht="15" hidden="false" customHeight="false" outlineLevel="0" collapsed="false">
      <c r="A1347" s="32"/>
      <c r="B1347" s="35"/>
      <c r="C1347" s="32"/>
      <c r="D1347" s="34"/>
      <c r="E1347" s="42" t="str">
        <f aca="false">IF(OR(A1347="",B1347=""),"",DATE(YEAR(B1347),MONTH(B1347),1))</f>
        <v/>
      </c>
      <c r="F1347" s="36" t="n">
        <f aca="false">IF(OR(E1347="",D1347=""),0,IF(C1347="Actual",D1347,IF(COUNTIFS($A$2:$A$2001,A1347,$E$2:$E$2001,E1347,$C$2:$C$2001,"Actual")&gt;0,0,D1347)))</f>
        <v>0</v>
      </c>
    </row>
    <row r="1348" customFormat="false" ht="15" hidden="false" customHeight="false" outlineLevel="0" collapsed="false">
      <c r="A1348" s="32"/>
      <c r="B1348" s="35"/>
      <c r="C1348" s="32"/>
      <c r="D1348" s="34"/>
      <c r="E1348" s="42" t="str">
        <f aca="false">IF(OR(A1348="",B1348=""),"",DATE(YEAR(B1348),MONTH(B1348),1))</f>
        <v/>
      </c>
      <c r="F1348" s="36" t="n">
        <f aca="false">IF(OR(E1348="",D1348=""),0,IF(C1348="Actual",D1348,IF(COUNTIFS($A$2:$A$2001,A1348,$E$2:$E$2001,E1348,$C$2:$C$2001,"Actual")&gt;0,0,D1348)))</f>
        <v>0</v>
      </c>
    </row>
    <row r="1349" customFormat="false" ht="15" hidden="false" customHeight="false" outlineLevel="0" collapsed="false">
      <c r="A1349" s="32"/>
      <c r="B1349" s="35"/>
      <c r="C1349" s="32"/>
      <c r="D1349" s="34"/>
      <c r="E1349" s="42" t="str">
        <f aca="false">IF(OR(A1349="",B1349=""),"",DATE(YEAR(B1349),MONTH(B1349),1))</f>
        <v/>
      </c>
      <c r="F1349" s="36" t="n">
        <f aca="false">IF(OR(E1349="",D1349=""),0,IF(C1349="Actual",D1349,IF(COUNTIFS($A$2:$A$2001,A1349,$E$2:$E$2001,E1349,$C$2:$C$2001,"Actual")&gt;0,0,D1349)))</f>
        <v>0</v>
      </c>
    </row>
    <row r="1350" customFormat="false" ht="15" hidden="false" customHeight="false" outlineLevel="0" collapsed="false">
      <c r="A1350" s="32"/>
      <c r="B1350" s="35"/>
      <c r="C1350" s="32"/>
      <c r="D1350" s="34"/>
      <c r="E1350" s="42" t="str">
        <f aca="false">IF(OR(A1350="",B1350=""),"",DATE(YEAR(B1350),MONTH(B1350),1))</f>
        <v/>
      </c>
      <c r="F1350" s="36" t="n">
        <f aca="false">IF(OR(E1350="",D1350=""),0,IF(C1350="Actual",D1350,IF(COUNTIFS($A$2:$A$2001,A1350,$E$2:$E$2001,E1350,$C$2:$C$2001,"Actual")&gt;0,0,D1350)))</f>
        <v>0</v>
      </c>
    </row>
    <row r="1351" customFormat="false" ht="15" hidden="false" customHeight="false" outlineLevel="0" collapsed="false">
      <c r="A1351" s="32"/>
      <c r="B1351" s="35"/>
      <c r="C1351" s="32"/>
      <c r="D1351" s="34"/>
      <c r="E1351" s="42" t="str">
        <f aca="false">IF(OR(A1351="",B1351=""),"",DATE(YEAR(B1351),MONTH(B1351),1))</f>
        <v/>
      </c>
      <c r="F1351" s="36" t="n">
        <f aca="false">IF(OR(E1351="",D1351=""),0,IF(C1351="Actual",D1351,IF(COUNTIFS($A$2:$A$2001,A1351,$E$2:$E$2001,E1351,$C$2:$C$2001,"Actual")&gt;0,0,D1351)))</f>
        <v>0</v>
      </c>
    </row>
    <row r="1352" customFormat="false" ht="15" hidden="false" customHeight="false" outlineLevel="0" collapsed="false">
      <c r="A1352" s="32"/>
      <c r="B1352" s="35"/>
      <c r="C1352" s="32"/>
      <c r="D1352" s="34"/>
      <c r="E1352" s="42" t="str">
        <f aca="false">IF(OR(A1352="",B1352=""),"",DATE(YEAR(B1352),MONTH(B1352),1))</f>
        <v/>
      </c>
      <c r="F1352" s="36" t="n">
        <f aca="false">IF(OR(E1352="",D1352=""),0,IF(C1352="Actual",D1352,IF(COUNTIFS($A$2:$A$2001,A1352,$E$2:$E$2001,E1352,$C$2:$C$2001,"Actual")&gt;0,0,D1352)))</f>
        <v>0</v>
      </c>
    </row>
    <row r="1353" customFormat="false" ht="15" hidden="false" customHeight="false" outlineLevel="0" collapsed="false">
      <c r="A1353" s="32"/>
      <c r="B1353" s="35"/>
      <c r="C1353" s="32"/>
      <c r="D1353" s="34"/>
      <c r="E1353" s="42" t="str">
        <f aca="false">IF(OR(A1353="",B1353=""),"",DATE(YEAR(B1353),MONTH(B1353),1))</f>
        <v/>
      </c>
      <c r="F1353" s="36" t="n">
        <f aca="false">IF(OR(E1353="",D1353=""),0,IF(C1353="Actual",D1353,IF(COUNTIFS($A$2:$A$2001,A1353,$E$2:$E$2001,E1353,$C$2:$C$2001,"Actual")&gt;0,0,D1353)))</f>
        <v>0</v>
      </c>
    </row>
    <row r="1354" customFormat="false" ht="15" hidden="false" customHeight="false" outlineLevel="0" collapsed="false">
      <c r="A1354" s="32"/>
      <c r="B1354" s="35"/>
      <c r="C1354" s="32"/>
      <c r="D1354" s="34"/>
      <c r="E1354" s="42" t="str">
        <f aca="false">IF(OR(A1354="",B1354=""),"",DATE(YEAR(B1354),MONTH(B1354),1))</f>
        <v/>
      </c>
      <c r="F1354" s="36" t="n">
        <f aca="false">IF(OR(E1354="",D1354=""),0,IF(C1354="Actual",D1354,IF(COUNTIFS($A$2:$A$2001,A1354,$E$2:$E$2001,E1354,$C$2:$C$2001,"Actual")&gt;0,0,D1354)))</f>
        <v>0</v>
      </c>
    </row>
    <row r="1355" customFormat="false" ht="15" hidden="false" customHeight="false" outlineLevel="0" collapsed="false">
      <c r="A1355" s="32"/>
      <c r="B1355" s="35"/>
      <c r="C1355" s="32"/>
      <c r="D1355" s="34"/>
      <c r="E1355" s="42" t="str">
        <f aca="false">IF(OR(A1355="",B1355=""),"",DATE(YEAR(B1355),MONTH(B1355),1))</f>
        <v/>
      </c>
      <c r="F1355" s="36" t="n">
        <f aca="false">IF(OR(E1355="",D1355=""),0,IF(C1355="Actual",D1355,IF(COUNTIFS($A$2:$A$2001,A1355,$E$2:$E$2001,E1355,$C$2:$C$2001,"Actual")&gt;0,0,D1355)))</f>
        <v>0</v>
      </c>
    </row>
    <row r="1356" customFormat="false" ht="15" hidden="false" customHeight="false" outlineLevel="0" collapsed="false">
      <c r="A1356" s="32"/>
      <c r="B1356" s="35"/>
      <c r="C1356" s="32"/>
      <c r="D1356" s="34"/>
      <c r="E1356" s="42" t="str">
        <f aca="false">IF(OR(A1356="",B1356=""),"",DATE(YEAR(B1356),MONTH(B1356),1))</f>
        <v/>
      </c>
      <c r="F1356" s="36" t="n">
        <f aca="false">IF(OR(E1356="",D1356=""),0,IF(C1356="Actual",D1356,IF(COUNTIFS($A$2:$A$2001,A1356,$E$2:$E$2001,E1356,$C$2:$C$2001,"Actual")&gt;0,0,D1356)))</f>
        <v>0</v>
      </c>
    </row>
    <row r="1357" customFormat="false" ht="15" hidden="false" customHeight="false" outlineLevel="0" collapsed="false">
      <c r="A1357" s="32"/>
      <c r="B1357" s="35"/>
      <c r="C1357" s="32"/>
      <c r="D1357" s="34"/>
      <c r="E1357" s="42" t="str">
        <f aca="false">IF(OR(A1357="",B1357=""),"",DATE(YEAR(B1357),MONTH(B1357),1))</f>
        <v/>
      </c>
      <c r="F1357" s="36" t="n">
        <f aca="false">IF(OR(E1357="",D1357=""),0,IF(C1357="Actual",D1357,IF(COUNTIFS($A$2:$A$2001,A1357,$E$2:$E$2001,E1357,$C$2:$C$2001,"Actual")&gt;0,0,D1357)))</f>
        <v>0</v>
      </c>
    </row>
    <row r="1358" customFormat="false" ht="15" hidden="false" customHeight="false" outlineLevel="0" collapsed="false">
      <c r="A1358" s="32"/>
      <c r="B1358" s="35"/>
      <c r="C1358" s="32"/>
      <c r="D1358" s="34"/>
      <c r="E1358" s="42" t="str">
        <f aca="false">IF(OR(A1358="",B1358=""),"",DATE(YEAR(B1358),MONTH(B1358),1))</f>
        <v/>
      </c>
      <c r="F1358" s="36" t="n">
        <f aca="false">IF(OR(E1358="",D1358=""),0,IF(C1358="Actual",D1358,IF(COUNTIFS($A$2:$A$2001,A1358,$E$2:$E$2001,E1358,$C$2:$C$2001,"Actual")&gt;0,0,D1358)))</f>
        <v>0</v>
      </c>
    </row>
    <row r="1359" customFormat="false" ht="15" hidden="false" customHeight="false" outlineLevel="0" collapsed="false">
      <c r="A1359" s="32"/>
      <c r="B1359" s="35"/>
      <c r="C1359" s="32"/>
      <c r="D1359" s="34"/>
      <c r="E1359" s="42" t="str">
        <f aca="false">IF(OR(A1359="",B1359=""),"",DATE(YEAR(B1359),MONTH(B1359),1))</f>
        <v/>
      </c>
      <c r="F1359" s="36" t="n">
        <f aca="false">IF(OR(E1359="",D1359=""),0,IF(C1359="Actual",D1359,IF(COUNTIFS($A$2:$A$2001,A1359,$E$2:$E$2001,E1359,$C$2:$C$2001,"Actual")&gt;0,0,D1359)))</f>
        <v>0</v>
      </c>
    </row>
    <row r="1360" customFormat="false" ht="15" hidden="false" customHeight="false" outlineLevel="0" collapsed="false">
      <c r="A1360" s="32"/>
      <c r="B1360" s="35"/>
      <c r="C1360" s="32"/>
      <c r="D1360" s="34"/>
      <c r="E1360" s="42" t="str">
        <f aca="false">IF(OR(A1360="",B1360=""),"",DATE(YEAR(B1360),MONTH(B1360),1))</f>
        <v/>
      </c>
      <c r="F1360" s="36" t="n">
        <f aca="false">IF(OR(E1360="",D1360=""),0,IF(C1360="Actual",D1360,IF(COUNTIFS($A$2:$A$2001,A1360,$E$2:$E$2001,E1360,$C$2:$C$2001,"Actual")&gt;0,0,D1360)))</f>
        <v>0</v>
      </c>
    </row>
    <row r="1361" customFormat="false" ht="15" hidden="false" customHeight="false" outlineLevel="0" collapsed="false">
      <c r="A1361" s="32"/>
      <c r="B1361" s="35"/>
      <c r="C1361" s="32"/>
      <c r="D1361" s="34"/>
      <c r="E1361" s="42" t="str">
        <f aca="false">IF(OR(A1361="",B1361=""),"",DATE(YEAR(B1361),MONTH(B1361),1))</f>
        <v/>
      </c>
      <c r="F1361" s="36" t="n">
        <f aca="false">IF(OR(E1361="",D1361=""),0,IF(C1361="Actual",D1361,IF(COUNTIFS($A$2:$A$2001,A1361,$E$2:$E$2001,E1361,$C$2:$C$2001,"Actual")&gt;0,0,D1361)))</f>
        <v>0</v>
      </c>
    </row>
    <row r="1362" customFormat="false" ht="15" hidden="false" customHeight="false" outlineLevel="0" collapsed="false">
      <c r="A1362" s="32"/>
      <c r="B1362" s="35"/>
      <c r="C1362" s="32"/>
      <c r="D1362" s="34"/>
      <c r="E1362" s="42" t="str">
        <f aca="false">IF(OR(A1362="",B1362=""),"",DATE(YEAR(B1362),MONTH(B1362),1))</f>
        <v/>
      </c>
      <c r="F1362" s="36" t="n">
        <f aca="false">IF(OR(E1362="",D1362=""),0,IF(C1362="Actual",D1362,IF(COUNTIFS($A$2:$A$2001,A1362,$E$2:$E$2001,E1362,$C$2:$C$2001,"Actual")&gt;0,0,D1362)))</f>
        <v>0</v>
      </c>
    </row>
    <row r="1363" customFormat="false" ht="15" hidden="false" customHeight="false" outlineLevel="0" collapsed="false">
      <c r="A1363" s="32"/>
      <c r="B1363" s="35"/>
      <c r="C1363" s="32"/>
      <c r="D1363" s="34"/>
      <c r="E1363" s="42" t="str">
        <f aca="false">IF(OR(A1363="",B1363=""),"",DATE(YEAR(B1363),MONTH(B1363),1))</f>
        <v/>
      </c>
      <c r="F1363" s="36" t="n">
        <f aca="false">IF(OR(E1363="",D1363=""),0,IF(C1363="Actual",D1363,IF(COUNTIFS($A$2:$A$2001,A1363,$E$2:$E$2001,E1363,$C$2:$C$2001,"Actual")&gt;0,0,D1363)))</f>
        <v>0</v>
      </c>
    </row>
    <row r="1364" customFormat="false" ht="15" hidden="false" customHeight="false" outlineLevel="0" collapsed="false">
      <c r="A1364" s="32"/>
      <c r="B1364" s="35"/>
      <c r="C1364" s="32"/>
      <c r="D1364" s="34"/>
      <c r="E1364" s="42" t="str">
        <f aca="false">IF(OR(A1364="",B1364=""),"",DATE(YEAR(B1364),MONTH(B1364),1))</f>
        <v/>
      </c>
      <c r="F1364" s="36" t="n">
        <f aca="false">IF(OR(E1364="",D1364=""),0,IF(C1364="Actual",D1364,IF(COUNTIFS($A$2:$A$2001,A1364,$E$2:$E$2001,E1364,$C$2:$C$2001,"Actual")&gt;0,0,D1364)))</f>
        <v>0</v>
      </c>
    </row>
    <row r="1365" customFormat="false" ht="15" hidden="false" customHeight="false" outlineLevel="0" collapsed="false">
      <c r="A1365" s="32"/>
      <c r="B1365" s="35"/>
      <c r="C1365" s="32"/>
      <c r="D1365" s="34"/>
      <c r="E1365" s="42" t="str">
        <f aca="false">IF(OR(A1365="",B1365=""),"",DATE(YEAR(B1365),MONTH(B1365),1))</f>
        <v/>
      </c>
      <c r="F1365" s="36" t="n">
        <f aca="false">IF(OR(E1365="",D1365=""),0,IF(C1365="Actual",D1365,IF(COUNTIFS($A$2:$A$2001,A1365,$E$2:$E$2001,E1365,$C$2:$C$2001,"Actual")&gt;0,0,D1365)))</f>
        <v>0</v>
      </c>
    </row>
    <row r="1366" customFormat="false" ht="15" hidden="false" customHeight="false" outlineLevel="0" collapsed="false">
      <c r="A1366" s="32"/>
      <c r="B1366" s="35"/>
      <c r="C1366" s="32"/>
      <c r="D1366" s="34"/>
      <c r="E1366" s="42" t="str">
        <f aca="false">IF(OR(A1366="",B1366=""),"",DATE(YEAR(B1366),MONTH(B1366),1))</f>
        <v/>
      </c>
      <c r="F1366" s="36" t="n">
        <f aca="false">IF(OR(E1366="",D1366=""),0,IF(C1366="Actual",D1366,IF(COUNTIFS($A$2:$A$2001,A1366,$E$2:$E$2001,E1366,$C$2:$C$2001,"Actual")&gt;0,0,D1366)))</f>
        <v>0</v>
      </c>
    </row>
    <row r="1367" customFormat="false" ht="15" hidden="false" customHeight="false" outlineLevel="0" collapsed="false">
      <c r="A1367" s="32"/>
      <c r="B1367" s="35"/>
      <c r="C1367" s="32"/>
      <c r="D1367" s="34"/>
      <c r="E1367" s="42" t="str">
        <f aca="false">IF(OR(A1367="",B1367=""),"",DATE(YEAR(B1367),MONTH(B1367),1))</f>
        <v/>
      </c>
      <c r="F1367" s="36" t="n">
        <f aca="false">IF(OR(E1367="",D1367=""),0,IF(C1367="Actual",D1367,IF(COUNTIFS($A$2:$A$2001,A1367,$E$2:$E$2001,E1367,$C$2:$C$2001,"Actual")&gt;0,0,D1367)))</f>
        <v>0</v>
      </c>
    </row>
    <row r="1368" customFormat="false" ht="15" hidden="false" customHeight="false" outlineLevel="0" collapsed="false">
      <c r="A1368" s="32"/>
      <c r="B1368" s="35"/>
      <c r="C1368" s="32"/>
      <c r="D1368" s="34"/>
      <c r="E1368" s="42" t="str">
        <f aca="false">IF(OR(A1368="",B1368=""),"",DATE(YEAR(B1368),MONTH(B1368),1))</f>
        <v/>
      </c>
      <c r="F1368" s="36" t="n">
        <f aca="false">IF(OR(E1368="",D1368=""),0,IF(C1368="Actual",D1368,IF(COUNTIFS($A$2:$A$2001,A1368,$E$2:$E$2001,E1368,$C$2:$C$2001,"Actual")&gt;0,0,D1368)))</f>
        <v>0</v>
      </c>
    </row>
    <row r="1369" customFormat="false" ht="15" hidden="false" customHeight="false" outlineLevel="0" collapsed="false">
      <c r="A1369" s="32"/>
      <c r="B1369" s="35"/>
      <c r="C1369" s="32"/>
      <c r="D1369" s="34"/>
      <c r="E1369" s="42" t="str">
        <f aca="false">IF(OR(A1369="",B1369=""),"",DATE(YEAR(B1369),MONTH(B1369),1))</f>
        <v/>
      </c>
      <c r="F1369" s="36" t="n">
        <f aca="false">IF(OR(E1369="",D1369=""),0,IF(C1369="Actual",D1369,IF(COUNTIFS($A$2:$A$2001,A1369,$E$2:$E$2001,E1369,$C$2:$C$2001,"Actual")&gt;0,0,D1369)))</f>
        <v>0</v>
      </c>
    </row>
    <row r="1370" customFormat="false" ht="15" hidden="false" customHeight="false" outlineLevel="0" collapsed="false">
      <c r="A1370" s="32"/>
      <c r="B1370" s="35"/>
      <c r="C1370" s="32"/>
      <c r="D1370" s="34"/>
      <c r="E1370" s="42" t="str">
        <f aca="false">IF(OR(A1370="",B1370=""),"",DATE(YEAR(B1370),MONTH(B1370),1))</f>
        <v/>
      </c>
      <c r="F1370" s="36" t="n">
        <f aca="false">IF(OR(E1370="",D1370=""),0,IF(C1370="Actual",D1370,IF(COUNTIFS($A$2:$A$2001,A1370,$E$2:$E$2001,E1370,$C$2:$C$2001,"Actual")&gt;0,0,D1370)))</f>
        <v>0</v>
      </c>
    </row>
    <row r="1371" customFormat="false" ht="15" hidden="false" customHeight="false" outlineLevel="0" collapsed="false">
      <c r="A1371" s="32"/>
      <c r="B1371" s="35"/>
      <c r="C1371" s="32"/>
      <c r="D1371" s="34"/>
      <c r="E1371" s="42" t="str">
        <f aca="false">IF(OR(A1371="",B1371=""),"",DATE(YEAR(B1371),MONTH(B1371),1))</f>
        <v/>
      </c>
      <c r="F1371" s="36" t="n">
        <f aca="false">IF(OR(E1371="",D1371=""),0,IF(C1371="Actual",D1371,IF(COUNTIFS($A$2:$A$2001,A1371,$E$2:$E$2001,E1371,$C$2:$C$2001,"Actual")&gt;0,0,D1371)))</f>
        <v>0</v>
      </c>
    </row>
    <row r="1372" customFormat="false" ht="15" hidden="false" customHeight="false" outlineLevel="0" collapsed="false">
      <c r="A1372" s="32"/>
      <c r="B1372" s="35"/>
      <c r="C1372" s="32"/>
      <c r="D1372" s="34"/>
      <c r="E1372" s="42" t="str">
        <f aca="false">IF(OR(A1372="",B1372=""),"",DATE(YEAR(B1372),MONTH(B1372),1))</f>
        <v/>
      </c>
      <c r="F1372" s="36" t="n">
        <f aca="false">IF(OR(E1372="",D1372=""),0,IF(C1372="Actual",D1372,IF(COUNTIFS($A$2:$A$2001,A1372,$E$2:$E$2001,E1372,$C$2:$C$2001,"Actual")&gt;0,0,D1372)))</f>
        <v>0</v>
      </c>
    </row>
    <row r="1373" customFormat="false" ht="15" hidden="false" customHeight="false" outlineLevel="0" collapsed="false">
      <c r="A1373" s="32"/>
      <c r="B1373" s="35"/>
      <c r="C1373" s="32"/>
      <c r="D1373" s="34"/>
      <c r="E1373" s="42" t="str">
        <f aca="false">IF(OR(A1373="",B1373=""),"",DATE(YEAR(B1373),MONTH(B1373),1))</f>
        <v/>
      </c>
      <c r="F1373" s="36" t="n">
        <f aca="false">IF(OR(E1373="",D1373=""),0,IF(C1373="Actual",D1373,IF(COUNTIFS($A$2:$A$2001,A1373,$E$2:$E$2001,E1373,$C$2:$C$2001,"Actual")&gt;0,0,D1373)))</f>
        <v>0</v>
      </c>
    </row>
    <row r="1374" customFormat="false" ht="15" hidden="false" customHeight="false" outlineLevel="0" collapsed="false">
      <c r="A1374" s="32"/>
      <c r="B1374" s="35"/>
      <c r="C1374" s="32"/>
      <c r="D1374" s="34"/>
      <c r="E1374" s="42" t="str">
        <f aca="false">IF(OR(A1374="",B1374=""),"",DATE(YEAR(B1374),MONTH(B1374),1))</f>
        <v/>
      </c>
      <c r="F1374" s="36" t="n">
        <f aca="false">IF(OR(E1374="",D1374=""),0,IF(C1374="Actual",D1374,IF(COUNTIFS($A$2:$A$2001,A1374,$E$2:$E$2001,E1374,$C$2:$C$2001,"Actual")&gt;0,0,D1374)))</f>
        <v>0</v>
      </c>
    </row>
    <row r="1375" customFormat="false" ht="15" hidden="false" customHeight="false" outlineLevel="0" collapsed="false">
      <c r="A1375" s="32"/>
      <c r="B1375" s="35"/>
      <c r="C1375" s="32"/>
      <c r="D1375" s="34"/>
      <c r="E1375" s="42" t="str">
        <f aca="false">IF(OR(A1375="",B1375=""),"",DATE(YEAR(B1375),MONTH(B1375),1))</f>
        <v/>
      </c>
      <c r="F1375" s="36" t="n">
        <f aca="false">IF(OR(E1375="",D1375=""),0,IF(C1375="Actual",D1375,IF(COUNTIFS($A$2:$A$2001,A1375,$E$2:$E$2001,E1375,$C$2:$C$2001,"Actual")&gt;0,0,D1375)))</f>
        <v>0</v>
      </c>
    </row>
    <row r="1376" customFormat="false" ht="15" hidden="false" customHeight="false" outlineLevel="0" collapsed="false">
      <c r="A1376" s="32"/>
      <c r="B1376" s="35"/>
      <c r="C1376" s="32"/>
      <c r="D1376" s="34"/>
      <c r="E1376" s="42" t="str">
        <f aca="false">IF(OR(A1376="",B1376=""),"",DATE(YEAR(B1376),MONTH(B1376),1))</f>
        <v/>
      </c>
      <c r="F1376" s="36" t="n">
        <f aca="false">IF(OR(E1376="",D1376=""),0,IF(C1376="Actual",D1376,IF(COUNTIFS($A$2:$A$2001,A1376,$E$2:$E$2001,E1376,$C$2:$C$2001,"Actual")&gt;0,0,D1376)))</f>
        <v>0</v>
      </c>
    </row>
    <row r="1377" customFormat="false" ht="15" hidden="false" customHeight="false" outlineLevel="0" collapsed="false">
      <c r="A1377" s="32"/>
      <c r="B1377" s="35"/>
      <c r="C1377" s="32"/>
      <c r="D1377" s="34"/>
      <c r="E1377" s="42" t="str">
        <f aca="false">IF(OR(A1377="",B1377=""),"",DATE(YEAR(B1377),MONTH(B1377),1))</f>
        <v/>
      </c>
      <c r="F1377" s="36" t="n">
        <f aca="false">IF(OR(E1377="",D1377=""),0,IF(C1377="Actual",D1377,IF(COUNTIFS($A$2:$A$2001,A1377,$E$2:$E$2001,E1377,$C$2:$C$2001,"Actual")&gt;0,0,D1377)))</f>
        <v>0</v>
      </c>
    </row>
    <row r="1378" customFormat="false" ht="15" hidden="false" customHeight="false" outlineLevel="0" collapsed="false">
      <c r="A1378" s="32"/>
      <c r="B1378" s="35"/>
      <c r="C1378" s="32"/>
      <c r="D1378" s="34"/>
      <c r="E1378" s="42" t="str">
        <f aca="false">IF(OR(A1378="",B1378=""),"",DATE(YEAR(B1378),MONTH(B1378),1))</f>
        <v/>
      </c>
      <c r="F1378" s="36" t="n">
        <f aca="false">IF(OR(E1378="",D1378=""),0,IF(C1378="Actual",D1378,IF(COUNTIFS($A$2:$A$2001,A1378,$E$2:$E$2001,E1378,$C$2:$C$2001,"Actual")&gt;0,0,D1378)))</f>
        <v>0</v>
      </c>
    </row>
    <row r="1379" customFormat="false" ht="15" hidden="false" customHeight="false" outlineLevel="0" collapsed="false">
      <c r="A1379" s="32"/>
      <c r="B1379" s="35"/>
      <c r="C1379" s="32"/>
      <c r="D1379" s="34"/>
      <c r="E1379" s="42" t="str">
        <f aca="false">IF(OR(A1379="",B1379=""),"",DATE(YEAR(B1379),MONTH(B1379),1))</f>
        <v/>
      </c>
      <c r="F1379" s="36" t="n">
        <f aca="false">IF(OR(E1379="",D1379=""),0,IF(C1379="Actual",D1379,IF(COUNTIFS($A$2:$A$2001,A1379,$E$2:$E$2001,E1379,$C$2:$C$2001,"Actual")&gt;0,0,D1379)))</f>
        <v>0</v>
      </c>
    </row>
    <row r="1380" customFormat="false" ht="15" hidden="false" customHeight="false" outlineLevel="0" collapsed="false">
      <c r="A1380" s="32"/>
      <c r="B1380" s="35"/>
      <c r="C1380" s="32"/>
      <c r="D1380" s="34"/>
      <c r="E1380" s="42" t="str">
        <f aca="false">IF(OR(A1380="",B1380=""),"",DATE(YEAR(B1380),MONTH(B1380),1))</f>
        <v/>
      </c>
      <c r="F1380" s="36" t="n">
        <f aca="false">IF(OR(E1380="",D1380=""),0,IF(C1380="Actual",D1380,IF(COUNTIFS($A$2:$A$2001,A1380,$E$2:$E$2001,E1380,$C$2:$C$2001,"Actual")&gt;0,0,D1380)))</f>
        <v>0</v>
      </c>
    </row>
    <row r="1381" customFormat="false" ht="15" hidden="false" customHeight="false" outlineLevel="0" collapsed="false">
      <c r="A1381" s="32"/>
      <c r="B1381" s="35"/>
      <c r="C1381" s="32"/>
      <c r="D1381" s="34"/>
      <c r="E1381" s="42" t="str">
        <f aca="false">IF(OR(A1381="",B1381=""),"",DATE(YEAR(B1381),MONTH(B1381),1))</f>
        <v/>
      </c>
      <c r="F1381" s="36" t="n">
        <f aca="false">IF(OR(E1381="",D1381=""),0,IF(C1381="Actual",D1381,IF(COUNTIFS($A$2:$A$2001,A1381,$E$2:$E$2001,E1381,$C$2:$C$2001,"Actual")&gt;0,0,D1381)))</f>
        <v>0</v>
      </c>
    </row>
    <row r="1382" customFormat="false" ht="15" hidden="false" customHeight="false" outlineLevel="0" collapsed="false">
      <c r="A1382" s="32"/>
      <c r="B1382" s="35"/>
      <c r="C1382" s="32"/>
      <c r="D1382" s="34"/>
      <c r="E1382" s="42" t="str">
        <f aca="false">IF(OR(A1382="",B1382=""),"",DATE(YEAR(B1382),MONTH(B1382),1))</f>
        <v/>
      </c>
      <c r="F1382" s="36" t="n">
        <f aca="false">IF(OR(E1382="",D1382=""),0,IF(C1382="Actual",D1382,IF(COUNTIFS($A$2:$A$2001,A1382,$E$2:$E$2001,E1382,$C$2:$C$2001,"Actual")&gt;0,0,D1382)))</f>
        <v>0</v>
      </c>
    </row>
    <row r="1383" customFormat="false" ht="15" hidden="false" customHeight="false" outlineLevel="0" collapsed="false">
      <c r="A1383" s="32"/>
      <c r="B1383" s="35"/>
      <c r="C1383" s="32"/>
      <c r="D1383" s="34"/>
      <c r="E1383" s="42" t="str">
        <f aca="false">IF(OR(A1383="",B1383=""),"",DATE(YEAR(B1383),MONTH(B1383),1))</f>
        <v/>
      </c>
      <c r="F1383" s="36" t="n">
        <f aca="false">IF(OR(E1383="",D1383=""),0,IF(C1383="Actual",D1383,IF(COUNTIFS($A$2:$A$2001,A1383,$E$2:$E$2001,E1383,$C$2:$C$2001,"Actual")&gt;0,0,D1383)))</f>
        <v>0</v>
      </c>
    </row>
    <row r="1384" customFormat="false" ht="15" hidden="false" customHeight="false" outlineLevel="0" collapsed="false">
      <c r="A1384" s="32"/>
      <c r="B1384" s="35"/>
      <c r="C1384" s="32"/>
      <c r="D1384" s="34"/>
      <c r="E1384" s="42" t="str">
        <f aca="false">IF(OR(A1384="",B1384=""),"",DATE(YEAR(B1384),MONTH(B1384),1))</f>
        <v/>
      </c>
      <c r="F1384" s="36" t="n">
        <f aca="false">IF(OR(E1384="",D1384=""),0,IF(C1384="Actual",D1384,IF(COUNTIFS($A$2:$A$2001,A1384,$E$2:$E$2001,E1384,$C$2:$C$2001,"Actual")&gt;0,0,D1384)))</f>
        <v>0</v>
      </c>
    </row>
    <row r="1385" customFormat="false" ht="15" hidden="false" customHeight="false" outlineLevel="0" collapsed="false">
      <c r="A1385" s="32"/>
      <c r="B1385" s="35"/>
      <c r="C1385" s="32"/>
      <c r="D1385" s="34"/>
      <c r="E1385" s="42" t="str">
        <f aca="false">IF(OR(A1385="",B1385=""),"",DATE(YEAR(B1385),MONTH(B1385),1))</f>
        <v/>
      </c>
      <c r="F1385" s="36" t="n">
        <f aca="false">IF(OR(E1385="",D1385=""),0,IF(C1385="Actual",D1385,IF(COUNTIFS($A$2:$A$2001,A1385,$E$2:$E$2001,E1385,$C$2:$C$2001,"Actual")&gt;0,0,D1385)))</f>
        <v>0</v>
      </c>
    </row>
    <row r="1386" customFormat="false" ht="15" hidden="false" customHeight="false" outlineLevel="0" collapsed="false">
      <c r="A1386" s="32"/>
      <c r="B1386" s="35"/>
      <c r="C1386" s="32"/>
      <c r="D1386" s="34"/>
      <c r="E1386" s="42" t="str">
        <f aca="false">IF(OR(A1386="",B1386=""),"",DATE(YEAR(B1386),MONTH(B1386),1))</f>
        <v/>
      </c>
      <c r="F1386" s="36" t="n">
        <f aca="false">IF(OR(E1386="",D1386=""),0,IF(C1386="Actual",D1386,IF(COUNTIFS($A$2:$A$2001,A1386,$E$2:$E$2001,E1386,$C$2:$C$2001,"Actual")&gt;0,0,D1386)))</f>
        <v>0</v>
      </c>
    </row>
    <row r="1387" customFormat="false" ht="15" hidden="false" customHeight="false" outlineLevel="0" collapsed="false">
      <c r="A1387" s="32"/>
      <c r="B1387" s="35"/>
      <c r="C1387" s="32"/>
      <c r="D1387" s="34"/>
      <c r="E1387" s="42" t="str">
        <f aca="false">IF(OR(A1387="",B1387=""),"",DATE(YEAR(B1387),MONTH(B1387),1))</f>
        <v/>
      </c>
      <c r="F1387" s="36" t="n">
        <f aca="false">IF(OR(E1387="",D1387=""),0,IF(C1387="Actual",D1387,IF(COUNTIFS($A$2:$A$2001,A1387,$E$2:$E$2001,E1387,$C$2:$C$2001,"Actual")&gt;0,0,D1387)))</f>
        <v>0</v>
      </c>
    </row>
    <row r="1388" customFormat="false" ht="15" hidden="false" customHeight="false" outlineLevel="0" collapsed="false">
      <c r="A1388" s="32"/>
      <c r="B1388" s="35"/>
      <c r="C1388" s="32"/>
      <c r="D1388" s="34"/>
      <c r="E1388" s="42" t="str">
        <f aca="false">IF(OR(A1388="",B1388=""),"",DATE(YEAR(B1388),MONTH(B1388),1))</f>
        <v/>
      </c>
      <c r="F1388" s="36" t="n">
        <f aca="false">IF(OR(E1388="",D1388=""),0,IF(C1388="Actual",D1388,IF(COUNTIFS($A$2:$A$2001,A1388,$E$2:$E$2001,E1388,$C$2:$C$2001,"Actual")&gt;0,0,D1388)))</f>
        <v>0</v>
      </c>
    </row>
    <row r="1389" customFormat="false" ht="15" hidden="false" customHeight="false" outlineLevel="0" collapsed="false">
      <c r="A1389" s="32"/>
      <c r="B1389" s="35"/>
      <c r="C1389" s="32"/>
      <c r="D1389" s="34"/>
      <c r="E1389" s="42" t="str">
        <f aca="false">IF(OR(A1389="",B1389=""),"",DATE(YEAR(B1389),MONTH(B1389),1))</f>
        <v/>
      </c>
      <c r="F1389" s="36" t="n">
        <f aca="false">IF(OR(E1389="",D1389=""),0,IF(C1389="Actual",D1389,IF(COUNTIFS($A$2:$A$2001,A1389,$E$2:$E$2001,E1389,$C$2:$C$2001,"Actual")&gt;0,0,D1389)))</f>
        <v>0</v>
      </c>
    </row>
    <row r="1390" customFormat="false" ht="15" hidden="false" customHeight="false" outlineLevel="0" collapsed="false">
      <c r="A1390" s="32"/>
      <c r="B1390" s="35"/>
      <c r="C1390" s="32"/>
      <c r="D1390" s="34"/>
      <c r="E1390" s="42" t="str">
        <f aca="false">IF(OR(A1390="",B1390=""),"",DATE(YEAR(B1390),MONTH(B1390),1))</f>
        <v/>
      </c>
      <c r="F1390" s="36" t="n">
        <f aca="false">IF(OR(E1390="",D1390=""),0,IF(C1390="Actual",D1390,IF(COUNTIFS($A$2:$A$2001,A1390,$E$2:$E$2001,E1390,$C$2:$C$2001,"Actual")&gt;0,0,D1390)))</f>
        <v>0</v>
      </c>
    </row>
    <row r="1391" customFormat="false" ht="15" hidden="false" customHeight="false" outlineLevel="0" collapsed="false">
      <c r="A1391" s="32"/>
      <c r="B1391" s="35"/>
      <c r="C1391" s="32"/>
      <c r="D1391" s="34"/>
      <c r="E1391" s="42" t="str">
        <f aca="false">IF(OR(A1391="",B1391=""),"",DATE(YEAR(B1391),MONTH(B1391),1))</f>
        <v/>
      </c>
      <c r="F1391" s="36" t="n">
        <f aca="false">IF(OR(E1391="",D1391=""),0,IF(C1391="Actual",D1391,IF(COUNTIFS($A$2:$A$2001,A1391,$E$2:$E$2001,E1391,$C$2:$C$2001,"Actual")&gt;0,0,D1391)))</f>
        <v>0</v>
      </c>
    </row>
    <row r="1392" customFormat="false" ht="15" hidden="false" customHeight="false" outlineLevel="0" collapsed="false">
      <c r="A1392" s="32"/>
      <c r="B1392" s="35"/>
      <c r="C1392" s="32"/>
      <c r="D1392" s="34"/>
      <c r="E1392" s="42" t="str">
        <f aca="false">IF(OR(A1392="",B1392=""),"",DATE(YEAR(B1392),MONTH(B1392),1))</f>
        <v/>
      </c>
      <c r="F1392" s="36" t="n">
        <f aca="false">IF(OR(E1392="",D1392=""),0,IF(C1392="Actual",D1392,IF(COUNTIFS($A$2:$A$2001,A1392,$E$2:$E$2001,E1392,$C$2:$C$2001,"Actual")&gt;0,0,D1392)))</f>
        <v>0</v>
      </c>
    </row>
    <row r="1393" customFormat="false" ht="15" hidden="false" customHeight="false" outlineLevel="0" collapsed="false">
      <c r="A1393" s="32"/>
      <c r="B1393" s="35"/>
      <c r="C1393" s="32"/>
      <c r="D1393" s="34"/>
      <c r="E1393" s="42" t="str">
        <f aca="false">IF(OR(A1393="",B1393=""),"",DATE(YEAR(B1393),MONTH(B1393),1))</f>
        <v/>
      </c>
      <c r="F1393" s="36" t="n">
        <f aca="false">IF(OR(E1393="",D1393=""),0,IF(C1393="Actual",D1393,IF(COUNTIFS($A$2:$A$2001,A1393,$E$2:$E$2001,E1393,$C$2:$C$2001,"Actual")&gt;0,0,D1393)))</f>
        <v>0</v>
      </c>
    </row>
    <row r="1394" customFormat="false" ht="15" hidden="false" customHeight="false" outlineLevel="0" collapsed="false">
      <c r="A1394" s="32"/>
      <c r="B1394" s="35"/>
      <c r="C1394" s="32"/>
      <c r="D1394" s="34"/>
      <c r="E1394" s="42" t="str">
        <f aca="false">IF(OR(A1394="",B1394=""),"",DATE(YEAR(B1394),MONTH(B1394),1))</f>
        <v/>
      </c>
      <c r="F1394" s="36" t="n">
        <f aca="false">IF(OR(E1394="",D1394=""),0,IF(C1394="Actual",D1394,IF(COUNTIFS($A$2:$A$2001,A1394,$E$2:$E$2001,E1394,$C$2:$C$2001,"Actual")&gt;0,0,D1394)))</f>
        <v>0</v>
      </c>
    </row>
    <row r="1395" customFormat="false" ht="15" hidden="false" customHeight="false" outlineLevel="0" collapsed="false">
      <c r="A1395" s="32"/>
      <c r="B1395" s="35"/>
      <c r="C1395" s="32"/>
      <c r="D1395" s="34"/>
      <c r="E1395" s="42" t="str">
        <f aca="false">IF(OR(A1395="",B1395=""),"",DATE(YEAR(B1395),MONTH(B1395),1))</f>
        <v/>
      </c>
      <c r="F1395" s="36" t="n">
        <f aca="false">IF(OR(E1395="",D1395=""),0,IF(C1395="Actual",D1395,IF(COUNTIFS($A$2:$A$2001,A1395,$E$2:$E$2001,E1395,$C$2:$C$2001,"Actual")&gt;0,0,D1395)))</f>
        <v>0</v>
      </c>
    </row>
    <row r="1396" customFormat="false" ht="15" hidden="false" customHeight="false" outlineLevel="0" collapsed="false">
      <c r="A1396" s="32"/>
      <c r="B1396" s="35"/>
      <c r="C1396" s="32"/>
      <c r="D1396" s="34"/>
      <c r="E1396" s="42" t="str">
        <f aca="false">IF(OR(A1396="",B1396=""),"",DATE(YEAR(B1396),MONTH(B1396),1))</f>
        <v/>
      </c>
      <c r="F1396" s="36" t="n">
        <f aca="false">IF(OR(E1396="",D1396=""),0,IF(C1396="Actual",D1396,IF(COUNTIFS($A$2:$A$2001,A1396,$E$2:$E$2001,E1396,$C$2:$C$2001,"Actual")&gt;0,0,D1396)))</f>
        <v>0</v>
      </c>
    </row>
    <row r="1397" customFormat="false" ht="15" hidden="false" customHeight="false" outlineLevel="0" collapsed="false">
      <c r="A1397" s="32"/>
      <c r="B1397" s="35"/>
      <c r="C1397" s="32"/>
      <c r="D1397" s="34"/>
      <c r="E1397" s="42" t="str">
        <f aca="false">IF(OR(A1397="",B1397=""),"",DATE(YEAR(B1397),MONTH(B1397),1))</f>
        <v/>
      </c>
      <c r="F1397" s="36" t="n">
        <f aca="false">IF(OR(E1397="",D1397=""),0,IF(C1397="Actual",D1397,IF(COUNTIFS($A$2:$A$2001,A1397,$E$2:$E$2001,E1397,$C$2:$C$2001,"Actual")&gt;0,0,D1397)))</f>
        <v>0</v>
      </c>
    </row>
    <row r="1398" customFormat="false" ht="15" hidden="false" customHeight="false" outlineLevel="0" collapsed="false">
      <c r="A1398" s="32"/>
      <c r="B1398" s="35"/>
      <c r="C1398" s="32"/>
      <c r="D1398" s="34"/>
      <c r="E1398" s="42" t="str">
        <f aca="false">IF(OR(A1398="",B1398=""),"",DATE(YEAR(B1398),MONTH(B1398),1))</f>
        <v/>
      </c>
      <c r="F1398" s="36" t="n">
        <f aca="false">IF(OR(E1398="",D1398=""),0,IF(C1398="Actual",D1398,IF(COUNTIFS($A$2:$A$2001,A1398,$E$2:$E$2001,E1398,$C$2:$C$2001,"Actual")&gt;0,0,D1398)))</f>
        <v>0</v>
      </c>
    </row>
    <row r="1399" customFormat="false" ht="15" hidden="false" customHeight="false" outlineLevel="0" collapsed="false">
      <c r="A1399" s="32"/>
      <c r="B1399" s="35"/>
      <c r="C1399" s="32"/>
      <c r="D1399" s="34"/>
      <c r="E1399" s="42" t="str">
        <f aca="false">IF(OR(A1399="",B1399=""),"",DATE(YEAR(B1399),MONTH(B1399),1))</f>
        <v/>
      </c>
      <c r="F1399" s="36" t="n">
        <f aca="false">IF(OR(E1399="",D1399=""),0,IF(C1399="Actual",D1399,IF(COUNTIFS($A$2:$A$2001,A1399,$E$2:$E$2001,E1399,$C$2:$C$2001,"Actual")&gt;0,0,D1399)))</f>
        <v>0</v>
      </c>
    </row>
    <row r="1400" customFormat="false" ht="15" hidden="false" customHeight="false" outlineLevel="0" collapsed="false">
      <c r="A1400" s="32"/>
      <c r="B1400" s="35"/>
      <c r="C1400" s="32"/>
      <c r="D1400" s="34"/>
      <c r="E1400" s="42" t="str">
        <f aca="false">IF(OR(A1400="",B1400=""),"",DATE(YEAR(B1400),MONTH(B1400),1))</f>
        <v/>
      </c>
      <c r="F1400" s="36" t="n">
        <f aca="false">IF(OR(E1400="",D1400=""),0,IF(C1400="Actual",D1400,IF(COUNTIFS($A$2:$A$2001,A1400,$E$2:$E$2001,E1400,$C$2:$C$2001,"Actual")&gt;0,0,D1400)))</f>
        <v>0</v>
      </c>
    </row>
    <row r="1401" customFormat="false" ht="15" hidden="false" customHeight="false" outlineLevel="0" collapsed="false">
      <c r="A1401" s="32"/>
      <c r="B1401" s="35"/>
      <c r="C1401" s="32"/>
      <c r="D1401" s="34"/>
      <c r="E1401" s="42" t="str">
        <f aca="false">IF(OR(A1401="",B1401=""),"",DATE(YEAR(B1401),MONTH(B1401),1))</f>
        <v/>
      </c>
      <c r="F1401" s="36" t="n">
        <f aca="false">IF(OR(E1401="",D1401=""),0,IF(C1401="Actual",D1401,IF(COUNTIFS($A$2:$A$2001,A1401,$E$2:$E$2001,E1401,$C$2:$C$2001,"Actual")&gt;0,0,D1401)))</f>
        <v>0</v>
      </c>
    </row>
    <row r="1402" customFormat="false" ht="15" hidden="false" customHeight="false" outlineLevel="0" collapsed="false">
      <c r="A1402" s="32"/>
      <c r="B1402" s="35"/>
      <c r="C1402" s="32"/>
      <c r="D1402" s="34"/>
      <c r="E1402" s="42" t="str">
        <f aca="false">IF(OR(A1402="",B1402=""),"",DATE(YEAR(B1402),MONTH(B1402),1))</f>
        <v/>
      </c>
      <c r="F1402" s="36" t="n">
        <f aca="false">IF(OR(E1402="",D1402=""),0,IF(C1402="Actual",D1402,IF(COUNTIFS($A$2:$A$2001,A1402,$E$2:$E$2001,E1402,$C$2:$C$2001,"Actual")&gt;0,0,D1402)))</f>
        <v>0</v>
      </c>
    </row>
    <row r="1403" customFormat="false" ht="15" hidden="false" customHeight="false" outlineLevel="0" collapsed="false">
      <c r="A1403" s="32"/>
      <c r="B1403" s="35"/>
      <c r="C1403" s="32"/>
      <c r="D1403" s="34"/>
      <c r="E1403" s="42" t="str">
        <f aca="false">IF(OR(A1403="",B1403=""),"",DATE(YEAR(B1403),MONTH(B1403),1))</f>
        <v/>
      </c>
      <c r="F1403" s="36" t="n">
        <f aca="false">IF(OR(E1403="",D1403=""),0,IF(C1403="Actual",D1403,IF(COUNTIFS($A$2:$A$2001,A1403,$E$2:$E$2001,E1403,$C$2:$C$2001,"Actual")&gt;0,0,D1403)))</f>
        <v>0</v>
      </c>
    </row>
    <row r="1404" customFormat="false" ht="15" hidden="false" customHeight="false" outlineLevel="0" collapsed="false">
      <c r="A1404" s="32"/>
      <c r="B1404" s="35"/>
      <c r="C1404" s="32"/>
      <c r="D1404" s="34"/>
      <c r="E1404" s="42" t="str">
        <f aca="false">IF(OR(A1404="",B1404=""),"",DATE(YEAR(B1404),MONTH(B1404),1))</f>
        <v/>
      </c>
      <c r="F1404" s="36" t="n">
        <f aca="false">IF(OR(E1404="",D1404=""),0,IF(C1404="Actual",D1404,IF(COUNTIFS($A$2:$A$2001,A1404,$E$2:$E$2001,E1404,$C$2:$C$2001,"Actual")&gt;0,0,D1404)))</f>
        <v>0</v>
      </c>
    </row>
    <row r="1405" customFormat="false" ht="15" hidden="false" customHeight="false" outlineLevel="0" collapsed="false">
      <c r="A1405" s="32"/>
      <c r="B1405" s="35"/>
      <c r="C1405" s="32"/>
      <c r="D1405" s="34"/>
      <c r="E1405" s="42" t="str">
        <f aca="false">IF(OR(A1405="",B1405=""),"",DATE(YEAR(B1405),MONTH(B1405),1))</f>
        <v/>
      </c>
      <c r="F1405" s="36" t="n">
        <f aca="false">IF(OR(E1405="",D1405=""),0,IF(C1405="Actual",D1405,IF(COUNTIFS($A$2:$A$2001,A1405,$E$2:$E$2001,E1405,$C$2:$C$2001,"Actual")&gt;0,0,D1405)))</f>
        <v>0</v>
      </c>
    </row>
    <row r="1406" customFormat="false" ht="15" hidden="false" customHeight="false" outlineLevel="0" collapsed="false">
      <c r="A1406" s="32"/>
      <c r="B1406" s="35"/>
      <c r="C1406" s="32"/>
      <c r="D1406" s="34"/>
      <c r="E1406" s="42" t="str">
        <f aca="false">IF(OR(A1406="",B1406=""),"",DATE(YEAR(B1406),MONTH(B1406),1))</f>
        <v/>
      </c>
      <c r="F1406" s="36" t="n">
        <f aca="false">IF(OR(E1406="",D1406=""),0,IF(C1406="Actual",D1406,IF(COUNTIFS($A$2:$A$2001,A1406,$E$2:$E$2001,E1406,$C$2:$C$2001,"Actual")&gt;0,0,D1406)))</f>
        <v>0</v>
      </c>
    </row>
    <row r="1407" customFormat="false" ht="15" hidden="false" customHeight="false" outlineLevel="0" collapsed="false">
      <c r="A1407" s="32"/>
      <c r="B1407" s="35"/>
      <c r="C1407" s="32"/>
      <c r="D1407" s="34"/>
      <c r="E1407" s="42" t="str">
        <f aca="false">IF(OR(A1407="",B1407=""),"",DATE(YEAR(B1407),MONTH(B1407),1))</f>
        <v/>
      </c>
      <c r="F1407" s="36" t="n">
        <f aca="false">IF(OR(E1407="",D1407=""),0,IF(C1407="Actual",D1407,IF(COUNTIFS($A$2:$A$2001,A1407,$E$2:$E$2001,E1407,$C$2:$C$2001,"Actual")&gt;0,0,D1407)))</f>
        <v>0</v>
      </c>
    </row>
    <row r="1408" customFormat="false" ht="15" hidden="false" customHeight="false" outlineLevel="0" collapsed="false">
      <c r="A1408" s="32"/>
      <c r="B1408" s="35"/>
      <c r="C1408" s="32"/>
      <c r="D1408" s="34"/>
      <c r="E1408" s="42" t="str">
        <f aca="false">IF(OR(A1408="",B1408=""),"",DATE(YEAR(B1408),MONTH(B1408),1))</f>
        <v/>
      </c>
      <c r="F1408" s="36" t="n">
        <f aca="false">IF(OR(E1408="",D1408=""),0,IF(C1408="Actual",D1408,IF(COUNTIFS($A$2:$A$2001,A1408,$E$2:$E$2001,E1408,$C$2:$C$2001,"Actual")&gt;0,0,D1408)))</f>
        <v>0</v>
      </c>
    </row>
    <row r="1409" customFormat="false" ht="15" hidden="false" customHeight="false" outlineLevel="0" collapsed="false">
      <c r="A1409" s="32"/>
      <c r="B1409" s="35"/>
      <c r="C1409" s="32"/>
      <c r="D1409" s="34"/>
      <c r="E1409" s="42" t="str">
        <f aca="false">IF(OR(A1409="",B1409=""),"",DATE(YEAR(B1409),MONTH(B1409),1))</f>
        <v/>
      </c>
      <c r="F1409" s="36" t="n">
        <f aca="false">IF(OR(E1409="",D1409=""),0,IF(C1409="Actual",D1409,IF(COUNTIFS($A$2:$A$2001,A1409,$E$2:$E$2001,E1409,$C$2:$C$2001,"Actual")&gt;0,0,D1409)))</f>
        <v>0</v>
      </c>
    </row>
    <row r="1410" customFormat="false" ht="15" hidden="false" customHeight="false" outlineLevel="0" collapsed="false">
      <c r="A1410" s="32"/>
      <c r="B1410" s="35"/>
      <c r="C1410" s="32"/>
      <c r="D1410" s="34"/>
      <c r="E1410" s="42" t="str">
        <f aca="false">IF(OR(A1410="",B1410=""),"",DATE(YEAR(B1410),MONTH(B1410),1))</f>
        <v/>
      </c>
      <c r="F1410" s="36" t="n">
        <f aca="false">IF(OR(E1410="",D1410=""),0,IF(C1410="Actual",D1410,IF(COUNTIFS($A$2:$A$2001,A1410,$E$2:$E$2001,E1410,$C$2:$C$2001,"Actual")&gt;0,0,D1410)))</f>
        <v>0</v>
      </c>
    </row>
    <row r="1411" customFormat="false" ht="15" hidden="false" customHeight="false" outlineLevel="0" collapsed="false">
      <c r="A1411" s="32"/>
      <c r="B1411" s="35"/>
      <c r="C1411" s="32"/>
      <c r="D1411" s="34"/>
      <c r="E1411" s="42" t="str">
        <f aca="false">IF(OR(A1411="",B1411=""),"",DATE(YEAR(B1411),MONTH(B1411),1))</f>
        <v/>
      </c>
      <c r="F1411" s="36" t="n">
        <f aca="false">IF(OR(E1411="",D1411=""),0,IF(C1411="Actual",D1411,IF(COUNTIFS($A$2:$A$2001,A1411,$E$2:$E$2001,E1411,$C$2:$C$2001,"Actual")&gt;0,0,D1411)))</f>
        <v>0</v>
      </c>
    </row>
    <row r="1412" customFormat="false" ht="15" hidden="false" customHeight="false" outlineLevel="0" collapsed="false">
      <c r="A1412" s="32"/>
      <c r="B1412" s="35"/>
      <c r="C1412" s="32"/>
      <c r="D1412" s="34"/>
      <c r="E1412" s="42" t="str">
        <f aca="false">IF(OR(A1412="",B1412=""),"",DATE(YEAR(B1412),MONTH(B1412),1))</f>
        <v/>
      </c>
      <c r="F1412" s="36" t="n">
        <f aca="false">IF(OR(E1412="",D1412=""),0,IF(C1412="Actual",D1412,IF(COUNTIFS($A$2:$A$2001,A1412,$E$2:$E$2001,E1412,$C$2:$C$2001,"Actual")&gt;0,0,D1412)))</f>
        <v>0</v>
      </c>
    </row>
    <row r="1413" customFormat="false" ht="15" hidden="false" customHeight="false" outlineLevel="0" collapsed="false">
      <c r="A1413" s="32"/>
      <c r="B1413" s="35"/>
      <c r="C1413" s="32"/>
      <c r="D1413" s="34"/>
      <c r="E1413" s="42" t="str">
        <f aca="false">IF(OR(A1413="",B1413=""),"",DATE(YEAR(B1413),MONTH(B1413),1))</f>
        <v/>
      </c>
      <c r="F1413" s="36" t="n">
        <f aca="false">IF(OR(E1413="",D1413=""),0,IF(C1413="Actual",D1413,IF(COUNTIFS($A$2:$A$2001,A1413,$E$2:$E$2001,E1413,$C$2:$C$2001,"Actual")&gt;0,0,D1413)))</f>
        <v>0</v>
      </c>
    </row>
    <row r="1414" customFormat="false" ht="15" hidden="false" customHeight="false" outlineLevel="0" collapsed="false">
      <c r="A1414" s="32"/>
      <c r="B1414" s="35"/>
      <c r="C1414" s="32"/>
      <c r="D1414" s="34"/>
      <c r="E1414" s="42" t="str">
        <f aca="false">IF(OR(A1414="",B1414=""),"",DATE(YEAR(B1414),MONTH(B1414),1))</f>
        <v/>
      </c>
      <c r="F1414" s="36" t="n">
        <f aca="false">IF(OR(E1414="",D1414=""),0,IF(C1414="Actual",D1414,IF(COUNTIFS($A$2:$A$2001,A1414,$E$2:$E$2001,E1414,$C$2:$C$2001,"Actual")&gt;0,0,D1414)))</f>
        <v>0</v>
      </c>
    </row>
    <row r="1415" customFormat="false" ht="15" hidden="false" customHeight="false" outlineLevel="0" collapsed="false">
      <c r="A1415" s="32"/>
      <c r="B1415" s="35"/>
      <c r="C1415" s="32"/>
      <c r="D1415" s="34"/>
      <c r="E1415" s="42" t="str">
        <f aca="false">IF(OR(A1415="",B1415=""),"",DATE(YEAR(B1415),MONTH(B1415),1))</f>
        <v/>
      </c>
      <c r="F1415" s="36" t="n">
        <f aca="false">IF(OR(E1415="",D1415=""),0,IF(C1415="Actual",D1415,IF(COUNTIFS($A$2:$A$2001,A1415,$E$2:$E$2001,E1415,$C$2:$C$2001,"Actual")&gt;0,0,D1415)))</f>
        <v>0</v>
      </c>
    </row>
    <row r="1416" customFormat="false" ht="15" hidden="false" customHeight="false" outlineLevel="0" collapsed="false">
      <c r="A1416" s="32"/>
      <c r="B1416" s="35"/>
      <c r="C1416" s="32"/>
      <c r="D1416" s="34"/>
      <c r="E1416" s="42" t="str">
        <f aca="false">IF(OR(A1416="",B1416=""),"",DATE(YEAR(B1416),MONTH(B1416),1))</f>
        <v/>
      </c>
      <c r="F1416" s="36" t="n">
        <f aca="false">IF(OR(E1416="",D1416=""),0,IF(C1416="Actual",D1416,IF(COUNTIFS($A$2:$A$2001,A1416,$E$2:$E$2001,E1416,$C$2:$C$2001,"Actual")&gt;0,0,D1416)))</f>
        <v>0</v>
      </c>
    </row>
    <row r="1417" customFormat="false" ht="15" hidden="false" customHeight="false" outlineLevel="0" collapsed="false">
      <c r="A1417" s="32"/>
      <c r="B1417" s="35"/>
      <c r="C1417" s="32"/>
      <c r="D1417" s="34"/>
      <c r="E1417" s="42" t="str">
        <f aca="false">IF(OR(A1417="",B1417=""),"",DATE(YEAR(B1417),MONTH(B1417),1))</f>
        <v/>
      </c>
      <c r="F1417" s="36" t="n">
        <f aca="false">IF(OR(E1417="",D1417=""),0,IF(C1417="Actual",D1417,IF(COUNTIFS($A$2:$A$2001,A1417,$E$2:$E$2001,E1417,$C$2:$C$2001,"Actual")&gt;0,0,D1417)))</f>
        <v>0</v>
      </c>
    </row>
    <row r="1418" customFormat="false" ht="15" hidden="false" customHeight="false" outlineLevel="0" collapsed="false">
      <c r="A1418" s="32"/>
      <c r="B1418" s="35"/>
      <c r="C1418" s="32"/>
      <c r="D1418" s="34"/>
      <c r="E1418" s="42" t="str">
        <f aca="false">IF(OR(A1418="",B1418=""),"",DATE(YEAR(B1418),MONTH(B1418),1))</f>
        <v/>
      </c>
      <c r="F1418" s="36" t="n">
        <f aca="false">IF(OR(E1418="",D1418=""),0,IF(C1418="Actual",D1418,IF(COUNTIFS($A$2:$A$2001,A1418,$E$2:$E$2001,E1418,$C$2:$C$2001,"Actual")&gt;0,0,D1418)))</f>
        <v>0</v>
      </c>
    </row>
    <row r="1419" customFormat="false" ht="15" hidden="false" customHeight="false" outlineLevel="0" collapsed="false">
      <c r="A1419" s="32"/>
      <c r="B1419" s="35"/>
      <c r="C1419" s="32"/>
      <c r="D1419" s="34"/>
      <c r="E1419" s="42" t="str">
        <f aca="false">IF(OR(A1419="",B1419=""),"",DATE(YEAR(B1419),MONTH(B1419),1))</f>
        <v/>
      </c>
      <c r="F1419" s="36" t="n">
        <f aca="false">IF(OR(E1419="",D1419=""),0,IF(C1419="Actual",D1419,IF(COUNTIFS($A$2:$A$2001,A1419,$E$2:$E$2001,E1419,$C$2:$C$2001,"Actual")&gt;0,0,D1419)))</f>
        <v>0</v>
      </c>
    </row>
    <row r="1420" customFormat="false" ht="15" hidden="false" customHeight="false" outlineLevel="0" collapsed="false">
      <c r="A1420" s="32"/>
      <c r="B1420" s="35"/>
      <c r="C1420" s="32"/>
      <c r="D1420" s="34"/>
      <c r="E1420" s="42" t="str">
        <f aca="false">IF(OR(A1420="",B1420=""),"",DATE(YEAR(B1420),MONTH(B1420),1))</f>
        <v/>
      </c>
      <c r="F1420" s="36" t="n">
        <f aca="false">IF(OR(E1420="",D1420=""),0,IF(C1420="Actual",D1420,IF(COUNTIFS($A$2:$A$2001,A1420,$E$2:$E$2001,E1420,$C$2:$C$2001,"Actual")&gt;0,0,D1420)))</f>
        <v>0</v>
      </c>
    </row>
    <row r="1421" customFormat="false" ht="15" hidden="false" customHeight="false" outlineLevel="0" collapsed="false">
      <c r="A1421" s="32"/>
      <c r="B1421" s="35"/>
      <c r="C1421" s="32"/>
      <c r="D1421" s="34"/>
      <c r="E1421" s="42" t="str">
        <f aca="false">IF(OR(A1421="",B1421=""),"",DATE(YEAR(B1421),MONTH(B1421),1))</f>
        <v/>
      </c>
      <c r="F1421" s="36" t="n">
        <f aca="false">IF(OR(E1421="",D1421=""),0,IF(C1421="Actual",D1421,IF(COUNTIFS($A$2:$A$2001,A1421,$E$2:$E$2001,E1421,$C$2:$C$2001,"Actual")&gt;0,0,D1421)))</f>
        <v>0</v>
      </c>
    </row>
    <row r="1422" customFormat="false" ht="15" hidden="false" customHeight="false" outlineLevel="0" collapsed="false">
      <c r="A1422" s="32"/>
      <c r="B1422" s="35"/>
      <c r="C1422" s="32"/>
      <c r="D1422" s="34"/>
      <c r="E1422" s="42" t="str">
        <f aca="false">IF(OR(A1422="",B1422=""),"",DATE(YEAR(B1422),MONTH(B1422),1))</f>
        <v/>
      </c>
      <c r="F1422" s="36" t="n">
        <f aca="false">IF(OR(E1422="",D1422=""),0,IF(C1422="Actual",D1422,IF(COUNTIFS($A$2:$A$2001,A1422,$E$2:$E$2001,E1422,$C$2:$C$2001,"Actual")&gt;0,0,D1422)))</f>
        <v>0</v>
      </c>
    </row>
    <row r="1423" customFormat="false" ht="15" hidden="false" customHeight="false" outlineLevel="0" collapsed="false">
      <c r="A1423" s="32"/>
      <c r="B1423" s="35"/>
      <c r="C1423" s="32"/>
      <c r="D1423" s="34"/>
      <c r="E1423" s="42" t="str">
        <f aca="false">IF(OR(A1423="",B1423=""),"",DATE(YEAR(B1423),MONTH(B1423),1))</f>
        <v/>
      </c>
      <c r="F1423" s="36" t="n">
        <f aca="false">IF(OR(E1423="",D1423=""),0,IF(C1423="Actual",D1423,IF(COUNTIFS($A$2:$A$2001,A1423,$E$2:$E$2001,E1423,$C$2:$C$2001,"Actual")&gt;0,0,D1423)))</f>
        <v>0</v>
      </c>
    </row>
    <row r="1424" customFormat="false" ht="15" hidden="false" customHeight="false" outlineLevel="0" collapsed="false">
      <c r="A1424" s="32"/>
      <c r="B1424" s="35"/>
      <c r="C1424" s="32"/>
      <c r="D1424" s="34"/>
      <c r="E1424" s="42" t="str">
        <f aca="false">IF(OR(A1424="",B1424=""),"",DATE(YEAR(B1424),MONTH(B1424),1))</f>
        <v/>
      </c>
      <c r="F1424" s="36" t="n">
        <f aca="false">IF(OR(E1424="",D1424=""),0,IF(C1424="Actual",D1424,IF(COUNTIFS($A$2:$A$2001,A1424,$E$2:$E$2001,E1424,$C$2:$C$2001,"Actual")&gt;0,0,D1424)))</f>
        <v>0</v>
      </c>
    </row>
    <row r="1425" customFormat="false" ht="15" hidden="false" customHeight="false" outlineLevel="0" collapsed="false">
      <c r="A1425" s="32"/>
      <c r="B1425" s="35"/>
      <c r="C1425" s="32"/>
      <c r="D1425" s="34"/>
      <c r="E1425" s="42" t="str">
        <f aca="false">IF(OR(A1425="",B1425=""),"",DATE(YEAR(B1425),MONTH(B1425),1))</f>
        <v/>
      </c>
      <c r="F1425" s="36" t="n">
        <f aca="false">IF(OR(E1425="",D1425=""),0,IF(C1425="Actual",D1425,IF(COUNTIFS($A$2:$A$2001,A1425,$E$2:$E$2001,E1425,$C$2:$C$2001,"Actual")&gt;0,0,D1425)))</f>
        <v>0</v>
      </c>
    </row>
    <row r="1426" customFormat="false" ht="15" hidden="false" customHeight="false" outlineLevel="0" collapsed="false">
      <c r="A1426" s="32"/>
      <c r="B1426" s="35"/>
      <c r="C1426" s="32"/>
      <c r="D1426" s="34"/>
      <c r="E1426" s="42" t="str">
        <f aca="false">IF(OR(A1426="",B1426=""),"",DATE(YEAR(B1426),MONTH(B1426),1))</f>
        <v/>
      </c>
      <c r="F1426" s="36" t="n">
        <f aca="false">IF(OR(E1426="",D1426=""),0,IF(C1426="Actual",D1426,IF(COUNTIFS($A$2:$A$2001,A1426,$E$2:$E$2001,E1426,$C$2:$C$2001,"Actual")&gt;0,0,D1426)))</f>
        <v>0</v>
      </c>
    </row>
    <row r="1427" customFormat="false" ht="15" hidden="false" customHeight="false" outlineLevel="0" collapsed="false">
      <c r="A1427" s="32"/>
      <c r="B1427" s="35"/>
      <c r="C1427" s="32"/>
      <c r="D1427" s="34"/>
      <c r="E1427" s="42" t="str">
        <f aca="false">IF(OR(A1427="",B1427=""),"",DATE(YEAR(B1427),MONTH(B1427),1))</f>
        <v/>
      </c>
      <c r="F1427" s="36" t="n">
        <f aca="false">IF(OR(E1427="",D1427=""),0,IF(C1427="Actual",D1427,IF(COUNTIFS($A$2:$A$2001,A1427,$E$2:$E$2001,E1427,$C$2:$C$2001,"Actual")&gt;0,0,D1427)))</f>
        <v>0</v>
      </c>
    </row>
    <row r="1428" customFormat="false" ht="15" hidden="false" customHeight="false" outlineLevel="0" collapsed="false">
      <c r="A1428" s="32"/>
      <c r="B1428" s="35"/>
      <c r="C1428" s="32"/>
      <c r="D1428" s="34"/>
      <c r="E1428" s="42" t="str">
        <f aca="false">IF(OR(A1428="",B1428=""),"",DATE(YEAR(B1428),MONTH(B1428),1))</f>
        <v/>
      </c>
      <c r="F1428" s="36" t="n">
        <f aca="false">IF(OR(E1428="",D1428=""),0,IF(C1428="Actual",D1428,IF(COUNTIFS($A$2:$A$2001,A1428,$E$2:$E$2001,E1428,$C$2:$C$2001,"Actual")&gt;0,0,D1428)))</f>
        <v>0</v>
      </c>
    </row>
    <row r="1429" customFormat="false" ht="15" hidden="false" customHeight="false" outlineLevel="0" collapsed="false">
      <c r="A1429" s="32"/>
      <c r="B1429" s="35"/>
      <c r="C1429" s="32"/>
      <c r="D1429" s="34"/>
      <c r="E1429" s="42" t="str">
        <f aca="false">IF(OR(A1429="",B1429=""),"",DATE(YEAR(B1429),MONTH(B1429),1))</f>
        <v/>
      </c>
      <c r="F1429" s="36" t="n">
        <f aca="false">IF(OR(E1429="",D1429=""),0,IF(C1429="Actual",D1429,IF(COUNTIFS($A$2:$A$2001,A1429,$E$2:$E$2001,E1429,$C$2:$C$2001,"Actual")&gt;0,0,D1429)))</f>
        <v>0</v>
      </c>
    </row>
    <row r="1430" customFormat="false" ht="15" hidden="false" customHeight="false" outlineLevel="0" collapsed="false">
      <c r="A1430" s="32"/>
      <c r="B1430" s="35"/>
      <c r="C1430" s="32"/>
      <c r="D1430" s="34"/>
      <c r="E1430" s="42" t="str">
        <f aca="false">IF(OR(A1430="",B1430=""),"",DATE(YEAR(B1430),MONTH(B1430),1))</f>
        <v/>
      </c>
      <c r="F1430" s="36" t="n">
        <f aca="false">IF(OR(E1430="",D1430=""),0,IF(C1430="Actual",D1430,IF(COUNTIFS($A$2:$A$2001,A1430,$E$2:$E$2001,E1430,$C$2:$C$2001,"Actual")&gt;0,0,D1430)))</f>
        <v>0</v>
      </c>
    </row>
    <row r="1431" customFormat="false" ht="15" hidden="false" customHeight="false" outlineLevel="0" collapsed="false">
      <c r="A1431" s="32"/>
      <c r="B1431" s="35"/>
      <c r="C1431" s="32"/>
      <c r="D1431" s="34"/>
      <c r="E1431" s="42" t="str">
        <f aca="false">IF(OR(A1431="",B1431=""),"",DATE(YEAR(B1431),MONTH(B1431),1))</f>
        <v/>
      </c>
      <c r="F1431" s="36" t="n">
        <f aca="false">IF(OR(E1431="",D1431=""),0,IF(C1431="Actual",D1431,IF(COUNTIFS($A$2:$A$2001,A1431,$E$2:$E$2001,E1431,$C$2:$C$2001,"Actual")&gt;0,0,D1431)))</f>
        <v>0</v>
      </c>
    </row>
    <row r="1432" customFormat="false" ht="15" hidden="false" customHeight="false" outlineLevel="0" collapsed="false">
      <c r="A1432" s="32"/>
      <c r="B1432" s="35"/>
      <c r="C1432" s="32"/>
      <c r="D1432" s="34"/>
      <c r="E1432" s="42" t="str">
        <f aca="false">IF(OR(A1432="",B1432=""),"",DATE(YEAR(B1432),MONTH(B1432),1))</f>
        <v/>
      </c>
      <c r="F1432" s="36" t="n">
        <f aca="false">IF(OR(E1432="",D1432=""),0,IF(C1432="Actual",D1432,IF(COUNTIFS($A$2:$A$2001,A1432,$E$2:$E$2001,E1432,$C$2:$C$2001,"Actual")&gt;0,0,D1432)))</f>
        <v>0</v>
      </c>
    </row>
    <row r="1433" customFormat="false" ht="15" hidden="false" customHeight="false" outlineLevel="0" collapsed="false">
      <c r="A1433" s="32"/>
      <c r="B1433" s="35"/>
      <c r="C1433" s="32"/>
      <c r="D1433" s="34"/>
      <c r="E1433" s="42" t="str">
        <f aca="false">IF(OR(A1433="",B1433=""),"",DATE(YEAR(B1433),MONTH(B1433),1))</f>
        <v/>
      </c>
      <c r="F1433" s="36" t="n">
        <f aca="false">IF(OR(E1433="",D1433=""),0,IF(C1433="Actual",D1433,IF(COUNTIFS($A$2:$A$2001,A1433,$E$2:$E$2001,E1433,$C$2:$C$2001,"Actual")&gt;0,0,D1433)))</f>
        <v>0</v>
      </c>
    </row>
    <row r="1434" customFormat="false" ht="15" hidden="false" customHeight="false" outlineLevel="0" collapsed="false">
      <c r="A1434" s="32"/>
      <c r="B1434" s="35"/>
      <c r="C1434" s="32"/>
      <c r="D1434" s="34"/>
      <c r="E1434" s="42" t="str">
        <f aca="false">IF(OR(A1434="",B1434=""),"",DATE(YEAR(B1434),MONTH(B1434),1))</f>
        <v/>
      </c>
      <c r="F1434" s="36" t="n">
        <f aca="false">IF(OR(E1434="",D1434=""),0,IF(C1434="Actual",D1434,IF(COUNTIFS($A$2:$A$2001,A1434,$E$2:$E$2001,E1434,$C$2:$C$2001,"Actual")&gt;0,0,D1434)))</f>
        <v>0</v>
      </c>
    </row>
    <row r="1435" customFormat="false" ht="15" hidden="false" customHeight="false" outlineLevel="0" collapsed="false">
      <c r="A1435" s="32"/>
      <c r="B1435" s="35"/>
      <c r="C1435" s="32"/>
      <c r="D1435" s="34"/>
      <c r="E1435" s="42" t="str">
        <f aca="false">IF(OR(A1435="",B1435=""),"",DATE(YEAR(B1435),MONTH(B1435),1))</f>
        <v/>
      </c>
      <c r="F1435" s="36" t="n">
        <f aca="false">IF(OR(E1435="",D1435=""),0,IF(C1435="Actual",D1435,IF(COUNTIFS($A$2:$A$2001,A1435,$E$2:$E$2001,E1435,$C$2:$C$2001,"Actual")&gt;0,0,D1435)))</f>
        <v>0</v>
      </c>
    </row>
    <row r="1436" customFormat="false" ht="15" hidden="false" customHeight="false" outlineLevel="0" collapsed="false">
      <c r="A1436" s="32"/>
      <c r="B1436" s="35"/>
      <c r="C1436" s="32"/>
      <c r="D1436" s="34"/>
      <c r="E1436" s="42" t="str">
        <f aca="false">IF(OR(A1436="",B1436=""),"",DATE(YEAR(B1436),MONTH(B1436),1))</f>
        <v/>
      </c>
      <c r="F1436" s="36" t="n">
        <f aca="false">IF(OR(E1436="",D1436=""),0,IF(C1436="Actual",D1436,IF(COUNTIFS($A$2:$A$2001,A1436,$E$2:$E$2001,E1436,$C$2:$C$2001,"Actual")&gt;0,0,D1436)))</f>
        <v>0</v>
      </c>
    </row>
    <row r="1437" customFormat="false" ht="15" hidden="false" customHeight="false" outlineLevel="0" collapsed="false">
      <c r="A1437" s="32"/>
      <c r="B1437" s="35"/>
      <c r="C1437" s="32"/>
      <c r="D1437" s="34"/>
      <c r="E1437" s="42" t="str">
        <f aca="false">IF(OR(A1437="",B1437=""),"",DATE(YEAR(B1437),MONTH(B1437),1))</f>
        <v/>
      </c>
      <c r="F1437" s="36" t="n">
        <f aca="false">IF(OR(E1437="",D1437=""),0,IF(C1437="Actual",D1437,IF(COUNTIFS($A$2:$A$2001,A1437,$E$2:$E$2001,E1437,$C$2:$C$2001,"Actual")&gt;0,0,D1437)))</f>
        <v>0</v>
      </c>
    </row>
    <row r="1438" customFormat="false" ht="15" hidden="false" customHeight="false" outlineLevel="0" collapsed="false">
      <c r="A1438" s="32"/>
      <c r="B1438" s="35"/>
      <c r="C1438" s="32"/>
      <c r="D1438" s="34"/>
      <c r="E1438" s="42" t="str">
        <f aca="false">IF(OR(A1438="",B1438=""),"",DATE(YEAR(B1438),MONTH(B1438),1))</f>
        <v/>
      </c>
      <c r="F1438" s="36" t="n">
        <f aca="false">IF(OR(E1438="",D1438=""),0,IF(C1438="Actual",D1438,IF(COUNTIFS($A$2:$A$2001,A1438,$E$2:$E$2001,E1438,$C$2:$C$2001,"Actual")&gt;0,0,D1438)))</f>
        <v>0</v>
      </c>
    </row>
    <row r="1439" customFormat="false" ht="15" hidden="false" customHeight="false" outlineLevel="0" collapsed="false">
      <c r="A1439" s="32"/>
      <c r="B1439" s="35"/>
      <c r="C1439" s="32"/>
      <c r="D1439" s="34"/>
      <c r="E1439" s="42" t="str">
        <f aca="false">IF(OR(A1439="",B1439=""),"",DATE(YEAR(B1439),MONTH(B1439),1))</f>
        <v/>
      </c>
      <c r="F1439" s="36" t="n">
        <f aca="false">IF(OR(E1439="",D1439=""),0,IF(C1439="Actual",D1439,IF(COUNTIFS($A$2:$A$2001,A1439,$E$2:$E$2001,E1439,$C$2:$C$2001,"Actual")&gt;0,0,D1439)))</f>
        <v>0</v>
      </c>
    </row>
    <row r="1440" customFormat="false" ht="15" hidden="false" customHeight="false" outlineLevel="0" collapsed="false">
      <c r="A1440" s="32"/>
      <c r="B1440" s="35"/>
      <c r="C1440" s="32"/>
      <c r="D1440" s="34"/>
      <c r="E1440" s="42" t="str">
        <f aca="false">IF(OR(A1440="",B1440=""),"",DATE(YEAR(B1440),MONTH(B1440),1))</f>
        <v/>
      </c>
      <c r="F1440" s="36" t="n">
        <f aca="false">IF(OR(E1440="",D1440=""),0,IF(C1440="Actual",D1440,IF(COUNTIFS($A$2:$A$2001,A1440,$E$2:$E$2001,E1440,$C$2:$C$2001,"Actual")&gt;0,0,D1440)))</f>
        <v>0</v>
      </c>
    </row>
    <row r="1441" customFormat="false" ht="15" hidden="false" customHeight="false" outlineLevel="0" collapsed="false">
      <c r="A1441" s="32"/>
      <c r="B1441" s="35"/>
      <c r="C1441" s="32"/>
      <c r="D1441" s="34"/>
      <c r="E1441" s="42" t="str">
        <f aca="false">IF(OR(A1441="",B1441=""),"",DATE(YEAR(B1441),MONTH(B1441),1))</f>
        <v/>
      </c>
      <c r="F1441" s="36" t="n">
        <f aca="false">IF(OR(E1441="",D1441=""),0,IF(C1441="Actual",D1441,IF(COUNTIFS($A$2:$A$2001,A1441,$E$2:$E$2001,E1441,$C$2:$C$2001,"Actual")&gt;0,0,D1441)))</f>
        <v>0</v>
      </c>
    </row>
    <row r="1442" customFormat="false" ht="15" hidden="false" customHeight="false" outlineLevel="0" collapsed="false">
      <c r="A1442" s="32"/>
      <c r="B1442" s="35"/>
      <c r="C1442" s="32"/>
      <c r="D1442" s="34"/>
      <c r="E1442" s="42" t="str">
        <f aca="false">IF(OR(A1442="",B1442=""),"",DATE(YEAR(B1442),MONTH(B1442),1))</f>
        <v/>
      </c>
      <c r="F1442" s="36" t="n">
        <f aca="false">IF(OR(E1442="",D1442=""),0,IF(C1442="Actual",D1442,IF(COUNTIFS($A$2:$A$2001,A1442,$E$2:$E$2001,E1442,$C$2:$C$2001,"Actual")&gt;0,0,D1442)))</f>
        <v>0</v>
      </c>
    </row>
    <row r="1443" customFormat="false" ht="15" hidden="false" customHeight="false" outlineLevel="0" collapsed="false">
      <c r="A1443" s="32"/>
      <c r="B1443" s="35"/>
      <c r="C1443" s="32"/>
      <c r="D1443" s="34"/>
      <c r="E1443" s="42" t="str">
        <f aca="false">IF(OR(A1443="",B1443=""),"",DATE(YEAR(B1443),MONTH(B1443),1))</f>
        <v/>
      </c>
      <c r="F1443" s="36" t="n">
        <f aca="false">IF(OR(E1443="",D1443=""),0,IF(C1443="Actual",D1443,IF(COUNTIFS($A$2:$A$2001,A1443,$E$2:$E$2001,E1443,$C$2:$C$2001,"Actual")&gt;0,0,D1443)))</f>
        <v>0</v>
      </c>
    </row>
    <row r="1444" customFormat="false" ht="15" hidden="false" customHeight="false" outlineLevel="0" collapsed="false">
      <c r="A1444" s="32"/>
      <c r="B1444" s="35"/>
      <c r="C1444" s="32"/>
      <c r="D1444" s="34"/>
      <c r="E1444" s="42" t="str">
        <f aca="false">IF(OR(A1444="",B1444=""),"",DATE(YEAR(B1444),MONTH(B1444),1))</f>
        <v/>
      </c>
      <c r="F1444" s="36" t="n">
        <f aca="false">IF(OR(E1444="",D1444=""),0,IF(C1444="Actual",D1444,IF(COUNTIFS($A$2:$A$2001,A1444,$E$2:$E$2001,E1444,$C$2:$C$2001,"Actual")&gt;0,0,D1444)))</f>
        <v>0</v>
      </c>
    </row>
    <row r="1445" customFormat="false" ht="15" hidden="false" customHeight="false" outlineLevel="0" collapsed="false">
      <c r="A1445" s="32"/>
      <c r="B1445" s="35"/>
      <c r="C1445" s="32"/>
      <c r="D1445" s="34"/>
      <c r="E1445" s="42" t="str">
        <f aca="false">IF(OR(A1445="",B1445=""),"",DATE(YEAR(B1445),MONTH(B1445),1))</f>
        <v/>
      </c>
      <c r="F1445" s="36" t="n">
        <f aca="false">IF(OR(E1445="",D1445=""),0,IF(C1445="Actual",D1445,IF(COUNTIFS($A$2:$A$2001,A1445,$E$2:$E$2001,E1445,$C$2:$C$2001,"Actual")&gt;0,0,D1445)))</f>
        <v>0</v>
      </c>
    </row>
    <row r="1446" customFormat="false" ht="15" hidden="false" customHeight="false" outlineLevel="0" collapsed="false">
      <c r="A1446" s="32"/>
      <c r="B1446" s="35"/>
      <c r="C1446" s="32"/>
      <c r="D1446" s="34"/>
      <c r="E1446" s="42" t="str">
        <f aca="false">IF(OR(A1446="",B1446=""),"",DATE(YEAR(B1446),MONTH(B1446),1))</f>
        <v/>
      </c>
      <c r="F1446" s="36" t="n">
        <f aca="false">IF(OR(E1446="",D1446=""),0,IF(C1446="Actual",D1446,IF(COUNTIFS($A$2:$A$2001,A1446,$E$2:$E$2001,E1446,$C$2:$C$2001,"Actual")&gt;0,0,D1446)))</f>
        <v>0</v>
      </c>
    </row>
    <row r="1447" customFormat="false" ht="15" hidden="false" customHeight="false" outlineLevel="0" collapsed="false">
      <c r="A1447" s="32"/>
      <c r="B1447" s="35"/>
      <c r="C1447" s="32"/>
      <c r="D1447" s="34"/>
      <c r="E1447" s="42" t="str">
        <f aca="false">IF(OR(A1447="",B1447=""),"",DATE(YEAR(B1447),MONTH(B1447),1))</f>
        <v/>
      </c>
      <c r="F1447" s="36" t="n">
        <f aca="false">IF(OR(E1447="",D1447=""),0,IF(C1447="Actual",D1447,IF(COUNTIFS($A$2:$A$2001,A1447,$E$2:$E$2001,E1447,$C$2:$C$2001,"Actual")&gt;0,0,D1447)))</f>
        <v>0</v>
      </c>
    </row>
    <row r="1448" customFormat="false" ht="15" hidden="false" customHeight="false" outlineLevel="0" collapsed="false">
      <c r="A1448" s="32"/>
      <c r="B1448" s="35"/>
      <c r="C1448" s="32"/>
      <c r="D1448" s="34"/>
      <c r="E1448" s="42" t="str">
        <f aca="false">IF(OR(A1448="",B1448=""),"",DATE(YEAR(B1448),MONTH(B1448),1))</f>
        <v/>
      </c>
      <c r="F1448" s="36" t="n">
        <f aca="false">IF(OR(E1448="",D1448=""),0,IF(C1448="Actual",D1448,IF(COUNTIFS($A$2:$A$2001,A1448,$E$2:$E$2001,E1448,$C$2:$C$2001,"Actual")&gt;0,0,D1448)))</f>
        <v>0</v>
      </c>
    </row>
    <row r="1449" customFormat="false" ht="15" hidden="false" customHeight="false" outlineLevel="0" collapsed="false">
      <c r="A1449" s="32"/>
      <c r="B1449" s="35"/>
      <c r="C1449" s="32"/>
      <c r="D1449" s="34"/>
      <c r="E1449" s="42" t="str">
        <f aca="false">IF(OR(A1449="",B1449=""),"",DATE(YEAR(B1449),MONTH(B1449),1))</f>
        <v/>
      </c>
      <c r="F1449" s="36" t="n">
        <f aca="false">IF(OR(E1449="",D1449=""),0,IF(C1449="Actual",D1449,IF(COUNTIFS($A$2:$A$2001,A1449,$E$2:$E$2001,E1449,$C$2:$C$2001,"Actual")&gt;0,0,D1449)))</f>
        <v>0</v>
      </c>
    </row>
    <row r="1450" customFormat="false" ht="15" hidden="false" customHeight="false" outlineLevel="0" collapsed="false">
      <c r="A1450" s="32"/>
      <c r="B1450" s="35"/>
      <c r="C1450" s="32"/>
      <c r="D1450" s="34"/>
      <c r="E1450" s="42" t="str">
        <f aca="false">IF(OR(A1450="",B1450=""),"",DATE(YEAR(B1450),MONTH(B1450),1))</f>
        <v/>
      </c>
      <c r="F1450" s="36" t="n">
        <f aca="false">IF(OR(E1450="",D1450=""),0,IF(C1450="Actual",D1450,IF(COUNTIFS($A$2:$A$2001,A1450,$E$2:$E$2001,E1450,$C$2:$C$2001,"Actual")&gt;0,0,D1450)))</f>
        <v>0</v>
      </c>
    </row>
    <row r="1451" customFormat="false" ht="15" hidden="false" customHeight="false" outlineLevel="0" collapsed="false">
      <c r="A1451" s="32"/>
      <c r="B1451" s="35"/>
      <c r="C1451" s="32"/>
      <c r="D1451" s="34"/>
      <c r="E1451" s="42" t="str">
        <f aca="false">IF(OR(A1451="",B1451=""),"",DATE(YEAR(B1451),MONTH(B1451),1))</f>
        <v/>
      </c>
      <c r="F1451" s="36" t="n">
        <f aca="false">IF(OR(E1451="",D1451=""),0,IF(C1451="Actual",D1451,IF(COUNTIFS($A$2:$A$2001,A1451,$E$2:$E$2001,E1451,$C$2:$C$2001,"Actual")&gt;0,0,D1451)))</f>
        <v>0</v>
      </c>
    </row>
    <row r="1452" customFormat="false" ht="15" hidden="false" customHeight="false" outlineLevel="0" collapsed="false">
      <c r="A1452" s="32"/>
      <c r="B1452" s="35"/>
      <c r="C1452" s="32"/>
      <c r="D1452" s="34"/>
      <c r="E1452" s="42" t="str">
        <f aca="false">IF(OR(A1452="",B1452=""),"",DATE(YEAR(B1452),MONTH(B1452),1))</f>
        <v/>
      </c>
      <c r="F1452" s="36" t="n">
        <f aca="false">IF(OR(E1452="",D1452=""),0,IF(C1452="Actual",D1452,IF(COUNTIFS($A$2:$A$2001,A1452,$E$2:$E$2001,E1452,$C$2:$C$2001,"Actual")&gt;0,0,D1452)))</f>
        <v>0</v>
      </c>
    </row>
    <row r="1453" customFormat="false" ht="15" hidden="false" customHeight="false" outlineLevel="0" collapsed="false">
      <c r="A1453" s="32"/>
      <c r="B1453" s="35"/>
      <c r="C1453" s="32"/>
      <c r="D1453" s="34"/>
      <c r="E1453" s="42" t="str">
        <f aca="false">IF(OR(A1453="",B1453=""),"",DATE(YEAR(B1453),MONTH(B1453),1))</f>
        <v/>
      </c>
      <c r="F1453" s="36" t="n">
        <f aca="false">IF(OR(E1453="",D1453=""),0,IF(C1453="Actual",D1453,IF(COUNTIFS($A$2:$A$2001,A1453,$E$2:$E$2001,E1453,$C$2:$C$2001,"Actual")&gt;0,0,D1453)))</f>
        <v>0</v>
      </c>
    </row>
    <row r="1454" customFormat="false" ht="15" hidden="false" customHeight="false" outlineLevel="0" collapsed="false">
      <c r="A1454" s="32"/>
      <c r="B1454" s="35"/>
      <c r="C1454" s="32"/>
      <c r="D1454" s="34"/>
      <c r="E1454" s="42" t="str">
        <f aca="false">IF(OR(A1454="",B1454=""),"",DATE(YEAR(B1454),MONTH(B1454),1))</f>
        <v/>
      </c>
      <c r="F1454" s="36" t="n">
        <f aca="false">IF(OR(E1454="",D1454=""),0,IF(C1454="Actual",D1454,IF(COUNTIFS($A$2:$A$2001,A1454,$E$2:$E$2001,E1454,$C$2:$C$2001,"Actual")&gt;0,0,D1454)))</f>
        <v>0</v>
      </c>
    </row>
    <row r="1455" customFormat="false" ht="15" hidden="false" customHeight="false" outlineLevel="0" collapsed="false">
      <c r="A1455" s="32"/>
      <c r="B1455" s="35"/>
      <c r="C1455" s="32"/>
      <c r="D1455" s="34"/>
      <c r="E1455" s="42" t="str">
        <f aca="false">IF(OR(A1455="",B1455=""),"",DATE(YEAR(B1455),MONTH(B1455),1))</f>
        <v/>
      </c>
      <c r="F1455" s="36" t="n">
        <f aca="false">IF(OR(E1455="",D1455=""),0,IF(C1455="Actual",D1455,IF(COUNTIFS($A$2:$A$2001,A1455,$E$2:$E$2001,E1455,$C$2:$C$2001,"Actual")&gt;0,0,D1455)))</f>
        <v>0</v>
      </c>
    </row>
    <row r="1456" customFormat="false" ht="15" hidden="false" customHeight="false" outlineLevel="0" collapsed="false">
      <c r="A1456" s="32"/>
      <c r="B1456" s="35"/>
      <c r="C1456" s="32"/>
      <c r="D1456" s="34"/>
      <c r="E1456" s="42" t="str">
        <f aca="false">IF(OR(A1456="",B1456=""),"",DATE(YEAR(B1456),MONTH(B1456),1))</f>
        <v/>
      </c>
      <c r="F1456" s="36" t="n">
        <f aca="false">IF(OR(E1456="",D1456=""),0,IF(C1456="Actual",D1456,IF(COUNTIFS($A$2:$A$2001,A1456,$E$2:$E$2001,E1456,$C$2:$C$2001,"Actual")&gt;0,0,D1456)))</f>
        <v>0</v>
      </c>
    </row>
    <row r="1457" customFormat="false" ht="15" hidden="false" customHeight="false" outlineLevel="0" collapsed="false">
      <c r="A1457" s="32"/>
      <c r="B1457" s="35"/>
      <c r="C1457" s="32"/>
      <c r="D1457" s="34"/>
      <c r="E1457" s="42" t="str">
        <f aca="false">IF(OR(A1457="",B1457=""),"",DATE(YEAR(B1457),MONTH(B1457),1))</f>
        <v/>
      </c>
      <c r="F1457" s="36" t="n">
        <f aca="false">IF(OR(E1457="",D1457=""),0,IF(C1457="Actual",D1457,IF(COUNTIFS($A$2:$A$2001,A1457,$E$2:$E$2001,E1457,$C$2:$C$2001,"Actual")&gt;0,0,D1457)))</f>
        <v>0</v>
      </c>
    </row>
    <row r="1458" customFormat="false" ht="15" hidden="false" customHeight="false" outlineLevel="0" collapsed="false">
      <c r="A1458" s="32"/>
      <c r="B1458" s="35"/>
      <c r="C1458" s="32"/>
      <c r="D1458" s="34"/>
      <c r="E1458" s="42" t="str">
        <f aca="false">IF(OR(A1458="",B1458=""),"",DATE(YEAR(B1458),MONTH(B1458),1))</f>
        <v/>
      </c>
      <c r="F1458" s="36" t="n">
        <f aca="false">IF(OR(E1458="",D1458=""),0,IF(C1458="Actual",D1458,IF(COUNTIFS($A$2:$A$2001,A1458,$E$2:$E$2001,E1458,$C$2:$C$2001,"Actual")&gt;0,0,D1458)))</f>
        <v>0</v>
      </c>
    </row>
    <row r="1459" customFormat="false" ht="15" hidden="false" customHeight="false" outlineLevel="0" collapsed="false">
      <c r="A1459" s="32"/>
      <c r="B1459" s="35"/>
      <c r="C1459" s="32"/>
      <c r="D1459" s="34"/>
      <c r="E1459" s="42" t="str">
        <f aca="false">IF(OR(A1459="",B1459=""),"",DATE(YEAR(B1459),MONTH(B1459),1))</f>
        <v/>
      </c>
      <c r="F1459" s="36" t="n">
        <f aca="false">IF(OR(E1459="",D1459=""),0,IF(C1459="Actual",D1459,IF(COUNTIFS($A$2:$A$2001,A1459,$E$2:$E$2001,E1459,$C$2:$C$2001,"Actual")&gt;0,0,D1459)))</f>
        <v>0</v>
      </c>
    </row>
    <row r="1460" customFormat="false" ht="15" hidden="false" customHeight="false" outlineLevel="0" collapsed="false">
      <c r="A1460" s="32"/>
      <c r="B1460" s="35"/>
      <c r="C1460" s="32"/>
      <c r="D1460" s="34"/>
      <c r="E1460" s="42" t="str">
        <f aca="false">IF(OR(A1460="",B1460=""),"",DATE(YEAR(B1460),MONTH(B1460),1))</f>
        <v/>
      </c>
      <c r="F1460" s="36" t="n">
        <f aca="false">IF(OR(E1460="",D1460=""),0,IF(C1460="Actual",D1460,IF(COUNTIFS($A$2:$A$2001,A1460,$E$2:$E$2001,E1460,$C$2:$C$2001,"Actual")&gt;0,0,D1460)))</f>
        <v>0</v>
      </c>
    </row>
    <row r="1461" customFormat="false" ht="15" hidden="false" customHeight="false" outlineLevel="0" collapsed="false">
      <c r="A1461" s="32"/>
      <c r="B1461" s="35"/>
      <c r="C1461" s="32"/>
      <c r="D1461" s="34"/>
      <c r="E1461" s="42" t="str">
        <f aca="false">IF(OR(A1461="",B1461=""),"",DATE(YEAR(B1461),MONTH(B1461),1))</f>
        <v/>
      </c>
      <c r="F1461" s="36" t="n">
        <f aca="false">IF(OR(E1461="",D1461=""),0,IF(C1461="Actual",D1461,IF(COUNTIFS($A$2:$A$2001,A1461,$E$2:$E$2001,E1461,$C$2:$C$2001,"Actual")&gt;0,0,D1461)))</f>
        <v>0</v>
      </c>
    </row>
    <row r="1462" customFormat="false" ht="15" hidden="false" customHeight="false" outlineLevel="0" collapsed="false">
      <c r="A1462" s="32"/>
      <c r="B1462" s="35"/>
      <c r="C1462" s="32"/>
      <c r="D1462" s="34"/>
      <c r="E1462" s="42" t="str">
        <f aca="false">IF(OR(A1462="",B1462=""),"",DATE(YEAR(B1462),MONTH(B1462),1))</f>
        <v/>
      </c>
      <c r="F1462" s="36" t="n">
        <f aca="false">IF(OR(E1462="",D1462=""),0,IF(C1462="Actual",D1462,IF(COUNTIFS($A$2:$A$2001,A1462,$E$2:$E$2001,E1462,$C$2:$C$2001,"Actual")&gt;0,0,D1462)))</f>
        <v>0</v>
      </c>
    </row>
    <row r="1463" customFormat="false" ht="15" hidden="false" customHeight="false" outlineLevel="0" collapsed="false">
      <c r="A1463" s="32"/>
      <c r="B1463" s="35"/>
      <c r="C1463" s="32"/>
      <c r="D1463" s="34"/>
      <c r="E1463" s="42" t="str">
        <f aca="false">IF(OR(A1463="",B1463=""),"",DATE(YEAR(B1463),MONTH(B1463),1))</f>
        <v/>
      </c>
      <c r="F1463" s="36" t="n">
        <f aca="false">IF(OR(E1463="",D1463=""),0,IF(C1463="Actual",D1463,IF(COUNTIFS($A$2:$A$2001,A1463,$E$2:$E$2001,E1463,$C$2:$C$2001,"Actual")&gt;0,0,D1463)))</f>
        <v>0</v>
      </c>
    </row>
    <row r="1464" customFormat="false" ht="15" hidden="false" customHeight="false" outlineLevel="0" collapsed="false">
      <c r="A1464" s="32"/>
      <c r="B1464" s="35"/>
      <c r="C1464" s="32"/>
      <c r="D1464" s="34"/>
      <c r="E1464" s="42" t="str">
        <f aca="false">IF(OR(A1464="",B1464=""),"",DATE(YEAR(B1464),MONTH(B1464),1))</f>
        <v/>
      </c>
      <c r="F1464" s="36" t="n">
        <f aca="false">IF(OR(E1464="",D1464=""),0,IF(C1464="Actual",D1464,IF(COUNTIFS($A$2:$A$2001,A1464,$E$2:$E$2001,E1464,$C$2:$C$2001,"Actual")&gt;0,0,D1464)))</f>
        <v>0</v>
      </c>
    </row>
    <row r="1465" customFormat="false" ht="15" hidden="false" customHeight="false" outlineLevel="0" collapsed="false">
      <c r="A1465" s="32"/>
      <c r="B1465" s="35"/>
      <c r="C1465" s="32"/>
      <c r="D1465" s="34"/>
      <c r="E1465" s="42" t="str">
        <f aca="false">IF(OR(A1465="",B1465=""),"",DATE(YEAR(B1465),MONTH(B1465),1))</f>
        <v/>
      </c>
      <c r="F1465" s="36" t="n">
        <f aca="false">IF(OR(E1465="",D1465=""),0,IF(C1465="Actual",D1465,IF(COUNTIFS($A$2:$A$2001,A1465,$E$2:$E$2001,E1465,$C$2:$C$2001,"Actual")&gt;0,0,D1465)))</f>
        <v>0</v>
      </c>
    </row>
    <row r="1466" customFormat="false" ht="15" hidden="false" customHeight="false" outlineLevel="0" collapsed="false">
      <c r="A1466" s="32"/>
      <c r="B1466" s="35"/>
      <c r="C1466" s="32"/>
      <c r="D1466" s="34"/>
      <c r="E1466" s="42" t="str">
        <f aca="false">IF(OR(A1466="",B1466=""),"",DATE(YEAR(B1466),MONTH(B1466),1))</f>
        <v/>
      </c>
      <c r="F1466" s="36" t="n">
        <f aca="false">IF(OR(E1466="",D1466=""),0,IF(C1466="Actual",D1466,IF(COUNTIFS($A$2:$A$2001,A1466,$E$2:$E$2001,E1466,$C$2:$C$2001,"Actual")&gt;0,0,D1466)))</f>
        <v>0</v>
      </c>
    </row>
    <row r="1467" customFormat="false" ht="15" hidden="false" customHeight="false" outlineLevel="0" collapsed="false">
      <c r="A1467" s="32"/>
      <c r="B1467" s="35"/>
      <c r="C1467" s="32"/>
      <c r="D1467" s="34"/>
      <c r="E1467" s="42" t="str">
        <f aca="false">IF(OR(A1467="",B1467=""),"",DATE(YEAR(B1467),MONTH(B1467),1))</f>
        <v/>
      </c>
      <c r="F1467" s="36" t="n">
        <f aca="false">IF(OR(E1467="",D1467=""),0,IF(C1467="Actual",D1467,IF(COUNTIFS($A$2:$A$2001,A1467,$E$2:$E$2001,E1467,$C$2:$C$2001,"Actual")&gt;0,0,D1467)))</f>
        <v>0</v>
      </c>
    </row>
    <row r="1468" customFormat="false" ht="15" hidden="false" customHeight="false" outlineLevel="0" collapsed="false">
      <c r="A1468" s="32"/>
      <c r="B1468" s="35"/>
      <c r="C1468" s="32"/>
      <c r="D1468" s="34"/>
      <c r="E1468" s="42" t="str">
        <f aca="false">IF(OR(A1468="",B1468=""),"",DATE(YEAR(B1468),MONTH(B1468),1))</f>
        <v/>
      </c>
      <c r="F1468" s="36" t="n">
        <f aca="false">IF(OR(E1468="",D1468=""),0,IF(C1468="Actual",D1468,IF(COUNTIFS($A$2:$A$2001,A1468,$E$2:$E$2001,E1468,$C$2:$C$2001,"Actual")&gt;0,0,D1468)))</f>
        <v>0</v>
      </c>
    </row>
    <row r="1469" customFormat="false" ht="15" hidden="false" customHeight="false" outlineLevel="0" collapsed="false">
      <c r="A1469" s="32"/>
      <c r="B1469" s="35"/>
      <c r="C1469" s="32"/>
      <c r="D1469" s="34"/>
      <c r="E1469" s="42" t="str">
        <f aca="false">IF(OR(A1469="",B1469=""),"",DATE(YEAR(B1469),MONTH(B1469),1))</f>
        <v/>
      </c>
      <c r="F1469" s="36" t="n">
        <f aca="false">IF(OR(E1469="",D1469=""),0,IF(C1469="Actual",D1469,IF(COUNTIFS($A$2:$A$2001,A1469,$E$2:$E$2001,E1469,$C$2:$C$2001,"Actual")&gt;0,0,D1469)))</f>
        <v>0</v>
      </c>
    </row>
    <row r="1470" customFormat="false" ht="15" hidden="false" customHeight="false" outlineLevel="0" collapsed="false">
      <c r="A1470" s="32"/>
      <c r="B1470" s="35"/>
      <c r="C1470" s="32"/>
      <c r="D1470" s="34"/>
      <c r="E1470" s="42" t="str">
        <f aca="false">IF(OR(A1470="",B1470=""),"",DATE(YEAR(B1470),MONTH(B1470),1))</f>
        <v/>
      </c>
      <c r="F1470" s="36" t="n">
        <f aca="false">IF(OR(E1470="",D1470=""),0,IF(C1470="Actual",D1470,IF(COUNTIFS($A$2:$A$2001,A1470,$E$2:$E$2001,E1470,$C$2:$C$2001,"Actual")&gt;0,0,D1470)))</f>
        <v>0</v>
      </c>
    </row>
    <row r="1471" customFormat="false" ht="15" hidden="false" customHeight="false" outlineLevel="0" collapsed="false">
      <c r="A1471" s="32"/>
      <c r="B1471" s="35"/>
      <c r="C1471" s="32"/>
      <c r="D1471" s="34"/>
      <c r="E1471" s="42" t="str">
        <f aca="false">IF(OR(A1471="",B1471=""),"",DATE(YEAR(B1471),MONTH(B1471),1))</f>
        <v/>
      </c>
      <c r="F1471" s="36" t="n">
        <f aca="false">IF(OR(E1471="",D1471=""),0,IF(C1471="Actual",D1471,IF(COUNTIFS($A$2:$A$2001,A1471,$E$2:$E$2001,E1471,$C$2:$C$2001,"Actual")&gt;0,0,D1471)))</f>
        <v>0</v>
      </c>
    </row>
    <row r="1472" customFormat="false" ht="15" hidden="false" customHeight="false" outlineLevel="0" collapsed="false">
      <c r="A1472" s="32"/>
      <c r="B1472" s="35"/>
      <c r="C1472" s="32"/>
      <c r="D1472" s="34"/>
      <c r="E1472" s="42" t="str">
        <f aca="false">IF(OR(A1472="",B1472=""),"",DATE(YEAR(B1472),MONTH(B1472),1))</f>
        <v/>
      </c>
      <c r="F1472" s="36" t="n">
        <f aca="false">IF(OR(E1472="",D1472=""),0,IF(C1472="Actual",D1472,IF(COUNTIFS($A$2:$A$2001,A1472,$E$2:$E$2001,E1472,$C$2:$C$2001,"Actual")&gt;0,0,D1472)))</f>
        <v>0</v>
      </c>
    </row>
    <row r="1473" customFormat="false" ht="15" hidden="false" customHeight="false" outlineLevel="0" collapsed="false">
      <c r="A1473" s="32"/>
      <c r="B1473" s="35"/>
      <c r="C1473" s="32"/>
      <c r="D1473" s="34"/>
      <c r="E1473" s="42" t="str">
        <f aca="false">IF(OR(A1473="",B1473=""),"",DATE(YEAR(B1473),MONTH(B1473),1))</f>
        <v/>
      </c>
      <c r="F1473" s="36" t="n">
        <f aca="false">IF(OR(E1473="",D1473=""),0,IF(C1473="Actual",D1473,IF(COUNTIFS($A$2:$A$2001,A1473,$E$2:$E$2001,E1473,$C$2:$C$2001,"Actual")&gt;0,0,D1473)))</f>
        <v>0</v>
      </c>
    </row>
    <row r="1474" customFormat="false" ht="15" hidden="false" customHeight="false" outlineLevel="0" collapsed="false">
      <c r="A1474" s="32"/>
      <c r="B1474" s="35"/>
      <c r="C1474" s="32"/>
      <c r="D1474" s="34"/>
      <c r="E1474" s="42" t="str">
        <f aca="false">IF(OR(A1474="",B1474=""),"",DATE(YEAR(B1474),MONTH(B1474),1))</f>
        <v/>
      </c>
      <c r="F1474" s="36" t="n">
        <f aca="false">IF(OR(E1474="",D1474=""),0,IF(C1474="Actual",D1474,IF(COUNTIFS($A$2:$A$2001,A1474,$E$2:$E$2001,E1474,$C$2:$C$2001,"Actual")&gt;0,0,D1474)))</f>
        <v>0</v>
      </c>
    </row>
    <row r="1475" customFormat="false" ht="15" hidden="false" customHeight="false" outlineLevel="0" collapsed="false">
      <c r="A1475" s="32"/>
      <c r="B1475" s="35"/>
      <c r="C1475" s="32"/>
      <c r="D1475" s="34"/>
      <c r="E1475" s="42" t="str">
        <f aca="false">IF(OR(A1475="",B1475=""),"",DATE(YEAR(B1475),MONTH(B1475),1))</f>
        <v/>
      </c>
      <c r="F1475" s="36" t="n">
        <f aca="false">IF(OR(E1475="",D1475=""),0,IF(C1475="Actual",D1475,IF(COUNTIFS($A$2:$A$2001,A1475,$E$2:$E$2001,E1475,$C$2:$C$2001,"Actual")&gt;0,0,D1475)))</f>
        <v>0</v>
      </c>
    </row>
    <row r="1476" customFormat="false" ht="15" hidden="false" customHeight="false" outlineLevel="0" collapsed="false">
      <c r="A1476" s="32"/>
      <c r="B1476" s="35"/>
      <c r="C1476" s="32"/>
      <c r="D1476" s="34"/>
      <c r="E1476" s="42" t="str">
        <f aca="false">IF(OR(A1476="",B1476=""),"",DATE(YEAR(B1476),MONTH(B1476),1))</f>
        <v/>
      </c>
      <c r="F1476" s="36" t="n">
        <f aca="false">IF(OR(E1476="",D1476=""),0,IF(C1476="Actual",D1476,IF(COUNTIFS($A$2:$A$2001,A1476,$E$2:$E$2001,E1476,$C$2:$C$2001,"Actual")&gt;0,0,D1476)))</f>
        <v>0</v>
      </c>
    </row>
    <row r="1477" customFormat="false" ht="15" hidden="false" customHeight="false" outlineLevel="0" collapsed="false">
      <c r="A1477" s="32"/>
      <c r="B1477" s="35"/>
      <c r="C1477" s="32"/>
      <c r="D1477" s="34"/>
      <c r="E1477" s="42" t="str">
        <f aca="false">IF(OR(A1477="",B1477=""),"",DATE(YEAR(B1477),MONTH(B1477),1))</f>
        <v/>
      </c>
      <c r="F1477" s="36" t="n">
        <f aca="false">IF(OR(E1477="",D1477=""),0,IF(C1477="Actual",D1477,IF(COUNTIFS($A$2:$A$2001,A1477,$E$2:$E$2001,E1477,$C$2:$C$2001,"Actual")&gt;0,0,D1477)))</f>
        <v>0</v>
      </c>
    </row>
    <row r="1478" customFormat="false" ht="15" hidden="false" customHeight="false" outlineLevel="0" collapsed="false">
      <c r="A1478" s="32"/>
      <c r="B1478" s="35"/>
      <c r="C1478" s="32"/>
      <c r="D1478" s="34"/>
      <c r="E1478" s="42" t="str">
        <f aca="false">IF(OR(A1478="",B1478=""),"",DATE(YEAR(B1478),MONTH(B1478),1))</f>
        <v/>
      </c>
      <c r="F1478" s="36" t="n">
        <f aca="false">IF(OR(E1478="",D1478=""),0,IF(C1478="Actual",D1478,IF(COUNTIFS($A$2:$A$2001,A1478,$E$2:$E$2001,E1478,$C$2:$C$2001,"Actual")&gt;0,0,D1478)))</f>
        <v>0</v>
      </c>
    </row>
    <row r="1479" customFormat="false" ht="15" hidden="false" customHeight="false" outlineLevel="0" collapsed="false">
      <c r="A1479" s="32"/>
      <c r="B1479" s="35"/>
      <c r="C1479" s="32"/>
      <c r="D1479" s="34"/>
      <c r="E1479" s="42" t="str">
        <f aca="false">IF(OR(A1479="",B1479=""),"",DATE(YEAR(B1479),MONTH(B1479),1))</f>
        <v/>
      </c>
      <c r="F1479" s="36" t="n">
        <f aca="false">IF(OR(E1479="",D1479=""),0,IF(C1479="Actual",D1479,IF(COUNTIFS($A$2:$A$2001,A1479,$E$2:$E$2001,E1479,$C$2:$C$2001,"Actual")&gt;0,0,D1479)))</f>
        <v>0</v>
      </c>
    </row>
    <row r="1480" customFormat="false" ht="15" hidden="false" customHeight="false" outlineLevel="0" collapsed="false">
      <c r="A1480" s="32"/>
      <c r="B1480" s="35"/>
      <c r="C1480" s="32"/>
      <c r="D1480" s="34"/>
      <c r="E1480" s="42" t="str">
        <f aca="false">IF(OR(A1480="",B1480=""),"",DATE(YEAR(B1480),MONTH(B1480),1))</f>
        <v/>
      </c>
      <c r="F1480" s="36" t="n">
        <f aca="false">IF(OR(E1480="",D1480=""),0,IF(C1480="Actual",D1480,IF(COUNTIFS($A$2:$A$2001,A1480,$E$2:$E$2001,E1480,$C$2:$C$2001,"Actual")&gt;0,0,D1480)))</f>
        <v>0</v>
      </c>
    </row>
    <row r="1481" customFormat="false" ht="15" hidden="false" customHeight="false" outlineLevel="0" collapsed="false">
      <c r="A1481" s="32"/>
      <c r="B1481" s="35"/>
      <c r="C1481" s="32"/>
      <c r="D1481" s="34"/>
      <c r="E1481" s="42" t="str">
        <f aca="false">IF(OR(A1481="",B1481=""),"",DATE(YEAR(B1481),MONTH(B1481),1))</f>
        <v/>
      </c>
      <c r="F1481" s="36" t="n">
        <f aca="false">IF(OR(E1481="",D1481=""),0,IF(C1481="Actual",D1481,IF(COUNTIFS($A$2:$A$2001,A1481,$E$2:$E$2001,E1481,$C$2:$C$2001,"Actual")&gt;0,0,D1481)))</f>
        <v>0</v>
      </c>
    </row>
    <row r="1482" customFormat="false" ht="15" hidden="false" customHeight="false" outlineLevel="0" collapsed="false">
      <c r="A1482" s="32"/>
      <c r="B1482" s="35"/>
      <c r="C1482" s="32"/>
      <c r="D1482" s="34"/>
      <c r="E1482" s="42" t="str">
        <f aca="false">IF(OR(A1482="",B1482=""),"",DATE(YEAR(B1482),MONTH(B1482),1))</f>
        <v/>
      </c>
      <c r="F1482" s="36" t="n">
        <f aca="false">IF(OR(E1482="",D1482=""),0,IF(C1482="Actual",D1482,IF(COUNTIFS($A$2:$A$2001,A1482,$E$2:$E$2001,E1482,$C$2:$C$2001,"Actual")&gt;0,0,D1482)))</f>
        <v>0</v>
      </c>
    </row>
    <row r="1483" customFormat="false" ht="15" hidden="false" customHeight="false" outlineLevel="0" collapsed="false">
      <c r="A1483" s="32"/>
      <c r="B1483" s="35"/>
      <c r="C1483" s="32"/>
      <c r="D1483" s="34"/>
      <c r="E1483" s="42" t="str">
        <f aca="false">IF(OR(A1483="",B1483=""),"",DATE(YEAR(B1483),MONTH(B1483),1))</f>
        <v/>
      </c>
      <c r="F1483" s="36" t="n">
        <f aca="false">IF(OR(E1483="",D1483=""),0,IF(C1483="Actual",D1483,IF(COUNTIFS($A$2:$A$2001,A1483,$E$2:$E$2001,E1483,$C$2:$C$2001,"Actual")&gt;0,0,D1483)))</f>
        <v>0</v>
      </c>
    </row>
    <row r="1484" customFormat="false" ht="15" hidden="false" customHeight="false" outlineLevel="0" collapsed="false">
      <c r="A1484" s="32"/>
      <c r="B1484" s="35"/>
      <c r="C1484" s="32"/>
      <c r="D1484" s="34"/>
      <c r="E1484" s="42" t="str">
        <f aca="false">IF(OR(A1484="",B1484=""),"",DATE(YEAR(B1484),MONTH(B1484),1))</f>
        <v/>
      </c>
      <c r="F1484" s="36" t="n">
        <f aca="false">IF(OR(E1484="",D1484=""),0,IF(C1484="Actual",D1484,IF(COUNTIFS($A$2:$A$2001,A1484,$E$2:$E$2001,E1484,$C$2:$C$2001,"Actual")&gt;0,0,D1484)))</f>
        <v>0</v>
      </c>
    </row>
    <row r="1485" customFormat="false" ht="15" hidden="false" customHeight="false" outlineLevel="0" collapsed="false">
      <c r="A1485" s="32"/>
      <c r="B1485" s="35"/>
      <c r="C1485" s="32"/>
      <c r="D1485" s="34"/>
      <c r="E1485" s="42" t="str">
        <f aca="false">IF(OR(A1485="",B1485=""),"",DATE(YEAR(B1485),MONTH(B1485),1))</f>
        <v/>
      </c>
      <c r="F1485" s="36" t="n">
        <f aca="false">IF(OR(E1485="",D1485=""),0,IF(C1485="Actual",D1485,IF(COUNTIFS($A$2:$A$2001,A1485,$E$2:$E$2001,E1485,$C$2:$C$2001,"Actual")&gt;0,0,D1485)))</f>
        <v>0</v>
      </c>
    </row>
    <row r="1486" customFormat="false" ht="15" hidden="false" customHeight="false" outlineLevel="0" collapsed="false">
      <c r="A1486" s="32"/>
      <c r="B1486" s="35"/>
      <c r="C1486" s="32"/>
      <c r="D1486" s="34"/>
      <c r="E1486" s="42" t="str">
        <f aca="false">IF(OR(A1486="",B1486=""),"",DATE(YEAR(B1486),MONTH(B1486),1))</f>
        <v/>
      </c>
      <c r="F1486" s="36" t="n">
        <f aca="false">IF(OR(E1486="",D1486=""),0,IF(C1486="Actual",D1486,IF(COUNTIFS($A$2:$A$2001,A1486,$E$2:$E$2001,E1486,$C$2:$C$2001,"Actual")&gt;0,0,D1486)))</f>
        <v>0</v>
      </c>
    </row>
    <row r="1487" customFormat="false" ht="15" hidden="false" customHeight="false" outlineLevel="0" collapsed="false">
      <c r="A1487" s="32"/>
      <c r="B1487" s="35"/>
      <c r="C1487" s="32"/>
      <c r="D1487" s="34"/>
      <c r="E1487" s="42" t="str">
        <f aca="false">IF(OR(A1487="",B1487=""),"",DATE(YEAR(B1487),MONTH(B1487),1))</f>
        <v/>
      </c>
      <c r="F1487" s="36" t="n">
        <f aca="false">IF(OR(E1487="",D1487=""),0,IF(C1487="Actual",D1487,IF(COUNTIFS($A$2:$A$2001,A1487,$E$2:$E$2001,E1487,$C$2:$C$2001,"Actual")&gt;0,0,D1487)))</f>
        <v>0</v>
      </c>
    </row>
    <row r="1488" customFormat="false" ht="15" hidden="false" customHeight="false" outlineLevel="0" collapsed="false">
      <c r="A1488" s="32"/>
      <c r="B1488" s="35"/>
      <c r="C1488" s="32"/>
      <c r="D1488" s="34"/>
      <c r="E1488" s="42" t="str">
        <f aca="false">IF(OR(A1488="",B1488=""),"",DATE(YEAR(B1488),MONTH(B1488),1))</f>
        <v/>
      </c>
      <c r="F1488" s="36" t="n">
        <f aca="false">IF(OR(E1488="",D1488=""),0,IF(C1488="Actual",D1488,IF(COUNTIFS($A$2:$A$2001,A1488,$E$2:$E$2001,E1488,$C$2:$C$2001,"Actual")&gt;0,0,D1488)))</f>
        <v>0</v>
      </c>
    </row>
    <row r="1489" customFormat="false" ht="15" hidden="false" customHeight="false" outlineLevel="0" collapsed="false">
      <c r="A1489" s="32"/>
      <c r="B1489" s="35"/>
      <c r="C1489" s="32"/>
      <c r="D1489" s="34"/>
      <c r="E1489" s="42" t="str">
        <f aca="false">IF(OR(A1489="",B1489=""),"",DATE(YEAR(B1489),MONTH(B1489),1))</f>
        <v/>
      </c>
      <c r="F1489" s="36" t="n">
        <f aca="false">IF(OR(E1489="",D1489=""),0,IF(C1489="Actual",D1489,IF(COUNTIFS($A$2:$A$2001,A1489,$E$2:$E$2001,E1489,$C$2:$C$2001,"Actual")&gt;0,0,D1489)))</f>
        <v>0</v>
      </c>
    </row>
    <row r="1490" customFormat="false" ht="15" hidden="false" customHeight="false" outlineLevel="0" collapsed="false">
      <c r="A1490" s="32"/>
      <c r="B1490" s="35"/>
      <c r="C1490" s="32"/>
      <c r="D1490" s="34"/>
      <c r="E1490" s="42" t="str">
        <f aca="false">IF(OR(A1490="",B1490=""),"",DATE(YEAR(B1490),MONTH(B1490),1))</f>
        <v/>
      </c>
      <c r="F1490" s="36" t="n">
        <f aca="false">IF(OR(E1490="",D1490=""),0,IF(C1490="Actual",D1490,IF(COUNTIFS($A$2:$A$2001,A1490,$E$2:$E$2001,E1490,$C$2:$C$2001,"Actual")&gt;0,0,D1490)))</f>
        <v>0</v>
      </c>
    </row>
    <row r="1491" customFormat="false" ht="15" hidden="false" customHeight="false" outlineLevel="0" collapsed="false">
      <c r="A1491" s="32"/>
      <c r="B1491" s="35"/>
      <c r="C1491" s="32"/>
      <c r="D1491" s="34"/>
      <c r="E1491" s="42" t="str">
        <f aca="false">IF(OR(A1491="",B1491=""),"",DATE(YEAR(B1491),MONTH(B1491),1))</f>
        <v/>
      </c>
      <c r="F1491" s="36" t="n">
        <f aca="false">IF(OR(E1491="",D1491=""),0,IF(C1491="Actual",D1491,IF(COUNTIFS($A$2:$A$2001,A1491,$E$2:$E$2001,E1491,$C$2:$C$2001,"Actual")&gt;0,0,D1491)))</f>
        <v>0</v>
      </c>
    </row>
    <row r="1492" customFormat="false" ht="15" hidden="false" customHeight="false" outlineLevel="0" collapsed="false">
      <c r="A1492" s="32"/>
      <c r="B1492" s="35"/>
      <c r="C1492" s="32"/>
      <c r="D1492" s="34"/>
      <c r="E1492" s="42" t="str">
        <f aca="false">IF(OR(A1492="",B1492=""),"",DATE(YEAR(B1492),MONTH(B1492),1))</f>
        <v/>
      </c>
      <c r="F1492" s="36" t="n">
        <f aca="false">IF(OR(E1492="",D1492=""),0,IF(C1492="Actual",D1492,IF(COUNTIFS($A$2:$A$2001,A1492,$E$2:$E$2001,E1492,$C$2:$C$2001,"Actual")&gt;0,0,D1492)))</f>
        <v>0</v>
      </c>
    </row>
    <row r="1493" customFormat="false" ht="15" hidden="false" customHeight="false" outlineLevel="0" collapsed="false">
      <c r="A1493" s="32"/>
      <c r="B1493" s="35"/>
      <c r="C1493" s="32"/>
      <c r="D1493" s="34"/>
      <c r="E1493" s="42" t="str">
        <f aca="false">IF(OR(A1493="",B1493=""),"",DATE(YEAR(B1493),MONTH(B1493),1))</f>
        <v/>
      </c>
      <c r="F1493" s="36" t="n">
        <f aca="false">IF(OR(E1493="",D1493=""),0,IF(C1493="Actual",D1493,IF(COUNTIFS($A$2:$A$2001,A1493,$E$2:$E$2001,E1493,$C$2:$C$2001,"Actual")&gt;0,0,D1493)))</f>
        <v>0</v>
      </c>
    </row>
    <row r="1494" customFormat="false" ht="15" hidden="false" customHeight="false" outlineLevel="0" collapsed="false">
      <c r="A1494" s="32"/>
      <c r="B1494" s="35"/>
      <c r="C1494" s="32"/>
      <c r="D1494" s="34"/>
      <c r="E1494" s="42" t="str">
        <f aca="false">IF(OR(A1494="",B1494=""),"",DATE(YEAR(B1494),MONTH(B1494),1))</f>
        <v/>
      </c>
      <c r="F1494" s="36" t="n">
        <f aca="false">IF(OR(E1494="",D1494=""),0,IF(C1494="Actual",D1494,IF(COUNTIFS($A$2:$A$2001,A1494,$E$2:$E$2001,E1494,$C$2:$C$2001,"Actual")&gt;0,0,D1494)))</f>
        <v>0</v>
      </c>
    </row>
    <row r="1495" customFormat="false" ht="15" hidden="false" customHeight="false" outlineLevel="0" collapsed="false">
      <c r="A1495" s="32"/>
      <c r="B1495" s="35"/>
      <c r="C1495" s="32"/>
      <c r="D1495" s="34"/>
      <c r="E1495" s="42" t="str">
        <f aca="false">IF(OR(A1495="",B1495=""),"",DATE(YEAR(B1495),MONTH(B1495),1))</f>
        <v/>
      </c>
      <c r="F1495" s="36" t="n">
        <f aca="false">IF(OR(E1495="",D1495=""),0,IF(C1495="Actual",D1495,IF(COUNTIFS($A$2:$A$2001,A1495,$E$2:$E$2001,E1495,$C$2:$C$2001,"Actual")&gt;0,0,D1495)))</f>
        <v>0</v>
      </c>
    </row>
    <row r="1496" customFormat="false" ht="15" hidden="false" customHeight="false" outlineLevel="0" collapsed="false">
      <c r="A1496" s="32"/>
      <c r="B1496" s="35"/>
      <c r="C1496" s="32"/>
      <c r="D1496" s="34"/>
      <c r="E1496" s="42" t="str">
        <f aca="false">IF(OR(A1496="",B1496=""),"",DATE(YEAR(B1496),MONTH(B1496),1))</f>
        <v/>
      </c>
      <c r="F1496" s="36" t="n">
        <f aca="false">IF(OR(E1496="",D1496=""),0,IF(C1496="Actual",D1496,IF(COUNTIFS($A$2:$A$2001,A1496,$E$2:$E$2001,E1496,$C$2:$C$2001,"Actual")&gt;0,0,D1496)))</f>
        <v>0</v>
      </c>
    </row>
    <row r="1497" customFormat="false" ht="15" hidden="false" customHeight="false" outlineLevel="0" collapsed="false">
      <c r="A1497" s="32"/>
      <c r="B1497" s="35"/>
      <c r="C1497" s="32"/>
      <c r="D1497" s="34"/>
      <c r="E1497" s="42" t="str">
        <f aca="false">IF(OR(A1497="",B1497=""),"",DATE(YEAR(B1497),MONTH(B1497),1))</f>
        <v/>
      </c>
      <c r="F1497" s="36" t="n">
        <f aca="false">IF(OR(E1497="",D1497=""),0,IF(C1497="Actual",D1497,IF(COUNTIFS($A$2:$A$2001,A1497,$E$2:$E$2001,E1497,$C$2:$C$2001,"Actual")&gt;0,0,D1497)))</f>
        <v>0</v>
      </c>
    </row>
    <row r="1498" customFormat="false" ht="15" hidden="false" customHeight="false" outlineLevel="0" collapsed="false">
      <c r="A1498" s="32"/>
      <c r="B1498" s="35"/>
      <c r="C1498" s="32"/>
      <c r="D1498" s="34"/>
      <c r="E1498" s="42" t="str">
        <f aca="false">IF(OR(A1498="",B1498=""),"",DATE(YEAR(B1498),MONTH(B1498),1))</f>
        <v/>
      </c>
      <c r="F1498" s="36" t="n">
        <f aca="false">IF(OR(E1498="",D1498=""),0,IF(C1498="Actual",D1498,IF(COUNTIFS($A$2:$A$2001,A1498,$E$2:$E$2001,E1498,$C$2:$C$2001,"Actual")&gt;0,0,D1498)))</f>
        <v>0</v>
      </c>
    </row>
    <row r="1499" customFormat="false" ht="15" hidden="false" customHeight="false" outlineLevel="0" collapsed="false">
      <c r="A1499" s="32"/>
      <c r="B1499" s="35"/>
      <c r="C1499" s="32"/>
      <c r="D1499" s="34"/>
      <c r="E1499" s="42" t="str">
        <f aca="false">IF(OR(A1499="",B1499=""),"",DATE(YEAR(B1499),MONTH(B1499),1))</f>
        <v/>
      </c>
      <c r="F1499" s="36" t="n">
        <f aca="false">IF(OR(E1499="",D1499=""),0,IF(C1499="Actual",D1499,IF(COUNTIFS($A$2:$A$2001,A1499,$E$2:$E$2001,E1499,$C$2:$C$2001,"Actual")&gt;0,0,D1499)))</f>
        <v>0</v>
      </c>
    </row>
    <row r="1500" customFormat="false" ht="15" hidden="false" customHeight="false" outlineLevel="0" collapsed="false">
      <c r="A1500" s="32"/>
      <c r="B1500" s="35"/>
      <c r="C1500" s="32"/>
      <c r="D1500" s="34"/>
      <c r="E1500" s="42" t="str">
        <f aca="false">IF(OR(A1500="",B1500=""),"",DATE(YEAR(B1500),MONTH(B1500),1))</f>
        <v/>
      </c>
      <c r="F1500" s="36" t="n">
        <f aca="false">IF(OR(E1500="",D1500=""),0,IF(C1500="Actual",D1500,IF(COUNTIFS($A$2:$A$2001,A1500,$E$2:$E$2001,E1500,$C$2:$C$2001,"Actual")&gt;0,0,D1500)))</f>
        <v>0</v>
      </c>
    </row>
    <row r="1501" customFormat="false" ht="15" hidden="false" customHeight="false" outlineLevel="0" collapsed="false">
      <c r="A1501" s="32"/>
      <c r="B1501" s="35"/>
      <c r="C1501" s="32"/>
      <c r="D1501" s="34"/>
      <c r="E1501" s="42" t="str">
        <f aca="false">IF(OR(A1501="",B1501=""),"",DATE(YEAR(B1501),MONTH(B1501),1))</f>
        <v/>
      </c>
      <c r="F1501" s="36" t="n">
        <f aca="false">IF(OR(E1501="",D1501=""),0,IF(C1501="Actual",D1501,IF(COUNTIFS($A$2:$A$2001,A1501,$E$2:$E$2001,E1501,$C$2:$C$2001,"Actual")&gt;0,0,D1501)))</f>
        <v>0</v>
      </c>
    </row>
    <row r="1502" customFormat="false" ht="15" hidden="false" customHeight="false" outlineLevel="0" collapsed="false">
      <c r="A1502" s="32"/>
      <c r="B1502" s="35"/>
      <c r="C1502" s="32"/>
      <c r="D1502" s="34"/>
      <c r="E1502" s="42" t="str">
        <f aca="false">IF(OR(A1502="",B1502=""),"",DATE(YEAR(B1502),MONTH(B1502),1))</f>
        <v/>
      </c>
      <c r="F1502" s="36" t="n">
        <f aca="false">IF(OR(E1502="",D1502=""),0,IF(C1502="Actual",D1502,IF(COUNTIFS($A$2:$A$2001,A1502,$E$2:$E$2001,E1502,$C$2:$C$2001,"Actual")&gt;0,0,D1502)))</f>
        <v>0</v>
      </c>
    </row>
    <row r="1503" customFormat="false" ht="15" hidden="false" customHeight="false" outlineLevel="0" collapsed="false">
      <c r="A1503" s="32"/>
      <c r="B1503" s="35"/>
      <c r="C1503" s="32"/>
      <c r="D1503" s="34"/>
      <c r="E1503" s="42" t="str">
        <f aca="false">IF(OR(A1503="",B1503=""),"",DATE(YEAR(B1503),MONTH(B1503),1))</f>
        <v/>
      </c>
      <c r="F1503" s="36" t="n">
        <f aca="false">IF(OR(E1503="",D1503=""),0,IF(C1503="Actual",D1503,IF(COUNTIFS($A$2:$A$2001,A1503,$E$2:$E$2001,E1503,$C$2:$C$2001,"Actual")&gt;0,0,D1503)))</f>
        <v>0</v>
      </c>
    </row>
    <row r="1504" customFormat="false" ht="15" hidden="false" customHeight="false" outlineLevel="0" collapsed="false">
      <c r="A1504" s="32"/>
      <c r="B1504" s="35"/>
      <c r="C1504" s="32"/>
      <c r="D1504" s="34"/>
      <c r="E1504" s="42" t="str">
        <f aca="false">IF(OR(A1504="",B1504=""),"",DATE(YEAR(B1504),MONTH(B1504),1))</f>
        <v/>
      </c>
      <c r="F1504" s="36" t="n">
        <f aca="false">IF(OR(E1504="",D1504=""),0,IF(C1504="Actual",D1504,IF(COUNTIFS($A$2:$A$2001,A1504,$E$2:$E$2001,E1504,$C$2:$C$2001,"Actual")&gt;0,0,D1504)))</f>
        <v>0</v>
      </c>
    </row>
    <row r="1505" customFormat="false" ht="15" hidden="false" customHeight="false" outlineLevel="0" collapsed="false">
      <c r="A1505" s="32"/>
      <c r="B1505" s="35"/>
      <c r="C1505" s="32"/>
      <c r="D1505" s="34"/>
      <c r="E1505" s="42" t="str">
        <f aca="false">IF(OR(A1505="",B1505=""),"",DATE(YEAR(B1505),MONTH(B1505),1))</f>
        <v/>
      </c>
      <c r="F1505" s="36" t="n">
        <f aca="false">IF(OR(E1505="",D1505=""),0,IF(C1505="Actual",D1505,IF(COUNTIFS($A$2:$A$2001,A1505,$E$2:$E$2001,E1505,$C$2:$C$2001,"Actual")&gt;0,0,D1505)))</f>
        <v>0</v>
      </c>
    </row>
    <row r="1506" customFormat="false" ht="15" hidden="false" customHeight="false" outlineLevel="0" collapsed="false">
      <c r="A1506" s="32"/>
      <c r="B1506" s="35"/>
      <c r="C1506" s="32"/>
      <c r="D1506" s="34"/>
      <c r="E1506" s="42" t="str">
        <f aca="false">IF(OR(A1506="",B1506=""),"",DATE(YEAR(B1506),MONTH(B1506),1))</f>
        <v/>
      </c>
      <c r="F1506" s="36" t="n">
        <f aca="false">IF(OR(E1506="",D1506=""),0,IF(C1506="Actual",D1506,IF(COUNTIFS($A$2:$A$2001,A1506,$E$2:$E$2001,E1506,$C$2:$C$2001,"Actual")&gt;0,0,D1506)))</f>
        <v>0</v>
      </c>
    </row>
    <row r="1507" customFormat="false" ht="15" hidden="false" customHeight="false" outlineLevel="0" collapsed="false">
      <c r="A1507" s="32"/>
      <c r="B1507" s="35"/>
      <c r="C1507" s="32"/>
      <c r="D1507" s="34"/>
      <c r="E1507" s="42" t="str">
        <f aca="false">IF(OR(A1507="",B1507=""),"",DATE(YEAR(B1507),MONTH(B1507),1))</f>
        <v/>
      </c>
      <c r="F1507" s="36" t="n">
        <f aca="false">IF(OR(E1507="",D1507=""),0,IF(C1507="Actual",D1507,IF(COUNTIFS($A$2:$A$2001,A1507,$E$2:$E$2001,E1507,$C$2:$C$2001,"Actual")&gt;0,0,D1507)))</f>
        <v>0</v>
      </c>
    </row>
    <row r="1508" customFormat="false" ht="15" hidden="false" customHeight="false" outlineLevel="0" collapsed="false">
      <c r="A1508" s="32"/>
      <c r="B1508" s="35"/>
      <c r="C1508" s="32"/>
      <c r="D1508" s="34"/>
      <c r="E1508" s="42" t="str">
        <f aca="false">IF(OR(A1508="",B1508=""),"",DATE(YEAR(B1508),MONTH(B1508),1))</f>
        <v/>
      </c>
      <c r="F1508" s="36" t="n">
        <f aca="false">IF(OR(E1508="",D1508=""),0,IF(C1508="Actual",D1508,IF(COUNTIFS($A$2:$A$2001,A1508,$E$2:$E$2001,E1508,$C$2:$C$2001,"Actual")&gt;0,0,D1508)))</f>
        <v>0</v>
      </c>
    </row>
    <row r="1509" customFormat="false" ht="15" hidden="false" customHeight="false" outlineLevel="0" collapsed="false">
      <c r="A1509" s="32"/>
      <c r="B1509" s="35"/>
      <c r="C1509" s="32"/>
      <c r="D1509" s="34"/>
      <c r="E1509" s="42" t="str">
        <f aca="false">IF(OR(A1509="",B1509=""),"",DATE(YEAR(B1509),MONTH(B1509),1))</f>
        <v/>
      </c>
      <c r="F1509" s="36" t="n">
        <f aca="false">IF(OR(E1509="",D1509=""),0,IF(C1509="Actual",D1509,IF(COUNTIFS($A$2:$A$2001,A1509,$E$2:$E$2001,E1509,$C$2:$C$2001,"Actual")&gt;0,0,D1509)))</f>
        <v>0</v>
      </c>
    </row>
    <row r="1510" customFormat="false" ht="15" hidden="false" customHeight="false" outlineLevel="0" collapsed="false">
      <c r="A1510" s="32"/>
      <c r="B1510" s="35"/>
      <c r="C1510" s="32"/>
      <c r="D1510" s="34"/>
      <c r="E1510" s="42" t="str">
        <f aca="false">IF(OR(A1510="",B1510=""),"",DATE(YEAR(B1510),MONTH(B1510),1))</f>
        <v/>
      </c>
      <c r="F1510" s="36" t="n">
        <f aca="false">IF(OR(E1510="",D1510=""),0,IF(C1510="Actual",D1510,IF(COUNTIFS($A$2:$A$2001,A1510,$E$2:$E$2001,E1510,$C$2:$C$2001,"Actual")&gt;0,0,D1510)))</f>
        <v>0</v>
      </c>
    </row>
    <row r="1511" customFormat="false" ht="15" hidden="false" customHeight="false" outlineLevel="0" collapsed="false">
      <c r="A1511" s="32"/>
      <c r="B1511" s="35"/>
      <c r="C1511" s="32"/>
      <c r="D1511" s="34"/>
      <c r="E1511" s="42" t="str">
        <f aca="false">IF(OR(A1511="",B1511=""),"",DATE(YEAR(B1511),MONTH(B1511),1))</f>
        <v/>
      </c>
      <c r="F1511" s="36" t="n">
        <f aca="false">IF(OR(E1511="",D1511=""),0,IF(C1511="Actual",D1511,IF(COUNTIFS($A$2:$A$2001,A1511,$E$2:$E$2001,E1511,$C$2:$C$2001,"Actual")&gt;0,0,D1511)))</f>
        <v>0</v>
      </c>
    </row>
    <row r="1512" customFormat="false" ht="15" hidden="false" customHeight="false" outlineLevel="0" collapsed="false">
      <c r="A1512" s="32"/>
      <c r="B1512" s="35"/>
      <c r="C1512" s="32"/>
      <c r="D1512" s="34"/>
      <c r="E1512" s="42" t="str">
        <f aca="false">IF(OR(A1512="",B1512=""),"",DATE(YEAR(B1512),MONTH(B1512),1))</f>
        <v/>
      </c>
      <c r="F1512" s="36" t="n">
        <f aca="false">IF(OR(E1512="",D1512=""),0,IF(C1512="Actual",D1512,IF(COUNTIFS($A$2:$A$2001,A1512,$E$2:$E$2001,E1512,$C$2:$C$2001,"Actual")&gt;0,0,D1512)))</f>
        <v>0</v>
      </c>
    </row>
    <row r="1513" customFormat="false" ht="15" hidden="false" customHeight="false" outlineLevel="0" collapsed="false">
      <c r="A1513" s="32"/>
      <c r="B1513" s="35"/>
      <c r="C1513" s="32"/>
      <c r="D1513" s="34"/>
      <c r="E1513" s="42" t="str">
        <f aca="false">IF(OR(A1513="",B1513=""),"",DATE(YEAR(B1513),MONTH(B1513),1))</f>
        <v/>
      </c>
      <c r="F1513" s="36" t="n">
        <f aca="false">IF(OR(E1513="",D1513=""),0,IF(C1513="Actual",D1513,IF(COUNTIFS($A$2:$A$2001,A1513,$E$2:$E$2001,E1513,$C$2:$C$2001,"Actual")&gt;0,0,D1513)))</f>
        <v>0</v>
      </c>
    </row>
    <row r="1514" customFormat="false" ht="15" hidden="false" customHeight="false" outlineLevel="0" collapsed="false">
      <c r="A1514" s="32"/>
      <c r="B1514" s="35"/>
      <c r="C1514" s="32"/>
      <c r="D1514" s="34"/>
      <c r="E1514" s="42" t="str">
        <f aca="false">IF(OR(A1514="",B1514=""),"",DATE(YEAR(B1514),MONTH(B1514),1))</f>
        <v/>
      </c>
      <c r="F1514" s="36" t="n">
        <f aca="false">IF(OR(E1514="",D1514=""),0,IF(C1514="Actual",D1514,IF(COUNTIFS($A$2:$A$2001,A1514,$E$2:$E$2001,E1514,$C$2:$C$2001,"Actual")&gt;0,0,D1514)))</f>
        <v>0</v>
      </c>
    </row>
    <row r="1515" customFormat="false" ht="15" hidden="false" customHeight="false" outlineLevel="0" collapsed="false">
      <c r="A1515" s="32"/>
      <c r="B1515" s="35"/>
      <c r="C1515" s="32"/>
      <c r="D1515" s="34"/>
      <c r="E1515" s="42" t="str">
        <f aca="false">IF(OR(A1515="",B1515=""),"",DATE(YEAR(B1515),MONTH(B1515),1))</f>
        <v/>
      </c>
      <c r="F1515" s="36" t="n">
        <f aca="false">IF(OR(E1515="",D1515=""),0,IF(C1515="Actual",D1515,IF(COUNTIFS($A$2:$A$2001,A1515,$E$2:$E$2001,E1515,$C$2:$C$2001,"Actual")&gt;0,0,D1515)))</f>
        <v>0</v>
      </c>
    </row>
    <row r="1516" customFormat="false" ht="15" hidden="false" customHeight="false" outlineLevel="0" collapsed="false">
      <c r="A1516" s="32"/>
      <c r="B1516" s="35"/>
      <c r="C1516" s="32"/>
      <c r="D1516" s="34"/>
      <c r="E1516" s="42" t="str">
        <f aca="false">IF(OR(A1516="",B1516=""),"",DATE(YEAR(B1516),MONTH(B1516),1))</f>
        <v/>
      </c>
      <c r="F1516" s="36" t="n">
        <f aca="false">IF(OR(E1516="",D1516=""),0,IF(C1516="Actual",D1516,IF(COUNTIFS($A$2:$A$2001,A1516,$E$2:$E$2001,E1516,$C$2:$C$2001,"Actual")&gt;0,0,D1516)))</f>
        <v>0</v>
      </c>
    </row>
    <row r="1517" customFormat="false" ht="15" hidden="false" customHeight="false" outlineLevel="0" collapsed="false">
      <c r="A1517" s="32"/>
      <c r="B1517" s="35"/>
      <c r="C1517" s="32"/>
      <c r="D1517" s="34"/>
      <c r="E1517" s="42" t="str">
        <f aca="false">IF(OR(A1517="",B1517=""),"",DATE(YEAR(B1517),MONTH(B1517),1))</f>
        <v/>
      </c>
      <c r="F1517" s="36" t="n">
        <f aca="false">IF(OR(E1517="",D1517=""),0,IF(C1517="Actual",D1517,IF(COUNTIFS($A$2:$A$2001,A1517,$E$2:$E$2001,E1517,$C$2:$C$2001,"Actual")&gt;0,0,D1517)))</f>
        <v>0</v>
      </c>
    </row>
    <row r="1518" customFormat="false" ht="15" hidden="false" customHeight="false" outlineLevel="0" collapsed="false">
      <c r="A1518" s="32"/>
      <c r="B1518" s="35"/>
      <c r="C1518" s="32"/>
      <c r="D1518" s="34"/>
      <c r="E1518" s="42" t="str">
        <f aca="false">IF(OR(A1518="",B1518=""),"",DATE(YEAR(B1518),MONTH(B1518),1))</f>
        <v/>
      </c>
      <c r="F1518" s="36" t="n">
        <f aca="false">IF(OR(E1518="",D1518=""),0,IF(C1518="Actual",D1518,IF(COUNTIFS($A$2:$A$2001,A1518,$E$2:$E$2001,E1518,$C$2:$C$2001,"Actual")&gt;0,0,D1518)))</f>
        <v>0</v>
      </c>
    </row>
    <row r="1519" customFormat="false" ht="15" hidden="false" customHeight="false" outlineLevel="0" collapsed="false">
      <c r="A1519" s="32"/>
      <c r="B1519" s="35"/>
      <c r="C1519" s="32"/>
      <c r="D1519" s="34"/>
      <c r="E1519" s="42" t="str">
        <f aca="false">IF(OR(A1519="",B1519=""),"",DATE(YEAR(B1519),MONTH(B1519),1))</f>
        <v/>
      </c>
      <c r="F1519" s="36" t="n">
        <f aca="false">IF(OR(E1519="",D1519=""),0,IF(C1519="Actual",D1519,IF(COUNTIFS($A$2:$A$2001,A1519,$E$2:$E$2001,E1519,$C$2:$C$2001,"Actual")&gt;0,0,D1519)))</f>
        <v>0</v>
      </c>
    </row>
    <row r="1520" customFormat="false" ht="15" hidden="false" customHeight="false" outlineLevel="0" collapsed="false">
      <c r="A1520" s="32"/>
      <c r="B1520" s="35"/>
      <c r="C1520" s="32"/>
      <c r="D1520" s="34"/>
      <c r="E1520" s="42" t="str">
        <f aca="false">IF(OR(A1520="",B1520=""),"",DATE(YEAR(B1520),MONTH(B1520),1))</f>
        <v/>
      </c>
      <c r="F1520" s="36" t="n">
        <f aca="false">IF(OR(E1520="",D1520=""),0,IF(C1520="Actual",D1520,IF(COUNTIFS($A$2:$A$2001,A1520,$E$2:$E$2001,E1520,$C$2:$C$2001,"Actual")&gt;0,0,D1520)))</f>
        <v>0</v>
      </c>
    </row>
    <row r="1521" customFormat="false" ht="15" hidden="false" customHeight="false" outlineLevel="0" collapsed="false">
      <c r="A1521" s="32"/>
      <c r="B1521" s="35"/>
      <c r="C1521" s="32"/>
      <c r="D1521" s="34"/>
      <c r="E1521" s="42" t="str">
        <f aca="false">IF(OR(A1521="",B1521=""),"",DATE(YEAR(B1521),MONTH(B1521),1))</f>
        <v/>
      </c>
      <c r="F1521" s="36" t="n">
        <f aca="false">IF(OR(E1521="",D1521=""),0,IF(C1521="Actual",D1521,IF(COUNTIFS($A$2:$A$2001,A1521,$E$2:$E$2001,E1521,$C$2:$C$2001,"Actual")&gt;0,0,D1521)))</f>
        <v>0</v>
      </c>
    </row>
    <row r="1522" customFormat="false" ht="15" hidden="false" customHeight="false" outlineLevel="0" collapsed="false">
      <c r="A1522" s="32"/>
      <c r="B1522" s="35"/>
      <c r="C1522" s="32"/>
      <c r="D1522" s="34"/>
      <c r="E1522" s="42" t="str">
        <f aca="false">IF(OR(A1522="",B1522=""),"",DATE(YEAR(B1522),MONTH(B1522),1))</f>
        <v/>
      </c>
      <c r="F1522" s="36" t="n">
        <f aca="false">IF(OR(E1522="",D1522=""),0,IF(C1522="Actual",D1522,IF(COUNTIFS($A$2:$A$2001,A1522,$E$2:$E$2001,E1522,$C$2:$C$2001,"Actual")&gt;0,0,D1522)))</f>
        <v>0</v>
      </c>
    </row>
    <row r="1523" customFormat="false" ht="15" hidden="false" customHeight="false" outlineLevel="0" collapsed="false">
      <c r="A1523" s="32"/>
      <c r="B1523" s="35"/>
      <c r="C1523" s="32"/>
      <c r="D1523" s="34"/>
      <c r="E1523" s="42" t="str">
        <f aca="false">IF(OR(A1523="",B1523=""),"",DATE(YEAR(B1523),MONTH(B1523),1))</f>
        <v/>
      </c>
      <c r="F1523" s="36" t="n">
        <f aca="false">IF(OR(E1523="",D1523=""),0,IF(C1523="Actual",D1523,IF(COUNTIFS($A$2:$A$2001,A1523,$E$2:$E$2001,E1523,$C$2:$C$2001,"Actual")&gt;0,0,D1523)))</f>
        <v>0</v>
      </c>
    </row>
    <row r="1524" customFormat="false" ht="15" hidden="false" customHeight="false" outlineLevel="0" collapsed="false">
      <c r="A1524" s="32"/>
      <c r="B1524" s="35"/>
      <c r="C1524" s="32"/>
      <c r="D1524" s="34"/>
      <c r="E1524" s="42" t="str">
        <f aca="false">IF(OR(A1524="",B1524=""),"",DATE(YEAR(B1524),MONTH(B1524),1))</f>
        <v/>
      </c>
      <c r="F1524" s="36" t="n">
        <f aca="false">IF(OR(E1524="",D1524=""),0,IF(C1524="Actual",D1524,IF(COUNTIFS($A$2:$A$2001,A1524,$E$2:$E$2001,E1524,$C$2:$C$2001,"Actual")&gt;0,0,D1524)))</f>
        <v>0</v>
      </c>
    </row>
    <row r="1525" customFormat="false" ht="15" hidden="false" customHeight="false" outlineLevel="0" collapsed="false">
      <c r="A1525" s="32"/>
      <c r="B1525" s="35"/>
      <c r="C1525" s="32"/>
      <c r="D1525" s="34"/>
      <c r="E1525" s="42" t="str">
        <f aca="false">IF(OR(A1525="",B1525=""),"",DATE(YEAR(B1525),MONTH(B1525),1))</f>
        <v/>
      </c>
      <c r="F1525" s="36" t="n">
        <f aca="false">IF(OR(E1525="",D1525=""),0,IF(C1525="Actual",D1525,IF(COUNTIFS($A$2:$A$2001,A1525,$E$2:$E$2001,E1525,$C$2:$C$2001,"Actual")&gt;0,0,D1525)))</f>
        <v>0</v>
      </c>
    </row>
    <row r="1526" customFormat="false" ht="15" hidden="false" customHeight="false" outlineLevel="0" collapsed="false">
      <c r="A1526" s="32"/>
      <c r="B1526" s="35"/>
      <c r="C1526" s="32"/>
      <c r="D1526" s="34"/>
      <c r="E1526" s="42" t="str">
        <f aca="false">IF(OR(A1526="",B1526=""),"",DATE(YEAR(B1526),MONTH(B1526),1))</f>
        <v/>
      </c>
      <c r="F1526" s="36" t="n">
        <f aca="false">IF(OR(E1526="",D1526=""),0,IF(C1526="Actual",D1526,IF(COUNTIFS($A$2:$A$2001,A1526,$E$2:$E$2001,E1526,$C$2:$C$2001,"Actual")&gt;0,0,D1526)))</f>
        <v>0</v>
      </c>
    </row>
    <row r="1527" customFormat="false" ht="15" hidden="false" customHeight="false" outlineLevel="0" collapsed="false">
      <c r="A1527" s="32"/>
      <c r="B1527" s="35"/>
      <c r="C1527" s="32"/>
      <c r="D1527" s="34"/>
      <c r="E1527" s="42" t="str">
        <f aca="false">IF(OR(A1527="",B1527=""),"",DATE(YEAR(B1527),MONTH(B1527),1))</f>
        <v/>
      </c>
      <c r="F1527" s="36" t="n">
        <f aca="false">IF(OR(E1527="",D1527=""),0,IF(C1527="Actual",D1527,IF(COUNTIFS($A$2:$A$2001,A1527,$E$2:$E$2001,E1527,$C$2:$C$2001,"Actual")&gt;0,0,D1527)))</f>
        <v>0</v>
      </c>
    </row>
    <row r="1528" customFormat="false" ht="15" hidden="false" customHeight="false" outlineLevel="0" collapsed="false">
      <c r="A1528" s="32"/>
      <c r="B1528" s="35"/>
      <c r="C1528" s="32"/>
      <c r="D1528" s="34"/>
      <c r="E1528" s="42" t="str">
        <f aca="false">IF(OR(A1528="",B1528=""),"",DATE(YEAR(B1528),MONTH(B1528),1))</f>
        <v/>
      </c>
      <c r="F1528" s="36" t="n">
        <f aca="false">IF(OR(E1528="",D1528=""),0,IF(C1528="Actual",D1528,IF(COUNTIFS($A$2:$A$2001,A1528,$E$2:$E$2001,E1528,$C$2:$C$2001,"Actual")&gt;0,0,D1528)))</f>
        <v>0</v>
      </c>
    </row>
    <row r="1529" customFormat="false" ht="15" hidden="false" customHeight="false" outlineLevel="0" collapsed="false">
      <c r="A1529" s="32"/>
      <c r="B1529" s="35"/>
      <c r="C1529" s="32"/>
      <c r="D1529" s="34"/>
      <c r="E1529" s="42" t="str">
        <f aca="false">IF(OR(A1529="",B1529=""),"",DATE(YEAR(B1529),MONTH(B1529),1))</f>
        <v/>
      </c>
      <c r="F1529" s="36" t="n">
        <f aca="false">IF(OR(E1529="",D1529=""),0,IF(C1529="Actual",D1529,IF(COUNTIFS($A$2:$A$2001,A1529,$E$2:$E$2001,E1529,$C$2:$C$2001,"Actual")&gt;0,0,D1529)))</f>
        <v>0</v>
      </c>
    </row>
    <row r="1530" customFormat="false" ht="15" hidden="false" customHeight="false" outlineLevel="0" collapsed="false">
      <c r="A1530" s="32"/>
      <c r="B1530" s="35"/>
      <c r="C1530" s="32"/>
      <c r="D1530" s="34"/>
      <c r="E1530" s="42" t="str">
        <f aca="false">IF(OR(A1530="",B1530=""),"",DATE(YEAR(B1530),MONTH(B1530),1))</f>
        <v/>
      </c>
      <c r="F1530" s="36" t="n">
        <f aca="false">IF(OR(E1530="",D1530=""),0,IF(C1530="Actual",D1530,IF(COUNTIFS($A$2:$A$2001,A1530,$E$2:$E$2001,E1530,$C$2:$C$2001,"Actual")&gt;0,0,D1530)))</f>
        <v>0</v>
      </c>
    </row>
    <row r="1531" customFormat="false" ht="15" hidden="false" customHeight="false" outlineLevel="0" collapsed="false">
      <c r="A1531" s="32"/>
      <c r="B1531" s="35"/>
      <c r="C1531" s="32"/>
      <c r="D1531" s="34"/>
      <c r="E1531" s="42" t="str">
        <f aca="false">IF(OR(A1531="",B1531=""),"",DATE(YEAR(B1531),MONTH(B1531),1))</f>
        <v/>
      </c>
      <c r="F1531" s="36" t="n">
        <f aca="false">IF(OR(E1531="",D1531=""),0,IF(C1531="Actual",D1531,IF(COUNTIFS($A$2:$A$2001,A1531,$E$2:$E$2001,E1531,$C$2:$C$2001,"Actual")&gt;0,0,D1531)))</f>
        <v>0</v>
      </c>
    </row>
    <row r="1532" customFormat="false" ht="15" hidden="false" customHeight="false" outlineLevel="0" collapsed="false">
      <c r="A1532" s="32"/>
      <c r="B1532" s="35"/>
      <c r="C1532" s="32"/>
      <c r="D1532" s="34"/>
      <c r="E1532" s="42" t="str">
        <f aca="false">IF(OR(A1532="",B1532=""),"",DATE(YEAR(B1532),MONTH(B1532),1))</f>
        <v/>
      </c>
      <c r="F1532" s="36" t="n">
        <f aca="false">IF(OR(E1532="",D1532=""),0,IF(C1532="Actual",D1532,IF(COUNTIFS($A$2:$A$2001,A1532,$E$2:$E$2001,E1532,$C$2:$C$2001,"Actual")&gt;0,0,D1532)))</f>
        <v>0</v>
      </c>
    </row>
    <row r="1533" customFormat="false" ht="15" hidden="false" customHeight="false" outlineLevel="0" collapsed="false">
      <c r="A1533" s="32"/>
      <c r="B1533" s="35"/>
      <c r="C1533" s="32"/>
      <c r="D1533" s="34"/>
      <c r="E1533" s="42" t="str">
        <f aca="false">IF(OR(A1533="",B1533=""),"",DATE(YEAR(B1533),MONTH(B1533),1))</f>
        <v/>
      </c>
      <c r="F1533" s="36" t="n">
        <f aca="false">IF(OR(E1533="",D1533=""),0,IF(C1533="Actual",D1533,IF(COUNTIFS($A$2:$A$2001,A1533,$E$2:$E$2001,E1533,$C$2:$C$2001,"Actual")&gt;0,0,D1533)))</f>
        <v>0</v>
      </c>
    </row>
    <row r="1534" customFormat="false" ht="15" hidden="false" customHeight="false" outlineLevel="0" collapsed="false">
      <c r="A1534" s="32"/>
      <c r="B1534" s="35"/>
      <c r="C1534" s="32"/>
      <c r="D1534" s="34"/>
      <c r="E1534" s="42" t="str">
        <f aca="false">IF(OR(A1534="",B1534=""),"",DATE(YEAR(B1534),MONTH(B1534),1))</f>
        <v/>
      </c>
      <c r="F1534" s="36" t="n">
        <f aca="false">IF(OR(E1534="",D1534=""),0,IF(C1534="Actual",D1534,IF(COUNTIFS($A$2:$A$2001,A1534,$E$2:$E$2001,E1534,$C$2:$C$2001,"Actual")&gt;0,0,D1534)))</f>
        <v>0</v>
      </c>
    </row>
    <row r="1535" customFormat="false" ht="15" hidden="false" customHeight="false" outlineLevel="0" collapsed="false">
      <c r="A1535" s="32"/>
      <c r="B1535" s="35"/>
      <c r="C1535" s="32"/>
      <c r="D1535" s="34"/>
      <c r="E1535" s="42" t="str">
        <f aca="false">IF(OR(A1535="",B1535=""),"",DATE(YEAR(B1535),MONTH(B1535),1))</f>
        <v/>
      </c>
      <c r="F1535" s="36" t="n">
        <f aca="false">IF(OR(E1535="",D1535=""),0,IF(C1535="Actual",D1535,IF(COUNTIFS($A$2:$A$2001,A1535,$E$2:$E$2001,E1535,$C$2:$C$2001,"Actual")&gt;0,0,D1535)))</f>
        <v>0</v>
      </c>
    </row>
    <row r="1536" customFormat="false" ht="15" hidden="false" customHeight="false" outlineLevel="0" collapsed="false">
      <c r="A1536" s="32"/>
      <c r="B1536" s="35"/>
      <c r="C1536" s="32"/>
      <c r="D1536" s="34"/>
      <c r="E1536" s="42" t="str">
        <f aca="false">IF(OR(A1536="",B1536=""),"",DATE(YEAR(B1536),MONTH(B1536),1))</f>
        <v/>
      </c>
      <c r="F1536" s="36" t="n">
        <f aca="false">IF(OR(E1536="",D1536=""),0,IF(C1536="Actual",D1536,IF(COUNTIFS($A$2:$A$2001,A1536,$E$2:$E$2001,E1536,$C$2:$C$2001,"Actual")&gt;0,0,D1536)))</f>
        <v>0</v>
      </c>
    </row>
    <row r="1537" customFormat="false" ht="15" hidden="false" customHeight="false" outlineLevel="0" collapsed="false">
      <c r="A1537" s="32"/>
      <c r="B1537" s="35"/>
      <c r="C1537" s="32"/>
      <c r="D1537" s="34"/>
      <c r="E1537" s="42" t="str">
        <f aca="false">IF(OR(A1537="",B1537=""),"",DATE(YEAR(B1537),MONTH(B1537),1))</f>
        <v/>
      </c>
      <c r="F1537" s="36" t="n">
        <f aca="false">IF(OR(E1537="",D1537=""),0,IF(C1537="Actual",D1537,IF(COUNTIFS($A$2:$A$2001,A1537,$E$2:$E$2001,E1537,$C$2:$C$2001,"Actual")&gt;0,0,D1537)))</f>
        <v>0</v>
      </c>
    </row>
    <row r="1538" customFormat="false" ht="15" hidden="false" customHeight="false" outlineLevel="0" collapsed="false">
      <c r="A1538" s="32"/>
      <c r="B1538" s="35"/>
      <c r="C1538" s="32"/>
      <c r="D1538" s="34"/>
      <c r="E1538" s="42" t="str">
        <f aca="false">IF(OR(A1538="",B1538=""),"",DATE(YEAR(B1538),MONTH(B1538),1))</f>
        <v/>
      </c>
      <c r="F1538" s="36" t="n">
        <f aca="false">IF(OR(E1538="",D1538=""),0,IF(C1538="Actual",D1538,IF(COUNTIFS($A$2:$A$2001,A1538,$E$2:$E$2001,E1538,$C$2:$C$2001,"Actual")&gt;0,0,D1538)))</f>
        <v>0</v>
      </c>
    </row>
    <row r="1539" customFormat="false" ht="15" hidden="false" customHeight="false" outlineLevel="0" collapsed="false">
      <c r="A1539" s="32"/>
      <c r="B1539" s="35"/>
      <c r="C1539" s="32"/>
      <c r="D1539" s="34"/>
      <c r="E1539" s="42" t="str">
        <f aca="false">IF(OR(A1539="",B1539=""),"",DATE(YEAR(B1539),MONTH(B1539),1))</f>
        <v/>
      </c>
      <c r="F1539" s="36" t="n">
        <f aca="false">IF(OR(E1539="",D1539=""),0,IF(C1539="Actual",D1539,IF(COUNTIFS($A$2:$A$2001,A1539,$E$2:$E$2001,E1539,$C$2:$C$2001,"Actual")&gt;0,0,D1539)))</f>
        <v>0</v>
      </c>
    </row>
    <row r="1540" customFormat="false" ht="15" hidden="false" customHeight="false" outlineLevel="0" collapsed="false">
      <c r="A1540" s="32"/>
      <c r="B1540" s="35"/>
      <c r="C1540" s="32"/>
      <c r="D1540" s="34"/>
      <c r="E1540" s="42" t="str">
        <f aca="false">IF(OR(A1540="",B1540=""),"",DATE(YEAR(B1540),MONTH(B1540),1))</f>
        <v/>
      </c>
      <c r="F1540" s="36" t="n">
        <f aca="false">IF(OR(E1540="",D1540=""),0,IF(C1540="Actual",D1540,IF(COUNTIFS($A$2:$A$2001,A1540,$E$2:$E$2001,E1540,$C$2:$C$2001,"Actual")&gt;0,0,D1540)))</f>
        <v>0</v>
      </c>
    </row>
    <row r="1541" customFormat="false" ht="15" hidden="false" customHeight="false" outlineLevel="0" collapsed="false">
      <c r="A1541" s="32"/>
      <c r="B1541" s="35"/>
      <c r="C1541" s="32"/>
      <c r="D1541" s="34"/>
      <c r="E1541" s="42" t="str">
        <f aca="false">IF(OR(A1541="",B1541=""),"",DATE(YEAR(B1541),MONTH(B1541),1))</f>
        <v/>
      </c>
      <c r="F1541" s="36" t="n">
        <f aca="false">IF(OR(E1541="",D1541=""),0,IF(C1541="Actual",D1541,IF(COUNTIFS($A$2:$A$2001,A1541,$E$2:$E$2001,E1541,$C$2:$C$2001,"Actual")&gt;0,0,D1541)))</f>
        <v>0</v>
      </c>
    </row>
    <row r="1542" customFormat="false" ht="15" hidden="false" customHeight="false" outlineLevel="0" collapsed="false">
      <c r="A1542" s="32"/>
      <c r="B1542" s="35"/>
      <c r="C1542" s="32"/>
      <c r="D1542" s="34"/>
      <c r="E1542" s="42" t="str">
        <f aca="false">IF(OR(A1542="",B1542=""),"",DATE(YEAR(B1542),MONTH(B1542),1))</f>
        <v/>
      </c>
      <c r="F1542" s="36" t="n">
        <f aca="false">IF(OR(E1542="",D1542=""),0,IF(C1542="Actual",D1542,IF(COUNTIFS($A$2:$A$2001,A1542,$E$2:$E$2001,E1542,$C$2:$C$2001,"Actual")&gt;0,0,D1542)))</f>
        <v>0</v>
      </c>
    </row>
    <row r="1543" customFormat="false" ht="15" hidden="false" customHeight="false" outlineLevel="0" collapsed="false">
      <c r="A1543" s="32"/>
      <c r="B1543" s="35"/>
      <c r="C1543" s="32"/>
      <c r="D1543" s="34"/>
      <c r="E1543" s="42" t="str">
        <f aca="false">IF(OR(A1543="",B1543=""),"",DATE(YEAR(B1543),MONTH(B1543),1))</f>
        <v/>
      </c>
      <c r="F1543" s="36" t="n">
        <f aca="false">IF(OR(E1543="",D1543=""),0,IF(C1543="Actual",D1543,IF(COUNTIFS($A$2:$A$2001,A1543,$E$2:$E$2001,E1543,$C$2:$C$2001,"Actual")&gt;0,0,D1543)))</f>
        <v>0</v>
      </c>
    </row>
    <row r="1544" customFormat="false" ht="15" hidden="false" customHeight="false" outlineLevel="0" collapsed="false">
      <c r="A1544" s="32"/>
      <c r="B1544" s="35"/>
      <c r="C1544" s="32"/>
      <c r="D1544" s="34"/>
      <c r="E1544" s="42" t="str">
        <f aca="false">IF(OR(A1544="",B1544=""),"",DATE(YEAR(B1544),MONTH(B1544),1))</f>
        <v/>
      </c>
      <c r="F1544" s="36" t="n">
        <f aca="false">IF(OR(E1544="",D1544=""),0,IF(C1544="Actual",D1544,IF(COUNTIFS($A$2:$A$2001,A1544,$E$2:$E$2001,E1544,$C$2:$C$2001,"Actual")&gt;0,0,D1544)))</f>
        <v>0</v>
      </c>
    </row>
    <row r="1545" customFormat="false" ht="15" hidden="false" customHeight="false" outlineLevel="0" collapsed="false">
      <c r="A1545" s="32"/>
      <c r="B1545" s="35"/>
      <c r="C1545" s="32"/>
      <c r="D1545" s="34"/>
      <c r="E1545" s="42" t="str">
        <f aca="false">IF(OR(A1545="",B1545=""),"",DATE(YEAR(B1545),MONTH(B1545),1))</f>
        <v/>
      </c>
      <c r="F1545" s="36" t="n">
        <f aca="false">IF(OR(E1545="",D1545=""),0,IF(C1545="Actual",D1545,IF(COUNTIFS($A$2:$A$2001,A1545,$E$2:$E$2001,E1545,$C$2:$C$2001,"Actual")&gt;0,0,D1545)))</f>
        <v>0</v>
      </c>
    </row>
    <row r="1546" customFormat="false" ht="15" hidden="false" customHeight="false" outlineLevel="0" collapsed="false">
      <c r="A1546" s="32"/>
      <c r="B1546" s="35"/>
      <c r="C1546" s="32"/>
      <c r="D1546" s="34"/>
      <c r="E1546" s="42" t="str">
        <f aca="false">IF(OR(A1546="",B1546=""),"",DATE(YEAR(B1546),MONTH(B1546),1))</f>
        <v/>
      </c>
      <c r="F1546" s="36" t="n">
        <f aca="false">IF(OR(E1546="",D1546=""),0,IF(C1546="Actual",D1546,IF(COUNTIFS($A$2:$A$2001,A1546,$E$2:$E$2001,E1546,$C$2:$C$2001,"Actual")&gt;0,0,D1546)))</f>
        <v>0</v>
      </c>
    </row>
    <row r="1547" customFormat="false" ht="15" hidden="false" customHeight="false" outlineLevel="0" collapsed="false">
      <c r="A1547" s="32"/>
      <c r="B1547" s="35"/>
      <c r="C1547" s="32"/>
      <c r="D1547" s="34"/>
      <c r="E1547" s="42" t="str">
        <f aca="false">IF(OR(A1547="",B1547=""),"",DATE(YEAR(B1547),MONTH(B1547),1))</f>
        <v/>
      </c>
      <c r="F1547" s="36" t="n">
        <f aca="false">IF(OR(E1547="",D1547=""),0,IF(C1547="Actual",D1547,IF(COUNTIFS($A$2:$A$2001,A1547,$E$2:$E$2001,E1547,$C$2:$C$2001,"Actual")&gt;0,0,D1547)))</f>
        <v>0</v>
      </c>
    </row>
    <row r="1548" customFormat="false" ht="15" hidden="false" customHeight="false" outlineLevel="0" collapsed="false">
      <c r="A1548" s="32"/>
      <c r="B1548" s="35"/>
      <c r="C1548" s="32"/>
      <c r="D1548" s="34"/>
      <c r="E1548" s="42" t="str">
        <f aca="false">IF(OR(A1548="",B1548=""),"",DATE(YEAR(B1548),MONTH(B1548),1))</f>
        <v/>
      </c>
      <c r="F1548" s="36" t="n">
        <f aca="false">IF(OR(E1548="",D1548=""),0,IF(C1548="Actual",D1548,IF(COUNTIFS($A$2:$A$2001,A1548,$E$2:$E$2001,E1548,$C$2:$C$2001,"Actual")&gt;0,0,D1548)))</f>
        <v>0</v>
      </c>
    </row>
    <row r="1549" customFormat="false" ht="15" hidden="false" customHeight="false" outlineLevel="0" collapsed="false">
      <c r="A1549" s="32"/>
      <c r="B1549" s="35"/>
      <c r="C1549" s="32"/>
      <c r="D1549" s="34"/>
      <c r="E1549" s="42" t="str">
        <f aca="false">IF(OR(A1549="",B1549=""),"",DATE(YEAR(B1549),MONTH(B1549),1))</f>
        <v/>
      </c>
      <c r="F1549" s="36" t="n">
        <f aca="false">IF(OR(E1549="",D1549=""),0,IF(C1549="Actual",D1549,IF(COUNTIFS($A$2:$A$2001,A1549,$E$2:$E$2001,E1549,$C$2:$C$2001,"Actual")&gt;0,0,D1549)))</f>
        <v>0</v>
      </c>
    </row>
    <row r="1550" customFormat="false" ht="15" hidden="false" customHeight="false" outlineLevel="0" collapsed="false">
      <c r="A1550" s="32"/>
      <c r="B1550" s="35"/>
      <c r="C1550" s="32"/>
      <c r="D1550" s="34"/>
      <c r="E1550" s="42" t="str">
        <f aca="false">IF(OR(A1550="",B1550=""),"",DATE(YEAR(B1550),MONTH(B1550),1))</f>
        <v/>
      </c>
      <c r="F1550" s="36" t="n">
        <f aca="false">IF(OR(E1550="",D1550=""),0,IF(C1550="Actual",D1550,IF(COUNTIFS($A$2:$A$2001,A1550,$E$2:$E$2001,E1550,$C$2:$C$2001,"Actual")&gt;0,0,D1550)))</f>
        <v>0</v>
      </c>
    </row>
    <row r="1551" customFormat="false" ht="15" hidden="false" customHeight="false" outlineLevel="0" collapsed="false">
      <c r="A1551" s="32"/>
      <c r="B1551" s="35"/>
      <c r="C1551" s="32"/>
      <c r="D1551" s="34"/>
      <c r="E1551" s="42" t="str">
        <f aca="false">IF(OR(A1551="",B1551=""),"",DATE(YEAR(B1551),MONTH(B1551),1))</f>
        <v/>
      </c>
      <c r="F1551" s="36" t="n">
        <f aca="false">IF(OR(E1551="",D1551=""),0,IF(C1551="Actual",D1551,IF(COUNTIFS($A$2:$A$2001,A1551,$E$2:$E$2001,E1551,$C$2:$C$2001,"Actual")&gt;0,0,D1551)))</f>
        <v>0</v>
      </c>
    </row>
    <row r="1552" customFormat="false" ht="15" hidden="false" customHeight="false" outlineLevel="0" collapsed="false">
      <c r="A1552" s="32"/>
      <c r="B1552" s="35"/>
      <c r="C1552" s="32"/>
      <c r="D1552" s="34"/>
      <c r="E1552" s="42" t="str">
        <f aca="false">IF(OR(A1552="",B1552=""),"",DATE(YEAR(B1552),MONTH(B1552),1))</f>
        <v/>
      </c>
      <c r="F1552" s="36" t="n">
        <f aca="false">IF(OR(E1552="",D1552=""),0,IF(C1552="Actual",D1552,IF(COUNTIFS($A$2:$A$2001,A1552,$E$2:$E$2001,E1552,$C$2:$C$2001,"Actual")&gt;0,0,D1552)))</f>
        <v>0</v>
      </c>
    </row>
    <row r="1553" customFormat="false" ht="15" hidden="false" customHeight="false" outlineLevel="0" collapsed="false">
      <c r="A1553" s="32"/>
      <c r="B1553" s="35"/>
      <c r="C1553" s="32"/>
      <c r="D1553" s="34"/>
      <c r="E1553" s="42" t="str">
        <f aca="false">IF(OR(A1553="",B1553=""),"",DATE(YEAR(B1553),MONTH(B1553),1))</f>
        <v/>
      </c>
      <c r="F1553" s="36" t="n">
        <f aca="false">IF(OR(E1553="",D1553=""),0,IF(C1553="Actual",D1553,IF(COUNTIFS($A$2:$A$2001,A1553,$E$2:$E$2001,E1553,$C$2:$C$2001,"Actual")&gt;0,0,D1553)))</f>
        <v>0</v>
      </c>
    </row>
    <row r="1554" customFormat="false" ht="15" hidden="false" customHeight="false" outlineLevel="0" collapsed="false">
      <c r="A1554" s="32"/>
      <c r="B1554" s="35"/>
      <c r="C1554" s="32"/>
      <c r="D1554" s="34"/>
      <c r="E1554" s="42" t="str">
        <f aca="false">IF(OR(A1554="",B1554=""),"",DATE(YEAR(B1554),MONTH(B1554),1))</f>
        <v/>
      </c>
      <c r="F1554" s="36" t="n">
        <f aca="false">IF(OR(E1554="",D1554=""),0,IF(C1554="Actual",D1554,IF(COUNTIFS($A$2:$A$2001,A1554,$E$2:$E$2001,E1554,$C$2:$C$2001,"Actual")&gt;0,0,D1554)))</f>
        <v>0</v>
      </c>
    </row>
    <row r="1555" customFormat="false" ht="15" hidden="false" customHeight="false" outlineLevel="0" collapsed="false">
      <c r="A1555" s="32"/>
      <c r="B1555" s="35"/>
      <c r="C1555" s="32"/>
      <c r="D1555" s="34"/>
      <c r="E1555" s="42" t="str">
        <f aca="false">IF(OR(A1555="",B1555=""),"",DATE(YEAR(B1555),MONTH(B1555),1))</f>
        <v/>
      </c>
      <c r="F1555" s="36" t="n">
        <f aca="false">IF(OR(E1555="",D1555=""),0,IF(C1555="Actual",D1555,IF(COUNTIFS($A$2:$A$2001,A1555,$E$2:$E$2001,E1555,$C$2:$C$2001,"Actual")&gt;0,0,D1555)))</f>
        <v>0</v>
      </c>
    </row>
    <row r="1556" customFormat="false" ht="15" hidden="false" customHeight="false" outlineLevel="0" collapsed="false">
      <c r="A1556" s="32"/>
      <c r="B1556" s="35"/>
      <c r="C1556" s="32"/>
      <c r="D1556" s="34"/>
      <c r="E1556" s="42" t="str">
        <f aca="false">IF(OR(A1556="",B1556=""),"",DATE(YEAR(B1556),MONTH(B1556),1))</f>
        <v/>
      </c>
      <c r="F1556" s="36" t="n">
        <f aca="false">IF(OR(E1556="",D1556=""),0,IF(C1556="Actual",D1556,IF(COUNTIFS($A$2:$A$2001,A1556,$E$2:$E$2001,E1556,$C$2:$C$2001,"Actual")&gt;0,0,D1556)))</f>
        <v>0</v>
      </c>
    </row>
    <row r="1557" customFormat="false" ht="15" hidden="false" customHeight="false" outlineLevel="0" collapsed="false">
      <c r="A1557" s="32"/>
      <c r="B1557" s="35"/>
      <c r="C1557" s="32"/>
      <c r="D1557" s="34"/>
      <c r="E1557" s="42" t="str">
        <f aca="false">IF(OR(A1557="",B1557=""),"",DATE(YEAR(B1557),MONTH(B1557),1))</f>
        <v/>
      </c>
      <c r="F1557" s="36" t="n">
        <f aca="false">IF(OR(E1557="",D1557=""),0,IF(C1557="Actual",D1557,IF(COUNTIFS($A$2:$A$2001,A1557,$E$2:$E$2001,E1557,$C$2:$C$2001,"Actual")&gt;0,0,D1557)))</f>
        <v>0</v>
      </c>
    </row>
    <row r="1558" customFormat="false" ht="15" hidden="false" customHeight="false" outlineLevel="0" collapsed="false">
      <c r="A1558" s="32"/>
      <c r="B1558" s="35"/>
      <c r="C1558" s="32"/>
      <c r="D1558" s="34"/>
      <c r="E1558" s="42" t="str">
        <f aca="false">IF(OR(A1558="",B1558=""),"",DATE(YEAR(B1558),MONTH(B1558),1))</f>
        <v/>
      </c>
      <c r="F1558" s="36" t="n">
        <f aca="false">IF(OR(E1558="",D1558=""),0,IF(C1558="Actual",D1558,IF(COUNTIFS($A$2:$A$2001,A1558,$E$2:$E$2001,E1558,$C$2:$C$2001,"Actual")&gt;0,0,D1558)))</f>
        <v>0</v>
      </c>
    </row>
    <row r="1559" customFormat="false" ht="15" hidden="false" customHeight="false" outlineLevel="0" collapsed="false">
      <c r="A1559" s="32"/>
      <c r="B1559" s="35"/>
      <c r="C1559" s="32"/>
      <c r="D1559" s="34"/>
      <c r="E1559" s="42" t="str">
        <f aca="false">IF(OR(A1559="",B1559=""),"",DATE(YEAR(B1559),MONTH(B1559),1))</f>
        <v/>
      </c>
      <c r="F1559" s="36" t="n">
        <f aca="false">IF(OR(E1559="",D1559=""),0,IF(C1559="Actual",D1559,IF(COUNTIFS($A$2:$A$2001,A1559,$E$2:$E$2001,E1559,$C$2:$C$2001,"Actual")&gt;0,0,D1559)))</f>
        <v>0</v>
      </c>
    </row>
    <row r="1560" customFormat="false" ht="15" hidden="false" customHeight="false" outlineLevel="0" collapsed="false">
      <c r="A1560" s="32"/>
      <c r="B1560" s="35"/>
      <c r="C1560" s="32"/>
      <c r="D1560" s="34"/>
      <c r="E1560" s="42" t="str">
        <f aca="false">IF(OR(A1560="",B1560=""),"",DATE(YEAR(B1560),MONTH(B1560),1))</f>
        <v/>
      </c>
      <c r="F1560" s="36" t="n">
        <f aca="false">IF(OR(E1560="",D1560=""),0,IF(C1560="Actual",D1560,IF(COUNTIFS($A$2:$A$2001,A1560,$E$2:$E$2001,E1560,$C$2:$C$2001,"Actual")&gt;0,0,D1560)))</f>
        <v>0</v>
      </c>
    </row>
    <row r="1561" customFormat="false" ht="15" hidden="false" customHeight="false" outlineLevel="0" collapsed="false">
      <c r="A1561" s="32"/>
      <c r="B1561" s="35"/>
      <c r="C1561" s="32"/>
      <c r="D1561" s="34"/>
      <c r="E1561" s="42" t="str">
        <f aca="false">IF(OR(A1561="",B1561=""),"",DATE(YEAR(B1561),MONTH(B1561),1))</f>
        <v/>
      </c>
      <c r="F1561" s="36" t="n">
        <f aca="false">IF(OR(E1561="",D1561=""),0,IF(C1561="Actual",D1561,IF(COUNTIFS($A$2:$A$2001,A1561,$E$2:$E$2001,E1561,$C$2:$C$2001,"Actual")&gt;0,0,D1561)))</f>
        <v>0</v>
      </c>
    </row>
    <row r="1562" customFormat="false" ht="15" hidden="false" customHeight="false" outlineLevel="0" collapsed="false">
      <c r="A1562" s="32"/>
      <c r="B1562" s="35"/>
      <c r="C1562" s="32"/>
      <c r="D1562" s="34"/>
      <c r="E1562" s="42" t="str">
        <f aca="false">IF(OR(A1562="",B1562=""),"",DATE(YEAR(B1562),MONTH(B1562),1))</f>
        <v/>
      </c>
      <c r="F1562" s="36" t="n">
        <f aca="false">IF(OR(E1562="",D1562=""),0,IF(C1562="Actual",D1562,IF(COUNTIFS($A$2:$A$2001,A1562,$E$2:$E$2001,E1562,$C$2:$C$2001,"Actual")&gt;0,0,D1562)))</f>
        <v>0</v>
      </c>
    </row>
    <row r="1563" customFormat="false" ht="15" hidden="false" customHeight="false" outlineLevel="0" collapsed="false">
      <c r="A1563" s="32"/>
      <c r="B1563" s="35"/>
      <c r="C1563" s="32"/>
      <c r="D1563" s="34"/>
      <c r="E1563" s="42" t="str">
        <f aca="false">IF(OR(A1563="",B1563=""),"",DATE(YEAR(B1563),MONTH(B1563),1))</f>
        <v/>
      </c>
      <c r="F1563" s="36" t="n">
        <f aca="false">IF(OR(E1563="",D1563=""),0,IF(C1563="Actual",D1563,IF(COUNTIFS($A$2:$A$2001,A1563,$E$2:$E$2001,E1563,$C$2:$C$2001,"Actual")&gt;0,0,D1563)))</f>
        <v>0</v>
      </c>
    </row>
    <row r="1564" customFormat="false" ht="15" hidden="false" customHeight="false" outlineLevel="0" collapsed="false">
      <c r="A1564" s="32"/>
      <c r="B1564" s="35"/>
      <c r="C1564" s="32"/>
      <c r="D1564" s="34"/>
      <c r="E1564" s="42" t="str">
        <f aca="false">IF(OR(A1564="",B1564=""),"",DATE(YEAR(B1564),MONTH(B1564),1))</f>
        <v/>
      </c>
      <c r="F1564" s="36" t="n">
        <f aca="false">IF(OR(E1564="",D1564=""),0,IF(C1564="Actual",D1564,IF(COUNTIFS($A$2:$A$2001,A1564,$E$2:$E$2001,E1564,$C$2:$C$2001,"Actual")&gt;0,0,D1564)))</f>
        <v>0</v>
      </c>
    </row>
    <row r="1565" customFormat="false" ht="15" hidden="false" customHeight="false" outlineLevel="0" collapsed="false">
      <c r="A1565" s="32"/>
      <c r="B1565" s="35"/>
      <c r="C1565" s="32"/>
      <c r="D1565" s="34"/>
      <c r="E1565" s="42" t="str">
        <f aca="false">IF(OR(A1565="",B1565=""),"",DATE(YEAR(B1565),MONTH(B1565),1))</f>
        <v/>
      </c>
      <c r="F1565" s="36" t="n">
        <f aca="false">IF(OR(E1565="",D1565=""),0,IF(C1565="Actual",D1565,IF(COUNTIFS($A$2:$A$2001,A1565,$E$2:$E$2001,E1565,$C$2:$C$2001,"Actual")&gt;0,0,D1565)))</f>
        <v>0</v>
      </c>
    </row>
    <row r="1566" customFormat="false" ht="15" hidden="false" customHeight="false" outlineLevel="0" collapsed="false">
      <c r="A1566" s="32"/>
      <c r="B1566" s="35"/>
      <c r="C1566" s="32"/>
      <c r="D1566" s="34"/>
      <c r="E1566" s="42" t="str">
        <f aca="false">IF(OR(A1566="",B1566=""),"",DATE(YEAR(B1566),MONTH(B1566),1))</f>
        <v/>
      </c>
      <c r="F1566" s="36" t="n">
        <f aca="false">IF(OR(E1566="",D1566=""),0,IF(C1566="Actual",D1566,IF(COUNTIFS($A$2:$A$2001,A1566,$E$2:$E$2001,E1566,$C$2:$C$2001,"Actual")&gt;0,0,D1566)))</f>
        <v>0</v>
      </c>
    </row>
    <row r="1567" customFormat="false" ht="15" hidden="false" customHeight="false" outlineLevel="0" collapsed="false">
      <c r="A1567" s="32"/>
      <c r="B1567" s="35"/>
      <c r="C1567" s="32"/>
      <c r="D1567" s="34"/>
      <c r="E1567" s="42" t="str">
        <f aca="false">IF(OR(A1567="",B1567=""),"",DATE(YEAR(B1567),MONTH(B1567),1))</f>
        <v/>
      </c>
      <c r="F1567" s="36" t="n">
        <f aca="false">IF(OR(E1567="",D1567=""),0,IF(C1567="Actual",D1567,IF(COUNTIFS($A$2:$A$2001,A1567,$E$2:$E$2001,E1567,$C$2:$C$2001,"Actual")&gt;0,0,D1567)))</f>
        <v>0</v>
      </c>
    </row>
    <row r="1568" customFormat="false" ht="15" hidden="false" customHeight="false" outlineLevel="0" collapsed="false">
      <c r="A1568" s="32"/>
      <c r="B1568" s="35"/>
      <c r="C1568" s="32"/>
      <c r="D1568" s="34"/>
      <c r="E1568" s="42" t="str">
        <f aca="false">IF(OR(A1568="",B1568=""),"",DATE(YEAR(B1568),MONTH(B1568),1))</f>
        <v/>
      </c>
      <c r="F1568" s="36" t="n">
        <f aca="false">IF(OR(E1568="",D1568=""),0,IF(C1568="Actual",D1568,IF(COUNTIFS($A$2:$A$2001,A1568,$E$2:$E$2001,E1568,$C$2:$C$2001,"Actual")&gt;0,0,D1568)))</f>
        <v>0</v>
      </c>
    </row>
    <row r="1569" customFormat="false" ht="15" hidden="false" customHeight="false" outlineLevel="0" collapsed="false">
      <c r="A1569" s="32"/>
      <c r="B1569" s="35"/>
      <c r="C1569" s="32"/>
      <c r="D1569" s="34"/>
      <c r="E1569" s="42" t="str">
        <f aca="false">IF(OR(A1569="",B1569=""),"",DATE(YEAR(B1569),MONTH(B1569),1))</f>
        <v/>
      </c>
      <c r="F1569" s="36" t="n">
        <f aca="false">IF(OR(E1569="",D1569=""),0,IF(C1569="Actual",D1569,IF(COUNTIFS($A$2:$A$2001,A1569,$E$2:$E$2001,E1569,$C$2:$C$2001,"Actual")&gt;0,0,D1569)))</f>
        <v>0</v>
      </c>
    </row>
    <row r="1570" customFormat="false" ht="15" hidden="false" customHeight="false" outlineLevel="0" collapsed="false">
      <c r="A1570" s="32"/>
      <c r="B1570" s="35"/>
      <c r="C1570" s="32"/>
      <c r="D1570" s="34"/>
      <c r="E1570" s="42" t="str">
        <f aca="false">IF(OR(A1570="",B1570=""),"",DATE(YEAR(B1570),MONTH(B1570),1))</f>
        <v/>
      </c>
      <c r="F1570" s="36" t="n">
        <f aca="false">IF(OR(E1570="",D1570=""),0,IF(C1570="Actual",D1570,IF(COUNTIFS($A$2:$A$2001,A1570,$E$2:$E$2001,E1570,$C$2:$C$2001,"Actual")&gt;0,0,D1570)))</f>
        <v>0</v>
      </c>
    </row>
    <row r="1571" customFormat="false" ht="15" hidden="false" customHeight="false" outlineLevel="0" collapsed="false">
      <c r="A1571" s="32"/>
      <c r="B1571" s="35"/>
      <c r="C1571" s="32"/>
      <c r="D1571" s="34"/>
      <c r="E1571" s="42" t="str">
        <f aca="false">IF(OR(A1571="",B1571=""),"",DATE(YEAR(B1571),MONTH(B1571),1))</f>
        <v/>
      </c>
      <c r="F1571" s="36" t="n">
        <f aca="false">IF(OR(E1571="",D1571=""),0,IF(C1571="Actual",D1571,IF(COUNTIFS($A$2:$A$2001,A1571,$E$2:$E$2001,E1571,$C$2:$C$2001,"Actual")&gt;0,0,D1571)))</f>
        <v>0</v>
      </c>
    </row>
    <row r="1572" customFormat="false" ht="15" hidden="false" customHeight="false" outlineLevel="0" collapsed="false">
      <c r="A1572" s="32"/>
      <c r="B1572" s="35"/>
      <c r="C1572" s="32"/>
      <c r="D1572" s="34"/>
      <c r="E1572" s="42" t="str">
        <f aca="false">IF(OR(A1572="",B1572=""),"",DATE(YEAR(B1572),MONTH(B1572),1))</f>
        <v/>
      </c>
      <c r="F1572" s="36" t="n">
        <f aca="false">IF(OR(E1572="",D1572=""),0,IF(C1572="Actual",D1572,IF(COUNTIFS($A$2:$A$2001,A1572,$E$2:$E$2001,E1572,$C$2:$C$2001,"Actual")&gt;0,0,D1572)))</f>
        <v>0</v>
      </c>
    </row>
    <row r="1573" customFormat="false" ht="15" hidden="false" customHeight="false" outlineLevel="0" collapsed="false">
      <c r="A1573" s="32"/>
      <c r="B1573" s="35"/>
      <c r="C1573" s="32"/>
      <c r="D1573" s="34"/>
      <c r="E1573" s="42" t="str">
        <f aca="false">IF(OR(A1573="",B1573=""),"",DATE(YEAR(B1573),MONTH(B1573),1))</f>
        <v/>
      </c>
      <c r="F1573" s="36" t="n">
        <f aca="false">IF(OR(E1573="",D1573=""),0,IF(C1573="Actual",D1573,IF(COUNTIFS($A$2:$A$2001,A1573,$E$2:$E$2001,E1573,$C$2:$C$2001,"Actual")&gt;0,0,D1573)))</f>
        <v>0</v>
      </c>
    </row>
    <row r="1574" customFormat="false" ht="15" hidden="false" customHeight="false" outlineLevel="0" collapsed="false">
      <c r="A1574" s="32"/>
      <c r="B1574" s="35"/>
      <c r="C1574" s="32"/>
      <c r="D1574" s="34"/>
      <c r="E1574" s="42" t="str">
        <f aca="false">IF(OR(A1574="",B1574=""),"",DATE(YEAR(B1574),MONTH(B1574),1))</f>
        <v/>
      </c>
      <c r="F1574" s="36" t="n">
        <f aca="false">IF(OR(E1574="",D1574=""),0,IF(C1574="Actual",D1574,IF(COUNTIFS($A$2:$A$2001,A1574,$E$2:$E$2001,E1574,$C$2:$C$2001,"Actual")&gt;0,0,D1574)))</f>
        <v>0</v>
      </c>
    </row>
    <row r="1575" customFormat="false" ht="15" hidden="false" customHeight="false" outlineLevel="0" collapsed="false">
      <c r="A1575" s="32"/>
      <c r="B1575" s="35"/>
      <c r="C1575" s="32"/>
      <c r="D1575" s="34"/>
      <c r="E1575" s="42" t="str">
        <f aca="false">IF(OR(A1575="",B1575=""),"",DATE(YEAR(B1575),MONTH(B1575),1))</f>
        <v/>
      </c>
      <c r="F1575" s="36" t="n">
        <f aca="false">IF(OR(E1575="",D1575=""),0,IF(C1575="Actual",D1575,IF(COUNTIFS($A$2:$A$2001,A1575,$E$2:$E$2001,E1575,$C$2:$C$2001,"Actual")&gt;0,0,D1575)))</f>
        <v>0</v>
      </c>
    </row>
    <row r="1576" customFormat="false" ht="15" hidden="false" customHeight="false" outlineLevel="0" collapsed="false">
      <c r="A1576" s="32"/>
      <c r="B1576" s="35"/>
      <c r="C1576" s="32"/>
      <c r="D1576" s="34"/>
      <c r="E1576" s="42" t="str">
        <f aca="false">IF(OR(A1576="",B1576=""),"",DATE(YEAR(B1576),MONTH(B1576),1))</f>
        <v/>
      </c>
      <c r="F1576" s="36" t="n">
        <f aca="false">IF(OR(E1576="",D1576=""),0,IF(C1576="Actual",D1576,IF(COUNTIFS($A$2:$A$2001,A1576,$E$2:$E$2001,E1576,$C$2:$C$2001,"Actual")&gt;0,0,D1576)))</f>
        <v>0</v>
      </c>
    </row>
    <row r="1577" customFormat="false" ht="15" hidden="false" customHeight="false" outlineLevel="0" collapsed="false">
      <c r="A1577" s="32"/>
      <c r="B1577" s="35"/>
      <c r="C1577" s="32"/>
      <c r="D1577" s="34"/>
      <c r="E1577" s="42" t="str">
        <f aca="false">IF(OR(A1577="",B1577=""),"",DATE(YEAR(B1577),MONTH(B1577),1))</f>
        <v/>
      </c>
      <c r="F1577" s="36" t="n">
        <f aca="false">IF(OR(E1577="",D1577=""),0,IF(C1577="Actual",D1577,IF(COUNTIFS($A$2:$A$2001,A1577,$E$2:$E$2001,E1577,$C$2:$C$2001,"Actual")&gt;0,0,D1577)))</f>
        <v>0</v>
      </c>
    </row>
    <row r="1578" customFormat="false" ht="15" hidden="false" customHeight="false" outlineLevel="0" collapsed="false">
      <c r="A1578" s="32"/>
      <c r="B1578" s="35"/>
      <c r="C1578" s="32"/>
      <c r="D1578" s="34"/>
      <c r="E1578" s="42" t="str">
        <f aca="false">IF(OR(A1578="",B1578=""),"",DATE(YEAR(B1578),MONTH(B1578),1))</f>
        <v/>
      </c>
      <c r="F1578" s="36" t="n">
        <f aca="false">IF(OR(E1578="",D1578=""),0,IF(C1578="Actual",D1578,IF(COUNTIFS($A$2:$A$2001,A1578,$E$2:$E$2001,E1578,$C$2:$C$2001,"Actual")&gt;0,0,D1578)))</f>
        <v>0</v>
      </c>
    </row>
    <row r="1579" customFormat="false" ht="15" hidden="false" customHeight="false" outlineLevel="0" collapsed="false">
      <c r="A1579" s="32"/>
      <c r="B1579" s="35"/>
      <c r="C1579" s="32"/>
      <c r="D1579" s="34"/>
      <c r="E1579" s="42" t="str">
        <f aca="false">IF(OR(A1579="",B1579=""),"",DATE(YEAR(B1579),MONTH(B1579),1))</f>
        <v/>
      </c>
      <c r="F1579" s="36" t="n">
        <f aca="false">IF(OR(E1579="",D1579=""),0,IF(C1579="Actual",D1579,IF(COUNTIFS($A$2:$A$2001,A1579,$E$2:$E$2001,E1579,$C$2:$C$2001,"Actual")&gt;0,0,D1579)))</f>
        <v>0</v>
      </c>
    </row>
    <row r="1580" customFormat="false" ht="15" hidden="false" customHeight="false" outlineLevel="0" collapsed="false">
      <c r="A1580" s="32"/>
      <c r="B1580" s="35"/>
      <c r="C1580" s="32"/>
      <c r="D1580" s="34"/>
      <c r="E1580" s="42" t="str">
        <f aca="false">IF(OR(A1580="",B1580=""),"",DATE(YEAR(B1580),MONTH(B1580),1))</f>
        <v/>
      </c>
      <c r="F1580" s="36" t="n">
        <f aca="false">IF(OR(E1580="",D1580=""),0,IF(C1580="Actual",D1580,IF(COUNTIFS($A$2:$A$2001,A1580,$E$2:$E$2001,E1580,$C$2:$C$2001,"Actual")&gt;0,0,D1580)))</f>
        <v>0</v>
      </c>
    </row>
    <row r="1581" customFormat="false" ht="15" hidden="false" customHeight="false" outlineLevel="0" collapsed="false">
      <c r="A1581" s="32"/>
      <c r="B1581" s="35"/>
      <c r="C1581" s="32"/>
      <c r="D1581" s="34"/>
      <c r="E1581" s="42" t="str">
        <f aca="false">IF(OR(A1581="",B1581=""),"",DATE(YEAR(B1581),MONTH(B1581),1))</f>
        <v/>
      </c>
      <c r="F1581" s="36" t="n">
        <f aca="false">IF(OR(E1581="",D1581=""),0,IF(C1581="Actual",D1581,IF(COUNTIFS($A$2:$A$2001,A1581,$E$2:$E$2001,E1581,$C$2:$C$2001,"Actual")&gt;0,0,D1581)))</f>
        <v>0</v>
      </c>
    </row>
    <row r="1582" customFormat="false" ht="15" hidden="false" customHeight="false" outlineLevel="0" collapsed="false">
      <c r="A1582" s="32"/>
      <c r="B1582" s="35"/>
      <c r="C1582" s="32"/>
      <c r="D1582" s="34"/>
      <c r="E1582" s="42" t="str">
        <f aca="false">IF(OR(A1582="",B1582=""),"",DATE(YEAR(B1582),MONTH(B1582),1))</f>
        <v/>
      </c>
      <c r="F1582" s="36" t="n">
        <f aca="false">IF(OR(E1582="",D1582=""),0,IF(C1582="Actual",D1582,IF(COUNTIFS($A$2:$A$2001,A1582,$E$2:$E$2001,E1582,$C$2:$C$2001,"Actual")&gt;0,0,D1582)))</f>
        <v>0</v>
      </c>
    </row>
    <row r="1583" customFormat="false" ht="15" hidden="false" customHeight="false" outlineLevel="0" collapsed="false">
      <c r="A1583" s="32"/>
      <c r="B1583" s="35"/>
      <c r="C1583" s="32"/>
      <c r="D1583" s="34"/>
      <c r="E1583" s="42" t="str">
        <f aca="false">IF(OR(A1583="",B1583=""),"",DATE(YEAR(B1583),MONTH(B1583),1))</f>
        <v/>
      </c>
      <c r="F1583" s="36" t="n">
        <f aca="false">IF(OR(E1583="",D1583=""),0,IF(C1583="Actual",D1583,IF(COUNTIFS($A$2:$A$2001,A1583,$E$2:$E$2001,E1583,$C$2:$C$2001,"Actual")&gt;0,0,D1583)))</f>
        <v>0</v>
      </c>
    </row>
    <row r="1584" customFormat="false" ht="15" hidden="false" customHeight="false" outlineLevel="0" collapsed="false">
      <c r="A1584" s="32"/>
      <c r="B1584" s="35"/>
      <c r="C1584" s="32"/>
      <c r="D1584" s="34"/>
      <c r="E1584" s="42" t="str">
        <f aca="false">IF(OR(A1584="",B1584=""),"",DATE(YEAR(B1584),MONTH(B1584),1))</f>
        <v/>
      </c>
      <c r="F1584" s="36" t="n">
        <f aca="false">IF(OR(E1584="",D1584=""),0,IF(C1584="Actual",D1584,IF(COUNTIFS($A$2:$A$2001,A1584,$E$2:$E$2001,E1584,$C$2:$C$2001,"Actual")&gt;0,0,D1584)))</f>
        <v>0</v>
      </c>
    </row>
    <row r="1585" customFormat="false" ht="15" hidden="false" customHeight="false" outlineLevel="0" collapsed="false">
      <c r="A1585" s="32"/>
      <c r="B1585" s="35"/>
      <c r="C1585" s="32"/>
      <c r="D1585" s="34"/>
      <c r="E1585" s="42" t="str">
        <f aca="false">IF(OR(A1585="",B1585=""),"",DATE(YEAR(B1585),MONTH(B1585),1))</f>
        <v/>
      </c>
      <c r="F1585" s="36" t="n">
        <f aca="false">IF(OR(E1585="",D1585=""),0,IF(C1585="Actual",D1585,IF(COUNTIFS($A$2:$A$2001,A1585,$E$2:$E$2001,E1585,$C$2:$C$2001,"Actual")&gt;0,0,D1585)))</f>
        <v>0</v>
      </c>
    </row>
    <row r="1586" customFormat="false" ht="15" hidden="false" customHeight="false" outlineLevel="0" collapsed="false">
      <c r="A1586" s="32"/>
      <c r="B1586" s="35"/>
      <c r="C1586" s="32"/>
      <c r="D1586" s="34"/>
      <c r="E1586" s="42" t="str">
        <f aca="false">IF(OR(A1586="",B1586=""),"",DATE(YEAR(B1586),MONTH(B1586),1))</f>
        <v/>
      </c>
      <c r="F1586" s="36" t="n">
        <f aca="false">IF(OR(E1586="",D1586=""),0,IF(C1586="Actual",D1586,IF(COUNTIFS($A$2:$A$2001,A1586,$E$2:$E$2001,E1586,$C$2:$C$2001,"Actual")&gt;0,0,D1586)))</f>
        <v>0</v>
      </c>
    </row>
    <row r="1587" customFormat="false" ht="15" hidden="false" customHeight="false" outlineLevel="0" collapsed="false">
      <c r="A1587" s="32"/>
      <c r="B1587" s="35"/>
      <c r="C1587" s="32"/>
      <c r="D1587" s="34"/>
      <c r="E1587" s="42" t="str">
        <f aca="false">IF(OR(A1587="",B1587=""),"",DATE(YEAR(B1587),MONTH(B1587),1))</f>
        <v/>
      </c>
      <c r="F1587" s="36" t="n">
        <f aca="false">IF(OR(E1587="",D1587=""),0,IF(C1587="Actual",D1587,IF(COUNTIFS($A$2:$A$2001,A1587,$E$2:$E$2001,E1587,$C$2:$C$2001,"Actual")&gt;0,0,D1587)))</f>
        <v>0</v>
      </c>
    </row>
    <row r="1588" customFormat="false" ht="15" hidden="false" customHeight="false" outlineLevel="0" collapsed="false">
      <c r="A1588" s="32"/>
      <c r="B1588" s="35"/>
      <c r="C1588" s="32"/>
      <c r="D1588" s="34"/>
      <c r="E1588" s="42" t="str">
        <f aca="false">IF(OR(A1588="",B1588=""),"",DATE(YEAR(B1588),MONTH(B1588),1))</f>
        <v/>
      </c>
      <c r="F1588" s="36" t="n">
        <f aca="false">IF(OR(E1588="",D1588=""),0,IF(C1588="Actual",D1588,IF(COUNTIFS($A$2:$A$2001,A1588,$E$2:$E$2001,E1588,$C$2:$C$2001,"Actual")&gt;0,0,D1588)))</f>
        <v>0</v>
      </c>
    </row>
    <row r="1589" customFormat="false" ht="15" hidden="false" customHeight="false" outlineLevel="0" collapsed="false">
      <c r="A1589" s="32"/>
      <c r="B1589" s="35"/>
      <c r="C1589" s="32"/>
      <c r="D1589" s="34"/>
      <c r="E1589" s="42" t="str">
        <f aca="false">IF(OR(A1589="",B1589=""),"",DATE(YEAR(B1589),MONTH(B1589),1))</f>
        <v/>
      </c>
      <c r="F1589" s="36" t="n">
        <f aca="false">IF(OR(E1589="",D1589=""),0,IF(C1589="Actual",D1589,IF(COUNTIFS($A$2:$A$2001,A1589,$E$2:$E$2001,E1589,$C$2:$C$2001,"Actual")&gt;0,0,D1589)))</f>
        <v>0</v>
      </c>
    </row>
    <row r="1590" customFormat="false" ht="15" hidden="false" customHeight="false" outlineLevel="0" collapsed="false">
      <c r="A1590" s="32"/>
      <c r="B1590" s="35"/>
      <c r="C1590" s="32"/>
      <c r="D1590" s="34"/>
      <c r="E1590" s="42" t="str">
        <f aca="false">IF(OR(A1590="",B1590=""),"",DATE(YEAR(B1590),MONTH(B1590),1))</f>
        <v/>
      </c>
      <c r="F1590" s="36" t="n">
        <f aca="false">IF(OR(E1590="",D1590=""),0,IF(C1590="Actual",D1590,IF(COUNTIFS($A$2:$A$2001,A1590,$E$2:$E$2001,E1590,$C$2:$C$2001,"Actual")&gt;0,0,D1590)))</f>
        <v>0</v>
      </c>
    </row>
    <row r="1591" customFormat="false" ht="15" hidden="false" customHeight="false" outlineLevel="0" collapsed="false">
      <c r="A1591" s="32"/>
      <c r="B1591" s="35"/>
      <c r="C1591" s="32"/>
      <c r="D1591" s="34"/>
      <c r="E1591" s="42" t="str">
        <f aca="false">IF(OR(A1591="",B1591=""),"",DATE(YEAR(B1591),MONTH(B1591),1))</f>
        <v/>
      </c>
      <c r="F1591" s="36" t="n">
        <f aca="false">IF(OR(E1591="",D1591=""),0,IF(C1591="Actual",D1591,IF(COUNTIFS($A$2:$A$2001,A1591,$E$2:$E$2001,E1591,$C$2:$C$2001,"Actual")&gt;0,0,D1591)))</f>
        <v>0</v>
      </c>
    </row>
    <row r="1592" customFormat="false" ht="15" hidden="false" customHeight="false" outlineLevel="0" collapsed="false">
      <c r="A1592" s="32"/>
      <c r="B1592" s="35"/>
      <c r="C1592" s="32"/>
      <c r="D1592" s="34"/>
      <c r="E1592" s="42" t="str">
        <f aca="false">IF(OR(A1592="",B1592=""),"",DATE(YEAR(B1592),MONTH(B1592),1))</f>
        <v/>
      </c>
      <c r="F1592" s="36" t="n">
        <f aca="false">IF(OR(E1592="",D1592=""),0,IF(C1592="Actual",D1592,IF(COUNTIFS($A$2:$A$2001,A1592,$E$2:$E$2001,E1592,$C$2:$C$2001,"Actual")&gt;0,0,D1592)))</f>
        <v>0</v>
      </c>
    </row>
    <row r="1593" customFormat="false" ht="15" hidden="false" customHeight="false" outlineLevel="0" collapsed="false">
      <c r="A1593" s="32"/>
      <c r="B1593" s="35"/>
      <c r="C1593" s="32"/>
      <c r="D1593" s="34"/>
      <c r="E1593" s="42" t="str">
        <f aca="false">IF(OR(A1593="",B1593=""),"",DATE(YEAR(B1593),MONTH(B1593),1))</f>
        <v/>
      </c>
      <c r="F1593" s="36" t="n">
        <f aca="false">IF(OR(E1593="",D1593=""),0,IF(C1593="Actual",D1593,IF(COUNTIFS($A$2:$A$2001,A1593,$E$2:$E$2001,E1593,$C$2:$C$2001,"Actual")&gt;0,0,D1593)))</f>
        <v>0</v>
      </c>
    </row>
    <row r="1594" customFormat="false" ht="15" hidden="false" customHeight="false" outlineLevel="0" collapsed="false">
      <c r="A1594" s="32"/>
      <c r="B1594" s="35"/>
      <c r="C1594" s="32"/>
      <c r="D1594" s="34"/>
      <c r="E1594" s="42" t="str">
        <f aca="false">IF(OR(A1594="",B1594=""),"",DATE(YEAR(B1594),MONTH(B1594),1))</f>
        <v/>
      </c>
      <c r="F1594" s="36" t="n">
        <f aca="false">IF(OR(E1594="",D1594=""),0,IF(C1594="Actual",D1594,IF(COUNTIFS($A$2:$A$2001,A1594,$E$2:$E$2001,E1594,$C$2:$C$2001,"Actual")&gt;0,0,D1594)))</f>
        <v>0</v>
      </c>
    </row>
    <row r="1595" customFormat="false" ht="15" hidden="false" customHeight="false" outlineLevel="0" collapsed="false">
      <c r="A1595" s="32"/>
      <c r="B1595" s="35"/>
      <c r="C1595" s="32"/>
      <c r="D1595" s="34"/>
      <c r="E1595" s="42" t="str">
        <f aca="false">IF(OR(A1595="",B1595=""),"",DATE(YEAR(B1595),MONTH(B1595),1))</f>
        <v/>
      </c>
      <c r="F1595" s="36" t="n">
        <f aca="false">IF(OR(E1595="",D1595=""),0,IF(C1595="Actual",D1595,IF(COUNTIFS($A$2:$A$2001,A1595,$E$2:$E$2001,E1595,$C$2:$C$2001,"Actual")&gt;0,0,D1595)))</f>
        <v>0</v>
      </c>
    </row>
    <row r="1596" customFormat="false" ht="15" hidden="false" customHeight="false" outlineLevel="0" collapsed="false">
      <c r="A1596" s="32"/>
      <c r="B1596" s="35"/>
      <c r="C1596" s="32"/>
      <c r="D1596" s="34"/>
      <c r="E1596" s="42" t="str">
        <f aca="false">IF(OR(A1596="",B1596=""),"",DATE(YEAR(B1596),MONTH(B1596),1))</f>
        <v/>
      </c>
      <c r="F1596" s="36" t="n">
        <f aca="false">IF(OR(E1596="",D1596=""),0,IF(C1596="Actual",D1596,IF(COUNTIFS($A$2:$A$2001,A1596,$E$2:$E$2001,E1596,$C$2:$C$2001,"Actual")&gt;0,0,D1596)))</f>
        <v>0</v>
      </c>
    </row>
    <row r="1597" customFormat="false" ht="15" hidden="false" customHeight="false" outlineLevel="0" collapsed="false">
      <c r="A1597" s="32"/>
      <c r="B1597" s="35"/>
      <c r="C1597" s="32"/>
      <c r="D1597" s="34"/>
      <c r="E1597" s="42" t="str">
        <f aca="false">IF(OR(A1597="",B1597=""),"",DATE(YEAR(B1597),MONTH(B1597),1))</f>
        <v/>
      </c>
      <c r="F1597" s="36" t="n">
        <f aca="false">IF(OR(E1597="",D1597=""),0,IF(C1597="Actual",D1597,IF(COUNTIFS($A$2:$A$2001,A1597,$E$2:$E$2001,E1597,$C$2:$C$2001,"Actual")&gt;0,0,D1597)))</f>
        <v>0</v>
      </c>
    </row>
    <row r="1598" customFormat="false" ht="15" hidden="false" customHeight="false" outlineLevel="0" collapsed="false">
      <c r="A1598" s="32"/>
      <c r="B1598" s="35"/>
      <c r="C1598" s="32"/>
      <c r="D1598" s="34"/>
      <c r="E1598" s="42" t="str">
        <f aca="false">IF(OR(A1598="",B1598=""),"",DATE(YEAR(B1598),MONTH(B1598),1))</f>
        <v/>
      </c>
      <c r="F1598" s="36" t="n">
        <f aca="false">IF(OR(E1598="",D1598=""),0,IF(C1598="Actual",D1598,IF(COUNTIFS($A$2:$A$2001,A1598,$E$2:$E$2001,E1598,$C$2:$C$2001,"Actual")&gt;0,0,D1598)))</f>
        <v>0</v>
      </c>
    </row>
    <row r="1599" customFormat="false" ht="15" hidden="false" customHeight="false" outlineLevel="0" collapsed="false">
      <c r="A1599" s="32"/>
      <c r="B1599" s="35"/>
      <c r="C1599" s="32"/>
      <c r="D1599" s="34"/>
      <c r="E1599" s="42" t="str">
        <f aca="false">IF(OR(A1599="",B1599=""),"",DATE(YEAR(B1599),MONTH(B1599),1))</f>
        <v/>
      </c>
      <c r="F1599" s="36" t="n">
        <f aca="false">IF(OR(E1599="",D1599=""),0,IF(C1599="Actual",D1599,IF(COUNTIFS($A$2:$A$2001,A1599,$E$2:$E$2001,E1599,$C$2:$C$2001,"Actual")&gt;0,0,D1599)))</f>
        <v>0</v>
      </c>
    </row>
    <row r="1600" customFormat="false" ht="15" hidden="false" customHeight="false" outlineLevel="0" collapsed="false">
      <c r="A1600" s="32"/>
      <c r="B1600" s="35"/>
      <c r="C1600" s="32"/>
      <c r="D1600" s="34"/>
      <c r="E1600" s="42" t="str">
        <f aca="false">IF(OR(A1600="",B1600=""),"",DATE(YEAR(B1600),MONTH(B1600),1))</f>
        <v/>
      </c>
      <c r="F1600" s="36" t="n">
        <f aca="false">IF(OR(E1600="",D1600=""),0,IF(C1600="Actual",D1600,IF(COUNTIFS($A$2:$A$2001,A1600,$E$2:$E$2001,E1600,$C$2:$C$2001,"Actual")&gt;0,0,D1600)))</f>
        <v>0</v>
      </c>
    </row>
    <row r="1601" customFormat="false" ht="15" hidden="false" customHeight="false" outlineLevel="0" collapsed="false">
      <c r="A1601" s="32"/>
      <c r="B1601" s="35"/>
      <c r="C1601" s="32"/>
      <c r="D1601" s="34"/>
      <c r="E1601" s="42" t="str">
        <f aca="false">IF(OR(A1601="",B1601=""),"",DATE(YEAR(B1601),MONTH(B1601),1))</f>
        <v/>
      </c>
      <c r="F1601" s="36" t="n">
        <f aca="false">IF(OR(E1601="",D1601=""),0,IF(C1601="Actual",D1601,IF(COUNTIFS($A$2:$A$2001,A1601,$E$2:$E$2001,E1601,$C$2:$C$2001,"Actual")&gt;0,0,D1601)))</f>
        <v>0</v>
      </c>
    </row>
    <row r="1602" customFormat="false" ht="15" hidden="false" customHeight="false" outlineLevel="0" collapsed="false">
      <c r="A1602" s="32"/>
      <c r="B1602" s="35"/>
      <c r="C1602" s="32"/>
      <c r="D1602" s="34"/>
      <c r="E1602" s="42" t="str">
        <f aca="false">IF(OR(A1602="",B1602=""),"",DATE(YEAR(B1602),MONTH(B1602),1))</f>
        <v/>
      </c>
      <c r="F1602" s="36" t="n">
        <f aca="false">IF(OR(E1602="",D1602=""),0,IF(C1602="Actual",D1602,IF(COUNTIFS($A$2:$A$2001,A1602,$E$2:$E$2001,E1602,$C$2:$C$2001,"Actual")&gt;0,0,D1602)))</f>
        <v>0</v>
      </c>
    </row>
    <row r="1603" customFormat="false" ht="15" hidden="false" customHeight="false" outlineLevel="0" collapsed="false">
      <c r="A1603" s="32"/>
      <c r="B1603" s="35"/>
      <c r="C1603" s="32"/>
      <c r="D1603" s="34"/>
      <c r="E1603" s="42" t="str">
        <f aca="false">IF(OR(A1603="",B1603=""),"",DATE(YEAR(B1603),MONTH(B1603),1))</f>
        <v/>
      </c>
      <c r="F1603" s="36" t="n">
        <f aca="false">IF(OR(E1603="",D1603=""),0,IF(C1603="Actual",D1603,IF(COUNTIFS($A$2:$A$2001,A1603,$E$2:$E$2001,E1603,$C$2:$C$2001,"Actual")&gt;0,0,D1603)))</f>
        <v>0</v>
      </c>
    </row>
    <row r="1604" customFormat="false" ht="15" hidden="false" customHeight="false" outlineLevel="0" collapsed="false">
      <c r="A1604" s="32"/>
      <c r="B1604" s="35"/>
      <c r="C1604" s="32"/>
      <c r="D1604" s="34"/>
      <c r="E1604" s="42" t="str">
        <f aca="false">IF(OR(A1604="",B1604=""),"",DATE(YEAR(B1604),MONTH(B1604),1))</f>
        <v/>
      </c>
      <c r="F1604" s="36" t="n">
        <f aca="false">IF(OR(E1604="",D1604=""),0,IF(C1604="Actual",D1604,IF(COUNTIFS($A$2:$A$2001,A1604,$E$2:$E$2001,E1604,$C$2:$C$2001,"Actual")&gt;0,0,D1604)))</f>
        <v>0</v>
      </c>
    </row>
    <row r="1605" customFormat="false" ht="15" hidden="false" customHeight="false" outlineLevel="0" collapsed="false">
      <c r="A1605" s="32"/>
      <c r="B1605" s="35"/>
      <c r="C1605" s="32"/>
      <c r="D1605" s="34"/>
      <c r="E1605" s="42" t="str">
        <f aca="false">IF(OR(A1605="",B1605=""),"",DATE(YEAR(B1605),MONTH(B1605),1))</f>
        <v/>
      </c>
      <c r="F1605" s="36" t="n">
        <f aca="false">IF(OR(E1605="",D1605=""),0,IF(C1605="Actual",D1605,IF(COUNTIFS($A$2:$A$2001,A1605,$E$2:$E$2001,E1605,$C$2:$C$2001,"Actual")&gt;0,0,D1605)))</f>
        <v>0</v>
      </c>
    </row>
    <row r="1606" customFormat="false" ht="15" hidden="false" customHeight="false" outlineLevel="0" collapsed="false">
      <c r="A1606" s="32"/>
      <c r="B1606" s="35"/>
      <c r="C1606" s="32"/>
      <c r="D1606" s="34"/>
      <c r="E1606" s="42" t="str">
        <f aca="false">IF(OR(A1606="",B1606=""),"",DATE(YEAR(B1606),MONTH(B1606),1))</f>
        <v/>
      </c>
      <c r="F1606" s="36" t="n">
        <f aca="false">IF(OR(E1606="",D1606=""),0,IF(C1606="Actual",D1606,IF(COUNTIFS($A$2:$A$2001,A1606,$E$2:$E$2001,E1606,$C$2:$C$2001,"Actual")&gt;0,0,D1606)))</f>
        <v>0</v>
      </c>
    </row>
    <row r="1607" customFormat="false" ht="15" hidden="false" customHeight="false" outlineLevel="0" collapsed="false">
      <c r="A1607" s="32"/>
      <c r="B1607" s="35"/>
      <c r="C1607" s="32"/>
      <c r="D1607" s="34"/>
      <c r="E1607" s="42" t="str">
        <f aca="false">IF(OR(A1607="",B1607=""),"",DATE(YEAR(B1607),MONTH(B1607),1))</f>
        <v/>
      </c>
      <c r="F1607" s="36" t="n">
        <f aca="false">IF(OR(E1607="",D1607=""),0,IF(C1607="Actual",D1607,IF(COUNTIFS($A$2:$A$2001,A1607,$E$2:$E$2001,E1607,$C$2:$C$2001,"Actual")&gt;0,0,D1607)))</f>
        <v>0</v>
      </c>
    </row>
    <row r="1608" customFormat="false" ht="15" hidden="false" customHeight="false" outlineLevel="0" collapsed="false">
      <c r="A1608" s="32"/>
      <c r="B1608" s="35"/>
      <c r="C1608" s="32"/>
      <c r="D1608" s="34"/>
      <c r="E1608" s="42" t="str">
        <f aca="false">IF(OR(A1608="",B1608=""),"",DATE(YEAR(B1608),MONTH(B1608),1))</f>
        <v/>
      </c>
      <c r="F1608" s="36" t="n">
        <f aca="false">IF(OR(E1608="",D1608=""),0,IF(C1608="Actual",D1608,IF(COUNTIFS($A$2:$A$2001,A1608,$E$2:$E$2001,E1608,$C$2:$C$2001,"Actual")&gt;0,0,D1608)))</f>
        <v>0</v>
      </c>
    </row>
    <row r="1609" customFormat="false" ht="15" hidden="false" customHeight="false" outlineLevel="0" collapsed="false">
      <c r="A1609" s="32"/>
      <c r="B1609" s="35"/>
      <c r="C1609" s="32"/>
      <c r="D1609" s="34"/>
      <c r="E1609" s="42" t="str">
        <f aca="false">IF(OR(A1609="",B1609=""),"",DATE(YEAR(B1609),MONTH(B1609),1))</f>
        <v/>
      </c>
      <c r="F1609" s="36" t="n">
        <f aca="false">IF(OR(E1609="",D1609=""),0,IF(C1609="Actual",D1609,IF(COUNTIFS($A$2:$A$2001,A1609,$E$2:$E$2001,E1609,$C$2:$C$2001,"Actual")&gt;0,0,D1609)))</f>
        <v>0</v>
      </c>
    </row>
    <row r="1610" customFormat="false" ht="15" hidden="false" customHeight="false" outlineLevel="0" collapsed="false">
      <c r="A1610" s="32"/>
      <c r="B1610" s="35"/>
      <c r="C1610" s="32"/>
      <c r="D1610" s="34"/>
      <c r="E1610" s="42" t="str">
        <f aca="false">IF(OR(A1610="",B1610=""),"",DATE(YEAR(B1610),MONTH(B1610),1))</f>
        <v/>
      </c>
      <c r="F1610" s="36" t="n">
        <f aca="false">IF(OR(E1610="",D1610=""),0,IF(C1610="Actual",D1610,IF(COUNTIFS($A$2:$A$2001,A1610,$E$2:$E$2001,E1610,$C$2:$C$2001,"Actual")&gt;0,0,D1610)))</f>
        <v>0</v>
      </c>
    </row>
    <row r="1611" customFormat="false" ht="15" hidden="false" customHeight="false" outlineLevel="0" collapsed="false">
      <c r="A1611" s="32"/>
      <c r="B1611" s="35"/>
      <c r="C1611" s="32"/>
      <c r="D1611" s="34"/>
      <c r="E1611" s="42" t="str">
        <f aca="false">IF(OR(A1611="",B1611=""),"",DATE(YEAR(B1611),MONTH(B1611),1))</f>
        <v/>
      </c>
      <c r="F1611" s="36" t="n">
        <f aca="false">IF(OR(E1611="",D1611=""),0,IF(C1611="Actual",D1611,IF(COUNTIFS($A$2:$A$2001,A1611,$E$2:$E$2001,E1611,$C$2:$C$2001,"Actual")&gt;0,0,D1611)))</f>
        <v>0</v>
      </c>
    </row>
    <row r="1612" customFormat="false" ht="15" hidden="false" customHeight="false" outlineLevel="0" collapsed="false">
      <c r="A1612" s="32"/>
      <c r="B1612" s="35"/>
      <c r="C1612" s="32"/>
      <c r="D1612" s="34"/>
      <c r="E1612" s="42" t="str">
        <f aca="false">IF(OR(A1612="",B1612=""),"",DATE(YEAR(B1612),MONTH(B1612),1))</f>
        <v/>
      </c>
      <c r="F1612" s="36" t="n">
        <f aca="false">IF(OR(E1612="",D1612=""),0,IF(C1612="Actual",D1612,IF(COUNTIFS($A$2:$A$2001,A1612,$E$2:$E$2001,E1612,$C$2:$C$2001,"Actual")&gt;0,0,D1612)))</f>
        <v>0</v>
      </c>
    </row>
    <row r="1613" customFormat="false" ht="15" hidden="false" customHeight="false" outlineLevel="0" collapsed="false">
      <c r="A1613" s="32"/>
      <c r="B1613" s="35"/>
      <c r="C1613" s="32"/>
      <c r="D1613" s="34"/>
      <c r="E1613" s="42" t="str">
        <f aca="false">IF(OR(A1613="",B1613=""),"",DATE(YEAR(B1613),MONTH(B1613),1))</f>
        <v/>
      </c>
      <c r="F1613" s="36" t="n">
        <f aca="false">IF(OR(E1613="",D1613=""),0,IF(C1613="Actual",D1613,IF(COUNTIFS($A$2:$A$2001,A1613,$E$2:$E$2001,E1613,$C$2:$C$2001,"Actual")&gt;0,0,D1613)))</f>
        <v>0</v>
      </c>
    </row>
    <row r="1614" customFormat="false" ht="15" hidden="false" customHeight="false" outlineLevel="0" collapsed="false">
      <c r="A1614" s="32"/>
      <c r="B1614" s="35"/>
      <c r="C1614" s="32"/>
      <c r="D1614" s="34"/>
      <c r="E1614" s="42" t="str">
        <f aca="false">IF(OR(A1614="",B1614=""),"",DATE(YEAR(B1614),MONTH(B1614),1))</f>
        <v/>
      </c>
      <c r="F1614" s="36" t="n">
        <f aca="false">IF(OR(E1614="",D1614=""),0,IF(C1614="Actual",D1614,IF(COUNTIFS($A$2:$A$2001,A1614,$E$2:$E$2001,E1614,$C$2:$C$2001,"Actual")&gt;0,0,D1614)))</f>
        <v>0</v>
      </c>
    </row>
    <row r="1615" customFormat="false" ht="15" hidden="false" customHeight="false" outlineLevel="0" collapsed="false">
      <c r="A1615" s="32"/>
      <c r="B1615" s="35"/>
      <c r="C1615" s="32"/>
      <c r="D1615" s="34"/>
      <c r="E1615" s="42" t="str">
        <f aca="false">IF(OR(A1615="",B1615=""),"",DATE(YEAR(B1615),MONTH(B1615),1))</f>
        <v/>
      </c>
      <c r="F1615" s="36" t="n">
        <f aca="false">IF(OR(E1615="",D1615=""),0,IF(C1615="Actual",D1615,IF(COUNTIFS($A$2:$A$2001,A1615,$E$2:$E$2001,E1615,$C$2:$C$2001,"Actual")&gt;0,0,D1615)))</f>
        <v>0</v>
      </c>
    </row>
    <row r="1616" customFormat="false" ht="15" hidden="false" customHeight="false" outlineLevel="0" collapsed="false">
      <c r="A1616" s="32"/>
      <c r="B1616" s="35"/>
      <c r="C1616" s="32"/>
      <c r="D1616" s="34"/>
      <c r="E1616" s="42" t="str">
        <f aca="false">IF(OR(A1616="",B1616=""),"",DATE(YEAR(B1616),MONTH(B1616),1))</f>
        <v/>
      </c>
      <c r="F1616" s="36" t="n">
        <f aca="false">IF(OR(E1616="",D1616=""),0,IF(C1616="Actual",D1616,IF(COUNTIFS($A$2:$A$2001,A1616,$E$2:$E$2001,E1616,$C$2:$C$2001,"Actual")&gt;0,0,D1616)))</f>
        <v>0</v>
      </c>
    </row>
    <row r="1617" customFormat="false" ht="15" hidden="false" customHeight="false" outlineLevel="0" collapsed="false">
      <c r="A1617" s="32"/>
      <c r="B1617" s="35"/>
      <c r="C1617" s="32"/>
      <c r="D1617" s="34"/>
      <c r="E1617" s="42" t="str">
        <f aca="false">IF(OR(A1617="",B1617=""),"",DATE(YEAR(B1617),MONTH(B1617),1))</f>
        <v/>
      </c>
      <c r="F1617" s="36" t="n">
        <f aca="false">IF(OR(E1617="",D1617=""),0,IF(C1617="Actual",D1617,IF(COUNTIFS($A$2:$A$2001,A1617,$E$2:$E$2001,E1617,$C$2:$C$2001,"Actual")&gt;0,0,D1617)))</f>
        <v>0</v>
      </c>
    </row>
    <row r="1618" customFormat="false" ht="15" hidden="false" customHeight="false" outlineLevel="0" collapsed="false">
      <c r="A1618" s="32"/>
      <c r="B1618" s="35"/>
      <c r="C1618" s="32"/>
      <c r="D1618" s="34"/>
      <c r="E1618" s="42" t="str">
        <f aca="false">IF(OR(A1618="",B1618=""),"",DATE(YEAR(B1618),MONTH(B1618),1))</f>
        <v/>
      </c>
      <c r="F1618" s="36" t="n">
        <f aca="false">IF(OR(E1618="",D1618=""),0,IF(C1618="Actual",D1618,IF(COUNTIFS($A$2:$A$2001,A1618,$E$2:$E$2001,E1618,$C$2:$C$2001,"Actual")&gt;0,0,D1618)))</f>
        <v>0</v>
      </c>
    </row>
    <row r="1619" customFormat="false" ht="15" hidden="false" customHeight="false" outlineLevel="0" collapsed="false">
      <c r="A1619" s="32"/>
      <c r="B1619" s="35"/>
      <c r="C1619" s="32"/>
      <c r="D1619" s="34"/>
      <c r="E1619" s="42" t="str">
        <f aca="false">IF(OR(A1619="",B1619=""),"",DATE(YEAR(B1619),MONTH(B1619),1))</f>
        <v/>
      </c>
      <c r="F1619" s="36" t="n">
        <f aca="false">IF(OR(E1619="",D1619=""),0,IF(C1619="Actual",D1619,IF(COUNTIFS($A$2:$A$2001,A1619,$E$2:$E$2001,E1619,$C$2:$C$2001,"Actual")&gt;0,0,D1619)))</f>
        <v>0</v>
      </c>
    </row>
    <row r="1620" customFormat="false" ht="15" hidden="false" customHeight="false" outlineLevel="0" collapsed="false">
      <c r="A1620" s="32"/>
      <c r="B1620" s="35"/>
      <c r="C1620" s="32"/>
      <c r="D1620" s="34"/>
      <c r="E1620" s="42" t="str">
        <f aca="false">IF(OR(A1620="",B1620=""),"",DATE(YEAR(B1620),MONTH(B1620),1))</f>
        <v/>
      </c>
      <c r="F1620" s="36" t="n">
        <f aca="false">IF(OR(E1620="",D1620=""),0,IF(C1620="Actual",D1620,IF(COUNTIFS($A$2:$A$2001,A1620,$E$2:$E$2001,E1620,$C$2:$C$2001,"Actual")&gt;0,0,D1620)))</f>
        <v>0</v>
      </c>
    </row>
    <row r="1621" customFormat="false" ht="15" hidden="false" customHeight="false" outlineLevel="0" collapsed="false">
      <c r="A1621" s="32"/>
      <c r="B1621" s="35"/>
      <c r="C1621" s="32"/>
      <c r="D1621" s="34"/>
      <c r="E1621" s="42" t="str">
        <f aca="false">IF(OR(A1621="",B1621=""),"",DATE(YEAR(B1621),MONTH(B1621),1))</f>
        <v/>
      </c>
      <c r="F1621" s="36" t="n">
        <f aca="false">IF(OR(E1621="",D1621=""),0,IF(C1621="Actual",D1621,IF(COUNTIFS($A$2:$A$2001,A1621,$E$2:$E$2001,E1621,$C$2:$C$2001,"Actual")&gt;0,0,D1621)))</f>
        <v>0</v>
      </c>
    </row>
    <row r="1622" customFormat="false" ht="15" hidden="false" customHeight="false" outlineLevel="0" collapsed="false">
      <c r="A1622" s="32"/>
      <c r="B1622" s="35"/>
      <c r="C1622" s="32"/>
      <c r="D1622" s="34"/>
      <c r="E1622" s="42" t="str">
        <f aca="false">IF(OR(A1622="",B1622=""),"",DATE(YEAR(B1622),MONTH(B1622),1))</f>
        <v/>
      </c>
      <c r="F1622" s="36" t="n">
        <f aca="false">IF(OR(E1622="",D1622=""),0,IF(C1622="Actual",D1622,IF(COUNTIFS($A$2:$A$2001,A1622,$E$2:$E$2001,E1622,$C$2:$C$2001,"Actual")&gt;0,0,D1622)))</f>
        <v>0</v>
      </c>
    </row>
    <row r="1623" customFormat="false" ht="15" hidden="false" customHeight="false" outlineLevel="0" collapsed="false">
      <c r="A1623" s="32"/>
      <c r="B1623" s="35"/>
      <c r="C1623" s="32"/>
      <c r="D1623" s="34"/>
      <c r="E1623" s="42" t="str">
        <f aca="false">IF(OR(A1623="",B1623=""),"",DATE(YEAR(B1623),MONTH(B1623),1))</f>
        <v/>
      </c>
      <c r="F1623" s="36" t="n">
        <f aca="false">IF(OR(E1623="",D1623=""),0,IF(C1623="Actual",D1623,IF(COUNTIFS($A$2:$A$2001,A1623,$E$2:$E$2001,E1623,$C$2:$C$2001,"Actual")&gt;0,0,D1623)))</f>
        <v>0</v>
      </c>
    </row>
    <row r="1624" customFormat="false" ht="15" hidden="false" customHeight="false" outlineLevel="0" collapsed="false">
      <c r="A1624" s="32"/>
      <c r="B1624" s="35"/>
      <c r="C1624" s="32"/>
      <c r="D1624" s="34"/>
      <c r="E1624" s="42" t="str">
        <f aca="false">IF(OR(A1624="",B1624=""),"",DATE(YEAR(B1624),MONTH(B1624),1))</f>
        <v/>
      </c>
      <c r="F1624" s="36" t="n">
        <f aca="false">IF(OR(E1624="",D1624=""),0,IF(C1624="Actual",D1624,IF(COUNTIFS($A$2:$A$2001,A1624,$E$2:$E$2001,E1624,$C$2:$C$2001,"Actual")&gt;0,0,D1624)))</f>
        <v>0</v>
      </c>
    </row>
    <row r="1625" customFormat="false" ht="15" hidden="false" customHeight="false" outlineLevel="0" collapsed="false">
      <c r="A1625" s="32"/>
      <c r="B1625" s="35"/>
      <c r="C1625" s="32"/>
      <c r="D1625" s="34"/>
      <c r="E1625" s="42" t="str">
        <f aca="false">IF(OR(A1625="",B1625=""),"",DATE(YEAR(B1625),MONTH(B1625),1))</f>
        <v/>
      </c>
      <c r="F1625" s="36" t="n">
        <f aca="false">IF(OR(E1625="",D1625=""),0,IF(C1625="Actual",D1625,IF(COUNTIFS($A$2:$A$2001,A1625,$E$2:$E$2001,E1625,$C$2:$C$2001,"Actual")&gt;0,0,D1625)))</f>
        <v>0</v>
      </c>
    </row>
    <row r="1626" customFormat="false" ht="15" hidden="false" customHeight="false" outlineLevel="0" collapsed="false">
      <c r="A1626" s="32"/>
      <c r="B1626" s="35"/>
      <c r="C1626" s="32"/>
      <c r="D1626" s="34"/>
      <c r="E1626" s="42" t="str">
        <f aca="false">IF(OR(A1626="",B1626=""),"",DATE(YEAR(B1626),MONTH(B1626),1))</f>
        <v/>
      </c>
      <c r="F1626" s="36" t="n">
        <f aca="false">IF(OR(E1626="",D1626=""),0,IF(C1626="Actual",D1626,IF(COUNTIFS($A$2:$A$2001,A1626,$E$2:$E$2001,E1626,$C$2:$C$2001,"Actual")&gt;0,0,D1626)))</f>
        <v>0</v>
      </c>
    </row>
    <row r="1627" customFormat="false" ht="15" hidden="false" customHeight="false" outlineLevel="0" collapsed="false">
      <c r="A1627" s="32"/>
      <c r="B1627" s="35"/>
      <c r="C1627" s="32"/>
      <c r="D1627" s="34"/>
      <c r="E1627" s="42" t="str">
        <f aca="false">IF(OR(A1627="",B1627=""),"",DATE(YEAR(B1627),MONTH(B1627),1))</f>
        <v/>
      </c>
      <c r="F1627" s="36" t="n">
        <f aca="false">IF(OR(E1627="",D1627=""),0,IF(C1627="Actual",D1627,IF(COUNTIFS($A$2:$A$2001,A1627,$E$2:$E$2001,E1627,$C$2:$C$2001,"Actual")&gt;0,0,D1627)))</f>
        <v>0</v>
      </c>
    </row>
    <row r="1628" customFormat="false" ht="15" hidden="false" customHeight="false" outlineLevel="0" collapsed="false">
      <c r="A1628" s="32"/>
      <c r="B1628" s="35"/>
      <c r="C1628" s="32"/>
      <c r="D1628" s="34"/>
      <c r="E1628" s="42" t="str">
        <f aca="false">IF(OR(A1628="",B1628=""),"",DATE(YEAR(B1628),MONTH(B1628),1))</f>
        <v/>
      </c>
      <c r="F1628" s="36" t="n">
        <f aca="false">IF(OR(E1628="",D1628=""),0,IF(C1628="Actual",D1628,IF(COUNTIFS($A$2:$A$2001,A1628,$E$2:$E$2001,E1628,$C$2:$C$2001,"Actual")&gt;0,0,D1628)))</f>
        <v>0</v>
      </c>
    </row>
    <row r="1629" customFormat="false" ht="15" hidden="false" customHeight="false" outlineLevel="0" collapsed="false">
      <c r="A1629" s="32"/>
      <c r="B1629" s="35"/>
      <c r="C1629" s="32"/>
      <c r="D1629" s="34"/>
      <c r="E1629" s="42" t="str">
        <f aca="false">IF(OR(A1629="",B1629=""),"",DATE(YEAR(B1629),MONTH(B1629),1))</f>
        <v/>
      </c>
      <c r="F1629" s="36" t="n">
        <f aca="false">IF(OR(E1629="",D1629=""),0,IF(C1629="Actual",D1629,IF(COUNTIFS($A$2:$A$2001,A1629,$E$2:$E$2001,E1629,$C$2:$C$2001,"Actual")&gt;0,0,D1629)))</f>
        <v>0</v>
      </c>
    </row>
    <row r="1630" customFormat="false" ht="15" hidden="false" customHeight="false" outlineLevel="0" collapsed="false">
      <c r="A1630" s="32"/>
      <c r="B1630" s="35"/>
      <c r="C1630" s="32"/>
      <c r="D1630" s="34"/>
      <c r="E1630" s="42" t="str">
        <f aca="false">IF(OR(A1630="",B1630=""),"",DATE(YEAR(B1630),MONTH(B1630),1))</f>
        <v/>
      </c>
      <c r="F1630" s="36" t="n">
        <f aca="false">IF(OR(E1630="",D1630=""),0,IF(C1630="Actual",D1630,IF(COUNTIFS($A$2:$A$2001,A1630,$E$2:$E$2001,E1630,$C$2:$C$2001,"Actual")&gt;0,0,D1630)))</f>
        <v>0</v>
      </c>
    </row>
    <row r="1631" customFormat="false" ht="15" hidden="false" customHeight="false" outlineLevel="0" collapsed="false">
      <c r="A1631" s="32"/>
      <c r="B1631" s="35"/>
      <c r="C1631" s="32"/>
      <c r="D1631" s="34"/>
      <c r="E1631" s="42" t="str">
        <f aca="false">IF(OR(A1631="",B1631=""),"",DATE(YEAR(B1631),MONTH(B1631),1))</f>
        <v/>
      </c>
      <c r="F1631" s="36" t="n">
        <f aca="false">IF(OR(E1631="",D1631=""),0,IF(C1631="Actual",D1631,IF(COUNTIFS($A$2:$A$2001,A1631,$E$2:$E$2001,E1631,$C$2:$C$2001,"Actual")&gt;0,0,D1631)))</f>
        <v>0</v>
      </c>
    </row>
    <row r="1632" customFormat="false" ht="15" hidden="false" customHeight="false" outlineLevel="0" collapsed="false">
      <c r="A1632" s="32"/>
      <c r="B1632" s="35"/>
      <c r="C1632" s="32"/>
      <c r="D1632" s="34"/>
      <c r="E1632" s="42" t="str">
        <f aca="false">IF(OR(A1632="",B1632=""),"",DATE(YEAR(B1632),MONTH(B1632),1))</f>
        <v/>
      </c>
      <c r="F1632" s="36" t="n">
        <f aca="false">IF(OR(E1632="",D1632=""),0,IF(C1632="Actual",D1632,IF(COUNTIFS($A$2:$A$2001,A1632,$E$2:$E$2001,E1632,$C$2:$C$2001,"Actual")&gt;0,0,D1632)))</f>
        <v>0</v>
      </c>
    </row>
    <row r="1633" customFormat="false" ht="15" hidden="false" customHeight="false" outlineLevel="0" collapsed="false">
      <c r="A1633" s="32"/>
      <c r="B1633" s="35"/>
      <c r="C1633" s="32"/>
      <c r="D1633" s="34"/>
      <c r="E1633" s="42" t="str">
        <f aca="false">IF(OR(A1633="",B1633=""),"",DATE(YEAR(B1633),MONTH(B1633),1))</f>
        <v/>
      </c>
      <c r="F1633" s="36" t="n">
        <f aca="false">IF(OR(E1633="",D1633=""),0,IF(C1633="Actual",D1633,IF(COUNTIFS($A$2:$A$2001,A1633,$E$2:$E$2001,E1633,$C$2:$C$2001,"Actual")&gt;0,0,D1633)))</f>
        <v>0</v>
      </c>
    </row>
    <row r="1634" customFormat="false" ht="15" hidden="false" customHeight="false" outlineLevel="0" collapsed="false">
      <c r="A1634" s="32"/>
      <c r="B1634" s="35"/>
      <c r="C1634" s="32"/>
      <c r="D1634" s="34"/>
      <c r="E1634" s="42" t="str">
        <f aca="false">IF(OR(A1634="",B1634=""),"",DATE(YEAR(B1634),MONTH(B1634),1))</f>
        <v/>
      </c>
      <c r="F1634" s="36" t="n">
        <f aca="false">IF(OR(E1634="",D1634=""),0,IF(C1634="Actual",D1634,IF(COUNTIFS($A$2:$A$2001,A1634,$E$2:$E$2001,E1634,$C$2:$C$2001,"Actual")&gt;0,0,D1634)))</f>
        <v>0</v>
      </c>
    </row>
    <row r="1635" customFormat="false" ht="15" hidden="false" customHeight="false" outlineLevel="0" collapsed="false">
      <c r="A1635" s="32"/>
      <c r="B1635" s="35"/>
      <c r="C1635" s="32"/>
      <c r="D1635" s="34"/>
      <c r="E1635" s="42" t="str">
        <f aca="false">IF(OR(A1635="",B1635=""),"",DATE(YEAR(B1635),MONTH(B1635),1))</f>
        <v/>
      </c>
      <c r="F1635" s="36" t="n">
        <f aca="false">IF(OR(E1635="",D1635=""),0,IF(C1635="Actual",D1635,IF(COUNTIFS($A$2:$A$2001,A1635,$E$2:$E$2001,E1635,$C$2:$C$2001,"Actual")&gt;0,0,D1635)))</f>
        <v>0</v>
      </c>
    </row>
    <row r="1636" customFormat="false" ht="15" hidden="false" customHeight="false" outlineLevel="0" collapsed="false">
      <c r="A1636" s="32"/>
      <c r="B1636" s="35"/>
      <c r="C1636" s="32"/>
      <c r="D1636" s="34"/>
      <c r="E1636" s="42" t="str">
        <f aca="false">IF(OR(A1636="",B1636=""),"",DATE(YEAR(B1636),MONTH(B1636),1))</f>
        <v/>
      </c>
      <c r="F1636" s="36" t="n">
        <f aca="false">IF(OR(E1636="",D1636=""),0,IF(C1636="Actual",D1636,IF(COUNTIFS($A$2:$A$2001,A1636,$E$2:$E$2001,E1636,$C$2:$C$2001,"Actual")&gt;0,0,D1636)))</f>
        <v>0</v>
      </c>
    </row>
    <row r="1637" customFormat="false" ht="15" hidden="false" customHeight="false" outlineLevel="0" collapsed="false">
      <c r="A1637" s="32"/>
      <c r="B1637" s="35"/>
      <c r="C1637" s="32"/>
      <c r="D1637" s="34"/>
      <c r="E1637" s="42" t="str">
        <f aca="false">IF(OR(A1637="",B1637=""),"",DATE(YEAR(B1637),MONTH(B1637),1))</f>
        <v/>
      </c>
      <c r="F1637" s="36" t="n">
        <f aca="false">IF(OR(E1637="",D1637=""),0,IF(C1637="Actual",D1637,IF(COUNTIFS($A$2:$A$2001,A1637,$E$2:$E$2001,E1637,$C$2:$C$2001,"Actual")&gt;0,0,D1637)))</f>
        <v>0</v>
      </c>
    </row>
    <row r="1638" customFormat="false" ht="15" hidden="false" customHeight="false" outlineLevel="0" collapsed="false">
      <c r="A1638" s="32"/>
      <c r="B1638" s="35"/>
      <c r="C1638" s="32"/>
      <c r="D1638" s="34"/>
      <c r="E1638" s="42" t="str">
        <f aca="false">IF(OR(A1638="",B1638=""),"",DATE(YEAR(B1638),MONTH(B1638),1))</f>
        <v/>
      </c>
      <c r="F1638" s="36" t="n">
        <f aca="false">IF(OR(E1638="",D1638=""),0,IF(C1638="Actual",D1638,IF(COUNTIFS($A$2:$A$2001,A1638,$E$2:$E$2001,E1638,$C$2:$C$2001,"Actual")&gt;0,0,D1638)))</f>
        <v>0</v>
      </c>
    </row>
    <row r="1639" customFormat="false" ht="15" hidden="false" customHeight="false" outlineLevel="0" collapsed="false">
      <c r="A1639" s="32"/>
      <c r="B1639" s="35"/>
      <c r="C1639" s="32"/>
      <c r="D1639" s="34"/>
      <c r="E1639" s="42" t="str">
        <f aca="false">IF(OR(A1639="",B1639=""),"",DATE(YEAR(B1639),MONTH(B1639),1))</f>
        <v/>
      </c>
      <c r="F1639" s="36" t="n">
        <f aca="false">IF(OR(E1639="",D1639=""),0,IF(C1639="Actual",D1639,IF(COUNTIFS($A$2:$A$2001,A1639,$E$2:$E$2001,E1639,$C$2:$C$2001,"Actual")&gt;0,0,D1639)))</f>
        <v>0</v>
      </c>
    </row>
    <row r="1640" customFormat="false" ht="15" hidden="false" customHeight="false" outlineLevel="0" collapsed="false">
      <c r="A1640" s="32"/>
      <c r="B1640" s="35"/>
      <c r="C1640" s="32"/>
      <c r="D1640" s="34"/>
      <c r="E1640" s="42" t="str">
        <f aca="false">IF(OR(A1640="",B1640=""),"",DATE(YEAR(B1640),MONTH(B1640),1))</f>
        <v/>
      </c>
      <c r="F1640" s="36" t="n">
        <f aca="false">IF(OR(E1640="",D1640=""),0,IF(C1640="Actual",D1640,IF(COUNTIFS($A$2:$A$2001,A1640,$E$2:$E$2001,E1640,$C$2:$C$2001,"Actual")&gt;0,0,D1640)))</f>
        <v>0</v>
      </c>
    </row>
    <row r="1641" customFormat="false" ht="15" hidden="false" customHeight="false" outlineLevel="0" collapsed="false">
      <c r="A1641" s="32"/>
      <c r="B1641" s="35"/>
      <c r="C1641" s="32"/>
      <c r="D1641" s="34"/>
      <c r="E1641" s="42" t="str">
        <f aca="false">IF(OR(A1641="",B1641=""),"",DATE(YEAR(B1641),MONTH(B1641),1))</f>
        <v/>
      </c>
      <c r="F1641" s="36" t="n">
        <f aca="false">IF(OR(E1641="",D1641=""),0,IF(C1641="Actual",D1641,IF(COUNTIFS($A$2:$A$2001,A1641,$E$2:$E$2001,E1641,$C$2:$C$2001,"Actual")&gt;0,0,D1641)))</f>
        <v>0</v>
      </c>
    </row>
    <row r="1642" customFormat="false" ht="15" hidden="false" customHeight="false" outlineLevel="0" collapsed="false">
      <c r="A1642" s="32"/>
      <c r="B1642" s="35"/>
      <c r="C1642" s="32"/>
      <c r="D1642" s="34"/>
      <c r="E1642" s="42" t="str">
        <f aca="false">IF(OR(A1642="",B1642=""),"",DATE(YEAR(B1642),MONTH(B1642),1))</f>
        <v/>
      </c>
      <c r="F1642" s="36" t="n">
        <f aca="false">IF(OR(E1642="",D1642=""),0,IF(C1642="Actual",D1642,IF(COUNTIFS($A$2:$A$2001,A1642,$E$2:$E$2001,E1642,$C$2:$C$2001,"Actual")&gt;0,0,D1642)))</f>
        <v>0</v>
      </c>
    </row>
    <row r="1643" customFormat="false" ht="15" hidden="false" customHeight="false" outlineLevel="0" collapsed="false">
      <c r="A1643" s="32"/>
      <c r="B1643" s="35"/>
      <c r="C1643" s="32"/>
      <c r="D1643" s="34"/>
      <c r="E1643" s="42" t="str">
        <f aca="false">IF(OR(A1643="",B1643=""),"",DATE(YEAR(B1643),MONTH(B1643),1))</f>
        <v/>
      </c>
      <c r="F1643" s="36" t="n">
        <f aca="false">IF(OR(E1643="",D1643=""),0,IF(C1643="Actual",D1643,IF(COUNTIFS($A$2:$A$2001,A1643,$E$2:$E$2001,E1643,$C$2:$C$2001,"Actual")&gt;0,0,D1643)))</f>
        <v>0</v>
      </c>
    </row>
    <row r="1644" customFormat="false" ht="15" hidden="false" customHeight="false" outlineLevel="0" collapsed="false">
      <c r="A1644" s="32"/>
      <c r="B1644" s="35"/>
      <c r="C1644" s="32"/>
      <c r="D1644" s="34"/>
      <c r="E1644" s="42" t="str">
        <f aca="false">IF(OR(A1644="",B1644=""),"",DATE(YEAR(B1644),MONTH(B1644),1))</f>
        <v/>
      </c>
      <c r="F1644" s="36" t="n">
        <f aca="false">IF(OR(E1644="",D1644=""),0,IF(C1644="Actual",D1644,IF(COUNTIFS($A$2:$A$2001,A1644,$E$2:$E$2001,E1644,$C$2:$C$2001,"Actual")&gt;0,0,D1644)))</f>
        <v>0</v>
      </c>
    </row>
    <row r="1645" customFormat="false" ht="15" hidden="false" customHeight="false" outlineLevel="0" collapsed="false">
      <c r="A1645" s="32"/>
      <c r="B1645" s="35"/>
      <c r="C1645" s="32"/>
      <c r="D1645" s="34"/>
      <c r="E1645" s="42" t="str">
        <f aca="false">IF(OR(A1645="",B1645=""),"",DATE(YEAR(B1645),MONTH(B1645),1))</f>
        <v/>
      </c>
      <c r="F1645" s="36" t="n">
        <f aca="false">IF(OR(E1645="",D1645=""),0,IF(C1645="Actual",D1645,IF(COUNTIFS($A$2:$A$2001,A1645,$E$2:$E$2001,E1645,$C$2:$C$2001,"Actual")&gt;0,0,D1645)))</f>
        <v>0</v>
      </c>
    </row>
    <row r="1646" customFormat="false" ht="15" hidden="false" customHeight="false" outlineLevel="0" collapsed="false">
      <c r="A1646" s="32"/>
      <c r="B1646" s="35"/>
      <c r="C1646" s="32"/>
      <c r="D1646" s="34"/>
      <c r="E1646" s="42" t="str">
        <f aca="false">IF(OR(A1646="",B1646=""),"",DATE(YEAR(B1646),MONTH(B1646),1))</f>
        <v/>
      </c>
      <c r="F1646" s="36" t="n">
        <f aca="false">IF(OR(E1646="",D1646=""),0,IF(C1646="Actual",D1646,IF(COUNTIFS($A$2:$A$2001,A1646,$E$2:$E$2001,E1646,$C$2:$C$2001,"Actual")&gt;0,0,D1646)))</f>
        <v>0</v>
      </c>
    </row>
    <row r="1647" customFormat="false" ht="15" hidden="false" customHeight="false" outlineLevel="0" collapsed="false">
      <c r="A1647" s="32"/>
      <c r="B1647" s="35"/>
      <c r="C1647" s="32"/>
      <c r="D1647" s="34"/>
      <c r="E1647" s="42" t="str">
        <f aca="false">IF(OR(A1647="",B1647=""),"",DATE(YEAR(B1647),MONTH(B1647),1))</f>
        <v/>
      </c>
      <c r="F1647" s="36" t="n">
        <f aca="false">IF(OR(E1647="",D1647=""),0,IF(C1647="Actual",D1647,IF(COUNTIFS($A$2:$A$2001,A1647,$E$2:$E$2001,E1647,$C$2:$C$2001,"Actual")&gt;0,0,D1647)))</f>
        <v>0</v>
      </c>
    </row>
    <row r="1648" customFormat="false" ht="15" hidden="false" customHeight="false" outlineLevel="0" collapsed="false">
      <c r="A1648" s="32"/>
      <c r="B1648" s="35"/>
      <c r="C1648" s="32"/>
      <c r="D1648" s="34"/>
      <c r="E1648" s="42" t="str">
        <f aca="false">IF(OR(A1648="",B1648=""),"",DATE(YEAR(B1648),MONTH(B1648),1))</f>
        <v/>
      </c>
      <c r="F1648" s="36" t="n">
        <f aca="false">IF(OR(E1648="",D1648=""),0,IF(C1648="Actual",D1648,IF(COUNTIFS($A$2:$A$2001,A1648,$E$2:$E$2001,E1648,$C$2:$C$2001,"Actual")&gt;0,0,D1648)))</f>
        <v>0</v>
      </c>
    </row>
    <row r="1649" customFormat="false" ht="15" hidden="false" customHeight="false" outlineLevel="0" collapsed="false">
      <c r="A1649" s="32"/>
      <c r="B1649" s="35"/>
      <c r="C1649" s="32"/>
      <c r="D1649" s="34"/>
      <c r="E1649" s="42" t="str">
        <f aca="false">IF(OR(A1649="",B1649=""),"",DATE(YEAR(B1649),MONTH(B1649),1))</f>
        <v/>
      </c>
      <c r="F1649" s="36" t="n">
        <f aca="false">IF(OR(E1649="",D1649=""),0,IF(C1649="Actual",D1649,IF(COUNTIFS($A$2:$A$2001,A1649,$E$2:$E$2001,E1649,$C$2:$C$2001,"Actual")&gt;0,0,D1649)))</f>
        <v>0</v>
      </c>
    </row>
    <row r="1650" customFormat="false" ht="15" hidden="false" customHeight="false" outlineLevel="0" collapsed="false">
      <c r="A1650" s="32"/>
      <c r="B1650" s="35"/>
      <c r="C1650" s="32"/>
      <c r="D1650" s="34"/>
      <c r="E1650" s="42" t="str">
        <f aca="false">IF(OR(A1650="",B1650=""),"",DATE(YEAR(B1650),MONTH(B1650),1))</f>
        <v/>
      </c>
      <c r="F1650" s="36" t="n">
        <f aca="false">IF(OR(E1650="",D1650=""),0,IF(C1650="Actual",D1650,IF(COUNTIFS($A$2:$A$2001,A1650,$E$2:$E$2001,E1650,$C$2:$C$2001,"Actual")&gt;0,0,D1650)))</f>
        <v>0</v>
      </c>
    </row>
    <row r="1651" customFormat="false" ht="15" hidden="false" customHeight="false" outlineLevel="0" collapsed="false">
      <c r="A1651" s="32"/>
      <c r="B1651" s="35"/>
      <c r="C1651" s="32"/>
      <c r="D1651" s="34"/>
      <c r="E1651" s="42" t="str">
        <f aca="false">IF(OR(A1651="",B1651=""),"",DATE(YEAR(B1651),MONTH(B1651),1))</f>
        <v/>
      </c>
      <c r="F1651" s="36" t="n">
        <f aca="false">IF(OR(E1651="",D1651=""),0,IF(C1651="Actual",D1651,IF(COUNTIFS($A$2:$A$2001,A1651,$E$2:$E$2001,E1651,$C$2:$C$2001,"Actual")&gt;0,0,D1651)))</f>
        <v>0</v>
      </c>
    </row>
    <row r="1652" customFormat="false" ht="15" hidden="false" customHeight="false" outlineLevel="0" collapsed="false">
      <c r="A1652" s="32"/>
      <c r="B1652" s="35"/>
      <c r="C1652" s="32"/>
      <c r="D1652" s="34"/>
      <c r="E1652" s="42" t="str">
        <f aca="false">IF(OR(A1652="",B1652=""),"",DATE(YEAR(B1652),MONTH(B1652),1))</f>
        <v/>
      </c>
      <c r="F1652" s="36" t="n">
        <f aca="false">IF(OR(E1652="",D1652=""),0,IF(C1652="Actual",D1652,IF(COUNTIFS($A$2:$A$2001,A1652,$E$2:$E$2001,E1652,$C$2:$C$2001,"Actual")&gt;0,0,D1652)))</f>
        <v>0</v>
      </c>
    </row>
    <row r="1653" customFormat="false" ht="15" hidden="false" customHeight="false" outlineLevel="0" collapsed="false">
      <c r="A1653" s="32"/>
      <c r="B1653" s="35"/>
      <c r="C1653" s="32"/>
      <c r="D1653" s="34"/>
      <c r="E1653" s="42" t="str">
        <f aca="false">IF(OR(A1653="",B1653=""),"",DATE(YEAR(B1653),MONTH(B1653),1))</f>
        <v/>
      </c>
      <c r="F1653" s="36" t="n">
        <f aca="false">IF(OR(E1653="",D1653=""),0,IF(C1653="Actual",D1653,IF(COUNTIFS($A$2:$A$2001,A1653,$E$2:$E$2001,E1653,$C$2:$C$2001,"Actual")&gt;0,0,D1653)))</f>
        <v>0</v>
      </c>
    </row>
    <row r="1654" customFormat="false" ht="15" hidden="false" customHeight="false" outlineLevel="0" collapsed="false">
      <c r="A1654" s="32"/>
      <c r="B1654" s="35"/>
      <c r="C1654" s="32"/>
      <c r="D1654" s="34"/>
      <c r="E1654" s="42" t="str">
        <f aca="false">IF(OR(A1654="",B1654=""),"",DATE(YEAR(B1654),MONTH(B1654),1))</f>
        <v/>
      </c>
      <c r="F1654" s="36" t="n">
        <f aca="false">IF(OR(E1654="",D1654=""),0,IF(C1654="Actual",D1654,IF(COUNTIFS($A$2:$A$2001,A1654,$E$2:$E$2001,E1654,$C$2:$C$2001,"Actual")&gt;0,0,D1654)))</f>
        <v>0</v>
      </c>
    </row>
    <row r="1655" customFormat="false" ht="15" hidden="false" customHeight="false" outlineLevel="0" collapsed="false">
      <c r="A1655" s="32"/>
      <c r="B1655" s="35"/>
      <c r="C1655" s="32"/>
      <c r="D1655" s="34"/>
      <c r="E1655" s="42" t="str">
        <f aca="false">IF(OR(A1655="",B1655=""),"",DATE(YEAR(B1655),MONTH(B1655),1))</f>
        <v/>
      </c>
      <c r="F1655" s="36" t="n">
        <f aca="false">IF(OR(E1655="",D1655=""),0,IF(C1655="Actual",D1655,IF(COUNTIFS($A$2:$A$2001,A1655,$E$2:$E$2001,E1655,$C$2:$C$2001,"Actual")&gt;0,0,D1655)))</f>
        <v>0</v>
      </c>
    </row>
    <row r="1656" customFormat="false" ht="15" hidden="false" customHeight="false" outlineLevel="0" collapsed="false">
      <c r="A1656" s="32"/>
      <c r="B1656" s="35"/>
      <c r="C1656" s="32"/>
      <c r="D1656" s="34"/>
      <c r="E1656" s="42" t="str">
        <f aca="false">IF(OR(A1656="",B1656=""),"",DATE(YEAR(B1656),MONTH(B1656),1))</f>
        <v/>
      </c>
      <c r="F1656" s="36" t="n">
        <f aca="false">IF(OR(E1656="",D1656=""),0,IF(C1656="Actual",D1656,IF(COUNTIFS($A$2:$A$2001,A1656,$E$2:$E$2001,E1656,$C$2:$C$2001,"Actual")&gt;0,0,D1656)))</f>
        <v>0</v>
      </c>
    </row>
    <row r="1657" customFormat="false" ht="15" hidden="false" customHeight="false" outlineLevel="0" collapsed="false">
      <c r="A1657" s="32"/>
      <c r="B1657" s="35"/>
      <c r="C1657" s="32"/>
      <c r="D1657" s="34"/>
      <c r="E1657" s="42" t="str">
        <f aca="false">IF(OR(A1657="",B1657=""),"",DATE(YEAR(B1657),MONTH(B1657),1))</f>
        <v/>
      </c>
      <c r="F1657" s="36" t="n">
        <f aca="false">IF(OR(E1657="",D1657=""),0,IF(C1657="Actual",D1657,IF(COUNTIFS($A$2:$A$2001,A1657,$E$2:$E$2001,E1657,$C$2:$C$2001,"Actual")&gt;0,0,D1657)))</f>
        <v>0</v>
      </c>
    </row>
    <row r="1658" customFormat="false" ht="15" hidden="false" customHeight="false" outlineLevel="0" collapsed="false">
      <c r="A1658" s="32"/>
      <c r="B1658" s="35"/>
      <c r="C1658" s="32"/>
      <c r="D1658" s="34"/>
      <c r="E1658" s="42" t="str">
        <f aca="false">IF(OR(A1658="",B1658=""),"",DATE(YEAR(B1658),MONTH(B1658),1))</f>
        <v/>
      </c>
      <c r="F1658" s="36" t="n">
        <f aca="false">IF(OR(E1658="",D1658=""),0,IF(C1658="Actual",D1658,IF(COUNTIFS($A$2:$A$2001,A1658,$E$2:$E$2001,E1658,$C$2:$C$2001,"Actual")&gt;0,0,D1658)))</f>
        <v>0</v>
      </c>
    </row>
    <row r="1659" customFormat="false" ht="15" hidden="false" customHeight="false" outlineLevel="0" collapsed="false">
      <c r="A1659" s="32"/>
      <c r="B1659" s="35"/>
      <c r="C1659" s="32"/>
      <c r="D1659" s="34"/>
      <c r="E1659" s="42" t="str">
        <f aca="false">IF(OR(A1659="",B1659=""),"",DATE(YEAR(B1659),MONTH(B1659),1))</f>
        <v/>
      </c>
      <c r="F1659" s="36" t="n">
        <f aca="false">IF(OR(E1659="",D1659=""),0,IF(C1659="Actual",D1659,IF(COUNTIFS($A$2:$A$2001,A1659,$E$2:$E$2001,E1659,$C$2:$C$2001,"Actual")&gt;0,0,D1659)))</f>
        <v>0</v>
      </c>
    </row>
    <row r="1660" customFormat="false" ht="15" hidden="false" customHeight="false" outlineLevel="0" collapsed="false">
      <c r="A1660" s="32"/>
      <c r="B1660" s="35"/>
      <c r="C1660" s="32"/>
      <c r="D1660" s="34"/>
      <c r="E1660" s="42" t="str">
        <f aca="false">IF(OR(A1660="",B1660=""),"",DATE(YEAR(B1660),MONTH(B1660),1))</f>
        <v/>
      </c>
      <c r="F1660" s="36" t="n">
        <f aca="false">IF(OR(E1660="",D1660=""),0,IF(C1660="Actual",D1660,IF(COUNTIFS($A$2:$A$2001,A1660,$E$2:$E$2001,E1660,$C$2:$C$2001,"Actual")&gt;0,0,D1660)))</f>
        <v>0</v>
      </c>
    </row>
    <row r="1661" customFormat="false" ht="15" hidden="false" customHeight="false" outlineLevel="0" collapsed="false">
      <c r="A1661" s="32"/>
      <c r="B1661" s="35"/>
      <c r="C1661" s="32"/>
      <c r="D1661" s="34"/>
      <c r="E1661" s="42" t="str">
        <f aca="false">IF(OR(A1661="",B1661=""),"",DATE(YEAR(B1661),MONTH(B1661),1))</f>
        <v/>
      </c>
      <c r="F1661" s="36" t="n">
        <f aca="false">IF(OR(E1661="",D1661=""),0,IF(C1661="Actual",D1661,IF(COUNTIFS($A$2:$A$2001,A1661,$E$2:$E$2001,E1661,$C$2:$C$2001,"Actual")&gt;0,0,D1661)))</f>
        <v>0</v>
      </c>
    </row>
    <row r="1662" customFormat="false" ht="15" hidden="false" customHeight="false" outlineLevel="0" collapsed="false">
      <c r="A1662" s="32"/>
      <c r="B1662" s="35"/>
      <c r="C1662" s="32"/>
      <c r="D1662" s="34"/>
      <c r="E1662" s="42" t="str">
        <f aca="false">IF(OR(A1662="",B1662=""),"",DATE(YEAR(B1662),MONTH(B1662),1))</f>
        <v/>
      </c>
      <c r="F1662" s="36" t="n">
        <f aca="false">IF(OR(E1662="",D1662=""),0,IF(C1662="Actual",D1662,IF(COUNTIFS($A$2:$A$2001,A1662,$E$2:$E$2001,E1662,$C$2:$C$2001,"Actual")&gt;0,0,D1662)))</f>
        <v>0</v>
      </c>
    </row>
    <row r="1663" customFormat="false" ht="15" hidden="false" customHeight="false" outlineLevel="0" collapsed="false">
      <c r="A1663" s="32"/>
      <c r="B1663" s="35"/>
      <c r="C1663" s="32"/>
      <c r="D1663" s="34"/>
      <c r="E1663" s="42" t="str">
        <f aca="false">IF(OR(A1663="",B1663=""),"",DATE(YEAR(B1663),MONTH(B1663),1))</f>
        <v/>
      </c>
      <c r="F1663" s="36" t="n">
        <f aca="false">IF(OR(E1663="",D1663=""),0,IF(C1663="Actual",D1663,IF(COUNTIFS($A$2:$A$2001,A1663,$E$2:$E$2001,E1663,$C$2:$C$2001,"Actual")&gt;0,0,D1663)))</f>
        <v>0</v>
      </c>
    </row>
    <row r="1664" customFormat="false" ht="15" hidden="false" customHeight="false" outlineLevel="0" collapsed="false">
      <c r="A1664" s="32"/>
      <c r="B1664" s="35"/>
      <c r="C1664" s="32"/>
      <c r="D1664" s="34"/>
      <c r="E1664" s="42" t="str">
        <f aca="false">IF(OR(A1664="",B1664=""),"",DATE(YEAR(B1664),MONTH(B1664),1))</f>
        <v/>
      </c>
      <c r="F1664" s="36" t="n">
        <f aca="false">IF(OR(E1664="",D1664=""),0,IF(C1664="Actual",D1664,IF(COUNTIFS($A$2:$A$2001,A1664,$E$2:$E$2001,E1664,$C$2:$C$2001,"Actual")&gt;0,0,D1664)))</f>
        <v>0</v>
      </c>
    </row>
    <row r="1665" customFormat="false" ht="15" hidden="false" customHeight="false" outlineLevel="0" collapsed="false">
      <c r="A1665" s="32"/>
      <c r="B1665" s="35"/>
      <c r="C1665" s="32"/>
      <c r="D1665" s="34"/>
      <c r="E1665" s="42" t="str">
        <f aca="false">IF(OR(A1665="",B1665=""),"",DATE(YEAR(B1665),MONTH(B1665),1))</f>
        <v/>
      </c>
      <c r="F1665" s="36" t="n">
        <f aca="false">IF(OR(E1665="",D1665=""),0,IF(C1665="Actual",D1665,IF(COUNTIFS($A$2:$A$2001,A1665,$E$2:$E$2001,E1665,$C$2:$C$2001,"Actual")&gt;0,0,D1665)))</f>
        <v>0</v>
      </c>
    </row>
    <row r="1666" customFormat="false" ht="15" hidden="false" customHeight="false" outlineLevel="0" collapsed="false">
      <c r="A1666" s="32"/>
      <c r="B1666" s="35"/>
      <c r="C1666" s="32"/>
      <c r="D1666" s="34"/>
      <c r="E1666" s="42" t="str">
        <f aca="false">IF(OR(A1666="",B1666=""),"",DATE(YEAR(B1666),MONTH(B1666),1))</f>
        <v/>
      </c>
      <c r="F1666" s="36" t="n">
        <f aca="false">IF(OR(E1666="",D1666=""),0,IF(C1666="Actual",D1666,IF(COUNTIFS($A$2:$A$2001,A1666,$E$2:$E$2001,E1666,$C$2:$C$2001,"Actual")&gt;0,0,D1666)))</f>
        <v>0</v>
      </c>
    </row>
    <row r="1667" customFormat="false" ht="15" hidden="false" customHeight="false" outlineLevel="0" collapsed="false">
      <c r="A1667" s="32"/>
      <c r="B1667" s="35"/>
      <c r="C1667" s="32"/>
      <c r="D1667" s="34"/>
      <c r="E1667" s="42" t="str">
        <f aca="false">IF(OR(A1667="",B1667=""),"",DATE(YEAR(B1667),MONTH(B1667),1))</f>
        <v/>
      </c>
      <c r="F1667" s="36" t="n">
        <f aca="false">IF(OR(E1667="",D1667=""),0,IF(C1667="Actual",D1667,IF(COUNTIFS($A$2:$A$2001,A1667,$E$2:$E$2001,E1667,$C$2:$C$2001,"Actual")&gt;0,0,D1667)))</f>
        <v>0</v>
      </c>
    </row>
    <row r="1668" customFormat="false" ht="15" hidden="false" customHeight="false" outlineLevel="0" collapsed="false">
      <c r="A1668" s="32"/>
      <c r="B1668" s="35"/>
      <c r="C1668" s="32"/>
      <c r="D1668" s="34"/>
      <c r="E1668" s="42" t="str">
        <f aca="false">IF(OR(A1668="",B1668=""),"",DATE(YEAR(B1668),MONTH(B1668),1))</f>
        <v/>
      </c>
      <c r="F1668" s="36" t="n">
        <f aca="false">IF(OR(E1668="",D1668=""),0,IF(C1668="Actual",D1668,IF(COUNTIFS($A$2:$A$2001,A1668,$E$2:$E$2001,E1668,$C$2:$C$2001,"Actual")&gt;0,0,D1668)))</f>
        <v>0</v>
      </c>
    </row>
    <row r="1669" customFormat="false" ht="15" hidden="false" customHeight="false" outlineLevel="0" collapsed="false">
      <c r="A1669" s="32"/>
      <c r="B1669" s="35"/>
      <c r="C1669" s="32"/>
      <c r="D1669" s="34"/>
      <c r="E1669" s="42" t="str">
        <f aca="false">IF(OR(A1669="",B1669=""),"",DATE(YEAR(B1669),MONTH(B1669),1))</f>
        <v/>
      </c>
      <c r="F1669" s="36" t="n">
        <f aca="false">IF(OR(E1669="",D1669=""),0,IF(C1669="Actual",D1669,IF(COUNTIFS($A$2:$A$2001,A1669,$E$2:$E$2001,E1669,$C$2:$C$2001,"Actual")&gt;0,0,D1669)))</f>
        <v>0</v>
      </c>
    </row>
    <row r="1670" customFormat="false" ht="15" hidden="false" customHeight="false" outlineLevel="0" collapsed="false">
      <c r="A1670" s="32"/>
      <c r="B1670" s="35"/>
      <c r="C1670" s="32"/>
      <c r="D1670" s="34"/>
      <c r="E1670" s="42" t="str">
        <f aca="false">IF(OR(A1670="",B1670=""),"",DATE(YEAR(B1670),MONTH(B1670),1))</f>
        <v/>
      </c>
      <c r="F1670" s="36" t="n">
        <f aca="false">IF(OR(E1670="",D1670=""),0,IF(C1670="Actual",D1670,IF(COUNTIFS($A$2:$A$2001,A1670,$E$2:$E$2001,E1670,$C$2:$C$2001,"Actual")&gt;0,0,D1670)))</f>
        <v>0</v>
      </c>
    </row>
    <row r="1671" customFormat="false" ht="15" hidden="false" customHeight="false" outlineLevel="0" collapsed="false">
      <c r="A1671" s="32"/>
      <c r="B1671" s="35"/>
      <c r="C1671" s="32"/>
      <c r="D1671" s="34"/>
      <c r="E1671" s="42" t="str">
        <f aca="false">IF(OR(A1671="",B1671=""),"",DATE(YEAR(B1671),MONTH(B1671),1))</f>
        <v/>
      </c>
      <c r="F1671" s="36" t="n">
        <f aca="false">IF(OR(E1671="",D1671=""),0,IF(C1671="Actual",D1671,IF(COUNTIFS($A$2:$A$2001,A1671,$E$2:$E$2001,E1671,$C$2:$C$2001,"Actual")&gt;0,0,D1671)))</f>
        <v>0</v>
      </c>
    </row>
    <row r="1672" customFormat="false" ht="15" hidden="false" customHeight="false" outlineLevel="0" collapsed="false">
      <c r="A1672" s="32"/>
      <c r="B1672" s="35"/>
      <c r="C1672" s="32"/>
      <c r="D1672" s="34"/>
      <c r="E1672" s="42" t="str">
        <f aca="false">IF(OR(A1672="",B1672=""),"",DATE(YEAR(B1672),MONTH(B1672),1))</f>
        <v/>
      </c>
      <c r="F1672" s="36" t="n">
        <f aca="false">IF(OR(E1672="",D1672=""),0,IF(C1672="Actual",D1672,IF(COUNTIFS($A$2:$A$2001,A1672,$E$2:$E$2001,E1672,$C$2:$C$2001,"Actual")&gt;0,0,D1672)))</f>
        <v>0</v>
      </c>
    </row>
    <row r="1673" customFormat="false" ht="15" hidden="false" customHeight="false" outlineLevel="0" collapsed="false">
      <c r="A1673" s="32"/>
      <c r="B1673" s="35"/>
      <c r="C1673" s="32"/>
      <c r="D1673" s="34"/>
      <c r="E1673" s="42" t="str">
        <f aca="false">IF(OR(A1673="",B1673=""),"",DATE(YEAR(B1673),MONTH(B1673),1))</f>
        <v/>
      </c>
      <c r="F1673" s="36" t="n">
        <f aca="false">IF(OR(E1673="",D1673=""),0,IF(C1673="Actual",D1673,IF(COUNTIFS($A$2:$A$2001,A1673,$E$2:$E$2001,E1673,$C$2:$C$2001,"Actual")&gt;0,0,D1673)))</f>
        <v>0</v>
      </c>
    </row>
    <row r="1674" customFormat="false" ht="15" hidden="false" customHeight="false" outlineLevel="0" collapsed="false">
      <c r="A1674" s="32"/>
      <c r="B1674" s="35"/>
      <c r="C1674" s="32"/>
      <c r="D1674" s="34"/>
      <c r="E1674" s="42" t="str">
        <f aca="false">IF(OR(A1674="",B1674=""),"",DATE(YEAR(B1674),MONTH(B1674),1))</f>
        <v/>
      </c>
      <c r="F1674" s="36" t="n">
        <f aca="false">IF(OR(E1674="",D1674=""),0,IF(C1674="Actual",D1674,IF(COUNTIFS($A$2:$A$2001,A1674,$E$2:$E$2001,E1674,$C$2:$C$2001,"Actual")&gt;0,0,D1674)))</f>
        <v>0</v>
      </c>
    </row>
    <row r="1675" customFormat="false" ht="15" hidden="false" customHeight="false" outlineLevel="0" collapsed="false">
      <c r="A1675" s="32"/>
      <c r="B1675" s="35"/>
      <c r="C1675" s="32"/>
      <c r="D1675" s="34"/>
      <c r="E1675" s="42" t="str">
        <f aca="false">IF(OR(A1675="",B1675=""),"",DATE(YEAR(B1675),MONTH(B1675),1))</f>
        <v/>
      </c>
      <c r="F1675" s="36" t="n">
        <f aca="false">IF(OR(E1675="",D1675=""),0,IF(C1675="Actual",D1675,IF(COUNTIFS($A$2:$A$2001,A1675,$E$2:$E$2001,E1675,$C$2:$C$2001,"Actual")&gt;0,0,D1675)))</f>
        <v>0</v>
      </c>
    </row>
    <row r="1676" customFormat="false" ht="15" hidden="false" customHeight="false" outlineLevel="0" collapsed="false">
      <c r="A1676" s="32"/>
      <c r="B1676" s="35"/>
      <c r="C1676" s="32"/>
      <c r="D1676" s="34"/>
      <c r="E1676" s="42" t="str">
        <f aca="false">IF(OR(A1676="",B1676=""),"",DATE(YEAR(B1676),MONTH(B1676),1))</f>
        <v/>
      </c>
      <c r="F1676" s="36" t="n">
        <f aca="false">IF(OR(E1676="",D1676=""),0,IF(C1676="Actual",D1676,IF(COUNTIFS($A$2:$A$2001,A1676,$E$2:$E$2001,E1676,$C$2:$C$2001,"Actual")&gt;0,0,D1676)))</f>
        <v>0</v>
      </c>
    </row>
    <row r="1677" customFormat="false" ht="15" hidden="false" customHeight="false" outlineLevel="0" collapsed="false">
      <c r="A1677" s="32"/>
      <c r="B1677" s="35"/>
      <c r="C1677" s="32"/>
      <c r="D1677" s="34"/>
      <c r="E1677" s="42" t="str">
        <f aca="false">IF(OR(A1677="",B1677=""),"",DATE(YEAR(B1677),MONTH(B1677),1))</f>
        <v/>
      </c>
      <c r="F1677" s="36" t="n">
        <f aca="false">IF(OR(E1677="",D1677=""),0,IF(C1677="Actual",D1677,IF(COUNTIFS($A$2:$A$2001,A1677,$E$2:$E$2001,E1677,$C$2:$C$2001,"Actual")&gt;0,0,D1677)))</f>
        <v>0</v>
      </c>
    </row>
    <row r="1678" customFormat="false" ht="15" hidden="false" customHeight="false" outlineLevel="0" collapsed="false">
      <c r="A1678" s="32"/>
      <c r="B1678" s="35"/>
      <c r="C1678" s="32"/>
      <c r="D1678" s="34"/>
      <c r="E1678" s="42" t="str">
        <f aca="false">IF(OR(A1678="",B1678=""),"",DATE(YEAR(B1678),MONTH(B1678),1))</f>
        <v/>
      </c>
      <c r="F1678" s="36" t="n">
        <f aca="false">IF(OR(E1678="",D1678=""),0,IF(C1678="Actual",D1678,IF(COUNTIFS($A$2:$A$2001,A1678,$E$2:$E$2001,E1678,$C$2:$C$2001,"Actual")&gt;0,0,D1678)))</f>
        <v>0</v>
      </c>
    </row>
    <row r="1679" customFormat="false" ht="15" hidden="false" customHeight="false" outlineLevel="0" collapsed="false">
      <c r="A1679" s="32"/>
      <c r="B1679" s="35"/>
      <c r="C1679" s="32"/>
      <c r="D1679" s="34"/>
      <c r="E1679" s="42" t="str">
        <f aca="false">IF(OR(A1679="",B1679=""),"",DATE(YEAR(B1679),MONTH(B1679),1))</f>
        <v/>
      </c>
      <c r="F1679" s="36" t="n">
        <f aca="false">IF(OR(E1679="",D1679=""),0,IF(C1679="Actual",D1679,IF(COUNTIFS($A$2:$A$2001,A1679,$E$2:$E$2001,E1679,$C$2:$C$2001,"Actual")&gt;0,0,D1679)))</f>
        <v>0</v>
      </c>
    </row>
    <row r="1680" customFormat="false" ht="15" hidden="false" customHeight="false" outlineLevel="0" collapsed="false">
      <c r="A1680" s="32"/>
      <c r="B1680" s="35"/>
      <c r="C1680" s="32"/>
      <c r="D1680" s="34"/>
      <c r="E1680" s="42" t="str">
        <f aca="false">IF(OR(A1680="",B1680=""),"",DATE(YEAR(B1680),MONTH(B1680),1))</f>
        <v/>
      </c>
      <c r="F1680" s="36" t="n">
        <f aca="false">IF(OR(E1680="",D1680=""),0,IF(C1680="Actual",D1680,IF(COUNTIFS($A$2:$A$2001,A1680,$E$2:$E$2001,E1680,$C$2:$C$2001,"Actual")&gt;0,0,D1680)))</f>
        <v>0</v>
      </c>
    </row>
    <row r="1681" customFormat="false" ht="15" hidden="false" customHeight="false" outlineLevel="0" collapsed="false">
      <c r="A1681" s="32"/>
      <c r="B1681" s="35"/>
      <c r="C1681" s="32"/>
      <c r="D1681" s="34"/>
      <c r="E1681" s="42" t="str">
        <f aca="false">IF(OR(A1681="",B1681=""),"",DATE(YEAR(B1681),MONTH(B1681),1))</f>
        <v/>
      </c>
      <c r="F1681" s="36" t="n">
        <f aca="false">IF(OR(E1681="",D1681=""),0,IF(C1681="Actual",D1681,IF(COUNTIFS($A$2:$A$2001,A1681,$E$2:$E$2001,E1681,$C$2:$C$2001,"Actual")&gt;0,0,D1681)))</f>
        <v>0</v>
      </c>
    </row>
    <row r="1682" customFormat="false" ht="15" hidden="false" customHeight="false" outlineLevel="0" collapsed="false">
      <c r="A1682" s="32"/>
      <c r="B1682" s="35"/>
      <c r="C1682" s="32"/>
      <c r="D1682" s="34"/>
      <c r="E1682" s="42" t="str">
        <f aca="false">IF(OR(A1682="",B1682=""),"",DATE(YEAR(B1682),MONTH(B1682),1))</f>
        <v/>
      </c>
      <c r="F1682" s="36" t="n">
        <f aca="false">IF(OR(E1682="",D1682=""),0,IF(C1682="Actual",D1682,IF(COUNTIFS($A$2:$A$2001,A1682,$E$2:$E$2001,E1682,$C$2:$C$2001,"Actual")&gt;0,0,D1682)))</f>
        <v>0</v>
      </c>
    </row>
    <row r="1683" customFormat="false" ht="15" hidden="false" customHeight="false" outlineLevel="0" collapsed="false">
      <c r="A1683" s="32"/>
      <c r="B1683" s="35"/>
      <c r="C1683" s="32"/>
      <c r="D1683" s="34"/>
      <c r="E1683" s="42" t="str">
        <f aca="false">IF(OR(A1683="",B1683=""),"",DATE(YEAR(B1683),MONTH(B1683),1))</f>
        <v/>
      </c>
      <c r="F1683" s="36" t="n">
        <f aca="false">IF(OR(E1683="",D1683=""),0,IF(C1683="Actual",D1683,IF(COUNTIFS($A$2:$A$2001,A1683,$E$2:$E$2001,E1683,$C$2:$C$2001,"Actual")&gt;0,0,D1683)))</f>
        <v>0</v>
      </c>
    </row>
    <row r="1684" customFormat="false" ht="15" hidden="false" customHeight="false" outlineLevel="0" collapsed="false">
      <c r="A1684" s="32"/>
      <c r="B1684" s="35"/>
      <c r="C1684" s="32"/>
      <c r="D1684" s="34"/>
      <c r="E1684" s="42" t="str">
        <f aca="false">IF(OR(A1684="",B1684=""),"",DATE(YEAR(B1684),MONTH(B1684),1))</f>
        <v/>
      </c>
      <c r="F1684" s="36" t="n">
        <f aca="false">IF(OR(E1684="",D1684=""),0,IF(C1684="Actual",D1684,IF(COUNTIFS($A$2:$A$2001,A1684,$E$2:$E$2001,E1684,$C$2:$C$2001,"Actual")&gt;0,0,D1684)))</f>
        <v>0</v>
      </c>
    </row>
    <row r="1685" customFormat="false" ht="15" hidden="false" customHeight="false" outlineLevel="0" collapsed="false">
      <c r="A1685" s="32"/>
      <c r="B1685" s="35"/>
      <c r="C1685" s="32"/>
      <c r="D1685" s="34"/>
      <c r="E1685" s="42" t="str">
        <f aca="false">IF(OR(A1685="",B1685=""),"",DATE(YEAR(B1685),MONTH(B1685),1))</f>
        <v/>
      </c>
      <c r="F1685" s="36" t="n">
        <f aca="false">IF(OR(E1685="",D1685=""),0,IF(C1685="Actual",D1685,IF(COUNTIFS($A$2:$A$2001,A1685,$E$2:$E$2001,E1685,$C$2:$C$2001,"Actual")&gt;0,0,D1685)))</f>
        <v>0</v>
      </c>
    </row>
    <row r="1686" customFormat="false" ht="15" hidden="false" customHeight="false" outlineLevel="0" collapsed="false">
      <c r="A1686" s="32"/>
      <c r="B1686" s="35"/>
      <c r="C1686" s="32"/>
      <c r="D1686" s="34"/>
      <c r="E1686" s="42" t="str">
        <f aca="false">IF(OR(A1686="",B1686=""),"",DATE(YEAR(B1686),MONTH(B1686),1))</f>
        <v/>
      </c>
      <c r="F1686" s="36" t="n">
        <f aca="false">IF(OR(E1686="",D1686=""),0,IF(C1686="Actual",D1686,IF(COUNTIFS($A$2:$A$2001,A1686,$E$2:$E$2001,E1686,$C$2:$C$2001,"Actual")&gt;0,0,D1686)))</f>
        <v>0</v>
      </c>
    </row>
    <row r="1687" customFormat="false" ht="15" hidden="false" customHeight="false" outlineLevel="0" collapsed="false">
      <c r="A1687" s="32"/>
      <c r="B1687" s="35"/>
      <c r="C1687" s="32"/>
      <c r="D1687" s="34"/>
      <c r="E1687" s="42" t="str">
        <f aca="false">IF(OR(A1687="",B1687=""),"",DATE(YEAR(B1687),MONTH(B1687),1))</f>
        <v/>
      </c>
      <c r="F1687" s="36" t="n">
        <f aca="false">IF(OR(E1687="",D1687=""),0,IF(C1687="Actual",D1687,IF(COUNTIFS($A$2:$A$2001,A1687,$E$2:$E$2001,E1687,$C$2:$C$2001,"Actual")&gt;0,0,D1687)))</f>
        <v>0</v>
      </c>
    </row>
    <row r="1688" customFormat="false" ht="15" hidden="false" customHeight="false" outlineLevel="0" collapsed="false">
      <c r="A1688" s="32"/>
      <c r="B1688" s="35"/>
      <c r="C1688" s="32"/>
      <c r="D1688" s="34"/>
      <c r="E1688" s="42" t="str">
        <f aca="false">IF(OR(A1688="",B1688=""),"",DATE(YEAR(B1688),MONTH(B1688),1))</f>
        <v/>
      </c>
      <c r="F1688" s="36" t="n">
        <f aca="false">IF(OR(E1688="",D1688=""),0,IF(C1688="Actual",D1688,IF(COUNTIFS($A$2:$A$2001,A1688,$E$2:$E$2001,E1688,$C$2:$C$2001,"Actual")&gt;0,0,D1688)))</f>
        <v>0</v>
      </c>
    </row>
    <row r="1689" customFormat="false" ht="15" hidden="false" customHeight="false" outlineLevel="0" collapsed="false">
      <c r="A1689" s="32"/>
      <c r="B1689" s="35"/>
      <c r="C1689" s="32"/>
      <c r="D1689" s="34"/>
      <c r="E1689" s="42" t="str">
        <f aca="false">IF(OR(A1689="",B1689=""),"",DATE(YEAR(B1689),MONTH(B1689),1))</f>
        <v/>
      </c>
      <c r="F1689" s="36" t="n">
        <f aca="false">IF(OR(E1689="",D1689=""),0,IF(C1689="Actual",D1689,IF(COUNTIFS($A$2:$A$2001,A1689,$E$2:$E$2001,E1689,$C$2:$C$2001,"Actual")&gt;0,0,D1689)))</f>
        <v>0</v>
      </c>
    </row>
    <row r="1690" customFormat="false" ht="15" hidden="false" customHeight="false" outlineLevel="0" collapsed="false">
      <c r="A1690" s="32"/>
      <c r="B1690" s="35"/>
      <c r="C1690" s="32"/>
      <c r="D1690" s="34"/>
      <c r="E1690" s="42" t="str">
        <f aca="false">IF(OR(A1690="",B1690=""),"",DATE(YEAR(B1690),MONTH(B1690),1))</f>
        <v/>
      </c>
      <c r="F1690" s="36" t="n">
        <f aca="false">IF(OR(E1690="",D1690=""),0,IF(C1690="Actual",D1690,IF(COUNTIFS($A$2:$A$2001,A1690,$E$2:$E$2001,E1690,$C$2:$C$2001,"Actual")&gt;0,0,D1690)))</f>
        <v>0</v>
      </c>
    </row>
    <row r="1691" customFormat="false" ht="15" hidden="false" customHeight="false" outlineLevel="0" collapsed="false">
      <c r="A1691" s="32"/>
      <c r="B1691" s="35"/>
      <c r="C1691" s="32"/>
      <c r="D1691" s="34"/>
      <c r="E1691" s="42" t="str">
        <f aca="false">IF(OR(A1691="",B1691=""),"",DATE(YEAR(B1691),MONTH(B1691),1))</f>
        <v/>
      </c>
      <c r="F1691" s="36" t="n">
        <f aca="false">IF(OR(E1691="",D1691=""),0,IF(C1691="Actual",D1691,IF(COUNTIFS($A$2:$A$2001,A1691,$E$2:$E$2001,E1691,$C$2:$C$2001,"Actual")&gt;0,0,D1691)))</f>
        <v>0</v>
      </c>
    </row>
    <row r="1692" customFormat="false" ht="15" hidden="false" customHeight="false" outlineLevel="0" collapsed="false">
      <c r="A1692" s="32"/>
      <c r="B1692" s="35"/>
      <c r="C1692" s="32"/>
      <c r="D1692" s="34"/>
      <c r="E1692" s="42" t="str">
        <f aca="false">IF(OR(A1692="",B1692=""),"",DATE(YEAR(B1692),MONTH(B1692),1))</f>
        <v/>
      </c>
      <c r="F1692" s="36" t="n">
        <f aca="false">IF(OR(E1692="",D1692=""),0,IF(C1692="Actual",D1692,IF(COUNTIFS($A$2:$A$2001,A1692,$E$2:$E$2001,E1692,$C$2:$C$2001,"Actual")&gt;0,0,D1692)))</f>
        <v>0</v>
      </c>
    </row>
    <row r="1693" customFormat="false" ht="15" hidden="false" customHeight="false" outlineLevel="0" collapsed="false">
      <c r="A1693" s="32"/>
      <c r="B1693" s="35"/>
      <c r="C1693" s="32"/>
      <c r="D1693" s="34"/>
      <c r="E1693" s="42" t="str">
        <f aca="false">IF(OR(A1693="",B1693=""),"",DATE(YEAR(B1693),MONTH(B1693),1))</f>
        <v/>
      </c>
      <c r="F1693" s="36" t="n">
        <f aca="false">IF(OR(E1693="",D1693=""),0,IF(C1693="Actual",D1693,IF(COUNTIFS($A$2:$A$2001,A1693,$E$2:$E$2001,E1693,$C$2:$C$2001,"Actual")&gt;0,0,D1693)))</f>
        <v>0</v>
      </c>
    </row>
    <row r="1694" customFormat="false" ht="15" hidden="false" customHeight="false" outlineLevel="0" collapsed="false">
      <c r="A1694" s="32"/>
      <c r="B1694" s="35"/>
      <c r="C1694" s="32"/>
      <c r="D1694" s="34"/>
      <c r="E1694" s="42" t="str">
        <f aca="false">IF(OR(A1694="",B1694=""),"",DATE(YEAR(B1694),MONTH(B1694),1))</f>
        <v/>
      </c>
      <c r="F1694" s="36" t="n">
        <f aca="false">IF(OR(E1694="",D1694=""),0,IF(C1694="Actual",D1694,IF(COUNTIFS($A$2:$A$2001,A1694,$E$2:$E$2001,E1694,$C$2:$C$2001,"Actual")&gt;0,0,D1694)))</f>
        <v>0</v>
      </c>
    </row>
    <row r="1695" customFormat="false" ht="15" hidden="false" customHeight="false" outlineLevel="0" collapsed="false">
      <c r="A1695" s="32"/>
      <c r="B1695" s="35"/>
      <c r="C1695" s="32"/>
      <c r="D1695" s="34"/>
      <c r="E1695" s="42" t="str">
        <f aca="false">IF(OR(A1695="",B1695=""),"",DATE(YEAR(B1695),MONTH(B1695),1))</f>
        <v/>
      </c>
      <c r="F1695" s="36" t="n">
        <f aca="false">IF(OR(E1695="",D1695=""),0,IF(C1695="Actual",D1695,IF(COUNTIFS($A$2:$A$2001,A1695,$E$2:$E$2001,E1695,$C$2:$C$2001,"Actual")&gt;0,0,D1695)))</f>
        <v>0</v>
      </c>
    </row>
    <row r="1696" customFormat="false" ht="15" hidden="false" customHeight="false" outlineLevel="0" collapsed="false">
      <c r="A1696" s="32"/>
      <c r="B1696" s="35"/>
      <c r="C1696" s="32"/>
      <c r="D1696" s="34"/>
      <c r="E1696" s="42" t="str">
        <f aca="false">IF(OR(A1696="",B1696=""),"",DATE(YEAR(B1696),MONTH(B1696),1))</f>
        <v/>
      </c>
      <c r="F1696" s="36" t="n">
        <f aca="false">IF(OR(E1696="",D1696=""),0,IF(C1696="Actual",D1696,IF(COUNTIFS($A$2:$A$2001,A1696,$E$2:$E$2001,E1696,$C$2:$C$2001,"Actual")&gt;0,0,D1696)))</f>
        <v>0</v>
      </c>
    </row>
    <row r="1697" customFormat="false" ht="15" hidden="false" customHeight="false" outlineLevel="0" collapsed="false">
      <c r="A1697" s="32"/>
      <c r="B1697" s="35"/>
      <c r="C1697" s="32"/>
      <c r="D1697" s="34"/>
      <c r="E1697" s="42" t="str">
        <f aca="false">IF(OR(A1697="",B1697=""),"",DATE(YEAR(B1697),MONTH(B1697),1))</f>
        <v/>
      </c>
      <c r="F1697" s="36" t="n">
        <f aca="false">IF(OR(E1697="",D1697=""),0,IF(C1697="Actual",D1697,IF(COUNTIFS($A$2:$A$2001,A1697,$E$2:$E$2001,E1697,$C$2:$C$2001,"Actual")&gt;0,0,D1697)))</f>
        <v>0</v>
      </c>
    </row>
    <row r="1698" customFormat="false" ht="15" hidden="false" customHeight="false" outlineLevel="0" collapsed="false">
      <c r="A1698" s="32"/>
      <c r="B1698" s="35"/>
      <c r="C1698" s="32"/>
      <c r="D1698" s="34"/>
      <c r="E1698" s="42" t="str">
        <f aca="false">IF(OR(A1698="",B1698=""),"",DATE(YEAR(B1698),MONTH(B1698),1))</f>
        <v/>
      </c>
      <c r="F1698" s="36" t="n">
        <f aca="false">IF(OR(E1698="",D1698=""),0,IF(C1698="Actual",D1698,IF(COUNTIFS($A$2:$A$2001,A1698,$E$2:$E$2001,E1698,$C$2:$C$2001,"Actual")&gt;0,0,D1698)))</f>
        <v>0</v>
      </c>
    </row>
    <row r="1699" customFormat="false" ht="15" hidden="false" customHeight="false" outlineLevel="0" collapsed="false">
      <c r="A1699" s="32"/>
      <c r="B1699" s="35"/>
      <c r="C1699" s="32"/>
      <c r="D1699" s="34"/>
      <c r="E1699" s="42" t="str">
        <f aca="false">IF(OR(A1699="",B1699=""),"",DATE(YEAR(B1699),MONTH(B1699),1))</f>
        <v/>
      </c>
      <c r="F1699" s="36" t="n">
        <f aca="false">IF(OR(E1699="",D1699=""),0,IF(C1699="Actual",D1699,IF(COUNTIFS($A$2:$A$2001,A1699,$E$2:$E$2001,E1699,$C$2:$C$2001,"Actual")&gt;0,0,D1699)))</f>
        <v>0</v>
      </c>
    </row>
    <row r="1700" customFormat="false" ht="15" hidden="false" customHeight="false" outlineLevel="0" collapsed="false">
      <c r="A1700" s="32"/>
      <c r="B1700" s="35"/>
      <c r="C1700" s="32"/>
      <c r="D1700" s="34"/>
      <c r="E1700" s="42" t="str">
        <f aca="false">IF(OR(A1700="",B1700=""),"",DATE(YEAR(B1700),MONTH(B1700),1))</f>
        <v/>
      </c>
      <c r="F1700" s="36" t="n">
        <f aca="false">IF(OR(E1700="",D1700=""),0,IF(C1700="Actual",D1700,IF(COUNTIFS($A$2:$A$2001,A1700,$E$2:$E$2001,E1700,$C$2:$C$2001,"Actual")&gt;0,0,D1700)))</f>
        <v>0</v>
      </c>
    </row>
    <row r="1701" customFormat="false" ht="15" hidden="false" customHeight="false" outlineLevel="0" collapsed="false">
      <c r="A1701" s="32"/>
      <c r="B1701" s="35"/>
      <c r="C1701" s="32"/>
      <c r="D1701" s="34"/>
      <c r="E1701" s="42" t="str">
        <f aca="false">IF(OR(A1701="",B1701=""),"",DATE(YEAR(B1701),MONTH(B1701),1))</f>
        <v/>
      </c>
      <c r="F1701" s="36" t="n">
        <f aca="false">IF(OR(E1701="",D1701=""),0,IF(C1701="Actual",D1701,IF(COUNTIFS($A$2:$A$2001,A1701,$E$2:$E$2001,E1701,$C$2:$C$2001,"Actual")&gt;0,0,D1701)))</f>
        <v>0</v>
      </c>
    </row>
    <row r="1702" customFormat="false" ht="15" hidden="false" customHeight="false" outlineLevel="0" collapsed="false">
      <c r="A1702" s="32"/>
      <c r="B1702" s="35"/>
      <c r="C1702" s="32"/>
      <c r="D1702" s="34"/>
      <c r="E1702" s="42" t="str">
        <f aca="false">IF(OR(A1702="",B1702=""),"",DATE(YEAR(B1702),MONTH(B1702),1))</f>
        <v/>
      </c>
      <c r="F1702" s="36" t="n">
        <f aca="false">IF(OR(E1702="",D1702=""),0,IF(C1702="Actual",D1702,IF(COUNTIFS($A$2:$A$2001,A1702,$E$2:$E$2001,E1702,$C$2:$C$2001,"Actual")&gt;0,0,D1702)))</f>
        <v>0</v>
      </c>
    </row>
    <row r="1703" customFormat="false" ht="15" hidden="false" customHeight="false" outlineLevel="0" collapsed="false">
      <c r="A1703" s="32"/>
      <c r="B1703" s="35"/>
      <c r="C1703" s="32"/>
      <c r="D1703" s="34"/>
      <c r="E1703" s="42" t="str">
        <f aca="false">IF(OR(A1703="",B1703=""),"",DATE(YEAR(B1703),MONTH(B1703),1))</f>
        <v/>
      </c>
      <c r="F1703" s="36" t="n">
        <f aca="false">IF(OR(E1703="",D1703=""),0,IF(C1703="Actual",D1703,IF(COUNTIFS($A$2:$A$2001,A1703,$E$2:$E$2001,E1703,$C$2:$C$2001,"Actual")&gt;0,0,D1703)))</f>
        <v>0</v>
      </c>
    </row>
    <row r="1704" customFormat="false" ht="15" hidden="false" customHeight="false" outlineLevel="0" collapsed="false">
      <c r="A1704" s="32"/>
      <c r="B1704" s="35"/>
      <c r="C1704" s="32"/>
      <c r="D1704" s="34"/>
      <c r="E1704" s="42" t="str">
        <f aca="false">IF(OR(A1704="",B1704=""),"",DATE(YEAR(B1704),MONTH(B1704),1))</f>
        <v/>
      </c>
      <c r="F1704" s="36" t="n">
        <f aca="false">IF(OR(E1704="",D1704=""),0,IF(C1704="Actual",D1704,IF(COUNTIFS($A$2:$A$2001,A1704,$E$2:$E$2001,E1704,$C$2:$C$2001,"Actual")&gt;0,0,D1704)))</f>
        <v>0</v>
      </c>
    </row>
    <row r="1705" customFormat="false" ht="15" hidden="false" customHeight="false" outlineLevel="0" collapsed="false">
      <c r="A1705" s="32"/>
      <c r="B1705" s="35"/>
      <c r="C1705" s="32"/>
      <c r="D1705" s="34"/>
      <c r="E1705" s="42" t="str">
        <f aca="false">IF(OR(A1705="",B1705=""),"",DATE(YEAR(B1705),MONTH(B1705),1))</f>
        <v/>
      </c>
      <c r="F1705" s="36" t="n">
        <f aca="false">IF(OR(E1705="",D1705=""),0,IF(C1705="Actual",D1705,IF(COUNTIFS($A$2:$A$2001,A1705,$E$2:$E$2001,E1705,$C$2:$C$2001,"Actual")&gt;0,0,D1705)))</f>
        <v>0</v>
      </c>
    </row>
    <row r="1706" customFormat="false" ht="15" hidden="false" customHeight="false" outlineLevel="0" collapsed="false">
      <c r="A1706" s="32"/>
      <c r="B1706" s="35"/>
      <c r="C1706" s="32"/>
      <c r="D1706" s="34"/>
      <c r="E1706" s="42" t="str">
        <f aca="false">IF(OR(A1706="",B1706=""),"",DATE(YEAR(B1706),MONTH(B1706),1))</f>
        <v/>
      </c>
      <c r="F1706" s="36" t="n">
        <f aca="false">IF(OR(E1706="",D1706=""),0,IF(C1706="Actual",D1706,IF(COUNTIFS($A$2:$A$2001,A1706,$E$2:$E$2001,E1706,$C$2:$C$2001,"Actual")&gt;0,0,D1706)))</f>
        <v>0</v>
      </c>
    </row>
    <row r="1707" customFormat="false" ht="15" hidden="false" customHeight="false" outlineLevel="0" collapsed="false">
      <c r="A1707" s="32"/>
      <c r="B1707" s="35"/>
      <c r="C1707" s="32"/>
      <c r="D1707" s="34"/>
      <c r="E1707" s="42" t="str">
        <f aca="false">IF(OR(A1707="",B1707=""),"",DATE(YEAR(B1707),MONTH(B1707),1))</f>
        <v/>
      </c>
      <c r="F1707" s="36" t="n">
        <f aca="false">IF(OR(E1707="",D1707=""),0,IF(C1707="Actual",D1707,IF(COUNTIFS($A$2:$A$2001,A1707,$E$2:$E$2001,E1707,$C$2:$C$2001,"Actual")&gt;0,0,D1707)))</f>
        <v>0</v>
      </c>
    </row>
    <row r="1708" customFormat="false" ht="15" hidden="false" customHeight="false" outlineLevel="0" collapsed="false">
      <c r="A1708" s="32"/>
      <c r="B1708" s="35"/>
      <c r="C1708" s="32"/>
      <c r="D1708" s="34"/>
      <c r="E1708" s="42" t="str">
        <f aca="false">IF(OR(A1708="",B1708=""),"",DATE(YEAR(B1708),MONTH(B1708),1))</f>
        <v/>
      </c>
      <c r="F1708" s="36" t="n">
        <f aca="false">IF(OR(E1708="",D1708=""),0,IF(C1708="Actual",D1708,IF(COUNTIFS($A$2:$A$2001,A1708,$E$2:$E$2001,E1708,$C$2:$C$2001,"Actual")&gt;0,0,D1708)))</f>
        <v>0</v>
      </c>
    </row>
    <row r="1709" customFormat="false" ht="15" hidden="false" customHeight="false" outlineLevel="0" collapsed="false">
      <c r="A1709" s="32"/>
      <c r="B1709" s="35"/>
      <c r="C1709" s="32"/>
      <c r="D1709" s="34"/>
      <c r="E1709" s="42" t="str">
        <f aca="false">IF(OR(A1709="",B1709=""),"",DATE(YEAR(B1709),MONTH(B1709),1))</f>
        <v/>
      </c>
      <c r="F1709" s="36" t="n">
        <f aca="false">IF(OR(E1709="",D1709=""),0,IF(C1709="Actual",D1709,IF(COUNTIFS($A$2:$A$2001,A1709,$E$2:$E$2001,E1709,$C$2:$C$2001,"Actual")&gt;0,0,D1709)))</f>
        <v>0</v>
      </c>
    </row>
    <row r="1710" customFormat="false" ht="15" hidden="false" customHeight="false" outlineLevel="0" collapsed="false">
      <c r="A1710" s="32"/>
      <c r="B1710" s="35"/>
      <c r="C1710" s="32"/>
      <c r="D1710" s="34"/>
      <c r="E1710" s="42" t="str">
        <f aca="false">IF(OR(A1710="",B1710=""),"",DATE(YEAR(B1710),MONTH(B1710),1))</f>
        <v/>
      </c>
      <c r="F1710" s="36" t="n">
        <f aca="false">IF(OR(E1710="",D1710=""),0,IF(C1710="Actual",D1710,IF(COUNTIFS($A$2:$A$2001,A1710,$E$2:$E$2001,E1710,$C$2:$C$2001,"Actual")&gt;0,0,D1710)))</f>
        <v>0</v>
      </c>
    </row>
    <row r="1711" customFormat="false" ht="15" hidden="false" customHeight="false" outlineLevel="0" collapsed="false">
      <c r="A1711" s="32"/>
      <c r="B1711" s="35"/>
      <c r="C1711" s="32"/>
      <c r="D1711" s="34"/>
      <c r="E1711" s="42" t="str">
        <f aca="false">IF(OR(A1711="",B1711=""),"",DATE(YEAR(B1711),MONTH(B1711),1))</f>
        <v/>
      </c>
      <c r="F1711" s="36" t="n">
        <f aca="false">IF(OR(E1711="",D1711=""),0,IF(C1711="Actual",D1711,IF(COUNTIFS($A$2:$A$2001,A1711,$E$2:$E$2001,E1711,$C$2:$C$2001,"Actual")&gt;0,0,D1711)))</f>
        <v>0</v>
      </c>
    </row>
    <row r="1712" customFormat="false" ht="15" hidden="false" customHeight="false" outlineLevel="0" collapsed="false">
      <c r="A1712" s="32"/>
      <c r="B1712" s="35"/>
      <c r="C1712" s="32"/>
      <c r="D1712" s="34"/>
      <c r="E1712" s="42" t="str">
        <f aca="false">IF(OR(A1712="",B1712=""),"",DATE(YEAR(B1712),MONTH(B1712),1))</f>
        <v/>
      </c>
      <c r="F1712" s="36" t="n">
        <f aca="false">IF(OR(E1712="",D1712=""),0,IF(C1712="Actual",D1712,IF(COUNTIFS($A$2:$A$2001,A1712,$E$2:$E$2001,E1712,$C$2:$C$2001,"Actual")&gt;0,0,D1712)))</f>
        <v>0</v>
      </c>
    </row>
    <row r="1713" customFormat="false" ht="15" hidden="false" customHeight="false" outlineLevel="0" collapsed="false">
      <c r="A1713" s="32"/>
      <c r="B1713" s="35"/>
      <c r="C1713" s="32"/>
      <c r="D1713" s="34"/>
      <c r="E1713" s="42" t="str">
        <f aca="false">IF(OR(A1713="",B1713=""),"",DATE(YEAR(B1713),MONTH(B1713),1))</f>
        <v/>
      </c>
      <c r="F1713" s="36" t="n">
        <f aca="false">IF(OR(E1713="",D1713=""),0,IF(C1713="Actual",D1713,IF(COUNTIFS($A$2:$A$2001,A1713,$E$2:$E$2001,E1713,$C$2:$C$2001,"Actual")&gt;0,0,D1713)))</f>
        <v>0</v>
      </c>
    </row>
    <row r="1714" customFormat="false" ht="15" hidden="false" customHeight="false" outlineLevel="0" collapsed="false">
      <c r="A1714" s="32"/>
      <c r="B1714" s="35"/>
      <c r="C1714" s="32"/>
      <c r="D1714" s="34"/>
      <c r="E1714" s="42" t="str">
        <f aca="false">IF(OR(A1714="",B1714=""),"",DATE(YEAR(B1714),MONTH(B1714),1))</f>
        <v/>
      </c>
      <c r="F1714" s="36" t="n">
        <f aca="false">IF(OR(E1714="",D1714=""),0,IF(C1714="Actual",D1714,IF(COUNTIFS($A$2:$A$2001,A1714,$E$2:$E$2001,E1714,$C$2:$C$2001,"Actual")&gt;0,0,D1714)))</f>
        <v>0</v>
      </c>
    </row>
    <row r="1715" customFormat="false" ht="15" hidden="false" customHeight="false" outlineLevel="0" collapsed="false">
      <c r="A1715" s="32"/>
      <c r="B1715" s="35"/>
      <c r="C1715" s="32"/>
      <c r="D1715" s="34"/>
      <c r="E1715" s="42" t="str">
        <f aca="false">IF(OR(A1715="",B1715=""),"",DATE(YEAR(B1715),MONTH(B1715),1))</f>
        <v/>
      </c>
      <c r="F1715" s="36" t="n">
        <f aca="false">IF(OR(E1715="",D1715=""),0,IF(C1715="Actual",D1715,IF(COUNTIFS($A$2:$A$2001,A1715,$E$2:$E$2001,E1715,$C$2:$C$2001,"Actual")&gt;0,0,D1715)))</f>
        <v>0</v>
      </c>
    </row>
    <row r="1716" customFormat="false" ht="15" hidden="false" customHeight="false" outlineLevel="0" collapsed="false">
      <c r="A1716" s="32"/>
      <c r="B1716" s="35"/>
      <c r="C1716" s="32"/>
      <c r="D1716" s="34"/>
      <c r="E1716" s="42" t="str">
        <f aca="false">IF(OR(A1716="",B1716=""),"",DATE(YEAR(B1716),MONTH(B1716),1))</f>
        <v/>
      </c>
      <c r="F1716" s="36" t="n">
        <f aca="false">IF(OR(E1716="",D1716=""),0,IF(C1716="Actual",D1716,IF(COUNTIFS($A$2:$A$2001,A1716,$E$2:$E$2001,E1716,$C$2:$C$2001,"Actual")&gt;0,0,D1716)))</f>
        <v>0</v>
      </c>
    </row>
    <row r="1717" customFormat="false" ht="15" hidden="false" customHeight="false" outlineLevel="0" collapsed="false">
      <c r="A1717" s="32"/>
      <c r="B1717" s="35"/>
      <c r="C1717" s="32"/>
      <c r="D1717" s="34"/>
      <c r="E1717" s="42" t="str">
        <f aca="false">IF(OR(A1717="",B1717=""),"",DATE(YEAR(B1717),MONTH(B1717),1))</f>
        <v/>
      </c>
      <c r="F1717" s="36" t="n">
        <f aca="false">IF(OR(E1717="",D1717=""),0,IF(C1717="Actual",D1717,IF(COUNTIFS($A$2:$A$2001,A1717,$E$2:$E$2001,E1717,$C$2:$C$2001,"Actual")&gt;0,0,D1717)))</f>
        <v>0</v>
      </c>
    </row>
    <row r="1718" customFormat="false" ht="15" hidden="false" customHeight="false" outlineLevel="0" collapsed="false">
      <c r="A1718" s="32"/>
      <c r="B1718" s="35"/>
      <c r="C1718" s="32"/>
      <c r="D1718" s="34"/>
      <c r="E1718" s="42" t="str">
        <f aca="false">IF(OR(A1718="",B1718=""),"",DATE(YEAR(B1718),MONTH(B1718),1))</f>
        <v/>
      </c>
      <c r="F1718" s="36" t="n">
        <f aca="false">IF(OR(E1718="",D1718=""),0,IF(C1718="Actual",D1718,IF(COUNTIFS($A$2:$A$2001,A1718,$E$2:$E$2001,E1718,$C$2:$C$2001,"Actual")&gt;0,0,D1718)))</f>
        <v>0</v>
      </c>
    </row>
    <row r="1719" customFormat="false" ht="15" hidden="false" customHeight="false" outlineLevel="0" collapsed="false">
      <c r="A1719" s="32"/>
      <c r="B1719" s="35"/>
      <c r="C1719" s="32"/>
      <c r="D1719" s="34"/>
      <c r="E1719" s="42" t="str">
        <f aca="false">IF(OR(A1719="",B1719=""),"",DATE(YEAR(B1719),MONTH(B1719),1))</f>
        <v/>
      </c>
      <c r="F1719" s="36" t="n">
        <f aca="false">IF(OR(E1719="",D1719=""),0,IF(C1719="Actual",D1719,IF(COUNTIFS($A$2:$A$2001,A1719,$E$2:$E$2001,E1719,$C$2:$C$2001,"Actual")&gt;0,0,D1719)))</f>
        <v>0</v>
      </c>
    </row>
    <row r="1720" customFormat="false" ht="15" hidden="false" customHeight="false" outlineLevel="0" collapsed="false">
      <c r="A1720" s="32"/>
      <c r="B1720" s="35"/>
      <c r="C1720" s="32"/>
      <c r="D1720" s="34"/>
      <c r="E1720" s="42" t="str">
        <f aca="false">IF(OR(A1720="",B1720=""),"",DATE(YEAR(B1720),MONTH(B1720),1))</f>
        <v/>
      </c>
      <c r="F1720" s="36" t="n">
        <f aca="false">IF(OR(E1720="",D1720=""),0,IF(C1720="Actual",D1720,IF(COUNTIFS($A$2:$A$2001,A1720,$E$2:$E$2001,E1720,$C$2:$C$2001,"Actual")&gt;0,0,D1720)))</f>
        <v>0</v>
      </c>
    </row>
    <row r="1721" customFormat="false" ht="15" hidden="false" customHeight="false" outlineLevel="0" collapsed="false">
      <c r="A1721" s="32"/>
      <c r="B1721" s="35"/>
      <c r="C1721" s="32"/>
      <c r="D1721" s="34"/>
      <c r="E1721" s="42" t="str">
        <f aca="false">IF(OR(A1721="",B1721=""),"",DATE(YEAR(B1721),MONTH(B1721),1))</f>
        <v/>
      </c>
      <c r="F1721" s="36" t="n">
        <f aca="false">IF(OR(E1721="",D1721=""),0,IF(C1721="Actual",D1721,IF(COUNTIFS($A$2:$A$2001,A1721,$E$2:$E$2001,E1721,$C$2:$C$2001,"Actual")&gt;0,0,D1721)))</f>
        <v>0</v>
      </c>
    </row>
    <row r="1722" customFormat="false" ht="15" hidden="false" customHeight="false" outlineLevel="0" collapsed="false">
      <c r="A1722" s="32"/>
      <c r="B1722" s="35"/>
      <c r="C1722" s="32"/>
      <c r="D1722" s="34"/>
      <c r="E1722" s="42" t="str">
        <f aca="false">IF(OR(A1722="",B1722=""),"",DATE(YEAR(B1722),MONTH(B1722),1))</f>
        <v/>
      </c>
      <c r="F1722" s="36" t="n">
        <f aca="false">IF(OR(E1722="",D1722=""),0,IF(C1722="Actual",D1722,IF(COUNTIFS($A$2:$A$2001,A1722,$E$2:$E$2001,E1722,$C$2:$C$2001,"Actual")&gt;0,0,D1722)))</f>
        <v>0</v>
      </c>
    </row>
    <row r="1723" customFormat="false" ht="15" hidden="false" customHeight="false" outlineLevel="0" collapsed="false">
      <c r="A1723" s="32"/>
      <c r="B1723" s="35"/>
      <c r="C1723" s="32"/>
      <c r="D1723" s="34"/>
      <c r="E1723" s="42" t="str">
        <f aca="false">IF(OR(A1723="",B1723=""),"",DATE(YEAR(B1723),MONTH(B1723),1))</f>
        <v/>
      </c>
      <c r="F1723" s="36" t="n">
        <f aca="false">IF(OR(E1723="",D1723=""),0,IF(C1723="Actual",D1723,IF(COUNTIFS($A$2:$A$2001,A1723,$E$2:$E$2001,E1723,$C$2:$C$2001,"Actual")&gt;0,0,D1723)))</f>
        <v>0</v>
      </c>
    </row>
    <row r="1724" customFormat="false" ht="15" hidden="false" customHeight="false" outlineLevel="0" collapsed="false">
      <c r="A1724" s="32"/>
      <c r="B1724" s="35"/>
      <c r="C1724" s="32"/>
      <c r="D1724" s="34"/>
      <c r="E1724" s="42" t="str">
        <f aca="false">IF(OR(A1724="",B1724=""),"",DATE(YEAR(B1724),MONTH(B1724),1))</f>
        <v/>
      </c>
      <c r="F1724" s="36" t="n">
        <f aca="false">IF(OR(E1724="",D1724=""),0,IF(C1724="Actual",D1724,IF(COUNTIFS($A$2:$A$2001,A1724,$E$2:$E$2001,E1724,$C$2:$C$2001,"Actual")&gt;0,0,D1724)))</f>
        <v>0</v>
      </c>
    </row>
    <row r="1725" customFormat="false" ht="15" hidden="false" customHeight="false" outlineLevel="0" collapsed="false">
      <c r="A1725" s="32"/>
      <c r="B1725" s="35"/>
      <c r="C1725" s="32"/>
      <c r="D1725" s="34"/>
      <c r="E1725" s="42" t="str">
        <f aca="false">IF(OR(A1725="",B1725=""),"",DATE(YEAR(B1725),MONTH(B1725),1))</f>
        <v/>
      </c>
      <c r="F1725" s="36" t="n">
        <f aca="false">IF(OR(E1725="",D1725=""),0,IF(C1725="Actual",D1725,IF(COUNTIFS($A$2:$A$2001,A1725,$E$2:$E$2001,E1725,$C$2:$C$2001,"Actual")&gt;0,0,D1725)))</f>
        <v>0</v>
      </c>
    </row>
    <row r="1726" customFormat="false" ht="15" hidden="false" customHeight="false" outlineLevel="0" collapsed="false">
      <c r="A1726" s="32"/>
      <c r="B1726" s="35"/>
      <c r="C1726" s="32"/>
      <c r="D1726" s="34"/>
      <c r="E1726" s="42" t="str">
        <f aca="false">IF(OR(A1726="",B1726=""),"",DATE(YEAR(B1726),MONTH(B1726),1))</f>
        <v/>
      </c>
      <c r="F1726" s="36" t="n">
        <f aca="false">IF(OR(E1726="",D1726=""),0,IF(C1726="Actual",D1726,IF(COUNTIFS($A$2:$A$2001,A1726,$E$2:$E$2001,E1726,$C$2:$C$2001,"Actual")&gt;0,0,D1726)))</f>
        <v>0</v>
      </c>
    </row>
    <row r="1727" customFormat="false" ht="15" hidden="false" customHeight="false" outlineLevel="0" collapsed="false">
      <c r="A1727" s="32"/>
      <c r="B1727" s="35"/>
      <c r="C1727" s="32"/>
      <c r="D1727" s="34"/>
      <c r="E1727" s="42" t="str">
        <f aca="false">IF(OR(A1727="",B1727=""),"",DATE(YEAR(B1727),MONTH(B1727),1))</f>
        <v/>
      </c>
      <c r="F1727" s="36" t="n">
        <f aca="false">IF(OR(E1727="",D1727=""),0,IF(C1727="Actual",D1727,IF(COUNTIFS($A$2:$A$2001,A1727,$E$2:$E$2001,E1727,$C$2:$C$2001,"Actual")&gt;0,0,D1727)))</f>
        <v>0</v>
      </c>
    </row>
    <row r="1728" customFormat="false" ht="15" hidden="false" customHeight="false" outlineLevel="0" collapsed="false">
      <c r="A1728" s="32"/>
      <c r="B1728" s="35"/>
      <c r="C1728" s="32"/>
      <c r="D1728" s="34"/>
      <c r="E1728" s="42" t="str">
        <f aca="false">IF(OR(A1728="",B1728=""),"",DATE(YEAR(B1728),MONTH(B1728),1))</f>
        <v/>
      </c>
      <c r="F1728" s="36" t="n">
        <f aca="false">IF(OR(E1728="",D1728=""),0,IF(C1728="Actual",D1728,IF(COUNTIFS($A$2:$A$2001,A1728,$E$2:$E$2001,E1728,$C$2:$C$2001,"Actual")&gt;0,0,D1728)))</f>
        <v>0</v>
      </c>
    </row>
    <row r="1729" customFormat="false" ht="15" hidden="false" customHeight="false" outlineLevel="0" collapsed="false">
      <c r="A1729" s="32"/>
      <c r="B1729" s="35"/>
      <c r="C1729" s="32"/>
      <c r="D1729" s="34"/>
      <c r="E1729" s="42" t="str">
        <f aca="false">IF(OR(A1729="",B1729=""),"",DATE(YEAR(B1729),MONTH(B1729),1))</f>
        <v/>
      </c>
      <c r="F1729" s="36" t="n">
        <f aca="false">IF(OR(E1729="",D1729=""),0,IF(C1729="Actual",D1729,IF(COUNTIFS($A$2:$A$2001,A1729,$E$2:$E$2001,E1729,$C$2:$C$2001,"Actual")&gt;0,0,D1729)))</f>
        <v>0</v>
      </c>
    </row>
    <row r="1730" customFormat="false" ht="15" hidden="false" customHeight="false" outlineLevel="0" collapsed="false">
      <c r="A1730" s="32"/>
      <c r="B1730" s="35"/>
      <c r="C1730" s="32"/>
      <c r="D1730" s="34"/>
      <c r="E1730" s="42" t="str">
        <f aca="false">IF(OR(A1730="",B1730=""),"",DATE(YEAR(B1730),MONTH(B1730),1))</f>
        <v/>
      </c>
      <c r="F1730" s="36" t="n">
        <f aca="false">IF(OR(E1730="",D1730=""),0,IF(C1730="Actual",D1730,IF(COUNTIFS($A$2:$A$2001,A1730,$E$2:$E$2001,E1730,$C$2:$C$2001,"Actual")&gt;0,0,D1730)))</f>
        <v>0</v>
      </c>
    </row>
    <row r="1731" customFormat="false" ht="15" hidden="false" customHeight="false" outlineLevel="0" collapsed="false">
      <c r="A1731" s="32"/>
      <c r="B1731" s="35"/>
      <c r="C1731" s="32"/>
      <c r="D1731" s="34"/>
      <c r="E1731" s="42" t="str">
        <f aca="false">IF(OR(A1731="",B1731=""),"",DATE(YEAR(B1731),MONTH(B1731),1))</f>
        <v/>
      </c>
      <c r="F1731" s="36" t="n">
        <f aca="false">IF(OR(E1731="",D1731=""),0,IF(C1731="Actual",D1731,IF(COUNTIFS($A$2:$A$2001,A1731,$E$2:$E$2001,E1731,$C$2:$C$2001,"Actual")&gt;0,0,D1731)))</f>
        <v>0</v>
      </c>
    </row>
    <row r="1732" customFormat="false" ht="15" hidden="false" customHeight="false" outlineLevel="0" collapsed="false">
      <c r="A1732" s="32"/>
      <c r="B1732" s="35"/>
      <c r="C1732" s="32"/>
      <c r="D1732" s="34"/>
      <c r="E1732" s="42" t="str">
        <f aca="false">IF(OR(A1732="",B1732=""),"",DATE(YEAR(B1732),MONTH(B1732),1))</f>
        <v/>
      </c>
      <c r="F1732" s="36" t="n">
        <f aca="false">IF(OR(E1732="",D1732=""),0,IF(C1732="Actual",D1732,IF(COUNTIFS($A$2:$A$2001,A1732,$E$2:$E$2001,E1732,$C$2:$C$2001,"Actual")&gt;0,0,D1732)))</f>
        <v>0</v>
      </c>
    </row>
    <row r="1733" customFormat="false" ht="15" hidden="false" customHeight="false" outlineLevel="0" collapsed="false">
      <c r="A1733" s="32"/>
      <c r="B1733" s="35"/>
      <c r="C1733" s="32"/>
      <c r="D1733" s="34"/>
      <c r="E1733" s="42" t="str">
        <f aca="false">IF(OR(A1733="",B1733=""),"",DATE(YEAR(B1733),MONTH(B1733),1))</f>
        <v/>
      </c>
      <c r="F1733" s="36" t="n">
        <f aca="false">IF(OR(E1733="",D1733=""),0,IF(C1733="Actual",D1733,IF(COUNTIFS($A$2:$A$2001,A1733,$E$2:$E$2001,E1733,$C$2:$C$2001,"Actual")&gt;0,0,D1733)))</f>
        <v>0</v>
      </c>
    </row>
    <row r="1734" customFormat="false" ht="15" hidden="false" customHeight="false" outlineLevel="0" collapsed="false">
      <c r="A1734" s="32"/>
      <c r="B1734" s="35"/>
      <c r="C1734" s="32"/>
      <c r="D1734" s="34"/>
      <c r="E1734" s="42" t="str">
        <f aca="false">IF(OR(A1734="",B1734=""),"",DATE(YEAR(B1734),MONTH(B1734),1))</f>
        <v/>
      </c>
      <c r="F1734" s="36" t="n">
        <f aca="false">IF(OR(E1734="",D1734=""),0,IF(C1734="Actual",D1734,IF(COUNTIFS($A$2:$A$2001,A1734,$E$2:$E$2001,E1734,$C$2:$C$2001,"Actual")&gt;0,0,D1734)))</f>
        <v>0</v>
      </c>
    </row>
    <row r="1735" customFormat="false" ht="15" hidden="false" customHeight="false" outlineLevel="0" collapsed="false">
      <c r="A1735" s="32"/>
      <c r="B1735" s="35"/>
      <c r="C1735" s="32"/>
      <c r="D1735" s="34"/>
      <c r="E1735" s="42" t="str">
        <f aca="false">IF(OR(A1735="",B1735=""),"",DATE(YEAR(B1735),MONTH(B1735),1))</f>
        <v/>
      </c>
      <c r="F1735" s="36" t="n">
        <f aca="false">IF(OR(E1735="",D1735=""),0,IF(C1735="Actual",D1735,IF(COUNTIFS($A$2:$A$2001,A1735,$E$2:$E$2001,E1735,$C$2:$C$2001,"Actual")&gt;0,0,D1735)))</f>
        <v>0</v>
      </c>
    </row>
    <row r="1736" customFormat="false" ht="15" hidden="false" customHeight="false" outlineLevel="0" collapsed="false">
      <c r="A1736" s="32"/>
      <c r="B1736" s="35"/>
      <c r="C1736" s="32"/>
      <c r="D1736" s="34"/>
      <c r="E1736" s="42" t="str">
        <f aca="false">IF(OR(A1736="",B1736=""),"",DATE(YEAR(B1736),MONTH(B1736),1))</f>
        <v/>
      </c>
      <c r="F1736" s="36" t="n">
        <f aca="false">IF(OR(E1736="",D1736=""),0,IF(C1736="Actual",D1736,IF(COUNTIFS($A$2:$A$2001,A1736,$E$2:$E$2001,E1736,$C$2:$C$2001,"Actual")&gt;0,0,D1736)))</f>
        <v>0</v>
      </c>
    </row>
    <row r="1737" customFormat="false" ht="15" hidden="false" customHeight="false" outlineLevel="0" collapsed="false">
      <c r="A1737" s="32"/>
      <c r="B1737" s="35"/>
      <c r="C1737" s="32"/>
      <c r="D1737" s="34"/>
      <c r="E1737" s="42" t="str">
        <f aca="false">IF(OR(A1737="",B1737=""),"",DATE(YEAR(B1737),MONTH(B1737),1))</f>
        <v/>
      </c>
      <c r="F1737" s="36" t="n">
        <f aca="false">IF(OR(E1737="",D1737=""),0,IF(C1737="Actual",D1737,IF(COUNTIFS($A$2:$A$2001,A1737,$E$2:$E$2001,E1737,$C$2:$C$2001,"Actual")&gt;0,0,D1737)))</f>
        <v>0</v>
      </c>
    </row>
    <row r="1738" customFormat="false" ht="15" hidden="false" customHeight="false" outlineLevel="0" collapsed="false">
      <c r="A1738" s="32"/>
      <c r="B1738" s="35"/>
      <c r="C1738" s="32"/>
      <c r="D1738" s="34"/>
      <c r="E1738" s="42" t="str">
        <f aca="false">IF(OR(A1738="",B1738=""),"",DATE(YEAR(B1738),MONTH(B1738),1))</f>
        <v/>
      </c>
      <c r="F1738" s="36" t="n">
        <f aca="false">IF(OR(E1738="",D1738=""),0,IF(C1738="Actual",D1738,IF(COUNTIFS($A$2:$A$2001,A1738,$E$2:$E$2001,E1738,$C$2:$C$2001,"Actual")&gt;0,0,D1738)))</f>
        <v>0</v>
      </c>
    </row>
    <row r="1739" customFormat="false" ht="15" hidden="false" customHeight="false" outlineLevel="0" collapsed="false">
      <c r="A1739" s="32"/>
      <c r="B1739" s="35"/>
      <c r="C1739" s="32"/>
      <c r="D1739" s="34"/>
      <c r="E1739" s="42" t="str">
        <f aca="false">IF(OR(A1739="",B1739=""),"",DATE(YEAR(B1739),MONTH(B1739),1))</f>
        <v/>
      </c>
      <c r="F1739" s="36" t="n">
        <f aca="false">IF(OR(E1739="",D1739=""),0,IF(C1739="Actual",D1739,IF(COUNTIFS($A$2:$A$2001,A1739,$E$2:$E$2001,E1739,$C$2:$C$2001,"Actual")&gt;0,0,D1739)))</f>
        <v>0</v>
      </c>
    </row>
    <row r="1740" customFormat="false" ht="15" hidden="false" customHeight="false" outlineLevel="0" collapsed="false">
      <c r="A1740" s="32"/>
      <c r="B1740" s="35"/>
      <c r="C1740" s="32"/>
      <c r="D1740" s="34"/>
      <c r="E1740" s="42" t="str">
        <f aca="false">IF(OR(A1740="",B1740=""),"",DATE(YEAR(B1740),MONTH(B1740),1))</f>
        <v/>
      </c>
      <c r="F1740" s="36" t="n">
        <f aca="false">IF(OR(E1740="",D1740=""),0,IF(C1740="Actual",D1740,IF(COUNTIFS($A$2:$A$2001,A1740,$E$2:$E$2001,E1740,$C$2:$C$2001,"Actual")&gt;0,0,D1740)))</f>
        <v>0</v>
      </c>
    </row>
    <row r="1741" customFormat="false" ht="15" hidden="false" customHeight="false" outlineLevel="0" collapsed="false">
      <c r="A1741" s="32"/>
      <c r="B1741" s="35"/>
      <c r="C1741" s="32"/>
      <c r="D1741" s="34"/>
      <c r="E1741" s="42" t="str">
        <f aca="false">IF(OR(A1741="",B1741=""),"",DATE(YEAR(B1741),MONTH(B1741),1))</f>
        <v/>
      </c>
      <c r="F1741" s="36" t="n">
        <f aca="false">IF(OR(E1741="",D1741=""),0,IF(C1741="Actual",D1741,IF(COUNTIFS($A$2:$A$2001,A1741,$E$2:$E$2001,E1741,$C$2:$C$2001,"Actual")&gt;0,0,D1741)))</f>
        <v>0</v>
      </c>
    </row>
    <row r="1742" customFormat="false" ht="15" hidden="false" customHeight="false" outlineLevel="0" collapsed="false">
      <c r="A1742" s="32"/>
      <c r="B1742" s="35"/>
      <c r="C1742" s="32"/>
      <c r="D1742" s="34"/>
      <c r="E1742" s="42" t="str">
        <f aca="false">IF(OR(A1742="",B1742=""),"",DATE(YEAR(B1742),MONTH(B1742),1))</f>
        <v/>
      </c>
      <c r="F1742" s="36" t="n">
        <f aca="false">IF(OR(E1742="",D1742=""),0,IF(C1742="Actual",D1742,IF(COUNTIFS($A$2:$A$2001,A1742,$E$2:$E$2001,E1742,$C$2:$C$2001,"Actual")&gt;0,0,D1742)))</f>
        <v>0</v>
      </c>
    </row>
    <row r="1743" customFormat="false" ht="15" hidden="false" customHeight="false" outlineLevel="0" collapsed="false">
      <c r="A1743" s="32"/>
      <c r="B1743" s="35"/>
      <c r="C1743" s="32"/>
      <c r="D1743" s="34"/>
      <c r="E1743" s="42" t="str">
        <f aca="false">IF(OR(A1743="",B1743=""),"",DATE(YEAR(B1743),MONTH(B1743),1))</f>
        <v/>
      </c>
      <c r="F1743" s="36" t="n">
        <f aca="false">IF(OR(E1743="",D1743=""),0,IF(C1743="Actual",D1743,IF(COUNTIFS($A$2:$A$2001,A1743,$E$2:$E$2001,E1743,$C$2:$C$2001,"Actual")&gt;0,0,D1743)))</f>
        <v>0</v>
      </c>
    </row>
    <row r="1744" customFormat="false" ht="15" hidden="false" customHeight="false" outlineLevel="0" collapsed="false">
      <c r="A1744" s="32"/>
      <c r="B1744" s="35"/>
      <c r="C1744" s="32"/>
      <c r="D1744" s="34"/>
      <c r="E1744" s="42" t="str">
        <f aca="false">IF(OR(A1744="",B1744=""),"",DATE(YEAR(B1744),MONTH(B1744),1))</f>
        <v/>
      </c>
      <c r="F1744" s="36" t="n">
        <f aca="false">IF(OR(E1744="",D1744=""),0,IF(C1744="Actual",D1744,IF(COUNTIFS($A$2:$A$2001,A1744,$E$2:$E$2001,E1744,$C$2:$C$2001,"Actual")&gt;0,0,D1744)))</f>
        <v>0</v>
      </c>
    </row>
    <row r="1745" customFormat="false" ht="15" hidden="false" customHeight="false" outlineLevel="0" collapsed="false">
      <c r="A1745" s="32"/>
      <c r="B1745" s="35"/>
      <c r="C1745" s="32"/>
      <c r="D1745" s="34"/>
      <c r="E1745" s="42" t="str">
        <f aca="false">IF(OR(A1745="",B1745=""),"",DATE(YEAR(B1745),MONTH(B1745),1))</f>
        <v/>
      </c>
      <c r="F1745" s="36" t="n">
        <f aca="false">IF(OR(E1745="",D1745=""),0,IF(C1745="Actual",D1745,IF(COUNTIFS($A$2:$A$2001,A1745,$E$2:$E$2001,E1745,$C$2:$C$2001,"Actual")&gt;0,0,D1745)))</f>
        <v>0</v>
      </c>
    </row>
    <row r="1746" customFormat="false" ht="15" hidden="false" customHeight="false" outlineLevel="0" collapsed="false">
      <c r="A1746" s="32"/>
      <c r="B1746" s="35"/>
      <c r="C1746" s="32"/>
      <c r="D1746" s="34"/>
      <c r="E1746" s="42" t="str">
        <f aca="false">IF(OR(A1746="",B1746=""),"",DATE(YEAR(B1746),MONTH(B1746),1))</f>
        <v/>
      </c>
      <c r="F1746" s="36" t="n">
        <f aca="false">IF(OR(E1746="",D1746=""),0,IF(C1746="Actual",D1746,IF(COUNTIFS($A$2:$A$2001,A1746,$E$2:$E$2001,E1746,$C$2:$C$2001,"Actual")&gt;0,0,D1746)))</f>
        <v>0</v>
      </c>
    </row>
    <row r="1747" customFormat="false" ht="15" hidden="false" customHeight="false" outlineLevel="0" collapsed="false">
      <c r="A1747" s="32"/>
      <c r="B1747" s="35"/>
      <c r="C1747" s="32"/>
      <c r="D1747" s="34"/>
      <c r="E1747" s="42" t="str">
        <f aca="false">IF(OR(A1747="",B1747=""),"",DATE(YEAR(B1747),MONTH(B1747),1))</f>
        <v/>
      </c>
      <c r="F1747" s="36" t="n">
        <f aca="false">IF(OR(E1747="",D1747=""),0,IF(C1747="Actual",D1747,IF(COUNTIFS($A$2:$A$2001,A1747,$E$2:$E$2001,E1747,$C$2:$C$2001,"Actual")&gt;0,0,D1747)))</f>
        <v>0</v>
      </c>
    </row>
    <row r="1748" customFormat="false" ht="15" hidden="false" customHeight="false" outlineLevel="0" collapsed="false">
      <c r="A1748" s="32"/>
      <c r="B1748" s="35"/>
      <c r="C1748" s="32"/>
      <c r="D1748" s="34"/>
      <c r="E1748" s="42" t="str">
        <f aca="false">IF(OR(A1748="",B1748=""),"",DATE(YEAR(B1748),MONTH(B1748),1))</f>
        <v/>
      </c>
      <c r="F1748" s="36" t="n">
        <f aca="false">IF(OR(E1748="",D1748=""),0,IF(C1748="Actual",D1748,IF(COUNTIFS($A$2:$A$2001,A1748,$E$2:$E$2001,E1748,$C$2:$C$2001,"Actual")&gt;0,0,D1748)))</f>
        <v>0</v>
      </c>
    </row>
    <row r="1749" customFormat="false" ht="15" hidden="false" customHeight="false" outlineLevel="0" collapsed="false">
      <c r="A1749" s="32"/>
      <c r="B1749" s="35"/>
      <c r="C1749" s="32"/>
      <c r="D1749" s="34"/>
      <c r="E1749" s="42" t="str">
        <f aca="false">IF(OR(A1749="",B1749=""),"",DATE(YEAR(B1749),MONTH(B1749),1))</f>
        <v/>
      </c>
      <c r="F1749" s="36" t="n">
        <f aca="false">IF(OR(E1749="",D1749=""),0,IF(C1749="Actual",D1749,IF(COUNTIFS($A$2:$A$2001,A1749,$E$2:$E$2001,E1749,$C$2:$C$2001,"Actual")&gt;0,0,D1749)))</f>
        <v>0</v>
      </c>
    </row>
    <row r="1750" customFormat="false" ht="15" hidden="false" customHeight="false" outlineLevel="0" collapsed="false">
      <c r="A1750" s="32"/>
      <c r="B1750" s="35"/>
      <c r="C1750" s="32"/>
      <c r="D1750" s="34"/>
      <c r="E1750" s="42" t="str">
        <f aca="false">IF(OR(A1750="",B1750=""),"",DATE(YEAR(B1750),MONTH(B1750),1))</f>
        <v/>
      </c>
      <c r="F1750" s="36" t="n">
        <f aca="false">IF(OR(E1750="",D1750=""),0,IF(C1750="Actual",D1750,IF(COUNTIFS($A$2:$A$2001,A1750,$E$2:$E$2001,E1750,$C$2:$C$2001,"Actual")&gt;0,0,D1750)))</f>
        <v>0</v>
      </c>
    </row>
    <row r="1751" customFormat="false" ht="15" hidden="false" customHeight="false" outlineLevel="0" collapsed="false">
      <c r="A1751" s="32"/>
      <c r="B1751" s="35"/>
      <c r="C1751" s="32"/>
      <c r="D1751" s="34"/>
      <c r="E1751" s="42" t="str">
        <f aca="false">IF(OR(A1751="",B1751=""),"",DATE(YEAR(B1751),MONTH(B1751),1))</f>
        <v/>
      </c>
      <c r="F1751" s="36" t="n">
        <f aca="false">IF(OR(E1751="",D1751=""),0,IF(C1751="Actual",D1751,IF(COUNTIFS($A$2:$A$2001,A1751,$E$2:$E$2001,E1751,$C$2:$C$2001,"Actual")&gt;0,0,D1751)))</f>
        <v>0</v>
      </c>
    </row>
    <row r="1752" customFormat="false" ht="15" hidden="false" customHeight="false" outlineLevel="0" collapsed="false">
      <c r="A1752" s="32"/>
      <c r="B1752" s="35"/>
      <c r="C1752" s="32"/>
      <c r="D1752" s="34"/>
      <c r="E1752" s="42" t="str">
        <f aca="false">IF(OR(A1752="",B1752=""),"",DATE(YEAR(B1752),MONTH(B1752),1))</f>
        <v/>
      </c>
      <c r="F1752" s="36" t="n">
        <f aca="false">IF(OR(E1752="",D1752=""),0,IF(C1752="Actual",D1752,IF(COUNTIFS($A$2:$A$2001,A1752,$E$2:$E$2001,E1752,$C$2:$C$2001,"Actual")&gt;0,0,D1752)))</f>
        <v>0</v>
      </c>
    </row>
    <row r="1753" customFormat="false" ht="15" hidden="false" customHeight="false" outlineLevel="0" collapsed="false">
      <c r="A1753" s="32"/>
      <c r="B1753" s="35"/>
      <c r="C1753" s="32"/>
      <c r="D1753" s="34"/>
      <c r="E1753" s="42" t="str">
        <f aca="false">IF(OR(A1753="",B1753=""),"",DATE(YEAR(B1753),MONTH(B1753),1))</f>
        <v/>
      </c>
      <c r="F1753" s="36" t="n">
        <f aca="false">IF(OR(E1753="",D1753=""),0,IF(C1753="Actual",D1753,IF(COUNTIFS($A$2:$A$2001,A1753,$E$2:$E$2001,E1753,$C$2:$C$2001,"Actual")&gt;0,0,D1753)))</f>
        <v>0</v>
      </c>
    </row>
    <row r="1754" customFormat="false" ht="15" hidden="false" customHeight="false" outlineLevel="0" collapsed="false">
      <c r="A1754" s="32"/>
      <c r="B1754" s="35"/>
      <c r="C1754" s="32"/>
      <c r="D1754" s="34"/>
      <c r="E1754" s="42" t="str">
        <f aca="false">IF(OR(A1754="",B1754=""),"",DATE(YEAR(B1754),MONTH(B1754),1))</f>
        <v/>
      </c>
      <c r="F1754" s="36" t="n">
        <f aca="false">IF(OR(E1754="",D1754=""),0,IF(C1754="Actual",D1754,IF(COUNTIFS($A$2:$A$2001,A1754,$E$2:$E$2001,E1754,$C$2:$C$2001,"Actual")&gt;0,0,D1754)))</f>
        <v>0</v>
      </c>
    </row>
    <row r="1755" customFormat="false" ht="15" hidden="false" customHeight="false" outlineLevel="0" collapsed="false">
      <c r="A1755" s="32"/>
      <c r="B1755" s="35"/>
      <c r="C1755" s="32"/>
      <c r="D1755" s="34"/>
      <c r="E1755" s="42" t="str">
        <f aca="false">IF(OR(A1755="",B1755=""),"",DATE(YEAR(B1755),MONTH(B1755),1))</f>
        <v/>
      </c>
      <c r="F1755" s="36" t="n">
        <f aca="false">IF(OR(E1755="",D1755=""),0,IF(C1755="Actual",D1755,IF(COUNTIFS($A$2:$A$2001,A1755,$E$2:$E$2001,E1755,$C$2:$C$2001,"Actual")&gt;0,0,D1755)))</f>
        <v>0</v>
      </c>
    </row>
    <row r="1756" customFormat="false" ht="15" hidden="false" customHeight="false" outlineLevel="0" collapsed="false">
      <c r="A1756" s="32"/>
      <c r="B1756" s="35"/>
      <c r="C1756" s="32"/>
      <c r="D1756" s="34"/>
      <c r="E1756" s="42" t="str">
        <f aca="false">IF(OR(A1756="",B1756=""),"",DATE(YEAR(B1756),MONTH(B1756),1))</f>
        <v/>
      </c>
      <c r="F1756" s="36" t="n">
        <f aca="false">IF(OR(E1756="",D1756=""),0,IF(C1756="Actual",D1756,IF(COUNTIFS($A$2:$A$2001,A1756,$E$2:$E$2001,E1756,$C$2:$C$2001,"Actual")&gt;0,0,D1756)))</f>
        <v>0</v>
      </c>
    </row>
    <row r="1757" customFormat="false" ht="15" hidden="false" customHeight="false" outlineLevel="0" collapsed="false">
      <c r="A1757" s="32"/>
      <c r="B1757" s="35"/>
      <c r="C1757" s="32"/>
      <c r="D1757" s="34"/>
      <c r="E1757" s="42" t="str">
        <f aca="false">IF(OR(A1757="",B1757=""),"",DATE(YEAR(B1757),MONTH(B1757),1))</f>
        <v/>
      </c>
      <c r="F1757" s="36" t="n">
        <f aca="false">IF(OR(E1757="",D1757=""),0,IF(C1757="Actual",D1757,IF(COUNTIFS($A$2:$A$2001,A1757,$E$2:$E$2001,E1757,$C$2:$C$2001,"Actual")&gt;0,0,D1757)))</f>
        <v>0</v>
      </c>
    </row>
    <row r="1758" customFormat="false" ht="15" hidden="false" customHeight="false" outlineLevel="0" collapsed="false">
      <c r="A1758" s="32"/>
      <c r="B1758" s="35"/>
      <c r="C1758" s="32"/>
      <c r="D1758" s="34"/>
      <c r="E1758" s="42" t="str">
        <f aca="false">IF(OR(A1758="",B1758=""),"",DATE(YEAR(B1758),MONTH(B1758),1))</f>
        <v/>
      </c>
      <c r="F1758" s="36" t="n">
        <f aca="false">IF(OR(E1758="",D1758=""),0,IF(C1758="Actual",D1758,IF(COUNTIFS($A$2:$A$2001,A1758,$E$2:$E$2001,E1758,$C$2:$C$2001,"Actual")&gt;0,0,D1758)))</f>
        <v>0</v>
      </c>
    </row>
    <row r="1759" customFormat="false" ht="15" hidden="false" customHeight="false" outlineLevel="0" collapsed="false">
      <c r="A1759" s="32"/>
      <c r="B1759" s="35"/>
      <c r="C1759" s="32"/>
      <c r="D1759" s="34"/>
      <c r="E1759" s="42" t="str">
        <f aca="false">IF(OR(A1759="",B1759=""),"",DATE(YEAR(B1759),MONTH(B1759),1))</f>
        <v/>
      </c>
      <c r="F1759" s="36" t="n">
        <f aca="false">IF(OR(E1759="",D1759=""),0,IF(C1759="Actual",D1759,IF(COUNTIFS($A$2:$A$2001,A1759,$E$2:$E$2001,E1759,$C$2:$C$2001,"Actual")&gt;0,0,D1759)))</f>
        <v>0</v>
      </c>
    </row>
    <row r="1760" customFormat="false" ht="15" hidden="false" customHeight="false" outlineLevel="0" collapsed="false">
      <c r="A1760" s="32"/>
      <c r="B1760" s="35"/>
      <c r="C1760" s="32"/>
      <c r="D1760" s="34"/>
      <c r="E1760" s="42" t="str">
        <f aca="false">IF(OR(A1760="",B1760=""),"",DATE(YEAR(B1760),MONTH(B1760),1))</f>
        <v/>
      </c>
      <c r="F1760" s="36" t="n">
        <f aca="false">IF(OR(E1760="",D1760=""),0,IF(C1760="Actual",D1760,IF(COUNTIFS($A$2:$A$2001,A1760,$E$2:$E$2001,E1760,$C$2:$C$2001,"Actual")&gt;0,0,D1760)))</f>
        <v>0</v>
      </c>
    </row>
    <row r="1761" customFormat="false" ht="15" hidden="false" customHeight="false" outlineLevel="0" collapsed="false">
      <c r="A1761" s="32"/>
      <c r="B1761" s="35"/>
      <c r="C1761" s="32"/>
      <c r="D1761" s="34"/>
      <c r="E1761" s="42" t="str">
        <f aca="false">IF(OR(A1761="",B1761=""),"",DATE(YEAR(B1761),MONTH(B1761),1))</f>
        <v/>
      </c>
      <c r="F1761" s="36" t="n">
        <f aca="false">IF(OR(E1761="",D1761=""),0,IF(C1761="Actual",D1761,IF(COUNTIFS($A$2:$A$2001,A1761,$E$2:$E$2001,E1761,$C$2:$C$2001,"Actual")&gt;0,0,D1761)))</f>
        <v>0</v>
      </c>
    </row>
    <row r="1762" customFormat="false" ht="15" hidden="false" customHeight="false" outlineLevel="0" collapsed="false">
      <c r="A1762" s="32"/>
      <c r="B1762" s="35"/>
      <c r="C1762" s="32"/>
      <c r="D1762" s="34"/>
      <c r="E1762" s="42" t="str">
        <f aca="false">IF(OR(A1762="",B1762=""),"",DATE(YEAR(B1762),MONTH(B1762),1))</f>
        <v/>
      </c>
      <c r="F1762" s="36" t="n">
        <f aca="false">IF(OR(E1762="",D1762=""),0,IF(C1762="Actual",D1762,IF(COUNTIFS($A$2:$A$2001,A1762,$E$2:$E$2001,E1762,$C$2:$C$2001,"Actual")&gt;0,0,D1762)))</f>
        <v>0</v>
      </c>
    </row>
    <row r="1763" customFormat="false" ht="15" hidden="false" customHeight="false" outlineLevel="0" collapsed="false">
      <c r="A1763" s="32"/>
      <c r="B1763" s="35"/>
      <c r="C1763" s="32"/>
      <c r="D1763" s="34"/>
      <c r="E1763" s="42" t="str">
        <f aca="false">IF(OR(A1763="",B1763=""),"",DATE(YEAR(B1763),MONTH(B1763),1))</f>
        <v/>
      </c>
      <c r="F1763" s="36" t="n">
        <f aca="false">IF(OR(E1763="",D1763=""),0,IF(C1763="Actual",D1763,IF(COUNTIFS($A$2:$A$2001,A1763,$E$2:$E$2001,E1763,$C$2:$C$2001,"Actual")&gt;0,0,D1763)))</f>
        <v>0</v>
      </c>
    </row>
    <row r="1764" customFormat="false" ht="15" hidden="false" customHeight="false" outlineLevel="0" collapsed="false">
      <c r="A1764" s="32"/>
      <c r="B1764" s="35"/>
      <c r="C1764" s="32"/>
      <c r="D1764" s="34"/>
      <c r="E1764" s="42" t="str">
        <f aca="false">IF(OR(A1764="",B1764=""),"",DATE(YEAR(B1764),MONTH(B1764),1))</f>
        <v/>
      </c>
      <c r="F1764" s="36" t="n">
        <f aca="false">IF(OR(E1764="",D1764=""),0,IF(C1764="Actual",D1764,IF(COUNTIFS($A$2:$A$2001,A1764,$E$2:$E$2001,E1764,$C$2:$C$2001,"Actual")&gt;0,0,D1764)))</f>
        <v>0</v>
      </c>
    </row>
    <row r="1765" customFormat="false" ht="15" hidden="false" customHeight="false" outlineLevel="0" collapsed="false">
      <c r="A1765" s="32"/>
      <c r="B1765" s="35"/>
      <c r="C1765" s="32"/>
      <c r="D1765" s="34"/>
      <c r="E1765" s="42" t="str">
        <f aca="false">IF(OR(A1765="",B1765=""),"",DATE(YEAR(B1765),MONTH(B1765),1))</f>
        <v/>
      </c>
      <c r="F1765" s="36" t="n">
        <f aca="false">IF(OR(E1765="",D1765=""),0,IF(C1765="Actual",D1765,IF(COUNTIFS($A$2:$A$2001,A1765,$E$2:$E$2001,E1765,$C$2:$C$2001,"Actual")&gt;0,0,D1765)))</f>
        <v>0</v>
      </c>
    </row>
    <row r="1766" customFormat="false" ht="15" hidden="false" customHeight="false" outlineLevel="0" collapsed="false">
      <c r="A1766" s="32"/>
      <c r="B1766" s="35"/>
      <c r="C1766" s="32"/>
      <c r="D1766" s="34"/>
      <c r="E1766" s="42" t="str">
        <f aca="false">IF(OR(A1766="",B1766=""),"",DATE(YEAR(B1766),MONTH(B1766),1))</f>
        <v/>
      </c>
      <c r="F1766" s="36" t="n">
        <f aca="false">IF(OR(E1766="",D1766=""),0,IF(C1766="Actual",D1766,IF(COUNTIFS($A$2:$A$2001,A1766,$E$2:$E$2001,E1766,$C$2:$C$2001,"Actual")&gt;0,0,D1766)))</f>
        <v>0</v>
      </c>
    </row>
    <row r="1767" customFormat="false" ht="15" hidden="false" customHeight="false" outlineLevel="0" collapsed="false">
      <c r="A1767" s="32"/>
      <c r="B1767" s="35"/>
      <c r="C1767" s="32"/>
      <c r="D1767" s="34"/>
      <c r="E1767" s="42" t="str">
        <f aca="false">IF(OR(A1767="",B1767=""),"",DATE(YEAR(B1767),MONTH(B1767),1))</f>
        <v/>
      </c>
      <c r="F1767" s="36" t="n">
        <f aca="false">IF(OR(E1767="",D1767=""),0,IF(C1767="Actual",D1767,IF(COUNTIFS($A$2:$A$2001,A1767,$E$2:$E$2001,E1767,$C$2:$C$2001,"Actual")&gt;0,0,D1767)))</f>
        <v>0</v>
      </c>
    </row>
    <row r="1768" customFormat="false" ht="15" hidden="false" customHeight="false" outlineLevel="0" collapsed="false">
      <c r="A1768" s="32"/>
      <c r="B1768" s="35"/>
      <c r="C1768" s="32"/>
      <c r="D1768" s="34"/>
      <c r="E1768" s="42" t="str">
        <f aca="false">IF(OR(A1768="",B1768=""),"",DATE(YEAR(B1768),MONTH(B1768),1))</f>
        <v/>
      </c>
      <c r="F1768" s="36" t="n">
        <f aca="false">IF(OR(E1768="",D1768=""),0,IF(C1768="Actual",D1768,IF(COUNTIFS($A$2:$A$2001,A1768,$E$2:$E$2001,E1768,$C$2:$C$2001,"Actual")&gt;0,0,D1768)))</f>
        <v>0</v>
      </c>
    </row>
    <row r="1769" customFormat="false" ht="15" hidden="false" customHeight="false" outlineLevel="0" collapsed="false">
      <c r="A1769" s="32"/>
      <c r="B1769" s="35"/>
      <c r="C1769" s="32"/>
      <c r="D1769" s="34"/>
      <c r="E1769" s="42" t="str">
        <f aca="false">IF(OR(A1769="",B1769=""),"",DATE(YEAR(B1769),MONTH(B1769),1))</f>
        <v/>
      </c>
      <c r="F1769" s="36" t="n">
        <f aca="false">IF(OR(E1769="",D1769=""),0,IF(C1769="Actual",D1769,IF(COUNTIFS($A$2:$A$2001,A1769,$E$2:$E$2001,E1769,$C$2:$C$2001,"Actual")&gt;0,0,D1769)))</f>
        <v>0</v>
      </c>
    </row>
    <row r="1770" customFormat="false" ht="15" hidden="false" customHeight="false" outlineLevel="0" collapsed="false">
      <c r="A1770" s="32"/>
      <c r="B1770" s="35"/>
      <c r="C1770" s="32"/>
      <c r="D1770" s="34"/>
      <c r="E1770" s="42" t="str">
        <f aca="false">IF(OR(A1770="",B1770=""),"",DATE(YEAR(B1770),MONTH(B1770),1))</f>
        <v/>
      </c>
      <c r="F1770" s="36" t="n">
        <f aca="false">IF(OR(E1770="",D1770=""),0,IF(C1770="Actual",D1770,IF(COUNTIFS($A$2:$A$2001,A1770,$E$2:$E$2001,E1770,$C$2:$C$2001,"Actual")&gt;0,0,D1770)))</f>
        <v>0</v>
      </c>
    </row>
    <row r="1771" customFormat="false" ht="15" hidden="false" customHeight="false" outlineLevel="0" collapsed="false">
      <c r="A1771" s="32"/>
      <c r="B1771" s="35"/>
      <c r="C1771" s="32"/>
      <c r="D1771" s="34"/>
      <c r="E1771" s="42" t="str">
        <f aca="false">IF(OR(A1771="",B1771=""),"",DATE(YEAR(B1771),MONTH(B1771),1))</f>
        <v/>
      </c>
      <c r="F1771" s="36" t="n">
        <f aca="false">IF(OR(E1771="",D1771=""),0,IF(C1771="Actual",D1771,IF(COUNTIFS($A$2:$A$2001,A1771,$E$2:$E$2001,E1771,$C$2:$C$2001,"Actual")&gt;0,0,D1771)))</f>
        <v>0</v>
      </c>
    </row>
    <row r="1772" customFormat="false" ht="15" hidden="false" customHeight="false" outlineLevel="0" collapsed="false">
      <c r="A1772" s="32"/>
      <c r="B1772" s="35"/>
      <c r="C1772" s="32"/>
      <c r="D1772" s="34"/>
      <c r="E1772" s="42" t="str">
        <f aca="false">IF(OR(A1772="",B1772=""),"",DATE(YEAR(B1772),MONTH(B1772),1))</f>
        <v/>
      </c>
      <c r="F1772" s="36" t="n">
        <f aca="false">IF(OR(E1772="",D1772=""),0,IF(C1772="Actual",D1772,IF(COUNTIFS($A$2:$A$2001,A1772,$E$2:$E$2001,E1772,$C$2:$C$2001,"Actual")&gt;0,0,D1772)))</f>
        <v>0</v>
      </c>
    </row>
    <row r="1773" customFormat="false" ht="15" hidden="false" customHeight="false" outlineLevel="0" collapsed="false">
      <c r="A1773" s="32"/>
      <c r="B1773" s="35"/>
      <c r="C1773" s="32"/>
      <c r="D1773" s="34"/>
      <c r="E1773" s="42" t="str">
        <f aca="false">IF(OR(A1773="",B1773=""),"",DATE(YEAR(B1773),MONTH(B1773),1))</f>
        <v/>
      </c>
      <c r="F1773" s="36" t="n">
        <f aca="false">IF(OR(E1773="",D1773=""),0,IF(C1773="Actual",D1773,IF(COUNTIFS($A$2:$A$2001,A1773,$E$2:$E$2001,E1773,$C$2:$C$2001,"Actual")&gt;0,0,D1773)))</f>
        <v>0</v>
      </c>
    </row>
    <row r="1774" customFormat="false" ht="15" hidden="false" customHeight="false" outlineLevel="0" collapsed="false">
      <c r="A1774" s="32"/>
      <c r="B1774" s="35"/>
      <c r="C1774" s="32"/>
      <c r="D1774" s="34"/>
      <c r="E1774" s="42" t="str">
        <f aca="false">IF(OR(A1774="",B1774=""),"",DATE(YEAR(B1774),MONTH(B1774),1))</f>
        <v/>
      </c>
      <c r="F1774" s="36" t="n">
        <f aca="false">IF(OR(E1774="",D1774=""),0,IF(C1774="Actual",D1774,IF(COUNTIFS($A$2:$A$2001,A1774,$E$2:$E$2001,E1774,$C$2:$C$2001,"Actual")&gt;0,0,D1774)))</f>
        <v>0</v>
      </c>
    </row>
    <row r="1775" customFormat="false" ht="15" hidden="false" customHeight="false" outlineLevel="0" collapsed="false">
      <c r="A1775" s="32"/>
      <c r="B1775" s="35"/>
      <c r="C1775" s="32"/>
      <c r="D1775" s="34"/>
      <c r="E1775" s="42" t="str">
        <f aca="false">IF(OR(A1775="",B1775=""),"",DATE(YEAR(B1775),MONTH(B1775),1))</f>
        <v/>
      </c>
      <c r="F1775" s="36" t="n">
        <f aca="false">IF(OR(E1775="",D1775=""),0,IF(C1775="Actual",D1775,IF(COUNTIFS($A$2:$A$2001,A1775,$E$2:$E$2001,E1775,$C$2:$C$2001,"Actual")&gt;0,0,D1775)))</f>
        <v>0</v>
      </c>
    </row>
    <row r="1776" customFormat="false" ht="15" hidden="false" customHeight="false" outlineLevel="0" collapsed="false">
      <c r="A1776" s="32"/>
      <c r="B1776" s="35"/>
      <c r="C1776" s="32"/>
      <c r="D1776" s="34"/>
      <c r="E1776" s="42" t="str">
        <f aca="false">IF(OR(A1776="",B1776=""),"",DATE(YEAR(B1776),MONTH(B1776),1))</f>
        <v/>
      </c>
      <c r="F1776" s="36" t="n">
        <f aca="false">IF(OR(E1776="",D1776=""),0,IF(C1776="Actual",D1776,IF(COUNTIFS($A$2:$A$2001,A1776,$E$2:$E$2001,E1776,$C$2:$C$2001,"Actual")&gt;0,0,D1776)))</f>
        <v>0</v>
      </c>
    </row>
    <row r="1777" customFormat="false" ht="15" hidden="false" customHeight="false" outlineLevel="0" collapsed="false">
      <c r="A1777" s="32"/>
      <c r="B1777" s="35"/>
      <c r="C1777" s="32"/>
      <c r="D1777" s="34"/>
      <c r="E1777" s="42" t="str">
        <f aca="false">IF(OR(A1777="",B1777=""),"",DATE(YEAR(B1777),MONTH(B1777),1))</f>
        <v/>
      </c>
      <c r="F1777" s="36" t="n">
        <f aca="false">IF(OR(E1777="",D1777=""),0,IF(C1777="Actual",D1777,IF(COUNTIFS($A$2:$A$2001,A1777,$E$2:$E$2001,E1777,$C$2:$C$2001,"Actual")&gt;0,0,D1777)))</f>
        <v>0</v>
      </c>
    </row>
    <row r="1778" customFormat="false" ht="15" hidden="false" customHeight="false" outlineLevel="0" collapsed="false">
      <c r="A1778" s="32"/>
      <c r="B1778" s="35"/>
      <c r="C1778" s="32"/>
      <c r="D1778" s="34"/>
      <c r="E1778" s="42" t="str">
        <f aca="false">IF(OR(A1778="",B1778=""),"",DATE(YEAR(B1778),MONTH(B1778),1))</f>
        <v/>
      </c>
      <c r="F1778" s="36" t="n">
        <f aca="false">IF(OR(E1778="",D1778=""),0,IF(C1778="Actual",D1778,IF(COUNTIFS($A$2:$A$2001,A1778,$E$2:$E$2001,E1778,$C$2:$C$2001,"Actual")&gt;0,0,D1778)))</f>
        <v>0</v>
      </c>
    </row>
    <row r="1779" customFormat="false" ht="15" hidden="false" customHeight="false" outlineLevel="0" collapsed="false">
      <c r="A1779" s="32"/>
      <c r="B1779" s="35"/>
      <c r="C1779" s="32"/>
      <c r="D1779" s="34"/>
      <c r="E1779" s="42" t="str">
        <f aca="false">IF(OR(A1779="",B1779=""),"",DATE(YEAR(B1779),MONTH(B1779),1))</f>
        <v/>
      </c>
      <c r="F1779" s="36" t="n">
        <f aca="false">IF(OR(E1779="",D1779=""),0,IF(C1779="Actual",D1779,IF(COUNTIFS($A$2:$A$2001,A1779,$E$2:$E$2001,E1779,$C$2:$C$2001,"Actual")&gt;0,0,D1779)))</f>
        <v>0</v>
      </c>
    </row>
    <row r="1780" customFormat="false" ht="15" hidden="false" customHeight="false" outlineLevel="0" collapsed="false">
      <c r="A1780" s="32"/>
      <c r="B1780" s="35"/>
      <c r="C1780" s="32"/>
      <c r="D1780" s="34"/>
      <c r="E1780" s="42" t="str">
        <f aca="false">IF(OR(A1780="",B1780=""),"",DATE(YEAR(B1780),MONTH(B1780),1))</f>
        <v/>
      </c>
      <c r="F1780" s="36" t="n">
        <f aca="false">IF(OR(E1780="",D1780=""),0,IF(C1780="Actual",D1780,IF(COUNTIFS($A$2:$A$2001,A1780,$E$2:$E$2001,E1780,$C$2:$C$2001,"Actual")&gt;0,0,D1780)))</f>
        <v>0</v>
      </c>
    </row>
    <row r="1781" customFormat="false" ht="15" hidden="false" customHeight="false" outlineLevel="0" collapsed="false">
      <c r="A1781" s="32"/>
      <c r="B1781" s="35"/>
      <c r="C1781" s="32"/>
      <c r="D1781" s="34"/>
      <c r="E1781" s="42" t="str">
        <f aca="false">IF(OR(A1781="",B1781=""),"",DATE(YEAR(B1781),MONTH(B1781),1))</f>
        <v/>
      </c>
      <c r="F1781" s="36" t="n">
        <f aca="false">IF(OR(E1781="",D1781=""),0,IF(C1781="Actual",D1781,IF(COUNTIFS($A$2:$A$2001,A1781,$E$2:$E$2001,E1781,$C$2:$C$2001,"Actual")&gt;0,0,D1781)))</f>
        <v>0</v>
      </c>
    </row>
    <row r="1782" customFormat="false" ht="15" hidden="false" customHeight="false" outlineLevel="0" collapsed="false">
      <c r="A1782" s="32"/>
      <c r="B1782" s="35"/>
      <c r="C1782" s="32"/>
      <c r="D1782" s="34"/>
      <c r="E1782" s="42" t="str">
        <f aca="false">IF(OR(A1782="",B1782=""),"",DATE(YEAR(B1782),MONTH(B1782),1))</f>
        <v/>
      </c>
      <c r="F1782" s="36" t="n">
        <f aca="false">IF(OR(E1782="",D1782=""),0,IF(C1782="Actual",D1782,IF(COUNTIFS($A$2:$A$2001,A1782,$E$2:$E$2001,E1782,$C$2:$C$2001,"Actual")&gt;0,0,D1782)))</f>
        <v>0</v>
      </c>
    </row>
    <row r="1783" customFormat="false" ht="15" hidden="false" customHeight="false" outlineLevel="0" collapsed="false">
      <c r="A1783" s="32"/>
      <c r="B1783" s="35"/>
      <c r="C1783" s="32"/>
      <c r="D1783" s="34"/>
      <c r="E1783" s="42" t="str">
        <f aca="false">IF(OR(A1783="",B1783=""),"",DATE(YEAR(B1783),MONTH(B1783),1))</f>
        <v/>
      </c>
      <c r="F1783" s="36" t="n">
        <f aca="false">IF(OR(E1783="",D1783=""),0,IF(C1783="Actual",D1783,IF(COUNTIFS($A$2:$A$2001,A1783,$E$2:$E$2001,E1783,$C$2:$C$2001,"Actual")&gt;0,0,D1783)))</f>
        <v>0</v>
      </c>
    </row>
    <row r="1784" customFormat="false" ht="15" hidden="false" customHeight="false" outlineLevel="0" collapsed="false">
      <c r="A1784" s="32"/>
      <c r="B1784" s="35"/>
      <c r="C1784" s="32"/>
      <c r="D1784" s="34"/>
      <c r="E1784" s="42" t="str">
        <f aca="false">IF(OR(A1784="",B1784=""),"",DATE(YEAR(B1784),MONTH(B1784),1))</f>
        <v/>
      </c>
      <c r="F1784" s="36" t="n">
        <f aca="false">IF(OR(E1784="",D1784=""),0,IF(C1784="Actual",D1784,IF(COUNTIFS($A$2:$A$2001,A1784,$E$2:$E$2001,E1784,$C$2:$C$2001,"Actual")&gt;0,0,D1784)))</f>
        <v>0</v>
      </c>
    </row>
    <row r="1785" customFormat="false" ht="15" hidden="false" customHeight="false" outlineLevel="0" collapsed="false">
      <c r="A1785" s="32"/>
      <c r="B1785" s="35"/>
      <c r="C1785" s="32"/>
      <c r="D1785" s="34"/>
      <c r="E1785" s="42" t="str">
        <f aca="false">IF(OR(A1785="",B1785=""),"",DATE(YEAR(B1785),MONTH(B1785),1))</f>
        <v/>
      </c>
      <c r="F1785" s="36" t="n">
        <f aca="false">IF(OR(E1785="",D1785=""),0,IF(C1785="Actual",D1785,IF(COUNTIFS($A$2:$A$2001,A1785,$E$2:$E$2001,E1785,$C$2:$C$2001,"Actual")&gt;0,0,D1785)))</f>
        <v>0</v>
      </c>
    </row>
    <row r="1786" customFormat="false" ht="15" hidden="false" customHeight="false" outlineLevel="0" collapsed="false">
      <c r="A1786" s="32"/>
      <c r="B1786" s="35"/>
      <c r="C1786" s="32"/>
      <c r="D1786" s="34"/>
      <c r="E1786" s="42" t="str">
        <f aca="false">IF(OR(A1786="",B1786=""),"",DATE(YEAR(B1786),MONTH(B1786),1))</f>
        <v/>
      </c>
      <c r="F1786" s="36" t="n">
        <f aca="false">IF(OR(E1786="",D1786=""),0,IF(C1786="Actual",D1786,IF(COUNTIFS($A$2:$A$2001,A1786,$E$2:$E$2001,E1786,$C$2:$C$2001,"Actual")&gt;0,0,D1786)))</f>
        <v>0</v>
      </c>
    </row>
    <row r="1787" customFormat="false" ht="15" hidden="false" customHeight="false" outlineLevel="0" collapsed="false">
      <c r="A1787" s="32"/>
      <c r="B1787" s="35"/>
      <c r="C1787" s="32"/>
      <c r="D1787" s="34"/>
      <c r="E1787" s="42" t="str">
        <f aca="false">IF(OR(A1787="",B1787=""),"",DATE(YEAR(B1787),MONTH(B1787),1))</f>
        <v/>
      </c>
      <c r="F1787" s="36" t="n">
        <f aca="false">IF(OR(E1787="",D1787=""),0,IF(C1787="Actual",D1787,IF(COUNTIFS($A$2:$A$2001,A1787,$E$2:$E$2001,E1787,$C$2:$C$2001,"Actual")&gt;0,0,D1787)))</f>
        <v>0</v>
      </c>
    </row>
    <row r="1788" customFormat="false" ht="15" hidden="false" customHeight="false" outlineLevel="0" collapsed="false">
      <c r="A1788" s="32"/>
      <c r="B1788" s="35"/>
      <c r="C1788" s="32"/>
      <c r="D1788" s="34"/>
      <c r="E1788" s="42" t="str">
        <f aca="false">IF(OR(A1788="",B1788=""),"",DATE(YEAR(B1788),MONTH(B1788),1))</f>
        <v/>
      </c>
      <c r="F1788" s="36" t="n">
        <f aca="false">IF(OR(E1788="",D1788=""),0,IF(C1788="Actual",D1788,IF(COUNTIFS($A$2:$A$2001,A1788,$E$2:$E$2001,E1788,$C$2:$C$2001,"Actual")&gt;0,0,D1788)))</f>
        <v>0</v>
      </c>
    </row>
    <row r="1789" customFormat="false" ht="15" hidden="false" customHeight="false" outlineLevel="0" collapsed="false">
      <c r="A1789" s="32"/>
      <c r="B1789" s="35"/>
      <c r="C1789" s="32"/>
      <c r="D1789" s="34"/>
      <c r="E1789" s="42" t="str">
        <f aca="false">IF(OR(A1789="",B1789=""),"",DATE(YEAR(B1789),MONTH(B1789),1))</f>
        <v/>
      </c>
      <c r="F1789" s="36" t="n">
        <f aca="false">IF(OR(E1789="",D1789=""),0,IF(C1789="Actual",D1789,IF(COUNTIFS($A$2:$A$2001,A1789,$E$2:$E$2001,E1789,$C$2:$C$2001,"Actual")&gt;0,0,D1789)))</f>
        <v>0</v>
      </c>
    </row>
    <row r="1790" customFormat="false" ht="15" hidden="false" customHeight="false" outlineLevel="0" collapsed="false">
      <c r="A1790" s="32"/>
      <c r="B1790" s="35"/>
      <c r="C1790" s="32"/>
      <c r="D1790" s="34"/>
      <c r="E1790" s="42" t="str">
        <f aca="false">IF(OR(A1790="",B1790=""),"",DATE(YEAR(B1790),MONTH(B1790),1))</f>
        <v/>
      </c>
      <c r="F1790" s="36" t="n">
        <f aca="false">IF(OR(E1790="",D1790=""),0,IF(C1790="Actual",D1790,IF(COUNTIFS($A$2:$A$2001,A1790,$E$2:$E$2001,E1790,$C$2:$C$2001,"Actual")&gt;0,0,D1790)))</f>
        <v>0</v>
      </c>
    </row>
    <row r="1791" customFormat="false" ht="15" hidden="false" customHeight="false" outlineLevel="0" collapsed="false">
      <c r="A1791" s="32"/>
      <c r="B1791" s="35"/>
      <c r="C1791" s="32"/>
      <c r="D1791" s="34"/>
      <c r="E1791" s="42" t="str">
        <f aca="false">IF(OR(A1791="",B1791=""),"",DATE(YEAR(B1791),MONTH(B1791),1))</f>
        <v/>
      </c>
      <c r="F1791" s="36" t="n">
        <f aca="false">IF(OR(E1791="",D1791=""),0,IF(C1791="Actual",D1791,IF(COUNTIFS($A$2:$A$2001,A1791,$E$2:$E$2001,E1791,$C$2:$C$2001,"Actual")&gt;0,0,D1791)))</f>
        <v>0</v>
      </c>
    </row>
    <row r="1792" customFormat="false" ht="15" hidden="false" customHeight="false" outlineLevel="0" collapsed="false">
      <c r="A1792" s="32"/>
      <c r="B1792" s="35"/>
      <c r="C1792" s="32"/>
      <c r="D1792" s="34"/>
      <c r="E1792" s="42" t="str">
        <f aca="false">IF(OR(A1792="",B1792=""),"",DATE(YEAR(B1792),MONTH(B1792),1))</f>
        <v/>
      </c>
      <c r="F1792" s="36" t="n">
        <f aca="false">IF(OR(E1792="",D1792=""),0,IF(C1792="Actual",D1792,IF(COUNTIFS($A$2:$A$2001,A1792,$E$2:$E$2001,E1792,$C$2:$C$2001,"Actual")&gt;0,0,D1792)))</f>
        <v>0</v>
      </c>
    </row>
    <row r="1793" customFormat="false" ht="15" hidden="false" customHeight="false" outlineLevel="0" collapsed="false">
      <c r="A1793" s="32"/>
      <c r="B1793" s="35"/>
      <c r="C1793" s="32"/>
      <c r="D1793" s="34"/>
      <c r="E1793" s="42" t="str">
        <f aca="false">IF(OR(A1793="",B1793=""),"",DATE(YEAR(B1793),MONTH(B1793),1))</f>
        <v/>
      </c>
      <c r="F1793" s="36" t="n">
        <f aca="false">IF(OR(E1793="",D1793=""),0,IF(C1793="Actual",D1793,IF(COUNTIFS($A$2:$A$2001,A1793,$E$2:$E$2001,E1793,$C$2:$C$2001,"Actual")&gt;0,0,D1793)))</f>
        <v>0</v>
      </c>
    </row>
    <row r="1794" customFormat="false" ht="15" hidden="false" customHeight="false" outlineLevel="0" collapsed="false">
      <c r="A1794" s="32"/>
      <c r="B1794" s="35"/>
      <c r="C1794" s="32"/>
      <c r="D1794" s="34"/>
      <c r="E1794" s="42" t="str">
        <f aca="false">IF(OR(A1794="",B1794=""),"",DATE(YEAR(B1794),MONTH(B1794),1))</f>
        <v/>
      </c>
      <c r="F1794" s="36" t="n">
        <f aca="false">IF(OR(E1794="",D1794=""),0,IF(C1794="Actual",D1794,IF(COUNTIFS($A$2:$A$2001,A1794,$E$2:$E$2001,E1794,$C$2:$C$2001,"Actual")&gt;0,0,D1794)))</f>
        <v>0</v>
      </c>
    </row>
    <row r="1795" customFormat="false" ht="15" hidden="false" customHeight="false" outlineLevel="0" collapsed="false">
      <c r="A1795" s="32"/>
      <c r="B1795" s="35"/>
      <c r="C1795" s="32"/>
      <c r="D1795" s="34"/>
      <c r="E1795" s="42" t="str">
        <f aca="false">IF(OR(A1795="",B1795=""),"",DATE(YEAR(B1795),MONTH(B1795),1))</f>
        <v/>
      </c>
      <c r="F1795" s="36" t="n">
        <f aca="false">IF(OR(E1795="",D1795=""),0,IF(C1795="Actual",D1795,IF(COUNTIFS($A$2:$A$2001,A1795,$E$2:$E$2001,E1795,$C$2:$C$2001,"Actual")&gt;0,0,D1795)))</f>
        <v>0</v>
      </c>
    </row>
    <row r="1796" customFormat="false" ht="15" hidden="false" customHeight="false" outlineLevel="0" collapsed="false">
      <c r="A1796" s="32"/>
      <c r="B1796" s="35"/>
      <c r="C1796" s="32"/>
      <c r="D1796" s="34"/>
      <c r="E1796" s="42" t="str">
        <f aca="false">IF(OR(A1796="",B1796=""),"",DATE(YEAR(B1796),MONTH(B1796),1))</f>
        <v/>
      </c>
      <c r="F1796" s="36" t="n">
        <f aca="false">IF(OR(E1796="",D1796=""),0,IF(C1796="Actual",D1796,IF(COUNTIFS($A$2:$A$2001,A1796,$E$2:$E$2001,E1796,$C$2:$C$2001,"Actual")&gt;0,0,D1796)))</f>
        <v>0</v>
      </c>
    </row>
    <row r="1797" customFormat="false" ht="15" hidden="false" customHeight="false" outlineLevel="0" collapsed="false">
      <c r="A1797" s="32"/>
      <c r="B1797" s="35"/>
      <c r="C1797" s="32"/>
      <c r="D1797" s="34"/>
      <c r="E1797" s="42" t="str">
        <f aca="false">IF(OR(A1797="",B1797=""),"",DATE(YEAR(B1797),MONTH(B1797),1))</f>
        <v/>
      </c>
      <c r="F1797" s="36" t="n">
        <f aca="false">IF(OR(E1797="",D1797=""),0,IF(C1797="Actual",D1797,IF(COUNTIFS($A$2:$A$2001,A1797,$E$2:$E$2001,E1797,$C$2:$C$2001,"Actual")&gt;0,0,D1797)))</f>
        <v>0</v>
      </c>
    </row>
    <row r="1798" customFormat="false" ht="15" hidden="false" customHeight="false" outlineLevel="0" collapsed="false">
      <c r="A1798" s="32"/>
      <c r="B1798" s="35"/>
      <c r="C1798" s="32"/>
      <c r="D1798" s="34"/>
      <c r="E1798" s="42" t="str">
        <f aca="false">IF(OR(A1798="",B1798=""),"",DATE(YEAR(B1798),MONTH(B1798),1))</f>
        <v/>
      </c>
      <c r="F1798" s="36" t="n">
        <f aca="false">IF(OR(E1798="",D1798=""),0,IF(C1798="Actual",D1798,IF(COUNTIFS($A$2:$A$2001,A1798,$E$2:$E$2001,E1798,$C$2:$C$2001,"Actual")&gt;0,0,D1798)))</f>
        <v>0</v>
      </c>
    </row>
    <row r="1799" customFormat="false" ht="15" hidden="false" customHeight="false" outlineLevel="0" collapsed="false">
      <c r="A1799" s="32"/>
      <c r="B1799" s="35"/>
      <c r="C1799" s="32"/>
      <c r="D1799" s="34"/>
      <c r="E1799" s="42" t="str">
        <f aca="false">IF(OR(A1799="",B1799=""),"",DATE(YEAR(B1799),MONTH(B1799),1))</f>
        <v/>
      </c>
      <c r="F1799" s="36" t="n">
        <f aca="false">IF(OR(E1799="",D1799=""),0,IF(C1799="Actual",D1799,IF(COUNTIFS($A$2:$A$2001,A1799,$E$2:$E$2001,E1799,$C$2:$C$2001,"Actual")&gt;0,0,D1799)))</f>
        <v>0</v>
      </c>
    </row>
    <row r="1800" customFormat="false" ht="15" hidden="false" customHeight="false" outlineLevel="0" collapsed="false">
      <c r="A1800" s="32"/>
      <c r="B1800" s="35"/>
      <c r="C1800" s="32"/>
      <c r="D1800" s="34"/>
      <c r="E1800" s="42" t="str">
        <f aca="false">IF(OR(A1800="",B1800=""),"",DATE(YEAR(B1800),MONTH(B1800),1))</f>
        <v/>
      </c>
      <c r="F1800" s="36" t="n">
        <f aca="false">IF(OR(E1800="",D1800=""),0,IF(C1800="Actual",D1800,IF(COUNTIFS($A$2:$A$2001,A1800,$E$2:$E$2001,E1800,$C$2:$C$2001,"Actual")&gt;0,0,D1800)))</f>
        <v>0</v>
      </c>
    </row>
    <row r="1801" customFormat="false" ht="15" hidden="false" customHeight="false" outlineLevel="0" collapsed="false">
      <c r="A1801" s="32"/>
      <c r="B1801" s="35"/>
      <c r="C1801" s="32"/>
      <c r="D1801" s="34"/>
      <c r="E1801" s="42" t="str">
        <f aca="false">IF(OR(A1801="",B1801=""),"",DATE(YEAR(B1801),MONTH(B1801),1))</f>
        <v/>
      </c>
      <c r="F1801" s="36" t="n">
        <f aca="false">IF(OR(E1801="",D1801=""),0,IF(C1801="Actual",D1801,IF(COUNTIFS($A$2:$A$2001,A1801,$E$2:$E$2001,E1801,$C$2:$C$2001,"Actual")&gt;0,0,D1801)))</f>
        <v>0</v>
      </c>
    </row>
    <row r="1802" customFormat="false" ht="15" hidden="false" customHeight="false" outlineLevel="0" collapsed="false">
      <c r="A1802" s="32"/>
      <c r="B1802" s="35"/>
      <c r="C1802" s="32"/>
      <c r="D1802" s="34"/>
      <c r="E1802" s="42" t="str">
        <f aca="false">IF(OR(A1802="",B1802=""),"",DATE(YEAR(B1802),MONTH(B1802),1))</f>
        <v/>
      </c>
      <c r="F1802" s="36" t="n">
        <f aca="false">IF(OR(E1802="",D1802=""),0,IF(C1802="Actual",D1802,IF(COUNTIFS($A$2:$A$2001,A1802,$E$2:$E$2001,E1802,$C$2:$C$2001,"Actual")&gt;0,0,D1802)))</f>
        <v>0</v>
      </c>
    </row>
    <row r="1803" customFormat="false" ht="15" hidden="false" customHeight="false" outlineLevel="0" collapsed="false">
      <c r="A1803" s="32"/>
      <c r="B1803" s="35"/>
      <c r="C1803" s="32"/>
      <c r="D1803" s="34"/>
      <c r="E1803" s="42" t="str">
        <f aca="false">IF(OR(A1803="",B1803=""),"",DATE(YEAR(B1803),MONTH(B1803),1))</f>
        <v/>
      </c>
      <c r="F1803" s="36" t="n">
        <f aca="false">IF(OR(E1803="",D1803=""),0,IF(C1803="Actual",D1803,IF(COUNTIFS($A$2:$A$2001,A1803,$E$2:$E$2001,E1803,$C$2:$C$2001,"Actual")&gt;0,0,D1803)))</f>
        <v>0</v>
      </c>
    </row>
    <row r="1804" customFormat="false" ht="15" hidden="false" customHeight="false" outlineLevel="0" collapsed="false">
      <c r="A1804" s="32"/>
      <c r="B1804" s="35"/>
      <c r="C1804" s="32"/>
      <c r="D1804" s="34"/>
      <c r="E1804" s="42" t="str">
        <f aca="false">IF(OR(A1804="",B1804=""),"",DATE(YEAR(B1804),MONTH(B1804),1))</f>
        <v/>
      </c>
      <c r="F1804" s="36" t="n">
        <f aca="false">IF(OR(E1804="",D1804=""),0,IF(C1804="Actual",D1804,IF(COUNTIFS($A$2:$A$2001,A1804,$E$2:$E$2001,E1804,$C$2:$C$2001,"Actual")&gt;0,0,D1804)))</f>
        <v>0</v>
      </c>
    </row>
    <row r="1805" customFormat="false" ht="15" hidden="false" customHeight="false" outlineLevel="0" collapsed="false">
      <c r="A1805" s="32"/>
      <c r="B1805" s="35"/>
      <c r="C1805" s="32"/>
      <c r="D1805" s="34"/>
      <c r="E1805" s="42" t="str">
        <f aca="false">IF(OR(A1805="",B1805=""),"",DATE(YEAR(B1805),MONTH(B1805),1))</f>
        <v/>
      </c>
      <c r="F1805" s="36" t="n">
        <f aca="false">IF(OR(E1805="",D1805=""),0,IF(C1805="Actual",D1805,IF(COUNTIFS($A$2:$A$2001,A1805,$E$2:$E$2001,E1805,$C$2:$C$2001,"Actual")&gt;0,0,D1805)))</f>
        <v>0</v>
      </c>
    </row>
    <row r="1806" customFormat="false" ht="15" hidden="false" customHeight="false" outlineLevel="0" collapsed="false">
      <c r="A1806" s="32"/>
      <c r="B1806" s="35"/>
      <c r="C1806" s="32"/>
      <c r="D1806" s="34"/>
      <c r="E1806" s="42" t="str">
        <f aca="false">IF(OR(A1806="",B1806=""),"",DATE(YEAR(B1806),MONTH(B1806),1))</f>
        <v/>
      </c>
      <c r="F1806" s="36" t="n">
        <f aca="false">IF(OR(E1806="",D1806=""),0,IF(C1806="Actual",D1806,IF(COUNTIFS($A$2:$A$2001,A1806,$E$2:$E$2001,E1806,$C$2:$C$2001,"Actual")&gt;0,0,D1806)))</f>
        <v>0</v>
      </c>
    </row>
    <row r="1807" customFormat="false" ht="15" hidden="false" customHeight="false" outlineLevel="0" collapsed="false">
      <c r="A1807" s="32"/>
      <c r="B1807" s="35"/>
      <c r="C1807" s="32"/>
      <c r="D1807" s="34"/>
      <c r="E1807" s="42" t="str">
        <f aca="false">IF(OR(A1807="",B1807=""),"",DATE(YEAR(B1807),MONTH(B1807),1))</f>
        <v/>
      </c>
      <c r="F1807" s="36" t="n">
        <f aca="false">IF(OR(E1807="",D1807=""),0,IF(C1807="Actual",D1807,IF(COUNTIFS($A$2:$A$2001,A1807,$E$2:$E$2001,E1807,$C$2:$C$2001,"Actual")&gt;0,0,D1807)))</f>
        <v>0</v>
      </c>
    </row>
    <row r="1808" customFormat="false" ht="15" hidden="false" customHeight="false" outlineLevel="0" collapsed="false">
      <c r="A1808" s="32"/>
      <c r="B1808" s="35"/>
      <c r="C1808" s="32"/>
      <c r="D1808" s="34"/>
      <c r="E1808" s="42" t="str">
        <f aca="false">IF(OR(A1808="",B1808=""),"",DATE(YEAR(B1808),MONTH(B1808),1))</f>
        <v/>
      </c>
      <c r="F1808" s="36" t="n">
        <f aca="false">IF(OR(E1808="",D1808=""),0,IF(C1808="Actual",D1808,IF(COUNTIFS($A$2:$A$2001,A1808,$E$2:$E$2001,E1808,$C$2:$C$2001,"Actual")&gt;0,0,D1808)))</f>
        <v>0</v>
      </c>
    </row>
    <row r="1809" customFormat="false" ht="15" hidden="false" customHeight="false" outlineLevel="0" collapsed="false">
      <c r="A1809" s="32"/>
      <c r="B1809" s="35"/>
      <c r="C1809" s="32"/>
      <c r="D1809" s="34"/>
      <c r="E1809" s="42" t="str">
        <f aca="false">IF(OR(A1809="",B1809=""),"",DATE(YEAR(B1809),MONTH(B1809),1))</f>
        <v/>
      </c>
      <c r="F1809" s="36" t="n">
        <f aca="false">IF(OR(E1809="",D1809=""),0,IF(C1809="Actual",D1809,IF(COUNTIFS($A$2:$A$2001,A1809,$E$2:$E$2001,E1809,$C$2:$C$2001,"Actual")&gt;0,0,D1809)))</f>
        <v>0</v>
      </c>
    </row>
    <row r="1810" customFormat="false" ht="15" hidden="false" customHeight="false" outlineLevel="0" collapsed="false">
      <c r="A1810" s="32"/>
      <c r="B1810" s="35"/>
      <c r="C1810" s="32"/>
      <c r="D1810" s="34"/>
      <c r="E1810" s="42" t="str">
        <f aca="false">IF(OR(A1810="",B1810=""),"",DATE(YEAR(B1810),MONTH(B1810),1))</f>
        <v/>
      </c>
      <c r="F1810" s="36" t="n">
        <f aca="false">IF(OR(E1810="",D1810=""),0,IF(C1810="Actual",D1810,IF(COUNTIFS($A$2:$A$2001,A1810,$E$2:$E$2001,E1810,$C$2:$C$2001,"Actual")&gt;0,0,D1810)))</f>
        <v>0</v>
      </c>
    </row>
    <row r="1811" customFormat="false" ht="15" hidden="false" customHeight="false" outlineLevel="0" collapsed="false">
      <c r="A1811" s="32"/>
      <c r="B1811" s="35"/>
      <c r="C1811" s="32"/>
      <c r="D1811" s="34"/>
      <c r="E1811" s="42" t="str">
        <f aca="false">IF(OR(A1811="",B1811=""),"",DATE(YEAR(B1811),MONTH(B1811),1))</f>
        <v/>
      </c>
      <c r="F1811" s="36" t="n">
        <f aca="false">IF(OR(E1811="",D1811=""),0,IF(C1811="Actual",D1811,IF(COUNTIFS($A$2:$A$2001,A1811,$E$2:$E$2001,E1811,$C$2:$C$2001,"Actual")&gt;0,0,D1811)))</f>
        <v>0</v>
      </c>
    </row>
    <row r="1812" customFormat="false" ht="15" hidden="false" customHeight="false" outlineLevel="0" collapsed="false">
      <c r="A1812" s="32"/>
      <c r="B1812" s="35"/>
      <c r="C1812" s="32"/>
      <c r="D1812" s="34"/>
      <c r="E1812" s="42" t="str">
        <f aca="false">IF(OR(A1812="",B1812=""),"",DATE(YEAR(B1812),MONTH(B1812),1))</f>
        <v/>
      </c>
      <c r="F1812" s="36" t="n">
        <f aca="false">IF(OR(E1812="",D1812=""),0,IF(C1812="Actual",D1812,IF(COUNTIFS($A$2:$A$2001,A1812,$E$2:$E$2001,E1812,$C$2:$C$2001,"Actual")&gt;0,0,D1812)))</f>
        <v>0</v>
      </c>
    </row>
    <row r="1813" customFormat="false" ht="15" hidden="false" customHeight="false" outlineLevel="0" collapsed="false">
      <c r="A1813" s="32"/>
      <c r="B1813" s="35"/>
      <c r="C1813" s="32"/>
      <c r="D1813" s="34"/>
      <c r="E1813" s="42" t="str">
        <f aca="false">IF(OR(A1813="",B1813=""),"",DATE(YEAR(B1813),MONTH(B1813),1))</f>
        <v/>
      </c>
      <c r="F1813" s="36" t="n">
        <f aca="false">IF(OR(E1813="",D1813=""),0,IF(C1813="Actual",D1813,IF(COUNTIFS($A$2:$A$2001,A1813,$E$2:$E$2001,E1813,$C$2:$C$2001,"Actual")&gt;0,0,D1813)))</f>
        <v>0</v>
      </c>
    </row>
    <row r="1814" customFormat="false" ht="15" hidden="false" customHeight="false" outlineLevel="0" collapsed="false">
      <c r="A1814" s="32"/>
      <c r="B1814" s="35"/>
      <c r="C1814" s="32"/>
      <c r="D1814" s="34"/>
      <c r="E1814" s="42" t="str">
        <f aca="false">IF(OR(A1814="",B1814=""),"",DATE(YEAR(B1814),MONTH(B1814),1))</f>
        <v/>
      </c>
      <c r="F1814" s="36" t="n">
        <f aca="false">IF(OR(E1814="",D1814=""),0,IF(C1814="Actual",D1814,IF(COUNTIFS($A$2:$A$2001,A1814,$E$2:$E$2001,E1814,$C$2:$C$2001,"Actual")&gt;0,0,D1814)))</f>
        <v>0</v>
      </c>
    </row>
    <row r="1815" customFormat="false" ht="15" hidden="false" customHeight="false" outlineLevel="0" collapsed="false">
      <c r="A1815" s="32"/>
      <c r="B1815" s="35"/>
      <c r="C1815" s="32"/>
      <c r="D1815" s="34"/>
      <c r="E1815" s="42" t="str">
        <f aca="false">IF(OR(A1815="",B1815=""),"",DATE(YEAR(B1815),MONTH(B1815),1))</f>
        <v/>
      </c>
      <c r="F1815" s="36" t="n">
        <f aca="false">IF(OR(E1815="",D1815=""),0,IF(C1815="Actual",D1815,IF(COUNTIFS($A$2:$A$2001,A1815,$E$2:$E$2001,E1815,$C$2:$C$2001,"Actual")&gt;0,0,D1815)))</f>
        <v>0</v>
      </c>
    </row>
    <row r="1816" customFormat="false" ht="15" hidden="false" customHeight="false" outlineLevel="0" collapsed="false">
      <c r="A1816" s="32"/>
      <c r="B1816" s="35"/>
      <c r="C1816" s="32"/>
      <c r="D1816" s="34"/>
      <c r="E1816" s="42" t="str">
        <f aca="false">IF(OR(A1816="",B1816=""),"",DATE(YEAR(B1816),MONTH(B1816),1))</f>
        <v/>
      </c>
      <c r="F1816" s="36" t="n">
        <f aca="false">IF(OR(E1816="",D1816=""),0,IF(C1816="Actual",D1816,IF(COUNTIFS($A$2:$A$2001,A1816,$E$2:$E$2001,E1816,$C$2:$C$2001,"Actual")&gt;0,0,D1816)))</f>
        <v>0</v>
      </c>
    </row>
    <row r="1817" customFormat="false" ht="15" hidden="false" customHeight="false" outlineLevel="0" collapsed="false">
      <c r="A1817" s="32"/>
      <c r="B1817" s="35"/>
      <c r="C1817" s="32"/>
      <c r="D1817" s="34"/>
      <c r="E1817" s="42" t="str">
        <f aca="false">IF(OR(A1817="",B1817=""),"",DATE(YEAR(B1817),MONTH(B1817),1))</f>
        <v/>
      </c>
      <c r="F1817" s="36" t="n">
        <f aca="false">IF(OR(E1817="",D1817=""),0,IF(C1817="Actual",D1817,IF(COUNTIFS($A$2:$A$2001,A1817,$E$2:$E$2001,E1817,$C$2:$C$2001,"Actual")&gt;0,0,D1817)))</f>
        <v>0</v>
      </c>
    </row>
    <row r="1818" customFormat="false" ht="15" hidden="false" customHeight="false" outlineLevel="0" collapsed="false">
      <c r="A1818" s="32"/>
      <c r="B1818" s="35"/>
      <c r="C1818" s="32"/>
      <c r="D1818" s="34"/>
      <c r="E1818" s="42" t="str">
        <f aca="false">IF(OR(A1818="",B1818=""),"",DATE(YEAR(B1818),MONTH(B1818),1))</f>
        <v/>
      </c>
      <c r="F1818" s="36" t="n">
        <f aca="false">IF(OR(E1818="",D1818=""),0,IF(C1818="Actual",D1818,IF(COUNTIFS($A$2:$A$2001,A1818,$E$2:$E$2001,E1818,$C$2:$C$2001,"Actual")&gt;0,0,D1818)))</f>
        <v>0</v>
      </c>
    </row>
    <row r="1819" customFormat="false" ht="15" hidden="false" customHeight="false" outlineLevel="0" collapsed="false">
      <c r="A1819" s="32"/>
      <c r="B1819" s="35"/>
      <c r="C1819" s="32"/>
      <c r="D1819" s="34"/>
      <c r="E1819" s="42" t="str">
        <f aca="false">IF(OR(A1819="",B1819=""),"",DATE(YEAR(B1819),MONTH(B1819),1))</f>
        <v/>
      </c>
      <c r="F1819" s="36" t="n">
        <f aca="false">IF(OR(E1819="",D1819=""),0,IF(C1819="Actual",D1819,IF(COUNTIFS($A$2:$A$2001,A1819,$E$2:$E$2001,E1819,$C$2:$C$2001,"Actual")&gt;0,0,D1819)))</f>
        <v>0</v>
      </c>
    </row>
    <row r="1820" customFormat="false" ht="15" hidden="false" customHeight="false" outlineLevel="0" collapsed="false">
      <c r="A1820" s="32"/>
      <c r="B1820" s="35"/>
      <c r="C1820" s="32"/>
      <c r="D1820" s="34"/>
      <c r="E1820" s="42" t="str">
        <f aca="false">IF(OR(A1820="",B1820=""),"",DATE(YEAR(B1820),MONTH(B1820),1))</f>
        <v/>
      </c>
      <c r="F1820" s="36" t="n">
        <f aca="false">IF(OR(E1820="",D1820=""),0,IF(C1820="Actual",D1820,IF(COUNTIFS($A$2:$A$2001,A1820,$E$2:$E$2001,E1820,$C$2:$C$2001,"Actual")&gt;0,0,D1820)))</f>
        <v>0</v>
      </c>
    </row>
    <row r="1821" customFormat="false" ht="15" hidden="false" customHeight="false" outlineLevel="0" collapsed="false">
      <c r="A1821" s="32"/>
      <c r="B1821" s="35"/>
      <c r="C1821" s="32"/>
      <c r="D1821" s="34"/>
      <c r="E1821" s="42" t="str">
        <f aca="false">IF(OR(A1821="",B1821=""),"",DATE(YEAR(B1821),MONTH(B1821),1))</f>
        <v/>
      </c>
      <c r="F1821" s="36" t="n">
        <f aca="false">IF(OR(E1821="",D1821=""),0,IF(C1821="Actual",D1821,IF(COUNTIFS($A$2:$A$2001,A1821,$E$2:$E$2001,E1821,$C$2:$C$2001,"Actual")&gt;0,0,D1821)))</f>
        <v>0</v>
      </c>
    </row>
    <row r="1822" customFormat="false" ht="15" hidden="false" customHeight="false" outlineLevel="0" collapsed="false">
      <c r="A1822" s="32"/>
      <c r="B1822" s="35"/>
      <c r="C1822" s="32"/>
      <c r="D1822" s="34"/>
      <c r="E1822" s="42" t="str">
        <f aca="false">IF(OR(A1822="",B1822=""),"",DATE(YEAR(B1822),MONTH(B1822),1))</f>
        <v/>
      </c>
      <c r="F1822" s="36" t="n">
        <f aca="false">IF(OR(E1822="",D1822=""),0,IF(C1822="Actual",D1822,IF(COUNTIFS($A$2:$A$2001,A1822,$E$2:$E$2001,E1822,$C$2:$C$2001,"Actual")&gt;0,0,D1822)))</f>
        <v>0</v>
      </c>
    </row>
    <row r="1823" customFormat="false" ht="15" hidden="false" customHeight="false" outlineLevel="0" collapsed="false">
      <c r="A1823" s="32"/>
      <c r="B1823" s="35"/>
      <c r="C1823" s="32"/>
      <c r="D1823" s="34"/>
      <c r="E1823" s="42" t="str">
        <f aca="false">IF(OR(A1823="",B1823=""),"",DATE(YEAR(B1823),MONTH(B1823),1))</f>
        <v/>
      </c>
      <c r="F1823" s="36" t="n">
        <f aca="false">IF(OR(E1823="",D1823=""),0,IF(C1823="Actual",D1823,IF(COUNTIFS($A$2:$A$2001,A1823,$E$2:$E$2001,E1823,$C$2:$C$2001,"Actual")&gt;0,0,D1823)))</f>
        <v>0</v>
      </c>
    </row>
    <row r="1824" customFormat="false" ht="15" hidden="false" customHeight="false" outlineLevel="0" collapsed="false">
      <c r="A1824" s="32"/>
      <c r="B1824" s="35"/>
      <c r="C1824" s="32"/>
      <c r="D1824" s="34"/>
      <c r="E1824" s="42" t="str">
        <f aca="false">IF(OR(A1824="",B1824=""),"",DATE(YEAR(B1824),MONTH(B1824),1))</f>
        <v/>
      </c>
      <c r="F1824" s="36" t="n">
        <f aca="false">IF(OR(E1824="",D1824=""),0,IF(C1824="Actual",D1824,IF(COUNTIFS($A$2:$A$2001,A1824,$E$2:$E$2001,E1824,$C$2:$C$2001,"Actual")&gt;0,0,D1824)))</f>
        <v>0</v>
      </c>
    </row>
    <row r="1825" customFormat="false" ht="15" hidden="false" customHeight="false" outlineLevel="0" collapsed="false">
      <c r="A1825" s="32"/>
      <c r="B1825" s="35"/>
      <c r="C1825" s="32"/>
      <c r="D1825" s="34"/>
      <c r="E1825" s="42" t="str">
        <f aca="false">IF(OR(A1825="",B1825=""),"",DATE(YEAR(B1825),MONTH(B1825),1))</f>
        <v/>
      </c>
      <c r="F1825" s="36" t="n">
        <f aca="false">IF(OR(E1825="",D1825=""),0,IF(C1825="Actual",D1825,IF(COUNTIFS($A$2:$A$2001,A1825,$E$2:$E$2001,E1825,$C$2:$C$2001,"Actual")&gt;0,0,D1825)))</f>
        <v>0</v>
      </c>
    </row>
    <row r="1826" customFormat="false" ht="15" hidden="false" customHeight="false" outlineLevel="0" collapsed="false">
      <c r="A1826" s="32"/>
      <c r="B1826" s="35"/>
      <c r="C1826" s="32"/>
      <c r="D1826" s="34"/>
      <c r="E1826" s="42" t="str">
        <f aca="false">IF(OR(A1826="",B1826=""),"",DATE(YEAR(B1826),MONTH(B1826),1))</f>
        <v/>
      </c>
      <c r="F1826" s="36" t="n">
        <f aca="false">IF(OR(E1826="",D1826=""),0,IF(C1826="Actual",D1826,IF(COUNTIFS($A$2:$A$2001,A1826,$E$2:$E$2001,E1826,$C$2:$C$2001,"Actual")&gt;0,0,D1826)))</f>
        <v>0</v>
      </c>
    </row>
    <row r="1827" customFormat="false" ht="15" hidden="false" customHeight="false" outlineLevel="0" collapsed="false">
      <c r="A1827" s="32"/>
      <c r="B1827" s="35"/>
      <c r="C1827" s="32"/>
      <c r="D1827" s="34"/>
      <c r="E1827" s="42" t="str">
        <f aca="false">IF(OR(A1827="",B1827=""),"",DATE(YEAR(B1827),MONTH(B1827),1))</f>
        <v/>
      </c>
      <c r="F1827" s="36" t="n">
        <f aca="false">IF(OR(E1827="",D1827=""),0,IF(C1827="Actual",D1827,IF(COUNTIFS($A$2:$A$2001,A1827,$E$2:$E$2001,E1827,$C$2:$C$2001,"Actual")&gt;0,0,D1827)))</f>
        <v>0</v>
      </c>
    </row>
    <row r="1828" customFormat="false" ht="15" hidden="false" customHeight="false" outlineLevel="0" collapsed="false">
      <c r="A1828" s="32"/>
      <c r="B1828" s="35"/>
      <c r="C1828" s="32"/>
      <c r="D1828" s="34"/>
      <c r="E1828" s="42" t="str">
        <f aca="false">IF(OR(A1828="",B1828=""),"",DATE(YEAR(B1828),MONTH(B1828),1))</f>
        <v/>
      </c>
      <c r="F1828" s="36" t="n">
        <f aca="false">IF(OR(E1828="",D1828=""),0,IF(C1828="Actual",D1828,IF(COUNTIFS($A$2:$A$2001,A1828,$E$2:$E$2001,E1828,$C$2:$C$2001,"Actual")&gt;0,0,D1828)))</f>
        <v>0</v>
      </c>
    </row>
    <row r="1829" customFormat="false" ht="15" hidden="false" customHeight="false" outlineLevel="0" collapsed="false">
      <c r="A1829" s="32"/>
      <c r="B1829" s="35"/>
      <c r="C1829" s="32"/>
      <c r="D1829" s="34"/>
      <c r="E1829" s="42" t="str">
        <f aca="false">IF(OR(A1829="",B1829=""),"",DATE(YEAR(B1829),MONTH(B1829),1))</f>
        <v/>
      </c>
      <c r="F1829" s="36" t="n">
        <f aca="false">IF(OR(E1829="",D1829=""),0,IF(C1829="Actual",D1829,IF(COUNTIFS($A$2:$A$2001,A1829,$E$2:$E$2001,E1829,$C$2:$C$2001,"Actual")&gt;0,0,D1829)))</f>
        <v>0</v>
      </c>
    </row>
    <row r="1830" customFormat="false" ht="15" hidden="false" customHeight="false" outlineLevel="0" collapsed="false">
      <c r="A1830" s="32"/>
      <c r="B1830" s="35"/>
      <c r="C1830" s="32"/>
      <c r="D1830" s="34"/>
      <c r="E1830" s="42" t="str">
        <f aca="false">IF(OR(A1830="",B1830=""),"",DATE(YEAR(B1830),MONTH(B1830),1))</f>
        <v/>
      </c>
      <c r="F1830" s="36" t="n">
        <f aca="false">IF(OR(E1830="",D1830=""),0,IF(C1830="Actual",D1830,IF(COUNTIFS($A$2:$A$2001,A1830,$E$2:$E$2001,E1830,$C$2:$C$2001,"Actual")&gt;0,0,D1830)))</f>
        <v>0</v>
      </c>
    </row>
    <row r="1831" customFormat="false" ht="15" hidden="false" customHeight="false" outlineLevel="0" collapsed="false">
      <c r="A1831" s="32"/>
      <c r="B1831" s="35"/>
      <c r="C1831" s="32"/>
      <c r="D1831" s="34"/>
      <c r="E1831" s="42" t="str">
        <f aca="false">IF(OR(A1831="",B1831=""),"",DATE(YEAR(B1831),MONTH(B1831),1))</f>
        <v/>
      </c>
      <c r="F1831" s="36" t="n">
        <f aca="false">IF(OR(E1831="",D1831=""),0,IF(C1831="Actual",D1831,IF(COUNTIFS($A$2:$A$2001,A1831,$E$2:$E$2001,E1831,$C$2:$C$2001,"Actual")&gt;0,0,D1831)))</f>
        <v>0</v>
      </c>
    </row>
    <row r="1832" customFormat="false" ht="15" hidden="false" customHeight="false" outlineLevel="0" collapsed="false">
      <c r="A1832" s="32"/>
      <c r="B1832" s="35"/>
      <c r="C1832" s="32"/>
      <c r="D1832" s="34"/>
      <c r="E1832" s="42" t="str">
        <f aca="false">IF(OR(A1832="",B1832=""),"",DATE(YEAR(B1832),MONTH(B1832),1))</f>
        <v/>
      </c>
      <c r="F1832" s="36" t="n">
        <f aca="false">IF(OR(E1832="",D1832=""),0,IF(C1832="Actual",D1832,IF(COUNTIFS($A$2:$A$2001,A1832,$E$2:$E$2001,E1832,$C$2:$C$2001,"Actual")&gt;0,0,D1832)))</f>
        <v>0</v>
      </c>
    </row>
    <row r="1833" customFormat="false" ht="15" hidden="false" customHeight="false" outlineLevel="0" collapsed="false">
      <c r="A1833" s="32"/>
      <c r="B1833" s="35"/>
      <c r="C1833" s="32"/>
      <c r="D1833" s="34"/>
      <c r="E1833" s="42" t="str">
        <f aca="false">IF(OR(A1833="",B1833=""),"",DATE(YEAR(B1833),MONTH(B1833),1))</f>
        <v/>
      </c>
      <c r="F1833" s="36" t="n">
        <f aca="false">IF(OR(E1833="",D1833=""),0,IF(C1833="Actual",D1833,IF(COUNTIFS($A$2:$A$2001,A1833,$E$2:$E$2001,E1833,$C$2:$C$2001,"Actual")&gt;0,0,D1833)))</f>
        <v>0</v>
      </c>
    </row>
    <row r="1834" customFormat="false" ht="15" hidden="false" customHeight="false" outlineLevel="0" collapsed="false">
      <c r="A1834" s="32"/>
      <c r="B1834" s="35"/>
      <c r="C1834" s="32"/>
      <c r="D1834" s="34"/>
      <c r="E1834" s="42" t="str">
        <f aca="false">IF(OR(A1834="",B1834=""),"",DATE(YEAR(B1834),MONTH(B1834),1))</f>
        <v/>
      </c>
      <c r="F1834" s="36" t="n">
        <f aca="false">IF(OR(E1834="",D1834=""),0,IF(C1834="Actual",D1834,IF(COUNTIFS($A$2:$A$2001,A1834,$E$2:$E$2001,E1834,$C$2:$C$2001,"Actual")&gt;0,0,D1834)))</f>
        <v>0</v>
      </c>
    </row>
    <row r="1835" customFormat="false" ht="15" hidden="false" customHeight="false" outlineLevel="0" collapsed="false">
      <c r="A1835" s="32"/>
      <c r="B1835" s="35"/>
      <c r="C1835" s="32"/>
      <c r="D1835" s="34"/>
      <c r="E1835" s="42" t="str">
        <f aca="false">IF(OR(A1835="",B1835=""),"",DATE(YEAR(B1835),MONTH(B1835),1))</f>
        <v/>
      </c>
      <c r="F1835" s="36" t="n">
        <f aca="false">IF(OR(E1835="",D1835=""),0,IF(C1835="Actual",D1835,IF(COUNTIFS($A$2:$A$2001,A1835,$E$2:$E$2001,E1835,$C$2:$C$2001,"Actual")&gt;0,0,D1835)))</f>
        <v>0</v>
      </c>
    </row>
    <row r="1836" customFormat="false" ht="15" hidden="false" customHeight="false" outlineLevel="0" collapsed="false">
      <c r="A1836" s="32"/>
      <c r="B1836" s="35"/>
      <c r="C1836" s="32"/>
      <c r="D1836" s="34"/>
      <c r="E1836" s="42" t="str">
        <f aca="false">IF(OR(A1836="",B1836=""),"",DATE(YEAR(B1836),MONTH(B1836),1))</f>
        <v/>
      </c>
      <c r="F1836" s="36" t="n">
        <f aca="false">IF(OR(E1836="",D1836=""),0,IF(C1836="Actual",D1836,IF(COUNTIFS($A$2:$A$2001,A1836,$E$2:$E$2001,E1836,$C$2:$C$2001,"Actual")&gt;0,0,D1836)))</f>
        <v>0</v>
      </c>
    </row>
    <row r="1837" customFormat="false" ht="15" hidden="false" customHeight="false" outlineLevel="0" collapsed="false">
      <c r="A1837" s="32"/>
      <c r="B1837" s="35"/>
      <c r="C1837" s="32"/>
      <c r="D1837" s="34"/>
      <c r="E1837" s="42" t="str">
        <f aca="false">IF(OR(A1837="",B1837=""),"",DATE(YEAR(B1837),MONTH(B1837),1))</f>
        <v/>
      </c>
      <c r="F1837" s="36" t="n">
        <f aca="false">IF(OR(E1837="",D1837=""),0,IF(C1837="Actual",D1837,IF(COUNTIFS($A$2:$A$2001,A1837,$E$2:$E$2001,E1837,$C$2:$C$2001,"Actual")&gt;0,0,D1837)))</f>
        <v>0</v>
      </c>
    </row>
    <row r="1838" customFormat="false" ht="15" hidden="false" customHeight="false" outlineLevel="0" collapsed="false">
      <c r="A1838" s="32"/>
      <c r="B1838" s="35"/>
      <c r="C1838" s="32"/>
      <c r="D1838" s="34"/>
      <c r="E1838" s="42" t="str">
        <f aca="false">IF(OR(A1838="",B1838=""),"",DATE(YEAR(B1838),MONTH(B1838),1))</f>
        <v/>
      </c>
      <c r="F1838" s="36" t="n">
        <f aca="false">IF(OR(E1838="",D1838=""),0,IF(C1838="Actual",D1838,IF(COUNTIFS($A$2:$A$2001,A1838,$E$2:$E$2001,E1838,$C$2:$C$2001,"Actual")&gt;0,0,D1838)))</f>
        <v>0</v>
      </c>
    </row>
    <row r="1839" customFormat="false" ht="15" hidden="false" customHeight="false" outlineLevel="0" collapsed="false">
      <c r="A1839" s="32"/>
      <c r="B1839" s="35"/>
      <c r="C1839" s="32"/>
      <c r="D1839" s="34"/>
      <c r="E1839" s="42" t="str">
        <f aca="false">IF(OR(A1839="",B1839=""),"",DATE(YEAR(B1839),MONTH(B1839),1))</f>
        <v/>
      </c>
      <c r="F1839" s="36" t="n">
        <f aca="false">IF(OR(E1839="",D1839=""),0,IF(C1839="Actual",D1839,IF(COUNTIFS($A$2:$A$2001,A1839,$E$2:$E$2001,E1839,$C$2:$C$2001,"Actual")&gt;0,0,D1839)))</f>
        <v>0</v>
      </c>
    </row>
    <row r="1840" customFormat="false" ht="15" hidden="false" customHeight="false" outlineLevel="0" collapsed="false">
      <c r="A1840" s="32"/>
      <c r="B1840" s="35"/>
      <c r="C1840" s="32"/>
      <c r="D1840" s="34"/>
      <c r="E1840" s="42" t="str">
        <f aca="false">IF(OR(A1840="",B1840=""),"",DATE(YEAR(B1840),MONTH(B1840),1))</f>
        <v/>
      </c>
      <c r="F1840" s="36" t="n">
        <f aca="false">IF(OR(E1840="",D1840=""),0,IF(C1840="Actual",D1840,IF(COUNTIFS($A$2:$A$2001,A1840,$E$2:$E$2001,E1840,$C$2:$C$2001,"Actual")&gt;0,0,D1840)))</f>
        <v>0</v>
      </c>
    </row>
    <row r="1841" customFormat="false" ht="15" hidden="false" customHeight="false" outlineLevel="0" collapsed="false">
      <c r="A1841" s="32"/>
      <c r="B1841" s="35"/>
      <c r="C1841" s="32"/>
      <c r="D1841" s="34"/>
      <c r="E1841" s="42" t="str">
        <f aca="false">IF(OR(A1841="",B1841=""),"",DATE(YEAR(B1841),MONTH(B1841),1))</f>
        <v/>
      </c>
      <c r="F1841" s="36" t="n">
        <f aca="false">IF(OR(E1841="",D1841=""),0,IF(C1841="Actual",D1841,IF(COUNTIFS($A$2:$A$2001,A1841,$E$2:$E$2001,E1841,$C$2:$C$2001,"Actual")&gt;0,0,D1841)))</f>
        <v>0</v>
      </c>
    </row>
    <row r="1842" customFormat="false" ht="15" hidden="false" customHeight="false" outlineLevel="0" collapsed="false">
      <c r="A1842" s="32"/>
      <c r="B1842" s="35"/>
      <c r="C1842" s="32"/>
      <c r="D1842" s="34"/>
      <c r="E1842" s="42" t="str">
        <f aca="false">IF(OR(A1842="",B1842=""),"",DATE(YEAR(B1842),MONTH(B1842),1))</f>
        <v/>
      </c>
      <c r="F1842" s="36" t="n">
        <f aca="false">IF(OR(E1842="",D1842=""),0,IF(C1842="Actual",D1842,IF(COUNTIFS($A$2:$A$2001,A1842,$E$2:$E$2001,E1842,$C$2:$C$2001,"Actual")&gt;0,0,D1842)))</f>
        <v>0</v>
      </c>
    </row>
    <row r="1843" customFormat="false" ht="15" hidden="false" customHeight="false" outlineLevel="0" collapsed="false">
      <c r="A1843" s="32"/>
      <c r="B1843" s="35"/>
      <c r="C1843" s="32"/>
      <c r="D1843" s="34"/>
      <c r="E1843" s="42" t="str">
        <f aca="false">IF(OR(A1843="",B1843=""),"",DATE(YEAR(B1843),MONTH(B1843),1))</f>
        <v/>
      </c>
      <c r="F1843" s="36" t="n">
        <f aca="false">IF(OR(E1843="",D1843=""),0,IF(C1843="Actual",D1843,IF(COUNTIFS($A$2:$A$2001,A1843,$E$2:$E$2001,E1843,$C$2:$C$2001,"Actual")&gt;0,0,D1843)))</f>
        <v>0</v>
      </c>
    </row>
    <row r="1844" customFormat="false" ht="15" hidden="false" customHeight="false" outlineLevel="0" collapsed="false">
      <c r="A1844" s="32"/>
      <c r="B1844" s="35"/>
      <c r="C1844" s="32"/>
      <c r="D1844" s="34"/>
      <c r="E1844" s="42" t="str">
        <f aca="false">IF(OR(A1844="",B1844=""),"",DATE(YEAR(B1844),MONTH(B1844),1))</f>
        <v/>
      </c>
      <c r="F1844" s="36" t="n">
        <f aca="false">IF(OR(E1844="",D1844=""),0,IF(C1844="Actual",D1844,IF(COUNTIFS($A$2:$A$2001,A1844,$E$2:$E$2001,E1844,$C$2:$C$2001,"Actual")&gt;0,0,D1844)))</f>
        <v>0</v>
      </c>
    </row>
    <row r="1845" customFormat="false" ht="15" hidden="false" customHeight="false" outlineLevel="0" collapsed="false">
      <c r="A1845" s="32"/>
      <c r="B1845" s="35"/>
      <c r="C1845" s="32"/>
      <c r="D1845" s="34"/>
      <c r="E1845" s="42" t="str">
        <f aca="false">IF(OR(A1845="",B1845=""),"",DATE(YEAR(B1845),MONTH(B1845),1))</f>
        <v/>
      </c>
      <c r="F1845" s="36" t="n">
        <f aca="false">IF(OR(E1845="",D1845=""),0,IF(C1845="Actual",D1845,IF(COUNTIFS($A$2:$A$2001,A1845,$E$2:$E$2001,E1845,$C$2:$C$2001,"Actual")&gt;0,0,D1845)))</f>
        <v>0</v>
      </c>
    </row>
    <row r="1846" customFormat="false" ht="15" hidden="false" customHeight="false" outlineLevel="0" collapsed="false">
      <c r="A1846" s="32"/>
      <c r="B1846" s="35"/>
      <c r="C1846" s="32"/>
      <c r="D1846" s="34"/>
      <c r="E1846" s="42" t="str">
        <f aca="false">IF(OR(A1846="",B1846=""),"",DATE(YEAR(B1846),MONTH(B1846),1))</f>
        <v/>
      </c>
      <c r="F1846" s="36" t="n">
        <f aca="false">IF(OR(E1846="",D1846=""),0,IF(C1846="Actual",D1846,IF(COUNTIFS($A$2:$A$2001,A1846,$E$2:$E$2001,E1846,$C$2:$C$2001,"Actual")&gt;0,0,D1846)))</f>
        <v>0</v>
      </c>
    </row>
    <row r="1847" customFormat="false" ht="15" hidden="false" customHeight="false" outlineLevel="0" collapsed="false">
      <c r="A1847" s="32"/>
      <c r="B1847" s="35"/>
      <c r="C1847" s="32"/>
      <c r="D1847" s="34"/>
      <c r="E1847" s="42" t="str">
        <f aca="false">IF(OR(A1847="",B1847=""),"",DATE(YEAR(B1847),MONTH(B1847),1))</f>
        <v/>
      </c>
      <c r="F1847" s="36" t="n">
        <f aca="false">IF(OR(E1847="",D1847=""),0,IF(C1847="Actual",D1847,IF(COUNTIFS($A$2:$A$2001,A1847,$E$2:$E$2001,E1847,$C$2:$C$2001,"Actual")&gt;0,0,D1847)))</f>
        <v>0</v>
      </c>
    </row>
    <row r="1848" customFormat="false" ht="15" hidden="false" customHeight="false" outlineLevel="0" collapsed="false">
      <c r="A1848" s="32"/>
      <c r="B1848" s="35"/>
      <c r="C1848" s="32"/>
      <c r="D1848" s="34"/>
      <c r="E1848" s="42" t="str">
        <f aca="false">IF(OR(A1848="",B1848=""),"",DATE(YEAR(B1848),MONTH(B1848),1))</f>
        <v/>
      </c>
      <c r="F1848" s="36" t="n">
        <f aca="false">IF(OR(E1848="",D1848=""),0,IF(C1848="Actual",D1848,IF(COUNTIFS($A$2:$A$2001,A1848,$E$2:$E$2001,E1848,$C$2:$C$2001,"Actual")&gt;0,0,D1848)))</f>
        <v>0</v>
      </c>
    </row>
    <row r="1849" customFormat="false" ht="15" hidden="false" customHeight="false" outlineLevel="0" collapsed="false">
      <c r="A1849" s="32"/>
      <c r="B1849" s="35"/>
      <c r="C1849" s="32"/>
      <c r="D1849" s="34"/>
      <c r="E1849" s="42" t="str">
        <f aca="false">IF(OR(A1849="",B1849=""),"",DATE(YEAR(B1849),MONTH(B1849),1))</f>
        <v/>
      </c>
      <c r="F1849" s="36" t="n">
        <f aca="false">IF(OR(E1849="",D1849=""),0,IF(C1849="Actual",D1849,IF(COUNTIFS($A$2:$A$2001,A1849,$E$2:$E$2001,E1849,$C$2:$C$2001,"Actual")&gt;0,0,D1849)))</f>
        <v>0</v>
      </c>
    </row>
    <row r="1850" customFormat="false" ht="15" hidden="false" customHeight="false" outlineLevel="0" collapsed="false">
      <c r="A1850" s="32"/>
      <c r="B1850" s="35"/>
      <c r="C1850" s="32"/>
      <c r="D1850" s="34"/>
      <c r="E1850" s="42" t="str">
        <f aca="false">IF(OR(A1850="",B1850=""),"",DATE(YEAR(B1850),MONTH(B1850),1))</f>
        <v/>
      </c>
      <c r="F1850" s="36" t="n">
        <f aca="false">IF(OR(E1850="",D1850=""),0,IF(C1850="Actual",D1850,IF(COUNTIFS($A$2:$A$2001,A1850,$E$2:$E$2001,E1850,$C$2:$C$2001,"Actual")&gt;0,0,D1850)))</f>
        <v>0</v>
      </c>
    </row>
    <row r="1851" customFormat="false" ht="15" hidden="false" customHeight="false" outlineLevel="0" collapsed="false">
      <c r="A1851" s="32"/>
      <c r="B1851" s="35"/>
      <c r="C1851" s="32"/>
      <c r="D1851" s="34"/>
      <c r="E1851" s="42" t="str">
        <f aca="false">IF(OR(A1851="",B1851=""),"",DATE(YEAR(B1851),MONTH(B1851),1))</f>
        <v/>
      </c>
      <c r="F1851" s="36" t="n">
        <f aca="false">IF(OR(E1851="",D1851=""),0,IF(C1851="Actual",D1851,IF(COUNTIFS($A$2:$A$2001,A1851,$E$2:$E$2001,E1851,$C$2:$C$2001,"Actual")&gt;0,0,D1851)))</f>
        <v>0</v>
      </c>
    </row>
    <row r="1852" customFormat="false" ht="15" hidden="false" customHeight="false" outlineLevel="0" collapsed="false">
      <c r="A1852" s="32"/>
      <c r="B1852" s="35"/>
      <c r="C1852" s="32"/>
      <c r="D1852" s="34"/>
      <c r="E1852" s="42" t="str">
        <f aca="false">IF(OR(A1852="",B1852=""),"",DATE(YEAR(B1852),MONTH(B1852),1))</f>
        <v/>
      </c>
      <c r="F1852" s="36" t="n">
        <f aca="false">IF(OR(E1852="",D1852=""),0,IF(C1852="Actual",D1852,IF(COUNTIFS($A$2:$A$2001,A1852,$E$2:$E$2001,E1852,$C$2:$C$2001,"Actual")&gt;0,0,D1852)))</f>
        <v>0</v>
      </c>
    </row>
    <row r="1853" customFormat="false" ht="15" hidden="false" customHeight="false" outlineLevel="0" collapsed="false">
      <c r="A1853" s="32"/>
      <c r="B1853" s="35"/>
      <c r="C1853" s="32"/>
      <c r="D1853" s="34"/>
      <c r="E1853" s="42" t="str">
        <f aca="false">IF(OR(A1853="",B1853=""),"",DATE(YEAR(B1853),MONTH(B1853),1))</f>
        <v/>
      </c>
      <c r="F1853" s="36" t="n">
        <f aca="false">IF(OR(E1853="",D1853=""),0,IF(C1853="Actual",D1853,IF(COUNTIFS($A$2:$A$2001,A1853,$E$2:$E$2001,E1853,$C$2:$C$2001,"Actual")&gt;0,0,D1853)))</f>
        <v>0</v>
      </c>
    </row>
    <row r="1854" customFormat="false" ht="15" hidden="false" customHeight="false" outlineLevel="0" collapsed="false">
      <c r="A1854" s="32"/>
      <c r="B1854" s="35"/>
      <c r="C1854" s="32"/>
      <c r="D1854" s="34"/>
      <c r="E1854" s="42" t="str">
        <f aca="false">IF(OR(A1854="",B1854=""),"",DATE(YEAR(B1854),MONTH(B1854),1))</f>
        <v/>
      </c>
      <c r="F1854" s="36" t="n">
        <f aca="false">IF(OR(E1854="",D1854=""),0,IF(C1854="Actual",D1854,IF(COUNTIFS($A$2:$A$2001,A1854,$E$2:$E$2001,E1854,$C$2:$C$2001,"Actual")&gt;0,0,D1854)))</f>
        <v>0</v>
      </c>
    </row>
    <row r="1855" customFormat="false" ht="15" hidden="false" customHeight="false" outlineLevel="0" collapsed="false">
      <c r="A1855" s="32"/>
      <c r="B1855" s="35"/>
      <c r="C1855" s="32"/>
      <c r="D1855" s="34"/>
      <c r="E1855" s="42" t="str">
        <f aca="false">IF(OR(A1855="",B1855=""),"",DATE(YEAR(B1855),MONTH(B1855),1))</f>
        <v/>
      </c>
      <c r="F1855" s="36" t="n">
        <f aca="false">IF(OR(E1855="",D1855=""),0,IF(C1855="Actual",D1855,IF(COUNTIFS($A$2:$A$2001,A1855,$E$2:$E$2001,E1855,$C$2:$C$2001,"Actual")&gt;0,0,D1855)))</f>
        <v>0</v>
      </c>
    </row>
    <row r="1856" customFormat="false" ht="15" hidden="false" customHeight="false" outlineLevel="0" collapsed="false">
      <c r="A1856" s="32"/>
      <c r="B1856" s="35"/>
      <c r="C1856" s="32"/>
      <c r="D1856" s="34"/>
      <c r="E1856" s="42" t="str">
        <f aca="false">IF(OR(A1856="",B1856=""),"",DATE(YEAR(B1856),MONTH(B1856),1))</f>
        <v/>
      </c>
      <c r="F1856" s="36" t="n">
        <f aca="false">IF(OR(E1856="",D1856=""),0,IF(C1856="Actual",D1856,IF(COUNTIFS($A$2:$A$2001,A1856,$E$2:$E$2001,E1856,$C$2:$C$2001,"Actual")&gt;0,0,D1856)))</f>
        <v>0</v>
      </c>
    </row>
    <row r="1857" customFormat="false" ht="15" hidden="false" customHeight="false" outlineLevel="0" collapsed="false">
      <c r="A1857" s="32"/>
      <c r="B1857" s="35"/>
      <c r="C1857" s="32"/>
      <c r="D1857" s="34"/>
      <c r="E1857" s="42" t="str">
        <f aca="false">IF(OR(A1857="",B1857=""),"",DATE(YEAR(B1857),MONTH(B1857),1))</f>
        <v/>
      </c>
      <c r="F1857" s="36" t="n">
        <f aca="false">IF(OR(E1857="",D1857=""),0,IF(C1857="Actual",D1857,IF(COUNTIFS($A$2:$A$2001,A1857,$E$2:$E$2001,E1857,$C$2:$C$2001,"Actual")&gt;0,0,D1857)))</f>
        <v>0</v>
      </c>
    </row>
    <row r="1858" customFormat="false" ht="15" hidden="false" customHeight="false" outlineLevel="0" collapsed="false">
      <c r="A1858" s="32"/>
      <c r="B1858" s="35"/>
      <c r="C1858" s="32"/>
      <c r="D1858" s="34"/>
      <c r="E1858" s="42" t="str">
        <f aca="false">IF(OR(A1858="",B1858=""),"",DATE(YEAR(B1858),MONTH(B1858),1))</f>
        <v/>
      </c>
      <c r="F1858" s="36" t="n">
        <f aca="false">IF(OR(E1858="",D1858=""),0,IF(C1858="Actual",D1858,IF(COUNTIFS($A$2:$A$2001,A1858,$E$2:$E$2001,E1858,$C$2:$C$2001,"Actual")&gt;0,0,D1858)))</f>
        <v>0</v>
      </c>
    </row>
    <row r="1859" customFormat="false" ht="15" hidden="false" customHeight="false" outlineLevel="0" collapsed="false">
      <c r="A1859" s="32"/>
      <c r="B1859" s="35"/>
      <c r="C1859" s="32"/>
      <c r="D1859" s="34"/>
      <c r="E1859" s="42" t="str">
        <f aca="false">IF(OR(A1859="",B1859=""),"",DATE(YEAR(B1859),MONTH(B1859),1))</f>
        <v/>
      </c>
      <c r="F1859" s="36" t="n">
        <f aca="false">IF(OR(E1859="",D1859=""),0,IF(C1859="Actual",D1859,IF(COUNTIFS($A$2:$A$2001,A1859,$E$2:$E$2001,E1859,$C$2:$C$2001,"Actual")&gt;0,0,D1859)))</f>
        <v>0</v>
      </c>
    </row>
    <row r="1860" customFormat="false" ht="15" hidden="false" customHeight="false" outlineLevel="0" collapsed="false">
      <c r="A1860" s="32"/>
      <c r="B1860" s="35"/>
      <c r="C1860" s="32"/>
      <c r="D1860" s="34"/>
      <c r="E1860" s="42" t="str">
        <f aca="false">IF(OR(A1860="",B1860=""),"",DATE(YEAR(B1860),MONTH(B1860),1))</f>
        <v/>
      </c>
      <c r="F1860" s="36" t="n">
        <f aca="false">IF(OR(E1860="",D1860=""),0,IF(C1860="Actual",D1860,IF(COUNTIFS($A$2:$A$2001,A1860,$E$2:$E$2001,E1860,$C$2:$C$2001,"Actual")&gt;0,0,D1860)))</f>
        <v>0</v>
      </c>
    </row>
    <row r="1861" customFormat="false" ht="15" hidden="false" customHeight="false" outlineLevel="0" collapsed="false">
      <c r="A1861" s="32"/>
      <c r="B1861" s="35"/>
      <c r="C1861" s="32"/>
      <c r="D1861" s="34"/>
      <c r="E1861" s="42" t="str">
        <f aca="false">IF(OR(A1861="",B1861=""),"",DATE(YEAR(B1861),MONTH(B1861),1))</f>
        <v/>
      </c>
      <c r="F1861" s="36" t="n">
        <f aca="false">IF(OR(E1861="",D1861=""),0,IF(C1861="Actual",D1861,IF(COUNTIFS($A$2:$A$2001,A1861,$E$2:$E$2001,E1861,$C$2:$C$2001,"Actual")&gt;0,0,D1861)))</f>
        <v>0</v>
      </c>
    </row>
    <row r="1862" customFormat="false" ht="15" hidden="false" customHeight="false" outlineLevel="0" collapsed="false">
      <c r="A1862" s="32"/>
      <c r="B1862" s="35"/>
      <c r="C1862" s="32"/>
      <c r="D1862" s="34"/>
      <c r="E1862" s="42" t="str">
        <f aca="false">IF(OR(A1862="",B1862=""),"",DATE(YEAR(B1862),MONTH(B1862),1))</f>
        <v/>
      </c>
      <c r="F1862" s="36" t="n">
        <f aca="false">IF(OR(E1862="",D1862=""),0,IF(C1862="Actual",D1862,IF(COUNTIFS($A$2:$A$2001,A1862,$E$2:$E$2001,E1862,$C$2:$C$2001,"Actual")&gt;0,0,D1862)))</f>
        <v>0</v>
      </c>
    </row>
    <row r="1863" customFormat="false" ht="15" hidden="false" customHeight="false" outlineLevel="0" collapsed="false">
      <c r="A1863" s="32"/>
      <c r="B1863" s="35"/>
      <c r="C1863" s="32"/>
      <c r="D1863" s="34"/>
      <c r="E1863" s="42" t="str">
        <f aca="false">IF(OR(A1863="",B1863=""),"",DATE(YEAR(B1863),MONTH(B1863),1))</f>
        <v/>
      </c>
      <c r="F1863" s="36" t="n">
        <f aca="false">IF(OR(E1863="",D1863=""),0,IF(C1863="Actual",D1863,IF(COUNTIFS($A$2:$A$2001,A1863,$E$2:$E$2001,E1863,$C$2:$C$2001,"Actual")&gt;0,0,D1863)))</f>
        <v>0</v>
      </c>
    </row>
    <row r="1864" customFormat="false" ht="15" hidden="false" customHeight="false" outlineLevel="0" collapsed="false">
      <c r="A1864" s="32"/>
      <c r="B1864" s="35"/>
      <c r="C1864" s="32"/>
      <c r="D1864" s="34"/>
      <c r="E1864" s="42" t="str">
        <f aca="false">IF(OR(A1864="",B1864=""),"",DATE(YEAR(B1864),MONTH(B1864),1))</f>
        <v/>
      </c>
      <c r="F1864" s="36" t="n">
        <f aca="false">IF(OR(E1864="",D1864=""),0,IF(C1864="Actual",D1864,IF(COUNTIFS($A$2:$A$2001,A1864,$E$2:$E$2001,E1864,$C$2:$C$2001,"Actual")&gt;0,0,D1864)))</f>
        <v>0</v>
      </c>
    </row>
    <row r="1865" customFormat="false" ht="15" hidden="false" customHeight="false" outlineLevel="0" collapsed="false">
      <c r="A1865" s="32"/>
      <c r="B1865" s="35"/>
      <c r="C1865" s="32"/>
      <c r="D1865" s="34"/>
      <c r="E1865" s="42" t="str">
        <f aca="false">IF(OR(A1865="",B1865=""),"",DATE(YEAR(B1865),MONTH(B1865),1))</f>
        <v/>
      </c>
      <c r="F1865" s="36" t="n">
        <f aca="false">IF(OR(E1865="",D1865=""),0,IF(C1865="Actual",D1865,IF(COUNTIFS($A$2:$A$2001,A1865,$E$2:$E$2001,E1865,$C$2:$C$2001,"Actual")&gt;0,0,D1865)))</f>
        <v>0</v>
      </c>
    </row>
    <row r="1866" customFormat="false" ht="15" hidden="false" customHeight="false" outlineLevel="0" collapsed="false">
      <c r="A1866" s="32"/>
      <c r="B1866" s="35"/>
      <c r="C1866" s="32"/>
      <c r="D1866" s="34"/>
      <c r="E1866" s="42" t="str">
        <f aca="false">IF(OR(A1866="",B1866=""),"",DATE(YEAR(B1866),MONTH(B1866),1))</f>
        <v/>
      </c>
      <c r="F1866" s="36" t="n">
        <f aca="false">IF(OR(E1866="",D1866=""),0,IF(C1866="Actual",D1866,IF(COUNTIFS($A$2:$A$2001,A1866,$E$2:$E$2001,E1866,$C$2:$C$2001,"Actual")&gt;0,0,D1866)))</f>
        <v>0</v>
      </c>
    </row>
    <row r="1867" customFormat="false" ht="15" hidden="false" customHeight="false" outlineLevel="0" collapsed="false">
      <c r="A1867" s="32"/>
      <c r="B1867" s="35"/>
      <c r="C1867" s="32"/>
      <c r="D1867" s="34"/>
      <c r="E1867" s="42" t="str">
        <f aca="false">IF(OR(A1867="",B1867=""),"",DATE(YEAR(B1867),MONTH(B1867),1))</f>
        <v/>
      </c>
      <c r="F1867" s="36" t="n">
        <f aca="false">IF(OR(E1867="",D1867=""),0,IF(C1867="Actual",D1867,IF(COUNTIFS($A$2:$A$2001,A1867,$E$2:$E$2001,E1867,$C$2:$C$2001,"Actual")&gt;0,0,D1867)))</f>
        <v>0</v>
      </c>
    </row>
    <row r="1868" customFormat="false" ht="15" hidden="false" customHeight="false" outlineLevel="0" collapsed="false">
      <c r="A1868" s="32"/>
      <c r="B1868" s="35"/>
      <c r="C1868" s="32"/>
      <c r="D1868" s="34"/>
      <c r="E1868" s="42" t="str">
        <f aca="false">IF(OR(A1868="",B1868=""),"",DATE(YEAR(B1868),MONTH(B1868),1))</f>
        <v/>
      </c>
      <c r="F1868" s="36" t="n">
        <f aca="false">IF(OR(E1868="",D1868=""),0,IF(C1868="Actual",D1868,IF(COUNTIFS($A$2:$A$2001,A1868,$E$2:$E$2001,E1868,$C$2:$C$2001,"Actual")&gt;0,0,D1868)))</f>
        <v>0</v>
      </c>
    </row>
    <row r="1869" customFormat="false" ht="15" hidden="false" customHeight="false" outlineLevel="0" collapsed="false">
      <c r="A1869" s="32"/>
      <c r="B1869" s="35"/>
      <c r="C1869" s="32"/>
      <c r="D1869" s="34"/>
      <c r="E1869" s="42" t="str">
        <f aca="false">IF(OR(A1869="",B1869=""),"",DATE(YEAR(B1869),MONTH(B1869),1))</f>
        <v/>
      </c>
      <c r="F1869" s="36" t="n">
        <f aca="false">IF(OR(E1869="",D1869=""),0,IF(C1869="Actual",D1869,IF(COUNTIFS($A$2:$A$2001,A1869,$E$2:$E$2001,E1869,$C$2:$C$2001,"Actual")&gt;0,0,D1869)))</f>
        <v>0</v>
      </c>
    </row>
    <row r="1870" customFormat="false" ht="15" hidden="false" customHeight="false" outlineLevel="0" collapsed="false">
      <c r="A1870" s="32"/>
      <c r="B1870" s="35"/>
      <c r="C1870" s="32"/>
      <c r="D1870" s="34"/>
      <c r="E1870" s="42" t="str">
        <f aca="false">IF(OR(A1870="",B1870=""),"",DATE(YEAR(B1870),MONTH(B1870),1))</f>
        <v/>
      </c>
      <c r="F1870" s="36" t="n">
        <f aca="false">IF(OR(E1870="",D1870=""),0,IF(C1870="Actual",D1870,IF(COUNTIFS($A$2:$A$2001,A1870,$E$2:$E$2001,E1870,$C$2:$C$2001,"Actual")&gt;0,0,D1870)))</f>
        <v>0</v>
      </c>
    </row>
    <row r="1871" customFormat="false" ht="15" hidden="false" customHeight="false" outlineLevel="0" collapsed="false">
      <c r="A1871" s="32"/>
      <c r="B1871" s="35"/>
      <c r="C1871" s="32"/>
      <c r="D1871" s="34"/>
      <c r="E1871" s="42" t="str">
        <f aca="false">IF(OR(A1871="",B1871=""),"",DATE(YEAR(B1871),MONTH(B1871),1))</f>
        <v/>
      </c>
      <c r="F1871" s="36" t="n">
        <f aca="false">IF(OR(E1871="",D1871=""),0,IF(C1871="Actual",D1871,IF(COUNTIFS($A$2:$A$2001,A1871,$E$2:$E$2001,E1871,$C$2:$C$2001,"Actual")&gt;0,0,D1871)))</f>
        <v>0</v>
      </c>
    </row>
    <row r="1872" customFormat="false" ht="15" hidden="false" customHeight="false" outlineLevel="0" collapsed="false">
      <c r="A1872" s="32"/>
      <c r="B1872" s="35"/>
      <c r="C1872" s="32"/>
      <c r="D1872" s="34"/>
      <c r="E1872" s="42" t="str">
        <f aca="false">IF(OR(A1872="",B1872=""),"",DATE(YEAR(B1872),MONTH(B1872),1))</f>
        <v/>
      </c>
      <c r="F1872" s="36" t="n">
        <f aca="false">IF(OR(E1872="",D1872=""),0,IF(C1872="Actual",D1872,IF(COUNTIFS($A$2:$A$2001,A1872,$E$2:$E$2001,E1872,$C$2:$C$2001,"Actual")&gt;0,0,D1872)))</f>
        <v>0</v>
      </c>
    </row>
    <row r="1873" customFormat="false" ht="15" hidden="false" customHeight="false" outlineLevel="0" collapsed="false">
      <c r="A1873" s="32"/>
      <c r="B1873" s="35"/>
      <c r="C1873" s="32"/>
      <c r="D1873" s="34"/>
      <c r="E1873" s="42" t="str">
        <f aca="false">IF(OR(A1873="",B1873=""),"",DATE(YEAR(B1873),MONTH(B1873),1))</f>
        <v/>
      </c>
      <c r="F1873" s="36" t="n">
        <f aca="false">IF(OR(E1873="",D1873=""),0,IF(C1873="Actual",D1873,IF(COUNTIFS($A$2:$A$2001,A1873,$E$2:$E$2001,E1873,$C$2:$C$2001,"Actual")&gt;0,0,D1873)))</f>
        <v>0</v>
      </c>
    </row>
    <row r="1874" customFormat="false" ht="15" hidden="false" customHeight="false" outlineLevel="0" collapsed="false">
      <c r="A1874" s="32"/>
      <c r="B1874" s="35"/>
      <c r="C1874" s="32"/>
      <c r="D1874" s="34"/>
      <c r="E1874" s="42" t="str">
        <f aca="false">IF(OR(A1874="",B1874=""),"",DATE(YEAR(B1874),MONTH(B1874),1))</f>
        <v/>
      </c>
      <c r="F1874" s="36" t="n">
        <f aca="false">IF(OR(E1874="",D1874=""),0,IF(C1874="Actual",D1874,IF(COUNTIFS($A$2:$A$2001,A1874,$E$2:$E$2001,E1874,$C$2:$C$2001,"Actual")&gt;0,0,D1874)))</f>
        <v>0</v>
      </c>
    </row>
    <row r="1875" customFormat="false" ht="15" hidden="false" customHeight="false" outlineLevel="0" collapsed="false">
      <c r="A1875" s="32"/>
      <c r="B1875" s="35"/>
      <c r="C1875" s="32"/>
      <c r="D1875" s="34"/>
      <c r="E1875" s="42" t="str">
        <f aca="false">IF(OR(A1875="",B1875=""),"",DATE(YEAR(B1875),MONTH(B1875),1))</f>
        <v/>
      </c>
      <c r="F1875" s="36" t="n">
        <f aca="false">IF(OR(E1875="",D1875=""),0,IF(C1875="Actual",D1875,IF(COUNTIFS($A$2:$A$2001,A1875,$E$2:$E$2001,E1875,$C$2:$C$2001,"Actual")&gt;0,0,D1875)))</f>
        <v>0</v>
      </c>
    </row>
    <row r="1876" customFormat="false" ht="15" hidden="false" customHeight="false" outlineLevel="0" collapsed="false">
      <c r="A1876" s="32"/>
      <c r="B1876" s="35"/>
      <c r="C1876" s="32"/>
      <c r="D1876" s="34"/>
      <c r="E1876" s="42" t="str">
        <f aca="false">IF(OR(A1876="",B1876=""),"",DATE(YEAR(B1876),MONTH(B1876),1))</f>
        <v/>
      </c>
      <c r="F1876" s="36" t="n">
        <f aca="false">IF(OR(E1876="",D1876=""),0,IF(C1876="Actual",D1876,IF(COUNTIFS($A$2:$A$2001,A1876,$E$2:$E$2001,E1876,$C$2:$C$2001,"Actual")&gt;0,0,D1876)))</f>
        <v>0</v>
      </c>
    </row>
    <row r="1877" customFormat="false" ht="15" hidden="false" customHeight="false" outlineLevel="0" collapsed="false">
      <c r="A1877" s="32"/>
      <c r="B1877" s="35"/>
      <c r="C1877" s="32"/>
      <c r="D1877" s="34"/>
      <c r="E1877" s="42" t="str">
        <f aca="false">IF(OR(A1877="",B1877=""),"",DATE(YEAR(B1877),MONTH(B1877),1))</f>
        <v/>
      </c>
      <c r="F1877" s="36" t="n">
        <f aca="false">IF(OR(E1877="",D1877=""),0,IF(C1877="Actual",D1877,IF(COUNTIFS($A$2:$A$2001,A1877,$E$2:$E$2001,E1877,$C$2:$C$2001,"Actual")&gt;0,0,D1877)))</f>
        <v>0</v>
      </c>
    </row>
    <row r="1878" customFormat="false" ht="15" hidden="false" customHeight="false" outlineLevel="0" collapsed="false">
      <c r="A1878" s="32"/>
      <c r="B1878" s="35"/>
      <c r="C1878" s="32"/>
      <c r="D1878" s="34"/>
      <c r="E1878" s="42" t="str">
        <f aca="false">IF(OR(A1878="",B1878=""),"",DATE(YEAR(B1878),MONTH(B1878),1))</f>
        <v/>
      </c>
      <c r="F1878" s="36" t="n">
        <f aca="false">IF(OR(E1878="",D1878=""),0,IF(C1878="Actual",D1878,IF(COUNTIFS($A$2:$A$2001,A1878,$E$2:$E$2001,E1878,$C$2:$C$2001,"Actual")&gt;0,0,D1878)))</f>
        <v>0</v>
      </c>
    </row>
    <row r="1879" customFormat="false" ht="15" hidden="false" customHeight="false" outlineLevel="0" collapsed="false">
      <c r="A1879" s="32"/>
      <c r="B1879" s="35"/>
      <c r="C1879" s="32"/>
      <c r="D1879" s="34"/>
      <c r="E1879" s="42" t="str">
        <f aca="false">IF(OR(A1879="",B1879=""),"",DATE(YEAR(B1879),MONTH(B1879),1))</f>
        <v/>
      </c>
      <c r="F1879" s="36" t="n">
        <f aca="false">IF(OR(E1879="",D1879=""),0,IF(C1879="Actual",D1879,IF(COUNTIFS($A$2:$A$2001,A1879,$E$2:$E$2001,E1879,$C$2:$C$2001,"Actual")&gt;0,0,D1879)))</f>
        <v>0</v>
      </c>
    </row>
    <row r="1880" customFormat="false" ht="15" hidden="false" customHeight="false" outlineLevel="0" collapsed="false">
      <c r="A1880" s="32"/>
      <c r="B1880" s="35"/>
      <c r="C1880" s="32"/>
      <c r="D1880" s="34"/>
      <c r="E1880" s="42" t="str">
        <f aca="false">IF(OR(A1880="",B1880=""),"",DATE(YEAR(B1880),MONTH(B1880),1))</f>
        <v/>
      </c>
      <c r="F1880" s="36" t="n">
        <f aca="false">IF(OR(E1880="",D1880=""),0,IF(C1880="Actual",D1880,IF(COUNTIFS($A$2:$A$2001,A1880,$E$2:$E$2001,E1880,$C$2:$C$2001,"Actual")&gt;0,0,D1880)))</f>
        <v>0</v>
      </c>
    </row>
    <row r="1881" customFormat="false" ht="15" hidden="false" customHeight="false" outlineLevel="0" collapsed="false">
      <c r="A1881" s="32"/>
      <c r="B1881" s="35"/>
      <c r="C1881" s="32"/>
      <c r="D1881" s="34"/>
      <c r="E1881" s="42" t="str">
        <f aca="false">IF(OR(A1881="",B1881=""),"",DATE(YEAR(B1881),MONTH(B1881),1))</f>
        <v/>
      </c>
      <c r="F1881" s="36" t="n">
        <f aca="false">IF(OR(E1881="",D1881=""),0,IF(C1881="Actual",D1881,IF(COUNTIFS($A$2:$A$2001,A1881,$E$2:$E$2001,E1881,$C$2:$C$2001,"Actual")&gt;0,0,D1881)))</f>
        <v>0</v>
      </c>
    </row>
    <row r="1882" customFormat="false" ht="15" hidden="false" customHeight="false" outlineLevel="0" collapsed="false">
      <c r="A1882" s="32"/>
      <c r="B1882" s="35"/>
      <c r="C1882" s="32"/>
      <c r="D1882" s="34"/>
      <c r="E1882" s="42" t="str">
        <f aca="false">IF(OR(A1882="",B1882=""),"",DATE(YEAR(B1882),MONTH(B1882),1))</f>
        <v/>
      </c>
      <c r="F1882" s="36" t="n">
        <f aca="false">IF(OR(E1882="",D1882=""),0,IF(C1882="Actual",D1882,IF(COUNTIFS($A$2:$A$2001,A1882,$E$2:$E$2001,E1882,$C$2:$C$2001,"Actual")&gt;0,0,D1882)))</f>
        <v>0</v>
      </c>
    </row>
    <row r="1883" customFormat="false" ht="15" hidden="false" customHeight="false" outlineLevel="0" collapsed="false">
      <c r="A1883" s="32"/>
      <c r="B1883" s="35"/>
      <c r="C1883" s="32"/>
      <c r="D1883" s="34"/>
      <c r="E1883" s="42" t="str">
        <f aca="false">IF(OR(A1883="",B1883=""),"",DATE(YEAR(B1883),MONTH(B1883),1))</f>
        <v/>
      </c>
      <c r="F1883" s="36" t="n">
        <f aca="false">IF(OR(E1883="",D1883=""),0,IF(C1883="Actual",D1883,IF(COUNTIFS($A$2:$A$2001,A1883,$E$2:$E$2001,E1883,$C$2:$C$2001,"Actual")&gt;0,0,D1883)))</f>
        <v>0</v>
      </c>
    </row>
    <row r="1884" customFormat="false" ht="15" hidden="false" customHeight="false" outlineLevel="0" collapsed="false">
      <c r="A1884" s="32"/>
      <c r="B1884" s="35"/>
      <c r="C1884" s="32"/>
      <c r="D1884" s="34"/>
      <c r="E1884" s="42" t="str">
        <f aca="false">IF(OR(A1884="",B1884=""),"",DATE(YEAR(B1884),MONTH(B1884),1))</f>
        <v/>
      </c>
      <c r="F1884" s="36" t="n">
        <f aca="false">IF(OR(E1884="",D1884=""),0,IF(C1884="Actual",D1884,IF(COUNTIFS($A$2:$A$2001,A1884,$E$2:$E$2001,E1884,$C$2:$C$2001,"Actual")&gt;0,0,D1884)))</f>
        <v>0</v>
      </c>
    </row>
    <row r="1885" customFormat="false" ht="15" hidden="false" customHeight="false" outlineLevel="0" collapsed="false">
      <c r="A1885" s="32"/>
      <c r="B1885" s="35"/>
      <c r="C1885" s="32"/>
      <c r="D1885" s="34"/>
      <c r="E1885" s="42" t="str">
        <f aca="false">IF(OR(A1885="",B1885=""),"",DATE(YEAR(B1885),MONTH(B1885),1))</f>
        <v/>
      </c>
      <c r="F1885" s="36" t="n">
        <f aca="false">IF(OR(E1885="",D1885=""),0,IF(C1885="Actual",D1885,IF(COUNTIFS($A$2:$A$2001,A1885,$E$2:$E$2001,E1885,$C$2:$C$2001,"Actual")&gt;0,0,D1885)))</f>
        <v>0</v>
      </c>
    </row>
    <row r="1886" customFormat="false" ht="15" hidden="false" customHeight="false" outlineLevel="0" collapsed="false">
      <c r="A1886" s="32"/>
      <c r="B1886" s="35"/>
      <c r="C1886" s="32"/>
      <c r="D1886" s="34"/>
      <c r="E1886" s="42" t="str">
        <f aca="false">IF(OR(A1886="",B1886=""),"",DATE(YEAR(B1886),MONTH(B1886),1))</f>
        <v/>
      </c>
      <c r="F1886" s="36" t="n">
        <f aca="false">IF(OR(E1886="",D1886=""),0,IF(C1886="Actual",D1886,IF(COUNTIFS($A$2:$A$2001,A1886,$E$2:$E$2001,E1886,$C$2:$C$2001,"Actual")&gt;0,0,D1886)))</f>
        <v>0</v>
      </c>
    </row>
    <row r="1887" customFormat="false" ht="15" hidden="false" customHeight="false" outlineLevel="0" collapsed="false">
      <c r="A1887" s="32"/>
      <c r="B1887" s="35"/>
      <c r="C1887" s="32"/>
      <c r="D1887" s="34"/>
      <c r="E1887" s="42" t="str">
        <f aca="false">IF(OR(A1887="",B1887=""),"",DATE(YEAR(B1887),MONTH(B1887),1))</f>
        <v/>
      </c>
      <c r="F1887" s="36" t="n">
        <f aca="false">IF(OR(E1887="",D1887=""),0,IF(C1887="Actual",D1887,IF(COUNTIFS($A$2:$A$2001,A1887,$E$2:$E$2001,E1887,$C$2:$C$2001,"Actual")&gt;0,0,D1887)))</f>
        <v>0</v>
      </c>
    </row>
    <row r="1888" customFormat="false" ht="15" hidden="false" customHeight="false" outlineLevel="0" collapsed="false">
      <c r="A1888" s="32"/>
      <c r="B1888" s="35"/>
      <c r="C1888" s="32"/>
      <c r="D1888" s="34"/>
      <c r="E1888" s="42" t="str">
        <f aca="false">IF(OR(A1888="",B1888=""),"",DATE(YEAR(B1888),MONTH(B1888),1))</f>
        <v/>
      </c>
      <c r="F1888" s="36" t="n">
        <f aca="false">IF(OR(E1888="",D1888=""),0,IF(C1888="Actual",D1888,IF(COUNTIFS($A$2:$A$2001,A1888,$E$2:$E$2001,E1888,$C$2:$C$2001,"Actual")&gt;0,0,D1888)))</f>
        <v>0</v>
      </c>
    </row>
    <row r="1889" customFormat="false" ht="15" hidden="false" customHeight="false" outlineLevel="0" collapsed="false">
      <c r="A1889" s="32"/>
      <c r="B1889" s="35"/>
      <c r="C1889" s="32"/>
      <c r="D1889" s="34"/>
      <c r="E1889" s="42" t="str">
        <f aca="false">IF(OR(A1889="",B1889=""),"",DATE(YEAR(B1889),MONTH(B1889),1))</f>
        <v/>
      </c>
      <c r="F1889" s="36" t="n">
        <f aca="false">IF(OR(E1889="",D1889=""),0,IF(C1889="Actual",D1889,IF(COUNTIFS($A$2:$A$2001,A1889,$E$2:$E$2001,E1889,$C$2:$C$2001,"Actual")&gt;0,0,D1889)))</f>
        <v>0</v>
      </c>
    </row>
    <row r="1890" customFormat="false" ht="15" hidden="false" customHeight="false" outlineLevel="0" collapsed="false">
      <c r="A1890" s="32"/>
      <c r="B1890" s="35"/>
      <c r="C1890" s="32"/>
      <c r="D1890" s="34"/>
      <c r="E1890" s="42" t="str">
        <f aca="false">IF(OR(A1890="",B1890=""),"",DATE(YEAR(B1890),MONTH(B1890),1))</f>
        <v/>
      </c>
      <c r="F1890" s="36" t="n">
        <f aca="false">IF(OR(E1890="",D1890=""),0,IF(C1890="Actual",D1890,IF(COUNTIFS($A$2:$A$2001,A1890,$E$2:$E$2001,E1890,$C$2:$C$2001,"Actual")&gt;0,0,D1890)))</f>
        <v>0</v>
      </c>
    </row>
    <row r="1891" customFormat="false" ht="15" hidden="false" customHeight="false" outlineLevel="0" collapsed="false">
      <c r="A1891" s="32"/>
      <c r="B1891" s="35"/>
      <c r="C1891" s="32"/>
      <c r="D1891" s="34"/>
      <c r="E1891" s="42" t="str">
        <f aca="false">IF(OR(A1891="",B1891=""),"",DATE(YEAR(B1891),MONTH(B1891),1))</f>
        <v/>
      </c>
      <c r="F1891" s="36" t="n">
        <f aca="false">IF(OR(E1891="",D1891=""),0,IF(C1891="Actual",D1891,IF(COUNTIFS($A$2:$A$2001,A1891,$E$2:$E$2001,E1891,$C$2:$C$2001,"Actual")&gt;0,0,D1891)))</f>
        <v>0</v>
      </c>
    </row>
    <row r="1892" customFormat="false" ht="15" hidden="false" customHeight="false" outlineLevel="0" collapsed="false">
      <c r="A1892" s="32"/>
      <c r="B1892" s="35"/>
      <c r="C1892" s="32"/>
      <c r="D1892" s="34"/>
      <c r="E1892" s="42" t="str">
        <f aca="false">IF(OR(A1892="",B1892=""),"",DATE(YEAR(B1892),MONTH(B1892),1))</f>
        <v/>
      </c>
      <c r="F1892" s="36" t="n">
        <f aca="false">IF(OR(E1892="",D1892=""),0,IF(C1892="Actual",D1892,IF(COUNTIFS($A$2:$A$2001,A1892,$E$2:$E$2001,E1892,$C$2:$C$2001,"Actual")&gt;0,0,D1892)))</f>
        <v>0</v>
      </c>
    </row>
    <row r="1893" customFormat="false" ht="15" hidden="false" customHeight="false" outlineLevel="0" collapsed="false">
      <c r="A1893" s="32"/>
      <c r="B1893" s="35"/>
      <c r="C1893" s="32"/>
      <c r="D1893" s="34"/>
      <c r="E1893" s="42" t="str">
        <f aca="false">IF(OR(A1893="",B1893=""),"",DATE(YEAR(B1893),MONTH(B1893),1))</f>
        <v/>
      </c>
      <c r="F1893" s="36" t="n">
        <f aca="false">IF(OR(E1893="",D1893=""),0,IF(C1893="Actual",D1893,IF(COUNTIFS($A$2:$A$2001,A1893,$E$2:$E$2001,E1893,$C$2:$C$2001,"Actual")&gt;0,0,D1893)))</f>
        <v>0</v>
      </c>
    </row>
    <row r="1894" customFormat="false" ht="15" hidden="false" customHeight="false" outlineLevel="0" collapsed="false">
      <c r="A1894" s="32"/>
      <c r="B1894" s="35"/>
      <c r="C1894" s="32"/>
      <c r="D1894" s="34"/>
      <c r="E1894" s="42" t="str">
        <f aca="false">IF(OR(A1894="",B1894=""),"",DATE(YEAR(B1894),MONTH(B1894),1))</f>
        <v/>
      </c>
      <c r="F1894" s="36" t="n">
        <f aca="false">IF(OR(E1894="",D1894=""),0,IF(C1894="Actual",D1894,IF(COUNTIFS($A$2:$A$2001,A1894,$E$2:$E$2001,E1894,$C$2:$C$2001,"Actual")&gt;0,0,D1894)))</f>
        <v>0</v>
      </c>
    </row>
    <row r="1895" customFormat="false" ht="15" hidden="false" customHeight="false" outlineLevel="0" collapsed="false">
      <c r="A1895" s="32"/>
      <c r="B1895" s="35"/>
      <c r="C1895" s="32"/>
      <c r="D1895" s="34"/>
      <c r="E1895" s="42" t="str">
        <f aca="false">IF(OR(A1895="",B1895=""),"",DATE(YEAR(B1895),MONTH(B1895),1))</f>
        <v/>
      </c>
      <c r="F1895" s="36" t="n">
        <f aca="false">IF(OR(E1895="",D1895=""),0,IF(C1895="Actual",D1895,IF(COUNTIFS($A$2:$A$2001,A1895,$E$2:$E$2001,E1895,$C$2:$C$2001,"Actual")&gt;0,0,D1895)))</f>
        <v>0</v>
      </c>
    </row>
    <row r="1896" customFormat="false" ht="15" hidden="false" customHeight="false" outlineLevel="0" collapsed="false">
      <c r="A1896" s="32"/>
      <c r="B1896" s="35"/>
      <c r="C1896" s="32"/>
      <c r="D1896" s="34"/>
      <c r="E1896" s="42" t="str">
        <f aca="false">IF(OR(A1896="",B1896=""),"",DATE(YEAR(B1896),MONTH(B1896),1))</f>
        <v/>
      </c>
      <c r="F1896" s="36" t="n">
        <f aca="false">IF(OR(E1896="",D1896=""),0,IF(C1896="Actual",D1896,IF(COUNTIFS($A$2:$A$2001,A1896,$E$2:$E$2001,E1896,$C$2:$C$2001,"Actual")&gt;0,0,D1896)))</f>
        <v>0</v>
      </c>
    </row>
    <row r="1897" customFormat="false" ht="15" hidden="false" customHeight="false" outlineLevel="0" collapsed="false">
      <c r="A1897" s="32"/>
      <c r="B1897" s="35"/>
      <c r="C1897" s="32"/>
      <c r="D1897" s="34"/>
      <c r="E1897" s="42" t="str">
        <f aca="false">IF(OR(A1897="",B1897=""),"",DATE(YEAR(B1897),MONTH(B1897),1))</f>
        <v/>
      </c>
      <c r="F1897" s="36" t="n">
        <f aca="false">IF(OR(E1897="",D1897=""),0,IF(C1897="Actual",D1897,IF(COUNTIFS($A$2:$A$2001,A1897,$E$2:$E$2001,E1897,$C$2:$C$2001,"Actual")&gt;0,0,D1897)))</f>
        <v>0</v>
      </c>
    </row>
    <row r="1898" customFormat="false" ht="15" hidden="false" customHeight="false" outlineLevel="0" collapsed="false">
      <c r="A1898" s="32"/>
      <c r="B1898" s="35"/>
      <c r="C1898" s="32"/>
      <c r="D1898" s="34"/>
      <c r="E1898" s="42" t="str">
        <f aca="false">IF(OR(A1898="",B1898=""),"",DATE(YEAR(B1898),MONTH(B1898),1))</f>
        <v/>
      </c>
      <c r="F1898" s="36" t="n">
        <f aca="false">IF(OR(E1898="",D1898=""),0,IF(C1898="Actual",D1898,IF(COUNTIFS($A$2:$A$2001,A1898,$E$2:$E$2001,E1898,$C$2:$C$2001,"Actual")&gt;0,0,D1898)))</f>
        <v>0</v>
      </c>
    </row>
    <row r="1899" customFormat="false" ht="15" hidden="false" customHeight="false" outlineLevel="0" collapsed="false">
      <c r="A1899" s="32"/>
      <c r="B1899" s="35"/>
      <c r="C1899" s="32"/>
      <c r="D1899" s="34"/>
      <c r="E1899" s="42" t="str">
        <f aca="false">IF(OR(A1899="",B1899=""),"",DATE(YEAR(B1899),MONTH(B1899),1))</f>
        <v/>
      </c>
      <c r="F1899" s="36" t="n">
        <f aca="false">IF(OR(E1899="",D1899=""),0,IF(C1899="Actual",D1899,IF(COUNTIFS($A$2:$A$2001,A1899,$E$2:$E$2001,E1899,$C$2:$C$2001,"Actual")&gt;0,0,D1899)))</f>
        <v>0</v>
      </c>
    </row>
    <row r="1900" customFormat="false" ht="15" hidden="false" customHeight="false" outlineLevel="0" collapsed="false">
      <c r="A1900" s="32"/>
      <c r="B1900" s="35"/>
      <c r="C1900" s="32"/>
      <c r="D1900" s="34"/>
      <c r="E1900" s="42" t="str">
        <f aca="false">IF(OR(A1900="",B1900=""),"",DATE(YEAR(B1900),MONTH(B1900),1))</f>
        <v/>
      </c>
      <c r="F1900" s="36" t="n">
        <f aca="false">IF(OR(E1900="",D1900=""),0,IF(C1900="Actual",D1900,IF(COUNTIFS($A$2:$A$2001,A1900,$E$2:$E$2001,E1900,$C$2:$C$2001,"Actual")&gt;0,0,D1900)))</f>
        <v>0</v>
      </c>
    </row>
    <row r="1901" customFormat="false" ht="15" hidden="false" customHeight="false" outlineLevel="0" collapsed="false">
      <c r="A1901" s="32"/>
      <c r="B1901" s="35"/>
      <c r="C1901" s="32"/>
      <c r="D1901" s="34"/>
      <c r="E1901" s="42" t="str">
        <f aca="false">IF(OR(A1901="",B1901=""),"",DATE(YEAR(B1901),MONTH(B1901),1))</f>
        <v/>
      </c>
      <c r="F1901" s="36" t="n">
        <f aca="false">IF(OR(E1901="",D1901=""),0,IF(C1901="Actual",D1901,IF(COUNTIFS($A$2:$A$2001,A1901,$E$2:$E$2001,E1901,$C$2:$C$2001,"Actual")&gt;0,0,D1901)))</f>
        <v>0</v>
      </c>
    </row>
    <row r="1902" customFormat="false" ht="15" hidden="false" customHeight="false" outlineLevel="0" collapsed="false">
      <c r="A1902" s="32"/>
      <c r="B1902" s="35"/>
      <c r="C1902" s="32"/>
      <c r="D1902" s="34"/>
      <c r="E1902" s="42" t="str">
        <f aca="false">IF(OR(A1902="",B1902=""),"",DATE(YEAR(B1902),MONTH(B1902),1))</f>
        <v/>
      </c>
      <c r="F1902" s="36" t="n">
        <f aca="false">IF(OR(E1902="",D1902=""),0,IF(C1902="Actual",D1902,IF(COUNTIFS($A$2:$A$2001,A1902,$E$2:$E$2001,E1902,$C$2:$C$2001,"Actual")&gt;0,0,D1902)))</f>
        <v>0</v>
      </c>
    </row>
    <row r="1903" customFormat="false" ht="15" hidden="false" customHeight="false" outlineLevel="0" collapsed="false">
      <c r="A1903" s="32"/>
      <c r="B1903" s="35"/>
      <c r="C1903" s="32"/>
      <c r="D1903" s="34"/>
      <c r="E1903" s="42" t="str">
        <f aca="false">IF(OR(A1903="",B1903=""),"",DATE(YEAR(B1903),MONTH(B1903),1))</f>
        <v/>
      </c>
      <c r="F1903" s="36" t="n">
        <f aca="false">IF(OR(E1903="",D1903=""),0,IF(C1903="Actual",D1903,IF(COUNTIFS($A$2:$A$2001,A1903,$E$2:$E$2001,E1903,$C$2:$C$2001,"Actual")&gt;0,0,D1903)))</f>
        <v>0</v>
      </c>
    </row>
    <row r="1904" customFormat="false" ht="15" hidden="false" customHeight="false" outlineLevel="0" collapsed="false">
      <c r="A1904" s="32"/>
      <c r="B1904" s="35"/>
      <c r="C1904" s="32"/>
      <c r="D1904" s="34"/>
      <c r="E1904" s="42" t="str">
        <f aca="false">IF(OR(A1904="",B1904=""),"",DATE(YEAR(B1904),MONTH(B1904),1))</f>
        <v/>
      </c>
      <c r="F1904" s="36" t="n">
        <f aca="false">IF(OR(E1904="",D1904=""),0,IF(C1904="Actual",D1904,IF(COUNTIFS($A$2:$A$2001,A1904,$E$2:$E$2001,E1904,$C$2:$C$2001,"Actual")&gt;0,0,D1904)))</f>
        <v>0</v>
      </c>
    </row>
    <row r="1905" customFormat="false" ht="15" hidden="false" customHeight="false" outlineLevel="0" collapsed="false">
      <c r="A1905" s="32"/>
      <c r="B1905" s="35"/>
      <c r="C1905" s="32"/>
      <c r="D1905" s="34"/>
      <c r="E1905" s="42" t="str">
        <f aca="false">IF(OR(A1905="",B1905=""),"",DATE(YEAR(B1905),MONTH(B1905),1))</f>
        <v/>
      </c>
      <c r="F1905" s="36" t="n">
        <f aca="false">IF(OR(E1905="",D1905=""),0,IF(C1905="Actual",D1905,IF(COUNTIFS($A$2:$A$2001,A1905,$E$2:$E$2001,E1905,$C$2:$C$2001,"Actual")&gt;0,0,D1905)))</f>
        <v>0</v>
      </c>
    </row>
    <row r="1906" customFormat="false" ht="15" hidden="false" customHeight="false" outlineLevel="0" collapsed="false">
      <c r="A1906" s="32"/>
      <c r="B1906" s="35"/>
      <c r="C1906" s="32"/>
      <c r="D1906" s="34"/>
      <c r="E1906" s="42" t="str">
        <f aca="false">IF(OR(A1906="",B1906=""),"",DATE(YEAR(B1906),MONTH(B1906),1))</f>
        <v/>
      </c>
      <c r="F1906" s="36" t="n">
        <f aca="false">IF(OR(E1906="",D1906=""),0,IF(C1906="Actual",D1906,IF(COUNTIFS($A$2:$A$2001,A1906,$E$2:$E$2001,E1906,$C$2:$C$2001,"Actual")&gt;0,0,D1906)))</f>
        <v>0</v>
      </c>
    </row>
    <row r="1907" customFormat="false" ht="15" hidden="false" customHeight="false" outlineLevel="0" collapsed="false">
      <c r="A1907" s="32"/>
      <c r="B1907" s="35"/>
      <c r="C1907" s="32"/>
      <c r="D1907" s="34"/>
      <c r="E1907" s="42" t="str">
        <f aca="false">IF(OR(A1907="",B1907=""),"",DATE(YEAR(B1907),MONTH(B1907),1))</f>
        <v/>
      </c>
      <c r="F1907" s="36" t="n">
        <f aca="false">IF(OR(E1907="",D1907=""),0,IF(C1907="Actual",D1907,IF(COUNTIFS($A$2:$A$2001,A1907,$E$2:$E$2001,E1907,$C$2:$C$2001,"Actual")&gt;0,0,D1907)))</f>
        <v>0</v>
      </c>
    </row>
    <row r="1908" customFormat="false" ht="15" hidden="false" customHeight="false" outlineLevel="0" collapsed="false">
      <c r="A1908" s="32"/>
      <c r="B1908" s="35"/>
      <c r="C1908" s="32"/>
      <c r="D1908" s="34"/>
      <c r="E1908" s="42" t="str">
        <f aca="false">IF(OR(A1908="",B1908=""),"",DATE(YEAR(B1908),MONTH(B1908),1))</f>
        <v/>
      </c>
      <c r="F1908" s="36" t="n">
        <f aca="false">IF(OR(E1908="",D1908=""),0,IF(C1908="Actual",D1908,IF(COUNTIFS($A$2:$A$2001,A1908,$E$2:$E$2001,E1908,$C$2:$C$2001,"Actual")&gt;0,0,D1908)))</f>
        <v>0</v>
      </c>
    </row>
    <row r="1909" customFormat="false" ht="15" hidden="false" customHeight="false" outlineLevel="0" collapsed="false">
      <c r="A1909" s="32"/>
      <c r="B1909" s="35"/>
      <c r="C1909" s="32"/>
      <c r="D1909" s="34"/>
      <c r="E1909" s="42" t="str">
        <f aca="false">IF(OR(A1909="",B1909=""),"",DATE(YEAR(B1909),MONTH(B1909),1))</f>
        <v/>
      </c>
      <c r="F1909" s="36" t="n">
        <f aca="false">IF(OR(E1909="",D1909=""),0,IF(C1909="Actual",D1909,IF(COUNTIFS($A$2:$A$2001,A1909,$E$2:$E$2001,E1909,$C$2:$C$2001,"Actual")&gt;0,0,D1909)))</f>
        <v>0</v>
      </c>
    </row>
    <row r="1910" customFormat="false" ht="15" hidden="false" customHeight="false" outlineLevel="0" collapsed="false">
      <c r="A1910" s="32"/>
      <c r="B1910" s="35"/>
      <c r="C1910" s="32"/>
      <c r="D1910" s="34"/>
      <c r="E1910" s="42" t="str">
        <f aca="false">IF(OR(A1910="",B1910=""),"",DATE(YEAR(B1910),MONTH(B1910),1))</f>
        <v/>
      </c>
      <c r="F1910" s="36" t="n">
        <f aca="false">IF(OR(E1910="",D1910=""),0,IF(C1910="Actual",D1910,IF(COUNTIFS($A$2:$A$2001,A1910,$E$2:$E$2001,E1910,$C$2:$C$2001,"Actual")&gt;0,0,D1910)))</f>
        <v>0</v>
      </c>
    </row>
    <row r="1911" customFormat="false" ht="15" hidden="false" customHeight="false" outlineLevel="0" collapsed="false">
      <c r="A1911" s="32"/>
      <c r="B1911" s="35"/>
      <c r="C1911" s="32"/>
      <c r="D1911" s="34"/>
      <c r="E1911" s="42" t="str">
        <f aca="false">IF(OR(A1911="",B1911=""),"",DATE(YEAR(B1911),MONTH(B1911),1))</f>
        <v/>
      </c>
      <c r="F1911" s="36" t="n">
        <f aca="false">IF(OR(E1911="",D1911=""),0,IF(C1911="Actual",D1911,IF(COUNTIFS($A$2:$A$2001,A1911,$E$2:$E$2001,E1911,$C$2:$C$2001,"Actual")&gt;0,0,D1911)))</f>
        <v>0</v>
      </c>
    </row>
    <row r="1912" customFormat="false" ht="15" hidden="false" customHeight="false" outlineLevel="0" collapsed="false">
      <c r="A1912" s="32"/>
      <c r="B1912" s="35"/>
      <c r="C1912" s="32"/>
      <c r="D1912" s="34"/>
      <c r="E1912" s="42" t="str">
        <f aca="false">IF(OR(A1912="",B1912=""),"",DATE(YEAR(B1912),MONTH(B1912),1))</f>
        <v/>
      </c>
      <c r="F1912" s="36" t="n">
        <f aca="false">IF(OR(E1912="",D1912=""),0,IF(C1912="Actual",D1912,IF(COUNTIFS($A$2:$A$2001,A1912,$E$2:$E$2001,E1912,$C$2:$C$2001,"Actual")&gt;0,0,D1912)))</f>
        <v>0</v>
      </c>
    </row>
    <row r="1913" customFormat="false" ht="15" hidden="false" customHeight="false" outlineLevel="0" collapsed="false">
      <c r="A1913" s="32"/>
      <c r="B1913" s="35"/>
      <c r="C1913" s="32"/>
      <c r="D1913" s="34"/>
      <c r="E1913" s="42" t="str">
        <f aca="false">IF(OR(A1913="",B1913=""),"",DATE(YEAR(B1913),MONTH(B1913),1))</f>
        <v/>
      </c>
      <c r="F1913" s="36" t="n">
        <f aca="false">IF(OR(E1913="",D1913=""),0,IF(C1913="Actual",D1913,IF(COUNTIFS($A$2:$A$2001,A1913,$E$2:$E$2001,E1913,$C$2:$C$2001,"Actual")&gt;0,0,D1913)))</f>
        <v>0</v>
      </c>
    </row>
    <row r="1914" customFormat="false" ht="15" hidden="false" customHeight="false" outlineLevel="0" collapsed="false">
      <c r="A1914" s="32"/>
      <c r="B1914" s="35"/>
      <c r="C1914" s="32"/>
      <c r="D1914" s="34"/>
      <c r="E1914" s="42" t="str">
        <f aca="false">IF(OR(A1914="",B1914=""),"",DATE(YEAR(B1914),MONTH(B1914),1))</f>
        <v/>
      </c>
      <c r="F1914" s="36" t="n">
        <f aca="false">IF(OR(E1914="",D1914=""),0,IF(C1914="Actual",D1914,IF(COUNTIFS($A$2:$A$2001,A1914,$E$2:$E$2001,E1914,$C$2:$C$2001,"Actual")&gt;0,0,D1914)))</f>
        <v>0</v>
      </c>
    </row>
    <row r="1915" customFormat="false" ht="15" hidden="false" customHeight="false" outlineLevel="0" collapsed="false">
      <c r="A1915" s="32"/>
      <c r="B1915" s="35"/>
      <c r="C1915" s="32"/>
      <c r="D1915" s="34"/>
      <c r="E1915" s="42" t="str">
        <f aca="false">IF(OR(A1915="",B1915=""),"",DATE(YEAR(B1915),MONTH(B1915),1))</f>
        <v/>
      </c>
      <c r="F1915" s="36" t="n">
        <f aca="false">IF(OR(E1915="",D1915=""),0,IF(C1915="Actual",D1915,IF(COUNTIFS($A$2:$A$2001,A1915,$E$2:$E$2001,E1915,$C$2:$C$2001,"Actual")&gt;0,0,D1915)))</f>
        <v>0</v>
      </c>
    </row>
    <row r="1916" customFormat="false" ht="15" hidden="false" customHeight="false" outlineLevel="0" collapsed="false">
      <c r="A1916" s="32"/>
      <c r="B1916" s="35"/>
      <c r="C1916" s="32"/>
      <c r="D1916" s="34"/>
      <c r="E1916" s="42" t="str">
        <f aca="false">IF(OR(A1916="",B1916=""),"",DATE(YEAR(B1916),MONTH(B1916),1))</f>
        <v/>
      </c>
      <c r="F1916" s="36" t="n">
        <f aca="false">IF(OR(E1916="",D1916=""),0,IF(C1916="Actual",D1916,IF(COUNTIFS($A$2:$A$2001,A1916,$E$2:$E$2001,E1916,$C$2:$C$2001,"Actual")&gt;0,0,D1916)))</f>
        <v>0</v>
      </c>
    </row>
    <row r="1917" customFormat="false" ht="15" hidden="false" customHeight="false" outlineLevel="0" collapsed="false">
      <c r="A1917" s="32"/>
      <c r="B1917" s="35"/>
      <c r="C1917" s="32"/>
      <c r="D1917" s="34"/>
      <c r="E1917" s="42" t="str">
        <f aca="false">IF(OR(A1917="",B1917=""),"",DATE(YEAR(B1917),MONTH(B1917),1))</f>
        <v/>
      </c>
      <c r="F1917" s="36" t="n">
        <f aca="false">IF(OR(E1917="",D1917=""),0,IF(C1917="Actual",D1917,IF(COUNTIFS($A$2:$A$2001,A1917,$E$2:$E$2001,E1917,$C$2:$C$2001,"Actual")&gt;0,0,D1917)))</f>
        <v>0</v>
      </c>
    </row>
    <row r="1918" customFormat="false" ht="15" hidden="false" customHeight="false" outlineLevel="0" collapsed="false">
      <c r="A1918" s="32"/>
      <c r="B1918" s="35"/>
      <c r="C1918" s="32"/>
      <c r="D1918" s="34"/>
      <c r="E1918" s="42" t="str">
        <f aca="false">IF(OR(A1918="",B1918=""),"",DATE(YEAR(B1918),MONTH(B1918),1))</f>
        <v/>
      </c>
      <c r="F1918" s="36" t="n">
        <f aca="false">IF(OR(E1918="",D1918=""),0,IF(C1918="Actual",D1918,IF(COUNTIFS($A$2:$A$2001,A1918,$E$2:$E$2001,E1918,$C$2:$C$2001,"Actual")&gt;0,0,D1918)))</f>
        <v>0</v>
      </c>
    </row>
    <row r="1919" customFormat="false" ht="15" hidden="false" customHeight="false" outlineLevel="0" collapsed="false">
      <c r="A1919" s="32"/>
      <c r="B1919" s="35"/>
      <c r="C1919" s="32"/>
      <c r="D1919" s="34"/>
      <c r="E1919" s="42" t="str">
        <f aca="false">IF(OR(A1919="",B1919=""),"",DATE(YEAR(B1919),MONTH(B1919),1))</f>
        <v/>
      </c>
      <c r="F1919" s="36" t="n">
        <f aca="false">IF(OR(E1919="",D1919=""),0,IF(C1919="Actual",D1919,IF(COUNTIFS($A$2:$A$2001,A1919,$E$2:$E$2001,E1919,$C$2:$C$2001,"Actual")&gt;0,0,D1919)))</f>
        <v>0</v>
      </c>
    </row>
    <row r="1920" customFormat="false" ht="15" hidden="false" customHeight="false" outlineLevel="0" collapsed="false">
      <c r="A1920" s="32"/>
      <c r="B1920" s="35"/>
      <c r="C1920" s="32"/>
      <c r="D1920" s="34"/>
      <c r="E1920" s="42" t="str">
        <f aca="false">IF(OR(A1920="",B1920=""),"",DATE(YEAR(B1920),MONTH(B1920),1))</f>
        <v/>
      </c>
      <c r="F1920" s="36" t="n">
        <f aca="false">IF(OR(E1920="",D1920=""),0,IF(C1920="Actual",D1920,IF(COUNTIFS($A$2:$A$2001,A1920,$E$2:$E$2001,E1920,$C$2:$C$2001,"Actual")&gt;0,0,D1920)))</f>
        <v>0</v>
      </c>
    </row>
    <row r="1921" customFormat="false" ht="15" hidden="false" customHeight="false" outlineLevel="0" collapsed="false">
      <c r="A1921" s="32"/>
      <c r="B1921" s="35"/>
      <c r="C1921" s="32"/>
      <c r="D1921" s="34"/>
      <c r="E1921" s="42" t="str">
        <f aca="false">IF(OR(A1921="",B1921=""),"",DATE(YEAR(B1921),MONTH(B1921),1))</f>
        <v/>
      </c>
      <c r="F1921" s="36" t="n">
        <f aca="false">IF(OR(E1921="",D1921=""),0,IF(C1921="Actual",D1921,IF(COUNTIFS($A$2:$A$2001,A1921,$E$2:$E$2001,E1921,$C$2:$C$2001,"Actual")&gt;0,0,D1921)))</f>
        <v>0</v>
      </c>
    </row>
    <row r="1922" customFormat="false" ht="15" hidden="false" customHeight="false" outlineLevel="0" collapsed="false">
      <c r="A1922" s="32"/>
      <c r="B1922" s="35"/>
      <c r="C1922" s="32"/>
      <c r="D1922" s="34"/>
      <c r="E1922" s="42" t="str">
        <f aca="false">IF(OR(A1922="",B1922=""),"",DATE(YEAR(B1922),MONTH(B1922),1))</f>
        <v/>
      </c>
      <c r="F1922" s="36" t="n">
        <f aca="false">IF(OR(E1922="",D1922=""),0,IF(C1922="Actual",D1922,IF(COUNTIFS($A$2:$A$2001,A1922,$E$2:$E$2001,E1922,$C$2:$C$2001,"Actual")&gt;0,0,D1922)))</f>
        <v>0</v>
      </c>
    </row>
    <row r="1923" customFormat="false" ht="15" hidden="false" customHeight="false" outlineLevel="0" collapsed="false">
      <c r="A1923" s="32"/>
      <c r="B1923" s="35"/>
      <c r="C1923" s="32"/>
      <c r="D1923" s="34"/>
      <c r="E1923" s="42" t="str">
        <f aca="false">IF(OR(A1923="",B1923=""),"",DATE(YEAR(B1923),MONTH(B1923),1))</f>
        <v/>
      </c>
      <c r="F1923" s="36" t="n">
        <f aca="false">IF(OR(E1923="",D1923=""),0,IF(C1923="Actual",D1923,IF(COUNTIFS($A$2:$A$2001,A1923,$E$2:$E$2001,E1923,$C$2:$C$2001,"Actual")&gt;0,0,D1923)))</f>
        <v>0</v>
      </c>
    </row>
    <row r="1924" customFormat="false" ht="15" hidden="false" customHeight="false" outlineLevel="0" collapsed="false">
      <c r="A1924" s="32"/>
      <c r="B1924" s="35"/>
      <c r="C1924" s="32"/>
      <c r="D1924" s="34"/>
      <c r="E1924" s="42" t="str">
        <f aca="false">IF(OR(A1924="",B1924=""),"",DATE(YEAR(B1924),MONTH(B1924),1))</f>
        <v/>
      </c>
      <c r="F1924" s="36" t="n">
        <f aca="false">IF(OR(E1924="",D1924=""),0,IF(C1924="Actual",D1924,IF(COUNTIFS($A$2:$A$2001,A1924,$E$2:$E$2001,E1924,$C$2:$C$2001,"Actual")&gt;0,0,D1924)))</f>
        <v>0</v>
      </c>
    </row>
    <row r="1925" customFormat="false" ht="15" hidden="false" customHeight="false" outlineLevel="0" collapsed="false">
      <c r="A1925" s="32"/>
      <c r="B1925" s="35"/>
      <c r="C1925" s="32"/>
      <c r="D1925" s="34"/>
      <c r="E1925" s="42" t="str">
        <f aca="false">IF(OR(A1925="",B1925=""),"",DATE(YEAR(B1925),MONTH(B1925),1))</f>
        <v/>
      </c>
      <c r="F1925" s="36" t="n">
        <f aca="false">IF(OR(E1925="",D1925=""),0,IF(C1925="Actual",D1925,IF(COUNTIFS($A$2:$A$2001,A1925,$E$2:$E$2001,E1925,$C$2:$C$2001,"Actual")&gt;0,0,D1925)))</f>
        <v>0</v>
      </c>
    </row>
    <row r="1926" customFormat="false" ht="15" hidden="false" customHeight="false" outlineLevel="0" collapsed="false">
      <c r="A1926" s="32"/>
      <c r="B1926" s="35"/>
      <c r="C1926" s="32"/>
      <c r="D1926" s="34"/>
      <c r="E1926" s="42" t="str">
        <f aca="false">IF(OR(A1926="",B1926=""),"",DATE(YEAR(B1926),MONTH(B1926),1))</f>
        <v/>
      </c>
      <c r="F1926" s="36" t="n">
        <f aca="false">IF(OR(E1926="",D1926=""),0,IF(C1926="Actual",D1926,IF(COUNTIFS($A$2:$A$2001,A1926,$E$2:$E$2001,E1926,$C$2:$C$2001,"Actual")&gt;0,0,D1926)))</f>
        <v>0</v>
      </c>
    </row>
    <row r="1927" customFormat="false" ht="15" hidden="false" customHeight="false" outlineLevel="0" collapsed="false">
      <c r="A1927" s="32"/>
      <c r="B1927" s="35"/>
      <c r="C1927" s="32"/>
      <c r="D1927" s="34"/>
      <c r="E1927" s="42" t="str">
        <f aca="false">IF(OR(A1927="",B1927=""),"",DATE(YEAR(B1927),MONTH(B1927),1))</f>
        <v/>
      </c>
      <c r="F1927" s="36" t="n">
        <f aca="false">IF(OR(E1927="",D1927=""),0,IF(C1927="Actual",D1927,IF(COUNTIFS($A$2:$A$2001,A1927,$E$2:$E$2001,E1927,$C$2:$C$2001,"Actual")&gt;0,0,D1927)))</f>
        <v>0</v>
      </c>
    </row>
    <row r="1928" customFormat="false" ht="15" hidden="false" customHeight="false" outlineLevel="0" collapsed="false">
      <c r="A1928" s="32"/>
      <c r="B1928" s="35"/>
      <c r="C1928" s="32"/>
      <c r="D1928" s="34"/>
      <c r="E1928" s="42" t="str">
        <f aca="false">IF(OR(A1928="",B1928=""),"",DATE(YEAR(B1928),MONTH(B1928),1))</f>
        <v/>
      </c>
      <c r="F1928" s="36" t="n">
        <f aca="false">IF(OR(E1928="",D1928=""),0,IF(C1928="Actual",D1928,IF(COUNTIFS($A$2:$A$2001,A1928,$E$2:$E$2001,E1928,$C$2:$C$2001,"Actual")&gt;0,0,D1928)))</f>
        <v>0</v>
      </c>
    </row>
    <row r="1929" customFormat="false" ht="15" hidden="false" customHeight="false" outlineLevel="0" collapsed="false">
      <c r="A1929" s="32"/>
      <c r="B1929" s="35"/>
      <c r="C1929" s="32"/>
      <c r="D1929" s="34"/>
      <c r="E1929" s="42" t="str">
        <f aca="false">IF(OR(A1929="",B1929=""),"",DATE(YEAR(B1929),MONTH(B1929),1))</f>
        <v/>
      </c>
      <c r="F1929" s="36" t="n">
        <f aca="false">IF(OR(E1929="",D1929=""),0,IF(C1929="Actual",D1929,IF(COUNTIFS($A$2:$A$2001,A1929,$E$2:$E$2001,E1929,$C$2:$C$2001,"Actual")&gt;0,0,D1929)))</f>
        <v>0</v>
      </c>
    </row>
    <row r="1930" customFormat="false" ht="15" hidden="false" customHeight="false" outlineLevel="0" collapsed="false">
      <c r="A1930" s="32"/>
      <c r="B1930" s="35"/>
      <c r="C1930" s="32"/>
      <c r="D1930" s="34"/>
      <c r="E1930" s="42" t="str">
        <f aca="false">IF(OR(A1930="",B1930=""),"",DATE(YEAR(B1930),MONTH(B1930),1))</f>
        <v/>
      </c>
      <c r="F1930" s="36" t="n">
        <f aca="false">IF(OR(E1930="",D1930=""),0,IF(C1930="Actual",D1930,IF(COUNTIFS($A$2:$A$2001,A1930,$E$2:$E$2001,E1930,$C$2:$C$2001,"Actual")&gt;0,0,D1930)))</f>
        <v>0</v>
      </c>
    </row>
    <row r="1931" customFormat="false" ht="15" hidden="false" customHeight="false" outlineLevel="0" collapsed="false">
      <c r="A1931" s="32"/>
      <c r="B1931" s="35"/>
      <c r="C1931" s="32"/>
      <c r="D1931" s="34"/>
      <c r="E1931" s="42" t="str">
        <f aca="false">IF(OR(A1931="",B1931=""),"",DATE(YEAR(B1931),MONTH(B1931),1))</f>
        <v/>
      </c>
      <c r="F1931" s="36" t="n">
        <f aca="false">IF(OR(E1931="",D1931=""),0,IF(C1931="Actual",D1931,IF(COUNTIFS($A$2:$A$2001,A1931,$E$2:$E$2001,E1931,$C$2:$C$2001,"Actual")&gt;0,0,D1931)))</f>
        <v>0</v>
      </c>
    </row>
    <row r="1932" customFormat="false" ht="15" hidden="false" customHeight="false" outlineLevel="0" collapsed="false">
      <c r="A1932" s="32"/>
      <c r="B1932" s="35"/>
      <c r="C1932" s="32"/>
      <c r="D1932" s="34"/>
      <c r="E1932" s="42" t="str">
        <f aca="false">IF(OR(A1932="",B1932=""),"",DATE(YEAR(B1932),MONTH(B1932),1))</f>
        <v/>
      </c>
      <c r="F1932" s="36" t="n">
        <f aca="false">IF(OR(E1932="",D1932=""),0,IF(C1932="Actual",D1932,IF(COUNTIFS($A$2:$A$2001,A1932,$E$2:$E$2001,E1932,$C$2:$C$2001,"Actual")&gt;0,0,D1932)))</f>
        <v>0</v>
      </c>
    </row>
    <row r="1933" customFormat="false" ht="15" hidden="false" customHeight="false" outlineLevel="0" collapsed="false">
      <c r="A1933" s="32"/>
      <c r="B1933" s="35"/>
      <c r="C1933" s="32"/>
      <c r="D1933" s="34"/>
      <c r="E1933" s="42" t="str">
        <f aca="false">IF(OR(A1933="",B1933=""),"",DATE(YEAR(B1933),MONTH(B1933),1))</f>
        <v/>
      </c>
      <c r="F1933" s="36" t="n">
        <f aca="false">IF(OR(E1933="",D1933=""),0,IF(C1933="Actual",D1933,IF(COUNTIFS($A$2:$A$2001,A1933,$E$2:$E$2001,E1933,$C$2:$C$2001,"Actual")&gt;0,0,D1933)))</f>
        <v>0</v>
      </c>
    </row>
    <row r="1934" customFormat="false" ht="15" hidden="false" customHeight="false" outlineLevel="0" collapsed="false">
      <c r="A1934" s="32"/>
      <c r="B1934" s="35"/>
      <c r="C1934" s="32"/>
      <c r="D1934" s="34"/>
      <c r="E1934" s="42" t="str">
        <f aca="false">IF(OR(A1934="",B1934=""),"",DATE(YEAR(B1934),MONTH(B1934),1))</f>
        <v/>
      </c>
      <c r="F1934" s="36" t="n">
        <f aca="false">IF(OR(E1934="",D1934=""),0,IF(C1934="Actual",D1934,IF(COUNTIFS($A$2:$A$2001,A1934,$E$2:$E$2001,E1934,$C$2:$C$2001,"Actual")&gt;0,0,D1934)))</f>
        <v>0</v>
      </c>
    </row>
    <row r="1935" customFormat="false" ht="15" hidden="false" customHeight="false" outlineLevel="0" collapsed="false">
      <c r="A1935" s="32"/>
      <c r="B1935" s="35"/>
      <c r="C1935" s="32"/>
      <c r="D1935" s="34"/>
      <c r="E1935" s="42" t="str">
        <f aca="false">IF(OR(A1935="",B1935=""),"",DATE(YEAR(B1935),MONTH(B1935),1))</f>
        <v/>
      </c>
      <c r="F1935" s="36" t="n">
        <f aca="false">IF(OR(E1935="",D1935=""),0,IF(C1935="Actual",D1935,IF(COUNTIFS($A$2:$A$2001,A1935,$E$2:$E$2001,E1935,$C$2:$C$2001,"Actual")&gt;0,0,D1935)))</f>
        <v>0</v>
      </c>
    </row>
    <row r="1936" customFormat="false" ht="15" hidden="false" customHeight="false" outlineLevel="0" collapsed="false">
      <c r="A1936" s="32"/>
      <c r="B1936" s="35"/>
      <c r="C1936" s="32"/>
      <c r="D1936" s="34"/>
      <c r="E1936" s="42" t="str">
        <f aca="false">IF(OR(A1936="",B1936=""),"",DATE(YEAR(B1936),MONTH(B1936),1))</f>
        <v/>
      </c>
      <c r="F1936" s="36" t="n">
        <f aca="false">IF(OR(E1936="",D1936=""),0,IF(C1936="Actual",D1936,IF(COUNTIFS($A$2:$A$2001,A1936,$E$2:$E$2001,E1936,$C$2:$C$2001,"Actual")&gt;0,0,D1936)))</f>
        <v>0</v>
      </c>
    </row>
    <row r="1937" customFormat="false" ht="15" hidden="false" customHeight="false" outlineLevel="0" collapsed="false">
      <c r="A1937" s="32"/>
      <c r="B1937" s="35"/>
      <c r="C1937" s="32"/>
      <c r="D1937" s="34"/>
      <c r="E1937" s="42" t="str">
        <f aca="false">IF(OR(A1937="",B1937=""),"",DATE(YEAR(B1937),MONTH(B1937),1))</f>
        <v/>
      </c>
      <c r="F1937" s="36" t="n">
        <f aca="false">IF(OR(E1937="",D1937=""),0,IF(C1937="Actual",D1937,IF(COUNTIFS($A$2:$A$2001,A1937,$E$2:$E$2001,E1937,$C$2:$C$2001,"Actual")&gt;0,0,D1937)))</f>
        <v>0</v>
      </c>
    </row>
    <row r="1938" customFormat="false" ht="15" hidden="false" customHeight="false" outlineLevel="0" collapsed="false">
      <c r="A1938" s="32"/>
      <c r="B1938" s="35"/>
      <c r="C1938" s="32"/>
      <c r="D1938" s="34"/>
      <c r="E1938" s="42" t="str">
        <f aca="false">IF(OR(A1938="",B1938=""),"",DATE(YEAR(B1938),MONTH(B1938),1))</f>
        <v/>
      </c>
      <c r="F1938" s="36" t="n">
        <f aca="false">IF(OR(E1938="",D1938=""),0,IF(C1938="Actual",D1938,IF(COUNTIFS($A$2:$A$2001,A1938,$E$2:$E$2001,E1938,$C$2:$C$2001,"Actual")&gt;0,0,D1938)))</f>
        <v>0</v>
      </c>
    </row>
    <row r="1939" customFormat="false" ht="15" hidden="false" customHeight="false" outlineLevel="0" collapsed="false">
      <c r="A1939" s="32"/>
      <c r="B1939" s="35"/>
      <c r="C1939" s="32"/>
      <c r="D1939" s="34"/>
      <c r="E1939" s="42" t="str">
        <f aca="false">IF(OR(A1939="",B1939=""),"",DATE(YEAR(B1939),MONTH(B1939),1))</f>
        <v/>
      </c>
      <c r="F1939" s="36" t="n">
        <f aca="false">IF(OR(E1939="",D1939=""),0,IF(C1939="Actual",D1939,IF(COUNTIFS($A$2:$A$2001,A1939,$E$2:$E$2001,E1939,$C$2:$C$2001,"Actual")&gt;0,0,D1939)))</f>
        <v>0</v>
      </c>
    </row>
    <row r="1940" customFormat="false" ht="15" hidden="false" customHeight="false" outlineLevel="0" collapsed="false">
      <c r="A1940" s="32"/>
      <c r="B1940" s="35"/>
      <c r="C1940" s="32"/>
      <c r="D1940" s="34"/>
      <c r="E1940" s="42" t="str">
        <f aca="false">IF(OR(A1940="",B1940=""),"",DATE(YEAR(B1940),MONTH(B1940),1))</f>
        <v/>
      </c>
      <c r="F1940" s="36" t="n">
        <f aca="false">IF(OR(E1940="",D1940=""),0,IF(C1940="Actual",D1940,IF(COUNTIFS($A$2:$A$2001,A1940,$E$2:$E$2001,E1940,$C$2:$C$2001,"Actual")&gt;0,0,D1940)))</f>
        <v>0</v>
      </c>
    </row>
    <row r="1941" customFormat="false" ht="15" hidden="false" customHeight="false" outlineLevel="0" collapsed="false">
      <c r="A1941" s="32"/>
      <c r="B1941" s="35"/>
      <c r="C1941" s="32"/>
      <c r="D1941" s="34"/>
      <c r="E1941" s="42" t="str">
        <f aca="false">IF(OR(A1941="",B1941=""),"",DATE(YEAR(B1941),MONTH(B1941),1))</f>
        <v/>
      </c>
      <c r="F1941" s="36" t="n">
        <f aca="false">IF(OR(E1941="",D1941=""),0,IF(C1941="Actual",D1941,IF(COUNTIFS($A$2:$A$2001,A1941,$E$2:$E$2001,E1941,$C$2:$C$2001,"Actual")&gt;0,0,D1941)))</f>
        <v>0</v>
      </c>
    </row>
    <row r="1942" customFormat="false" ht="15" hidden="false" customHeight="false" outlineLevel="0" collapsed="false">
      <c r="A1942" s="32"/>
      <c r="B1942" s="35"/>
      <c r="C1942" s="32"/>
      <c r="D1942" s="34"/>
      <c r="E1942" s="42" t="str">
        <f aca="false">IF(OR(A1942="",B1942=""),"",DATE(YEAR(B1942),MONTH(B1942),1))</f>
        <v/>
      </c>
      <c r="F1942" s="36" t="n">
        <f aca="false">IF(OR(E1942="",D1942=""),0,IF(C1942="Actual",D1942,IF(COUNTIFS($A$2:$A$2001,A1942,$E$2:$E$2001,E1942,$C$2:$C$2001,"Actual")&gt;0,0,D1942)))</f>
        <v>0</v>
      </c>
    </row>
    <row r="1943" customFormat="false" ht="15" hidden="false" customHeight="false" outlineLevel="0" collapsed="false">
      <c r="A1943" s="32"/>
      <c r="B1943" s="35"/>
      <c r="C1943" s="32"/>
      <c r="D1943" s="34"/>
      <c r="E1943" s="42" t="str">
        <f aca="false">IF(OR(A1943="",B1943=""),"",DATE(YEAR(B1943),MONTH(B1943),1))</f>
        <v/>
      </c>
      <c r="F1943" s="36" t="n">
        <f aca="false">IF(OR(E1943="",D1943=""),0,IF(C1943="Actual",D1943,IF(COUNTIFS($A$2:$A$2001,A1943,$E$2:$E$2001,E1943,$C$2:$C$2001,"Actual")&gt;0,0,D1943)))</f>
        <v>0</v>
      </c>
    </row>
    <row r="1944" customFormat="false" ht="15" hidden="false" customHeight="false" outlineLevel="0" collapsed="false">
      <c r="A1944" s="32"/>
      <c r="B1944" s="35"/>
      <c r="C1944" s="32"/>
      <c r="D1944" s="34"/>
      <c r="E1944" s="42" t="str">
        <f aca="false">IF(OR(A1944="",B1944=""),"",DATE(YEAR(B1944),MONTH(B1944),1))</f>
        <v/>
      </c>
      <c r="F1944" s="36" t="n">
        <f aca="false">IF(OR(E1944="",D1944=""),0,IF(C1944="Actual",D1944,IF(COUNTIFS($A$2:$A$2001,A1944,$E$2:$E$2001,E1944,$C$2:$C$2001,"Actual")&gt;0,0,D1944)))</f>
        <v>0</v>
      </c>
    </row>
    <row r="1945" customFormat="false" ht="15" hidden="false" customHeight="false" outlineLevel="0" collapsed="false">
      <c r="A1945" s="32"/>
      <c r="B1945" s="35"/>
      <c r="C1945" s="32"/>
      <c r="D1945" s="34"/>
      <c r="E1945" s="42" t="str">
        <f aca="false">IF(OR(A1945="",B1945=""),"",DATE(YEAR(B1945),MONTH(B1945),1))</f>
        <v/>
      </c>
      <c r="F1945" s="36" t="n">
        <f aca="false">IF(OR(E1945="",D1945=""),0,IF(C1945="Actual",D1945,IF(COUNTIFS($A$2:$A$2001,A1945,$E$2:$E$2001,E1945,$C$2:$C$2001,"Actual")&gt;0,0,D1945)))</f>
        <v>0</v>
      </c>
    </row>
    <row r="1946" customFormat="false" ht="15" hidden="false" customHeight="false" outlineLevel="0" collapsed="false">
      <c r="A1946" s="32"/>
      <c r="B1946" s="35"/>
      <c r="C1946" s="32"/>
      <c r="D1946" s="34"/>
      <c r="E1946" s="42" t="str">
        <f aca="false">IF(OR(A1946="",B1946=""),"",DATE(YEAR(B1946),MONTH(B1946),1))</f>
        <v/>
      </c>
      <c r="F1946" s="36" t="n">
        <f aca="false">IF(OR(E1946="",D1946=""),0,IF(C1946="Actual",D1946,IF(COUNTIFS($A$2:$A$2001,A1946,$E$2:$E$2001,E1946,$C$2:$C$2001,"Actual")&gt;0,0,D1946)))</f>
        <v>0</v>
      </c>
    </row>
    <row r="1947" customFormat="false" ht="15" hidden="false" customHeight="false" outlineLevel="0" collapsed="false">
      <c r="A1947" s="32"/>
      <c r="B1947" s="35"/>
      <c r="C1947" s="32"/>
      <c r="D1947" s="34"/>
      <c r="E1947" s="42" t="str">
        <f aca="false">IF(OR(A1947="",B1947=""),"",DATE(YEAR(B1947),MONTH(B1947),1))</f>
        <v/>
      </c>
      <c r="F1947" s="36" t="n">
        <f aca="false">IF(OR(E1947="",D1947=""),0,IF(C1947="Actual",D1947,IF(COUNTIFS($A$2:$A$2001,A1947,$E$2:$E$2001,E1947,$C$2:$C$2001,"Actual")&gt;0,0,D1947)))</f>
        <v>0</v>
      </c>
    </row>
    <row r="1948" customFormat="false" ht="15" hidden="false" customHeight="false" outlineLevel="0" collapsed="false">
      <c r="A1948" s="32"/>
      <c r="B1948" s="35"/>
      <c r="C1948" s="32"/>
      <c r="D1948" s="34"/>
      <c r="E1948" s="42" t="str">
        <f aca="false">IF(OR(A1948="",B1948=""),"",DATE(YEAR(B1948),MONTH(B1948),1))</f>
        <v/>
      </c>
      <c r="F1948" s="36" t="n">
        <f aca="false">IF(OR(E1948="",D1948=""),0,IF(C1948="Actual",D1948,IF(COUNTIFS($A$2:$A$2001,A1948,$E$2:$E$2001,E1948,$C$2:$C$2001,"Actual")&gt;0,0,D1948)))</f>
        <v>0</v>
      </c>
    </row>
    <row r="1949" customFormat="false" ht="15" hidden="false" customHeight="false" outlineLevel="0" collapsed="false">
      <c r="A1949" s="32"/>
      <c r="B1949" s="35"/>
      <c r="C1949" s="32"/>
      <c r="D1949" s="34"/>
      <c r="E1949" s="42" t="str">
        <f aca="false">IF(OR(A1949="",B1949=""),"",DATE(YEAR(B1949),MONTH(B1949),1))</f>
        <v/>
      </c>
      <c r="F1949" s="36" t="n">
        <f aca="false">IF(OR(E1949="",D1949=""),0,IF(C1949="Actual",D1949,IF(COUNTIFS($A$2:$A$2001,A1949,$E$2:$E$2001,E1949,$C$2:$C$2001,"Actual")&gt;0,0,D1949)))</f>
        <v>0</v>
      </c>
    </row>
    <row r="1950" customFormat="false" ht="15" hidden="false" customHeight="false" outlineLevel="0" collapsed="false">
      <c r="A1950" s="32"/>
      <c r="B1950" s="35"/>
      <c r="C1950" s="32"/>
      <c r="D1950" s="34"/>
      <c r="E1950" s="42" t="str">
        <f aca="false">IF(OR(A1950="",B1950=""),"",DATE(YEAR(B1950),MONTH(B1950),1))</f>
        <v/>
      </c>
      <c r="F1950" s="36" t="n">
        <f aca="false">IF(OR(E1950="",D1950=""),0,IF(C1950="Actual",D1950,IF(COUNTIFS($A$2:$A$2001,A1950,$E$2:$E$2001,E1950,$C$2:$C$2001,"Actual")&gt;0,0,D1950)))</f>
        <v>0</v>
      </c>
    </row>
    <row r="1951" customFormat="false" ht="15" hidden="false" customHeight="false" outlineLevel="0" collapsed="false">
      <c r="A1951" s="32"/>
      <c r="B1951" s="35"/>
      <c r="C1951" s="32"/>
      <c r="D1951" s="34"/>
      <c r="E1951" s="42" t="str">
        <f aca="false">IF(OR(A1951="",B1951=""),"",DATE(YEAR(B1951),MONTH(B1951),1))</f>
        <v/>
      </c>
      <c r="F1951" s="36" t="n">
        <f aca="false">IF(OR(E1951="",D1951=""),0,IF(C1951="Actual",D1951,IF(COUNTIFS($A$2:$A$2001,A1951,$E$2:$E$2001,E1951,$C$2:$C$2001,"Actual")&gt;0,0,D1951)))</f>
        <v>0</v>
      </c>
    </row>
    <row r="1952" customFormat="false" ht="15" hidden="false" customHeight="false" outlineLevel="0" collapsed="false">
      <c r="A1952" s="32"/>
      <c r="B1952" s="35"/>
      <c r="C1952" s="32"/>
      <c r="D1952" s="34"/>
      <c r="E1952" s="42" t="str">
        <f aca="false">IF(OR(A1952="",B1952=""),"",DATE(YEAR(B1952),MONTH(B1952),1))</f>
        <v/>
      </c>
      <c r="F1952" s="36" t="n">
        <f aca="false">IF(OR(E1952="",D1952=""),0,IF(C1952="Actual",D1952,IF(COUNTIFS($A$2:$A$2001,A1952,$E$2:$E$2001,E1952,$C$2:$C$2001,"Actual")&gt;0,0,D1952)))</f>
        <v>0</v>
      </c>
    </row>
    <row r="1953" customFormat="false" ht="15" hidden="false" customHeight="false" outlineLevel="0" collapsed="false">
      <c r="A1953" s="32"/>
      <c r="B1953" s="35"/>
      <c r="C1953" s="32"/>
      <c r="D1953" s="34"/>
      <c r="E1953" s="42" t="str">
        <f aca="false">IF(OR(A1953="",B1953=""),"",DATE(YEAR(B1953),MONTH(B1953),1))</f>
        <v/>
      </c>
      <c r="F1953" s="36" t="n">
        <f aca="false">IF(OR(E1953="",D1953=""),0,IF(C1953="Actual",D1953,IF(COUNTIFS($A$2:$A$2001,A1953,$E$2:$E$2001,E1953,$C$2:$C$2001,"Actual")&gt;0,0,D1953)))</f>
        <v>0</v>
      </c>
    </row>
    <row r="1954" customFormat="false" ht="15" hidden="false" customHeight="false" outlineLevel="0" collapsed="false">
      <c r="A1954" s="32"/>
      <c r="B1954" s="35"/>
      <c r="C1954" s="32"/>
      <c r="D1954" s="34"/>
      <c r="E1954" s="42" t="str">
        <f aca="false">IF(OR(A1954="",B1954=""),"",DATE(YEAR(B1954),MONTH(B1954),1))</f>
        <v/>
      </c>
      <c r="F1954" s="36" t="n">
        <f aca="false">IF(OR(E1954="",D1954=""),0,IF(C1954="Actual",D1954,IF(COUNTIFS($A$2:$A$2001,A1954,$E$2:$E$2001,E1954,$C$2:$C$2001,"Actual")&gt;0,0,D1954)))</f>
        <v>0</v>
      </c>
    </row>
    <row r="1955" customFormat="false" ht="15" hidden="false" customHeight="false" outlineLevel="0" collapsed="false">
      <c r="A1955" s="32"/>
      <c r="B1955" s="35"/>
      <c r="C1955" s="32"/>
      <c r="D1955" s="34"/>
      <c r="E1955" s="42" t="str">
        <f aca="false">IF(OR(A1955="",B1955=""),"",DATE(YEAR(B1955),MONTH(B1955),1))</f>
        <v/>
      </c>
      <c r="F1955" s="36" t="n">
        <f aca="false">IF(OR(E1955="",D1955=""),0,IF(C1955="Actual",D1955,IF(COUNTIFS($A$2:$A$2001,A1955,$E$2:$E$2001,E1955,$C$2:$C$2001,"Actual")&gt;0,0,D1955)))</f>
        <v>0</v>
      </c>
    </row>
    <row r="1956" customFormat="false" ht="15" hidden="false" customHeight="false" outlineLevel="0" collapsed="false">
      <c r="A1956" s="32"/>
      <c r="B1956" s="35"/>
      <c r="C1956" s="32"/>
      <c r="D1956" s="34"/>
      <c r="E1956" s="42" t="str">
        <f aca="false">IF(OR(A1956="",B1956=""),"",DATE(YEAR(B1956),MONTH(B1956),1))</f>
        <v/>
      </c>
      <c r="F1956" s="36" t="n">
        <f aca="false">IF(OR(E1956="",D1956=""),0,IF(C1956="Actual",D1956,IF(COUNTIFS($A$2:$A$2001,A1956,$E$2:$E$2001,E1956,$C$2:$C$2001,"Actual")&gt;0,0,D1956)))</f>
        <v>0</v>
      </c>
    </row>
    <row r="1957" customFormat="false" ht="15" hidden="false" customHeight="false" outlineLevel="0" collapsed="false">
      <c r="A1957" s="32"/>
      <c r="B1957" s="35"/>
      <c r="C1957" s="32"/>
      <c r="D1957" s="34"/>
      <c r="E1957" s="42" t="str">
        <f aca="false">IF(OR(A1957="",B1957=""),"",DATE(YEAR(B1957),MONTH(B1957),1))</f>
        <v/>
      </c>
      <c r="F1957" s="36" t="n">
        <f aca="false">IF(OR(E1957="",D1957=""),0,IF(C1957="Actual",D1957,IF(COUNTIFS($A$2:$A$2001,A1957,$E$2:$E$2001,E1957,$C$2:$C$2001,"Actual")&gt;0,0,D1957)))</f>
        <v>0</v>
      </c>
    </row>
    <row r="1958" customFormat="false" ht="15" hidden="false" customHeight="false" outlineLevel="0" collapsed="false">
      <c r="A1958" s="32"/>
      <c r="B1958" s="35"/>
      <c r="C1958" s="32"/>
      <c r="D1958" s="34"/>
      <c r="E1958" s="42" t="str">
        <f aca="false">IF(OR(A1958="",B1958=""),"",DATE(YEAR(B1958),MONTH(B1958),1))</f>
        <v/>
      </c>
      <c r="F1958" s="36" t="n">
        <f aca="false">IF(OR(E1958="",D1958=""),0,IF(C1958="Actual",D1958,IF(COUNTIFS($A$2:$A$2001,A1958,$E$2:$E$2001,E1958,$C$2:$C$2001,"Actual")&gt;0,0,D1958)))</f>
        <v>0</v>
      </c>
    </row>
    <row r="1959" customFormat="false" ht="15" hidden="false" customHeight="false" outlineLevel="0" collapsed="false">
      <c r="A1959" s="32"/>
      <c r="B1959" s="35"/>
      <c r="C1959" s="32"/>
      <c r="D1959" s="34"/>
      <c r="E1959" s="42" t="str">
        <f aca="false">IF(OR(A1959="",B1959=""),"",DATE(YEAR(B1959),MONTH(B1959),1))</f>
        <v/>
      </c>
      <c r="F1959" s="36" t="n">
        <f aca="false">IF(OR(E1959="",D1959=""),0,IF(C1959="Actual",D1959,IF(COUNTIFS($A$2:$A$2001,A1959,$E$2:$E$2001,E1959,$C$2:$C$2001,"Actual")&gt;0,0,D1959)))</f>
        <v>0</v>
      </c>
    </row>
    <row r="1960" customFormat="false" ht="15" hidden="false" customHeight="false" outlineLevel="0" collapsed="false">
      <c r="A1960" s="32"/>
      <c r="B1960" s="35"/>
      <c r="C1960" s="32"/>
      <c r="D1960" s="34"/>
      <c r="E1960" s="42" t="str">
        <f aca="false">IF(OR(A1960="",B1960=""),"",DATE(YEAR(B1960),MONTH(B1960),1))</f>
        <v/>
      </c>
      <c r="F1960" s="36" t="n">
        <f aca="false">IF(OR(E1960="",D1960=""),0,IF(C1960="Actual",D1960,IF(COUNTIFS($A$2:$A$2001,A1960,$E$2:$E$2001,E1960,$C$2:$C$2001,"Actual")&gt;0,0,D1960)))</f>
        <v>0</v>
      </c>
    </row>
    <row r="1961" customFormat="false" ht="15" hidden="false" customHeight="false" outlineLevel="0" collapsed="false">
      <c r="A1961" s="32"/>
      <c r="B1961" s="35"/>
      <c r="C1961" s="32"/>
      <c r="D1961" s="34"/>
      <c r="E1961" s="42" t="str">
        <f aca="false">IF(OR(A1961="",B1961=""),"",DATE(YEAR(B1961),MONTH(B1961),1))</f>
        <v/>
      </c>
      <c r="F1961" s="36" t="n">
        <f aca="false">IF(OR(E1961="",D1961=""),0,IF(C1961="Actual",D1961,IF(COUNTIFS($A$2:$A$2001,A1961,$E$2:$E$2001,E1961,$C$2:$C$2001,"Actual")&gt;0,0,D1961)))</f>
        <v>0</v>
      </c>
    </row>
    <row r="1962" customFormat="false" ht="15" hidden="false" customHeight="false" outlineLevel="0" collapsed="false">
      <c r="A1962" s="32"/>
      <c r="B1962" s="35"/>
      <c r="C1962" s="32"/>
      <c r="D1962" s="34"/>
      <c r="E1962" s="42" t="str">
        <f aca="false">IF(OR(A1962="",B1962=""),"",DATE(YEAR(B1962),MONTH(B1962),1))</f>
        <v/>
      </c>
      <c r="F1962" s="36" t="n">
        <f aca="false">IF(OR(E1962="",D1962=""),0,IF(C1962="Actual",D1962,IF(COUNTIFS($A$2:$A$2001,A1962,$E$2:$E$2001,E1962,$C$2:$C$2001,"Actual")&gt;0,0,D1962)))</f>
        <v>0</v>
      </c>
    </row>
    <row r="1963" customFormat="false" ht="15" hidden="false" customHeight="false" outlineLevel="0" collapsed="false">
      <c r="A1963" s="32"/>
      <c r="B1963" s="35"/>
      <c r="C1963" s="32"/>
      <c r="D1963" s="34"/>
      <c r="E1963" s="42" t="str">
        <f aca="false">IF(OR(A1963="",B1963=""),"",DATE(YEAR(B1963),MONTH(B1963),1))</f>
        <v/>
      </c>
      <c r="F1963" s="36" t="n">
        <f aca="false">IF(OR(E1963="",D1963=""),0,IF(C1963="Actual",D1963,IF(COUNTIFS($A$2:$A$2001,A1963,$E$2:$E$2001,E1963,$C$2:$C$2001,"Actual")&gt;0,0,D1963)))</f>
        <v>0</v>
      </c>
    </row>
    <row r="1964" customFormat="false" ht="15" hidden="false" customHeight="false" outlineLevel="0" collapsed="false">
      <c r="A1964" s="32"/>
      <c r="B1964" s="35"/>
      <c r="C1964" s="32"/>
      <c r="D1964" s="34"/>
      <c r="E1964" s="42" t="str">
        <f aca="false">IF(OR(A1964="",B1964=""),"",DATE(YEAR(B1964),MONTH(B1964),1))</f>
        <v/>
      </c>
      <c r="F1964" s="36" t="n">
        <f aca="false">IF(OR(E1964="",D1964=""),0,IF(C1964="Actual",D1964,IF(COUNTIFS($A$2:$A$2001,A1964,$E$2:$E$2001,E1964,$C$2:$C$2001,"Actual")&gt;0,0,D1964)))</f>
        <v>0</v>
      </c>
    </row>
    <row r="1965" customFormat="false" ht="15" hidden="false" customHeight="false" outlineLevel="0" collapsed="false">
      <c r="A1965" s="32"/>
      <c r="B1965" s="35"/>
      <c r="C1965" s="32"/>
      <c r="D1965" s="34"/>
      <c r="E1965" s="42" t="str">
        <f aca="false">IF(OR(A1965="",B1965=""),"",DATE(YEAR(B1965),MONTH(B1965),1))</f>
        <v/>
      </c>
      <c r="F1965" s="36" t="n">
        <f aca="false">IF(OR(E1965="",D1965=""),0,IF(C1965="Actual",D1965,IF(COUNTIFS($A$2:$A$2001,A1965,$E$2:$E$2001,E1965,$C$2:$C$2001,"Actual")&gt;0,0,D1965)))</f>
        <v>0</v>
      </c>
    </row>
    <row r="1966" customFormat="false" ht="15" hidden="false" customHeight="false" outlineLevel="0" collapsed="false">
      <c r="A1966" s="32"/>
      <c r="B1966" s="35"/>
      <c r="C1966" s="32"/>
      <c r="D1966" s="34"/>
      <c r="E1966" s="42" t="str">
        <f aca="false">IF(OR(A1966="",B1966=""),"",DATE(YEAR(B1966),MONTH(B1966),1))</f>
        <v/>
      </c>
      <c r="F1966" s="36" t="n">
        <f aca="false">IF(OR(E1966="",D1966=""),0,IF(C1966="Actual",D1966,IF(COUNTIFS($A$2:$A$2001,A1966,$E$2:$E$2001,E1966,$C$2:$C$2001,"Actual")&gt;0,0,D1966)))</f>
        <v>0</v>
      </c>
    </row>
    <row r="1967" customFormat="false" ht="15" hidden="false" customHeight="false" outlineLevel="0" collapsed="false">
      <c r="A1967" s="32"/>
      <c r="B1967" s="35"/>
      <c r="C1967" s="32"/>
      <c r="D1967" s="34"/>
      <c r="E1967" s="42" t="str">
        <f aca="false">IF(OR(A1967="",B1967=""),"",DATE(YEAR(B1967),MONTH(B1967),1))</f>
        <v/>
      </c>
      <c r="F1967" s="36" t="n">
        <f aca="false">IF(OR(E1967="",D1967=""),0,IF(C1967="Actual",D1967,IF(COUNTIFS($A$2:$A$2001,A1967,$E$2:$E$2001,E1967,$C$2:$C$2001,"Actual")&gt;0,0,D1967)))</f>
        <v>0</v>
      </c>
    </row>
    <row r="1968" customFormat="false" ht="15" hidden="false" customHeight="false" outlineLevel="0" collapsed="false">
      <c r="A1968" s="32"/>
      <c r="B1968" s="35"/>
      <c r="C1968" s="32"/>
      <c r="D1968" s="34"/>
      <c r="E1968" s="42" t="str">
        <f aca="false">IF(OR(A1968="",B1968=""),"",DATE(YEAR(B1968),MONTH(B1968),1))</f>
        <v/>
      </c>
      <c r="F1968" s="36" t="n">
        <f aca="false">IF(OR(E1968="",D1968=""),0,IF(C1968="Actual",D1968,IF(COUNTIFS($A$2:$A$2001,A1968,$E$2:$E$2001,E1968,$C$2:$C$2001,"Actual")&gt;0,0,D1968)))</f>
        <v>0</v>
      </c>
    </row>
    <row r="1969" customFormat="false" ht="15" hidden="false" customHeight="false" outlineLevel="0" collapsed="false">
      <c r="A1969" s="32"/>
      <c r="B1969" s="35"/>
      <c r="C1969" s="32"/>
      <c r="D1969" s="34"/>
      <c r="E1969" s="42" t="str">
        <f aca="false">IF(OR(A1969="",B1969=""),"",DATE(YEAR(B1969),MONTH(B1969),1))</f>
        <v/>
      </c>
      <c r="F1969" s="36" t="n">
        <f aca="false">IF(OR(E1969="",D1969=""),0,IF(C1969="Actual",D1969,IF(COUNTIFS($A$2:$A$2001,A1969,$E$2:$E$2001,E1969,$C$2:$C$2001,"Actual")&gt;0,0,D1969)))</f>
        <v>0</v>
      </c>
    </row>
    <row r="1970" customFormat="false" ht="15" hidden="false" customHeight="false" outlineLevel="0" collapsed="false">
      <c r="A1970" s="32"/>
      <c r="B1970" s="35"/>
      <c r="C1970" s="32"/>
      <c r="D1970" s="34"/>
      <c r="E1970" s="42" t="str">
        <f aca="false">IF(OR(A1970="",B1970=""),"",DATE(YEAR(B1970),MONTH(B1970),1))</f>
        <v/>
      </c>
      <c r="F1970" s="36" t="n">
        <f aca="false">IF(OR(E1970="",D1970=""),0,IF(C1970="Actual",D1970,IF(COUNTIFS($A$2:$A$2001,A1970,$E$2:$E$2001,E1970,$C$2:$C$2001,"Actual")&gt;0,0,D1970)))</f>
        <v>0</v>
      </c>
    </row>
    <row r="1971" customFormat="false" ht="15" hidden="false" customHeight="false" outlineLevel="0" collapsed="false">
      <c r="A1971" s="32"/>
      <c r="B1971" s="35"/>
      <c r="C1971" s="32"/>
      <c r="D1971" s="34"/>
      <c r="E1971" s="42" t="str">
        <f aca="false">IF(OR(A1971="",B1971=""),"",DATE(YEAR(B1971),MONTH(B1971),1))</f>
        <v/>
      </c>
      <c r="F1971" s="36" t="n">
        <f aca="false">IF(OR(E1971="",D1971=""),0,IF(C1971="Actual",D1971,IF(COUNTIFS($A$2:$A$2001,A1971,$E$2:$E$2001,E1971,$C$2:$C$2001,"Actual")&gt;0,0,D1971)))</f>
        <v>0</v>
      </c>
    </row>
    <row r="1972" customFormat="false" ht="15" hidden="false" customHeight="false" outlineLevel="0" collapsed="false">
      <c r="A1972" s="32"/>
      <c r="B1972" s="35"/>
      <c r="C1972" s="32"/>
      <c r="D1972" s="34"/>
      <c r="E1972" s="42" t="str">
        <f aca="false">IF(OR(A1972="",B1972=""),"",DATE(YEAR(B1972),MONTH(B1972),1))</f>
        <v/>
      </c>
      <c r="F1972" s="36" t="n">
        <f aca="false">IF(OR(E1972="",D1972=""),0,IF(C1972="Actual",D1972,IF(COUNTIFS($A$2:$A$2001,A1972,$E$2:$E$2001,E1972,$C$2:$C$2001,"Actual")&gt;0,0,D1972)))</f>
        <v>0</v>
      </c>
    </row>
    <row r="1973" customFormat="false" ht="15" hidden="false" customHeight="false" outlineLevel="0" collapsed="false">
      <c r="A1973" s="32"/>
      <c r="B1973" s="35"/>
      <c r="C1973" s="32"/>
      <c r="D1973" s="34"/>
      <c r="E1973" s="42" t="str">
        <f aca="false">IF(OR(A1973="",B1973=""),"",DATE(YEAR(B1973),MONTH(B1973),1))</f>
        <v/>
      </c>
      <c r="F1973" s="36" t="n">
        <f aca="false">IF(OR(E1973="",D1973=""),0,IF(C1973="Actual",D1973,IF(COUNTIFS($A$2:$A$2001,A1973,$E$2:$E$2001,E1973,$C$2:$C$2001,"Actual")&gt;0,0,D1973)))</f>
        <v>0</v>
      </c>
    </row>
    <row r="1974" customFormat="false" ht="15" hidden="false" customHeight="false" outlineLevel="0" collapsed="false">
      <c r="A1974" s="32"/>
      <c r="B1974" s="35"/>
      <c r="C1974" s="32"/>
      <c r="D1974" s="34"/>
      <c r="E1974" s="42" t="str">
        <f aca="false">IF(OR(A1974="",B1974=""),"",DATE(YEAR(B1974),MONTH(B1974),1))</f>
        <v/>
      </c>
      <c r="F1974" s="36" t="n">
        <f aca="false">IF(OR(E1974="",D1974=""),0,IF(C1974="Actual",D1974,IF(COUNTIFS($A$2:$A$2001,A1974,$E$2:$E$2001,E1974,$C$2:$C$2001,"Actual")&gt;0,0,D1974)))</f>
        <v>0</v>
      </c>
    </row>
    <row r="1975" customFormat="false" ht="15" hidden="false" customHeight="false" outlineLevel="0" collapsed="false">
      <c r="A1975" s="32"/>
      <c r="B1975" s="35"/>
      <c r="C1975" s="32"/>
      <c r="D1975" s="34"/>
      <c r="E1975" s="42" t="str">
        <f aca="false">IF(OR(A1975="",B1975=""),"",DATE(YEAR(B1975),MONTH(B1975),1))</f>
        <v/>
      </c>
      <c r="F1975" s="36" t="n">
        <f aca="false">IF(OR(E1975="",D1975=""),0,IF(C1975="Actual",D1975,IF(COUNTIFS($A$2:$A$2001,A1975,$E$2:$E$2001,E1975,$C$2:$C$2001,"Actual")&gt;0,0,D1975)))</f>
        <v>0</v>
      </c>
    </row>
    <row r="1976" customFormat="false" ht="15" hidden="false" customHeight="false" outlineLevel="0" collapsed="false">
      <c r="A1976" s="32"/>
      <c r="B1976" s="35"/>
      <c r="C1976" s="32"/>
      <c r="D1976" s="34"/>
      <c r="E1976" s="42" t="str">
        <f aca="false">IF(OR(A1976="",B1976=""),"",DATE(YEAR(B1976),MONTH(B1976),1))</f>
        <v/>
      </c>
      <c r="F1976" s="36" t="n">
        <f aca="false">IF(OR(E1976="",D1976=""),0,IF(C1976="Actual",D1976,IF(COUNTIFS($A$2:$A$2001,A1976,$E$2:$E$2001,E1976,$C$2:$C$2001,"Actual")&gt;0,0,D1976)))</f>
        <v>0</v>
      </c>
    </row>
    <row r="1977" customFormat="false" ht="15" hidden="false" customHeight="false" outlineLevel="0" collapsed="false">
      <c r="A1977" s="32"/>
      <c r="B1977" s="35"/>
      <c r="C1977" s="32"/>
      <c r="D1977" s="34"/>
      <c r="E1977" s="42" t="str">
        <f aca="false">IF(OR(A1977="",B1977=""),"",DATE(YEAR(B1977),MONTH(B1977),1))</f>
        <v/>
      </c>
      <c r="F1977" s="36" t="n">
        <f aca="false">IF(OR(E1977="",D1977=""),0,IF(C1977="Actual",D1977,IF(COUNTIFS($A$2:$A$2001,A1977,$E$2:$E$2001,E1977,$C$2:$C$2001,"Actual")&gt;0,0,D1977)))</f>
        <v>0</v>
      </c>
    </row>
    <row r="1978" customFormat="false" ht="15" hidden="false" customHeight="false" outlineLevel="0" collapsed="false">
      <c r="A1978" s="32"/>
      <c r="B1978" s="35"/>
      <c r="C1978" s="32"/>
      <c r="D1978" s="34"/>
      <c r="E1978" s="42" t="str">
        <f aca="false">IF(OR(A1978="",B1978=""),"",DATE(YEAR(B1978),MONTH(B1978),1))</f>
        <v/>
      </c>
      <c r="F1978" s="36" t="n">
        <f aca="false">IF(OR(E1978="",D1978=""),0,IF(C1978="Actual",D1978,IF(COUNTIFS($A$2:$A$2001,A1978,$E$2:$E$2001,E1978,$C$2:$C$2001,"Actual")&gt;0,0,D1978)))</f>
        <v>0</v>
      </c>
    </row>
    <row r="1979" customFormat="false" ht="15" hidden="false" customHeight="false" outlineLevel="0" collapsed="false">
      <c r="A1979" s="32"/>
      <c r="B1979" s="35"/>
      <c r="C1979" s="32"/>
      <c r="D1979" s="34"/>
      <c r="E1979" s="42" t="str">
        <f aca="false">IF(OR(A1979="",B1979=""),"",DATE(YEAR(B1979),MONTH(B1979),1))</f>
        <v/>
      </c>
      <c r="F1979" s="36" t="n">
        <f aca="false">IF(OR(E1979="",D1979=""),0,IF(C1979="Actual",D1979,IF(COUNTIFS($A$2:$A$2001,A1979,$E$2:$E$2001,E1979,$C$2:$C$2001,"Actual")&gt;0,0,D1979)))</f>
        <v>0</v>
      </c>
    </row>
    <row r="1980" customFormat="false" ht="15" hidden="false" customHeight="false" outlineLevel="0" collapsed="false">
      <c r="A1980" s="32"/>
      <c r="B1980" s="35"/>
      <c r="C1980" s="32"/>
      <c r="D1980" s="34"/>
      <c r="E1980" s="42" t="str">
        <f aca="false">IF(OR(A1980="",B1980=""),"",DATE(YEAR(B1980),MONTH(B1980),1))</f>
        <v/>
      </c>
      <c r="F1980" s="36" t="n">
        <f aca="false">IF(OR(E1980="",D1980=""),0,IF(C1980="Actual",D1980,IF(COUNTIFS($A$2:$A$2001,A1980,$E$2:$E$2001,E1980,$C$2:$C$2001,"Actual")&gt;0,0,D1980)))</f>
        <v>0</v>
      </c>
    </row>
    <row r="1981" customFormat="false" ht="15" hidden="false" customHeight="false" outlineLevel="0" collapsed="false">
      <c r="A1981" s="32"/>
      <c r="B1981" s="35"/>
      <c r="C1981" s="32"/>
      <c r="D1981" s="34"/>
      <c r="E1981" s="42" t="str">
        <f aca="false">IF(OR(A1981="",B1981=""),"",DATE(YEAR(B1981),MONTH(B1981),1))</f>
        <v/>
      </c>
      <c r="F1981" s="36" t="n">
        <f aca="false">IF(OR(E1981="",D1981=""),0,IF(C1981="Actual",D1981,IF(COUNTIFS($A$2:$A$2001,A1981,$E$2:$E$2001,E1981,$C$2:$C$2001,"Actual")&gt;0,0,D1981)))</f>
        <v>0</v>
      </c>
    </row>
    <row r="1982" customFormat="false" ht="15" hidden="false" customHeight="false" outlineLevel="0" collapsed="false">
      <c r="A1982" s="32"/>
      <c r="B1982" s="35"/>
      <c r="C1982" s="32"/>
      <c r="D1982" s="34"/>
      <c r="E1982" s="42" t="str">
        <f aca="false">IF(OR(A1982="",B1982=""),"",DATE(YEAR(B1982),MONTH(B1982),1))</f>
        <v/>
      </c>
      <c r="F1982" s="36" t="n">
        <f aca="false">IF(OR(E1982="",D1982=""),0,IF(C1982="Actual",D1982,IF(COUNTIFS($A$2:$A$2001,A1982,$E$2:$E$2001,E1982,$C$2:$C$2001,"Actual")&gt;0,0,D1982)))</f>
        <v>0</v>
      </c>
    </row>
    <row r="1983" customFormat="false" ht="15" hidden="false" customHeight="false" outlineLevel="0" collapsed="false">
      <c r="A1983" s="32"/>
      <c r="B1983" s="35"/>
      <c r="C1983" s="32"/>
      <c r="D1983" s="34"/>
      <c r="E1983" s="42" t="str">
        <f aca="false">IF(OR(A1983="",B1983=""),"",DATE(YEAR(B1983),MONTH(B1983),1))</f>
        <v/>
      </c>
      <c r="F1983" s="36" t="n">
        <f aca="false">IF(OR(E1983="",D1983=""),0,IF(C1983="Actual",D1983,IF(COUNTIFS($A$2:$A$2001,A1983,$E$2:$E$2001,E1983,$C$2:$C$2001,"Actual")&gt;0,0,D1983)))</f>
        <v>0</v>
      </c>
    </row>
    <row r="1984" customFormat="false" ht="15" hidden="false" customHeight="false" outlineLevel="0" collapsed="false">
      <c r="A1984" s="32"/>
      <c r="B1984" s="35"/>
      <c r="C1984" s="32"/>
      <c r="D1984" s="34"/>
      <c r="E1984" s="42" t="str">
        <f aca="false">IF(OR(A1984="",B1984=""),"",DATE(YEAR(B1984),MONTH(B1984),1))</f>
        <v/>
      </c>
      <c r="F1984" s="36" t="n">
        <f aca="false">IF(OR(E1984="",D1984=""),0,IF(C1984="Actual",D1984,IF(COUNTIFS($A$2:$A$2001,A1984,$E$2:$E$2001,E1984,$C$2:$C$2001,"Actual")&gt;0,0,D1984)))</f>
        <v>0</v>
      </c>
    </row>
    <row r="1985" customFormat="false" ht="15" hidden="false" customHeight="false" outlineLevel="0" collapsed="false">
      <c r="A1985" s="32"/>
      <c r="B1985" s="35"/>
      <c r="C1985" s="32"/>
      <c r="D1985" s="34"/>
      <c r="E1985" s="42" t="str">
        <f aca="false">IF(OR(A1985="",B1985=""),"",DATE(YEAR(B1985),MONTH(B1985),1))</f>
        <v/>
      </c>
      <c r="F1985" s="36" t="n">
        <f aca="false">IF(OR(E1985="",D1985=""),0,IF(C1985="Actual",D1985,IF(COUNTIFS($A$2:$A$2001,A1985,$E$2:$E$2001,E1985,$C$2:$C$2001,"Actual")&gt;0,0,D1985)))</f>
        <v>0</v>
      </c>
    </row>
    <row r="1986" customFormat="false" ht="15" hidden="false" customHeight="false" outlineLevel="0" collapsed="false">
      <c r="A1986" s="32"/>
      <c r="B1986" s="35"/>
      <c r="C1986" s="32"/>
      <c r="D1986" s="34"/>
      <c r="E1986" s="42" t="str">
        <f aca="false">IF(OR(A1986="",B1986=""),"",DATE(YEAR(B1986),MONTH(B1986),1))</f>
        <v/>
      </c>
      <c r="F1986" s="36" t="n">
        <f aca="false">IF(OR(E1986="",D1986=""),0,IF(C1986="Actual",D1986,IF(COUNTIFS($A$2:$A$2001,A1986,$E$2:$E$2001,E1986,$C$2:$C$2001,"Actual")&gt;0,0,D1986)))</f>
        <v>0</v>
      </c>
    </row>
    <row r="1987" customFormat="false" ht="15" hidden="false" customHeight="false" outlineLevel="0" collapsed="false">
      <c r="A1987" s="32"/>
      <c r="B1987" s="35"/>
      <c r="C1987" s="32"/>
      <c r="D1987" s="34"/>
      <c r="E1987" s="42" t="str">
        <f aca="false">IF(OR(A1987="",B1987=""),"",DATE(YEAR(B1987),MONTH(B1987),1))</f>
        <v/>
      </c>
      <c r="F1987" s="36" t="n">
        <f aca="false">IF(OR(E1987="",D1987=""),0,IF(C1987="Actual",D1987,IF(COUNTIFS($A$2:$A$2001,A1987,$E$2:$E$2001,E1987,$C$2:$C$2001,"Actual")&gt;0,0,D1987)))</f>
        <v>0</v>
      </c>
    </row>
    <row r="1988" customFormat="false" ht="15" hidden="false" customHeight="false" outlineLevel="0" collapsed="false">
      <c r="A1988" s="32"/>
      <c r="B1988" s="35"/>
      <c r="C1988" s="32"/>
      <c r="D1988" s="34"/>
      <c r="E1988" s="42" t="str">
        <f aca="false">IF(OR(A1988="",B1988=""),"",DATE(YEAR(B1988),MONTH(B1988),1))</f>
        <v/>
      </c>
      <c r="F1988" s="36" t="n">
        <f aca="false">IF(OR(E1988="",D1988=""),0,IF(C1988="Actual",D1988,IF(COUNTIFS($A$2:$A$2001,A1988,$E$2:$E$2001,E1988,$C$2:$C$2001,"Actual")&gt;0,0,D1988)))</f>
        <v>0</v>
      </c>
    </row>
    <row r="1989" customFormat="false" ht="15" hidden="false" customHeight="false" outlineLevel="0" collapsed="false">
      <c r="A1989" s="32"/>
      <c r="B1989" s="35"/>
      <c r="C1989" s="32"/>
      <c r="D1989" s="34"/>
      <c r="E1989" s="42" t="str">
        <f aca="false">IF(OR(A1989="",B1989=""),"",DATE(YEAR(B1989),MONTH(B1989),1))</f>
        <v/>
      </c>
      <c r="F1989" s="36" t="n">
        <f aca="false">IF(OR(E1989="",D1989=""),0,IF(C1989="Actual",D1989,IF(COUNTIFS($A$2:$A$2001,A1989,$E$2:$E$2001,E1989,$C$2:$C$2001,"Actual")&gt;0,0,D1989)))</f>
        <v>0</v>
      </c>
    </row>
    <row r="1990" customFormat="false" ht="15" hidden="false" customHeight="false" outlineLevel="0" collapsed="false">
      <c r="A1990" s="32"/>
      <c r="B1990" s="35"/>
      <c r="C1990" s="32"/>
      <c r="D1990" s="34"/>
      <c r="E1990" s="42" t="str">
        <f aca="false">IF(OR(A1990="",B1990=""),"",DATE(YEAR(B1990),MONTH(B1990),1))</f>
        <v/>
      </c>
      <c r="F1990" s="36" t="n">
        <f aca="false">IF(OR(E1990="",D1990=""),0,IF(C1990="Actual",D1990,IF(COUNTIFS($A$2:$A$2001,A1990,$E$2:$E$2001,E1990,$C$2:$C$2001,"Actual")&gt;0,0,D1990)))</f>
        <v>0</v>
      </c>
    </row>
    <row r="1991" customFormat="false" ht="15" hidden="false" customHeight="false" outlineLevel="0" collapsed="false">
      <c r="A1991" s="32"/>
      <c r="B1991" s="35"/>
      <c r="C1991" s="32"/>
      <c r="D1991" s="34"/>
      <c r="E1991" s="42" t="str">
        <f aca="false">IF(OR(A1991="",B1991=""),"",DATE(YEAR(B1991),MONTH(B1991),1))</f>
        <v/>
      </c>
      <c r="F1991" s="36" t="n">
        <f aca="false">IF(OR(E1991="",D1991=""),0,IF(C1991="Actual",D1991,IF(COUNTIFS($A$2:$A$2001,A1991,$E$2:$E$2001,E1991,$C$2:$C$2001,"Actual")&gt;0,0,D1991)))</f>
        <v>0</v>
      </c>
    </row>
    <row r="1992" customFormat="false" ht="15" hidden="false" customHeight="false" outlineLevel="0" collapsed="false">
      <c r="A1992" s="32"/>
      <c r="B1992" s="35"/>
      <c r="C1992" s="32"/>
      <c r="D1992" s="34"/>
      <c r="E1992" s="42" t="str">
        <f aca="false">IF(OR(A1992="",B1992=""),"",DATE(YEAR(B1992),MONTH(B1992),1))</f>
        <v/>
      </c>
      <c r="F1992" s="36" t="n">
        <f aca="false">IF(OR(E1992="",D1992=""),0,IF(C1992="Actual",D1992,IF(COUNTIFS($A$2:$A$2001,A1992,$E$2:$E$2001,E1992,$C$2:$C$2001,"Actual")&gt;0,0,D1992)))</f>
        <v>0</v>
      </c>
    </row>
    <row r="1993" customFormat="false" ht="15" hidden="false" customHeight="false" outlineLevel="0" collapsed="false">
      <c r="A1993" s="32"/>
      <c r="B1993" s="35"/>
      <c r="C1993" s="32"/>
      <c r="D1993" s="34"/>
      <c r="E1993" s="42" t="str">
        <f aca="false">IF(OR(A1993="",B1993=""),"",DATE(YEAR(B1993),MONTH(B1993),1))</f>
        <v/>
      </c>
      <c r="F1993" s="36" t="n">
        <f aca="false">IF(OR(E1993="",D1993=""),0,IF(C1993="Actual",D1993,IF(COUNTIFS($A$2:$A$2001,A1993,$E$2:$E$2001,E1993,$C$2:$C$2001,"Actual")&gt;0,0,D1993)))</f>
        <v>0</v>
      </c>
    </row>
    <row r="1994" customFormat="false" ht="15" hidden="false" customHeight="false" outlineLevel="0" collapsed="false">
      <c r="A1994" s="32"/>
      <c r="B1994" s="35"/>
      <c r="C1994" s="32"/>
      <c r="D1994" s="34"/>
      <c r="E1994" s="42" t="str">
        <f aca="false">IF(OR(A1994="",B1994=""),"",DATE(YEAR(B1994),MONTH(B1994),1))</f>
        <v/>
      </c>
      <c r="F1994" s="36" t="n">
        <f aca="false">IF(OR(E1994="",D1994=""),0,IF(C1994="Actual",D1994,IF(COUNTIFS($A$2:$A$2001,A1994,$E$2:$E$2001,E1994,$C$2:$C$2001,"Actual")&gt;0,0,D1994)))</f>
        <v>0</v>
      </c>
    </row>
    <row r="1995" customFormat="false" ht="15" hidden="false" customHeight="false" outlineLevel="0" collapsed="false">
      <c r="A1995" s="32"/>
      <c r="B1995" s="35"/>
      <c r="C1995" s="32"/>
      <c r="D1995" s="34"/>
      <c r="E1995" s="42" t="str">
        <f aca="false">IF(OR(A1995="",B1995=""),"",DATE(YEAR(B1995),MONTH(B1995),1))</f>
        <v/>
      </c>
      <c r="F1995" s="36" t="n">
        <f aca="false">IF(OR(E1995="",D1995=""),0,IF(C1995="Actual",D1995,IF(COUNTIFS($A$2:$A$2001,A1995,$E$2:$E$2001,E1995,$C$2:$C$2001,"Actual")&gt;0,0,D1995)))</f>
        <v>0</v>
      </c>
    </row>
    <row r="1996" customFormat="false" ht="15" hidden="false" customHeight="false" outlineLevel="0" collapsed="false">
      <c r="A1996" s="32"/>
      <c r="B1996" s="35"/>
      <c r="C1996" s="32"/>
      <c r="D1996" s="34"/>
      <c r="E1996" s="42" t="str">
        <f aca="false">IF(OR(A1996="",B1996=""),"",DATE(YEAR(B1996),MONTH(B1996),1))</f>
        <v/>
      </c>
      <c r="F1996" s="36" t="n">
        <f aca="false">IF(OR(E1996="",D1996=""),0,IF(C1996="Actual",D1996,IF(COUNTIFS($A$2:$A$2001,A1996,$E$2:$E$2001,E1996,$C$2:$C$2001,"Actual")&gt;0,0,D1996)))</f>
        <v>0</v>
      </c>
    </row>
    <row r="1997" customFormat="false" ht="15" hidden="false" customHeight="false" outlineLevel="0" collapsed="false">
      <c r="A1997" s="32"/>
      <c r="B1997" s="35"/>
      <c r="C1997" s="32"/>
      <c r="D1997" s="34"/>
      <c r="E1997" s="42" t="str">
        <f aca="false">IF(OR(A1997="",B1997=""),"",DATE(YEAR(B1997),MONTH(B1997),1))</f>
        <v/>
      </c>
      <c r="F1997" s="36" t="n">
        <f aca="false">IF(OR(E1997="",D1997=""),0,IF(C1997="Actual",D1997,IF(COUNTIFS($A$2:$A$2001,A1997,$E$2:$E$2001,E1997,$C$2:$C$2001,"Actual")&gt;0,0,D1997)))</f>
        <v>0</v>
      </c>
    </row>
    <row r="1998" customFormat="false" ht="15" hidden="false" customHeight="false" outlineLevel="0" collapsed="false">
      <c r="A1998" s="32"/>
      <c r="B1998" s="35"/>
      <c r="C1998" s="32"/>
      <c r="D1998" s="34"/>
      <c r="E1998" s="42" t="str">
        <f aca="false">IF(OR(A1998="",B1998=""),"",DATE(YEAR(B1998),MONTH(B1998),1))</f>
        <v/>
      </c>
      <c r="F1998" s="36" t="n">
        <f aca="false">IF(OR(E1998="",D1998=""),0,IF(C1998="Actual",D1998,IF(COUNTIFS($A$2:$A$2001,A1998,$E$2:$E$2001,E1998,$C$2:$C$2001,"Actual")&gt;0,0,D1998)))</f>
        <v>0</v>
      </c>
    </row>
    <row r="1999" customFormat="false" ht="15" hidden="false" customHeight="false" outlineLevel="0" collapsed="false">
      <c r="A1999" s="32"/>
      <c r="B1999" s="35"/>
      <c r="C1999" s="32"/>
      <c r="D1999" s="34"/>
      <c r="E1999" s="42" t="str">
        <f aca="false">IF(OR(A1999="",B1999=""),"",DATE(YEAR(B1999),MONTH(B1999),1))</f>
        <v/>
      </c>
      <c r="F1999" s="36" t="n">
        <f aca="false">IF(OR(E1999="",D1999=""),0,IF(C1999="Actual",D1999,IF(COUNTIFS($A$2:$A$2001,A1999,$E$2:$E$2001,E1999,$C$2:$C$2001,"Actual")&gt;0,0,D1999)))</f>
        <v>0</v>
      </c>
    </row>
    <row r="2000" customFormat="false" ht="15" hidden="false" customHeight="false" outlineLevel="0" collapsed="false">
      <c r="A2000" s="32"/>
      <c r="B2000" s="35"/>
      <c r="C2000" s="32"/>
      <c r="D2000" s="34"/>
      <c r="E2000" s="42" t="str">
        <f aca="false">IF(OR(A2000="",B2000=""),"",DATE(YEAR(B2000),MONTH(B2000),1))</f>
        <v/>
      </c>
      <c r="F2000" s="36" t="n">
        <f aca="false">IF(OR(E2000="",D2000=""),0,IF(C2000="Actual",D2000,IF(COUNTIFS($A$2:$A$2001,A2000,$E$2:$E$2001,E2000,$C$2:$C$2001,"Actual")&gt;0,0,D2000)))</f>
        <v>0</v>
      </c>
    </row>
    <row r="2001" customFormat="false" ht="15" hidden="false" customHeight="false" outlineLevel="0" collapsed="false">
      <c r="A2001" s="32"/>
      <c r="B2001" s="35"/>
      <c r="C2001" s="32"/>
      <c r="D2001" s="34"/>
      <c r="E2001" s="42" t="str">
        <f aca="false">IF(OR(A2001="",B2001=""),"",DATE(YEAR(B2001),MONTH(B2001),1))</f>
        <v/>
      </c>
      <c r="F2001" s="36" t="n">
        <f aca="false">IF(OR(E2001="",D2001=""),0,IF(C2001="Actual",D2001,IF(COUNTIFS($A$2:$A$2001,A2001,$E$2:$E$2001,E2001,$C$2:$C$2001,"Actual")&gt;0,0,D2001)))</f>
        <v>0</v>
      </c>
    </row>
  </sheetData>
  <autoFilter ref="A1:F2001"/>
  <dataValidations count="4">
    <dataValidation allowBlank="true" error="Enter a valid date (e.g. 31-Dec-2026)." errorStyle="stop" errorTitle="Invalid date" operator="greaterThan" showDropDown="false" showErrorMessage="false" showInputMessage="false" sqref="B2:B20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20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2001" type="list">
      <formula1>lst_CashType</formula1>
      <formula2>0</formula2>
    </dataValidation>
    <dataValidation allowBlank="true" error="Enter a number." errorStyle="stop" errorTitle="Invalid number" operator="between" showDropDown="false" showErrorMessage="false" showInputMessage="false" sqref="D2:D20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28"/>
    <col collapsed="false" customWidth="true" hidden="false" outlineLevel="0" max="11" min="10" style="0" width="10"/>
  </cols>
  <sheetData>
    <row r="1" customFormat="false" ht="33.75" hidden="false" customHeight="true" outlineLevel="0" collapsed="false">
      <c r="A1" s="17" t="s">
        <v>110</v>
      </c>
      <c r="B1" s="17" t="s">
        <v>268</v>
      </c>
      <c r="C1" s="17" t="s">
        <v>269</v>
      </c>
      <c r="D1" s="17" t="s">
        <v>187</v>
      </c>
      <c r="E1" s="17" t="s">
        <v>171</v>
      </c>
      <c r="F1" s="17" t="s">
        <v>270</v>
      </c>
      <c r="G1" s="17" t="s">
        <v>271</v>
      </c>
      <c r="H1" s="17" t="s">
        <v>177</v>
      </c>
      <c r="I1" s="17" t="s">
        <v>235</v>
      </c>
      <c r="J1" s="31" t="s">
        <v>190</v>
      </c>
      <c r="K1" s="31" t="s">
        <v>236</v>
      </c>
    </row>
    <row r="2" customFormat="false" ht="15" hidden="false" customHeight="false" outlineLevel="0" collapsed="false">
      <c r="A2" s="32"/>
      <c r="B2" s="32"/>
      <c r="C2" s="32"/>
      <c r="D2" s="41"/>
      <c r="E2" s="35"/>
      <c r="F2" s="35"/>
      <c r="G2" s="35"/>
      <c r="H2" s="35"/>
      <c r="I2" s="33"/>
      <c r="J2" s="37" t="str">
        <f aca="false">IF(OR(C2="",F2="",G2=""),"",G2-F2)</f>
        <v/>
      </c>
      <c r="K2" s="37" t="str">
        <f aca="false">IF(AND(A2&lt;&gt;"",A2='Project Summary'!$C$3,C2&lt;&gt;""),COUNTIFS($A$2:$A2,'Project Summary'!$C$3,$C$2:$C2,"&lt;&gt;"),"")</f>
        <v/>
      </c>
    </row>
    <row r="3" customFormat="false" ht="15" hidden="false" customHeight="false" outlineLevel="0" collapsed="false">
      <c r="A3" s="32"/>
      <c r="B3" s="32"/>
      <c r="C3" s="32"/>
      <c r="D3" s="41"/>
      <c r="E3" s="35"/>
      <c r="F3" s="35"/>
      <c r="G3" s="35"/>
      <c r="H3" s="35"/>
      <c r="I3" s="33"/>
      <c r="J3" s="37" t="str">
        <f aca="false">IF(OR(C3="",F3="",G3=""),"",G3-F3)</f>
        <v/>
      </c>
      <c r="K3" s="37" t="str">
        <f aca="false">IF(AND(A3&lt;&gt;"",A3='Project Summary'!$C$3,C3&lt;&gt;""),COUNTIFS($A$2:$A3,'Project Summary'!$C$3,$C$2:$C3,"&lt;&gt;"),"")</f>
        <v/>
      </c>
    </row>
    <row r="4" customFormat="false" ht="15" hidden="false" customHeight="false" outlineLevel="0" collapsed="false">
      <c r="A4" s="32"/>
      <c r="B4" s="32"/>
      <c r="C4" s="32"/>
      <c r="D4" s="41"/>
      <c r="E4" s="35"/>
      <c r="F4" s="35"/>
      <c r="G4" s="35"/>
      <c r="H4" s="35"/>
      <c r="I4" s="33"/>
      <c r="J4" s="37" t="str">
        <f aca="false">IF(OR(C4="",F4="",G4=""),"",G4-F4)</f>
        <v/>
      </c>
      <c r="K4" s="37" t="str">
        <f aca="false">IF(AND(A4&lt;&gt;"",A4='Project Summary'!$C$3,C4&lt;&gt;""),COUNTIFS($A$2:$A4,'Project Summary'!$C$3,$C$2:$C4,"&lt;&gt;"),"")</f>
        <v/>
      </c>
    </row>
    <row r="5" customFormat="false" ht="15" hidden="false" customHeight="false" outlineLevel="0" collapsed="false">
      <c r="A5" s="32"/>
      <c r="B5" s="32"/>
      <c r="C5" s="32"/>
      <c r="D5" s="41"/>
      <c r="E5" s="35"/>
      <c r="F5" s="35"/>
      <c r="G5" s="35"/>
      <c r="H5" s="35"/>
      <c r="I5" s="33"/>
      <c r="J5" s="37" t="str">
        <f aca="false">IF(OR(C5="",F5="",G5=""),"",G5-F5)</f>
        <v/>
      </c>
      <c r="K5" s="37" t="str">
        <f aca="false">IF(AND(A5&lt;&gt;"",A5='Project Summary'!$C$3,C5&lt;&gt;""),COUNTIFS($A$2:$A5,'Project Summary'!$C$3,$C$2:$C5,"&lt;&gt;"),"")</f>
        <v/>
      </c>
    </row>
    <row r="6" customFormat="false" ht="15" hidden="false" customHeight="false" outlineLevel="0" collapsed="false">
      <c r="A6" s="32"/>
      <c r="B6" s="32"/>
      <c r="C6" s="32"/>
      <c r="D6" s="41"/>
      <c r="E6" s="35"/>
      <c r="F6" s="35"/>
      <c r="G6" s="35"/>
      <c r="H6" s="35"/>
      <c r="I6" s="33"/>
      <c r="J6" s="37" t="str">
        <f aca="false">IF(OR(C6="",F6="",G6=""),"",G6-F6)</f>
        <v/>
      </c>
      <c r="K6" s="37" t="str">
        <f aca="false">IF(AND(A6&lt;&gt;"",A6='Project Summary'!$C$3,C6&lt;&gt;""),COUNTIFS($A$2:$A6,'Project Summary'!$C$3,$C$2:$C6,"&lt;&gt;"),"")</f>
        <v/>
      </c>
    </row>
    <row r="7" customFormat="false" ht="15" hidden="false" customHeight="false" outlineLevel="0" collapsed="false">
      <c r="A7" s="32"/>
      <c r="B7" s="32"/>
      <c r="C7" s="32"/>
      <c r="D7" s="41"/>
      <c r="E7" s="35"/>
      <c r="F7" s="35"/>
      <c r="G7" s="35"/>
      <c r="H7" s="35"/>
      <c r="I7" s="33"/>
      <c r="J7" s="37" t="str">
        <f aca="false">IF(OR(C7="",F7="",G7=""),"",G7-F7)</f>
        <v/>
      </c>
      <c r="K7" s="37" t="str">
        <f aca="false">IF(AND(A7&lt;&gt;"",A7='Project Summary'!$C$3,C7&lt;&gt;""),COUNTIFS($A$2:$A7,'Project Summary'!$C$3,$C$2:$C7,"&lt;&gt;"),"")</f>
        <v/>
      </c>
    </row>
    <row r="8" customFormat="false" ht="15" hidden="false" customHeight="false" outlineLevel="0" collapsed="false">
      <c r="A8" s="32"/>
      <c r="B8" s="32"/>
      <c r="C8" s="32"/>
      <c r="D8" s="41"/>
      <c r="E8" s="35"/>
      <c r="F8" s="35"/>
      <c r="G8" s="35"/>
      <c r="H8" s="35"/>
      <c r="I8" s="33"/>
      <c r="J8" s="37" t="str">
        <f aca="false">IF(OR(C8="",F8="",G8=""),"",G8-F8)</f>
        <v/>
      </c>
      <c r="K8" s="37" t="str">
        <f aca="false">IF(AND(A8&lt;&gt;"",A8='Project Summary'!$C$3,C8&lt;&gt;""),COUNTIFS($A$2:$A8,'Project Summary'!$C$3,$C$2:$C8,"&lt;&gt;"),"")</f>
        <v/>
      </c>
    </row>
    <row r="9" customFormat="false" ht="15" hidden="false" customHeight="false" outlineLevel="0" collapsed="false">
      <c r="A9" s="32"/>
      <c r="B9" s="32"/>
      <c r="C9" s="32"/>
      <c r="D9" s="41"/>
      <c r="E9" s="35"/>
      <c r="F9" s="35"/>
      <c r="G9" s="35"/>
      <c r="H9" s="35"/>
      <c r="I9" s="33"/>
      <c r="J9" s="37" t="str">
        <f aca="false">IF(OR(C9="",F9="",G9=""),"",G9-F9)</f>
        <v/>
      </c>
      <c r="K9" s="37" t="str">
        <f aca="false">IF(AND(A9&lt;&gt;"",A9='Project Summary'!$C$3,C9&lt;&gt;""),COUNTIFS($A$2:$A9,'Project Summary'!$C$3,$C$2:$C9,"&lt;&gt;"),"")</f>
        <v/>
      </c>
    </row>
    <row r="10" customFormat="false" ht="15" hidden="false" customHeight="false" outlineLevel="0" collapsed="false">
      <c r="A10" s="32"/>
      <c r="B10" s="32"/>
      <c r="C10" s="32"/>
      <c r="D10" s="41"/>
      <c r="E10" s="35"/>
      <c r="F10" s="35"/>
      <c r="G10" s="35"/>
      <c r="H10" s="35"/>
      <c r="I10" s="33"/>
      <c r="J10" s="37" t="str">
        <f aca="false">IF(OR(C10="",F10="",G10=""),"",G10-F10)</f>
        <v/>
      </c>
      <c r="K10" s="37" t="str">
        <f aca="false">IF(AND(A10&lt;&gt;"",A10='Project Summary'!$C$3,C10&lt;&gt;""),COUNTIFS($A$2:$A10,'Project Summary'!$C$3,$C$2:$C10,"&lt;&gt;"),"")</f>
        <v/>
      </c>
    </row>
    <row r="11" customFormat="false" ht="15" hidden="false" customHeight="false" outlineLevel="0" collapsed="false">
      <c r="A11" s="32"/>
      <c r="B11" s="32"/>
      <c r="C11" s="32"/>
      <c r="D11" s="41"/>
      <c r="E11" s="35"/>
      <c r="F11" s="35"/>
      <c r="G11" s="35"/>
      <c r="H11" s="35"/>
      <c r="I11" s="33"/>
      <c r="J11" s="37" t="str">
        <f aca="false">IF(OR(C11="",F11="",G11=""),"",G11-F11)</f>
        <v/>
      </c>
      <c r="K11" s="37" t="str">
        <f aca="false">IF(AND(A11&lt;&gt;"",A11='Project Summary'!$C$3,C11&lt;&gt;""),COUNTIFS($A$2:$A11,'Project Summary'!$C$3,$C$2:$C11,"&lt;&gt;"),"")</f>
        <v/>
      </c>
    </row>
    <row r="12" customFormat="false" ht="15" hidden="false" customHeight="false" outlineLevel="0" collapsed="false">
      <c r="A12" s="32"/>
      <c r="B12" s="32"/>
      <c r="C12" s="32"/>
      <c r="D12" s="41"/>
      <c r="E12" s="35"/>
      <c r="F12" s="35"/>
      <c r="G12" s="35"/>
      <c r="H12" s="35"/>
      <c r="I12" s="33"/>
      <c r="J12" s="37" t="str">
        <f aca="false">IF(OR(C12="",F12="",G12=""),"",G12-F12)</f>
        <v/>
      </c>
      <c r="K12" s="37" t="str">
        <f aca="false">IF(AND(A12&lt;&gt;"",A12='Project Summary'!$C$3,C12&lt;&gt;""),COUNTIFS($A$2:$A12,'Project Summary'!$C$3,$C$2:$C12,"&lt;&gt;"),"")</f>
        <v/>
      </c>
    </row>
    <row r="13" customFormat="false" ht="15" hidden="false" customHeight="false" outlineLevel="0" collapsed="false">
      <c r="A13" s="32"/>
      <c r="B13" s="32"/>
      <c r="C13" s="32"/>
      <c r="D13" s="41"/>
      <c r="E13" s="35"/>
      <c r="F13" s="35"/>
      <c r="G13" s="35"/>
      <c r="H13" s="35"/>
      <c r="I13" s="33"/>
      <c r="J13" s="37" t="str">
        <f aca="false">IF(OR(C13="",F13="",G13=""),"",G13-F13)</f>
        <v/>
      </c>
      <c r="K13" s="37" t="str">
        <f aca="false">IF(AND(A13&lt;&gt;"",A13='Project Summary'!$C$3,C13&lt;&gt;""),COUNTIFS($A$2:$A13,'Project Summary'!$C$3,$C$2:$C13,"&lt;&gt;"),"")</f>
        <v/>
      </c>
    </row>
    <row r="14" customFormat="false" ht="15" hidden="false" customHeight="false" outlineLevel="0" collapsed="false">
      <c r="A14" s="32"/>
      <c r="B14" s="32"/>
      <c r="C14" s="32"/>
      <c r="D14" s="41"/>
      <c r="E14" s="35"/>
      <c r="F14" s="35"/>
      <c r="G14" s="35"/>
      <c r="H14" s="35"/>
      <c r="I14" s="33"/>
      <c r="J14" s="37" t="str">
        <f aca="false">IF(OR(C14="",F14="",G14=""),"",G14-F14)</f>
        <v/>
      </c>
      <c r="K14" s="37" t="str">
        <f aca="false">IF(AND(A14&lt;&gt;"",A14='Project Summary'!$C$3,C14&lt;&gt;""),COUNTIFS($A$2:$A14,'Project Summary'!$C$3,$C$2:$C14,"&lt;&gt;"),"")</f>
        <v/>
      </c>
    </row>
    <row r="15" customFormat="false" ht="15" hidden="false" customHeight="false" outlineLevel="0" collapsed="false">
      <c r="A15" s="32"/>
      <c r="B15" s="32"/>
      <c r="C15" s="32"/>
      <c r="D15" s="41"/>
      <c r="E15" s="35"/>
      <c r="F15" s="35"/>
      <c r="G15" s="35"/>
      <c r="H15" s="35"/>
      <c r="I15" s="33"/>
      <c r="J15" s="37" t="str">
        <f aca="false">IF(OR(C15="",F15="",G15=""),"",G15-F15)</f>
        <v/>
      </c>
      <c r="K15" s="37" t="str">
        <f aca="false">IF(AND(A15&lt;&gt;"",A15='Project Summary'!$C$3,C15&lt;&gt;""),COUNTIFS($A$2:$A15,'Project Summary'!$C$3,$C$2:$C15,"&lt;&gt;"),"")</f>
        <v/>
      </c>
    </row>
    <row r="16" customFormat="false" ht="15" hidden="false" customHeight="false" outlineLevel="0" collapsed="false">
      <c r="A16" s="32"/>
      <c r="B16" s="32"/>
      <c r="C16" s="32"/>
      <c r="D16" s="41"/>
      <c r="E16" s="35"/>
      <c r="F16" s="35"/>
      <c r="G16" s="35"/>
      <c r="H16" s="35"/>
      <c r="I16" s="33"/>
      <c r="J16" s="37" t="str">
        <f aca="false">IF(OR(C16="",F16="",G16=""),"",G16-F16)</f>
        <v/>
      </c>
      <c r="K16" s="37" t="str">
        <f aca="false">IF(AND(A16&lt;&gt;"",A16='Project Summary'!$C$3,C16&lt;&gt;""),COUNTIFS($A$2:$A16,'Project Summary'!$C$3,$C$2:$C16,"&lt;&gt;"),"")</f>
        <v/>
      </c>
    </row>
    <row r="17" customFormat="false" ht="15" hidden="false" customHeight="false" outlineLevel="0" collapsed="false">
      <c r="A17" s="32"/>
      <c r="B17" s="32"/>
      <c r="C17" s="32"/>
      <c r="D17" s="41"/>
      <c r="E17" s="35"/>
      <c r="F17" s="35"/>
      <c r="G17" s="35"/>
      <c r="H17" s="35"/>
      <c r="I17" s="33"/>
      <c r="J17" s="37" t="str">
        <f aca="false">IF(OR(C17="",F17="",G17=""),"",G17-F17)</f>
        <v/>
      </c>
      <c r="K17" s="37" t="str">
        <f aca="false">IF(AND(A17&lt;&gt;"",A17='Project Summary'!$C$3,C17&lt;&gt;""),COUNTIFS($A$2:$A17,'Project Summary'!$C$3,$C$2:$C17,"&lt;&gt;"),"")</f>
        <v/>
      </c>
    </row>
    <row r="18" customFormat="false" ht="15" hidden="false" customHeight="false" outlineLevel="0" collapsed="false">
      <c r="A18" s="32"/>
      <c r="B18" s="32"/>
      <c r="C18" s="32"/>
      <c r="D18" s="41"/>
      <c r="E18" s="35"/>
      <c r="F18" s="35"/>
      <c r="G18" s="35"/>
      <c r="H18" s="35"/>
      <c r="I18" s="33"/>
      <c r="J18" s="37" t="str">
        <f aca="false">IF(OR(C18="",F18="",G18=""),"",G18-F18)</f>
        <v/>
      </c>
      <c r="K18" s="37" t="str">
        <f aca="false">IF(AND(A18&lt;&gt;"",A18='Project Summary'!$C$3,C18&lt;&gt;""),COUNTIFS($A$2:$A18,'Project Summary'!$C$3,$C$2:$C18,"&lt;&gt;"),"")</f>
        <v/>
      </c>
    </row>
    <row r="19" customFormat="false" ht="15" hidden="false" customHeight="false" outlineLevel="0" collapsed="false">
      <c r="A19" s="32"/>
      <c r="B19" s="32"/>
      <c r="C19" s="32"/>
      <c r="D19" s="41"/>
      <c r="E19" s="35"/>
      <c r="F19" s="35"/>
      <c r="G19" s="35"/>
      <c r="H19" s="35"/>
      <c r="I19" s="33"/>
      <c r="J19" s="37" t="str">
        <f aca="false">IF(OR(C19="",F19="",G19=""),"",G19-F19)</f>
        <v/>
      </c>
      <c r="K19" s="37" t="str">
        <f aca="false">IF(AND(A19&lt;&gt;"",A19='Project Summary'!$C$3,C19&lt;&gt;""),COUNTIFS($A$2:$A19,'Project Summary'!$C$3,$C$2:$C19,"&lt;&gt;"),"")</f>
        <v/>
      </c>
    </row>
    <row r="20" customFormat="false" ht="15" hidden="false" customHeight="false" outlineLevel="0" collapsed="false">
      <c r="A20" s="32"/>
      <c r="B20" s="32"/>
      <c r="C20" s="32"/>
      <c r="D20" s="41"/>
      <c r="E20" s="35"/>
      <c r="F20" s="35"/>
      <c r="G20" s="35"/>
      <c r="H20" s="35"/>
      <c r="I20" s="33"/>
      <c r="J20" s="37" t="str">
        <f aca="false">IF(OR(C20="",F20="",G20=""),"",G20-F20)</f>
        <v/>
      </c>
      <c r="K20" s="37" t="str">
        <f aca="false">IF(AND(A20&lt;&gt;"",A20='Project Summary'!$C$3,C20&lt;&gt;""),COUNTIFS($A$2:$A20,'Project Summary'!$C$3,$C$2:$C20,"&lt;&gt;"),"")</f>
        <v/>
      </c>
    </row>
    <row r="21" customFormat="false" ht="15" hidden="false" customHeight="false" outlineLevel="0" collapsed="false">
      <c r="A21" s="32"/>
      <c r="B21" s="32"/>
      <c r="C21" s="32"/>
      <c r="D21" s="41"/>
      <c r="E21" s="35"/>
      <c r="F21" s="35"/>
      <c r="G21" s="35"/>
      <c r="H21" s="35"/>
      <c r="I21" s="33"/>
      <c r="J21" s="37" t="str">
        <f aca="false">IF(OR(C21="",F21="",G21=""),"",G21-F21)</f>
        <v/>
      </c>
      <c r="K21" s="37" t="str">
        <f aca="false">IF(AND(A21&lt;&gt;"",A21='Project Summary'!$C$3,C21&lt;&gt;""),COUNTIFS($A$2:$A21,'Project Summary'!$C$3,$C$2:$C21,"&lt;&gt;"),"")</f>
        <v/>
      </c>
    </row>
    <row r="22" customFormat="false" ht="15" hidden="false" customHeight="false" outlineLevel="0" collapsed="false">
      <c r="A22" s="32"/>
      <c r="B22" s="32"/>
      <c r="C22" s="32"/>
      <c r="D22" s="41"/>
      <c r="E22" s="35"/>
      <c r="F22" s="35"/>
      <c r="G22" s="35"/>
      <c r="H22" s="35"/>
      <c r="I22" s="33"/>
      <c r="J22" s="37" t="str">
        <f aca="false">IF(OR(C22="",F22="",G22=""),"",G22-F22)</f>
        <v/>
      </c>
      <c r="K22" s="37" t="str">
        <f aca="false">IF(AND(A22&lt;&gt;"",A22='Project Summary'!$C$3,C22&lt;&gt;""),COUNTIFS($A$2:$A22,'Project Summary'!$C$3,$C$2:$C22,"&lt;&gt;"),"")</f>
        <v/>
      </c>
    </row>
    <row r="23" customFormat="false" ht="15" hidden="false" customHeight="false" outlineLevel="0" collapsed="false">
      <c r="A23" s="32"/>
      <c r="B23" s="32"/>
      <c r="C23" s="32"/>
      <c r="D23" s="41"/>
      <c r="E23" s="35"/>
      <c r="F23" s="35"/>
      <c r="G23" s="35"/>
      <c r="H23" s="35"/>
      <c r="I23" s="33"/>
      <c r="J23" s="37" t="str">
        <f aca="false">IF(OR(C23="",F23="",G23=""),"",G23-F23)</f>
        <v/>
      </c>
      <c r="K23" s="37" t="str">
        <f aca="false">IF(AND(A23&lt;&gt;"",A23='Project Summary'!$C$3,C23&lt;&gt;""),COUNTIFS($A$2:$A23,'Project Summary'!$C$3,$C$2:$C23,"&lt;&gt;"),"")</f>
        <v/>
      </c>
    </row>
    <row r="24" customFormat="false" ht="15" hidden="false" customHeight="false" outlineLevel="0" collapsed="false">
      <c r="A24" s="32"/>
      <c r="B24" s="32"/>
      <c r="C24" s="32"/>
      <c r="D24" s="41"/>
      <c r="E24" s="35"/>
      <c r="F24" s="35"/>
      <c r="G24" s="35"/>
      <c r="H24" s="35"/>
      <c r="I24" s="33"/>
      <c r="J24" s="37" t="str">
        <f aca="false">IF(OR(C24="",F24="",G24=""),"",G24-F24)</f>
        <v/>
      </c>
      <c r="K24" s="37" t="str">
        <f aca="false">IF(AND(A24&lt;&gt;"",A24='Project Summary'!$C$3,C24&lt;&gt;""),COUNTIFS($A$2:$A24,'Project Summary'!$C$3,$C$2:$C24,"&lt;&gt;"),"")</f>
        <v/>
      </c>
    </row>
    <row r="25" customFormat="false" ht="15" hidden="false" customHeight="false" outlineLevel="0" collapsed="false">
      <c r="A25" s="32"/>
      <c r="B25" s="32"/>
      <c r="C25" s="32"/>
      <c r="D25" s="41"/>
      <c r="E25" s="35"/>
      <c r="F25" s="35"/>
      <c r="G25" s="35"/>
      <c r="H25" s="35"/>
      <c r="I25" s="33"/>
      <c r="J25" s="37" t="str">
        <f aca="false">IF(OR(C25="",F25="",G25=""),"",G25-F25)</f>
        <v/>
      </c>
      <c r="K25" s="37" t="str">
        <f aca="false">IF(AND(A25&lt;&gt;"",A25='Project Summary'!$C$3,C25&lt;&gt;""),COUNTIFS($A$2:$A25,'Project Summary'!$C$3,$C$2:$C25,"&lt;&gt;"),"")</f>
        <v/>
      </c>
    </row>
    <row r="26" customFormat="false" ht="15" hidden="false" customHeight="false" outlineLevel="0" collapsed="false">
      <c r="A26" s="32"/>
      <c r="B26" s="32"/>
      <c r="C26" s="32"/>
      <c r="D26" s="41"/>
      <c r="E26" s="35"/>
      <c r="F26" s="35"/>
      <c r="G26" s="35"/>
      <c r="H26" s="35"/>
      <c r="I26" s="33"/>
      <c r="J26" s="37" t="str">
        <f aca="false">IF(OR(C26="",F26="",G26=""),"",G26-F26)</f>
        <v/>
      </c>
      <c r="K26" s="37" t="str">
        <f aca="false">IF(AND(A26&lt;&gt;"",A26='Project Summary'!$C$3,C26&lt;&gt;""),COUNTIFS($A$2:$A26,'Project Summary'!$C$3,$C$2:$C26,"&lt;&gt;"),"")</f>
        <v/>
      </c>
    </row>
    <row r="27" customFormat="false" ht="15" hidden="false" customHeight="false" outlineLevel="0" collapsed="false">
      <c r="A27" s="32"/>
      <c r="B27" s="32"/>
      <c r="C27" s="32"/>
      <c r="D27" s="41"/>
      <c r="E27" s="35"/>
      <c r="F27" s="35"/>
      <c r="G27" s="35"/>
      <c r="H27" s="35"/>
      <c r="I27" s="33"/>
      <c r="J27" s="37" t="str">
        <f aca="false">IF(OR(C27="",F27="",G27=""),"",G27-F27)</f>
        <v/>
      </c>
      <c r="K27" s="37" t="str">
        <f aca="false">IF(AND(A27&lt;&gt;"",A27='Project Summary'!$C$3,C27&lt;&gt;""),COUNTIFS($A$2:$A27,'Project Summary'!$C$3,$C$2:$C27,"&lt;&gt;"),"")</f>
        <v/>
      </c>
    </row>
    <row r="28" customFormat="false" ht="15" hidden="false" customHeight="false" outlineLevel="0" collapsed="false">
      <c r="A28" s="32"/>
      <c r="B28" s="32"/>
      <c r="C28" s="32"/>
      <c r="D28" s="41"/>
      <c r="E28" s="35"/>
      <c r="F28" s="35"/>
      <c r="G28" s="35"/>
      <c r="H28" s="35"/>
      <c r="I28" s="33"/>
      <c r="J28" s="37" t="str">
        <f aca="false">IF(OR(C28="",F28="",G28=""),"",G28-F28)</f>
        <v/>
      </c>
      <c r="K28" s="37" t="str">
        <f aca="false">IF(AND(A28&lt;&gt;"",A28='Project Summary'!$C$3,C28&lt;&gt;""),COUNTIFS($A$2:$A28,'Project Summary'!$C$3,$C$2:$C28,"&lt;&gt;"),"")</f>
        <v/>
      </c>
    </row>
    <row r="29" customFormat="false" ht="15" hidden="false" customHeight="false" outlineLevel="0" collapsed="false">
      <c r="A29" s="32"/>
      <c r="B29" s="32"/>
      <c r="C29" s="32"/>
      <c r="D29" s="41"/>
      <c r="E29" s="35"/>
      <c r="F29" s="35"/>
      <c r="G29" s="35"/>
      <c r="H29" s="35"/>
      <c r="I29" s="33"/>
      <c r="J29" s="37" t="str">
        <f aca="false">IF(OR(C29="",F29="",G29=""),"",G29-F29)</f>
        <v/>
      </c>
      <c r="K29" s="37" t="str">
        <f aca="false">IF(AND(A29&lt;&gt;"",A29='Project Summary'!$C$3,C29&lt;&gt;""),COUNTIFS($A$2:$A29,'Project Summary'!$C$3,$C$2:$C29,"&lt;&gt;"),"")</f>
        <v/>
      </c>
    </row>
    <row r="30" customFormat="false" ht="15" hidden="false" customHeight="false" outlineLevel="0" collapsed="false">
      <c r="A30" s="32"/>
      <c r="B30" s="32"/>
      <c r="C30" s="32"/>
      <c r="D30" s="41"/>
      <c r="E30" s="35"/>
      <c r="F30" s="35"/>
      <c r="G30" s="35"/>
      <c r="H30" s="35"/>
      <c r="I30" s="33"/>
      <c r="J30" s="37" t="str">
        <f aca="false">IF(OR(C30="",F30="",G30=""),"",G30-F30)</f>
        <v/>
      </c>
      <c r="K30" s="37" t="str">
        <f aca="false">IF(AND(A30&lt;&gt;"",A30='Project Summary'!$C$3,C30&lt;&gt;""),COUNTIFS($A$2:$A30,'Project Summary'!$C$3,$C$2:$C30,"&lt;&gt;"),"")</f>
        <v/>
      </c>
    </row>
    <row r="31" customFormat="false" ht="15" hidden="false" customHeight="false" outlineLevel="0" collapsed="false">
      <c r="A31" s="32"/>
      <c r="B31" s="32"/>
      <c r="C31" s="32"/>
      <c r="D31" s="41"/>
      <c r="E31" s="35"/>
      <c r="F31" s="35"/>
      <c r="G31" s="35"/>
      <c r="H31" s="35"/>
      <c r="I31" s="33"/>
      <c r="J31" s="37" t="str">
        <f aca="false">IF(OR(C31="",F31="",G31=""),"",G31-F31)</f>
        <v/>
      </c>
      <c r="K31" s="37" t="str">
        <f aca="false">IF(AND(A31&lt;&gt;"",A31='Project Summary'!$C$3,C31&lt;&gt;""),COUNTIFS($A$2:$A31,'Project Summary'!$C$3,$C$2:$C31,"&lt;&gt;"),"")</f>
        <v/>
      </c>
    </row>
    <row r="32" customFormat="false" ht="15" hidden="false" customHeight="false" outlineLevel="0" collapsed="false">
      <c r="A32" s="32"/>
      <c r="B32" s="32"/>
      <c r="C32" s="32"/>
      <c r="D32" s="41"/>
      <c r="E32" s="35"/>
      <c r="F32" s="35"/>
      <c r="G32" s="35"/>
      <c r="H32" s="35"/>
      <c r="I32" s="33"/>
      <c r="J32" s="37" t="str">
        <f aca="false">IF(OR(C32="",F32="",G32=""),"",G32-F32)</f>
        <v/>
      </c>
      <c r="K32" s="37" t="str">
        <f aca="false">IF(AND(A32&lt;&gt;"",A32='Project Summary'!$C$3,C32&lt;&gt;""),COUNTIFS($A$2:$A32,'Project Summary'!$C$3,$C$2:$C32,"&lt;&gt;"),"")</f>
        <v/>
      </c>
    </row>
    <row r="33" customFormat="false" ht="15" hidden="false" customHeight="false" outlineLevel="0" collapsed="false">
      <c r="A33" s="32"/>
      <c r="B33" s="32"/>
      <c r="C33" s="32"/>
      <c r="D33" s="41"/>
      <c r="E33" s="35"/>
      <c r="F33" s="35"/>
      <c r="G33" s="35"/>
      <c r="H33" s="35"/>
      <c r="I33" s="33"/>
      <c r="J33" s="37" t="str">
        <f aca="false">IF(OR(C33="",F33="",G33=""),"",G33-F33)</f>
        <v/>
      </c>
      <c r="K33" s="37" t="str">
        <f aca="false">IF(AND(A33&lt;&gt;"",A33='Project Summary'!$C$3,C33&lt;&gt;""),COUNTIFS($A$2:$A33,'Project Summary'!$C$3,$C$2:$C33,"&lt;&gt;"),"")</f>
        <v/>
      </c>
    </row>
    <row r="34" customFormat="false" ht="15" hidden="false" customHeight="false" outlineLevel="0" collapsed="false">
      <c r="A34" s="32"/>
      <c r="B34" s="32"/>
      <c r="C34" s="32"/>
      <c r="D34" s="41"/>
      <c r="E34" s="35"/>
      <c r="F34" s="35"/>
      <c r="G34" s="35"/>
      <c r="H34" s="35"/>
      <c r="I34" s="33"/>
      <c r="J34" s="37" t="str">
        <f aca="false">IF(OR(C34="",F34="",G34=""),"",G34-F34)</f>
        <v/>
      </c>
      <c r="K34" s="37" t="str">
        <f aca="false">IF(AND(A34&lt;&gt;"",A34='Project Summary'!$C$3,C34&lt;&gt;""),COUNTIFS($A$2:$A34,'Project Summary'!$C$3,$C$2:$C34,"&lt;&gt;"),"")</f>
        <v/>
      </c>
    </row>
    <row r="35" customFormat="false" ht="15" hidden="false" customHeight="false" outlineLevel="0" collapsed="false">
      <c r="A35" s="32"/>
      <c r="B35" s="32"/>
      <c r="C35" s="32"/>
      <c r="D35" s="41"/>
      <c r="E35" s="35"/>
      <c r="F35" s="35"/>
      <c r="G35" s="35"/>
      <c r="H35" s="35"/>
      <c r="I35" s="33"/>
      <c r="J35" s="37" t="str">
        <f aca="false">IF(OR(C35="",F35="",G35=""),"",G35-F35)</f>
        <v/>
      </c>
      <c r="K35" s="37" t="str">
        <f aca="false">IF(AND(A35&lt;&gt;"",A35='Project Summary'!$C$3,C35&lt;&gt;""),COUNTIFS($A$2:$A35,'Project Summary'!$C$3,$C$2:$C35,"&lt;&gt;"),"")</f>
        <v/>
      </c>
    </row>
    <row r="36" customFormat="false" ht="15" hidden="false" customHeight="false" outlineLevel="0" collapsed="false">
      <c r="A36" s="32"/>
      <c r="B36" s="32"/>
      <c r="C36" s="32"/>
      <c r="D36" s="41"/>
      <c r="E36" s="35"/>
      <c r="F36" s="35"/>
      <c r="G36" s="35"/>
      <c r="H36" s="35"/>
      <c r="I36" s="33"/>
      <c r="J36" s="37" t="str">
        <f aca="false">IF(OR(C36="",F36="",G36=""),"",G36-F36)</f>
        <v/>
      </c>
      <c r="K36" s="37" t="str">
        <f aca="false">IF(AND(A36&lt;&gt;"",A36='Project Summary'!$C$3,C36&lt;&gt;""),COUNTIFS($A$2:$A36,'Project Summary'!$C$3,$C$2:$C36,"&lt;&gt;"),"")</f>
        <v/>
      </c>
    </row>
    <row r="37" customFormat="false" ht="15" hidden="false" customHeight="false" outlineLevel="0" collapsed="false">
      <c r="A37" s="32"/>
      <c r="B37" s="32"/>
      <c r="C37" s="32"/>
      <c r="D37" s="41"/>
      <c r="E37" s="35"/>
      <c r="F37" s="35"/>
      <c r="G37" s="35"/>
      <c r="H37" s="35"/>
      <c r="I37" s="33"/>
      <c r="J37" s="37" t="str">
        <f aca="false">IF(OR(C37="",F37="",G37=""),"",G37-F37)</f>
        <v/>
      </c>
      <c r="K37" s="37" t="str">
        <f aca="false">IF(AND(A37&lt;&gt;"",A37='Project Summary'!$C$3,C37&lt;&gt;""),COUNTIFS($A$2:$A37,'Project Summary'!$C$3,$C$2:$C37,"&lt;&gt;"),"")</f>
        <v/>
      </c>
    </row>
    <row r="38" customFormat="false" ht="15" hidden="false" customHeight="false" outlineLevel="0" collapsed="false">
      <c r="A38" s="32"/>
      <c r="B38" s="32"/>
      <c r="C38" s="32"/>
      <c r="D38" s="41"/>
      <c r="E38" s="35"/>
      <c r="F38" s="35"/>
      <c r="G38" s="35"/>
      <c r="H38" s="35"/>
      <c r="I38" s="33"/>
      <c r="J38" s="37" t="str">
        <f aca="false">IF(OR(C38="",F38="",G38=""),"",G38-F38)</f>
        <v/>
      </c>
      <c r="K38" s="37" t="str">
        <f aca="false">IF(AND(A38&lt;&gt;"",A38='Project Summary'!$C$3,C38&lt;&gt;""),COUNTIFS($A$2:$A38,'Project Summary'!$C$3,$C$2:$C38,"&lt;&gt;"),"")</f>
        <v/>
      </c>
    </row>
    <row r="39" customFormat="false" ht="15" hidden="false" customHeight="false" outlineLevel="0" collapsed="false">
      <c r="A39" s="32"/>
      <c r="B39" s="32"/>
      <c r="C39" s="32"/>
      <c r="D39" s="41"/>
      <c r="E39" s="35"/>
      <c r="F39" s="35"/>
      <c r="G39" s="35"/>
      <c r="H39" s="35"/>
      <c r="I39" s="33"/>
      <c r="J39" s="37" t="str">
        <f aca="false">IF(OR(C39="",F39="",G39=""),"",G39-F39)</f>
        <v/>
      </c>
      <c r="K39" s="37" t="str">
        <f aca="false">IF(AND(A39&lt;&gt;"",A39='Project Summary'!$C$3,C39&lt;&gt;""),COUNTIFS($A$2:$A39,'Project Summary'!$C$3,$C$2:$C39,"&lt;&gt;"),"")</f>
        <v/>
      </c>
    </row>
    <row r="40" customFormat="false" ht="15" hidden="false" customHeight="false" outlineLevel="0" collapsed="false">
      <c r="A40" s="32"/>
      <c r="B40" s="32"/>
      <c r="C40" s="32"/>
      <c r="D40" s="41"/>
      <c r="E40" s="35"/>
      <c r="F40" s="35"/>
      <c r="G40" s="35"/>
      <c r="H40" s="35"/>
      <c r="I40" s="33"/>
      <c r="J40" s="37" t="str">
        <f aca="false">IF(OR(C40="",F40="",G40=""),"",G40-F40)</f>
        <v/>
      </c>
      <c r="K40" s="37" t="str">
        <f aca="false">IF(AND(A40&lt;&gt;"",A40='Project Summary'!$C$3,C40&lt;&gt;""),COUNTIFS($A$2:$A40,'Project Summary'!$C$3,$C$2:$C40,"&lt;&gt;"),"")</f>
        <v/>
      </c>
    </row>
    <row r="41" customFormat="false" ht="15" hidden="false" customHeight="false" outlineLevel="0" collapsed="false">
      <c r="A41" s="32"/>
      <c r="B41" s="32"/>
      <c r="C41" s="32"/>
      <c r="D41" s="41"/>
      <c r="E41" s="35"/>
      <c r="F41" s="35"/>
      <c r="G41" s="35"/>
      <c r="H41" s="35"/>
      <c r="I41" s="33"/>
      <c r="J41" s="37" t="str">
        <f aca="false">IF(OR(C41="",F41="",G41=""),"",G41-F41)</f>
        <v/>
      </c>
      <c r="K41" s="37" t="str">
        <f aca="false">IF(AND(A41&lt;&gt;"",A41='Project Summary'!$C$3,C41&lt;&gt;""),COUNTIFS($A$2:$A41,'Project Summary'!$C$3,$C$2:$C41,"&lt;&gt;"),"")</f>
        <v/>
      </c>
    </row>
    <row r="42" customFormat="false" ht="15" hidden="false" customHeight="false" outlineLevel="0" collapsed="false">
      <c r="A42" s="32"/>
      <c r="B42" s="32"/>
      <c r="C42" s="32"/>
      <c r="D42" s="41"/>
      <c r="E42" s="35"/>
      <c r="F42" s="35"/>
      <c r="G42" s="35"/>
      <c r="H42" s="35"/>
      <c r="I42" s="33"/>
      <c r="J42" s="37" t="str">
        <f aca="false">IF(OR(C42="",F42="",G42=""),"",G42-F42)</f>
        <v/>
      </c>
      <c r="K42" s="37" t="str">
        <f aca="false">IF(AND(A42&lt;&gt;"",A42='Project Summary'!$C$3,C42&lt;&gt;""),COUNTIFS($A$2:$A42,'Project Summary'!$C$3,$C$2:$C42,"&lt;&gt;"),"")</f>
        <v/>
      </c>
    </row>
    <row r="43" customFormat="false" ht="15" hidden="false" customHeight="false" outlineLevel="0" collapsed="false">
      <c r="A43" s="32"/>
      <c r="B43" s="32"/>
      <c r="C43" s="32"/>
      <c r="D43" s="41"/>
      <c r="E43" s="35"/>
      <c r="F43" s="35"/>
      <c r="G43" s="35"/>
      <c r="H43" s="35"/>
      <c r="I43" s="33"/>
      <c r="J43" s="37" t="str">
        <f aca="false">IF(OR(C43="",F43="",G43=""),"",G43-F43)</f>
        <v/>
      </c>
      <c r="K43" s="37" t="str">
        <f aca="false">IF(AND(A43&lt;&gt;"",A43='Project Summary'!$C$3,C43&lt;&gt;""),COUNTIFS($A$2:$A43,'Project Summary'!$C$3,$C$2:$C43,"&lt;&gt;"),"")</f>
        <v/>
      </c>
    </row>
    <row r="44" customFormat="false" ht="15" hidden="false" customHeight="false" outlineLevel="0" collapsed="false">
      <c r="A44" s="32"/>
      <c r="B44" s="32"/>
      <c r="C44" s="32"/>
      <c r="D44" s="41"/>
      <c r="E44" s="35"/>
      <c r="F44" s="35"/>
      <c r="G44" s="35"/>
      <c r="H44" s="35"/>
      <c r="I44" s="33"/>
      <c r="J44" s="37" t="str">
        <f aca="false">IF(OR(C44="",F44="",G44=""),"",G44-F44)</f>
        <v/>
      </c>
      <c r="K44" s="37" t="str">
        <f aca="false">IF(AND(A44&lt;&gt;"",A44='Project Summary'!$C$3,C44&lt;&gt;""),COUNTIFS($A$2:$A44,'Project Summary'!$C$3,$C$2:$C44,"&lt;&gt;"),"")</f>
        <v/>
      </c>
    </row>
    <row r="45" customFormat="false" ht="15" hidden="false" customHeight="false" outlineLevel="0" collapsed="false">
      <c r="A45" s="32"/>
      <c r="B45" s="32"/>
      <c r="C45" s="32"/>
      <c r="D45" s="41"/>
      <c r="E45" s="35"/>
      <c r="F45" s="35"/>
      <c r="G45" s="35"/>
      <c r="H45" s="35"/>
      <c r="I45" s="33"/>
      <c r="J45" s="37" t="str">
        <f aca="false">IF(OR(C45="",F45="",G45=""),"",G45-F45)</f>
        <v/>
      </c>
      <c r="K45" s="37" t="str">
        <f aca="false">IF(AND(A45&lt;&gt;"",A45='Project Summary'!$C$3,C45&lt;&gt;""),COUNTIFS($A$2:$A45,'Project Summary'!$C$3,$C$2:$C45,"&lt;&gt;"),"")</f>
        <v/>
      </c>
    </row>
    <row r="46" customFormat="false" ht="15" hidden="false" customHeight="false" outlineLevel="0" collapsed="false">
      <c r="A46" s="32"/>
      <c r="B46" s="32"/>
      <c r="C46" s="32"/>
      <c r="D46" s="41"/>
      <c r="E46" s="35"/>
      <c r="F46" s="35"/>
      <c r="G46" s="35"/>
      <c r="H46" s="35"/>
      <c r="I46" s="33"/>
      <c r="J46" s="37" t="str">
        <f aca="false">IF(OR(C46="",F46="",G46=""),"",G46-F46)</f>
        <v/>
      </c>
      <c r="K46" s="37" t="str">
        <f aca="false">IF(AND(A46&lt;&gt;"",A46='Project Summary'!$C$3,C46&lt;&gt;""),COUNTIFS($A$2:$A46,'Project Summary'!$C$3,$C$2:$C46,"&lt;&gt;"),"")</f>
        <v/>
      </c>
    </row>
    <row r="47" customFormat="false" ht="15" hidden="false" customHeight="false" outlineLevel="0" collapsed="false">
      <c r="A47" s="32"/>
      <c r="B47" s="32"/>
      <c r="C47" s="32"/>
      <c r="D47" s="41"/>
      <c r="E47" s="35"/>
      <c r="F47" s="35"/>
      <c r="G47" s="35"/>
      <c r="H47" s="35"/>
      <c r="I47" s="33"/>
      <c r="J47" s="37" t="str">
        <f aca="false">IF(OR(C47="",F47="",G47=""),"",G47-F47)</f>
        <v/>
      </c>
      <c r="K47" s="37" t="str">
        <f aca="false">IF(AND(A47&lt;&gt;"",A47='Project Summary'!$C$3,C47&lt;&gt;""),COUNTIFS($A$2:$A47,'Project Summary'!$C$3,$C$2:$C47,"&lt;&gt;"),"")</f>
        <v/>
      </c>
    </row>
    <row r="48" customFormat="false" ht="15" hidden="false" customHeight="false" outlineLevel="0" collapsed="false">
      <c r="A48" s="32"/>
      <c r="B48" s="32"/>
      <c r="C48" s="32"/>
      <c r="D48" s="41"/>
      <c r="E48" s="35"/>
      <c r="F48" s="35"/>
      <c r="G48" s="35"/>
      <c r="H48" s="35"/>
      <c r="I48" s="33"/>
      <c r="J48" s="37" t="str">
        <f aca="false">IF(OR(C48="",F48="",G48=""),"",G48-F48)</f>
        <v/>
      </c>
      <c r="K48" s="37" t="str">
        <f aca="false">IF(AND(A48&lt;&gt;"",A48='Project Summary'!$C$3,C48&lt;&gt;""),COUNTIFS($A$2:$A48,'Project Summary'!$C$3,$C$2:$C48,"&lt;&gt;"),"")</f>
        <v/>
      </c>
    </row>
    <row r="49" customFormat="false" ht="15" hidden="false" customHeight="false" outlineLevel="0" collapsed="false">
      <c r="A49" s="32"/>
      <c r="B49" s="32"/>
      <c r="C49" s="32"/>
      <c r="D49" s="41"/>
      <c r="E49" s="35"/>
      <c r="F49" s="35"/>
      <c r="G49" s="35"/>
      <c r="H49" s="35"/>
      <c r="I49" s="33"/>
      <c r="J49" s="37" t="str">
        <f aca="false">IF(OR(C49="",F49="",G49=""),"",G49-F49)</f>
        <v/>
      </c>
      <c r="K49" s="37" t="str">
        <f aca="false">IF(AND(A49&lt;&gt;"",A49='Project Summary'!$C$3,C49&lt;&gt;""),COUNTIFS($A$2:$A49,'Project Summary'!$C$3,$C$2:$C49,"&lt;&gt;"),"")</f>
        <v/>
      </c>
    </row>
    <row r="50" customFormat="false" ht="15" hidden="false" customHeight="false" outlineLevel="0" collapsed="false">
      <c r="A50" s="32"/>
      <c r="B50" s="32"/>
      <c r="C50" s="32"/>
      <c r="D50" s="41"/>
      <c r="E50" s="35"/>
      <c r="F50" s="35"/>
      <c r="G50" s="35"/>
      <c r="H50" s="35"/>
      <c r="I50" s="33"/>
      <c r="J50" s="37" t="str">
        <f aca="false">IF(OR(C50="",F50="",G50=""),"",G50-F50)</f>
        <v/>
      </c>
      <c r="K50" s="37" t="str">
        <f aca="false">IF(AND(A50&lt;&gt;"",A50='Project Summary'!$C$3,C50&lt;&gt;""),COUNTIFS($A$2:$A50,'Project Summary'!$C$3,$C$2:$C50,"&lt;&gt;"),"")</f>
        <v/>
      </c>
    </row>
    <row r="51" customFormat="false" ht="15" hidden="false" customHeight="false" outlineLevel="0" collapsed="false">
      <c r="A51" s="32"/>
      <c r="B51" s="32"/>
      <c r="C51" s="32"/>
      <c r="D51" s="41"/>
      <c r="E51" s="35"/>
      <c r="F51" s="35"/>
      <c r="G51" s="35"/>
      <c r="H51" s="35"/>
      <c r="I51" s="33"/>
      <c r="J51" s="37" t="str">
        <f aca="false">IF(OR(C51="",F51="",G51=""),"",G51-F51)</f>
        <v/>
      </c>
      <c r="K51" s="37" t="str">
        <f aca="false">IF(AND(A51&lt;&gt;"",A51='Project Summary'!$C$3,C51&lt;&gt;""),COUNTIFS($A$2:$A51,'Project Summary'!$C$3,$C$2:$C51,"&lt;&gt;"),"")</f>
        <v/>
      </c>
    </row>
    <row r="52" customFormat="false" ht="15" hidden="false" customHeight="false" outlineLevel="0" collapsed="false">
      <c r="A52" s="32"/>
      <c r="B52" s="32"/>
      <c r="C52" s="32"/>
      <c r="D52" s="41"/>
      <c r="E52" s="35"/>
      <c r="F52" s="35"/>
      <c r="G52" s="35"/>
      <c r="H52" s="35"/>
      <c r="I52" s="33"/>
      <c r="J52" s="37" t="str">
        <f aca="false">IF(OR(C52="",F52="",G52=""),"",G52-F52)</f>
        <v/>
      </c>
      <c r="K52" s="37" t="str">
        <f aca="false">IF(AND(A52&lt;&gt;"",A52='Project Summary'!$C$3,C52&lt;&gt;""),COUNTIFS($A$2:$A52,'Project Summary'!$C$3,$C$2:$C52,"&lt;&gt;"),"")</f>
        <v/>
      </c>
    </row>
    <row r="53" customFormat="false" ht="15" hidden="false" customHeight="false" outlineLevel="0" collapsed="false">
      <c r="A53" s="32"/>
      <c r="B53" s="32"/>
      <c r="C53" s="32"/>
      <c r="D53" s="41"/>
      <c r="E53" s="35"/>
      <c r="F53" s="35"/>
      <c r="G53" s="35"/>
      <c r="H53" s="35"/>
      <c r="I53" s="33"/>
      <c r="J53" s="37" t="str">
        <f aca="false">IF(OR(C53="",F53="",G53=""),"",G53-F53)</f>
        <v/>
      </c>
      <c r="K53" s="37" t="str">
        <f aca="false">IF(AND(A53&lt;&gt;"",A53='Project Summary'!$C$3,C53&lt;&gt;""),COUNTIFS($A$2:$A53,'Project Summary'!$C$3,$C$2:$C53,"&lt;&gt;"),"")</f>
        <v/>
      </c>
    </row>
    <row r="54" customFormat="false" ht="15" hidden="false" customHeight="false" outlineLevel="0" collapsed="false">
      <c r="A54" s="32"/>
      <c r="B54" s="32"/>
      <c r="C54" s="32"/>
      <c r="D54" s="41"/>
      <c r="E54" s="35"/>
      <c r="F54" s="35"/>
      <c r="G54" s="35"/>
      <c r="H54" s="35"/>
      <c r="I54" s="33"/>
      <c r="J54" s="37" t="str">
        <f aca="false">IF(OR(C54="",F54="",G54=""),"",G54-F54)</f>
        <v/>
      </c>
      <c r="K54" s="37" t="str">
        <f aca="false">IF(AND(A54&lt;&gt;"",A54='Project Summary'!$C$3,C54&lt;&gt;""),COUNTIFS($A$2:$A54,'Project Summary'!$C$3,$C$2:$C54,"&lt;&gt;"),"")</f>
        <v/>
      </c>
    </row>
    <row r="55" customFormat="false" ht="15" hidden="false" customHeight="false" outlineLevel="0" collapsed="false">
      <c r="A55" s="32"/>
      <c r="B55" s="32"/>
      <c r="C55" s="32"/>
      <c r="D55" s="41"/>
      <c r="E55" s="35"/>
      <c r="F55" s="35"/>
      <c r="G55" s="35"/>
      <c r="H55" s="35"/>
      <c r="I55" s="33"/>
      <c r="J55" s="37" t="str">
        <f aca="false">IF(OR(C55="",F55="",G55=""),"",G55-F55)</f>
        <v/>
      </c>
      <c r="K55" s="37" t="str">
        <f aca="false">IF(AND(A55&lt;&gt;"",A55='Project Summary'!$C$3,C55&lt;&gt;""),COUNTIFS($A$2:$A55,'Project Summary'!$C$3,$C$2:$C55,"&lt;&gt;"),"")</f>
        <v/>
      </c>
    </row>
    <row r="56" customFormat="false" ht="15" hidden="false" customHeight="false" outlineLevel="0" collapsed="false">
      <c r="A56" s="32"/>
      <c r="B56" s="32"/>
      <c r="C56" s="32"/>
      <c r="D56" s="41"/>
      <c r="E56" s="35"/>
      <c r="F56" s="35"/>
      <c r="G56" s="35"/>
      <c r="H56" s="35"/>
      <c r="I56" s="33"/>
      <c r="J56" s="37" t="str">
        <f aca="false">IF(OR(C56="",F56="",G56=""),"",G56-F56)</f>
        <v/>
      </c>
      <c r="K56" s="37" t="str">
        <f aca="false">IF(AND(A56&lt;&gt;"",A56='Project Summary'!$C$3,C56&lt;&gt;""),COUNTIFS($A$2:$A56,'Project Summary'!$C$3,$C$2:$C56,"&lt;&gt;"),"")</f>
        <v/>
      </c>
    </row>
    <row r="57" customFormat="false" ht="15" hidden="false" customHeight="false" outlineLevel="0" collapsed="false">
      <c r="A57" s="32"/>
      <c r="B57" s="32"/>
      <c r="C57" s="32"/>
      <c r="D57" s="41"/>
      <c r="E57" s="35"/>
      <c r="F57" s="35"/>
      <c r="G57" s="35"/>
      <c r="H57" s="35"/>
      <c r="I57" s="33"/>
      <c r="J57" s="37" t="str">
        <f aca="false">IF(OR(C57="",F57="",G57=""),"",G57-F57)</f>
        <v/>
      </c>
      <c r="K57" s="37" t="str">
        <f aca="false">IF(AND(A57&lt;&gt;"",A57='Project Summary'!$C$3,C57&lt;&gt;""),COUNTIFS($A$2:$A57,'Project Summary'!$C$3,$C$2:$C57,"&lt;&gt;"),"")</f>
        <v/>
      </c>
    </row>
    <row r="58" customFormat="false" ht="15" hidden="false" customHeight="false" outlineLevel="0" collapsed="false">
      <c r="A58" s="32"/>
      <c r="B58" s="32"/>
      <c r="C58" s="32"/>
      <c r="D58" s="41"/>
      <c r="E58" s="35"/>
      <c r="F58" s="35"/>
      <c r="G58" s="35"/>
      <c r="H58" s="35"/>
      <c r="I58" s="33"/>
      <c r="J58" s="37" t="str">
        <f aca="false">IF(OR(C58="",F58="",G58=""),"",G58-F58)</f>
        <v/>
      </c>
      <c r="K58" s="37" t="str">
        <f aca="false">IF(AND(A58&lt;&gt;"",A58='Project Summary'!$C$3,C58&lt;&gt;""),COUNTIFS($A$2:$A58,'Project Summary'!$C$3,$C$2:$C58,"&lt;&gt;"),"")</f>
        <v/>
      </c>
    </row>
    <row r="59" customFormat="false" ht="15" hidden="false" customHeight="false" outlineLevel="0" collapsed="false">
      <c r="A59" s="32"/>
      <c r="B59" s="32"/>
      <c r="C59" s="32"/>
      <c r="D59" s="41"/>
      <c r="E59" s="35"/>
      <c r="F59" s="35"/>
      <c r="G59" s="35"/>
      <c r="H59" s="35"/>
      <c r="I59" s="33"/>
      <c r="J59" s="37" t="str">
        <f aca="false">IF(OR(C59="",F59="",G59=""),"",G59-F59)</f>
        <v/>
      </c>
      <c r="K59" s="37" t="str">
        <f aca="false">IF(AND(A59&lt;&gt;"",A59='Project Summary'!$C$3,C59&lt;&gt;""),COUNTIFS($A$2:$A59,'Project Summary'!$C$3,$C$2:$C59,"&lt;&gt;"),"")</f>
        <v/>
      </c>
    </row>
    <row r="60" customFormat="false" ht="15" hidden="false" customHeight="false" outlineLevel="0" collapsed="false">
      <c r="A60" s="32"/>
      <c r="B60" s="32"/>
      <c r="C60" s="32"/>
      <c r="D60" s="41"/>
      <c r="E60" s="35"/>
      <c r="F60" s="35"/>
      <c r="G60" s="35"/>
      <c r="H60" s="35"/>
      <c r="I60" s="33"/>
      <c r="J60" s="37" t="str">
        <f aca="false">IF(OR(C60="",F60="",G60=""),"",G60-F60)</f>
        <v/>
      </c>
      <c r="K60" s="37" t="str">
        <f aca="false">IF(AND(A60&lt;&gt;"",A60='Project Summary'!$C$3,C60&lt;&gt;""),COUNTIFS($A$2:$A60,'Project Summary'!$C$3,$C$2:$C60,"&lt;&gt;"),"")</f>
        <v/>
      </c>
    </row>
    <row r="61" customFormat="false" ht="15" hidden="false" customHeight="false" outlineLevel="0" collapsed="false">
      <c r="A61" s="32"/>
      <c r="B61" s="32"/>
      <c r="C61" s="32"/>
      <c r="D61" s="41"/>
      <c r="E61" s="35"/>
      <c r="F61" s="35"/>
      <c r="G61" s="35"/>
      <c r="H61" s="35"/>
      <c r="I61" s="33"/>
      <c r="J61" s="37" t="str">
        <f aca="false">IF(OR(C61="",F61="",G61=""),"",G61-F61)</f>
        <v/>
      </c>
      <c r="K61" s="37" t="str">
        <f aca="false">IF(AND(A61&lt;&gt;"",A61='Project Summary'!$C$3,C61&lt;&gt;""),COUNTIFS($A$2:$A61,'Project Summary'!$C$3,$C$2:$C61,"&lt;&gt;"),"")</f>
        <v/>
      </c>
    </row>
    <row r="62" customFormat="false" ht="15" hidden="false" customHeight="false" outlineLevel="0" collapsed="false">
      <c r="A62" s="32"/>
      <c r="B62" s="32"/>
      <c r="C62" s="32"/>
      <c r="D62" s="41"/>
      <c r="E62" s="35"/>
      <c r="F62" s="35"/>
      <c r="G62" s="35"/>
      <c r="H62" s="35"/>
      <c r="I62" s="33"/>
      <c r="J62" s="37" t="str">
        <f aca="false">IF(OR(C62="",F62="",G62=""),"",G62-F62)</f>
        <v/>
      </c>
      <c r="K62" s="37" t="str">
        <f aca="false">IF(AND(A62&lt;&gt;"",A62='Project Summary'!$C$3,C62&lt;&gt;""),COUNTIFS($A$2:$A62,'Project Summary'!$C$3,$C$2:$C62,"&lt;&gt;"),"")</f>
        <v/>
      </c>
    </row>
    <row r="63" customFormat="false" ht="15" hidden="false" customHeight="false" outlineLevel="0" collapsed="false">
      <c r="A63" s="32"/>
      <c r="B63" s="32"/>
      <c r="C63" s="32"/>
      <c r="D63" s="41"/>
      <c r="E63" s="35"/>
      <c r="F63" s="35"/>
      <c r="G63" s="35"/>
      <c r="H63" s="35"/>
      <c r="I63" s="33"/>
      <c r="J63" s="37" t="str">
        <f aca="false">IF(OR(C63="",F63="",G63=""),"",G63-F63)</f>
        <v/>
      </c>
      <c r="K63" s="37" t="str">
        <f aca="false">IF(AND(A63&lt;&gt;"",A63='Project Summary'!$C$3,C63&lt;&gt;""),COUNTIFS($A$2:$A63,'Project Summary'!$C$3,$C$2:$C63,"&lt;&gt;"),"")</f>
        <v/>
      </c>
    </row>
    <row r="64" customFormat="false" ht="15" hidden="false" customHeight="false" outlineLevel="0" collapsed="false">
      <c r="A64" s="32"/>
      <c r="B64" s="32"/>
      <c r="C64" s="32"/>
      <c r="D64" s="41"/>
      <c r="E64" s="35"/>
      <c r="F64" s="35"/>
      <c r="G64" s="35"/>
      <c r="H64" s="35"/>
      <c r="I64" s="33"/>
      <c r="J64" s="37" t="str">
        <f aca="false">IF(OR(C64="",F64="",G64=""),"",G64-F64)</f>
        <v/>
      </c>
      <c r="K64" s="37" t="str">
        <f aca="false">IF(AND(A64&lt;&gt;"",A64='Project Summary'!$C$3,C64&lt;&gt;""),COUNTIFS($A$2:$A64,'Project Summary'!$C$3,$C$2:$C64,"&lt;&gt;"),"")</f>
        <v/>
      </c>
    </row>
    <row r="65" customFormat="false" ht="15" hidden="false" customHeight="false" outlineLevel="0" collapsed="false">
      <c r="A65" s="32"/>
      <c r="B65" s="32"/>
      <c r="C65" s="32"/>
      <c r="D65" s="41"/>
      <c r="E65" s="35"/>
      <c r="F65" s="35"/>
      <c r="G65" s="35"/>
      <c r="H65" s="35"/>
      <c r="I65" s="33"/>
      <c r="J65" s="37" t="str">
        <f aca="false">IF(OR(C65="",F65="",G65=""),"",G65-F65)</f>
        <v/>
      </c>
      <c r="K65" s="37" t="str">
        <f aca="false">IF(AND(A65&lt;&gt;"",A65='Project Summary'!$C$3,C65&lt;&gt;""),COUNTIFS($A$2:$A65,'Project Summary'!$C$3,$C$2:$C65,"&lt;&gt;"),"")</f>
        <v/>
      </c>
    </row>
    <row r="66" customFormat="false" ht="15" hidden="false" customHeight="false" outlineLevel="0" collapsed="false">
      <c r="A66" s="32"/>
      <c r="B66" s="32"/>
      <c r="C66" s="32"/>
      <c r="D66" s="41"/>
      <c r="E66" s="35"/>
      <c r="F66" s="35"/>
      <c r="G66" s="35"/>
      <c r="H66" s="35"/>
      <c r="I66" s="33"/>
      <c r="J66" s="37" t="str">
        <f aca="false">IF(OR(C66="",F66="",G66=""),"",G66-F66)</f>
        <v/>
      </c>
      <c r="K66" s="37" t="str">
        <f aca="false">IF(AND(A66&lt;&gt;"",A66='Project Summary'!$C$3,C66&lt;&gt;""),COUNTIFS($A$2:$A66,'Project Summary'!$C$3,$C$2:$C66,"&lt;&gt;"),"")</f>
        <v/>
      </c>
    </row>
    <row r="67" customFormat="false" ht="15" hidden="false" customHeight="false" outlineLevel="0" collapsed="false">
      <c r="A67" s="32"/>
      <c r="B67" s="32"/>
      <c r="C67" s="32"/>
      <c r="D67" s="41"/>
      <c r="E67" s="35"/>
      <c r="F67" s="35"/>
      <c r="G67" s="35"/>
      <c r="H67" s="35"/>
      <c r="I67" s="33"/>
      <c r="J67" s="37" t="str">
        <f aca="false">IF(OR(C67="",F67="",G67=""),"",G67-F67)</f>
        <v/>
      </c>
      <c r="K67" s="37" t="str">
        <f aca="false">IF(AND(A67&lt;&gt;"",A67='Project Summary'!$C$3,C67&lt;&gt;""),COUNTIFS($A$2:$A67,'Project Summary'!$C$3,$C$2:$C67,"&lt;&gt;"),"")</f>
        <v/>
      </c>
    </row>
    <row r="68" customFormat="false" ht="15" hidden="false" customHeight="false" outlineLevel="0" collapsed="false">
      <c r="A68" s="32"/>
      <c r="B68" s="32"/>
      <c r="C68" s="32"/>
      <c r="D68" s="41"/>
      <c r="E68" s="35"/>
      <c r="F68" s="35"/>
      <c r="G68" s="35"/>
      <c r="H68" s="35"/>
      <c r="I68" s="33"/>
      <c r="J68" s="37" t="str">
        <f aca="false">IF(OR(C68="",F68="",G68=""),"",G68-F68)</f>
        <v/>
      </c>
      <c r="K68" s="37" t="str">
        <f aca="false">IF(AND(A68&lt;&gt;"",A68='Project Summary'!$C$3,C68&lt;&gt;""),COUNTIFS($A$2:$A68,'Project Summary'!$C$3,$C$2:$C68,"&lt;&gt;"),"")</f>
        <v/>
      </c>
    </row>
    <row r="69" customFormat="false" ht="15" hidden="false" customHeight="false" outlineLevel="0" collapsed="false">
      <c r="A69" s="32"/>
      <c r="B69" s="32"/>
      <c r="C69" s="32"/>
      <c r="D69" s="41"/>
      <c r="E69" s="35"/>
      <c r="F69" s="35"/>
      <c r="G69" s="35"/>
      <c r="H69" s="35"/>
      <c r="I69" s="33"/>
      <c r="J69" s="37" t="str">
        <f aca="false">IF(OR(C69="",F69="",G69=""),"",G69-F69)</f>
        <v/>
      </c>
      <c r="K69" s="37" t="str">
        <f aca="false">IF(AND(A69&lt;&gt;"",A69='Project Summary'!$C$3,C69&lt;&gt;""),COUNTIFS($A$2:$A69,'Project Summary'!$C$3,$C$2:$C69,"&lt;&gt;"),"")</f>
        <v/>
      </c>
    </row>
    <row r="70" customFormat="false" ht="15" hidden="false" customHeight="false" outlineLevel="0" collapsed="false">
      <c r="A70" s="32"/>
      <c r="B70" s="32"/>
      <c r="C70" s="32"/>
      <c r="D70" s="41"/>
      <c r="E70" s="35"/>
      <c r="F70" s="35"/>
      <c r="G70" s="35"/>
      <c r="H70" s="35"/>
      <c r="I70" s="33"/>
      <c r="J70" s="37" t="str">
        <f aca="false">IF(OR(C70="",F70="",G70=""),"",G70-F70)</f>
        <v/>
      </c>
      <c r="K70" s="37" t="str">
        <f aca="false">IF(AND(A70&lt;&gt;"",A70='Project Summary'!$C$3,C70&lt;&gt;""),COUNTIFS($A$2:$A70,'Project Summary'!$C$3,$C$2:$C70,"&lt;&gt;"),"")</f>
        <v/>
      </c>
    </row>
    <row r="71" customFormat="false" ht="15" hidden="false" customHeight="false" outlineLevel="0" collapsed="false">
      <c r="A71" s="32"/>
      <c r="B71" s="32"/>
      <c r="C71" s="32"/>
      <c r="D71" s="41"/>
      <c r="E71" s="35"/>
      <c r="F71" s="35"/>
      <c r="G71" s="35"/>
      <c r="H71" s="35"/>
      <c r="I71" s="33"/>
      <c r="J71" s="37" t="str">
        <f aca="false">IF(OR(C71="",F71="",G71=""),"",G71-F71)</f>
        <v/>
      </c>
      <c r="K71" s="37" t="str">
        <f aca="false">IF(AND(A71&lt;&gt;"",A71='Project Summary'!$C$3,C71&lt;&gt;""),COUNTIFS($A$2:$A71,'Project Summary'!$C$3,$C$2:$C71,"&lt;&gt;"),"")</f>
        <v/>
      </c>
    </row>
    <row r="72" customFormat="false" ht="15" hidden="false" customHeight="false" outlineLevel="0" collapsed="false">
      <c r="A72" s="32"/>
      <c r="B72" s="32"/>
      <c r="C72" s="32"/>
      <c r="D72" s="41"/>
      <c r="E72" s="35"/>
      <c r="F72" s="35"/>
      <c r="G72" s="35"/>
      <c r="H72" s="35"/>
      <c r="I72" s="33"/>
      <c r="J72" s="37" t="str">
        <f aca="false">IF(OR(C72="",F72="",G72=""),"",G72-F72)</f>
        <v/>
      </c>
      <c r="K72" s="37" t="str">
        <f aca="false">IF(AND(A72&lt;&gt;"",A72='Project Summary'!$C$3,C72&lt;&gt;""),COUNTIFS($A$2:$A72,'Project Summary'!$C$3,$C$2:$C72,"&lt;&gt;"),"")</f>
        <v/>
      </c>
    </row>
    <row r="73" customFormat="false" ht="15" hidden="false" customHeight="false" outlineLevel="0" collapsed="false">
      <c r="A73" s="32"/>
      <c r="B73" s="32"/>
      <c r="C73" s="32"/>
      <c r="D73" s="41"/>
      <c r="E73" s="35"/>
      <c r="F73" s="35"/>
      <c r="G73" s="35"/>
      <c r="H73" s="35"/>
      <c r="I73" s="33"/>
      <c r="J73" s="37" t="str">
        <f aca="false">IF(OR(C73="",F73="",G73=""),"",G73-F73)</f>
        <v/>
      </c>
      <c r="K73" s="37" t="str">
        <f aca="false">IF(AND(A73&lt;&gt;"",A73='Project Summary'!$C$3,C73&lt;&gt;""),COUNTIFS($A$2:$A73,'Project Summary'!$C$3,$C$2:$C73,"&lt;&gt;"),"")</f>
        <v/>
      </c>
    </row>
    <row r="74" customFormat="false" ht="15" hidden="false" customHeight="false" outlineLevel="0" collapsed="false">
      <c r="A74" s="32"/>
      <c r="B74" s="32"/>
      <c r="C74" s="32"/>
      <c r="D74" s="41"/>
      <c r="E74" s="35"/>
      <c r="F74" s="35"/>
      <c r="G74" s="35"/>
      <c r="H74" s="35"/>
      <c r="I74" s="33"/>
      <c r="J74" s="37" t="str">
        <f aca="false">IF(OR(C74="",F74="",G74=""),"",G74-F74)</f>
        <v/>
      </c>
      <c r="K74" s="37" t="str">
        <f aca="false">IF(AND(A74&lt;&gt;"",A74='Project Summary'!$C$3,C74&lt;&gt;""),COUNTIFS($A$2:$A74,'Project Summary'!$C$3,$C$2:$C74,"&lt;&gt;"),"")</f>
        <v/>
      </c>
    </row>
    <row r="75" customFormat="false" ht="15" hidden="false" customHeight="false" outlineLevel="0" collapsed="false">
      <c r="A75" s="32"/>
      <c r="B75" s="32"/>
      <c r="C75" s="32"/>
      <c r="D75" s="41"/>
      <c r="E75" s="35"/>
      <c r="F75" s="35"/>
      <c r="G75" s="35"/>
      <c r="H75" s="35"/>
      <c r="I75" s="33"/>
      <c r="J75" s="37" t="str">
        <f aca="false">IF(OR(C75="",F75="",G75=""),"",G75-F75)</f>
        <v/>
      </c>
      <c r="K75" s="37" t="str">
        <f aca="false">IF(AND(A75&lt;&gt;"",A75='Project Summary'!$C$3,C75&lt;&gt;""),COUNTIFS($A$2:$A75,'Project Summary'!$C$3,$C$2:$C75,"&lt;&gt;"),"")</f>
        <v/>
      </c>
    </row>
    <row r="76" customFormat="false" ht="15" hidden="false" customHeight="false" outlineLevel="0" collapsed="false">
      <c r="A76" s="32"/>
      <c r="B76" s="32"/>
      <c r="C76" s="32"/>
      <c r="D76" s="41"/>
      <c r="E76" s="35"/>
      <c r="F76" s="35"/>
      <c r="G76" s="35"/>
      <c r="H76" s="35"/>
      <c r="I76" s="33"/>
      <c r="J76" s="37" t="str">
        <f aca="false">IF(OR(C76="",F76="",G76=""),"",G76-F76)</f>
        <v/>
      </c>
      <c r="K76" s="37" t="str">
        <f aca="false">IF(AND(A76&lt;&gt;"",A76='Project Summary'!$C$3,C76&lt;&gt;""),COUNTIFS($A$2:$A76,'Project Summary'!$C$3,$C$2:$C76,"&lt;&gt;"),"")</f>
        <v/>
      </c>
    </row>
    <row r="77" customFormat="false" ht="15" hidden="false" customHeight="false" outlineLevel="0" collapsed="false">
      <c r="A77" s="32"/>
      <c r="B77" s="32"/>
      <c r="C77" s="32"/>
      <c r="D77" s="41"/>
      <c r="E77" s="35"/>
      <c r="F77" s="35"/>
      <c r="G77" s="35"/>
      <c r="H77" s="35"/>
      <c r="I77" s="33"/>
      <c r="J77" s="37" t="str">
        <f aca="false">IF(OR(C77="",F77="",G77=""),"",G77-F77)</f>
        <v/>
      </c>
      <c r="K77" s="37" t="str">
        <f aca="false">IF(AND(A77&lt;&gt;"",A77='Project Summary'!$C$3,C77&lt;&gt;""),COUNTIFS($A$2:$A77,'Project Summary'!$C$3,$C$2:$C77,"&lt;&gt;"),"")</f>
        <v/>
      </c>
    </row>
    <row r="78" customFormat="false" ht="15" hidden="false" customHeight="false" outlineLevel="0" collapsed="false">
      <c r="A78" s="32"/>
      <c r="B78" s="32"/>
      <c r="C78" s="32"/>
      <c r="D78" s="41"/>
      <c r="E78" s="35"/>
      <c r="F78" s="35"/>
      <c r="G78" s="35"/>
      <c r="H78" s="35"/>
      <c r="I78" s="33"/>
      <c r="J78" s="37" t="str">
        <f aca="false">IF(OR(C78="",F78="",G78=""),"",G78-F78)</f>
        <v/>
      </c>
      <c r="K78" s="37" t="str">
        <f aca="false">IF(AND(A78&lt;&gt;"",A78='Project Summary'!$C$3,C78&lt;&gt;""),COUNTIFS($A$2:$A78,'Project Summary'!$C$3,$C$2:$C78,"&lt;&gt;"),"")</f>
        <v/>
      </c>
    </row>
    <row r="79" customFormat="false" ht="15" hidden="false" customHeight="false" outlineLevel="0" collapsed="false">
      <c r="A79" s="32"/>
      <c r="B79" s="32"/>
      <c r="C79" s="32"/>
      <c r="D79" s="41"/>
      <c r="E79" s="35"/>
      <c r="F79" s="35"/>
      <c r="G79" s="35"/>
      <c r="H79" s="35"/>
      <c r="I79" s="33"/>
      <c r="J79" s="37" t="str">
        <f aca="false">IF(OR(C79="",F79="",G79=""),"",G79-F79)</f>
        <v/>
      </c>
      <c r="K79" s="37" t="str">
        <f aca="false">IF(AND(A79&lt;&gt;"",A79='Project Summary'!$C$3,C79&lt;&gt;""),COUNTIFS($A$2:$A79,'Project Summary'!$C$3,$C$2:$C79,"&lt;&gt;"),"")</f>
        <v/>
      </c>
    </row>
    <row r="80" customFormat="false" ht="15" hidden="false" customHeight="false" outlineLevel="0" collapsed="false">
      <c r="A80" s="32"/>
      <c r="B80" s="32"/>
      <c r="C80" s="32"/>
      <c r="D80" s="41"/>
      <c r="E80" s="35"/>
      <c r="F80" s="35"/>
      <c r="G80" s="35"/>
      <c r="H80" s="35"/>
      <c r="I80" s="33"/>
      <c r="J80" s="37" t="str">
        <f aca="false">IF(OR(C80="",F80="",G80=""),"",G80-F80)</f>
        <v/>
      </c>
      <c r="K80" s="37" t="str">
        <f aca="false">IF(AND(A80&lt;&gt;"",A80='Project Summary'!$C$3,C80&lt;&gt;""),COUNTIFS($A$2:$A80,'Project Summary'!$C$3,$C$2:$C80,"&lt;&gt;"),"")</f>
        <v/>
      </c>
    </row>
    <row r="81" customFormat="false" ht="15" hidden="false" customHeight="false" outlineLevel="0" collapsed="false">
      <c r="A81" s="32"/>
      <c r="B81" s="32"/>
      <c r="C81" s="32"/>
      <c r="D81" s="41"/>
      <c r="E81" s="35"/>
      <c r="F81" s="35"/>
      <c r="G81" s="35"/>
      <c r="H81" s="35"/>
      <c r="I81" s="33"/>
      <c r="J81" s="37" t="str">
        <f aca="false">IF(OR(C81="",F81="",G81=""),"",G81-F81)</f>
        <v/>
      </c>
      <c r="K81" s="37" t="str">
        <f aca="false">IF(AND(A81&lt;&gt;"",A81='Project Summary'!$C$3,C81&lt;&gt;""),COUNTIFS($A$2:$A81,'Project Summary'!$C$3,$C$2:$C81,"&lt;&gt;"),"")</f>
        <v/>
      </c>
    </row>
    <row r="82" customFormat="false" ht="15" hidden="false" customHeight="false" outlineLevel="0" collapsed="false">
      <c r="A82" s="32"/>
      <c r="B82" s="32"/>
      <c r="C82" s="32"/>
      <c r="D82" s="41"/>
      <c r="E82" s="35"/>
      <c r="F82" s="35"/>
      <c r="G82" s="35"/>
      <c r="H82" s="35"/>
      <c r="I82" s="33"/>
      <c r="J82" s="37" t="str">
        <f aca="false">IF(OR(C82="",F82="",G82=""),"",G82-F82)</f>
        <v/>
      </c>
      <c r="K82" s="37" t="str">
        <f aca="false">IF(AND(A82&lt;&gt;"",A82='Project Summary'!$C$3,C82&lt;&gt;""),COUNTIFS($A$2:$A82,'Project Summary'!$C$3,$C$2:$C82,"&lt;&gt;"),"")</f>
        <v/>
      </c>
    </row>
    <row r="83" customFormat="false" ht="15" hidden="false" customHeight="false" outlineLevel="0" collapsed="false">
      <c r="A83" s="32"/>
      <c r="B83" s="32"/>
      <c r="C83" s="32"/>
      <c r="D83" s="41"/>
      <c r="E83" s="35"/>
      <c r="F83" s="35"/>
      <c r="G83" s="35"/>
      <c r="H83" s="35"/>
      <c r="I83" s="33"/>
      <c r="J83" s="37" t="str">
        <f aca="false">IF(OR(C83="",F83="",G83=""),"",G83-F83)</f>
        <v/>
      </c>
      <c r="K83" s="37" t="str">
        <f aca="false">IF(AND(A83&lt;&gt;"",A83='Project Summary'!$C$3,C83&lt;&gt;""),COUNTIFS($A$2:$A83,'Project Summary'!$C$3,$C$2:$C83,"&lt;&gt;"),"")</f>
        <v/>
      </c>
    </row>
    <row r="84" customFormat="false" ht="15" hidden="false" customHeight="false" outlineLevel="0" collapsed="false">
      <c r="A84" s="32"/>
      <c r="B84" s="32"/>
      <c r="C84" s="32"/>
      <c r="D84" s="41"/>
      <c r="E84" s="35"/>
      <c r="F84" s="35"/>
      <c r="G84" s="35"/>
      <c r="H84" s="35"/>
      <c r="I84" s="33"/>
      <c r="J84" s="37" t="str">
        <f aca="false">IF(OR(C84="",F84="",G84=""),"",G84-F84)</f>
        <v/>
      </c>
      <c r="K84" s="37" t="str">
        <f aca="false">IF(AND(A84&lt;&gt;"",A84='Project Summary'!$C$3,C84&lt;&gt;""),COUNTIFS($A$2:$A84,'Project Summary'!$C$3,$C$2:$C84,"&lt;&gt;"),"")</f>
        <v/>
      </c>
    </row>
    <row r="85" customFormat="false" ht="15" hidden="false" customHeight="false" outlineLevel="0" collapsed="false">
      <c r="A85" s="32"/>
      <c r="B85" s="32"/>
      <c r="C85" s="32"/>
      <c r="D85" s="41"/>
      <c r="E85" s="35"/>
      <c r="F85" s="35"/>
      <c r="G85" s="35"/>
      <c r="H85" s="35"/>
      <c r="I85" s="33"/>
      <c r="J85" s="37" t="str">
        <f aca="false">IF(OR(C85="",F85="",G85=""),"",G85-F85)</f>
        <v/>
      </c>
      <c r="K85" s="37" t="str">
        <f aca="false">IF(AND(A85&lt;&gt;"",A85='Project Summary'!$C$3,C85&lt;&gt;""),COUNTIFS($A$2:$A85,'Project Summary'!$C$3,$C$2:$C85,"&lt;&gt;"),"")</f>
        <v/>
      </c>
    </row>
    <row r="86" customFormat="false" ht="15" hidden="false" customHeight="false" outlineLevel="0" collapsed="false">
      <c r="A86" s="32"/>
      <c r="B86" s="32"/>
      <c r="C86" s="32"/>
      <c r="D86" s="41"/>
      <c r="E86" s="35"/>
      <c r="F86" s="35"/>
      <c r="G86" s="35"/>
      <c r="H86" s="35"/>
      <c r="I86" s="33"/>
      <c r="J86" s="37" t="str">
        <f aca="false">IF(OR(C86="",F86="",G86=""),"",G86-F86)</f>
        <v/>
      </c>
      <c r="K86" s="37" t="str">
        <f aca="false">IF(AND(A86&lt;&gt;"",A86='Project Summary'!$C$3,C86&lt;&gt;""),COUNTIFS($A$2:$A86,'Project Summary'!$C$3,$C$2:$C86,"&lt;&gt;"),"")</f>
        <v/>
      </c>
    </row>
    <row r="87" customFormat="false" ht="15" hidden="false" customHeight="false" outlineLevel="0" collapsed="false">
      <c r="A87" s="32"/>
      <c r="B87" s="32"/>
      <c r="C87" s="32"/>
      <c r="D87" s="41"/>
      <c r="E87" s="35"/>
      <c r="F87" s="35"/>
      <c r="G87" s="35"/>
      <c r="H87" s="35"/>
      <c r="I87" s="33"/>
      <c r="J87" s="37" t="str">
        <f aca="false">IF(OR(C87="",F87="",G87=""),"",G87-F87)</f>
        <v/>
      </c>
      <c r="K87" s="37" t="str">
        <f aca="false">IF(AND(A87&lt;&gt;"",A87='Project Summary'!$C$3,C87&lt;&gt;""),COUNTIFS($A$2:$A87,'Project Summary'!$C$3,$C$2:$C87,"&lt;&gt;"),"")</f>
        <v/>
      </c>
    </row>
    <row r="88" customFormat="false" ht="15" hidden="false" customHeight="false" outlineLevel="0" collapsed="false">
      <c r="A88" s="32"/>
      <c r="B88" s="32"/>
      <c r="C88" s="32"/>
      <c r="D88" s="41"/>
      <c r="E88" s="35"/>
      <c r="F88" s="35"/>
      <c r="G88" s="35"/>
      <c r="H88" s="35"/>
      <c r="I88" s="33"/>
      <c r="J88" s="37" t="str">
        <f aca="false">IF(OR(C88="",F88="",G88=""),"",G88-F88)</f>
        <v/>
      </c>
      <c r="K88" s="37" t="str">
        <f aca="false">IF(AND(A88&lt;&gt;"",A88='Project Summary'!$C$3,C88&lt;&gt;""),COUNTIFS($A$2:$A88,'Project Summary'!$C$3,$C$2:$C88,"&lt;&gt;"),"")</f>
        <v/>
      </c>
    </row>
    <row r="89" customFormat="false" ht="15" hidden="false" customHeight="false" outlineLevel="0" collapsed="false">
      <c r="A89" s="32"/>
      <c r="B89" s="32"/>
      <c r="C89" s="32"/>
      <c r="D89" s="41"/>
      <c r="E89" s="35"/>
      <c r="F89" s="35"/>
      <c r="G89" s="35"/>
      <c r="H89" s="35"/>
      <c r="I89" s="33"/>
      <c r="J89" s="37" t="str">
        <f aca="false">IF(OR(C89="",F89="",G89=""),"",G89-F89)</f>
        <v/>
      </c>
      <c r="K89" s="37" t="str">
        <f aca="false">IF(AND(A89&lt;&gt;"",A89='Project Summary'!$C$3,C89&lt;&gt;""),COUNTIFS($A$2:$A89,'Project Summary'!$C$3,$C$2:$C89,"&lt;&gt;"),"")</f>
        <v/>
      </c>
    </row>
    <row r="90" customFormat="false" ht="15" hidden="false" customHeight="false" outlineLevel="0" collapsed="false">
      <c r="A90" s="32"/>
      <c r="B90" s="32"/>
      <c r="C90" s="32"/>
      <c r="D90" s="41"/>
      <c r="E90" s="35"/>
      <c r="F90" s="35"/>
      <c r="G90" s="35"/>
      <c r="H90" s="35"/>
      <c r="I90" s="33"/>
      <c r="J90" s="37" t="str">
        <f aca="false">IF(OR(C90="",F90="",G90=""),"",G90-F90)</f>
        <v/>
      </c>
      <c r="K90" s="37" t="str">
        <f aca="false">IF(AND(A90&lt;&gt;"",A90='Project Summary'!$C$3,C90&lt;&gt;""),COUNTIFS($A$2:$A90,'Project Summary'!$C$3,$C$2:$C90,"&lt;&gt;"),"")</f>
        <v/>
      </c>
    </row>
    <row r="91" customFormat="false" ht="15" hidden="false" customHeight="false" outlineLevel="0" collapsed="false">
      <c r="A91" s="32"/>
      <c r="B91" s="32"/>
      <c r="C91" s="32"/>
      <c r="D91" s="41"/>
      <c r="E91" s="35"/>
      <c r="F91" s="35"/>
      <c r="G91" s="35"/>
      <c r="H91" s="35"/>
      <c r="I91" s="33"/>
      <c r="J91" s="37" t="str">
        <f aca="false">IF(OR(C91="",F91="",G91=""),"",G91-F91)</f>
        <v/>
      </c>
      <c r="K91" s="37" t="str">
        <f aca="false">IF(AND(A91&lt;&gt;"",A91='Project Summary'!$C$3,C91&lt;&gt;""),COUNTIFS($A$2:$A91,'Project Summary'!$C$3,$C$2:$C91,"&lt;&gt;"),"")</f>
        <v/>
      </c>
    </row>
    <row r="92" customFormat="false" ht="15" hidden="false" customHeight="false" outlineLevel="0" collapsed="false">
      <c r="A92" s="32"/>
      <c r="B92" s="32"/>
      <c r="C92" s="32"/>
      <c r="D92" s="41"/>
      <c r="E92" s="35"/>
      <c r="F92" s="35"/>
      <c r="G92" s="35"/>
      <c r="H92" s="35"/>
      <c r="I92" s="33"/>
      <c r="J92" s="37" t="str">
        <f aca="false">IF(OR(C92="",F92="",G92=""),"",G92-F92)</f>
        <v/>
      </c>
      <c r="K92" s="37" t="str">
        <f aca="false">IF(AND(A92&lt;&gt;"",A92='Project Summary'!$C$3,C92&lt;&gt;""),COUNTIFS($A$2:$A92,'Project Summary'!$C$3,$C$2:$C92,"&lt;&gt;"),"")</f>
        <v/>
      </c>
    </row>
    <row r="93" customFormat="false" ht="15" hidden="false" customHeight="false" outlineLevel="0" collapsed="false">
      <c r="A93" s="32"/>
      <c r="B93" s="32"/>
      <c r="C93" s="32"/>
      <c r="D93" s="41"/>
      <c r="E93" s="35"/>
      <c r="F93" s="35"/>
      <c r="G93" s="35"/>
      <c r="H93" s="35"/>
      <c r="I93" s="33"/>
      <c r="J93" s="37" t="str">
        <f aca="false">IF(OR(C93="",F93="",G93=""),"",G93-F93)</f>
        <v/>
      </c>
      <c r="K93" s="37" t="str">
        <f aca="false">IF(AND(A93&lt;&gt;"",A93='Project Summary'!$C$3,C93&lt;&gt;""),COUNTIFS($A$2:$A93,'Project Summary'!$C$3,$C$2:$C93,"&lt;&gt;"),"")</f>
        <v/>
      </c>
    </row>
    <row r="94" customFormat="false" ht="15" hidden="false" customHeight="false" outlineLevel="0" collapsed="false">
      <c r="A94" s="32"/>
      <c r="B94" s="32"/>
      <c r="C94" s="32"/>
      <c r="D94" s="41"/>
      <c r="E94" s="35"/>
      <c r="F94" s="35"/>
      <c r="G94" s="35"/>
      <c r="H94" s="35"/>
      <c r="I94" s="33"/>
      <c r="J94" s="37" t="str">
        <f aca="false">IF(OR(C94="",F94="",G94=""),"",G94-F94)</f>
        <v/>
      </c>
      <c r="K94" s="37" t="str">
        <f aca="false">IF(AND(A94&lt;&gt;"",A94='Project Summary'!$C$3,C94&lt;&gt;""),COUNTIFS($A$2:$A94,'Project Summary'!$C$3,$C$2:$C94,"&lt;&gt;"),"")</f>
        <v/>
      </c>
    </row>
    <row r="95" customFormat="false" ht="15" hidden="false" customHeight="false" outlineLevel="0" collapsed="false">
      <c r="A95" s="32"/>
      <c r="B95" s="32"/>
      <c r="C95" s="32"/>
      <c r="D95" s="41"/>
      <c r="E95" s="35"/>
      <c r="F95" s="35"/>
      <c r="G95" s="35"/>
      <c r="H95" s="35"/>
      <c r="I95" s="33"/>
      <c r="J95" s="37" t="str">
        <f aca="false">IF(OR(C95="",F95="",G95=""),"",G95-F95)</f>
        <v/>
      </c>
      <c r="K95" s="37" t="str">
        <f aca="false">IF(AND(A95&lt;&gt;"",A95='Project Summary'!$C$3,C95&lt;&gt;""),COUNTIFS($A$2:$A95,'Project Summary'!$C$3,$C$2:$C95,"&lt;&gt;"),"")</f>
        <v/>
      </c>
    </row>
    <row r="96" customFormat="false" ht="15" hidden="false" customHeight="false" outlineLevel="0" collapsed="false">
      <c r="A96" s="32"/>
      <c r="B96" s="32"/>
      <c r="C96" s="32"/>
      <c r="D96" s="41"/>
      <c r="E96" s="35"/>
      <c r="F96" s="35"/>
      <c r="G96" s="35"/>
      <c r="H96" s="35"/>
      <c r="I96" s="33"/>
      <c r="J96" s="37" t="str">
        <f aca="false">IF(OR(C96="",F96="",G96=""),"",G96-F96)</f>
        <v/>
      </c>
      <c r="K96" s="37" t="str">
        <f aca="false">IF(AND(A96&lt;&gt;"",A96='Project Summary'!$C$3,C96&lt;&gt;""),COUNTIFS($A$2:$A96,'Project Summary'!$C$3,$C$2:$C96,"&lt;&gt;"),"")</f>
        <v/>
      </c>
    </row>
    <row r="97" customFormat="false" ht="15" hidden="false" customHeight="false" outlineLevel="0" collapsed="false">
      <c r="A97" s="32"/>
      <c r="B97" s="32"/>
      <c r="C97" s="32"/>
      <c r="D97" s="41"/>
      <c r="E97" s="35"/>
      <c r="F97" s="35"/>
      <c r="G97" s="35"/>
      <c r="H97" s="35"/>
      <c r="I97" s="33"/>
      <c r="J97" s="37" t="str">
        <f aca="false">IF(OR(C97="",F97="",G97=""),"",G97-F97)</f>
        <v/>
      </c>
      <c r="K97" s="37" t="str">
        <f aca="false">IF(AND(A97&lt;&gt;"",A97='Project Summary'!$C$3,C97&lt;&gt;""),COUNTIFS($A$2:$A97,'Project Summary'!$C$3,$C$2:$C97,"&lt;&gt;"),"")</f>
        <v/>
      </c>
    </row>
    <row r="98" customFormat="false" ht="15" hidden="false" customHeight="false" outlineLevel="0" collapsed="false">
      <c r="A98" s="32"/>
      <c r="B98" s="32"/>
      <c r="C98" s="32"/>
      <c r="D98" s="41"/>
      <c r="E98" s="35"/>
      <c r="F98" s="35"/>
      <c r="G98" s="35"/>
      <c r="H98" s="35"/>
      <c r="I98" s="33"/>
      <c r="J98" s="37" t="str">
        <f aca="false">IF(OR(C98="",F98="",G98=""),"",G98-F98)</f>
        <v/>
      </c>
      <c r="K98" s="37" t="str">
        <f aca="false">IF(AND(A98&lt;&gt;"",A98='Project Summary'!$C$3,C98&lt;&gt;""),COUNTIFS($A$2:$A98,'Project Summary'!$C$3,$C$2:$C98,"&lt;&gt;"),"")</f>
        <v/>
      </c>
    </row>
    <row r="99" customFormat="false" ht="15" hidden="false" customHeight="false" outlineLevel="0" collapsed="false">
      <c r="A99" s="32"/>
      <c r="B99" s="32"/>
      <c r="C99" s="32"/>
      <c r="D99" s="41"/>
      <c r="E99" s="35"/>
      <c r="F99" s="35"/>
      <c r="G99" s="35"/>
      <c r="H99" s="35"/>
      <c r="I99" s="33"/>
      <c r="J99" s="37" t="str">
        <f aca="false">IF(OR(C99="",F99="",G99=""),"",G99-F99)</f>
        <v/>
      </c>
      <c r="K99" s="37" t="str">
        <f aca="false">IF(AND(A99&lt;&gt;"",A99='Project Summary'!$C$3,C99&lt;&gt;""),COUNTIFS($A$2:$A99,'Project Summary'!$C$3,$C$2:$C99,"&lt;&gt;"),"")</f>
        <v/>
      </c>
    </row>
    <row r="100" customFormat="false" ht="15" hidden="false" customHeight="false" outlineLevel="0" collapsed="false">
      <c r="A100" s="32"/>
      <c r="B100" s="32"/>
      <c r="C100" s="32"/>
      <c r="D100" s="41"/>
      <c r="E100" s="35"/>
      <c r="F100" s="35"/>
      <c r="G100" s="35"/>
      <c r="H100" s="35"/>
      <c r="I100" s="33"/>
      <c r="J100" s="37" t="str">
        <f aca="false">IF(OR(C100="",F100="",G100=""),"",G100-F100)</f>
        <v/>
      </c>
      <c r="K100" s="37" t="str">
        <f aca="false">IF(AND(A100&lt;&gt;"",A100='Project Summary'!$C$3,C100&lt;&gt;""),COUNTIFS($A$2:$A100,'Project Summary'!$C$3,$C$2:$C100,"&lt;&gt;"),"")</f>
        <v/>
      </c>
    </row>
    <row r="101" customFormat="false" ht="15" hidden="false" customHeight="false" outlineLevel="0" collapsed="false">
      <c r="A101" s="32"/>
      <c r="B101" s="32"/>
      <c r="C101" s="32"/>
      <c r="D101" s="41"/>
      <c r="E101" s="35"/>
      <c r="F101" s="35"/>
      <c r="G101" s="35"/>
      <c r="H101" s="35"/>
      <c r="I101" s="33"/>
      <c r="J101" s="37" t="str">
        <f aca="false">IF(OR(C101="",F101="",G101=""),"",G101-F101)</f>
        <v/>
      </c>
      <c r="K101" s="37" t="str">
        <f aca="false">IF(AND(A101&lt;&gt;"",A101='Project Summary'!$C$3,C101&lt;&gt;""),COUNTIFS($A$2:$A101,'Project Summary'!$C$3,$C$2:$C101,"&lt;&gt;"),"")</f>
        <v/>
      </c>
    </row>
    <row r="102" customFormat="false" ht="15" hidden="false" customHeight="false" outlineLevel="0" collapsed="false">
      <c r="A102" s="32"/>
      <c r="B102" s="32"/>
      <c r="C102" s="32"/>
      <c r="D102" s="41"/>
      <c r="E102" s="35"/>
      <c r="F102" s="35"/>
      <c r="G102" s="35"/>
      <c r="H102" s="35"/>
      <c r="I102" s="33"/>
      <c r="J102" s="37" t="str">
        <f aca="false">IF(OR(C102="",F102="",G102=""),"",G102-F102)</f>
        <v/>
      </c>
      <c r="K102" s="37" t="str">
        <f aca="false">IF(AND(A102&lt;&gt;"",A102='Project Summary'!$C$3,C102&lt;&gt;""),COUNTIFS($A$2:$A102,'Project Summary'!$C$3,$C$2:$C102,"&lt;&gt;"),"")</f>
        <v/>
      </c>
    </row>
    <row r="103" customFormat="false" ht="15" hidden="false" customHeight="false" outlineLevel="0" collapsed="false">
      <c r="A103" s="32"/>
      <c r="B103" s="32"/>
      <c r="C103" s="32"/>
      <c r="D103" s="41"/>
      <c r="E103" s="35"/>
      <c r="F103" s="35"/>
      <c r="G103" s="35"/>
      <c r="H103" s="35"/>
      <c r="I103" s="33"/>
      <c r="J103" s="37" t="str">
        <f aca="false">IF(OR(C103="",F103="",G103=""),"",G103-F103)</f>
        <v/>
      </c>
      <c r="K103" s="37" t="str">
        <f aca="false">IF(AND(A103&lt;&gt;"",A103='Project Summary'!$C$3,C103&lt;&gt;""),COUNTIFS($A$2:$A103,'Project Summary'!$C$3,$C$2:$C103,"&lt;&gt;"),"")</f>
        <v/>
      </c>
    </row>
    <row r="104" customFormat="false" ht="15" hidden="false" customHeight="false" outlineLevel="0" collapsed="false">
      <c r="A104" s="32"/>
      <c r="B104" s="32"/>
      <c r="C104" s="32"/>
      <c r="D104" s="41"/>
      <c r="E104" s="35"/>
      <c r="F104" s="35"/>
      <c r="G104" s="35"/>
      <c r="H104" s="35"/>
      <c r="I104" s="33"/>
      <c r="J104" s="37" t="str">
        <f aca="false">IF(OR(C104="",F104="",G104=""),"",G104-F104)</f>
        <v/>
      </c>
      <c r="K104" s="37" t="str">
        <f aca="false">IF(AND(A104&lt;&gt;"",A104='Project Summary'!$C$3,C104&lt;&gt;""),COUNTIFS($A$2:$A104,'Project Summary'!$C$3,$C$2:$C104,"&lt;&gt;"),"")</f>
        <v/>
      </c>
    </row>
    <row r="105" customFormat="false" ht="15" hidden="false" customHeight="false" outlineLevel="0" collapsed="false">
      <c r="A105" s="32"/>
      <c r="B105" s="32"/>
      <c r="C105" s="32"/>
      <c r="D105" s="41"/>
      <c r="E105" s="35"/>
      <c r="F105" s="35"/>
      <c r="G105" s="35"/>
      <c r="H105" s="35"/>
      <c r="I105" s="33"/>
      <c r="J105" s="37" t="str">
        <f aca="false">IF(OR(C105="",F105="",G105=""),"",G105-F105)</f>
        <v/>
      </c>
      <c r="K105" s="37" t="str">
        <f aca="false">IF(AND(A105&lt;&gt;"",A105='Project Summary'!$C$3,C105&lt;&gt;""),COUNTIFS($A$2:$A105,'Project Summary'!$C$3,$C$2:$C105,"&lt;&gt;"),"")</f>
        <v/>
      </c>
    </row>
    <row r="106" customFormat="false" ht="15" hidden="false" customHeight="false" outlineLevel="0" collapsed="false">
      <c r="A106" s="32"/>
      <c r="B106" s="32"/>
      <c r="C106" s="32"/>
      <c r="D106" s="41"/>
      <c r="E106" s="35"/>
      <c r="F106" s="35"/>
      <c r="G106" s="35"/>
      <c r="H106" s="35"/>
      <c r="I106" s="33"/>
      <c r="J106" s="37" t="str">
        <f aca="false">IF(OR(C106="",F106="",G106=""),"",G106-F106)</f>
        <v/>
      </c>
      <c r="K106" s="37" t="str">
        <f aca="false">IF(AND(A106&lt;&gt;"",A106='Project Summary'!$C$3,C106&lt;&gt;""),COUNTIFS($A$2:$A106,'Project Summary'!$C$3,$C$2:$C106,"&lt;&gt;"),"")</f>
        <v/>
      </c>
    </row>
    <row r="107" customFormat="false" ht="15" hidden="false" customHeight="false" outlineLevel="0" collapsed="false">
      <c r="A107" s="32"/>
      <c r="B107" s="32"/>
      <c r="C107" s="32"/>
      <c r="D107" s="41"/>
      <c r="E107" s="35"/>
      <c r="F107" s="35"/>
      <c r="G107" s="35"/>
      <c r="H107" s="35"/>
      <c r="I107" s="33"/>
      <c r="J107" s="37" t="str">
        <f aca="false">IF(OR(C107="",F107="",G107=""),"",G107-F107)</f>
        <v/>
      </c>
      <c r="K107" s="37" t="str">
        <f aca="false">IF(AND(A107&lt;&gt;"",A107='Project Summary'!$C$3,C107&lt;&gt;""),COUNTIFS($A$2:$A107,'Project Summary'!$C$3,$C$2:$C107,"&lt;&gt;"),"")</f>
        <v/>
      </c>
    </row>
    <row r="108" customFormat="false" ht="15" hidden="false" customHeight="false" outlineLevel="0" collapsed="false">
      <c r="A108" s="32"/>
      <c r="B108" s="32"/>
      <c r="C108" s="32"/>
      <c r="D108" s="41"/>
      <c r="E108" s="35"/>
      <c r="F108" s="35"/>
      <c r="G108" s="35"/>
      <c r="H108" s="35"/>
      <c r="I108" s="33"/>
      <c r="J108" s="37" t="str">
        <f aca="false">IF(OR(C108="",F108="",G108=""),"",G108-F108)</f>
        <v/>
      </c>
      <c r="K108" s="37" t="str">
        <f aca="false">IF(AND(A108&lt;&gt;"",A108='Project Summary'!$C$3,C108&lt;&gt;""),COUNTIFS($A$2:$A108,'Project Summary'!$C$3,$C$2:$C108,"&lt;&gt;"),"")</f>
        <v/>
      </c>
    </row>
    <row r="109" customFormat="false" ht="15" hidden="false" customHeight="false" outlineLevel="0" collapsed="false">
      <c r="A109" s="32"/>
      <c r="B109" s="32"/>
      <c r="C109" s="32"/>
      <c r="D109" s="41"/>
      <c r="E109" s="35"/>
      <c r="F109" s="35"/>
      <c r="G109" s="35"/>
      <c r="H109" s="35"/>
      <c r="I109" s="33"/>
      <c r="J109" s="37" t="str">
        <f aca="false">IF(OR(C109="",F109="",G109=""),"",G109-F109)</f>
        <v/>
      </c>
      <c r="K109" s="37" t="str">
        <f aca="false">IF(AND(A109&lt;&gt;"",A109='Project Summary'!$C$3,C109&lt;&gt;""),COUNTIFS($A$2:$A109,'Project Summary'!$C$3,$C$2:$C109,"&lt;&gt;"),"")</f>
        <v/>
      </c>
    </row>
    <row r="110" customFormat="false" ht="15" hidden="false" customHeight="false" outlineLevel="0" collapsed="false">
      <c r="A110" s="32"/>
      <c r="B110" s="32"/>
      <c r="C110" s="32"/>
      <c r="D110" s="41"/>
      <c r="E110" s="35"/>
      <c r="F110" s="35"/>
      <c r="G110" s="35"/>
      <c r="H110" s="35"/>
      <c r="I110" s="33"/>
      <c r="J110" s="37" t="str">
        <f aca="false">IF(OR(C110="",F110="",G110=""),"",G110-F110)</f>
        <v/>
      </c>
      <c r="K110" s="37" t="str">
        <f aca="false">IF(AND(A110&lt;&gt;"",A110='Project Summary'!$C$3,C110&lt;&gt;""),COUNTIFS($A$2:$A110,'Project Summary'!$C$3,$C$2:$C110,"&lt;&gt;"),"")</f>
        <v/>
      </c>
    </row>
    <row r="111" customFormat="false" ht="15" hidden="false" customHeight="false" outlineLevel="0" collapsed="false">
      <c r="A111" s="32"/>
      <c r="B111" s="32"/>
      <c r="C111" s="32"/>
      <c r="D111" s="41"/>
      <c r="E111" s="35"/>
      <c r="F111" s="35"/>
      <c r="G111" s="35"/>
      <c r="H111" s="35"/>
      <c r="I111" s="33"/>
      <c r="J111" s="37" t="str">
        <f aca="false">IF(OR(C111="",F111="",G111=""),"",G111-F111)</f>
        <v/>
      </c>
      <c r="K111" s="37" t="str">
        <f aca="false">IF(AND(A111&lt;&gt;"",A111='Project Summary'!$C$3,C111&lt;&gt;""),COUNTIFS($A$2:$A111,'Project Summary'!$C$3,$C$2:$C111,"&lt;&gt;"),"")</f>
        <v/>
      </c>
    </row>
    <row r="112" customFormat="false" ht="15" hidden="false" customHeight="false" outlineLevel="0" collapsed="false">
      <c r="A112" s="32"/>
      <c r="B112" s="32"/>
      <c r="C112" s="32"/>
      <c r="D112" s="41"/>
      <c r="E112" s="35"/>
      <c r="F112" s="35"/>
      <c r="G112" s="35"/>
      <c r="H112" s="35"/>
      <c r="I112" s="33"/>
      <c r="J112" s="37" t="str">
        <f aca="false">IF(OR(C112="",F112="",G112=""),"",G112-F112)</f>
        <v/>
      </c>
      <c r="K112" s="37" t="str">
        <f aca="false">IF(AND(A112&lt;&gt;"",A112='Project Summary'!$C$3,C112&lt;&gt;""),COUNTIFS($A$2:$A112,'Project Summary'!$C$3,$C$2:$C112,"&lt;&gt;"),"")</f>
        <v/>
      </c>
    </row>
    <row r="113" customFormat="false" ht="15" hidden="false" customHeight="false" outlineLevel="0" collapsed="false">
      <c r="A113" s="32"/>
      <c r="B113" s="32"/>
      <c r="C113" s="32"/>
      <c r="D113" s="41"/>
      <c r="E113" s="35"/>
      <c r="F113" s="35"/>
      <c r="G113" s="35"/>
      <c r="H113" s="35"/>
      <c r="I113" s="33"/>
      <c r="J113" s="37" t="str">
        <f aca="false">IF(OR(C113="",F113="",G113=""),"",G113-F113)</f>
        <v/>
      </c>
      <c r="K113" s="37" t="str">
        <f aca="false">IF(AND(A113&lt;&gt;"",A113='Project Summary'!$C$3,C113&lt;&gt;""),COUNTIFS($A$2:$A113,'Project Summary'!$C$3,$C$2:$C113,"&lt;&gt;"),"")</f>
        <v/>
      </c>
    </row>
    <row r="114" customFormat="false" ht="15" hidden="false" customHeight="false" outlineLevel="0" collapsed="false">
      <c r="A114" s="32"/>
      <c r="B114" s="32"/>
      <c r="C114" s="32"/>
      <c r="D114" s="41"/>
      <c r="E114" s="35"/>
      <c r="F114" s="35"/>
      <c r="G114" s="35"/>
      <c r="H114" s="35"/>
      <c r="I114" s="33"/>
      <c r="J114" s="37" t="str">
        <f aca="false">IF(OR(C114="",F114="",G114=""),"",G114-F114)</f>
        <v/>
      </c>
      <c r="K114" s="37" t="str">
        <f aca="false">IF(AND(A114&lt;&gt;"",A114='Project Summary'!$C$3,C114&lt;&gt;""),COUNTIFS($A$2:$A114,'Project Summary'!$C$3,$C$2:$C114,"&lt;&gt;"),"")</f>
        <v/>
      </c>
    </row>
    <row r="115" customFormat="false" ht="15" hidden="false" customHeight="false" outlineLevel="0" collapsed="false">
      <c r="A115" s="32"/>
      <c r="B115" s="32"/>
      <c r="C115" s="32"/>
      <c r="D115" s="41"/>
      <c r="E115" s="35"/>
      <c r="F115" s="35"/>
      <c r="G115" s="35"/>
      <c r="H115" s="35"/>
      <c r="I115" s="33"/>
      <c r="J115" s="37" t="str">
        <f aca="false">IF(OR(C115="",F115="",G115=""),"",G115-F115)</f>
        <v/>
      </c>
      <c r="K115" s="37" t="str">
        <f aca="false">IF(AND(A115&lt;&gt;"",A115='Project Summary'!$C$3,C115&lt;&gt;""),COUNTIFS($A$2:$A115,'Project Summary'!$C$3,$C$2:$C115,"&lt;&gt;"),"")</f>
        <v/>
      </c>
    </row>
    <row r="116" customFormat="false" ht="15" hidden="false" customHeight="false" outlineLevel="0" collapsed="false">
      <c r="A116" s="32"/>
      <c r="B116" s="32"/>
      <c r="C116" s="32"/>
      <c r="D116" s="41"/>
      <c r="E116" s="35"/>
      <c r="F116" s="35"/>
      <c r="G116" s="35"/>
      <c r="H116" s="35"/>
      <c r="I116" s="33"/>
      <c r="J116" s="37" t="str">
        <f aca="false">IF(OR(C116="",F116="",G116=""),"",G116-F116)</f>
        <v/>
      </c>
      <c r="K116" s="37" t="str">
        <f aca="false">IF(AND(A116&lt;&gt;"",A116='Project Summary'!$C$3,C116&lt;&gt;""),COUNTIFS($A$2:$A116,'Project Summary'!$C$3,$C$2:$C116,"&lt;&gt;"),"")</f>
        <v/>
      </c>
    </row>
    <row r="117" customFormat="false" ht="15" hidden="false" customHeight="false" outlineLevel="0" collapsed="false">
      <c r="A117" s="32"/>
      <c r="B117" s="32"/>
      <c r="C117" s="32"/>
      <c r="D117" s="41"/>
      <c r="E117" s="35"/>
      <c r="F117" s="35"/>
      <c r="G117" s="35"/>
      <c r="H117" s="35"/>
      <c r="I117" s="33"/>
      <c r="J117" s="37" t="str">
        <f aca="false">IF(OR(C117="",F117="",G117=""),"",G117-F117)</f>
        <v/>
      </c>
      <c r="K117" s="37" t="str">
        <f aca="false">IF(AND(A117&lt;&gt;"",A117='Project Summary'!$C$3,C117&lt;&gt;""),COUNTIFS($A$2:$A117,'Project Summary'!$C$3,$C$2:$C117,"&lt;&gt;"),"")</f>
        <v/>
      </c>
    </row>
    <row r="118" customFormat="false" ht="15" hidden="false" customHeight="false" outlineLevel="0" collapsed="false">
      <c r="A118" s="32"/>
      <c r="B118" s="32"/>
      <c r="C118" s="32"/>
      <c r="D118" s="41"/>
      <c r="E118" s="35"/>
      <c r="F118" s="35"/>
      <c r="G118" s="35"/>
      <c r="H118" s="35"/>
      <c r="I118" s="33"/>
      <c r="J118" s="37" t="str">
        <f aca="false">IF(OR(C118="",F118="",G118=""),"",G118-F118)</f>
        <v/>
      </c>
      <c r="K118" s="37" t="str">
        <f aca="false">IF(AND(A118&lt;&gt;"",A118='Project Summary'!$C$3,C118&lt;&gt;""),COUNTIFS($A$2:$A118,'Project Summary'!$C$3,$C$2:$C118,"&lt;&gt;"),"")</f>
        <v/>
      </c>
    </row>
    <row r="119" customFormat="false" ht="15" hidden="false" customHeight="false" outlineLevel="0" collapsed="false">
      <c r="A119" s="32"/>
      <c r="B119" s="32"/>
      <c r="C119" s="32"/>
      <c r="D119" s="41"/>
      <c r="E119" s="35"/>
      <c r="F119" s="35"/>
      <c r="G119" s="35"/>
      <c r="H119" s="35"/>
      <c r="I119" s="33"/>
      <c r="J119" s="37" t="str">
        <f aca="false">IF(OR(C119="",F119="",G119=""),"",G119-F119)</f>
        <v/>
      </c>
      <c r="K119" s="37" t="str">
        <f aca="false">IF(AND(A119&lt;&gt;"",A119='Project Summary'!$C$3,C119&lt;&gt;""),COUNTIFS($A$2:$A119,'Project Summary'!$C$3,$C$2:$C119,"&lt;&gt;"),"")</f>
        <v/>
      </c>
    </row>
    <row r="120" customFormat="false" ht="15" hidden="false" customHeight="false" outlineLevel="0" collapsed="false">
      <c r="A120" s="32"/>
      <c r="B120" s="32"/>
      <c r="C120" s="32"/>
      <c r="D120" s="41"/>
      <c r="E120" s="35"/>
      <c r="F120" s="35"/>
      <c r="G120" s="35"/>
      <c r="H120" s="35"/>
      <c r="I120" s="33"/>
      <c r="J120" s="37" t="str">
        <f aca="false">IF(OR(C120="",F120="",G120=""),"",G120-F120)</f>
        <v/>
      </c>
      <c r="K120" s="37" t="str">
        <f aca="false">IF(AND(A120&lt;&gt;"",A120='Project Summary'!$C$3,C120&lt;&gt;""),COUNTIFS($A$2:$A120,'Project Summary'!$C$3,$C$2:$C120,"&lt;&gt;"),"")</f>
        <v/>
      </c>
    </row>
    <row r="121" customFormat="false" ht="15" hidden="false" customHeight="false" outlineLevel="0" collapsed="false">
      <c r="A121" s="32"/>
      <c r="B121" s="32"/>
      <c r="C121" s="32"/>
      <c r="D121" s="41"/>
      <c r="E121" s="35"/>
      <c r="F121" s="35"/>
      <c r="G121" s="35"/>
      <c r="H121" s="35"/>
      <c r="I121" s="33"/>
      <c r="J121" s="37" t="str">
        <f aca="false">IF(OR(C121="",F121="",G121=""),"",G121-F121)</f>
        <v/>
      </c>
      <c r="K121" s="37" t="str">
        <f aca="false">IF(AND(A121&lt;&gt;"",A121='Project Summary'!$C$3,C121&lt;&gt;""),COUNTIFS($A$2:$A121,'Project Summary'!$C$3,$C$2:$C121,"&lt;&gt;"),"")</f>
        <v/>
      </c>
    </row>
    <row r="122" customFormat="false" ht="15" hidden="false" customHeight="false" outlineLevel="0" collapsed="false">
      <c r="A122" s="32"/>
      <c r="B122" s="32"/>
      <c r="C122" s="32"/>
      <c r="D122" s="41"/>
      <c r="E122" s="35"/>
      <c r="F122" s="35"/>
      <c r="G122" s="35"/>
      <c r="H122" s="35"/>
      <c r="I122" s="33"/>
      <c r="J122" s="37" t="str">
        <f aca="false">IF(OR(C122="",F122="",G122=""),"",G122-F122)</f>
        <v/>
      </c>
      <c r="K122" s="37" t="str">
        <f aca="false">IF(AND(A122&lt;&gt;"",A122='Project Summary'!$C$3,C122&lt;&gt;""),COUNTIFS($A$2:$A122,'Project Summary'!$C$3,$C$2:$C122,"&lt;&gt;"),"")</f>
        <v/>
      </c>
    </row>
    <row r="123" customFormat="false" ht="15" hidden="false" customHeight="false" outlineLevel="0" collapsed="false">
      <c r="A123" s="32"/>
      <c r="B123" s="32"/>
      <c r="C123" s="32"/>
      <c r="D123" s="41"/>
      <c r="E123" s="35"/>
      <c r="F123" s="35"/>
      <c r="G123" s="35"/>
      <c r="H123" s="35"/>
      <c r="I123" s="33"/>
      <c r="J123" s="37" t="str">
        <f aca="false">IF(OR(C123="",F123="",G123=""),"",G123-F123)</f>
        <v/>
      </c>
      <c r="K123" s="37" t="str">
        <f aca="false">IF(AND(A123&lt;&gt;"",A123='Project Summary'!$C$3,C123&lt;&gt;""),COUNTIFS($A$2:$A123,'Project Summary'!$C$3,$C$2:$C123,"&lt;&gt;"),"")</f>
        <v/>
      </c>
    </row>
    <row r="124" customFormat="false" ht="15" hidden="false" customHeight="false" outlineLevel="0" collapsed="false">
      <c r="A124" s="32"/>
      <c r="B124" s="32"/>
      <c r="C124" s="32"/>
      <c r="D124" s="41"/>
      <c r="E124" s="35"/>
      <c r="F124" s="35"/>
      <c r="G124" s="35"/>
      <c r="H124" s="35"/>
      <c r="I124" s="33"/>
      <c r="J124" s="37" t="str">
        <f aca="false">IF(OR(C124="",F124="",G124=""),"",G124-F124)</f>
        <v/>
      </c>
      <c r="K124" s="37" t="str">
        <f aca="false">IF(AND(A124&lt;&gt;"",A124='Project Summary'!$C$3,C124&lt;&gt;""),COUNTIFS($A$2:$A124,'Project Summary'!$C$3,$C$2:$C124,"&lt;&gt;"),"")</f>
        <v/>
      </c>
    </row>
    <row r="125" customFormat="false" ht="15" hidden="false" customHeight="false" outlineLevel="0" collapsed="false">
      <c r="A125" s="32"/>
      <c r="B125" s="32"/>
      <c r="C125" s="32"/>
      <c r="D125" s="41"/>
      <c r="E125" s="35"/>
      <c r="F125" s="35"/>
      <c r="G125" s="35"/>
      <c r="H125" s="35"/>
      <c r="I125" s="33"/>
      <c r="J125" s="37" t="str">
        <f aca="false">IF(OR(C125="",F125="",G125=""),"",G125-F125)</f>
        <v/>
      </c>
      <c r="K125" s="37" t="str">
        <f aca="false">IF(AND(A125&lt;&gt;"",A125='Project Summary'!$C$3,C125&lt;&gt;""),COUNTIFS($A$2:$A125,'Project Summary'!$C$3,$C$2:$C125,"&lt;&gt;"),"")</f>
        <v/>
      </c>
    </row>
    <row r="126" customFormat="false" ht="15" hidden="false" customHeight="false" outlineLevel="0" collapsed="false">
      <c r="A126" s="32"/>
      <c r="B126" s="32"/>
      <c r="C126" s="32"/>
      <c r="D126" s="41"/>
      <c r="E126" s="35"/>
      <c r="F126" s="35"/>
      <c r="G126" s="35"/>
      <c r="H126" s="35"/>
      <c r="I126" s="33"/>
      <c r="J126" s="37" t="str">
        <f aca="false">IF(OR(C126="",F126="",G126=""),"",G126-F126)</f>
        <v/>
      </c>
      <c r="K126" s="37" t="str">
        <f aca="false">IF(AND(A126&lt;&gt;"",A126='Project Summary'!$C$3,C126&lt;&gt;""),COUNTIFS($A$2:$A126,'Project Summary'!$C$3,$C$2:$C126,"&lt;&gt;"),"")</f>
        <v/>
      </c>
    </row>
    <row r="127" customFormat="false" ht="15" hidden="false" customHeight="false" outlineLevel="0" collapsed="false">
      <c r="A127" s="32"/>
      <c r="B127" s="32"/>
      <c r="C127" s="32"/>
      <c r="D127" s="41"/>
      <c r="E127" s="35"/>
      <c r="F127" s="35"/>
      <c r="G127" s="35"/>
      <c r="H127" s="35"/>
      <c r="I127" s="33"/>
      <c r="J127" s="37" t="str">
        <f aca="false">IF(OR(C127="",F127="",G127=""),"",G127-F127)</f>
        <v/>
      </c>
      <c r="K127" s="37" t="str">
        <f aca="false">IF(AND(A127&lt;&gt;"",A127='Project Summary'!$C$3,C127&lt;&gt;""),COUNTIFS($A$2:$A127,'Project Summary'!$C$3,$C$2:$C127,"&lt;&gt;"),"")</f>
        <v/>
      </c>
    </row>
    <row r="128" customFormat="false" ht="15" hidden="false" customHeight="false" outlineLevel="0" collapsed="false">
      <c r="A128" s="32"/>
      <c r="B128" s="32"/>
      <c r="C128" s="32"/>
      <c r="D128" s="41"/>
      <c r="E128" s="35"/>
      <c r="F128" s="35"/>
      <c r="G128" s="35"/>
      <c r="H128" s="35"/>
      <c r="I128" s="33"/>
      <c r="J128" s="37" t="str">
        <f aca="false">IF(OR(C128="",F128="",G128=""),"",G128-F128)</f>
        <v/>
      </c>
      <c r="K128" s="37" t="str">
        <f aca="false">IF(AND(A128&lt;&gt;"",A128='Project Summary'!$C$3,C128&lt;&gt;""),COUNTIFS($A$2:$A128,'Project Summary'!$C$3,$C$2:$C128,"&lt;&gt;"),"")</f>
        <v/>
      </c>
    </row>
    <row r="129" customFormat="false" ht="15" hidden="false" customHeight="false" outlineLevel="0" collapsed="false">
      <c r="A129" s="32"/>
      <c r="B129" s="32"/>
      <c r="C129" s="32"/>
      <c r="D129" s="41"/>
      <c r="E129" s="35"/>
      <c r="F129" s="35"/>
      <c r="G129" s="35"/>
      <c r="H129" s="35"/>
      <c r="I129" s="33"/>
      <c r="J129" s="37" t="str">
        <f aca="false">IF(OR(C129="",F129="",G129=""),"",G129-F129)</f>
        <v/>
      </c>
      <c r="K129" s="37" t="str">
        <f aca="false">IF(AND(A129&lt;&gt;"",A129='Project Summary'!$C$3,C129&lt;&gt;""),COUNTIFS($A$2:$A129,'Project Summary'!$C$3,$C$2:$C129,"&lt;&gt;"),"")</f>
        <v/>
      </c>
    </row>
    <row r="130" customFormat="false" ht="15" hidden="false" customHeight="false" outlineLevel="0" collapsed="false">
      <c r="A130" s="32"/>
      <c r="B130" s="32"/>
      <c r="C130" s="32"/>
      <c r="D130" s="41"/>
      <c r="E130" s="35"/>
      <c r="F130" s="35"/>
      <c r="G130" s="35"/>
      <c r="H130" s="35"/>
      <c r="I130" s="33"/>
      <c r="J130" s="37" t="str">
        <f aca="false">IF(OR(C130="",F130="",G130=""),"",G130-F130)</f>
        <v/>
      </c>
      <c r="K130" s="37" t="str">
        <f aca="false">IF(AND(A130&lt;&gt;"",A130='Project Summary'!$C$3,C130&lt;&gt;""),COUNTIFS($A$2:$A130,'Project Summary'!$C$3,$C$2:$C130,"&lt;&gt;"),"")</f>
        <v/>
      </c>
    </row>
    <row r="131" customFormat="false" ht="15" hidden="false" customHeight="false" outlineLevel="0" collapsed="false">
      <c r="A131" s="32"/>
      <c r="B131" s="32"/>
      <c r="C131" s="32"/>
      <c r="D131" s="41"/>
      <c r="E131" s="35"/>
      <c r="F131" s="35"/>
      <c r="G131" s="35"/>
      <c r="H131" s="35"/>
      <c r="I131" s="33"/>
      <c r="J131" s="37" t="str">
        <f aca="false">IF(OR(C131="",F131="",G131=""),"",G131-F131)</f>
        <v/>
      </c>
      <c r="K131" s="37" t="str">
        <f aca="false">IF(AND(A131&lt;&gt;"",A131='Project Summary'!$C$3,C131&lt;&gt;""),COUNTIFS($A$2:$A131,'Project Summary'!$C$3,$C$2:$C131,"&lt;&gt;"),"")</f>
        <v/>
      </c>
    </row>
    <row r="132" customFormat="false" ht="15" hidden="false" customHeight="false" outlineLevel="0" collapsed="false">
      <c r="A132" s="32"/>
      <c r="B132" s="32"/>
      <c r="C132" s="32"/>
      <c r="D132" s="41"/>
      <c r="E132" s="35"/>
      <c r="F132" s="35"/>
      <c r="G132" s="35"/>
      <c r="H132" s="35"/>
      <c r="I132" s="33"/>
      <c r="J132" s="37" t="str">
        <f aca="false">IF(OR(C132="",F132="",G132=""),"",G132-F132)</f>
        <v/>
      </c>
      <c r="K132" s="37" t="str">
        <f aca="false">IF(AND(A132&lt;&gt;"",A132='Project Summary'!$C$3,C132&lt;&gt;""),COUNTIFS($A$2:$A132,'Project Summary'!$C$3,$C$2:$C132,"&lt;&gt;"),"")</f>
        <v/>
      </c>
    </row>
    <row r="133" customFormat="false" ht="15" hidden="false" customHeight="false" outlineLevel="0" collapsed="false">
      <c r="A133" s="32"/>
      <c r="B133" s="32"/>
      <c r="C133" s="32"/>
      <c r="D133" s="41"/>
      <c r="E133" s="35"/>
      <c r="F133" s="35"/>
      <c r="G133" s="35"/>
      <c r="H133" s="35"/>
      <c r="I133" s="33"/>
      <c r="J133" s="37" t="str">
        <f aca="false">IF(OR(C133="",F133="",G133=""),"",G133-F133)</f>
        <v/>
      </c>
      <c r="K133" s="37" t="str">
        <f aca="false">IF(AND(A133&lt;&gt;"",A133='Project Summary'!$C$3,C133&lt;&gt;""),COUNTIFS($A$2:$A133,'Project Summary'!$C$3,$C$2:$C133,"&lt;&gt;"),"")</f>
        <v/>
      </c>
    </row>
    <row r="134" customFormat="false" ht="15" hidden="false" customHeight="false" outlineLevel="0" collapsed="false">
      <c r="A134" s="32"/>
      <c r="B134" s="32"/>
      <c r="C134" s="32"/>
      <c r="D134" s="41"/>
      <c r="E134" s="35"/>
      <c r="F134" s="35"/>
      <c r="G134" s="35"/>
      <c r="H134" s="35"/>
      <c r="I134" s="33"/>
      <c r="J134" s="37" t="str">
        <f aca="false">IF(OR(C134="",F134="",G134=""),"",G134-F134)</f>
        <v/>
      </c>
      <c r="K134" s="37" t="str">
        <f aca="false">IF(AND(A134&lt;&gt;"",A134='Project Summary'!$C$3,C134&lt;&gt;""),COUNTIFS($A$2:$A134,'Project Summary'!$C$3,$C$2:$C134,"&lt;&gt;"),"")</f>
        <v/>
      </c>
    </row>
    <row r="135" customFormat="false" ht="15" hidden="false" customHeight="false" outlineLevel="0" collapsed="false">
      <c r="A135" s="32"/>
      <c r="B135" s="32"/>
      <c r="C135" s="32"/>
      <c r="D135" s="41"/>
      <c r="E135" s="35"/>
      <c r="F135" s="35"/>
      <c r="G135" s="35"/>
      <c r="H135" s="35"/>
      <c r="I135" s="33"/>
      <c r="J135" s="37" t="str">
        <f aca="false">IF(OR(C135="",F135="",G135=""),"",G135-F135)</f>
        <v/>
      </c>
      <c r="K135" s="37" t="str">
        <f aca="false">IF(AND(A135&lt;&gt;"",A135='Project Summary'!$C$3,C135&lt;&gt;""),COUNTIFS($A$2:$A135,'Project Summary'!$C$3,$C$2:$C135,"&lt;&gt;"),"")</f>
        <v/>
      </c>
    </row>
    <row r="136" customFormat="false" ht="15" hidden="false" customHeight="false" outlineLevel="0" collapsed="false">
      <c r="A136" s="32"/>
      <c r="B136" s="32"/>
      <c r="C136" s="32"/>
      <c r="D136" s="41"/>
      <c r="E136" s="35"/>
      <c r="F136" s="35"/>
      <c r="G136" s="35"/>
      <c r="H136" s="35"/>
      <c r="I136" s="33"/>
      <c r="J136" s="37" t="str">
        <f aca="false">IF(OR(C136="",F136="",G136=""),"",G136-F136)</f>
        <v/>
      </c>
      <c r="K136" s="37" t="str">
        <f aca="false">IF(AND(A136&lt;&gt;"",A136='Project Summary'!$C$3,C136&lt;&gt;""),COUNTIFS($A$2:$A136,'Project Summary'!$C$3,$C$2:$C136,"&lt;&gt;"),"")</f>
        <v/>
      </c>
    </row>
    <row r="137" customFormat="false" ht="15" hidden="false" customHeight="false" outlineLevel="0" collapsed="false">
      <c r="A137" s="32"/>
      <c r="B137" s="32"/>
      <c r="C137" s="32"/>
      <c r="D137" s="41"/>
      <c r="E137" s="35"/>
      <c r="F137" s="35"/>
      <c r="G137" s="35"/>
      <c r="H137" s="35"/>
      <c r="I137" s="33"/>
      <c r="J137" s="37" t="str">
        <f aca="false">IF(OR(C137="",F137="",G137=""),"",G137-F137)</f>
        <v/>
      </c>
      <c r="K137" s="37" t="str">
        <f aca="false">IF(AND(A137&lt;&gt;"",A137='Project Summary'!$C$3,C137&lt;&gt;""),COUNTIFS($A$2:$A137,'Project Summary'!$C$3,$C$2:$C137,"&lt;&gt;"),"")</f>
        <v/>
      </c>
    </row>
    <row r="138" customFormat="false" ht="15" hidden="false" customHeight="false" outlineLevel="0" collapsed="false">
      <c r="A138" s="32"/>
      <c r="B138" s="32"/>
      <c r="C138" s="32"/>
      <c r="D138" s="41"/>
      <c r="E138" s="35"/>
      <c r="F138" s="35"/>
      <c r="G138" s="35"/>
      <c r="H138" s="35"/>
      <c r="I138" s="33"/>
      <c r="J138" s="37" t="str">
        <f aca="false">IF(OR(C138="",F138="",G138=""),"",G138-F138)</f>
        <v/>
      </c>
      <c r="K138" s="37" t="str">
        <f aca="false">IF(AND(A138&lt;&gt;"",A138='Project Summary'!$C$3,C138&lt;&gt;""),COUNTIFS($A$2:$A138,'Project Summary'!$C$3,$C$2:$C138,"&lt;&gt;"),"")</f>
        <v/>
      </c>
    </row>
    <row r="139" customFormat="false" ht="15" hidden="false" customHeight="false" outlineLevel="0" collapsed="false">
      <c r="A139" s="32"/>
      <c r="B139" s="32"/>
      <c r="C139" s="32"/>
      <c r="D139" s="41"/>
      <c r="E139" s="35"/>
      <c r="F139" s="35"/>
      <c r="G139" s="35"/>
      <c r="H139" s="35"/>
      <c r="I139" s="33"/>
      <c r="J139" s="37" t="str">
        <f aca="false">IF(OR(C139="",F139="",G139=""),"",G139-F139)</f>
        <v/>
      </c>
      <c r="K139" s="37" t="str">
        <f aca="false">IF(AND(A139&lt;&gt;"",A139='Project Summary'!$C$3,C139&lt;&gt;""),COUNTIFS($A$2:$A139,'Project Summary'!$C$3,$C$2:$C139,"&lt;&gt;"),"")</f>
        <v/>
      </c>
    </row>
    <row r="140" customFormat="false" ht="15" hidden="false" customHeight="false" outlineLevel="0" collapsed="false">
      <c r="A140" s="32"/>
      <c r="B140" s="32"/>
      <c r="C140" s="32"/>
      <c r="D140" s="41"/>
      <c r="E140" s="35"/>
      <c r="F140" s="35"/>
      <c r="G140" s="35"/>
      <c r="H140" s="35"/>
      <c r="I140" s="33"/>
      <c r="J140" s="37" t="str">
        <f aca="false">IF(OR(C140="",F140="",G140=""),"",G140-F140)</f>
        <v/>
      </c>
      <c r="K140" s="37" t="str">
        <f aca="false">IF(AND(A140&lt;&gt;"",A140='Project Summary'!$C$3,C140&lt;&gt;""),COUNTIFS($A$2:$A140,'Project Summary'!$C$3,$C$2:$C140,"&lt;&gt;"),"")</f>
        <v/>
      </c>
    </row>
    <row r="141" customFormat="false" ht="15" hidden="false" customHeight="false" outlineLevel="0" collapsed="false">
      <c r="A141" s="32"/>
      <c r="B141" s="32"/>
      <c r="C141" s="32"/>
      <c r="D141" s="41"/>
      <c r="E141" s="35"/>
      <c r="F141" s="35"/>
      <c r="G141" s="35"/>
      <c r="H141" s="35"/>
      <c r="I141" s="33"/>
      <c r="J141" s="37" t="str">
        <f aca="false">IF(OR(C141="",F141="",G141=""),"",G141-F141)</f>
        <v/>
      </c>
      <c r="K141" s="37" t="str">
        <f aca="false">IF(AND(A141&lt;&gt;"",A141='Project Summary'!$C$3,C141&lt;&gt;""),COUNTIFS($A$2:$A141,'Project Summary'!$C$3,$C$2:$C141,"&lt;&gt;"),"")</f>
        <v/>
      </c>
    </row>
    <row r="142" customFormat="false" ht="15" hidden="false" customHeight="false" outlineLevel="0" collapsed="false">
      <c r="A142" s="32"/>
      <c r="B142" s="32"/>
      <c r="C142" s="32"/>
      <c r="D142" s="41"/>
      <c r="E142" s="35"/>
      <c r="F142" s="35"/>
      <c r="G142" s="35"/>
      <c r="H142" s="35"/>
      <c r="I142" s="33"/>
      <c r="J142" s="37" t="str">
        <f aca="false">IF(OR(C142="",F142="",G142=""),"",G142-F142)</f>
        <v/>
      </c>
      <c r="K142" s="37" t="str">
        <f aca="false">IF(AND(A142&lt;&gt;"",A142='Project Summary'!$C$3,C142&lt;&gt;""),COUNTIFS($A$2:$A142,'Project Summary'!$C$3,$C$2:$C142,"&lt;&gt;"),"")</f>
        <v/>
      </c>
    </row>
    <row r="143" customFormat="false" ht="15" hidden="false" customHeight="false" outlineLevel="0" collapsed="false">
      <c r="A143" s="32"/>
      <c r="B143" s="32"/>
      <c r="C143" s="32"/>
      <c r="D143" s="41"/>
      <c r="E143" s="35"/>
      <c r="F143" s="35"/>
      <c r="G143" s="35"/>
      <c r="H143" s="35"/>
      <c r="I143" s="33"/>
      <c r="J143" s="37" t="str">
        <f aca="false">IF(OR(C143="",F143="",G143=""),"",G143-F143)</f>
        <v/>
      </c>
      <c r="K143" s="37" t="str">
        <f aca="false">IF(AND(A143&lt;&gt;"",A143='Project Summary'!$C$3,C143&lt;&gt;""),COUNTIFS($A$2:$A143,'Project Summary'!$C$3,$C$2:$C143,"&lt;&gt;"),"")</f>
        <v/>
      </c>
    </row>
    <row r="144" customFormat="false" ht="15" hidden="false" customHeight="false" outlineLevel="0" collapsed="false">
      <c r="A144" s="32"/>
      <c r="B144" s="32"/>
      <c r="C144" s="32"/>
      <c r="D144" s="41"/>
      <c r="E144" s="35"/>
      <c r="F144" s="35"/>
      <c r="G144" s="35"/>
      <c r="H144" s="35"/>
      <c r="I144" s="33"/>
      <c r="J144" s="37" t="str">
        <f aca="false">IF(OR(C144="",F144="",G144=""),"",G144-F144)</f>
        <v/>
      </c>
      <c r="K144" s="37" t="str">
        <f aca="false">IF(AND(A144&lt;&gt;"",A144='Project Summary'!$C$3,C144&lt;&gt;""),COUNTIFS($A$2:$A144,'Project Summary'!$C$3,$C$2:$C144,"&lt;&gt;"),"")</f>
        <v/>
      </c>
    </row>
    <row r="145" customFormat="false" ht="15" hidden="false" customHeight="false" outlineLevel="0" collapsed="false">
      <c r="A145" s="32"/>
      <c r="B145" s="32"/>
      <c r="C145" s="32"/>
      <c r="D145" s="41"/>
      <c r="E145" s="35"/>
      <c r="F145" s="35"/>
      <c r="G145" s="35"/>
      <c r="H145" s="35"/>
      <c r="I145" s="33"/>
      <c r="J145" s="37" t="str">
        <f aca="false">IF(OR(C145="",F145="",G145=""),"",G145-F145)</f>
        <v/>
      </c>
      <c r="K145" s="37" t="str">
        <f aca="false">IF(AND(A145&lt;&gt;"",A145='Project Summary'!$C$3,C145&lt;&gt;""),COUNTIFS($A$2:$A145,'Project Summary'!$C$3,$C$2:$C145,"&lt;&gt;"),"")</f>
        <v/>
      </c>
    </row>
    <row r="146" customFormat="false" ht="15" hidden="false" customHeight="false" outlineLevel="0" collapsed="false">
      <c r="A146" s="32"/>
      <c r="B146" s="32"/>
      <c r="C146" s="32"/>
      <c r="D146" s="41"/>
      <c r="E146" s="35"/>
      <c r="F146" s="35"/>
      <c r="G146" s="35"/>
      <c r="H146" s="35"/>
      <c r="I146" s="33"/>
      <c r="J146" s="37" t="str">
        <f aca="false">IF(OR(C146="",F146="",G146=""),"",G146-F146)</f>
        <v/>
      </c>
      <c r="K146" s="37" t="str">
        <f aca="false">IF(AND(A146&lt;&gt;"",A146='Project Summary'!$C$3,C146&lt;&gt;""),COUNTIFS($A$2:$A146,'Project Summary'!$C$3,$C$2:$C146,"&lt;&gt;"),"")</f>
        <v/>
      </c>
    </row>
    <row r="147" customFormat="false" ht="15" hidden="false" customHeight="false" outlineLevel="0" collapsed="false">
      <c r="A147" s="32"/>
      <c r="B147" s="32"/>
      <c r="C147" s="32"/>
      <c r="D147" s="41"/>
      <c r="E147" s="35"/>
      <c r="F147" s="35"/>
      <c r="G147" s="35"/>
      <c r="H147" s="35"/>
      <c r="I147" s="33"/>
      <c r="J147" s="37" t="str">
        <f aca="false">IF(OR(C147="",F147="",G147=""),"",G147-F147)</f>
        <v/>
      </c>
      <c r="K147" s="37" t="str">
        <f aca="false">IF(AND(A147&lt;&gt;"",A147='Project Summary'!$C$3,C147&lt;&gt;""),COUNTIFS($A$2:$A147,'Project Summary'!$C$3,$C$2:$C147,"&lt;&gt;"),"")</f>
        <v/>
      </c>
    </row>
    <row r="148" customFormat="false" ht="15" hidden="false" customHeight="false" outlineLevel="0" collapsed="false">
      <c r="A148" s="32"/>
      <c r="B148" s="32"/>
      <c r="C148" s="32"/>
      <c r="D148" s="41"/>
      <c r="E148" s="35"/>
      <c r="F148" s="35"/>
      <c r="G148" s="35"/>
      <c r="H148" s="35"/>
      <c r="I148" s="33"/>
      <c r="J148" s="37" t="str">
        <f aca="false">IF(OR(C148="",F148="",G148=""),"",G148-F148)</f>
        <v/>
      </c>
      <c r="K148" s="37" t="str">
        <f aca="false">IF(AND(A148&lt;&gt;"",A148='Project Summary'!$C$3,C148&lt;&gt;""),COUNTIFS($A$2:$A148,'Project Summary'!$C$3,$C$2:$C148,"&lt;&gt;"),"")</f>
        <v/>
      </c>
    </row>
    <row r="149" customFormat="false" ht="15" hidden="false" customHeight="false" outlineLevel="0" collapsed="false">
      <c r="A149" s="32"/>
      <c r="B149" s="32"/>
      <c r="C149" s="32"/>
      <c r="D149" s="41"/>
      <c r="E149" s="35"/>
      <c r="F149" s="35"/>
      <c r="G149" s="35"/>
      <c r="H149" s="35"/>
      <c r="I149" s="33"/>
      <c r="J149" s="37" t="str">
        <f aca="false">IF(OR(C149="",F149="",G149=""),"",G149-F149)</f>
        <v/>
      </c>
      <c r="K149" s="37" t="str">
        <f aca="false">IF(AND(A149&lt;&gt;"",A149='Project Summary'!$C$3,C149&lt;&gt;""),COUNTIFS($A$2:$A149,'Project Summary'!$C$3,$C$2:$C149,"&lt;&gt;"),"")</f>
        <v/>
      </c>
    </row>
    <row r="150" customFormat="false" ht="15" hidden="false" customHeight="false" outlineLevel="0" collapsed="false">
      <c r="A150" s="32"/>
      <c r="B150" s="32"/>
      <c r="C150" s="32"/>
      <c r="D150" s="41"/>
      <c r="E150" s="35"/>
      <c r="F150" s="35"/>
      <c r="G150" s="35"/>
      <c r="H150" s="35"/>
      <c r="I150" s="33"/>
      <c r="J150" s="37" t="str">
        <f aca="false">IF(OR(C150="",F150="",G150=""),"",G150-F150)</f>
        <v/>
      </c>
      <c r="K150" s="37" t="str">
        <f aca="false">IF(AND(A150&lt;&gt;"",A150='Project Summary'!$C$3,C150&lt;&gt;""),COUNTIFS($A$2:$A150,'Project Summary'!$C$3,$C$2:$C150,"&lt;&gt;"),"")</f>
        <v/>
      </c>
    </row>
    <row r="151" customFormat="false" ht="15" hidden="false" customHeight="false" outlineLevel="0" collapsed="false">
      <c r="A151" s="32"/>
      <c r="B151" s="32"/>
      <c r="C151" s="32"/>
      <c r="D151" s="41"/>
      <c r="E151" s="35"/>
      <c r="F151" s="35"/>
      <c r="G151" s="35"/>
      <c r="H151" s="35"/>
      <c r="I151" s="33"/>
      <c r="J151" s="37" t="str">
        <f aca="false">IF(OR(C151="",F151="",G151=""),"",G151-F151)</f>
        <v/>
      </c>
      <c r="K151" s="37" t="str">
        <f aca="false">IF(AND(A151&lt;&gt;"",A151='Project Summary'!$C$3,C151&lt;&gt;""),COUNTIFS($A$2:$A151,'Project Summary'!$C$3,$C$2:$C151,"&lt;&gt;"),"")</f>
        <v/>
      </c>
    </row>
    <row r="152" customFormat="false" ht="15" hidden="false" customHeight="false" outlineLevel="0" collapsed="false">
      <c r="A152" s="32"/>
      <c r="B152" s="32"/>
      <c r="C152" s="32"/>
      <c r="D152" s="41"/>
      <c r="E152" s="35"/>
      <c r="F152" s="35"/>
      <c r="G152" s="35"/>
      <c r="H152" s="35"/>
      <c r="I152" s="33"/>
      <c r="J152" s="37" t="str">
        <f aca="false">IF(OR(C152="",F152="",G152=""),"",G152-F152)</f>
        <v/>
      </c>
      <c r="K152" s="37" t="str">
        <f aca="false">IF(AND(A152&lt;&gt;"",A152='Project Summary'!$C$3,C152&lt;&gt;""),COUNTIFS($A$2:$A152,'Project Summary'!$C$3,$C$2:$C152,"&lt;&gt;"),"")</f>
        <v/>
      </c>
    </row>
    <row r="153" customFormat="false" ht="15" hidden="false" customHeight="false" outlineLevel="0" collapsed="false">
      <c r="A153" s="32"/>
      <c r="B153" s="32"/>
      <c r="C153" s="32"/>
      <c r="D153" s="41"/>
      <c r="E153" s="35"/>
      <c r="F153" s="35"/>
      <c r="G153" s="35"/>
      <c r="H153" s="35"/>
      <c r="I153" s="33"/>
      <c r="J153" s="37" t="str">
        <f aca="false">IF(OR(C153="",F153="",G153=""),"",G153-F153)</f>
        <v/>
      </c>
      <c r="K153" s="37" t="str">
        <f aca="false">IF(AND(A153&lt;&gt;"",A153='Project Summary'!$C$3,C153&lt;&gt;""),COUNTIFS($A$2:$A153,'Project Summary'!$C$3,$C$2:$C153,"&lt;&gt;"),"")</f>
        <v/>
      </c>
    </row>
    <row r="154" customFormat="false" ht="15" hidden="false" customHeight="false" outlineLevel="0" collapsed="false">
      <c r="A154" s="32"/>
      <c r="B154" s="32"/>
      <c r="C154" s="32"/>
      <c r="D154" s="41"/>
      <c r="E154" s="35"/>
      <c r="F154" s="35"/>
      <c r="G154" s="35"/>
      <c r="H154" s="35"/>
      <c r="I154" s="33"/>
      <c r="J154" s="37" t="str">
        <f aca="false">IF(OR(C154="",F154="",G154=""),"",G154-F154)</f>
        <v/>
      </c>
      <c r="K154" s="37" t="str">
        <f aca="false">IF(AND(A154&lt;&gt;"",A154='Project Summary'!$C$3,C154&lt;&gt;""),COUNTIFS($A$2:$A154,'Project Summary'!$C$3,$C$2:$C154,"&lt;&gt;"),"")</f>
        <v/>
      </c>
    </row>
    <row r="155" customFormat="false" ht="15" hidden="false" customHeight="false" outlineLevel="0" collapsed="false">
      <c r="A155" s="32"/>
      <c r="B155" s="32"/>
      <c r="C155" s="32"/>
      <c r="D155" s="41"/>
      <c r="E155" s="35"/>
      <c r="F155" s="35"/>
      <c r="G155" s="35"/>
      <c r="H155" s="35"/>
      <c r="I155" s="33"/>
      <c r="J155" s="37" t="str">
        <f aca="false">IF(OR(C155="",F155="",G155=""),"",G155-F155)</f>
        <v/>
      </c>
      <c r="K155" s="37" t="str">
        <f aca="false">IF(AND(A155&lt;&gt;"",A155='Project Summary'!$C$3,C155&lt;&gt;""),COUNTIFS($A$2:$A155,'Project Summary'!$C$3,$C$2:$C155,"&lt;&gt;"),"")</f>
        <v/>
      </c>
    </row>
    <row r="156" customFormat="false" ht="15" hidden="false" customHeight="false" outlineLevel="0" collapsed="false">
      <c r="A156" s="32"/>
      <c r="B156" s="32"/>
      <c r="C156" s="32"/>
      <c r="D156" s="41"/>
      <c r="E156" s="35"/>
      <c r="F156" s="35"/>
      <c r="G156" s="35"/>
      <c r="H156" s="35"/>
      <c r="I156" s="33"/>
      <c r="J156" s="37" t="str">
        <f aca="false">IF(OR(C156="",F156="",G156=""),"",G156-F156)</f>
        <v/>
      </c>
      <c r="K156" s="37" t="str">
        <f aca="false">IF(AND(A156&lt;&gt;"",A156='Project Summary'!$C$3,C156&lt;&gt;""),COUNTIFS($A$2:$A156,'Project Summary'!$C$3,$C$2:$C156,"&lt;&gt;"),"")</f>
        <v/>
      </c>
    </row>
    <row r="157" customFormat="false" ht="15" hidden="false" customHeight="false" outlineLevel="0" collapsed="false">
      <c r="A157" s="32"/>
      <c r="B157" s="32"/>
      <c r="C157" s="32"/>
      <c r="D157" s="41"/>
      <c r="E157" s="35"/>
      <c r="F157" s="35"/>
      <c r="G157" s="35"/>
      <c r="H157" s="35"/>
      <c r="I157" s="33"/>
      <c r="J157" s="37" t="str">
        <f aca="false">IF(OR(C157="",F157="",G157=""),"",G157-F157)</f>
        <v/>
      </c>
      <c r="K157" s="37" t="str">
        <f aca="false">IF(AND(A157&lt;&gt;"",A157='Project Summary'!$C$3,C157&lt;&gt;""),COUNTIFS($A$2:$A157,'Project Summary'!$C$3,$C$2:$C157,"&lt;&gt;"),"")</f>
        <v/>
      </c>
    </row>
    <row r="158" customFormat="false" ht="15" hidden="false" customHeight="false" outlineLevel="0" collapsed="false">
      <c r="A158" s="32"/>
      <c r="B158" s="32"/>
      <c r="C158" s="32"/>
      <c r="D158" s="41"/>
      <c r="E158" s="35"/>
      <c r="F158" s="35"/>
      <c r="G158" s="35"/>
      <c r="H158" s="35"/>
      <c r="I158" s="33"/>
      <c r="J158" s="37" t="str">
        <f aca="false">IF(OR(C158="",F158="",G158=""),"",G158-F158)</f>
        <v/>
      </c>
      <c r="K158" s="37" t="str">
        <f aca="false">IF(AND(A158&lt;&gt;"",A158='Project Summary'!$C$3,C158&lt;&gt;""),COUNTIFS($A$2:$A158,'Project Summary'!$C$3,$C$2:$C158,"&lt;&gt;"),"")</f>
        <v/>
      </c>
    </row>
    <row r="159" customFormat="false" ht="15" hidden="false" customHeight="false" outlineLevel="0" collapsed="false">
      <c r="A159" s="32"/>
      <c r="B159" s="32"/>
      <c r="C159" s="32"/>
      <c r="D159" s="41"/>
      <c r="E159" s="35"/>
      <c r="F159" s="35"/>
      <c r="G159" s="35"/>
      <c r="H159" s="35"/>
      <c r="I159" s="33"/>
      <c r="J159" s="37" t="str">
        <f aca="false">IF(OR(C159="",F159="",G159=""),"",G159-F159)</f>
        <v/>
      </c>
      <c r="K159" s="37" t="str">
        <f aca="false">IF(AND(A159&lt;&gt;"",A159='Project Summary'!$C$3,C159&lt;&gt;""),COUNTIFS($A$2:$A159,'Project Summary'!$C$3,$C$2:$C159,"&lt;&gt;"),"")</f>
        <v/>
      </c>
    </row>
    <row r="160" customFormat="false" ht="15" hidden="false" customHeight="false" outlineLevel="0" collapsed="false">
      <c r="A160" s="32"/>
      <c r="B160" s="32"/>
      <c r="C160" s="32"/>
      <c r="D160" s="41"/>
      <c r="E160" s="35"/>
      <c r="F160" s="35"/>
      <c r="G160" s="35"/>
      <c r="H160" s="35"/>
      <c r="I160" s="33"/>
      <c r="J160" s="37" t="str">
        <f aca="false">IF(OR(C160="",F160="",G160=""),"",G160-F160)</f>
        <v/>
      </c>
      <c r="K160" s="37" t="str">
        <f aca="false">IF(AND(A160&lt;&gt;"",A160='Project Summary'!$C$3,C160&lt;&gt;""),COUNTIFS($A$2:$A160,'Project Summary'!$C$3,$C$2:$C160,"&lt;&gt;"),"")</f>
        <v/>
      </c>
    </row>
    <row r="161" customFormat="false" ht="15" hidden="false" customHeight="false" outlineLevel="0" collapsed="false">
      <c r="A161" s="32"/>
      <c r="B161" s="32"/>
      <c r="C161" s="32"/>
      <c r="D161" s="41"/>
      <c r="E161" s="35"/>
      <c r="F161" s="35"/>
      <c r="G161" s="35"/>
      <c r="H161" s="35"/>
      <c r="I161" s="33"/>
      <c r="J161" s="37" t="str">
        <f aca="false">IF(OR(C161="",F161="",G161=""),"",G161-F161)</f>
        <v/>
      </c>
      <c r="K161" s="37" t="str">
        <f aca="false">IF(AND(A161&lt;&gt;"",A161='Project Summary'!$C$3,C161&lt;&gt;""),COUNTIFS($A$2:$A161,'Project Summary'!$C$3,$C$2:$C161,"&lt;&gt;"),"")</f>
        <v/>
      </c>
    </row>
    <row r="162" customFormat="false" ht="15" hidden="false" customHeight="false" outlineLevel="0" collapsed="false">
      <c r="A162" s="32"/>
      <c r="B162" s="32"/>
      <c r="C162" s="32"/>
      <c r="D162" s="41"/>
      <c r="E162" s="35"/>
      <c r="F162" s="35"/>
      <c r="G162" s="35"/>
      <c r="H162" s="35"/>
      <c r="I162" s="33"/>
      <c r="J162" s="37" t="str">
        <f aca="false">IF(OR(C162="",F162="",G162=""),"",G162-F162)</f>
        <v/>
      </c>
      <c r="K162" s="37" t="str">
        <f aca="false">IF(AND(A162&lt;&gt;"",A162='Project Summary'!$C$3,C162&lt;&gt;""),COUNTIFS($A$2:$A162,'Project Summary'!$C$3,$C$2:$C162,"&lt;&gt;"),"")</f>
        <v/>
      </c>
    </row>
    <row r="163" customFormat="false" ht="15" hidden="false" customHeight="false" outlineLevel="0" collapsed="false">
      <c r="A163" s="32"/>
      <c r="B163" s="32"/>
      <c r="C163" s="32"/>
      <c r="D163" s="41"/>
      <c r="E163" s="35"/>
      <c r="F163" s="35"/>
      <c r="G163" s="35"/>
      <c r="H163" s="35"/>
      <c r="I163" s="33"/>
      <c r="J163" s="37" t="str">
        <f aca="false">IF(OR(C163="",F163="",G163=""),"",G163-F163)</f>
        <v/>
      </c>
      <c r="K163" s="37" t="str">
        <f aca="false">IF(AND(A163&lt;&gt;"",A163='Project Summary'!$C$3,C163&lt;&gt;""),COUNTIFS($A$2:$A163,'Project Summary'!$C$3,$C$2:$C163,"&lt;&gt;"),"")</f>
        <v/>
      </c>
    </row>
    <row r="164" customFormat="false" ht="15" hidden="false" customHeight="false" outlineLevel="0" collapsed="false">
      <c r="A164" s="32"/>
      <c r="B164" s="32"/>
      <c r="C164" s="32"/>
      <c r="D164" s="41"/>
      <c r="E164" s="35"/>
      <c r="F164" s="35"/>
      <c r="G164" s="35"/>
      <c r="H164" s="35"/>
      <c r="I164" s="33"/>
      <c r="J164" s="37" t="str">
        <f aca="false">IF(OR(C164="",F164="",G164=""),"",G164-F164)</f>
        <v/>
      </c>
      <c r="K164" s="37" t="str">
        <f aca="false">IF(AND(A164&lt;&gt;"",A164='Project Summary'!$C$3,C164&lt;&gt;""),COUNTIFS($A$2:$A164,'Project Summary'!$C$3,$C$2:$C164,"&lt;&gt;"),"")</f>
        <v/>
      </c>
    </row>
    <row r="165" customFormat="false" ht="15" hidden="false" customHeight="false" outlineLevel="0" collapsed="false">
      <c r="A165" s="32"/>
      <c r="B165" s="32"/>
      <c r="C165" s="32"/>
      <c r="D165" s="41"/>
      <c r="E165" s="35"/>
      <c r="F165" s="35"/>
      <c r="G165" s="35"/>
      <c r="H165" s="35"/>
      <c r="I165" s="33"/>
      <c r="J165" s="37" t="str">
        <f aca="false">IF(OR(C165="",F165="",G165=""),"",G165-F165)</f>
        <v/>
      </c>
      <c r="K165" s="37" t="str">
        <f aca="false">IF(AND(A165&lt;&gt;"",A165='Project Summary'!$C$3,C165&lt;&gt;""),COUNTIFS($A$2:$A165,'Project Summary'!$C$3,$C$2:$C165,"&lt;&gt;"),"")</f>
        <v/>
      </c>
    </row>
    <row r="166" customFormat="false" ht="15" hidden="false" customHeight="false" outlineLevel="0" collapsed="false">
      <c r="A166" s="32"/>
      <c r="B166" s="32"/>
      <c r="C166" s="32"/>
      <c r="D166" s="41"/>
      <c r="E166" s="35"/>
      <c r="F166" s="35"/>
      <c r="G166" s="35"/>
      <c r="H166" s="35"/>
      <c r="I166" s="33"/>
      <c r="J166" s="37" t="str">
        <f aca="false">IF(OR(C166="",F166="",G166=""),"",G166-F166)</f>
        <v/>
      </c>
      <c r="K166" s="37" t="str">
        <f aca="false">IF(AND(A166&lt;&gt;"",A166='Project Summary'!$C$3,C166&lt;&gt;""),COUNTIFS($A$2:$A166,'Project Summary'!$C$3,$C$2:$C166,"&lt;&gt;"),"")</f>
        <v/>
      </c>
    </row>
    <row r="167" customFormat="false" ht="15" hidden="false" customHeight="false" outlineLevel="0" collapsed="false">
      <c r="A167" s="32"/>
      <c r="B167" s="32"/>
      <c r="C167" s="32"/>
      <c r="D167" s="41"/>
      <c r="E167" s="35"/>
      <c r="F167" s="35"/>
      <c r="G167" s="35"/>
      <c r="H167" s="35"/>
      <c r="I167" s="33"/>
      <c r="J167" s="37" t="str">
        <f aca="false">IF(OR(C167="",F167="",G167=""),"",G167-F167)</f>
        <v/>
      </c>
      <c r="K167" s="37" t="str">
        <f aca="false">IF(AND(A167&lt;&gt;"",A167='Project Summary'!$C$3,C167&lt;&gt;""),COUNTIFS($A$2:$A167,'Project Summary'!$C$3,$C$2:$C167,"&lt;&gt;"),"")</f>
        <v/>
      </c>
    </row>
    <row r="168" customFormat="false" ht="15" hidden="false" customHeight="false" outlineLevel="0" collapsed="false">
      <c r="A168" s="32"/>
      <c r="B168" s="32"/>
      <c r="C168" s="32"/>
      <c r="D168" s="41"/>
      <c r="E168" s="35"/>
      <c r="F168" s="35"/>
      <c r="G168" s="35"/>
      <c r="H168" s="35"/>
      <c r="I168" s="33"/>
      <c r="J168" s="37" t="str">
        <f aca="false">IF(OR(C168="",F168="",G168=""),"",G168-F168)</f>
        <v/>
      </c>
      <c r="K168" s="37" t="str">
        <f aca="false">IF(AND(A168&lt;&gt;"",A168='Project Summary'!$C$3,C168&lt;&gt;""),COUNTIFS($A$2:$A168,'Project Summary'!$C$3,$C$2:$C168,"&lt;&gt;"),"")</f>
        <v/>
      </c>
    </row>
    <row r="169" customFormat="false" ht="15" hidden="false" customHeight="false" outlineLevel="0" collapsed="false">
      <c r="A169" s="32"/>
      <c r="B169" s="32"/>
      <c r="C169" s="32"/>
      <c r="D169" s="41"/>
      <c r="E169" s="35"/>
      <c r="F169" s="35"/>
      <c r="G169" s="35"/>
      <c r="H169" s="35"/>
      <c r="I169" s="33"/>
      <c r="J169" s="37" t="str">
        <f aca="false">IF(OR(C169="",F169="",G169=""),"",G169-F169)</f>
        <v/>
      </c>
      <c r="K169" s="37" t="str">
        <f aca="false">IF(AND(A169&lt;&gt;"",A169='Project Summary'!$C$3,C169&lt;&gt;""),COUNTIFS($A$2:$A169,'Project Summary'!$C$3,$C$2:$C169,"&lt;&gt;"),"")</f>
        <v/>
      </c>
    </row>
    <row r="170" customFormat="false" ht="15" hidden="false" customHeight="false" outlineLevel="0" collapsed="false">
      <c r="A170" s="32"/>
      <c r="B170" s="32"/>
      <c r="C170" s="32"/>
      <c r="D170" s="41"/>
      <c r="E170" s="35"/>
      <c r="F170" s="35"/>
      <c r="G170" s="35"/>
      <c r="H170" s="35"/>
      <c r="I170" s="33"/>
      <c r="J170" s="37" t="str">
        <f aca="false">IF(OR(C170="",F170="",G170=""),"",G170-F170)</f>
        <v/>
      </c>
      <c r="K170" s="37" t="str">
        <f aca="false">IF(AND(A170&lt;&gt;"",A170='Project Summary'!$C$3,C170&lt;&gt;""),COUNTIFS($A$2:$A170,'Project Summary'!$C$3,$C$2:$C170,"&lt;&gt;"),"")</f>
        <v/>
      </c>
    </row>
    <row r="171" customFormat="false" ht="15" hidden="false" customHeight="false" outlineLevel="0" collapsed="false">
      <c r="A171" s="32"/>
      <c r="B171" s="32"/>
      <c r="C171" s="32"/>
      <c r="D171" s="41"/>
      <c r="E171" s="35"/>
      <c r="F171" s="35"/>
      <c r="G171" s="35"/>
      <c r="H171" s="35"/>
      <c r="I171" s="33"/>
      <c r="J171" s="37" t="str">
        <f aca="false">IF(OR(C171="",F171="",G171=""),"",G171-F171)</f>
        <v/>
      </c>
      <c r="K171" s="37" t="str">
        <f aca="false">IF(AND(A171&lt;&gt;"",A171='Project Summary'!$C$3,C171&lt;&gt;""),COUNTIFS($A$2:$A171,'Project Summary'!$C$3,$C$2:$C171,"&lt;&gt;"),"")</f>
        <v/>
      </c>
    </row>
    <row r="172" customFormat="false" ht="15" hidden="false" customHeight="false" outlineLevel="0" collapsed="false">
      <c r="A172" s="32"/>
      <c r="B172" s="32"/>
      <c r="C172" s="32"/>
      <c r="D172" s="41"/>
      <c r="E172" s="35"/>
      <c r="F172" s="35"/>
      <c r="G172" s="35"/>
      <c r="H172" s="35"/>
      <c r="I172" s="33"/>
      <c r="J172" s="37" t="str">
        <f aca="false">IF(OR(C172="",F172="",G172=""),"",G172-F172)</f>
        <v/>
      </c>
      <c r="K172" s="37" t="str">
        <f aca="false">IF(AND(A172&lt;&gt;"",A172='Project Summary'!$C$3,C172&lt;&gt;""),COUNTIFS($A$2:$A172,'Project Summary'!$C$3,$C$2:$C172,"&lt;&gt;"),"")</f>
        <v/>
      </c>
    </row>
    <row r="173" customFormat="false" ht="15" hidden="false" customHeight="false" outlineLevel="0" collapsed="false">
      <c r="A173" s="32"/>
      <c r="B173" s="32"/>
      <c r="C173" s="32"/>
      <c r="D173" s="41"/>
      <c r="E173" s="35"/>
      <c r="F173" s="35"/>
      <c r="G173" s="35"/>
      <c r="H173" s="35"/>
      <c r="I173" s="33"/>
      <c r="J173" s="37" t="str">
        <f aca="false">IF(OR(C173="",F173="",G173=""),"",G173-F173)</f>
        <v/>
      </c>
      <c r="K173" s="37" t="str">
        <f aca="false">IF(AND(A173&lt;&gt;"",A173='Project Summary'!$C$3,C173&lt;&gt;""),COUNTIFS($A$2:$A173,'Project Summary'!$C$3,$C$2:$C173,"&lt;&gt;"),"")</f>
        <v/>
      </c>
    </row>
    <row r="174" customFormat="false" ht="15" hidden="false" customHeight="false" outlineLevel="0" collapsed="false">
      <c r="A174" s="32"/>
      <c r="B174" s="32"/>
      <c r="C174" s="32"/>
      <c r="D174" s="41"/>
      <c r="E174" s="35"/>
      <c r="F174" s="35"/>
      <c r="G174" s="35"/>
      <c r="H174" s="35"/>
      <c r="I174" s="33"/>
      <c r="J174" s="37" t="str">
        <f aca="false">IF(OR(C174="",F174="",G174=""),"",G174-F174)</f>
        <v/>
      </c>
      <c r="K174" s="37" t="str">
        <f aca="false">IF(AND(A174&lt;&gt;"",A174='Project Summary'!$C$3,C174&lt;&gt;""),COUNTIFS($A$2:$A174,'Project Summary'!$C$3,$C$2:$C174,"&lt;&gt;"),"")</f>
        <v/>
      </c>
    </row>
    <row r="175" customFormat="false" ht="15" hidden="false" customHeight="false" outlineLevel="0" collapsed="false">
      <c r="A175" s="32"/>
      <c r="B175" s="32"/>
      <c r="C175" s="32"/>
      <c r="D175" s="41"/>
      <c r="E175" s="35"/>
      <c r="F175" s="35"/>
      <c r="G175" s="35"/>
      <c r="H175" s="35"/>
      <c r="I175" s="33"/>
      <c r="J175" s="37" t="str">
        <f aca="false">IF(OR(C175="",F175="",G175=""),"",G175-F175)</f>
        <v/>
      </c>
      <c r="K175" s="37" t="str">
        <f aca="false">IF(AND(A175&lt;&gt;"",A175='Project Summary'!$C$3,C175&lt;&gt;""),COUNTIFS($A$2:$A175,'Project Summary'!$C$3,$C$2:$C175,"&lt;&gt;"),"")</f>
        <v/>
      </c>
    </row>
    <row r="176" customFormat="false" ht="15" hidden="false" customHeight="false" outlineLevel="0" collapsed="false">
      <c r="A176" s="32"/>
      <c r="B176" s="32"/>
      <c r="C176" s="32"/>
      <c r="D176" s="41"/>
      <c r="E176" s="35"/>
      <c r="F176" s="35"/>
      <c r="G176" s="35"/>
      <c r="H176" s="35"/>
      <c r="I176" s="33"/>
      <c r="J176" s="37" t="str">
        <f aca="false">IF(OR(C176="",F176="",G176=""),"",G176-F176)</f>
        <v/>
      </c>
      <c r="K176" s="37" t="str">
        <f aca="false">IF(AND(A176&lt;&gt;"",A176='Project Summary'!$C$3,C176&lt;&gt;""),COUNTIFS($A$2:$A176,'Project Summary'!$C$3,$C$2:$C176,"&lt;&gt;"),"")</f>
        <v/>
      </c>
    </row>
    <row r="177" customFormat="false" ht="15" hidden="false" customHeight="false" outlineLevel="0" collapsed="false">
      <c r="A177" s="32"/>
      <c r="B177" s="32"/>
      <c r="C177" s="32"/>
      <c r="D177" s="41"/>
      <c r="E177" s="35"/>
      <c r="F177" s="35"/>
      <c r="G177" s="35"/>
      <c r="H177" s="35"/>
      <c r="I177" s="33"/>
      <c r="J177" s="37" t="str">
        <f aca="false">IF(OR(C177="",F177="",G177=""),"",G177-F177)</f>
        <v/>
      </c>
      <c r="K177" s="37" t="str">
        <f aca="false">IF(AND(A177&lt;&gt;"",A177='Project Summary'!$C$3,C177&lt;&gt;""),COUNTIFS($A$2:$A177,'Project Summary'!$C$3,$C$2:$C177,"&lt;&gt;"),"")</f>
        <v/>
      </c>
    </row>
    <row r="178" customFormat="false" ht="15" hidden="false" customHeight="false" outlineLevel="0" collapsed="false">
      <c r="A178" s="32"/>
      <c r="B178" s="32"/>
      <c r="C178" s="32"/>
      <c r="D178" s="41"/>
      <c r="E178" s="35"/>
      <c r="F178" s="35"/>
      <c r="G178" s="35"/>
      <c r="H178" s="35"/>
      <c r="I178" s="33"/>
      <c r="J178" s="37" t="str">
        <f aca="false">IF(OR(C178="",F178="",G178=""),"",G178-F178)</f>
        <v/>
      </c>
      <c r="K178" s="37" t="str">
        <f aca="false">IF(AND(A178&lt;&gt;"",A178='Project Summary'!$C$3,C178&lt;&gt;""),COUNTIFS($A$2:$A178,'Project Summary'!$C$3,$C$2:$C178,"&lt;&gt;"),"")</f>
        <v/>
      </c>
    </row>
    <row r="179" customFormat="false" ht="15" hidden="false" customHeight="false" outlineLevel="0" collapsed="false">
      <c r="A179" s="32"/>
      <c r="B179" s="32"/>
      <c r="C179" s="32"/>
      <c r="D179" s="41"/>
      <c r="E179" s="35"/>
      <c r="F179" s="35"/>
      <c r="G179" s="35"/>
      <c r="H179" s="35"/>
      <c r="I179" s="33"/>
      <c r="J179" s="37" t="str">
        <f aca="false">IF(OR(C179="",F179="",G179=""),"",G179-F179)</f>
        <v/>
      </c>
      <c r="K179" s="37" t="str">
        <f aca="false">IF(AND(A179&lt;&gt;"",A179='Project Summary'!$C$3,C179&lt;&gt;""),COUNTIFS($A$2:$A179,'Project Summary'!$C$3,$C$2:$C179,"&lt;&gt;"),"")</f>
        <v/>
      </c>
    </row>
    <row r="180" customFormat="false" ht="15" hidden="false" customHeight="false" outlineLevel="0" collapsed="false">
      <c r="A180" s="32"/>
      <c r="B180" s="32"/>
      <c r="C180" s="32"/>
      <c r="D180" s="41"/>
      <c r="E180" s="35"/>
      <c r="F180" s="35"/>
      <c r="G180" s="35"/>
      <c r="H180" s="35"/>
      <c r="I180" s="33"/>
      <c r="J180" s="37" t="str">
        <f aca="false">IF(OR(C180="",F180="",G180=""),"",G180-F180)</f>
        <v/>
      </c>
      <c r="K180" s="37" t="str">
        <f aca="false">IF(AND(A180&lt;&gt;"",A180='Project Summary'!$C$3,C180&lt;&gt;""),COUNTIFS($A$2:$A180,'Project Summary'!$C$3,$C$2:$C180,"&lt;&gt;"),"")</f>
        <v/>
      </c>
    </row>
    <row r="181" customFormat="false" ht="15" hidden="false" customHeight="false" outlineLevel="0" collapsed="false">
      <c r="A181" s="32"/>
      <c r="B181" s="32"/>
      <c r="C181" s="32"/>
      <c r="D181" s="41"/>
      <c r="E181" s="35"/>
      <c r="F181" s="35"/>
      <c r="G181" s="35"/>
      <c r="H181" s="35"/>
      <c r="I181" s="33"/>
      <c r="J181" s="37" t="str">
        <f aca="false">IF(OR(C181="",F181="",G181=""),"",G181-F181)</f>
        <v/>
      </c>
      <c r="K181" s="37" t="str">
        <f aca="false">IF(AND(A181&lt;&gt;"",A181='Project Summary'!$C$3,C181&lt;&gt;""),COUNTIFS($A$2:$A181,'Project Summary'!$C$3,$C$2:$C181,"&lt;&gt;"),"")</f>
        <v/>
      </c>
    </row>
    <row r="182" customFormat="false" ht="15" hidden="false" customHeight="false" outlineLevel="0" collapsed="false">
      <c r="A182" s="32"/>
      <c r="B182" s="32"/>
      <c r="C182" s="32"/>
      <c r="D182" s="41"/>
      <c r="E182" s="35"/>
      <c r="F182" s="35"/>
      <c r="G182" s="35"/>
      <c r="H182" s="35"/>
      <c r="I182" s="33"/>
      <c r="J182" s="37" t="str">
        <f aca="false">IF(OR(C182="",F182="",G182=""),"",G182-F182)</f>
        <v/>
      </c>
      <c r="K182" s="37" t="str">
        <f aca="false">IF(AND(A182&lt;&gt;"",A182='Project Summary'!$C$3,C182&lt;&gt;""),COUNTIFS($A$2:$A182,'Project Summary'!$C$3,$C$2:$C182,"&lt;&gt;"),"")</f>
        <v/>
      </c>
    </row>
    <row r="183" customFormat="false" ht="15" hidden="false" customHeight="false" outlineLevel="0" collapsed="false">
      <c r="A183" s="32"/>
      <c r="B183" s="32"/>
      <c r="C183" s="32"/>
      <c r="D183" s="41"/>
      <c r="E183" s="35"/>
      <c r="F183" s="35"/>
      <c r="G183" s="35"/>
      <c r="H183" s="35"/>
      <c r="I183" s="33"/>
      <c r="J183" s="37" t="str">
        <f aca="false">IF(OR(C183="",F183="",G183=""),"",G183-F183)</f>
        <v/>
      </c>
      <c r="K183" s="37" t="str">
        <f aca="false">IF(AND(A183&lt;&gt;"",A183='Project Summary'!$C$3,C183&lt;&gt;""),COUNTIFS($A$2:$A183,'Project Summary'!$C$3,$C$2:$C183,"&lt;&gt;"),"")</f>
        <v/>
      </c>
    </row>
    <row r="184" customFormat="false" ht="15" hidden="false" customHeight="false" outlineLevel="0" collapsed="false">
      <c r="A184" s="32"/>
      <c r="B184" s="32"/>
      <c r="C184" s="32"/>
      <c r="D184" s="41"/>
      <c r="E184" s="35"/>
      <c r="F184" s="35"/>
      <c r="G184" s="35"/>
      <c r="H184" s="35"/>
      <c r="I184" s="33"/>
      <c r="J184" s="37" t="str">
        <f aca="false">IF(OR(C184="",F184="",G184=""),"",G184-F184)</f>
        <v/>
      </c>
      <c r="K184" s="37" t="str">
        <f aca="false">IF(AND(A184&lt;&gt;"",A184='Project Summary'!$C$3,C184&lt;&gt;""),COUNTIFS($A$2:$A184,'Project Summary'!$C$3,$C$2:$C184,"&lt;&gt;"),"")</f>
        <v/>
      </c>
    </row>
    <row r="185" customFormat="false" ht="15" hidden="false" customHeight="false" outlineLevel="0" collapsed="false">
      <c r="A185" s="32"/>
      <c r="B185" s="32"/>
      <c r="C185" s="32"/>
      <c r="D185" s="41"/>
      <c r="E185" s="35"/>
      <c r="F185" s="35"/>
      <c r="G185" s="35"/>
      <c r="H185" s="35"/>
      <c r="I185" s="33"/>
      <c r="J185" s="37" t="str">
        <f aca="false">IF(OR(C185="",F185="",G185=""),"",G185-F185)</f>
        <v/>
      </c>
      <c r="K185" s="37" t="str">
        <f aca="false">IF(AND(A185&lt;&gt;"",A185='Project Summary'!$C$3,C185&lt;&gt;""),COUNTIFS($A$2:$A185,'Project Summary'!$C$3,$C$2:$C185,"&lt;&gt;"),"")</f>
        <v/>
      </c>
    </row>
    <row r="186" customFormat="false" ht="15" hidden="false" customHeight="false" outlineLevel="0" collapsed="false">
      <c r="A186" s="32"/>
      <c r="B186" s="32"/>
      <c r="C186" s="32"/>
      <c r="D186" s="41"/>
      <c r="E186" s="35"/>
      <c r="F186" s="35"/>
      <c r="G186" s="35"/>
      <c r="H186" s="35"/>
      <c r="I186" s="33"/>
      <c r="J186" s="37" t="str">
        <f aca="false">IF(OR(C186="",F186="",G186=""),"",G186-F186)</f>
        <v/>
      </c>
      <c r="K186" s="37" t="str">
        <f aca="false">IF(AND(A186&lt;&gt;"",A186='Project Summary'!$C$3,C186&lt;&gt;""),COUNTIFS($A$2:$A186,'Project Summary'!$C$3,$C$2:$C186,"&lt;&gt;"),"")</f>
        <v/>
      </c>
    </row>
    <row r="187" customFormat="false" ht="15" hidden="false" customHeight="false" outlineLevel="0" collapsed="false">
      <c r="A187" s="32"/>
      <c r="B187" s="32"/>
      <c r="C187" s="32"/>
      <c r="D187" s="41"/>
      <c r="E187" s="35"/>
      <c r="F187" s="35"/>
      <c r="G187" s="35"/>
      <c r="H187" s="35"/>
      <c r="I187" s="33"/>
      <c r="J187" s="37" t="str">
        <f aca="false">IF(OR(C187="",F187="",G187=""),"",G187-F187)</f>
        <v/>
      </c>
      <c r="K187" s="37" t="str">
        <f aca="false">IF(AND(A187&lt;&gt;"",A187='Project Summary'!$C$3,C187&lt;&gt;""),COUNTIFS($A$2:$A187,'Project Summary'!$C$3,$C$2:$C187,"&lt;&gt;"),"")</f>
        <v/>
      </c>
    </row>
    <row r="188" customFormat="false" ht="15" hidden="false" customHeight="false" outlineLevel="0" collapsed="false">
      <c r="A188" s="32"/>
      <c r="B188" s="32"/>
      <c r="C188" s="32"/>
      <c r="D188" s="41"/>
      <c r="E188" s="35"/>
      <c r="F188" s="35"/>
      <c r="G188" s="35"/>
      <c r="H188" s="35"/>
      <c r="I188" s="33"/>
      <c r="J188" s="37" t="str">
        <f aca="false">IF(OR(C188="",F188="",G188=""),"",G188-F188)</f>
        <v/>
      </c>
      <c r="K188" s="37" t="str">
        <f aca="false">IF(AND(A188&lt;&gt;"",A188='Project Summary'!$C$3,C188&lt;&gt;""),COUNTIFS($A$2:$A188,'Project Summary'!$C$3,$C$2:$C188,"&lt;&gt;"),"")</f>
        <v/>
      </c>
    </row>
    <row r="189" customFormat="false" ht="15" hidden="false" customHeight="false" outlineLevel="0" collapsed="false">
      <c r="A189" s="32"/>
      <c r="B189" s="32"/>
      <c r="C189" s="32"/>
      <c r="D189" s="41"/>
      <c r="E189" s="35"/>
      <c r="F189" s="35"/>
      <c r="G189" s="35"/>
      <c r="H189" s="35"/>
      <c r="I189" s="33"/>
      <c r="J189" s="37" t="str">
        <f aca="false">IF(OR(C189="",F189="",G189=""),"",G189-F189)</f>
        <v/>
      </c>
      <c r="K189" s="37" t="str">
        <f aca="false">IF(AND(A189&lt;&gt;"",A189='Project Summary'!$C$3,C189&lt;&gt;""),COUNTIFS($A$2:$A189,'Project Summary'!$C$3,$C$2:$C189,"&lt;&gt;"),"")</f>
        <v/>
      </c>
    </row>
    <row r="190" customFormat="false" ht="15" hidden="false" customHeight="false" outlineLevel="0" collapsed="false">
      <c r="A190" s="32"/>
      <c r="B190" s="32"/>
      <c r="C190" s="32"/>
      <c r="D190" s="41"/>
      <c r="E190" s="35"/>
      <c r="F190" s="35"/>
      <c r="G190" s="35"/>
      <c r="H190" s="35"/>
      <c r="I190" s="33"/>
      <c r="J190" s="37" t="str">
        <f aca="false">IF(OR(C190="",F190="",G190=""),"",G190-F190)</f>
        <v/>
      </c>
      <c r="K190" s="37" t="str">
        <f aca="false">IF(AND(A190&lt;&gt;"",A190='Project Summary'!$C$3,C190&lt;&gt;""),COUNTIFS($A$2:$A190,'Project Summary'!$C$3,$C$2:$C190,"&lt;&gt;"),"")</f>
        <v/>
      </c>
    </row>
    <row r="191" customFormat="false" ht="15" hidden="false" customHeight="false" outlineLevel="0" collapsed="false">
      <c r="A191" s="32"/>
      <c r="B191" s="32"/>
      <c r="C191" s="32"/>
      <c r="D191" s="41"/>
      <c r="E191" s="35"/>
      <c r="F191" s="35"/>
      <c r="G191" s="35"/>
      <c r="H191" s="35"/>
      <c r="I191" s="33"/>
      <c r="J191" s="37" t="str">
        <f aca="false">IF(OR(C191="",F191="",G191=""),"",G191-F191)</f>
        <v/>
      </c>
      <c r="K191" s="37" t="str">
        <f aca="false">IF(AND(A191&lt;&gt;"",A191='Project Summary'!$C$3,C191&lt;&gt;""),COUNTIFS($A$2:$A191,'Project Summary'!$C$3,$C$2:$C191,"&lt;&gt;"),"")</f>
        <v/>
      </c>
    </row>
    <row r="192" customFormat="false" ht="15" hidden="false" customHeight="false" outlineLevel="0" collapsed="false">
      <c r="A192" s="32"/>
      <c r="B192" s="32"/>
      <c r="C192" s="32"/>
      <c r="D192" s="41"/>
      <c r="E192" s="35"/>
      <c r="F192" s="35"/>
      <c r="G192" s="35"/>
      <c r="H192" s="35"/>
      <c r="I192" s="33"/>
      <c r="J192" s="37" t="str">
        <f aca="false">IF(OR(C192="",F192="",G192=""),"",G192-F192)</f>
        <v/>
      </c>
      <c r="K192" s="37" t="str">
        <f aca="false">IF(AND(A192&lt;&gt;"",A192='Project Summary'!$C$3,C192&lt;&gt;""),COUNTIFS($A$2:$A192,'Project Summary'!$C$3,$C$2:$C192,"&lt;&gt;"),"")</f>
        <v/>
      </c>
    </row>
    <row r="193" customFormat="false" ht="15" hidden="false" customHeight="false" outlineLevel="0" collapsed="false">
      <c r="A193" s="32"/>
      <c r="B193" s="32"/>
      <c r="C193" s="32"/>
      <c r="D193" s="41"/>
      <c r="E193" s="35"/>
      <c r="F193" s="35"/>
      <c r="G193" s="35"/>
      <c r="H193" s="35"/>
      <c r="I193" s="33"/>
      <c r="J193" s="37" t="str">
        <f aca="false">IF(OR(C193="",F193="",G193=""),"",G193-F193)</f>
        <v/>
      </c>
      <c r="K193" s="37" t="str">
        <f aca="false">IF(AND(A193&lt;&gt;"",A193='Project Summary'!$C$3,C193&lt;&gt;""),COUNTIFS($A$2:$A193,'Project Summary'!$C$3,$C$2:$C193,"&lt;&gt;"),"")</f>
        <v/>
      </c>
    </row>
    <row r="194" customFormat="false" ht="15" hidden="false" customHeight="false" outlineLevel="0" collapsed="false">
      <c r="A194" s="32"/>
      <c r="B194" s="32"/>
      <c r="C194" s="32"/>
      <c r="D194" s="41"/>
      <c r="E194" s="35"/>
      <c r="F194" s="35"/>
      <c r="G194" s="35"/>
      <c r="H194" s="35"/>
      <c r="I194" s="33"/>
      <c r="J194" s="37" t="str">
        <f aca="false">IF(OR(C194="",F194="",G194=""),"",G194-F194)</f>
        <v/>
      </c>
      <c r="K194" s="37" t="str">
        <f aca="false">IF(AND(A194&lt;&gt;"",A194='Project Summary'!$C$3,C194&lt;&gt;""),COUNTIFS($A$2:$A194,'Project Summary'!$C$3,$C$2:$C194,"&lt;&gt;"),"")</f>
        <v/>
      </c>
    </row>
    <row r="195" customFormat="false" ht="15" hidden="false" customHeight="false" outlineLevel="0" collapsed="false">
      <c r="A195" s="32"/>
      <c r="B195" s="32"/>
      <c r="C195" s="32"/>
      <c r="D195" s="41"/>
      <c r="E195" s="35"/>
      <c r="F195" s="35"/>
      <c r="G195" s="35"/>
      <c r="H195" s="35"/>
      <c r="I195" s="33"/>
      <c r="J195" s="37" t="str">
        <f aca="false">IF(OR(C195="",F195="",G195=""),"",G195-F195)</f>
        <v/>
      </c>
      <c r="K195" s="37" t="str">
        <f aca="false">IF(AND(A195&lt;&gt;"",A195='Project Summary'!$C$3,C195&lt;&gt;""),COUNTIFS($A$2:$A195,'Project Summary'!$C$3,$C$2:$C195,"&lt;&gt;"),"")</f>
        <v/>
      </c>
    </row>
    <row r="196" customFormat="false" ht="15" hidden="false" customHeight="false" outlineLevel="0" collapsed="false">
      <c r="A196" s="32"/>
      <c r="B196" s="32"/>
      <c r="C196" s="32"/>
      <c r="D196" s="41"/>
      <c r="E196" s="35"/>
      <c r="F196" s="35"/>
      <c r="G196" s="35"/>
      <c r="H196" s="35"/>
      <c r="I196" s="33"/>
      <c r="J196" s="37" t="str">
        <f aca="false">IF(OR(C196="",F196="",G196=""),"",G196-F196)</f>
        <v/>
      </c>
      <c r="K196" s="37" t="str">
        <f aca="false">IF(AND(A196&lt;&gt;"",A196='Project Summary'!$C$3,C196&lt;&gt;""),COUNTIFS($A$2:$A196,'Project Summary'!$C$3,$C$2:$C196,"&lt;&gt;"),"")</f>
        <v/>
      </c>
    </row>
    <row r="197" customFormat="false" ht="15" hidden="false" customHeight="false" outlineLevel="0" collapsed="false">
      <c r="A197" s="32"/>
      <c r="B197" s="32"/>
      <c r="C197" s="32"/>
      <c r="D197" s="41"/>
      <c r="E197" s="35"/>
      <c r="F197" s="35"/>
      <c r="G197" s="35"/>
      <c r="H197" s="35"/>
      <c r="I197" s="33"/>
      <c r="J197" s="37" t="str">
        <f aca="false">IF(OR(C197="",F197="",G197=""),"",G197-F197)</f>
        <v/>
      </c>
      <c r="K197" s="37" t="str">
        <f aca="false">IF(AND(A197&lt;&gt;"",A197='Project Summary'!$C$3,C197&lt;&gt;""),COUNTIFS($A$2:$A197,'Project Summary'!$C$3,$C$2:$C197,"&lt;&gt;"),"")</f>
        <v/>
      </c>
    </row>
    <row r="198" customFormat="false" ht="15" hidden="false" customHeight="false" outlineLevel="0" collapsed="false">
      <c r="A198" s="32"/>
      <c r="B198" s="32"/>
      <c r="C198" s="32"/>
      <c r="D198" s="41"/>
      <c r="E198" s="35"/>
      <c r="F198" s="35"/>
      <c r="G198" s="35"/>
      <c r="H198" s="35"/>
      <c r="I198" s="33"/>
      <c r="J198" s="37" t="str">
        <f aca="false">IF(OR(C198="",F198="",G198=""),"",G198-F198)</f>
        <v/>
      </c>
      <c r="K198" s="37" t="str">
        <f aca="false">IF(AND(A198&lt;&gt;"",A198='Project Summary'!$C$3,C198&lt;&gt;""),COUNTIFS($A$2:$A198,'Project Summary'!$C$3,$C$2:$C198,"&lt;&gt;"),"")</f>
        <v/>
      </c>
    </row>
    <row r="199" customFormat="false" ht="15" hidden="false" customHeight="false" outlineLevel="0" collapsed="false">
      <c r="A199" s="32"/>
      <c r="B199" s="32"/>
      <c r="C199" s="32"/>
      <c r="D199" s="41"/>
      <c r="E199" s="35"/>
      <c r="F199" s="35"/>
      <c r="G199" s="35"/>
      <c r="H199" s="35"/>
      <c r="I199" s="33"/>
      <c r="J199" s="37" t="str">
        <f aca="false">IF(OR(C199="",F199="",G199=""),"",G199-F199)</f>
        <v/>
      </c>
      <c r="K199" s="37" t="str">
        <f aca="false">IF(AND(A199&lt;&gt;"",A199='Project Summary'!$C$3,C199&lt;&gt;""),COUNTIFS($A$2:$A199,'Project Summary'!$C$3,$C$2:$C199,"&lt;&gt;"),"")</f>
        <v/>
      </c>
    </row>
    <row r="200" customFormat="false" ht="15" hidden="false" customHeight="false" outlineLevel="0" collapsed="false">
      <c r="A200" s="32"/>
      <c r="B200" s="32"/>
      <c r="C200" s="32"/>
      <c r="D200" s="41"/>
      <c r="E200" s="35"/>
      <c r="F200" s="35"/>
      <c r="G200" s="35"/>
      <c r="H200" s="35"/>
      <c r="I200" s="33"/>
      <c r="J200" s="37" t="str">
        <f aca="false">IF(OR(C200="",F200="",G200=""),"",G200-F200)</f>
        <v/>
      </c>
      <c r="K200" s="37" t="str">
        <f aca="false">IF(AND(A200&lt;&gt;"",A200='Project Summary'!$C$3,C200&lt;&gt;""),COUNTIFS($A$2:$A200,'Project Summary'!$C$3,$C$2:$C200,"&lt;&gt;"),"")</f>
        <v/>
      </c>
    </row>
    <row r="201" customFormat="false" ht="15" hidden="false" customHeight="false" outlineLevel="0" collapsed="false">
      <c r="A201" s="32"/>
      <c r="B201" s="32"/>
      <c r="C201" s="32"/>
      <c r="D201" s="41"/>
      <c r="E201" s="35"/>
      <c r="F201" s="35"/>
      <c r="G201" s="35"/>
      <c r="H201" s="35"/>
      <c r="I201" s="33"/>
      <c r="J201" s="37" t="str">
        <f aca="false">IF(OR(C201="",F201="",G201=""),"",G201-F201)</f>
        <v/>
      </c>
      <c r="K201" s="37" t="str">
        <f aca="false">IF(AND(A201&lt;&gt;"",A201='Project Summary'!$C$3,C201&lt;&gt;""),COUNTIFS($A$2:$A201,'Project Summary'!$C$3,$C$2:$C201,"&lt;&gt;"),"")</f>
        <v/>
      </c>
    </row>
    <row r="202" customFormat="false" ht="15" hidden="false" customHeight="false" outlineLevel="0" collapsed="false">
      <c r="A202" s="32"/>
      <c r="B202" s="32"/>
      <c r="C202" s="32"/>
      <c r="D202" s="41"/>
      <c r="E202" s="35"/>
      <c r="F202" s="35"/>
      <c r="G202" s="35"/>
      <c r="H202" s="35"/>
      <c r="I202" s="33"/>
      <c r="J202" s="37" t="str">
        <f aca="false">IF(OR(C202="",F202="",G202=""),"",G202-F202)</f>
        <v/>
      </c>
      <c r="K202" s="37" t="str">
        <f aca="false">IF(AND(A202&lt;&gt;"",A202='Project Summary'!$C$3,C202&lt;&gt;""),COUNTIFS($A$2:$A202,'Project Summary'!$C$3,$C$2:$C202,"&lt;&gt;"),"")</f>
        <v/>
      </c>
    </row>
    <row r="203" customFormat="false" ht="15" hidden="false" customHeight="false" outlineLevel="0" collapsed="false">
      <c r="A203" s="32"/>
      <c r="B203" s="32"/>
      <c r="C203" s="32"/>
      <c r="D203" s="41"/>
      <c r="E203" s="35"/>
      <c r="F203" s="35"/>
      <c r="G203" s="35"/>
      <c r="H203" s="35"/>
      <c r="I203" s="33"/>
      <c r="J203" s="37" t="str">
        <f aca="false">IF(OR(C203="",F203="",G203=""),"",G203-F203)</f>
        <v/>
      </c>
      <c r="K203" s="37" t="str">
        <f aca="false">IF(AND(A203&lt;&gt;"",A203='Project Summary'!$C$3,C203&lt;&gt;""),COUNTIFS($A$2:$A203,'Project Summary'!$C$3,$C$2:$C203,"&lt;&gt;"),"")</f>
        <v/>
      </c>
    </row>
    <row r="204" customFormat="false" ht="15" hidden="false" customHeight="false" outlineLevel="0" collapsed="false">
      <c r="A204" s="32"/>
      <c r="B204" s="32"/>
      <c r="C204" s="32"/>
      <c r="D204" s="41"/>
      <c r="E204" s="35"/>
      <c r="F204" s="35"/>
      <c r="G204" s="35"/>
      <c r="H204" s="35"/>
      <c r="I204" s="33"/>
      <c r="J204" s="37" t="str">
        <f aca="false">IF(OR(C204="",F204="",G204=""),"",G204-F204)</f>
        <v/>
      </c>
      <c r="K204" s="37" t="str">
        <f aca="false">IF(AND(A204&lt;&gt;"",A204='Project Summary'!$C$3,C204&lt;&gt;""),COUNTIFS($A$2:$A204,'Project Summary'!$C$3,$C$2:$C204,"&lt;&gt;"),"")</f>
        <v/>
      </c>
    </row>
    <row r="205" customFormat="false" ht="15" hidden="false" customHeight="false" outlineLevel="0" collapsed="false">
      <c r="A205" s="32"/>
      <c r="B205" s="32"/>
      <c r="C205" s="32"/>
      <c r="D205" s="41"/>
      <c r="E205" s="35"/>
      <c r="F205" s="35"/>
      <c r="G205" s="35"/>
      <c r="H205" s="35"/>
      <c r="I205" s="33"/>
      <c r="J205" s="37" t="str">
        <f aca="false">IF(OR(C205="",F205="",G205=""),"",G205-F205)</f>
        <v/>
      </c>
      <c r="K205" s="37" t="str">
        <f aca="false">IF(AND(A205&lt;&gt;"",A205='Project Summary'!$C$3,C205&lt;&gt;""),COUNTIFS($A$2:$A205,'Project Summary'!$C$3,$C$2:$C205,"&lt;&gt;"),"")</f>
        <v/>
      </c>
    </row>
    <row r="206" customFormat="false" ht="15" hidden="false" customHeight="false" outlineLevel="0" collapsed="false">
      <c r="A206" s="32"/>
      <c r="B206" s="32"/>
      <c r="C206" s="32"/>
      <c r="D206" s="41"/>
      <c r="E206" s="35"/>
      <c r="F206" s="35"/>
      <c r="G206" s="35"/>
      <c r="H206" s="35"/>
      <c r="I206" s="33"/>
      <c r="J206" s="37" t="str">
        <f aca="false">IF(OR(C206="",F206="",G206=""),"",G206-F206)</f>
        <v/>
      </c>
      <c r="K206" s="37" t="str">
        <f aca="false">IF(AND(A206&lt;&gt;"",A206='Project Summary'!$C$3,C206&lt;&gt;""),COUNTIFS($A$2:$A206,'Project Summary'!$C$3,$C$2:$C206,"&lt;&gt;"),"")</f>
        <v/>
      </c>
    </row>
    <row r="207" customFormat="false" ht="15" hidden="false" customHeight="false" outlineLevel="0" collapsed="false">
      <c r="A207" s="32"/>
      <c r="B207" s="32"/>
      <c r="C207" s="32"/>
      <c r="D207" s="41"/>
      <c r="E207" s="35"/>
      <c r="F207" s="35"/>
      <c r="G207" s="35"/>
      <c r="H207" s="35"/>
      <c r="I207" s="33"/>
      <c r="J207" s="37" t="str">
        <f aca="false">IF(OR(C207="",F207="",G207=""),"",G207-F207)</f>
        <v/>
      </c>
      <c r="K207" s="37" t="str">
        <f aca="false">IF(AND(A207&lt;&gt;"",A207='Project Summary'!$C$3,C207&lt;&gt;""),COUNTIFS($A$2:$A207,'Project Summary'!$C$3,$C$2:$C207,"&lt;&gt;"),"")</f>
        <v/>
      </c>
    </row>
    <row r="208" customFormat="false" ht="15" hidden="false" customHeight="false" outlineLevel="0" collapsed="false">
      <c r="A208" s="32"/>
      <c r="B208" s="32"/>
      <c r="C208" s="32"/>
      <c r="D208" s="41"/>
      <c r="E208" s="35"/>
      <c r="F208" s="35"/>
      <c r="G208" s="35"/>
      <c r="H208" s="35"/>
      <c r="I208" s="33"/>
      <c r="J208" s="37" t="str">
        <f aca="false">IF(OR(C208="",F208="",G208=""),"",G208-F208)</f>
        <v/>
      </c>
      <c r="K208" s="37" t="str">
        <f aca="false">IF(AND(A208&lt;&gt;"",A208='Project Summary'!$C$3,C208&lt;&gt;""),COUNTIFS($A$2:$A208,'Project Summary'!$C$3,$C$2:$C208,"&lt;&gt;"),"")</f>
        <v/>
      </c>
    </row>
    <row r="209" customFormat="false" ht="15" hidden="false" customHeight="false" outlineLevel="0" collapsed="false">
      <c r="A209" s="32"/>
      <c r="B209" s="32"/>
      <c r="C209" s="32"/>
      <c r="D209" s="41"/>
      <c r="E209" s="35"/>
      <c r="F209" s="35"/>
      <c r="G209" s="35"/>
      <c r="H209" s="35"/>
      <c r="I209" s="33"/>
      <c r="J209" s="37" t="str">
        <f aca="false">IF(OR(C209="",F209="",G209=""),"",G209-F209)</f>
        <v/>
      </c>
      <c r="K209" s="37" t="str">
        <f aca="false">IF(AND(A209&lt;&gt;"",A209='Project Summary'!$C$3,C209&lt;&gt;""),COUNTIFS($A$2:$A209,'Project Summary'!$C$3,$C$2:$C209,"&lt;&gt;"),"")</f>
        <v/>
      </c>
    </row>
    <row r="210" customFormat="false" ht="15" hidden="false" customHeight="false" outlineLevel="0" collapsed="false">
      <c r="A210" s="32"/>
      <c r="B210" s="32"/>
      <c r="C210" s="32"/>
      <c r="D210" s="41"/>
      <c r="E210" s="35"/>
      <c r="F210" s="35"/>
      <c r="G210" s="35"/>
      <c r="H210" s="35"/>
      <c r="I210" s="33"/>
      <c r="J210" s="37" t="str">
        <f aca="false">IF(OR(C210="",F210="",G210=""),"",G210-F210)</f>
        <v/>
      </c>
      <c r="K210" s="37" t="str">
        <f aca="false">IF(AND(A210&lt;&gt;"",A210='Project Summary'!$C$3,C210&lt;&gt;""),COUNTIFS($A$2:$A210,'Project Summary'!$C$3,$C$2:$C210,"&lt;&gt;"),"")</f>
        <v/>
      </c>
    </row>
    <row r="211" customFormat="false" ht="15" hidden="false" customHeight="false" outlineLevel="0" collapsed="false">
      <c r="A211" s="32"/>
      <c r="B211" s="32"/>
      <c r="C211" s="32"/>
      <c r="D211" s="41"/>
      <c r="E211" s="35"/>
      <c r="F211" s="35"/>
      <c r="G211" s="35"/>
      <c r="H211" s="35"/>
      <c r="I211" s="33"/>
      <c r="J211" s="37" t="str">
        <f aca="false">IF(OR(C211="",F211="",G211=""),"",G211-F211)</f>
        <v/>
      </c>
      <c r="K211" s="37" t="str">
        <f aca="false">IF(AND(A211&lt;&gt;"",A211='Project Summary'!$C$3,C211&lt;&gt;""),COUNTIFS($A$2:$A211,'Project Summary'!$C$3,$C$2:$C211,"&lt;&gt;"),"")</f>
        <v/>
      </c>
    </row>
    <row r="212" customFormat="false" ht="15" hidden="false" customHeight="false" outlineLevel="0" collapsed="false">
      <c r="A212" s="32"/>
      <c r="B212" s="32"/>
      <c r="C212" s="32"/>
      <c r="D212" s="41"/>
      <c r="E212" s="35"/>
      <c r="F212" s="35"/>
      <c r="G212" s="35"/>
      <c r="H212" s="35"/>
      <c r="I212" s="33"/>
      <c r="J212" s="37" t="str">
        <f aca="false">IF(OR(C212="",F212="",G212=""),"",G212-F212)</f>
        <v/>
      </c>
      <c r="K212" s="37" t="str">
        <f aca="false">IF(AND(A212&lt;&gt;"",A212='Project Summary'!$C$3,C212&lt;&gt;""),COUNTIFS($A$2:$A212,'Project Summary'!$C$3,$C$2:$C212,"&lt;&gt;"),"")</f>
        <v/>
      </c>
    </row>
    <row r="213" customFormat="false" ht="15" hidden="false" customHeight="false" outlineLevel="0" collapsed="false">
      <c r="A213" s="32"/>
      <c r="B213" s="32"/>
      <c r="C213" s="32"/>
      <c r="D213" s="41"/>
      <c r="E213" s="35"/>
      <c r="F213" s="35"/>
      <c r="G213" s="35"/>
      <c r="H213" s="35"/>
      <c r="I213" s="33"/>
      <c r="J213" s="37" t="str">
        <f aca="false">IF(OR(C213="",F213="",G213=""),"",G213-F213)</f>
        <v/>
      </c>
      <c r="K213" s="37" t="str">
        <f aca="false">IF(AND(A213&lt;&gt;"",A213='Project Summary'!$C$3,C213&lt;&gt;""),COUNTIFS($A$2:$A213,'Project Summary'!$C$3,$C$2:$C213,"&lt;&gt;"),"")</f>
        <v/>
      </c>
    </row>
    <row r="214" customFormat="false" ht="15" hidden="false" customHeight="false" outlineLevel="0" collapsed="false">
      <c r="A214" s="32"/>
      <c r="B214" s="32"/>
      <c r="C214" s="32"/>
      <c r="D214" s="41"/>
      <c r="E214" s="35"/>
      <c r="F214" s="35"/>
      <c r="G214" s="35"/>
      <c r="H214" s="35"/>
      <c r="I214" s="33"/>
      <c r="J214" s="37" t="str">
        <f aca="false">IF(OR(C214="",F214="",G214=""),"",G214-F214)</f>
        <v/>
      </c>
      <c r="K214" s="37" t="str">
        <f aca="false">IF(AND(A214&lt;&gt;"",A214='Project Summary'!$C$3,C214&lt;&gt;""),COUNTIFS($A$2:$A214,'Project Summary'!$C$3,$C$2:$C214,"&lt;&gt;"),"")</f>
        <v/>
      </c>
    </row>
    <row r="215" customFormat="false" ht="15" hidden="false" customHeight="false" outlineLevel="0" collapsed="false">
      <c r="A215" s="32"/>
      <c r="B215" s="32"/>
      <c r="C215" s="32"/>
      <c r="D215" s="41"/>
      <c r="E215" s="35"/>
      <c r="F215" s="35"/>
      <c r="G215" s="35"/>
      <c r="H215" s="35"/>
      <c r="I215" s="33"/>
      <c r="J215" s="37" t="str">
        <f aca="false">IF(OR(C215="",F215="",G215=""),"",G215-F215)</f>
        <v/>
      </c>
      <c r="K215" s="37" t="str">
        <f aca="false">IF(AND(A215&lt;&gt;"",A215='Project Summary'!$C$3,C215&lt;&gt;""),COUNTIFS($A$2:$A215,'Project Summary'!$C$3,$C$2:$C215,"&lt;&gt;"),"")</f>
        <v/>
      </c>
    </row>
    <row r="216" customFormat="false" ht="15" hidden="false" customHeight="false" outlineLevel="0" collapsed="false">
      <c r="A216" s="32"/>
      <c r="B216" s="32"/>
      <c r="C216" s="32"/>
      <c r="D216" s="41"/>
      <c r="E216" s="35"/>
      <c r="F216" s="35"/>
      <c r="G216" s="35"/>
      <c r="H216" s="35"/>
      <c r="I216" s="33"/>
      <c r="J216" s="37" t="str">
        <f aca="false">IF(OR(C216="",F216="",G216=""),"",G216-F216)</f>
        <v/>
      </c>
      <c r="K216" s="37" t="str">
        <f aca="false">IF(AND(A216&lt;&gt;"",A216='Project Summary'!$C$3,C216&lt;&gt;""),COUNTIFS($A$2:$A216,'Project Summary'!$C$3,$C$2:$C216,"&lt;&gt;"),"")</f>
        <v/>
      </c>
    </row>
    <row r="217" customFormat="false" ht="15" hidden="false" customHeight="false" outlineLevel="0" collapsed="false">
      <c r="A217" s="32"/>
      <c r="B217" s="32"/>
      <c r="C217" s="32"/>
      <c r="D217" s="41"/>
      <c r="E217" s="35"/>
      <c r="F217" s="35"/>
      <c r="G217" s="35"/>
      <c r="H217" s="35"/>
      <c r="I217" s="33"/>
      <c r="J217" s="37" t="str">
        <f aca="false">IF(OR(C217="",F217="",G217=""),"",G217-F217)</f>
        <v/>
      </c>
      <c r="K217" s="37" t="str">
        <f aca="false">IF(AND(A217&lt;&gt;"",A217='Project Summary'!$C$3,C217&lt;&gt;""),COUNTIFS($A$2:$A217,'Project Summary'!$C$3,$C$2:$C217,"&lt;&gt;"),"")</f>
        <v/>
      </c>
    </row>
    <row r="218" customFormat="false" ht="15" hidden="false" customHeight="false" outlineLevel="0" collapsed="false">
      <c r="A218" s="32"/>
      <c r="B218" s="32"/>
      <c r="C218" s="32"/>
      <c r="D218" s="41"/>
      <c r="E218" s="35"/>
      <c r="F218" s="35"/>
      <c r="G218" s="35"/>
      <c r="H218" s="35"/>
      <c r="I218" s="33"/>
      <c r="J218" s="37" t="str">
        <f aca="false">IF(OR(C218="",F218="",G218=""),"",G218-F218)</f>
        <v/>
      </c>
      <c r="K218" s="37" t="str">
        <f aca="false">IF(AND(A218&lt;&gt;"",A218='Project Summary'!$C$3,C218&lt;&gt;""),COUNTIFS($A$2:$A218,'Project Summary'!$C$3,$C$2:$C218,"&lt;&gt;"),"")</f>
        <v/>
      </c>
    </row>
    <row r="219" customFormat="false" ht="15" hidden="false" customHeight="false" outlineLevel="0" collapsed="false">
      <c r="A219" s="32"/>
      <c r="B219" s="32"/>
      <c r="C219" s="32"/>
      <c r="D219" s="41"/>
      <c r="E219" s="35"/>
      <c r="F219" s="35"/>
      <c r="G219" s="35"/>
      <c r="H219" s="35"/>
      <c r="I219" s="33"/>
      <c r="J219" s="37" t="str">
        <f aca="false">IF(OR(C219="",F219="",G219=""),"",G219-F219)</f>
        <v/>
      </c>
      <c r="K219" s="37" t="str">
        <f aca="false">IF(AND(A219&lt;&gt;"",A219='Project Summary'!$C$3,C219&lt;&gt;""),COUNTIFS($A$2:$A219,'Project Summary'!$C$3,$C$2:$C219,"&lt;&gt;"),"")</f>
        <v/>
      </c>
    </row>
    <row r="220" customFormat="false" ht="15" hidden="false" customHeight="false" outlineLevel="0" collapsed="false">
      <c r="A220" s="32"/>
      <c r="B220" s="32"/>
      <c r="C220" s="32"/>
      <c r="D220" s="41"/>
      <c r="E220" s="35"/>
      <c r="F220" s="35"/>
      <c r="G220" s="35"/>
      <c r="H220" s="35"/>
      <c r="I220" s="33"/>
      <c r="J220" s="37" t="str">
        <f aca="false">IF(OR(C220="",F220="",G220=""),"",G220-F220)</f>
        <v/>
      </c>
      <c r="K220" s="37" t="str">
        <f aca="false">IF(AND(A220&lt;&gt;"",A220='Project Summary'!$C$3,C220&lt;&gt;""),COUNTIFS($A$2:$A220,'Project Summary'!$C$3,$C$2:$C220,"&lt;&gt;"),"")</f>
        <v/>
      </c>
    </row>
    <row r="221" customFormat="false" ht="15" hidden="false" customHeight="false" outlineLevel="0" collapsed="false">
      <c r="A221" s="32"/>
      <c r="B221" s="32"/>
      <c r="C221" s="32"/>
      <c r="D221" s="41"/>
      <c r="E221" s="35"/>
      <c r="F221" s="35"/>
      <c r="G221" s="35"/>
      <c r="H221" s="35"/>
      <c r="I221" s="33"/>
      <c r="J221" s="37" t="str">
        <f aca="false">IF(OR(C221="",F221="",G221=""),"",G221-F221)</f>
        <v/>
      </c>
      <c r="K221" s="37" t="str">
        <f aca="false">IF(AND(A221&lt;&gt;"",A221='Project Summary'!$C$3,C221&lt;&gt;""),COUNTIFS($A$2:$A221,'Project Summary'!$C$3,$C$2:$C221,"&lt;&gt;"),"")</f>
        <v/>
      </c>
    </row>
    <row r="222" customFormat="false" ht="15" hidden="false" customHeight="false" outlineLevel="0" collapsed="false">
      <c r="A222" s="32"/>
      <c r="B222" s="32"/>
      <c r="C222" s="32"/>
      <c r="D222" s="41"/>
      <c r="E222" s="35"/>
      <c r="F222" s="35"/>
      <c r="G222" s="35"/>
      <c r="H222" s="35"/>
      <c r="I222" s="33"/>
      <c r="J222" s="37" t="str">
        <f aca="false">IF(OR(C222="",F222="",G222=""),"",G222-F222)</f>
        <v/>
      </c>
      <c r="K222" s="37" t="str">
        <f aca="false">IF(AND(A222&lt;&gt;"",A222='Project Summary'!$C$3,C222&lt;&gt;""),COUNTIFS($A$2:$A222,'Project Summary'!$C$3,$C$2:$C222,"&lt;&gt;"),"")</f>
        <v/>
      </c>
    </row>
    <row r="223" customFormat="false" ht="15" hidden="false" customHeight="false" outlineLevel="0" collapsed="false">
      <c r="A223" s="32"/>
      <c r="B223" s="32"/>
      <c r="C223" s="32"/>
      <c r="D223" s="41"/>
      <c r="E223" s="35"/>
      <c r="F223" s="35"/>
      <c r="G223" s="35"/>
      <c r="H223" s="35"/>
      <c r="I223" s="33"/>
      <c r="J223" s="37" t="str">
        <f aca="false">IF(OR(C223="",F223="",G223=""),"",G223-F223)</f>
        <v/>
      </c>
      <c r="K223" s="37" t="str">
        <f aca="false">IF(AND(A223&lt;&gt;"",A223='Project Summary'!$C$3,C223&lt;&gt;""),COUNTIFS($A$2:$A223,'Project Summary'!$C$3,$C$2:$C223,"&lt;&gt;"),"")</f>
        <v/>
      </c>
    </row>
    <row r="224" customFormat="false" ht="15" hidden="false" customHeight="false" outlineLevel="0" collapsed="false">
      <c r="A224" s="32"/>
      <c r="B224" s="32"/>
      <c r="C224" s="32"/>
      <c r="D224" s="41"/>
      <c r="E224" s="35"/>
      <c r="F224" s="35"/>
      <c r="G224" s="35"/>
      <c r="H224" s="35"/>
      <c r="I224" s="33"/>
      <c r="J224" s="37" t="str">
        <f aca="false">IF(OR(C224="",F224="",G224=""),"",G224-F224)</f>
        <v/>
      </c>
      <c r="K224" s="37" t="str">
        <f aca="false">IF(AND(A224&lt;&gt;"",A224='Project Summary'!$C$3,C224&lt;&gt;""),COUNTIFS($A$2:$A224,'Project Summary'!$C$3,$C$2:$C224,"&lt;&gt;"),"")</f>
        <v/>
      </c>
    </row>
    <row r="225" customFormat="false" ht="15" hidden="false" customHeight="false" outlineLevel="0" collapsed="false">
      <c r="A225" s="32"/>
      <c r="B225" s="32"/>
      <c r="C225" s="32"/>
      <c r="D225" s="41"/>
      <c r="E225" s="35"/>
      <c r="F225" s="35"/>
      <c r="G225" s="35"/>
      <c r="H225" s="35"/>
      <c r="I225" s="33"/>
      <c r="J225" s="37" t="str">
        <f aca="false">IF(OR(C225="",F225="",G225=""),"",G225-F225)</f>
        <v/>
      </c>
      <c r="K225" s="37" t="str">
        <f aca="false">IF(AND(A225&lt;&gt;"",A225='Project Summary'!$C$3,C225&lt;&gt;""),COUNTIFS($A$2:$A225,'Project Summary'!$C$3,$C$2:$C225,"&lt;&gt;"),"")</f>
        <v/>
      </c>
    </row>
    <row r="226" customFormat="false" ht="15" hidden="false" customHeight="false" outlineLevel="0" collapsed="false">
      <c r="A226" s="32"/>
      <c r="B226" s="32"/>
      <c r="C226" s="32"/>
      <c r="D226" s="41"/>
      <c r="E226" s="35"/>
      <c r="F226" s="35"/>
      <c r="G226" s="35"/>
      <c r="H226" s="35"/>
      <c r="I226" s="33"/>
      <c r="J226" s="37" t="str">
        <f aca="false">IF(OR(C226="",F226="",G226=""),"",G226-F226)</f>
        <v/>
      </c>
      <c r="K226" s="37" t="str">
        <f aca="false">IF(AND(A226&lt;&gt;"",A226='Project Summary'!$C$3,C226&lt;&gt;""),COUNTIFS($A$2:$A226,'Project Summary'!$C$3,$C$2:$C226,"&lt;&gt;"),"")</f>
        <v/>
      </c>
    </row>
    <row r="227" customFormat="false" ht="15" hidden="false" customHeight="false" outlineLevel="0" collapsed="false">
      <c r="A227" s="32"/>
      <c r="B227" s="32"/>
      <c r="C227" s="32"/>
      <c r="D227" s="41"/>
      <c r="E227" s="35"/>
      <c r="F227" s="35"/>
      <c r="G227" s="35"/>
      <c r="H227" s="35"/>
      <c r="I227" s="33"/>
      <c r="J227" s="37" t="str">
        <f aca="false">IF(OR(C227="",F227="",G227=""),"",G227-F227)</f>
        <v/>
      </c>
      <c r="K227" s="37" t="str">
        <f aca="false">IF(AND(A227&lt;&gt;"",A227='Project Summary'!$C$3,C227&lt;&gt;""),COUNTIFS($A$2:$A227,'Project Summary'!$C$3,$C$2:$C227,"&lt;&gt;"),"")</f>
        <v/>
      </c>
    </row>
    <row r="228" customFormat="false" ht="15" hidden="false" customHeight="false" outlineLevel="0" collapsed="false">
      <c r="A228" s="32"/>
      <c r="B228" s="32"/>
      <c r="C228" s="32"/>
      <c r="D228" s="41"/>
      <c r="E228" s="35"/>
      <c r="F228" s="35"/>
      <c r="G228" s="35"/>
      <c r="H228" s="35"/>
      <c r="I228" s="33"/>
      <c r="J228" s="37" t="str">
        <f aca="false">IF(OR(C228="",F228="",G228=""),"",G228-F228)</f>
        <v/>
      </c>
      <c r="K228" s="37" t="str">
        <f aca="false">IF(AND(A228&lt;&gt;"",A228='Project Summary'!$C$3,C228&lt;&gt;""),COUNTIFS($A$2:$A228,'Project Summary'!$C$3,$C$2:$C228,"&lt;&gt;"),"")</f>
        <v/>
      </c>
    </row>
    <row r="229" customFormat="false" ht="15" hidden="false" customHeight="false" outlineLevel="0" collapsed="false">
      <c r="A229" s="32"/>
      <c r="B229" s="32"/>
      <c r="C229" s="32"/>
      <c r="D229" s="41"/>
      <c r="E229" s="35"/>
      <c r="F229" s="35"/>
      <c r="G229" s="35"/>
      <c r="H229" s="35"/>
      <c r="I229" s="33"/>
      <c r="J229" s="37" t="str">
        <f aca="false">IF(OR(C229="",F229="",G229=""),"",G229-F229)</f>
        <v/>
      </c>
      <c r="K229" s="37" t="str">
        <f aca="false">IF(AND(A229&lt;&gt;"",A229='Project Summary'!$C$3,C229&lt;&gt;""),COUNTIFS($A$2:$A229,'Project Summary'!$C$3,$C$2:$C229,"&lt;&gt;"),"")</f>
        <v/>
      </c>
    </row>
    <row r="230" customFormat="false" ht="15" hidden="false" customHeight="false" outlineLevel="0" collapsed="false">
      <c r="A230" s="32"/>
      <c r="B230" s="32"/>
      <c r="C230" s="32"/>
      <c r="D230" s="41"/>
      <c r="E230" s="35"/>
      <c r="F230" s="35"/>
      <c r="G230" s="35"/>
      <c r="H230" s="35"/>
      <c r="I230" s="33"/>
      <c r="J230" s="37" t="str">
        <f aca="false">IF(OR(C230="",F230="",G230=""),"",G230-F230)</f>
        <v/>
      </c>
      <c r="K230" s="37" t="str">
        <f aca="false">IF(AND(A230&lt;&gt;"",A230='Project Summary'!$C$3,C230&lt;&gt;""),COUNTIFS($A$2:$A230,'Project Summary'!$C$3,$C$2:$C230,"&lt;&gt;"),"")</f>
        <v/>
      </c>
    </row>
    <row r="231" customFormat="false" ht="15" hidden="false" customHeight="false" outlineLevel="0" collapsed="false">
      <c r="A231" s="32"/>
      <c r="B231" s="32"/>
      <c r="C231" s="32"/>
      <c r="D231" s="41"/>
      <c r="E231" s="35"/>
      <c r="F231" s="35"/>
      <c r="G231" s="35"/>
      <c r="H231" s="35"/>
      <c r="I231" s="33"/>
      <c r="J231" s="37" t="str">
        <f aca="false">IF(OR(C231="",F231="",G231=""),"",G231-F231)</f>
        <v/>
      </c>
      <c r="K231" s="37" t="str">
        <f aca="false">IF(AND(A231&lt;&gt;"",A231='Project Summary'!$C$3,C231&lt;&gt;""),COUNTIFS($A$2:$A231,'Project Summary'!$C$3,$C$2:$C231,"&lt;&gt;"),"")</f>
        <v/>
      </c>
    </row>
    <row r="232" customFormat="false" ht="15" hidden="false" customHeight="false" outlineLevel="0" collapsed="false">
      <c r="A232" s="32"/>
      <c r="B232" s="32"/>
      <c r="C232" s="32"/>
      <c r="D232" s="41"/>
      <c r="E232" s="35"/>
      <c r="F232" s="35"/>
      <c r="G232" s="35"/>
      <c r="H232" s="35"/>
      <c r="I232" s="33"/>
      <c r="J232" s="37" t="str">
        <f aca="false">IF(OR(C232="",F232="",G232=""),"",G232-F232)</f>
        <v/>
      </c>
      <c r="K232" s="37" t="str">
        <f aca="false">IF(AND(A232&lt;&gt;"",A232='Project Summary'!$C$3,C232&lt;&gt;""),COUNTIFS($A$2:$A232,'Project Summary'!$C$3,$C$2:$C232,"&lt;&gt;"),"")</f>
        <v/>
      </c>
    </row>
    <row r="233" customFormat="false" ht="15" hidden="false" customHeight="false" outlineLevel="0" collapsed="false">
      <c r="A233" s="32"/>
      <c r="B233" s="32"/>
      <c r="C233" s="32"/>
      <c r="D233" s="41"/>
      <c r="E233" s="35"/>
      <c r="F233" s="35"/>
      <c r="G233" s="35"/>
      <c r="H233" s="35"/>
      <c r="I233" s="33"/>
      <c r="J233" s="37" t="str">
        <f aca="false">IF(OR(C233="",F233="",G233=""),"",G233-F233)</f>
        <v/>
      </c>
      <c r="K233" s="37" t="str">
        <f aca="false">IF(AND(A233&lt;&gt;"",A233='Project Summary'!$C$3,C233&lt;&gt;""),COUNTIFS($A$2:$A233,'Project Summary'!$C$3,$C$2:$C233,"&lt;&gt;"),"")</f>
        <v/>
      </c>
    </row>
    <row r="234" customFormat="false" ht="15" hidden="false" customHeight="false" outlineLevel="0" collapsed="false">
      <c r="A234" s="32"/>
      <c r="B234" s="32"/>
      <c r="C234" s="32"/>
      <c r="D234" s="41"/>
      <c r="E234" s="35"/>
      <c r="F234" s="35"/>
      <c r="G234" s="35"/>
      <c r="H234" s="35"/>
      <c r="I234" s="33"/>
      <c r="J234" s="37" t="str">
        <f aca="false">IF(OR(C234="",F234="",G234=""),"",G234-F234)</f>
        <v/>
      </c>
      <c r="K234" s="37" t="str">
        <f aca="false">IF(AND(A234&lt;&gt;"",A234='Project Summary'!$C$3,C234&lt;&gt;""),COUNTIFS($A$2:$A234,'Project Summary'!$C$3,$C$2:$C234,"&lt;&gt;"),"")</f>
        <v/>
      </c>
    </row>
    <row r="235" customFormat="false" ht="15" hidden="false" customHeight="false" outlineLevel="0" collapsed="false">
      <c r="A235" s="32"/>
      <c r="B235" s="32"/>
      <c r="C235" s="32"/>
      <c r="D235" s="41"/>
      <c r="E235" s="35"/>
      <c r="F235" s="35"/>
      <c r="G235" s="35"/>
      <c r="H235" s="35"/>
      <c r="I235" s="33"/>
      <c r="J235" s="37" t="str">
        <f aca="false">IF(OR(C235="",F235="",G235=""),"",G235-F235)</f>
        <v/>
      </c>
      <c r="K235" s="37" t="str">
        <f aca="false">IF(AND(A235&lt;&gt;"",A235='Project Summary'!$C$3,C235&lt;&gt;""),COUNTIFS($A$2:$A235,'Project Summary'!$C$3,$C$2:$C235,"&lt;&gt;"),"")</f>
        <v/>
      </c>
    </row>
    <row r="236" customFormat="false" ht="15" hidden="false" customHeight="false" outlineLevel="0" collapsed="false">
      <c r="A236" s="32"/>
      <c r="B236" s="32"/>
      <c r="C236" s="32"/>
      <c r="D236" s="41"/>
      <c r="E236" s="35"/>
      <c r="F236" s="35"/>
      <c r="G236" s="35"/>
      <c r="H236" s="35"/>
      <c r="I236" s="33"/>
      <c r="J236" s="37" t="str">
        <f aca="false">IF(OR(C236="",F236="",G236=""),"",G236-F236)</f>
        <v/>
      </c>
      <c r="K236" s="37" t="str">
        <f aca="false">IF(AND(A236&lt;&gt;"",A236='Project Summary'!$C$3,C236&lt;&gt;""),COUNTIFS($A$2:$A236,'Project Summary'!$C$3,$C$2:$C236,"&lt;&gt;"),"")</f>
        <v/>
      </c>
    </row>
    <row r="237" customFormat="false" ht="15" hidden="false" customHeight="false" outlineLevel="0" collapsed="false">
      <c r="A237" s="32"/>
      <c r="B237" s="32"/>
      <c r="C237" s="32"/>
      <c r="D237" s="41"/>
      <c r="E237" s="35"/>
      <c r="F237" s="35"/>
      <c r="G237" s="35"/>
      <c r="H237" s="35"/>
      <c r="I237" s="33"/>
      <c r="J237" s="37" t="str">
        <f aca="false">IF(OR(C237="",F237="",G237=""),"",G237-F237)</f>
        <v/>
      </c>
      <c r="K237" s="37" t="str">
        <f aca="false">IF(AND(A237&lt;&gt;"",A237='Project Summary'!$C$3,C237&lt;&gt;""),COUNTIFS($A$2:$A237,'Project Summary'!$C$3,$C$2:$C237,"&lt;&gt;"),"")</f>
        <v/>
      </c>
    </row>
    <row r="238" customFormat="false" ht="15" hidden="false" customHeight="false" outlineLevel="0" collapsed="false">
      <c r="A238" s="32"/>
      <c r="B238" s="32"/>
      <c r="C238" s="32"/>
      <c r="D238" s="41"/>
      <c r="E238" s="35"/>
      <c r="F238" s="35"/>
      <c r="G238" s="35"/>
      <c r="H238" s="35"/>
      <c r="I238" s="33"/>
      <c r="J238" s="37" t="str">
        <f aca="false">IF(OR(C238="",F238="",G238=""),"",G238-F238)</f>
        <v/>
      </c>
      <c r="K238" s="37" t="str">
        <f aca="false">IF(AND(A238&lt;&gt;"",A238='Project Summary'!$C$3,C238&lt;&gt;""),COUNTIFS($A$2:$A238,'Project Summary'!$C$3,$C$2:$C238,"&lt;&gt;"),"")</f>
        <v/>
      </c>
    </row>
    <row r="239" customFormat="false" ht="15" hidden="false" customHeight="false" outlineLevel="0" collapsed="false">
      <c r="A239" s="32"/>
      <c r="B239" s="32"/>
      <c r="C239" s="32"/>
      <c r="D239" s="41"/>
      <c r="E239" s="35"/>
      <c r="F239" s="35"/>
      <c r="G239" s="35"/>
      <c r="H239" s="35"/>
      <c r="I239" s="33"/>
      <c r="J239" s="37" t="str">
        <f aca="false">IF(OR(C239="",F239="",G239=""),"",G239-F239)</f>
        <v/>
      </c>
      <c r="K239" s="37" t="str">
        <f aca="false">IF(AND(A239&lt;&gt;"",A239='Project Summary'!$C$3,C239&lt;&gt;""),COUNTIFS($A$2:$A239,'Project Summary'!$C$3,$C$2:$C239,"&lt;&gt;"),"")</f>
        <v/>
      </c>
    </row>
    <row r="240" customFormat="false" ht="15" hidden="false" customHeight="false" outlineLevel="0" collapsed="false">
      <c r="A240" s="32"/>
      <c r="B240" s="32"/>
      <c r="C240" s="32"/>
      <c r="D240" s="41"/>
      <c r="E240" s="35"/>
      <c r="F240" s="35"/>
      <c r="G240" s="35"/>
      <c r="H240" s="35"/>
      <c r="I240" s="33"/>
      <c r="J240" s="37" t="str">
        <f aca="false">IF(OR(C240="",F240="",G240=""),"",G240-F240)</f>
        <v/>
      </c>
      <c r="K240" s="37" t="str">
        <f aca="false">IF(AND(A240&lt;&gt;"",A240='Project Summary'!$C$3,C240&lt;&gt;""),COUNTIFS($A$2:$A240,'Project Summary'!$C$3,$C$2:$C240,"&lt;&gt;"),"")</f>
        <v/>
      </c>
    </row>
    <row r="241" customFormat="false" ht="15" hidden="false" customHeight="false" outlineLevel="0" collapsed="false">
      <c r="A241" s="32"/>
      <c r="B241" s="32"/>
      <c r="C241" s="32"/>
      <c r="D241" s="41"/>
      <c r="E241" s="35"/>
      <c r="F241" s="35"/>
      <c r="G241" s="35"/>
      <c r="H241" s="35"/>
      <c r="I241" s="33"/>
      <c r="J241" s="37" t="str">
        <f aca="false">IF(OR(C241="",F241="",G241=""),"",G241-F241)</f>
        <v/>
      </c>
      <c r="K241" s="37" t="str">
        <f aca="false">IF(AND(A241&lt;&gt;"",A241='Project Summary'!$C$3,C241&lt;&gt;""),COUNTIFS($A$2:$A241,'Project Summary'!$C$3,$C$2:$C241,"&lt;&gt;"),"")</f>
        <v/>
      </c>
    </row>
    <row r="242" customFormat="false" ht="15" hidden="false" customHeight="false" outlineLevel="0" collapsed="false">
      <c r="A242" s="32"/>
      <c r="B242" s="32"/>
      <c r="C242" s="32"/>
      <c r="D242" s="41"/>
      <c r="E242" s="35"/>
      <c r="F242" s="35"/>
      <c r="G242" s="35"/>
      <c r="H242" s="35"/>
      <c r="I242" s="33"/>
      <c r="J242" s="37" t="str">
        <f aca="false">IF(OR(C242="",F242="",G242=""),"",G242-F242)</f>
        <v/>
      </c>
      <c r="K242" s="37" t="str">
        <f aca="false">IF(AND(A242&lt;&gt;"",A242='Project Summary'!$C$3,C242&lt;&gt;""),COUNTIFS($A$2:$A242,'Project Summary'!$C$3,$C$2:$C242,"&lt;&gt;"),"")</f>
        <v/>
      </c>
    </row>
    <row r="243" customFormat="false" ht="15" hidden="false" customHeight="false" outlineLevel="0" collapsed="false">
      <c r="A243" s="32"/>
      <c r="B243" s="32"/>
      <c r="C243" s="32"/>
      <c r="D243" s="41"/>
      <c r="E243" s="35"/>
      <c r="F243" s="35"/>
      <c r="G243" s="35"/>
      <c r="H243" s="35"/>
      <c r="I243" s="33"/>
      <c r="J243" s="37" t="str">
        <f aca="false">IF(OR(C243="",F243="",G243=""),"",G243-F243)</f>
        <v/>
      </c>
      <c r="K243" s="37" t="str">
        <f aca="false">IF(AND(A243&lt;&gt;"",A243='Project Summary'!$C$3,C243&lt;&gt;""),COUNTIFS($A$2:$A243,'Project Summary'!$C$3,$C$2:$C243,"&lt;&gt;"),"")</f>
        <v/>
      </c>
    </row>
    <row r="244" customFormat="false" ht="15" hidden="false" customHeight="false" outlineLevel="0" collapsed="false">
      <c r="A244" s="32"/>
      <c r="B244" s="32"/>
      <c r="C244" s="32"/>
      <c r="D244" s="41"/>
      <c r="E244" s="35"/>
      <c r="F244" s="35"/>
      <c r="G244" s="35"/>
      <c r="H244" s="35"/>
      <c r="I244" s="33"/>
      <c r="J244" s="37" t="str">
        <f aca="false">IF(OR(C244="",F244="",G244=""),"",G244-F244)</f>
        <v/>
      </c>
      <c r="K244" s="37" t="str">
        <f aca="false">IF(AND(A244&lt;&gt;"",A244='Project Summary'!$C$3,C244&lt;&gt;""),COUNTIFS($A$2:$A244,'Project Summary'!$C$3,$C$2:$C244,"&lt;&gt;"),"")</f>
        <v/>
      </c>
    </row>
    <row r="245" customFormat="false" ht="15" hidden="false" customHeight="false" outlineLevel="0" collapsed="false">
      <c r="A245" s="32"/>
      <c r="B245" s="32"/>
      <c r="C245" s="32"/>
      <c r="D245" s="41"/>
      <c r="E245" s="35"/>
      <c r="F245" s="35"/>
      <c r="G245" s="35"/>
      <c r="H245" s="35"/>
      <c r="I245" s="33"/>
      <c r="J245" s="37" t="str">
        <f aca="false">IF(OR(C245="",F245="",G245=""),"",G245-F245)</f>
        <v/>
      </c>
      <c r="K245" s="37" t="str">
        <f aca="false">IF(AND(A245&lt;&gt;"",A245='Project Summary'!$C$3,C245&lt;&gt;""),COUNTIFS($A$2:$A245,'Project Summary'!$C$3,$C$2:$C245,"&lt;&gt;"),"")</f>
        <v/>
      </c>
    </row>
    <row r="246" customFormat="false" ht="15" hidden="false" customHeight="false" outlineLevel="0" collapsed="false">
      <c r="A246" s="32"/>
      <c r="B246" s="32"/>
      <c r="C246" s="32"/>
      <c r="D246" s="41"/>
      <c r="E246" s="35"/>
      <c r="F246" s="35"/>
      <c r="G246" s="35"/>
      <c r="H246" s="35"/>
      <c r="I246" s="33"/>
      <c r="J246" s="37" t="str">
        <f aca="false">IF(OR(C246="",F246="",G246=""),"",G246-F246)</f>
        <v/>
      </c>
      <c r="K246" s="37" t="str">
        <f aca="false">IF(AND(A246&lt;&gt;"",A246='Project Summary'!$C$3,C246&lt;&gt;""),COUNTIFS($A$2:$A246,'Project Summary'!$C$3,$C$2:$C246,"&lt;&gt;"),"")</f>
        <v/>
      </c>
    </row>
    <row r="247" customFormat="false" ht="15" hidden="false" customHeight="false" outlineLevel="0" collapsed="false">
      <c r="A247" s="32"/>
      <c r="B247" s="32"/>
      <c r="C247" s="32"/>
      <c r="D247" s="41"/>
      <c r="E247" s="35"/>
      <c r="F247" s="35"/>
      <c r="G247" s="35"/>
      <c r="H247" s="35"/>
      <c r="I247" s="33"/>
      <c r="J247" s="37" t="str">
        <f aca="false">IF(OR(C247="",F247="",G247=""),"",G247-F247)</f>
        <v/>
      </c>
      <c r="K247" s="37" t="str">
        <f aca="false">IF(AND(A247&lt;&gt;"",A247='Project Summary'!$C$3,C247&lt;&gt;""),COUNTIFS($A$2:$A247,'Project Summary'!$C$3,$C$2:$C247,"&lt;&gt;"),"")</f>
        <v/>
      </c>
    </row>
    <row r="248" customFormat="false" ht="15" hidden="false" customHeight="false" outlineLevel="0" collapsed="false">
      <c r="A248" s="32"/>
      <c r="B248" s="32"/>
      <c r="C248" s="32"/>
      <c r="D248" s="41"/>
      <c r="E248" s="35"/>
      <c r="F248" s="35"/>
      <c r="G248" s="35"/>
      <c r="H248" s="35"/>
      <c r="I248" s="33"/>
      <c r="J248" s="37" t="str">
        <f aca="false">IF(OR(C248="",F248="",G248=""),"",G248-F248)</f>
        <v/>
      </c>
      <c r="K248" s="37" t="str">
        <f aca="false">IF(AND(A248&lt;&gt;"",A248='Project Summary'!$C$3,C248&lt;&gt;""),COUNTIFS($A$2:$A248,'Project Summary'!$C$3,$C$2:$C248,"&lt;&gt;"),"")</f>
        <v/>
      </c>
    </row>
    <row r="249" customFormat="false" ht="15" hidden="false" customHeight="false" outlineLevel="0" collapsed="false">
      <c r="A249" s="32"/>
      <c r="B249" s="32"/>
      <c r="C249" s="32"/>
      <c r="D249" s="41"/>
      <c r="E249" s="35"/>
      <c r="F249" s="35"/>
      <c r="G249" s="35"/>
      <c r="H249" s="35"/>
      <c r="I249" s="33"/>
      <c r="J249" s="37" t="str">
        <f aca="false">IF(OR(C249="",F249="",G249=""),"",G249-F249)</f>
        <v/>
      </c>
      <c r="K249" s="37" t="str">
        <f aca="false">IF(AND(A249&lt;&gt;"",A249='Project Summary'!$C$3,C249&lt;&gt;""),COUNTIFS($A$2:$A249,'Project Summary'!$C$3,$C$2:$C249,"&lt;&gt;"),"")</f>
        <v/>
      </c>
    </row>
    <row r="250" customFormat="false" ht="15" hidden="false" customHeight="false" outlineLevel="0" collapsed="false">
      <c r="A250" s="32"/>
      <c r="B250" s="32"/>
      <c r="C250" s="32"/>
      <c r="D250" s="41"/>
      <c r="E250" s="35"/>
      <c r="F250" s="35"/>
      <c r="G250" s="35"/>
      <c r="H250" s="35"/>
      <c r="I250" s="33"/>
      <c r="J250" s="37" t="str">
        <f aca="false">IF(OR(C250="",F250="",G250=""),"",G250-F250)</f>
        <v/>
      </c>
      <c r="K250" s="37" t="str">
        <f aca="false">IF(AND(A250&lt;&gt;"",A250='Project Summary'!$C$3,C250&lt;&gt;""),COUNTIFS($A$2:$A250,'Project Summary'!$C$3,$C$2:$C250,"&lt;&gt;"),"")</f>
        <v/>
      </c>
    </row>
    <row r="251" customFormat="false" ht="15" hidden="false" customHeight="false" outlineLevel="0" collapsed="false">
      <c r="A251" s="32"/>
      <c r="B251" s="32"/>
      <c r="C251" s="32"/>
      <c r="D251" s="41"/>
      <c r="E251" s="35"/>
      <c r="F251" s="35"/>
      <c r="G251" s="35"/>
      <c r="H251" s="35"/>
      <c r="I251" s="33"/>
      <c r="J251" s="37" t="str">
        <f aca="false">IF(OR(C251="",F251="",G251=""),"",G251-F251)</f>
        <v/>
      </c>
      <c r="K251" s="37" t="str">
        <f aca="false">IF(AND(A251&lt;&gt;"",A251='Project Summary'!$C$3,C251&lt;&gt;""),COUNTIFS($A$2:$A251,'Project Summary'!$C$3,$C$2:$C251,"&lt;&gt;"),"")</f>
        <v/>
      </c>
    </row>
    <row r="252" customFormat="false" ht="15" hidden="false" customHeight="false" outlineLevel="0" collapsed="false">
      <c r="A252" s="32"/>
      <c r="B252" s="32"/>
      <c r="C252" s="32"/>
      <c r="D252" s="41"/>
      <c r="E252" s="35"/>
      <c r="F252" s="35"/>
      <c r="G252" s="35"/>
      <c r="H252" s="35"/>
      <c r="I252" s="33"/>
      <c r="J252" s="37" t="str">
        <f aca="false">IF(OR(C252="",F252="",G252=""),"",G252-F252)</f>
        <v/>
      </c>
      <c r="K252" s="37" t="str">
        <f aca="false">IF(AND(A252&lt;&gt;"",A252='Project Summary'!$C$3,C252&lt;&gt;""),COUNTIFS($A$2:$A252,'Project Summary'!$C$3,$C$2:$C252,"&lt;&gt;"),"")</f>
        <v/>
      </c>
    </row>
    <row r="253" customFormat="false" ht="15" hidden="false" customHeight="false" outlineLevel="0" collapsed="false">
      <c r="A253" s="32"/>
      <c r="B253" s="32"/>
      <c r="C253" s="32"/>
      <c r="D253" s="41"/>
      <c r="E253" s="35"/>
      <c r="F253" s="35"/>
      <c r="G253" s="35"/>
      <c r="H253" s="35"/>
      <c r="I253" s="33"/>
      <c r="J253" s="37" t="str">
        <f aca="false">IF(OR(C253="",F253="",G253=""),"",G253-F253)</f>
        <v/>
      </c>
      <c r="K253" s="37" t="str">
        <f aca="false">IF(AND(A253&lt;&gt;"",A253='Project Summary'!$C$3,C253&lt;&gt;""),COUNTIFS($A$2:$A253,'Project Summary'!$C$3,$C$2:$C253,"&lt;&gt;"),"")</f>
        <v/>
      </c>
    </row>
    <row r="254" customFormat="false" ht="15" hidden="false" customHeight="false" outlineLevel="0" collapsed="false">
      <c r="A254" s="32"/>
      <c r="B254" s="32"/>
      <c r="C254" s="32"/>
      <c r="D254" s="41"/>
      <c r="E254" s="35"/>
      <c r="F254" s="35"/>
      <c r="G254" s="35"/>
      <c r="H254" s="35"/>
      <c r="I254" s="33"/>
      <c r="J254" s="37" t="str">
        <f aca="false">IF(OR(C254="",F254="",G254=""),"",G254-F254)</f>
        <v/>
      </c>
      <c r="K254" s="37" t="str">
        <f aca="false">IF(AND(A254&lt;&gt;"",A254='Project Summary'!$C$3,C254&lt;&gt;""),COUNTIFS($A$2:$A254,'Project Summary'!$C$3,$C$2:$C254,"&lt;&gt;"),"")</f>
        <v/>
      </c>
    </row>
    <row r="255" customFormat="false" ht="15" hidden="false" customHeight="false" outlineLevel="0" collapsed="false">
      <c r="A255" s="32"/>
      <c r="B255" s="32"/>
      <c r="C255" s="32"/>
      <c r="D255" s="41"/>
      <c r="E255" s="35"/>
      <c r="F255" s="35"/>
      <c r="G255" s="35"/>
      <c r="H255" s="35"/>
      <c r="I255" s="33"/>
      <c r="J255" s="37" t="str">
        <f aca="false">IF(OR(C255="",F255="",G255=""),"",G255-F255)</f>
        <v/>
      </c>
      <c r="K255" s="37" t="str">
        <f aca="false">IF(AND(A255&lt;&gt;"",A255='Project Summary'!$C$3,C255&lt;&gt;""),COUNTIFS($A$2:$A255,'Project Summary'!$C$3,$C$2:$C255,"&lt;&gt;"),"")</f>
        <v/>
      </c>
    </row>
    <row r="256" customFormat="false" ht="15" hidden="false" customHeight="false" outlineLevel="0" collapsed="false">
      <c r="A256" s="32"/>
      <c r="B256" s="32"/>
      <c r="C256" s="32"/>
      <c r="D256" s="41"/>
      <c r="E256" s="35"/>
      <c r="F256" s="35"/>
      <c r="G256" s="35"/>
      <c r="H256" s="35"/>
      <c r="I256" s="33"/>
      <c r="J256" s="37" t="str">
        <f aca="false">IF(OR(C256="",F256="",G256=""),"",G256-F256)</f>
        <v/>
      </c>
      <c r="K256" s="37" t="str">
        <f aca="false">IF(AND(A256&lt;&gt;"",A256='Project Summary'!$C$3,C256&lt;&gt;""),COUNTIFS($A$2:$A256,'Project Summary'!$C$3,$C$2:$C256,"&lt;&gt;"),"")</f>
        <v/>
      </c>
    </row>
    <row r="257" customFormat="false" ht="15" hidden="false" customHeight="false" outlineLevel="0" collapsed="false">
      <c r="A257" s="32"/>
      <c r="B257" s="32"/>
      <c r="C257" s="32"/>
      <c r="D257" s="41"/>
      <c r="E257" s="35"/>
      <c r="F257" s="35"/>
      <c r="G257" s="35"/>
      <c r="H257" s="35"/>
      <c r="I257" s="33"/>
      <c r="J257" s="37" t="str">
        <f aca="false">IF(OR(C257="",F257="",G257=""),"",G257-F257)</f>
        <v/>
      </c>
      <c r="K257" s="37" t="str">
        <f aca="false">IF(AND(A257&lt;&gt;"",A257='Project Summary'!$C$3,C257&lt;&gt;""),COUNTIFS($A$2:$A257,'Project Summary'!$C$3,$C$2:$C257,"&lt;&gt;"),"")</f>
        <v/>
      </c>
    </row>
    <row r="258" customFormat="false" ht="15" hidden="false" customHeight="false" outlineLevel="0" collapsed="false">
      <c r="A258" s="32"/>
      <c r="B258" s="32"/>
      <c r="C258" s="32"/>
      <c r="D258" s="41"/>
      <c r="E258" s="35"/>
      <c r="F258" s="35"/>
      <c r="G258" s="35"/>
      <c r="H258" s="35"/>
      <c r="I258" s="33"/>
      <c r="J258" s="37" t="str">
        <f aca="false">IF(OR(C258="",F258="",G258=""),"",G258-F258)</f>
        <v/>
      </c>
      <c r="K258" s="37" t="str">
        <f aca="false">IF(AND(A258&lt;&gt;"",A258='Project Summary'!$C$3,C258&lt;&gt;""),COUNTIFS($A$2:$A258,'Project Summary'!$C$3,$C$2:$C258,"&lt;&gt;"),"")</f>
        <v/>
      </c>
    </row>
    <row r="259" customFormat="false" ht="15" hidden="false" customHeight="false" outlineLevel="0" collapsed="false">
      <c r="A259" s="32"/>
      <c r="B259" s="32"/>
      <c r="C259" s="32"/>
      <c r="D259" s="41"/>
      <c r="E259" s="35"/>
      <c r="F259" s="35"/>
      <c r="G259" s="35"/>
      <c r="H259" s="35"/>
      <c r="I259" s="33"/>
      <c r="J259" s="37" t="str">
        <f aca="false">IF(OR(C259="",F259="",G259=""),"",G259-F259)</f>
        <v/>
      </c>
      <c r="K259" s="37" t="str">
        <f aca="false">IF(AND(A259&lt;&gt;"",A259='Project Summary'!$C$3,C259&lt;&gt;""),COUNTIFS($A$2:$A259,'Project Summary'!$C$3,$C$2:$C259,"&lt;&gt;"),"")</f>
        <v/>
      </c>
    </row>
    <row r="260" customFormat="false" ht="15" hidden="false" customHeight="false" outlineLevel="0" collapsed="false">
      <c r="A260" s="32"/>
      <c r="B260" s="32"/>
      <c r="C260" s="32"/>
      <c r="D260" s="41"/>
      <c r="E260" s="35"/>
      <c r="F260" s="35"/>
      <c r="G260" s="35"/>
      <c r="H260" s="35"/>
      <c r="I260" s="33"/>
      <c r="J260" s="37" t="str">
        <f aca="false">IF(OR(C260="",F260="",G260=""),"",G260-F260)</f>
        <v/>
      </c>
      <c r="K260" s="37" t="str">
        <f aca="false">IF(AND(A260&lt;&gt;"",A260='Project Summary'!$C$3,C260&lt;&gt;""),COUNTIFS($A$2:$A260,'Project Summary'!$C$3,$C$2:$C260,"&lt;&gt;"),"")</f>
        <v/>
      </c>
    </row>
    <row r="261" customFormat="false" ht="15" hidden="false" customHeight="false" outlineLevel="0" collapsed="false">
      <c r="A261" s="32"/>
      <c r="B261" s="32"/>
      <c r="C261" s="32"/>
      <c r="D261" s="41"/>
      <c r="E261" s="35"/>
      <c r="F261" s="35"/>
      <c r="G261" s="35"/>
      <c r="H261" s="35"/>
      <c r="I261" s="33"/>
      <c r="J261" s="37" t="str">
        <f aca="false">IF(OR(C261="",F261="",G261=""),"",G261-F261)</f>
        <v/>
      </c>
      <c r="K261" s="37" t="str">
        <f aca="false">IF(AND(A261&lt;&gt;"",A261='Project Summary'!$C$3,C261&lt;&gt;""),COUNTIFS($A$2:$A261,'Project Summary'!$C$3,$C$2:$C261,"&lt;&gt;"),"")</f>
        <v/>
      </c>
    </row>
    <row r="262" customFormat="false" ht="15" hidden="false" customHeight="false" outlineLevel="0" collapsed="false">
      <c r="A262" s="32"/>
      <c r="B262" s="32"/>
      <c r="C262" s="32"/>
      <c r="D262" s="41"/>
      <c r="E262" s="35"/>
      <c r="F262" s="35"/>
      <c r="G262" s="35"/>
      <c r="H262" s="35"/>
      <c r="I262" s="33"/>
      <c r="J262" s="37" t="str">
        <f aca="false">IF(OR(C262="",F262="",G262=""),"",G262-F262)</f>
        <v/>
      </c>
      <c r="K262" s="37" t="str">
        <f aca="false">IF(AND(A262&lt;&gt;"",A262='Project Summary'!$C$3,C262&lt;&gt;""),COUNTIFS($A$2:$A262,'Project Summary'!$C$3,$C$2:$C262,"&lt;&gt;"),"")</f>
        <v/>
      </c>
    </row>
    <row r="263" customFormat="false" ht="15" hidden="false" customHeight="false" outlineLevel="0" collapsed="false">
      <c r="A263" s="32"/>
      <c r="B263" s="32"/>
      <c r="C263" s="32"/>
      <c r="D263" s="41"/>
      <c r="E263" s="35"/>
      <c r="F263" s="35"/>
      <c r="G263" s="35"/>
      <c r="H263" s="35"/>
      <c r="I263" s="33"/>
      <c r="J263" s="37" t="str">
        <f aca="false">IF(OR(C263="",F263="",G263=""),"",G263-F263)</f>
        <v/>
      </c>
      <c r="K263" s="37" t="str">
        <f aca="false">IF(AND(A263&lt;&gt;"",A263='Project Summary'!$C$3,C263&lt;&gt;""),COUNTIFS($A$2:$A263,'Project Summary'!$C$3,$C$2:$C263,"&lt;&gt;"),"")</f>
        <v/>
      </c>
    </row>
    <row r="264" customFormat="false" ht="15" hidden="false" customHeight="false" outlineLevel="0" collapsed="false">
      <c r="A264" s="32"/>
      <c r="B264" s="32"/>
      <c r="C264" s="32"/>
      <c r="D264" s="41"/>
      <c r="E264" s="35"/>
      <c r="F264" s="35"/>
      <c r="G264" s="35"/>
      <c r="H264" s="35"/>
      <c r="I264" s="33"/>
      <c r="J264" s="37" t="str">
        <f aca="false">IF(OR(C264="",F264="",G264=""),"",G264-F264)</f>
        <v/>
      </c>
      <c r="K264" s="37" t="str">
        <f aca="false">IF(AND(A264&lt;&gt;"",A264='Project Summary'!$C$3,C264&lt;&gt;""),COUNTIFS($A$2:$A264,'Project Summary'!$C$3,$C$2:$C264,"&lt;&gt;"),"")</f>
        <v/>
      </c>
    </row>
    <row r="265" customFormat="false" ht="15" hidden="false" customHeight="false" outlineLevel="0" collapsed="false">
      <c r="A265" s="32"/>
      <c r="B265" s="32"/>
      <c r="C265" s="32"/>
      <c r="D265" s="41"/>
      <c r="E265" s="35"/>
      <c r="F265" s="35"/>
      <c r="G265" s="35"/>
      <c r="H265" s="35"/>
      <c r="I265" s="33"/>
      <c r="J265" s="37" t="str">
        <f aca="false">IF(OR(C265="",F265="",G265=""),"",G265-F265)</f>
        <v/>
      </c>
      <c r="K265" s="37" t="str">
        <f aca="false">IF(AND(A265&lt;&gt;"",A265='Project Summary'!$C$3,C265&lt;&gt;""),COUNTIFS($A$2:$A265,'Project Summary'!$C$3,$C$2:$C265,"&lt;&gt;"),"")</f>
        <v/>
      </c>
    </row>
    <row r="266" customFormat="false" ht="15" hidden="false" customHeight="false" outlineLevel="0" collapsed="false">
      <c r="A266" s="32"/>
      <c r="B266" s="32"/>
      <c r="C266" s="32"/>
      <c r="D266" s="41"/>
      <c r="E266" s="35"/>
      <c r="F266" s="35"/>
      <c r="G266" s="35"/>
      <c r="H266" s="35"/>
      <c r="I266" s="33"/>
      <c r="J266" s="37" t="str">
        <f aca="false">IF(OR(C266="",F266="",G266=""),"",G266-F266)</f>
        <v/>
      </c>
      <c r="K266" s="37" t="str">
        <f aca="false">IF(AND(A266&lt;&gt;"",A266='Project Summary'!$C$3,C266&lt;&gt;""),COUNTIFS($A$2:$A266,'Project Summary'!$C$3,$C$2:$C266,"&lt;&gt;"),"")</f>
        <v/>
      </c>
    </row>
    <row r="267" customFormat="false" ht="15" hidden="false" customHeight="false" outlineLevel="0" collapsed="false">
      <c r="A267" s="32"/>
      <c r="B267" s="32"/>
      <c r="C267" s="32"/>
      <c r="D267" s="41"/>
      <c r="E267" s="35"/>
      <c r="F267" s="35"/>
      <c r="G267" s="35"/>
      <c r="H267" s="35"/>
      <c r="I267" s="33"/>
      <c r="J267" s="37" t="str">
        <f aca="false">IF(OR(C267="",F267="",G267=""),"",G267-F267)</f>
        <v/>
      </c>
      <c r="K267" s="37" t="str">
        <f aca="false">IF(AND(A267&lt;&gt;"",A267='Project Summary'!$C$3,C267&lt;&gt;""),COUNTIFS($A$2:$A267,'Project Summary'!$C$3,$C$2:$C267,"&lt;&gt;"),"")</f>
        <v/>
      </c>
    </row>
    <row r="268" customFormat="false" ht="15" hidden="false" customHeight="false" outlineLevel="0" collapsed="false">
      <c r="A268" s="32"/>
      <c r="B268" s="32"/>
      <c r="C268" s="32"/>
      <c r="D268" s="41"/>
      <c r="E268" s="35"/>
      <c r="F268" s="35"/>
      <c r="G268" s="35"/>
      <c r="H268" s="35"/>
      <c r="I268" s="33"/>
      <c r="J268" s="37" t="str">
        <f aca="false">IF(OR(C268="",F268="",G268=""),"",G268-F268)</f>
        <v/>
      </c>
      <c r="K268" s="37" t="str">
        <f aca="false">IF(AND(A268&lt;&gt;"",A268='Project Summary'!$C$3,C268&lt;&gt;""),COUNTIFS($A$2:$A268,'Project Summary'!$C$3,$C$2:$C268,"&lt;&gt;"),"")</f>
        <v/>
      </c>
    </row>
    <row r="269" customFormat="false" ht="15" hidden="false" customHeight="false" outlineLevel="0" collapsed="false">
      <c r="A269" s="32"/>
      <c r="B269" s="32"/>
      <c r="C269" s="32"/>
      <c r="D269" s="41"/>
      <c r="E269" s="35"/>
      <c r="F269" s="35"/>
      <c r="G269" s="35"/>
      <c r="H269" s="35"/>
      <c r="I269" s="33"/>
      <c r="J269" s="37" t="str">
        <f aca="false">IF(OR(C269="",F269="",G269=""),"",G269-F269)</f>
        <v/>
      </c>
      <c r="K269" s="37" t="str">
        <f aca="false">IF(AND(A269&lt;&gt;"",A269='Project Summary'!$C$3,C269&lt;&gt;""),COUNTIFS($A$2:$A269,'Project Summary'!$C$3,$C$2:$C269,"&lt;&gt;"),"")</f>
        <v/>
      </c>
    </row>
    <row r="270" customFormat="false" ht="15" hidden="false" customHeight="false" outlineLevel="0" collapsed="false">
      <c r="A270" s="32"/>
      <c r="B270" s="32"/>
      <c r="C270" s="32"/>
      <c r="D270" s="41"/>
      <c r="E270" s="35"/>
      <c r="F270" s="35"/>
      <c r="G270" s="35"/>
      <c r="H270" s="35"/>
      <c r="I270" s="33"/>
      <c r="J270" s="37" t="str">
        <f aca="false">IF(OR(C270="",F270="",G270=""),"",G270-F270)</f>
        <v/>
      </c>
      <c r="K270" s="37" t="str">
        <f aca="false">IF(AND(A270&lt;&gt;"",A270='Project Summary'!$C$3,C270&lt;&gt;""),COUNTIFS($A$2:$A270,'Project Summary'!$C$3,$C$2:$C270,"&lt;&gt;"),"")</f>
        <v/>
      </c>
    </row>
    <row r="271" customFormat="false" ht="15" hidden="false" customHeight="false" outlineLevel="0" collapsed="false">
      <c r="A271" s="32"/>
      <c r="B271" s="32"/>
      <c r="C271" s="32"/>
      <c r="D271" s="41"/>
      <c r="E271" s="35"/>
      <c r="F271" s="35"/>
      <c r="G271" s="35"/>
      <c r="H271" s="35"/>
      <c r="I271" s="33"/>
      <c r="J271" s="37" t="str">
        <f aca="false">IF(OR(C271="",F271="",G271=""),"",G271-F271)</f>
        <v/>
      </c>
      <c r="K271" s="37" t="str">
        <f aca="false">IF(AND(A271&lt;&gt;"",A271='Project Summary'!$C$3,C271&lt;&gt;""),COUNTIFS($A$2:$A271,'Project Summary'!$C$3,$C$2:$C271,"&lt;&gt;"),"")</f>
        <v/>
      </c>
    </row>
    <row r="272" customFormat="false" ht="15" hidden="false" customHeight="false" outlineLevel="0" collapsed="false">
      <c r="A272" s="32"/>
      <c r="B272" s="32"/>
      <c r="C272" s="32"/>
      <c r="D272" s="41"/>
      <c r="E272" s="35"/>
      <c r="F272" s="35"/>
      <c r="G272" s="35"/>
      <c r="H272" s="35"/>
      <c r="I272" s="33"/>
      <c r="J272" s="37" t="str">
        <f aca="false">IF(OR(C272="",F272="",G272=""),"",G272-F272)</f>
        <v/>
      </c>
      <c r="K272" s="37" t="str">
        <f aca="false">IF(AND(A272&lt;&gt;"",A272='Project Summary'!$C$3,C272&lt;&gt;""),COUNTIFS($A$2:$A272,'Project Summary'!$C$3,$C$2:$C272,"&lt;&gt;"),"")</f>
        <v/>
      </c>
    </row>
    <row r="273" customFormat="false" ht="15" hidden="false" customHeight="false" outlineLevel="0" collapsed="false">
      <c r="A273" s="32"/>
      <c r="B273" s="32"/>
      <c r="C273" s="32"/>
      <c r="D273" s="41"/>
      <c r="E273" s="35"/>
      <c r="F273" s="35"/>
      <c r="G273" s="35"/>
      <c r="H273" s="35"/>
      <c r="I273" s="33"/>
      <c r="J273" s="37" t="str">
        <f aca="false">IF(OR(C273="",F273="",G273=""),"",G273-F273)</f>
        <v/>
      </c>
      <c r="K273" s="37" t="str">
        <f aca="false">IF(AND(A273&lt;&gt;"",A273='Project Summary'!$C$3,C273&lt;&gt;""),COUNTIFS($A$2:$A273,'Project Summary'!$C$3,$C$2:$C273,"&lt;&gt;"),"")</f>
        <v/>
      </c>
    </row>
    <row r="274" customFormat="false" ht="15" hidden="false" customHeight="false" outlineLevel="0" collapsed="false">
      <c r="A274" s="32"/>
      <c r="B274" s="32"/>
      <c r="C274" s="32"/>
      <c r="D274" s="41"/>
      <c r="E274" s="35"/>
      <c r="F274" s="35"/>
      <c r="G274" s="35"/>
      <c r="H274" s="35"/>
      <c r="I274" s="33"/>
      <c r="J274" s="37" t="str">
        <f aca="false">IF(OR(C274="",F274="",G274=""),"",G274-F274)</f>
        <v/>
      </c>
      <c r="K274" s="37" t="str">
        <f aca="false">IF(AND(A274&lt;&gt;"",A274='Project Summary'!$C$3,C274&lt;&gt;""),COUNTIFS($A$2:$A274,'Project Summary'!$C$3,$C$2:$C274,"&lt;&gt;"),"")</f>
        <v/>
      </c>
    </row>
    <row r="275" customFormat="false" ht="15" hidden="false" customHeight="false" outlineLevel="0" collapsed="false">
      <c r="A275" s="32"/>
      <c r="B275" s="32"/>
      <c r="C275" s="32"/>
      <c r="D275" s="41"/>
      <c r="E275" s="35"/>
      <c r="F275" s="35"/>
      <c r="G275" s="35"/>
      <c r="H275" s="35"/>
      <c r="I275" s="33"/>
      <c r="J275" s="37" t="str">
        <f aca="false">IF(OR(C275="",F275="",G275=""),"",G275-F275)</f>
        <v/>
      </c>
      <c r="K275" s="37" t="str">
        <f aca="false">IF(AND(A275&lt;&gt;"",A275='Project Summary'!$C$3,C275&lt;&gt;""),COUNTIFS($A$2:$A275,'Project Summary'!$C$3,$C$2:$C275,"&lt;&gt;"),"")</f>
        <v/>
      </c>
    </row>
    <row r="276" customFormat="false" ht="15" hidden="false" customHeight="false" outlineLevel="0" collapsed="false">
      <c r="A276" s="32"/>
      <c r="B276" s="32"/>
      <c r="C276" s="32"/>
      <c r="D276" s="41"/>
      <c r="E276" s="35"/>
      <c r="F276" s="35"/>
      <c r="G276" s="35"/>
      <c r="H276" s="35"/>
      <c r="I276" s="33"/>
      <c r="J276" s="37" t="str">
        <f aca="false">IF(OR(C276="",F276="",G276=""),"",G276-F276)</f>
        <v/>
      </c>
      <c r="K276" s="37" t="str">
        <f aca="false">IF(AND(A276&lt;&gt;"",A276='Project Summary'!$C$3,C276&lt;&gt;""),COUNTIFS($A$2:$A276,'Project Summary'!$C$3,$C$2:$C276,"&lt;&gt;"),"")</f>
        <v/>
      </c>
    </row>
    <row r="277" customFormat="false" ht="15" hidden="false" customHeight="false" outlineLevel="0" collapsed="false">
      <c r="A277" s="32"/>
      <c r="B277" s="32"/>
      <c r="C277" s="32"/>
      <c r="D277" s="41"/>
      <c r="E277" s="35"/>
      <c r="F277" s="35"/>
      <c r="G277" s="35"/>
      <c r="H277" s="35"/>
      <c r="I277" s="33"/>
      <c r="J277" s="37" t="str">
        <f aca="false">IF(OR(C277="",F277="",G277=""),"",G277-F277)</f>
        <v/>
      </c>
      <c r="K277" s="37" t="str">
        <f aca="false">IF(AND(A277&lt;&gt;"",A277='Project Summary'!$C$3,C277&lt;&gt;""),COUNTIFS($A$2:$A277,'Project Summary'!$C$3,$C$2:$C277,"&lt;&gt;"),"")</f>
        <v/>
      </c>
    </row>
    <row r="278" customFormat="false" ht="15" hidden="false" customHeight="false" outlineLevel="0" collapsed="false">
      <c r="A278" s="32"/>
      <c r="B278" s="32"/>
      <c r="C278" s="32"/>
      <c r="D278" s="41"/>
      <c r="E278" s="35"/>
      <c r="F278" s="35"/>
      <c r="G278" s="35"/>
      <c r="H278" s="35"/>
      <c r="I278" s="33"/>
      <c r="J278" s="37" t="str">
        <f aca="false">IF(OR(C278="",F278="",G278=""),"",G278-F278)</f>
        <v/>
      </c>
      <c r="K278" s="37" t="str">
        <f aca="false">IF(AND(A278&lt;&gt;"",A278='Project Summary'!$C$3,C278&lt;&gt;""),COUNTIFS($A$2:$A278,'Project Summary'!$C$3,$C$2:$C278,"&lt;&gt;"),"")</f>
        <v/>
      </c>
    </row>
    <row r="279" customFormat="false" ht="15" hidden="false" customHeight="false" outlineLevel="0" collapsed="false">
      <c r="A279" s="32"/>
      <c r="B279" s="32"/>
      <c r="C279" s="32"/>
      <c r="D279" s="41"/>
      <c r="E279" s="35"/>
      <c r="F279" s="35"/>
      <c r="G279" s="35"/>
      <c r="H279" s="35"/>
      <c r="I279" s="33"/>
      <c r="J279" s="37" t="str">
        <f aca="false">IF(OR(C279="",F279="",G279=""),"",G279-F279)</f>
        <v/>
      </c>
      <c r="K279" s="37" t="str">
        <f aca="false">IF(AND(A279&lt;&gt;"",A279='Project Summary'!$C$3,C279&lt;&gt;""),COUNTIFS($A$2:$A279,'Project Summary'!$C$3,$C$2:$C279,"&lt;&gt;"),"")</f>
        <v/>
      </c>
    </row>
    <row r="280" customFormat="false" ht="15" hidden="false" customHeight="false" outlineLevel="0" collapsed="false">
      <c r="A280" s="32"/>
      <c r="B280" s="32"/>
      <c r="C280" s="32"/>
      <c r="D280" s="41"/>
      <c r="E280" s="35"/>
      <c r="F280" s="35"/>
      <c r="G280" s="35"/>
      <c r="H280" s="35"/>
      <c r="I280" s="33"/>
      <c r="J280" s="37" t="str">
        <f aca="false">IF(OR(C280="",F280="",G280=""),"",G280-F280)</f>
        <v/>
      </c>
      <c r="K280" s="37" t="str">
        <f aca="false">IF(AND(A280&lt;&gt;"",A280='Project Summary'!$C$3,C280&lt;&gt;""),COUNTIFS($A$2:$A280,'Project Summary'!$C$3,$C$2:$C280,"&lt;&gt;"),"")</f>
        <v/>
      </c>
    </row>
    <row r="281" customFormat="false" ht="15" hidden="false" customHeight="false" outlineLevel="0" collapsed="false">
      <c r="A281" s="32"/>
      <c r="B281" s="32"/>
      <c r="C281" s="32"/>
      <c r="D281" s="41"/>
      <c r="E281" s="35"/>
      <c r="F281" s="35"/>
      <c r="G281" s="35"/>
      <c r="H281" s="35"/>
      <c r="I281" s="33"/>
      <c r="J281" s="37" t="str">
        <f aca="false">IF(OR(C281="",F281="",G281=""),"",G281-F281)</f>
        <v/>
      </c>
      <c r="K281" s="37" t="str">
        <f aca="false">IF(AND(A281&lt;&gt;"",A281='Project Summary'!$C$3,C281&lt;&gt;""),COUNTIFS($A$2:$A281,'Project Summary'!$C$3,$C$2:$C281,"&lt;&gt;"),"")</f>
        <v/>
      </c>
    </row>
    <row r="282" customFormat="false" ht="15" hidden="false" customHeight="false" outlineLevel="0" collapsed="false">
      <c r="A282" s="32"/>
      <c r="B282" s="32"/>
      <c r="C282" s="32"/>
      <c r="D282" s="41"/>
      <c r="E282" s="35"/>
      <c r="F282" s="35"/>
      <c r="G282" s="35"/>
      <c r="H282" s="35"/>
      <c r="I282" s="33"/>
      <c r="J282" s="37" t="str">
        <f aca="false">IF(OR(C282="",F282="",G282=""),"",G282-F282)</f>
        <v/>
      </c>
      <c r="K282" s="37" t="str">
        <f aca="false">IF(AND(A282&lt;&gt;"",A282='Project Summary'!$C$3,C282&lt;&gt;""),COUNTIFS($A$2:$A282,'Project Summary'!$C$3,$C$2:$C282,"&lt;&gt;"),"")</f>
        <v/>
      </c>
    </row>
    <row r="283" customFormat="false" ht="15" hidden="false" customHeight="false" outlineLevel="0" collapsed="false">
      <c r="A283" s="32"/>
      <c r="B283" s="32"/>
      <c r="C283" s="32"/>
      <c r="D283" s="41"/>
      <c r="E283" s="35"/>
      <c r="F283" s="35"/>
      <c r="G283" s="35"/>
      <c r="H283" s="35"/>
      <c r="I283" s="33"/>
      <c r="J283" s="37" t="str">
        <f aca="false">IF(OR(C283="",F283="",G283=""),"",G283-F283)</f>
        <v/>
      </c>
      <c r="K283" s="37" t="str">
        <f aca="false">IF(AND(A283&lt;&gt;"",A283='Project Summary'!$C$3,C283&lt;&gt;""),COUNTIFS($A$2:$A283,'Project Summary'!$C$3,$C$2:$C283,"&lt;&gt;"),"")</f>
        <v/>
      </c>
    </row>
    <row r="284" customFormat="false" ht="15" hidden="false" customHeight="false" outlineLevel="0" collapsed="false">
      <c r="A284" s="32"/>
      <c r="B284" s="32"/>
      <c r="C284" s="32"/>
      <c r="D284" s="41"/>
      <c r="E284" s="35"/>
      <c r="F284" s="35"/>
      <c r="G284" s="35"/>
      <c r="H284" s="35"/>
      <c r="I284" s="33"/>
      <c r="J284" s="37" t="str">
        <f aca="false">IF(OR(C284="",F284="",G284=""),"",G284-F284)</f>
        <v/>
      </c>
      <c r="K284" s="37" t="str">
        <f aca="false">IF(AND(A284&lt;&gt;"",A284='Project Summary'!$C$3,C284&lt;&gt;""),COUNTIFS($A$2:$A284,'Project Summary'!$C$3,$C$2:$C284,"&lt;&gt;"),"")</f>
        <v/>
      </c>
    </row>
    <row r="285" customFormat="false" ht="15" hidden="false" customHeight="false" outlineLevel="0" collapsed="false">
      <c r="A285" s="32"/>
      <c r="B285" s="32"/>
      <c r="C285" s="32"/>
      <c r="D285" s="41"/>
      <c r="E285" s="35"/>
      <c r="F285" s="35"/>
      <c r="G285" s="35"/>
      <c r="H285" s="35"/>
      <c r="I285" s="33"/>
      <c r="J285" s="37" t="str">
        <f aca="false">IF(OR(C285="",F285="",G285=""),"",G285-F285)</f>
        <v/>
      </c>
      <c r="K285" s="37" t="str">
        <f aca="false">IF(AND(A285&lt;&gt;"",A285='Project Summary'!$C$3,C285&lt;&gt;""),COUNTIFS($A$2:$A285,'Project Summary'!$C$3,$C$2:$C285,"&lt;&gt;"),"")</f>
        <v/>
      </c>
    </row>
    <row r="286" customFormat="false" ht="15" hidden="false" customHeight="false" outlineLevel="0" collapsed="false">
      <c r="A286" s="32"/>
      <c r="B286" s="32"/>
      <c r="C286" s="32"/>
      <c r="D286" s="41"/>
      <c r="E286" s="35"/>
      <c r="F286" s="35"/>
      <c r="G286" s="35"/>
      <c r="H286" s="35"/>
      <c r="I286" s="33"/>
      <c r="J286" s="37" t="str">
        <f aca="false">IF(OR(C286="",F286="",G286=""),"",G286-F286)</f>
        <v/>
      </c>
      <c r="K286" s="37" t="str">
        <f aca="false">IF(AND(A286&lt;&gt;"",A286='Project Summary'!$C$3,C286&lt;&gt;""),COUNTIFS($A$2:$A286,'Project Summary'!$C$3,$C$2:$C286,"&lt;&gt;"),"")</f>
        <v/>
      </c>
    </row>
    <row r="287" customFormat="false" ht="15" hidden="false" customHeight="false" outlineLevel="0" collapsed="false">
      <c r="A287" s="32"/>
      <c r="B287" s="32"/>
      <c r="C287" s="32"/>
      <c r="D287" s="41"/>
      <c r="E287" s="35"/>
      <c r="F287" s="35"/>
      <c r="G287" s="35"/>
      <c r="H287" s="35"/>
      <c r="I287" s="33"/>
      <c r="J287" s="37" t="str">
        <f aca="false">IF(OR(C287="",F287="",G287=""),"",G287-F287)</f>
        <v/>
      </c>
      <c r="K287" s="37" t="str">
        <f aca="false">IF(AND(A287&lt;&gt;"",A287='Project Summary'!$C$3,C287&lt;&gt;""),COUNTIFS($A$2:$A287,'Project Summary'!$C$3,$C$2:$C287,"&lt;&gt;"),"")</f>
        <v/>
      </c>
    </row>
    <row r="288" customFormat="false" ht="15" hidden="false" customHeight="false" outlineLevel="0" collapsed="false">
      <c r="A288" s="32"/>
      <c r="B288" s="32"/>
      <c r="C288" s="32"/>
      <c r="D288" s="41"/>
      <c r="E288" s="35"/>
      <c r="F288" s="35"/>
      <c r="G288" s="35"/>
      <c r="H288" s="35"/>
      <c r="I288" s="33"/>
      <c r="J288" s="37" t="str">
        <f aca="false">IF(OR(C288="",F288="",G288=""),"",G288-F288)</f>
        <v/>
      </c>
      <c r="K288" s="37" t="str">
        <f aca="false">IF(AND(A288&lt;&gt;"",A288='Project Summary'!$C$3,C288&lt;&gt;""),COUNTIFS($A$2:$A288,'Project Summary'!$C$3,$C$2:$C288,"&lt;&gt;"),"")</f>
        <v/>
      </c>
    </row>
    <row r="289" customFormat="false" ht="15" hidden="false" customHeight="false" outlineLevel="0" collapsed="false">
      <c r="A289" s="32"/>
      <c r="B289" s="32"/>
      <c r="C289" s="32"/>
      <c r="D289" s="41"/>
      <c r="E289" s="35"/>
      <c r="F289" s="35"/>
      <c r="G289" s="35"/>
      <c r="H289" s="35"/>
      <c r="I289" s="33"/>
      <c r="J289" s="37" t="str">
        <f aca="false">IF(OR(C289="",F289="",G289=""),"",G289-F289)</f>
        <v/>
      </c>
      <c r="K289" s="37" t="str">
        <f aca="false">IF(AND(A289&lt;&gt;"",A289='Project Summary'!$C$3,C289&lt;&gt;""),COUNTIFS($A$2:$A289,'Project Summary'!$C$3,$C$2:$C289,"&lt;&gt;"),"")</f>
        <v/>
      </c>
    </row>
    <row r="290" customFormat="false" ht="15" hidden="false" customHeight="false" outlineLevel="0" collapsed="false">
      <c r="A290" s="32"/>
      <c r="B290" s="32"/>
      <c r="C290" s="32"/>
      <c r="D290" s="41"/>
      <c r="E290" s="35"/>
      <c r="F290" s="35"/>
      <c r="G290" s="35"/>
      <c r="H290" s="35"/>
      <c r="I290" s="33"/>
      <c r="J290" s="37" t="str">
        <f aca="false">IF(OR(C290="",F290="",G290=""),"",G290-F290)</f>
        <v/>
      </c>
      <c r="K290" s="37" t="str">
        <f aca="false">IF(AND(A290&lt;&gt;"",A290='Project Summary'!$C$3,C290&lt;&gt;""),COUNTIFS($A$2:$A290,'Project Summary'!$C$3,$C$2:$C290,"&lt;&gt;"),"")</f>
        <v/>
      </c>
    </row>
    <row r="291" customFormat="false" ht="15" hidden="false" customHeight="false" outlineLevel="0" collapsed="false">
      <c r="A291" s="32"/>
      <c r="B291" s="32"/>
      <c r="C291" s="32"/>
      <c r="D291" s="41"/>
      <c r="E291" s="35"/>
      <c r="F291" s="35"/>
      <c r="G291" s="35"/>
      <c r="H291" s="35"/>
      <c r="I291" s="33"/>
      <c r="J291" s="37" t="str">
        <f aca="false">IF(OR(C291="",F291="",G291=""),"",G291-F291)</f>
        <v/>
      </c>
      <c r="K291" s="37" t="str">
        <f aca="false">IF(AND(A291&lt;&gt;"",A291='Project Summary'!$C$3,C291&lt;&gt;""),COUNTIFS($A$2:$A291,'Project Summary'!$C$3,$C$2:$C291,"&lt;&gt;"),"")</f>
        <v/>
      </c>
    </row>
    <row r="292" customFormat="false" ht="15" hidden="false" customHeight="false" outlineLevel="0" collapsed="false">
      <c r="A292" s="32"/>
      <c r="B292" s="32"/>
      <c r="C292" s="32"/>
      <c r="D292" s="41"/>
      <c r="E292" s="35"/>
      <c r="F292" s="35"/>
      <c r="G292" s="35"/>
      <c r="H292" s="35"/>
      <c r="I292" s="33"/>
      <c r="J292" s="37" t="str">
        <f aca="false">IF(OR(C292="",F292="",G292=""),"",G292-F292)</f>
        <v/>
      </c>
      <c r="K292" s="37" t="str">
        <f aca="false">IF(AND(A292&lt;&gt;"",A292='Project Summary'!$C$3,C292&lt;&gt;""),COUNTIFS($A$2:$A292,'Project Summary'!$C$3,$C$2:$C292,"&lt;&gt;"),"")</f>
        <v/>
      </c>
    </row>
    <row r="293" customFormat="false" ht="15" hidden="false" customHeight="false" outlineLevel="0" collapsed="false">
      <c r="A293" s="32"/>
      <c r="B293" s="32"/>
      <c r="C293" s="32"/>
      <c r="D293" s="41"/>
      <c r="E293" s="35"/>
      <c r="F293" s="35"/>
      <c r="G293" s="35"/>
      <c r="H293" s="35"/>
      <c r="I293" s="33"/>
      <c r="J293" s="37" t="str">
        <f aca="false">IF(OR(C293="",F293="",G293=""),"",G293-F293)</f>
        <v/>
      </c>
      <c r="K293" s="37" t="str">
        <f aca="false">IF(AND(A293&lt;&gt;"",A293='Project Summary'!$C$3,C293&lt;&gt;""),COUNTIFS($A$2:$A293,'Project Summary'!$C$3,$C$2:$C293,"&lt;&gt;"),"")</f>
        <v/>
      </c>
    </row>
    <row r="294" customFormat="false" ht="15" hidden="false" customHeight="false" outlineLevel="0" collapsed="false">
      <c r="A294" s="32"/>
      <c r="B294" s="32"/>
      <c r="C294" s="32"/>
      <c r="D294" s="41"/>
      <c r="E294" s="35"/>
      <c r="F294" s="35"/>
      <c r="G294" s="35"/>
      <c r="H294" s="35"/>
      <c r="I294" s="33"/>
      <c r="J294" s="37" t="str">
        <f aca="false">IF(OR(C294="",F294="",G294=""),"",G294-F294)</f>
        <v/>
      </c>
      <c r="K294" s="37" t="str">
        <f aca="false">IF(AND(A294&lt;&gt;"",A294='Project Summary'!$C$3,C294&lt;&gt;""),COUNTIFS($A$2:$A294,'Project Summary'!$C$3,$C$2:$C294,"&lt;&gt;"),"")</f>
        <v/>
      </c>
    </row>
    <row r="295" customFormat="false" ht="15" hidden="false" customHeight="false" outlineLevel="0" collapsed="false">
      <c r="A295" s="32"/>
      <c r="B295" s="32"/>
      <c r="C295" s="32"/>
      <c r="D295" s="41"/>
      <c r="E295" s="35"/>
      <c r="F295" s="35"/>
      <c r="G295" s="35"/>
      <c r="H295" s="35"/>
      <c r="I295" s="33"/>
      <c r="J295" s="37" t="str">
        <f aca="false">IF(OR(C295="",F295="",G295=""),"",G295-F295)</f>
        <v/>
      </c>
      <c r="K295" s="37" t="str">
        <f aca="false">IF(AND(A295&lt;&gt;"",A295='Project Summary'!$C$3,C295&lt;&gt;""),COUNTIFS($A$2:$A295,'Project Summary'!$C$3,$C$2:$C295,"&lt;&gt;"),"")</f>
        <v/>
      </c>
    </row>
    <row r="296" customFormat="false" ht="15" hidden="false" customHeight="false" outlineLevel="0" collapsed="false">
      <c r="A296" s="32"/>
      <c r="B296" s="32"/>
      <c r="C296" s="32"/>
      <c r="D296" s="41"/>
      <c r="E296" s="35"/>
      <c r="F296" s="35"/>
      <c r="G296" s="35"/>
      <c r="H296" s="35"/>
      <c r="I296" s="33"/>
      <c r="J296" s="37" t="str">
        <f aca="false">IF(OR(C296="",F296="",G296=""),"",G296-F296)</f>
        <v/>
      </c>
      <c r="K296" s="37" t="str">
        <f aca="false">IF(AND(A296&lt;&gt;"",A296='Project Summary'!$C$3,C296&lt;&gt;""),COUNTIFS($A$2:$A296,'Project Summary'!$C$3,$C$2:$C296,"&lt;&gt;"),"")</f>
        <v/>
      </c>
    </row>
    <row r="297" customFormat="false" ht="15" hidden="false" customHeight="false" outlineLevel="0" collapsed="false">
      <c r="A297" s="32"/>
      <c r="B297" s="32"/>
      <c r="C297" s="32"/>
      <c r="D297" s="41"/>
      <c r="E297" s="35"/>
      <c r="F297" s="35"/>
      <c r="G297" s="35"/>
      <c r="H297" s="35"/>
      <c r="I297" s="33"/>
      <c r="J297" s="37" t="str">
        <f aca="false">IF(OR(C297="",F297="",G297=""),"",G297-F297)</f>
        <v/>
      </c>
      <c r="K297" s="37" t="str">
        <f aca="false">IF(AND(A297&lt;&gt;"",A297='Project Summary'!$C$3,C297&lt;&gt;""),COUNTIFS($A$2:$A297,'Project Summary'!$C$3,$C$2:$C297,"&lt;&gt;"),"")</f>
        <v/>
      </c>
    </row>
    <row r="298" customFormat="false" ht="15" hidden="false" customHeight="false" outlineLevel="0" collapsed="false">
      <c r="A298" s="32"/>
      <c r="B298" s="32"/>
      <c r="C298" s="32"/>
      <c r="D298" s="41"/>
      <c r="E298" s="35"/>
      <c r="F298" s="35"/>
      <c r="G298" s="35"/>
      <c r="H298" s="35"/>
      <c r="I298" s="33"/>
      <c r="J298" s="37" t="str">
        <f aca="false">IF(OR(C298="",F298="",G298=""),"",G298-F298)</f>
        <v/>
      </c>
      <c r="K298" s="37" t="str">
        <f aca="false">IF(AND(A298&lt;&gt;"",A298='Project Summary'!$C$3,C298&lt;&gt;""),COUNTIFS($A$2:$A298,'Project Summary'!$C$3,$C$2:$C298,"&lt;&gt;"),"")</f>
        <v/>
      </c>
    </row>
    <row r="299" customFormat="false" ht="15" hidden="false" customHeight="false" outlineLevel="0" collapsed="false">
      <c r="A299" s="32"/>
      <c r="B299" s="32"/>
      <c r="C299" s="32"/>
      <c r="D299" s="41"/>
      <c r="E299" s="35"/>
      <c r="F299" s="35"/>
      <c r="G299" s="35"/>
      <c r="H299" s="35"/>
      <c r="I299" s="33"/>
      <c r="J299" s="37" t="str">
        <f aca="false">IF(OR(C299="",F299="",G299=""),"",G299-F299)</f>
        <v/>
      </c>
      <c r="K299" s="37" t="str">
        <f aca="false">IF(AND(A299&lt;&gt;"",A299='Project Summary'!$C$3,C299&lt;&gt;""),COUNTIFS($A$2:$A299,'Project Summary'!$C$3,$C$2:$C299,"&lt;&gt;"),"")</f>
        <v/>
      </c>
    </row>
    <row r="300" customFormat="false" ht="15" hidden="false" customHeight="false" outlineLevel="0" collapsed="false">
      <c r="A300" s="32"/>
      <c r="B300" s="32"/>
      <c r="C300" s="32"/>
      <c r="D300" s="41"/>
      <c r="E300" s="35"/>
      <c r="F300" s="35"/>
      <c r="G300" s="35"/>
      <c r="H300" s="35"/>
      <c r="I300" s="33"/>
      <c r="J300" s="37" t="str">
        <f aca="false">IF(OR(C300="",F300="",G300=""),"",G300-F300)</f>
        <v/>
      </c>
      <c r="K300" s="37" t="str">
        <f aca="false">IF(AND(A300&lt;&gt;"",A300='Project Summary'!$C$3,C300&lt;&gt;""),COUNTIFS($A$2:$A300,'Project Summary'!$C$3,$C$2:$C300,"&lt;&gt;"),"")</f>
        <v/>
      </c>
    </row>
    <row r="301" customFormat="false" ht="15" hidden="false" customHeight="false" outlineLevel="0" collapsed="false">
      <c r="A301" s="32"/>
      <c r="B301" s="32"/>
      <c r="C301" s="32"/>
      <c r="D301" s="41"/>
      <c r="E301" s="35"/>
      <c r="F301" s="35"/>
      <c r="G301" s="35"/>
      <c r="H301" s="35"/>
      <c r="I301" s="33"/>
      <c r="J301" s="37" t="str">
        <f aca="false">IF(OR(C301="",F301="",G301=""),"",G301-F301)</f>
        <v/>
      </c>
      <c r="K301" s="37" t="str">
        <f aca="false">IF(AND(A301&lt;&gt;"",A301='Project Summary'!$C$3,C301&lt;&gt;""),COUNTIFS($A$2:$A301,'Project Summary'!$C$3,$C$2:$C301,"&lt;&gt;"),"")</f>
        <v/>
      </c>
    </row>
    <row r="302" customFormat="false" ht="15" hidden="false" customHeight="false" outlineLevel="0" collapsed="false">
      <c r="A302" s="32"/>
      <c r="B302" s="32"/>
      <c r="C302" s="32"/>
      <c r="D302" s="41"/>
      <c r="E302" s="35"/>
      <c r="F302" s="35"/>
      <c r="G302" s="35"/>
      <c r="H302" s="35"/>
      <c r="I302" s="33"/>
      <c r="J302" s="37" t="str">
        <f aca="false">IF(OR(C302="",F302="",G302=""),"",G302-F302)</f>
        <v/>
      </c>
      <c r="K302" s="37" t="str">
        <f aca="false">IF(AND(A302&lt;&gt;"",A302='Project Summary'!$C$3,C302&lt;&gt;""),COUNTIFS($A$2:$A302,'Project Summary'!$C$3,$C$2:$C302,"&lt;&gt;"),"")</f>
        <v/>
      </c>
    </row>
    <row r="303" customFormat="false" ht="15" hidden="false" customHeight="false" outlineLevel="0" collapsed="false">
      <c r="A303" s="32"/>
      <c r="B303" s="32"/>
      <c r="C303" s="32"/>
      <c r="D303" s="41"/>
      <c r="E303" s="35"/>
      <c r="F303" s="35"/>
      <c r="G303" s="35"/>
      <c r="H303" s="35"/>
      <c r="I303" s="33"/>
      <c r="J303" s="37" t="str">
        <f aca="false">IF(OR(C303="",F303="",G303=""),"",G303-F303)</f>
        <v/>
      </c>
      <c r="K303" s="37" t="str">
        <f aca="false">IF(AND(A303&lt;&gt;"",A303='Project Summary'!$C$3,C303&lt;&gt;""),COUNTIFS($A$2:$A303,'Project Summary'!$C$3,$C$2:$C303,"&lt;&gt;"),"")</f>
        <v/>
      </c>
    </row>
    <row r="304" customFormat="false" ht="15" hidden="false" customHeight="false" outlineLevel="0" collapsed="false">
      <c r="A304" s="32"/>
      <c r="B304" s="32"/>
      <c r="C304" s="32"/>
      <c r="D304" s="41"/>
      <c r="E304" s="35"/>
      <c r="F304" s="35"/>
      <c r="G304" s="35"/>
      <c r="H304" s="35"/>
      <c r="I304" s="33"/>
      <c r="J304" s="37" t="str">
        <f aca="false">IF(OR(C304="",F304="",G304=""),"",G304-F304)</f>
        <v/>
      </c>
      <c r="K304" s="37" t="str">
        <f aca="false">IF(AND(A304&lt;&gt;"",A304='Project Summary'!$C$3,C304&lt;&gt;""),COUNTIFS($A$2:$A304,'Project Summary'!$C$3,$C$2:$C304,"&lt;&gt;"),"")</f>
        <v/>
      </c>
    </row>
    <row r="305" customFormat="false" ht="15" hidden="false" customHeight="false" outlineLevel="0" collapsed="false">
      <c r="A305" s="32"/>
      <c r="B305" s="32"/>
      <c r="C305" s="32"/>
      <c r="D305" s="41"/>
      <c r="E305" s="35"/>
      <c r="F305" s="35"/>
      <c r="G305" s="35"/>
      <c r="H305" s="35"/>
      <c r="I305" s="33"/>
      <c r="J305" s="37" t="str">
        <f aca="false">IF(OR(C305="",F305="",G305=""),"",G305-F305)</f>
        <v/>
      </c>
      <c r="K305" s="37" t="str">
        <f aca="false">IF(AND(A305&lt;&gt;"",A305='Project Summary'!$C$3,C305&lt;&gt;""),COUNTIFS($A$2:$A305,'Project Summary'!$C$3,$C$2:$C305,"&lt;&gt;"),"")</f>
        <v/>
      </c>
    </row>
    <row r="306" customFormat="false" ht="15" hidden="false" customHeight="false" outlineLevel="0" collapsed="false">
      <c r="A306" s="32"/>
      <c r="B306" s="32"/>
      <c r="C306" s="32"/>
      <c r="D306" s="41"/>
      <c r="E306" s="35"/>
      <c r="F306" s="35"/>
      <c r="G306" s="35"/>
      <c r="H306" s="35"/>
      <c r="I306" s="33"/>
      <c r="J306" s="37" t="str">
        <f aca="false">IF(OR(C306="",F306="",G306=""),"",G306-F306)</f>
        <v/>
      </c>
      <c r="K306" s="37" t="str">
        <f aca="false">IF(AND(A306&lt;&gt;"",A306='Project Summary'!$C$3,C306&lt;&gt;""),COUNTIFS($A$2:$A306,'Project Summary'!$C$3,$C$2:$C306,"&lt;&gt;"),"")</f>
        <v/>
      </c>
    </row>
    <row r="307" customFormat="false" ht="15" hidden="false" customHeight="false" outlineLevel="0" collapsed="false">
      <c r="A307" s="32"/>
      <c r="B307" s="32"/>
      <c r="C307" s="32"/>
      <c r="D307" s="41"/>
      <c r="E307" s="35"/>
      <c r="F307" s="35"/>
      <c r="G307" s="35"/>
      <c r="H307" s="35"/>
      <c r="I307" s="33"/>
      <c r="J307" s="37" t="str">
        <f aca="false">IF(OR(C307="",F307="",G307=""),"",G307-F307)</f>
        <v/>
      </c>
      <c r="K307" s="37" t="str">
        <f aca="false">IF(AND(A307&lt;&gt;"",A307='Project Summary'!$C$3,C307&lt;&gt;""),COUNTIFS($A$2:$A307,'Project Summary'!$C$3,$C$2:$C307,"&lt;&gt;"),"")</f>
        <v/>
      </c>
    </row>
    <row r="308" customFormat="false" ht="15" hidden="false" customHeight="false" outlineLevel="0" collapsed="false">
      <c r="A308" s="32"/>
      <c r="B308" s="32"/>
      <c r="C308" s="32"/>
      <c r="D308" s="41"/>
      <c r="E308" s="35"/>
      <c r="F308" s="35"/>
      <c r="G308" s="35"/>
      <c r="H308" s="35"/>
      <c r="I308" s="33"/>
      <c r="J308" s="37" t="str">
        <f aca="false">IF(OR(C308="",F308="",G308=""),"",G308-F308)</f>
        <v/>
      </c>
      <c r="K308" s="37" t="str">
        <f aca="false">IF(AND(A308&lt;&gt;"",A308='Project Summary'!$C$3,C308&lt;&gt;""),COUNTIFS($A$2:$A308,'Project Summary'!$C$3,$C$2:$C308,"&lt;&gt;"),"")</f>
        <v/>
      </c>
    </row>
    <row r="309" customFormat="false" ht="15" hidden="false" customHeight="false" outlineLevel="0" collapsed="false">
      <c r="A309" s="32"/>
      <c r="B309" s="32"/>
      <c r="C309" s="32"/>
      <c r="D309" s="41"/>
      <c r="E309" s="35"/>
      <c r="F309" s="35"/>
      <c r="G309" s="35"/>
      <c r="H309" s="35"/>
      <c r="I309" s="33"/>
      <c r="J309" s="37" t="str">
        <f aca="false">IF(OR(C309="",F309="",G309=""),"",G309-F309)</f>
        <v/>
      </c>
      <c r="K309" s="37" t="str">
        <f aca="false">IF(AND(A309&lt;&gt;"",A309='Project Summary'!$C$3,C309&lt;&gt;""),COUNTIFS($A$2:$A309,'Project Summary'!$C$3,$C$2:$C309,"&lt;&gt;"),"")</f>
        <v/>
      </c>
    </row>
    <row r="310" customFormat="false" ht="15" hidden="false" customHeight="false" outlineLevel="0" collapsed="false">
      <c r="A310" s="32"/>
      <c r="B310" s="32"/>
      <c r="C310" s="32"/>
      <c r="D310" s="41"/>
      <c r="E310" s="35"/>
      <c r="F310" s="35"/>
      <c r="G310" s="35"/>
      <c r="H310" s="35"/>
      <c r="I310" s="33"/>
      <c r="J310" s="37" t="str">
        <f aca="false">IF(OR(C310="",F310="",G310=""),"",G310-F310)</f>
        <v/>
      </c>
      <c r="K310" s="37" t="str">
        <f aca="false">IF(AND(A310&lt;&gt;"",A310='Project Summary'!$C$3,C310&lt;&gt;""),COUNTIFS($A$2:$A310,'Project Summary'!$C$3,$C$2:$C310,"&lt;&gt;"),"")</f>
        <v/>
      </c>
    </row>
    <row r="311" customFormat="false" ht="15" hidden="false" customHeight="false" outlineLevel="0" collapsed="false">
      <c r="A311" s="32"/>
      <c r="B311" s="32"/>
      <c r="C311" s="32"/>
      <c r="D311" s="41"/>
      <c r="E311" s="35"/>
      <c r="F311" s="35"/>
      <c r="G311" s="35"/>
      <c r="H311" s="35"/>
      <c r="I311" s="33"/>
      <c r="J311" s="37" t="str">
        <f aca="false">IF(OR(C311="",F311="",G311=""),"",G311-F311)</f>
        <v/>
      </c>
      <c r="K311" s="37" t="str">
        <f aca="false">IF(AND(A311&lt;&gt;"",A311='Project Summary'!$C$3,C311&lt;&gt;""),COUNTIFS($A$2:$A311,'Project Summary'!$C$3,$C$2:$C311,"&lt;&gt;"),"")</f>
        <v/>
      </c>
    </row>
    <row r="312" customFormat="false" ht="15" hidden="false" customHeight="false" outlineLevel="0" collapsed="false">
      <c r="A312" s="32"/>
      <c r="B312" s="32"/>
      <c r="C312" s="32"/>
      <c r="D312" s="41"/>
      <c r="E312" s="35"/>
      <c r="F312" s="35"/>
      <c r="G312" s="35"/>
      <c r="H312" s="35"/>
      <c r="I312" s="33"/>
      <c r="J312" s="37" t="str">
        <f aca="false">IF(OR(C312="",F312="",G312=""),"",G312-F312)</f>
        <v/>
      </c>
      <c r="K312" s="37" t="str">
        <f aca="false">IF(AND(A312&lt;&gt;"",A312='Project Summary'!$C$3,C312&lt;&gt;""),COUNTIFS($A$2:$A312,'Project Summary'!$C$3,$C$2:$C312,"&lt;&gt;"),"")</f>
        <v/>
      </c>
    </row>
    <row r="313" customFormat="false" ht="15" hidden="false" customHeight="false" outlineLevel="0" collapsed="false">
      <c r="A313" s="32"/>
      <c r="B313" s="32"/>
      <c r="C313" s="32"/>
      <c r="D313" s="41"/>
      <c r="E313" s="35"/>
      <c r="F313" s="35"/>
      <c r="G313" s="35"/>
      <c r="H313" s="35"/>
      <c r="I313" s="33"/>
      <c r="J313" s="37" t="str">
        <f aca="false">IF(OR(C313="",F313="",G313=""),"",G313-F313)</f>
        <v/>
      </c>
      <c r="K313" s="37" t="str">
        <f aca="false">IF(AND(A313&lt;&gt;"",A313='Project Summary'!$C$3,C313&lt;&gt;""),COUNTIFS($A$2:$A313,'Project Summary'!$C$3,$C$2:$C313,"&lt;&gt;"),"")</f>
        <v/>
      </c>
    </row>
    <row r="314" customFormat="false" ht="15" hidden="false" customHeight="false" outlineLevel="0" collapsed="false">
      <c r="A314" s="32"/>
      <c r="B314" s="32"/>
      <c r="C314" s="32"/>
      <c r="D314" s="41"/>
      <c r="E314" s="35"/>
      <c r="F314" s="35"/>
      <c r="G314" s="35"/>
      <c r="H314" s="35"/>
      <c r="I314" s="33"/>
      <c r="J314" s="37" t="str">
        <f aca="false">IF(OR(C314="",F314="",G314=""),"",G314-F314)</f>
        <v/>
      </c>
      <c r="K314" s="37" t="str">
        <f aca="false">IF(AND(A314&lt;&gt;"",A314='Project Summary'!$C$3,C314&lt;&gt;""),COUNTIFS($A$2:$A314,'Project Summary'!$C$3,$C$2:$C314,"&lt;&gt;"),"")</f>
        <v/>
      </c>
    </row>
    <row r="315" customFormat="false" ht="15" hidden="false" customHeight="false" outlineLevel="0" collapsed="false">
      <c r="A315" s="32"/>
      <c r="B315" s="32"/>
      <c r="C315" s="32"/>
      <c r="D315" s="41"/>
      <c r="E315" s="35"/>
      <c r="F315" s="35"/>
      <c r="G315" s="35"/>
      <c r="H315" s="35"/>
      <c r="I315" s="33"/>
      <c r="J315" s="37" t="str">
        <f aca="false">IF(OR(C315="",F315="",G315=""),"",G315-F315)</f>
        <v/>
      </c>
      <c r="K315" s="37" t="str">
        <f aca="false">IF(AND(A315&lt;&gt;"",A315='Project Summary'!$C$3,C315&lt;&gt;""),COUNTIFS($A$2:$A315,'Project Summary'!$C$3,$C$2:$C315,"&lt;&gt;"),"")</f>
        <v/>
      </c>
    </row>
    <row r="316" customFormat="false" ht="15" hidden="false" customHeight="false" outlineLevel="0" collapsed="false">
      <c r="A316" s="32"/>
      <c r="B316" s="32"/>
      <c r="C316" s="32"/>
      <c r="D316" s="41"/>
      <c r="E316" s="35"/>
      <c r="F316" s="35"/>
      <c r="G316" s="35"/>
      <c r="H316" s="35"/>
      <c r="I316" s="33"/>
      <c r="J316" s="37" t="str">
        <f aca="false">IF(OR(C316="",F316="",G316=""),"",G316-F316)</f>
        <v/>
      </c>
      <c r="K316" s="37" t="str">
        <f aca="false">IF(AND(A316&lt;&gt;"",A316='Project Summary'!$C$3,C316&lt;&gt;""),COUNTIFS($A$2:$A316,'Project Summary'!$C$3,$C$2:$C316,"&lt;&gt;"),"")</f>
        <v/>
      </c>
    </row>
    <row r="317" customFormat="false" ht="15" hidden="false" customHeight="false" outlineLevel="0" collapsed="false">
      <c r="A317" s="32"/>
      <c r="B317" s="32"/>
      <c r="C317" s="32"/>
      <c r="D317" s="41"/>
      <c r="E317" s="35"/>
      <c r="F317" s="35"/>
      <c r="G317" s="35"/>
      <c r="H317" s="35"/>
      <c r="I317" s="33"/>
      <c r="J317" s="37" t="str">
        <f aca="false">IF(OR(C317="",F317="",G317=""),"",G317-F317)</f>
        <v/>
      </c>
      <c r="K317" s="37" t="str">
        <f aca="false">IF(AND(A317&lt;&gt;"",A317='Project Summary'!$C$3,C317&lt;&gt;""),COUNTIFS($A$2:$A317,'Project Summary'!$C$3,$C$2:$C317,"&lt;&gt;"),"")</f>
        <v/>
      </c>
    </row>
    <row r="318" customFormat="false" ht="15" hidden="false" customHeight="false" outlineLevel="0" collapsed="false">
      <c r="A318" s="32"/>
      <c r="B318" s="32"/>
      <c r="C318" s="32"/>
      <c r="D318" s="41"/>
      <c r="E318" s="35"/>
      <c r="F318" s="35"/>
      <c r="G318" s="35"/>
      <c r="H318" s="35"/>
      <c r="I318" s="33"/>
      <c r="J318" s="37" t="str">
        <f aca="false">IF(OR(C318="",F318="",G318=""),"",G318-F318)</f>
        <v/>
      </c>
      <c r="K318" s="37" t="str">
        <f aca="false">IF(AND(A318&lt;&gt;"",A318='Project Summary'!$C$3,C318&lt;&gt;""),COUNTIFS($A$2:$A318,'Project Summary'!$C$3,$C$2:$C318,"&lt;&gt;"),"")</f>
        <v/>
      </c>
    </row>
    <row r="319" customFormat="false" ht="15" hidden="false" customHeight="false" outlineLevel="0" collapsed="false">
      <c r="A319" s="32"/>
      <c r="B319" s="32"/>
      <c r="C319" s="32"/>
      <c r="D319" s="41"/>
      <c r="E319" s="35"/>
      <c r="F319" s="35"/>
      <c r="G319" s="35"/>
      <c r="H319" s="35"/>
      <c r="I319" s="33"/>
      <c r="J319" s="37" t="str">
        <f aca="false">IF(OR(C319="",F319="",G319=""),"",G319-F319)</f>
        <v/>
      </c>
      <c r="K319" s="37" t="str">
        <f aca="false">IF(AND(A319&lt;&gt;"",A319='Project Summary'!$C$3,C319&lt;&gt;""),COUNTIFS($A$2:$A319,'Project Summary'!$C$3,$C$2:$C319,"&lt;&gt;"),"")</f>
        <v/>
      </c>
    </row>
    <row r="320" customFormat="false" ht="15" hidden="false" customHeight="false" outlineLevel="0" collapsed="false">
      <c r="A320" s="32"/>
      <c r="B320" s="32"/>
      <c r="C320" s="32"/>
      <c r="D320" s="41"/>
      <c r="E320" s="35"/>
      <c r="F320" s="35"/>
      <c r="G320" s="35"/>
      <c r="H320" s="35"/>
      <c r="I320" s="33"/>
      <c r="J320" s="37" t="str">
        <f aca="false">IF(OR(C320="",F320="",G320=""),"",G320-F320)</f>
        <v/>
      </c>
      <c r="K320" s="37" t="str">
        <f aca="false">IF(AND(A320&lt;&gt;"",A320='Project Summary'!$C$3,C320&lt;&gt;""),COUNTIFS($A$2:$A320,'Project Summary'!$C$3,$C$2:$C320,"&lt;&gt;"),"")</f>
        <v/>
      </c>
    </row>
    <row r="321" customFormat="false" ht="15" hidden="false" customHeight="false" outlineLevel="0" collapsed="false">
      <c r="A321" s="32"/>
      <c r="B321" s="32"/>
      <c r="C321" s="32"/>
      <c r="D321" s="41"/>
      <c r="E321" s="35"/>
      <c r="F321" s="35"/>
      <c r="G321" s="35"/>
      <c r="H321" s="35"/>
      <c r="I321" s="33"/>
      <c r="J321" s="37" t="str">
        <f aca="false">IF(OR(C321="",F321="",G321=""),"",G321-F321)</f>
        <v/>
      </c>
      <c r="K321" s="37" t="str">
        <f aca="false">IF(AND(A321&lt;&gt;"",A321='Project Summary'!$C$3,C321&lt;&gt;""),COUNTIFS($A$2:$A321,'Project Summary'!$C$3,$C$2:$C321,"&lt;&gt;"),"")</f>
        <v/>
      </c>
    </row>
    <row r="322" customFormat="false" ht="15" hidden="false" customHeight="false" outlineLevel="0" collapsed="false">
      <c r="A322" s="32"/>
      <c r="B322" s="32"/>
      <c r="C322" s="32"/>
      <c r="D322" s="41"/>
      <c r="E322" s="35"/>
      <c r="F322" s="35"/>
      <c r="G322" s="35"/>
      <c r="H322" s="35"/>
      <c r="I322" s="33"/>
      <c r="J322" s="37" t="str">
        <f aca="false">IF(OR(C322="",F322="",G322=""),"",G322-F322)</f>
        <v/>
      </c>
      <c r="K322" s="37" t="str">
        <f aca="false">IF(AND(A322&lt;&gt;"",A322='Project Summary'!$C$3,C322&lt;&gt;""),COUNTIFS($A$2:$A322,'Project Summary'!$C$3,$C$2:$C322,"&lt;&gt;"),"")</f>
        <v/>
      </c>
    </row>
    <row r="323" customFormat="false" ht="15" hidden="false" customHeight="false" outlineLevel="0" collapsed="false">
      <c r="A323" s="32"/>
      <c r="B323" s="32"/>
      <c r="C323" s="32"/>
      <c r="D323" s="41"/>
      <c r="E323" s="35"/>
      <c r="F323" s="35"/>
      <c r="G323" s="35"/>
      <c r="H323" s="35"/>
      <c r="I323" s="33"/>
      <c r="J323" s="37" t="str">
        <f aca="false">IF(OR(C323="",F323="",G323=""),"",G323-F323)</f>
        <v/>
      </c>
      <c r="K323" s="37" t="str">
        <f aca="false">IF(AND(A323&lt;&gt;"",A323='Project Summary'!$C$3,C323&lt;&gt;""),COUNTIFS($A$2:$A323,'Project Summary'!$C$3,$C$2:$C323,"&lt;&gt;"),"")</f>
        <v/>
      </c>
    </row>
    <row r="324" customFormat="false" ht="15" hidden="false" customHeight="false" outlineLevel="0" collapsed="false">
      <c r="A324" s="32"/>
      <c r="B324" s="32"/>
      <c r="C324" s="32"/>
      <c r="D324" s="41"/>
      <c r="E324" s="35"/>
      <c r="F324" s="35"/>
      <c r="G324" s="35"/>
      <c r="H324" s="35"/>
      <c r="I324" s="33"/>
      <c r="J324" s="37" t="str">
        <f aca="false">IF(OR(C324="",F324="",G324=""),"",G324-F324)</f>
        <v/>
      </c>
      <c r="K324" s="37" t="str">
        <f aca="false">IF(AND(A324&lt;&gt;"",A324='Project Summary'!$C$3,C324&lt;&gt;""),COUNTIFS($A$2:$A324,'Project Summary'!$C$3,$C$2:$C324,"&lt;&gt;"),"")</f>
        <v/>
      </c>
    </row>
    <row r="325" customFormat="false" ht="15" hidden="false" customHeight="false" outlineLevel="0" collapsed="false">
      <c r="A325" s="32"/>
      <c r="B325" s="32"/>
      <c r="C325" s="32"/>
      <c r="D325" s="41"/>
      <c r="E325" s="35"/>
      <c r="F325" s="35"/>
      <c r="G325" s="35"/>
      <c r="H325" s="35"/>
      <c r="I325" s="33"/>
      <c r="J325" s="37" t="str">
        <f aca="false">IF(OR(C325="",F325="",G325=""),"",G325-F325)</f>
        <v/>
      </c>
      <c r="K325" s="37" t="str">
        <f aca="false">IF(AND(A325&lt;&gt;"",A325='Project Summary'!$C$3,C325&lt;&gt;""),COUNTIFS($A$2:$A325,'Project Summary'!$C$3,$C$2:$C325,"&lt;&gt;"),"")</f>
        <v/>
      </c>
    </row>
    <row r="326" customFormat="false" ht="15" hidden="false" customHeight="false" outlineLevel="0" collapsed="false">
      <c r="A326" s="32"/>
      <c r="B326" s="32"/>
      <c r="C326" s="32"/>
      <c r="D326" s="41"/>
      <c r="E326" s="35"/>
      <c r="F326" s="35"/>
      <c r="G326" s="35"/>
      <c r="H326" s="35"/>
      <c r="I326" s="33"/>
      <c r="J326" s="37" t="str">
        <f aca="false">IF(OR(C326="",F326="",G326=""),"",G326-F326)</f>
        <v/>
      </c>
      <c r="K326" s="37" t="str">
        <f aca="false">IF(AND(A326&lt;&gt;"",A326='Project Summary'!$C$3,C326&lt;&gt;""),COUNTIFS($A$2:$A326,'Project Summary'!$C$3,$C$2:$C326,"&lt;&gt;"),"")</f>
        <v/>
      </c>
    </row>
    <row r="327" customFormat="false" ht="15" hidden="false" customHeight="false" outlineLevel="0" collapsed="false">
      <c r="A327" s="32"/>
      <c r="B327" s="32"/>
      <c r="C327" s="32"/>
      <c r="D327" s="41"/>
      <c r="E327" s="35"/>
      <c r="F327" s="35"/>
      <c r="G327" s="35"/>
      <c r="H327" s="35"/>
      <c r="I327" s="33"/>
      <c r="J327" s="37" t="str">
        <f aca="false">IF(OR(C327="",F327="",G327=""),"",G327-F327)</f>
        <v/>
      </c>
      <c r="K327" s="37" t="str">
        <f aca="false">IF(AND(A327&lt;&gt;"",A327='Project Summary'!$C$3,C327&lt;&gt;""),COUNTIFS($A$2:$A327,'Project Summary'!$C$3,$C$2:$C327,"&lt;&gt;"),"")</f>
        <v/>
      </c>
    </row>
    <row r="328" customFormat="false" ht="15" hidden="false" customHeight="false" outlineLevel="0" collapsed="false">
      <c r="A328" s="32"/>
      <c r="B328" s="32"/>
      <c r="C328" s="32"/>
      <c r="D328" s="41"/>
      <c r="E328" s="35"/>
      <c r="F328" s="35"/>
      <c r="G328" s="35"/>
      <c r="H328" s="35"/>
      <c r="I328" s="33"/>
      <c r="J328" s="37" t="str">
        <f aca="false">IF(OR(C328="",F328="",G328=""),"",G328-F328)</f>
        <v/>
      </c>
      <c r="K328" s="37" t="str">
        <f aca="false">IF(AND(A328&lt;&gt;"",A328='Project Summary'!$C$3,C328&lt;&gt;""),COUNTIFS($A$2:$A328,'Project Summary'!$C$3,$C$2:$C328,"&lt;&gt;"),"")</f>
        <v/>
      </c>
    </row>
    <row r="329" customFormat="false" ht="15" hidden="false" customHeight="false" outlineLevel="0" collapsed="false">
      <c r="A329" s="32"/>
      <c r="B329" s="32"/>
      <c r="C329" s="32"/>
      <c r="D329" s="41"/>
      <c r="E329" s="35"/>
      <c r="F329" s="35"/>
      <c r="G329" s="35"/>
      <c r="H329" s="35"/>
      <c r="I329" s="33"/>
      <c r="J329" s="37" t="str">
        <f aca="false">IF(OR(C329="",F329="",G329=""),"",G329-F329)</f>
        <v/>
      </c>
      <c r="K329" s="37" t="str">
        <f aca="false">IF(AND(A329&lt;&gt;"",A329='Project Summary'!$C$3,C329&lt;&gt;""),COUNTIFS($A$2:$A329,'Project Summary'!$C$3,$C$2:$C329,"&lt;&gt;"),"")</f>
        <v/>
      </c>
    </row>
    <row r="330" customFormat="false" ht="15" hidden="false" customHeight="false" outlineLevel="0" collapsed="false">
      <c r="A330" s="32"/>
      <c r="B330" s="32"/>
      <c r="C330" s="32"/>
      <c r="D330" s="41"/>
      <c r="E330" s="35"/>
      <c r="F330" s="35"/>
      <c r="G330" s="35"/>
      <c r="H330" s="35"/>
      <c r="I330" s="33"/>
      <c r="J330" s="37" t="str">
        <f aca="false">IF(OR(C330="",F330="",G330=""),"",G330-F330)</f>
        <v/>
      </c>
      <c r="K330" s="37" t="str">
        <f aca="false">IF(AND(A330&lt;&gt;"",A330='Project Summary'!$C$3,C330&lt;&gt;""),COUNTIFS($A$2:$A330,'Project Summary'!$C$3,$C$2:$C330,"&lt;&gt;"),"")</f>
        <v/>
      </c>
    </row>
    <row r="331" customFormat="false" ht="15" hidden="false" customHeight="false" outlineLevel="0" collapsed="false">
      <c r="A331" s="32"/>
      <c r="B331" s="32"/>
      <c r="C331" s="32"/>
      <c r="D331" s="41"/>
      <c r="E331" s="35"/>
      <c r="F331" s="35"/>
      <c r="G331" s="35"/>
      <c r="H331" s="35"/>
      <c r="I331" s="33"/>
      <c r="J331" s="37" t="str">
        <f aca="false">IF(OR(C331="",F331="",G331=""),"",G331-F331)</f>
        <v/>
      </c>
      <c r="K331" s="37" t="str">
        <f aca="false">IF(AND(A331&lt;&gt;"",A331='Project Summary'!$C$3,C331&lt;&gt;""),COUNTIFS($A$2:$A331,'Project Summary'!$C$3,$C$2:$C331,"&lt;&gt;"),"")</f>
        <v/>
      </c>
    </row>
    <row r="332" customFormat="false" ht="15" hidden="false" customHeight="false" outlineLevel="0" collapsed="false">
      <c r="A332" s="32"/>
      <c r="B332" s="32"/>
      <c r="C332" s="32"/>
      <c r="D332" s="41"/>
      <c r="E332" s="35"/>
      <c r="F332" s="35"/>
      <c r="G332" s="35"/>
      <c r="H332" s="35"/>
      <c r="I332" s="33"/>
      <c r="J332" s="37" t="str">
        <f aca="false">IF(OR(C332="",F332="",G332=""),"",G332-F332)</f>
        <v/>
      </c>
      <c r="K332" s="37" t="str">
        <f aca="false">IF(AND(A332&lt;&gt;"",A332='Project Summary'!$C$3,C332&lt;&gt;""),COUNTIFS($A$2:$A332,'Project Summary'!$C$3,$C$2:$C332,"&lt;&gt;"),"")</f>
        <v/>
      </c>
    </row>
    <row r="333" customFormat="false" ht="15" hidden="false" customHeight="false" outlineLevel="0" collapsed="false">
      <c r="A333" s="32"/>
      <c r="B333" s="32"/>
      <c r="C333" s="32"/>
      <c r="D333" s="41"/>
      <c r="E333" s="35"/>
      <c r="F333" s="35"/>
      <c r="G333" s="35"/>
      <c r="H333" s="35"/>
      <c r="I333" s="33"/>
      <c r="J333" s="37" t="str">
        <f aca="false">IF(OR(C333="",F333="",G333=""),"",G333-F333)</f>
        <v/>
      </c>
      <c r="K333" s="37" t="str">
        <f aca="false">IF(AND(A333&lt;&gt;"",A333='Project Summary'!$C$3,C333&lt;&gt;""),COUNTIFS($A$2:$A333,'Project Summary'!$C$3,$C$2:$C333,"&lt;&gt;"),"")</f>
        <v/>
      </c>
    </row>
    <row r="334" customFormat="false" ht="15" hidden="false" customHeight="false" outlineLevel="0" collapsed="false">
      <c r="A334" s="32"/>
      <c r="B334" s="32"/>
      <c r="C334" s="32"/>
      <c r="D334" s="41"/>
      <c r="E334" s="35"/>
      <c r="F334" s="35"/>
      <c r="G334" s="35"/>
      <c r="H334" s="35"/>
      <c r="I334" s="33"/>
      <c r="J334" s="37" t="str">
        <f aca="false">IF(OR(C334="",F334="",G334=""),"",G334-F334)</f>
        <v/>
      </c>
      <c r="K334" s="37" t="str">
        <f aca="false">IF(AND(A334&lt;&gt;"",A334='Project Summary'!$C$3,C334&lt;&gt;""),COUNTIFS($A$2:$A334,'Project Summary'!$C$3,$C$2:$C334,"&lt;&gt;"),"")</f>
        <v/>
      </c>
    </row>
    <row r="335" customFormat="false" ht="15" hidden="false" customHeight="false" outlineLevel="0" collapsed="false">
      <c r="A335" s="32"/>
      <c r="B335" s="32"/>
      <c r="C335" s="32"/>
      <c r="D335" s="41"/>
      <c r="E335" s="35"/>
      <c r="F335" s="35"/>
      <c r="G335" s="35"/>
      <c r="H335" s="35"/>
      <c r="I335" s="33"/>
      <c r="J335" s="37" t="str">
        <f aca="false">IF(OR(C335="",F335="",G335=""),"",G335-F335)</f>
        <v/>
      </c>
      <c r="K335" s="37" t="str">
        <f aca="false">IF(AND(A335&lt;&gt;"",A335='Project Summary'!$C$3,C335&lt;&gt;""),COUNTIFS($A$2:$A335,'Project Summary'!$C$3,$C$2:$C335,"&lt;&gt;"),"")</f>
        <v/>
      </c>
    </row>
    <row r="336" customFormat="false" ht="15" hidden="false" customHeight="false" outlineLevel="0" collapsed="false">
      <c r="A336" s="32"/>
      <c r="B336" s="32"/>
      <c r="C336" s="32"/>
      <c r="D336" s="41"/>
      <c r="E336" s="35"/>
      <c r="F336" s="35"/>
      <c r="G336" s="35"/>
      <c r="H336" s="35"/>
      <c r="I336" s="33"/>
      <c r="J336" s="37" t="str">
        <f aca="false">IF(OR(C336="",F336="",G336=""),"",G336-F336)</f>
        <v/>
      </c>
      <c r="K336" s="37" t="str">
        <f aca="false">IF(AND(A336&lt;&gt;"",A336='Project Summary'!$C$3,C336&lt;&gt;""),COUNTIFS($A$2:$A336,'Project Summary'!$C$3,$C$2:$C336,"&lt;&gt;"),"")</f>
        <v/>
      </c>
    </row>
    <row r="337" customFormat="false" ht="15" hidden="false" customHeight="false" outlineLevel="0" collapsed="false">
      <c r="A337" s="32"/>
      <c r="B337" s="32"/>
      <c r="C337" s="32"/>
      <c r="D337" s="41"/>
      <c r="E337" s="35"/>
      <c r="F337" s="35"/>
      <c r="G337" s="35"/>
      <c r="H337" s="35"/>
      <c r="I337" s="33"/>
      <c r="J337" s="37" t="str">
        <f aca="false">IF(OR(C337="",F337="",G337=""),"",G337-F337)</f>
        <v/>
      </c>
      <c r="K337" s="37" t="str">
        <f aca="false">IF(AND(A337&lt;&gt;"",A337='Project Summary'!$C$3,C337&lt;&gt;""),COUNTIFS($A$2:$A337,'Project Summary'!$C$3,$C$2:$C337,"&lt;&gt;"),"")</f>
        <v/>
      </c>
    </row>
    <row r="338" customFormat="false" ht="15" hidden="false" customHeight="false" outlineLevel="0" collapsed="false">
      <c r="A338" s="32"/>
      <c r="B338" s="32"/>
      <c r="C338" s="32"/>
      <c r="D338" s="41"/>
      <c r="E338" s="35"/>
      <c r="F338" s="35"/>
      <c r="G338" s="35"/>
      <c r="H338" s="35"/>
      <c r="I338" s="33"/>
      <c r="J338" s="37" t="str">
        <f aca="false">IF(OR(C338="",F338="",G338=""),"",G338-F338)</f>
        <v/>
      </c>
      <c r="K338" s="37" t="str">
        <f aca="false">IF(AND(A338&lt;&gt;"",A338='Project Summary'!$C$3,C338&lt;&gt;""),COUNTIFS($A$2:$A338,'Project Summary'!$C$3,$C$2:$C338,"&lt;&gt;"),"")</f>
        <v/>
      </c>
    </row>
    <row r="339" customFormat="false" ht="15" hidden="false" customHeight="false" outlineLevel="0" collapsed="false">
      <c r="A339" s="32"/>
      <c r="B339" s="32"/>
      <c r="C339" s="32"/>
      <c r="D339" s="41"/>
      <c r="E339" s="35"/>
      <c r="F339" s="35"/>
      <c r="G339" s="35"/>
      <c r="H339" s="35"/>
      <c r="I339" s="33"/>
      <c r="J339" s="37" t="str">
        <f aca="false">IF(OR(C339="",F339="",G339=""),"",G339-F339)</f>
        <v/>
      </c>
      <c r="K339" s="37" t="str">
        <f aca="false">IF(AND(A339&lt;&gt;"",A339='Project Summary'!$C$3,C339&lt;&gt;""),COUNTIFS($A$2:$A339,'Project Summary'!$C$3,$C$2:$C339,"&lt;&gt;"),"")</f>
        <v/>
      </c>
    </row>
    <row r="340" customFormat="false" ht="15" hidden="false" customHeight="false" outlineLevel="0" collapsed="false">
      <c r="A340" s="32"/>
      <c r="B340" s="32"/>
      <c r="C340" s="32"/>
      <c r="D340" s="41"/>
      <c r="E340" s="35"/>
      <c r="F340" s="35"/>
      <c r="G340" s="35"/>
      <c r="H340" s="35"/>
      <c r="I340" s="33"/>
      <c r="J340" s="37" t="str">
        <f aca="false">IF(OR(C340="",F340="",G340=""),"",G340-F340)</f>
        <v/>
      </c>
      <c r="K340" s="37" t="str">
        <f aca="false">IF(AND(A340&lt;&gt;"",A340='Project Summary'!$C$3,C340&lt;&gt;""),COUNTIFS($A$2:$A340,'Project Summary'!$C$3,$C$2:$C340,"&lt;&gt;"),"")</f>
        <v/>
      </c>
    </row>
    <row r="341" customFormat="false" ht="15" hidden="false" customHeight="false" outlineLevel="0" collapsed="false">
      <c r="A341" s="32"/>
      <c r="B341" s="32"/>
      <c r="C341" s="32"/>
      <c r="D341" s="41"/>
      <c r="E341" s="35"/>
      <c r="F341" s="35"/>
      <c r="G341" s="35"/>
      <c r="H341" s="35"/>
      <c r="I341" s="33"/>
      <c r="J341" s="37" t="str">
        <f aca="false">IF(OR(C341="",F341="",G341=""),"",G341-F341)</f>
        <v/>
      </c>
      <c r="K341" s="37" t="str">
        <f aca="false">IF(AND(A341&lt;&gt;"",A341='Project Summary'!$C$3,C341&lt;&gt;""),COUNTIFS($A$2:$A341,'Project Summary'!$C$3,$C$2:$C341,"&lt;&gt;"),"")</f>
        <v/>
      </c>
    </row>
    <row r="342" customFormat="false" ht="15" hidden="false" customHeight="false" outlineLevel="0" collapsed="false">
      <c r="A342" s="32"/>
      <c r="B342" s="32"/>
      <c r="C342" s="32"/>
      <c r="D342" s="41"/>
      <c r="E342" s="35"/>
      <c r="F342" s="35"/>
      <c r="G342" s="35"/>
      <c r="H342" s="35"/>
      <c r="I342" s="33"/>
      <c r="J342" s="37" t="str">
        <f aca="false">IF(OR(C342="",F342="",G342=""),"",G342-F342)</f>
        <v/>
      </c>
      <c r="K342" s="37" t="str">
        <f aca="false">IF(AND(A342&lt;&gt;"",A342='Project Summary'!$C$3,C342&lt;&gt;""),COUNTIFS($A$2:$A342,'Project Summary'!$C$3,$C$2:$C342,"&lt;&gt;"),"")</f>
        <v/>
      </c>
    </row>
    <row r="343" customFormat="false" ht="15" hidden="false" customHeight="false" outlineLevel="0" collapsed="false">
      <c r="A343" s="32"/>
      <c r="B343" s="32"/>
      <c r="C343" s="32"/>
      <c r="D343" s="41"/>
      <c r="E343" s="35"/>
      <c r="F343" s="35"/>
      <c r="G343" s="35"/>
      <c r="H343" s="35"/>
      <c r="I343" s="33"/>
      <c r="J343" s="37" t="str">
        <f aca="false">IF(OR(C343="",F343="",G343=""),"",G343-F343)</f>
        <v/>
      </c>
      <c r="K343" s="37" t="str">
        <f aca="false">IF(AND(A343&lt;&gt;"",A343='Project Summary'!$C$3,C343&lt;&gt;""),COUNTIFS($A$2:$A343,'Project Summary'!$C$3,$C$2:$C343,"&lt;&gt;"),"")</f>
        <v/>
      </c>
    </row>
    <row r="344" customFormat="false" ht="15" hidden="false" customHeight="false" outlineLevel="0" collapsed="false">
      <c r="A344" s="32"/>
      <c r="B344" s="32"/>
      <c r="C344" s="32"/>
      <c r="D344" s="41"/>
      <c r="E344" s="35"/>
      <c r="F344" s="35"/>
      <c r="G344" s="35"/>
      <c r="H344" s="35"/>
      <c r="I344" s="33"/>
      <c r="J344" s="37" t="str">
        <f aca="false">IF(OR(C344="",F344="",G344=""),"",G344-F344)</f>
        <v/>
      </c>
      <c r="K344" s="37" t="str">
        <f aca="false">IF(AND(A344&lt;&gt;"",A344='Project Summary'!$C$3,C344&lt;&gt;""),COUNTIFS($A$2:$A344,'Project Summary'!$C$3,$C$2:$C344,"&lt;&gt;"),"")</f>
        <v/>
      </c>
    </row>
    <row r="345" customFormat="false" ht="15" hidden="false" customHeight="false" outlineLevel="0" collapsed="false">
      <c r="A345" s="32"/>
      <c r="B345" s="32"/>
      <c r="C345" s="32"/>
      <c r="D345" s="41"/>
      <c r="E345" s="35"/>
      <c r="F345" s="35"/>
      <c r="G345" s="35"/>
      <c r="H345" s="35"/>
      <c r="I345" s="33"/>
      <c r="J345" s="37" t="str">
        <f aca="false">IF(OR(C345="",F345="",G345=""),"",G345-F345)</f>
        <v/>
      </c>
      <c r="K345" s="37" t="str">
        <f aca="false">IF(AND(A345&lt;&gt;"",A345='Project Summary'!$C$3,C345&lt;&gt;""),COUNTIFS($A$2:$A345,'Project Summary'!$C$3,$C$2:$C345,"&lt;&gt;"),"")</f>
        <v/>
      </c>
    </row>
    <row r="346" customFormat="false" ht="15" hidden="false" customHeight="false" outlineLevel="0" collapsed="false">
      <c r="A346" s="32"/>
      <c r="B346" s="32"/>
      <c r="C346" s="32"/>
      <c r="D346" s="41"/>
      <c r="E346" s="35"/>
      <c r="F346" s="35"/>
      <c r="G346" s="35"/>
      <c r="H346" s="35"/>
      <c r="I346" s="33"/>
      <c r="J346" s="37" t="str">
        <f aca="false">IF(OR(C346="",F346="",G346=""),"",G346-F346)</f>
        <v/>
      </c>
      <c r="K346" s="37" t="str">
        <f aca="false">IF(AND(A346&lt;&gt;"",A346='Project Summary'!$C$3,C346&lt;&gt;""),COUNTIFS($A$2:$A346,'Project Summary'!$C$3,$C$2:$C346,"&lt;&gt;"),"")</f>
        <v/>
      </c>
    </row>
    <row r="347" customFormat="false" ht="15" hidden="false" customHeight="false" outlineLevel="0" collapsed="false">
      <c r="A347" s="32"/>
      <c r="B347" s="32"/>
      <c r="C347" s="32"/>
      <c r="D347" s="41"/>
      <c r="E347" s="35"/>
      <c r="F347" s="35"/>
      <c r="G347" s="35"/>
      <c r="H347" s="35"/>
      <c r="I347" s="33"/>
      <c r="J347" s="37" t="str">
        <f aca="false">IF(OR(C347="",F347="",G347=""),"",G347-F347)</f>
        <v/>
      </c>
      <c r="K347" s="37" t="str">
        <f aca="false">IF(AND(A347&lt;&gt;"",A347='Project Summary'!$C$3,C347&lt;&gt;""),COUNTIFS($A$2:$A347,'Project Summary'!$C$3,$C$2:$C347,"&lt;&gt;"),"")</f>
        <v/>
      </c>
    </row>
    <row r="348" customFormat="false" ht="15" hidden="false" customHeight="false" outlineLevel="0" collapsed="false">
      <c r="A348" s="32"/>
      <c r="B348" s="32"/>
      <c r="C348" s="32"/>
      <c r="D348" s="41"/>
      <c r="E348" s="35"/>
      <c r="F348" s="35"/>
      <c r="G348" s="35"/>
      <c r="H348" s="35"/>
      <c r="I348" s="33"/>
      <c r="J348" s="37" t="str">
        <f aca="false">IF(OR(C348="",F348="",G348=""),"",G348-F348)</f>
        <v/>
      </c>
      <c r="K348" s="37" t="str">
        <f aca="false">IF(AND(A348&lt;&gt;"",A348='Project Summary'!$C$3,C348&lt;&gt;""),COUNTIFS($A$2:$A348,'Project Summary'!$C$3,$C$2:$C348,"&lt;&gt;"),"")</f>
        <v/>
      </c>
    </row>
    <row r="349" customFormat="false" ht="15" hidden="false" customHeight="false" outlineLevel="0" collapsed="false">
      <c r="A349" s="32"/>
      <c r="B349" s="32"/>
      <c r="C349" s="32"/>
      <c r="D349" s="41"/>
      <c r="E349" s="35"/>
      <c r="F349" s="35"/>
      <c r="G349" s="35"/>
      <c r="H349" s="35"/>
      <c r="I349" s="33"/>
      <c r="J349" s="37" t="str">
        <f aca="false">IF(OR(C349="",F349="",G349=""),"",G349-F349)</f>
        <v/>
      </c>
      <c r="K349" s="37" t="str">
        <f aca="false">IF(AND(A349&lt;&gt;"",A349='Project Summary'!$C$3,C349&lt;&gt;""),COUNTIFS($A$2:$A349,'Project Summary'!$C$3,$C$2:$C349,"&lt;&gt;"),"")</f>
        <v/>
      </c>
    </row>
    <row r="350" customFormat="false" ht="15" hidden="false" customHeight="false" outlineLevel="0" collapsed="false">
      <c r="A350" s="32"/>
      <c r="B350" s="32"/>
      <c r="C350" s="32"/>
      <c r="D350" s="41"/>
      <c r="E350" s="35"/>
      <c r="F350" s="35"/>
      <c r="G350" s="35"/>
      <c r="H350" s="35"/>
      <c r="I350" s="33"/>
      <c r="J350" s="37" t="str">
        <f aca="false">IF(OR(C350="",F350="",G350=""),"",G350-F350)</f>
        <v/>
      </c>
      <c r="K350" s="37" t="str">
        <f aca="false">IF(AND(A350&lt;&gt;"",A350='Project Summary'!$C$3,C350&lt;&gt;""),COUNTIFS($A$2:$A350,'Project Summary'!$C$3,$C$2:$C350,"&lt;&gt;"),"")</f>
        <v/>
      </c>
    </row>
    <row r="351" customFormat="false" ht="15" hidden="false" customHeight="false" outlineLevel="0" collapsed="false">
      <c r="A351" s="32"/>
      <c r="B351" s="32"/>
      <c r="C351" s="32"/>
      <c r="D351" s="41"/>
      <c r="E351" s="35"/>
      <c r="F351" s="35"/>
      <c r="G351" s="35"/>
      <c r="H351" s="35"/>
      <c r="I351" s="33"/>
      <c r="J351" s="37" t="str">
        <f aca="false">IF(OR(C351="",F351="",G351=""),"",G351-F351)</f>
        <v/>
      </c>
      <c r="K351" s="37" t="str">
        <f aca="false">IF(AND(A351&lt;&gt;"",A351='Project Summary'!$C$3,C351&lt;&gt;""),COUNTIFS($A$2:$A351,'Project Summary'!$C$3,$C$2:$C351,"&lt;&gt;"),"")</f>
        <v/>
      </c>
    </row>
    <row r="352" customFormat="false" ht="15" hidden="false" customHeight="false" outlineLevel="0" collapsed="false">
      <c r="A352" s="32"/>
      <c r="B352" s="32"/>
      <c r="C352" s="32"/>
      <c r="D352" s="41"/>
      <c r="E352" s="35"/>
      <c r="F352" s="35"/>
      <c r="G352" s="35"/>
      <c r="H352" s="35"/>
      <c r="I352" s="33"/>
      <c r="J352" s="37" t="str">
        <f aca="false">IF(OR(C352="",F352="",G352=""),"",G352-F352)</f>
        <v/>
      </c>
      <c r="K352" s="37" t="str">
        <f aca="false">IF(AND(A352&lt;&gt;"",A352='Project Summary'!$C$3,C352&lt;&gt;""),COUNTIFS($A$2:$A352,'Project Summary'!$C$3,$C$2:$C352,"&lt;&gt;"),"")</f>
        <v/>
      </c>
    </row>
    <row r="353" customFormat="false" ht="15" hidden="false" customHeight="false" outlineLevel="0" collapsed="false">
      <c r="A353" s="32"/>
      <c r="B353" s="32"/>
      <c r="C353" s="32"/>
      <c r="D353" s="41"/>
      <c r="E353" s="35"/>
      <c r="F353" s="35"/>
      <c r="G353" s="35"/>
      <c r="H353" s="35"/>
      <c r="I353" s="33"/>
      <c r="J353" s="37" t="str">
        <f aca="false">IF(OR(C353="",F353="",G353=""),"",G353-F353)</f>
        <v/>
      </c>
      <c r="K353" s="37" t="str">
        <f aca="false">IF(AND(A353&lt;&gt;"",A353='Project Summary'!$C$3,C353&lt;&gt;""),COUNTIFS($A$2:$A353,'Project Summary'!$C$3,$C$2:$C353,"&lt;&gt;"),"")</f>
        <v/>
      </c>
    </row>
    <row r="354" customFormat="false" ht="15" hidden="false" customHeight="false" outlineLevel="0" collapsed="false">
      <c r="A354" s="32"/>
      <c r="B354" s="32"/>
      <c r="C354" s="32"/>
      <c r="D354" s="41"/>
      <c r="E354" s="35"/>
      <c r="F354" s="35"/>
      <c r="G354" s="35"/>
      <c r="H354" s="35"/>
      <c r="I354" s="33"/>
      <c r="J354" s="37" t="str">
        <f aca="false">IF(OR(C354="",F354="",G354=""),"",G354-F354)</f>
        <v/>
      </c>
      <c r="K354" s="37" t="str">
        <f aca="false">IF(AND(A354&lt;&gt;"",A354='Project Summary'!$C$3,C354&lt;&gt;""),COUNTIFS($A$2:$A354,'Project Summary'!$C$3,$C$2:$C354,"&lt;&gt;"),"")</f>
        <v/>
      </c>
    </row>
    <row r="355" customFormat="false" ht="15" hidden="false" customHeight="false" outlineLevel="0" collapsed="false">
      <c r="A355" s="32"/>
      <c r="B355" s="32"/>
      <c r="C355" s="32"/>
      <c r="D355" s="41"/>
      <c r="E355" s="35"/>
      <c r="F355" s="35"/>
      <c r="G355" s="35"/>
      <c r="H355" s="35"/>
      <c r="I355" s="33"/>
      <c r="J355" s="37" t="str">
        <f aca="false">IF(OR(C355="",F355="",G355=""),"",G355-F355)</f>
        <v/>
      </c>
      <c r="K355" s="37" t="str">
        <f aca="false">IF(AND(A355&lt;&gt;"",A355='Project Summary'!$C$3,C355&lt;&gt;""),COUNTIFS($A$2:$A355,'Project Summary'!$C$3,$C$2:$C355,"&lt;&gt;"),"")</f>
        <v/>
      </c>
    </row>
    <row r="356" customFormat="false" ht="15" hidden="false" customHeight="false" outlineLevel="0" collapsed="false">
      <c r="A356" s="32"/>
      <c r="B356" s="32"/>
      <c r="C356" s="32"/>
      <c r="D356" s="41"/>
      <c r="E356" s="35"/>
      <c r="F356" s="35"/>
      <c r="G356" s="35"/>
      <c r="H356" s="35"/>
      <c r="I356" s="33"/>
      <c r="J356" s="37" t="str">
        <f aca="false">IF(OR(C356="",F356="",G356=""),"",G356-F356)</f>
        <v/>
      </c>
      <c r="K356" s="37" t="str">
        <f aca="false">IF(AND(A356&lt;&gt;"",A356='Project Summary'!$C$3,C356&lt;&gt;""),COUNTIFS($A$2:$A356,'Project Summary'!$C$3,$C$2:$C356,"&lt;&gt;"),"")</f>
        <v/>
      </c>
    </row>
    <row r="357" customFormat="false" ht="15" hidden="false" customHeight="false" outlineLevel="0" collapsed="false">
      <c r="A357" s="32"/>
      <c r="B357" s="32"/>
      <c r="C357" s="32"/>
      <c r="D357" s="41"/>
      <c r="E357" s="35"/>
      <c r="F357" s="35"/>
      <c r="G357" s="35"/>
      <c r="H357" s="35"/>
      <c r="I357" s="33"/>
      <c r="J357" s="37" t="str">
        <f aca="false">IF(OR(C357="",F357="",G357=""),"",G357-F357)</f>
        <v/>
      </c>
      <c r="K357" s="37" t="str">
        <f aca="false">IF(AND(A357&lt;&gt;"",A357='Project Summary'!$C$3,C357&lt;&gt;""),COUNTIFS($A$2:$A357,'Project Summary'!$C$3,$C$2:$C357,"&lt;&gt;"),"")</f>
        <v/>
      </c>
    </row>
    <row r="358" customFormat="false" ht="15" hidden="false" customHeight="false" outlineLevel="0" collapsed="false">
      <c r="A358" s="32"/>
      <c r="B358" s="32"/>
      <c r="C358" s="32"/>
      <c r="D358" s="41"/>
      <c r="E358" s="35"/>
      <c r="F358" s="35"/>
      <c r="G358" s="35"/>
      <c r="H358" s="35"/>
      <c r="I358" s="33"/>
      <c r="J358" s="37" t="str">
        <f aca="false">IF(OR(C358="",F358="",G358=""),"",G358-F358)</f>
        <v/>
      </c>
      <c r="K358" s="37" t="str">
        <f aca="false">IF(AND(A358&lt;&gt;"",A358='Project Summary'!$C$3,C358&lt;&gt;""),COUNTIFS($A$2:$A358,'Project Summary'!$C$3,$C$2:$C358,"&lt;&gt;"),"")</f>
        <v/>
      </c>
    </row>
    <row r="359" customFormat="false" ht="15" hidden="false" customHeight="false" outlineLevel="0" collapsed="false">
      <c r="A359" s="32"/>
      <c r="B359" s="32"/>
      <c r="C359" s="32"/>
      <c r="D359" s="41"/>
      <c r="E359" s="35"/>
      <c r="F359" s="35"/>
      <c r="G359" s="35"/>
      <c r="H359" s="35"/>
      <c r="I359" s="33"/>
      <c r="J359" s="37" t="str">
        <f aca="false">IF(OR(C359="",F359="",G359=""),"",G359-F359)</f>
        <v/>
      </c>
      <c r="K359" s="37" t="str">
        <f aca="false">IF(AND(A359&lt;&gt;"",A359='Project Summary'!$C$3,C359&lt;&gt;""),COUNTIFS($A$2:$A359,'Project Summary'!$C$3,$C$2:$C359,"&lt;&gt;"),"")</f>
        <v/>
      </c>
    </row>
    <row r="360" customFormat="false" ht="15" hidden="false" customHeight="false" outlineLevel="0" collapsed="false">
      <c r="A360" s="32"/>
      <c r="B360" s="32"/>
      <c r="C360" s="32"/>
      <c r="D360" s="41"/>
      <c r="E360" s="35"/>
      <c r="F360" s="35"/>
      <c r="G360" s="35"/>
      <c r="H360" s="35"/>
      <c r="I360" s="33"/>
      <c r="J360" s="37" t="str">
        <f aca="false">IF(OR(C360="",F360="",G360=""),"",G360-F360)</f>
        <v/>
      </c>
      <c r="K360" s="37" t="str">
        <f aca="false">IF(AND(A360&lt;&gt;"",A360='Project Summary'!$C$3,C360&lt;&gt;""),COUNTIFS($A$2:$A360,'Project Summary'!$C$3,$C$2:$C360,"&lt;&gt;"),"")</f>
        <v/>
      </c>
    </row>
    <row r="361" customFormat="false" ht="15" hidden="false" customHeight="false" outlineLevel="0" collapsed="false">
      <c r="A361" s="32"/>
      <c r="B361" s="32"/>
      <c r="C361" s="32"/>
      <c r="D361" s="41"/>
      <c r="E361" s="35"/>
      <c r="F361" s="35"/>
      <c r="G361" s="35"/>
      <c r="H361" s="35"/>
      <c r="I361" s="33"/>
      <c r="J361" s="37" t="str">
        <f aca="false">IF(OR(C361="",F361="",G361=""),"",G361-F361)</f>
        <v/>
      </c>
      <c r="K361" s="37" t="str">
        <f aca="false">IF(AND(A361&lt;&gt;"",A361='Project Summary'!$C$3,C361&lt;&gt;""),COUNTIFS($A$2:$A361,'Project Summary'!$C$3,$C$2:$C361,"&lt;&gt;"),"")</f>
        <v/>
      </c>
    </row>
    <row r="362" customFormat="false" ht="15" hidden="false" customHeight="false" outlineLevel="0" collapsed="false">
      <c r="A362" s="32"/>
      <c r="B362" s="32"/>
      <c r="C362" s="32"/>
      <c r="D362" s="41"/>
      <c r="E362" s="35"/>
      <c r="F362" s="35"/>
      <c r="G362" s="35"/>
      <c r="H362" s="35"/>
      <c r="I362" s="33"/>
      <c r="J362" s="37" t="str">
        <f aca="false">IF(OR(C362="",F362="",G362=""),"",G362-F362)</f>
        <v/>
      </c>
      <c r="K362" s="37" t="str">
        <f aca="false">IF(AND(A362&lt;&gt;"",A362='Project Summary'!$C$3,C362&lt;&gt;""),COUNTIFS($A$2:$A362,'Project Summary'!$C$3,$C$2:$C362,"&lt;&gt;"),"")</f>
        <v/>
      </c>
    </row>
    <row r="363" customFormat="false" ht="15" hidden="false" customHeight="false" outlineLevel="0" collapsed="false">
      <c r="A363" s="32"/>
      <c r="B363" s="32"/>
      <c r="C363" s="32"/>
      <c r="D363" s="41"/>
      <c r="E363" s="35"/>
      <c r="F363" s="35"/>
      <c r="G363" s="35"/>
      <c r="H363" s="35"/>
      <c r="I363" s="33"/>
      <c r="J363" s="37" t="str">
        <f aca="false">IF(OR(C363="",F363="",G363=""),"",G363-F363)</f>
        <v/>
      </c>
      <c r="K363" s="37" t="str">
        <f aca="false">IF(AND(A363&lt;&gt;"",A363='Project Summary'!$C$3,C363&lt;&gt;""),COUNTIFS($A$2:$A363,'Project Summary'!$C$3,$C$2:$C363,"&lt;&gt;"),"")</f>
        <v/>
      </c>
    </row>
    <row r="364" customFormat="false" ht="15" hidden="false" customHeight="false" outlineLevel="0" collapsed="false">
      <c r="A364" s="32"/>
      <c r="B364" s="32"/>
      <c r="C364" s="32"/>
      <c r="D364" s="41"/>
      <c r="E364" s="35"/>
      <c r="F364" s="35"/>
      <c r="G364" s="35"/>
      <c r="H364" s="35"/>
      <c r="I364" s="33"/>
      <c r="J364" s="37" t="str">
        <f aca="false">IF(OR(C364="",F364="",G364=""),"",G364-F364)</f>
        <v/>
      </c>
      <c r="K364" s="37" t="str">
        <f aca="false">IF(AND(A364&lt;&gt;"",A364='Project Summary'!$C$3,C364&lt;&gt;""),COUNTIFS($A$2:$A364,'Project Summary'!$C$3,$C$2:$C364,"&lt;&gt;"),"")</f>
        <v/>
      </c>
    </row>
    <row r="365" customFormat="false" ht="15" hidden="false" customHeight="false" outlineLevel="0" collapsed="false">
      <c r="A365" s="32"/>
      <c r="B365" s="32"/>
      <c r="C365" s="32"/>
      <c r="D365" s="41"/>
      <c r="E365" s="35"/>
      <c r="F365" s="35"/>
      <c r="G365" s="35"/>
      <c r="H365" s="35"/>
      <c r="I365" s="33"/>
      <c r="J365" s="37" t="str">
        <f aca="false">IF(OR(C365="",F365="",G365=""),"",G365-F365)</f>
        <v/>
      </c>
      <c r="K365" s="37" t="str">
        <f aca="false">IF(AND(A365&lt;&gt;"",A365='Project Summary'!$C$3,C365&lt;&gt;""),COUNTIFS($A$2:$A365,'Project Summary'!$C$3,$C$2:$C365,"&lt;&gt;"),"")</f>
        <v/>
      </c>
    </row>
    <row r="366" customFormat="false" ht="15" hidden="false" customHeight="false" outlineLevel="0" collapsed="false">
      <c r="A366" s="32"/>
      <c r="B366" s="32"/>
      <c r="C366" s="32"/>
      <c r="D366" s="41"/>
      <c r="E366" s="35"/>
      <c r="F366" s="35"/>
      <c r="G366" s="35"/>
      <c r="H366" s="35"/>
      <c r="I366" s="33"/>
      <c r="J366" s="37" t="str">
        <f aca="false">IF(OR(C366="",F366="",G366=""),"",G366-F366)</f>
        <v/>
      </c>
      <c r="K366" s="37" t="str">
        <f aca="false">IF(AND(A366&lt;&gt;"",A366='Project Summary'!$C$3,C366&lt;&gt;""),COUNTIFS($A$2:$A366,'Project Summary'!$C$3,$C$2:$C366,"&lt;&gt;"),"")</f>
        <v/>
      </c>
    </row>
    <row r="367" customFormat="false" ht="15" hidden="false" customHeight="false" outlineLevel="0" collapsed="false">
      <c r="A367" s="32"/>
      <c r="B367" s="32"/>
      <c r="C367" s="32"/>
      <c r="D367" s="41"/>
      <c r="E367" s="35"/>
      <c r="F367" s="35"/>
      <c r="G367" s="35"/>
      <c r="H367" s="35"/>
      <c r="I367" s="33"/>
      <c r="J367" s="37" t="str">
        <f aca="false">IF(OR(C367="",F367="",G367=""),"",G367-F367)</f>
        <v/>
      </c>
      <c r="K367" s="37" t="str">
        <f aca="false">IF(AND(A367&lt;&gt;"",A367='Project Summary'!$C$3,C367&lt;&gt;""),COUNTIFS($A$2:$A367,'Project Summary'!$C$3,$C$2:$C367,"&lt;&gt;"),"")</f>
        <v/>
      </c>
    </row>
    <row r="368" customFormat="false" ht="15" hidden="false" customHeight="false" outlineLevel="0" collapsed="false">
      <c r="A368" s="32"/>
      <c r="B368" s="32"/>
      <c r="C368" s="32"/>
      <c r="D368" s="41"/>
      <c r="E368" s="35"/>
      <c r="F368" s="35"/>
      <c r="G368" s="35"/>
      <c r="H368" s="35"/>
      <c r="I368" s="33"/>
      <c r="J368" s="37" t="str">
        <f aca="false">IF(OR(C368="",F368="",G368=""),"",G368-F368)</f>
        <v/>
      </c>
      <c r="K368" s="37" t="str">
        <f aca="false">IF(AND(A368&lt;&gt;"",A368='Project Summary'!$C$3,C368&lt;&gt;""),COUNTIFS($A$2:$A368,'Project Summary'!$C$3,$C$2:$C368,"&lt;&gt;"),"")</f>
        <v/>
      </c>
    </row>
    <row r="369" customFormat="false" ht="15" hidden="false" customHeight="false" outlineLevel="0" collapsed="false">
      <c r="A369" s="32"/>
      <c r="B369" s="32"/>
      <c r="C369" s="32"/>
      <c r="D369" s="41"/>
      <c r="E369" s="35"/>
      <c r="F369" s="35"/>
      <c r="G369" s="35"/>
      <c r="H369" s="35"/>
      <c r="I369" s="33"/>
      <c r="J369" s="37" t="str">
        <f aca="false">IF(OR(C369="",F369="",G369=""),"",G369-F369)</f>
        <v/>
      </c>
      <c r="K369" s="37" t="str">
        <f aca="false">IF(AND(A369&lt;&gt;"",A369='Project Summary'!$C$3,C369&lt;&gt;""),COUNTIFS($A$2:$A369,'Project Summary'!$C$3,$C$2:$C369,"&lt;&gt;"),"")</f>
        <v/>
      </c>
    </row>
    <row r="370" customFormat="false" ht="15" hidden="false" customHeight="false" outlineLevel="0" collapsed="false">
      <c r="A370" s="32"/>
      <c r="B370" s="32"/>
      <c r="C370" s="32"/>
      <c r="D370" s="41"/>
      <c r="E370" s="35"/>
      <c r="F370" s="35"/>
      <c r="G370" s="35"/>
      <c r="H370" s="35"/>
      <c r="I370" s="33"/>
      <c r="J370" s="37" t="str">
        <f aca="false">IF(OR(C370="",F370="",G370=""),"",G370-F370)</f>
        <v/>
      </c>
      <c r="K370" s="37" t="str">
        <f aca="false">IF(AND(A370&lt;&gt;"",A370='Project Summary'!$C$3,C370&lt;&gt;""),COUNTIFS($A$2:$A370,'Project Summary'!$C$3,$C$2:$C370,"&lt;&gt;"),"")</f>
        <v/>
      </c>
    </row>
    <row r="371" customFormat="false" ht="15" hidden="false" customHeight="false" outlineLevel="0" collapsed="false">
      <c r="A371" s="32"/>
      <c r="B371" s="32"/>
      <c r="C371" s="32"/>
      <c r="D371" s="41"/>
      <c r="E371" s="35"/>
      <c r="F371" s="35"/>
      <c r="G371" s="35"/>
      <c r="H371" s="35"/>
      <c r="I371" s="33"/>
      <c r="J371" s="37" t="str">
        <f aca="false">IF(OR(C371="",F371="",G371=""),"",G371-F371)</f>
        <v/>
      </c>
      <c r="K371" s="37" t="str">
        <f aca="false">IF(AND(A371&lt;&gt;"",A371='Project Summary'!$C$3,C371&lt;&gt;""),COUNTIFS($A$2:$A371,'Project Summary'!$C$3,$C$2:$C371,"&lt;&gt;"),"")</f>
        <v/>
      </c>
    </row>
    <row r="372" customFormat="false" ht="15" hidden="false" customHeight="false" outlineLevel="0" collapsed="false">
      <c r="A372" s="32"/>
      <c r="B372" s="32"/>
      <c r="C372" s="32"/>
      <c r="D372" s="41"/>
      <c r="E372" s="35"/>
      <c r="F372" s="35"/>
      <c r="G372" s="35"/>
      <c r="H372" s="35"/>
      <c r="I372" s="33"/>
      <c r="J372" s="37" t="str">
        <f aca="false">IF(OR(C372="",F372="",G372=""),"",G372-F372)</f>
        <v/>
      </c>
      <c r="K372" s="37" t="str">
        <f aca="false">IF(AND(A372&lt;&gt;"",A372='Project Summary'!$C$3,C372&lt;&gt;""),COUNTIFS($A$2:$A372,'Project Summary'!$C$3,$C$2:$C372,"&lt;&gt;"),"")</f>
        <v/>
      </c>
    </row>
    <row r="373" customFormat="false" ht="15" hidden="false" customHeight="false" outlineLevel="0" collapsed="false">
      <c r="A373" s="32"/>
      <c r="B373" s="32"/>
      <c r="C373" s="32"/>
      <c r="D373" s="41"/>
      <c r="E373" s="35"/>
      <c r="F373" s="35"/>
      <c r="G373" s="35"/>
      <c r="H373" s="35"/>
      <c r="I373" s="33"/>
      <c r="J373" s="37" t="str">
        <f aca="false">IF(OR(C373="",F373="",G373=""),"",G373-F373)</f>
        <v/>
      </c>
      <c r="K373" s="37" t="str">
        <f aca="false">IF(AND(A373&lt;&gt;"",A373='Project Summary'!$C$3,C373&lt;&gt;""),COUNTIFS($A$2:$A373,'Project Summary'!$C$3,$C$2:$C373,"&lt;&gt;"),"")</f>
        <v/>
      </c>
    </row>
    <row r="374" customFormat="false" ht="15" hidden="false" customHeight="false" outlineLevel="0" collapsed="false">
      <c r="A374" s="32"/>
      <c r="B374" s="32"/>
      <c r="C374" s="32"/>
      <c r="D374" s="41"/>
      <c r="E374" s="35"/>
      <c r="F374" s="35"/>
      <c r="G374" s="35"/>
      <c r="H374" s="35"/>
      <c r="I374" s="33"/>
      <c r="J374" s="37" t="str">
        <f aca="false">IF(OR(C374="",F374="",G374=""),"",G374-F374)</f>
        <v/>
      </c>
      <c r="K374" s="37" t="str">
        <f aca="false">IF(AND(A374&lt;&gt;"",A374='Project Summary'!$C$3,C374&lt;&gt;""),COUNTIFS($A$2:$A374,'Project Summary'!$C$3,$C$2:$C374,"&lt;&gt;"),"")</f>
        <v/>
      </c>
    </row>
    <row r="375" customFormat="false" ht="15" hidden="false" customHeight="false" outlineLevel="0" collapsed="false">
      <c r="A375" s="32"/>
      <c r="B375" s="32"/>
      <c r="C375" s="32"/>
      <c r="D375" s="41"/>
      <c r="E375" s="35"/>
      <c r="F375" s="35"/>
      <c r="G375" s="35"/>
      <c r="H375" s="35"/>
      <c r="I375" s="33"/>
      <c r="J375" s="37" t="str">
        <f aca="false">IF(OR(C375="",F375="",G375=""),"",G375-F375)</f>
        <v/>
      </c>
      <c r="K375" s="37" t="str">
        <f aca="false">IF(AND(A375&lt;&gt;"",A375='Project Summary'!$C$3,C375&lt;&gt;""),COUNTIFS($A$2:$A375,'Project Summary'!$C$3,$C$2:$C375,"&lt;&gt;"),"")</f>
        <v/>
      </c>
    </row>
    <row r="376" customFormat="false" ht="15" hidden="false" customHeight="false" outlineLevel="0" collapsed="false">
      <c r="A376" s="32"/>
      <c r="B376" s="32"/>
      <c r="C376" s="32"/>
      <c r="D376" s="41"/>
      <c r="E376" s="35"/>
      <c r="F376" s="35"/>
      <c r="G376" s="35"/>
      <c r="H376" s="35"/>
      <c r="I376" s="33"/>
      <c r="J376" s="37" t="str">
        <f aca="false">IF(OR(C376="",F376="",G376=""),"",G376-F376)</f>
        <v/>
      </c>
      <c r="K376" s="37" t="str">
        <f aca="false">IF(AND(A376&lt;&gt;"",A376='Project Summary'!$C$3,C376&lt;&gt;""),COUNTIFS($A$2:$A376,'Project Summary'!$C$3,$C$2:$C376,"&lt;&gt;"),"")</f>
        <v/>
      </c>
    </row>
    <row r="377" customFormat="false" ht="15" hidden="false" customHeight="false" outlineLevel="0" collapsed="false">
      <c r="A377" s="32"/>
      <c r="B377" s="32"/>
      <c r="C377" s="32"/>
      <c r="D377" s="41"/>
      <c r="E377" s="35"/>
      <c r="F377" s="35"/>
      <c r="G377" s="35"/>
      <c r="H377" s="35"/>
      <c r="I377" s="33"/>
      <c r="J377" s="37" t="str">
        <f aca="false">IF(OR(C377="",F377="",G377=""),"",G377-F377)</f>
        <v/>
      </c>
      <c r="K377" s="37" t="str">
        <f aca="false">IF(AND(A377&lt;&gt;"",A377='Project Summary'!$C$3,C377&lt;&gt;""),COUNTIFS($A$2:$A377,'Project Summary'!$C$3,$C$2:$C377,"&lt;&gt;"),"")</f>
        <v/>
      </c>
    </row>
    <row r="378" customFormat="false" ht="15" hidden="false" customHeight="false" outlineLevel="0" collapsed="false">
      <c r="A378" s="32"/>
      <c r="B378" s="32"/>
      <c r="C378" s="32"/>
      <c r="D378" s="41"/>
      <c r="E378" s="35"/>
      <c r="F378" s="35"/>
      <c r="G378" s="35"/>
      <c r="H378" s="35"/>
      <c r="I378" s="33"/>
      <c r="J378" s="37" t="str">
        <f aca="false">IF(OR(C378="",F378="",G378=""),"",G378-F378)</f>
        <v/>
      </c>
      <c r="K378" s="37" t="str">
        <f aca="false">IF(AND(A378&lt;&gt;"",A378='Project Summary'!$C$3,C378&lt;&gt;""),COUNTIFS($A$2:$A378,'Project Summary'!$C$3,$C$2:$C378,"&lt;&gt;"),"")</f>
        <v/>
      </c>
    </row>
    <row r="379" customFormat="false" ht="15" hidden="false" customHeight="false" outlineLevel="0" collapsed="false">
      <c r="A379" s="32"/>
      <c r="B379" s="32"/>
      <c r="C379" s="32"/>
      <c r="D379" s="41"/>
      <c r="E379" s="35"/>
      <c r="F379" s="35"/>
      <c r="G379" s="35"/>
      <c r="H379" s="35"/>
      <c r="I379" s="33"/>
      <c r="J379" s="37" t="str">
        <f aca="false">IF(OR(C379="",F379="",G379=""),"",G379-F379)</f>
        <v/>
      </c>
      <c r="K379" s="37" t="str">
        <f aca="false">IF(AND(A379&lt;&gt;"",A379='Project Summary'!$C$3,C379&lt;&gt;""),COUNTIFS($A$2:$A379,'Project Summary'!$C$3,$C$2:$C379,"&lt;&gt;"),"")</f>
        <v/>
      </c>
    </row>
    <row r="380" customFormat="false" ht="15" hidden="false" customHeight="false" outlineLevel="0" collapsed="false">
      <c r="A380" s="32"/>
      <c r="B380" s="32"/>
      <c r="C380" s="32"/>
      <c r="D380" s="41"/>
      <c r="E380" s="35"/>
      <c r="F380" s="35"/>
      <c r="G380" s="35"/>
      <c r="H380" s="35"/>
      <c r="I380" s="33"/>
      <c r="J380" s="37" t="str">
        <f aca="false">IF(OR(C380="",F380="",G380=""),"",G380-F380)</f>
        <v/>
      </c>
      <c r="K380" s="37" t="str">
        <f aca="false">IF(AND(A380&lt;&gt;"",A380='Project Summary'!$C$3,C380&lt;&gt;""),COUNTIFS($A$2:$A380,'Project Summary'!$C$3,$C$2:$C380,"&lt;&gt;"),"")</f>
        <v/>
      </c>
    </row>
    <row r="381" customFormat="false" ht="15" hidden="false" customHeight="false" outlineLevel="0" collapsed="false">
      <c r="A381" s="32"/>
      <c r="B381" s="32"/>
      <c r="C381" s="32"/>
      <c r="D381" s="41"/>
      <c r="E381" s="35"/>
      <c r="F381" s="35"/>
      <c r="G381" s="35"/>
      <c r="H381" s="35"/>
      <c r="I381" s="33"/>
      <c r="J381" s="37" t="str">
        <f aca="false">IF(OR(C381="",F381="",G381=""),"",G381-F381)</f>
        <v/>
      </c>
      <c r="K381" s="37" t="str">
        <f aca="false">IF(AND(A381&lt;&gt;"",A381='Project Summary'!$C$3,C381&lt;&gt;""),COUNTIFS($A$2:$A381,'Project Summary'!$C$3,$C$2:$C381,"&lt;&gt;"),"")</f>
        <v/>
      </c>
    </row>
    <row r="382" customFormat="false" ht="15" hidden="false" customHeight="false" outlineLevel="0" collapsed="false">
      <c r="A382" s="32"/>
      <c r="B382" s="32"/>
      <c r="C382" s="32"/>
      <c r="D382" s="41"/>
      <c r="E382" s="35"/>
      <c r="F382" s="35"/>
      <c r="G382" s="35"/>
      <c r="H382" s="35"/>
      <c r="I382" s="33"/>
      <c r="J382" s="37" t="str">
        <f aca="false">IF(OR(C382="",F382="",G382=""),"",G382-F382)</f>
        <v/>
      </c>
      <c r="K382" s="37" t="str">
        <f aca="false">IF(AND(A382&lt;&gt;"",A382='Project Summary'!$C$3,C382&lt;&gt;""),COUNTIFS($A$2:$A382,'Project Summary'!$C$3,$C$2:$C382,"&lt;&gt;"),"")</f>
        <v/>
      </c>
    </row>
    <row r="383" customFormat="false" ht="15" hidden="false" customHeight="false" outlineLevel="0" collapsed="false">
      <c r="A383" s="32"/>
      <c r="B383" s="32"/>
      <c r="C383" s="32"/>
      <c r="D383" s="41"/>
      <c r="E383" s="35"/>
      <c r="F383" s="35"/>
      <c r="G383" s="35"/>
      <c r="H383" s="35"/>
      <c r="I383" s="33"/>
      <c r="J383" s="37" t="str">
        <f aca="false">IF(OR(C383="",F383="",G383=""),"",G383-F383)</f>
        <v/>
      </c>
      <c r="K383" s="37" t="str">
        <f aca="false">IF(AND(A383&lt;&gt;"",A383='Project Summary'!$C$3,C383&lt;&gt;""),COUNTIFS($A$2:$A383,'Project Summary'!$C$3,$C$2:$C383,"&lt;&gt;"),"")</f>
        <v/>
      </c>
    </row>
    <row r="384" customFormat="false" ht="15" hidden="false" customHeight="false" outlineLevel="0" collapsed="false">
      <c r="A384" s="32"/>
      <c r="B384" s="32"/>
      <c r="C384" s="32"/>
      <c r="D384" s="41"/>
      <c r="E384" s="35"/>
      <c r="F384" s="35"/>
      <c r="G384" s="35"/>
      <c r="H384" s="35"/>
      <c r="I384" s="33"/>
      <c r="J384" s="37" t="str">
        <f aca="false">IF(OR(C384="",F384="",G384=""),"",G384-F384)</f>
        <v/>
      </c>
      <c r="K384" s="37" t="str">
        <f aca="false">IF(AND(A384&lt;&gt;"",A384='Project Summary'!$C$3,C384&lt;&gt;""),COUNTIFS($A$2:$A384,'Project Summary'!$C$3,$C$2:$C384,"&lt;&gt;"),"")</f>
        <v/>
      </c>
    </row>
    <row r="385" customFormat="false" ht="15" hidden="false" customHeight="false" outlineLevel="0" collapsed="false">
      <c r="A385" s="32"/>
      <c r="B385" s="32"/>
      <c r="C385" s="32"/>
      <c r="D385" s="41"/>
      <c r="E385" s="35"/>
      <c r="F385" s="35"/>
      <c r="G385" s="35"/>
      <c r="H385" s="35"/>
      <c r="I385" s="33"/>
      <c r="J385" s="37" t="str">
        <f aca="false">IF(OR(C385="",F385="",G385=""),"",G385-F385)</f>
        <v/>
      </c>
      <c r="K385" s="37" t="str">
        <f aca="false">IF(AND(A385&lt;&gt;"",A385='Project Summary'!$C$3,C385&lt;&gt;""),COUNTIFS($A$2:$A385,'Project Summary'!$C$3,$C$2:$C385,"&lt;&gt;"),"")</f>
        <v/>
      </c>
    </row>
    <row r="386" customFormat="false" ht="15" hidden="false" customHeight="false" outlineLevel="0" collapsed="false">
      <c r="A386" s="32"/>
      <c r="B386" s="32"/>
      <c r="C386" s="32"/>
      <c r="D386" s="41"/>
      <c r="E386" s="35"/>
      <c r="F386" s="35"/>
      <c r="G386" s="35"/>
      <c r="H386" s="35"/>
      <c r="I386" s="33"/>
      <c r="J386" s="37" t="str">
        <f aca="false">IF(OR(C386="",F386="",G386=""),"",G386-F386)</f>
        <v/>
      </c>
      <c r="K386" s="37" t="str">
        <f aca="false">IF(AND(A386&lt;&gt;"",A386='Project Summary'!$C$3,C386&lt;&gt;""),COUNTIFS($A$2:$A386,'Project Summary'!$C$3,$C$2:$C386,"&lt;&gt;"),"")</f>
        <v/>
      </c>
    </row>
    <row r="387" customFormat="false" ht="15" hidden="false" customHeight="false" outlineLevel="0" collapsed="false">
      <c r="A387" s="32"/>
      <c r="B387" s="32"/>
      <c r="C387" s="32"/>
      <c r="D387" s="41"/>
      <c r="E387" s="35"/>
      <c r="F387" s="35"/>
      <c r="G387" s="35"/>
      <c r="H387" s="35"/>
      <c r="I387" s="33"/>
      <c r="J387" s="37" t="str">
        <f aca="false">IF(OR(C387="",F387="",G387=""),"",G387-F387)</f>
        <v/>
      </c>
      <c r="K387" s="37" t="str">
        <f aca="false">IF(AND(A387&lt;&gt;"",A387='Project Summary'!$C$3,C387&lt;&gt;""),COUNTIFS($A$2:$A387,'Project Summary'!$C$3,$C$2:$C387,"&lt;&gt;"),"")</f>
        <v/>
      </c>
    </row>
    <row r="388" customFormat="false" ht="15" hidden="false" customHeight="false" outlineLevel="0" collapsed="false">
      <c r="A388" s="32"/>
      <c r="B388" s="32"/>
      <c r="C388" s="32"/>
      <c r="D388" s="41"/>
      <c r="E388" s="35"/>
      <c r="F388" s="35"/>
      <c r="G388" s="35"/>
      <c r="H388" s="35"/>
      <c r="I388" s="33"/>
      <c r="J388" s="37" t="str">
        <f aca="false">IF(OR(C388="",F388="",G388=""),"",G388-F388)</f>
        <v/>
      </c>
      <c r="K388" s="37" t="str">
        <f aca="false">IF(AND(A388&lt;&gt;"",A388='Project Summary'!$C$3,C388&lt;&gt;""),COUNTIFS($A$2:$A388,'Project Summary'!$C$3,$C$2:$C388,"&lt;&gt;"),"")</f>
        <v/>
      </c>
    </row>
    <row r="389" customFormat="false" ht="15" hidden="false" customHeight="false" outlineLevel="0" collapsed="false">
      <c r="A389" s="32"/>
      <c r="B389" s="32"/>
      <c r="C389" s="32"/>
      <c r="D389" s="41"/>
      <c r="E389" s="35"/>
      <c r="F389" s="35"/>
      <c r="G389" s="35"/>
      <c r="H389" s="35"/>
      <c r="I389" s="33"/>
      <c r="J389" s="37" t="str">
        <f aca="false">IF(OR(C389="",F389="",G389=""),"",G389-F389)</f>
        <v/>
      </c>
      <c r="K389" s="37" t="str">
        <f aca="false">IF(AND(A389&lt;&gt;"",A389='Project Summary'!$C$3,C389&lt;&gt;""),COUNTIFS($A$2:$A389,'Project Summary'!$C$3,$C$2:$C389,"&lt;&gt;"),"")</f>
        <v/>
      </c>
    </row>
    <row r="390" customFormat="false" ht="15" hidden="false" customHeight="false" outlineLevel="0" collapsed="false">
      <c r="A390" s="32"/>
      <c r="B390" s="32"/>
      <c r="C390" s="32"/>
      <c r="D390" s="41"/>
      <c r="E390" s="35"/>
      <c r="F390" s="35"/>
      <c r="G390" s="35"/>
      <c r="H390" s="35"/>
      <c r="I390" s="33"/>
      <c r="J390" s="37" t="str">
        <f aca="false">IF(OR(C390="",F390="",G390=""),"",G390-F390)</f>
        <v/>
      </c>
      <c r="K390" s="37" t="str">
        <f aca="false">IF(AND(A390&lt;&gt;"",A390='Project Summary'!$C$3,C390&lt;&gt;""),COUNTIFS($A$2:$A390,'Project Summary'!$C$3,$C$2:$C390,"&lt;&gt;"),"")</f>
        <v/>
      </c>
    </row>
    <row r="391" customFormat="false" ht="15" hidden="false" customHeight="false" outlineLevel="0" collapsed="false">
      <c r="A391" s="32"/>
      <c r="B391" s="32"/>
      <c r="C391" s="32"/>
      <c r="D391" s="41"/>
      <c r="E391" s="35"/>
      <c r="F391" s="35"/>
      <c r="G391" s="35"/>
      <c r="H391" s="35"/>
      <c r="I391" s="33"/>
      <c r="J391" s="37" t="str">
        <f aca="false">IF(OR(C391="",F391="",G391=""),"",G391-F391)</f>
        <v/>
      </c>
      <c r="K391" s="37" t="str">
        <f aca="false">IF(AND(A391&lt;&gt;"",A391='Project Summary'!$C$3,C391&lt;&gt;""),COUNTIFS($A$2:$A391,'Project Summary'!$C$3,$C$2:$C391,"&lt;&gt;"),"")</f>
        <v/>
      </c>
    </row>
    <row r="392" customFormat="false" ht="15" hidden="false" customHeight="false" outlineLevel="0" collapsed="false">
      <c r="A392" s="32"/>
      <c r="B392" s="32"/>
      <c r="C392" s="32"/>
      <c r="D392" s="41"/>
      <c r="E392" s="35"/>
      <c r="F392" s="35"/>
      <c r="G392" s="35"/>
      <c r="H392" s="35"/>
      <c r="I392" s="33"/>
      <c r="J392" s="37" t="str">
        <f aca="false">IF(OR(C392="",F392="",G392=""),"",G392-F392)</f>
        <v/>
      </c>
      <c r="K392" s="37" t="str">
        <f aca="false">IF(AND(A392&lt;&gt;"",A392='Project Summary'!$C$3,C392&lt;&gt;""),COUNTIFS($A$2:$A392,'Project Summary'!$C$3,$C$2:$C392,"&lt;&gt;"),"")</f>
        <v/>
      </c>
    </row>
    <row r="393" customFormat="false" ht="15" hidden="false" customHeight="false" outlineLevel="0" collapsed="false">
      <c r="A393" s="32"/>
      <c r="B393" s="32"/>
      <c r="C393" s="32"/>
      <c r="D393" s="41"/>
      <c r="E393" s="35"/>
      <c r="F393" s="35"/>
      <c r="G393" s="35"/>
      <c r="H393" s="35"/>
      <c r="I393" s="33"/>
      <c r="J393" s="37" t="str">
        <f aca="false">IF(OR(C393="",F393="",G393=""),"",G393-F393)</f>
        <v/>
      </c>
      <c r="K393" s="37" t="str">
        <f aca="false">IF(AND(A393&lt;&gt;"",A393='Project Summary'!$C$3,C393&lt;&gt;""),COUNTIFS($A$2:$A393,'Project Summary'!$C$3,$C$2:$C393,"&lt;&gt;"),"")</f>
        <v/>
      </c>
    </row>
    <row r="394" customFormat="false" ht="15" hidden="false" customHeight="false" outlineLevel="0" collapsed="false">
      <c r="A394" s="32"/>
      <c r="B394" s="32"/>
      <c r="C394" s="32"/>
      <c r="D394" s="41"/>
      <c r="E394" s="35"/>
      <c r="F394" s="35"/>
      <c r="G394" s="35"/>
      <c r="H394" s="35"/>
      <c r="I394" s="33"/>
      <c r="J394" s="37" t="str">
        <f aca="false">IF(OR(C394="",F394="",G394=""),"",G394-F394)</f>
        <v/>
      </c>
      <c r="K394" s="37" t="str">
        <f aca="false">IF(AND(A394&lt;&gt;"",A394='Project Summary'!$C$3,C394&lt;&gt;""),COUNTIFS($A$2:$A394,'Project Summary'!$C$3,$C$2:$C394,"&lt;&gt;"),"")</f>
        <v/>
      </c>
    </row>
    <row r="395" customFormat="false" ht="15" hidden="false" customHeight="false" outlineLevel="0" collapsed="false">
      <c r="A395" s="32"/>
      <c r="B395" s="32"/>
      <c r="C395" s="32"/>
      <c r="D395" s="41"/>
      <c r="E395" s="35"/>
      <c r="F395" s="35"/>
      <c r="G395" s="35"/>
      <c r="H395" s="35"/>
      <c r="I395" s="33"/>
      <c r="J395" s="37" t="str">
        <f aca="false">IF(OR(C395="",F395="",G395=""),"",G395-F395)</f>
        <v/>
      </c>
      <c r="K395" s="37" t="str">
        <f aca="false">IF(AND(A395&lt;&gt;"",A395='Project Summary'!$C$3,C395&lt;&gt;""),COUNTIFS($A$2:$A395,'Project Summary'!$C$3,$C$2:$C395,"&lt;&gt;"),"")</f>
        <v/>
      </c>
    </row>
    <row r="396" customFormat="false" ht="15" hidden="false" customHeight="false" outlineLevel="0" collapsed="false">
      <c r="A396" s="32"/>
      <c r="B396" s="32"/>
      <c r="C396" s="32"/>
      <c r="D396" s="41"/>
      <c r="E396" s="35"/>
      <c r="F396" s="35"/>
      <c r="G396" s="35"/>
      <c r="H396" s="35"/>
      <c r="I396" s="33"/>
      <c r="J396" s="37" t="str">
        <f aca="false">IF(OR(C396="",F396="",G396=""),"",G396-F396)</f>
        <v/>
      </c>
      <c r="K396" s="37" t="str">
        <f aca="false">IF(AND(A396&lt;&gt;"",A396='Project Summary'!$C$3,C396&lt;&gt;""),COUNTIFS($A$2:$A396,'Project Summary'!$C$3,$C$2:$C396,"&lt;&gt;"),"")</f>
        <v/>
      </c>
    </row>
    <row r="397" customFormat="false" ht="15" hidden="false" customHeight="false" outlineLevel="0" collapsed="false">
      <c r="A397" s="32"/>
      <c r="B397" s="32"/>
      <c r="C397" s="32"/>
      <c r="D397" s="41"/>
      <c r="E397" s="35"/>
      <c r="F397" s="35"/>
      <c r="G397" s="35"/>
      <c r="H397" s="35"/>
      <c r="I397" s="33"/>
      <c r="J397" s="37" t="str">
        <f aca="false">IF(OR(C397="",F397="",G397=""),"",G397-F397)</f>
        <v/>
      </c>
      <c r="K397" s="37" t="str">
        <f aca="false">IF(AND(A397&lt;&gt;"",A397='Project Summary'!$C$3,C397&lt;&gt;""),COUNTIFS($A$2:$A397,'Project Summary'!$C$3,$C$2:$C397,"&lt;&gt;"),"")</f>
        <v/>
      </c>
    </row>
    <row r="398" customFormat="false" ht="15" hidden="false" customHeight="false" outlineLevel="0" collapsed="false">
      <c r="A398" s="32"/>
      <c r="B398" s="32"/>
      <c r="C398" s="32"/>
      <c r="D398" s="41"/>
      <c r="E398" s="35"/>
      <c r="F398" s="35"/>
      <c r="G398" s="35"/>
      <c r="H398" s="35"/>
      <c r="I398" s="33"/>
      <c r="J398" s="37" t="str">
        <f aca="false">IF(OR(C398="",F398="",G398=""),"",G398-F398)</f>
        <v/>
      </c>
      <c r="K398" s="37" t="str">
        <f aca="false">IF(AND(A398&lt;&gt;"",A398='Project Summary'!$C$3,C398&lt;&gt;""),COUNTIFS($A$2:$A398,'Project Summary'!$C$3,$C$2:$C398,"&lt;&gt;"),"")</f>
        <v/>
      </c>
    </row>
    <row r="399" customFormat="false" ht="15" hidden="false" customHeight="false" outlineLevel="0" collapsed="false">
      <c r="A399" s="32"/>
      <c r="B399" s="32"/>
      <c r="C399" s="32"/>
      <c r="D399" s="41"/>
      <c r="E399" s="35"/>
      <c r="F399" s="35"/>
      <c r="G399" s="35"/>
      <c r="H399" s="35"/>
      <c r="I399" s="33"/>
      <c r="J399" s="37" t="str">
        <f aca="false">IF(OR(C399="",F399="",G399=""),"",G399-F399)</f>
        <v/>
      </c>
      <c r="K399" s="37" t="str">
        <f aca="false">IF(AND(A399&lt;&gt;"",A399='Project Summary'!$C$3,C399&lt;&gt;""),COUNTIFS($A$2:$A399,'Project Summary'!$C$3,$C$2:$C399,"&lt;&gt;"),"")</f>
        <v/>
      </c>
    </row>
    <row r="400" customFormat="false" ht="15" hidden="false" customHeight="false" outlineLevel="0" collapsed="false">
      <c r="A400" s="32"/>
      <c r="B400" s="32"/>
      <c r="C400" s="32"/>
      <c r="D400" s="41"/>
      <c r="E400" s="35"/>
      <c r="F400" s="35"/>
      <c r="G400" s="35"/>
      <c r="H400" s="35"/>
      <c r="I400" s="33"/>
      <c r="J400" s="37" t="str">
        <f aca="false">IF(OR(C400="",F400="",G400=""),"",G400-F400)</f>
        <v/>
      </c>
      <c r="K400" s="37" t="str">
        <f aca="false">IF(AND(A400&lt;&gt;"",A400='Project Summary'!$C$3,C400&lt;&gt;""),COUNTIFS($A$2:$A400,'Project Summary'!$C$3,$C$2:$C400,"&lt;&gt;"),"")</f>
        <v/>
      </c>
    </row>
    <row r="401" customFormat="false" ht="15" hidden="false" customHeight="false" outlineLevel="0" collapsed="false">
      <c r="A401" s="32"/>
      <c r="B401" s="32"/>
      <c r="C401" s="32"/>
      <c r="D401" s="41"/>
      <c r="E401" s="35"/>
      <c r="F401" s="35"/>
      <c r="G401" s="35"/>
      <c r="H401" s="35"/>
      <c r="I401" s="33"/>
      <c r="J401" s="37" t="str">
        <f aca="false">IF(OR(C401="",F401="",G401=""),"",G401-F401)</f>
        <v/>
      </c>
      <c r="K401" s="37" t="str">
        <f aca="false">IF(AND(A401&lt;&gt;"",A401='Project Summary'!$C$3,C401&lt;&gt;""),COUNTIFS($A$2:$A401,'Project Summary'!$C$3,$C$2:$C401,"&lt;&gt;"),"")</f>
        <v/>
      </c>
    </row>
    <row r="402" customFormat="false" ht="15" hidden="false" customHeight="false" outlineLevel="0" collapsed="false">
      <c r="A402" s="32"/>
      <c r="B402" s="32"/>
      <c r="C402" s="32"/>
      <c r="D402" s="41"/>
      <c r="E402" s="35"/>
      <c r="F402" s="35"/>
      <c r="G402" s="35"/>
      <c r="H402" s="35"/>
      <c r="I402" s="33"/>
      <c r="J402" s="37" t="str">
        <f aca="false">IF(OR(C402="",F402="",G402=""),"",G402-F402)</f>
        <v/>
      </c>
      <c r="K402" s="37" t="str">
        <f aca="false">IF(AND(A402&lt;&gt;"",A402='Project Summary'!$C$3,C402&lt;&gt;""),COUNTIFS($A$2:$A402,'Project Summary'!$C$3,$C$2:$C402,"&lt;&gt;"),"")</f>
        <v/>
      </c>
    </row>
    <row r="403" customFormat="false" ht="15" hidden="false" customHeight="false" outlineLevel="0" collapsed="false">
      <c r="A403" s="32"/>
      <c r="B403" s="32"/>
      <c r="C403" s="32"/>
      <c r="D403" s="41"/>
      <c r="E403" s="35"/>
      <c r="F403" s="35"/>
      <c r="G403" s="35"/>
      <c r="H403" s="35"/>
      <c r="I403" s="33"/>
      <c r="J403" s="37" t="str">
        <f aca="false">IF(OR(C403="",F403="",G403=""),"",G403-F403)</f>
        <v/>
      </c>
      <c r="K403" s="37" t="str">
        <f aca="false">IF(AND(A403&lt;&gt;"",A403='Project Summary'!$C$3,C403&lt;&gt;""),COUNTIFS($A$2:$A403,'Project Summary'!$C$3,$C$2:$C403,"&lt;&gt;"),"")</f>
        <v/>
      </c>
    </row>
    <row r="404" customFormat="false" ht="15" hidden="false" customHeight="false" outlineLevel="0" collapsed="false">
      <c r="A404" s="32"/>
      <c r="B404" s="32"/>
      <c r="C404" s="32"/>
      <c r="D404" s="41"/>
      <c r="E404" s="35"/>
      <c r="F404" s="35"/>
      <c r="G404" s="35"/>
      <c r="H404" s="35"/>
      <c r="I404" s="33"/>
      <c r="J404" s="37" t="str">
        <f aca="false">IF(OR(C404="",F404="",G404=""),"",G404-F404)</f>
        <v/>
      </c>
      <c r="K404" s="37" t="str">
        <f aca="false">IF(AND(A404&lt;&gt;"",A404='Project Summary'!$C$3,C404&lt;&gt;""),COUNTIFS($A$2:$A404,'Project Summary'!$C$3,$C$2:$C404,"&lt;&gt;"),"")</f>
        <v/>
      </c>
    </row>
    <row r="405" customFormat="false" ht="15" hidden="false" customHeight="false" outlineLevel="0" collapsed="false">
      <c r="A405" s="32"/>
      <c r="B405" s="32"/>
      <c r="C405" s="32"/>
      <c r="D405" s="41"/>
      <c r="E405" s="35"/>
      <c r="F405" s="35"/>
      <c r="G405" s="35"/>
      <c r="H405" s="35"/>
      <c r="I405" s="33"/>
      <c r="J405" s="37" t="str">
        <f aca="false">IF(OR(C405="",F405="",G405=""),"",G405-F405)</f>
        <v/>
      </c>
      <c r="K405" s="37" t="str">
        <f aca="false">IF(AND(A405&lt;&gt;"",A405='Project Summary'!$C$3,C405&lt;&gt;""),COUNTIFS($A$2:$A405,'Project Summary'!$C$3,$C$2:$C405,"&lt;&gt;"),"")</f>
        <v/>
      </c>
    </row>
    <row r="406" customFormat="false" ht="15" hidden="false" customHeight="false" outlineLevel="0" collapsed="false">
      <c r="A406" s="32"/>
      <c r="B406" s="32"/>
      <c r="C406" s="32"/>
      <c r="D406" s="41"/>
      <c r="E406" s="35"/>
      <c r="F406" s="35"/>
      <c r="G406" s="35"/>
      <c r="H406" s="35"/>
      <c r="I406" s="33"/>
      <c r="J406" s="37" t="str">
        <f aca="false">IF(OR(C406="",F406="",G406=""),"",G406-F406)</f>
        <v/>
      </c>
      <c r="K406" s="37" t="str">
        <f aca="false">IF(AND(A406&lt;&gt;"",A406='Project Summary'!$C$3,C406&lt;&gt;""),COUNTIFS($A$2:$A406,'Project Summary'!$C$3,$C$2:$C406,"&lt;&gt;"),"")</f>
        <v/>
      </c>
    </row>
    <row r="407" customFormat="false" ht="15" hidden="false" customHeight="false" outlineLevel="0" collapsed="false">
      <c r="A407" s="32"/>
      <c r="B407" s="32"/>
      <c r="C407" s="32"/>
      <c r="D407" s="41"/>
      <c r="E407" s="35"/>
      <c r="F407" s="35"/>
      <c r="G407" s="35"/>
      <c r="H407" s="35"/>
      <c r="I407" s="33"/>
      <c r="J407" s="37" t="str">
        <f aca="false">IF(OR(C407="",F407="",G407=""),"",G407-F407)</f>
        <v/>
      </c>
      <c r="K407" s="37" t="str">
        <f aca="false">IF(AND(A407&lt;&gt;"",A407='Project Summary'!$C$3,C407&lt;&gt;""),COUNTIFS($A$2:$A407,'Project Summary'!$C$3,$C$2:$C407,"&lt;&gt;"),"")</f>
        <v/>
      </c>
    </row>
    <row r="408" customFormat="false" ht="15" hidden="false" customHeight="false" outlineLevel="0" collapsed="false">
      <c r="A408" s="32"/>
      <c r="B408" s="32"/>
      <c r="C408" s="32"/>
      <c r="D408" s="41"/>
      <c r="E408" s="35"/>
      <c r="F408" s="35"/>
      <c r="G408" s="35"/>
      <c r="H408" s="35"/>
      <c r="I408" s="33"/>
      <c r="J408" s="37" t="str">
        <f aca="false">IF(OR(C408="",F408="",G408=""),"",G408-F408)</f>
        <v/>
      </c>
      <c r="K408" s="37" t="str">
        <f aca="false">IF(AND(A408&lt;&gt;"",A408='Project Summary'!$C$3,C408&lt;&gt;""),COUNTIFS($A$2:$A408,'Project Summary'!$C$3,$C$2:$C408,"&lt;&gt;"),"")</f>
        <v/>
      </c>
    </row>
    <row r="409" customFormat="false" ht="15" hidden="false" customHeight="false" outlineLevel="0" collapsed="false">
      <c r="A409" s="32"/>
      <c r="B409" s="32"/>
      <c r="C409" s="32"/>
      <c r="D409" s="41"/>
      <c r="E409" s="35"/>
      <c r="F409" s="35"/>
      <c r="G409" s="35"/>
      <c r="H409" s="35"/>
      <c r="I409" s="33"/>
      <c r="J409" s="37" t="str">
        <f aca="false">IF(OR(C409="",F409="",G409=""),"",G409-F409)</f>
        <v/>
      </c>
      <c r="K409" s="37" t="str">
        <f aca="false">IF(AND(A409&lt;&gt;"",A409='Project Summary'!$C$3,C409&lt;&gt;""),COUNTIFS($A$2:$A409,'Project Summary'!$C$3,$C$2:$C409,"&lt;&gt;"),"")</f>
        <v/>
      </c>
    </row>
    <row r="410" customFormat="false" ht="15" hidden="false" customHeight="false" outlineLevel="0" collapsed="false">
      <c r="A410" s="32"/>
      <c r="B410" s="32"/>
      <c r="C410" s="32"/>
      <c r="D410" s="41"/>
      <c r="E410" s="35"/>
      <c r="F410" s="35"/>
      <c r="G410" s="35"/>
      <c r="H410" s="35"/>
      <c r="I410" s="33"/>
      <c r="J410" s="37" t="str">
        <f aca="false">IF(OR(C410="",F410="",G410=""),"",G410-F410)</f>
        <v/>
      </c>
      <c r="K410" s="37" t="str">
        <f aca="false">IF(AND(A410&lt;&gt;"",A410='Project Summary'!$C$3,C410&lt;&gt;""),COUNTIFS($A$2:$A410,'Project Summary'!$C$3,$C$2:$C410,"&lt;&gt;"),"")</f>
        <v/>
      </c>
    </row>
    <row r="411" customFormat="false" ht="15" hidden="false" customHeight="false" outlineLevel="0" collapsed="false">
      <c r="A411" s="32"/>
      <c r="B411" s="32"/>
      <c r="C411" s="32"/>
      <c r="D411" s="41"/>
      <c r="E411" s="35"/>
      <c r="F411" s="35"/>
      <c r="G411" s="35"/>
      <c r="H411" s="35"/>
      <c r="I411" s="33"/>
      <c r="J411" s="37" t="str">
        <f aca="false">IF(OR(C411="",F411="",G411=""),"",G411-F411)</f>
        <v/>
      </c>
      <c r="K411" s="37" t="str">
        <f aca="false">IF(AND(A411&lt;&gt;"",A411='Project Summary'!$C$3,C411&lt;&gt;""),COUNTIFS($A$2:$A411,'Project Summary'!$C$3,$C$2:$C411,"&lt;&gt;"),"")</f>
        <v/>
      </c>
    </row>
    <row r="412" customFormat="false" ht="15" hidden="false" customHeight="false" outlineLevel="0" collapsed="false">
      <c r="A412" s="32"/>
      <c r="B412" s="32"/>
      <c r="C412" s="32"/>
      <c r="D412" s="41"/>
      <c r="E412" s="35"/>
      <c r="F412" s="35"/>
      <c r="G412" s="35"/>
      <c r="H412" s="35"/>
      <c r="I412" s="33"/>
      <c r="J412" s="37" t="str">
        <f aca="false">IF(OR(C412="",F412="",G412=""),"",G412-F412)</f>
        <v/>
      </c>
      <c r="K412" s="37" t="str">
        <f aca="false">IF(AND(A412&lt;&gt;"",A412='Project Summary'!$C$3,C412&lt;&gt;""),COUNTIFS($A$2:$A412,'Project Summary'!$C$3,$C$2:$C412,"&lt;&gt;"),"")</f>
        <v/>
      </c>
    </row>
    <row r="413" customFormat="false" ht="15" hidden="false" customHeight="false" outlineLevel="0" collapsed="false">
      <c r="A413" s="32"/>
      <c r="B413" s="32"/>
      <c r="C413" s="32"/>
      <c r="D413" s="41"/>
      <c r="E413" s="35"/>
      <c r="F413" s="35"/>
      <c r="G413" s="35"/>
      <c r="H413" s="35"/>
      <c r="I413" s="33"/>
      <c r="J413" s="37" t="str">
        <f aca="false">IF(OR(C413="",F413="",G413=""),"",G413-F413)</f>
        <v/>
      </c>
      <c r="K413" s="37" t="str">
        <f aca="false">IF(AND(A413&lt;&gt;"",A413='Project Summary'!$C$3,C413&lt;&gt;""),COUNTIFS($A$2:$A413,'Project Summary'!$C$3,$C$2:$C413,"&lt;&gt;"),"")</f>
        <v/>
      </c>
    </row>
    <row r="414" customFormat="false" ht="15" hidden="false" customHeight="false" outlineLevel="0" collapsed="false">
      <c r="A414" s="32"/>
      <c r="B414" s="32"/>
      <c r="C414" s="32"/>
      <c r="D414" s="41"/>
      <c r="E414" s="35"/>
      <c r="F414" s="35"/>
      <c r="G414" s="35"/>
      <c r="H414" s="35"/>
      <c r="I414" s="33"/>
      <c r="J414" s="37" t="str">
        <f aca="false">IF(OR(C414="",F414="",G414=""),"",G414-F414)</f>
        <v/>
      </c>
      <c r="K414" s="37" t="str">
        <f aca="false">IF(AND(A414&lt;&gt;"",A414='Project Summary'!$C$3,C414&lt;&gt;""),COUNTIFS($A$2:$A414,'Project Summary'!$C$3,$C$2:$C414,"&lt;&gt;"),"")</f>
        <v/>
      </c>
    </row>
    <row r="415" customFormat="false" ht="15" hidden="false" customHeight="false" outlineLevel="0" collapsed="false">
      <c r="A415" s="32"/>
      <c r="B415" s="32"/>
      <c r="C415" s="32"/>
      <c r="D415" s="41"/>
      <c r="E415" s="35"/>
      <c r="F415" s="35"/>
      <c r="G415" s="35"/>
      <c r="H415" s="35"/>
      <c r="I415" s="33"/>
      <c r="J415" s="37" t="str">
        <f aca="false">IF(OR(C415="",F415="",G415=""),"",G415-F415)</f>
        <v/>
      </c>
      <c r="K415" s="37" t="str">
        <f aca="false">IF(AND(A415&lt;&gt;"",A415='Project Summary'!$C$3,C415&lt;&gt;""),COUNTIFS($A$2:$A415,'Project Summary'!$C$3,$C$2:$C415,"&lt;&gt;"),"")</f>
        <v/>
      </c>
    </row>
    <row r="416" customFormat="false" ht="15" hidden="false" customHeight="false" outlineLevel="0" collapsed="false">
      <c r="A416" s="32"/>
      <c r="B416" s="32"/>
      <c r="C416" s="32"/>
      <c r="D416" s="41"/>
      <c r="E416" s="35"/>
      <c r="F416" s="35"/>
      <c r="G416" s="35"/>
      <c r="H416" s="35"/>
      <c r="I416" s="33"/>
      <c r="J416" s="37" t="str">
        <f aca="false">IF(OR(C416="",F416="",G416=""),"",G416-F416)</f>
        <v/>
      </c>
      <c r="K416" s="37" t="str">
        <f aca="false">IF(AND(A416&lt;&gt;"",A416='Project Summary'!$C$3,C416&lt;&gt;""),COUNTIFS($A$2:$A416,'Project Summary'!$C$3,$C$2:$C416,"&lt;&gt;"),"")</f>
        <v/>
      </c>
    </row>
    <row r="417" customFormat="false" ht="15" hidden="false" customHeight="false" outlineLevel="0" collapsed="false">
      <c r="A417" s="32"/>
      <c r="B417" s="32"/>
      <c r="C417" s="32"/>
      <c r="D417" s="41"/>
      <c r="E417" s="35"/>
      <c r="F417" s="35"/>
      <c r="G417" s="35"/>
      <c r="H417" s="35"/>
      <c r="I417" s="33"/>
      <c r="J417" s="37" t="str">
        <f aca="false">IF(OR(C417="",F417="",G417=""),"",G417-F417)</f>
        <v/>
      </c>
      <c r="K417" s="37" t="str">
        <f aca="false">IF(AND(A417&lt;&gt;"",A417='Project Summary'!$C$3,C417&lt;&gt;""),COUNTIFS($A$2:$A417,'Project Summary'!$C$3,$C$2:$C417,"&lt;&gt;"),"")</f>
        <v/>
      </c>
    </row>
    <row r="418" customFormat="false" ht="15" hidden="false" customHeight="false" outlineLevel="0" collapsed="false">
      <c r="A418" s="32"/>
      <c r="B418" s="32"/>
      <c r="C418" s="32"/>
      <c r="D418" s="41"/>
      <c r="E418" s="35"/>
      <c r="F418" s="35"/>
      <c r="G418" s="35"/>
      <c r="H418" s="35"/>
      <c r="I418" s="33"/>
      <c r="J418" s="37" t="str">
        <f aca="false">IF(OR(C418="",F418="",G418=""),"",G418-F418)</f>
        <v/>
      </c>
      <c r="K418" s="37" t="str">
        <f aca="false">IF(AND(A418&lt;&gt;"",A418='Project Summary'!$C$3,C418&lt;&gt;""),COUNTIFS($A$2:$A418,'Project Summary'!$C$3,$C$2:$C418,"&lt;&gt;"),"")</f>
        <v/>
      </c>
    </row>
    <row r="419" customFormat="false" ht="15" hidden="false" customHeight="false" outlineLevel="0" collapsed="false">
      <c r="A419" s="32"/>
      <c r="B419" s="32"/>
      <c r="C419" s="32"/>
      <c r="D419" s="41"/>
      <c r="E419" s="35"/>
      <c r="F419" s="35"/>
      <c r="G419" s="35"/>
      <c r="H419" s="35"/>
      <c r="I419" s="33"/>
      <c r="J419" s="37" t="str">
        <f aca="false">IF(OR(C419="",F419="",G419=""),"",G419-F419)</f>
        <v/>
      </c>
      <c r="K419" s="37" t="str">
        <f aca="false">IF(AND(A419&lt;&gt;"",A419='Project Summary'!$C$3,C419&lt;&gt;""),COUNTIFS($A$2:$A419,'Project Summary'!$C$3,$C$2:$C419,"&lt;&gt;"),"")</f>
        <v/>
      </c>
    </row>
    <row r="420" customFormat="false" ht="15" hidden="false" customHeight="false" outlineLevel="0" collapsed="false">
      <c r="A420" s="32"/>
      <c r="B420" s="32"/>
      <c r="C420" s="32"/>
      <c r="D420" s="41"/>
      <c r="E420" s="35"/>
      <c r="F420" s="35"/>
      <c r="G420" s="35"/>
      <c r="H420" s="35"/>
      <c r="I420" s="33"/>
      <c r="J420" s="37" t="str">
        <f aca="false">IF(OR(C420="",F420="",G420=""),"",G420-F420)</f>
        <v/>
      </c>
      <c r="K420" s="37" t="str">
        <f aca="false">IF(AND(A420&lt;&gt;"",A420='Project Summary'!$C$3,C420&lt;&gt;""),COUNTIFS($A$2:$A420,'Project Summary'!$C$3,$C$2:$C420,"&lt;&gt;"),"")</f>
        <v/>
      </c>
    </row>
    <row r="421" customFormat="false" ht="15" hidden="false" customHeight="false" outlineLevel="0" collapsed="false">
      <c r="A421" s="32"/>
      <c r="B421" s="32"/>
      <c r="C421" s="32"/>
      <c r="D421" s="41"/>
      <c r="E421" s="35"/>
      <c r="F421" s="35"/>
      <c r="G421" s="35"/>
      <c r="H421" s="35"/>
      <c r="I421" s="33"/>
      <c r="J421" s="37" t="str">
        <f aca="false">IF(OR(C421="",F421="",G421=""),"",G421-F421)</f>
        <v/>
      </c>
      <c r="K421" s="37" t="str">
        <f aca="false">IF(AND(A421&lt;&gt;"",A421='Project Summary'!$C$3,C421&lt;&gt;""),COUNTIFS($A$2:$A421,'Project Summary'!$C$3,$C$2:$C421,"&lt;&gt;"),"")</f>
        <v/>
      </c>
    </row>
    <row r="422" customFormat="false" ht="15" hidden="false" customHeight="false" outlineLevel="0" collapsed="false">
      <c r="A422" s="32"/>
      <c r="B422" s="32"/>
      <c r="C422" s="32"/>
      <c r="D422" s="41"/>
      <c r="E422" s="35"/>
      <c r="F422" s="35"/>
      <c r="G422" s="35"/>
      <c r="H422" s="35"/>
      <c r="I422" s="33"/>
      <c r="J422" s="37" t="str">
        <f aca="false">IF(OR(C422="",F422="",G422=""),"",G422-F422)</f>
        <v/>
      </c>
      <c r="K422" s="37" t="str">
        <f aca="false">IF(AND(A422&lt;&gt;"",A422='Project Summary'!$C$3,C422&lt;&gt;""),COUNTIFS($A$2:$A422,'Project Summary'!$C$3,$C$2:$C422,"&lt;&gt;"),"")</f>
        <v/>
      </c>
    </row>
    <row r="423" customFormat="false" ht="15" hidden="false" customHeight="false" outlineLevel="0" collapsed="false">
      <c r="A423" s="32"/>
      <c r="B423" s="32"/>
      <c r="C423" s="32"/>
      <c r="D423" s="41"/>
      <c r="E423" s="35"/>
      <c r="F423" s="35"/>
      <c r="G423" s="35"/>
      <c r="H423" s="35"/>
      <c r="I423" s="33"/>
      <c r="J423" s="37" t="str">
        <f aca="false">IF(OR(C423="",F423="",G423=""),"",G423-F423)</f>
        <v/>
      </c>
      <c r="K423" s="37" t="str">
        <f aca="false">IF(AND(A423&lt;&gt;"",A423='Project Summary'!$C$3,C423&lt;&gt;""),COUNTIFS($A$2:$A423,'Project Summary'!$C$3,$C$2:$C423,"&lt;&gt;"),"")</f>
        <v/>
      </c>
    </row>
    <row r="424" customFormat="false" ht="15" hidden="false" customHeight="false" outlineLevel="0" collapsed="false">
      <c r="A424" s="32"/>
      <c r="B424" s="32"/>
      <c r="C424" s="32"/>
      <c r="D424" s="41"/>
      <c r="E424" s="35"/>
      <c r="F424" s="35"/>
      <c r="G424" s="35"/>
      <c r="H424" s="35"/>
      <c r="I424" s="33"/>
      <c r="J424" s="37" t="str">
        <f aca="false">IF(OR(C424="",F424="",G424=""),"",G424-F424)</f>
        <v/>
      </c>
      <c r="K424" s="37" t="str">
        <f aca="false">IF(AND(A424&lt;&gt;"",A424='Project Summary'!$C$3,C424&lt;&gt;""),COUNTIFS($A$2:$A424,'Project Summary'!$C$3,$C$2:$C424,"&lt;&gt;"),"")</f>
        <v/>
      </c>
    </row>
    <row r="425" customFormat="false" ht="15" hidden="false" customHeight="false" outlineLevel="0" collapsed="false">
      <c r="A425" s="32"/>
      <c r="B425" s="32"/>
      <c r="C425" s="32"/>
      <c r="D425" s="41"/>
      <c r="E425" s="35"/>
      <c r="F425" s="35"/>
      <c r="G425" s="35"/>
      <c r="H425" s="35"/>
      <c r="I425" s="33"/>
      <c r="J425" s="37" t="str">
        <f aca="false">IF(OR(C425="",F425="",G425=""),"",G425-F425)</f>
        <v/>
      </c>
      <c r="K425" s="37" t="str">
        <f aca="false">IF(AND(A425&lt;&gt;"",A425='Project Summary'!$C$3,C425&lt;&gt;""),COUNTIFS($A$2:$A425,'Project Summary'!$C$3,$C$2:$C425,"&lt;&gt;"),"")</f>
        <v/>
      </c>
    </row>
    <row r="426" customFormat="false" ht="15" hidden="false" customHeight="false" outlineLevel="0" collapsed="false">
      <c r="A426" s="32"/>
      <c r="B426" s="32"/>
      <c r="C426" s="32"/>
      <c r="D426" s="41"/>
      <c r="E426" s="35"/>
      <c r="F426" s="35"/>
      <c r="G426" s="35"/>
      <c r="H426" s="35"/>
      <c r="I426" s="33"/>
      <c r="J426" s="37" t="str">
        <f aca="false">IF(OR(C426="",F426="",G426=""),"",G426-F426)</f>
        <v/>
      </c>
      <c r="K426" s="37" t="str">
        <f aca="false">IF(AND(A426&lt;&gt;"",A426='Project Summary'!$C$3,C426&lt;&gt;""),COUNTIFS($A$2:$A426,'Project Summary'!$C$3,$C$2:$C426,"&lt;&gt;"),"")</f>
        <v/>
      </c>
    </row>
    <row r="427" customFormat="false" ht="15" hidden="false" customHeight="false" outlineLevel="0" collapsed="false">
      <c r="A427" s="32"/>
      <c r="B427" s="32"/>
      <c r="C427" s="32"/>
      <c r="D427" s="41"/>
      <c r="E427" s="35"/>
      <c r="F427" s="35"/>
      <c r="G427" s="35"/>
      <c r="H427" s="35"/>
      <c r="I427" s="33"/>
      <c r="J427" s="37" t="str">
        <f aca="false">IF(OR(C427="",F427="",G427=""),"",G427-F427)</f>
        <v/>
      </c>
      <c r="K427" s="37" t="str">
        <f aca="false">IF(AND(A427&lt;&gt;"",A427='Project Summary'!$C$3,C427&lt;&gt;""),COUNTIFS($A$2:$A427,'Project Summary'!$C$3,$C$2:$C427,"&lt;&gt;"),"")</f>
        <v/>
      </c>
    </row>
    <row r="428" customFormat="false" ht="15" hidden="false" customHeight="false" outlineLevel="0" collapsed="false">
      <c r="A428" s="32"/>
      <c r="B428" s="32"/>
      <c r="C428" s="32"/>
      <c r="D428" s="41"/>
      <c r="E428" s="35"/>
      <c r="F428" s="35"/>
      <c r="G428" s="35"/>
      <c r="H428" s="35"/>
      <c r="I428" s="33"/>
      <c r="J428" s="37" t="str">
        <f aca="false">IF(OR(C428="",F428="",G428=""),"",G428-F428)</f>
        <v/>
      </c>
      <c r="K428" s="37" t="str">
        <f aca="false">IF(AND(A428&lt;&gt;"",A428='Project Summary'!$C$3,C428&lt;&gt;""),COUNTIFS($A$2:$A428,'Project Summary'!$C$3,$C$2:$C428,"&lt;&gt;"),"")</f>
        <v/>
      </c>
    </row>
    <row r="429" customFormat="false" ht="15" hidden="false" customHeight="false" outlineLevel="0" collapsed="false">
      <c r="A429" s="32"/>
      <c r="B429" s="32"/>
      <c r="C429" s="32"/>
      <c r="D429" s="41"/>
      <c r="E429" s="35"/>
      <c r="F429" s="35"/>
      <c r="G429" s="35"/>
      <c r="H429" s="35"/>
      <c r="I429" s="33"/>
      <c r="J429" s="37" t="str">
        <f aca="false">IF(OR(C429="",F429="",G429=""),"",G429-F429)</f>
        <v/>
      </c>
      <c r="K429" s="37" t="str">
        <f aca="false">IF(AND(A429&lt;&gt;"",A429='Project Summary'!$C$3,C429&lt;&gt;""),COUNTIFS($A$2:$A429,'Project Summary'!$C$3,$C$2:$C429,"&lt;&gt;"),"")</f>
        <v/>
      </c>
    </row>
    <row r="430" customFormat="false" ht="15" hidden="false" customHeight="false" outlineLevel="0" collapsed="false">
      <c r="A430" s="32"/>
      <c r="B430" s="32"/>
      <c r="C430" s="32"/>
      <c r="D430" s="41"/>
      <c r="E430" s="35"/>
      <c r="F430" s="35"/>
      <c r="G430" s="35"/>
      <c r="H430" s="35"/>
      <c r="I430" s="33"/>
      <c r="J430" s="37" t="str">
        <f aca="false">IF(OR(C430="",F430="",G430=""),"",G430-F430)</f>
        <v/>
      </c>
      <c r="K430" s="37" t="str">
        <f aca="false">IF(AND(A430&lt;&gt;"",A430='Project Summary'!$C$3,C430&lt;&gt;""),COUNTIFS($A$2:$A430,'Project Summary'!$C$3,$C$2:$C430,"&lt;&gt;"),"")</f>
        <v/>
      </c>
    </row>
    <row r="431" customFormat="false" ht="15" hidden="false" customHeight="false" outlineLevel="0" collapsed="false">
      <c r="A431" s="32"/>
      <c r="B431" s="32"/>
      <c r="C431" s="32"/>
      <c r="D431" s="41"/>
      <c r="E431" s="35"/>
      <c r="F431" s="35"/>
      <c r="G431" s="35"/>
      <c r="H431" s="35"/>
      <c r="I431" s="33"/>
      <c r="J431" s="37" t="str">
        <f aca="false">IF(OR(C431="",F431="",G431=""),"",G431-F431)</f>
        <v/>
      </c>
      <c r="K431" s="37" t="str">
        <f aca="false">IF(AND(A431&lt;&gt;"",A431='Project Summary'!$C$3,C431&lt;&gt;""),COUNTIFS($A$2:$A431,'Project Summary'!$C$3,$C$2:$C431,"&lt;&gt;"),"")</f>
        <v/>
      </c>
    </row>
    <row r="432" customFormat="false" ht="15" hidden="false" customHeight="false" outlineLevel="0" collapsed="false">
      <c r="A432" s="32"/>
      <c r="B432" s="32"/>
      <c r="C432" s="32"/>
      <c r="D432" s="41"/>
      <c r="E432" s="35"/>
      <c r="F432" s="35"/>
      <c r="G432" s="35"/>
      <c r="H432" s="35"/>
      <c r="I432" s="33"/>
      <c r="J432" s="37" t="str">
        <f aca="false">IF(OR(C432="",F432="",G432=""),"",G432-F432)</f>
        <v/>
      </c>
      <c r="K432" s="37" t="str">
        <f aca="false">IF(AND(A432&lt;&gt;"",A432='Project Summary'!$C$3,C432&lt;&gt;""),COUNTIFS($A$2:$A432,'Project Summary'!$C$3,$C$2:$C432,"&lt;&gt;"),"")</f>
        <v/>
      </c>
    </row>
    <row r="433" customFormat="false" ht="15" hidden="false" customHeight="false" outlineLevel="0" collapsed="false">
      <c r="A433" s="32"/>
      <c r="B433" s="32"/>
      <c r="C433" s="32"/>
      <c r="D433" s="41"/>
      <c r="E433" s="35"/>
      <c r="F433" s="35"/>
      <c r="G433" s="35"/>
      <c r="H433" s="35"/>
      <c r="I433" s="33"/>
      <c r="J433" s="37" t="str">
        <f aca="false">IF(OR(C433="",F433="",G433=""),"",G433-F433)</f>
        <v/>
      </c>
      <c r="K433" s="37" t="str">
        <f aca="false">IF(AND(A433&lt;&gt;"",A433='Project Summary'!$C$3,C433&lt;&gt;""),COUNTIFS($A$2:$A433,'Project Summary'!$C$3,$C$2:$C433,"&lt;&gt;"),"")</f>
        <v/>
      </c>
    </row>
    <row r="434" customFormat="false" ht="15" hidden="false" customHeight="false" outlineLevel="0" collapsed="false">
      <c r="A434" s="32"/>
      <c r="B434" s="32"/>
      <c r="C434" s="32"/>
      <c r="D434" s="41"/>
      <c r="E434" s="35"/>
      <c r="F434" s="35"/>
      <c r="G434" s="35"/>
      <c r="H434" s="35"/>
      <c r="I434" s="33"/>
      <c r="J434" s="37" t="str">
        <f aca="false">IF(OR(C434="",F434="",G434=""),"",G434-F434)</f>
        <v/>
      </c>
      <c r="K434" s="37" t="str">
        <f aca="false">IF(AND(A434&lt;&gt;"",A434='Project Summary'!$C$3,C434&lt;&gt;""),COUNTIFS($A$2:$A434,'Project Summary'!$C$3,$C$2:$C434,"&lt;&gt;"),"")</f>
        <v/>
      </c>
    </row>
    <row r="435" customFormat="false" ht="15" hidden="false" customHeight="false" outlineLevel="0" collapsed="false">
      <c r="A435" s="32"/>
      <c r="B435" s="32"/>
      <c r="C435" s="32"/>
      <c r="D435" s="41"/>
      <c r="E435" s="35"/>
      <c r="F435" s="35"/>
      <c r="G435" s="35"/>
      <c r="H435" s="35"/>
      <c r="I435" s="33"/>
      <c r="J435" s="37" t="str">
        <f aca="false">IF(OR(C435="",F435="",G435=""),"",G435-F435)</f>
        <v/>
      </c>
      <c r="K435" s="37" t="str">
        <f aca="false">IF(AND(A435&lt;&gt;"",A435='Project Summary'!$C$3,C435&lt;&gt;""),COUNTIFS($A$2:$A435,'Project Summary'!$C$3,$C$2:$C435,"&lt;&gt;"),"")</f>
        <v/>
      </c>
    </row>
    <row r="436" customFormat="false" ht="15" hidden="false" customHeight="false" outlineLevel="0" collapsed="false">
      <c r="A436" s="32"/>
      <c r="B436" s="32"/>
      <c r="C436" s="32"/>
      <c r="D436" s="41"/>
      <c r="E436" s="35"/>
      <c r="F436" s="35"/>
      <c r="G436" s="35"/>
      <c r="H436" s="35"/>
      <c r="I436" s="33"/>
      <c r="J436" s="37" t="str">
        <f aca="false">IF(OR(C436="",F436="",G436=""),"",G436-F436)</f>
        <v/>
      </c>
      <c r="K436" s="37" t="str">
        <f aca="false">IF(AND(A436&lt;&gt;"",A436='Project Summary'!$C$3,C436&lt;&gt;""),COUNTIFS($A$2:$A436,'Project Summary'!$C$3,$C$2:$C436,"&lt;&gt;"),"")</f>
        <v/>
      </c>
    </row>
    <row r="437" customFormat="false" ht="15" hidden="false" customHeight="false" outlineLevel="0" collapsed="false">
      <c r="A437" s="32"/>
      <c r="B437" s="32"/>
      <c r="C437" s="32"/>
      <c r="D437" s="41"/>
      <c r="E437" s="35"/>
      <c r="F437" s="35"/>
      <c r="G437" s="35"/>
      <c r="H437" s="35"/>
      <c r="I437" s="33"/>
      <c r="J437" s="37" t="str">
        <f aca="false">IF(OR(C437="",F437="",G437=""),"",G437-F437)</f>
        <v/>
      </c>
      <c r="K437" s="37" t="str">
        <f aca="false">IF(AND(A437&lt;&gt;"",A437='Project Summary'!$C$3,C437&lt;&gt;""),COUNTIFS($A$2:$A437,'Project Summary'!$C$3,$C$2:$C437,"&lt;&gt;"),"")</f>
        <v/>
      </c>
    </row>
    <row r="438" customFormat="false" ht="15" hidden="false" customHeight="false" outlineLevel="0" collapsed="false">
      <c r="A438" s="32"/>
      <c r="B438" s="32"/>
      <c r="C438" s="32"/>
      <c r="D438" s="41"/>
      <c r="E438" s="35"/>
      <c r="F438" s="35"/>
      <c r="G438" s="35"/>
      <c r="H438" s="35"/>
      <c r="I438" s="33"/>
      <c r="J438" s="37" t="str">
        <f aca="false">IF(OR(C438="",F438="",G438=""),"",G438-F438)</f>
        <v/>
      </c>
      <c r="K438" s="37" t="str">
        <f aca="false">IF(AND(A438&lt;&gt;"",A438='Project Summary'!$C$3,C438&lt;&gt;""),COUNTIFS($A$2:$A438,'Project Summary'!$C$3,$C$2:$C438,"&lt;&gt;"),"")</f>
        <v/>
      </c>
    </row>
    <row r="439" customFormat="false" ht="15" hidden="false" customHeight="false" outlineLevel="0" collapsed="false">
      <c r="A439" s="32"/>
      <c r="B439" s="32"/>
      <c r="C439" s="32"/>
      <c r="D439" s="41"/>
      <c r="E439" s="35"/>
      <c r="F439" s="35"/>
      <c r="G439" s="35"/>
      <c r="H439" s="35"/>
      <c r="I439" s="33"/>
      <c r="J439" s="37" t="str">
        <f aca="false">IF(OR(C439="",F439="",G439=""),"",G439-F439)</f>
        <v/>
      </c>
      <c r="K439" s="37" t="str">
        <f aca="false">IF(AND(A439&lt;&gt;"",A439='Project Summary'!$C$3,C439&lt;&gt;""),COUNTIFS($A$2:$A439,'Project Summary'!$C$3,$C$2:$C439,"&lt;&gt;"),"")</f>
        <v/>
      </c>
    </row>
    <row r="440" customFormat="false" ht="15" hidden="false" customHeight="false" outlineLevel="0" collapsed="false">
      <c r="A440" s="32"/>
      <c r="B440" s="32"/>
      <c r="C440" s="32"/>
      <c r="D440" s="41"/>
      <c r="E440" s="35"/>
      <c r="F440" s="35"/>
      <c r="G440" s="35"/>
      <c r="H440" s="35"/>
      <c r="I440" s="33"/>
      <c r="J440" s="37" t="str">
        <f aca="false">IF(OR(C440="",F440="",G440=""),"",G440-F440)</f>
        <v/>
      </c>
      <c r="K440" s="37" t="str">
        <f aca="false">IF(AND(A440&lt;&gt;"",A440='Project Summary'!$C$3,C440&lt;&gt;""),COUNTIFS($A$2:$A440,'Project Summary'!$C$3,$C$2:$C440,"&lt;&gt;"),"")</f>
        <v/>
      </c>
    </row>
    <row r="441" customFormat="false" ht="15" hidden="false" customHeight="false" outlineLevel="0" collapsed="false">
      <c r="A441" s="32"/>
      <c r="B441" s="32"/>
      <c r="C441" s="32"/>
      <c r="D441" s="41"/>
      <c r="E441" s="35"/>
      <c r="F441" s="35"/>
      <c r="G441" s="35"/>
      <c r="H441" s="35"/>
      <c r="I441" s="33"/>
      <c r="J441" s="37" t="str">
        <f aca="false">IF(OR(C441="",F441="",G441=""),"",G441-F441)</f>
        <v/>
      </c>
      <c r="K441" s="37" t="str">
        <f aca="false">IF(AND(A441&lt;&gt;"",A441='Project Summary'!$C$3,C441&lt;&gt;""),COUNTIFS($A$2:$A441,'Project Summary'!$C$3,$C$2:$C441,"&lt;&gt;"),"")</f>
        <v/>
      </c>
    </row>
    <row r="442" customFormat="false" ht="15" hidden="false" customHeight="false" outlineLevel="0" collapsed="false">
      <c r="A442" s="32"/>
      <c r="B442" s="32"/>
      <c r="C442" s="32"/>
      <c r="D442" s="41"/>
      <c r="E442" s="35"/>
      <c r="F442" s="35"/>
      <c r="G442" s="35"/>
      <c r="H442" s="35"/>
      <c r="I442" s="33"/>
      <c r="J442" s="37" t="str">
        <f aca="false">IF(OR(C442="",F442="",G442=""),"",G442-F442)</f>
        <v/>
      </c>
      <c r="K442" s="37" t="str">
        <f aca="false">IF(AND(A442&lt;&gt;"",A442='Project Summary'!$C$3,C442&lt;&gt;""),COUNTIFS($A$2:$A442,'Project Summary'!$C$3,$C$2:$C442,"&lt;&gt;"),"")</f>
        <v/>
      </c>
    </row>
    <row r="443" customFormat="false" ht="15" hidden="false" customHeight="false" outlineLevel="0" collapsed="false">
      <c r="A443" s="32"/>
      <c r="B443" s="32"/>
      <c r="C443" s="32"/>
      <c r="D443" s="41"/>
      <c r="E443" s="35"/>
      <c r="F443" s="35"/>
      <c r="G443" s="35"/>
      <c r="H443" s="35"/>
      <c r="I443" s="33"/>
      <c r="J443" s="37" t="str">
        <f aca="false">IF(OR(C443="",F443="",G443=""),"",G443-F443)</f>
        <v/>
      </c>
      <c r="K443" s="37" t="str">
        <f aca="false">IF(AND(A443&lt;&gt;"",A443='Project Summary'!$C$3,C443&lt;&gt;""),COUNTIFS($A$2:$A443,'Project Summary'!$C$3,$C$2:$C443,"&lt;&gt;"),"")</f>
        <v/>
      </c>
    </row>
    <row r="444" customFormat="false" ht="15" hidden="false" customHeight="false" outlineLevel="0" collapsed="false">
      <c r="A444" s="32"/>
      <c r="B444" s="32"/>
      <c r="C444" s="32"/>
      <c r="D444" s="41"/>
      <c r="E444" s="35"/>
      <c r="F444" s="35"/>
      <c r="G444" s="35"/>
      <c r="H444" s="35"/>
      <c r="I444" s="33"/>
      <c r="J444" s="37" t="str">
        <f aca="false">IF(OR(C444="",F444="",G444=""),"",G444-F444)</f>
        <v/>
      </c>
      <c r="K444" s="37" t="str">
        <f aca="false">IF(AND(A444&lt;&gt;"",A444='Project Summary'!$C$3,C444&lt;&gt;""),COUNTIFS($A$2:$A444,'Project Summary'!$C$3,$C$2:$C444,"&lt;&gt;"),"")</f>
        <v/>
      </c>
    </row>
    <row r="445" customFormat="false" ht="15" hidden="false" customHeight="false" outlineLevel="0" collapsed="false">
      <c r="A445" s="32"/>
      <c r="B445" s="32"/>
      <c r="C445" s="32"/>
      <c r="D445" s="41"/>
      <c r="E445" s="35"/>
      <c r="F445" s="35"/>
      <c r="G445" s="35"/>
      <c r="H445" s="35"/>
      <c r="I445" s="33"/>
      <c r="J445" s="37" t="str">
        <f aca="false">IF(OR(C445="",F445="",G445=""),"",G445-F445)</f>
        <v/>
      </c>
      <c r="K445" s="37" t="str">
        <f aca="false">IF(AND(A445&lt;&gt;"",A445='Project Summary'!$C$3,C445&lt;&gt;""),COUNTIFS($A$2:$A445,'Project Summary'!$C$3,$C$2:$C445,"&lt;&gt;"),"")</f>
        <v/>
      </c>
    </row>
    <row r="446" customFormat="false" ht="15" hidden="false" customHeight="false" outlineLevel="0" collapsed="false">
      <c r="A446" s="32"/>
      <c r="B446" s="32"/>
      <c r="C446" s="32"/>
      <c r="D446" s="41"/>
      <c r="E446" s="35"/>
      <c r="F446" s="35"/>
      <c r="G446" s="35"/>
      <c r="H446" s="35"/>
      <c r="I446" s="33"/>
      <c r="J446" s="37" t="str">
        <f aca="false">IF(OR(C446="",F446="",G446=""),"",G446-F446)</f>
        <v/>
      </c>
      <c r="K446" s="37" t="str">
        <f aca="false">IF(AND(A446&lt;&gt;"",A446='Project Summary'!$C$3,C446&lt;&gt;""),COUNTIFS($A$2:$A446,'Project Summary'!$C$3,$C$2:$C446,"&lt;&gt;"),"")</f>
        <v/>
      </c>
    </row>
    <row r="447" customFormat="false" ht="15" hidden="false" customHeight="false" outlineLevel="0" collapsed="false">
      <c r="A447" s="32"/>
      <c r="B447" s="32"/>
      <c r="C447" s="32"/>
      <c r="D447" s="41"/>
      <c r="E447" s="35"/>
      <c r="F447" s="35"/>
      <c r="G447" s="35"/>
      <c r="H447" s="35"/>
      <c r="I447" s="33"/>
      <c r="J447" s="37" t="str">
        <f aca="false">IF(OR(C447="",F447="",G447=""),"",G447-F447)</f>
        <v/>
      </c>
      <c r="K447" s="37" t="str">
        <f aca="false">IF(AND(A447&lt;&gt;"",A447='Project Summary'!$C$3,C447&lt;&gt;""),COUNTIFS($A$2:$A447,'Project Summary'!$C$3,$C$2:$C447,"&lt;&gt;"),"")</f>
        <v/>
      </c>
    </row>
    <row r="448" customFormat="false" ht="15" hidden="false" customHeight="false" outlineLevel="0" collapsed="false">
      <c r="A448" s="32"/>
      <c r="B448" s="32"/>
      <c r="C448" s="32"/>
      <c r="D448" s="41"/>
      <c r="E448" s="35"/>
      <c r="F448" s="35"/>
      <c r="G448" s="35"/>
      <c r="H448" s="35"/>
      <c r="I448" s="33"/>
      <c r="J448" s="37" t="str">
        <f aca="false">IF(OR(C448="",F448="",G448=""),"",G448-F448)</f>
        <v/>
      </c>
      <c r="K448" s="37" t="str">
        <f aca="false">IF(AND(A448&lt;&gt;"",A448='Project Summary'!$C$3,C448&lt;&gt;""),COUNTIFS($A$2:$A448,'Project Summary'!$C$3,$C$2:$C448,"&lt;&gt;"),"")</f>
        <v/>
      </c>
    </row>
    <row r="449" customFormat="false" ht="15" hidden="false" customHeight="false" outlineLevel="0" collapsed="false">
      <c r="A449" s="32"/>
      <c r="B449" s="32"/>
      <c r="C449" s="32"/>
      <c r="D449" s="41"/>
      <c r="E449" s="35"/>
      <c r="F449" s="35"/>
      <c r="G449" s="35"/>
      <c r="H449" s="35"/>
      <c r="I449" s="33"/>
      <c r="J449" s="37" t="str">
        <f aca="false">IF(OR(C449="",F449="",G449=""),"",G449-F449)</f>
        <v/>
      </c>
      <c r="K449" s="37" t="str">
        <f aca="false">IF(AND(A449&lt;&gt;"",A449='Project Summary'!$C$3,C449&lt;&gt;""),COUNTIFS($A$2:$A449,'Project Summary'!$C$3,$C$2:$C449,"&lt;&gt;"),"")</f>
        <v/>
      </c>
    </row>
    <row r="450" customFormat="false" ht="15" hidden="false" customHeight="false" outlineLevel="0" collapsed="false">
      <c r="A450" s="32"/>
      <c r="B450" s="32"/>
      <c r="C450" s="32"/>
      <c r="D450" s="41"/>
      <c r="E450" s="35"/>
      <c r="F450" s="35"/>
      <c r="G450" s="35"/>
      <c r="H450" s="35"/>
      <c r="I450" s="33"/>
      <c r="J450" s="37" t="str">
        <f aca="false">IF(OR(C450="",F450="",G450=""),"",G450-F450)</f>
        <v/>
      </c>
      <c r="K450" s="37" t="str">
        <f aca="false">IF(AND(A450&lt;&gt;"",A450='Project Summary'!$C$3,C450&lt;&gt;""),COUNTIFS($A$2:$A450,'Project Summary'!$C$3,$C$2:$C450,"&lt;&gt;"),"")</f>
        <v/>
      </c>
    </row>
    <row r="451" customFormat="false" ht="15" hidden="false" customHeight="false" outlineLevel="0" collapsed="false">
      <c r="A451" s="32"/>
      <c r="B451" s="32"/>
      <c r="C451" s="32"/>
      <c r="D451" s="41"/>
      <c r="E451" s="35"/>
      <c r="F451" s="35"/>
      <c r="G451" s="35"/>
      <c r="H451" s="35"/>
      <c r="I451" s="33"/>
      <c r="J451" s="37" t="str">
        <f aca="false">IF(OR(C451="",F451="",G451=""),"",G451-F451)</f>
        <v/>
      </c>
      <c r="K451" s="37" t="str">
        <f aca="false">IF(AND(A451&lt;&gt;"",A451='Project Summary'!$C$3,C451&lt;&gt;""),COUNTIFS($A$2:$A451,'Project Summary'!$C$3,$C$2:$C451,"&lt;&gt;"),"")</f>
        <v/>
      </c>
    </row>
    <row r="452" customFormat="false" ht="15" hidden="false" customHeight="false" outlineLevel="0" collapsed="false">
      <c r="A452" s="32"/>
      <c r="B452" s="32"/>
      <c r="C452" s="32"/>
      <c r="D452" s="41"/>
      <c r="E452" s="35"/>
      <c r="F452" s="35"/>
      <c r="G452" s="35"/>
      <c r="H452" s="35"/>
      <c r="I452" s="33"/>
      <c r="J452" s="37" t="str">
        <f aca="false">IF(OR(C452="",F452="",G452=""),"",G452-F452)</f>
        <v/>
      </c>
      <c r="K452" s="37" t="str">
        <f aca="false">IF(AND(A452&lt;&gt;"",A452='Project Summary'!$C$3,C452&lt;&gt;""),COUNTIFS($A$2:$A452,'Project Summary'!$C$3,$C$2:$C452,"&lt;&gt;"),"")</f>
        <v/>
      </c>
    </row>
    <row r="453" customFormat="false" ht="15" hidden="false" customHeight="false" outlineLevel="0" collapsed="false">
      <c r="A453" s="32"/>
      <c r="B453" s="32"/>
      <c r="C453" s="32"/>
      <c r="D453" s="41"/>
      <c r="E453" s="35"/>
      <c r="F453" s="35"/>
      <c r="G453" s="35"/>
      <c r="H453" s="35"/>
      <c r="I453" s="33"/>
      <c r="J453" s="37" t="str">
        <f aca="false">IF(OR(C453="",F453="",G453=""),"",G453-F453)</f>
        <v/>
      </c>
      <c r="K453" s="37" t="str">
        <f aca="false">IF(AND(A453&lt;&gt;"",A453='Project Summary'!$C$3,C453&lt;&gt;""),COUNTIFS($A$2:$A453,'Project Summary'!$C$3,$C$2:$C453,"&lt;&gt;"),"")</f>
        <v/>
      </c>
    </row>
    <row r="454" customFormat="false" ht="15" hidden="false" customHeight="false" outlineLevel="0" collapsed="false">
      <c r="A454" s="32"/>
      <c r="B454" s="32"/>
      <c r="C454" s="32"/>
      <c r="D454" s="41"/>
      <c r="E454" s="35"/>
      <c r="F454" s="35"/>
      <c r="G454" s="35"/>
      <c r="H454" s="35"/>
      <c r="I454" s="33"/>
      <c r="J454" s="37" t="str">
        <f aca="false">IF(OR(C454="",F454="",G454=""),"",G454-F454)</f>
        <v/>
      </c>
      <c r="K454" s="37" t="str">
        <f aca="false">IF(AND(A454&lt;&gt;"",A454='Project Summary'!$C$3,C454&lt;&gt;""),COUNTIFS($A$2:$A454,'Project Summary'!$C$3,$C$2:$C454,"&lt;&gt;"),"")</f>
        <v/>
      </c>
    </row>
    <row r="455" customFormat="false" ht="15" hidden="false" customHeight="false" outlineLevel="0" collapsed="false">
      <c r="A455" s="32"/>
      <c r="B455" s="32"/>
      <c r="C455" s="32"/>
      <c r="D455" s="41"/>
      <c r="E455" s="35"/>
      <c r="F455" s="35"/>
      <c r="G455" s="35"/>
      <c r="H455" s="35"/>
      <c r="I455" s="33"/>
      <c r="J455" s="37" t="str">
        <f aca="false">IF(OR(C455="",F455="",G455=""),"",G455-F455)</f>
        <v/>
      </c>
      <c r="K455" s="37" t="str">
        <f aca="false">IF(AND(A455&lt;&gt;"",A455='Project Summary'!$C$3,C455&lt;&gt;""),COUNTIFS($A$2:$A455,'Project Summary'!$C$3,$C$2:$C455,"&lt;&gt;"),"")</f>
        <v/>
      </c>
    </row>
    <row r="456" customFormat="false" ht="15" hidden="false" customHeight="false" outlineLevel="0" collapsed="false">
      <c r="A456" s="32"/>
      <c r="B456" s="32"/>
      <c r="C456" s="32"/>
      <c r="D456" s="41"/>
      <c r="E456" s="35"/>
      <c r="F456" s="35"/>
      <c r="G456" s="35"/>
      <c r="H456" s="35"/>
      <c r="I456" s="33"/>
      <c r="J456" s="37" t="str">
        <f aca="false">IF(OR(C456="",F456="",G456=""),"",G456-F456)</f>
        <v/>
      </c>
      <c r="K456" s="37" t="str">
        <f aca="false">IF(AND(A456&lt;&gt;"",A456='Project Summary'!$C$3,C456&lt;&gt;""),COUNTIFS($A$2:$A456,'Project Summary'!$C$3,$C$2:$C456,"&lt;&gt;"),"")</f>
        <v/>
      </c>
    </row>
    <row r="457" customFormat="false" ht="15" hidden="false" customHeight="false" outlineLevel="0" collapsed="false">
      <c r="A457" s="32"/>
      <c r="B457" s="32"/>
      <c r="C457" s="32"/>
      <c r="D457" s="41"/>
      <c r="E457" s="35"/>
      <c r="F457" s="35"/>
      <c r="G457" s="35"/>
      <c r="H457" s="35"/>
      <c r="I457" s="33"/>
      <c r="J457" s="37" t="str">
        <f aca="false">IF(OR(C457="",F457="",G457=""),"",G457-F457)</f>
        <v/>
      </c>
      <c r="K457" s="37" t="str">
        <f aca="false">IF(AND(A457&lt;&gt;"",A457='Project Summary'!$C$3,C457&lt;&gt;""),COUNTIFS($A$2:$A457,'Project Summary'!$C$3,$C$2:$C457,"&lt;&gt;"),"")</f>
        <v/>
      </c>
    </row>
    <row r="458" customFormat="false" ht="15" hidden="false" customHeight="false" outlineLevel="0" collapsed="false">
      <c r="A458" s="32"/>
      <c r="B458" s="32"/>
      <c r="C458" s="32"/>
      <c r="D458" s="41"/>
      <c r="E458" s="35"/>
      <c r="F458" s="35"/>
      <c r="G458" s="35"/>
      <c r="H458" s="35"/>
      <c r="I458" s="33"/>
      <c r="J458" s="37" t="str">
        <f aca="false">IF(OR(C458="",F458="",G458=""),"",G458-F458)</f>
        <v/>
      </c>
      <c r="K458" s="37" t="str">
        <f aca="false">IF(AND(A458&lt;&gt;"",A458='Project Summary'!$C$3,C458&lt;&gt;""),COUNTIFS($A$2:$A458,'Project Summary'!$C$3,$C$2:$C458,"&lt;&gt;"),"")</f>
        <v/>
      </c>
    </row>
    <row r="459" customFormat="false" ht="15" hidden="false" customHeight="false" outlineLevel="0" collapsed="false">
      <c r="A459" s="32"/>
      <c r="B459" s="32"/>
      <c r="C459" s="32"/>
      <c r="D459" s="41"/>
      <c r="E459" s="35"/>
      <c r="F459" s="35"/>
      <c r="G459" s="35"/>
      <c r="H459" s="35"/>
      <c r="I459" s="33"/>
      <c r="J459" s="37" t="str">
        <f aca="false">IF(OR(C459="",F459="",G459=""),"",G459-F459)</f>
        <v/>
      </c>
      <c r="K459" s="37" t="str">
        <f aca="false">IF(AND(A459&lt;&gt;"",A459='Project Summary'!$C$3,C459&lt;&gt;""),COUNTIFS($A$2:$A459,'Project Summary'!$C$3,$C$2:$C459,"&lt;&gt;"),"")</f>
        <v/>
      </c>
    </row>
    <row r="460" customFormat="false" ht="15" hidden="false" customHeight="false" outlineLevel="0" collapsed="false">
      <c r="A460" s="32"/>
      <c r="B460" s="32"/>
      <c r="C460" s="32"/>
      <c r="D460" s="41"/>
      <c r="E460" s="35"/>
      <c r="F460" s="35"/>
      <c r="G460" s="35"/>
      <c r="H460" s="35"/>
      <c r="I460" s="33"/>
      <c r="J460" s="37" t="str">
        <f aca="false">IF(OR(C460="",F460="",G460=""),"",G460-F460)</f>
        <v/>
      </c>
      <c r="K460" s="37" t="str">
        <f aca="false">IF(AND(A460&lt;&gt;"",A460='Project Summary'!$C$3,C460&lt;&gt;""),COUNTIFS($A$2:$A460,'Project Summary'!$C$3,$C$2:$C460,"&lt;&gt;"),"")</f>
        <v/>
      </c>
    </row>
    <row r="461" customFormat="false" ht="15" hidden="false" customHeight="false" outlineLevel="0" collapsed="false">
      <c r="A461" s="32"/>
      <c r="B461" s="32"/>
      <c r="C461" s="32"/>
      <c r="D461" s="41"/>
      <c r="E461" s="35"/>
      <c r="F461" s="35"/>
      <c r="G461" s="35"/>
      <c r="H461" s="35"/>
      <c r="I461" s="33"/>
      <c r="J461" s="37" t="str">
        <f aca="false">IF(OR(C461="",F461="",G461=""),"",G461-F461)</f>
        <v/>
      </c>
      <c r="K461" s="37" t="str">
        <f aca="false">IF(AND(A461&lt;&gt;"",A461='Project Summary'!$C$3,C461&lt;&gt;""),COUNTIFS($A$2:$A461,'Project Summary'!$C$3,$C$2:$C461,"&lt;&gt;"),"")</f>
        <v/>
      </c>
    </row>
    <row r="462" customFormat="false" ht="15" hidden="false" customHeight="false" outlineLevel="0" collapsed="false">
      <c r="A462" s="32"/>
      <c r="B462" s="32"/>
      <c r="C462" s="32"/>
      <c r="D462" s="41"/>
      <c r="E462" s="35"/>
      <c r="F462" s="35"/>
      <c r="G462" s="35"/>
      <c r="H462" s="35"/>
      <c r="I462" s="33"/>
      <c r="J462" s="37" t="str">
        <f aca="false">IF(OR(C462="",F462="",G462=""),"",G462-F462)</f>
        <v/>
      </c>
      <c r="K462" s="37" t="str">
        <f aca="false">IF(AND(A462&lt;&gt;"",A462='Project Summary'!$C$3,C462&lt;&gt;""),COUNTIFS($A$2:$A462,'Project Summary'!$C$3,$C$2:$C462,"&lt;&gt;"),"")</f>
        <v/>
      </c>
    </row>
    <row r="463" customFormat="false" ht="15" hidden="false" customHeight="false" outlineLevel="0" collapsed="false">
      <c r="A463" s="32"/>
      <c r="B463" s="32"/>
      <c r="C463" s="32"/>
      <c r="D463" s="41"/>
      <c r="E463" s="35"/>
      <c r="F463" s="35"/>
      <c r="G463" s="35"/>
      <c r="H463" s="35"/>
      <c r="I463" s="33"/>
      <c r="J463" s="37" t="str">
        <f aca="false">IF(OR(C463="",F463="",G463=""),"",G463-F463)</f>
        <v/>
      </c>
      <c r="K463" s="37" t="str">
        <f aca="false">IF(AND(A463&lt;&gt;"",A463='Project Summary'!$C$3,C463&lt;&gt;""),COUNTIFS($A$2:$A463,'Project Summary'!$C$3,$C$2:$C463,"&lt;&gt;"),"")</f>
        <v/>
      </c>
    </row>
    <row r="464" customFormat="false" ht="15" hidden="false" customHeight="false" outlineLevel="0" collapsed="false">
      <c r="A464" s="32"/>
      <c r="B464" s="32"/>
      <c r="C464" s="32"/>
      <c r="D464" s="41"/>
      <c r="E464" s="35"/>
      <c r="F464" s="35"/>
      <c r="G464" s="35"/>
      <c r="H464" s="35"/>
      <c r="I464" s="33"/>
      <c r="J464" s="37" t="str">
        <f aca="false">IF(OR(C464="",F464="",G464=""),"",G464-F464)</f>
        <v/>
      </c>
      <c r="K464" s="37" t="str">
        <f aca="false">IF(AND(A464&lt;&gt;"",A464='Project Summary'!$C$3,C464&lt;&gt;""),COUNTIFS($A$2:$A464,'Project Summary'!$C$3,$C$2:$C464,"&lt;&gt;"),"")</f>
        <v/>
      </c>
    </row>
    <row r="465" customFormat="false" ht="15" hidden="false" customHeight="false" outlineLevel="0" collapsed="false">
      <c r="A465" s="32"/>
      <c r="B465" s="32"/>
      <c r="C465" s="32"/>
      <c r="D465" s="41"/>
      <c r="E465" s="35"/>
      <c r="F465" s="35"/>
      <c r="G465" s="35"/>
      <c r="H465" s="35"/>
      <c r="I465" s="33"/>
      <c r="J465" s="37" t="str">
        <f aca="false">IF(OR(C465="",F465="",G465=""),"",G465-F465)</f>
        <v/>
      </c>
      <c r="K465" s="37" t="str">
        <f aca="false">IF(AND(A465&lt;&gt;"",A465='Project Summary'!$C$3,C465&lt;&gt;""),COUNTIFS($A$2:$A465,'Project Summary'!$C$3,$C$2:$C465,"&lt;&gt;"),"")</f>
        <v/>
      </c>
    </row>
    <row r="466" customFormat="false" ht="15" hidden="false" customHeight="false" outlineLevel="0" collapsed="false">
      <c r="A466" s="32"/>
      <c r="B466" s="32"/>
      <c r="C466" s="32"/>
      <c r="D466" s="41"/>
      <c r="E466" s="35"/>
      <c r="F466" s="35"/>
      <c r="G466" s="35"/>
      <c r="H466" s="35"/>
      <c r="I466" s="33"/>
      <c r="J466" s="37" t="str">
        <f aca="false">IF(OR(C466="",F466="",G466=""),"",G466-F466)</f>
        <v/>
      </c>
      <c r="K466" s="37" t="str">
        <f aca="false">IF(AND(A466&lt;&gt;"",A466='Project Summary'!$C$3,C466&lt;&gt;""),COUNTIFS($A$2:$A466,'Project Summary'!$C$3,$C$2:$C466,"&lt;&gt;"),"")</f>
        <v/>
      </c>
    </row>
    <row r="467" customFormat="false" ht="15" hidden="false" customHeight="false" outlineLevel="0" collapsed="false">
      <c r="A467" s="32"/>
      <c r="B467" s="32"/>
      <c r="C467" s="32"/>
      <c r="D467" s="41"/>
      <c r="E467" s="35"/>
      <c r="F467" s="35"/>
      <c r="G467" s="35"/>
      <c r="H467" s="35"/>
      <c r="I467" s="33"/>
      <c r="J467" s="37" t="str">
        <f aca="false">IF(OR(C467="",F467="",G467=""),"",G467-F467)</f>
        <v/>
      </c>
      <c r="K467" s="37" t="str">
        <f aca="false">IF(AND(A467&lt;&gt;"",A467='Project Summary'!$C$3,C467&lt;&gt;""),COUNTIFS($A$2:$A467,'Project Summary'!$C$3,$C$2:$C467,"&lt;&gt;"),"")</f>
        <v/>
      </c>
    </row>
    <row r="468" customFormat="false" ht="15" hidden="false" customHeight="false" outlineLevel="0" collapsed="false">
      <c r="A468" s="32"/>
      <c r="B468" s="32"/>
      <c r="C468" s="32"/>
      <c r="D468" s="41"/>
      <c r="E468" s="35"/>
      <c r="F468" s="35"/>
      <c r="G468" s="35"/>
      <c r="H468" s="35"/>
      <c r="I468" s="33"/>
      <c r="J468" s="37" t="str">
        <f aca="false">IF(OR(C468="",F468="",G468=""),"",G468-F468)</f>
        <v/>
      </c>
      <c r="K468" s="37" t="str">
        <f aca="false">IF(AND(A468&lt;&gt;"",A468='Project Summary'!$C$3,C468&lt;&gt;""),COUNTIFS($A$2:$A468,'Project Summary'!$C$3,$C$2:$C468,"&lt;&gt;"),"")</f>
        <v/>
      </c>
    </row>
    <row r="469" customFormat="false" ht="15" hidden="false" customHeight="false" outlineLevel="0" collapsed="false">
      <c r="A469" s="32"/>
      <c r="B469" s="32"/>
      <c r="C469" s="32"/>
      <c r="D469" s="41"/>
      <c r="E469" s="35"/>
      <c r="F469" s="35"/>
      <c r="G469" s="35"/>
      <c r="H469" s="35"/>
      <c r="I469" s="33"/>
      <c r="J469" s="37" t="str">
        <f aca="false">IF(OR(C469="",F469="",G469=""),"",G469-F469)</f>
        <v/>
      </c>
      <c r="K469" s="37" t="str">
        <f aca="false">IF(AND(A469&lt;&gt;"",A469='Project Summary'!$C$3,C469&lt;&gt;""),COUNTIFS($A$2:$A469,'Project Summary'!$C$3,$C$2:$C469,"&lt;&gt;"),"")</f>
        <v/>
      </c>
    </row>
    <row r="470" customFormat="false" ht="15" hidden="false" customHeight="false" outlineLevel="0" collapsed="false">
      <c r="A470" s="32"/>
      <c r="B470" s="32"/>
      <c r="C470" s="32"/>
      <c r="D470" s="41"/>
      <c r="E470" s="35"/>
      <c r="F470" s="35"/>
      <c r="G470" s="35"/>
      <c r="H470" s="35"/>
      <c r="I470" s="33"/>
      <c r="J470" s="37" t="str">
        <f aca="false">IF(OR(C470="",F470="",G470=""),"",G470-F470)</f>
        <v/>
      </c>
      <c r="K470" s="37" t="str">
        <f aca="false">IF(AND(A470&lt;&gt;"",A470='Project Summary'!$C$3,C470&lt;&gt;""),COUNTIFS($A$2:$A470,'Project Summary'!$C$3,$C$2:$C470,"&lt;&gt;"),"")</f>
        <v/>
      </c>
    </row>
    <row r="471" customFormat="false" ht="15" hidden="false" customHeight="false" outlineLevel="0" collapsed="false">
      <c r="A471" s="32"/>
      <c r="B471" s="32"/>
      <c r="C471" s="32"/>
      <c r="D471" s="41"/>
      <c r="E471" s="35"/>
      <c r="F471" s="35"/>
      <c r="G471" s="35"/>
      <c r="H471" s="35"/>
      <c r="I471" s="33"/>
      <c r="J471" s="37" t="str">
        <f aca="false">IF(OR(C471="",F471="",G471=""),"",G471-F471)</f>
        <v/>
      </c>
      <c r="K471" s="37" t="str">
        <f aca="false">IF(AND(A471&lt;&gt;"",A471='Project Summary'!$C$3,C471&lt;&gt;""),COUNTIFS($A$2:$A471,'Project Summary'!$C$3,$C$2:$C471,"&lt;&gt;"),"")</f>
        <v/>
      </c>
    </row>
    <row r="472" customFormat="false" ht="15" hidden="false" customHeight="false" outlineLevel="0" collapsed="false">
      <c r="A472" s="32"/>
      <c r="B472" s="32"/>
      <c r="C472" s="32"/>
      <c r="D472" s="41"/>
      <c r="E472" s="35"/>
      <c r="F472" s="35"/>
      <c r="G472" s="35"/>
      <c r="H472" s="35"/>
      <c r="I472" s="33"/>
      <c r="J472" s="37" t="str">
        <f aca="false">IF(OR(C472="",F472="",G472=""),"",G472-F472)</f>
        <v/>
      </c>
      <c r="K472" s="37" t="str">
        <f aca="false">IF(AND(A472&lt;&gt;"",A472='Project Summary'!$C$3,C472&lt;&gt;""),COUNTIFS($A$2:$A472,'Project Summary'!$C$3,$C$2:$C472,"&lt;&gt;"),"")</f>
        <v/>
      </c>
    </row>
    <row r="473" customFormat="false" ht="15" hidden="false" customHeight="false" outlineLevel="0" collapsed="false">
      <c r="A473" s="32"/>
      <c r="B473" s="32"/>
      <c r="C473" s="32"/>
      <c r="D473" s="41"/>
      <c r="E473" s="35"/>
      <c r="F473" s="35"/>
      <c r="G473" s="35"/>
      <c r="H473" s="35"/>
      <c r="I473" s="33"/>
      <c r="J473" s="37" t="str">
        <f aca="false">IF(OR(C473="",F473="",G473=""),"",G473-F473)</f>
        <v/>
      </c>
      <c r="K473" s="37" t="str">
        <f aca="false">IF(AND(A473&lt;&gt;"",A473='Project Summary'!$C$3,C473&lt;&gt;""),COUNTIFS($A$2:$A473,'Project Summary'!$C$3,$C$2:$C473,"&lt;&gt;"),"")</f>
        <v/>
      </c>
    </row>
    <row r="474" customFormat="false" ht="15" hidden="false" customHeight="false" outlineLevel="0" collapsed="false">
      <c r="A474" s="32"/>
      <c r="B474" s="32"/>
      <c r="C474" s="32"/>
      <c r="D474" s="41"/>
      <c r="E474" s="35"/>
      <c r="F474" s="35"/>
      <c r="G474" s="35"/>
      <c r="H474" s="35"/>
      <c r="I474" s="33"/>
      <c r="J474" s="37" t="str">
        <f aca="false">IF(OR(C474="",F474="",G474=""),"",G474-F474)</f>
        <v/>
      </c>
      <c r="K474" s="37" t="str">
        <f aca="false">IF(AND(A474&lt;&gt;"",A474='Project Summary'!$C$3,C474&lt;&gt;""),COUNTIFS($A$2:$A474,'Project Summary'!$C$3,$C$2:$C474,"&lt;&gt;"),"")</f>
        <v/>
      </c>
    </row>
    <row r="475" customFormat="false" ht="15" hidden="false" customHeight="false" outlineLevel="0" collapsed="false">
      <c r="A475" s="32"/>
      <c r="B475" s="32"/>
      <c r="C475" s="32"/>
      <c r="D475" s="41"/>
      <c r="E475" s="35"/>
      <c r="F475" s="35"/>
      <c r="G475" s="35"/>
      <c r="H475" s="35"/>
      <c r="I475" s="33"/>
      <c r="J475" s="37" t="str">
        <f aca="false">IF(OR(C475="",F475="",G475=""),"",G475-F475)</f>
        <v/>
      </c>
      <c r="K475" s="37" t="str">
        <f aca="false">IF(AND(A475&lt;&gt;"",A475='Project Summary'!$C$3,C475&lt;&gt;""),COUNTIFS($A$2:$A475,'Project Summary'!$C$3,$C$2:$C475,"&lt;&gt;"),"")</f>
        <v/>
      </c>
    </row>
    <row r="476" customFormat="false" ht="15" hidden="false" customHeight="false" outlineLevel="0" collapsed="false">
      <c r="A476" s="32"/>
      <c r="B476" s="32"/>
      <c r="C476" s="32"/>
      <c r="D476" s="41"/>
      <c r="E476" s="35"/>
      <c r="F476" s="35"/>
      <c r="G476" s="35"/>
      <c r="H476" s="35"/>
      <c r="I476" s="33"/>
      <c r="J476" s="37" t="str">
        <f aca="false">IF(OR(C476="",F476="",G476=""),"",G476-F476)</f>
        <v/>
      </c>
      <c r="K476" s="37" t="str">
        <f aca="false">IF(AND(A476&lt;&gt;"",A476='Project Summary'!$C$3,C476&lt;&gt;""),COUNTIFS($A$2:$A476,'Project Summary'!$C$3,$C$2:$C476,"&lt;&gt;"),"")</f>
        <v/>
      </c>
    </row>
    <row r="477" customFormat="false" ht="15" hidden="false" customHeight="false" outlineLevel="0" collapsed="false">
      <c r="A477" s="32"/>
      <c r="B477" s="32"/>
      <c r="C477" s="32"/>
      <c r="D477" s="41"/>
      <c r="E477" s="35"/>
      <c r="F477" s="35"/>
      <c r="G477" s="35"/>
      <c r="H477" s="35"/>
      <c r="I477" s="33"/>
      <c r="J477" s="37" t="str">
        <f aca="false">IF(OR(C477="",F477="",G477=""),"",G477-F477)</f>
        <v/>
      </c>
      <c r="K477" s="37" t="str">
        <f aca="false">IF(AND(A477&lt;&gt;"",A477='Project Summary'!$C$3,C477&lt;&gt;""),COUNTIFS($A$2:$A477,'Project Summary'!$C$3,$C$2:$C477,"&lt;&gt;"),"")</f>
        <v/>
      </c>
    </row>
    <row r="478" customFormat="false" ht="15" hidden="false" customHeight="false" outlineLevel="0" collapsed="false">
      <c r="A478" s="32"/>
      <c r="B478" s="32"/>
      <c r="C478" s="32"/>
      <c r="D478" s="41"/>
      <c r="E478" s="35"/>
      <c r="F478" s="35"/>
      <c r="G478" s="35"/>
      <c r="H478" s="35"/>
      <c r="I478" s="33"/>
      <c r="J478" s="37" t="str">
        <f aca="false">IF(OR(C478="",F478="",G478=""),"",G478-F478)</f>
        <v/>
      </c>
      <c r="K478" s="37" t="str">
        <f aca="false">IF(AND(A478&lt;&gt;"",A478='Project Summary'!$C$3,C478&lt;&gt;""),COUNTIFS($A$2:$A478,'Project Summary'!$C$3,$C$2:$C478,"&lt;&gt;"),"")</f>
        <v/>
      </c>
    </row>
    <row r="479" customFormat="false" ht="15" hidden="false" customHeight="false" outlineLevel="0" collapsed="false">
      <c r="A479" s="32"/>
      <c r="B479" s="32"/>
      <c r="C479" s="32"/>
      <c r="D479" s="41"/>
      <c r="E479" s="35"/>
      <c r="F479" s="35"/>
      <c r="G479" s="35"/>
      <c r="H479" s="35"/>
      <c r="I479" s="33"/>
      <c r="J479" s="37" t="str">
        <f aca="false">IF(OR(C479="",F479="",G479=""),"",G479-F479)</f>
        <v/>
      </c>
      <c r="K479" s="37" t="str">
        <f aca="false">IF(AND(A479&lt;&gt;"",A479='Project Summary'!$C$3,C479&lt;&gt;""),COUNTIFS($A$2:$A479,'Project Summary'!$C$3,$C$2:$C479,"&lt;&gt;"),"")</f>
        <v/>
      </c>
    </row>
    <row r="480" customFormat="false" ht="15" hidden="false" customHeight="false" outlineLevel="0" collapsed="false">
      <c r="A480" s="32"/>
      <c r="B480" s="32"/>
      <c r="C480" s="32"/>
      <c r="D480" s="41"/>
      <c r="E480" s="35"/>
      <c r="F480" s="35"/>
      <c r="G480" s="35"/>
      <c r="H480" s="35"/>
      <c r="I480" s="33"/>
      <c r="J480" s="37" t="str">
        <f aca="false">IF(OR(C480="",F480="",G480=""),"",G480-F480)</f>
        <v/>
      </c>
      <c r="K480" s="37" t="str">
        <f aca="false">IF(AND(A480&lt;&gt;"",A480='Project Summary'!$C$3,C480&lt;&gt;""),COUNTIFS($A$2:$A480,'Project Summary'!$C$3,$C$2:$C480,"&lt;&gt;"),"")</f>
        <v/>
      </c>
    </row>
    <row r="481" customFormat="false" ht="15" hidden="false" customHeight="false" outlineLevel="0" collapsed="false">
      <c r="A481" s="32"/>
      <c r="B481" s="32"/>
      <c r="C481" s="32"/>
      <c r="D481" s="41"/>
      <c r="E481" s="35"/>
      <c r="F481" s="35"/>
      <c r="G481" s="35"/>
      <c r="H481" s="35"/>
      <c r="I481" s="33"/>
      <c r="J481" s="37" t="str">
        <f aca="false">IF(OR(C481="",F481="",G481=""),"",G481-F481)</f>
        <v/>
      </c>
      <c r="K481" s="37" t="str">
        <f aca="false">IF(AND(A481&lt;&gt;"",A481='Project Summary'!$C$3,C481&lt;&gt;""),COUNTIFS($A$2:$A481,'Project Summary'!$C$3,$C$2:$C481,"&lt;&gt;"),"")</f>
        <v/>
      </c>
    </row>
    <row r="482" customFormat="false" ht="15" hidden="false" customHeight="false" outlineLevel="0" collapsed="false">
      <c r="A482" s="32"/>
      <c r="B482" s="32"/>
      <c r="C482" s="32"/>
      <c r="D482" s="41"/>
      <c r="E482" s="35"/>
      <c r="F482" s="35"/>
      <c r="G482" s="35"/>
      <c r="H482" s="35"/>
      <c r="I482" s="33"/>
      <c r="J482" s="37" t="str">
        <f aca="false">IF(OR(C482="",F482="",G482=""),"",G482-F482)</f>
        <v/>
      </c>
      <c r="K482" s="37" t="str">
        <f aca="false">IF(AND(A482&lt;&gt;"",A482='Project Summary'!$C$3,C482&lt;&gt;""),COUNTIFS($A$2:$A482,'Project Summary'!$C$3,$C$2:$C482,"&lt;&gt;"),"")</f>
        <v/>
      </c>
    </row>
    <row r="483" customFormat="false" ht="15" hidden="false" customHeight="false" outlineLevel="0" collapsed="false">
      <c r="A483" s="32"/>
      <c r="B483" s="32"/>
      <c r="C483" s="32"/>
      <c r="D483" s="41"/>
      <c r="E483" s="35"/>
      <c r="F483" s="35"/>
      <c r="G483" s="35"/>
      <c r="H483" s="35"/>
      <c r="I483" s="33"/>
      <c r="J483" s="37" t="str">
        <f aca="false">IF(OR(C483="",F483="",G483=""),"",G483-F483)</f>
        <v/>
      </c>
      <c r="K483" s="37" t="str">
        <f aca="false">IF(AND(A483&lt;&gt;"",A483='Project Summary'!$C$3,C483&lt;&gt;""),COUNTIFS($A$2:$A483,'Project Summary'!$C$3,$C$2:$C483,"&lt;&gt;"),"")</f>
        <v/>
      </c>
    </row>
    <row r="484" customFormat="false" ht="15" hidden="false" customHeight="false" outlineLevel="0" collapsed="false">
      <c r="A484" s="32"/>
      <c r="B484" s="32"/>
      <c r="C484" s="32"/>
      <c r="D484" s="41"/>
      <c r="E484" s="35"/>
      <c r="F484" s="35"/>
      <c r="G484" s="35"/>
      <c r="H484" s="35"/>
      <c r="I484" s="33"/>
      <c r="J484" s="37" t="str">
        <f aca="false">IF(OR(C484="",F484="",G484=""),"",G484-F484)</f>
        <v/>
      </c>
      <c r="K484" s="37" t="str">
        <f aca="false">IF(AND(A484&lt;&gt;"",A484='Project Summary'!$C$3,C484&lt;&gt;""),COUNTIFS($A$2:$A484,'Project Summary'!$C$3,$C$2:$C484,"&lt;&gt;"),"")</f>
        <v/>
      </c>
    </row>
    <row r="485" customFormat="false" ht="15" hidden="false" customHeight="false" outlineLevel="0" collapsed="false">
      <c r="A485" s="32"/>
      <c r="B485" s="32"/>
      <c r="C485" s="32"/>
      <c r="D485" s="41"/>
      <c r="E485" s="35"/>
      <c r="F485" s="35"/>
      <c r="G485" s="35"/>
      <c r="H485" s="35"/>
      <c r="I485" s="33"/>
      <c r="J485" s="37" t="str">
        <f aca="false">IF(OR(C485="",F485="",G485=""),"",G485-F485)</f>
        <v/>
      </c>
      <c r="K485" s="37" t="str">
        <f aca="false">IF(AND(A485&lt;&gt;"",A485='Project Summary'!$C$3,C485&lt;&gt;""),COUNTIFS($A$2:$A485,'Project Summary'!$C$3,$C$2:$C485,"&lt;&gt;"),"")</f>
        <v/>
      </c>
    </row>
    <row r="486" customFormat="false" ht="15" hidden="false" customHeight="false" outlineLevel="0" collapsed="false">
      <c r="A486" s="32"/>
      <c r="B486" s="32"/>
      <c r="C486" s="32"/>
      <c r="D486" s="41"/>
      <c r="E486" s="35"/>
      <c r="F486" s="35"/>
      <c r="G486" s="35"/>
      <c r="H486" s="35"/>
      <c r="I486" s="33"/>
      <c r="J486" s="37" t="str">
        <f aca="false">IF(OR(C486="",F486="",G486=""),"",G486-F486)</f>
        <v/>
      </c>
      <c r="K486" s="37" t="str">
        <f aca="false">IF(AND(A486&lt;&gt;"",A486='Project Summary'!$C$3,C486&lt;&gt;""),COUNTIFS($A$2:$A486,'Project Summary'!$C$3,$C$2:$C486,"&lt;&gt;"),"")</f>
        <v/>
      </c>
    </row>
    <row r="487" customFormat="false" ht="15" hidden="false" customHeight="false" outlineLevel="0" collapsed="false">
      <c r="A487" s="32"/>
      <c r="B487" s="32"/>
      <c r="C487" s="32"/>
      <c r="D487" s="41"/>
      <c r="E487" s="35"/>
      <c r="F487" s="35"/>
      <c r="G487" s="35"/>
      <c r="H487" s="35"/>
      <c r="I487" s="33"/>
      <c r="J487" s="37" t="str">
        <f aca="false">IF(OR(C487="",F487="",G487=""),"",G487-F487)</f>
        <v/>
      </c>
      <c r="K487" s="37" t="str">
        <f aca="false">IF(AND(A487&lt;&gt;"",A487='Project Summary'!$C$3,C487&lt;&gt;""),COUNTIFS($A$2:$A487,'Project Summary'!$C$3,$C$2:$C487,"&lt;&gt;"),"")</f>
        <v/>
      </c>
    </row>
    <row r="488" customFormat="false" ht="15" hidden="false" customHeight="false" outlineLevel="0" collapsed="false">
      <c r="A488" s="32"/>
      <c r="B488" s="32"/>
      <c r="C488" s="32"/>
      <c r="D488" s="41"/>
      <c r="E488" s="35"/>
      <c r="F488" s="35"/>
      <c r="G488" s="35"/>
      <c r="H488" s="35"/>
      <c r="I488" s="33"/>
      <c r="J488" s="37" t="str">
        <f aca="false">IF(OR(C488="",F488="",G488=""),"",G488-F488)</f>
        <v/>
      </c>
      <c r="K488" s="37" t="str">
        <f aca="false">IF(AND(A488&lt;&gt;"",A488='Project Summary'!$C$3,C488&lt;&gt;""),COUNTIFS($A$2:$A488,'Project Summary'!$C$3,$C$2:$C488,"&lt;&gt;"),"")</f>
        <v/>
      </c>
    </row>
    <row r="489" customFormat="false" ht="15" hidden="false" customHeight="false" outlineLevel="0" collapsed="false">
      <c r="A489" s="32"/>
      <c r="B489" s="32"/>
      <c r="C489" s="32"/>
      <c r="D489" s="41"/>
      <c r="E489" s="35"/>
      <c r="F489" s="35"/>
      <c r="G489" s="35"/>
      <c r="H489" s="35"/>
      <c r="I489" s="33"/>
      <c r="J489" s="37" t="str">
        <f aca="false">IF(OR(C489="",F489="",G489=""),"",G489-F489)</f>
        <v/>
      </c>
      <c r="K489" s="37" t="str">
        <f aca="false">IF(AND(A489&lt;&gt;"",A489='Project Summary'!$C$3,C489&lt;&gt;""),COUNTIFS($A$2:$A489,'Project Summary'!$C$3,$C$2:$C489,"&lt;&gt;"),"")</f>
        <v/>
      </c>
    </row>
    <row r="490" customFormat="false" ht="15" hidden="false" customHeight="false" outlineLevel="0" collapsed="false">
      <c r="A490" s="32"/>
      <c r="B490" s="32"/>
      <c r="C490" s="32"/>
      <c r="D490" s="41"/>
      <c r="E490" s="35"/>
      <c r="F490" s="35"/>
      <c r="G490" s="35"/>
      <c r="H490" s="35"/>
      <c r="I490" s="33"/>
      <c r="J490" s="37" t="str">
        <f aca="false">IF(OR(C490="",F490="",G490=""),"",G490-F490)</f>
        <v/>
      </c>
      <c r="K490" s="37" t="str">
        <f aca="false">IF(AND(A490&lt;&gt;"",A490='Project Summary'!$C$3,C490&lt;&gt;""),COUNTIFS($A$2:$A490,'Project Summary'!$C$3,$C$2:$C490,"&lt;&gt;"),"")</f>
        <v/>
      </c>
    </row>
    <row r="491" customFormat="false" ht="15" hidden="false" customHeight="false" outlineLevel="0" collapsed="false">
      <c r="A491" s="32"/>
      <c r="B491" s="32"/>
      <c r="C491" s="32"/>
      <c r="D491" s="41"/>
      <c r="E491" s="35"/>
      <c r="F491" s="35"/>
      <c r="G491" s="35"/>
      <c r="H491" s="35"/>
      <c r="I491" s="33"/>
      <c r="J491" s="37" t="str">
        <f aca="false">IF(OR(C491="",F491="",G491=""),"",G491-F491)</f>
        <v/>
      </c>
      <c r="K491" s="37" t="str">
        <f aca="false">IF(AND(A491&lt;&gt;"",A491='Project Summary'!$C$3,C491&lt;&gt;""),COUNTIFS($A$2:$A491,'Project Summary'!$C$3,$C$2:$C491,"&lt;&gt;"),"")</f>
        <v/>
      </c>
    </row>
    <row r="492" customFormat="false" ht="15" hidden="false" customHeight="false" outlineLevel="0" collapsed="false">
      <c r="A492" s="32"/>
      <c r="B492" s="32"/>
      <c r="C492" s="32"/>
      <c r="D492" s="41"/>
      <c r="E492" s="35"/>
      <c r="F492" s="35"/>
      <c r="G492" s="35"/>
      <c r="H492" s="35"/>
      <c r="I492" s="33"/>
      <c r="J492" s="37" t="str">
        <f aca="false">IF(OR(C492="",F492="",G492=""),"",G492-F492)</f>
        <v/>
      </c>
      <c r="K492" s="37" t="str">
        <f aca="false">IF(AND(A492&lt;&gt;"",A492='Project Summary'!$C$3,C492&lt;&gt;""),COUNTIFS($A$2:$A492,'Project Summary'!$C$3,$C$2:$C492,"&lt;&gt;"),"")</f>
        <v/>
      </c>
    </row>
    <row r="493" customFormat="false" ht="15" hidden="false" customHeight="false" outlineLevel="0" collapsed="false">
      <c r="A493" s="32"/>
      <c r="B493" s="32"/>
      <c r="C493" s="32"/>
      <c r="D493" s="41"/>
      <c r="E493" s="35"/>
      <c r="F493" s="35"/>
      <c r="G493" s="35"/>
      <c r="H493" s="35"/>
      <c r="I493" s="33"/>
      <c r="J493" s="37" t="str">
        <f aca="false">IF(OR(C493="",F493="",G493=""),"",G493-F493)</f>
        <v/>
      </c>
      <c r="K493" s="37" t="str">
        <f aca="false">IF(AND(A493&lt;&gt;"",A493='Project Summary'!$C$3,C493&lt;&gt;""),COUNTIFS($A$2:$A493,'Project Summary'!$C$3,$C$2:$C493,"&lt;&gt;"),"")</f>
        <v/>
      </c>
    </row>
    <row r="494" customFormat="false" ht="15" hidden="false" customHeight="false" outlineLevel="0" collapsed="false">
      <c r="A494" s="32"/>
      <c r="B494" s="32"/>
      <c r="C494" s="32"/>
      <c r="D494" s="41"/>
      <c r="E494" s="35"/>
      <c r="F494" s="35"/>
      <c r="G494" s="35"/>
      <c r="H494" s="35"/>
      <c r="I494" s="33"/>
      <c r="J494" s="37" t="str">
        <f aca="false">IF(OR(C494="",F494="",G494=""),"",G494-F494)</f>
        <v/>
      </c>
      <c r="K494" s="37" t="str">
        <f aca="false">IF(AND(A494&lt;&gt;"",A494='Project Summary'!$C$3,C494&lt;&gt;""),COUNTIFS($A$2:$A494,'Project Summary'!$C$3,$C$2:$C494,"&lt;&gt;"),"")</f>
        <v/>
      </c>
    </row>
    <row r="495" customFormat="false" ht="15" hidden="false" customHeight="false" outlineLevel="0" collapsed="false">
      <c r="A495" s="32"/>
      <c r="B495" s="32"/>
      <c r="C495" s="32"/>
      <c r="D495" s="41"/>
      <c r="E495" s="35"/>
      <c r="F495" s="35"/>
      <c r="G495" s="35"/>
      <c r="H495" s="35"/>
      <c r="I495" s="33"/>
      <c r="J495" s="37" t="str">
        <f aca="false">IF(OR(C495="",F495="",G495=""),"",G495-F495)</f>
        <v/>
      </c>
      <c r="K495" s="37" t="str">
        <f aca="false">IF(AND(A495&lt;&gt;"",A495='Project Summary'!$C$3,C495&lt;&gt;""),COUNTIFS($A$2:$A495,'Project Summary'!$C$3,$C$2:$C495,"&lt;&gt;"),"")</f>
        <v/>
      </c>
    </row>
    <row r="496" customFormat="false" ht="15" hidden="false" customHeight="false" outlineLevel="0" collapsed="false">
      <c r="A496" s="32"/>
      <c r="B496" s="32"/>
      <c r="C496" s="32"/>
      <c r="D496" s="41"/>
      <c r="E496" s="35"/>
      <c r="F496" s="35"/>
      <c r="G496" s="35"/>
      <c r="H496" s="35"/>
      <c r="I496" s="33"/>
      <c r="J496" s="37" t="str">
        <f aca="false">IF(OR(C496="",F496="",G496=""),"",G496-F496)</f>
        <v/>
      </c>
      <c r="K496" s="37" t="str">
        <f aca="false">IF(AND(A496&lt;&gt;"",A496='Project Summary'!$C$3,C496&lt;&gt;""),COUNTIFS($A$2:$A496,'Project Summary'!$C$3,$C$2:$C496,"&lt;&gt;"),"")</f>
        <v/>
      </c>
    </row>
    <row r="497" customFormat="false" ht="15" hidden="false" customHeight="false" outlineLevel="0" collapsed="false">
      <c r="A497" s="32"/>
      <c r="B497" s="32"/>
      <c r="C497" s="32"/>
      <c r="D497" s="41"/>
      <c r="E497" s="35"/>
      <c r="F497" s="35"/>
      <c r="G497" s="35"/>
      <c r="H497" s="35"/>
      <c r="I497" s="33"/>
      <c r="J497" s="37" t="str">
        <f aca="false">IF(OR(C497="",F497="",G497=""),"",G497-F497)</f>
        <v/>
      </c>
      <c r="K497" s="37" t="str">
        <f aca="false">IF(AND(A497&lt;&gt;"",A497='Project Summary'!$C$3,C497&lt;&gt;""),COUNTIFS($A$2:$A497,'Project Summary'!$C$3,$C$2:$C497,"&lt;&gt;"),"")</f>
        <v/>
      </c>
    </row>
    <row r="498" customFormat="false" ht="15" hidden="false" customHeight="false" outlineLevel="0" collapsed="false">
      <c r="A498" s="32"/>
      <c r="B498" s="32"/>
      <c r="C498" s="32"/>
      <c r="D498" s="41"/>
      <c r="E498" s="35"/>
      <c r="F498" s="35"/>
      <c r="G498" s="35"/>
      <c r="H498" s="35"/>
      <c r="I498" s="33"/>
      <c r="J498" s="37" t="str">
        <f aca="false">IF(OR(C498="",F498="",G498=""),"",G498-F498)</f>
        <v/>
      </c>
      <c r="K498" s="37" t="str">
        <f aca="false">IF(AND(A498&lt;&gt;"",A498='Project Summary'!$C$3,C498&lt;&gt;""),COUNTIFS($A$2:$A498,'Project Summary'!$C$3,$C$2:$C498,"&lt;&gt;"),"")</f>
        <v/>
      </c>
    </row>
    <row r="499" customFormat="false" ht="15" hidden="false" customHeight="false" outlineLevel="0" collapsed="false">
      <c r="A499" s="32"/>
      <c r="B499" s="32"/>
      <c r="C499" s="32"/>
      <c r="D499" s="41"/>
      <c r="E499" s="35"/>
      <c r="F499" s="35"/>
      <c r="G499" s="35"/>
      <c r="H499" s="35"/>
      <c r="I499" s="33"/>
      <c r="J499" s="37" t="str">
        <f aca="false">IF(OR(C499="",F499="",G499=""),"",G499-F499)</f>
        <v/>
      </c>
      <c r="K499" s="37" t="str">
        <f aca="false">IF(AND(A499&lt;&gt;"",A499='Project Summary'!$C$3,C499&lt;&gt;""),COUNTIFS($A$2:$A499,'Project Summary'!$C$3,$C$2:$C499,"&lt;&gt;"),"")</f>
        <v/>
      </c>
    </row>
    <row r="500" customFormat="false" ht="15" hidden="false" customHeight="false" outlineLevel="0" collapsed="false">
      <c r="A500" s="32"/>
      <c r="B500" s="32"/>
      <c r="C500" s="32"/>
      <c r="D500" s="41"/>
      <c r="E500" s="35"/>
      <c r="F500" s="35"/>
      <c r="G500" s="35"/>
      <c r="H500" s="35"/>
      <c r="I500" s="33"/>
      <c r="J500" s="37" t="str">
        <f aca="false">IF(OR(C500="",F500="",G500=""),"",G500-F500)</f>
        <v/>
      </c>
      <c r="K500" s="37" t="str">
        <f aca="false">IF(AND(A500&lt;&gt;"",A500='Project Summary'!$C$3,C500&lt;&gt;""),COUNTIFS($A$2:$A500,'Project Summary'!$C$3,$C$2:$C500,"&lt;&gt;"),"")</f>
        <v/>
      </c>
    </row>
    <row r="501" customFormat="false" ht="15" hidden="false" customHeight="false" outlineLevel="0" collapsed="false">
      <c r="A501" s="32"/>
      <c r="B501" s="32"/>
      <c r="C501" s="32"/>
      <c r="D501" s="41"/>
      <c r="E501" s="35"/>
      <c r="F501" s="35"/>
      <c r="G501" s="35"/>
      <c r="H501" s="35"/>
      <c r="I501" s="33"/>
      <c r="J501" s="37" t="str">
        <f aca="false">IF(OR(C501="",F501="",G501=""),"",G501-F501)</f>
        <v/>
      </c>
      <c r="K501" s="37" t="str">
        <f aca="false">IF(AND(A501&lt;&gt;"",A501='Project Summary'!$C$3,C501&lt;&gt;""),COUNTIFS($A$2:$A501,'Project Summary'!$C$3,$C$2:$C501,"&lt;&gt;"),"")</f>
        <v/>
      </c>
    </row>
  </sheetData>
  <autoFilter ref="A1:K501"/>
  <dataValidations count="3">
    <dataValidation allowBlank="true" error="Enter a valid date (e.g. 31-Dec-2026)." errorStyle="stop" errorTitle="Invalid date" operator="greaterThan" showDropDown="false" showErrorMessage="false" showInputMessage="false" sqref="E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D2:D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10" min="8" style="0" width="13"/>
    <col collapsed="false" customWidth="true" hidden="false" outlineLevel="0" max="11" min="11" style="0" width="28"/>
  </cols>
  <sheetData>
    <row r="1" customFormat="false" ht="33.75" hidden="false" customHeight="true" outlineLevel="0" collapsed="false">
      <c r="A1" s="17" t="s">
        <v>110</v>
      </c>
      <c r="B1" s="17" t="s">
        <v>272</v>
      </c>
      <c r="C1" s="17" t="s">
        <v>273</v>
      </c>
      <c r="D1" s="17" t="s">
        <v>274</v>
      </c>
      <c r="E1" s="17" t="s">
        <v>275</v>
      </c>
      <c r="F1" s="17" t="s">
        <v>276</v>
      </c>
      <c r="G1" s="17" t="s">
        <v>111</v>
      </c>
      <c r="H1" s="17" t="s">
        <v>262</v>
      </c>
      <c r="I1" s="17" t="s">
        <v>277</v>
      </c>
      <c r="J1" s="17" t="s">
        <v>278</v>
      </c>
      <c r="K1" s="17" t="s">
        <v>235</v>
      </c>
    </row>
    <row r="2" customFormat="false" ht="15" hidden="false" customHeight="false" outlineLevel="0" collapsed="false">
      <c r="A2" s="32"/>
      <c r="B2" s="32"/>
      <c r="C2" s="32"/>
      <c r="D2" s="35"/>
      <c r="E2" s="34"/>
      <c r="F2" s="34"/>
      <c r="G2" s="32"/>
      <c r="H2" s="35"/>
      <c r="I2" s="35"/>
      <c r="J2" s="35"/>
      <c r="K2" s="33"/>
    </row>
    <row r="3" customFormat="false" ht="15" hidden="false" customHeight="false" outlineLevel="0" collapsed="false">
      <c r="A3" s="32"/>
      <c r="B3" s="32"/>
      <c r="C3" s="32"/>
      <c r="D3" s="35"/>
      <c r="E3" s="34"/>
      <c r="F3" s="34"/>
      <c r="G3" s="32"/>
      <c r="H3" s="35"/>
      <c r="I3" s="35"/>
      <c r="J3" s="35"/>
      <c r="K3" s="33"/>
    </row>
    <row r="4" customFormat="false" ht="15" hidden="false" customHeight="false" outlineLevel="0" collapsed="false">
      <c r="A4" s="32"/>
      <c r="B4" s="32"/>
      <c r="C4" s="32"/>
      <c r="D4" s="35"/>
      <c r="E4" s="34"/>
      <c r="F4" s="34"/>
      <c r="G4" s="32"/>
      <c r="H4" s="35"/>
      <c r="I4" s="35"/>
      <c r="J4" s="35"/>
      <c r="K4" s="33"/>
    </row>
    <row r="5" customFormat="false" ht="15" hidden="false" customHeight="false" outlineLevel="0" collapsed="false">
      <c r="A5" s="32"/>
      <c r="B5" s="32"/>
      <c r="C5" s="32"/>
      <c r="D5" s="35"/>
      <c r="E5" s="34"/>
      <c r="F5" s="34"/>
      <c r="G5" s="32"/>
      <c r="H5" s="35"/>
      <c r="I5" s="35"/>
      <c r="J5" s="35"/>
      <c r="K5" s="33"/>
    </row>
    <row r="6" customFormat="false" ht="15" hidden="false" customHeight="false" outlineLevel="0" collapsed="false">
      <c r="A6" s="32"/>
      <c r="B6" s="32"/>
      <c r="C6" s="32"/>
      <c r="D6" s="35"/>
      <c r="E6" s="34"/>
      <c r="F6" s="34"/>
      <c r="G6" s="32"/>
      <c r="H6" s="35"/>
      <c r="I6" s="35"/>
      <c r="J6" s="35"/>
      <c r="K6" s="33"/>
    </row>
    <row r="7" customFormat="false" ht="15" hidden="false" customHeight="false" outlineLevel="0" collapsed="false">
      <c r="A7" s="32"/>
      <c r="B7" s="32"/>
      <c r="C7" s="32"/>
      <c r="D7" s="35"/>
      <c r="E7" s="34"/>
      <c r="F7" s="34"/>
      <c r="G7" s="32"/>
      <c r="H7" s="35"/>
      <c r="I7" s="35"/>
      <c r="J7" s="35"/>
      <c r="K7" s="33"/>
    </row>
    <row r="8" customFormat="false" ht="15" hidden="false" customHeight="false" outlineLevel="0" collapsed="false">
      <c r="A8" s="32"/>
      <c r="B8" s="32"/>
      <c r="C8" s="32"/>
      <c r="D8" s="35"/>
      <c r="E8" s="34"/>
      <c r="F8" s="34"/>
      <c r="G8" s="32"/>
      <c r="H8" s="35"/>
      <c r="I8" s="35"/>
      <c r="J8" s="35"/>
      <c r="K8" s="33"/>
    </row>
    <row r="9" customFormat="false" ht="15" hidden="false" customHeight="false" outlineLevel="0" collapsed="false">
      <c r="A9" s="32"/>
      <c r="B9" s="32"/>
      <c r="C9" s="32"/>
      <c r="D9" s="35"/>
      <c r="E9" s="34"/>
      <c r="F9" s="34"/>
      <c r="G9" s="32"/>
      <c r="H9" s="35"/>
      <c r="I9" s="35"/>
      <c r="J9" s="35"/>
      <c r="K9" s="33"/>
    </row>
    <row r="10" customFormat="false" ht="15" hidden="false" customHeight="false" outlineLevel="0" collapsed="false">
      <c r="A10" s="32"/>
      <c r="B10" s="32"/>
      <c r="C10" s="32"/>
      <c r="D10" s="35"/>
      <c r="E10" s="34"/>
      <c r="F10" s="34"/>
      <c r="G10" s="32"/>
      <c r="H10" s="35"/>
      <c r="I10" s="35"/>
      <c r="J10" s="35"/>
      <c r="K10" s="33"/>
    </row>
    <row r="11" customFormat="false" ht="15" hidden="false" customHeight="false" outlineLevel="0" collapsed="false">
      <c r="A11" s="32"/>
      <c r="B11" s="32"/>
      <c r="C11" s="32"/>
      <c r="D11" s="35"/>
      <c r="E11" s="34"/>
      <c r="F11" s="34"/>
      <c r="G11" s="32"/>
      <c r="H11" s="35"/>
      <c r="I11" s="35"/>
      <c r="J11" s="35"/>
      <c r="K11" s="33"/>
    </row>
    <row r="12" customFormat="false" ht="15" hidden="false" customHeight="false" outlineLevel="0" collapsed="false">
      <c r="A12" s="32"/>
      <c r="B12" s="32"/>
      <c r="C12" s="32"/>
      <c r="D12" s="35"/>
      <c r="E12" s="34"/>
      <c r="F12" s="34"/>
      <c r="G12" s="32"/>
      <c r="H12" s="35"/>
      <c r="I12" s="35"/>
      <c r="J12" s="35"/>
      <c r="K12" s="33"/>
    </row>
    <row r="13" customFormat="false" ht="15" hidden="false" customHeight="false" outlineLevel="0" collapsed="false">
      <c r="A13" s="32"/>
      <c r="B13" s="32"/>
      <c r="C13" s="32"/>
      <c r="D13" s="35"/>
      <c r="E13" s="34"/>
      <c r="F13" s="34"/>
      <c r="G13" s="32"/>
      <c r="H13" s="35"/>
      <c r="I13" s="35"/>
      <c r="J13" s="35"/>
      <c r="K13" s="33"/>
    </row>
    <row r="14" customFormat="false" ht="15" hidden="false" customHeight="false" outlineLevel="0" collapsed="false">
      <c r="A14" s="32"/>
      <c r="B14" s="32"/>
      <c r="C14" s="32"/>
      <c r="D14" s="35"/>
      <c r="E14" s="34"/>
      <c r="F14" s="34"/>
      <c r="G14" s="32"/>
      <c r="H14" s="35"/>
      <c r="I14" s="35"/>
      <c r="J14" s="35"/>
      <c r="K14" s="33"/>
    </row>
    <row r="15" customFormat="false" ht="15" hidden="false" customHeight="false" outlineLevel="0" collapsed="false">
      <c r="A15" s="32"/>
      <c r="B15" s="32"/>
      <c r="C15" s="32"/>
      <c r="D15" s="35"/>
      <c r="E15" s="34"/>
      <c r="F15" s="34"/>
      <c r="G15" s="32"/>
      <c r="H15" s="35"/>
      <c r="I15" s="35"/>
      <c r="J15" s="35"/>
      <c r="K15" s="33"/>
    </row>
    <row r="16" customFormat="false" ht="15" hidden="false" customHeight="false" outlineLevel="0" collapsed="false">
      <c r="A16" s="32"/>
      <c r="B16" s="32"/>
      <c r="C16" s="32"/>
      <c r="D16" s="35"/>
      <c r="E16" s="34"/>
      <c r="F16" s="34"/>
      <c r="G16" s="32"/>
      <c r="H16" s="35"/>
      <c r="I16" s="35"/>
      <c r="J16" s="35"/>
      <c r="K16" s="33"/>
    </row>
    <row r="17" customFormat="false" ht="15" hidden="false" customHeight="false" outlineLevel="0" collapsed="false">
      <c r="A17" s="32"/>
      <c r="B17" s="32"/>
      <c r="C17" s="32"/>
      <c r="D17" s="35"/>
      <c r="E17" s="34"/>
      <c r="F17" s="34"/>
      <c r="G17" s="32"/>
      <c r="H17" s="35"/>
      <c r="I17" s="35"/>
      <c r="J17" s="35"/>
      <c r="K17" s="33"/>
    </row>
    <row r="18" customFormat="false" ht="15" hidden="false" customHeight="false" outlineLevel="0" collapsed="false">
      <c r="A18" s="32"/>
      <c r="B18" s="32"/>
      <c r="C18" s="32"/>
      <c r="D18" s="35"/>
      <c r="E18" s="34"/>
      <c r="F18" s="34"/>
      <c r="G18" s="32"/>
      <c r="H18" s="35"/>
      <c r="I18" s="35"/>
      <c r="J18" s="35"/>
      <c r="K18" s="33"/>
    </row>
    <row r="19" customFormat="false" ht="15" hidden="false" customHeight="false" outlineLevel="0" collapsed="false">
      <c r="A19" s="32"/>
      <c r="B19" s="32"/>
      <c r="C19" s="32"/>
      <c r="D19" s="35"/>
      <c r="E19" s="34"/>
      <c r="F19" s="34"/>
      <c r="G19" s="32"/>
      <c r="H19" s="35"/>
      <c r="I19" s="35"/>
      <c r="J19" s="35"/>
      <c r="K19" s="33"/>
    </row>
    <row r="20" customFormat="false" ht="15" hidden="false" customHeight="false" outlineLevel="0" collapsed="false">
      <c r="A20" s="32"/>
      <c r="B20" s="32"/>
      <c r="C20" s="32"/>
      <c r="D20" s="35"/>
      <c r="E20" s="34"/>
      <c r="F20" s="34"/>
      <c r="G20" s="32"/>
      <c r="H20" s="35"/>
      <c r="I20" s="35"/>
      <c r="J20" s="35"/>
      <c r="K20" s="33"/>
    </row>
    <row r="21" customFormat="false" ht="15" hidden="false" customHeight="false" outlineLevel="0" collapsed="false">
      <c r="A21" s="32"/>
      <c r="B21" s="32"/>
      <c r="C21" s="32"/>
      <c r="D21" s="35"/>
      <c r="E21" s="34"/>
      <c r="F21" s="34"/>
      <c r="G21" s="32"/>
      <c r="H21" s="35"/>
      <c r="I21" s="35"/>
      <c r="J21" s="35"/>
      <c r="K21" s="33"/>
    </row>
    <row r="22" customFormat="false" ht="15" hidden="false" customHeight="false" outlineLevel="0" collapsed="false">
      <c r="A22" s="32"/>
      <c r="B22" s="32"/>
      <c r="C22" s="32"/>
      <c r="D22" s="35"/>
      <c r="E22" s="34"/>
      <c r="F22" s="34"/>
      <c r="G22" s="32"/>
      <c r="H22" s="35"/>
      <c r="I22" s="35"/>
      <c r="J22" s="35"/>
      <c r="K22" s="33"/>
    </row>
    <row r="23" customFormat="false" ht="15" hidden="false" customHeight="false" outlineLevel="0" collapsed="false">
      <c r="A23" s="32"/>
      <c r="B23" s="32"/>
      <c r="C23" s="32"/>
      <c r="D23" s="35"/>
      <c r="E23" s="34"/>
      <c r="F23" s="34"/>
      <c r="G23" s="32"/>
      <c r="H23" s="35"/>
      <c r="I23" s="35"/>
      <c r="J23" s="35"/>
      <c r="K23" s="33"/>
    </row>
    <row r="24" customFormat="false" ht="15" hidden="false" customHeight="false" outlineLevel="0" collapsed="false">
      <c r="A24" s="32"/>
      <c r="B24" s="32"/>
      <c r="C24" s="32"/>
      <c r="D24" s="35"/>
      <c r="E24" s="34"/>
      <c r="F24" s="34"/>
      <c r="G24" s="32"/>
      <c r="H24" s="35"/>
      <c r="I24" s="35"/>
      <c r="J24" s="35"/>
      <c r="K24" s="33"/>
    </row>
    <row r="25" customFormat="false" ht="15" hidden="false" customHeight="false" outlineLevel="0" collapsed="false">
      <c r="A25" s="32"/>
      <c r="B25" s="32"/>
      <c r="C25" s="32"/>
      <c r="D25" s="35"/>
      <c r="E25" s="34"/>
      <c r="F25" s="34"/>
      <c r="G25" s="32"/>
      <c r="H25" s="35"/>
      <c r="I25" s="35"/>
      <c r="J25" s="35"/>
      <c r="K25" s="33"/>
    </row>
    <row r="26" customFormat="false" ht="15" hidden="false" customHeight="false" outlineLevel="0" collapsed="false">
      <c r="A26" s="32"/>
      <c r="B26" s="32"/>
      <c r="C26" s="32"/>
      <c r="D26" s="35"/>
      <c r="E26" s="34"/>
      <c r="F26" s="34"/>
      <c r="G26" s="32"/>
      <c r="H26" s="35"/>
      <c r="I26" s="35"/>
      <c r="J26" s="35"/>
      <c r="K26" s="33"/>
    </row>
    <row r="27" customFormat="false" ht="15" hidden="false" customHeight="false" outlineLevel="0" collapsed="false">
      <c r="A27" s="32"/>
      <c r="B27" s="32"/>
      <c r="C27" s="32"/>
      <c r="D27" s="35"/>
      <c r="E27" s="34"/>
      <c r="F27" s="34"/>
      <c r="G27" s="32"/>
      <c r="H27" s="35"/>
      <c r="I27" s="35"/>
      <c r="J27" s="35"/>
      <c r="K27" s="33"/>
    </row>
    <row r="28" customFormat="false" ht="15" hidden="false" customHeight="false" outlineLevel="0" collapsed="false">
      <c r="A28" s="32"/>
      <c r="B28" s="32"/>
      <c r="C28" s="32"/>
      <c r="D28" s="35"/>
      <c r="E28" s="34"/>
      <c r="F28" s="34"/>
      <c r="G28" s="32"/>
      <c r="H28" s="35"/>
      <c r="I28" s="35"/>
      <c r="J28" s="35"/>
      <c r="K28" s="33"/>
    </row>
    <row r="29" customFormat="false" ht="15" hidden="false" customHeight="false" outlineLevel="0" collapsed="false">
      <c r="A29" s="32"/>
      <c r="B29" s="32"/>
      <c r="C29" s="32"/>
      <c r="D29" s="35"/>
      <c r="E29" s="34"/>
      <c r="F29" s="34"/>
      <c r="G29" s="32"/>
      <c r="H29" s="35"/>
      <c r="I29" s="35"/>
      <c r="J29" s="35"/>
      <c r="K29" s="33"/>
    </row>
    <row r="30" customFormat="false" ht="15" hidden="false" customHeight="false" outlineLevel="0" collapsed="false">
      <c r="A30" s="32"/>
      <c r="B30" s="32"/>
      <c r="C30" s="32"/>
      <c r="D30" s="35"/>
      <c r="E30" s="34"/>
      <c r="F30" s="34"/>
      <c r="G30" s="32"/>
      <c r="H30" s="35"/>
      <c r="I30" s="35"/>
      <c r="J30" s="35"/>
      <c r="K30" s="33"/>
    </row>
    <row r="31" customFormat="false" ht="15" hidden="false" customHeight="false" outlineLevel="0" collapsed="false">
      <c r="A31" s="32"/>
      <c r="B31" s="32"/>
      <c r="C31" s="32"/>
      <c r="D31" s="35"/>
      <c r="E31" s="34"/>
      <c r="F31" s="34"/>
      <c r="G31" s="32"/>
      <c r="H31" s="35"/>
      <c r="I31" s="35"/>
      <c r="J31" s="35"/>
      <c r="K31" s="33"/>
    </row>
    <row r="32" customFormat="false" ht="15" hidden="false" customHeight="false" outlineLevel="0" collapsed="false">
      <c r="A32" s="32"/>
      <c r="B32" s="32"/>
      <c r="C32" s="32"/>
      <c r="D32" s="35"/>
      <c r="E32" s="34"/>
      <c r="F32" s="34"/>
      <c r="G32" s="32"/>
      <c r="H32" s="35"/>
      <c r="I32" s="35"/>
      <c r="J32" s="35"/>
      <c r="K32" s="33"/>
    </row>
    <row r="33" customFormat="false" ht="15" hidden="false" customHeight="false" outlineLevel="0" collapsed="false">
      <c r="A33" s="32"/>
      <c r="B33" s="32"/>
      <c r="C33" s="32"/>
      <c r="D33" s="35"/>
      <c r="E33" s="34"/>
      <c r="F33" s="34"/>
      <c r="G33" s="32"/>
      <c r="H33" s="35"/>
      <c r="I33" s="35"/>
      <c r="J33" s="35"/>
      <c r="K33" s="33"/>
    </row>
    <row r="34" customFormat="false" ht="15" hidden="false" customHeight="false" outlineLevel="0" collapsed="false">
      <c r="A34" s="32"/>
      <c r="B34" s="32"/>
      <c r="C34" s="32"/>
      <c r="D34" s="35"/>
      <c r="E34" s="34"/>
      <c r="F34" s="34"/>
      <c r="G34" s="32"/>
      <c r="H34" s="35"/>
      <c r="I34" s="35"/>
      <c r="J34" s="35"/>
      <c r="K34" s="33"/>
    </row>
    <row r="35" customFormat="false" ht="15" hidden="false" customHeight="false" outlineLevel="0" collapsed="false">
      <c r="A35" s="32"/>
      <c r="B35" s="32"/>
      <c r="C35" s="32"/>
      <c r="D35" s="35"/>
      <c r="E35" s="34"/>
      <c r="F35" s="34"/>
      <c r="G35" s="32"/>
      <c r="H35" s="35"/>
      <c r="I35" s="35"/>
      <c r="J35" s="35"/>
      <c r="K35" s="33"/>
    </row>
    <row r="36" customFormat="false" ht="15" hidden="false" customHeight="false" outlineLevel="0" collapsed="false">
      <c r="A36" s="32"/>
      <c r="B36" s="32"/>
      <c r="C36" s="32"/>
      <c r="D36" s="35"/>
      <c r="E36" s="34"/>
      <c r="F36" s="34"/>
      <c r="G36" s="32"/>
      <c r="H36" s="35"/>
      <c r="I36" s="35"/>
      <c r="J36" s="35"/>
      <c r="K36" s="33"/>
    </row>
    <row r="37" customFormat="false" ht="15" hidden="false" customHeight="false" outlineLevel="0" collapsed="false">
      <c r="A37" s="32"/>
      <c r="B37" s="32"/>
      <c r="C37" s="32"/>
      <c r="D37" s="35"/>
      <c r="E37" s="34"/>
      <c r="F37" s="34"/>
      <c r="G37" s="32"/>
      <c r="H37" s="35"/>
      <c r="I37" s="35"/>
      <c r="J37" s="35"/>
      <c r="K37" s="33"/>
    </row>
    <row r="38" customFormat="false" ht="15" hidden="false" customHeight="false" outlineLevel="0" collapsed="false">
      <c r="A38" s="32"/>
      <c r="B38" s="32"/>
      <c r="C38" s="32"/>
      <c r="D38" s="35"/>
      <c r="E38" s="34"/>
      <c r="F38" s="34"/>
      <c r="G38" s="32"/>
      <c r="H38" s="35"/>
      <c r="I38" s="35"/>
      <c r="J38" s="35"/>
      <c r="K38" s="33"/>
    </row>
    <row r="39" customFormat="false" ht="15" hidden="false" customHeight="false" outlineLevel="0" collapsed="false">
      <c r="A39" s="32"/>
      <c r="B39" s="32"/>
      <c r="C39" s="32"/>
      <c r="D39" s="35"/>
      <c r="E39" s="34"/>
      <c r="F39" s="34"/>
      <c r="G39" s="32"/>
      <c r="H39" s="35"/>
      <c r="I39" s="35"/>
      <c r="J39" s="35"/>
      <c r="K39" s="33"/>
    </row>
    <row r="40" customFormat="false" ht="15" hidden="false" customHeight="false" outlineLevel="0" collapsed="false">
      <c r="A40" s="32"/>
      <c r="B40" s="32"/>
      <c r="C40" s="32"/>
      <c r="D40" s="35"/>
      <c r="E40" s="34"/>
      <c r="F40" s="34"/>
      <c r="G40" s="32"/>
      <c r="H40" s="35"/>
      <c r="I40" s="35"/>
      <c r="J40" s="35"/>
      <c r="K40" s="33"/>
    </row>
    <row r="41" customFormat="false" ht="15" hidden="false" customHeight="false" outlineLevel="0" collapsed="false">
      <c r="A41" s="32"/>
      <c r="B41" s="32"/>
      <c r="C41" s="32"/>
      <c r="D41" s="35"/>
      <c r="E41" s="34"/>
      <c r="F41" s="34"/>
      <c r="G41" s="32"/>
      <c r="H41" s="35"/>
      <c r="I41" s="35"/>
      <c r="J41" s="35"/>
      <c r="K41" s="33"/>
    </row>
    <row r="42" customFormat="false" ht="15" hidden="false" customHeight="false" outlineLevel="0" collapsed="false">
      <c r="A42" s="32"/>
      <c r="B42" s="32"/>
      <c r="C42" s="32"/>
      <c r="D42" s="35"/>
      <c r="E42" s="34"/>
      <c r="F42" s="34"/>
      <c r="G42" s="32"/>
      <c r="H42" s="35"/>
      <c r="I42" s="35"/>
      <c r="J42" s="35"/>
      <c r="K42" s="33"/>
    </row>
    <row r="43" customFormat="false" ht="15" hidden="false" customHeight="false" outlineLevel="0" collapsed="false">
      <c r="A43" s="32"/>
      <c r="B43" s="32"/>
      <c r="C43" s="32"/>
      <c r="D43" s="35"/>
      <c r="E43" s="34"/>
      <c r="F43" s="34"/>
      <c r="G43" s="32"/>
      <c r="H43" s="35"/>
      <c r="I43" s="35"/>
      <c r="J43" s="35"/>
      <c r="K43" s="33"/>
    </row>
    <row r="44" customFormat="false" ht="15" hidden="false" customHeight="false" outlineLevel="0" collapsed="false">
      <c r="A44" s="32"/>
      <c r="B44" s="32"/>
      <c r="C44" s="32"/>
      <c r="D44" s="35"/>
      <c r="E44" s="34"/>
      <c r="F44" s="34"/>
      <c r="G44" s="32"/>
      <c r="H44" s="35"/>
      <c r="I44" s="35"/>
      <c r="J44" s="35"/>
      <c r="K44" s="33"/>
    </row>
    <row r="45" customFormat="false" ht="15" hidden="false" customHeight="false" outlineLevel="0" collapsed="false">
      <c r="A45" s="32"/>
      <c r="B45" s="32"/>
      <c r="C45" s="32"/>
      <c r="D45" s="35"/>
      <c r="E45" s="34"/>
      <c r="F45" s="34"/>
      <c r="G45" s="32"/>
      <c r="H45" s="35"/>
      <c r="I45" s="35"/>
      <c r="J45" s="35"/>
      <c r="K45" s="33"/>
    </row>
    <row r="46" customFormat="false" ht="15" hidden="false" customHeight="false" outlineLevel="0" collapsed="false">
      <c r="A46" s="32"/>
      <c r="B46" s="32"/>
      <c r="C46" s="32"/>
      <c r="D46" s="35"/>
      <c r="E46" s="34"/>
      <c r="F46" s="34"/>
      <c r="G46" s="32"/>
      <c r="H46" s="35"/>
      <c r="I46" s="35"/>
      <c r="J46" s="35"/>
      <c r="K46" s="33"/>
    </row>
    <row r="47" customFormat="false" ht="15" hidden="false" customHeight="false" outlineLevel="0" collapsed="false">
      <c r="A47" s="32"/>
      <c r="B47" s="32"/>
      <c r="C47" s="32"/>
      <c r="D47" s="35"/>
      <c r="E47" s="34"/>
      <c r="F47" s="34"/>
      <c r="G47" s="32"/>
      <c r="H47" s="35"/>
      <c r="I47" s="35"/>
      <c r="J47" s="35"/>
      <c r="K47" s="33"/>
    </row>
    <row r="48" customFormat="false" ht="15" hidden="false" customHeight="false" outlineLevel="0" collapsed="false">
      <c r="A48" s="32"/>
      <c r="B48" s="32"/>
      <c r="C48" s="32"/>
      <c r="D48" s="35"/>
      <c r="E48" s="34"/>
      <c r="F48" s="34"/>
      <c r="G48" s="32"/>
      <c r="H48" s="35"/>
      <c r="I48" s="35"/>
      <c r="J48" s="35"/>
      <c r="K48" s="33"/>
    </row>
    <row r="49" customFormat="false" ht="15" hidden="false" customHeight="false" outlineLevel="0" collapsed="false">
      <c r="A49" s="32"/>
      <c r="B49" s="32"/>
      <c r="C49" s="32"/>
      <c r="D49" s="35"/>
      <c r="E49" s="34"/>
      <c r="F49" s="34"/>
      <c r="G49" s="32"/>
      <c r="H49" s="35"/>
      <c r="I49" s="35"/>
      <c r="J49" s="35"/>
      <c r="K49" s="33"/>
    </row>
    <row r="50" customFormat="false" ht="15" hidden="false" customHeight="false" outlineLevel="0" collapsed="false">
      <c r="A50" s="32"/>
      <c r="B50" s="32"/>
      <c r="C50" s="32"/>
      <c r="D50" s="35"/>
      <c r="E50" s="34"/>
      <c r="F50" s="34"/>
      <c r="G50" s="32"/>
      <c r="H50" s="35"/>
      <c r="I50" s="35"/>
      <c r="J50" s="35"/>
      <c r="K50" s="33"/>
    </row>
    <row r="51" customFormat="false" ht="15" hidden="false" customHeight="false" outlineLevel="0" collapsed="false">
      <c r="A51" s="32"/>
      <c r="B51" s="32"/>
      <c r="C51" s="32"/>
      <c r="D51" s="35"/>
      <c r="E51" s="34"/>
      <c r="F51" s="34"/>
      <c r="G51" s="32"/>
      <c r="H51" s="35"/>
      <c r="I51" s="35"/>
      <c r="J51" s="35"/>
      <c r="K51" s="33"/>
    </row>
    <row r="52" customFormat="false" ht="15" hidden="false" customHeight="false" outlineLevel="0" collapsed="false">
      <c r="A52" s="32"/>
      <c r="B52" s="32"/>
      <c r="C52" s="32"/>
      <c r="D52" s="35"/>
      <c r="E52" s="34"/>
      <c r="F52" s="34"/>
      <c r="G52" s="32"/>
      <c r="H52" s="35"/>
      <c r="I52" s="35"/>
      <c r="J52" s="35"/>
      <c r="K52" s="33"/>
    </row>
    <row r="53" customFormat="false" ht="15" hidden="false" customHeight="false" outlineLevel="0" collapsed="false">
      <c r="A53" s="32"/>
      <c r="B53" s="32"/>
      <c r="C53" s="32"/>
      <c r="D53" s="35"/>
      <c r="E53" s="34"/>
      <c r="F53" s="34"/>
      <c r="G53" s="32"/>
      <c r="H53" s="35"/>
      <c r="I53" s="35"/>
      <c r="J53" s="35"/>
      <c r="K53" s="33"/>
    </row>
    <row r="54" customFormat="false" ht="15" hidden="false" customHeight="false" outlineLevel="0" collapsed="false">
      <c r="A54" s="32"/>
      <c r="B54" s="32"/>
      <c r="C54" s="32"/>
      <c r="D54" s="35"/>
      <c r="E54" s="34"/>
      <c r="F54" s="34"/>
      <c r="G54" s="32"/>
      <c r="H54" s="35"/>
      <c r="I54" s="35"/>
      <c r="J54" s="35"/>
      <c r="K54" s="33"/>
    </row>
    <row r="55" customFormat="false" ht="15" hidden="false" customHeight="false" outlineLevel="0" collapsed="false">
      <c r="A55" s="32"/>
      <c r="B55" s="32"/>
      <c r="C55" s="32"/>
      <c r="D55" s="35"/>
      <c r="E55" s="34"/>
      <c r="F55" s="34"/>
      <c r="G55" s="32"/>
      <c r="H55" s="35"/>
      <c r="I55" s="35"/>
      <c r="J55" s="35"/>
      <c r="K55" s="33"/>
    </row>
    <row r="56" customFormat="false" ht="15" hidden="false" customHeight="false" outlineLevel="0" collapsed="false">
      <c r="A56" s="32"/>
      <c r="B56" s="32"/>
      <c r="C56" s="32"/>
      <c r="D56" s="35"/>
      <c r="E56" s="34"/>
      <c r="F56" s="34"/>
      <c r="G56" s="32"/>
      <c r="H56" s="35"/>
      <c r="I56" s="35"/>
      <c r="J56" s="35"/>
      <c r="K56" s="33"/>
    </row>
    <row r="57" customFormat="false" ht="15" hidden="false" customHeight="false" outlineLevel="0" collapsed="false">
      <c r="A57" s="32"/>
      <c r="B57" s="32"/>
      <c r="C57" s="32"/>
      <c r="D57" s="35"/>
      <c r="E57" s="34"/>
      <c r="F57" s="34"/>
      <c r="G57" s="32"/>
      <c r="H57" s="35"/>
      <c r="I57" s="35"/>
      <c r="J57" s="35"/>
      <c r="K57" s="33"/>
    </row>
    <row r="58" customFormat="false" ht="15" hidden="false" customHeight="false" outlineLevel="0" collapsed="false">
      <c r="A58" s="32"/>
      <c r="B58" s="32"/>
      <c r="C58" s="32"/>
      <c r="D58" s="35"/>
      <c r="E58" s="34"/>
      <c r="F58" s="34"/>
      <c r="G58" s="32"/>
      <c r="H58" s="35"/>
      <c r="I58" s="35"/>
      <c r="J58" s="35"/>
      <c r="K58" s="33"/>
    </row>
    <row r="59" customFormat="false" ht="15" hidden="false" customHeight="false" outlineLevel="0" collapsed="false">
      <c r="A59" s="32"/>
      <c r="B59" s="32"/>
      <c r="C59" s="32"/>
      <c r="D59" s="35"/>
      <c r="E59" s="34"/>
      <c r="F59" s="34"/>
      <c r="G59" s="32"/>
      <c r="H59" s="35"/>
      <c r="I59" s="35"/>
      <c r="J59" s="35"/>
      <c r="K59" s="33"/>
    </row>
    <row r="60" customFormat="false" ht="15" hidden="false" customHeight="false" outlineLevel="0" collapsed="false">
      <c r="A60" s="32"/>
      <c r="B60" s="32"/>
      <c r="C60" s="32"/>
      <c r="D60" s="35"/>
      <c r="E60" s="34"/>
      <c r="F60" s="34"/>
      <c r="G60" s="32"/>
      <c r="H60" s="35"/>
      <c r="I60" s="35"/>
      <c r="J60" s="35"/>
      <c r="K60" s="33"/>
    </row>
    <row r="61" customFormat="false" ht="15" hidden="false" customHeight="false" outlineLevel="0" collapsed="false">
      <c r="A61" s="32"/>
      <c r="B61" s="32"/>
      <c r="C61" s="32"/>
      <c r="D61" s="35"/>
      <c r="E61" s="34"/>
      <c r="F61" s="34"/>
      <c r="G61" s="32"/>
      <c r="H61" s="35"/>
      <c r="I61" s="35"/>
      <c r="J61" s="35"/>
      <c r="K61" s="33"/>
    </row>
    <row r="62" customFormat="false" ht="15" hidden="false" customHeight="false" outlineLevel="0" collapsed="false">
      <c r="A62" s="32"/>
      <c r="B62" s="32"/>
      <c r="C62" s="32"/>
      <c r="D62" s="35"/>
      <c r="E62" s="34"/>
      <c r="F62" s="34"/>
      <c r="G62" s="32"/>
      <c r="H62" s="35"/>
      <c r="I62" s="35"/>
      <c r="J62" s="35"/>
      <c r="K62" s="33"/>
    </row>
    <row r="63" customFormat="false" ht="15" hidden="false" customHeight="false" outlineLevel="0" collapsed="false">
      <c r="A63" s="32"/>
      <c r="B63" s="32"/>
      <c r="C63" s="32"/>
      <c r="D63" s="35"/>
      <c r="E63" s="34"/>
      <c r="F63" s="34"/>
      <c r="G63" s="32"/>
      <c r="H63" s="35"/>
      <c r="I63" s="35"/>
      <c r="J63" s="35"/>
      <c r="K63" s="33"/>
    </row>
    <row r="64" customFormat="false" ht="15" hidden="false" customHeight="false" outlineLevel="0" collapsed="false">
      <c r="A64" s="32"/>
      <c r="B64" s="32"/>
      <c r="C64" s="32"/>
      <c r="D64" s="35"/>
      <c r="E64" s="34"/>
      <c r="F64" s="34"/>
      <c r="G64" s="32"/>
      <c r="H64" s="35"/>
      <c r="I64" s="35"/>
      <c r="J64" s="35"/>
      <c r="K64" s="33"/>
    </row>
    <row r="65" customFormat="false" ht="15" hidden="false" customHeight="false" outlineLevel="0" collapsed="false">
      <c r="A65" s="32"/>
      <c r="B65" s="32"/>
      <c r="C65" s="32"/>
      <c r="D65" s="35"/>
      <c r="E65" s="34"/>
      <c r="F65" s="34"/>
      <c r="G65" s="32"/>
      <c r="H65" s="35"/>
      <c r="I65" s="35"/>
      <c r="J65" s="35"/>
      <c r="K65" s="33"/>
    </row>
    <row r="66" customFormat="false" ht="15" hidden="false" customHeight="false" outlineLevel="0" collapsed="false">
      <c r="A66" s="32"/>
      <c r="B66" s="32"/>
      <c r="C66" s="32"/>
      <c r="D66" s="35"/>
      <c r="E66" s="34"/>
      <c r="F66" s="34"/>
      <c r="G66" s="32"/>
      <c r="H66" s="35"/>
      <c r="I66" s="35"/>
      <c r="J66" s="35"/>
      <c r="K66" s="33"/>
    </row>
    <row r="67" customFormat="false" ht="15" hidden="false" customHeight="false" outlineLevel="0" collapsed="false">
      <c r="A67" s="32"/>
      <c r="B67" s="32"/>
      <c r="C67" s="32"/>
      <c r="D67" s="35"/>
      <c r="E67" s="34"/>
      <c r="F67" s="34"/>
      <c r="G67" s="32"/>
      <c r="H67" s="35"/>
      <c r="I67" s="35"/>
      <c r="J67" s="35"/>
      <c r="K67" s="33"/>
    </row>
    <row r="68" customFormat="false" ht="15" hidden="false" customHeight="false" outlineLevel="0" collapsed="false">
      <c r="A68" s="32"/>
      <c r="B68" s="32"/>
      <c r="C68" s="32"/>
      <c r="D68" s="35"/>
      <c r="E68" s="34"/>
      <c r="F68" s="34"/>
      <c r="G68" s="32"/>
      <c r="H68" s="35"/>
      <c r="I68" s="35"/>
      <c r="J68" s="35"/>
      <c r="K68" s="33"/>
    </row>
    <row r="69" customFormat="false" ht="15" hidden="false" customHeight="false" outlineLevel="0" collapsed="false">
      <c r="A69" s="32"/>
      <c r="B69" s="32"/>
      <c r="C69" s="32"/>
      <c r="D69" s="35"/>
      <c r="E69" s="34"/>
      <c r="F69" s="34"/>
      <c r="G69" s="32"/>
      <c r="H69" s="35"/>
      <c r="I69" s="35"/>
      <c r="J69" s="35"/>
      <c r="K69" s="33"/>
    </row>
    <row r="70" customFormat="false" ht="15" hidden="false" customHeight="false" outlineLevel="0" collapsed="false">
      <c r="A70" s="32"/>
      <c r="B70" s="32"/>
      <c r="C70" s="32"/>
      <c r="D70" s="35"/>
      <c r="E70" s="34"/>
      <c r="F70" s="34"/>
      <c r="G70" s="32"/>
      <c r="H70" s="35"/>
      <c r="I70" s="35"/>
      <c r="J70" s="35"/>
      <c r="K70" s="33"/>
    </row>
    <row r="71" customFormat="false" ht="15" hidden="false" customHeight="false" outlineLevel="0" collapsed="false">
      <c r="A71" s="32"/>
      <c r="B71" s="32"/>
      <c r="C71" s="32"/>
      <c r="D71" s="35"/>
      <c r="E71" s="34"/>
      <c r="F71" s="34"/>
      <c r="G71" s="32"/>
      <c r="H71" s="35"/>
      <c r="I71" s="35"/>
      <c r="J71" s="35"/>
      <c r="K71" s="33"/>
    </row>
    <row r="72" customFormat="false" ht="15" hidden="false" customHeight="false" outlineLevel="0" collapsed="false">
      <c r="A72" s="32"/>
      <c r="B72" s="32"/>
      <c r="C72" s="32"/>
      <c r="D72" s="35"/>
      <c r="E72" s="34"/>
      <c r="F72" s="34"/>
      <c r="G72" s="32"/>
      <c r="H72" s="35"/>
      <c r="I72" s="35"/>
      <c r="J72" s="35"/>
      <c r="K72" s="33"/>
    </row>
    <row r="73" customFormat="false" ht="15" hidden="false" customHeight="false" outlineLevel="0" collapsed="false">
      <c r="A73" s="32"/>
      <c r="B73" s="32"/>
      <c r="C73" s="32"/>
      <c r="D73" s="35"/>
      <c r="E73" s="34"/>
      <c r="F73" s="34"/>
      <c r="G73" s="32"/>
      <c r="H73" s="35"/>
      <c r="I73" s="35"/>
      <c r="J73" s="35"/>
      <c r="K73" s="33"/>
    </row>
    <row r="74" customFormat="false" ht="15" hidden="false" customHeight="false" outlineLevel="0" collapsed="false">
      <c r="A74" s="32"/>
      <c r="B74" s="32"/>
      <c r="C74" s="32"/>
      <c r="D74" s="35"/>
      <c r="E74" s="34"/>
      <c r="F74" s="34"/>
      <c r="G74" s="32"/>
      <c r="H74" s="35"/>
      <c r="I74" s="35"/>
      <c r="J74" s="35"/>
      <c r="K74" s="33"/>
    </row>
    <row r="75" customFormat="false" ht="15" hidden="false" customHeight="false" outlineLevel="0" collapsed="false">
      <c r="A75" s="32"/>
      <c r="B75" s="32"/>
      <c r="C75" s="32"/>
      <c r="D75" s="35"/>
      <c r="E75" s="34"/>
      <c r="F75" s="34"/>
      <c r="G75" s="32"/>
      <c r="H75" s="35"/>
      <c r="I75" s="35"/>
      <c r="J75" s="35"/>
      <c r="K75" s="33"/>
    </row>
    <row r="76" customFormat="false" ht="15" hidden="false" customHeight="false" outlineLevel="0" collapsed="false">
      <c r="A76" s="32"/>
      <c r="B76" s="32"/>
      <c r="C76" s="32"/>
      <c r="D76" s="35"/>
      <c r="E76" s="34"/>
      <c r="F76" s="34"/>
      <c r="G76" s="32"/>
      <c r="H76" s="35"/>
      <c r="I76" s="35"/>
      <c r="J76" s="35"/>
      <c r="K76" s="33"/>
    </row>
    <row r="77" customFormat="false" ht="15" hidden="false" customHeight="false" outlineLevel="0" collapsed="false">
      <c r="A77" s="32"/>
      <c r="B77" s="32"/>
      <c r="C77" s="32"/>
      <c r="D77" s="35"/>
      <c r="E77" s="34"/>
      <c r="F77" s="34"/>
      <c r="G77" s="32"/>
      <c r="H77" s="35"/>
      <c r="I77" s="35"/>
      <c r="J77" s="35"/>
      <c r="K77" s="33"/>
    </row>
    <row r="78" customFormat="false" ht="15" hidden="false" customHeight="false" outlineLevel="0" collapsed="false">
      <c r="A78" s="32"/>
      <c r="B78" s="32"/>
      <c r="C78" s="32"/>
      <c r="D78" s="35"/>
      <c r="E78" s="34"/>
      <c r="F78" s="34"/>
      <c r="G78" s="32"/>
      <c r="H78" s="35"/>
      <c r="I78" s="35"/>
      <c r="J78" s="35"/>
      <c r="K78" s="33"/>
    </row>
    <row r="79" customFormat="false" ht="15" hidden="false" customHeight="false" outlineLevel="0" collapsed="false">
      <c r="A79" s="32"/>
      <c r="B79" s="32"/>
      <c r="C79" s="32"/>
      <c r="D79" s="35"/>
      <c r="E79" s="34"/>
      <c r="F79" s="34"/>
      <c r="G79" s="32"/>
      <c r="H79" s="35"/>
      <c r="I79" s="35"/>
      <c r="J79" s="35"/>
      <c r="K79" s="33"/>
    </row>
    <row r="80" customFormat="false" ht="15" hidden="false" customHeight="false" outlineLevel="0" collapsed="false">
      <c r="A80" s="32"/>
      <c r="B80" s="32"/>
      <c r="C80" s="32"/>
      <c r="D80" s="35"/>
      <c r="E80" s="34"/>
      <c r="F80" s="34"/>
      <c r="G80" s="32"/>
      <c r="H80" s="35"/>
      <c r="I80" s="35"/>
      <c r="J80" s="35"/>
      <c r="K80" s="33"/>
    </row>
    <row r="81" customFormat="false" ht="15" hidden="false" customHeight="false" outlineLevel="0" collapsed="false">
      <c r="A81" s="32"/>
      <c r="B81" s="32"/>
      <c r="C81" s="32"/>
      <c r="D81" s="35"/>
      <c r="E81" s="34"/>
      <c r="F81" s="34"/>
      <c r="G81" s="32"/>
      <c r="H81" s="35"/>
      <c r="I81" s="35"/>
      <c r="J81" s="35"/>
      <c r="K81" s="33"/>
    </row>
    <row r="82" customFormat="false" ht="15" hidden="false" customHeight="false" outlineLevel="0" collapsed="false">
      <c r="A82" s="32"/>
      <c r="B82" s="32"/>
      <c r="C82" s="32"/>
      <c r="D82" s="35"/>
      <c r="E82" s="34"/>
      <c r="F82" s="34"/>
      <c r="G82" s="32"/>
      <c r="H82" s="35"/>
      <c r="I82" s="35"/>
      <c r="J82" s="35"/>
      <c r="K82" s="33"/>
    </row>
    <row r="83" customFormat="false" ht="15" hidden="false" customHeight="false" outlineLevel="0" collapsed="false">
      <c r="A83" s="32"/>
      <c r="B83" s="32"/>
      <c r="C83" s="32"/>
      <c r="D83" s="35"/>
      <c r="E83" s="34"/>
      <c r="F83" s="34"/>
      <c r="G83" s="32"/>
      <c r="H83" s="35"/>
      <c r="I83" s="35"/>
      <c r="J83" s="35"/>
      <c r="K83" s="33"/>
    </row>
    <row r="84" customFormat="false" ht="15" hidden="false" customHeight="false" outlineLevel="0" collapsed="false">
      <c r="A84" s="32"/>
      <c r="B84" s="32"/>
      <c r="C84" s="32"/>
      <c r="D84" s="35"/>
      <c r="E84" s="34"/>
      <c r="F84" s="34"/>
      <c r="G84" s="32"/>
      <c r="H84" s="35"/>
      <c r="I84" s="35"/>
      <c r="J84" s="35"/>
      <c r="K84" s="33"/>
    </row>
    <row r="85" customFormat="false" ht="15" hidden="false" customHeight="false" outlineLevel="0" collapsed="false">
      <c r="A85" s="32"/>
      <c r="B85" s="32"/>
      <c r="C85" s="32"/>
      <c r="D85" s="35"/>
      <c r="E85" s="34"/>
      <c r="F85" s="34"/>
      <c r="G85" s="32"/>
      <c r="H85" s="35"/>
      <c r="I85" s="35"/>
      <c r="J85" s="35"/>
      <c r="K85" s="33"/>
    </row>
    <row r="86" customFormat="false" ht="15" hidden="false" customHeight="false" outlineLevel="0" collapsed="false">
      <c r="A86" s="32"/>
      <c r="B86" s="32"/>
      <c r="C86" s="32"/>
      <c r="D86" s="35"/>
      <c r="E86" s="34"/>
      <c r="F86" s="34"/>
      <c r="G86" s="32"/>
      <c r="H86" s="35"/>
      <c r="I86" s="35"/>
      <c r="J86" s="35"/>
      <c r="K86" s="33"/>
    </row>
    <row r="87" customFormat="false" ht="15" hidden="false" customHeight="false" outlineLevel="0" collapsed="false">
      <c r="A87" s="32"/>
      <c r="B87" s="32"/>
      <c r="C87" s="32"/>
      <c r="D87" s="35"/>
      <c r="E87" s="34"/>
      <c r="F87" s="34"/>
      <c r="G87" s="32"/>
      <c r="H87" s="35"/>
      <c r="I87" s="35"/>
      <c r="J87" s="35"/>
      <c r="K87" s="33"/>
    </row>
    <row r="88" customFormat="false" ht="15" hidden="false" customHeight="false" outlineLevel="0" collapsed="false">
      <c r="A88" s="32"/>
      <c r="B88" s="32"/>
      <c r="C88" s="32"/>
      <c r="D88" s="35"/>
      <c r="E88" s="34"/>
      <c r="F88" s="34"/>
      <c r="G88" s="32"/>
      <c r="H88" s="35"/>
      <c r="I88" s="35"/>
      <c r="J88" s="35"/>
      <c r="K88" s="33"/>
    </row>
    <row r="89" customFormat="false" ht="15" hidden="false" customHeight="false" outlineLevel="0" collapsed="false">
      <c r="A89" s="32"/>
      <c r="B89" s="32"/>
      <c r="C89" s="32"/>
      <c r="D89" s="35"/>
      <c r="E89" s="34"/>
      <c r="F89" s="34"/>
      <c r="G89" s="32"/>
      <c r="H89" s="35"/>
      <c r="I89" s="35"/>
      <c r="J89" s="35"/>
      <c r="K89" s="33"/>
    </row>
    <row r="90" customFormat="false" ht="15" hidden="false" customHeight="false" outlineLevel="0" collapsed="false">
      <c r="A90" s="32"/>
      <c r="B90" s="32"/>
      <c r="C90" s="32"/>
      <c r="D90" s="35"/>
      <c r="E90" s="34"/>
      <c r="F90" s="34"/>
      <c r="G90" s="32"/>
      <c r="H90" s="35"/>
      <c r="I90" s="35"/>
      <c r="J90" s="35"/>
      <c r="K90" s="33"/>
    </row>
    <row r="91" customFormat="false" ht="15" hidden="false" customHeight="false" outlineLevel="0" collapsed="false">
      <c r="A91" s="32"/>
      <c r="B91" s="32"/>
      <c r="C91" s="32"/>
      <c r="D91" s="35"/>
      <c r="E91" s="34"/>
      <c r="F91" s="34"/>
      <c r="G91" s="32"/>
      <c r="H91" s="35"/>
      <c r="I91" s="35"/>
      <c r="J91" s="35"/>
      <c r="K91" s="33"/>
    </row>
    <row r="92" customFormat="false" ht="15" hidden="false" customHeight="false" outlineLevel="0" collapsed="false">
      <c r="A92" s="32"/>
      <c r="B92" s="32"/>
      <c r="C92" s="32"/>
      <c r="D92" s="35"/>
      <c r="E92" s="34"/>
      <c r="F92" s="34"/>
      <c r="G92" s="32"/>
      <c r="H92" s="35"/>
      <c r="I92" s="35"/>
      <c r="J92" s="35"/>
      <c r="K92" s="33"/>
    </row>
    <row r="93" customFormat="false" ht="15" hidden="false" customHeight="false" outlineLevel="0" collapsed="false">
      <c r="A93" s="32"/>
      <c r="B93" s="32"/>
      <c r="C93" s="32"/>
      <c r="D93" s="35"/>
      <c r="E93" s="34"/>
      <c r="F93" s="34"/>
      <c r="G93" s="32"/>
      <c r="H93" s="35"/>
      <c r="I93" s="35"/>
      <c r="J93" s="35"/>
      <c r="K93" s="33"/>
    </row>
    <row r="94" customFormat="false" ht="15" hidden="false" customHeight="false" outlineLevel="0" collapsed="false">
      <c r="A94" s="32"/>
      <c r="B94" s="32"/>
      <c r="C94" s="32"/>
      <c r="D94" s="35"/>
      <c r="E94" s="34"/>
      <c r="F94" s="34"/>
      <c r="G94" s="32"/>
      <c r="H94" s="35"/>
      <c r="I94" s="35"/>
      <c r="J94" s="35"/>
      <c r="K94" s="33"/>
    </row>
    <row r="95" customFormat="false" ht="15" hidden="false" customHeight="false" outlineLevel="0" collapsed="false">
      <c r="A95" s="32"/>
      <c r="B95" s="32"/>
      <c r="C95" s="32"/>
      <c r="D95" s="35"/>
      <c r="E95" s="34"/>
      <c r="F95" s="34"/>
      <c r="G95" s="32"/>
      <c r="H95" s="35"/>
      <c r="I95" s="35"/>
      <c r="J95" s="35"/>
      <c r="K95" s="33"/>
    </row>
    <row r="96" customFormat="false" ht="15" hidden="false" customHeight="false" outlineLevel="0" collapsed="false">
      <c r="A96" s="32"/>
      <c r="B96" s="32"/>
      <c r="C96" s="32"/>
      <c r="D96" s="35"/>
      <c r="E96" s="34"/>
      <c r="F96" s="34"/>
      <c r="G96" s="32"/>
      <c r="H96" s="35"/>
      <c r="I96" s="35"/>
      <c r="J96" s="35"/>
      <c r="K96" s="33"/>
    </row>
    <row r="97" customFormat="false" ht="15" hidden="false" customHeight="false" outlineLevel="0" collapsed="false">
      <c r="A97" s="32"/>
      <c r="B97" s="32"/>
      <c r="C97" s="32"/>
      <c r="D97" s="35"/>
      <c r="E97" s="34"/>
      <c r="F97" s="34"/>
      <c r="G97" s="32"/>
      <c r="H97" s="35"/>
      <c r="I97" s="35"/>
      <c r="J97" s="35"/>
      <c r="K97" s="33"/>
    </row>
    <row r="98" customFormat="false" ht="15" hidden="false" customHeight="false" outlineLevel="0" collapsed="false">
      <c r="A98" s="32"/>
      <c r="B98" s="32"/>
      <c r="C98" s="32"/>
      <c r="D98" s="35"/>
      <c r="E98" s="34"/>
      <c r="F98" s="34"/>
      <c r="G98" s="32"/>
      <c r="H98" s="35"/>
      <c r="I98" s="35"/>
      <c r="J98" s="35"/>
      <c r="K98" s="33"/>
    </row>
    <row r="99" customFormat="false" ht="15" hidden="false" customHeight="false" outlineLevel="0" collapsed="false">
      <c r="A99" s="32"/>
      <c r="B99" s="32"/>
      <c r="C99" s="32"/>
      <c r="D99" s="35"/>
      <c r="E99" s="34"/>
      <c r="F99" s="34"/>
      <c r="G99" s="32"/>
      <c r="H99" s="35"/>
      <c r="I99" s="35"/>
      <c r="J99" s="35"/>
      <c r="K99" s="33"/>
    </row>
    <row r="100" customFormat="false" ht="15" hidden="false" customHeight="false" outlineLevel="0" collapsed="false">
      <c r="A100" s="32"/>
      <c r="B100" s="32"/>
      <c r="C100" s="32"/>
      <c r="D100" s="35"/>
      <c r="E100" s="34"/>
      <c r="F100" s="34"/>
      <c r="G100" s="32"/>
      <c r="H100" s="35"/>
      <c r="I100" s="35"/>
      <c r="J100" s="35"/>
      <c r="K100" s="33"/>
    </row>
    <row r="101" customFormat="false" ht="15" hidden="false" customHeight="false" outlineLevel="0" collapsed="false">
      <c r="A101" s="32"/>
      <c r="B101" s="32"/>
      <c r="C101" s="32"/>
      <c r="D101" s="35"/>
      <c r="E101" s="34"/>
      <c r="F101" s="34"/>
      <c r="G101" s="32"/>
      <c r="H101" s="35"/>
      <c r="I101" s="35"/>
      <c r="J101" s="35"/>
      <c r="K101" s="33"/>
    </row>
    <row r="102" customFormat="false" ht="15" hidden="false" customHeight="false" outlineLevel="0" collapsed="false">
      <c r="A102" s="32"/>
      <c r="B102" s="32"/>
      <c r="C102" s="32"/>
      <c r="D102" s="35"/>
      <c r="E102" s="34"/>
      <c r="F102" s="34"/>
      <c r="G102" s="32"/>
      <c r="H102" s="35"/>
      <c r="I102" s="35"/>
      <c r="J102" s="35"/>
      <c r="K102" s="33"/>
    </row>
    <row r="103" customFormat="false" ht="15" hidden="false" customHeight="false" outlineLevel="0" collapsed="false">
      <c r="A103" s="32"/>
      <c r="B103" s="32"/>
      <c r="C103" s="32"/>
      <c r="D103" s="35"/>
      <c r="E103" s="34"/>
      <c r="F103" s="34"/>
      <c r="G103" s="32"/>
      <c r="H103" s="35"/>
      <c r="I103" s="35"/>
      <c r="J103" s="35"/>
      <c r="K103" s="33"/>
    </row>
    <row r="104" customFormat="false" ht="15" hidden="false" customHeight="false" outlineLevel="0" collapsed="false">
      <c r="A104" s="32"/>
      <c r="B104" s="32"/>
      <c r="C104" s="32"/>
      <c r="D104" s="35"/>
      <c r="E104" s="34"/>
      <c r="F104" s="34"/>
      <c r="G104" s="32"/>
      <c r="H104" s="35"/>
      <c r="I104" s="35"/>
      <c r="J104" s="35"/>
      <c r="K104" s="33"/>
    </row>
    <row r="105" customFormat="false" ht="15" hidden="false" customHeight="false" outlineLevel="0" collapsed="false">
      <c r="A105" s="32"/>
      <c r="B105" s="32"/>
      <c r="C105" s="32"/>
      <c r="D105" s="35"/>
      <c r="E105" s="34"/>
      <c r="F105" s="34"/>
      <c r="G105" s="32"/>
      <c r="H105" s="35"/>
      <c r="I105" s="35"/>
      <c r="J105" s="35"/>
      <c r="K105" s="33"/>
    </row>
    <row r="106" customFormat="false" ht="15" hidden="false" customHeight="false" outlineLevel="0" collapsed="false">
      <c r="A106" s="32"/>
      <c r="B106" s="32"/>
      <c r="C106" s="32"/>
      <c r="D106" s="35"/>
      <c r="E106" s="34"/>
      <c r="F106" s="34"/>
      <c r="G106" s="32"/>
      <c r="H106" s="35"/>
      <c r="I106" s="35"/>
      <c r="J106" s="35"/>
      <c r="K106" s="33"/>
    </row>
    <row r="107" customFormat="false" ht="15" hidden="false" customHeight="false" outlineLevel="0" collapsed="false">
      <c r="A107" s="32"/>
      <c r="B107" s="32"/>
      <c r="C107" s="32"/>
      <c r="D107" s="35"/>
      <c r="E107" s="34"/>
      <c r="F107" s="34"/>
      <c r="G107" s="32"/>
      <c r="H107" s="35"/>
      <c r="I107" s="35"/>
      <c r="J107" s="35"/>
      <c r="K107" s="33"/>
    </row>
    <row r="108" customFormat="false" ht="15" hidden="false" customHeight="false" outlineLevel="0" collapsed="false">
      <c r="A108" s="32"/>
      <c r="B108" s="32"/>
      <c r="C108" s="32"/>
      <c r="D108" s="35"/>
      <c r="E108" s="34"/>
      <c r="F108" s="34"/>
      <c r="G108" s="32"/>
      <c r="H108" s="35"/>
      <c r="I108" s="35"/>
      <c r="J108" s="35"/>
      <c r="K108" s="33"/>
    </row>
    <row r="109" customFormat="false" ht="15" hidden="false" customHeight="false" outlineLevel="0" collapsed="false">
      <c r="A109" s="32"/>
      <c r="B109" s="32"/>
      <c r="C109" s="32"/>
      <c r="D109" s="35"/>
      <c r="E109" s="34"/>
      <c r="F109" s="34"/>
      <c r="G109" s="32"/>
      <c r="H109" s="35"/>
      <c r="I109" s="35"/>
      <c r="J109" s="35"/>
      <c r="K109" s="33"/>
    </row>
    <row r="110" customFormat="false" ht="15" hidden="false" customHeight="false" outlineLevel="0" collapsed="false">
      <c r="A110" s="32"/>
      <c r="B110" s="32"/>
      <c r="C110" s="32"/>
      <c r="D110" s="35"/>
      <c r="E110" s="34"/>
      <c r="F110" s="34"/>
      <c r="G110" s="32"/>
      <c r="H110" s="35"/>
      <c r="I110" s="35"/>
      <c r="J110" s="35"/>
      <c r="K110" s="33"/>
    </row>
    <row r="111" customFormat="false" ht="15" hidden="false" customHeight="false" outlineLevel="0" collapsed="false">
      <c r="A111" s="32"/>
      <c r="B111" s="32"/>
      <c r="C111" s="32"/>
      <c r="D111" s="35"/>
      <c r="E111" s="34"/>
      <c r="F111" s="34"/>
      <c r="G111" s="32"/>
      <c r="H111" s="35"/>
      <c r="I111" s="35"/>
      <c r="J111" s="35"/>
      <c r="K111" s="33"/>
    </row>
    <row r="112" customFormat="false" ht="15" hidden="false" customHeight="false" outlineLevel="0" collapsed="false">
      <c r="A112" s="32"/>
      <c r="B112" s="32"/>
      <c r="C112" s="32"/>
      <c r="D112" s="35"/>
      <c r="E112" s="34"/>
      <c r="F112" s="34"/>
      <c r="G112" s="32"/>
      <c r="H112" s="35"/>
      <c r="I112" s="35"/>
      <c r="J112" s="35"/>
      <c r="K112" s="33"/>
    </row>
    <row r="113" customFormat="false" ht="15" hidden="false" customHeight="false" outlineLevel="0" collapsed="false">
      <c r="A113" s="32"/>
      <c r="B113" s="32"/>
      <c r="C113" s="32"/>
      <c r="D113" s="35"/>
      <c r="E113" s="34"/>
      <c r="F113" s="34"/>
      <c r="G113" s="32"/>
      <c r="H113" s="35"/>
      <c r="I113" s="35"/>
      <c r="J113" s="35"/>
      <c r="K113" s="33"/>
    </row>
    <row r="114" customFormat="false" ht="15" hidden="false" customHeight="false" outlineLevel="0" collapsed="false">
      <c r="A114" s="32"/>
      <c r="B114" s="32"/>
      <c r="C114" s="32"/>
      <c r="D114" s="35"/>
      <c r="E114" s="34"/>
      <c r="F114" s="34"/>
      <c r="G114" s="32"/>
      <c r="H114" s="35"/>
      <c r="I114" s="35"/>
      <c r="J114" s="35"/>
      <c r="K114" s="33"/>
    </row>
    <row r="115" customFormat="false" ht="15" hidden="false" customHeight="false" outlineLevel="0" collapsed="false">
      <c r="A115" s="32"/>
      <c r="B115" s="32"/>
      <c r="C115" s="32"/>
      <c r="D115" s="35"/>
      <c r="E115" s="34"/>
      <c r="F115" s="34"/>
      <c r="G115" s="32"/>
      <c r="H115" s="35"/>
      <c r="I115" s="35"/>
      <c r="J115" s="35"/>
      <c r="K115" s="33"/>
    </row>
    <row r="116" customFormat="false" ht="15" hidden="false" customHeight="false" outlineLevel="0" collapsed="false">
      <c r="A116" s="32"/>
      <c r="B116" s="32"/>
      <c r="C116" s="32"/>
      <c r="D116" s="35"/>
      <c r="E116" s="34"/>
      <c r="F116" s="34"/>
      <c r="G116" s="32"/>
      <c r="H116" s="35"/>
      <c r="I116" s="35"/>
      <c r="J116" s="35"/>
      <c r="K116" s="33"/>
    </row>
    <row r="117" customFormat="false" ht="15" hidden="false" customHeight="false" outlineLevel="0" collapsed="false">
      <c r="A117" s="32"/>
      <c r="B117" s="32"/>
      <c r="C117" s="32"/>
      <c r="D117" s="35"/>
      <c r="E117" s="34"/>
      <c r="F117" s="34"/>
      <c r="G117" s="32"/>
      <c r="H117" s="35"/>
      <c r="I117" s="35"/>
      <c r="J117" s="35"/>
      <c r="K117" s="33"/>
    </row>
    <row r="118" customFormat="false" ht="15" hidden="false" customHeight="false" outlineLevel="0" collapsed="false">
      <c r="A118" s="32"/>
      <c r="B118" s="32"/>
      <c r="C118" s="32"/>
      <c r="D118" s="35"/>
      <c r="E118" s="34"/>
      <c r="F118" s="34"/>
      <c r="G118" s="32"/>
      <c r="H118" s="35"/>
      <c r="I118" s="35"/>
      <c r="J118" s="35"/>
      <c r="K118" s="33"/>
    </row>
    <row r="119" customFormat="false" ht="15" hidden="false" customHeight="false" outlineLevel="0" collapsed="false">
      <c r="A119" s="32"/>
      <c r="B119" s="32"/>
      <c r="C119" s="32"/>
      <c r="D119" s="35"/>
      <c r="E119" s="34"/>
      <c r="F119" s="34"/>
      <c r="G119" s="32"/>
      <c r="H119" s="35"/>
      <c r="I119" s="35"/>
      <c r="J119" s="35"/>
      <c r="K119" s="33"/>
    </row>
    <row r="120" customFormat="false" ht="15" hidden="false" customHeight="false" outlineLevel="0" collapsed="false">
      <c r="A120" s="32"/>
      <c r="B120" s="32"/>
      <c r="C120" s="32"/>
      <c r="D120" s="35"/>
      <c r="E120" s="34"/>
      <c r="F120" s="34"/>
      <c r="G120" s="32"/>
      <c r="H120" s="35"/>
      <c r="I120" s="35"/>
      <c r="J120" s="35"/>
      <c r="K120" s="33"/>
    </row>
    <row r="121" customFormat="false" ht="15" hidden="false" customHeight="false" outlineLevel="0" collapsed="false">
      <c r="A121" s="32"/>
      <c r="B121" s="32"/>
      <c r="C121" s="32"/>
      <c r="D121" s="35"/>
      <c r="E121" s="34"/>
      <c r="F121" s="34"/>
      <c r="G121" s="32"/>
      <c r="H121" s="35"/>
      <c r="I121" s="35"/>
      <c r="J121" s="35"/>
      <c r="K121" s="33"/>
    </row>
    <row r="122" customFormat="false" ht="15" hidden="false" customHeight="false" outlineLevel="0" collapsed="false">
      <c r="A122" s="32"/>
      <c r="B122" s="32"/>
      <c r="C122" s="32"/>
      <c r="D122" s="35"/>
      <c r="E122" s="34"/>
      <c r="F122" s="34"/>
      <c r="G122" s="32"/>
      <c r="H122" s="35"/>
      <c r="I122" s="35"/>
      <c r="J122" s="35"/>
      <c r="K122" s="33"/>
    </row>
    <row r="123" customFormat="false" ht="15" hidden="false" customHeight="false" outlineLevel="0" collapsed="false">
      <c r="A123" s="32"/>
      <c r="B123" s="32"/>
      <c r="C123" s="32"/>
      <c r="D123" s="35"/>
      <c r="E123" s="34"/>
      <c r="F123" s="34"/>
      <c r="G123" s="32"/>
      <c r="H123" s="35"/>
      <c r="I123" s="35"/>
      <c r="J123" s="35"/>
      <c r="K123" s="33"/>
    </row>
    <row r="124" customFormat="false" ht="15" hidden="false" customHeight="false" outlineLevel="0" collapsed="false">
      <c r="A124" s="32"/>
      <c r="B124" s="32"/>
      <c r="C124" s="32"/>
      <c r="D124" s="35"/>
      <c r="E124" s="34"/>
      <c r="F124" s="34"/>
      <c r="G124" s="32"/>
      <c r="H124" s="35"/>
      <c r="I124" s="35"/>
      <c r="J124" s="35"/>
      <c r="K124" s="33"/>
    </row>
    <row r="125" customFormat="false" ht="15" hidden="false" customHeight="false" outlineLevel="0" collapsed="false">
      <c r="A125" s="32"/>
      <c r="B125" s="32"/>
      <c r="C125" s="32"/>
      <c r="D125" s="35"/>
      <c r="E125" s="34"/>
      <c r="F125" s="34"/>
      <c r="G125" s="32"/>
      <c r="H125" s="35"/>
      <c r="I125" s="35"/>
      <c r="J125" s="35"/>
      <c r="K125" s="33"/>
    </row>
    <row r="126" customFormat="false" ht="15" hidden="false" customHeight="false" outlineLevel="0" collapsed="false">
      <c r="A126" s="32"/>
      <c r="B126" s="32"/>
      <c r="C126" s="32"/>
      <c r="D126" s="35"/>
      <c r="E126" s="34"/>
      <c r="F126" s="34"/>
      <c r="G126" s="32"/>
      <c r="H126" s="35"/>
      <c r="I126" s="35"/>
      <c r="J126" s="35"/>
      <c r="K126" s="33"/>
    </row>
    <row r="127" customFormat="false" ht="15" hidden="false" customHeight="false" outlineLevel="0" collapsed="false">
      <c r="A127" s="32"/>
      <c r="B127" s="32"/>
      <c r="C127" s="32"/>
      <c r="D127" s="35"/>
      <c r="E127" s="34"/>
      <c r="F127" s="34"/>
      <c r="G127" s="32"/>
      <c r="H127" s="35"/>
      <c r="I127" s="35"/>
      <c r="J127" s="35"/>
      <c r="K127" s="33"/>
    </row>
    <row r="128" customFormat="false" ht="15" hidden="false" customHeight="false" outlineLevel="0" collapsed="false">
      <c r="A128" s="32"/>
      <c r="B128" s="32"/>
      <c r="C128" s="32"/>
      <c r="D128" s="35"/>
      <c r="E128" s="34"/>
      <c r="F128" s="34"/>
      <c r="G128" s="32"/>
      <c r="H128" s="35"/>
      <c r="I128" s="35"/>
      <c r="J128" s="35"/>
      <c r="K128" s="33"/>
    </row>
    <row r="129" customFormat="false" ht="15" hidden="false" customHeight="false" outlineLevel="0" collapsed="false">
      <c r="A129" s="32"/>
      <c r="B129" s="32"/>
      <c r="C129" s="32"/>
      <c r="D129" s="35"/>
      <c r="E129" s="34"/>
      <c r="F129" s="34"/>
      <c r="G129" s="32"/>
      <c r="H129" s="35"/>
      <c r="I129" s="35"/>
      <c r="J129" s="35"/>
      <c r="K129" s="33"/>
    </row>
    <row r="130" customFormat="false" ht="15" hidden="false" customHeight="false" outlineLevel="0" collapsed="false">
      <c r="A130" s="32"/>
      <c r="B130" s="32"/>
      <c r="C130" s="32"/>
      <c r="D130" s="35"/>
      <c r="E130" s="34"/>
      <c r="F130" s="34"/>
      <c r="G130" s="32"/>
      <c r="H130" s="35"/>
      <c r="I130" s="35"/>
      <c r="J130" s="35"/>
      <c r="K130" s="33"/>
    </row>
    <row r="131" customFormat="false" ht="15" hidden="false" customHeight="false" outlineLevel="0" collapsed="false">
      <c r="A131" s="32"/>
      <c r="B131" s="32"/>
      <c r="C131" s="32"/>
      <c r="D131" s="35"/>
      <c r="E131" s="34"/>
      <c r="F131" s="34"/>
      <c r="G131" s="32"/>
      <c r="H131" s="35"/>
      <c r="I131" s="35"/>
      <c r="J131" s="35"/>
      <c r="K131" s="33"/>
    </row>
    <row r="132" customFormat="false" ht="15" hidden="false" customHeight="false" outlineLevel="0" collapsed="false">
      <c r="A132" s="32"/>
      <c r="B132" s="32"/>
      <c r="C132" s="32"/>
      <c r="D132" s="35"/>
      <c r="E132" s="34"/>
      <c r="F132" s="34"/>
      <c r="G132" s="32"/>
      <c r="H132" s="35"/>
      <c r="I132" s="35"/>
      <c r="J132" s="35"/>
      <c r="K132" s="33"/>
    </row>
    <row r="133" customFormat="false" ht="15" hidden="false" customHeight="false" outlineLevel="0" collapsed="false">
      <c r="A133" s="32"/>
      <c r="B133" s="32"/>
      <c r="C133" s="32"/>
      <c r="D133" s="35"/>
      <c r="E133" s="34"/>
      <c r="F133" s="34"/>
      <c r="G133" s="32"/>
      <c r="H133" s="35"/>
      <c r="I133" s="35"/>
      <c r="J133" s="35"/>
      <c r="K133" s="33"/>
    </row>
    <row r="134" customFormat="false" ht="15" hidden="false" customHeight="false" outlineLevel="0" collapsed="false">
      <c r="A134" s="32"/>
      <c r="B134" s="32"/>
      <c r="C134" s="32"/>
      <c r="D134" s="35"/>
      <c r="E134" s="34"/>
      <c r="F134" s="34"/>
      <c r="G134" s="32"/>
      <c r="H134" s="35"/>
      <c r="I134" s="35"/>
      <c r="J134" s="35"/>
      <c r="K134" s="33"/>
    </row>
    <row r="135" customFormat="false" ht="15" hidden="false" customHeight="false" outlineLevel="0" collapsed="false">
      <c r="A135" s="32"/>
      <c r="B135" s="32"/>
      <c r="C135" s="32"/>
      <c r="D135" s="35"/>
      <c r="E135" s="34"/>
      <c r="F135" s="34"/>
      <c r="G135" s="32"/>
      <c r="H135" s="35"/>
      <c r="I135" s="35"/>
      <c r="J135" s="35"/>
      <c r="K135" s="33"/>
    </row>
    <row r="136" customFormat="false" ht="15" hidden="false" customHeight="false" outlineLevel="0" collapsed="false">
      <c r="A136" s="32"/>
      <c r="B136" s="32"/>
      <c r="C136" s="32"/>
      <c r="D136" s="35"/>
      <c r="E136" s="34"/>
      <c r="F136" s="34"/>
      <c r="G136" s="32"/>
      <c r="H136" s="35"/>
      <c r="I136" s="35"/>
      <c r="J136" s="35"/>
      <c r="K136" s="33"/>
    </row>
    <row r="137" customFormat="false" ht="15" hidden="false" customHeight="false" outlineLevel="0" collapsed="false">
      <c r="A137" s="32"/>
      <c r="B137" s="32"/>
      <c r="C137" s="32"/>
      <c r="D137" s="35"/>
      <c r="E137" s="34"/>
      <c r="F137" s="34"/>
      <c r="G137" s="32"/>
      <c r="H137" s="35"/>
      <c r="I137" s="35"/>
      <c r="J137" s="35"/>
      <c r="K137" s="33"/>
    </row>
    <row r="138" customFormat="false" ht="15" hidden="false" customHeight="false" outlineLevel="0" collapsed="false">
      <c r="A138" s="32"/>
      <c r="B138" s="32"/>
      <c r="C138" s="32"/>
      <c r="D138" s="35"/>
      <c r="E138" s="34"/>
      <c r="F138" s="34"/>
      <c r="G138" s="32"/>
      <c r="H138" s="35"/>
      <c r="I138" s="35"/>
      <c r="J138" s="35"/>
      <c r="K138" s="33"/>
    </row>
    <row r="139" customFormat="false" ht="15" hidden="false" customHeight="false" outlineLevel="0" collapsed="false">
      <c r="A139" s="32"/>
      <c r="B139" s="32"/>
      <c r="C139" s="32"/>
      <c r="D139" s="35"/>
      <c r="E139" s="34"/>
      <c r="F139" s="34"/>
      <c r="G139" s="32"/>
      <c r="H139" s="35"/>
      <c r="I139" s="35"/>
      <c r="J139" s="35"/>
      <c r="K139" s="33"/>
    </row>
    <row r="140" customFormat="false" ht="15" hidden="false" customHeight="false" outlineLevel="0" collapsed="false">
      <c r="A140" s="32"/>
      <c r="B140" s="32"/>
      <c r="C140" s="32"/>
      <c r="D140" s="35"/>
      <c r="E140" s="34"/>
      <c r="F140" s="34"/>
      <c r="G140" s="32"/>
      <c r="H140" s="35"/>
      <c r="I140" s="35"/>
      <c r="J140" s="35"/>
      <c r="K140" s="33"/>
    </row>
    <row r="141" customFormat="false" ht="15" hidden="false" customHeight="false" outlineLevel="0" collapsed="false">
      <c r="A141" s="32"/>
      <c r="B141" s="32"/>
      <c r="C141" s="32"/>
      <c r="D141" s="35"/>
      <c r="E141" s="34"/>
      <c r="F141" s="34"/>
      <c r="G141" s="32"/>
      <c r="H141" s="35"/>
      <c r="I141" s="35"/>
      <c r="J141" s="35"/>
      <c r="K141" s="33"/>
    </row>
    <row r="142" customFormat="false" ht="15" hidden="false" customHeight="false" outlineLevel="0" collapsed="false">
      <c r="A142" s="32"/>
      <c r="B142" s="32"/>
      <c r="C142" s="32"/>
      <c r="D142" s="35"/>
      <c r="E142" s="34"/>
      <c r="F142" s="34"/>
      <c r="G142" s="32"/>
      <c r="H142" s="35"/>
      <c r="I142" s="35"/>
      <c r="J142" s="35"/>
      <c r="K142" s="33"/>
    </row>
    <row r="143" customFormat="false" ht="15" hidden="false" customHeight="false" outlineLevel="0" collapsed="false">
      <c r="A143" s="32"/>
      <c r="B143" s="32"/>
      <c r="C143" s="32"/>
      <c r="D143" s="35"/>
      <c r="E143" s="34"/>
      <c r="F143" s="34"/>
      <c r="G143" s="32"/>
      <c r="H143" s="35"/>
      <c r="I143" s="35"/>
      <c r="J143" s="35"/>
      <c r="K143" s="33"/>
    </row>
    <row r="144" customFormat="false" ht="15" hidden="false" customHeight="false" outlineLevel="0" collapsed="false">
      <c r="A144" s="32"/>
      <c r="B144" s="32"/>
      <c r="C144" s="32"/>
      <c r="D144" s="35"/>
      <c r="E144" s="34"/>
      <c r="F144" s="34"/>
      <c r="G144" s="32"/>
      <c r="H144" s="35"/>
      <c r="I144" s="35"/>
      <c r="J144" s="35"/>
      <c r="K144" s="33"/>
    </row>
    <row r="145" customFormat="false" ht="15" hidden="false" customHeight="false" outlineLevel="0" collapsed="false">
      <c r="A145" s="32"/>
      <c r="B145" s="32"/>
      <c r="C145" s="32"/>
      <c r="D145" s="35"/>
      <c r="E145" s="34"/>
      <c r="F145" s="34"/>
      <c r="G145" s="32"/>
      <c r="H145" s="35"/>
      <c r="I145" s="35"/>
      <c r="J145" s="35"/>
      <c r="K145" s="33"/>
    </row>
    <row r="146" customFormat="false" ht="15" hidden="false" customHeight="false" outlineLevel="0" collapsed="false">
      <c r="A146" s="32"/>
      <c r="B146" s="32"/>
      <c r="C146" s="32"/>
      <c r="D146" s="35"/>
      <c r="E146" s="34"/>
      <c r="F146" s="34"/>
      <c r="G146" s="32"/>
      <c r="H146" s="35"/>
      <c r="I146" s="35"/>
      <c r="J146" s="35"/>
      <c r="K146" s="33"/>
    </row>
    <row r="147" customFormat="false" ht="15" hidden="false" customHeight="false" outlineLevel="0" collapsed="false">
      <c r="A147" s="32"/>
      <c r="B147" s="32"/>
      <c r="C147" s="32"/>
      <c r="D147" s="35"/>
      <c r="E147" s="34"/>
      <c r="F147" s="34"/>
      <c r="G147" s="32"/>
      <c r="H147" s="35"/>
      <c r="I147" s="35"/>
      <c r="J147" s="35"/>
      <c r="K147" s="33"/>
    </row>
    <row r="148" customFormat="false" ht="15" hidden="false" customHeight="false" outlineLevel="0" collapsed="false">
      <c r="A148" s="32"/>
      <c r="B148" s="32"/>
      <c r="C148" s="32"/>
      <c r="D148" s="35"/>
      <c r="E148" s="34"/>
      <c r="F148" s="34"/>
      <c r="G148" s="32"/>
      <c r="H148" s="35"/>
      <c r="I148" s="35"/>
      <c r="J148" s="35"/>
      <c r="K148" s="33"/>
    </row>
    <row r="149" customFormat="false" ht="15" hidden="false" customHeight="false" outlineLevel="0" collapsed="false">
      <c r="A149" s="32"/>
      <c r="B149" s="32"/>
      <c r="C149" s="32"/>
      <c r="D149" s="35"/>
      <c r="E149" s="34"/>
      <c r="F149" s="34"/>
      <c r="G149" s="32"/>
      <c r="H149" s="35"/>
      <c r="I149" s="35"/>
      <c r="J149" s="35"/>
      <c r="K149" s="33"/>
    </row>
    <row r="150" customFormat="false" ht="15" hidden="false" customHeight="false" outlineLevel="0" collapsed="false">
      <c r="A150" s="32"/>
      <c r="B150" s="32"/>
      <c r="C150" s="32"/>
      <c r="D150" s="35"/>
      <c r="E150" s="34"/>
      <c r="F150" s="34"/>
      <c r="G150" s="32"/>
      <c r="H150" s="35"/>
      <c r="I150" s="35"/>
      <c r="J150" s="35"/>
      <c r="K150" s="33"/>
    </row>
    <row r="151" customFormat="false" ht="15" hidden="false" customHeight="false" outlineLevel="0" collapsed="false">
      <c r="A151" s="32"/>
      <c r="B151" s="32"/>
      <c r="C151" s="32"/>
      <c r="D151" s="35"/>
      <c r="E151" s="34"/>
      <c r="F151" s="34"/>
      <c r="G151" s="32"/>
      <c r="H151" s="35"/>
      <c r="I151" s="35"/>
      <c r="J151" s="35"/>
      <c r="K151" s="33"/>
    </row>
    <row r="152" customFormat="false" ht="15" hidden="false" customHeight="false" outlineLevel="0" collapsed="false">
      <c r="A152" s="32"/>
      <c r="B152" s="32"/>
      <c r="C152" s="32"/>
      <c r="D152" s="35"/>
      <c r="E152" s="34"/>
      <c r="F152" s="34"/>
      <c r="G152" s="32"/>
      <c r="H152" s="35"/>
      <c r="I152" s="35"/>
      <c r="J152" s="35"/>
      <c r="K152" s="33"/>
    </row>
    <row r="153" customFormat="false" ht="15" hidden="false" customHeight="false" outlineLevel="0" collapsed="false">
      <c r="A153" s="32"/>
      <c r="B153" s="32"/>
      <c r="C153" s="32"/>
      <c r="D153" s="35"/>
      <c r="E153" s="34"/>
      <c r="F153" s="34"/>
      <c r="G153" s="32"/>
      <c r="H153" s="35"/>
      <c r="I153" s="35"/>
      <c r="J153" s="35"/>
      <c r="K153" s="33"/>
    </row>
    <row r="154" customFormat="false" ht="15" hidden="false" customHeight="false" outlineLevel="0" collapsed="false">
      <c r="A154" s="32"/>
      <c r="B154" s="32"/>
      <c r="C154" s="32"/>
      <c r="D154" s="35"/>
      <c r="E154" s="34"/>
      <c r="F154" s="34"/>
      <c r="G154" s="32"/>
      <c r="H154" s="35"/>
      <c r="I154" s="35"/>
      <c r="J154" s="35"/>
      <c r="K154" s="33"/>
    </row>
    <row r="155" customFormat="false" ht="15" hidden="false" customHeight="false" outlineLevel="0" collapsed="false">
      <c r="A155" s="32"/>
      <c r="B155" s="32"/>
      <c r="C155" s="32"/>
      <c r="D155" s="35"/>
      <c r="E155" s="34"/>
      <c r="F155" s="34"/>
      <c r="G155" s="32"/>
      <c r="H155" s="35"/>
      <c r="I155" s="35"/>
      <c r="J155" s="35"/>
      <c r="K155" s="33"/>
    </row>
    <row r="156" customFormat="false" ht="15" hidden="false" customHeight="false" outlineLevel="0" collapsed="false">
      <c r="A156" s="32"/>
      <c r="B156" s="32"/>
      <c r="C156" s="32"/>
      <c r="D156" s="35"/>
      <c r="E156" s="34"/>
      <c r="F156" s="34"/>
      <c r="G156" s="32"/>
      <c r="H156" s="35"/>
      <c r="I156" s="35"/>
      <c r="J156" s="35"/>
      <c r="K156" s="33"/>
    </row>
    <row r="157" customFormat="false" ht="15" hidden="false" customHeight="false" outlineLevel="0" collapsed="false">
      <c r="A157" s="32"/>
      <c r="B157" s="32"/>
      <c r="C157" s="32"/>
      <c r="D157" s="35"/>
      <c r="E157" s="34"/>
      <c r="F157" s="34"/>
      <c r="G157" s="32"/>
      <c r="H157" s="35"/>
      <c r="I157" s="35"/>
      <c r="J157" s="35"/>
      <c r="K157" s="33"/>
    </row>
    <row r="158" customFormat="false" ht="15" hidden="false" customHeight="false" outlineLevel="0" collapsed="false">
      <c r="A158" s="32"/>
      <c r="B158" s="32"/>
      <c r="C158" s="32"/>
      <c r="D158" s="35"/>
      <c r="E158" s="34"/>
      <c r="F158" s="34"/>
      <c r="G158" s="32"/>
      <c r="H158" s="35"/>
      <c r="I158" s="35"/>
      <c r="J158" s="35"/>
      <c r="K158" s="33"/>
    </row>
    <row r="159" customFormat="false" ht="15" hidden="false" customHeight="false" outlineLevel="0" collapsed="false">
      <c r="A159" s="32"/>
      <c r="B159" s="32"/>
      <c r="C159" s="32"/>
      <c r="D159" s="35"/>
      <c r="E159" s="34"/>
      <c r="F159" s="34"/>
      <c r="G159" s="32"/>
      <c r="H159" s="35"/>
      <c r="I159" s="35"/>
      <c r="J159" s="35"/>
      <c r="K159" s="33"/>
    </row>
    <row r="160" customFormat="false" ht="15" hidden="false" customHeight="false" outlineLevel="0" collapsed="false">
      <c r="A160" s="32"/>
      <c r="B160" s="32"/>
      <c r="C160" s="32"/>
      <c r="D160" s="35"/>
      <c r="E160" s="34"/>
      <c r="F160" s="34"/>
      <c r="G160" s="32"/>
      <c r="H160" s="35"/>
      <c r="I160" s="35"/>
      <c r="J160" s="35"/>
      <c r="K160" s="33"/>
    </row>
    <row r="161" customFormat="false" ht="15" hidden="false" customHeight="false" outlineLevel="0" collapsed="false">
      <c r="A161" s="32"/>
      <c r="B161" s="32"/>
      <c r="C161" s="32"/>
      <c r="D161" s="35"/>
      <c r="E161" s="34"/>
      <c r="F161" s="34"/>
      <c r="G161" s="32"/>
      <c r="H161" s="35"/>
      <c r="I161" s="35"/>
      <c r="J161" s="35"/>
      <c r="K161" s="33"/>
    </row>
    <row r="162" customFormat="false" ht="15" hidden="false" customHeight="false" outlineLevel="0" collapsed="false">
      <c r="A162" s="32"/>
      <c r="B162" s="32"/>
      <c r="C162" s="32"/>
      <c r="D162" s="35"/>
      <c r="E162" s="34"/>
      <c r="F162" s="34"/>
      <c r="G162" s="32"/>
      <c r="H162" s="35"/>
      <c r="I162" s="35"/>
      <c r="J162" s="35"/>
      <c r="K162" s="33"/>
    </row>
    <row r="163" customFormat="false" ht="15" hidden="false" customHeight="false" outlineLevel="0" collapsed="false">
      <c r="A163" s="32"/>
      <c r="B163" s="32"/>
      <c r="C163" s="32"/>
      <c r="D163" s="35"/>
      <c r="E163" s="34"/>
      <c r="F163" s="34"/>
      <c r="G163" s="32"/>
      <c r="H163" s="35"/>
      <c r="I163" s="35"/>
      <c r="J163" s="35"/>
      <c r="K163" s="33"/>
    </row>
    <row r="164" customFormat="false" ht="15" hidden="false" customHeight="false" outlineLevel="0" collapsed="false">
      <c r="A164" s="32"/>
      <c r="B164" s="32"/>
      <c r="C164" s="32"/>
      <c r="D164" s="35"/>
      <c r="E164" s="34"/>
      <c r="F164" s="34"/>
      <c r="G164" s="32"/>
      <c r="H164" s="35"/>
      <c r="I164" s="35"/>
      <c r="J164" s="35"/>
      <c r="K164" s="33"/>
    </row>
    <row r="165" customFormat="false" ht="15" hidden="false" customHeight="false" outlineLevel="0" collapsed="false">
      <c r="A165" s="32"/>
      <c r="B165" s="32"/>
      <c r="C165" s="32"/>
      <c r="D165" s="35"/>
      <c r="E165" s="34"/>
      <c r="F165" s="34"/>
      <c r="G165" s="32"/>
      <c r="H165" s="35"/>
      <c r="I165" s="35"/>
      <c r="J165" s="35"/>
      <c r="K165" s="33"/>
    </row>
    <row r="166" customFormat="false" ht="15" hidden="false" customHeight="false" outlineLevel="0" collapsed="false">
      <c r="A166" s="32"/>
      <c r="B166" s="32"/>
      <c r="C166" s="32"/>
      <c r="D166" s="35"/>
      <c r="E166" s="34"/>
      <c r="F166" s="34"/>
      <c r="G166" s="32"/>
      <c r="H166" s="35"/>
      <c r="I166" s="35"/>
      <c r="J166" s="35"/>
      <c r="K166" s="33"/>
    </row>
    <row r="167" customFormat="false" ht="15" hidden="false" customHeight="false" outlineLevel="0" collapsed="false">
      <c r="A167" s="32"/>
      <c r="B167" s="32"/>
      <c r="C167" s="32"/>
      <c r="D167" s="35"/>
      <c r="E167" s="34"/>
      <c r="F167" s="34"/>
      <c r="G167" s="32"/>
      <c r="H167" s="35"/>
      <c r="I167" s="35"/>
      <c r="J167" s="35"/>
      <c r="K167" s="33"/>
    </row>
    <row r="168" customFormat="false" ht="15" hidden="false" customHeight="false" outlineLevel="0" collapsed="false">
      <c r="A168" s="32"/>
      <c r="B168" s="32"/>
      <c r="C168" s="32"/>
      <c r="D168" s="35"/>
      <c r="E168" s="34"/>
      <c r="F168" s="34"/>
      <c r="G168" s="32"/>
      <c r="H168" s="35"/>
      <c r="I168" s="35"/>
      <c r="J168" s="35"/>
      <c r="K168" s="33"/>
    </row>
    <row r="169" customFormat="false" ht="15" hidden="false" customHeight="false" outlineLevel="0" collapsed="false">
      <c r="A169" s="32"/>
      <c r="B169" s="32"/>
      <c r="C169" s="32"/>
      <c r="D169" s="35"/>
      <c r="E169" s="34"/>
      <c r="F169" s="34"/>
      <c r="G169" s="32"/>
      <c r="H169" s="35"/>
      <c r="I169" s="35"/>
      <c r="J169" s="35"/>
      <c r="K169" s="33"/>
    </row>
    <row r="170" customFormat="false" ht="15" hidden="false" customHeight="false" outlineLevel="0" collapsed="false">
      <c r="A170" s="32"/>
      <c r="B170" s="32"/>
      <c r="C170" s="32"/>
      <c r="D170" s="35"/>
      <c r="E170" s="34"/>
      <c r="F170" s="34"/>
      <c r="G170" s="32"/>
      <c r="H170" s="35"/>
      <c r="I170" s="35"/>
      <c r="J170" s="35"/>
      <c r="K170" s="33"/>
    </row>
    <row r="171" customFormat="false" ht="15" hidden="false" customHeight="false" outlineLevel="0" collapsed="false">
      <c r="A171" s="32"/>
      <c r="B171" s="32"/>
      <c r="C171" s="32"/>
      <c r="D171" s="35"/>
      <c r="E171" s="34"/>
      <c r="F171" s="34"/>
      <c r="G171" s="32"/>
      <c r="H171" s="35"/>
      <c r="I171" s="35"/>
      <c r="J171" s="35"/>
      <c r="K171" s="33"/>
    </row>
    <row r="172" customFormat="false" ht="15" hidden="false" customHeight="false" outlineLevel="0" collapsed="false">
      <c r="A172" s="32"/>
      <c r="B172" s="32"/>
      <c r="C172" s="32"/>
      <c r="D172" s="35"/>
      <c r="E172" s="34"/>
      <c r="F172" s="34"/>
      <c r="G172" s="32"/>
      <c r="H172" s="35"/>
      <c r="I172" s="35"/>
      <c r="J172" s="35"/>
      <c r="K172" s="33"/>
    </row>
    <row r="173" customFormat="false" ht="15" hidden="false" customHeight="false" outlineLevel="0" collapsed="false">
      <c r="A173" s="32"/>
      <c r="B173" s="32"/>
      <c r="C173" s="32"/>
      <c r="D173" s="35"/>
      <c r="E173" s="34"/>
      <c r="F173" s="34"/>
      <c r="G173" s="32"/>
      <c r="H173" s="35"/>
      <c r="I173" s="35"/>
      <c r="J173" s="35"/>
      <c r="K173" s="33"/>
    </row>
    <row r="174" customFormat="false" ht="15" hidden="false" customHeight="false" outlineLevel="0" collapsed="false">
      <c r="A174" s="32"/>
      <c r="B174" s="32"/>
      <c r="C174" s="32"/>
      <c r="D174" s="35"/>
      <c r="E174" s="34"/>
      <c r="F174" s="34"/>
      <c r="G174" s="32"/>
      <c r="H174" s="35"/>
      <c r="I174" s="35"/>
      <c r="J174" s="35"/>
      <c r="K174" s="33"/>
    </row>
    <row r="175" customFormat="false" ht="15" hidden="false" customHeight="false" outlineLevel="0" collapsed="false">
      <c r="A175" s="32"/>
      <c r="B175" s="32"/>
      <c r="C175" s="32"/>
      <c r="D175" s="35"/>
      <c r="E175" s="34"/>
      <c r="F175" s="34"/>
      <c r="G175" s="32"/>
      <c r="H175" s="35"/>
      <c r="I175" s="35"/>
      <c r="J175" s="35"/>
      <c r="K175" s="33"/>
    </row>
    <row r="176" customFormat="false" ht="15" hidden="false" customHeight="false" outlineLevel="0" collapsed="false">
      <c r="A176" s="32"/>
      <c r="B176" s="32"/>
      <c r="C176" s="32"/>
      <c r="D176" s="35"/>
      <c r="E176" s="34"/>
      <c r="F176" s="34"/>
      <c r="G176" s="32"/>
      <c r="H176" s="35"/>
      <c r="I176" s="35"/>
      <c r="J176" s="35"/>
      <c r="K176" s="33"/>
    </row>
    <row r="177" customFormat="false" ht="15" hidden="false" customHeight="false" outlineLevel="0" collapsed="false">
      <c r="A177" s="32"/>
      <c r="B177" s="32"/>
      <c r="C177" s="32"/>
      <c r="D177" s="35"/>
      <c r="E177" s="34"/>
      <c r="F177" s="34"/>
      <c r="G177" s="32"/>
      <c r="H177" s="35"/>
      <c r="I177" s="35"/>
      <c r="J177" s="35"/>
      <c r="K177" s="33"/>
    </row>
    <row r="178" customFormat="false" ht="15" hidden="false" customHeight="false" outlineLevel="0" collapsed="false">
      <c r="A178" s="32"/>
      <c r="B178" s="32"/>
      <c r="C178" s="32"/>
      <c r="D178" s="35"/>
      <c r="E178" s="34"/>
      <c r="F178" s="34"/>
      <c r="G178" s="32"/>
      <c r="H178" s="35"/>
      <c r="I178" s="35"/>
      <c r="J178" s="35"/>
      <c r="K178" s="33"/>
    </row>
    <row r="179" customFormat="false" ht="15" hidden="false" customHeight="false" outlineLevel="0" collapsed="false">
      <c r="A179" s="32"/>
      <c r="B179" s="32"/>
      <c r="C179" s="32"/>
      <c r="D179" s="35"/>
      <c r="E179" s="34"/>
      <c r="F179" s="34"/>
      <c r="G179" s="32"/>
      <c r="H179" s="35"/>
      <c r="I179" s="35"/>
      <c r="J179" s="35"/>
      <c r="K179" s="33"/>
    </row>
    <row r="180" customFormat="false" ht="15" hidden="false" customHeight="false" outlineLevel="0" collapsed="false">
      <c r="A180" s="32"/>
      <c r="B180" s="32"/>
      <c r="C180" s="32"/>
      <c r="D180" s="35"/>
      <c r="E180" s="34"/>
      <c r="F180" s="34"/>
      <c r="G180" s="32"/>
      <c r="H180" s="35"/>
      <c r="I180" s="35"/>
      <c r="J180" s="35"/>
      <c r="K180" s="33"/>
    </row>
    <row r="181" customFormat="false" ht="15" hidden="false" customHeight="false" outlineLevel="0" collapsed="false">
      <c r="A181" s="32"/>
      <c r="B181" s="32"/>
      <c r="C181" s="32"/>
      <c r="D181" s="35"/>
      <c r="E181" s="34"/>
      <c r="F181" s="34"/>
      <c r="G181" s="32"/>
      <c r="H181" s="35"/>
      <c r="I181" s="35"/>
      <c r="J181" s="35"/>
      <c r="K181" s="33"/>
    </row>
    <row r="182" customFormat="false" ht="15" hidden="false" customHeight="false" outlineLevel="0" collapsed="false">
      <c r="A182" s="32"/>
      <c r="B182" s="32"/>
      <c r="C182" s="32"/>
      <c r="D182" s="35"/>
      <c r="E182" s="34"/>
      <c r="F182" s="34"/>
      <c r="G182" s="32"/>
      <c r="H182" s="35"/>
      <c r="I182" s="35"/>
      <c r="J182" s="35"/>
      <c r="K182" s="33"/>
    </row>
    <row r="183" customFormat="false" ht="15" hidden="false" customHeight="false" outlineLevel="0" collapsed="false">
      <c r="A183" s="32"/>
      <c r="B183" s="32"/>
      <c r="C183" s="32"/>
      <c r="D183" s="35"/>
      <c r="E183" s="34"/>
      <c r="F183" s="34"/>
      <c r="G183" s="32"/>
      <c r="H183" s="35"/>
      <c r="I183" s="35"/>
      <c r="J183" s="35"/>
      <c r="K183" s="33"/>
    </row>
    <row r="184" customFormat="false" ht="15" hidden="false" customHeight="false" outlineLevel="0" collapsed="false">
      <c r="A184" s="32"/>
      <c r="B184" s="32"/>
      <c r="C184" s="32"/>
      <c r="D184" s="35"/>
      <c r="E184" s="34"/>
      <c r="F184" s="34"/>
      <c r="G184" s="32"/>
      <c r="H184" s="35"/>
      <c r="I184" s="35"/>
      <c r="J184" s="35"/>
      <c r="K184" s="33"/>
    </row>
    <row r="185" customFormat="false" ht="15" hidden="false" customHeight="false" outlineLevel="0" collapsed="false">
      <c r="A185" s="32"/>
      <c r="B185" s="32"/>
      <c r="C185" s="32"/>
      <c r="D185" s="35"/>
      <c r="E185" s="34"/>
      <c r="F185" s="34"/>
      <c r="G185" s="32"/>
      <c r="H185" s="35"/>
      <c r="I185" s="35"/>
      <c r="J185" s="35"/>
      <c r="K185" s="33"/>
    </row>
    <row r="186" customFormat="false" ht="15" hidden="false" customHeight="false" outlineLevel="0" collapsed="false">
      <c r="A186" s="32"/>
      <c r="B186" s="32"/>
      <c r="C186" s="32"/>
      <c r="D186" s="35"/>
      <c r="E186" s="34"/>
      <c r="F186" s="34"/>
      <c r="G186" s="32"/>
      <c r="H186" s="35"/>
      <c r="I186" s="35"/>
      <c r="J186" s="35"/>
      <c r="K186" s="33"/>
    </row>
    <row r="187" customFormat="false" ht="15" hidden="false" customHeight="false" outlineLevel="0" collapsed="false">
      <c r="A187" s="32"/>
      <c r="B187" s="32"/>
      <c r="C187" s="32"/>
      <c r="D187" s="35"/>
      <c r="E187" s="34"/>
      <c r="F187" s="34"/>
      <c r="G187" s="32"/>
      <c r="H187" s="35"/>
      <c r="I187" s="35"/>
      <c r="J187" s="35"/>
      <c r="K187" s="33"/>
    </row>
    <row r="188" customFormat="false" ht="15" hidden="false" customHeight="false" outlineLevel="0" collapsed="false">
      <c r="A188" s="32"/>
      <c r="B188" s="32"/>
      <c r="C188" s="32"/>
      <c r="D188" s="35"/>
      <c r="E188" s="34"/>
      <c r="F188" s="34"/>
      <c r="G188" s="32"/>
      <c r="H188" s="35"/>
      <c r="I188" s="35"/>
      <c r="J188" s="35"/>
      <c r="K188" s="33"/>
    </row>
    <row r="189" customFormat="false" ht="15" hidden="false" customHeight="false" outlineLevel="0" collapsed="false">
      <c r="A189" s="32"/>
      <c r="B189" s="32"/>
      <c r="C189" s="32"/>
      <c r="D189" s="35"/>
      <c r="E189" s="34"/>
      <c r="F189" s="34"/>
      <c r="G189" s="32"/>
      <c r="H189" s="35"/>
      <c r="I189" s="35"/>
      <c r="J189" s="35"/>
      <c r="K189" s="33"/>
    </row>
    <row r="190" customFormat="false" ht="15" hidden="false" customHeight="false" outlineLevel="0" collapsed="false">
      <c r="A190" s="32"/>
      <c r="B190" s="32"/>
      <c r="C190" s="32"/>
      <c r="D190" s="35"/>
      <c r="E190" s="34"/>
      <c r="F190" s="34"/>
      <c r="G190" s="32"/>
      <c r="H190" s="35"/>
      <c r="I190" s="35"/>
      <c r="J190" s="35"/>
      <c r="K190" s="33"/>
    </row>
    <row r="191" customFormat="false" ht="15" hidden="false" customHeight="false" outlineLevel="0" collapsed="false">
      <c r="A191" s="32"/>
      <c r="B191" s="32"/>
      <c r="C191" s="32"/>
      <c r="D191" s="35"/>
      <c r="E191" s="34"/>
      <c r="F191" s="34"/>
      <c r="G191" s="32"/>
      <c r="H191" s="35"/>
      <c r="I191" s="35"/>
      <c r="J191" s="35"/>
      <c r="K191" s="33"/>
    </row>
    <row r="192" customFormat="false" ht="15" hidden="false" customHeight="false" outlineLevel="0" collapsed="false">
      <c r="A192" s="32"/>
      <c r="B192" s="32"/>
      <c r="C192" s="32"/>
      <c r="D192" s="35"/>
      <c r="E192" s="34"/>
      <c r="F192" s="34"/>
      <c r="G192" s="32"/>
      <c r="H192" s="35"/>
      <c r="I192" s="35"/>
      <c r="J192" s="35"/>
      <c r="K192" s="33"/>
    </row>
    <row r="193" customFormat="false" ht="15" hidden="false" customHeight="false" outlineLevel="0" collapsed="false">
      <c r="A193" s="32"/>
      <c r="B193" s="32"/>
      <c r="C193" s="32"/>
      <c r="D193" s="35"/>
      <c r="E193" s="34"/>
      <c r="F193" s="34"/>
      <c r="G193" s="32"/>
      <c r="H193" s="35"/>
      <c r="I193" s="35"/>
      <c r="J193" s="35"/>
      <c r="K193" s="33"/>
    </row>
    <row r="194" customFormat="false" ht="15" hidden="false" customHeight="false" outlineLevel="0" collapsed="false">
      <c r="A194" s="32"/>
      <c r="B194" s="32"/>
      <c r="C194" s="32"/>
      <c r="D194" s="35"/>
      <c r="E194" s="34"/>
      <c r="F194" s="34"/>
      <c r="G194" s="32"/>
      <c r="H194" s="35"/>
      <c r="I194" s="35"/>
      <c r="J194" s="35"/>
      <c r="K194" s="33"/>
    </row>
    <row r="195" customFormat="false" ht="15" hidden="false" customHeight="false" outlineLevel="0" collapsed="false">
      <c r="A195" s="32"/>
      <c r="B195" s="32"/>
      <c r="C195" s="32"/>
      <c r="D195" s="35"/>
      <c r="E195" s="34"/>
      <c r="F195" s="34"/>
      <c r="G195" s="32"/>
      <c r="H195" s="35"/>
      <c r="I195" s="35"/>
      <c r="J195" s="35"/>
      <c r="K195" s="33"/>
    </row>
    <row r="196" customFormat="false" ht="15" hidden="false" customHeight="false" outlineLevel="0" collapsed="false">
      <c r="A196" s="32"/>
      <c r="B196" s="32"/>
      <c r="C196" s="32"/>
      <c r="D196" s="35"/>
      <c r="E196" s="34"/>
      <c r="F196" s="34"/>
      <c r="G196" s="32"/>
      <c r="H196" s="35"/>
      <c r="I196" s="35"/>
      <c r="J196" s="35"/>
      <c r="K196" s="33"/>
    </row>
    <row r="197" customFormat="false" ht="15" hidden="false" customHeight="false" outlineLevel="0" collapsed="false">
      <c r="A197" s="32"/>
      <c r="B197" s="32"/>
      <c r="C197" s="32"/>
      <c r="D197" s="35"/>
      <c r="E197" s="34"/>
      <c r="F197" s="34"/>
      <c r="G197" s="32"/>
      <c r="H197" s="35"/>
      <c r="I197" s="35"/>
      <c r="J197" s="35"/>
      <c r="K197" s="33"/>
    </row>
    <row r="198" customFormat="false" ht="15" hidden="false" customHeight="false" outlineLevel="0" collapsed="false">
      <c r="A198" s="32"/>
      <c r="B198" s="32"/>
      <c r="C198" s="32"/>
      <c r="D198" s="35"/>
      <c r="E198" s="34"/>
      <c r="F198" s="34"/>
      <c r="G198" s="32"/>
      <c r="H198" s="35"/>
      <c r="I198" s="35"/>
      <c r="J198" s="35"/>
      <c r="K198" s="33"/>
    </row>
    <row r="199" customFormat="false" ht="15" hidden="false" customHeight="false" outlineLevel="0" collapsed="false">
      <c r="A199" s="32"/>
      <c r="B199" s="32"/>
      <c r="C199" s="32"/>
      <c r="D199" s="35"/>
      <c r="E199" s="34"/>
      <c r="F199" s="34"/>
      <c r="G199" s="32"/>
      <c r="H199" s="35"/>
      <c r="I199" s="35"/>
      <c r="J199" s="35"/>
      <c r="K199" s="33"/>
    </row>
    <row r="200" customFormat="false" ht="15" hidden="false" customHeight="false" outlineLevel="0" collapsed="false">
      <c r="A200" s="32"/>
      <c r="B200" s="32"/>
      <c r="C200" s="32"/>
      <c r="D200" s="35"/>
      <c r="E200" s="34"/>
      <c r="F200" s="34"/>
      <c r="G200" s="32"/>
      <c r="H200" s="35"/>
      <c r="I200" s="35"/>
      <c r="J200" s="35"/>
      <c r="K200" s="33"/>
    </row>
    <row r="201" customFormat="false" ht="15" hidden="false" customHeight="false" outlineLevel="0" collapsed="false">
      <c r="A201" s="32"/>
      <c r="B201" s="32"/>
      <c r="C201" s="32"/>
      <c r="D201" s="35"/>
      <c r="E201" s="34"/>
      <c r="F201" s="34"/>
      <c r="G201" s="32"/>
      <c r="H201" s="35"/>
      <c r="I201" s="35"/>
      <c r="J201" s="35"/>
      <c r="K201" s="33"/>
    </row>
    <row r="202" customFormat="false" ht="15" hidden="false" customHeight="false" outlineLevel="0" collapsed="false">
      <c r="A202" s="32"/>
      <c r="B202" s="32"/>
      <c r="C202" s="32"/>
      <c r="D202" s="35"/>
      <c r="E202" s="34"/>
      <c r="F202" s="34"/>
      <c r="G202" s="32"/>
      <c r="H202" s="35"/>
      <c r="I202" s="35"/>
      <c r="J202" s="35"/>
      <c r="K202" s="33"/>
    </row>
    <row r="203" customFormat="false" ht="15" hidden="false" customHeight="false" outlineLevel="0" collapsed="false">
      <c r="A203" s="32"/>
      <c r="B203" s="32"/>
      <c r="C203" s="32"/>
      <c r="D203" s="35"/>
      <c r="E203" s="34"/>
      <c r="F203" s="34"/>
      <c r="G203" s="32"/>
      <c r="H203" s="35"/>
      <c r="I203" s="35"/>
      <c r="J203" s="35"/>
      <c r="K203" s="33"/>
    </row>
    <row r="204" customFormat="false" ht="15" hidden="false" customHeight="false" outlineLevel="0" collapsed="false">
      <c r="A204" s="32"/>
      <c r="B204" s="32"/>
      <c r="C204" s="32"/>
      <c r="D204" s="35"/>
      <c r="E204" s="34"/>
      <c r="F204" s="34"/>
      <c r="G204" s="32"/>
      <c r="H204" s="35"/>
      <c r="I204" s="35"/>
      <c r="J204" s="35"/>
      <c r="K204" s="33"/>
    </row>
    <row r="205" customFormat="false" ht="15" hidden="false" customHeight="false" outlineLevel="0" collapsed="false">
      <c r="A205" s="32"/>
      <c r="B205" s="32"/>
      <c r="C205" s="32"/>
      <c r="D205" s="35"/>
      <c r="E205" s="34"/>
      <c r="F205" s="34"/>
      <c r="G205" s="32"/>
      <c r="H205" s="35"/>
      <c r="I205" s="35"/>
      <c r="J205" s="35"/>
      <c r="K205" s="33"/>
    </row>
    <row r="206" customFormat="false" ht="15" hidden="false" customHeight="false" outlineLevel="0" collapsed="false">
      <c r="A206" s="32"/>
      <c r="B206" s="32"/>
      <c r="C206" s="32"/>
      <c r="D206" s="35"/>
      <c r="E206" s="34"/>
      <c r="F206" s="34"/>
      <c r="G206" s="32"/>
      <c r="H206" s="35"/>
      <c r="I206" s="35"/>
      <c r="J206" s="35"/>
      <c r="K206" s="33"/>
    </row>
    <row r="207" customFormat="false" ht="15" hidden="false" customHeight="false" outlineLevel="0" collapsed="false">
      <c r="A207" s="32"/>
      <c r="B207" s="32"/>
      <c r="C207" s="32"/>
      <c r="D207" s="35"/>
      <c r="E207" s="34"/>
      <c r="F207" s="34"/>
      <c r="G207" s="32"/>
      <c r="H207" s="35"/>
      <c r="I207" s="35"/>
      <c r="J207" s="35"/>
      <c r="K207" s="33"/>
    </row>
    <row r="208" customFormat="false" ht="15" hidden="false" customHeight="false" outlineLevel="0" collapsed="false">
      <c r="A208" s="32"/>
      <c r="B208" s="32"/>
      <c r="C208" s="32"/>
      <c r="D208" s="35"/>
      <c r="E208" s="34"/>
      <c r="F208" s="34"/>
      <c r="G208" s="32"/>
      <c r="H208" s="35"/>
      <c r="I208" s="35"/>
      <c r="J208" s="35"/>
      <c r="K208" s="33"/>
    </row>
    <row r="209" customFormat="false" ht="15" hidden="false" customHeight="false" outlineLevel="0" collapsed="false">
      <c r="A209" s="32"/>
      <c r="B209" s="32"/>
      <c r="C209" s="32"/>
      <c r="D209" s="35"/>
      <c r="E209" s="34"/>
      <c r="F209" s="34"/>
      <c r="G209" s="32"/>
      <c r="H209" s="35"/>
      <c r="I209" s="35"/>
      <c r="J209" s="35"/>
      <c r="K209" s="33"/>
    </row>
    <row r="210" customFormat="false" ht="15" hidden="false" customHeight="false" outlineLevel="0" collapsed="false">
      <c r="A210" s="32"/>
      <c r="B210" s="32"/>
      <c r="C210" s="32"/>
      <c r="D210" s="35"/>
      <c r="E210" s="34"/>
      <c r="F210" s="34"/>
      <c r="G210" s="32"/>
      <c r="H210" s="35"/>
      <c r="I210" s="35"/>
      <c r="J210" s="35"/>
      <c r="K210" s="33"/>
    </row>
    <row r="211" customFormat="false" ht="15" hidden="false" customHeight="false" outlineLevel="0" collapsed="false">
      <c r="A211" s="32"/>
      <c r="B211" s="32"/>
      <c r="C211" s="32"/>
      <c r="D211" s="35"/>
      <c r="E211" s="34"/>
      <c r="F211" s="34"/>
      <c r="G211" s="32"/>
      <c r="H211" s="35"/>
      <c r="I211" s="35"/>
      <c r="J211" s="35"/>
      <c r="K211" s="33"/>
    </row>
    <row r="212" customFormat="false" ht="15" hidden="false" customHeight="false" outlineLevel="0" collapsed="false">
      <c r="A212" s="32"/>
      <c r="B212" s="32"/>
      <c r="C212" s="32"/>
      <c r="D212" s="35"/>
      <c r="E212" s="34"/>
      <c r="F212" s="34"/>
      <c r="G212" s="32"/>
      <c r="H212" s="35"/>
      <c r="I212" s="35"/>
      <c r="J212" s="35"/>
      <c r="K212" s="33"/>
    </row>
    <row r="213" customFormat="false" ht="15" hidden="false" customHeight="false" outlineLevel="0" collapsed="false">
      <c r="A213" s="32"/>
      <c r="B213" s="32"/>
      <c r="C213" s="32"/>
      <c r="D213" s="35"/>
      <c r="E213" s="34"/>
      <c r="F213" s="34"/>
      <c r="G213" s="32"/>
      <c r="H213" s="35"/>
      <c r="I213" s="35"/>
      <c r="J213" s="35"/>
      <c r="K213" s="33"/>
    </row>
    <row r="214" customFormat="false" ht="15" hidden="false" customHeight="false" outlineLevel="0" collapsed="false">
      <c r="A214" s="32"/>
      <c r="B214" s="32"/>
      <c r="C214" s="32"/>
      <c r="D214" s="35"/>
      <c r="E214" s="34"/>
      <c r="F214" s="34"/>
      <c r="G214" s="32"/>
      <c r="H214" s="35"/>
      <c r="I214" s="35"/>
      <c r="J214" s="35"/>
      <c r="K214" s="33"/>
    </row>
    <row r="215" customFormat="false" ht="15" hidden="false" customHeight="false" outlineLevel="0" collapsed="false">
      <c r="A215" s="32"/>
      <c r="B215" s="32"/>
      <c r="C215" s="32"/>
      <c r="D215" s="35"/>
      <c r="E215" s="34"/>
      <c r="F215" s="34"/>
      <c r="G215" s="32"/>
      <c r="H215" s="35"/>
      <c r="I215" s="35"/>
      <c r="J215" s="35"/>
      <c r="K215" s="33"/>
    </row>
    <row r="216" customFormat="false" ht="15" hidden="false" customHeight="false" outlineLevel="0" collapsed="false">
      <c r="A216" s="32"/>
      <c r="B216" s="32"/>
      <c r="C216" s="32"/>
      <c r="D216" s="35"/>
      <c r="E216" s="34"/>
      <c r="F216" s="34"/>
      <c r="G216" s="32"/>
      <c r="H216" s="35"/>
      <c r="I216" s="35"/>
      <c r="J216" s="35"/>
      <c r="K216" s="33"/>
    </row>
    <row r="217" customFormat="false" ht="15" hidden="false" customHeight="false" outlineLevel="0" collapsed="false">
      <c r="A217" s="32"/>
      <c r="B217" s="32"/>
      <c r="C217" s="32"/>
      <c r="D217" s="35"/>
      <c r="E217" s="34"/>
      <c r="F217" s="34"/>
      <c r="G217" s="32"/>
      <c r="H217" s="35"/>
      <c r="I217" s="35"/>
      <c r="J217" s="35"/>
      <c r="K217" s="33"/>
    </row>
    <row r="218" customFormat="false" ht="15" hidden="false" customHeight="false" outlineLevel="0" collapsed="false">
      <c r="A218" s="32"/>
      <c r="B218" s="32"/>
      <c r="C218" s="32"/>
      <c r="D218" s="35"/>
      <c r="E218" s="34"/>
      <c r="F218" s="34"/>
      <c r="G218" s="32"/>
      <c r="H218" s="35"/>
      <c r="I218" s="35"/>
      <c r="J218" s="35"/>
      <c r="K218" s="33"/>
    </row>
    <row r="219" customFormat="false" ht="15" hidden="false" customHeight="false" outlineLevel="0" collapsed="false">
      <c r="A219" s="32"/>
      <c r="B219" s="32"/>
      <c r="C219" s="32"/>
      <c r="D219" s="35"/>
      <c r="E219" s="34"/>
      <c r="F219" s="34"/>
      <c r="G219" s="32"/>
      <c r="H219" s="35"/>
      <c r="I219" s="35"/>
      <c r="J219" s="35"/>
      <c r="K219" s="33"/>
    </row>
    <row r="220" customFormat="false" ht="15" hidden="false" customHeight="false" outlineLevel="0" collapsed="false">
      <c r="A220" s="32"/>
      <c r="B220" s="32"/>
      <c r="C220" s="32"/>
      <c r="D220" s="35"/>
      <c r="E220" s="34"/>
      <c r="F220" s="34"/>
      <c r="G220" s="32"/>
      <c r="H220" s="35"/>
      <c r="I220" s="35"/>
      <c r="J220" s="35"/>
      <c r="K220" s="33"/>
    </row>
    <row r="221" customFormat="false" ht="15" hidden="false" customHeight="false" outlineLevel="0" collapsed="false">
      <c r="A221" s="32"/>
      <c r="B221" s="32"/>
      <c r="C221" s="32"/>
      <c r="D221" s="35"/>
      <c r="E221" s="34"/>
      <c r="F221" s="34"/>
      <c r="G221" s="32"/>
      <c r="H221" s="35"/>
      <c r="I221" s="35"/>
      <c r="J221" s="35"/>
      <c r="K221" s="33"/>
    </row>
    <row r="222" customFormat="false" ht="15" hidden="false" customHeight="false" outlineLevel="0" collapsed="false">
      <c r="A222" s="32"/>
      <c r="B222" s="32"/>
      <c r="C222" s="32"/>
      <c r="D222" s="35"/>
      <c r="E222" s="34"/>
      <c r="F222" s="34"/>
      <c r="G222" s="32"/>
      <c r="H222" s="35"/>
      <c r="I222" s="35"/>
      <c r="J222" s="35"/>
      <c r="K222" s="33"/>
    </row>
    <row r="223" customFormat="false" ht="15" hidden="false" customHeight="false" outlineLevel="0" collapsed="false">
      <c r="A223" s="32"/>
      <c r="B223" s="32"/>
      <c r="C223" s="32"/>
      <c r="D223" s="35"/>
      <c r="E223" s="34"/>
      <c r="F223" s="34"/>
      <c r="G223" s="32"/>
      <c r="H223" s="35"/>
      <c r="I223" s="35"/>
      <c r="J223" s="35"/>
      <c r="K223" s="33"/>
    </row>
    <row r="224" customFormat="false" ht="15" hidden="false" customHeight="false" outlineLevel="0" collapsed="false">
      <c r="A224" s="32"/>
      <c r="B224" s="32"/>
      <c r="C224" s="32"/>
      <c r="D224" s="35"/>
      <c r="E224" s="34"/>
      <c r="F224" s="34"/>
      <c r="G224" s="32"/>
      <c r="H224" s="35"/>
      <c r="I224" s="35"/>
      <c r="J224" s="35"/>
      <c r="K224" s="33"/>
    </row>
    <row r="225" customFormat="false" ht="15" hidden="false" customHeight="false" outlineLevel="0" collapsed="false">
      <c r="A225" s="32"/>
      <c r="B225" s="32"/>
      <c r="C225" s="32"/>
      <c r="D225" s="35"/>
      <c r="E225" s="34"/>
      <c r="F225" s="34"/>
      <c r="G225" s="32"/>
      <c r="H225" s="35"/>
      <c r="I225" s="35"/>
      <c r="J225" s="35"/>
      <c r="K225" s="33"/>
    </row>
    <row r="226" customFormat="false" ht="15" hidden="false" customHeight="false" outlineLevel="0" collapsed="false">
      <c r="A226" s="32"/>
      <c r="B226" s="32"/>
      <c r="C226" s="32"/>
      <c r="D226" s="35"/>
      <c r="E226" s="34"/>
      <c r="F226" s="34"/>
      <c r="G226" s="32"/>
      <c r="H226" s="35"/>
      <c r="I226" s="35"/>
      <c r="J226" s="35"/>
      <c r="K226" s="33"/>
    </row>
    <row r="227" customFormat="false" ht="15" hidden="false" customHeight="false" outlineLevel="0" collapsed="false">
      <c r="A227" s="32"/>
      <c r="B227" s="32"/>
      <c r="C227" s="32"/>
      <c r="D227" s="35"/>
      <c r="E227" s="34"/>
      <c r="F227" s="34"/>
      <c r="G227" s="32"/>
      <c r="H227" s="35"/>
      <c r="I227" s="35"/>
      <c r="J227" s="35"/>
      <c r="K227" s="33"/>
    </row>
    <row r="228" customFormat="false" ht="15" hidden="false" customHeight="false" outlineLevel="0" collapsed="false">
      <c r="A228" s="32"/>
      <c r="B228" s="32"/>
      <c r="C228" s="32"/>
      <c r="D228" s="35"/>
      <c r="E228" s="34"/>
      <c r="F228" s="34"/>
      <c r="G228" s="32"/>
      <c r="H228" s="35"/>
      <c r="I228" s="35"/>
      <c r="J228" s="35"/>
      <c r="K228" s="33"/>
    </row>
    <row r="229" customFormat="false" ht="15" hidden="false" customHeight="false" outlineLevel="0" collapsed="false">
      <c r="A229" s="32"/>
      <c r="B229" s="32"/>
      <c r="C229" s="32"/>
      <c r="D229" s="35"/>
      <c r="E229" s="34"/>
      <c r="F229" s="34"/>
      <c r="G229" s="32"/>
      <c r="H229" s="35"/>
      <c r="I229" s="35"/>
      <c r="J229" s="35"/>
      <c r="K229" s="33"/>
    </row>
    <row r="230" customFormat="false" ht="15" hidden="false" customHeight="false" outlineLevel="0" collapsed="false">
      <c r="A230" s="32"/>
      <c r="B230" s="32"/>
      <c r="C230" s="32"/>
      <c r="D230" s="35"/>
      <c r="E230" s="34"/>
      <c r="F230" s="34"/>
      <c r="G230" s="32"/>
      <c r="H230" s="35"/>
      <c r="I230" s="35"/>
      <c r="J230" s="35"/>
      <c r="K230" s="33"/>
    </row>
    <row r="231" customFormat="false" ht="15" hidden="false" customHeight="false" outlineLevel="0" collapsed="false">
      <c r="A231" s="32"/>
      <c r="B231" s="32"/>
      <c r="C231" s="32"/>
      <c r="D231" s="35"/>
      <c r="E231" s="34"/>
      <c r="F231" s="34"/>
      <c r="G231" s="32"/>
      <c r="H231" s="35"/>
      <c r="I231" s="35"/>
      <c r="J231" s="35"/>
      <c r="K231" s="33"/>
    </row>
    <row r="232" customFormat="false" ht="15" hidden="false" customHeight="false" outlineLevel="0" collapsed="false">
      <c r="A232" s="32"/>
      <c r="B232" s="32"/>
      <c r="C232" s="32"/>
      <c r="D232" s="35"/>
      <c r="E232" s="34"/>
      <c r="F232" s="34"/>
      <c r="G232" s="32"/>
      <c r="H232" s="35"/>
      <c r="I232" s="35"/>
      <c r="J232" s="35"/>
      <c r="K232" s="33"/>
    </row>
    <row r="233" customFormat="false" ht="15" hidden="false" customHeight="false" outlineLevel="0" collapsed="false">
      <c r="A233" s="32"/>
      <c r="B233" s="32"/>
      <c r="C233" s="32"/>
      <c r="D233" s="35"/>
      <c r="E233" s="34"/>
      <c r="F233" s="34"/>
      <c r="G233" s="32"/>
      <c r="H233" s="35"/>
      <c r="I233" s="35"/>
      <c r="J233" s="35"/>
      <c r="K233" s="33"/>
    </row>
    <row r="234" customFormat="false" ht="15" hidden="false" customHeight="false" outlineLevel="0" collapsed="false">
      <c r="A234" s="32"/>
      <c r="B234" s="32"/>
      <c r="C234" s="32"/>
      <c r="D234" s="35"/>
      <c r="E234" s="34"/>
      <c r="F234" s="34"/>
      <c r="G234" s="32"/>
      <c r="H234" s="35"/>
      <c r="I234" s="35"/>
      <c r="J234" s="35"/>
      <c r="K234" s="33"/>
    </row>
    <row r="235" customFormat="false" ht="15" hidden="false" customHeight="false" outlineLevel="0" collapsed="false">
      <c r="A235" s="32"/>
      <c r="B235" s="32"/>
      <c r="C235" s="32"/>
      <c r="D235" s="35"/>
      <c r="E235" s="34"/>
      <c r="F235" s="34"/>
      <c r="G235" s="32"/>
      <c r="H235" s="35"/>
      <c r="I235" s="35"/>
      <c r="J235" s="35"/>
      <c r="K235" s="33"/>
    </row>
    <row r="236" customFormat="false" ht="15" hidden="false" customHeight="false" outlineLevel="0" collapsed="false">
      <c r="A236" s="32"/>
      <c r="B236" s="32"/>
      <c r="C236" s="32"/>
      <c r="D236" s="35"/>
      <c r="E236" s="34"/>
      <c r="F236" s="34"/>
      <c r="G236" s="32"/>
      <c r="H236" s="35"/>
      <c r="I236" s="35"/>
      <c r="J236" s="35"/>
      <c r="K236" s="33"/>
    </row>
    <row r="237" customFormat="false" ht="15" hidden="false" customHeight="false" outlineLevel="0" collapsed="false">
      <c r="A237" s="32"/>
      <c r="B237" s="32"/>
      <c r="C237" s="32"/>
      <c r="D237" s="35"/>
      <c r="E237" s="34"/>
      <c r="F237" s="34"/>
      <c r="G237" s="32"/>
      <c r="H237" s="35"/>
      <c r="I237" s="35"/>
      <c r="J237" s="35"/>
      <c r="K237" s="33"/>
    </row>
    <row r="238" customFormat="false" ht="15" hidden="false" customHeight="false" outlineLevel="0" collapsed="false">
      <c r="A238" s="32"/>
      <c r="B238" s="32"/>
      <c r="C238" s="32"/>
      <c r="D238" s="35"/>
      <c r="E238" s="34"/>
      <c r="F238" s="34"/>
      <c r="G238" s="32"/>
      <c r="H238" s="35"/>
      <c r="I238" s="35"/>
      <c r="J238" s="35"/>
      <c r="K238" s="33"/>
    </row>
    <row r="239" customFormat="false" ht="15" hidden="false" customHeight="false" outlineLevel="0" collapsed="false">
      <c r="A239" s="32"/>
      <c r="B239" s="32"/>
      <c r="C239" s="32"/>
      <c r="D239" s="35"/>
      <c r="E239" s="34"/>
      <c r="F239" s="34"/>
      <c r="G239" s="32"/>
      <c r="H239" s="35"/>
      <c r="I239" s="35"/>
      <c r="J239" s="35"/>
      <c r="K239" s="33"/>
    </row>
    <row r="240" customFormat="false" ht="15" hidden="false" customHeight="false" outlineLevel="0" collapsed="false">
      <c r="A240" s="32"/>
      <c r="B240" s="32"/>
      <c r="C240" s="32"/>
      <c r="D240" s="35"/>
      <c r="E240" s="34"/>
      <c r="F240" s="34"/>
      <c r="G240" s="32"/>
      <c r="H240" s="35"/>
      <c r="I240" s="35"/>
      <c r="J240" s="35"/>
      <c r="K240" s="33"/>
    </row>
    <row r="241" customFormat="false" ht="15" hidden="false" customHeight="false" outlineLevel="0" collapsed="false">
      <c r="A241" s="32"/>
      <c r="B241" s="32"/>
      <c r="C241" s="32"/>
      <c r="D241" s="35"/>
      <c r="E241" s="34"/>
      <c r="F241" s="34"/>
      <c r="G241" s="32"/>
      <c r="H241" s="35"/>
      <c r="I241" s="35"/>
      <c r="J241" s="35"/>
      <c r="K241" s="33"/>
    </row>
    <row r="242" customFormat="false" ht="15" hidden="false" customHeight="false" outlineLevel="0" collapsed="false">
      <c r="A242" s="32"/>
      <c r="B242" s="32"/>
      <c r="C242" s="32"/>
      <c r="D242" s="35"/>
      <c r="E242" s="34"/>
      <c r="F242" s="34"/>
      <c r="G242" s="32"/>
      <c r="H242" s="35"/>
      <c r="I242" s="35"/>
      <c r="J242" s="35"/>
      <c r="K242" s="33"/>
    </row>
    <row r="243" customFormat="false" ht="15" hidden="false" customHeight="false" outlineLevel="0" collapsed="false">
      <c r="A243" s="32"/>
      <c r="B243" s="32"/>
      <c r="C243" s="32"/>
      <c r="D243" s="35"/>
      <c r="E243" s="34"/>
      <c r="F243" s="34"/>
      <c r="G243" s="32"/>
      <c r="H243" s="35"/>
      <c r="I243" s="35"/>
      <c r="J243" s="35"/>
      <c r="K243" s="33"/>
    </row>
    <row r="244" customFormat="false" ht="15" hidden="false" customHeight="false" outlineLevel="0" collapsed="false">
      <c r="A244" s="32"/>
      <c r="B244" s="32"/>
      <c r="C244" s="32"/>
      <c r="D244" s="35"/>
      <c r="E244" s="34"/>
      <c r="F244" s="34"/>
      <c r="G244" s="32"/>
      <c r="H244" s="35"/>
      <c r="I244" s="35"/>
      <c r="J244" s="35"/>
      <c r="K244" s="33"/>
    </row>
    <row r="245" customFormat="false" ht="15" hidden="false" customHeight="false" outlineLevel="0" collapsed="false">
      <c r="A245" s="32"/>
      <c r="B245" s="32"/>
      <c r="C245" s="32"/>
      <c r="D245" s="35"/>
      <c r="E245" s="34"/>
      <c r="F245" s="34"/>
      <c r="G245" s="32"/>
      <c r="H245" s="35"/>
      <c r="I245" s="35"/>
      <c r="J245" s="35"/>
      <c r="K245" s="33"/>
    </row>
    <row r="246" customFormat="false" ht="15" hidden="false" customHeight="false" outlineLevel="0" collapsed="false">
      <c r="A246" s="32"/>
      <c r="B246" s="32"/>
      <c r="C246" s="32"/>
      <c r="D246" s="35"/>
      <c r="E246" s="34"/>
      <c r="F246" s="34"/>
      <c r="G246" s="32"/>
      <c r="H246" s="35"/>
      <c r="I246" s="35"/>
      <c r="J246" s="35"/>
      <c r="K246" s="33"/>
    </row>
    <row r="247" customFormat="false" ht="15" hidden="false" customHeight="false" outlineLevel="0" collapsed="false">
      <c r="A247" s="32"/>
      <c r="B247" s="32"/>
      <c r="C247" s="32"/>
      <c r="D247" s="35"/>
      <c r="E247" s="34"/>
      <c r="F247" s="34"/>
      <c r="G247" s="32"/>
      <c r="H247" s="35"/>
      <c r="I247" s="35"/>
      <c r="J247" s="35"/>
      <c r="K247" s="33"/>
    </row>
    <row r="248" customFormat="false" ht="15" hidden="false" customHeight="false" outlineLevel="0" collapsed="false">
      <c r="A248" s="32"/>
      <c r="B248" s="32"/>
      <c r="C248" s="32"/>
      <c r="D248" s="35"/>
      <c r="E248" s="34"/>
      <c r="F248" s="34"/>
      <c r="G248" s="32"/>
      <c r="H248" s="35"/>
      <c r="I248" s="35"/>
      <c r="J248" s="35"/>
      <c r="K248" s="33"/>
    </row>
    <row r="249" customFormat="false" ht="15" hidden="false" customHeight="false" outlineLevel="0" collapsed="false">
      <c r="A249" s="32"/>
      <c r="B249" s="32"/>
      <c r="C249" s="32"/>
      <c r="D249" s="35"/>
      <c r="E249" s="34"/>
      <c r="F249" s="34"/>
      <c r="G249" s="32"/>
      <c r="H249" s="35"/>
      <c r="I249" s="35"/>
      <c r="J249" s="35"/>
      <c r="K249" s="33"/>
    </row>
    <row r="250" customFormat="false" ht="15" hidden="false" customHeight="false" outlineLevel="0" collapsed="false">
      <c r="A250" s="32"/>
      <c r="B250" s="32"/>
      <c r="C250" s="32"/>
      <c r="D250" s="35"/>
      <c r="E250" s="34"/>
      <c r="F250" s="34"/>
      <c r="G250" s="32"/>
      <c r="H250" s="35"/>
      <c r="I250" s="35"/>
      <c r="J250" s="35"/>
      <c r="K250" s="33"/>
    </row>
    <row r="251" customFormat="false" ht="15" hidden="false" customHeight="false" outlineLevel="0" collapsed="false">
      <c r="A251" s="32"/>
      <c r="B251" s="32"/>
      <c r="C251" s="32"/>
      <c r="D251" s="35"/>
      <c r="E251" s="34"/>
      <c r="F251" s="34"/>
      <c r="G251" s="32"/>
      <c r="H251" s="35"/>
      <c r="I251" s="35"/>
      <c r="J251" s="35"/>
      <c r="K251" s="33"/>
    </row>
    <row r="252" customFormat="false" ht="15" hidden="false" customHeight="false" outlineLevel="0" collapsed="false">
      <c r="A252" s="32"/>
      <c r="B252" s="32"/>
      <c r="C252" s="32"/>
      <c r="D252" s="35"/>
      <c r="E252" s="34"/>
      <c r="F252" s="34"/>
      <c r="G252" s="32"/>
      <c r="H252" s="35"/>
      <c r="I252" s="35"/>
      <c r="J252" s="35"/>
      <c r="K252" s="33"/>
    </row>
    <row r="253" customFormat="false" ht="15" hidden="false" customHeight="false" outlineLevel="0" collapsed="false">
      <c r="A253" s="32"/>
      <c r="B253" s="32"/>
      <c r="C253" s="32"/>
      <c r="D253" s="35"/>
      <c r="E253" s="34"/>
      <c r="F253" s="34"/>
      <c r="G253" s="32"/>
      <c r="H253" s="35"/>
      <c r="I253" s="35"/>
      <c r="J253" s="35"/>
      <c r="K253" s="33"/>
    </row>
    <row r="254" customFormat="false" ht="15" hidden="false" customHeight="false" outlineLevel="0" collapsed="false">
      <c r="A254" s="32"/>
      <c r="B254" s="32"/>
      <c r="C254" s="32"/>
      <c r="D254" s="35"/>
      <c r="E254" s="34"/>
      <c r="F254" s="34"/>
      <c r="G254" s="32"/>
      <c r="H254" s="35"/>
      <c r="I254" s="35"/>
      <c r="J254" s="35"/>
      <c r="K254" s="33"/>
    </row>
    <row r="255" customFormat="false" ht="15" hidden="false" customHeight="false" outlineLevel="0" collapsed="false">
      <c r="A255" s="32"/>
      <c r="B255" s="32"/>
      <c r="C255" s="32"/>
      <c r="D255" s="35"/>
      <c r="E255" s="34"/>
      <c r="F255" s="34"/>
      <c r="G255" s="32"/>
      <c r="H255" s="35"/>
      <c r="I255" s="35"/>
      <c r="J255" s="35"/>
      <c r="K255" s="33"/>
    </row>
    <row r="256" customFormat="false" ht="15" hidden="false" customHeight="false" outlineLevel="0" collapsed="false">
      <c r="A256" s="32"/>
      <c r="B256" s="32"/>
      <c r="C256" s="32"/>
      <c r="D256" s="35"/>
      <c r="E256" s="34"/>
      <c r="F256" s="34"/>
      <c r="G256" s="32"/>
      <c r="H256" s="35"/>
      <c r="I256" s="35"/>
      <c r="J256" s="35"/>
      <c r="K256" s="33"/>
    </row>
    <row r="257" customFormat="false" ht="15" hidden="false" customHeight="false" outlineLevel="0" collapsed="false">
      <c r="A257" s="32"/>
      <c r="B257" s="32"/>
      <c r="C257" s="32"/>
      <c r="D257" s="35"/>
      <c r="E257" s="34"/>
      <c r="F257" s="34"/>
      <c r="G257" s="32"/>
      <c r="H257" s="35"/>
      <c r="I257" s="35"/>
      <c r="J257" s="35"/>
      <c r="K257" s="33"/>
    </row>
    <row r="258" customFormat="false" ht="15" hidden="false" customHeight="false" outlineLevel="0" collapsed="false">
      <c r="A258" s="32"/>
      <c r="B258" s="32"/>
      <c r="C258" s="32"/>
      <c r="D258" s="35"/>
      <c r="E258" s="34"/>
      <c r="F258" s="34"/>
      <c r="G258" s="32"/>
      <c r="H258" s="35"/>
      <c r="I258" s="35"/>
      <c r="J258" s="35"/>
      <c r="K258" s="33"/>
    </row>
    <row r="259" customFormat="false" ht="15" hidden="false" customHeight="false" outlineLevel="0" collapsed="false">
      <c r="A259" s="32"/>
      <c r="B259" s="32"/>
      <c r="C259" s="32"/>
      <c r="D259" s="35"/>
      <c r="E259" s="34"/>
      <c r="F259" s="34"/>
      <c r="G259" s="32"/>
      <c r="H259" s="35"/>
      <c r="I259" s="35"/>
      <c r="J259" s="35"/>
      <c r="K259" s="33"/>
    </row>
    <row r="260" customFormat="false" ht="15" hidden="false" customHeight="false" outlineLevel="0" collapsed="false">
      <c r="A260" s="32"/>
      <c r="B260" s="32"/>
      <c r="C260" s="32"/>
      <c r="D260" s="35"/>
      <c r="E260" s="34"/>
      <c r="F260" s="34"/>
      <c r="G260" s="32"/>
      <c r="H260" s="35"/>
      <c r="I260" s="35"/>
      <c r="J260" s="35"/>
      <c r="K260" s="33"/>
    </row>
    <row r="261" customFormat="false" ht="15" hidden="false" customHeight="false" outlineLevel="0" collapsed="false">
      <c r="A261" s="32"/>
      <c r="B261" s="32"/>
      <c r="C261" s="32"/>
      <c r="D261" s="35"/>
      <c r="E261" s="34"/>
      <c r="F261" s="34"/>
      <c r="G261" s="32"/>
      <c r="H261" s="35"/>
      <c r="I261" s="35"/>
      <c r="J261" s="35"/>
      <c r="K261" s="33"/>
    </row>
    <row r="262" customFormat="false" ht="15" hidden="false" customHeight="false" outlineLevel="0" collapsed="false">
      <c r="A262" s="32"/>
      <c r="B262" s="32"/>
      <c r="C262" s="32"/>
      <c r="D262" s="35"/>
      <c r="E262" s="34"/>
      <c r="F262" s="34"/>
      <c r="G262" s="32"/>
      <c r="H262" s="35"/>
      <c r="I262" s="35"/>
      <c r="J262" s="35"/>
      <c r="K262" s="33"/>
    </row>
    <row r="263" customFormat="false" ht="15" hidden="false" customHeight="false" outlineLevel="0" collapsed="false">
      <c r="A263" s="32"/>
      <c r="B263" s="32"/>
      <c r="C263" s="32"/>
      <c r="D263" s="35"/>
      <c r="E263" s="34"/>
      <c r="F263" s="34"/>
      <c r="G263" s="32"/>
      <c r="H263" s="35"/>
      <c r="I263" s="35"/>
      <c r="J263" s="35"/>
      <c r="K263" s="33"/>
    </row>
    <row r="264" customFormat="false" ht="15" hidden="false" customHeight="false" outlineLevel="0" collapsed="false">
      <c r="A264" s="32"/>
      <c r="B264" s="32"/>
      <c r="C264" s="32"/>
      <c r="D264" s="35"/>
      <c r="E264" s="34"/>
      <c r="F264" s="34"/>
      <c r="G264" s="32"/>
      <c r="H264" s="35"/>
      <c r="I264" s="35"/>
      <c r="J264" s="35"/>
      <c r="K264" s="33"/>
    </row>
    <row r="265" customFormat="false" ht="15" hidden="false" customHeight="false" outlineLevel="0" collapsed="false">
      <c r="A265" s="32"/>
      <c r="B265" s="32"/>
      <c r="C265" s="32"/>
      <c r="D265" s="35"/>
      <c r="E265" s="34"/>
      <c r="F265" s="34"/>
      <c r="G265" s="32"/>
      <c r="H265" s="35"/>
      <c r="I265" s="35"/>
      <c r="J265" s="35"/>
      <c r="K265" s="33"/>
    </row>
    <row r="266" customFormat="false" ht="15" hidden="false" customHeight="false" outlineLevel="0" collapsed="false">
      <c r="A266" s="32"/>
      <c r="B266" s="32"/>
      <c r="C266" s="32"/>
      <c r="D266" s="35"/>
      <c r="E266" s="34"/>
      <c r="F266" s="34"/>
      <c r="G266" s="32"/>
      <c r="H266" s="35"/>
      <c r="I266" s="35"/>
      <c r="J266" s="35"/>
      <c r="K266" s="33"/>
    </row>
    <row r="267" customFormat="false" ht="15" hidden="false" customHeight="false" outlineLevel="0" collapsed="false">
      <c r="A267" s="32"/>
      <c r="B267" s="32"/>
      <c r="C267" s="32"/>
      <c r="D267" s="35"/>
      <c r="E267" s="34"/>
      <c r="F267" s="34"/>
      <c r="G267" s="32"/>
      <c r="H267" s="35"/>
      <c r="I267" s="35"/>
      <c r="J267" s="35"/>
      <c r="K267" s="33"/>
    </row>
    <row r="268" customFormat="false" ht="15" hidden="false" customHeight="false" outlineLevel="0" collapsed="false">
      <c r="A268" s="32"/>
      <c r="B268" s="32"/>
      <c r="C268" s="32"/>
      <c r="D268" s="35"/>
      <c r="E268" s="34"/>
      <c r="F268" s="34"/>
      <c r="G268" s="32"/>
      <c r="H268" s="35"/>
      <c r="I268" s="35"/>
      <c r="J268" s="35"/>
      <c r="K268" s="33"/>
    </row>
    <row r="269" customFormat="false" ht="15" hidden="false" customHeight="false" outlineLevel="0" collapsed="false">
      <c r="A269" s="32"/>
      <c r="B269" s="32"/>
      <c r="C269" s="32"/>
      <c r="D269" s="35"/>
      <c r="E269" s="34"/>
      <c r="F269" s="34"/>
      <c r="G269" s="32"/>
      <c r="H269" s="35"/>
      <c r="I269" s="35"/>
      <c r="J269" s="35"/>
      <c r="K269" s="33"/>
    </row>
    <row r="270" customFormat="false" ht="15" hidden="false" customHeight="false" outlineLevel="0" collapsed="false">
      <c r="A270" s="32"/>
      <c r="B270" s="32"/>
      <c r="C270" s="32"/>
      <c r="D270" s="35"/>
      <c r="E270" s="34"/>
      <c r="F270" s="34"/>
      <c r="G270" s="32"/>
      <c r="H270" s="35"/>
      <c r="I270" s="35"/>
      <c r="J270" s="35"/>
      <c r="K270" s="33"/>
    </row>
    <row r="271" customFormat="false" ht="15" hidden="false" customHeight="false" outlineLevel="0" collapsed="false">
      <c r="A271" s="32"/>
      <c r="B271" s="32"/>
      <c r="C271" s="32"/>
      <c r="D271" s="35"/>
      <c r="E271" s="34"/>
      <c r="F271" s="34"/>
      <c r="G271" s="32"/>
      <c r="H271" s="35"/>
      <c r="I271" s="35"/>
      <c r="J271" s="35"/>
      <c r="K271" s="33"/>
    </row>
    <row r="272" customFormat="false" ht="15" hidden="false" customHeight="false" outlineLevel="0" collapsed="false">
      <c r="A272" s="32"/>
      <c r="B272" s="32"/>
      <c r="C272" s="32"/>
      <c r="D272" s="35"/>
      <c r="E272" s="34"/>
      <c r="F272" s="34"/>
      <c r="G272" s="32"/>
      <c r="H272" s="35"/>
      <c r="I272" s="35"/>
      <c r="J272" s="35"/>
      <c r="K272" s="33"/>
    </row>
    <row r="273" customFormat="false" ht="15" hidden="false" customHeight="false" outlineLevel="0" collapsed="false">
      <c r="A273" s="32"/>
      <c r="B273" s="32"/>
      <c r="C273" s="32"/>
      <c r="D273" s="35"/>
      <c r="E273" s="34"/>
      <c r="F273" s="34"/>
      <c r="G273" s="32"/>
      <c r="H273" s="35"/>
      <c r="I273" s="35"/>
      <c r="J273" s="35"/>
      <c r="K273" s="33"/>
    </row>
    <row r="274" customFormat="false" ht="15" hidden="false" customHeight="false" outlineLevel="0" collapsed="false">
      <c r="A274" s="32"/>
      <c r="B274" s="32"/>
      <c r="C274" s="32"/>
      <c r="D274" s="35"/>
      <c r="E274" s="34"/>
      <c r="F274" s="34"/>
      <c r="G274" s="32"/>
      <c r="H274" s="35"/>
      <c r="I274" s="35"/>
      <c r="J274" s="35"/>
      <c r="K274" s="33"/>
    </row>
    <row r="275" customFormat="false" ht="15" hidden="false" customHeight="false" outlineLevel="0" collapsed="false">
      <c r="A275" s="32"/>
      <c r="B275" s="32"/>
      <c r="C275" s="32"/>
      <c r="D275" s="35"/>
      <c r="E275" s="34"/>
      <c r="F275" s="34"/>
      <c r="G275" s="32"/>
      <c r="H275" s="35"/>
      <c r="I275" s="35"/>
      <c r="J275" s="35"/>
      <c r="K275" s="33"/>
    </row>
    <row r="276" customFormat="false" ht="15" hidden="false" customHeight="false" outlineLevel="0" collapsed="false">
      <c r="A276" s="32"/>
      <c r="B276" s="32"/>
      <c r="C276" s="32"/>
      <c r="D276" s="35"/>
      <c r="E276" s="34"/>
      <c r="F276" s="34"/>
      <c r="G276" s="32"/>
      <c r="H276" s="35"/>
      <c r="I276" s="35"/>
      <c r="J276" s="35"/>
      <c r="K276" s="33"/>
    </row>
    <row r="277" customFormat="false" ht="15" hidden="false" customHeight="false" outlineLevel="0" collapsed="false">
      <c r="A277" s="32"/>
      <c r="B277" s="32"/>
      <c r="C277" s="32"/>
      <c r="D277" s="35"/>
      <c r="E277" s="34"/>
      <c r="F277" s="34"/>
      <c r="G277" s="32"/>
      <c r="H277" s="35"/>
      <c r="I277" s="35"/>
      <c r="J277" s="35"/>
      <c r="K277" s="33"/>
    </row>
    <row r="278" customFormat="false" ht="15" hidden="false" customHeight="false" outlineLevel="0" collapsed="false">
      <c r="A278" s="32"/>
      <c r="B278" s="32"/>
      <c r="C278" s="32"/>
      <c r="D278" s="35"/>
      <c r="E278" s="34"/>
      <c r="F278" s="34"/>
      <c r="G278" s="32"/>
      <c r="H278" s="35"/>
      <c r="I278" s="35"/>
      <c r="J278" s="35"/>
      <c r="K278" s="33"/>
    </row>
    <row r="279" customFormat="false" ht="15" hidden="false" customHeight="false" outlineLevel="0" collapsed="false">
      <c r="A279" s="32"/>
      <c r="B279" s="32"/>
      <c r="C279" s="32"/>
      <c r="D279" s="35"/>
      <c r="E279" s="34"/>
      <c r="F279" s="34"/>
      <c r="G279" s="32"/>
      <c r="H279" s="35"/>
      <c r="I279" s="35"/>
      <c r="J279" s="35"/>
      <c r="K279" s="33"/>
    </row>
    <row r="280" customFormat="false" ht="15" hidden="false" customHeight="false" outlineLevel="0" collapsed="false">
      <c r="A280" s="32"/>
      <c r="B280" s="32"/>
      <c r="C280" s="32"/>
      <c r="D280" s="35"/>
      <c r="E280" s="34"/>
      <c r="F280" s="34"/>
      <c r="G280" s="32"/>
      <c r="H280" s="35"/>
      <c r="I280" s="35"/>
      <c r="J280" s="35"/>
      <c r="K280" s="33"/>
    </row>
    <row r="281" customFormat="false" ht="15" hidden="false" customHeight="false" outlineLevel="0" collapsed="false">
      <c r="A281" s="32"/>
      <c r="B281" s="32"/>
      <c r="C281" s="32"/>
      <c r="D281" s="35"/>
      <c r="E281" s="34"/>
      <c r="F281" s="34"/>
      <c r="G281" s="32"/>
      <c r="H281" s="35"/>
      <c r="I281" s="35"/>
      <c r="J281" s="35"/>
      <c r="K281" s="33"/>
    </row>
    <row r="282" customFormat="false" ht="15" hidden="false" customHeight="false" outlineLevel="0" collapsed="false">
      <c r="A282" s="32"/>
      <c r="B282" s="32"/>
      <c r="C282" s="32"/>
      <c r="D282" s="35"/>
      <c r="E282" s="34"/>
      <c r="F282" s="34"/>
      <c r="G282" s="32"/>
      <c r="H282" s="35"/>
      <c r="I282" s="35"/>
      <c r="J282" s="35"/>
      <c r="K282" s="33"/>
    </row>
    <row r="283" customFormat="false" ht="15" hidden="false" customHeight="false" outlineLevel="0" collapsed="false">
      <c r="A283" s="32"/>
      <c r="B283" s="32"/>
      <c r="C283" s="32"/>
      <c r="D283" s="35"/>
      <c r="E283" s="34"/>
      <c r="F283" s="34"/>
      <c r="G283" s="32"/>
      <c r="H283" s="35"/>
      <c r="I283" s="35"/>
      <c r="J283" s="35"/>
      <c r="K283" s="33"/>
    </row>
    <row r="284" customFormat="false" ht="15" hidden="false" customHeight="false" outlineLevel="0" collapsed="false">
      <c r="A284" s="32"/>
      <c r="B284" s="32"/>
      <c r="C284" s="32"/>
      <c r="D284" s="35"/>
      <c r="E284" s="34"/>
      <c r="F284" s="34"/>
      <c r="G284" s="32"/>
      <c r="H284" s="35"/>
      <c r="I284" s="35"/>
      <c r="J284" s="35"/>
      <c r="K284" s="33"/>
    </row>
    <row r="285" customFormat="false" ht="15" hidden="false" customHeight="false" outlineLevel="0" collapsed="false">
      <c r="A285" s="32"/>
      <c r="B285" s="32"/>
      <c r="C285" s="32"/>
      <c r="D285" s="35"/>
      <c r="E285" s="34"/>
      <c r="F285" s="34"/>
      <c r="G285" s="32"/>
      <c r="H285" s="35"/>
      <c r="I285" s="35"/>
      <c r="J285" s="35"/>
      <c r="K285" s="33"/>
    </row>
    <row r="286" customFormat="false" ht="15" hidden="false" customHeight="false" outlineLevel="0" collapsed="false">
      <c r="A286" s="32"/>
      <c r="B286" s="32"/>
      <c r="C286" s="32"/>
      <c r="D286" s="35"/>
      <c r="E286" s="34"/>
      <c r="F286" s="34"/>
      <c r="G286" s="32"/>
      <c r="H286" s="35"/>
      <c r="I286" s="35"/>
      <c r="J286" s="35"/>
      <c r="K286" s="33"/>
    </row>
    <row r="287" customFormat="false" ht="15" hidden="false" customHeight="false" outlineLevel="0" collapsed="false">
      <c r="A287" s="32"/>
      <c r="B287" s="32"/>
      <c r="C287" s="32"/>
      <c r="D287" s="35"/>
      <c r="E287" s="34"/>
      <c r="F287" s="34"/>
      <c r="G287" s="32"/>
      <c r="H287" s="35"/>
      <c r="I287" s="35"/>
      <c r="J287" s="35"/>
      <c r="K287" s="33"/>
    </row>
    <row r="288" customFormat="false" ht="15" hidden="false" customHeight="false" outlineLevel="0" collapsed="false">
      <c r="A288" s="32"/>
      <c r="B288" s="32"/>
      <c r="C288" s="32"/>
      <c r="D288" s="35"/>
      <c r="E288" s="34"/>
      <c r="F288" s="34"/>
      <c r="G288" s="32"/>
      <c r="H288" s="35"/>
      <c r="I288" s="35"/>
      <c r="J288" s="35"/>
      <c r="K288" s="33"/>
    </row>
    <row r="289" customFormat="false" ht="15" hidden="false" customHeight="false" outlineLevel="0" collapsed="false">
      <c r="A289" s="32"/>
      <c r="B289" s="32"/>
      <c r="C289" s="32"/>
      <c r="D289" s="35"/>
      <c r="E289" s="34"/>
      <c r="F289" s="34"/>
      <c r="G289" s="32"/>
      <c r="H289" s="35"/>
      <c r="I289" s="35"/>
      <c r="J289" s="35"/>
      <c r="K289" s="33"/>
    </row>
    <row r="290" customFormat="false" ht="15" hidden="false" customHeight="false" outlineLevel="0" collapsed="false">
      <c r="A290" s="32"/>
      <c r="B290" s="32"/>
      <c r="C290" s="32"/>
      <c r="D290" s="35"/>
      <c r="E290" s="34"/>
      <c r="F290" s="34"/>
      <c r="G290" s="32"/>
      <c r="H290" s="35"/>
      <c r="I290" s="35"/>
      <c r="J290" s="35"/>
      <c r="K290" s="33"/>
    </row>
    <row r="291" customFormat="false" ht="15" hidden="false" customHeight="false" outlineLevel="0" collapsed="false">
      <c r="A291" s="32"/>
      <c r="B291" s="32"/>
      <c r="C291" s="32"/>
      <c r="D291" s="35"/>
      <c r="E291" s="34"/>
      <c r="F291" s="34"/>
      <c r="G291" s="32"/>
      <c r="H291" s="35"/>
      <c r="I291" s="35"/>
      <c r="J291" s="35"/>
      <c r="K291" s="33"/>
    </row>
    <row r="292" customFormat="false" ht="15" hidden="false" customHeight="false" outlineLevel="0" collapsed="false">
      <c r="A292" s="32"/>
      <c r="B292" s="32"/>
      <c r="C292" s="32"/>
      <c r="D292" s="35"/>
      <c r="E292" s="34"/>
      <c r="F292" s="34"/>
      <c r="G292" s="32"/>
      <c r="H292" s="35"/>
      <c r="I292" s="35"/>
      <c r="J292" s="35"/>
      <c r="K292" s="33"/>
    </row>
    <row r="293" customFormat="false" ht="15" hidden="false" customHeight="false" outlineLevel="0" collapsed="false">
      <c r="A293" s="32"/>
      <c r="B293" s="32"/>
      <c r="C293" s="32"/>
      <c r="D293" s="35"/>
      <c r="E293" s="34"/>
      <c r="F293" s="34"/>
      <c r="G293" s="32"/>
      <c r="H293" s="35"/>
      <c r="I293" s="35"/>
      <c r="J293" s="35"/>
      <c r="K293" s="33"/>
    </row>
    <row r="294" customFormat="false" ht="15" hidden="false" customHeight="false" outlineLevel="0" collapsed="false">
      <c r="A294" s="32"/>
      <c r="B294" s="32"/>
      <c r="C294" s="32"/>
      <c r="D294" s="35"/>
      <c r="E294" s="34"/>
      <c r="F294" s="34"/>
      <c r="G294" s="32"/>
      <c r="H294" s="35"/>
      <c r="I294" s="35"/>
      <c r="J294" s="35"/>
      <c r="K294" s="33"/>
    </row>
    <row r="295" customFormat="false" ht="15" hidden="false" customHeight="false" outlineLevel="0" collapsed="false">
      <c r="A295" s="32"/>
      <c r="B295" s="32"/>
      <c r="C295" s="32"/>
      <c r="D295" s="35"/>
      <c r="E295" s="34"/>
      <c r="F295" s="34"/>
      <c r="G295" s="32"/>
      <c r="H295" s="35"/>
      <c r="I295" s="35"/>
      <c r="J295" s="35"/>
      <c r="K295" s="33"/>
    </row>
    <row r="296" customFormat="false" ht="15" hidden="false" customHeight="false" outlineLevel="0" collapsed="false">
      <c r="A296" s="32"/>
      <c r="B296" s="32"/>
      <c r="C296" s="32"/>
      <c r="D296" s="35"/>
      <c r="E296" s="34"/>
      <c r="F296" s="34"/>
      <c r="G296" s="32"/>
      <c r="H296" s="35"/>
      <c r="I296" s="35"/>
      <c r="J296" s="35"/>
      <c r="K296" s="33"/>
    </row>
    <row r="297" customFormat="false" ht="15" hidden="false" customHeight="false" outlineLevel="0" collapsed="false">
      <c r="A297" s="32"/>
      <c r="B297" s="32"/>
      <c r="C297" s="32"/>
      <c r="D297" s="35"/>
      <c r="E297" s="34"/>
      <c r="F297" s="34"/>
      <c r="G297" s="32"/>
      <c r="H297" s="35"/>
      <c r="I297" s="35"/>
      <c r="J297" s="35"/>
      <c r="K297" s="33"/>
    </row>
    <row r="298" customFormat="false" ht="15" hidden="false" customHeight="false" outlineLevel="0" collapsed="false">
      <c r="A298" s="32"/>
      <c r="B298" s="32"/>
      <c r="C298" s="32"/>
      <c r="D298" s="35"/>
      <c r="E298" s="34"/>
      <c r="F298" s="34"/>
      <c r="G298" s="32"/>
      <c r="H298" s="35"/>
      <c r="I298" s="35"/>
      <c r="J298" s="35"/>
      <c r="K298" s="33"/>
    </row>
    <row r="299" customFormat="false" ht="15" hidden="false" customHeight="false" outlineLevel="0" collapsed="false">
      <c r="A299" s="32"/>
      <c r="B299" s="32"/>
      <c r="C299" s="32"/>
      <c r="D299" s="35"/>
      <c r="E299" s="34"/>
      <c r="F299" s="34"/>
      <c r="G299" s="32"/>
      <c r="H299" s="35"/>
      <c r="I299" s="35"/>
      <c r="J299" s="35"/>
      <c r="K299" s="33"/>
    </row>
    <row r="300" customFormat="false" ht="15" hidden="false" customHeight="false" outlineLevel="0" collapsed="false">
      <c r="A300" s="32"/>
      <c r="B300" s="32"/>
      <c r="C300" s="32"/>
      <c r="D300" s="35"/>
      <c r="E300" s="34"/>
      <c r="F300" s="34"/>
      <c r="G300" s="32"/>
      <c r="H300" s="35"/>
      <c r="I300" s="35"/>
      <c r="J300" s="35"/>
      <c r="K300" s="33"/>
    </row>
    <row r="301" customFormat="false" ht="15" hidden="false" customHeight="false" outlineLevel="0" collapsed="false">
      <c r="A301" s="32"/>
      <c r="B301" s="32"/>
      <c r="C301" s="32"/>
      <c r="D301" s="35"/>
      <c r="E301" s="34"/>
      <c r="F301" s="34"/>
      <c r="G301" s="32"/>
      <c r="H301" s="35"/>
      <c r="I301" s="35"/>
      <c r="J301" s="35"/>
      <c r="K301" s="33"/>
    </row>
    <row r="302" customFormat="false" ht="15" hidden="false" customHeight="false" outlineLevel="0" collapsed="false">
      <c r="A302" s="32"/>
      <c r="B302" s="32"/>
      <c r="C302" s="32"/>
      <c r="D302" s="35"/>
      <c r="E302" s="34"/>
      <c r="F302" s="34"/>
      <c r="G302" s="32"/>
      <c r="H302" s="35"/>
      <c r="I302" s="35"/>
      <c r="J302" s="35"/>
      <c r="K302" s="33"/>
    </row>
    <row r="303" customFormat="false" ht="15" hidden="false" customHeight="false" outlineLevel="0" collapsed="false">
      <c r="A303" s="32"/>
      <c r="B303" s="32"/>
      <c r="C303" s="32"/>
      <c r="D303" s="35"/>
      <c r="E303" s="34"/>
      <c r="F303" s="34"/>
      <c r="G303" s="32"/>
      <c r="H303" s="35"/>
      <c r="I303" s="35"/>
      <c r="J303" s="35"/>
      <c r="K303" s="33"/>
    </row>
    <row r="304" customFormat="false" ht="15" hidden="false" customHeight="false" outlineLevel="0" collapsed="false">
      <c r="A304" s="32"/>
      <c r="B304" s="32"/>
      <c r="C304" s="32"/>
      <c r="D304" s="35"/>
      <c r="E304" s="34"/>
      <c r="F304" s="34"/>
      <c r="G304" s="32"/>
      <c r="H304" s="35"/>
      <c r="I304" s="35"/>
      <c r="J304" s="35"/>
      <c r="K304" s="33"/>
    </row>
    <row r="305" customFormat="false" ht="15" hidden="false" customHeight="false" outlineLevel="0" collapsed="false">
      <c r="A305" s="32"/>
      <c r="B305" s="32"/>
      <c r="C305" s="32"/>
      <c r="D305" s="35"/>
      <c r="E305" s="34"/>
      <c r="F305" s="34"/>
      <c r="G305" s="32"/>
      <c r="H305" s="35"/>
      <c r="I305" s="35"/>
      <c r="J305" s="35"/>
      <c r="K305" s="33"/>
    </row>
    <row r="306" customFormat="false" ht="15" hidden="false" customHeight="false" outlineLevel="0" collapsed="false">
      <c r="A306" s="32"/>
      <c r="B306" s="32"/>
      <c r="C306" s="32"/>
      <c r="D306" s="35"/>
      <c r="E306" s="34"/>
      <c r="F306" s="34"/>
      <c r="G306" s="32"/>
      <c r="H306" s="35"/>
      <c r="I306" s="35"/>
      <c r="J306" s="35"/>
      <c r="K306" s="33"/>
    </row>
    <row r="307" customFormat="false" ht="15" hidden="false" customHeight="false" outlineLevel="0" collapsed="false">
      <c r="A307" s="32"/>
      <c r="B307" s="32"/>
      <c r="C307" s="32"/>
      <c r="D307" s="35"/>
      <c r="E307" s="34"/>
      <c r="F307" s="34"/>
      <c r="G307" s="32"/>
      <c r="H307" s="35"/>
      <c r="I307" s="35"/>
      <c r="J307" s="35"/>
      <c r="K307" s="33"/>
    </row>
    <row r="308" customFormat="false" ht="15" hidden="false" customHeight="false" outlineLevel="0" collapsed="false">
      <c r="A308" s="32"/>
      <c r="B308" s="32"/>
      <c r="C308" s="32"/>
      <c r="D308" s="35"/>
      <c r="E308" s="34"/>
      <c r="F308" s="34"/>
      <c r="G308" s="32"/>
      <c r="H308" s="35"/>
      <c r="I308" s="35"/>
      <c r="J308" s="35"/>
      <c r="K308" s="33"/>
    </row>
    <row r="309" customFormat="false" ht="15" hidden="false" customHeight="false" outlineLevel="0" collapsed="false">
      <c r="A309" s="32"/>
      <c r="B309" s="32"/>
      <c r="C309" s="32"/>
      <c r="D309" s="35"/>
      <c r="E309" s="34"/>
      <c r="F309" s="34"/>
      <c r="G309" s="32"/>
      <c r="H309" s="35"/>
      <c r="I309" s="35"/>
      <c r="J309" s="35"/>
      <c r="K309" s="33"/>
    </row>
    <row r="310" customFormat="false" ht="15" hidden="false" customHeight="false" outlineLevel="0" collapsed="false">
      <c r="A310" s="32"/>
      <c r="B310" s="32"/>
      <c r="C310" s="32"/>
      <c r="D310" s="35"/>
      <c r="E310" s="34"/>
      <c r="F310" s="34"/>
      <c r="G310" s="32"/>
      <c r="H310" s="35"/>
      <c r="I310" s="35"/>
      <c r="J310" s="35"/>
      <c r="K310" s="33"/>
    </row>
    <row r="311" customFormat="false" ht="15" hidden="false" customHeight="false" outlineLevel="0" collapsed="false">
      <c r="A311" s="32"/>
      <c r="B311" s="32"/>
      <c r="C311" s="32"/>
      <c r="D311" s="35"/>
      <c r="E311" s="34"/>
      <c r="F311" s="34"/>
      <c r="G311" s="32"/>
      <c r="H311" s="35"/>
      <c r="I311" s="35"/>
      <c r="J311" s="35"/>
      <c r="K311" s="33"/>
    </row>
    <row r="312" customFormat="false" ht="15" hidden="false" customHeight="false" outlineLevel="0" collapsed="false">
      <c r="A312" s="32"/>
      <c r="B312" s="32"/>
      <c r="C312" s="32"/>
      <c r="D312" s="35"/>
      <c r="E312" s="34"/>
      <c r="F312" s="34"/>
      <c r="G312" s="32"/>
      <c r="H312" s="35"/>
      <c r="I312" s="35"/>
      <c r="J312" s="35"/>
      <c r="K312" s="33"/>
    </row>
    <row r="313" customFormat="false" ht="15" hidden="false" customHeight="false" outlineLevel="0" collapsed="false">
      <c r="A313" s="32"/>
      <c r="B313" s="32"/>
      <c r="C313" s="32"/>
      <c r="D313" s="35"/>
      <c r="E313" s="34"/>
      <c r="F313" s="34"/>
      <c r="G313" s="32"/>
      <c r="H313" s="35"/>
      <c r="I313" s="35"/>
      <c r="J313" s="35"/>
      <c r="K313" s="33"/>
    </row>
    <row r="314" customFormat="false" ht="15" hidden="false" customHeight="false" outlineLevel="0" collapsed="false">
      <c r="A314" s="32"/>
      <c r="B314" s="32"/>
      <c r="C314" s="32"/>
      <c r="D314" s="35"/>
      <c r="E314" s="34"/>
      <c r="F314" s="34"/>
      <c r="G314" s="32"/>
      <c r="H314" s="35"/>
      <c r="I314" s="35"/>
      <c r="J314" s="35"/>
      <c r="K314" s="33"/>
    </row>
    <row r="315" customFormat="false" ht="15" hidden="false" customHeight="false" outlineLevel="0" collapsed="false">
      <c r="A315" s="32"/>
      <c r="B315" s="32"/>
      <c r="C315" s="32"/>
      <c r="D315" s="35"/>
      <c r="E315" s="34"/>
      <c r="F315" s="34"/>
      <c r="G315" s="32"/>
      <c r="H315" s="35"/>
      <c r="I315" s="35"/>
      <c r="J315" s="35"/>
      <c r="K315" s="33"/>
    </row>
    <row r="316" customFormat="false" ht="15" hidden="false" customHeight="false" outlineLevel="0" collapsed="false">
      <c r="A316" s="32"/>
      <c r="B316" s="32"/>
      <c r="C316" s="32"/>
      <c r="D316" s="35"/>
      <c r="E316" s="34"/>
      <c r="F316" s="34"/>
      <c r="G316" s="32"/>
      <c r="H316" s="35"/>
      <c r="I316" s="35"/>
      <c r="J316" s="35"/>
      <c r="K316" s="33"/>
    </row>
    <row r="317" customFormat="false" ht="15" hidden="false" customHeight="false" outlineLevel="0" collapsed="false">
      <c r="A317" s="32"/>
      <c r="B317" s="32"/>
      <c r="C317" s="32"/>
      <c r="D317" s="35"/>
      <c r="E317" s="34"/>
      <c r="F317" s="34"/>
      <c r="G317" s="32"/>
      <c r="H317" s="35"/>
      <c r="I317" s="35"/>
      <c r="J317" s="35"/>
      <c r="K317" s="33"/>
    </row>
    <row r="318" customFormat="false" ht="15" hidden="false" customHeight="false" outlineLevel="0" collapsed="false">
      <c r="A318" s="32"/>
      <c r="B318" s="32"/>
      <c r="C318" s="32"/>
      <c r="D318" s="35"/>
      <c r="E318" s="34"/>
      <c r="F318" s="34"/>
      <c r="G318" s="32"/>
      <c r="H318" s="35"/>
      <c r="I318" s="35"/>
      <c r="J318" s="35"/>
      <c r="K318" s="33"/>
    </row>
    <row r="319" customFormat="false" ht="15" hidden="false" customHeight="false" outlineLevel="0" collapsed="false">
      <c r="A319" s="32"/>
      <c r="B319" s="32"/>
      <c r="C319" s="32"/>
      <c r="D319" s="35"/>
      <c r="E319" s="34"/>
      <c r="F319" s="34"/>
      <c r="G319" s="32"/>
      <c r="H319" s="35"/>
      <c r="I319" s="35"/>
      <c r="J319" s="35"/>
      <c r="K319" s="33"/>
    </row>
    <row r="320" customFormat="false" ht="15" hidden="false" customHeight="false" outlineLevel="0" collapsed="false">
      <c r="A320" s="32"/>
      <c r="B320" s="32"/>
      <c r="C320" s="32"/>
      <c r="D320" s="35"/>
      <c r="E320" s="34"/>
      <c r="F320" s="34"/>
      <c r="G320" s="32"/>
      <c r="H320" s="35"/>
      <c r="I320" s="35"/>
      <c r="J320" s="35"/>
      <c r="K320" s="33"/>
    </row>
    <row r="321" customFormat="false" ht="15" hidden="false" customHeight="false" outlineLevel="0" collapsed="false">
      <c r="A321" s="32"/>
      <c r="B321" s="32"/>
      <c r="C321" s="32"/>
      <c r="D321" s="35"/>
      <c r="E321" s="34"/>
      <c r="F321" s="34"/>
      <c r="G321" s="32"/>
      <c r="H321" s="35"/>
      <c r="I321" s="35"/>
      <c r="J321" s="35"/>
      <c r="K321" s="33"/>
    </row>
    <row r="322" customFormat="false" ht="15" hidden="false" customHeight="false" outlineLevel="0" collapsed="false">
      <c r="A322" s="32"/>
      <c r="B322" s="32"/>
      <c r="C322" s="32"/>
      <c r="D322" s="35"/>
      <c r="E322" s="34"/>
      <c r="F322" s="34"/>
      <c r="G322" s="32"/>
      <c r="H322" s="35"/>
      <c r="I322" s="35"/>
      <c r="J322" s="35"/>
      <c r="K322" s="33"/>
    </row>
    <row r="323" customFormat="false" ht="15" hidden="false" customHeight="false" outlineLevel="0" collapsed="false">
      <c r="A323" s="32"/>
      <c r="B323" s="32"/>
      <c r="C323" s="32"/>
      <c r="D323" s="35"/>
      <c r="E323" s="34"/>
      <c r="F323" s="34"/>
      <c r="G323" s="32"/>
      <c r="H323" s="35"/>
      <c r="I323" s="35"/>
      <c r="J323" s="35"/>
      <c r="K323" s="33"/>
    </row>
    <row r="324" customFormat="false" ht="15" hidden="false" customHeight="false" outlineLevel="0" collapsed="false">
      <c r="A324" s="32"/>
      <c r="B324" s="32"/>
      <c r="C324" s="32"/>
      <c r="D324" s="35"/>
      <c r="E324" s="34"/>
      <c r="F324" s="34"/>
      <c r="G324" s="32"/>
      <c r="H324" s="35"/>
      <c r="I324" s="35"/>
      <c r="J324" s="35"/>
      <c r="K324" s="33"/>
    </row>
    <row r="325" customFormat="false" ht="15" hidden="false" customHeight="false" outlineLevel="0" collapsed="false">
      <c r="A325" s="32"/>
      <c r="B325" s="32"/>
      <c r="C325" s="32"/>
      <c r="D325" s="35"/>
      <c r="E325" s="34"/>
      <c r="F325" s="34"/>
      <c r="G325" s="32"/>
      <c r="H325" s="35"/>
      <c r="I325" s="35"/>
      <c r="J325" s="35"/>
      <c r="K325" s="33"/>
    </row>
    <row r="326" customFormat="false" ht="15" hidden="false" customHeight="false" outlineLevel="0" collapsed="false">
      <c r="A326" s="32"/>
      <c r="B326" s="32"/>
      <c r="C326" s="32"/>
      <c r="D326" s="35"/>
      <c r="E326" s="34"/>
      <c r="F326" s="34"/>
      <c r="G326" s="32"/>
      <c r="H326" s="35"/>
      <c r="I326" s="35"/>
      <c r="J326" s="35"/>
      <c r="K326" s="33"/>
    </row>
    <row r="327" customFormat="false" ht="15" hidden="false" customHeight="false" outlineLevel="0" collapsed="false">
      <c r="A327" s="32"/>
      <c r="B327" s="32"/>
      <c r="C327" s="32"/>
      <c r="D327" s="35"/>
      <c r="E327" s="34"/>
      <c r="F327" s="34"/>
      <c r="G327" s="32"/>
      <c r="H327" s="35"/>
      <c r="I327" s="35"/>
      <c r="J327" s="35"/>
      <c r="K327" s="33"/>
    </row>
    <row r="328" customFormat="false" ht="15" hidden="false" customHeight="false" outlineLevel="0" collapsed="false">
      <c r="A328" s="32"/>
      <c r="B328" s="32"/>
      <c r="C328" s="32"/>
      <c r="D328" s="35"/>
      <c r="E328" s="34"/>
      <c r="F328" s="34"/>
      <c r="G328" s="32"/>
      <c r="H328" s="35"/>
      <c r="I328" s="35"/>
      <c r="J328" s="35"/>
      <c r="K328" s="33"/>
    </row>
    <row r="329" customFormat="false" ht="15" hidden="false" customHeight="false" outlineLevel="0" collapsed="false">
      <c r="A329" s="32"/>
      <c r="B329" s="32"/>
      <c r="C329" s="32"/>
      <c r="D329" s="35"/>
      <c r="E329" s="34"/>
      <c r="F329" s="34"/>
      <c r="G329" s="32"/>
      <c r="H329" s="35"/>
      <c r="I329" s="35"/>
      <c r="J329" s="35"/>
      <c r="K329" s="33"/>
    </row>
    <row r="330" customFormat="false" ht="15" hidden="false" customHeight="false" outlineLevel="0" collapsed="false">
      <c r="A330" s="32"/>
      <c r="B330" s="32"/>
      <c r="C330" s="32"/>
      <c r="D330" s="35"/>
      <c r="E330" s="34"/>
      <c r="F330" s="34"/>
      <c r="G330" s="32"/>
      <c r="H330" s="35"/>
      <c r="I330" s="35"/>
      <c r="J330" s="35"/>
      <c r="K330" s="33"/>
    </row>
    <row r="331" customFormat="false" ht="15" hidden="false" customHeight="false" outlineLevel="0" collapsed="false">
      <c r="A331" s="32"/>
      <c r="B331" s="32"/>
      <c r="C331" s="32"/>
      <c r="D331" s="35"/>
      <c r="E331" s="34"/>
      <c r="F331" s="34"/>
      <c r="G331" s="32"/>
      <c r="H331" s="35"/>
      <c r="I331" s="35"/>
      <c r="J331" s="35"/>
      <c r="K331" s="33"/>
    </row>
    <row r="332" customFormat="false" ht="15" hidden="false" customHeight="false" outlineLevel="0" collapsed="false">
      <c r="A332" s="32"/>
      <c r="B332" s="32"/>
      <c r="C332" s="32"/>
      <c r="D332" s="35"/>
      <c r="E332" s="34"/>
      <c r="F332" s="34"/>
      <c r="G332" s="32"/>
      <c r="H332" s="35"/>
      <c r="I332" s="35"/>
      <c r="J332" s="35"/>
      <c r="K332" s="33"/>
    </row>
    <row r="333" customFormat="false" ht="15" hidden="false" customHeight="false" outlineLevel="0" collapsed="false">
      <c r="A333" s="32"/>
      <c r="B333" s="32"/>
      <c r="C333" s="32"/>
      <c r="D333" s="35"/>
      <c r="E333" s="34"/>
      <c r="F333" s="34"/>
      <c r="G333" s="32"/>
      <c r="H333" s="35"/>
      <c r="I333" s="35"/>
      <c r="J333" s="35"/>
      <c r="K333" s="33"/>
    </row>
    <row r="334" customFormat="false" ht="15" hidden="false" customHeight="false" outlineLevel="0" collapsed="false">
      <c r="A334" s="32"/>
      <c r="B334" s="32"/>
      <c r="C334" s="32"/>
      <c r="D334" s="35"/>
      <c r="E334" s="34"/>
      <c r="F334" s="34"/>
      <c r="G334" s="32"/>
      <c r="H334" s="35"/>
      <c r="I334" s="35"/>
      <c r="J334" s="35"/>
      <c r="K334" s="33"/>
    </row>
    <row r="335" customFormat="false" ht="15" hidden="false" customHeight="false" outlineLevel="0" collapsed="false">
      <c r="A335" s="32"/>
      <c r="B335" s="32"/>
      <c r="C335" s="32"/>
      <c r="D335" s="35"/>
      <c r="E335" s="34"/>
      <c r="F335" s="34"/>
      <c r="G335" s="32"/>
      <c r="H335" s="35"/>
      <c r="I335" s="35"/>
      <c r="J335" s="35"/>
      <c r="K335" s="33"/>
    </row>
    <row r="336" customFormat="false" ht="15" hidden="false" customHeight="false" outlineLevel="0" collapsed="false">
      <c r="A336" s="32"/>
      <c r="B336" s="32"/>
      <c r="C336" s="32"/>
      <c r="D336" s="35"/>
      <c r="E336" s="34"/>
      <c r="F336" s="34"/>
      <c r="G336" s="32"/>
      <c r="H336" s="35"/>
      <c r="I336" s="35"/>
      <c r="J336" s="35"/>
      <c r="K336" s="33"/>
    </row>
    <row r="337" customFormat="false" ht="15" hidden="false" customHeight="false" outlineLevel="0" collapsed="false">
      <c r="A337" s="32"/>
      <c r="B337" s="32"/>
      <c r="C337" s="32"/>
      <c r="D337" s="35"/>
      <c r="E337" s="34"/>
      <c r="F337" s="34"/>
      <c r="G337" s="32"/>
      <c r="H337" s="35"/>
      <c r="I337" s="35"/>
      <c r="J337" s="35"/>
      <c r="K337" s="33"/>
    </row>
    <row r="338" customFormat="false" ht="15" hidden="false" customHeight="false" outlineLevel="0" collapsed="false">
      <c r="A338" s="32"/>
      <c r="B338" s="32"/>
      <c r="C338" s="32"/>
      <c r="D338" s="35"/>
      <c r="E338" s="34"/>
      <c r="F338" s="34"/>
      <c r="G338" s="32"/>
      <c r="H338" s="35"/>
      <c r="I338" s="35"/>
      <c r="J338" s="35"/>
      <c r="K338" s="33"/>
    </row>
    <row r="339" customFormat="false" ht="15" hidden="false" customHeight="false" outlineLevel="0" collapsed="false">
      <c r="A339" s="32"/>
      <c r="B339" s="32"/>
      <c r="C339" s="32"/>
      <c r="D339" s="35"/>
      <c r="E339" s="34"/>
      <c r="F339" s="34"/>
      <c r="G339" s="32"/>
      <c r="H339" s="35"/>
      <c r="I339" s="35"/>
      <c r="J339" s="35"/>
      <c r="K339" s="33"/>
    </row>
    <row r="340" customFormat="false" ht="15" hidden="false" customHeight="false" outlineLevel="0" collapsed="false">
      <c r="A340" s="32"/>
      <c r="B340" s="32"/>
      <c r="C340" s="32"/>
      <c r="D340" s="35"/>
      <c r="E340" s="34"/>
      <c r="F340" s="34"/>
      <c r="G340" s="32"/>
      <c r="H340" s="35"/>
      <c r="I340" s="35"/>
      <c r="J340" s="35"/>
      <c r="K340" s="33"/>
    </row>
    <row r="341" customFormat="false" ht="15" hidden="false" customHeight="false" outlineLevel="0" collapsed="false">
      <c r="A341" s="32"/>
      <c r="B341" s="32"/>
      <c r="C341" s="32"/>
      <c r="D341" s="35"/>
      <c r="E341" s="34"/>
      <c r="F341" s="34"/>
      <c r="G341" s="32"/>
      <c r="H341" s="35"/>
      <c r="I341" s="35"/>
      <c r="J341" s="35"/>
      <c r="K341" s="33"/>
    </row>
    <row r="342" customFormat="false" ht="15" hidden="false" customHeight="false" outlineLevel="0" collapsed="false">
      <c r="A342" s="32"/>
      <c r="B342" s="32"/>
      <c r="C342" s="32"/>
      <c r="D342" s="35"/>
      <c r="E342" s="34"/>
      <c r="F342" s="34"/>
      <c r="G342" s="32"/>
      <c r="H342" s="35"/>
      <c r="I342" s="35"/>
      <c r="J342" s="35"/>
      <c r="K342" s="33"/>
    </row>
    <row r="343" customFormat="false" ht="15" hidden="false" customHeight="false" outlineLevel="0" collapsed="false">
      <c r="A343" s="32"/>
      <c r="B343" s="32"/>
      <c r="C343" s="32"/>
      <c r="D343" s="35"/>
      <c r="E343" s="34"/>
      <c r="F343" s="34"/>
      <c r="G343" s="32"/>
      <c r="H343" s="35"/>
      <c r="I343" s="35"/>
      <c r="J343" s="35"/>
      <c r="K343" s="33"/>
    </row>
    <row r="344" customFormat="false" ht="15" hidden="false" customHeight="false" outlineLevel="0" collapsed="false">
      <c r="A344" s="32"/>
      <c r="B344" s="32"/>
      <c r="C344" s="32"/>
      <c r="D344" s="35"/>
      <c r="E344" s="34"/>
      <c r="F344" s="34"/>
      <c r="G344" s="32"/>
      <c r="H344" s="35"/>
      <c r="I344" s="35"/>
      <c r="J344" s="35"/>
      <c r="K344" s="33"/>
    </row>
    <row r="345" customFormat="false" ht="15" hidden="false" customHeight="false" outlineLevel="0" collapsed="false">
      <c r="A345" s="32"/>
      <c r="B345" s="32"/>
      <c r="C345" s="32"/>
      <c r="D345" s="35"/>
      <c r="E345" s="34"/>
      <c r="F345" s="34"/>
      <c r="G345" s="32"/>
      <c r="H345" s="35"/>
      <c r="I345" s="35"/>
      <c r="J345" s="35"/>
      <c r="K345" s="33"/>
    </row>
    <row r="346" customFormat="false" ht="15" hidden="false" customHeight="false" outlineLevel="0" collapsed="false">
      <c r="A346" s="32"/>
      <c r="B346" s="32"/>
      <c r="C346" s="32"/>
      <c r="D346" s="35"/>
      <c r="E346" s="34"/>
      <c r="F346" s="34"/>
      <c r="G346" s="32"/>
      <c r="H346" s="35"/>
      <c r="I346" s="35"/>
      <c r="J346" s="35"/>
      <c r="K346" s="33"/>
    </row>
    <row r="347" customFormat="false" ht="15" hidden="false" customHeight="false" outlineLevel="0" collapsed="false">
      <c r="A347" s="32"/>
      <c r="B347" s="32"/>
      <c r="C347" s="32"/>
      <c r="D347" s="35"/>
      <c r="E347" s="34"/>
      <c r="F347" s="34"/>
      <c r="G347" s="32"/>
      <c r="H347" s="35"/>
      <c r="I347" s="35"/>
      <c r="J347" s="35"/>
      <c r="K347" s="33"/>
    </row>
    <row r="348" customFormat="false" ht="15" hidden="false" customHeight="false" outlineLevel="0" collapsed="false">
      <c r="A348" s="32"/>
      <c r="B348" s="32"/>
      <c r="C348" s="32"/>
      <c r="D348" s="35"/>
      <c r="E348" s="34"/>
      <c r="F348" s="34"/>
      <c r="G348" s="32"/>
      <c r="H348" s="35"/>
      <c r="I348" s="35"/>
      <c r="J348" s="35"/>
      <c r="K348" s="33"/>
    </row>
    <row r="349" customFormat="false" ht="15" hidden="false" customHeight="false" outlineLevel="0" collapsed="false">
      <c r="A349" s="32"/>
      <c r="B349" s="32"/>
      <c r="C349" s="32"/>
      <c r="D349" s="35"/>
      <c r="E349" s="34"/>
      <c r="F349" s="34"/>
      <c r="G349" s="32"/>
      <c r="H349" s="35"/>
      <c r="I349" s="35"/>
      <c r="J349" s="35"/>
      <c r="K349" s="33"/>
    </row>
    <row r="350" customFormat="false" ht="15" hidden="false" customHeight="false" outlineLevel="0" collapsed="false">
      <c r="A350" s="32"/>
      <c r="B350" s="32"/>
      <c r="C350" s="32"/>
      <c r="D350" s="35"/>
      <c r="E350" s="34"/>
      <c r="F350" s="34"/>
      <c r="G350" s="32"/>
      <c r="H350" s="35"/>
      <c r="I350" s="35"/>
      <c r="J350" s="35"/>
      <c r="K350" s="33"/>
    </row>
    <row r="351" customFormat="false" ht="15" hidden="false" customHeight="false" outlineLevel="0" collapsed="false">
      <c r="A351" s="32"/>
      <c r="B351" s="32"/>
      <c r="C351" s="32"/>
      <c r="D351" s="35"/>
      <c r="E351" s="34"/>
      <c r="F351" s="34"/>
      <c r="G351" s="32"/>
      <c r="H351" s="35"/>
      <c r="I351" s="35"/>
      <c r="J351" s="35"/>
      <c r="K351" s="33"/>
    </row>
    <row r="352" customFormat="false" ht="15" hidden="false" customHeight="false" outlineLevel="0" collapsed="false">
      <c r="A352" s="32"/>
      <c r="B352" s="32"/>
      <c r="C352" s="32"/>
      <c r="D352" s="35"/>
      <c r="E352" s="34"/>
      <c r="F352" s="34"/>
      <c r="G352" s="32"/>
      <c r="H352" s="35"/>
      <c r="I352" s="35"/>
      <c r="J352" s="35"/>
      <c r="K352" s="33"/>
    </row>
    <row r="353" customFormat="false" ht="15" hidden="false" customHeight="false" outlineLevel="0" collapsed="false">
      <c r="A353" s="32"/>
      <c r="B353" s="32"/>
      <c r="C353" s="32"/>
      <c r="D353" s="35"/>
      <c r="E353" s="34"/>
      <c r="F353" s="34"/>
      <c r="G353" s="32"/>
      <c r="H353" s="35"/>
      <c r="I353" s="35"/>
      <c r="J353" s="35"/>
      <c r="K353" s="33"/>
    </row>
    <row r="354" customFormat="false" ht="15" hidden="false" customHeight="false" outlineLevel="0" collapsed="false">
      <c r="A354" s="32"/>
      <c r="B354" s="32"/>
      <c r="C354" s="32"/>
      <c r="D354" s="35"/>
      <c r="E354" s="34"/>
      <c r="F354" s="34"/>
      <c r="G354" s="32"/>
      <c r="H354" s="35"/>
      <c r="I354" s="35"/>
      <c r="J354" s="35"/>
      <c r="K354" s="33"/>
    </row>
    <row r="355" customFormat="false" ht="15" hidden="false" customHeight="false" outlineLevel="0" collapsed="false">
      <c r="A355" s="32"/>
      <c r="B355" s="32"/>
      <c r="C355" s="32"/>
      <c r="D355" s="35"/>
      <c r="E355" s="34"/>
      <c r="F355" s="34"/>
      <c r="G355" s="32"/>
      <c r="H355" s="35"/>
      <c r="I355" s="35"/>
      <c r="J355" s="35"/>
      <c r="K355" s="33"/>
    </row>
    <row r="356" customFormat="false" ht="15" hidden="false" customHeight="false" outlineLevel="0" collapsed="false">
      <c r="A356" s="32"/>
      <c r="B356" s="32"/>
      <c r="C356" s="32"/>
      <c r="D356" s="35"/>
      <c r="E356" s="34"/>
      <c r="F356" s="34"/>
      <c r="G356" s="32"/>
      <c r="H356" s="35"/>
      <c r="I356" s="35"/>
      <c r="J356" s="35"/>
      <c r="K356" s="33"/>
    </row>
    <row r="357" customFormat="false" ht="15" hidden="false" customHeight="false" outlineLevel="0" collapsed="false">
      <c r="A357" s="32"/>
      <c r="B357" s="32"/>
      <c r="C357" s="32"/>
      <c r="D357" s="35"/>
      <c r="E357" s="34"/>
      <c r="F357" s="34"/>
      <c r="G357" s="32"/>
      <c r="H357" s="35"/>
      <c r="I357" s="35"/>
      <c r="J357" s="35"/>
      <c r="K357" s="33"/>
    </row>
    <row r="358" customFormat="false" ht="15" hidden="false" customHeight="false" outlineLevel="0" collapsed="false">
      <c r="A358" s="32"/>
      <c r="B358" s="32"/>
      <c r="C358" s="32"/>
      <c r="D358" s="35"/>
      <c r="E358" s="34"/>
      <c r="F358" s="34"/>
      <c r="G358" s="32"/>
      <c r="H358" s="35"/>
      <c r="I358" s="35"/>
      <c r="J358" s="35"/>
      <c r="K358" s="33"/>
    </row>
    <row r="359" customFormat="false" ht="15" hidden="false" customHeight="false" outlineLevel="0" collapsed="false">
      <c r="A359" s="32"/>
      <c r="B359" s="32"/>
      <c r="C359" s="32"/>
      <c r="D359" s="35"/>
      <c r="E359" s="34"/>
      <c r="F359" s="34"/>
      <c r="G359" s="32"/>
      <c r="H359" s="35"/>
      <c r="I359" s="35"/>
      <c r="J359" s="35"/>
      <c r="K359" s="33"/>
    </row>
    <row r="360" customFormat="false" ht="15" hidden="false" customHeight="false" outlineLevel="0" collapsed="false">
      <c r="A360" s="32"/>
      <c r="B360" s="32"/>
      <c r="C360" s="32"/>
      <c r="D360" s="35"/>
      <c r="E360" s="34"/>
      <c r="F360" s="34"/>
      <c r="G360" s="32"/>
      <c r="H360" s="35"/>
      <c r="I360" s="35"/>
      <c r="J360" s="35"/>
      <c r="K360" s="33"/>
    </row>
    <row r="361" customFormat="false" ht="15" hidden="false" customHeight="false" outlineLevel="0" collapsed="false">
      <c r="A361" s="32"/>
      <c r="B361" s="32"/>
      <c r="C361" s="32"/>
      <c r="D361" s="35"/>
      <c r="E361" s="34"/>
      <c r="F361" s="34"/>
      <c r="G361" s="32"/>
      <c r="H361" s="35"/>
      <c r="I361" s="35"/>
      <c r="J361" s="35"/>
      <c r="K361" s="33"/>
    </row>
    <row r="362" customFormat="false" ht="15" hidden="false" customHeight="false" outlineLevel="0" collapsed="false">
      <c r="A362" s="32"/>
      <c r="B362" s="32"/>
      <c r="C362" s="32"/>
      <c r="D362" s="35"/>
      <c r="E362" s="34"/>
      <c r="F362" s="34"/>
      <c r="G362" s="32"/>
      <c r="H362" s="35"/>
      <c r="I362" s="35"/>
      <c r="J362" s="35"/>
      <c r="K362" s="33"/>
    </row>
    <row r="363" customFormat="false" ht="15" hidden="false" customHeight="false" outlineLevel="0" collapsed="false">
      <c r="A363" s="32"/>
      <c r="B363" s="32"/>
      <c r="C363" s="32"/>
      <c r="D363" s="35"/>
      <c r="E363" s="34"/>
      <c r="F363" s="34"/>
      <c r="G363" s="32"/>
      <c r="H363" s="35"/>
      <c r="I363" s="35"/>
      <c r="J363" s="35"/>
      <c r="K363" s="33"/>
    </row>
    <row r="364" customFormat="false" ht="15" hidden="false" customHeight="false" outlineLevel="0" collapsed="false">
      <c r="A364" s="32"/>
      <c r="B364" s="32"/>
      <c r="C364" s="32"/>
      <c r="D364" s="35"/>
      <c r="E364" s="34"/>
      <c r="F364" s="34"/>
      <c r="G364" s="32"/>
      <c r="H364" s="35"/>
      <c r="I364" s="35"/>
      <c r="J364" s="35"/>
      <c r="K364" s="33"/>
    </row>
    <row r="365" customFormat="false" ht="15" hidden="false" customHeight="false" outlineLevel="0" collapsed="false">
      <c r="A365" s="32"/>
      <c r="B365" s="32"/>
      <c r="C365" s="32"/>
      <c r="D365" s="35"/>
      <c r="E365" s="34"/>
      <c r="F365" s="34"/>
      <c r="G365" s="32"/>
      <c r="H365" s="35"/>
      <c r="I365" s="35"/>
      <c r="J365" s="35"/>
      <c r="K365" s="33"/>
    </row>
    <row r="366" customFormat="false" ht="15" hidden="false" customHeight="false" outlineLevel="0" collapsed="false">
      <c r="A366" s="32"/>
      <c r="B366" s="32"/>
      <c r="C366" s="32"/>
      <c r="D366" s="35"/>
      <c r="E366" s="34"/>
      <c r="F366" s="34"/>
      <c r="G366" s="32"/>
      <c r="H366" s="35"/>
      <c r="I366" s="35"/>
      <c r="J366" s="35"/>
      <c r="K366" s="33"/>
    </row>
    <row r="367" customFormat="false" ht="15" hidden="false" customHeight="false" outlineLevel="0" collapsed="false">
      <c r="A367" s="32"/>
      <c r="B367" s="32"/>
      <c r="C367" s="32"/>
      <c r="D367" s="35"/>
      <c r="E367" s="34"/>
      <c r="F367" s="34"/>
      <c r="G367" s="32"/>
      <c r="H367" s="35"/>
      <c r="I367" s="35"/>
      <c r="J367" s="35"/>
      <c r="K367" s="33"/>
    </row>
    <row r="368" customFormat="false" ht="15" hidden="false" customHeight="false" outlineLevel="0" collapsed="false">
      <c r="A368" s="32"/>
      <c r="B368" s="32"/>
      <c r="C368" s="32"/>
      <c r="D368" s="35"/>
      <c r="E368" s="34"/>
      <c r="F368" s="34"/>
      <c r="G368" s="32"/>
      <c r="H368" s="35"/>
      <c r="I368" s="35"/>
      <c r="J368" s="35"/>
      <c r="K368" s="33"/>
    </row>
    <row r="369" customFormat="false" ht="15" hidden="false" customHeight="false" outlineLevel="0" collapsed="false">
      <c r="A369" s="32"/>
      <c r="B369" s="32"/>
      <c r="C369" s="32"/>
      <c r="D369" s="35"/>
      <c r="E369" s="34"/>
      <c r="F369" s="34"/>
      <c r="G369" s="32"/>
      <c r="H369" s="35"/>
      <c r="I369" s="35"/>
      <c r="J369" s="35"/>
      <c r="K369" s="33"/>
    </row>
    <row r="370" customFormat="false" ht="15" hidden="false" customHeight="false" outlineLevel="0" collapsed="false">
      <c r="A370" s="32"/>
      <c r="B370" s="32"/>
      <c r="C370" s="32"/>
      <c r="D370" s="35"/>
      <c r="E370" s="34"/>
      <c r="F370" s="34"/>
      <c r="G370" s="32"/>
      <c r="H370" s="35"/>
      <c r="I370" s="35"/>
      <c r="J370" s="35"/>
      <c r="K370" s="33"/>
    </row>
    <row r="371" customFormat="false" ht="15" hidden="false" customHeight="false" outlineLevel="0" collapsed="false">
      <c r="A371" s="32"/>
      <c r="B371" s="32"/>
      <c r="C371" s="32"/>
      <c r="D371" s="35"/>
      <c r="E371" s="34"/>
      <c r="F371" s="34"/>
      <c r="G371" s="32"/>
      <c r="H371" s="35"/>
      <c r="I371" s="35"/>
      <c r="J371" s="35"/>
      <c r="K371" s="33"/>
    </row>
    <row r="372" customFormat="false" ht="15" hidden="false" customHeight="false" outlineLevel="0" collapsed="false">
      <c r="A372" s="32"/>
      <c r="B372" s="32"/>
      <c r="C372" s="32"/>
      <c r="D372" s="35"/>
      <c r="E372" s="34"/>
      <c r="F372" s="34"/>
      <c r="G372" s="32"/>
      <c r="H372" s="35"/>
      <c r="I372" s="35"/>
      <c r="J372" s="35"/>
      <c r="K372" s="33"/>
    </row>
    <row r="373" customFormat="false" ht="15" hidden="false" customHeight="false" outlineLevel="0" collapsed="false">
      <c r="A373" s="32"/>
      <c r="B373" s="32"/>
      <c r="C373" s="32"/>
      <c r="D373" s="35"/>
      <c r="E373" s="34"/>
      <c r="F373" s="34"/>
      <c r="G373" s="32"/>
      <c r="H373" s="35"/>
      <c r="I373" s="35"/>
      <c r="J373" s="35"/>
      <c r="K373" s="33"/>
    </row>
    <row r="374" customFormat="false" ht="15" hidden="false" customHeight="false" outlineLevel="0" collapsed="false">
      <c r="A374" s="32"/>
      <c r="B374" s="32"/>
      <c r="C374" s="32"/>
      <c r="D374" s="35"/>
      <c r="E374" s="34"/>
      <c r="F374" s="34"/>
      <c r="G374" s="32"/>
      <c r="H374" s="35"/>
      <c r="I374" s="35"/>
      <c r="J374" s="35"/>
      <c r="K374" s="33"/>
    </row>
    <row r="375" customFormat="false" ht="15" hidden="false" customHeight="false" outlineLevel="0" collapsed="false">
      <c r="A375" s="32"/>
      <c r="B375" s="32"/>
      <c r="C375" s="32"/>
      <c r="D375" s="35"/>
      <c r="E375" s="34"/>
      <c r="F375" s="34"/>
      <c r="G375" s="32"/>
      <c r="H375" s="35"/>
      <c r="I375" s="35"/>
      <c r="J375" s="35"/>
      <c r="K375" s="33"/>
    </row>
    <row r="376" customFormat="false" ht="15" hidden="false" customHeight="false" outlineLevel="0" collapsed="false">
      <c r="A376" s="32"/>
      <c r="B376" s="32"/>
      <c r="C376" s="32"/>
      <c r="D376" s="35"/>
      <c r="E376" s="34"/>
      <c r="F376" s="34"/>
      <c r="G376" s="32"/>
      <c r="H376" s="35"/>
      <c r="I376" s="35"/>
      <c r="J376" s="35"/>
      <c r="K376" s="33"/>
    </row>
    <row r="377" customFormat="false" ht="15" hidden="false" customHeight="false" outlineLevel="0" collapsed="false">
      <c r="A377" s="32"/>
      <c r="B377" s="32"/>
      <c r="C377" s="32"/>
      <c r="D377" s="35"/>
      <c r="E377" s="34"/>
      <c r="F377" s="34"/>
      <c r="G377" s="32"/>
      <c r="H377" s="35"/>
      <c r="I377" s="35"/>
      <c r="J377" s="35"/>
      <c r="K377" s="33"/>
    </row>
    <row r="378" customFormat="false" ht="15" hidden="false" customHeight="false" outlineLevel="0" collapsed="false">
      <c r="A378" s="32"/>
      <c r="B378" s="32"/>
      <c r="C378" s="32"/>
      <c r="D378" s="35"/>
      <c r="E378" s="34"/>
      <c r="F378" s="34"/>
      <c r="G378" s="32"/>
      <c r="H378" s="35"/>
      <c r="I378" s="35"/>
      <c r="J378" s="35"/>
      <c r="K378" s="33"/>
    </row>
    <row r="379" customFormat="false" ht="15" hidden="false" customHeight="false" outlineLevel="0" collapsed="false">
      <c r="A379" s="32"/>
      <c r="B379" s="32"/>
      <c r="C379" s="32"/>
      <c r="D379" s="35"/>
      <c r="E379" s="34"/>
      <c r="F379" s="34"/>
      <c r="G379" s="32"/>
      <c r="H379" s="35"/>
      <c r="I379" s="35"/>
      <c r="J379" s="35"/>
      <c r="K379" s="33"/>
    </row>
    <row r="380" customFormat="false" ht="15" hidden="false" customHeight="false" outlineLevel="0" collapsed="false">
      <c r="A380" s="32"/>
      <c r="B380" s="32"/>
      <c r="C380" s="32"/>
      <c r="D380" s="35"/>
      <c r="E380" s="34"/>
      <c r="F380" s="34"/>
      <c r="G380" s="32"/>
      <c r="H380" s="35"/>
      <c r="I380" s="35"/>
      <c r="J380" s="35"/>
      <c r="K380" s="33"/>
    </row>
    <row r="381" customFormat="false" ht="15" hidden="false" customHeight="false" outlineLevel="0" collapsed="false">
      <c r="A381" s="32"/>
      <c r="B381" s="32"/>
      <c r="C381" s="32"/>
      <c r="D381" s="35"/>
      <c r="E381" s="34"/>
      <c r="F381" s="34"/>
      <c r="G381" s="32"/>
      <c r="H381" s="35"/>
      <c r="I381" s="35"/>
      <c r="J381" s="35"/>
      <c r="K381" s="33"/>
    </row>
    <row r="382" customFormat="false" ht="15" hidden="false" customHeight="false" outlineLevel="0" collapsed="false">
      <c r="A382" s="32"/>
      <c r="B382" s="32"/>
      <c r="C382" s="32"/>
      <c r="D382" s="35"/>
      <c r="E382" s="34"/>
      <c r="F382" s="34"/>
      <c r="G382" s="32"/>
      <c r="H382" s="35"/>
      <c r="I382" s="35"/>
      <c r="J382" s="35"/>
      <c r="K382" s="33"/>
    </row>
    <row r="383" customFormat="false" ht="15" hidden="false" customHeight="false" outlineLevel="0" collapsed="false">
      <c r="A383" s="32"/>
      <c r="B383" s="32"/>
      <c r="C383" s="32"/>
      <c r="D383" s="35"/>
      <c r="E383" s="34"/>
      <c r="F383" s="34"/>
      <c r="G383" s="32"/>
      <c r="H383" s="35"/>
      <c r="I383" s="35"/>
      <c r="J383" s="35"/>
      <c r="K383" s="33"/>
    </row>
    <row r="384" customFormat="false" ht="15" hidden="false" customHeight="false" outlineLevel="0" collapsed="false">
      <c r="A384" s="32"/>
      <c r="B384" s="32"/>
      <c r="C384" s="32"/>
      <c r="D384" s="35"/>
      <c r="E384" s="34"/>
      <c r="F384" s="34"/>
      <c r="G384" s="32"/>
      <c r="H384" s="35"/>
      <c r="I384" s="35"/>
      <c r="J384" s="35"/>
      <c r="K384" s="33"/>
    </row>
    <row r="385" customFormat="false" ht="15" hidden="false" customHeight="false" outlineLevel="0" collapsed="false">
      <c r="A385" s="32"/>
      <c r="B385" s="32"/>
      <c r="C385" s="32"/>
      <c r="D385" s="35"/>
      <c r="E385" s="34"/>
      <c r="F385" s="34"/>
      <c r="G385" s="32"/>
      <c r="H385" s="35"/>
      <c r="I385" s="35"/>
      <c r="J385" s="35"/>
      <c r="K385" s="33"/>
    </row>
    <row r="386" customFormat="false" ht="15" hidden="false" customHeight="false" outlineLevel="0" collapsed="false">
      <c r="A386" s="32"/>
      <c r="B386" s="32"/>
      <c r="C386" s="32"/>
      <c r="D386" s="35"/>
      <c r="E386" s="34"/>
      <c r="F386" s="34"/>
      <c r="G386" s="32"/>
      <c r="H386" s="35"/>
      <c r="I386" s="35"/>
      <c r="J386" s="35"/>
      <c r="K386" s="33"/>
    </row>
    <row r="387" customFormat="false" ht="15" hidden="false" customHeight="false" outlineLevel="0" collapsed="false">
      <c r="A387" s="32"/>
      <c r="B387" s="32"/>
      <c r="C387" s="32"/>
      <c r="D387" s="35"/>
      <c r="E387" s="34"/>
      <c r="F387" s="34"/>
      <c r="G387" s="32"/>
      <c r="H387" s="35"/>
      <c r="I387" s="35"/>
      <c r="J387" s="35"/>
      <c r="K387" s="33"/>
    </row>
    <row r="388" customFormat="false" ht="15" hidden="false" customHeight="false" outlineLevel="0" collapsed="false">
      <c r="A388" s="32"/>
      <c r="B388" s="32"/>
      <c r="C388" s="32"/>
      <c r="D388" s="35"/>
      <c r="E388" s="34"/>
      <c r="F388" s="34"/>
      <c r="G388" s="32"/>
      <c r="H388" s="35"/>
      <c r="I388" s="35"/>
      <c r="J388" s="35"/>
      <c r="K388" s="33"/>
    </row>
    <row r="389" customFormat="false" ht="15" hidden="false" customHeight="false" outlineLevel="0" collapsed="false">
      <c r="A389" s="32"/>
      <c r="B389" s="32"/>
      <c r="C389" s="32"/>
      <c r="D389" s="35"/>
      <c r="E389" s="34"/>
      <c r="F389" s="34"/>
      <c r="G389" s="32"/>
      <c r="H389" s="35"/>
      <c r="I389" s="35"/>
      <c r="J389" s="35"/>
      <c r="K389" s="33"/>
    </row>
    <row r="390" customFormat="false" ht="15" hidden="false" customHeight="false" outlineLevel="0" collapsed="false">
      <c r="A390" s="32"/>
      <c r="B390" s="32"/>
      <c r="C390" s="32"/>
      <c r="D390" s="35"/>
      <c r="E390" s="34"/>
      <c r="F390" s="34"/>
      <c r="G390" s="32"/>
      <c r="H390" s="35"/>
      <c r="I390" s="35"/>
      <c r="J390" s="35"/>
      <c r="K390" s="33"/>
    </row>
    <row r="391" customFormat="false" ht="15" hidden="false" customHeight="false" outlineLevel="0" collapsed="false">
      <c r="A391" s="32"/>
      <c r="B391" s="32"/>
      <c r="C391" s="32"/>
      <c r="D391" s="35"/>
      <c r="E391" s="34"/>
      <c r="F391" s="34"/>
      <c r="G391" s="32"/>
      <c r="H391" s="35"/>
      <c r="I391" s="35"/>
      <c r="J391" s="35"/>
      <c r="K391" s="33"/>
    </row>
    <row r="392" customFormat="false" ht="15" hidden="false" customHeight="false" outlineLevel="0" collapsed="false">
      <c r="A392" s="32"/>
      <c r="B392" s="32"/>
      <c r="C392" s="32"/>
      <c r="D392" s="35"/>
      <c r="E392" s="34"/>
      <c r="F392" s="34"/>
      <c r="G392" s="32"/>
      <c r="H392" s="35"/>
      <c r="I392" s="35"/>
      <c r="J392" s="35"/>
      <c r="K392" s="33"/>
    </row>
    <row r="393" customFormat="false" ht="15" hidden="false" customHeight="false" outlineLevel="0" collapsed="false">
      <c r="A393" s="32"/>
      <c r="B393" s="32"/>
      <c r="C393" s="32"/>
      <c r="D393" s="35"/>
      <c r="E393" s="34"/>
      <c r="F393" s="34"/>
      <c r="G393" s="32"/>
      <c r="H393" s="35"/>
      <c r="I393" s="35"/>
      <c r="J393" s="35"/>
      <c r="K393" s="33"/>
    </row>
    <row r="394" customFormat="false" ht="15" hidden="false" customHeight="false" outlineLevel="0" collapsed="false">
      <c r="A394" s="32"/>
      <c r="B394" s="32"/>
      <c r="C394" s="32"/>
      <c r="D394" s="35"/>
      <c r="E394" s="34"/>
      <c r="F394" s="34"/>
      <c r="G394" s="32"/>
      <c r="H394" s="35"/>
      <c r="I394" s="35"/>
      <c r="J394" s="35"/>
      <c r="K394" s="33"/>
    </row>
    <row r="395" customFormat="false" ht="15" hidden="false" customHeight="false" outlineLevel="0" collapsed="false">
      <c r="A395" s="32"/>
      <c r="B395" s="32"/>
      <c r="C395" s="32"/>
      <c r="D395" s="35"/>
      <c r="E395" s="34"/>
      <c r="F395" s="34"/>
      <c r="G395" s="32"/>
      <c r="H395" s="35"/>
      <c r="I395" s="35"/>
      <c r="J395" s="35"/>
      <c r="K395" s="33"/>
    </row>
    <row r="396" customFormat="false" ht="15" hidden="false" customHeight="false" outlineLevel="0" collapsed="false">
      <c r="A396" s="32"/>
      <c r="B396" s="32"/>
      <c r="C396" s="32"/>
      <c r="D396" s="35"/>
      <c r="E396" s="34"/>
      <c r="F396" s="34"/>
      <c r="G396" s="32"/>
      <c r="H396" s="35"/>
      <c r="I396" s="35"/>
      <c r="J396" s="35"/>
      <c r="K396" s="33"/>
    </row>
    <row r="397" customFormat="false" ht="15" hidden="false" customHeight="false" outlineLevel="0" collapsed="false">
      <c r="A397" s="32"/>
      <c r="B397" s="32"/>
      <c r="C397" s="32"/>
      <c r="D397" s="35"/>
      <c r="E397" s="34"/>
      <c r="F397" s="34"/>
      <c r="G397" s="32"/>
      <c r="H397" s="35"/>
      <c r="I397" s="35"/>
      <c r="J397" s="35"/>
      <c r="K397" s="33"/>
    </row>
    <row r="398" customFormat="false" ht="15" hidden="false" customHeight="false" outlineLevel="0" collapsed="false">
      <c r="A398" s="32"/>
      <c r="B398" s="32"/>
      <c r="C398" s="32"/>
      <c r="D398" s="35"/>
      <c r="E398" s="34"/>
      <c r="F398" s="34"/>
      <c r="G398" s="32"/>
      <c r="H398" s="35"/>
      <c r="I398" s="35"/>
      <c r="J398" s="35"/>
      <c r="K398" s="33"/>
    </row>
    <row r="399" customFormat="false" ht="15" hidden="false" customHeight="false" outlineLevel="0" collapsed="false">
      <c r="A399" s="32"/>
      <c r="B399" s="32"/>
      <c r="C399" s="32"/>
      <c r="D399" s="35"/>
      <c r="E399" s="34"/>
      <c r="F399" s="34"/>
      <c r="G399" s="32"/>
      <c r="H399" s="35"/>
      <c r="I399" s="35"/>
      <c r="J399" s="35"/>
      <c r="K399" s="33"/>
    </row>
    <row r="400" customFormat="false" ht="15" hidden="false" customHeight="false" outlineLevel="0" collapsed="false">
      <c r="A400" s="32"/>
      <c r="B400" s="32"/>
      <c r="C400" s="32"/>
      <c r="D400" s="35"/>
      <c r="E400" s="34"/>
      <c r="F400" s="34"/>
      <c r="G400" s="32"/>
      <c r="H400" s="35"/>
      <c r="I400" s="35"/>
      <c r="J400" s="35"/>
      <c r="K400" s="33"/>
    </row>
    <row r="401" customFormat="false" ht="15" hidden="false" customHeight="false" outlineLevel="0" collapsed="false">
      <c r="A401" s="32"/>
      <c r="B401" s="32"/>
      <c r="C401" s="32"/>
      <c r="D401" s="35"/>
      <c r="E401" s="34"/>
      <c r="F401" s="34"/>
      <c r="G401" s="32"/>
      <c r="H401" s="35"/>
      <c r="I401" s="35"/>
      <c r="J401" s="35"/>
      <c r="K401" s="33"/>
    </row>
    <row r="402" customFormat="false" ht="15" hidden="false" customHeight="false" outlineLevel="0" collapsed="false">
      <c r="A402" s="32"/>
      <c r="B402" s="32"/>
      <c r="C402" s="32"/>
      <c r="D402" s="35"/>
      <c r="E402" s="34"/>
      <c r="F402" s="34"/>
      <c r="G402" s="32"/>
      <c r="H402" s="35"/>
      <c r="I402" s="35"/>
      <c r="J402" s="35"/>
      <c r="K402" s="33"/>
    </row>
    <row r="403" customFormat="false" ht="15" hidden="false" customHeight="false" outlineLevel="0" collapsed="false">
      <c r="A403" s="32"/>
      <c r="B403" s="32"/>
      <c r="C403" s="32"/>
      <c r="D403" s="35"/>
      <c r="E403" s="34"/>
      <c r="F403" s="34"/>
      <c r="G403" s="32"/>
      <c r="H403" s="35"/>
      <c r="I403" s="35"/>
      <c r="J403" s="35"/>
      <c r="K403" s="33"/>
    </row>
    <row r="404" customFormat="false" ht="15" hidden="false" customHeight="false" outlineLevel="0" collapsed="false">
      <c r="A404" s="32"/>
      <c r="B404" s="32"/>
      <c r="C404" s="32"/>
      <c r="D404" s="35"/>
      <c r="E404" s="34"/>
      <c r="F404" s="34"/>
      <c r="G404" s="32"/>
      <c r="H404" s="35"/>
      <c r="I404" s="35"/>
      <c r="J404" s="35"/>
      <c r="K404" s="33"/>
    </row>
    <row r="405" customFormat="false" ht="15" hidden="false" customHeight="false" outlineLevel="0" collapsed="false">
      <c r="A405" s="32"/>
      <c r="B405" s="32"/>
      <c r="C405" s="32"/>
      <c r="D405" s="35"/>
      <c r="E405" s="34"/>
      <c r="F405" s="34"/>
      <c r="G405" s="32"/>
      <c r="H405" s="35"/>
      <c r="I405" s="35"/>
      <c r="J405" s="35"/>
      <c r="K405" s="33"/>
    </row>
    <row r="406" customFormat="false" ht="15" hidden="false" customHeight="false" outlineLevel="0" collapsed="false">
      <c r="A406" s="32"/>
      <c r="B406" s="32"/>
      <c r="C406" s="32"/>
      <c r="D406" s="35"/>
      <c r="E406" s="34"/>
      <c r="F406" s="34"/>
      <c r="G406" s="32"/>
      <c r="H406" s="35"/>
      <c r="I406" s="35"/>
      <c r="J406" s="35"/>
      <c r="K406" s="33"/>
    </row>
    <row r="407" customFormat="false" ht="15" hidden="false" customHeight="false" outlineLevel="0" collapsed="false">
      <c r="A407" s="32"/>
      <c r="B407" s="32"/>
      <c r="C407" s="32"/>
      <c r="D407" s="35"/>
      <c r="E407" s="34"/>
      <c r="F407" s="34"/>
      <c r="G407" s="32"/>
      <c r="H407" s="35"/>
      <c r="I407" s="35"/>
      <c r="J407" s="35"/>
      <c r="K407" s="33"/>
    </row>
    <row r="408" customFormat="false" ht="15" hidden="false" customHeight="false" outlineLevel="0" collapsed="false">
      <c r="A408" s="32"/>
      <c r="B408" s="32"/>
      <c r="C408" s="32"/>
      <c r="D408" s="35"/>
      <c r="E408" s="34"/>
      <c r="F408" s="34"/>
      <c r="G408" s="32"/>
      <c r="H408" s="35"/>
      <c r="I408" s="35"/>
      <c r="J408" s="35"/>
      <c r="K408" s="33"/>
    </row>
    <row r="409" customFormat="false" ht="15" hidden="false" customHeight="false" outlineLevel="0" collapsed="false">
      <c r="A409" s="32"/>
      <c r="B409" s="32"/>
      <c r="C409" s="32"/>
      <c r="D409" s="35"/>
      <c r="E409" s="34"/>
      <c r="F409" s="34"/>
      <c r="G409" s="32"/>
      <c r="H409" s="35"/>
      <c r="I409" s="35"/>
      <c r="J409" s="35"/>
      <c r="K409" s="33"/>
    </row>
    <row r="410" customFormat="false" ht="15" hidden="false" customHeight="false" outlineLevel="0" collapsed="false">
      <c r="A410" s="32"/>
      <c r="B410" s="32"/>
      <c r="C410" s="32"/>
      <c r="D410" s="35"/>
      <c r="E410" s="34"/>
      <c r="F410" s="34"/>
      <c r="G410" s="32"/>
      <c r="H410" s="35"/>
      <c r="I410" s="35"/>
      <c r="J410" s="35"/>
      <c r="K410" s="33"/>
    </row>
    <row r="411" customFormat="false" ht="15" hidden="false" customHeight="false" outlineLevel="0" collapsed="false">
      <c r="A411" s="32"/>
      <c r="B411" s="32"/>
      <c r="C411" s="32"/>
      <c r="D411" s="35"/>
      <c r="E411" s="34"/>
      <c r="F411" s="34"/>
      <c r="G411" s="32"/>
      <c r="H411" s="35"/>
      <c r="I411" s="35"/>
      <c r="J411" s="35"/>
      <c r="K411" s="33"/>
    </row>
    <row r="412" customFormat="false" ht="15" hidden="false" customHeight="false" outlineLevel="0" collapsed="false">
      <c r="A412" s="32"/>
      <c r="B412" s="32"/>
      <c r="C412" s="32"/>
      <c r="D412" s="35"/>
      <c r="E412" s="34"/>
      <c r="F412" s="34"/>
      <c r="G412" s="32"/>
      <c r="H412" s="35"/>
      <c r="I412" s="35"/>
      <c r="J412" s="35"/>
      <c r="K412" s="33"/>
    </row>
    <row r="413" customFormat="false" ht="15" hidden="false" customHeight="false" outlineLevel="0" collapsed="false">
      <c r="A413" s="32"/>
      <c r="B413" s="32"/>
      <c r="C413" s="32"/>
      <c r="D413" s="35"/>
      <c r="E413" s="34"/>
      <c r="F413" s="34"/>
      <c r="G413" s="32"/>
      <c r="H413" s="35"/>
      <c r="I413" s="35"/>
      <c r="J413" s="35"/>
      <c r="K413" s="33"/>
    </row>
    <row r="414" customFormat="false" ht="15" hidden="false" customHeight="false" outlineLevel="0" collapsed="false">
      <c r="A414" s="32"/>
      <c r="B414" s="32"/>
      <c r="C414" s="32"/>
      <c r="D414" s="35"/>
      <c r="E414" s="34"/>
      <c r="F414" s="34"/>
      <c r="G414" s="32"/>
      <c r="H414" s="35"/>
      <c r="I414" s="35"/>
      <c r="J414" s="35"/>
      <c r="K414" s="33"/>
    </row>
    <row r="415" customFormat="false" ht="15" hidden="false" customHeight="false" outlineLevel="0" collapsed="false">
      <c r="A415" s="32"/>
      <c r="B415" s="32"/>
      <c r="C415" s="32"/>
      <c r="D415" s="35"/>
      <c r="E415" s="34"/>
      <c r="F415" s="34"/>
      <c r="G415" s="32"/>
      <c r="H415" s="35"/>
      <c r="I415" s="35"/>
      <c r="J415" s="35"/>
      <c r="K415" s="33"/>
    </row>
    <row r="416" customFormat="false" ht="15" hidden="false" customHeight="false" outlineLevel="0" collapsed="false">
      <c r="A416" s="32"/>
      <c r="B416" s="32"/>
      <c r="C416" s="32"/>
      <c r="D416" s="35"/>
      <c r="E416" s="34"/>
      <c r="F416" s="34"/>
      <c r="G416" s="32"/>
      <c r="H416" s="35"/>
      <c r="I416" s="35"/>
      <c r="J416" s="35"/>
      <c r="K416" s="33"/>
    </row>
    <row r="417" customFormat="false" ht="15" hidden="false" customHeight="false" outlineLevel="0" collapsed="false">
      <c r="A417" s="32"/>
      <c r="B417" s="32"/>
      <c r="C417" s="32"/>
      <c r="D417" s="35"/>
      <c r="E417" s="34"/>
      <c r="F417" s="34"/>
      <c r="G417" s="32"/>
      <c r="H417" s="35"/>
      <c r="I417" s="35"/>
      <c r="J417" s="35"/>
      <c r="K417" s="33"/>
    </row>
    <row r="418" customFormat="false" ht="15" hidden="false" customHeight="false" outlineLevel="0" collapsed="false">
      <c r="A418" s="32"/>
      <c r="B418" s="32"/>
      <c r="C418" s="32"/>
      <c r="D418" s="35"/>
      <c r="E418" s="34"/>
      <c r="F418" s="34"/>
      <c r="G418" s="32"/>
      <c r="H418" s="35"/>
      <c r="I418" s="35"/>
      <c r="J418" s="35"/>
      <c r="K418" s="33"/>
    </row>
    <row r="419" customFormat="false" ht="15" hidden="false" customHeight="false" outlineLevel="0" collapsed="false">
      <c r="A419" s="32"/>
      <c r="B419" s="32"/>
      <c r="C419" s="32"/>
      <c r="D419" s="35"/>
      <c r="E419" s="34"/>
      <c r="F419" s="34"/>
      <c r="G419" s="32"/>
      <c r="H419" s="35"/>
      <c r="I419" s="35"/>
      <c r="J419" s="35"/>
      <c r="K419" s="33"/>
    </row>
    <row r="420" customFormat="false" ht="15" hidden="false" customHeight="false" outlineLevel="0" collapsed="false">
      <c r="A420" s="32"/>
      <c r="B420" s="32"/>
      <c r="C420" s="32"/>
      <c r="D420" s="35"/>
      <c r="E420" s="34"/>
      <c r="F420" s="34"/>
      <c r="G420" s="32"/>
      <c r="H420" s="35"/>
      <c r="I420" s="35"/>
      <c r="J420" s="35"/>
      <c r="K420" s="33"/>
    </row>
    <row r="421" customFormat="false" ht="15" hidden="false" customHeight="false" outlineLevel="0" collapsed="false">
      <c r="A421" s="32"/>
      <c r="B421" s="32"/>
      <c r="C421" s="32"/>
      <c r="D421" s="35"/>
      <c r="E421" s="34"/>
      <c r="F421" s="34"/>
      <c r="G421" s="32"/>
      <c r="H421" s="35"/>
      <c r="I421" s="35"/>
      <c r="J421" s="35"/>
      <c r="K421" s="33"/>
    </row>
    <row r="422" customFormat="false" ht="15" hidden="false" customHeight="false" outlineLevel="0" collapsed="false">
      <c r="A422" s="32"/>
      <c r="B422" s="32"/>
      <c r="C422" s="32"/>
      <c r="D422" s="35"/>
      <c r="E422" s="34"/>
      <c r="F422" s="34"/>
      <c r="G422" s="32"/>
      <c r="H422" s="35"/>
      <c r="I422" s="35"/>
      <c r="J422" s="35"/>
      <c r="K422" s="33"/>
    </row>
    <row r="423" customFormat="false" ht="15" hidden="false" customHeight="false" outlineLevel="0" collapsed="false">
      <c r="A423" s="32"/>
      <c r="B423" s="32"/>
      <c r="C423" s="32"/>
      <c r="D423" s="35"/>
      <c r="E423" s="34"/>
      <c r="F423" s="34"/>
      <c r="G423" s="32"/>
      <c r="H423" s="35"/>
      <c r="I423" s="35"/>
      <c r="J423" s="35"/>
      <c r="K423" s="33"/>
    </row>
    <row r="424" customFormat="false" ht="15" hidden="false" customHeight="false" outlineLevel="0" collapsed="false">
      <c r="A424" s="32"/>
      <c r="B424" s="32"/>
      <c r="C424" s="32"/>
      <c r="D424" s="35"/>
      <c r="E424" s="34"/>
      <c r="F424" s="34"/>
      <c r="G424" s="32"/>
      <c r="H424" s="35"/>
      <c r="I424" s="35"/>
      <c r="J424" s="35"/>
      <c r="K424" s="33"/>
    </row>
    <row r="425" customFormat="false" ht="15" hidden="false" customHeight="false" outlineLevel="0" collapsed="false">
      <c r="A425" s="32"/>
      <c r="B425" s="32"/>
      <c r="C425" s="32"/>
      <c r="D425" s="35"/>
      <c r="E425" s="34"/>
      <c r="F425" s="34"/>
      <c r="G425" s="32"/>
      <c r="H425" s="35"/>
      <c r="I425" s="35"/>
      <c r="J425" s="35"/>
      <c r="K425" s="33"/>
    </row>
    <row r="426" customFormat="false" ht="15" hidden="false" customHeight="false" outlineLevel="0" collapsed="false">
      <c r="A426" s="32"/>
      <c r="B426" s="32"/>
      <c r="C426" s="32"/>
      <c r="D426" s="35"/>
      <c r="E426" s="34"/>
      <c r="F426" s="34"/>
      <c r="G426" s="32"/>
      <c r="H426" s="35"/>
      <c r="I426" s="35"/>
      <c r="J426" s="35"/>
      <c r="K426" s="33"/>
    </row>
    <row r="427" customFormat="false" ht="15" hidden="false" customHeight="false" outlineLevel="0" collapsed="false">
      <c r="A427" s="32"/>
      <c r="B427" s="32"/>
      <c r="C427" s="32"/>
      <c r="D427" s="35"/>
      <c r="E427" s="34"/>
      <c r="F427" s="34"/>
      <c r="G427" s="32"/>
      <c r="H427" s="35"/>
      <c r="I427" s="35"/>
      <c r="J427" s="35"/>
      <c r="K427" s="33"/>
    </row>
    <row r="428" customFormat="false" ht="15" hidden="false" customHeight="false" outlineLevel="0" collapsed="false">
      <c r="A428" s="32"/>
      <c r="B428" s="32"/>
      <c r="C428" s="32"/>
      <c r="D428" s="35"/>
      <c r="E428" s="34"/>
      <c r="F428" s="34"/>
      <c r="G428" s="32"/>
      <c r="H428" s="35"/>
      <c r="I428" s="35"/>
      <c r="J428" s="35"/>
      <c r="K428" s="33"/>
    </row>
    <row r="429" customFormat="false" ht="15" hidden="false" customHeight="false" outlineLevel="0" collapsed="false">
      <c r="A429" s="32"/>
      <c r="B429" s="32"/>
      <c r="C429" s="32"/>
      <c r="D429" s="35"/>
      <c r="E429" s="34"/>
      <c r="F429" s="34"/>
      <c r="G429" s="32"/>
      <c r="H429" s="35"/>
      <c r="I429" s="35"/>
      <c r="J429" s="35"/>
      <c r="K429" s="33"/>
    </row>
    <row r="430" customFormat="false" ht="15" hidden="false" customHeight="false" outlineLevel="0" collapsed="false">
      <c r="A430" s="32"/>
      <c r="B430" s="32"/>
      <c r="C430" s="32"/>
      <c r="D430" s="35"/>
      <c r="E430" s="34"/>
      <c r="F430" s="34"/>
      <c r="G430" s="32"/>
      <c r="H430" s="35"/>
      <c r="I430" s="35"/>
      <c r="J430" s="35"/>
      <c r="K430" s="33"/>
    </row>
    <row r="431" customFormat="false" ht="15" hidden="false" customHeight="false" outlineLevel="0" collapsed="false">
      <c r="A431" s="32"/>
      <c r="B431" s="32"/>
      <c r="C431" s="32"/>
      <c r="D431" s="35"/>
      <c r="E431" s="34"/>
      <c r="F431" s="34"/>
      <c r="G431" s="32"/>
      <c r="H431" s="35"/>
      <c r="I431" s="35"/>
      <c r="J431" s="35"/>
      <c r="K431" s="33"/>
    </row>
    <row r="432" customFormat="false" ht="15" hidden="false" customHeight="false" outlineLevel="0" collapsed="false">
      <c r="A432" s="32"/>
      <c r="B432" s="32"/>
      <c r="C432" s="32"/>
      <c r="D432" s="35"/>
      <c r="E432" s="34"/>
      <c r="F432" s="34"/>
      <c r="G432" s="32"/>
      <c r="H432" s="35"/>
      <c r="I432" s="35"/>
      <c r="J432" s="35"/>
      <c r="K432" s="33"/>
    </row>
    <row r="433" customFormat="false" ht="15" hidden="false" customHeight="false" outlineLevel="0" collapsed="false">
      <c r="A433" s="32"/>
      <c r="B433" s="32"/>
      <c r="C433" s="32"/>
      <c r="D433" s="35"/>
      <c r="E433" s="34"/>
      <c r="F433" s="34"/>
      <c r="G433" s="32"/>
      <c r="H433" s="35"/>
      <c r="I433" s="35"/>
      <c r="J433" s="35"/>
      <c r="K433" s="33"/>
    </row>
    <row r="434" customFormat="false" ht="15" hidden="false" customHeight="false" outlineLevel="0" collapsed="false">
      <c r="A434" s="32"/>
      <c r="B434" s="32"/>
      <c r="C434" s="32"/>
      <c r="D434" s="35"/>
      <c r="E434" s="34"/>
      <c r="F434" s="34"/>
      <c r="G434" s="32"/>
      <c r="H434" s="35"/>
      <c r="I434" s="35"/>
      <c r="J434" s="35"/>
      <c r="K434" s="33"/>
    </row>
    <row r="435" customFormat="false" ht="15" hidden="false" customHeight="false" outlineLevel="0" collapsed="false">
      <c r="A435" s="32"/>
      <c r="B435" s="32"/>
      <c r="C435" s="32"/>
      <c r="D435" s="35"/>
      <c r="E435" s="34"/>
      <c r="F435" s="34"/>
      <c r="G435" s="32"/>
      <c r="H435" s="35"/>
      <c r="I435" s="35"/>
      <c r="J435" s="35"/>
      <c r="K435" s="33"/>
    </row>
    <row r="436" customFormat="false" ht="15" hidden="false" customHeight="false" outlineLevel="0" collapsed="false">
      <c r="A436" s="32"/>
      <c r="B436" s="32"/>
      <c r="C436" s="32"/>
      <c r="D436" s="35"/>
      <c r="E436" s="34"/>
      <c r="F436" s="34"/>
      <c r="G436" s="32"/>
      <c r="H436" s="35"/>
      <c r="I436" s="35"/>
      <c r="J436" s="35"/>
      <c r="K436" s="33"/>
    </row>
    <row r="437" customFormat="false" ht="15" hidden="false" customHeight="false" outlineLevel="0" collapsed="false">
      <c r="A437" s="32"/>
      <c r="B437" s="32"/>
      <c r="C437" s="32"/>
      <c r="D437" s="35"/>
      <c r="E437" s="34"/>
      <c r="F437" s="34"/>
      <c r="G437" s="32"/>
      <c r="H437" s="35"/>
      <c r="I437" s="35"/>
      <c r="J437" s="35"/>
      <c r="K437" s="33"/>
    </row>
    <row r="438" customFormat="false" ht="15" hidden="false" customHeight="false" outlineLevel="0" collapsed="false">
      <c r="A438" s="32"/>
      <c r="B438" s="32"/>
      <c r="C438" s="32"/>
      <c r="D438" s="35"/>
      <c r="E438" s="34"/>
      <c r="F438" s="34"/>
      <c r="G438" s="32"/>
      <c r="H438" s="35"/>
      <c r="I438" s="35"/>
      <c r="J438" s="35"/>
      <c r="K438" s="33"/>
    </row>
    <row r="439" customFormat="false" ht="15" hidden="false" customHeight="false" outlineLevel="0" collapsed="false">
      <c r="A439" s="32"/>
      <c r="B439" s="32"/>
      <c r="C439" s="32"/>
      <c r="D439" s="35"/>
      <c r="E439" s="34"/>
      <c r="F439" s="34"/>
      <c r="G439" s="32"/>
      <c r="H439" s="35"/>
      <c r="I439" s="35"/>
      <c r="J439" s="35"/>
      <c r="K439" s="33"/>
    </row>
    <row r="440" customFormat="false" ht="15" hidden="false" customHeight="false" outlineLevel="0" collapsed="false">
      <c r="A440" s="32"/>
      <c r="B440" s="32"/>
      <c r="C440" s="32"/>
      <c r="D440" s="35"/>
      <c r="E440" s="34"/>
      <c r="F440" s="34"/>
      <c r="G440" s="32"/>
      <c r="H440" s="35"/>
      <c r="I440" s="35"/>
      <c r="J440" s="35"/>
      <c r="K440" s="33"/>
    </row>
    <row r="441" customFormat="false" ht="15" hidden="false" customHeight="false" outlineLevel="0" collapsed="false">
      <c r="A441" s="32"/>
      <c r="B441" s="32"/>
      <c r="C441" s="32"/>
      <c r="D441" s="35"/>
      <c r="E441" s="34"/>
      <c r="F441" s="34"/>
      <c r="G441" s="32"/>
      <c r="H441" s="35"/>
      <c r="I441" s="35"/>
      <c r="J441" s="35"/>
      <c r="K441" s="33"/>
    </row>
    <row r="442" customFormat="false" ht="15" hidden="false" customHeight="false" outlineLevel="0" collapsed="false">
      <c r="A442" s="32"/>
      <c r="B442" s="32"/>
      <c r="C442" s="32"/>
      <c r="D442" s="35"/>
      <c r="E442" s="34"/>
      <c r="F442" s="34"/>
      <c r="G442" s="32"/>
      <c r="H442" s="35"/>
      <c r="I442" s="35"/>
      <c r="J442" s="35"/>
      <c r="K442" s="33"/>
    </row>
    <row r="443" customFormat="false" ht="15" hidden="false" customHeight="false" outlineLevel="0" collapsed="false">
      <c r="A443" s="32"/>
      <c r="B443" s="32"/>
      <c r="C443" s="32"/>
      <c r="D443" s="35"/>
      <c r="E443" s="34"/>
      <c r="F443" s="34"/>
      <c r="G443" s="32"/>
      <c r="H443" s="35"/>
      <c r="I443" s="35"/>
      <c r="J443" s="35"/>
      <c r="K443" s="33"/>
    </row>
    <row r="444" customFormat="false" ht="15" hidden="false" customHeight="false" outlineLevel="0" collapsed="false">
      <c r="A444" s="32"/>
      <c r="B444" s="32"/>
      <c r="C444" s="32"/>
      <c r="D444" s="35"/>
      <c r="E444" s="34"/>
      <c r="F444" s="34"/>
      <c r="G444" s="32"/>
      <c r="H444" s="35"/>
      <c r="I444" s="35"/>
      <c r="J444" s="35"/>
      <c r="K444" s="33"/>
    </row>
    <row r="445" customFormat="false" ht="15" hidden="false" customHeight="false" outlineLevel="0" collapsed="false">
      <c r="A445" s="32"/>
      <c r="B445" s="32"/>
      <c r="C445" s="32"/>
      <c r="D445" s="35"/>
      <c r="E445" s="34"/>
      <c r="F445" s="34"/>
      <c r="G445" s="32"/>
      <c r="H445" s="35"/>
      <c r="I445" s="35"/>
      <c r="J445" s="35"/>
      <c r="K445" s="33"/>
    </row>
    <row r="446" customFormat="false" ht="15" hidden="false" customHeight="false" outlineLevel="0" collapsed="false">
      <c r="A446" s="32"/>
      <c r="B446" s="32"/>
      <c r="C446" s="32"/>
      <c r="D446" s="35"/>
      <c r="E446" s="34"/>
      <c r="F446" s="34"/>
      <c r="G446" s="32"/>
      <c r="H446" s="35"/>
      <c r="I446" s="35"/>
      <c r="J446" s="35"/>
      <c r="K446" s="33"/>
    </row>
    <row r="447" customFormat="false" ht="15" hidden="false" customHeight="false" outlineLevel="0" collapsed="false">
      <c r="A447" s="32"/>
      <c r="B447" s="32"/>
      <c r="C447" s="32"/>
      <c r="D447" s="35"/>
      <c r="E447" s="34"/>
      <c r="F447" s="34"/>
      <c r="G447" s="32"/>
      <c r="H447" s="35"/>
      <c r="I447" s="35"/>
      <c r="J447" s="35"/>
      <c r="K447" s="33"/>
    </row>
    <row r="448" customFormat="false" ht="15" hidden="false" customHeight="false" outlineLevel="0" collapsed="false">
      <c r="A448" s="32"/>
      <c r="B448" s="32"/>
      <c r="C448" s="32"/>
      <c r="D448" s="35"/>
      <c r="E448" s="34"/>
      <c r="F448" s="34"/>
      <c r="G448" s="32"/>
      <c r="H448" s="35"/>
      <c r="I448" s="35"/>
      <c r="J448" s="35"/>
      <c r="K448" s="33"/>
    </row>
    <row r="449" customFormat="false" ht="15" hidden="false" customHeight="false" outlineLevel="0" collapsed="false">
      <c r="A449" s="32"/>
      <c r="B449" s="32"/>
      <c r="C449" s="32"/>
      <c r="D449" s="35"/>
      <c r="E449" s="34"/>
      <c r="F449" s="34"/>
      <c r="G449" s="32"/>
      <c r="H449" s="35"/>
      <c r="I449" s="35"/>
      <c r="J449" s="35"/>
      <c r="K449" s="33"/>
    </row>
    <row r="450" customFormat="false" ht="15" hidden="false" customHeight="false" outlineLevel="0" collapsed="false">
      <c r="A450" s="32"/>
      <c r="B450" s="32"/>
      <c r="C450" s="32"/>
      <c r="D450" s="35"/>
      <c r="E450" s="34"/>
      <c r="F450" s="34"/>
      <c r="G450" s="32"/>
      <c r="H450" s="35"/>
      <c r="I450" s="35"/>
      <c r="J450" s="35"/>
      <c r="K450" s="33"/>
    </row>
    <row r="451" customFormat="false" ht="15" hidden="false" customHeight="false" outlineLevel="0" collapsed="false">
      <c r="A451" s="32"/>
      <c r="B451" s="32"/>
      <c r="C451" s="32"/>
      <c r="D451" s="35"/>
      <c r="E451" s="34"/>
      <c r="F451" s="34"/>
      <c r="G451" s="32"/>
      <c r="H451" s="35"/>
      <c r="I451" s="35"/>
      <c r="J451" s="35"/>
      <c r="K451" s="33"/>
    </row>
    <row r="452" customFormat="false" ht="15" hidden="false" customHeight="false" outlineLevel="0" collapsed="false">
      <c r="A452" s="32"/>
      <c r="B452" s="32"/>
      <c r="C452" s="32"/>
      <c r="D452" s="35"/>
      <c r="E452" s="34"/>
      <c r="F452" s="34"/>
      <c r="G452" s="32"/>
      <c r="H452" s="35"/>
      <c r="I452" s="35"/>
      <c r="J452" s="35"/>
      <c r="K452" s="33"/>
    </row>
    <row r="453" customFormat="false" ht="15" hidden="false" customHeight="false" outlineLevel="0" collapsed="false">
      <c r="A453" s="32"/>
      <c r="B453" s="32"/>
      <c r="C453" s="32"/>
      <c r="D453" s="35"/>
      <c r="E453" s="34"/>
      <c r="F453" s="34"/>
      <c r="G453" s="32"/>
      <c r="H453" s="35"/>
      <c r="I453" s="35"/>
      <c r="J453" s="35"/>
      <c r="K453" s="33"/>
    </row>
    <row r="454" customFormat="false" ht="15" hidden="false" customHeight="false" outlineLevel="0" collapsed="false">
      <c r="A454" s="32"/>
      <c r="B454" s="32"/>
      <c r="C454" s="32"/>
      <c r="D454" s="35"/>
      <c r="E454" s="34"/>
      <c r="F454" s="34"/>
      <c r="G454" s="32"/>
      <c r="H454" s="35"/>
      <c r="I454" s="35"/>
      <c r="J454" s="35"/>
      <c r="K454" s="33"/>
    </row>
    <row r="455" customFormat="false" ht="15" hidden="false" customHeight="false" outlineLevel="0" collapsed="false">
      <c r="A455" s="32"/>
      <c r="B455" s="32"/>
      <c r="C455" s="32"/>
      <c r="D455" s="35"/>
      <c r="E455" s="34"/>
      <c r="F455" s="34"/>
      <c r="G455" s="32"/>
      <c r="H455" s="35"/>
      <c r="I455" s="35"/>
      <c r="J455" s="35"/>
      <c r="K455" s="33"/>
    </row>
    <row r="456" customFormat="false" ht="15" hidden="false" customHeight="false" outlineLevel="0" collapsed="false">
      <c r="A456" s="32"/>
      <c r="B456" s="32"/>
      <c r="C456" s="32"/>
      <c r="D456" s="35"/>
      <c r="E456" s="34"/>
      <c r="F456" s="34"/>
      <c r="G456" s="32"/>
      <c r="H456" s="35"/>
      <c r="I456" s="35"/>
      <c r="J456" s="35"/>
      <c r="K456" s="33"/>
    </row>
    <row r="457" customFormat="false" ht="15" hidden="false" customHeight="false" outlineLevel="0" collapsed="false">
      <c r="A457" s="32"/>
      <c r="B457" s="32"/>
      <c r="C457" s="32"/>
      <c r="D457" s="35"/>
      <c r="E457" s="34"/>
      <c r="F457" s="34"/>
      <c r="G457" s="32"/>
      <c r="H457" s="35"/>
      <c r="I457" s="35"/>
      <c r="J457" s="35"/>
      <c r="K457" s="33"/>
    </row>
    <row r="458" customFormat="false" ht="15" hidden="false" customHeight="false" outlineLevel="0" collapsed="false">
      <c r="A458" s="32"/>
      <c r="B458" s="32"/>
      <c r="C458" s="32"/>
      <c r="D458" s="35"/>
      <c r="E458" s="34"/>
      <c r="F458" s="34"/>
      <c r="G458" s="32"/>
      <c r="H458" s="35"/>
      <c r="I458" s="35"/>
      <c r="J458" s="35"/>
      <c r="K458" s="33"/>
    </row>
    <row r="459" customFormat="false" ht="15" hidden="false" customHeight="false" outlineLevel="0" collapsed="false">
      <c r="A459" s="32"/>
      <c r="B459" s="32"/>
      <c r="C459" s="32"/>
      <c r="D459" s="35"/>
      <c r="E459" s="34"/>
      <c r="F459" s="34"/>
      <c r="G459" s="32"/>
      <c r="H459" s="35"/>
      <c r="I459" s="35"/>
      <c r="J459" s="35"/>
      <c r="K459" s="33"/>
    </row>
    <row r="460" customFormat="false" ht="15" hidden="false" customHeight="false" outlineLevel="0" collapsed="false">
      <c r="A460" s="32"/>
      <c r="B460" s="32"/>
      <c r="C460" s="32"/>
      <c r="D460" s="35"/>
      <c r="E460" s="34"/>
      <c r="F460" s="34"/>
      <c r="G460" s="32"/>
      <c r="H460" s="35"/>
      <c r="I460" s="35"/>
      <c r="J460" s="35"/>
      <c r="K460" s="33"/>
    </row>
    <row r="461" customFormat="false" ht="15" hidden="false" customHeight="false" outlineLevel="0" collapsed="false">
      <c r="A461" s="32"/>
      <c r="B461" s="32"/>
      <c r="C461" s="32"/>
      <c r="D461" s="35"/>
      <c r="E461" s="34"/>
      <c r="F461" s="34"/>
      <c r="G461" s="32"/>
      <c r="H461" s="35"/>
      <c r="I461" s="35"/>
      <c r="J461" s="35"/>
      <c r="K461" s="33"/>
    </row>
    <row r="462" customFormat="false" ht="15" hidden="false" customHeight="false" outlineLevel="0" collapsed="false">
      <c r="A462" s="32"/>
      <c r="B462" s="32"/>
      <c r="C462" s="32"/>
      <c r="D462" s="35"/>
      <c r="E462" s="34"/>
      <c r="F462" s="34"/>
      <c r="G462" s="32"/>
      <c r="H462" s="35"/>
      <c r="I462" s="35"/>
      <c r="J462" s="35"/>
      <c r="K462" s="33"/>
    </row>
    <row r="463" customFormat="false" ht="15" hidden="false" customHeight="false" outlineLevel="0" collapsed="false">
      <c r="A463" s="32"/>
      <c r="B463" s="32"/>
      <c r="C463" s="32"/>
      <c r="D463" s="35"/>
      <c r="E463" s="34"/>
      <c r="F463" s="34"/>
      <c r="G463" s="32"/>
      <c r="H463" s="35"/>
      <c r="I463" s="35"/>
      <c r="J463" s="35"/>
      <c r="K463" s="33"/>
    </row>
    <row r="464" customFormat="false" ht="15" hidden="false" customHeight="false" outlineLevel="0" collapsed="false">
      <c r="A464" s="32"/>
      <c r="B464" s="32"/>
      <c r="C464" s="32"/>
      <c r="D464" s="35"/>
      <c r="E464" s="34"/>
      <c r="F464" s="34"/>
      <c r="G464" s="32"/>
      <c r="H464" s="35"/>
      <c r="I464" s="35"/>
      <c r="J464" s="35"/>
      <c r="K464" s="33"/>
    </row>
    <row r="465" customFormat="false" ht="15" hidden="false" customHeight="false" outlineLevel="0" collapsed="false">
      <c r="A465" s="32"/>
      <c r="B465" s="32"/>
      <c r="C465" s="32"/>
      <c r="D465" s="35"/>
      <c r="E465" s="34"/>
      <c r="F465" s="34"/>
      <c r="G465" s="32"/>
      <c r="H465" s="35"/>
      <c r="I465" s="35"/>
      <c r="J465" s="35"/>
      <c r="K465" s="33"/>
    </row>
    <row r="466" customFormat="false" ht="15" hidden="false" customHeight="false" outlineLevel="0" collapsed="false">
      <c r="A466" s="32"/>
      <c r="B466" s="32"/>
      <c r="C466" s="32"/>
      <c r="D466" s="35"/>
      <c r="E466" s="34"/>
      <c r="F466" s="34"/>
      <c r="G466" s="32"/>
      <c r="H466" s="35"/>
      <c r="I466" s="35"/>
      <c r="J466" s="35"/>
      <c r="K466" s="33"/>
    </row>
    <row r="467" customFormat="false" ht="15" hidden="false" customHeight="false" outlineLevel="0" collapsed="false">
      <c r="A467" s="32"/>
      <c r="B467" s="32"/>
      <c r="C467" s="32"/>
      <c r="D467" s="35"/>
      <c r="E467" s="34"/>
      <c r="F467" s="34"/>
      <c r="G467" s="32"/>
      <c r="H467" s="35"/>
      <c r="I467" s="35"/>
      <c r="J467" s="35"/>
      <c r="K467" s="33"/>
    </row>
    <row r="468" customFormat="false" ht="15" hidden="false" customHeight="false" outlineLevel="0" collapsed="false">
      <c r="A468" s="32"/>
      <c r="B468" s="32"/>
      <c r="C468" s="32"/>
      <c r="D468" s="35"/>
      <c r="E468" s="34"/>
      <c r="F468" s="34"/>
      <c r="G468" s="32"/>
      <c r="H468" s="35"/>
      <c r="I468" s="35"/>
      <c r="J468" s="35"/>
      <c r="K468" s="33"/>
    </row>
    <row r="469" customFormat="false" ht="15" hidden="false" customHeight="false" outlineLevel="0" collapsed="false">
      <c r="A469" s="32"/>
      <c r="B469" s="32"/>
      <c r="C469" s="32"/>
      <c r="D469" s="35"/>
      <c r="E469" s="34"/>
      <c r="F469" s="34"/>
      <c r="G469" s="32"/>
      <c r="H469" s="35"/>
      <c r="I469" s="35"/>
      <c r="J469" s="35"/>
      <c r="K469" s="33"/>
    </row>
    <row r="470" customFormat="false" ht="15" hidden="false" customHeight="false" outlineLevel="0" collapsed="false">
      <c r="A470" s="32"/>
      <c r="B470" s="32"/>
      <c r="C470" s="32"/>
      <c r="D470" s="35"/>
      <c r="E470" s="34"/>
      <c r="F470" s="34"/>
      <c r="G470" s="32"/>
      <c r="H470" s="35"/>
      <c r="I470" s="35"/>
      <c r="J470" s="35"/>
      <c r="K470" s="33"/>
    </row>
    <row r="471" customFormat="false" ht="15" hidden="false" customHeight="false" outlineLevel="0" collapsed="false">
      <c r="A471" s="32"/>
      <c r="B471" s="32"/>
      <c r="C471" s="32"/>
      <c r="D471" s="35"/>
      <c r="E471" s="34"/>
      <c r="F471" s="34"/>
      <c r="G471" s="32"/>
      <c r="H471" s="35"/>
      <c r="I471" s="35"/>
      <c r="J471" s="35"/>
      <c r="K471" s="33"/>
    </row>
    <row r="472" customFormat="false" ht="15" hidden="false" customHeight="false" outlineLevel="0" collapsed="false">
      <c r="A472" s="32"/>
      <c r="B472" s="32"/>
      <c r="C472" s="32"/>
      <c r="D472" s="35"/>
      <c r="E472" s="34"/>
      <c r="F472" s="34"/>
      <c r="G472" s="32"/>
      <c r="H472" s="35"/>
      <c r="I472" s="35"/>
      <c r="J472" s="35"/>
      <c r="K472" s="33"/>
    </row>
    <row r="473" customFormat="false" ht="15" hidden="false" customHeight="false" outlineLevel="0" collapsed="false">
      <c r="A473" s="32"/>
      <c r="B473" s="32"/>
      <c r="C473" s="32"/>
      <c r="D473" s="35"/>
      <c r="E473" s="34"/>
      <c r="F473" s="34"/>
      <c r="G473" s="32"/>
      <c r="H473" s="35"/>
      <c r="I473" s="35"/>
      <c r="J473" s="35"/>
      <c r="K473" s="33"/>
    </row>
    <row r="474" customFormat="false" ht="15" hidden="false" customHeight="false" outlineLevel="0" collapsed="false">
      <c r="A474" s="32"/>
      <c r="B474" s="32"/>
      <c r="C474" s="32"/>
      <c r="D474" s="35"/>
      <c r="E474" s="34"/>
      <c r="F474" s="34"/>
      <c r="G474" s="32"/>
      <c r="H474" s="35"/>
      <c r="I474" s="35"/>
      <c r="J474" s="35"/>
      <c r="K474" s="33"/>
    </row>
    <row r="475" customFormat="false" ht="15" hidden="false" customHeight="false" outlineLevel="0" collapsed="false">
      <c r="A475" s="32"/>
      <c r="B475" s="32"/>
      <c r="C475" s="32"/>
      <c r="D475" s="35"/>
      <c r="E475" s="34"/>
      <c r="F475" s="34"/>
      <c r="G475" s="32"/>
      <c r="H475" s="35"/>
      <c r="I475" s="35"/>
      <c r="J475" s="35"/>
      <c r="K475" s="33"/>
    </row>
    <row r="476" customFormat="false" ht="15" hidden="false" customHeight="false" outlineLevel="0" collapsed="false">
      <c r="A476" s="32"/>
      <c r="B476" s="32"/>
      <c r="C476" s="32"/>
      <c r="D476" s="35"/>
      <c r="E476" s="34"/>
      <c r="F476" s="34"/>
      <c r="G476" s="32"/>
      <c r="H476" s="35"/>
      <c r="I476" s="35"/>
      <c r="J476" s="35"/>
      <c r="K476" s="33"/>
    </row>
    <row r="477" customFormat="false" ht="15" hidden="false" customHeight="false" outlineLevel="0" collapsed="false">
      <c r="A477" s="32"/>
      <c r="B477" s="32"/>
      <c r="C477" s="32"/>
      <c r="D477" s="35"/>
      <c r="E477" s="34"/>
      <c r="F477" s="34"/>
      <c r="G477" s="32"/>
      <c r="H477" s="35"/>
      <c r="I477" s="35"/>
      <c r="J477" s="35"/>
      <c r="K477" s="33"/>
    </row>
    <row r="478" customFormat="false" ht="15" hidden="false" customHeight="false" outlineLevel="0" collapsed="false">
      <c r="A478" s="32"/>
      <c r="B478" s="32"/>
      <c r="C478" s="32"/>
      <c r="D478" s="35"/>
      <c r="E478" s="34"/>
      <c r="F478" s="34"/>
      <c r="G478" s="32"/>
      <c r="H478" s="35"/>
      <c r="I478" s="35"/>
      <c r="J478" s="35"/>
      <c r="K478" s="33"/>
    </row>
    <row r="479" customFormat="false" ht="15" hidden="false" customHeight="false" outlineLevel="0" collapsed="false">
      <c r="A479" s="32"/>
      <c r="B479" s="32"/>
      <c r="C479" s="32"/>
      <c r="D479" s="35"/>
      <c r="E479" s="34"/>
      <c r="F479" s="34"/>
      <c r="G479" s="32"/>
      <c r="H479" s="35"/>
      <c r="I479" s="35"/>
      <c r="J479" s="35"/>
      <c r="K479" s="33"/>
    </row>
    <row r="480" customFormat="false" ht="15" hidden="false" customHeight="false" outlineLevel="0" collapsed="false">
      <c r="A480" s="32"/>
      <c r="B480" s="32"/>
      <c r="C480" s="32"/>
      <c r="D480" s="35"/>
      <c r="E480" s="34"/>
      <c r="F480" s="34"/>
      <c r="G480" s="32"/>
      <c r="H480" s="35"/>
      <c r="I480" s="35"/>
      <c r="J480" s="35"/>
      <c r="K480" s="33"/>
    </row>
    <row r="481" customFormat="false" ht="15" hidden="false" customHeight="false" outlineLevel="0" collapsed="false">
      <c r="A481" s="32"/>
      <c r="B481" s="32"/>
      <c r="C481" s="32"/>
      <c r="D481" s="35"/>
      <c r="E481" s="34"/>
      <c r="F481" s="34"/>
      <c r="G481" s="32"/>
      <c r="H481" s="35"/>
      <c r="I481" s="35"/>
      <c r="J481" s="35"/>
      <c r="K481" s="33"/>
    </row>
    <row r="482" customFormat="false" ht="15" hidden="false" customHeight="false" outlineLevel="0" collapsed="false">
      <c r="A482" s="32"/>
      <c r="B482" s="32"/>
      <c r="C482" s="32"/>
      <c r="D482" s="35"/>
      <c r="E482" s="34"/>
      <c r="F482" s="34"/>
      <c r="G482" s="32"/>
      <c r="H482" s="35"/>
      <c r="I482" s="35"/>
      <c r="J482" s="35"/>
      <c r="K482" s="33"/>
    </row>
    <row r="483" customFormat="false" ht="15" hidden="false" customHeight="false" outlineLevel="0" collapsed="false">
      <c r="A483" s="32"/>
      <c r="B483" s="32"/>
      <c r="C483" s="32"/>
      <c r="D483" s="35"/>
      <c r="E483" s="34"/>
      <c r="F483" s="34"/>
      <c r="G483" s="32"/>
      <c r="H483" s="35"/>
      <c r="I483" s="35"/>
      <c r="J483" s="35"/>
      <c r="K483" s="33"/>
    </row>
    <row r="484" customFormat="false" ht="15" hidden="false" customHeight="false" outlineLevel="0" collapsed="false">
      <c r="A484" s="32"/>
      <c r="B484" s="32"/>
      <c r="C484" s="32"/>
      <c r="D484" s="35"/>
      <c r="E484" s="34"/>
      <c r="F484" s="34"/>
      <c r="G484" s="32"/>
      <c r="H484" s="35"/>
      <c r="I484" s="35"/>
      <c r="J484" s="35"/>
      <c r="K484" s="33"/>
    </row>
    <row r="485" customFormat="false" ht="15" hidden="false" customHeight="false" outlineLevel="0" collapsed="false">
      <c r="A485" s="32"/>
      <c r="B485" s="32"/>
      <c r="C485" s="32"/>
      <c r="D485" s="35"/>
      <c r="E485" s="34"/>
      <c r="F485" s="34"/>
      <c r="G485" s="32"/>
      <c r="H485" s="35"/>
      <c r="I485" s="35"/>
      <c r="J485" s="35"/>
      <c r="K485" s="33"/>
    </row>
    <row r="486" customFormat="false" ht="15" hidden="false" customHeight="false" outlineLevel="0" collapsed="false">
      <c r="A486" s="32"/>
      <c r="B486" s="32"/>
      <c r="C486" s="32"/>
      <c r="D486" s="35"/>
      <c r="E486" s="34"/>
      <c r="F486" s="34"/>
      <c r="G486" s="32"/>
      <c r="H486" s="35"/>
      <c r="I486" s="35"/>
      <c r="J486" s="35"/>
      <c r="K486" s="33"/>
    </row>
    <row r="487" customFormat="false" ht="15" hidden="false" customHeight="false" outlineLevel="0" collapsed="false">
      <c r="A487" s="32"/>
      <c r="B487" s="32"/>
      <c r="C487" s="32"/>
      <c r="D487" s="35"/>
      <c r="E487" s="34"/>
      <c r="F487" s="34"/>
      <c r="G487" s="32"/>
      <c r="H487" s="35"/>
      <c r="I487" s="35"/>
      <c r="J487" s="35"/>
      <c r="K487" s="33"/>
    </row>
    <row r="488" customFormat="false" ht="15" hidden="false" customHeight="false" outlineLevel="0" collapsed="false">
      <c r="A488" s="32"/>
      <c r="B488" s="32"/>
      <c r="C488" s="32"/>
      <c r="D488" s="35"/>
      <c r="E488" s="34"/>
      <c r="F488" s="34"/>
      <c r="G488" s="32"/>
      <c r="H488" s="35"/>
      <c r="I488" s="35"/>
      <c r="J488" s="35"/>
      <c r="K488" s="33"/>
    </row>
    <row r="489" customFormat="false" ht="15" hidden="false" customHeight="false" outlineLevel="0" collapsed="false">
      <c r="A489" s="32"/>
      <c r="B489" s="32"/>
      <c r="C489" s="32"/>
      <c r="D489" s="35"/>
      <c r="E489" s="34"/>
      <c r="F489" s="34"/>
      <c r="G489" s="32"/>
      <c r="H489" s="35"/>
      <c r="I489" s="35"/>
      <c r="J489" s="35"/>
      <c r="K489" s="33"/>
    </row>
    <row r="490" customFormat="false" ht="15" hidden="false" customHeight="false" outlineLevel="0" collapsed="false">
      <c r="A490" s="32"/>
      <c r="B490" s="32"/>
      <c r="C490" s="32"/>
      <c r="D490" s="35"/>
      <c r="E490" s="34"/>
      <c r="F490" s="34"/>
      <c r="G490" s="32"/>
      <c r="H490" s="35"/>
      <c r="I490" s="35"/>
      <c r="J490" s="35"/>
      <c r="K490" s="33"/>
    </row>
    <row r="491" customFormat="false" ht="15" hidden="false" customHeight="false" outlineLevel="0" collapsed="false">
      <c r="A491" s="32"/>
      <c r="B491" s="32"/>
      <c r="C491" s="32"/>
      <c r="D491" s="35"/>
      <c r="E491" s="34"/>
      <c r="F491" s="34"/>
      <c r="G491" s="32"/>
      <c r="H491" s="35"/>
      <c r="I491" s="35"/>
      <c r="J491" s="35"/>
      <c r="K491" s="33"/>
    </row>
    <row r="492" customFormat="false" ht="15" hidden="false" customHeight="false" outlineLevel="0" collapsed="false">
      <c r="A492" s="32"/>
      <c r="B492" s="32"/>
      <c r="C492" s="32"/>
      <c r="D492" s="35"/>
      <c r="E492" s="34"/>
      <c r="F492" s="34"/>
      <c r="G492" s="32"/>
      <c r="H492" s="35"/>
      <c r="I492" s="35"/>
      <c r="J492" s="35"/>
      <c r="K492" s="33"/>
    </row>
    <row r="493" customFormat="false" ht="15" hidden="false" customHeight="false" outlineLevel="0" collapsed="false">
      <c r="A493" s="32"/>
      <c r="B493" s="32"/>
      <c r="C493" s="32"/>
      <c r="D493" s="35"/>
      <c r="E493" s="34"/>
      <c r="F493" s="34"/>
      <c r="G493" s="32"/>
      <c r="H493" s="35"/>
      <c r="I493" s="35"/>
      <c r="J493" s="35"/>
      <c r="K493" s="33"/>
    </row>
    <row r="494" customFormat="false" ht="15" hidden="false" customHeight="false" outlineLevel="0" collapsed="false">
      <c r="A494" s="32"/>
      <c r="B494" s="32"/>
      <c r="C494" s="32"/>
      <c r="D494" s="35"/>
      <c r="E494" s="34"/>
      <c r="F494" s="34"/>
      <c r="G494" s="32"/>
      <c r="H494" s="35"/>
      <c r="I494" s="35"/>
      <c r="J494" s="35"/>
      <c r="K494" s="33"/>
    </row>
    <row r="495" customFormat="false" ht="15" hidden="false" customHeight="false" outlineLevel="0" collapsed="false">
      <c r="A495" s="32"/>
      <c r="B495" s="32"/>
      <c r="C495" s="32"/>
      <c r="D495" s="35"/>
      <c r="E495" s="34"/>
      <c r="F495" s="34"/>
      <c r="G495" s="32"/>
      <c r="H495" s="35"/>
      <c r="I495" s="35"/>
      <c r="J495" s="35"/>
      <c r="K495" s="33"/>
    </row>
    <row r="496" customFormat="false" ht="15" hidden="false" customHeight="false" outlineLevel="0" collapsed="false">
      <c r="A496" s="32"/>
      <c r="B496" s="32"/>
      <c r="C496" s="32"/>
      <c r="D496" s="35"/>
      <c r="E496" s="34"/>
      <c r="F496" s="34"/>
      <c r="G496" s="32"/>
      <c r="H496" s="35"/>
      <c r="I496" s="35"/>
      <c r="J496" s="35"/>
      <c r="K496" s="33"/>
    </row>
    <row r="497" customFormat="false" ht="15" hidden="false" customHeight="false" outlineLevel="0" collapsed="false">
      <c r="A497" s="32"/>
      <c r="B497" s="32"/>
      <c r="C497" s="32"/>
      <c r="D497" s="35"/>
      <c r="E497" s="34"/>
      <c r="F497" s="34"/>
      <c r="G497" s="32"/>
      <c r="H497" s="35"/>
      <c r="I497" s="35"/>
      <c r="J497" s="35"/>
      <c r="K497" s="33"/>
    </row>
    <row r="498" customFormat="false" ht="15" hidden="false" customHeight="false" outlineLevel="0" collapsed="false">
      <c r="A498" s="32"/>
      <c r="B498" s="32"/>
      <c r="C498" s="32"/>
      <c r="D498" s="35"/>
      <c r="E498" s="34"/>
      <c r="F498" s="34"/>
      <c r="G498" s="32"/>
      <c r="H498" s="35"/>
      <c r="I498" s="35"/>
      <c r="J498" s="35"/>
      <c r="K498" s="33"/>
    </row>
    <row r="499" customFormat="false" ht="15" hidden="false" customHeight="false" outlineLevel="0" collapsed="false">
      <c r="A499" s="32"/>
      <c r="B499" s="32"/>
      <c r="C499" s="32"/>
      <c r="D499" s="35"/>
      <c r="E499" s="34"/>
      <c r="F499" s="34"/>
      <c r="G499" s="32"/>
      <c r="H499" s="35"/>
      <c r="I499" s="35"/>
      <c r="J499" s="35"/>
      <c r="K499" s="33"/>
    </row>
    <row r="500" customFormat="false" ht="15" hidden="false" customHeight="false" outlineLevel="0" collapsed="false">
      <c r="A500" s="32"/>
      <c r="B500" s="32"/>
      <c r="C500" s="32"/>
      <c r="D500" s="35"/>
      <c r="E500" s="34"/>
      <c r="F500" s="34"/>
      <c r="G500" s="32"/>
      <c r="H500" s="35"/>
      <c r="I500" s="35"/>
      <c r="J500" s="35"/>
      <c r="K500" s="33"/>
    </row>
    <row r="501" customFormat="false" ht="15" hidden="false" customHeight="false" outlineLevel="0" collapsed="false">
      <c r="A501" s="32"/>
      <c r="B501" s="32"/>
      <c r="C501" s="32"/>
      <c r="D501" s="35"/>
      <c r="E501" s="34"/>
      <c r="F501" s="34"/>
      <c r="G501" s="32"/>
      <c r="H501" s="35"/>
      <c r="I501" s="35"/>
      <c r="J501" s="35"/>
      <c r="K501" s="33"/>
    </row>
  </sheetData>
  <autoFilter ref="A1:K501"/>
  <conditionalFormatting sqref="G2:G501">
    <cfRule type="expression" priority="2" aboveAverage="0" equalAverage="0" bottom="0" percent="0" rank="0" text="" dxfId="16">
      <formula>OR(G2="Done",G2="Closed",G2="Complete",G2="Paid")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D2:D501 H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E2:E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lst_PaymentStatus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5" min="13" style="0" width="13"/>
    <col collapsed="false" customWidth="true" hidden="false" outlineLevel="0" max="16" min="16" style="0" width="12"/>
    <col collapsed="false" customWidth="true" hidden="false" outlineLevel="0" max="17" min="17" style="0" width="28"/>
    <col collapsed="false" customWidth="true" hidden="false" outlineLevel="0" max="19" min="18" style="0" width="14"/>
  </cols>
  <sheetData>
    <row r="1" customFormat="false" ht="33.75" hidden="false" customHeight="true" outlineLevel="0" collapsed="false">
      <c r="A1" s="17" t="s">
        <v>110</v>
      </c>
      <c r="B1" s="17" t="s">
        <v>279</v>
      </c>
      <c r="C1" s="17" t="s">
        <v>280</v>
      </c>
      <c r="D1" s="17" t="s">
        <v>281</v>
      </c>
      <c r="E1" s="17" t="s">
        <v>282</v>
      </c>
      <c r="F1" s="17" t="s">
        <v>283</v>
      </c>
      <c r="G1" s="17" t="s">
        <v>217</v>
      </c>
      <c r="H1" s="17" t="s">
        <v>284</v>
      </c>
      <c r="I1" s="17" t="s">
        <v>285</v>
      </c>
      <c r="J1" s="17" t="s">
        <v>286</v>
      </c>
      <c r="K1" s="17" t="s">
        <v>287</v>
      </c>
      <c r="L1" s="17" t="s">
        <v>288</v>
      </c>
      <c r="M1" s="17" t="s">
        <v>289</v>
      </c>
      <c r="N1" s="17" t="s">
        <v>171</v>
      </c>
      <c r="O1" s="17" t="s">
        <v>290</v>
      </c>
      <c r="P1" s="17" t="s">
        <v>111</v>
      </c>
      <c r="Q1" s="17" t="s">
        <v>235</v>
      </c>
      <c r="R1" s="31" t="s">
        <v>291</v>
      </c>
      <c r="S1" s="31" t="s">
        <v>292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4"/>
      <c r="H2" s="34"/>
      <c r="I2" s="34"/>
      <c r="J2" s="34"/>
      <c r="K2" s="41"/>
      <c r="L2" s="41"/>
      <c r="M2" s="35"/>
      <c r="N2" s="35"/>
      <c r="O2" s="35"/>
      <c r="P2" s="32"/>
      <c r="Q2" s="33"/>
      <c r="R2" s="36" t="str">
        <f aca="false">IF(C2="","",SUMIFS('Payment Claims'!$E$2:$E$501,'Payment Claims'!$A$2:$A$501,A2,'Payment Claims'!$B$2:$B$501,C2,'Payment Claims'!$G$2:$G$501,"&lt;&gt;Disputed"))</f>
        <v/>
      </c>
      <c r="S2" s="36" t="str">
        <f aca="false">IF(OR(C2="",G2=""),"",G2-R2)</f>
        <v/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4"/>
      <c r="H3" s="34"/>
      <c r="I3" s="34"/>
      <c r="J3" s="34"/>
      <c r="K3" s="41"/>
      <c r="L3" s="41"/>
      <c r="M3" s="35"/>
      <c r="N3" s="35"/>
      <c r="O3" s="35"/>
      <c r="P3" s="32"/>
      <c r="Q3" s="33"/>
      <c r="R3" s="36" t="str">
        <f aca="false">IF(C3="","",SUMIFS('Payment Claims'!$E$2:$E$501,'Payment Claims'!$A$2:$A$501,A3,'Payment Claims'!$B$2:$B$501,C3,'Payment Claims'!$G$2:$G$501,"&lt;&gt;Disputed"))</f>
        <v/>
      </c>
      <c r="S3" s="36" t="str">
        <f aca="false">IF(OR(C3="",G3=""),"",G3-R3)</f>
        <v/>
      </c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4"/>
      <c r="H4" s="34"/>
      <c r="I4" s="34"/>
      <c r="J4" s="34"/>
      <c r="K4" s="41"/>
      <c r="L4" s="41"/>
      <c r="M4" s="35"/>
      <c r="N4" s="35"/>
      <c r="O4" s="35"/>
      <c r="P4" s="32"/>
      <c r="Q4" s="33"/>
      <c r="R4" s="36" t="str">
        <f aca="false">IF(C4="","",SUMIFS('Payment Claims'!$E$2:$E$501,'Payment Claims'!$A$2:$A$501,A4,'Payment Claims'!$B$2:$B$501,C4,'Payment Claims'!$G$2:$G$501,"&lt;&gt;Disputed"))</f>
        <v/>
      </c>
      <c r="S4" s="36" t="str">
        <f aca="false">IF(OR(C4="",G4=""),"",G4-R4)</f>
        <v/>
      </c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4"/>
      <c r="H5" s="34"/>
      <c r="I5" s="34"/>
      <c r="J5" s="34"/>
      <c r="K5" s="41"/>
      <c r="L5" s="41"/>
      <c r="M5" s="35"/>
      <c r="N5" s="35"/>
      <c r="O5" s="35"/>
      <c r="P5" s="32"/>
      <c r="Q5" s="33"/>
      <c r="R5" s="36" t="str">
        <f aca="false">IF(C5="","",SUMIFS('Payment Claims'!$E$2:$E$501,'Payment Claims'!$A$2:$A$501,A5,'Payment Claims'!$B$2:$B$501,C5,'Payment Claims'!$G$2:$G$501,"&lt;&gt;Disputed"))</f>
        <v/>
      </c>
      <c r="S5" s="36" t="str">
        <f aca="false">IF(OR(C5="",G5=""),"",G5-R5)</f>
        <v/>
      </c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4"/>
      <c r="H6" s="34"/>
      <c r="I6" s="34"/>
      <c r="J6" s="34"/>
      <c r="K6" s="41"/>
      <c r="L6" s="41"/>
      <c r="M6" s="35"/>
      <c r="N6" s="35"/>
      <c r="O6" s="35"/>
      <c r="P6" s="32"/>
      <c r="Q6" s="33"/>
      <c r="R6" s="36" t="str">
        <f aca="false">IF(C6="","",SUMIFS('Payment Claims'!$E$2:$E$501,'Payment Claims'!$A$2:$A$501,A6,'Payment Claims'!$B$2:$B$501,C6,'Payment Claims'!$G$2:$G$501,"&lt;&gt;Disputed"))</f>
        <v/>
      </c>
      <c r="S6" s="36" t="str">
        <f aca="false">IF(OR(C6="",G6=""),"",G6-R6)</f>
        <v/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4"/>
      <c r="H7" s="34"/>
      <c r="I7" s="34"/>
      <c r="J7" s="34"/>
      <c r="K7" s="41"/>
      <c r="L7" s="41"/>
      <c r="M7" s="35"/>
      <c r="N7" s="35"/>
      <c r="O7" s="35"/>
      <c r="P7" s="32"/>
      <c r="Q7" s="33"/>
      <c r="R7" s="36" t="str">
        <f aca="false">IF(C7="","",SUMIFS('Payment Claims'!$E$2:$E$501,'Payment Claims'!$A$2:$A$501,A7,'Payment Claims'!$B$2:$B$501,C7,'Payment Claims'!$G$2:$G$501,"&lt;&gt;Disputed"))</f>
        <v/>
      </c>
      <c r="S7" s="36" t="str">
        <f aca="false">IF(OR(C7="",G7=""),"",G7-R7)</f>
        <v/>
      </c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4"/>
      <c r="H8" s="34"/>
      <c r="I8" s="34"/>
      <c r="J8" s="34"/>
      <c r="K8" s="41"/>
      <c r="L8" s="41"/>
      <c r="M8" s="35"/>
      <c r="N8" s="35"/>
      <c r="O8" s="35"/>
      <c r="P8" s="32"/>
      <c r="Q8" s="33"/>
      <c r="R8" s="36" t="str">
        <f aca="false">IF(C8="","",SUMIFS('Payment Claims'!$E$2:$E$501,'Payment Claims'!$A$2:$A$501,A8,'Payment Claims'!$B$2:$B$501,C8,'Payment Claims'!$G$2:$G$501,"&lt;&gt;Disputed"))</f>
        <v/>
      </c>
      <c r="S8" s="36" t="str">
        <f aca="false">IF(OR(C8="",G8=""),"",G8-R8)</f>
        <v/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4"/>
      <c r="H9" s="34"/>
      <c r="I9" s="34"/>
      <c r="J9" s="34"/>
      <c r="K9" s="41"/>
      <c r="L9" s="41"/>
      <c r="M9" s="35"/>
      <c r="N9" s="35"/>
      <c r="O9" s="35"/>
      <c r="P9" s="32"/>
      <c r="Q9" s="33"/>
      <c r="R9" s="36" t="str">
        <f aca="false">IF(C9="","",SUMIFS('Payment Claims'!$E$2:$E$501,'Payment Claims'!$A$2:$A$501,A9,'Payment Claims'!$B$2:$B$501,C9,'Payment Claims'!$G$2:$G$501,"&lt;&gt;Disputed"))</f>
        <v/>
      </c>
      <c r="S9" s="36" t="str">
        <f aca="false">IF(OR(C9="",G9=""),"",G9-R9)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4"/>
      <c r="H10" s="34"/>
      <c r="I10" s="34"/>
      <c r="J10" s="34"/>
      <c r="K10" s="41"/>
      <c r="L10" s="41"/>
      <c r="M10" s="35"/>
      <c r="N10" s="35"/>
      <c r="O10" s="35"/>
      <c r="P10" s="32"/>
      <c r="Q10" s="33"/>
      <c r="R10" s="36" t="str">
        <f aca="false">IF(C10="","",SUMIFS('Payment Claims'!$E$2:$E$501,'Payment Claims'!$A$2:$A$501,A10,'Payment Claims'!$B$2:$B$501,C10,'Payment Claims'!$G$2:$G$501,"&lt;&gt;Disputed"))</f>
        <v/>
      </c>
      <c r="S10" s="36" t="str">
        <f aca="false">IF(OR(C10="",G10=""),"",G10-R10)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4"/>
      <c r="H11" s="34"/>
      <c r="I11" s="34"/>
      <c r="J11" s="34"/>
      <c r="K11" s="41"/>
      <c r="L11" s="41"/>
      <c r="M11" s="35"/>
      <c r="N11" s="35"/>
      <c r="O11" s="35"/>
      <c r="P11" s="32"/>
      <c r="Q11" s="33"/>
      <c r="R11" s="36" t="str">
        <f aca="false">IF(C11="","",SUMIFS('Payment Claims'!$E$2:$E$501,'Payment Claims'!$A$2:$A$501,A11,'Payment Claims'!$B$2:$B$501,C11,'Payment Claims'!$G$2:$G$501,"&lt;&gt;Disputed"))</f>
        <v/>
      </c>
      <c r="S11" s="36" t="str">
        <f aca="false">IF(OR(C11="",G11=""),"",G11-R11)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4"/>
      <c r="H12" s="34"/>
      <c r="I12" s="34"/>
      <c r="J12" s="34"/>
      <c r="K12" s="41"/>
      <c r="L12" s="41"/>
      <c r="M12" s="35"/>
      <c r="N12" s="35"/>
      <c r="O12" s="35"/>
      <c r="P12" s="32"/>
      <c r="Q12" s="33"/>
      <c r="R12" s="36" t="str">
        <f aca="false">IF(C12="","",SUMIFS('Payment Claims'!$E$2:$E$501,'Payment Claims'!$A$2:$A$501,A12,'Payment Claims'!$B$2:$B$501,C12,'Payment Claims'!$G$2:$G$501,"&lt;&gt;Disputed"))</f>
        <v/>
      </c>
      <c r="S12" s="36" t="str">
        <f aca="false">IF(OR(C12="",G12=""),"",G12-R12)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4"/>
      <c r="H13" s="34"/>
      <c r="I13" s="34"/>
      <c r="J13" s="34"/>
      <c r="K13" s="41"/>
      <c r="L13" s="41"/>
      <c r="M13" s="35"/>
      <c r="N13" s="35"/>
      <c r="O13" s="35"/>
      <c r="P13" s="32"/>
      <c r="Q13" s="33"/>
      <c r="R13" s="36" t="str">
        <f aca="false">IF(C13="","",SUMIFS('Payment Claims'!$E$2:$E$501,'Payment Claims'!$A$2:$A$501,A13,'Payment Claims'!$B$2:$B$501,C13,'Payment Claims'!$G$2:$G$501,"&lt;&gt;Disputed"))</f>
        <v/>
      </c>
      <c r="S13" s="36" t="str">
        <f aca="false">IF(OR(C13="",G13=""),"",G13-R13)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4"/>
      <c r="H14" s="34"/>
      <c r="I14" s="34"/>
      <c r="J14" s="34"/>
      <c r="K14" s="41"/>
      <c r="L14" s="41"/>
      <c r="M14" s="35"/>
      <c r="N14" s="35"/>
      <c r="O14" s="35"/>
      <c r="P14" s="32"/>
      <c r="Q14" s="33"/>
      <c r="R14" s="36" t="str">
        <f aca="false">IF(C14="","",SUMIFS('Payment Claims'!$E$2:$E$501,'Payment Claims'!$A$2:$A$501,A14,'Payment Claims'!$B$2:$B$501,C14,'Payment Claims'!$G$2:$G$501,"&lt;&gt;Disputed"))</f>
        <v/>
      </c>
      <c r="S14" s="36" t="str">
        <f aca="false">IF(OR(C14="",G14=""),"",G14-R14)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4"/>
      <c r="H15" s="34"/>
      <c r="I15" s="34"/>
      <c r="J15" s="34"/>
      <c r="K15" s="41"/>
      <c r="L15" s="41"/>
      <c r="M15" s="35"/>
      <c r="N15" s="35"/>
      <c r="O15" s="35"/>
      <c r="P15" s="32"/>
      <c r="Q15" s="33"/>
      <c r="R15" s="36" t="str">
        <f aca="false">IF(C15="","",SUMIFS('Payment Claims'!$E$2:$E$501,'Payment Claims'!$A$2:$A$501,A15,'Payment Claims'!$B$2:$B$501,C15,'Payment Claims'!$G$2:$G$501,"&lt;&gt;Disputed"))</f>
        <v/>
      </c>
      <c r="S15" s="36" t="str">
        <f aca="false">IF(OR(C15="",G15=""),"",G15-R15)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4"/>
      <c r="H16" s="34"/>
      <c r="I16" s="34"/>
      <c r="J16" s="34"/>
      <c r="K16" s="41"/>
      <c r="L16" s="41"/>
      <c r="M16" s="35"/>
      <c r="N16" s="35"/>
      <c r="O16" s="35"/>
      <c r="P16" s="32"/>
      <c r="Q16" s="33"/>
      <c r="R16" s="36" t="str">
        <f aca="false">IF(C16="","",SUMIFS('Payment Claims'!$E$2:$E$501,'Payment Claims'!$A$2:$A$501,A16,'Payment Claims'!$B$2:$B$501,C16,'Payment Claims'!$G$2:$G$501,"&lt;&gt;Disputed"))</f>
        <v/>
      </c>
      <c r="S16" s="36" t="str">
        <f aca="false">IF(OR(C16="",G16=""),"",G16-R16)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4"/>
      <c r="H17" s="34"/>
      <c r="I17" s="34"/>
      <c r="J17" s="34"/>
      <c r="K17" s="41"/>
      <c r="L17" s="41"/>
      <c r="M17" s="35"/>
      <c r="N17" s="35"/>
      <c r="O17" s="35"/>
      <c r="P17" s="32"/>
      <c r="Q17" s="33"/>
      <c r="R17" s="36" t="str">
        <f aca="false">IF(C17="","",SUMIFS('Payment Claims'!$E$2:$E$501,'Payment Claims'!$A$2:$A$501,A17,'Payment Claims'!$B$2:$B$501,C17,'Payment Claims'!$G$2:$G$501,"&lt;&gt;Disputed"))</f>
        <v/>
      </c>
      <c r="S17" s="36" t="str">
        <f aca="false">IF(OR(C17="",G17=""),"",G17-R17)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4"/>
      <c r="H18" s="34"/>
      <c r="I18" s="34"/>
      <c r="J18" s="34"/>
      <c r="K18" s="41"/>
      <c r="L18" s="41"/>
      <c r="M18" s="35"/>
      <c r="N18" s="35"/>
      <c r="O18" s="35"/>
      <c r="P18" s="32"/>
      <c r="Q18" s="33"/>
      <c r="R18" s="36" t="str">
        <f aca="false">IF(C18="","",SUMIFS('Payment Claims'!$E$2:$E$501,'Payment Claims'!$A$2:$A$501,A18,'Payment Claims'!$B$2:$B$501,C18,'Payment Claims'!$G$2:$G$501,"&lt;&gt;Disputed"))</f>
        <v/>
      </c>
      <c r="S18" s="36" t="str">
        <f aca="false">IF(OR(C18="",G18=""),"",G18-R18)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4"/>
      <c r="H19" s="34"/>
      <c r="I19" s="34"/>
      <c r="J19" s="34"/>
      <c r="K19" s="41"/>
      <c r="L19" s="41"/>
      <c r="M19" s="35"/>
      <c r="N19" s="35"/>
      <c r="O19" s="35"/>
      <c r="P19" s="32"/>
      <c r="Q19" s="33"/>
      <c r="R19" s="36" t="str">
        <f aca="false">IF(C19="","",SUMIFS('Payment Claims'!$E$2:$E$501,'Payment Claims'!$A$2:$A$501,A19,'Payment Claims'!$B$2:$B$501,C19,'Payment Claims'!$G$2:$G$501,"&lt;&gt;Disputed"))</f>
        <v/>
      </c>
      <c r="S19" s="36" t="str">
        <f aca="false">IF(OR(C19="",G19=""),"",G19-R19)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4"/>
      <c r="H20" s="34"/>
      <c r="I20" s="34"/>
      <c r="J20" s="34"/>
      <c r="K20" s="41"/>
      <c r="L20" s="41"/>
      <c r="M20" s="35"/>
      <c r="N20" s="35"/>
      <c r="O20" s="35"/>
      <c r="P20" s="32"/>
      <c r="Q20" s="33"/>
      <c r="R20" s="36" t="str">
        <f aca="false">IF(C20="","",SUMIFS('Payment Claims'!$E$2:$E$501,'Payment Claims'!$A$2:$A$501,A20,'Payment Claims'!$B$2:$B$501,C20,'Payment Claims'!$G$2:$G$501,"&lt;&gt;Disputed"))</f>
        <v/>
      </c>
      <c r="S20" s="36" t="str">
        <f aca="false">IF(OR(C20="",G20=""),"",G20-R20)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4"/>
      <c r="H21" s="34"/>
      <c r="I21" s="34"/>
      <c r="J21" s="34"/>
      <c r="K21" s="41"/>
      <c r="L21" s="41"/>
      <c r="M21" s="35"/>
      <c r="N21" s="35"/>
      <c r="O21" s="35"/>
      <c r="P21" s="32"/>
      <c r="Q21" s="33"/>
      <c r="R21" s="36" t="str">
        <f aca="false">IF(C21="","",SUMIFS('Payment Claims'!$E$2:$E$501,'Payment Claims'!$A$2:$A$501,A21,'Payment Claims'!$B$2:$B$501,C21,'Payment Claims'!$G$2:$G$501,"&lt;&gt;Disputed"))</f>
        <v/>
      </c>
      <c r="S21" s="36" t="str">
        <f aca="false">IF(OR(C21="",G21=""),"",G21-R21)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4"/>
      <c r="H22" s="34"/>
      <c r="I22" s="34"/>
      <c r="J22" s="34"/>
      <c r="K22" s="41"/>
      <c r="L22" s="41"/>
      <c r="M22" s="35"/>
      <c r="N22" s="35"/>
      <c r="O22" s="35"/>
      <c r="P22" s="32"/>
      <c r="Q22" s="33"/>
      <c r="R22" s="36" t="str">
        <f aca="false">IF(C22="","",SUMIFS('Payment Claims'!$E$2:$E$501,'Payment Claims'!$A$2:$A$501,A22,'Payment Claims'!$B$2:$B$501,C22,'Payment Claims'!$G$2:$G$501,"&lt;&gt;Disputed"))</f>
        <v/>
      </c>
      <c r="S22" s="36" t="str">
        <f aca="false">IF(OR(C22="",G22=""),"",G22-R22)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4"/>
      <c r="H23" s="34"/>
      <c r="I23" s="34"/>
      <c r="J23" s="34"/>
      <c r="K23" s="41"/>
      <c r="L23" s="41"/>
      <c r="M23" s="35"/>
      <c r="N23" s="35"/>
      <c r="O23" s="35"/>
      <c r="P23" s="32"/>
      <c r="Q23" s="33"/>
      <c r="R23" s="36" t="str">
        <f aca="false">IF(C23="","",SUMIFS('Payment Claims'!$E$2:$E$501,'Payment Claims'!$A$2:$A$501,A23,'Payment Claims'!$B$2:$B$501,C23,'Payment Claims'!$G$2:$G$501,"&lt;&gt;Disputed"))</f>
        <v/>
      </c>
      <c r="S23" s="36" t="str">
        <f aca="false">IF(OR(C23="",G23=""),"",G23-R23)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4"/>
      <c r="H24" s="34"/>
      <c r="I24" s="34"/>
      <c r="J24" s="34"/>
      <c r="K24" s="41"/>
      <c r="L24" s="41"/>
      <c r="M24" s="35"/>
      <c r="N24" s="35"/>
      <c r="O24" s="35"/>
      <c r="P24" s="32"/>
      <c r="Q24" s="33"/>
      <c r="R24" s="36" t="str">
        <f aca="false">IF(C24="","",SUMIFS('Payment Claims'!$E$2:$E$501,'Payment Claims'!$A$2:$A$501,A24,'Payment Claims'!$B$2:$B$501,C24,'Payment Claims'!$G$2:$G$501,"&lt;&gt;Disputed"))</f>
        <v/>
      </c>
      <c r="S24" s="36" t="str">
        <f aca="false">IF(OR(C24="",G24=""),"",G24-R24)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4"/>
      <c r="H25" s="34"/>
      <c r="I25" s="34"/>
      <c r="J25" s="34"/>
      <c r="K25" s="41"/>
      <c r="L25" s="41"/>
      <c r="M25" s="35"/>
      <c r="N25" s="35"/>
      <c r="O25" s="35"/>
      <c r="P25" s="32"/>
      <c r="Q25" s="33"/>
      <c r="R25" s="36" t="str">
        <f aca="false">IF(C25="","",SUMIFS('Payment Claims'!$E$2:$E$501,'Payment Claims'!$A$2:$A$501,A25,'Payment Claims'!$B$2:$B$501,C25,'Payment Claims'!$G$2:$G$501,"&lt;&gt;Disputed"))</f>
        <v/>
      </c>
      <c r="S25" s="36" t="str">
        <f aca="false">IF(OR(C25="",G25=""),"",G25-R25)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4"/>
      <c r="H26" s="34"/>
      <c r="I26" s="34"/>
      <c r="J26" s="34"/>
      <c r="K26" s="41"/>
      <c r="L26" s="41"/>
      <c r="M26" s="35"/>
      <c r="N26" s="35"/>
      <c r="O26" s="35"/>
      <c r="P26" s="32"/>
      <c r="Q26" s="33"/>
      <c r="R26" s="36" t="str">
        <f aca="false">IF(C26="","",SUMIFS('Payment Claims'!$E$2:$E$501,'Payment Claims'!$A$2:$A$501,A26,'Payment Claims'!$B$2:$B$501,C26,'Payment Claims'!$G$2:$G$501,"&lt;&gt;Disputed"))</f>
        <v/>
      </c>
      <c r="S26" s="36" t="str">
        <f aca="false">IF(OR(C26="",G26=""),"",G26-R26)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4"/>
      <c r="H27" s="34"/>
      <c r="I27" s="34"/>
      <c r="J27" s="34"/>
      <c r="K27" s="41"/>
      <c r="L27" s="41"/>
      <c r="M27" s="35"/>
      <c r="N27" s="35"/>
      <c r="O27" s="35"/>
      <c r="P27" s="32"/>
      <c r="Q27" s="33"/>
      <c r="R27" s="36" t="str">
        <f aca="false">IF(C27="","",SUMIFS('Payment Claims'!$E$2:$E$501,'Payment Claims'!$A$2:$A$501,A27,'Payment Claims'!$B$2:$B$501,C27,'Payment Claims'!$G$2:$G$501,"&lt;&gt;Disputed"))</f>
        <v/>
      </c>
      <c r="S27" s="36" t="str">
        <f aca="false">IF(OR(C27="",G27=""),"",G27-R27)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4"/>
      <c r="H28" s="34"/>
      <c r="I28" s="34"/>
      <c r="J28" s="34"/>
      <c r="K28" s="41"/>
      <c r="L28" s="41"/>
      <c r="M28" s="35"/>
      <c r="N28" s="35"/>
      <c r="O28" s="35"/>
      <c r="P28" s="32"/>
      <c r="Q28" s="33"/>
      <c r="R28" s="36" t="str">
        <f aca="false">IF(C28="","",SUMIFS('Payment Claims'!$E$2:$E$501,'Payment Claims'!$A$2:$A$501,A28,'Payment Claims'!$B$2:$B$501,C28,'Payment Claims'!$G$2:$G$501,"&lt;&gt;Disputed"))</f>
        <v/>
      </c>
      <c r="S28" s="36" t="str">
        <f aca="false">IF(OR(C28="",G28=""),"",G28-R28)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4"/>
      <c r="H29" s="34"/>
      <c r="I29" s="34"/>
      <c r="J29" s="34"/>
      <c r="K29" s="41"/>
      <c r="L29" s="41"/>
      <c r="M29" s="35"/>
      <c r="N29" s="35"/>
      <c r="O29" s="35"/>
      <c r="P29" s="32"/>
      <c r="Q29" s="33"/>
      <c r="R29" s="36" t="str">
        <f aca="false">IF(C29="","",SUMIFS('Payment Claims'!$E$2:$E$501,'Payment Claims'!$A$2:$A$501,A29,'Payment Claims'!$B$2:$B$501,C29,'Payment Claims'!$G$2:$G$501,"&lt;&gt;Disputed"))</f>
        <v/>
      </c>
      <c r="S29" s="36" t="str">
        <f aca="false">IF(OR(C29="",G29=""),"",G29-R29)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4"/>
      <c r="H30" s="34"/>
      <c r="I30" s="34"/>
      <c r="J30" s="34"/>
      <c r="K30" s="41"/>
      <c r="L30" s="41"/>
      <c r="M30" s="35"/>
      <c r="N30" s="35"/>
      <c r="O30" s="35"/>
      <c r="P30" s="32"/>
      <c r="Q30" s="33"/>
      <c r="R30" s="36" t="str">
        <f aca="false">IF(C30="","",SUMIFS('Payment Claims'!$E$2:$E$501,'Payment Claims'!$A$2:$A$501,A30,'Payment Claims'!$B$2:$B$501,C30,'Payment Claims'!$G$2:$G$501,"&lt;&gt;Disputed"))</f>
        <v/>
      </c>
      <c r="S30" s="36" t="str">
        <f aca="false">IF(OR(C30="",G30=""),"",G30-R30)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4"/>
      <c r="H31" s="34"/>
      <c r="I31" s="34"/>
      <c r="J31" s="34"/>
      <c r="K31" s="41"/>
      <c r="L31" s="41"/>
      <c r="M31" s="35"/>
      <c r="N31" s="35"/>
      <c r="O31" s="35"/>
      <c r="P31" s="32"/>
      <c r="Q31" s="33"/>
      <c r="R31" s="36" t="str">
        <f aca="false">IF(C31="","",SUMIFS('Payment Claims'!$E$2:$E$501,'Payment Claims'!$A$2:$A$501,A31,'Payment Claims'!$B$2:$B$501,C31,'Payment Claims'!$G$2:$G$501,"&lt;&gt;Disputed"))</f>
        <v/>
      </c>
      <c r="S31" s="36" t="str">
        <f aca="false">IF(OR(C31="",G31=""),"",G31-R31)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4"/>
      <c r="H32" s="34"/>
      <c r="I32" s="34"/>
      <c r="J32" s="34"/>
      <c r="K32" s="41"/>
      <c r="L32" s="41"/>
      <c r="M32" s="35"/>
      <c r="N32" s="35"/>
      <c r="O32" s="35"/>
      <c r="P32" s="32"/>
      <c r="Q32" s="33"/>
      <c r="R32" s="36" t="str">
        <f aca="false">IF(C32="","",SUMIFS('Payment Claims'!$E$2:$E$501,'Payment Claims'!$A$2:$A$501,A32,'Payment Claims'!$B$2:$B$501,C32,'Payment Claims'!$G$2:$G$501,"&lt;&gt;Disputed"))</f>
        <v/>
      </c>
      <c r="S32" s="36" t="str">
        <f aca="false">IF(OR(C32="",G32=""),"",G32-R32)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4"/>
      <c r="H33" s="34"/>
      <c r="I33" s="34"/>
      <c r="J33" s="34"/>
      <c r="K33" s="41"/>
      <c r="L33" s="41"/>
      <c r="M33" s="35"/>
      <c r="N33" s="35"/>
      <c r="O33" s="35"/>
      <c r="P33" s="32"/>
      <c r="Q33" s="33"/>
      <c r="R33" s="36" t="str">
        <f aca="false">IF(C33="","",SUMIFS('Payment Claims'!$E$2:$E$501,'Payment Claims'!$A$2:$A$501,A33,'Payment Claims'!$B$2:$B$501,C33,'Payment Claims'!$G$2:$G$501,"&lt;&gt;Disputed"))</f>
        <v/>
      </c>
      <c r="S33" s="36" t="str">
        <f aca="false">IF(OR(C33="",G33=""),"",G33-R33)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4"/>
      <c r="H34" s="34"/>
      <c r="I34" s="34"/>
      <c r="J34" s="34"/>
      <c r="K34" s="41"/>
      <c r="L34" s="41"/>
      <c r="M34" s="35"/>
      <c r="N34" s="35"/>
      <c r="O34" s="35"/>
      <c r="P34" s="32"/>
      <c r="Q34" s="33"/>
      <c r="R34" s="36" t="str">
        <f aca="false">IF(C34="","",SUMIFS('Payment Claims'!$E$2:$E$501,'Payment Claims'!$A$2:$A$501,A34,'Payment Claims'!$B$2:$B$501,C34,'Payment Claims'!$G$2:$G$501,"&lt;&gt;Disputed"))</f>
        <v/>
      </c>
      <c r="S34" s="36" t="str">
        <f aca="false">IF(OR(C34="",G34=""),"",G34-R34)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4"/>
      <c r="H35" s="34"/>
      <c r="I35" s="34"/>
      <c r="J35" s="34"/>
      <c r="K35" s="41"/>
      <c r="L35" s="41"/>
      <c r="M35" s="35"/>
      <c r="N35" s="35"/>
      <c r="O35" s="35"/>
      <c r="P35" s="32"/>
      <c r="Q35" s="33"/>
      <c r="R35" s="36" t="str">
        <f aca="false">IF(C35="","",SUMIFS('Payment Claims'!$E$2:$E$501,'Payment Claims'!$A$2:$A$501,A35,'Payment Claims'!$B$2:$B$501,C35,'Payment Claims'!$G$2:$G$501,"&lt;&gt;Disputed"))</f>
        <v/>
      </c>
      <c r="S35" s="36" t="str">
        <f aca="false">IF(OR(C35="",G35=""),"",G35-R35)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4"/>
      <c r="H36" s="34"/>
      <c r="I36" s="34"/>
      <c r="J36" s="34"/>
      <c r="K36" s="41"/>
      <c r="L36" s="41"/>
      <c r="M36" s="35"/>
      <c r="N36" s="35"/>
      <c r="O36" s="35"/>
      <c r="P36" s="32"/>
      <c r="Q36" s="33"/>
      <c r="R36" s="36" t="str">
        <f aca="false">IF(C36="","",SUMIFS('Payment Claims'!$E$2:$E$501,'Payment Claims'!$A$2:$A$501,A36,'Payment Claims'!$B$2:$B$501,C36,'Payment Claims'!$G$2:$G$501,"&lt;&gt;Disputed"))</f>
        <v/>
      </c>
      <c r="S36" s="36" t="str">
        <f aca="false">IF(OR(C36="",G36=""),"",G36-R36)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4"/>
      <c r="H37" s="34"/>
      <c r="I37" s="34"/>
      <c r="J37" s="34"/>
      <c r="K37" s="41"/>
      <c r="L37" s="41"/>
      <c r="M37" s="35"/>
      <c r="N37" s="35"/>
      <c r="O37" s="35"/>
      <c r="P37" s="32"/>
      <c r="Q37" s="33"/>
      <c r="R37" s="36" t="str">
        <f aca="false">IF(C37="","",SUMIFS('Payment Claims'!$E$2:$E$501,'Payment Claims'!$A$2:$A$501,A37,'Payment Claims'!$B$2:$B$501,C37,'Payment Claims'!$G$2:$G$501,"&lt;&gt;Disputed"))</f>
        <v/>
      </c>
      <c r="S37" s="36" t="str">
        <f aca="false">IF(OR(C37="",G37=""),"",G37-R37)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4"/>
      <c r="H38" s="34"/>
      <c r="I38" s="34"/>
      <c r="J38" s="34"/>
      <c r="K38" s="41"/>
      <c r="L38" s="41"/>
      <c r="M38" s="35"/>
      <c r="N38" s="35"/>
      <c r="O38" s="35"/>
      <c r="P38" s="32"/>
      <c r="Q38" s="33"/>
      <c r="R38" s="36" t="str">
        <f aca="false">IF(C38="","",SUMIFS('Payment Claims'!$E$2:$E$501,'Payment Claims'!$A$2:$A$501,A38,'Payment Claims'!$B$2:$B$501,C38,'Payment Claims'!$G$2:$G$501,"&lt;&gt;Disputed"))</f>
        <v/>
      </c>
      <c r="S38" s="36" t="str">
        <f aca="false">IF(OR(C38="",G38=""),"",G38-R38)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4"/>
      <c r="H39" s="34"/>
      <c r="I39" s="34"/>
      <c r="J39" s="34"/>
      <c r="K39" s="41"/>
      <c r="L39" s="41"/>
      <c r="M39" s="35"/>
      <c r="N39" s="35"/>
      <c r="O39" s="35"/>
      <c r="P39" s="32"/>
      <c r="Q39" s="33"/>
      <c r="R39" s="36" t="str">
        <f aca="false">IF(C39="","",SUMIFS('Payment Claims'!$E$2:$E$501,'Payment Claims'!$A$2:$A$501,A39,'Payment Claims'!$B$2:$B$501,C39,'Payment Claims'!$G$2:$G$501,"&lt;&gt;Disputed"))</f>
        <v/>
      </c>
      <c r="S39" s="36" t="str">
        <f aca="false">IF(OR(C39="",G39=""),"",G39-R39)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4"/>
      <c r="H40" s="34"/>
      <c r="I40" s="34"/>
      <c r="J40" s="34"/>
      <c r="K40" s="41"/>
      <c r="L40" s="41"/>
      <c r="M40" s="35"/>
      <c r="N40" s="35"/>
      <c r="O40" s="35"/>
      <c r="P40" s="32"/>
      <c r="Q40" s="33"/>
      <c r="R40" s="36" t="str">
        <f aca="false">IF(C40="","",SUMIFS('Payment Claims'!$E$2:$E$501,'Payment Claims'!$A$2:$A$501,A40,'Payment Claims'!$B$2:$B$501,C40,'Payment Claims'!$G$2:$G$501,"&lt;&gt;Disputed"))</f>
        <v/>
      </c>
      <c r="S40" s="36" t="str">
        <f aca="false">IF(OR(C40="",G40=""),"",G40-R40)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4"/>
      <c r="H41" s="34"/>
      <c r="I41" s="34"/>
      <c r="J41" s="34"/>
      <c r="K41" s="41"/>
      <c r="L41" s="41"/>
      <c r="M41" s="35"/>
      <c r="N41" s="35"/>
      <c r="O41" s="35"/>
      <c r="P41" s="32"/>
      <c r="Q41" s="33"/>
      <c r="R41" s="36" t="str">
        <f aca="false">IF(C41="","",SUMIFS('Payment Claims'!$E$2:$E$501,'Payment Claims'!$A$2:$A$501,A41,'Payment Claims'!$B$2:$B$501,C41,'Payment Claims'!$G$2:$G$501,"&lt;&gt;Disputed"))</f>
        <v/>
      </c>
      <c r="S41" s="36" t="str">
        <f aca="false">IF(OR(C41="",G41=""),"",G41-R41)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4"/>
      <c r="H42" s="34"/>
      <c r="I42" s="34"/>
      <c r="J42" s="34"/>
      <c r="K42" s="41"/>
      <c r="L42" s="41"/>
      <c r="M42" s="35"/>
      <c r="N42" s="35"/>
      <c r="O42" s="35"/>
      <c r="P42" s="32"/>
      <c r="Q42" s="33"/>
      <c r="R42" s="36" t="str">
        <f aca="false">IF(C42="","",SUMIFS('Payment Claims'!$E$2:$E$501,'Payment Claims'!$A$2:$A$501,A42,'Payment Claims'!$B$2:$B$501,C42,'Payment Claims'!$G$2:$G$501,"&lt;&gt;Disputed"))</f>
        <v/>
      </c>
      <c r="S42" s="36" t="str">
        <f aca="false">IF(OR(C42="",G42=""),"",G42-R42)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4"/>
      <c r="H43" s="34"/>
      <c r="I43" s="34"/>
      <c r="J43" s="34"/>
      <c r="K43" s="41"/>
      <c r="L43" s="41"/>
      <c r="M43" s="35"/>
      <c r="N43" s="35"/>
      <c r="O43" s="35"/>
      <c r="P43" s="32"/>
      <c r="Q43" s="33"/>
      <c r="R43" s="36" t="str">
        <f aca="false">IF(C43="","",SUMIFS('Payment Claims'!$E$2:$E$501,'Payment Claims'!$A$2:$A$501,A43,'Payment Claims'!$B$2:$B$501,C43,'Payment Claims'!$G$2:$G$501,"&lt;&gt;Disputed"))</f>
        <v/>
      </c>
      <c r="S43" s="36" t="str">
        <f aca="false">IF(OR(C43="",G43=""),"",G43-R43)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4"/>
      <c r="H44" s="34"/>
      <c r="I44" s="34"/>
      <c r="J44" s="34"/>
      <c r="K44" s="41"/>
      <c r="L44" s="41"/>
      <c r="M44" s="35"/>
      <c r="N44" s="35"/>
      <c r="O44" s="35"/>
      <c r="P44" s="32"/>
      <c r="Q44" s="33"/>
      <c r="R44" s="36" t="str">
        <f aca="false">IF(C44="","",SUMIFS('Payment Claims'!$E$2:$E$501,'Payment Claims'!$A$2:$A$501,A44,'Payment Claims'!$B$2:$B$501,C44,'Payment Claims'!$G$2:$G$501,"&lt;&gt;Disputed"))</f>
        <v/>
      </c>
      <c r="S44" s="36" t="str">
        <f aca="false">IF(OR(C44="",G44=""),"",G44-R44)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4"/>
      <c r="H45" s="34"/>
      <c r="I45" s="34"/>
      <c r="J45" s="34"/>
      <c r="K45" s="41"/>
      <c r="L45" s="41"/>
      <c r="M45" s="35"/>
      <c r="N45" s="35"/>
      <c r="O45" s="35"/>
      <c r="P45" s="32"/>
      <c r="Q45" s="33"/>
      <c r="R45" s="36" t="str">
        <f aca="false">IF(C45="","",SUMIFS('Payment Claims'!$E$2:$E$501,'Payment Claims'!$A$2:$A$501,A45,'Payment Claims'!$B$2:$B$501,C45,'Payment Claims'!$G$2:$G$501,"&lt;&gt;Disputed"))</f>
        <v/>
      </c>
      <c r="S45" s="36" t="str">
        <f aca="false">IF(OR(C45="",G45=""),"",G45-R45)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4"/>
      <c r="H46" s="34"/>
      <c r="I46" s="34"/>
      <c r="J46" s="34"/>
      <c r="K46" s="41"/>
      <c r="L46" s="41"/>
      <c r="M46" s="35"/>
      <c r="N46" s="35"/>
      <c r="O46" s="35"/>
      <c r="P46" s="32"/>
      <c r="Q46" s="33"/>
      <c r="R46" s="36" t="str">
        <f aca="false">IF(C46="","",SUMIFS('Payment Claims'!$E$2:$E$501,'Payment Claims'!$A$2:$A$501,A46,'Payment Claims'!$B$2:$B$501,C46,'Payment Claims'!$G$2:$G$501,"&lt;&gt;Disputed"))</f>
        <v/>
      </c>
      <c r="S46" s="36" t="str">
        <f aca="false">IF(OR(C46="",G46=""),"",G46-R46)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4"/>
      <c r="H47" s="34"/>
      <c r="I47" s="34"/>
      <c r="J47" s="34"/>
      <c r="K47" s="41"/>
      <c r="L47" s="41"/>
      <c r="M47" s="35"/>
      <c r="N47" s="35"/>
      <c r="O47" s="35"/>
      <c r="P47" s="32"/>
      <c r="Q47" s="33"/>
      <c r="R47" s="36" t="str">
        <f aca="false">IF(C47="","",SUMIFS('Payment Claims'!$E$2:$E$501,'Payment Claims'!$A$2:$A$501,A47,'Payment Claims'!$B$2:$B$501,C47,'Payment Claims'!$G$2:$G$501,"&lt;&gt;Disputed"))</f>
        <v/>
      </c>
      <c r="S47" s="36" t="str">
        <f aca="false">IF(OR(C47="",G47=""),"",G47-R47)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4"/>
      <c r="H48" s="34"/>
      <c r="I48" s="34"/>
      <c r="J48" s="34"/>
      <c r="K48" s="41"/>
      <c r="L48" s="41"/>
      <c r="M48" s="35"/>
      <c r="N48" s="35"/>
      <c r="O48" s="35"/>
      <c r="P48" s="32"/>
      <c r="Q48" s="33"/>
      <c r="R48" s="36" t="str">
        <f aca="false">IF(C48="","",SUMIFS('Payment Claims'!$E$2:$E$501,'Payment Claims'!$A$2:$A$501,A48,'Payment Claims'!$B$2:$B$501,C48,'Payment Claims'!$G$2:$G$501,"&lt;&gt;Disputed"))</f>
        <v/>
      </c>
      <c r="S48" s="36" t="str">
        <f aca="false">IF(OR(C48="",G48=""),"",G48-R48)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4"/>
      <c r="H49" s="34"/>
      <c r="I49" s="34"/>
      <c r="J49" s="34"/>
      <c r="K49" s="41"/>
      <c r="L49" s="41"/>
      <c r="M49" s="35"/>
      <c r="N49" s="35"/>
      <c r="O49" s="35"/>
      <c r="P49" s="32"/>
      <c r="Q49" s="33"/>
      <c r="R49" s="36" t="str">
        <f aca="false">IF(C49="","",SUMIFS('Payment Claims'!$E$2:$E$501,'Payment Claims'!$A$2:$A$501,A49,'Payment Claims'!$B$2:$B$501,C49,'Payment Claims'!$G$2:$G$501,"&lt;&gt;Disputed"))</f>
        <v/>
      </c>
      <c r="S49" s="36" t="str">
        <f aca="false">IF(OR(C49="",G49=""),"",G49-R49)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4"/>
      <c r="H50" s="34"/>
      <c r="I50" s="34"/>
      <c r="J50" s="34"/>
      <c r="K50" s="41"/>
      <c r="L50" s="41"/>
      <c r="M50" s="35"/>
      <c r="N50" s="35"/>
      <c r="O50" s="35"/>
      <c r="P50" s="32"/>
      <c r="Q50" s="33"/>
      <c r="R50" s="36" t="str">
        <f aca="false">IF(C50="","",SUMIFS('Payment Claims'!$E$2:$E$501,'Payment Claims'!$A$2:$A$501,A50,'Payment Claims'!$B$2:$B$501,C50,'Payment Claims'!$G$2:$G$501,"&lt;&gt;Disputed"))</f>
        <v/>
      </c>
      <c r="S50" s="36" t="str">
        <f aca="false">IF(OR(C50="",G50=""),"",G50-R50)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4"/>
      <c r="H51" s="34"/>
      <c r="I51" s="34"/>
      <c r="J51" s="34"/>
      <c r="K51" s="41"/>
      <c r="L51" s="41"/>
      <c r="M51" s="35"/>
      <c r="N51" s="35"/>
      <c r="O51" s="35"/>
      <c r="P51" s="32"/>
      <c r="Q51" s="33"/>
      <c r="R51" s="36" t="str">
        <f aca="false">IF(C51="","",SUMIFS('Payment Claims'!$E$2:$E$501,'Payment Claims'!$A$2:$A$501,A51,'Payment Claims'!$B$2:$B$501,C51,'Payment Claims'!$G$2:$G$501,"&lt;&gt;Disputed"))</f>
        <v/>
      </c>
      <c r="S51" s="36" t="str">
        <f aca="false">IF(OR(C51="",G51=""),"",G51-R51)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4"/>
      <c r="H52" s="34"/>
      <c r="I52" s="34"/>
      <c r="J52" s="34"/>
      <c r="K52" s="41"/>
      <c r="L52" s="41"/>
      <c r="M52" s="35"/>
      <c r="N52" s="35"/>
      <c r="O52" s="35"/>
      <c r="P52" s="32"/>
      <c r="Q52" s="33"/>
      <c r="R52" s="36" t="str">
        <f aca="false">IF(C52="","",SUMIFS('Payment Claims'!$E$2:$E$501,'Payment Claims'!$A$2:$A$501,A52,'Payment Claims'!$B$2:$B$501,C52,'Payment Claims'!$G$2:$G$501,"&lt;&gt;Disputed"))</f>
        <v/>
      </c>
      <c r="S52" s="36" t="str">
        <f aca="false">IF(OR(C52="",G52=""),"",G52-R52)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4"/>
      <c r="H53" s="34"/>
      <c r="I53" s="34"/>
      <c r="J53" s="34"/>
      <c r="K53" s="41"/>
      <c r="L53" s="41"/>
      <c r="M53" s="35"/>
      <c r="N53" s="35"/>
      <c r="O53" s="35"/>
      <c r="P53" s="32"/>
      <c r="Q53" s="33"/>
      <c r="R53" s="36" t="str">
        <f aca="false">IF(C53="","",SUMIFS('Payment Claims'!$E$2:$E$501,'Payment Claims'!$A$2:$A$501,A53,'Payment Claims'!$B$2:$B$501,C53,'Payment Claims'!$G$2:$G$501,"&lt;&gt;Disputed"))</f>
        <v/>
      </c>
      <c r="S53" s="36" t="str">
        <f aca="false">IF(OR(C53="",G53=""),"",G53-R53)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4"/>
      <c r="H54" s="34"/>
      <c r="I54" s="34"/>
      <c r="J54" s="34"/>
      <c r="K54" s="41"/>
      <c r="L54" s="41"/>
      <c r="M54" s="35"/>
      <c r="N54" s="35"/>
      <c r="O54" s="35"/>
      <c r="P54" s="32"/>
      <c r="Q54" s="33"/>
      <c r="R54" s="36" t="str">
        <f aca="false">IF(C54="","",SUMIFS('Payment Claims'!$E$2:$E$501,'Payment Claims'!$A$2:$A$501,A54,'Payment Claims'!$B$2:$B$501,C54,'Payment Claims'!$G$2:$G$501,"&lt;&gt;Disputed"))</f>
        <v/>
      </c>
      <c r="S54" s="36" t="str">
        <f aca="false">IF(OR(C54="",G54=""),"",G54-R54)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4"/>
      <c r="H55" s="34"/>
      <c r="I55" s="34"/>
      <c r="J55" s="34"/>
      <c r="K55" s="41"/>
      <c r="L55" s="41"/>
      <c r="M55" s="35"/>
      <c r="N55" s="35"/>
      <c r="O55" s="35"/>
      <c r="P55" s="32"/>
      <c r="Q55" s="33"/>
      <c r="R55" s="36" t="str">
        <f aca="false">IF(C55="","",SUMIFS('Payment Claims'!$E$2:$E$501,'Payment Claims'!$A$2:$A$501,A55,'Payment Claims'!$B$2:$B$501,C55,'Payment Claims'!$G$2:$G$501,"&lt;&gt;Disputed"))</f>
        <v/>
      </c>
      <c r="S55" s="36" t="str">
        <f aca="false">IF(OR(C55="",G55=""),"",G55-R55)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4"/>
      <c r="H56" s="34"/>
      <c r="I56" s="34"/>
      <c r="J56" s="34"/>
      <c r="K56" s="41"/>
      <c r="L56" s="41"/>
      <c r="M56" s="35"/>
      <c r="N56" s="35"/>
      <c r="O56" s="35"/>
      <c r="P56" s="32"/>
      <c r="Q56" s="33"/>
      <c r="R56" s="36" t="str">
        <f aca="false">IF(C56="","",SUMIFS('Payment Claims'!$E$2:$E$501,'Payment Claims'!$A$2:$A$501,A56,'Payment Claims'!$B$2:$B$501,C56,'Payment Claims'!$G$2:$G$501,"&lt;&gt;Disputed"))</f>
        <v/>
      </c>
      <c r="S56" s="36" t="str">
        <f aca="false">IF(OR(C56="",G56=""),"",G56-R56)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4"/>
      <c r="H57" s="34"/>
      <c r="I57" s="34"/>
      <c r="J57" s="34"/>
      <c r="K57" s="41"/>
      <c r="L57" s="41"/>
      <c r="M57" s="35"/>
      <c r="N57" s="35"/>
      <c r="O57" s="35"/>
      <c r="P57" s="32"/>
      <c r="Q57" s="33"/>
      <c r="R57" s="36" t="str">
        <f aca="false">IF(C57="","",SUMIFS('Payment Claims'!$E$2:$E$501,'Payment Claims'!$A$2:$A$501,A57,'Payment Claims'!$B$2:$B$501,C57,'Payment Claims'!$G$2:$G$501,"&lt;&gt;Disputed"))</f>
        <v/>
      </c>
      <c r="S57" s="36" t="str">
        <f aca="false">IF(OR(C57="",G57=""),"",G57-R57)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4"/>
      <c r="H58" s="34"/>
      <c r="I58" s="34"/>
      <c r="J58" s="34"/>
      <c r="K58" s="41"/>
      <c r="L58" s="41"/>
      <c r="M58" s="35"/>
      <c r="N58" s="35"/>
      <c r="O58" s="35"/>
      <c r="P58" s="32"/>
      <c r="Q58" s="33"/>
      <c r="R58" s="36" t="str">
        <f aca="false">IF(C58="","",SUMIFS('Payment Claims'!$E$2:$E$501,'Payment Claims'!$A$2:$A$501,A58,'Payment Claims'!$B$2:$B$501,C58,'Payment Claims'!$G$2:$G$501,"&lt;&gt;Disputed"))</f>
        <v/>
      </c>
      <c r="S58" s="36" t="str">
        <f aca="false">IF(OR(C58="",G58=""),"",G58-R58)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4"/>
      <c r="H59" s="34"/>
      <c r="I59" s="34"/>
      <c r="J59" s="34"/>
      <c r="K59" s="41"/>
      <c r="L59" s="41"/>
      <c r="M59" s="35"/>
      <c r="N59" s="35"/>
      <c r="O59" s="35"/>
      <c r="P59" s="32"/>
      <c r="Q59" s="33"/>
      <c r="R59" s="36" t="str">
        <f aca="false">IF(C59="","",SUMIFS('Payment Claims'!$E$2:$E$501,'Payment Claims'!$A$2:$A$501,A59,'Payment Claims'!$B$2:$B$501,C59,'Payment Claims'!$G$2:$G$501,"&lt;&gt;Disputed"))</f>
        <v/>
      </c>
      <c r="S59" s="36" t="str">
        <f aca="false">IF(OR(C59="",G59=""),"",G59-R59)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4"/>
      <c r="H60" s="34"/>
      <c r="I60" s="34"/>
      <c r="J60" s="34"/>
      <c r="K60" s="41"/>
      <c r="L60" s="41"/>
      <c r="M60" s="35"/>
      <c r="N60" s="35"/>
      <c r="O60" s="35"/>
      <c r="P60" s="32"/>
      <c r="Q60" s="33"/>
      <c r="R60" s="36" t="str">
        <f aca="false">IF(C60="","",SUMIFS('Payment Claims'!$E$2:$E$501,'Payment Claims'!$A$2:$A$501,A60,'Payment Claims'!$B$2:$B$501,C60,'Payment Claims'!$G$2:$G$501,"&lt;&gt;Disputed"))</f>
        <v/>
      </c>
      <c r="S60" s="36" t="str">
        <f aca="false">IF(OR(C60="",G60=""),"",G60-R60)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4"/>
      <c r="H61" s="34"/>
      <c r="I61" s="34"/>
      <c r="J61" s="34"/>
      <c r="K61" s="41"/>
      <c r="L61" s="41"/>
      <c r="M61" s="35"/>
      <c r="N61" s="35"/>
      <c r="O61" s="35"/>
      <c r="P61" s="32"/>
      <c r="Q61" s="33"/>
      <c r="R61" s="36" t="str">
        <f aca="false">IF(C61="","",SUMIFS('Payment Claims'!$E$2:$E$501,'Payment Claims'!$A$2:$A$501,A61,'Payment Claims'!$B$2:$B$501,C61,'Payment Claims'!$G$2:$G$501,"&lt;&gt;Disputed"))</f>
        <v/>
      </c>
      <c r="S61" s="36" t="str">
        <f aca="false">IF(OR(C61="",G61=""),"",G61-R61)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4"/>
      <c r="H62" s="34"/>
      <c r="I62" s="34"/>
      <c r="J62" s="34"/>
      <c r="K62" s="41"/>
      <c r="L62" s="41"/>
      <c r="M62" s="35"/>
      <c r="N62" s="35"/>
      <c r="O62" s="35"/>
      <c r="P62" s="32"/>
      <c r="Q62" s="33"/>
      <c r="R62" s="36" t="str">
        <f aca="false">IF(C62="","",SUMIFS('Payment Claims'!$E$2:$E$501,'Payment Claims'!$A$2:$A$501,A62,'Payment Claims'!$B$2:$B$501,C62,'Payment Claims'!$G$2:$G$501,"&lt;&gt;Disputed"))</f>
        <v/>
      </c>
      <c r="S62" s="36" t="str">
        <f aca="false">IF(OR(C62="",G62=""),"",G62-R62)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4"/>
      <c r="H63" s="34"/>
      <c r="I63" s="34"/>
      <c r="J63" s="34"/>
      <c r="K63" s="41"/>
      <c r="L63" s="41"/>
      <c r="M63" s="35"/>
      <c r="N63" s="35"/>
      <c r="O63" s="35"/>
      <c r="P63" s="32"/>
      <c r="Q63" s="33"/>
      <c r="R63" s="36" t="str">
        <f aca="false">IF(C63="","",SUMIFS('Payment Claims'!$E$2:$E$501,'Payment Claims'!$A$2:$A$501,A63,'Payment Claims'!$B$2:$B$501,C63,'Payment Claims'!$G$2:$G$501,"&lt;&gt;Disputed"))</f>
        <v/>
      </c>
      <c r="S63" s="36" t="str">
        <f aca="false">IF(OR(C63="",G63=""),"",G63-R63)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4"/>
      <c r="H64" s="34"/>
      <c r="I64" s="34"/>
      <c r="J64" s="34"/>
      <c r="K64" s="41"/>
      <c r="L64" s="41"/>
      <c r="M64" s="35"/>
      <c r="N64" s="35"/>
      <c r="O64" s="35"/>
      <c r="P64" s="32"/>
      <c r="Q64" s="33"/>
      <c r="R64" s="36" t="str">
        <f aca="false">IF(C64="","",SUMIFS('Payment Claims'!$E$2:$E$501,'Payment Claims'!$A$2:$A$501,A64,'Payment Claims'!$B$2:$B$501,C64,'Payment Claims'!$G$2:$G$501,"&lt;&gt;Disputed"))</f>
        <v/>
      </c>
      <c r="S64" s="36" t="str">
        <f aca="false">IF(OR(C64="",G64=""),"",G64-R64)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4"/>
      <c r="H65" s="34"/>
      <c r="I65" s="34"/>
      <c r="J65" s="34"/>
      <c r="K65" s="41"/>
      <c r="L65" s="41"/>
      <c r="M65" s="35"/>
      <c r="N65" s="35"/>
      <c r="O65" s="35"/>
      <c r="P65" s="32"/>
      <c r="Q65" s="33"/>
      <c r="R65" s="36" t="str">
        <f aca="false">IF(C65="","",SUMIFS('Payment Claims'!$E$2:$E$501,'Payment Claims'!$A$2:$A$501,A65,'Payment Claims'!$B$2:$B$501,C65,'Payment Claims'!$G$2:$G$501,"&lt;&gt;Disputed"))</f>
        <v/>
      </c>
      <c r="S65" s="36" t="str">
        <f aca="false">IF(OR(C65="",G65=""),"",G65-R65)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4"/>
      <c r="H66" s="34"/>
      <c r="I66" s="34"/>
      <c r="J66" s="34"/>
      <c r="K66" s="41"/>
      <c r="L66" s="41"/>
      <c r="M66" s="35"/>
      <c r="N66" s="35"/>
      <c r="O66" s="35"/>
      <c r="P66" s="32"/>
      <c r="Q66" s="33"/>
      <c r="R66" s="36" t="str">
        <f aca="false">IF(C66="","",SUMIFS('Payment Claims'!$E$2:$E$501,'Payment Claims'!$A$2:$A$501,A66,'Payment Claims'!$B$2:$B$501,C66,'Payment Claims'!$G$2:$G$501,"&lt;&gt;Disputed"))</f>
        <v/>
      </c>
      <c r="S66" s="36" t="str">
        <f aca="false">IF(OR(C66="",G66=""),"",G66-R66)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4"/>
      <c r="H67" s="34"/>
      <c r="I67" s="34"/>
      <c r="J67" s="34"/>
      <c r="K67" s="41"/>
      <c r="L67" s="41"/>
      <c r="M67" s="35"/>
      <c r="N67" s="35"/>
      <c r="O67" s="35"/>
      <c r="P67" s="32"/>
      <c r="Q67" s="33"/>
      <c r="R67" s="36" t="str">
        <f aca="false">IF(C67="","",SUMIFS('Payment Claims'!$E$2:$E$501,'Payment Claims'!$A$2:$A$501,A67,'Payment Claims'!$B$2:$B$501,C67,'Payment Claims'!$G$2:$G$501,"&lt;&gt;Disputed"))</f>
        <v/>
      </c>
      <c r="S67" s="36" t="str">
        <f aca="false">IF(OR(C67="",G67=""),"",G67-R67)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4"/>
      <c r="H68" s="34"/>
      <c r="I68" s="34"/>
      <c r="J68" s="34"/>
      <c r="K68" s="41"/>
      <c r="L68" s="41"/>
      <c r="M68" s="35"/>
      <c r="N68" s="35"/>
      <c r="O68" s="35"/>
      <c r="P68" s="32"/>
      <c r="Q68" s="33"/>
      <c r="R68" s="36" t="str">
        <f aca="false">IF(C68="","",SUMIFS('Payment Claims'!$E$2:$E$501,'Payment Claims'!$A$2:$A$501,A68,'Payment Claims'!$B$2:$B$501,C68,'Payment Claims'!$G$2:$G$501,"&lt;&gt;Disputed"))</f>
        <v/>
      </c>
      <c r="S68" s="36" t="str">
        <f aca="false">IF(OR(C68="",G68=""),"",G68-R68)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4"/>
      <c r="H69" s="34"/>
      <c r="I69" s="34"/>
      <c r="J69" s="34"/>
      <c r="K69" s="41"/>
      <c r="L69" s="41"/>
      <c r="M69" s="35"/>
      <c r="N69" s="35"/>
      <c r="O69" s="35"/>
      <c r="P69" s="32"/>
      <c r="Q69" s="33"/>
      <c r="R69" s="36" t="str">
        <f aca="false">IF(C69="","",SUMIFS('Payment Claims'!$E$2:$E$501,'Payment Claims'!$A$2:$A$501,A69,'Payment Claims'!$B$2:$B$501,C69,'Payment Claims'!$G$2:$G$501,"&lt;&gt;Disputed"))</f>
        <v/>
      </c>
      <c r="S69" s="36" t="str">
        <f aca="false">IF(OR(C69="",G69=""),"",G69-R69)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4"/>
      <c r="H70" s="34"/>
      <c r="I70" s="34"/>
      <c r="J70" s="34"/>
      <c r="K70" s="41"/>
      <c r="L70" s="41"/>
      <c r="M70" s="35"/>
      <c r="N70" s="35"/>
      <c r="O70" s="35"/>
      <c r="P70" s="32"/>
      <c r="Q70" s="33"/>
      <c r="R70" s="36" t="str">
        <f aca="false">IF(C70="","",SUMIFS('Payment Claims'!$E$2:$E$501,'Payment Claims'!$A$2:$A$501,A70,'Payment Claims'!$B$2:$B$501,C70,'Payment Claims'!$G$2:$G$501,"&lt;&gt;Disputed"))</f>
        <v/>
      </c>
      <c r="S70" s="36" t="str">
        <f aca="false">IF(OR(C70="",G70=""),"",G70-R70)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4"/>
      <c r="H71" s="34"/>
      <c r="I71" s="34"/>
      <c r="J71" s="34"/>
      <c r="K71" s="41"/>
      <c r="L71" s="41"/>
      <c r="M71" s="35"/>
      <c r="N71" s="35"/>
      <c r="O71" s="35"/>
      <c r="P71" s="32"/>
      <c r="Q71" s="33"/>
      <c r="R71" s="36" t="str">
        <f aca="false">IF(C71="","",SUMIFS('Payment Claims'!$E$2:$E$501,'Payment Claims'!$A$2:$A$501,A71,'Payment Claims'!$B$2:$B$501,C71,'Payment Claims'!$G$2:$G$501,"&lt;&gt;Disputed"))</f>
        <v/>
      </c>
      <c r="S71" s="36" t="str">
        <f aca="false">IF(OR(C71="",G71=""),"",G71-R71)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4"/>
      <c r="H72" s="34"/>
      <c r="I72" s="34"/>
      <c r="J72" s="34"/>
      <c r="K72" s="41"/>
      <c r="L72" s="41"/>
      <c r="M72" s="35"/>
      <c r="N72" s="35"/>
      <c r="O72" s="35"/>
      <c r="P72" s="32"/>
      <c r="Q72" s="33"/>
      <c r="R72" s="36" t="str">
        <f aca="false">IF(C72="","",SUMIFS('Payment Claims'!$E$2:$E$501,'Payment Claims'!$A$2:$A$501,A72,'Payment Claims'!$B$2:$B$501,C72,'Payment Claims'!$G$2:$G$501,"&lt;&gt;Disputed"))</f>
        <v/>
      </c>
      <c r="S72" s="36" t="str">
        <f aca="false">IF(OR(C72="",G72=""),"",G72-R72)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4"/>
      <c r="H73" s="34"/>
      <c r="I73" s="34"/>
      <c r="J73" s="34"/>
      <c r="K73" s="41"/>
      <c r="L73" s="41"/>
      <c r="M73" s="35"/>
      <c r="N73" s="35"/>
      <c r="O73" s="35"/>
      <c r="P73" s="32"/>
      <c r="Q73" s="33"/>
      <c r="R73" s="36" t="str">
        <f aca="false">IF(C73="","",SUMIFS('Payment Claims'!$E$2:$E$501,'Payment Claims'!$A$2:$A$501,A73,'Payment Claims'!$B$2:$B$501,C73,'Payment Claims'!$G$2:$G$501,"&lt;&gt;Disputed"))</f>
        <v/>
      </c>
      <c r="S73" s="36" t="str">
        <f aca="false">IF(OR(C73="",G73=""),"",G73-R73)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4"/>
      <c r="H74" s="34"/>
      <c r="I74" s="34"/>
      <c r="J74" s="34"/>
      <c r="K74" s="41"/>
      <c r="L74" s="41"/>
      <c r="M74" s="35"/>
      <c r="N74" s="35"/>
      <c r="O74" s="35"/>
      <c r="P74" s="32"/>
      <c r="Q74" s="33"/>
      <c r="R74" s="36" t="str">
        <f aca="false">IF(C74="","",SUMIFS('Payment Claims'!$E$2:$E$501,'Payment Claims'!$A$2:$A$501,A74,'Payment Claims'!$B$2:$B$501,C74,'Payment Claims'!$G$2:$G$501,"&lt;&gt;Disputed"))</f>
        <v/>
      </c>
      <c r="S74" s="36" t="str">
        <f aca="false">IF(OR(C74="",G74=""),"",G74-R74)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4"/>
      <c r="H75" s="34"/>
      <c r="I75" s="34"/>
      <c r="J75" s="34"/>
      <c r="K75" s="41"/>
      <c r="L75" s="41"/>
      <c r="M75" s="35"/>
      <c r="N75" s="35"/>
      <c r="O75" s="35"/>
      <c r="P75" s="32"/>
      <c r="Q75" s="33"/>
      <c r="R75" s="36" t="str">
        <f aca="false">IF(C75="","",SUMIFS('Payment Claims'!$E$2:$E$501,'Payment Claims'!$A$2:$A$501,A75,'Payment Claims'!$B$2:$B$501,C75,'Payment Claims'!$G$2:$G$501,"&lt;&gt;Disputed"))</f>
        <v/>
      </c>
      <c r="S75" s="36" t="str">
        <f aca="false">IF(OR(C75="",G75=""),"",G75-R75)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4"/>
      <c r="H76" s="34"/>
      <c r="I76" s="34"/>
      <c r="J76" s="34"/>
      <c r="K76" s="41"/>
      <c r="L76" s="41"/>
      <c r="M76" s="35"/>
      <c r="N76" s="35"/>
      <c r="O76" s="35"/>
      <c r="P76" s="32"/>
      <c r="Q76" s="33"/>
      <c r="R76" s="36" t="str">
        <f aca="false">IF(C76="","",SUMIFS('Payment Claims'!$E$2:$E$501,'Payment Claims'!$A$2:$A$501,A76,'Payment Claims'!$B$2:$B$501,C76,'Payment Claims'!$G$2:$G$501,"&lt;&gt;Disputed"))</f>
        <v/>
      </c>
      <c r="S76" s="36" t="str">
        <f aca="false">IF(OR(C76="",G76=""),"",G76-R76)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4"/>
      <c r="H77" s="34"/>
      <c r="I77" s="34"/>
      <c r="J77" s="34"/>
      <c r="K77" s="41"/>
      <c r="L77" s="41"/>
      <c r="M77" s="35"/>
      <c r="N77" s="35"/>
      <c r="O77" s="35"/>
      <c r="P77" s="32"/>
      <c r="Q77" s="33"/>
      <c r="R77" s="36" t="str">
        <f aca="false">IF(C77="","",SUMIFS('Payment Claims'!$E$2:$E$501,'Payment Claims'!$A$2:$A$501,A77,'Payment Claims'!$B$2:$B$501,C77,'Payment Claims'!$G$2:$G$501,"&lt;&gt;Disputed"))</f>
        <v/>
      </c>
      <c r="S77" s="36" t="str">
        <f aca="false">IF(OR(C77="",G77=""),"",G77-R77)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4"/>
      <c r="H78" s="34"/>
      <c r="I78" s="34"/>
      <c r="J78" s="34"/>
      <c r="K78" s="41"/>
      <c r="L78" s="41"/>
      <c r="M78" s="35"/>
      <c r="N78" s="35"/>
      <c r="O78" s="35"/>
      <c r="P78" s="32"/>
      <c r="Q78" s="33"/>
      <c r="R78" s="36" t="str">
        <f aca="false">IF(C78="","",SUMIFS('Payment Claims'!$E$2:$E$501,'Payment Claims'!$A$2:$A$501,A78,'Payment Claims'!$B$2:$B$501,C78,'Payment Claims'!$G$2:$G$501,"&lt;&gt;Disputed"))</f>
        <v/>
      </c>
      <c r="S78" s="36" t="str">
        <f aca="false">IF(OR(C78="",G78=""),"",G78-R78)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4"/>
      <c r="H79" s="34"/>
      <c r="I79" s="34"/>
      <c r="J79" s="34"/>
      <c r="K79" s="41"/>
      <c r="L79" s="41"/>
      <c r="M79" s="35"/>
      <c r="N79" s="35"/>
      <c r="O79" s="35"/>
      <c r="P79" s="32"/>
      <c r="Q79" s="33"/>
      <c r="R79" s="36" t="str">
        <f aca="false">IF(C79="","",SUMIFS('Payment Claims'!$E$2:$E$501,'Payment Claims'!$A$2:$A$501,A79,'Payment Claims'!$B$2:$B$501,C79,'Payment Claims'!$G$2:$G$501,"&lt;&gt;Disputed"))</f>
        <v/>
      </c>
      <c r="S79" s="36" t="str">
        <f aca="false">IF(OR(C79="",G79=""),"",G79-R79)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4"/>
      <c r="H80" s="34"/>
      <c r="I80" s="34"/>
      <c r="J80" s="34"/>
      <c r="K80" s="41"/>
      <c r="L80" s="41"/>
      <c r="M80" s="35"/>
      <c r="N80" s="35"/>
      <c r="O80" s="35"/>
      <c r="P80" s="32"/>
      <c r="Q80" s="33"/>
      <c r="R80" s="36" t="str">
        <f aca="false">IF(C80="","",SUMIFS('Payment Claims'!$E$2:$E$501,'Payment Claims'!$A$2:$A$501,A80,'Payment Claims'!$B$2:$B$501,C80,'Payment Claims'!$G$2:$G$501,"&lt;&gt;Disputed"))</f>
        <v/>
      </c>
      <c r="S80" s="36" t="str">
        <f aca="false">IF(OR(C80="",G80=""),"",G80-R80)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4"/>
      <c r="H81" s="34"/>
      <c r="I81" s="34"/>
      <c r="J81" s="34"/>
      <c r="K81" s="41"/>
      <c r="L81" s="41"/>
      <c r="M81" s="35"/>
      <c r="N81" s="35"/>
      <c r="O81" s="35"/>
      <c r="P81" s="32"/>
      <c r="Q81" s="33"/>
      <c r="R81" s="36" t="str">
        <f aca="false">IF(C81="","",SUMIFS('Payment Claims'!$E$2:$E$501,'Payment Claims'!$A$2:$A$501,A81,'Payment Claims'!$B$2:$B$501,C81,'Payment Claims'!$G$2:$G$501,"&lt;&gt;Disputed"))</f>
        <v/>
      </c>
      <c r="S81" s="36" t="str">
        <f aca="false">IF(OR(C81="",G81=""),"",G81-R81)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4"/>
      <c r="H82" s="34"/>
      <c r="I82" s="34"/>
      <c r="J82" s="34"/>
      <c r="K82" s="41"/>
      <c r="L82" s="41"/>
      <c r="M82" s="35"/>
      <c r="N82" s="35"/>
      <c r="O82" s="35"/>
      <c r="P82" s="32"/>
      <c r="Q82" s="33"/>
      <c r="R82" s="36" t="str">
        <f aca="false">IF(C82="","",SUMIFS('Payment Claims'!$E$2:$E$501,'Payment Claims'!$A$2:$A$501,A82,'Payment Claims'!$B$2:$B$501,C82,'Payment Claims'!$G$2:$G$501,"&lt;&gt;Disputed"))</f>
        <v/>
      </c>
      <c r="S82" s="36" t="str">
        <f aca="false">IF(OR(C82="",G82=""),"",G82-R82)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4"/>
      <c r="H83" s="34"/>
      <c r="I83" s="34"/>
      <c r="J83" s="34"/>
      <c r="K83" s="41"/>
      <c r="L83" s="41"/>
      <c r="M83" s="35"/>
      <c r="N83" s="35"/>
      <c r="O83" s="35"/>
      <c r="P83" s="32"/>
      <c r="Q83" s="33"/>
      <c r="R83" s="36" t="str">
        <f aca="false">IF(C83="","",SUMIFS('Payment Claims'!$E$2:$E$501,'Payment Claims'!$A$2:$A$501,A83,'Payment Claims'!$B$2:$B$501,C83,'Payment Claims'!$G$2:$G$501,"&lt;&gt;Disputed"))</f>
        <v/>
      </c>
      <c r="S83" s="36" t="str">
        <f aca="false">IF(OR(C83="",G83=""),"",G83-R83)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4"/>
      <c r="H84" s="34"/>
      <c r="I84" s="34"/>
      <c r="J84" s="34"/>
      <c r="K84" s="41"/>
      <c r="L84" s="41"/>
      <c r="M84" s="35"/>
      <c r="N84" s="35"/>
      <c r="O84" s="35"/>
      <c r="P84" s="32"/>
      <c r="Q84" s="33"/>
      <c r="R84" s="36" t="str">
        <f aca="false">IF(C84="","",SUMIFS('Payment Claims'!$E$2:$E$501,'Payment Claims'!$A$2:$A$501,A84,'Payment Claims'!$B$2:$B$501,C84,'Payment Claims'!$G$2:$G$501,"&lt;&gt;Disputed"))</f>
        <v/>
      </c>
      <c r="S84" s="36" t="str">
        <f aca="false">IF(OR(C84="",G84=""),"",G84-R84)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4"/>
      <c r="H85" s="34"/>
      <c r="I85" s="34"/>
      <c r="J85" s="34"/>
      <c r="K85" s="41"/>
      <c r="L85" s="41"/>
      <c r="M85" s="35"/>
      <c r="N85" s="35"/>
      <c r="O85" s="35"/>
      <c r="P85" s="32"/>
      <c r="Q85" s="33"/>
      <c r="R85" s="36" t="str">
        <f aca="false">IF(C85="","",SUMIFS('Payment Claims'!$E$2:$E$501,'Payment Claims'!$A$2:$A$501,A85,'Payment Claims'!$B$2:$B$501,C85,'Payment Claims'!$G$2:$G$501,"&lt;&gt;Disputed"))</f>
        <v/>
      </c>
      <c r="S85" s="36" t="str">
        <f aca="false">IF(OR(C85="",G85=""),"",G85-R85)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4"/>
      <c r="H86" s="34"/>
      <c r="I86" s="34"/>
      <c r="J86" s="34"/>
      <c r="K86" s="41"/>
      <c r="L86" s="41"/>
      <c r="M86" s="35"/>
      <c r="N86" s="35"/>
      <c r="O86" s="35"/>
      <c r="P86" s="32"/>
      <c r="Q86" s="33"/>
      <c r="R86" s="36" t="str">
        <f aca="false">IF(C86="","",SUMIFS('Payment Claims'!$E$2:$E$501,'Payment Claims'!$A$2:$A$501,A86,'Payment Claims'!$B$2:$B$501,C86,'Payment Claims'!$G$2:$G$501,"&lt;&gt;Disputed"))</f>
        <v/>
      </c>
      <c r="S86" s="36" t="str">
        <f aca="false">IF(OR(C86="",G86=""),"",G86-R86)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4"/>
      <c r="H87" s="34"/>
      <c r="I87" s="34"/>
      <c r="J87" s="34"/>
      <c r="K87" s="41"/>
      <c r="L87" s="41"/>
      <c r="M87" s="35"/>
      <c r="N87" s="35"/>
      <c r="O87" s="35"/>
      <c r="P87" s="32"/>
      <c r="Q87" s="33"/>
      <c r="R87" s="36" t="str">
        <f aca="false">IF(C87="","",SUMIFS('Payment Claims'!$E$2:$E$501,'Payment Claims'!$A$2:$A$501,A87,'Payment Claims'!$B$2:$B$501,C87,'Payment Claims'!$G$2:$G$501,"&lt;&gt;Disputed"))</f>
        <v/>
      </c>
      <c r="S87" s="36" t="str">
        <f aca="false">IF(OR(C87="",G87=""),"",G87-R87)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4"/>
      <c r="H88" s="34"/>
      <c r="I88" s="34"/>
      <c r="J88" s="34"/>
      <c r="K88" s="41"/>
      <c r="L88" s="41"/>
      <c r="M88" s="35"/>
      <c r="N88" s="35"/>
      <c r="O88" s="35"/>
      <c r="P88" s="32"/>
      <c r="Q88" s="33"/>
      <c r="R88" s="36" t="str">
        <f aca="false">IF(C88="","",SUMIFS('Payment Claims'!$E$2:$E$501,'Payment Claims'!$A$2:$A$501,A88,'Payment Claims'!$B$2:$B$501,C88,'Payment Claims'!$G$2:$G$501,"&lt;&gt;Disputed"))</f>
        <v/>
      </c>
      <c r="S88" s="36" t="str">
        <f aca="false">IF(OR(C88="",G88=""),"",G88-R88)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4"/>
      <c r="H89" s="34"/>
      <c r="I89" s="34"/>
      <c r="J89" s="34"/>
      <c r="K89" s="41"/>
      <c r="L89" s="41"/>
      <c r="M89" s="35"/>
      <c r="N89" s="35"/>
      <c r="O89" s="35"/>
      <c r="P89" s="32"/>
      <c r="Q89" s="33"/>
      <c r="R89" s="36" t="str">
        <f aca="false">IF(C89="","",SUMIFS('Payment Claims'!$E$2:$E$501,'Payment Claims'!$A$2:$A$501,A89,'Payment Claims'!$B$2:$B$501,C89,'Payment Claims'!$G$2:$G$501,"&lt;&gt;Disputed"))</f>
        <v/>
      </c>
      <c r="S89" s="36" t="str">
        <f aca="false">IF(OR(C89="",G89=""),"",G89-R89)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4"/>
      <c r="H90" s="34"/>
      <c r="I90" s="34"/>
      <c r="J90" s="34"/>
      <c r="K90" s="41"/>
      <c r="L90" s="41"/>
      <c r="M90" s="35"/>
      <c r="N90" s="35"/>
      <c r="O90" s="35"/>
      <c r="P90" s="32"/>
      <c r="Q90" s="33"/>
      <c r="R90" s="36" t="str">
        <f aca="false">IF(C90="","",SUMIFS('Payment Claims'!$E$2:$E$501,'Payment Claims'!$A$2:$A$501,A90,'Payment Claims'!$B$2:$B$501,C90,'Payment Claims'!$G$2:$G$501,"&lt;&gt;Disputed"))</f>
        <v/>
      </c>
      <c r="S90" s="36" t="str">
        <f aca="false">IF(OR(C90="",G90=""),"",G90-R90)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4"/>
      <c r="H91" s="34"/>
      <c r="I91" s="34"/>
      <c r="J91" s="34"/>
      <c r="K91" s="41"/>
      <c r="L91" s="41"/>
      <c r="M91" s="35"/>
      <c r="N91" s="35"/>
      <c r="O91" s="35"/>
      <c r="P91" s="32"/>
      <c r="Q91" s="33"/>
      <c r="R91" s="36" t="str">
        <f aca="false">IF(C91="","",SUMIFS('Payment Claims'!$E$2:$E$501,'Payment Claims'!$A$2:$A$501,A91,'Payment Claims'!$B$2:$B$501,C91,'Payment Claims'!$G$2:$G$501,"&lt;&gt;Disputed"))</f>
        <v/>
      </c>
      <c r="S91" s="36" t="str">
        <f aca="false">IF(OR(C91="",G91=""),"",G91-R91)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4"/>
      <c r="H92" s="34"/>
      <c r="I92" s="34"/>
      <c r="J92" s="34"/>
      <c r="K92" s="41"/>
      <c r="L92" s="41"/>
      <c r="M92" s="35"/>
      <c r="N92" s="35"/>
      <c r="O92" s="35"/>
      <c r="P92" s="32"/>
      <c r="Q92" s="33"/>
      <c r="R92" s="36" t="str">
        <f aca="false">IF(C92="","",SUMIFS('Payment Claims'!$E$2:$E$501,'Payment Claims'!$A$2:$A$501,A92,'Payment Claims'!$B$2:$B$501,C92,'Payment Claims'!$G$2:$G$501,"&lt;&gt;Disputed"))</f>
        <v/>
      </c>
      <c r="S92" s="36" t="str">
        <f aca="false">IF(OR(C92="",G92=""),"",G92-R92)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4"/>
      <c r="H93" s="34"/>
      <c r="I93" s="34"/>
      <c r="J93" s="34"/>
      <c r="K93" s="41"/>
      <c r="L93" s="41"/>
      <c r="M93" s="35"/>
      <c r="N93" s="35"/>
      <c r="O93" s="35"/>
      <c r="P93" s="32"/>
      <c r="Q93" s="33"/>
      <c r="R93" s="36" t="str">
        <f aca="false">IF(C93="","",SUMIFS('Payment Claims'!$E$2:$E$501,'Payment Claims'!$A$2:$A$501,A93,'Payment Claims'!$B$2:$B$501,C93,'Payment Claims'!$G$2:$G$501,"&lt;&gt;Disputed"))</f>
        <v/>
      </c>
      <c r="S93" s="36" t="str">
        <f aca="false">IF(OR(C93="",G93=""),"",G93-R93)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4"/>
      <c r="H94" s="34"/>
      <c r="I94" s="34"/>
      <c r="J94" s="34"/>
      <c r="K94" s="41"/>
      <c r="L94" s="41"/>
      <c r="M94" s="35"/>
      <c r="N94" s="35"/>
      <c r="O94" s="35"/>
      <c r="P94" s="32"/>
      <c r="Q94" s="33"/>
      <c r="R94" s="36" t="str">
        <f aca="false">IF(C94="","",SUMIFS('Payment Claims'!$E$2:$E$501,'Payment Claims'!$A$2:$A$501,A94,'Payment Claims'!$B$2:$B$501,C94,'Payment Claims'!$G$2:$G$501,"&lt;&gt;Disputed"))</f>
        <v/>
      </c>
      <c r="S94" s="36" t="str">
        <f aca="false">IF(OR(C94="",G94=""),"",G94-R94)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4"/>
      <c r="H95" s="34"/>
      <c r="I95" s="34"/>
      <c r="J95" s="34"/>
      <c r="K95" s="41"/>
      <c r="L95" s="41"/>
      <c r="M95" s="35"/>
      <c r="N95" s="35"/>
      <c r="O95" s="35"/>
      <c r="P95" s="32"/>
      <c r="Q95" s="33"/>
      <c r="R95" s="36" t="str">
        <f aca="false">IF(C95="","",SUMIFS('Payment Claims'!$E$2:$E$501,'Payment Claims'!$A$2:$A$501,A95,'Payment Claims'!$B$2:$B$501,C95,'Payment Claims'!$G$2:$G$501,"&lt;&gt;Disputed"))</f>
        <v/>
      </c>
      <c r="S95" s="36" t="str">
        <f aca="false">IF(OR(C95="",G95=""),"",G95-R95)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4"/>
      <c r="H96" s="34"/>
      <c r="I96" s="34"/>
      <c r="J96" s="34"/>
      <c r="K96" s="41"/>
      <c r="L96" s="41"/>
      <c r="M96" s="35"/>
      <c r="N96" s="35"/>
      <c r="O96" s="35"/>
      <c r="P96" s="32"/>
      <c r="Q96" s="33"/>
      <c r="R96" s="36" t="str">
        <f aca="false">IF(C96="","",SUMIFS('Payment Claims'!$E$2:$E$501,'Payment Claims'!$A$2:$A$501,A96,'Payment Claims'!$B$2:$B$501,C96,'Payment Claims'!$G$2:$G$501,"&lt;&gt;Disputed"))</f>
        <v/>
      </c>
      <c r="S96" s="36" t="str">
        <f aca="false">IF(OR(C96="",G96=""),"",G96-R96)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4"/>
      <c r="H97" s="34"/>
      <c r="I97" s="34"/>
      <c r="J97" s="34"/>
      <c r="K97" s="41"/>
      <c r="L97" s="41"/>
      <c r="M97" s="35"/>
      <c r="N97" s="35"/>
      <c r="O97" s="35"/>
      <c r="P97" s="32"/>
      <c r="Q97" s="33"/>
      <c r="R97" s="36" t="str">
        <f aca="false">IF(C97="","",SUMIFS('Payment Claims'!$E$2:$E$501,'Payment Claims'!$A$2:$A$501,A97,'Payment Claims'!$B$2:$B$501,C97,'Payment Claims'!$G$2:$G$501,"&lt;&gt;Disputed"))</f>
        <v/>
      </c>
      <c r="S97" s="36" t="str">
        <f aca="false">IF(OR(C97="",G97=""),"",G97-R97)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4"/>
      <c r="H98" s="34"/>
      <c r="I98" s="34"/>
      <c r="J98" s="34"/>
      <c r="K98" s="41"/>
      <c r="L98" s="41"/>
      <c r="M98" s="35"/>
      <c r="N98" s="35"/>
      <c r="O98" s="35"/>
      <c r="P98" s="32"/>
      <c r="Q98" s="33"/>
      <c r="R98" s="36" t="str">
        <f aca="false">IF(C98="","",SUMIFS('Payment Claims'!$E$2:$E$501,'Payment Claims'!$A$2:$A$501,A98,'Payment Claims'!$B$2:$B$501,C98,'Payment Claims'!$G$2:$G$501,"&lt;&gt;Disputed"))</f>
        <v/>
      </c>
      <c r="S98" s="36" t="str">
        <f aca="false">IF(OR(C98="",G98=""),"",G98-R98)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4"/>
      <c r="H99" s="34"/>
      <c r="I99" s="34"/>
      <c r="J99" s="34"/>
      <c r="K99" s="41"/>
      <c r="L99" s="41"/>
      <c r="M99" s="35"/>
      <c r="N99" s="35"/>
      <c r="O99" s="35"/>
      <c r="P99" s="32"/>
      <c r="Q99" s="33"/>
      <c r="R99" s="36" t="str">
        <f aca="false">IF(C99="","",SUMIFS('Payment Claims'!$E$2:$E$501,'Payment Claims'!$A$2:$A$501,A99,'Payment Claims'!$B$2:$B$501,C99,'Payment Claims'!$G$2:$G$501,"&lt;&gt;Disputed"))</f>
        <v/>
      </c>
      <c r="S99" s="36" t="str">
        <f aca="false">IF(OR(C99="",G99=""),"",G99-R99)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4"/>
      <c r="H100" s="34"/>
      <c r="I100" s="34"/>
      <c r="J100" s="34"/>
      <c r="K100" s="41"/>
      <c r="L100" s="41"/>
      <c r="M100" s="35"/>
      <c r="N100" s="35"/>
      <c r="O100" s="35"/>
      <c r="P100" s="32"/>
      <c r="Q100" s="33"/>
      <c r="R100" s="36" t="str">
        <f aca="false">IF(C100="","",SUMIFS('Payment Claims'!$E$2:$E$501,'Payment Claims'!$A$2:$A$501,A100,'Payment Claims'!$B$2:$B$501,C100,'Payment Claims'!$G$2:$G$501,"&lt;&gt;Disputed"))</f>
        <v/>
      </c>
      <c r="S100" s="36" t="str">
        <f aca="false">IF(OR(C100="",G100=""),"",G100-R100)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4"/>
      <c r="H101" s="34"/>
      <c r="I101" s="34"/>
      <c r="J101" s="34"/>
      <c r="K101" s="41"/>
      <c r="L101" s="41"/>
      <c r="M101" s="35"/>
      <c r="N101" s="35"/>
      <c r="O101" s="35"/>
      <c r="P101" s="32"/>
      <c r="Q101" s="33"/>
      <c r="R101" s="36" t="str">
        <f aca="false">IF(C101="","",SUMIFS('Payment Claims'!$E$2:$E$501,'Payment Claims'!$A$2:$A$501,A101,'Payment Claims'!$B$2:$B$501,C101,'Payment Claims'!$G$2:$G$501,"&lt;&gt;Disputed"))</f>
        <v/>
      </c>
      <c r="S101" s="36" t="str">
        <f aca="false">IF(OR(C101="",G101=""),"",G101-R101)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4"/>
      <c r="H102" s="34"/>
      <c r="I102" s="34"/>
      <c r="J102" s="34"/>
      <c r="K102" s="41"/>
      <c r="L102" s="41"/>
      <c r="M102" s="35"/>
      <c r="N102" s="35"/>
      <c r="O102" s="35"/>
      <c r="P102" s="32"/>
      <c r="Q102" s="33"/>
      <c r="R102" s="36" t="str">
        <f aca="false">IF(C102="","",SUMIFS('Payment Claims'!$E$2:$E$501,'Payment Claims'!$A$2:$A$501,A102,'Payment Claims'!$B$2:$B$501,C102,'Payment Claims'!$G$2:$G$501,"&lt;&gt;Disputed"))</f>
        <v/>
      </c>
      <c r="S102" s="36" t="str">
        <f aca="false">IF(OR(C102="",G102=""),"",G102-R102)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4"/>
      <c r="H103" s="34"/>
      <c r="I103" s="34"/>
      <c r="J103" s="34"/>
      <c r="K103" s="41"/>
      <c r="L103" s="41"/>
      <c r="M103" s="35"/>
      <c r="N103" s="35"/>
      <c r="O103" s="35"/>
      <c r="P103" s="32"/>
      <c r="Q103" s="33"/>
      <c r="R103" s="36" t="str">
        <f aca="false">IF(C103="","",SUMIFS('Payment Claims'!$E$2:$E$501,'Payment Claims'!$A$2:$A$501,A103,'Payment Claims'!$B$2:$B$501,C103,'Payment Claims'!$G$2:$G$501,"&lt;&gt;Disputed"))</f>
        <v/>
      </c>
      <c r="S103" s="36" t="str">
        <f aca="false">IF(OR(C103="",G103=""),"",G103-R103)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4"/>
      <c r="H104" s="34"/>
      <c r="I104" s="34"/>
      <c r="J104" s="34"/>
      <c r="K104" s="41"/>
      <c r="L104" s="41"/>
      <c r="M104" s="35"/>
      <c r="N104" s="35"/>
      <c r="O104" s="35"/>
      <c r="P104" s="32"/>
      <c r="Q104" s="33"/>
      <c r="R104" s="36" t="str">
        <f aca="false">IF(C104="","",SUMIFS('Payment Claims'!$E$2:$E$501,'Payment Claims'!$A$2:$A$501,A104,'Payment Claims'!$B$2:$B$501,C104,'Payment Claims'!$G$2:$G$501,"&lt;&gt;Disputed"))</f>
        <v/>
      </c>
      <c r="S104" s="36" t="str">
        <f aca="false">IF(OR(C104="",G104=""),"",G104-R104)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4"/>
      <c r="H105" s="34"/>
      <c r="I105" s="34"/>
      <c r="J105" s="34"/>
      <c r="K105" s="41"/>
      <c r="L105" s="41"/>
      <c r="M105" s="35"/>
      <c r="N105" s="35"/>
      <c r="O105" s="35"/>
      <c r="P105" s="32"/>
      <c r="Q105" s="33"/>
      <c r="R105" s="36" t="str">
        <f aca="false">IF(C105="","",SUMIFS('Payment Claims'!$E$2:$E$501,'Payment Claims'!$A$2:$A$501,A105,'Payment Claims'!$B$2:$B$501,C105,'Payment Claims'!$G$2:$G$501,"&lt;&gt;Disputed"))</f>
        <v/>
      </c>
      <c r="S105" s="36" t="str">
        <f aca="false">IF(OR(C105="",G105=""),"",G105-R105)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4"/>
      <c r="H106" s="34"/>
      <c r="I106" s="34"/>
      <c r="J106" s="34"/>
      <c r="K106" s="41"/>
      <c r="L106" s="41"/>
      <c r="M106" s="35"/>
      <c r="N106" s="35"/>
      <c r="O106" s="35"/>
      <c r="P106" s="32"/>
      <c r="Q106" s="33"/>
      <c r="R106" s="36" t="str">
        <f aca="false">IF(C106="","",SUMIFS('Payment Claims'!$E$2:$E$501,'Payment Claims'!$A$2:$A$501,A106,'Payment Claims'!$B$2:$B$501,C106,'Payment Claims'!$G$2:$G$501,"&lt;&gt;Disputed"))</f>
        <v/>
      </c>
      <c r="S106" s="36" t="str">
        <f aca="false">IF(OR(C106="",G106=""),"",G106-R106)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4"/>
      <c r="H107" s="34"/>
      <c r="I107" s="34"/>
      <c r="J107" s="34"/>
      <c r="K107" s="41"/>
      <c r="L107" s="41"/>
      <c r="M107" s="35"/>
      <c r="N107" s="35"/>
      <c r="O107" s="35"/>
      <c r="P107" s="32"/>
      <c r="Q107" s="33"/>
      <c r="R107" s="36" t="str">
        <f aca="false">IF(C107="","",SUMIFS('Payment Claims'!$E$2:$E$501,'Payment Claims'!$A$2:$A$501,A107,'Payment Claims'!$B$2:$B$501,C107,'Payment Claims'!$G$2:$G$501,"&lt;&gt;Disputed"))</f>
        <v/>
      </c>
      <c r="S107" s="36" t="str">
        <f aca="false">IF(OR(C107="",G107=""),"",G107-R107)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4"/>
      <c r="H108" s="34"/>
      <c r="I108" s="34"/>
      <c r="J108" s="34"/>
      <c r="K108" s="41"/>
      <c r="L108" s="41"/>
      <c r="M108" s="35"/>
      <c r="N108" s="35"/>
      <c r="O108" s="35"/>
      <c r="P108" s="32"/>
      <c r="Q108" s="33"/>
      <c r="R108" s="36" t="str">
        <f aca="false">IF(C108="","",SUMIFS('Payment Claims'!$E$2:$E$501,'Payment Claims'!$A$2:$A$501,A108,'Payment Claims'!$B$2:$B$501,C108,'Payment Claims'!$G$2:$G$501,"&lt;&gt;Disputed"))</f>
        <v/>
      </c>
      <c r="S108" s="36" t="str">
        <f aca="false">IF(OR(C108="",G108=""),"",G108-R108)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4"/>
      <c r="H109" s="34"/>
      <c r="I109" s="34"/>
      <c r="J109" s="34"/>
      <c r="K109" s="41"/>
      <c r="L109" s="41"/>
      <c r="M109" s="35"/>
      <c r="N109" s="35"/>
      <c r="O109" s="35"/>
      <c r="P109" s="32"/>
      <c r="Q109" s="33"/>
      <c r="R109" s="36" t="str">
        <f aca="false">IF(C109="","",SUMIFS('Payment Claims'!$E$2:$E$501,'Payment Claims'!$A$2:$A$501,A109,'Payment Claims'!$B$2:$B$501,C109,'Payment Claims'!$G$2:$G$501,"&lt;&gt;Disputed"))</f>
        <v/>
      </c>
      <c r="S109" s="36" t="str">
        <f aca="false">IF(OR(C109="",G109=""),"",G109-R109)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4"/>
      <c r="H110" s="34"/>
      <c r="I110" s="34"/>
      <c r="J110" s="34"/>
      <c r="K110" s="41"/>
      <c r="L110" s="41"/>
      <c r="M110" s="35"/>
      <c r="N110" s="35"/>
      <c r="O110" s="35"/>
      <c r="P110" s="32"/>
      <c r="Q110" s="33"/>
      <c r="R110" s="36" t="str">
        <f aca="false">IF(C110="","",SUMIFS('Payment Claims'!$E$2:$E$501,'Payment Claims'!$A$2:$A$501,A110,'Payment Claims'!$B$2:$B$501,C110,'Payment Claims'!$G$2:$G$501,"&lt;&gt;Disputed"))</f>
        <v/>
      </c>
      <c r="S110" s="36" t="str">
        <f aca="false">IF(OR(C110="",G110=""),"",G110-R110)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4"/>
      <c r="H111" s="34"/>
      <c r="I111" s="34"/>
      <c r="J111" s="34"/>
      <c r="K111" s="41"/>
      <c r="L111" s="41"/>
      <c r="M111" s="35"/>
      <c r="N111" s="35"/>
      <c r="O111" s="35"/>
      <c r="P111" s="32"/>
      <c r="Q111" s="33"/>
      <c r="R111" s="36" t="str">
        <f aca="false">IF(C111="","",SUMIFS('Payment Claims'!$E$2:$E$501,'Payment Claims'!$A$2:$A$501,A111,'Payment Claims'!$B$2:$B$501,C111,'Payment Claims'!$G$2:$G$501,"&lt;&gt;Disputed"))</f>
        <v/>
      </c>
      <c r="S111" s="36" t="str">
        <f aca="false">IF(OR(C111="",G111=""),"",G111-R111)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4"/>
      <c r="H112" s="34"/>
      <c r="I112" s="34"/>
      <c r="J112" s="34"/>
      <c r="K112" s="41"/>
      <c r="L112" s="41"/>
      <c r="M112" s="35"/>
      <c r="N112" s="35"/>
      <c r="O112" s="35"/>
      <c r="P112" s="32"/>
      <c r="Q112" s="33"/>
      <c r="R112" s="36" t="str">
        <f aca="false">IF(C112="","",SUMIFS('Payment Claims'!$E$2:$E$501,'Payment Claims'!$A$2:$A$501,A112,'Payment Claims'!$B$2:$B$501,C112,'Payment Claims'!$G$2:$G$501,"&lt;&gt;Disputed"))</f>
        <v/>
      </c>
      <c r="S112" s="36" t="str">
        <f aca="false">IF(OR(C112="",G112=""),"",G112-R112)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4"/>
      <c r="H113" s="34"/>
      <c r="I113" s="34"/>
      <c r="J113" s="34"/>
      <c r="K113" s="41"/>
      <c r="L113" s="41"/>
      <c r="M113" s="35"/>
      <c r="N113" s="35"/>
      <c r="O113" s="35"/>
      <c r="P113" s="32"/>
      <c r="Q113" s="33"/>
      <c r="R113" s="36" t="str">
        <f aca="false">IF(C113="","",SUMIFS('Payment Claims'!$E$2:$E$501,'Payment Claims'!$A$2:$A$501,A113,'Payment Claims'!$B$2:$B$501,C113,'Payment Claims'!$G$2:$G$501,"&lt;&gt;Disputed"))</f>
        <v/>
      </c>
      <c r="S113" s="36" t="str">
        <f aca="false">IF(OR(C113="",G113=""),"",G113-R113)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4"/>
      <c r="H114" s="34"/>
      <c r="I114" s="34"/>
      <c r="J114" s="34"/>
      <c r="K114" s="41"/>
      <c r="L114" s="41"/>
      <c r="M114" s="35"/>
      <c r="N114" s="35"/>
      <c r="O114" s="35"/>
      <c r="P114" s="32"/>
      <c r="Q114" s="33"/>
      <c r="R114" s="36" t="str">
        <f aca="false">IF(C114="","",SUMIFS('Payment Claims'!$E$2:$E$501,'Payment Claims'!$A$2:$A$501,A114,'Payment Claims'!$B$2:$B$501,C114,'Payment Claims'!$G$2:$G$501,"&lt;&gt;Disputed"))</f>
        <v/>
      </c>
      <c r="S114" s="36" t="str">
        <f aca="false">IF(OR(C114="",G114=""),"",G114-R114)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4"/>
      <c r="H115" s="34"/>
      <c r="I115" s="34"/>
      <c r="J115" s="34"/>
      <c r="K115" s="41"/>
      <c r="L115" s="41"/>
      <c r="M115" s="35"/>
      <c r="N115" s="35"/>
      <c r="O115" s="35"/>
      <c r="P115" s="32"/>
      <c r="Q115" s="33"/>
      <c r="R115" s="36" t="str">
        <f aca="false">IF(C115="","",SUMIFS('Payment Claims'!$E$2:$E$501,'Payment Claims'!$A$2:$A$501,A115,'Payment Claims'!$B$2:$B$501,C115,'Payment Claims'!$G$2:$G$501,"&lt;&gt;Disputed"))</f>
        <v/>
      </c>
      <c r="S115" s="36" t="str">
        <f aca="false">IF(OR(C115="",G115=""),"",G115-R115)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4"/>
      <c r="H116" s="34"/>
      <c r="I116" s="34"/>
      <c r="J116" s="34"/>
      <c r="K116" s="41"/>
      <c r="L116" s="41"/>
      <c r="M116" s="35"/>
      <c r="N116" s="35"/>
      <c r="O116" s="35"/>
      <c r="P116" s="32"/>
      <c r="Q116" s="33"/>
      <c r="R116" s="36" t="str">
        <f aca="false">IF(C116="","",SUMIFS('Payment Claims'!$E$2:$E$501,'Payment Claims'!$A$2:$A$501,A116,'Payment Claims'!$B$2:$B$501,C116,'Payment Claims'!$G$2:$G$501,"&lt;&gt;Disputed"))</f>
        <v/>
      </c>
      <c r="S116" s="36" t="str">
        <f aca="false">IF(OR(C116="",G116=""),"",G116-R116)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4"/>
      <c r="H117" s="34"/>
      <c r="I117" s="34"/>
      <c r="J117" s="34"/>
      <c r="K117" s="41"/>
      <c r="L117" s="41"/>
      <c r="M117" s="35"/>
      <c r="N117" s="35"/>
      <c r="O117" s="35"/>
      <c r="P117" s="32"/>
      <c r="Q117" s="33"/>
      <c r="R117" s="36" t="str">
        <f aca="false">IF(C117="","",SUMIFS('Payment Claims'!$E$2:$E$501,'Payment Claims'!$A$2:$A$501,A117,'Payment Claims'!$B$2:$B$501,C117,'Payment Claims'!$G$2:$G$501,"&lt;&gt;Disputed"))</f>
        <v/>
      </c>
      <c r="S117" s="36" t="str">
        <f aca="false">IF(OR(C117="",G117=""),"",G117-R117)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4"/>
      <c r="H118" s="34"/>
      <c r="I118" s="34"/>
      <c r="J118" s="34"/>
      <c r="K118" s="41"/>
      <c r="L118" s="41"/>
      <c r="M118" s="35"/>
      <c r="N118" s="35"/>
      <c r="O118" s="35"/>
      <c r="P118" s="32"/>
      <c r="Q118" s="33"/>
      <c r="R118" s="36" t="str">
        <f aca="false">IF(C118="","",SUMIFS('Payment Claims'!$E$2:$E$501,'Payment Claims'!$A$2:$A$501,A118,'Payment Claims'!$B$2:$B$501,C118,'Payment Claims'!$G$2:$G$501,"&lt;&gt;Disputed"))</f>
        <v/>
      </c>
      <c r="S118" s="36" t="str">
        <f aca="false">IF(OR(C118="",G118=""),"",G118-R118)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4"/>
      <c r="H119" s="34"/>
      <c r="I119" s="34"/>
      <c r="J119" s="34"/>
      <c r="K119" s="41"/>
      <c r="L119" s="41"/>
      <c r="M119" s="35"/>
      <c r="N119" s="35"/>
      <c r="O119" s="35"/>
      <c r="P119" s="32"/>
      <c r="Q119" s="33"/>
      <c r="R119" s="36" t="str">
        <f aca="false">IF(C119="","",SUMIFS('Payment Claims'!$E$2:$E$501,'Payment Claims'!$A$2:$A$501,A119,'Payment Claims'!$B$2:$B$501,C119,'Payment Claims'!$G$2:$G$501,"&lt;&gt;Disputed"))</f>
        <v/>
      </c>
      <c r="S119" s="36" t="str">
        <f aca="false">IF(OR(C119="",G119=""),"",G119-R119)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4"/>
      <c r="H120" s="34"/>
      <c r="I120" s="34"/>
      <c r="J120" s="34"/>
      <c r="K120" s="41"/>
      <c r="L120" s="41"/>
      <c r="M120" s="35"/>
      <c r="N120" s="35"/>
      <c r="O120" s="35"/>
      <c r="P120" s="32"/>
      <c r="Q120" s="33"/>
      <c r="R120" s="36" t="str">
        <f aca="false">IF(C120="","",SUMIFS('Payment Claims'!$E$2:$E$501,'Payment Claims'!$A$2:$A$501,A120,'Payment Claims'!$B$2:$B$501,C120,'Payment Claims'!$G$2:$G$501,"&lt;&gt;Disputed"))</f>
        <v/>
      </c>
      <c r="S120" s="36" t="str">
        <f aca="false">IF(OR(C120="",G120=""),"",G120-R120)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4"/>
      <c r="H121" s="34"/>
      <c r="I121" s="34"/>
      <c r="J121" s="34"/>
      <c r="K121" s="41"/>
      <c r="L121" s="41"/>
      <c r="M121" s="35"/>
      <c r="N121" s="35"/>
      <c r="O121" s="35"/>
      <c r="P121" s="32"/>
      <c r="Q121" s="33"/>
      <c r="R121" s="36" t="str">
        <f aca="false">IF(C121="","",SUMIFS('Payment Claims'!$E$2:$E$501,'Payment Claims'!$A$2:$A$501,A121,'Payment Claims'!$B$2:$B$501,C121,'Payment Claims'!$G$2:$G$501,"&lt;&gt;Disputed"))</f>
        <v/>
      </c>
      <c r="S121" s="36" t="str">
        <f aca="false">IF(OR(C121="",G121=""),"",G121-R121)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4"/>
      <c r="H122" s="34"/>
      <c r="I122" s="34"/>
      <c r="J122" s="34"/>
      <c r="K122" s="41"/>
      <c r="L122" s="41"/>
      <c r="M122" s="35"/>
      <c r="N122" s="35"/>
      <c r="O122" s="35"/>
      <c r="P122" s="32"/>
      <c r="Q122" s="33"/>
      <c r="R122" s="36" t="str">
        <f aca="false">IF(C122="","",SUMIFS('Payment Claims'!$E$2:$E$501,'Payment Claims'!$A$2:$A$501,A122,'Payment Claims'!$B$2:$B$501,C122,'Payment Claims'!$G$2:$G$501,"&lt;&gt;Disputed"))</f>
        <v/>
      </c>
      <c r="S122" s="36" t="str">
        <f aca="false">IF(OR(C122="",G122=""),"",G122-R122)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4"/>
      <c r="H123" s="34"/>
      <c r="I123" s="34"/>
      <c r="J123" s="34"/>
      <c r="K123" s="41"/>
      <c r="L123" s="41"/>
      <c r="M123" s="35"/>
      <c r="N123" s="35"/>
      <c r="O123" s="35"/>
      <c r="P123" s="32"/>
      <c r="Q123" s="33"/>
      <c r="R123" s="36" t="str">
        <f aca="false">IF(C123="","",SUMIFS('Payment Claims'!$E$2:$E$501,'Payment Claims'!$A$2:$A$501,A123,'Payment Claims'!$B$2:$B$501,C123,'Payment Claims'!$G$2:$G$501,"&lt;&gt;Disputed"))</f>
        <v/>
      </c>
      <c r="S123" s="36" t="str">
        <f aca="false">IF(OR(C123="",G123=""),"",G123-R123)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4"/>
      <c r="H124" s="34"/>
      <c r="I124" s="34"/>
      <c r="J124" s="34"/>
      <c r="K124" s="41"/>
      <c r="L124" s="41"/>
      <c r="M124" s="35"/>
      <c r="N124" s="35"/>
      <c r="O124" s="35"/>
      <c r="P124" s="32"/>
      <c r="Q124" s="33"/>
      <c r="R124" s="36" t="str">
        <f aca="false">IF(C124="","",SUMIFS('Payment Claims'!$E$2:$E$501,'Payment Claims'!$A$2:$A$501,A124,'Payment Claims'!$B$2:$B$501,C124,'Payment Claims'!$G$2:$G$501,"&lt;&gt;Disputed"))</f>
        <v/>
      </c>
      <c r="S124" s="36" t="str">
        <f aca="false">IF(OR(C124="",G124=""),"",G124-R124)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4"/>
      <c r="H125" s="34"/>
      <c r="I125" s="34"/>
      <c r="J125" s="34"/>
      <c r="K125" s="41"/>
      <c r="L125" s="41"/>
      <c r="M125" s="35"/>
      <c r="N125" s="35"/>
      <c r="O125" s="35"/>
      <c r="P125" s="32"/>
      <c r="Q125" s="33"/>
      <c r="R125" s="36" t="str">
        <f aca="false">IF(C125="","",SUMIFS('Payment Claims'!$E$2:$E$501,'Payment Claims'!$A$2:$A$501,A125,'Payment Claims'!$B$2:$B$501,C125,'Payment Claims'!$G$2:$G$501,"&lt;&gt;Disputed"))</f>
        <v/>
      </c>
      <c r="S125" s="36" t="str">
        <f aca="false">IF(OR(C125="",G125=""),"",G125-R125)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4"/>
      <c r="H126" s="34"/>
      <c r="I126" s="34"/>
      <c r="J126" s="34"/>
      <c r="K126" s="41"/>
      <c r="L126" s="41"/>
      <c r="M126" s="35"/>
      <c r="N126" s="35"/>
      <c r="O126" s="35"/>
      <c r="P126" s="32"/>
      <c r="Q126" s="33"/>
      <c r="R126" s="36" t="str">
        <f aca="false">IF(C126="","",SUMIFS('Payment Claims'!$E$2:$E$501,'Payment Claims'!$A$2:$A$501,A126,'Payment Claims'!$B$2:$B$501,C126,'Payment Claims'!$G$2:$G$501,"&lt;&gt;Disputed"))</f>
        <v/>
      </c>
      <c r="S126" s="36" t="str">
        <f aca="false">IF(OR(C126="",G126=""),"",G126-R126)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4"/>
      <c r="H127" s="34"/>
      <c r="I127" s="34"/>
      <c r="J127" s="34"/>
      <c r="K127" s="41"/>
      <c r="L127" s="41"/>
      <c r="M127" s="35"/>
      <c r="N127" s="35"/>
      <c r="O127" s="35"/>
      <c r="P127" s="32"/>
      <c r="Q127" s="33"/>
      <c r="R127" s="36" t="str">
        <f aca="false">IF(C127="","",SUMIFS('Payment Claims'!$E$2:$E$501,'Payment Claims'!$A$2:$A$501,A127,'Payment Claims'!$B$2:$B$501,C127,'Payment Claims'!$G$2:$G$501,"&lt;&gt;Disputed"))</f>
        <v/>
      </c>
      <c r="S127" s="36" t="str">
        <f aca="false">IF(OR(C127="",G127=""),"",G127-R127)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4"/>
      <c r="H128" s="34"/>
      <c r="I128" s="34"/>
      <c r="J128" s="34"/>
      <c r="K128" s="41"/>
      <c r="L128" s="41"/>
      <c r="M128" s="35"/>
      <c r="N128" s="35"/>
      <c r="O128" s="35"/>
      <c r="P128" s="32"/>
      <c r="Q128" s="33"/>
      <c r="R128" s="36" t="str">
        <f aca="false">IF(C128="","",SUMIFS('Payment Claims'!$E$2:$E$501,'Payment Claims'!$A$2:$A$501,A128,'Payment Claims'!$B$2:$B$501,C128,'Payment Claims'!$G$2:$G$501,"&lt;&gt;Disputed"))</f>
        <v/>
      </c>
      <c r="S128" s="36" t="str">
        <f aca="false">IF(OR(C128="",G128=""),"",G128-R128)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4"/>
      <c r="H129" s="34"/>
      <c r="I129" s="34"/>
      <c r="J129" s="34"/>
      <c r="K129" s="41"/>
      <c r="L129" s="41"/>
      <c r="M129" s="35"/>
      <c r="N129" s="35"/>
      <c r="O129" s="35"/>
      <c r="P129" s="32"/>
      <c r="Q129" s="33"/>
      <c r="R129" s="36" t="str">
        <f aca="false">IF(C129="","",SUMIFS('Payment Claims'!$E$2:$E$501,'Payment Claims'!$A$2:$A$501,A129,'Payment Claims'!$B$2:$B$501,C129,'Payment Claims'!$G$2:$G$501,"&lt;&gt;Disputed"))</f>
        <v/>
      </c>
      <c r="S129" s="36" t="str">
        <f aca="false">IF(OR(C129="",G129=""),"",G129-R129)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4"/>
      <c r="H130" s="34"/>
      <c r="I130" s="34"/>
      <c r="J130" s="34"/>
      <c r="K130" s="41"/>
      <c r="L130" s="41"/>
      <c r="M130" s="35"/>
      <c r="N130" s="35"/>
      <c r="O130" s="35"/>
      <c r="P130" s="32"/>
      <c r="Q130" s="33"/>
      <c r="R130" s="36" t="str">
        <f aca="false">IF(C130="","",SUMIFS('Payment Claims'!$E$2:$E$501,'Payment Claims'!$A$2:$A$501,A130,'Payment Claims'!$B$2:$B$501,C130,'Payment Claims'!$G$2:$G$501,"&lt;&gt;Disputed"))</f>
        <v/>
      </c>
      <c r="S130" s="36" t="str">
        <f aca="false">IF(OR(C130="",G130=""),"",G130-R130)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4"/>
      <c r="H131" s="34"/>
      <c r="I131" s="34"/>
      <c r="J131" s="34"/>
      <c r="K131" s="41"/>
      <c r="L131" s="41"/>
      <c r="M131" s="35"/>
      <c r="N131" s="35"/>
      <c r="O131" s="35"/>
      <c r="P131" s="32"/>
      <c r="Q131" s="33"/>
      <c r="R131" s="36" t="str">
        <f aca="false">IF(C131="","",SUMIFS('Payment Claims'!$E$2:$E$501,'Payment Claims'!$A$2:$A$501,A131,'Payment Claims'!$B$2:$B$501,C131,'Payment Claims'!$G$2:$G$501,"&lt;&gt;Disputed"))</f>
        <v/>
      </c>
      <c r="S131" s="36" t="str">
        <f aca="false">IF(OR(C131="",G131=""),"",G131-R131)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4"/>
      <c r="H132" s="34"/>
      <c r="I132" s="34"/>
      <c r="J132" s="34"/>
      <c r="K132" s="41"/>
      <c r="L132" s="41"/>
      <c r="M132" s="35"/>
      <c r="N132" s="35"/>
      <c r="O132" s="35"/>
      <c r="P132" s="32"/>
      <c r="Q132" s="33"/>
      <c r="R132" s="36" t="str">
        <f aca="false">IF(C132="","",SUMIFS('Payment Claims'!$E$2:$E$501,'Payment Claims'!$A$2:$A$501,A132,'Payment Claims'!$B$2:$B$501,C132,'Payment Claims'!$G$2:$G$501,"&lt;&gt;Disputed"))</f>
        <v/>
      </c>
      <c r="S132" s="36" t="str">
        <f aca="false">IF(OR(C132="",G132=""),"",G132-R132)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4"/>
      <c r="H133" s="34"/>
      <c r="I133" s="34"/>
      <c r="J133" s="34"/>
      <c r="K133" s="41"/>
      <c r="L133" s="41"/>
      <c r="M133" s="35"/>
      <c r="N133" s="35"/>
      <c r="O133" s="35"/>
      <c r="P133" s="32"/>
      <c r="Q133" s="33"/>
      <c r="R133" s="36" t="str">
        <f aca="false">IF(C133="","",SUMIFS('Payment Claims'!$E$2:$E$501,'Payment Claims'!$A$2:$A$501,A133,'Payment Claims'!$B$2:$B$501,C133,'Payment Claims'!$G$2:$G$501,"&lt;&gt;Disputed"))</f>
        <v/>
      </c>
      <c r="S133" s="36" t="str">
        <f aca="false">IF(OR(C133="",G133=""),"",G133-R133)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4"/>
      <c r="H134" s="34"/>
      <c r="I134" s="34"/>
      <c r="J134" s="34"/>
      <c r="K134" s="41"/>
      <c r="L134" s="41"/>
      <c r="M134" s="35"/>
      <c r="N134" s="35"/>
      <c r="O134" s="35"/>
      <c r="P134" s="32"/>
      <c r="Q134" s="33"/>
      <c r="R134" s="36" t="str">
        <f aca="false">IF(C134="","",SUMIFS('Payment Claims'!$E$2:$E$501,'Payment Claims'!$A$2:$A$501,A134,'Payment Claims'!$B$2:$B$501,C134,'Payment Claims'!$G$2:$G$501,"&lt;&gt;Disputed"))</f>
        <v/>
      </c>
      <c r="S134" s="36" t="str">
        <f aca="false">IF(OR(C134="",G134=""),"",G134-R134)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4"/>
      <c r="H135" s="34"/>
      <c r="I135" s="34"/>
      <c r="J135" s="34"/>
      <c r="K135" s="41"/>
      <c r="L135" s="41"/>
      <c r="M135" s="35"/>
      <c r="N135" s="35"/>
      <c r="O135" s="35"/>
      <c r="P135" s="32"/>
      <c r="Q135" s="33"/>
      <c r="R135" s="36" t="str">
        <f aca="false">IF(C135="","",SUMIFS('Payment Claims'!$E$2:$E$501,'Payment Claims'!$A$2:$A$501,A135,'Payment Claims'!$B$2:$B$501,C135,'Payment Claims'!$G$2:$G$501,"&lt;&gt;Disputed"))</f>
        <v/>
      </c>
      <c r="S135" s="36" t="str">
        <f aca="false">IF(OR(C135="",G135=""),"",G135-R135)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4"/>
      <c r="H136" s="34"/>
      <c r="I136" s="34"/>
      <c r="J136" s="34"/>
      <c r="K136" s="41"/>
      <c r="L136" s="41"/>
      <c r="M136" s="35"/>
      <c r="N136" s="35"/>
      <c r="O136" s="35"/>
      <c r="P136" s="32"/>
      <c r="Q136" s="33"/>
      <c r="R136" s="36" t="str">
        <f aca="false">IF(C136="","",SUMIFS('Payment Claims'!$E$2:$E$501,'Payment Claims'!$A$2:$A$501,A136,'Payment Claims'!$B$2:$B$501,C136,'Payment Claims'!$G$2:$G$501,"&lt;&gt;Disputed"))</f>
        <v/>
      </c>
      <c r="S136" s="36" t="str">
        <f aca="false">IF(OR(C136="",G136=""),"",G136-R136)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4"/>
      <c r="H137" s="34"/>
      <c r="I137" s="34"/>
      <c r="J137" s="34"/>
      <c r="K137" s="41"/>
      <c r="L137" s="41"/>
      <c r="M137" s="35"/>
      <c r="N137" s="35"/>
      <c r="O137" s="35"/>
      <c r="P137" s="32"/>
      <c r="Q137" s="33"/>
      <c r="R137" s="36" t="str">
        <f aca="false">IF(C137="","",SUMIFS('Payment Claims'!$E$2:$E$501,'Payment Claims'!$A$2:$A$501,A137,'Payment Claims'!$B$2:$B$501,C137,'Payment Claims'!$G$2:$G$501,"&lt;&gt;Disputed"))</f>
        <v/>
      </c>
      <c r="S137" s="36" t="str">
        <f aca="false">IF(OR(C137="",G137=""),"",G137-R137)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4"/>
      <c r="H138" s="34"/>
      <c r="I138" s="34"/>
      <c r="J138" s="34"/>
      <c r="K138" s="41"/>
      <c r="L138" s="41"/>
      <c r="M138" s="35"/>
      <c r="N138" s="35"/>
      <c r="O138" s="35"/>
      <c r="P138" s="32"/>
      <c r="Q138" s="33"/>
      <c r="R138" s="36" t="str">
        <f aca="false">IF(C138="","",SUMIFS('Payment Claims'!$E$2:$E$501,'Payment Claims'!$A$2:$A$501,A138,'Payment Claims'!$B$2:$B$501,C138,'Payment Claims'!$G$2:$G$501,"&lt;&gt;Disputed"))</f>
        <v/>
      </c>
      <c r="S138" s="36" t="str">
        <f aca="false">IF(OR(C138="",G138=""),"",G138-R138)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4"/>
      <c r="H139" s="34"/>
      <c r="I139" s="34"/>
      <c r="J139" s="34"/>
      <c r="K139" s="41"/>
      <c r="L139" s="41"/>
      <c r="M139" s="35"/>
      <c r="N139" s="35"/>
      <c r="O139" s="35"/>
      <c r="P139" s="32"/>
      <c r="Q139" s="33"/>
      <c r="R139" s="36" t="str">
        <f aca="false">IF(C139="","",SUMIFS('Payment Claims'!$E$2:$E$501,'Payment Claims'!$A$2:$A$501,A139,'Payment Claims'!$B$2:$B$501,C139,'Payment Claims'!$G$2:$G$501,"&lt;&gt;Disputed"))</f>
        <v/>
      </c>
      <c r="S139" s="36" t="str">
        <f aca="false">IF(OR(C139="",G139=""),"",G139-R139)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4"/>
      <c r="H140" s="34"/>
      <c r="I140" s="34"/>
      <c r="J140" s="34"/>
      <c r="K140" s="41"/>
      <c r="L140" s="41"/>
      <c r="M140" s="35"/>
      <c r="N140" s="35"/>
      <c r="O140" s="35"/>
      <c r="P140" s="32"/>
      <c r="Q140" s="33"/>
      <c r="R140" s="36" t="str">
        <f aca="false">IF(C140="","",SUMIFS('Payment Claims'!$E$2:$E$501,'Payment Claims'!$A$2:$A$501,A140,'Payment Claims'!$B$2:$B$501,C140,'Payment Claims'!$G$2:$G$501,"&lt;&gt;Disputed"))</f>
        <v/>
      </c>
      <c r="S140" s="36" t="str">
        <f aca="false">IF(OR(C140="",G140=""),"",G140-R140)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4"/>
      <c r="H141" s="34"/>
      <c r="I141" s="34"/>
      <c r="J141" s="34"/>
      <c r="K141" s="41"/>
      <c r="L141" s="41"/>
      <c r="M141" s="35"/>
      <c r="N141" s="35"/>
      <c r="O141" s="35"/>
      <c r="P141" s="32"/>
      <c r="Q141" s="33"/>
      <c r="R141" s="36" t="str">
        <f aca="false">IF(C141="","",SUMIFS('Payment Claims'!$E$2:$E$501,'Payment Claims'!$A$2:$A$501,A141,'Payment Claims'!$B$2:$B$501,C141,'Payment Claims'!$G$2:$G$501,"&lt;&gt;Disputed"))</f>
        <v/>
      </c>
      <c r="S141" s="36" t="str">
        <f aca="false">IF(OR(C141="",G141=""),"",G141-R141)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4"/>
      <c r="H142" s="34"/>
      <c r="I142" s="34"/>
      <c r="J142" s="34"/>
      <c r="K142" s="41"/>
      <c r="L142" s="41"/>
      <c r="M142" s="35"/>
      <c r="N142" s="35"/>
      <c r="O142" s="35"/>
      <c r="P142" s="32"/>
      <c r="Q142" s="33"/>
      <c r="R142" s="36" t="str">
        <f aca="false">IF(C142="","",SUMIFS('Payment Claims'!$E$2:$E$501,'Payment Claims'!$A$2:$A$501,A142,'Payment Claims'!$B$2:$B$501,C142,'Payment Claims'!$G$2:$G$501,"&lt;&gt;Disputed"))</f>
        <v/>
      </c>
      <c r="S142" s="36" t="str">
        <f aca="false">IF(OR(C142="",G142=""),"",G142-R142)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4"/>
      <c r="H143" s="34"/>
      <c r="I143" s="34"/>
      <c r="J143" s="34"/>
      <c r="K143" s="41"/>
      <c r="L143" s="41"/>
      <c r="M143" s="35"/>
      <c r="N143" s="35"/>
      <c r="O143" s="35"/>
      <c r="P143" s="32"/>
      <c r="Q143" s="33"/>
      <c r="R143" s="36" t="str">
        <f aca="false">IF(C143="","",SUMIFS('Payment Claims'!$E$2:$E$501,'Payment Claims'!$A$2:$A$501,A143,'Payment Claims'!$B$2:$B$501,C143,'Payment Claims'!$G$2:$G$501,"&lt;&gt;Disputed"))</f>
        <v/>
      </c>
      <c r="S143" s="36" t="str">
        <f aca="false">IF(OR(C143="",G143=""),"",G143-R143)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4"/>
      <c r="H144" s="34"/>
      <c r="I144" s="34"/>
      <c r="J144" s="34"/>
      <c r="K144" s="41"/>
      <c r="L144" s="41"/>
      <c r="M144" s="35"/>
      <c r="N144" s="35"/>
      <c r="O144" s="35"/>
      <c r="P144" s="32"/>
      <c r="Q144" s="33"/>
      <c r="R144" s="36" t="str">
        <f aca="false">IF(C144="","",SUMIFS('Payment Claims'!$E$2:$E$501,'Payment Claims'!$A$2:$A$501,A144,'Payment Claims'!$B$2:$B$501,C144,'Payment Claims'!$G$2:$G$501,"&lt;&gt;Disputed"))</f>
        <v/>
      </c>
      <c r="S144" s="36" t="str">
        <f aca="false">IF(OR(C144="",G144=""),"",G144-R144)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4"/>
      <c r="H145" s="34"/>
      <c r="I145" s="34"/>
      <c r="J145" s="34"/>
      <c r="K145" s="41"/>
      <c r="L145" s="41"/>
      <c r="M145" s="35"/>
      <c r="N145" s="35"/>
      <c r="O145" s="35"/>
      <c r="P145" s="32"/>
      <c r="Q145" s="33"/>
      <c r="R145" s="36" t="str">
        <f aca="false">IF(C145="","",SUMIFS('Payment Claims'!$E$2:$E$501,'Payment Claims'!$A$2:$A$501,A145,'Payment Claims'!$B$2:$B$501,C145,'Payment Claims'!$G$2:$G$501,"&lt;&gt;Disputed"))</f>
        <v/>
      </c>
      <c r="S145" s="36" t="str">
        <f aca="false">IF(OR(C145="",G145=""),"",G145-R145)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4"/>
      <c r="H146" s="34"/>
      <c r="I146" s="34"/>
      <c r="J146" s="34"/>
      <c r="K146" s="41"/>
      <c r="L146" s="41"/>
      <c r="M146" s="35"/>
      <c r="N146" s="35"/>
      <c r="O146" s="35"/>
      <c r="P146" s="32"/>
      <c r="Q146" s="33"/>
      <c r="R146" s="36" t="str">
        <f aca="false">IF(C146="","",SUMIFS('Payment Claims'!$E$2:$E$501,'Payment Claims'!$A$2:$A$501,A146,'Payment Claims'!$B$2:$B$501,C146,'Payment Claims'!$G$2:$G$501,"&lt;&gt;Disputed"))</f>
        <v/>
      </c>
      <c r="S146" s="36" t="str">
        <f aca="false">IF(OR(C146="",G146=""),"",G146-R146)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4"/>
      <c r="H147" s="34"/>
      <c r="I147" s="34"/>
      <c r="J147" s="34"/>
      <c r="K147" s="41"/>
      <c r="L147" s="41"/>
      <c r="M147" s="35"/>
      <c r="N147" s="35"/>
      <c r="O147" s="35"/>
      <c r="P147" s="32"/>
      <c r="Q147" s="33"/>
      <c r="R147" s="36" t="str">
        <f aca="false">IF(C147="","",SUMIFS('Payment Claims'!$E$2:$E$501,'Payment Claims'!$A$2:$A$501,A147,'Payment Claims'!$B$2:$B$501,C147,'Payment Claims'!$G$2:$G$501,"&lt;&gt;Disputed"))</f>
        <v/>
      </c>
      <c r="S147" s="36" t="str">
        <f aca="false">IF(OR(C147="",G147=""),"",G147-R147)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4"/>
      <c r="H148" s="34"/>
      <c r="I148" s="34"/>
      <c r="J148" s="34"/>
      <c r="K148" s="41"/>
      <c r="L148" s="41"/>
      <c r="M148" s="35"/>
      <c r="N148" s="35"/>
      <c r="O148" s="35"/>
      <c r="P148" s="32"/>
      <c r="Q148" s="33"/>
      <c r="R148" s="36" t="str">
        <f aca="false">IF(C148="","",SUMIFS('Payment Claims'!$E$2:$E$501,'Payment Claims'!$A$2:$A$501,A148,'Payment Claims'!$B$2:$B$501,C148,'Payment Claims'!$G$2:$G$501,"&lt;&gt;Disputed"))</f>
        <v/>
      </c>
      <c r="S148" s="36" t="str">
        <f aca="false">IF(OR(C148="",G148=""),"",G148-R148)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4"/>
      <c r="H149" s="34"/>
      <c r="I149" s="34"/>
      <c r="J149" s="34"/>
      <c r="K149" s="41"/>
      <c r="L149" s="41"/>
      <c r="M149" s="35"/>
      <c r="N149" s="35"/>
      <c r="O149" s="35"/>
      <c r="P149" s="32"/>
      <c r="Q149" s="33"/>
      <c r="R149" s="36" t="str">
        <f aca="false">IF(C149="","",SUMIFS('Payment Claims'!$E$2:$E$501,'Payment Claims'!$A$2:$A$501,A149,'Payment Claims'!$B$2:$B$501,C149,'Payment Claims'!$G$2:$G$501,"&lt;&gt;Disputed"))</f>
        <v/>
      </c>
      <c r="S149" s="36" t="str">
        <f aca="false">IF(OR(C149="",G149=""),"",G149-R149)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4"/>
      <c r="H150" s="34"/>
      <c r="I150" s="34"/>
      <c r="J150" s="34"/>
      <c r="K150" s="41"/>
      <c r="L150" s="41"/>
      <c r="M150" s="35"/>
      <c r="N150" s="35"/>
      <c r="O150" s="35"/>
      <c r="P150" s="32"/>
      <c r="Q150" s="33"/>
      <c r="R150" s="36" t="str">
        <f aca="false">IF(C150="","",SUMIFS('Payment Claims'!$E$2:$E$501,'Payment Claims'!$A$2:$A$501,A150,'Payment Claims'!$B$2:$B$501,C150,'Payment Claims'!$G$2:$G$501,"&lt;&gt;Disputed"))</f>
        <v/>
      </c>
      <c r="S150" s="36" t="str">
        <f aca="false">IF(OR(C150="",G150=""),"",G150-R150)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4"/>
      <c r="H151" s="34"/>
      <c r="I151" s="34"/>
      <c r="J151" s="34"/>
      <c r="K151" s="41"/>
      <c r="L151" s="41"/>
      <c r="M151" s="35"/>
      <c r="N151" s="35"/>
      <c r="O151" s="35"/>
      <c r="P151" s="32"/>
      <c r="Q151" s="33"/>
      <c r="R151" s="36" t="str">
        <f aca="false">IF(C151="","",SUMIFS('Payment Claims'!$E$2:$E$501,'Payment Claims'!$A$2:$A$501,A151,'Payment Claims'!$B$2:$B$501,C151,'Payment Claims'!$G$2:$G$501,"&lt;&gt;Disputed"))</f>
        <v/>
      </c>
      <c r="S151" s="36" t="str">
        <f aca="false">IF(OR(C151="",G151=""),"",G151-R151)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4"/>
      <c r="H152" s="34"/>
      <c r="I152" s="34"/>
      <c r="J152" s="34"/>
      <c r="K152" s="41"/>
      <c r="L152" s="41"/>
      <c r="M152" s="35"/>
      <c r="N152" s="35"/>
      <c r="O152" s="35"/>
      <c r="P152" s="32"/>
      <c r="Q152" s="33"/>
      <c r="R152" s="36" t="str">
        <f aca="false">IF(C152="","",SUMIFS('Payment Claims'!$E$2:$E$501,'Payment Claims'!$A$2:$A$501,A152,'Payment Claims'!$B$2:$B$501,C152,'Payment Claims'!$G$2:$G$501,"&lt;&gt;Disputed"))</f>
        <v/>
      </c>
      <c r="S152" s="36" t="str">
        <f aca="false">IF(OR(C152="",G152=""),"",G152-R152)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4"/>
      <c r="H153" s="34"/>
      <c r="I153" s="34"/>
      <c r="J153" s="34"/>
      <c r="K153" s="41"/>
      <c r="L153" s="41"/>
      <c r="M153" s="35"/>
      <c r="N153" s="35"/>
      <c r="O153" s="35"/>
      <c r="P153" s="32"/>
      <c r="Q153" s="33"/>
      <c r="R153" s="36" t="str">
        <f aca="false">IF(C153="","",SUMIFS('Payment Claims'!$E$2:$E$501,'Payment Claims'!$A$2:$A$501,A153,'Payment Claims'!$B$2:$B$501,C153,'Payment Claims'!$G$2:$G$501,"&lt;&gt;Disputed"))</f>
        <v/>
      </c>
      <c r="S153" s="36" t="str">
        <f aca="false">IF(OR(C153="",G153=""),"",G153-R153)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4"/>
      <c r="H154" s="34"/>
      <c r="I154" s="34"/>
      <c r="J154" s="34"/>
      <c r="K154" s="41"/>
      <c r="L154" s="41"/>
      <c r="M154" s="35"/>
      <c r="N154" s="35"/>
      <c r="O154" s="35"/>
      <c r="P154" s="32"/>
      <c r="Q154" s="33"/>
      <c r="R154" s="36" t="str">
        <f aca="false">IF(C154="","",SUMIFS('Payment Claims'!$E$2:$E$501,'Payment Claims'!$A$2:$A$501,A154,'Payment Claims'!$B$2:$B$501,C154,'Payment Claims'!$G$2:$G$501,"&lt;&gt;Disputed"))</f>
        <v/>
      </c>
      <c r="S154" s="36" t="str">
        <f aca="false">IF(OR(C154="",G154=""),"",G154-R154)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4"/>
      <c r="H155" s="34"/>
      <c r="I155" s="34"/>
      <c r="J155" s="34"/>
      <c r="K155" s="41"/>
      <c r="L155" s="41"/>
      <c r="M155" s="35"/>
      <c r="N155" s="35"/>
      <c r="O155" s="35"/>
      <c r="P155" s="32"/>
      <c r="Q155" s="33"/>
      <c r="R155" s="36" t="str">
        <f aca="false">IF(C155="","",SUMIFS('Payment Claims'!$E$2:$E$501,'Payment Claims'!$A$2:$A$501,A155,'Payment Claims'!$B$2:$B$501,C155,'Payment Claims'!$G$2:$G$501,"&lt;&gt;Disputed"))</f>
        <v/>
      </c>
      <c r="S155" s="36" t="str">
        <f aca="false">IF(OR(C155="",G155=""),"",G155-R155)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4"/>
      <c r="H156" s="34"/>
      <c r="I156" s="34"/>
      <c r="J156" s="34"/>
      <c r="K156" s="41"/>
      <c r="L156" s="41"/>
      <c r="M156" s="35"/>
      <c r="N156" s="35"/>
      <c r="O156" s="35"/>
      <c r="P156" s="32"/>
      <c r="Q156" s="33"/>
      <c r="R156" s="36" t="str">
        <f aca="false">IF(C156="","",SUMIFS('Payment Claims'!$E$2:$E$501,'Payment Claims'!$A$2:$A$501,A156,'Payment Claims'!$B$2:$B$501,C156,'Payment Claims'!$G$2:$G$501,"&lt;&gt;Disputed"))</f>
        <v/>
      </c>
      <c r="S156" s="36" t="str">
        <f aca="false">IF(OR(C156="",G156=""),"",G156-R156)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4"/>
      <c r="H157" s="34"/>
      <c r="I157" s="34"/>
      <c r="J157" s="34"/>
      <c r="K157" s="41"/>
      <c r="L157" s="41"/>
      <c r="M157" s="35"/>
      <c r="N157" s="35"/>
      <c r="O157" s="35"/>
      <c r="P157" s="32"/>
      <c r="Q157" s="33"/>
      <c r="R157" s="36" t="str">
        <f aca="false">IF(C157="","",SUMIFS('Payment Claims'!$E$2:$E$501,'Payment Claims'!$A$2:$A$501,A157,'Payment Claims'!$B$2:$B$501,C157,'Payment Claims'!$G$2:$G$501,"&lt;&gt;Disputed"))</f>
        <v/>
      </c>
      <c r="S157" s="36" t="str">
        <f aca="false">IF(OR(C157="",G157=""),"",G157-R157)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4"/>
      <c r="H158" s="34"/>
      <c r="I158" s="34"/>
      <c r="J158" s="34"/>
      <c r="K158" s="41"/>
      <c r="L158" s="41"/>
      <c r="M158" s="35"/>
      <c r="N158" s="35"/>
      <c r="O158" s="35"/>
      <c r="P158" s="32"/>
      <c r="Q158" s="33"/>
      <c r="R158" s="36" t="str">
        <f aca="false">IF(C158="","",SUMIFS('Payment Claims'!$E$2:$E$501,'Payment Claims'!$A$2:$A$501,A158,'Payment Claims'!$B$2:$B$501,C158,'Payment Claims'!$G$2:$G$501,"&lt;&gt;Disputed"))</f>
        <v/>
      </c>
      <c r="S158" s="36" t="str">
        <f aca="false">IF(OR(C158="",G158=""),"",G158-R158)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4"/>
      <c r="H159" s="34"/>
      <c r="I159" s="34"/>
      <c r="J159" s="34"/>
      <c r="K159" s="41"/>
      <c r="L159" s="41"/>
      <c r="M159" s="35"/>
      <c r="N159" s="35"/>
      <c r="O159" s="35"/>
      <c r="P159" s="32"/>
      <c r="Q159" s="33"/>
      <c r="R159" s="36" t="str">
        <f aca="false">IF(C159="","",SUMIFS('Payment Claims'!$E$2:$E$501,'Payment Claims'!$A$2:$A$501,A159,'Payment Claims'!$B$2:$B$501,C159,'Payment Claims'!$G$2:$G$501,"&lt;&gt;Disputed"))</f>
        <v/>
      </c>
      <c r="S159" s="36" t="str">
        <f aca="false">IF(OR(C159="",G159=""),"",G159-R159)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4"/>
      <c r="H160" s="34"/>
      <c r="I160" s="34"/>
      <c r="J160" s="34"/>
      <c r="K160" s="41"/>
      <c r="L160" s="41"/>
      <c r="M160" s="35"/>
      <c r="N160" s="35"/>
      <c r="O160" s="35"/>
      <c r="P160" s="32"/>
      <c r="Q160" s="33"/>
      <c r="R160" s="36" t="str">
        <f aca="false">IF(C160="","",SUMIFS('Payment Claims'!$E$2:$E$501,'Payment Claims'!$A$2:$A$501,A160,'Payment Claims'!$B$2:$B$501,C160,'Payment Claims'!$G$2:$G$501,"&lt;&gt;Disputed"))</f>
        <v/>
      </c>
      <c r="S160" s="36" t="str">
        <f aca="false">IF(OR(C160="",G160=""),"",G160-R160)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4"/>
      <c r="H161" s="34"/>
      <c r="I161" s="34"/>
      <c r="J161" s="34"/>
      <c r="K161" s="41"/>
      <c r="L161" s="41"/>
      <c r="M161" s="35"/>
      <c r="N161" s="35"/>
      <c r="O161" s="35"/>
      <c r="P161" s="32"/>
      <c r="Q161" s="33"/>
      <c r="R161" s="36" t="str">
        <f aca="false">IF(C161="","",SUMIFS('Payment Claims'!$E$2:$E$501,'Payment Claims'!$A$2:$A$501,A161,'Payment Claims'!$B$2:$B$501,C161,'Payment Claims'!$G$2:$G$501,"&lt;&gt;Disputed"))</f>
        <v/>
      </c>
      <c r="S161" s="36" t="str">
        <f aca="false">IF(OR(C161="",G161=""),"",G161-R161)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4"/>
      <c r="H162" s="34"/>
      <c r="I162" s="34"/>
      <c r="J162" s="34"/>
      <c r="K162" s="41"/>
      <c r="L162" s="41"/>
      <c r="M162" s="35"/>
      <c r="N162" s="35"/>
      <c r="O162" s="35"/>
      <c r="P162" s="32"/>
      <c r="Q162" s="33"/>
      <c r="R162" s="36" t="str">
        <f aca="false">IF(C162="","",SUMIFS('Payment Claims'!$E$2:$E$501,'Payment Claims'!$A$2:$A$501,A162,'Payment Claims'!$B$2:$B$501,C162,'Payment Claims'!$G$2:$G$501,"&lt;&gt;Disputed"))</f>
        <v/>
      </c>
      <c r="S162" s="36" t="str">
        <f aca="false">IF(OR(C162="",G162=""),"",G162-R162)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4"/>
      <c r="H163" s="34"/>
      <c r="I163" s="34"/>
      <c r="J163" s="34"/>
      <c r="K163" s="41"/>
      <c r="L163" s="41"/>
      <c r="M163" s="35"/>
      <c r="N163" s="35"/>
      <c r="O163" s="35"/>
      <c r="P163" s="32"/>
      <c r="Q163" s="33"/>
      <c r="R163" s="36" t="str">
        <f aca="false">IF(C163="","",SUMIFS('Payment Claims'!$E$2:$E$501,'Payment Claims'!$A$2:$A$501,A163,'Payment Claims'!$B$2:$B$501,C163,'Payment Claims'!$G$2:$G$501,"&lt;&gt;Disputed"))</f>
        <v/>
      </c>
      <c r="S163" s="36" t="str">
        <f aca="false">IF(OR(C163="",G163=""),"",G163-R163)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4"/>
      <c r="H164" s="34"/>
      <c r="I164" s="34"/>
      <c r="J164" s="34"/>
      <c r="K164" s="41"/>
      <c r="L164" s="41"/>
      <c r="M164" s="35"/>
      <c r="N164" s="35"/>
      <c r="O164" s="35"/>
      <c r="P164" s="32"/>
      <c r="Q164" s="33"/>
      <c r="R164" s="36" t="str">
        <f aca="false">IF(C164="","",SUMIFS('Payment Claims'!$E$2:$E$501,'Payment Claims'!$A$2:$A$501,A164,'Payment Claims'!$B$2:$B$501,C164,'Payment Claims'!$G$2:$G$501,"&lt;&gt;Disputed"))</f>
        <v/>
      </c>
      <c r="S164" s="36" t="str">
        <f aca="false">IF(OR(C164="",G164=""),"",G164-R164)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4"/>
      <c r="H165" s="34"/>
      <c r="I165" s="34"/>
      <c r="J165" s="34"/>
      <c r="K165" s="41"/>
      <c r="L165" s="41"/>
      <c r="M165" s="35"/>
      <c r="N165" s="35"/>
      <c r="O165" s="35"/>
      <c r="P165" s="32"/>
      <c r="Q165" s="33"/>
      <c r="R165" s="36" t="str">
        <f aca="false">IF(C165="","",SUMIFS('Payment Claims'!$E$2:$E$501,'Payment Claims'!$A$2:$A$501,A165,'Payment Claims'!$B$2:$B$501,C165,'Payment Claims'!$G$2:$G$501,"&lt;&gt;Disputed"))</f>
        <v/>
      </c>
      <c r="S165" s="36" t="str">
        <f aca="false">IF(OR(C165="",G165=""),"",G165-R165)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4"/>
      <c r="H166" s="34"/>
      <c r="I166" s="34"/>
      <c r="J166" s="34"/>
      <c r="K166" s="41"/>
      <c r="L166" s="41"/>
      <c r="M166" s="35"/>
      <c r="N166" s="35"/>
      <c r="O166" s="35"/>
      <c r="P166" s="32"/>
      <c r="Q166" s="33"/>
      <c r="R166" s="36" t="str">
        <f aca="false">IF(C166="","",SUMIFS('Payment Claims'!$E$2:$E$501,'Payment Claims'!$A$2:$A$501,A166,'Payment Claims'!$B$2:$B$501,C166,'Payment Claims'!$G$2:$G$501,"&lt;&gt;Disputed"))</f>
        <v/>
      </c>
      <c r="S166" s="36" t="str">
        <f aca="false">IF(OR(C166="",G166=""),"",G166-R166)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4"/>
      <c r="H167" s="34"/>
      <c r="I167" s="34"/>
      <c r="J167" s="34"/>
      <c r="K167" s="41"/>
      <c r="L167" s="41"/>
      <c r="M167" s="35"/>
      <c r="N167" s="35"/>
      <c r="O167" s="35"/>
      <c r="P167" s="32"/>
      <c r="Q167" s="33"/>
      <c r="R167" s="36" t="str">
        <f aca="false">IF(C167="","",SUMIFS('Payment Claims'!$E$2:$E$501,'Payment Claims'!$A$2:$A$501,A167,'Payment Claims'!$B$2:$B$501,C167,'Payment Claims'!$G$2:$G$501,"&lt;&gt;Disputed"))</f>
        <v/>
      </c>
      <c r="S167" s="36" t="str">
        <f aca="false">IF(OR(C167="",G167=""),"",G167-R167)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4"/>
      <c r="H168" s="34"/>
      <c r="I168" s="34"/>
      <c r="J168" s="34"/>
      <c r="K168" s="41"/>
      <c r="L168" s="41"/>
      <c r="M168" s="35"/>
      <c r="N168" s="35"/>
      <c r="O168" s="35"/>
      <c r="P168" s="32"/>
      <c r="Q168" s="33"/>
      <c r="R168" s="36" t="str">
        <f aca="false">IF(C168="","",SUMIFS('Payment Claims'!$E$2:$E$501,'Payment Claims'!$A$2:$A$501,A168,'Payment Claims'!$B$2:$B$501,C168,'Payment Claims'!$G$2:$G$501,"&lt;&gt;Disputed"))</f>
        <v/>
      </c>
      <c r="S168" s="36" t="str">
        <f aca="false">IF(OR(C168="",G168=""),"",G168-R168)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4"/>
      <c r="H169" s="34"/>
      <c r="I169" s="34"/>
      <c r="J169" s="34"/>
      <c r="K169" s="41"/>
      <c r="L169" s="41"/>
      <c r="M169" s="35"/>
      <c r="N169" s="35"/>
      <c r="O169" s="35"/>
      <c r="P169" s="32"/>
      <c r="Q169" s="33"/>
      <c r="R169" s="36" t="str">
        <f aca="false">IF(C169="","",SUMIFS('Payment Claims'!$E$2:$E$501,'Payment Claims'!$A$2:$A$501,A169,'Payment Claims'!$B$2:$B$501,C169,'Payment Claims'!$G$2:$G$501,"&lt;&gt;Disputed"))</f>
        <v/>
      </c>
      <c r="S169" s="36" t="str">
        <f aca="false">IF(OR(C169="",G169=""),"",G169-R169)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4"/>
      <c r="H170" s="34"/>
      <c r="I170" s="34"/>
      <c r="J170" s="34"/>
      <c r="K170" s="41"/>
      <c r="L170" s="41"/>
      <c r="M170" s="35"/>
      <c r="N170" s="35"/>
      <c r="O170" s="35"/>
      <c r="P170" s="32"/>
      <c r="Q170" s="33"/>
      <c r="R170" s="36" t="str">
        <f aca="false">IF(C170="","",SUMIFS('Payment Claims'!$E$2:$E$501,'Payment Claims'!$A$2:$A$501,A170,'Payment Claims'!$B$2:$B$501,C170,'Payment Claims'!$G$2:$G$501,"&lt;&gt;Disputed"))</f>
        <v/>
      </c>
      <c r="S170" s="36" t="str">
        <f aca="false">IF(OR(C170="",G170=""),"",G170-R170)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4"/>
      <c r="H171" s="34"/>
      <c r="I171" s="34"/>
      <c r="J171" s="34"/>
      <c r="K171" s="41"/>
      <c r="L171" s="41"/>
      <c r="M171" s="35"/>
      <c r="N171" s="35"/>
      <c r="O171" s="35"/>
      <c r="P171" s="32"/>
      <c r="Q171" s="33"/>
      <c r="R171" s="36" t="str">
        <f aca="false">IF(C171="","",SUMIFS('Payment Claims'!$E$2:$E$501,'Payment Claims'!$A$2:$A$501,A171,'Payment Claims'!$B$2:$B$501,C171,'Payment Claims'!$G$2:$G$501,"&lt;&gt;Disputed"))</f>
        <v/>
      </c>
      <c r="S171" s="36" t="str">
        <f aca="false">IF(OR(C171="",G171=""),"",G171-R171)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4"/>
      <c r="H172" s="34"/>
      <c r="I172" s="34"/>
      <c r="J172" s="34"/>
      <c r="K172" s="41"/>
      <c r="L172" s="41"/>
      <c r="M172" s="35"/>
      <c r="N172" s="35"/>
      <c r="O172" s="35"/>
      <c r="P172" s="32"/>
      <c r="Q172" s="33"/>
      <c r="R172" s="36" t="str">
        <f aca="false">IF(C172="","",SUMIFS('Payment Claims'!$E$2:$E$501,'Payment Claims'!$A$2:$A$501,A172,'Payment Claims'!$B$2:$B$501,C172,'Payment Claims'!$G$2:$G$501,"&lt;&gt;Disputed"))</f>
        <v/>
      </c>
      <c r="S172" s="36" t="str">
        <f aca="false">IF(OR(C172="",G172=""),"",G172-R172)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4"/>
      <c r="H173" s="34"/>
      <c r="I173" s="34"/>
      <c r="J173" s="34"/>
      <c r="K173" s="41"/>
      <c r="L173" s="41"/>
      <c r="M173" s="35"/>
      <c r="N173" s="35"/>
      <c r="O173" s="35"/>
      <c r="P173" s="32"/>
      <c r="Q173" s="33"/>
      <c r="R173" s="36" t="str">
        <f aca="false">IF(C173="","",SUMIFS('Payment Claims'!$E$2:$E$501,'Payment Claims'!$A$2:$A$501,A173,'Payment Claims'!$B$2:$B$501,C173,'Payment Claims'!$G$2:$G$501,"&lt;&gt;Disputed"))</f>
        <v/>
      </c>
      <c r="S173" s="36" t="str">
        <f aca="false">IF(OR(C173="",G173=""),"",G173-R173)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4"/>
      <c r="H174" s="34"/>
      <c r="I174" s="34"/>
      <c r="J174" s="34"/>
      <c r="K174" s="41"/>
      <c r="L174" s="41"/>
      <c r="M174" s="35"/>
      <c r="N174" s="35"/>
      <c r="O174" s="35"/>
      <c r="P174" s="32"/>
      <c r="Q174" s="33"/>
      <c r="R174" s="36" t="str">
        <f aca="false">IF(C174="","",SUMIFS('Payment Claims'!$E$2:$E$501,'Payment Claims'!$A$2:$A$501,A174,'Payment Claims'!$B$2:$B$501,C174,'Payment Claims'!$G$2:$G$501,"&lt;&gt;Disputed"))</f>
        <v/>
      </c>
      <c r="S174" s="36" t="str">
        <f aca="false">IF(OR(C174="",G174=""),"",G174-R174)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4"/>
      <c r="H175" s="34"/>
      <c r="I175" s="34"/>
      <c r="J175" s="34"/>
      <c r="K175" s="41"/>
      <c r="L175" s="41"/>
      <c r="M175" s="35"/>
      <c r="N175" s="35"/>
      <c r="O175" s="35"/>
      <c r="P175" s="32"/>
      <c r="Q175" s="33"/>
      <c r="R175" s="36" t="str">
        <f aca="false">IF(C175="","",SUMIFS('Payment Claims'!$E$2:$E$501,'Payment Claims'!$A$2:$A$501,A175,'Payment Claims'!$B$2:$B$501,C175,'Payment Claims'!$G$2:$G$501,"&lt;&gt;Disputed"))</f>
        <v/>
      </c>
      <c r="S175" s="36" t="str">
        <f aca="false">IF(OR(C175="",G175=""),"",G175-R175)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4"/>
      <c r="H176" s="34"/>
      <c r="I176" s="34"/>
      <c r="J176" s="34"/>
      <c r="K176" s="41"/>
      <c r="L176" s="41"/>
      <c r="M176" s="35"/>
      <c r="N176" s="35"/>
      <c r="O176" s="35"/>
      <c r="P176" s="32"/>
      <c r="Q176" s="33"/>
      <c r="R176" s="36" t="str">
        <f aca="false">IF(C176="","",SUMIFS('Payment Claims'!$E$2:$E$501,'Payment Claims'!$A$2:$A$501,A176,'Payment Claims'!$B$2:$B$501,C176,'Payment Claims'!$G$2:$G$501,"&lt;&gt;Disputed"))</f>
        <v/>
      </c>
      <c r="S176" s="36" t="str">
        <f aca="false">IF(OR(C176="",G176=""),"",G176-R176)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4"/>
      <c r="H177" s="34"/>
      <c r="I177" s="34"/>
      <c r="J177" s="34"/>
      <c r="K177" s="41"/>
      <c r="L177" s="41"/>
      <c r="M177" s="35"/>
      <c r="N177" s="35"/>
      <c r="O177" s="35"/>
      <c r="P177" s="32"/>
      <c r="Q177" s="33"/>
      <c r="R177" s="36" t="str">
        <f aca="false">IF(C177="","",SUMIFS('Payment Claims'!$E$2:$E$501,'Payment Claims'!$A$2:$A$501,A177,'Payment Claims'!$B$2:$B$501,C177,'Payment Claims'!$G$2:$G$501,"&lt;&gt;Disputed"))</f>
        <v/>
      </c>
      <c r="S177" s="36" t="str">
        <f aca="false">IF(OR(C177="",G177=""),"",G177-R177)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4"/>
      <c r="H178" s="34"/>
      <c r="I178" s="34"/>
      <c r="J178" s="34"/>
      <c r="K178" s="41"/>
      <c r="L178" s="41"/>
      <c r="M178" s="35"/>
      <c r="N178" s="35"/>
      <c r="O178" s="35"/>
      <c r="P178" s="32"/>
      <c r="Q178" s="33"/>
      <c r="R178" s="36" t="str">
        <f aca="false">IF(C178="","",SUMIFS('Payment Claims'!$E$2:$E$501,'Payment Claims'!$A$2:$A$501,A178,'Payment Claims'!$B$2:$B$501,C178,'Payment Claims'!$G$2:$G$501,"&lt;&gt;Disputed"))</f>
        <v/>
      </c>
      <c r="S178" s="36" t="str">
        <f aca="false">IF(OR(C178="",G178=""),"",G178-R178)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4"/>
      <c r="H179" s="34"/>
      <c r="I179" s="34"/>
      <c r="J179" s="34"/>
      <c r="K179" s="41"/>
      <c r="L179" s="41"/>
      <c r="M179" s="35"/>
      <c r="N179" s="35"/>
      <c r="O179" s="35"/>
      <c r="P179" s="32"/>
      <c r="Q179" s="33"/>
      <c r="R179" s="36" t="str">
        <f aca="false">IF(C179="","",SUMIFS('Payment Claims'!$E$2:$E$501,'Payment Claims'!$A$2:$A$501,A179,'Payment Claims'!$B$2:$B$501,C179,'Payment Claims'!$G$2:$G$501,"&lt;&gt;Disputed"))</f>
        <v/>
      </c>
      <c r="S179" s="36" t="str">
        <f aca="false">IF(OR(C179="",G179=""),"",G179-R179)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4"/>
      <c r="H180" s="34"/>
      <c r="I180" s="34"/>
      <c r="J180" s="34"/>
      <c r="K180" s="41"/>
      <c r="L180" s="41"/>
      <c r="M180" s="35"/>
      <c r="N180" s="35"/>
      <c r="O180" s="35"/>
      <c r="P180" s="32"/>
      <c r="Q180" s="33"/>
      <c r="R180" s="36" t="str">
        <f aca="false">IF(C180="","",SUMIFS('Payment Claims'!$E$2:$E$501,'Payment Claims'!$A$2:$A$501,A180,'Payment Claims'!$B$2:$B$501,C180,'Payment Claims'!$G$2:$G$501,"&lt;&gt;Disputed"))</f>
        <v/>
      </c>
      <c r="S180" s="36" t="str">
        <f aca="false">IF(OR(C180="",G180=""),"",G180-R180)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4"/>
      <c r="H181" s="34"/>
      <c r="I181" s="34"/>
      <c r="J181" s="34"/>
      <c r="K181" s="41"/>
      <c r="L181" s="41"/>
      <c r="M181" s="35"/>
      <c r="N181" s="35"/>
      <c r="O181" s="35"/>
      <c r="P181" s="32"/>
      <c r="Q181" s="33"/>
      <c r="R181" s="36" t="str">
        <f aca="false">IF(C181="","",SUMIFS('Payment Claims'!$E$2:$E$501,'Payment Claims'!$A$2:$A$501,A181,'Payment Claims'!$B$2:$B$501,C181,'Payment Claims'!$G$2:$G$501,"&lt;&gt;Disputed"))</f>
        <v/>
      </c>
      <c r="S181" s="36" t="str">
        <f aca="false">IF(OR(C181="",G181=""),"",G181-R181)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4"/>
      <c r="H182" s="34"/>
      <c r="I182" s="34"/>
      <c r="J182" s="34"/>
      <c r="K182" s="41"/>
      <c r="L182" s="41"/>
      <c r="M182" s="35"/>
      <c r="N182" s="35"/>
      <c r="O182" s="35"/>
      <c r="P182" s="32"/>
      <c r="Q182" s="33"/>
      <c r="R182" s="36" t="str">
        <f aca="false">IF(C182="","",SUMIFS('Payment Claims'!$E$2:$E$501,'Payment Claims'!$A$2:$A$501,A182,'Payment Claims'!$B$2:$B$501,C182,'Payment Claims'!$G$2:$G$501,"&lt;&gt;Disputed"))</f>
        <v/>
      </c>
      <c r="S182" s="36" t="str">
        <f aca="false">IF(OR(C182="",G182=""),"",G182-R182)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4"/>
      <c r="H183" s="34"/>
      <c r="I183" s="34"/>
      <c r="J183" s="34"/>
      <c r="K183" s="41"/>
      <c r="L183" s="41"/>
      <c r="M183" s="35"/>
      <c r="N183" s="35"/>
      <c r="O183" s="35"/>
      <c r="P183" s="32"/>
      <c r="Q183" s="33"/>
      <c r="R183" s="36" t="str">
        <f aca="false">IF(C183="","",SUMIFS('Payment Claims'!$E$2:$E$501,'Payment Claims'!$A$2:$A$501,A183,'Payment Claims'!$B$2:$B$501,C183,'Payment Claims'!$G$2:$G$501,"&lt;&gt;Disputed"))</f>
        <v/>
      </c>
      <c r="S183" s="36" t="str">
        <f aca="false">IF(OR(C183="",G183=""),"",G183-R183)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4"/>
      <c r="H184" s="34"/>
      <c r="I184" s="34"/>
      <c r="J184" s="34"/>
      <c r="K184" s="41"/>
      <c r="L184" s="41"/>
      <c r="M184" s="35"/>
      <c r="N184" s="35"/>
      <c r="O184" s="35"/>
      <c r="P184" s="32"/>
      <c r="Q184" s="33"/>
      <c r="R184" s="36" t="str">
        <f aca="false">IF(C184="","",SUMIFS('Payment Claims'!$E$2:$E$501,'Payment Claims'!$A$2:$A$501,A184,'Payment Claims'!$B$2:$B$501,C184,'Payment Claims'!$G$2:$G$501,"&lt;&gt;Disputed"))</f>
        <v/>
      </c>
      <c r="S184" s="36" t="str">
        <f aca="false">IF(OR(C184="",G184=""),"",G184-R184)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4"/>
      <c r="H185" s="34"/>
      <c r="I185" s="34"/>
      <c r="J185" s="34"/>
      <c r="K185" s="41"/>
      <c r="L185" s="41"/>
      <c r="M185" s="35"/>
      <c r="N185" s="35"/>
      <c r="O185" s="35"/>
      <c r="P185" s="32"/>
      <c r="Q185" s="33"/>
      <c r="R185" s="36" t="str">
        <f aca="false">IF(C185="","",SUMIFS('Payment Claims'!$E$2:$E$501,'Payment Claims'!$A$2:$A$501,A185,'Payment Claims'!$B$2:$B$501,C185,'Payment Claims'!$G$2:$G$501,"&lt;&gt;Disputed"))</f>
        <v/>
      </c>
      <c r="S185" s="36" t="str">
        <f aca="false">IF(OR(C185="",G185=""),"",G185-R185)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4"/>
      <c r="H186" s="34"/>
      <c r="I186" s="34"/>
      <c r="J186" s="34"/>
      <c r="K186" s="41"/>
      <c r="L186" s="41"/>
      <c r="M186" s="35"/>
      <c r="N186" s="35"/>
      <c r="O186" s="35"/>
      <c r="P186" s="32"/>
      <c r="Q186" s="33"/>
      <c r="R186" s="36" t="str">
        <f aca="false">IF(C186="","",SUMIFS('Payment Claims'!$E$2:$E$501,'Payment Claims'!$A$2:$A$501,A186,'Payment Claims'!$B$2:$B$501,C186,'Payment Claims'!$G$2:$G$501,"&lt;&gt;Disputed"))</f>
        <v/>
      </c>
      <c r="S186" s="36" t="str">
        <f aca="false">IF(OR(C186="",G186=""),"",G186-R186)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4"/>
      <c r="H187" s="34"/>
      <c r="I187" s="34"/>
      <c r="J187" s="34"/>
      <c r="K187" s="41"/>
      <c r="L187" s="41"/>
      <c r="M187" s="35"/>
      <c r="N187" s="35"/>
      <c r="O187" s="35"/>
      <c r="P187" s="32"/>
      <c r="Q187" s="33"/>
      <c r="R187" s="36" t="str">
        <f aca="false">IF(C187="","",SUMIFS('Payment Claims'!$E$2:$E$501,'Payment Claims'!$A$2:$A$501,A187,'Payment Claims'!$B$2:$B$501,C187,'Payment Claims'!$G$2:$G$501,"&lt;&gt;Disputed"))</f>
        <v/>
      </c>
      <c r="S187" s="36" t="str">
        <f aca="false">IF(OR(C187="",G187=""),"",G187-R187)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4"/>
      <c r="H188" s="34"/>
      <c r="I188" s="34"/>
      <c r="J188" s="34"/>
      <c r="K188" s="41"/>
      <c r="L188" s="41"/>
      <c r="M188" s="35"/>
      <c r="N188" s="35"/>
      <c r="O188" s="35"/>
      <c r="P188" s="32"/>
      <c r="Q188" s="33"/>
      <c r="R188" s="36" t="str">
        <f aca="false">IF(C188="","",SUMIFS('Payment Claims'!$E$2:$E$501,'Payment Claims'!$A$2:$A$501,A188,'Payment Claims'!$B$2:$B$501,C188,'Payment Claims'!$G$2:$G$501,"&lt;&gt;Disputed"))</f>
        <v/>
      </c>
      <c r="S188" s="36" t="str">
        <f aca="false">IF(OR(C188="",G188=""),"",G188-R188)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4"/>
      <c r="H189" s="34"/>
      <c r="I189" s="34"/>
      <c r="J189" s="34"/>
      <c r="K189" s="41"/>
      <c r="L189" s="41"/>
      <c r="M189" s="35"/>
      <c r="N189" s="35"/>
      <c r="O189" s="35"/>
      <c r="P189" s="32"/>
      <c r="Q189" s="33"/>
      <c r="R189" s="36" t="str">
        <f aca="false">IF(C189="","",SUMIFS('Payment Claims'!$E$2:$E$501,'Payment Claims'!$A$2:$A$501,A189,'Payment Claims'!$B$2:$B$501,C189,'Payment Claims'!$G$2:$G$501,"&lt;&gt;Disputed"))</f>
        <v/>
      </c>
      <c r="S189" s="36" t="str">
        <f aca="false">IF(OR(C189="",G189=""),"",G189-R189)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4"/>
      <c r="H190" s="34"/>
      <c r="I190" s="34"/>
      <c r="J190" s="34"/>
      <c r="K190" s="41"/>
      <c r="L190" s="41"/>
      <c r="M190" s="35"/>
      <c r="N190" s="35"/>
      <c r="O190" s="35"/>
      <c r="P190" s="32"/>
      <c r="Q190" s="33"/>
      <c r="R190" s="36" t="str">
        <f aca="false">IF(C190="","",SUMIFS('Payment Claims'!$E$2:$E$501,'Payment Claims'!$A$2:$A$501,A190,'Payment Claims'!$B$2:$B$501,C190,'Payment Claims'!$G$2:$G$501,"&lt;&gt;Disputed"))</f>
        <v/>
      </c>
      <c r="S190" s="36" t="str">
        <f aca="false">IF(OR(C190="",G190=""),"",G190-R190)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4"/>
      <c r="H191" s="34"/>
      <c r="I191" s="34"/>
      <c r="J191" s="34"/>
      <c r="K191" s="41"/>
      <c r="L191" s="41"/>
      <c r="M191" s="35"/>
      <c r="N191" s="35"/>
      <c r="O191" s="35"/>
      <c r="P191" s="32"/>
      <c r="Q191" s="33"/>
      <c r="R191" s="36" t="str">
        <f aca="false">IF(C191="","",SUMIFS('Payment Claims'!$E$2:$E$501,'Payment Claims'!$A$2:$A$501,A191,'Payment Claims'!$B$2:$B$501,C191,'Payment Claims'!$G$2:$G$501,"&lt;&gt;Disputed"))</f>
        <v/>
      </c>
      <c r="S191" s="36" t="str">
        <f aca="false">IF(OR(C191="",G191=""),"",G191-R191)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4"/>
      <c r="H192" s="34"/>
      <c r="I192" s="34"/>
      <c r="J192" s="34"/>
      <c r="K192" s="41"/>
      <c r="L192" s="41"/>
      <c r="M192" s="35"/>
      <c r="N192" s="35"/>
      <c r="O192" s="35"/>
      <c r="P192" s="32"/>
      <c r="Q192" s="33"/>
      <c r="R192" s="36" t="str">
        <f aca="false">IF(C192="","",SUMIFS('Payment Claims'!$E$2:$E$501,'Payment Claims'!$A$2:$A$501,A192,'Payment Claims'!$B$2:$B$501,C192,'Payment Claims'!$G$2:$G$501,"&lt;&gt;Disputed"))</f>
        <v/>
      </c>
      <c r="S192" s="36" t="str">
        <f aca="false">IF(OR(C192="",G192=""),"",G192-R192)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4"/>
      <c r="H193" s="34"/>
      <c r="I193" s="34"/>
      <c r="J193" s="34"/>
      <c r="K193" s="41"/>
      <c r="L193" s="41"/>
      <c r="M193" s="35"/>
      <c r="N193" s="35"/>
      <c r="O193" s="35"/>
      <c r="P193" s="32"/>
      <c r="Q193" s="33"/>
      <c r="R193" s="36" t="str">
        <f aca="false">IF(C193="","",SUMIFS('Payment Claims'!$E$2:$E$501,'Payment Claims'!$A$2:$A$501,A193,'Payment Claims'!$B$2:$B$501,C193,'Payment Claims'!$G$2:$G$501,"&lt;&gt;Disputed"))</f>
        <v/>
      </c>
      <c r="S193" s="36" t="str">
        <f aca="false">IF(OR(C193="",G193=""),"",G193-R193)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4"/>
      <c r="H194" s="34"/>
      <c r="I194" s="34"/>
      <c r="J194" s="34"/>
      <c r="K194" s="41"/>
      <c r="L194" s="41"/>
      <c r="M194" s="35"/>
      <c r="N194" s="35"/>
      <c r="O194" s="35"/>
      <c r="P194" s="32"/>
      <c r="Q194" s="33"/>
      <c r="R194" s="36" t="str">
        <f aca="false">IF(C194="","",SUMIFS('Payment Claims'!$E$2:$E$501,'Payment Claims'!$A$2:$A$501,A194,'Payment Claims'!$B$2:$B$501,C194,'Payment Claims'!$G$2:$G$501,"&lt;&gt;Disputed"))</f>
        <v/>
      </c>
      <c r="S194" s="36" t="str">
        <f aca="false">IF(OR(C194="",G194=""),"",G194-R194)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4"/>
      <c r="H195" s="34"/>
      <c r="I195" s="34"/>
      <c r="J195" s="34"/>
      <c r="K195" s="41"/>
      <c r="L195" s="41"/>
      <c r="M195" s="35"/>
      <c r="N195" s="35"/>
      <c r="O195" s="35"/>
      <c r="P195" s="32"/>
      <c r="Q195" s="33"/>
      <c r="R195" s="36" t="str">
        <f aca="false">IF(C195="","",SUMIFS('Payment Claims'!$E$2:$E$501,'Payment Claims'!$A$2:$A$501,A195,'Payment Claims'!$B$2:$B$501,C195,'Payment Claims'!$G$2:$G$501,"&lt;&gt;Disputed"))</f>
        <v/>
      </c>
      <c r="S195" s="36" t="str">
        <f aca="false">IF(OR(C195="",G195=""),"",G195-R195)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4"/>
      <c r="H196" s="34"/>
      <c r="I196" s="34"/>
      <c r="J196" s="34"/>
      <c r="K196" s="41"/>
      <c r="L196" s="41"/>
      <c r="M196" s="35"/>
      <c r="N196" s="35"/>
      <c r="O196" s="35"/>
      <c r="P196" s="32"/>
      <c r="Q196" s="33"/>
      <c r="R196" s="36" t="str">
        <f aca="false">IF(C196="","",SUMIFS('Payment Claims'!$E$2:$E$501,'Payment Claims'!$A$2:$A$501,A196,'Payment Claims'!$B$2:$B$501,C196,'Payment Claims'!$G$2:$G$501,"&lt;&gt;Disputed"))</f>
        <v/>
      </c>
      <c r="S196" s="36" t="str">
        <f aca="false">IF(OR(C196="",G196=""),"",G196-R196)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4"/>
      <c r="H197" s="34"/>
      <c r="I197" s="34"/>
      <c r="J197" s="34"/>
      <c r="K197" s="41"/>
      <c r="L197" s="41"/>
      <c r="M197" s="35"/>
      <c r="N197" s="35"/>
      <c r="O197" s="35"/>
      <c r="P197" s="32"/>
      <c r="Q197" s="33"/>
      <c r="R197" s="36" t="str">
        <f aca="false">IF(C197="","",SUMIFS('Payment Claims'!$E$2:$E$501,'Payment Claims'!$A$2:$A$501,A197,'Payment Claims'!$B$2:$B$501,C197,'Payment Claims'!$G$2:$G$501,"&lt;&gt;Disputed"))</f>
        <v/>
      </c>
      <c r="S197" s="36" t="str">
        <f aca="false">IF(OR(C197="",G197=""),"",G197-R197)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4"/>
      <c r="H198" s="34"/>
      <c r="I198" s="34"/>
      <c r="J198" s="34"/>
      <c r="K198" s="41"/>
      <c r="L198" s="41"/>
      <c r="M198" s="35"/>
      <c r="N198" s="35"/>
      <c r="O198" s="35"/>
      <c r="P198" s="32"/>
      <c r="Q198" s="33"/>
      <c r="R198" s="36" t="str">
        <f aca="false">IF(C198="","",SUMIFS('Payment Claims'!$E$2:$E$501,'Payment Claims'!$A$2:$A$501,A198,'Payment Claims'!$B$2:$B$501,C198,'Payment Claims'!$G$2:$G$501,"&lt;&gt;Disputed"))</f>
        <v/>
      </c>
      <c r="S198" s="36" t="str">
        <f aca="false">IF(OR(C198="",G198=""),"",G198-R198)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4"/>
      <c r="H199" s="34"/>
      <c r="I199" s="34"/>
      <c r="J199" s="34"/>
      <c r="K199" s="41"/>
      <c r="L199" s="41"/>
      <c r="M199" s="35"/>
      <c r="N199" s="35"/>
      <c r="O199" s="35"/>
      <c r="P199" s="32"/>
      <c r="Q199" s="33"/>
      <c r="R199" s="36" t="str">
        <f aca="false">IF(C199="","",SUMIFS('Payment Claims'!$E$2:$E$501,'Payment Claims'!$A$2:$A$501,A199,'Payment Claims'!$B$2:$B$501,C199,'Payment Claims'!$G$2:$G$501,"&lt;&gt;Disputed"))</f>
        <v/>
      </c>
      <c r="S199" s="36" t="str">
        <f aca="false">IF(OR(C199="",G199=""),"",G199-R199)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4"/>
      <c r="H200" s="34"/>
      <c r="I200" s="34"/>
      <c r="J200" s="34"/>
      <c r="K200" s="41"/>
      <c r="L200" s="41"/>
      <c r="M200" s="35"/>
      <c r="N200" s="35"/>
      <c r="O200" s="35"/>
      <c r="P200" s="32"/>
      <c r="Q200" s="33"/>
      <c r="R200" s="36" t="str">
        <f aca="false">IF(C200="","",SUMIFS('Payment Claims'!$E$2:$E$501,'Payment Claims'!$A$2:$A$501,A200,'Payment Claims'!$B$2:$B$501,C200,'Payment Claims'!$G$2:$G$501,"&lt;&gt;Disputed"))</f>
        <v/>
      </c>
      <c r="S200" s="36" t="str">
        <f aca="false">IF(OR(C200="",G200=""),"",G200-R200)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4"/>
      <c r="H201" s="34"/>
      <c r="I201" s="34"/>
      <c r="J201" s="34"/>
      <c r="K201" s="41"/>
      <c r="L201" s="41"/>
      <c r="M201" s="35"/>
      <c r="N201" s="35"/>
      <c r="O201" s="35"/>
      <c r="P201" s="32"/>
      <c r="Q201" s="33"/>
      <c r="R201" s="36" t="str">
        <f aca="false">IF(C201="","",SUMIFS('Payment Claims'!$E$2:$E$501,'Payment Claims'!$A$2:$A$501,A201,'Payment Claims'!$B$2:$B$501,C201,'Payment Claims'!$G$2:$G$501,"&lt;&gt;Disputed"))</f>
        <v/>
      </c>
      <c r="S201" s="36" t="str">
        <f aca="false">IF(OR(C201="",G201=""),"",G201-R201)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4"/>
      <c r="H202" s="34"/>
      <c r="I202" s="34"/>
      <c r="J202" s="34"/>
      <c r="K202" s="41"/>
      <c r="L202" s="41"/>
      <c r="M202" s="35"/>
      <c r="N202" s="35"/>
      <c r="O202" s="35"/>
      <c r="P202" s="32"/>
      <c r="Q202" s="33"/>
      <c r="R202" s="36" t="str">
        <f aca="false">IF(C202="","",SUMIFS('Payment Claims'!$E$2:$E$501,'Payment Claims'!$A$2:$A$501,A202,'Payment Claims'!$B$2:$B$501,C202,'Payment Claims'!$G$2:$G$501,"&lt;&gt;Disputed"))</f>
        <v/>
      </c>
      <c r="S202" s="36" t="str">
        <f aca="false">IF(OR(C202="",G202=""),"",G202-R202)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4"/>
      <c r="H203" s="34"/>
      <c r="I203" s="34"/>
      <c r="J203" s="34"/>
      <c r="K203" s="41"/>
      <c r="L203" s="41"/>
      <c r="M203" s="35"/>
      <c r="N203" s="35"/>
      <c r="O203" s="35"/>
      <c r="P203" s="32"/>
      <c r="Q203" s="33"/>
      <c r="R203" s="36" t="str">
        <f aca="false">IF(C203="","",SUMIFS('Payment Claims'!$E$2:$E$501,'Payment Claims'!$A$2:$A$501,A203,'Payment Claims'!$B$2:$B$501,C203,'Payment Claims'!$G$2:$G$501,"&lt;&gt;Disputed"))</f>
        <v/>
      </c>
      <c r="S203" s="36" t="str">
        <f aca="false">IF(OR(C203="",G203=""),"",G203-R203)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4"/>
      <c r="H204" s="34"/>
      <c r="I204" s="34"/>
      <c r="J204" s="34"/>
      <c r="K204" s="41"/>
      <c r="L204" s="41"/>
      <c r="M204" s="35"/>
      <c r="N204" s="35"/>
      <c r="O204" s="35"/>
      <c r="P204" s="32"/>
      <c r="Q204" s="33"/>
      <c r="R204" s="36" t="str">
        <f aca="false">IF(C204="","",SUMIFS('Payment Claims'!$E$2:$E$501,'Payment Claims'!$A$2:$A$501,A204,'Payment Claims'!$B$2:$B$501,C204,'Payment Claims'!$G$2:$G$501,"&lt;&gt;Disputed"))</f>
        <v/>
      </c>
      <c r="S204" s="36" t="str">
        <f aca="false">IF(OR(C204="",G204=""),"",G204-R204)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4"/>
      <c r="H205" s="34"/>
      <c r="I205" s="34"/>
      <c r="J205" s="34"/>
      <c r="K205" s="41"/>
      <c r="L205" s="41"/>
      <c r="M205" s="35"/>
      <c r="N205" s="35"/>
      <c r="O205" s="35"/>
      <c r="P205" s="32"/>
      <c r="Q205" s="33"/>
      <c r="R205" s="36" t="str">
        <f aca="false">IF(C205="","",SUMIFS('Payment Claims'!$E$2:$E$501,'Payment Claims'!$A$2:$A$501,A205,'Payment Claims'!$B$2:$B$501,C205,'Payment Claims'!$G$2:$G$501,"&lt;&gt;Disputed"))</f>
        <v/>
      </c>
      <c r="S205" s="36" t="str">
        <f aca="false">IF(OR(C205="",G205=""),"",G205-R205)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4"/>
      <c r="H206" s="34"/>
      <c r="I206" s="34"/>
      <c r="J206" s="34"/>
      <c r="K206" s="41"/>
      <c r="L206" s="41"/>
      <c r="M206" s="35"/>
      <c r="N206" s="35"/>
      <c r="O206" s="35"/>
      <c r="P206" s="32"/>
      <c r="Q206" s="33"/>
      <c r="R206" s="36" t="str">
        <f aca="false">IF(C206="","",SUMIFS('Payment Claims'!$E$2:$E$501,'Payment Claims'!$A$2:$A$501,A206,'Payment Claims'!$B$2:$B$501,C206,'Payment Claims'!$G$2:$G$501,"&lt;&gt;Disputed"))</f>
        <v/>
      </c>
      <c r="S206" s="36" t="str">
        <f aca="false">IF(OR(C206="",G206=""),"",G206-R206)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4"/>
      <c r="H207" s="34"/>
      <c r="I207" s="34"/>
      <c r="J207" s="34"/>
      <c r="K207" s="41"/>
      <c r="L207" s="41"/>
      <c r="M207" s="35"/>
      <c r="N207" s="35"/>
      <c r="O207" s="35"/>
      <c r="P207" s="32"/>
      <c r="Q207" s="33"/>
      <c r="R207" s="36" t="str">
        <f aca="false">IF(C207="","",SUMIFS('Payment Claims'!$E$2:$E$501,'Payment Claims'!$A$2:$A$501,A207,'Payment Claims'!$B$2:$B$501,C207,'Payment Claims'!$G$2:$G$501,"&lt;&gt;Disputed"))</f>
        <v/>
      </c>
      <c r="S207" s="36" t="str">
        <f aca="false">IF(OR(C207="",G207=""),"",G207-R207)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4"/>
      <c r="H208" s="34"/>
      <c r="I208" s="34"/>
      <c r="J208" s="34"/>
      <c r="K208" s="41"/>
      <c r="L208" s="41"/>
      <c r="M208" s="35"/>
      <c r="N208" s="35"/>
      <c r="O208" s="35"/>
      <c r="P208" s="32"/>
      <c r="Q208" s="33"/>
      <c r="R208" s="36" t="str">
        <f aca="false">IF(C208="","",SUMIFS('Payment Claims'!$E$2:$E$501,'Payment Claims'!$A$2:$A$501,A208,'Payment Claims'!$B$2:$B$501,C208,'Payment Claims'!$G$2:$G$501,"&lt;&gt;Disputed"))</f>
        <v/>
      </c>
      <c r="S208" s="36" t="str">
        <f aca="false">IF(OR(C208="",G208=""),"",G208-R208)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4"/>
      <c r="H209" s="34"/>
      <c r="I209" s="34"/>
      <c r="J209" s="34"/>
      <c r="K209" s="41"/>
      <c r="L209" s="41"/>
      <c r="M209" s="35"/>
      <c r="N209" s="35"/>
      <c r="O209" s="35"/>
      <c r="P209" s="32"/>
      <c r="Q209" s="33"/>
      <c r="R209" s="36" t="str">
        <f aca="false">IF(C209="","",SUMIFS('Payment Claims'!$E$2:$E$501,'Payment Claims'!$A$2:$A$501,A209,'Payment Claims'!$B$2:$B$501,C209,'Payment Claims'!$G$2:$G$501,"&lt;&gt;Disputed"))</f>
        <v/>
      </c>
      <c r="S209" s="36" t="str">
        <f aca="false">IF(OR(C209="",G209=""),"",G209-R209)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4"/>
      <c r="H210" s="34"/>
      <c r="I210" s="34"/>
      <c r="J210" s="34"/>
      <c r="K210" s="41"/>
      <c r="L210" s="41"/>
      <c r="M210" s="35"/>
      <c r="N210" s="35"/>
      <c r="O210" s="35"/>
      <c r="P210" s="32"/>
      <c r="Q210" s="33"/>
      <c r="R210" s="36" t="str">
        <f aca="false">IF(C210="","",SUMIFS('Payment Claims'!$E$2:$E$501,'Payment Claims'!$A$2:$A$501,A210,'Payment Claims'!$B$2:$B$501,C210,'Payment Claims'!$G$2:$G$501,"&lt;&gt;Disputed"))</f>
        <v/>
      </c>
      <c r="S210" s="36" t="str">
        <f aca="false">IF(OR(C210="",G210=""),"",G210-R210)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4"/>
      <c r="H211" s="34"/>
      <c r="I211" s="34"/>
      <c r="J211" s="34"/>
      <c r="K211" s="41"/>
      <c r="L211" s="41"/>
      <c r="M211" s="35"/>
      <c r="N211" s="35"/>
      <c r="O211" s="35"/>
      <c r="P211" s="32"/>
      <c r="Q211" s="33"/>
      <c r="R211" s="36" t="str">
        <f aca="false">IF(C211="","",SUMIFS('Payment Claims'!$E$2:$E$501,'Payment Claims'!$A$2:$A$501,A211,'Payment Claims'!$B$2:$B$501,C211,'Payment Claims'!$G$2:$G$501,"&lt;&gt;Disputed"))</f>
        <v/>
      </c>
      <c r="S211" s="36" t="str">
        <f aca="false">IF(OR(C211="",G211=""),"",G211-R211)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4"/>
      <c r="H212" s="34"/>
      <c r="I212" s="34"/>
      <c r="J212" s="34"/>
      <c r="K212" s="41"/>
      <c r="L212" s="41"/>
      <c r="M212" s="35"/>
      <c r="N212" s="35"/>
      <c r="O212" s="35"/>
      <c r="P212" s="32"/>
      <c r="Q212" s="33"/>
      <c r="R212" s="36" t="str">
        <f aca="false">IF(C212="","",SUMIFS('Payment Claims'!$E$2:$E$501,'Payment Claims'!$A$2:$A$501,A212,'Payment Claims'!$B$2:$B$501,C212,'Payment Claims'!$G$2:$G$501,"&lt;&gt;Disputed"))</f>
        <v/>
      </c>
      <c r="S212" s="36" t="str">
        <f aca="false">IF(OR(C212="",G212=""),"",G212-R212)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4"/>
      <c r="H213" s="34"/>
      <c r="I213" s="34"/>
      <c r="J213" s="34"/>
      <c r="K213" s="41"/>
      <c r="L213" s="41"/>
      <c r="M213" s="35"/>
      <c r="N213" s="35"/>
      <c r="O213" s="35"/>
      <c r="P213" s="32"/>
      <c r="Q213" s="33"/>
      <c r="R213" s="36" t="str">
        <f aca="false">IF(C213="","",SUMIFS('Payment Claims'!$E$2:$E$501,'Payment Claims'!$A$2:$A$501,A213,'Payment Claims'!$B$2:$B$501,C213,'Payment Claims'!$G$2:$G$501,"&lt;&gt;Disputed"))</f>
        <v/>
      </c>
      <c r="S213" s="36" t="str">
        <f aca="false">IF(OR(C213="",G213=""),"",G213-R213)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4"/>
      <c r="H214" s="34"/>
      <c r="I214" s="34"/>
      <c r="J214" s="34"/>
      <c r="K214" s="41"/>
      <c r="L214" s="41"/>
      <c r="M214" s="35"/>
      <c r="N214" s="35"/>
      <c r="O214" s="35"/>
      <c r="P214" s="32"/>
      <c r="Q214" s="33"/>
      <c r="R214" s="36" t="str">
        <f aca="false">IF(C214="","",SUMIFS('Payment Claims'!$E$2:$E$501,'Payment Claims'!$A$2:$A$501,A214,'Payment Claims'!$B$2:$B$501,C214,'Payment Claims'!$G$2:$G$501,"&lt;&gt;Disputed"))</f>
        <v/>
      </c>
      <c r="S214" s="36" t="str">
        <f aca="false">IF(OR(C214="",G214=""),"",G214-R214)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4"/>
      <c r="H215" s="34"/>
      <c r="I215" s="34"/>
      <c r="J215" s="34"/>
      <c r="K215" s="41"/>
      <c r="L215" s="41"/>
      <c r="M215" s="35"/>
      <c r="N215" s="35"/>
      <c r="O215" s="35"/>
      <c r="P215" s="32"/>
      <c r="Q215" s="33"/>
      <c r="R215" s="36" t="str">
        <f aca="false">IF(C215="","",SUMIFS('Payment Claims'!$E$2:$E$501,'Payment Claims'!$A$2:$A$501,A215,'Payment Claims'!$B$2:$B$501,C215,'Payment Claims'!$G$2:$G$501,"&lt;&gt;Disputed"))</f>
        <v/>
      </c>
      <c r="S215" s="36" t="str">
        <f aca="false">IF(OR(C215="",G215=""),"",G215-R215)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4"/>
      <c r="H216" s="34"/>
      <c r="I216" s="34"/>
      <c r="J216" s="34"/>
      <c r="K216" s="41"/>
      <c r="L216" s="41"/>
      <c r="M216" s="35"/>
      <c r="N216" s="35"/>
      <c r="O216" s="35"/>
      <c r="P216" s="32"/>
      <c r="Q216" s="33"/>
      <c r="R216" s="36" t="str">
        <f aca="false">IF(C216="","",SUMIFS('Payment Claims'!$E$2:$E$501,'Payment Claims'!$A$2:$A$501,A216,'Payment Claims'!$B$2:$B$501,C216,'Payment Claims'!$G$2:$G$501,"&lt;&gt;Disputed"))</f>
        <v/>
      </c>
      <c r="S216" s="36" t="str">
        <f aca="false">IF(OR(C216="",G216=""),"",G216-R216)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4"/>
      <c r="H217" s="34"/>
      <c r="I217" s="34"/>
      <c r="J217" s="34"/>
      <c r="K217" s="41"/>
      <c r="L217" s="41"/>
      <c r="M217" s="35"/>
      <c r="N217" s="35"/>
      <c r="O217" s="35"/>
      <c r="P217" s="32"/>
      <c r="Q217" s="33"/>
      <c r="R217" s="36" t="str">
        <f aca="false">IF(C217="","",SUMIFS('Payment Claims'!$E$2:$E$501,'Payment Claims'!$A$2:$A$501,A217,'Payment Claims'!$B$2:$B$501,C217,'Payment Claims'!$G$2:$G$501,"&lt;&gt;Disputed"))</f>
        <v/>
      </c>
      <c r="S217" s="36" t="str">
        <f aca="false">IF(OR(C217="",G217=""),"",G217-R217)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4"/>
      <c r="H218" s="34"/>
      <c r="I218" s="34"/>
      <c r="J218" s="34"/>
      <c r="K218" s="41"/>
      <c r="L218" s="41"/>
      <c r="M218" s="35"/>
      <c r="N218" s="35"/>
      <c r="O218" s="35"/>
      <c r="P218" s="32"/>
      <c r="Q218" s="33"/>
      <c r="R218" s="36" t="str">
        <f aca="false">IF(C218="","",SUMIFS('Payment Claims'!$E$2:$E$501,'Payment Claims'!$A$2:$A$501,A218,'Payment Claims'!$B$2:$B$501,C218,'Payment Claims'!$G$2:$G$501,"&lt;&gt;Disputed"))</f>
        <v/>
      </c>
      <c r="S218" s="36" t="str">
        <f aca="false">IF(OR(C218="",G218=""),"",G218-R218)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4"/>
      <c r="H219" s="34"/>
      <c r="I219" s="34"/>
      <c r="J219" s="34"/>
      <c r="K219" s="41"/>
      <c r="L219" s="41"/>
      <c r="M219" s="35"/>
      <c r="N219" s="35"/>
      <c r="O219" s="35"/>
      <c r="P219" s="32"/>
      <c r="Q219" s="33"/>
      <c r="R219" s="36" t="str">
        <f aca="false">IF(C219="","",SUMIFS('Payment Claims'!$E$2:$E$501,'Payment Claims'!$A$2:$A$501,A219,'Payment Claims'!$B$2:$B$501,C219,'Payment Claims'!$G$2:$G$501,"&lt;&gt;Disputed"))</f>
        <v/>
      </c>
      <c r="S219" s="36" t="str">
        <f aca="false">IF(OR(C219="",G219=""),"",G219-R219)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4"/>
      <c r="H220" s="34"/>
      <c r="I220" s="34"/>
      <c r="J220" s="34"/>
      <c r="K220" s="41"/>
      <c r="L220" s="41"/>
      <c r="M220" s="35"/>
      <c r="N220" s="35"/>
      <c r="O220" s="35"/>
      <c r="P220" s="32"/>
      <c r="Q220" s="33"/>
      <c r="R220" s="36" t="str">
        <f aca="false">IF(C220="","",SUMIFS('Payment Claims'!$E$2:$E$501,'Payment Claims'!$A$2:$A$501,A220,'Payment Claims'!$B$2:$B$501,C220,'Payment Claims'!$G$2:$G$501,"&lt;&gt;Disputed"))</f>
        <v/>
      </c>
      <c r="S220" s="36" t="str">
        <f aca="false">IF(OR(C220="",G220=""),"",G220-R220)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4"/>
      <c r="H221" s="34"/>
      <c r="I221" s="34"/>
      <c r="J221" s="34"/>
      <c r="K221" s="41"/>
      <c r="L221" s="41"/>
      <c r="M221" s="35"/>
      <c r="N221" s="35"/>
      <c r="O221" s="35"/>
      <c r="P221" s="32"/>
      <c r="Q221" s="33"/>
      <c r="R221" s="36" t="str">
        <f aca="false">IF(C221="","",SUMIFS('Payment Claims'!$E$2:$E$501,'Payment Claims'!$A$2:$A$501,A221,'Payment Claims'!$B$2:$B$501,C221,'Payment Claims'!$G$2:$G$501,"&lt;&gt;Disputed"))</f>
        <v/>
      </c>
      <c r="S221" s="36" t="str">
        <f aca="false">IF(OR(C221="",G221=""),"",G221-R221)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4"/>
      <c r="H222" s="34"/>
      <c r="I222" s="34"/>
      <c r="J222" s="34"/>
      <c r="K222" s="41"/>
      <c r="L222" s="41"/>
      <c r="M222" s="35"/>
      <c r="N222" s="35"/>
      <c r="O222" s="35"/>
      <c r="P222" s="32"/>
      <c r="Q222" s="33"/>
      <c r="R222" s="36" t="str">
        <f aca="false">IF(C222="","",SUMIFS('Payment Claims'!$E$2:$E$501,'Payment Claims'!$A$2:$A$501,A222,'Payment Claims'!$B$2:$B$501,C222,'Payment Claims'!$G$2:$G$501,"&lt;&gt;Disputed"))</f>
        <v/>
      </c>
      <c r="S222" s="36" t="str">
        <f aca="false">IF(OR(C222="",G222=""),"",G222-R222)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4"/>
      <c r="H223" s="34"/>
      <c r="I223" s="34"/>
      <c r="J223" s="34"/>
      <c r="K223" s="41"/>
      <c r="L223" s="41"/>
      <c r="M223" s="35"/>
      <c r="N223" s="35"/>
      <c r="O223" s="35"/>
      <c r="P223" s="32"/>
      <c r="Q223" s="33"/>
      <c r="R223" s="36" t="str">
        <f aca="false">IF(C223="","",SUMIFS('Payment Claims'!$E$2:$E$501,'Payment Claims'!$A$2:$A$501,A223,'Payment Claims'!$B$2:$B$501,C223,'Payment Claims'!$G$2:$G$501,"&lt;&gt;Disputed"))</f>
        <v/>
      </c>
      <c r="S223" s="36" t="str">
        <f aca="false">IF(OR(C223="",G223=""),"",G223-R223)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4"/>
      <c r="H224" s="34"/>
      <c r="I224" s="34"/>
      <c r="J224" s="34"/>
      <c r="K224" s="41"/>
      <c r="L224" s="41"/>
      <c r="M224" s="35"/>
      <c r="N224" s="35"/>
      <c r="O224" s="35"/>
      <c r="P224" s="32"/>
      <c r="Q224" s="33"/>
      <c r="R224" s="36" t="str">
        <f aca="false">IF(C224="","",SUMIFS('Payment Claims'!$E$2:$E$501,'Payment Claims'!$A$2:$A$501,A224,'Payment Claims'!$B$2:$B$501,C224,'Payment Claims'!$G$2:$G$501,"&lt;&gt;Disputed"))</f>
        <v/>
      </c>
      <c r="S224" s="36" t="str">
        <f aca="false">IF(OR(C224="",G224=""),"",G224-R224)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4"/>
      <c r="H225" s="34"/>
      <c r="I225" s="34"/>
      <c r="J225" s="34"/>
      <c r="K225" s="41"/>
      <c r="L225" s="41"/>
      <c r="M225" s="35"/>
      <c r="N225" s="35"/>
      <c r="O225" s="35"/>
      <c r="P225" s="32"/>
      <c r="Q225" s="33"/>
      <c r="R225" s="36" t="str">
        <f aca="false">IF(C225="","",SUMIFS('Payment Claims'!$E$2:$E$501,'Payment Claims'!$A$2:$A$501,A225,'Payment Claims'!$B$2:$B$501,C225,'Payment Claims'!$G$2:$G$501,"&lt;&gt;Disputed"))</f>
        <v/>
      </c>
      <c r="S225" s="36" t="str">
        <f aca="false">IF(OR(C225="",G225=""),"",G225-R225)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4"/>
      <c r="H226" s="34"/>
      <c r="I226" s="34"/>
      <c r="J226" s="34"/>
      <c r="K226" s="41"/>
      <c r="L226" s="41"/>
      <c r="M226" s="35"/>
      <c r="N226" s="35"/>
      <c r="O226" s="35"/>
      <c r="P226" s="32"/>
      <c r="Q226" s="33"/>
      <c r="R226" s="36" t="str">
        <f aca="false">IF(C226="","",SUMIFS('Payment Claims'!$E$2:$E$501,'Payment Claims'!$A$2:$A$501,A226,'Payment Claims'!$B$2:$B$501,C226,'Payment Claims'!$G$2:$G$501,"&lt;&gt;Disputed"))</f>
        <v/>
      </c>
      <c r="S226" s="36" t="str">
        <f aca="false">IF(OR(C226="",G226=""),"",G226-R226)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4"/>
      <c r="H227" s="34"/>
      <c r="I227" s="34"/>
      <c r="J227" s="34"/>
      <c r="K227" s="41"/>
      <c r="L227" s="41"/>
      <c r="M227" s="35"/>
      <c r="N227" s="35"/>
      <c r="O227" s="35"/>
      <c r="P227" s="32"/>
      <c r="Q227" s="33"/>
      <c r="R227" s="36" t="str">
        <f aca="false">IF(C227="","",SUMIFS('Payment Claims'!$E$2:$E$501,'Payment Claims'!$A$2:$A$501,A227,'Payment Claims'!$B$2:$B$501,C227,'Payment Claims'!$G$2:$G$501,"&lt;&gt;Disputed"))</f>
        <v/>
      </c>
      <c r="S227" s="36" t="str">
        <f aca="false">IF(OR(C227="",G227=""),"",G227-R227)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4"/>
      <c r="H228" s="34"/>
      <c r="I228" s="34"/>
      <c r="J228" s="34"/>
      <c r="K228" s="41"/>
      <c r="L228" s="41"/>
      <c r="M228" s="35"/>
      <c r="N228" s="35"/>
      <c r="O228" s="35"/>
      <c r="P228" s="32"/>
      <c r="Q228" s="33"/>
      <c r="R228" s="36" t="str">
        <f aca="false">IF(C228="","",SUMIFS('Payment Claims'!$E$2:$E$501,'Payment Claims'!$A$2:$A$501,A228,'Payment Claims'!$B$2:$B$501,C228,'Payment Claims'!$G$2:$G$501,"&lt;&gt;Disputed"))</f>
        <v/>
      </c>
      <c r="S228" s="36" t="str">
        <f aca="false">IF(OR(C228="",G228=""),"",G228-R228)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4"/>
      <c r="H229" s="34"/>
      <c r="I229" s="34"/>
      <c r="J229" s="34"/>
      <c r="K229" s="41"/>
      <c r="L229" s="41"/>
      <c r="M229" s="35"/>
      <c r="N229" s="35"/>
      <c r="O229" s="35"/>
      <c r="P229" s="32"/>
      <c r="Q229" s="33"/>
      <c r="R229" s="36" t="str">
        <f aca="false">IF(C229="","",SUMIFS('Payment Claims'!$E$2:$E$501,'Payment Claims'!$A$2:$A$501,A229,'Payment Claims'!$B$2:$B$501,C229,'Payment Claims'!$G$2:$G$501,"&lt;&gt;Disputed"))</f>
        <v/>
      </c>
      <c r="S229" s="36" t="str">
        <f aca="false">IF(OR(C229="",G229=""),"",G229-R229)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4"/>
      <c r="H230" s="34"/>
      <c r="I230" s="34"/>
      <c r="J230" s="34"/>
      <c r="K230" s="41"/>
      <c r="L230" s="41"/>
      <c r="M230" s="35"/>
      <c r="N230" s="35"/>
      <c r="O230" s="35"/>
      <c r="P230" s="32"/>
      <c r="Q230" s="33"/>
      <c r="R230" s="36" t="str">
        <f aca="false">IF(C230="","",SUMIFS('Payment Claims'!$E$2:$E$501,'Payment Claims'!$A$2:$A$501,A230,'Payment Claims'!$B$2:$B$501,C230,'Payment Claims'!$G$2:$G$501,"&lt;&gt;Disputed"))</f>
        <v/>
      </c>
      <c r="S230" s="36" t="str">
        <f aca="false">IF(OR(C230="",G230=""),"",G230-R230)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4"/>
      <c r="H231" s="34"/>
      <c r="I231" s="34"/>
      <c r="J231" s="34"/>
      <c r="K231" s="41"/>
      <c r="L231" s="41"/>
      <c r="M231" s="35"/>
      <c r="N231" s="35"/>
      <c r="O231" s="35"/>
      <c r="P231" s="32"/>
      <c r="Q231" s="33"/>
      <c r="R231" s="36" t="str">
        <f aca="false">IF(C231="","",SUMIFS('Payment Claims'!$E$2:$E$501,'Payment Claims'!$A$2:$A$501,A231,'Payment Claims'!$B$2:$B$501,C231,'Payment Claims'!$G$2:$G$501,"&lt;&gt;Disputed"))</f>
        <v/>
      </c>
      <c r="S231" s="36" t="str">
        <f aca="false">IF(OR(C231="",G231=""),"",G231-R231)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4"/>
      <c r="H232" s="34"/>
      <c r="I232" s="34"/>
      <c r="J232" s="34"/>
      <c r="K232" s="41"/>
      <c r="L232" s="41"/>
      <c r="M232" s="35"/>
      <c r="N232" s="35"/>
      <c r="O232" s="35"/>
      <c r="P232" s="32"/>
      <c r="Q232" s="33"/>
      <c r="R232" s="36" t="str">
        <f aca="false">IF(C232="","",SUMIFS('Payment Claims'!$E$2:$E$501,'Payment Claims'!$A$2:$A$501,A232,'Payment Claims'!$B$2:$B$501,C232,'Payment Claims'!$G$2:$G$501,"&lt;&gt;Disputed"))</f>
        <v/>
      </c>
      <c r="S232" s="36" t="str">
        <f aca="false">IF(OR(C232="",G232=""),"",G232-R232)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4"/>
      <c r="H233" s="34"/>
      <c r="I233" s="34"/>
      <c r="J233" s="34"/>
      <c r="K233" s="41"/>
      <c r="L233" s="41"/>
      <c r="M233" s="35"/>
      <c r="N233" s="35"/>
      <c r="O233" s="35"/>
      <c r="P233" s="32"/>
      <c r="Q233" s="33"/>
      <c r="R233" s="36" t="str">
        <f aca="false">IF(C233="","",SUMIFS('Payment Claims'!$E$2:$E$501,'Payment Claims'!$A$2:$A$501,A233,'Payment Claims'!$B$2:$B$501,C233,'Payment Claims'!$G$2:$G$501,"&lt;&gt;Disputed"))</f>
        <v/>
      </c>
      <c r="S233" s="36" t="str">
        <f aca="false">IF(OR(C233="",G233=""),"",G233-R233)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4"/>
      <c r="H234" s="34"/>
      <c r="I234" s="34"/>
      <c r="J234" s="34"/>
      <c r="K234" s="41"/>
      <c r="L234" s="41"/>
      <c r="M234" s="35"/>
      <c r="N234" s="35"/>
      <c r="O234" s="35"/>
      <c r="P234" s="32"/>
      <c r="Q234" s="33"/>
      <c r="R234" s="36" t="str">
        <f aca="false">IF(C234="","",SUMIFS('Payment Claims'!$E$2:$E$501,'Payment Claims'!$A$2:$A$501,A234,'Payment Claims'!$B$2:$B$501,C234,'Payment Claims'!$G$2:$G$501,"&lt;&gt;Disputed"))</f>
        <v/>
      </c>
      <c r="S234" s="36" t="str">
        <f aca="false">IF(OR(C234="",G234=""),"",G234-R234)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4"/>
      <c r="H235" s="34"/>
      <c r="I235" s="34"/>
      <c r="J235" s="34"/>
      <c r="K235" s="41"/>
      <c r="L235" s="41"/>
      <c r="M235" s="35"/>
      <c r="N235" s="35"/>
      <c r="O235" s="35"/>
      <c r="P235" s="32"/>
      <c r="Q235" s="33"/>
      <c r="R235" s="36" t="str">
        <f aca="false">IF(C235="","",SUMIFS('Payment Claims'!$E$2:$E$501,'Payment Claims'!$A$2:$A$501,A235,'Payment Claims'!$B$2:$B$501,C235,'Payment Claims'!$G$2:$G$501,"&lt;&gt;Disputed"))</f>
        <v/>
      </c>
      <c r="S235" s="36" t="str">
        <f aca="false">IF(OR(C235="",G235=""),"",G235-R235)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4"/>
      <c r="H236" s="34"/>
      <c r="I236" s="34"/>
      <c r="J236" s="34"/>
      <c r="K236" s="41"/>
      <c r="L236" s="41"/>
      <c r="M236" s="35"/>
      <c r="N236" s="35"/>
      <c r="O236" s="35"/>
      <c r="P236" s="32"/>
      <c r="Q236" s="33"/>
      <c r="R236" s="36" t="str">
        <f aca="false">IF(C236="","",SUMIFS('Payment Claims'!$E$2:$E$501,'Payment Claims'!$A$2:$A$501,A236,'Payment Claims'!$B$2:$B$501,C236,'Payment Claims'!$G$2:$G$501,"&lt;&gt;Disputed"))</f>
        <v/>
      </c>
      <c r="S236" s="36" t="str">
        <f aca="false">IF(OR(C236="",G236=""),"",G236-R236)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4"/>
      <c r="H237" s="34"/>
      <c r="I237" s="34"/>
      <c r="J237" s="34"/>
      <c r="K237" s="41"/>
      <c r="L237" s="41"/>
      <c r="M237" s="35"/>
      <c r="N237" s="35"/>
      <c r="O237" s="35"/>
      <c r="P237" s="32"/>
      <c r="Q237" s="33"/>
      <c r="R237" s="36" t="str">
        <f aca="false">IF(C237="","",SUMIFS('Payment Claims'!$E$2:$E$501,'Payment Claims'!$A$2:$A$501,A237,'Payment Claims'!$B$2:$B$501,C237,'Payment Claims'!$G$2:$G$501,"&lt;&gt;Disputed"))</f>
        <v/>
      </c>
      <c r="S237" s="36" t="str">
        <f aca="false">IF(OR(C237="",G237=""),"",G237-R237)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4"/>
      <c r="H238" s="34"/>
      <c r="I238" s="34"/>
      <c r="J238" s="34"/>
      <c r="K238" s="41"/>
      <c r="L238" s="41"/>
      <c r="M238" s="35"/>
      <c r="N238" s="35"/>
      <c r="O238" s="35"/>
      <c r="P238" s="32"/>
      <c r="Q238" s="33"/>
      <c r="R238" s="36" t="str">
        <f aca="false">IF(C238="","",SUMIFS('Payment Claims'!$E$2:$E$501,'Payment Claims'!$A$2:$A$501,A238,'Payment Claims'!$B$2:$B$501,C238,'Payment Claims'!$G$2:$G$501,"&lt;&gt;Disputed"))</f>
        <v/>
      </c>
      <c r="S238" s="36" t="str">
        <f aca="false">IF(OR(C238="",G238=""),"",G238-R238)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4"/>
      <c r="H239" s="34"/>
      <c r="I239" s="34"/>
      <c r="J239" s="34"/>
      <c r="K239" s="41"/>
      <c r="L239" s="41"/>
      <c r="M239" s="35"/>
      <c r="N239" s="35"/>
      <c r="O239" s="35"/>
      <c r="P239" s="32"/>
      <c r="Q239" s="33"/>
      <c r="R239" s="36" t="str">
        <f aca="false">IF(C239="","",SUMIFS('Payment Claims'!$E$2:$E$501,'Payment Claims'!$A$2:$A$501,A239,'Payment Claims'!$B$2:$B$501,C239,'Payment Claims'!$G$2:$G$501,"&lt;&gt;Disputed"))</f>
        <v/>
      </c>
      <c r="S239" s="36" t="str">
        <f aca="false">IF(OR(C239="",G239=""),"",G239-R239)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4"/>
      <c r="H240" s="34"/>
      <c r="I240" s="34"/>
      <c r="J240" s="34"/>
      <c r="K240" s="41"/>
      <c r="L240" s="41"/>
      <c r="M240" s="35"/>
      <c r="N240" s="35"/>
      <c r="O240" s="35"/>
      <c r="P240" s="32"/>
      <c r="Q240" s="33"/>
      <c r="R240" s="36" t="str">
        <f aca="false">IF(C240="","",SUMIFS('Payment Claims'!$E$2:$E$501,'Payment Claims'!$A$2:$A$501,A240,'Payment Claims'!$B$2:$B$501,C240,'Payment Claims'!$G$2:$G$501,"&lt;&gt;Disputed"))</f>
        <v/>
      </c>
      <c r="S240" s="36" t="str">
        <f aca="false">IF(OR(C240="",G240=""),"",G240-R240)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4"/>
      <c r="H241" s="34"/>
      <c r="I241" s="34"/>
      <c r="J241" s="34"/>
      <c r="K241" s="41"/>
      <c r="L241" s="41"/>
      <c r="M241" s="35"/>
      <c r="N241" s="35"/>
      <c r="O241" s="35"/>
      <c r="P241" s="32"/>
      <c r="Q241" s="33"/>
      <c r="R241" s="36" t="str">
        <f aca="false">IF(C241="","",SUMIFS('Payment Claims'!$E$2:$E$501,'Payment Claims'!$A$2:$A$501,A241,'Payment Claims'!$B$2:$B$501,C241,'Payment Claims'!$G$2:$G$501,"&lt;&gt;Disputed"))</f>
        <v/>
      </c>
      <c r="S241" s="36" t="str">
        <f aca="false">IF(OR(C241="",G241=""),"",G241-R241)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4"/>
      <c r="H242" s="34"/>
      <c r="I242" s="34"/>
      <c r="J242" s="34"/>
      <c r="K242" s="41"/>
      <c r="L242" s="41"/>
      <c r="M242" s="35"/>
      <c r="N242" s="35"/>
      <c r="O242" s="35"/>
      <c r="P242" s="32"/>
      <c r="Q242" s="33"/>
      <c r="R242" s="36" t="str">
        <f aca="false">IF(C242="","",SUMIFS('Payment Claims'!$E$2:$E$501,'Payment Claims'!$A$2:$A$501,A242,'Payment Claims'!$B$2:$B$501,C242,'Payment Claims'!$G$2:$G$501,"&lt;&gt;Disputed"))</f>
        <v/>
      </c>
      <c r="S242" s="36" t="str">
        <f aca="false">IF(OR(C242="",G242=""),"",G242-R242)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4"/>
      <c r="H243" s="34"/>
      <c r="I243" s="34"/>
      <c r="J243" s="34"/>
      <c r="K243" s="41"/>
      <c r="L243" s="41"/>
      <c r="M243" s="35"/>
      <c r="N243" s="35"/>
      <c r="O243" s="35"/>
      <c r="P243" s="32"/>
      <c r="Q243" s="33"/>
      <c r="R243" s="36" t="str">
        <f aca="false">IF(C243="","",SUMIFS('Payment Claims'!$E$2:$E$501,'Payment Claims'!$A$2:$A$501,A243,'Payment Claims'!$B$2:$B$501,C243,'Payment Claims'!$G$2:$G$501,"&lt;&gt;Disputed"))</f>
        <v/>
      </c>
      <c r="S243" s="36" t="str">
        <f aca="false">IF(OR(C243="",G243=""),"",G243-R243)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4"/>
      <c r="H244" s="34"/>
      <c r="I244" s="34"/>
      <c r="J244" s="34"/>
      <c r="K244" s="41"/>
      <c r="L244" s="41"/>
      <c r="M244" s="35"/>
      <c r="N244" s="35"/>
      <c r="O244" s="35"/>
      <c r="P244" s="32"/>
      <c r="Q244" s="33"/>
      <c r="R244" s="36" t="str">
        <f aca="false">IF(C244="","",SUMIFS('Payment Claims'!$E$2:$E$501,'Payment Claims'!$A$2:$A$501,A244,'Payment Claims'!$B$2:$B$501,C244,'Payment Claims'!$G$2:$G$501,"&lt;&gt;Disputed"))</f>
        <v/>
      </c>
      <c r="S244" s="36" t="str">
        <f aca="false">IF(OR(C244="",G244=""),"",G244-R244)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4"/>
      <c r="H245" s="34"/>
      <c r="I245" s="34"/>
      <c r="J245" s="34"/>
      <c r="K245" s="41"/>
      <c r="L245" s="41"/>
      <c r="M245" s="35"/>
      <c r="N245" s="35"/>
      <c r="O245" s="35"/>
      <c r="P245" s="32"/>
      <c r="Q245" s="33"/>
      <c r="R245" s="36" t="str">
        <f aca="false">IF(C245="","",SUMIFS('Payment Claims'!$E$2:$E$501,'Payment Claims'!$A$2:$A$501,A245,'Payment Claims'!$B$2:$B$501,C245,'Payment Claims'!$G$2:$G$501,"&lt;&gt;Disputed"))</f>
        <v/>
      </c>
      <c r="S245" s="36" t="str">
        <f aca="false">IF(OR(C245="",G245=""),"",G245-R245)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4"/>
      <c r="H246" s="34"/>
      <c r="I246" s="34"/>
      <c r="J246" s="34"/>
      <c r="K246" s="41"/>
      <c r="L246" s="41"/>
      <c r="M246" s="35"/>
      <c r="N246" s="35"/>
      <c r="O246" s="35"/>
      <c r="P246" s="32"/>
      <c r="Q246" s="33"/>
      <c r="R246" s="36" t="str">
        <f aca="false">IF(C246="","",SUMIFS('Payment Claims'!$E$2:$E$501,'Payment Claims'!$A$2:$A$501,A246,'Payment Claims'!$B$2:$B$501,C246,'Payment Claims'!$G$2:$G$501,"&lt;&gt;Disputed"))</f>
        <v/>
      </c>
      <c r="S246" s="36" t="str">
        <f aca="false">IF(OR(C246="",G246=""),"",G246-R246)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4"/>
      <c r="H247" s="34"/>
      <c r="I247" s="34"/>
      <c r="J247" s="34"/>
      <c r="K247" s="41"/>
      <c r="L247" s="41"/>
      <c r="M247" s="35"/>
      <c r="N247" s="35"/>
      <c r="O247" s="35"/>
      <c r="P247" s="32"/>
      <c r="Q247" s="33"/>
      <c r="R247" s="36" t="str">
        <f aca="false">IF(C247="","",SUMIFS('Payment Claims'!$E$2:$E$501,'Payment Claims'!$A$2:$A$501,A247,'Payment Claims'!$B$2:$B$501,C247,'Payment Claims'!$G$2:$G$501,"&lt;&gt;Disputed"))</f>
        <v/>
      </c>
      <c r="S247" s="36" t="str">
        <f aca="false">IF(OR(C247="",G247=""),"",G247-R247)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4"/>
      <c r="H248" s="34"/>
      <c r="I248" s="34"/>
      <c r="J248" s="34"/>
      <c r="K248" s="41"/>
      <c r="L248" s="41"/>
      <c r="M248" s="35"/>
      <c r="N248" s="35"/>
      <c r="O248" s="35"/>
      <c r="P248" s="32"/>
      <c r="Q248" s="33"/>
      <c r="R248" s="36" t="str">
        <f aca="false">IF(C248="","",SUMIFS('Payment Claims'!$E$2:$E$501,'Payment Claims'!$A$2:$A$501,A248,'Payment Claims'!$B$2:$B$501,C248,'Payment Claims'!$G$2:$G$501,"&lt;&gt;Disputed"))</f>
        <v/>
      </c>
      <c r="S248" s="36" t="str">
        <f aca="false">IF(OR(C248="",G248=""),"",G248-R248)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4"/>
      <c r="H249" s="34"/>
      <c r="I249" s="34"/>
      <c r="J249" s="34"/>
      <c r="K249" s="41"/>
      <c r="L249" s="41"/>
      <c r="M249" s="35"/>
      <c r="N249" s="35"/>
      <c r="O249" s="35"/>
      <c r="P249" s="32"/>
      <c r="Q249" s="33"/>
      <c r="R249" s="36" t="str">
        <f aca="false">IF(C249="","",SUMIFS('Payment Claims'!$E$2:$E$501,'Payment Claims'!$A$2:$A$501,A249,'Payment Claims'!$B$2:$B$501,C249,'Payment Claims'!$G$2:$G$501,"&lt;&gt;Disputed"))</f>
        <v/>
      </c>
      <c r="S249" s="36" t="str">
        <f aca="false">IF(OR(C249="",G249=""),"",G249-R249)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4"/>
      <c r="H250" s="34"/>
      <c r="I250" s="34"/>
      <c r="J250" s="34"/>
      <c r="K250" s="41"/>
      <c r="L250" s="41"/>
      <c r="M250" s="35"/>
      <c r="N250" s="35"/>
      <c r="O250" s="35"/>
      <c r="P250" s="32"/>
      <c r="Q250" s="33"/>
      <c r="R250" s="36" t="str">
        <f aca="false">IF(C250="","",SUMIFS('Payment Claims'!$E$2:$E$501,'Payment Claims'!$A$2:$A$501,A250,'Payment Claims'!$B$2:$B$501,C250,'Payment Claims'!$G$2:$G$501,"&lt;&gt;Disputed"))</f>
        <v/>
      </c>
      <c r="S250" s="36" t="str">
        <f aca="false">IF(OR(C250="",G250=""),"",G250-R250)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4"/>
      <c r="H251" s="34"/>
      <c r="I251" s="34"/>
      <c r="J251" s="34"/>
      <c r="K251" s="41"/>
      <c r="L251" s="41"/>
      <c r="M251" s="35"/>
      <c r="N251" s="35"/>
      <c r="O251" s="35"/>
      <c r="P251" s="32"/>
      <c r="Q251" s="33"/>
      <c r="R251" s="36" t="str">
        <f aca="false">IF(C251="","",SUMIFS('Payment Claims'!$E$2:$E$501,'Payment Claims'!$A$2:$A$501,A251,'Payment Claims'!$B$2:$B$501,C251,'Payment Claims'!$G$2:$G$501,"&lt;&gt;Disputed"))</f>
        <v/>
      </c>
      <c r="S251" s="36" t="str">
        <f aca="false">IF(OR(C251="",G251=""),"",G251-R251)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4"/>
      <c r="H252" s="34"/>
      <c r="I252" s="34"/>
      <c r="J252" s="34"/>
      <c r="K252" s="41"/>
      <c r="L252" s="41"/>
      <c r="M252" s="35"/>
      <c r="N252" s="35"/>
      <c r="O252" s="35"/>
      <c r="P252" s="32"/>
      <c r="Q252" s="33"/>
      <c r="R252" s="36" t="str">
        <f aca="false">IF(C252="","",SUMIFS('Payment Claims'!$E$2:$E$501,'Payment Claims'!$A$2:$A$501,A252,'Payment Claims'!$B$2:$B$501,C252,'Payment Claims'!$G$2:$G$501,"&lt;&gt;Disputed"))</f>
        <v/>
      </c>
      <c r="S252" s="36" t="str">
        <f aca="false">IF(OR(C252="",G252=""),"",G252-R252)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4"/>
      <c r="H253" s="34"/>
      <c r="I253" s="34"/>
      <c r="J253" s="34"/>
      <c r="K253" s="41"/>
      <c r="L253" s="41"/>
      <c r="M253" s="35"/>
      <c r="N253" s="35"/>
      <c r="O253" s="35"/>
      <c r="P253" s="32"/>
      <c r="Q253" s="33"/>
      <c r="R253" s="36" t="str">
        <f aca="false">IF(C253="","",SUMIFS('Payment Claims'!$E$2:$E$501,'Payment Claims'!$A$2:$A$501,A253,'Payment Claims'!$B$2:$B$501,C253,'Payment Claims'!$G$2:$G$501,"&lt;&gt;Disputed"))</f>
        <v/>
      </c>
      <c r="S253" s="36" t="str">
        <f aca="false">IF(OR(C253="",G253=""),"",G253-R253)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4"/>
      <c r="H254" s="34"/>
      <c r="I254" s="34"/>
      <c r="J254" s="34"/>
      <c r="K254" s="41"/>
      <c r="L254" s="41"/>
      <c r="M254" s="35"/>
      <c r="N254" s="35"/>
      <c r="O254" s="35"/>
      <c r="P254" s="32"/>
      <c r="Q254" s="33"/>
      <c r="R254" s="36" t="str">
        <f aca="false">IF(C254="","",SUMIFS('Payment Claims'!$E$2:$E$501,'Payment Claims'!$A$2:$A$501,A254,'Payment Claims'!$B$2:$B$501,C254,'Payment Claims'!$G$2:$G$501,"&lt;&gt;Disputed"))</f>
        <v/>
      </c>
      <c r="S254" s="36" t="str">
        <f aca="false">IF(OR(C254="",G254=""),"",G254-R254)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4"/>
      <c r="H255" s="34"/>
      <c r="I255" s="34"/>
      <c r="J255" s="34"/>
      <c r="K255" s="41"/>
      <c r="L255" s="41"/>
      <c r="M255" s="35"/>
      <c r="N255" s="35"/>
      <c r="O255" s="35"/>
      <c r="P255" s="32"/>
      <c r="Q255" s="33"/>
      <c r="R255" s="36" t="str">
        <f aca="false">IF(C255="","",SUMIFS('Payment Claims'!$E$2:$E$501,'Payment Claims'!$A$2:$A$501,A255,'Payment Claims'!$B$2:$B$501,C255,'Payment Claims'!$G$2:$G$501,"&lt;&gt;Disputed"))</f>
        <v/>
      </c>
      <c r="S255" s="36" t="str">
        <f aca="false">IF(OR(C255="",G255=""),"",G255-R255)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4"/>
      <c r="H256" s="34"/>
      <c r="I256" s="34"/>
      <c r="J256" s="34"/>
      <c r="K256" s="41"/>
      <c r="L256" s="41"/>
      <c r="M256" s="35"/>
      <c r="N256" s="35"/>
      <c r="O256" s="35"/>
      <c r="P256" s="32"/>
      <c r="Q256" s="33"/>
      <c r="R256" s="36" t="str">
        <f aca="false">IF(C256="","",SUMIFS('Payment Claims'!$E$2:$E$501,'Payment Claims'!$A$2:$A$501,A256,'Payment Claims'!$B$2:$B$501,C256,'Payment Claims'!$G$2:$G$501,"&lt;&gt;Disputed"))</f>
        <v/>
      </c>
      <c r="S256" s="36" t="str">
        <f aca="false">IF(OR(C256="",G256=""),"",G256-R256)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4"/>
      <c r="H257" s="34"/>
      <c r="I257" s="34"/>
      <c r="J257" s="34"/>
      <c r="K257" s="41"/>
      <c r="L257" s="41"/>
      <c r="M257" s="35"/>
      <c r="N257" s="35"/>
      <c r="O257" s="35"/>
      <c r="P257" s="32"/>
      <c r="Q257" s="33"/>
      <c r="R257" s="36" t="str">
        <f aca="false">IF(C257="","",SUMIFS('Payment Claims'!$E$2:$E$501,'Payment Claims'!$A$2:$A$501,A257,'Payment Claims'!$B$2:$B$501,C257,'Payment Claims'!$G$2:$G$501,"&lt;&gt;Disputed"))</f>
        <v/>
      </c>
      <c r="S257" s="36" t="str">
        <f aca="false">IF(OR(C257="",G257=""),"",G257-R257)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4"/>
      <c r="H258" s="34"/>
      <c r="I258" s="34"/>
      <c r="J258" s="34"/>
      <c r="K258" s="41"/>
      <c r="L258" s="41"/>
      <c r="M258" s="35"/>
      <c r="N258" s="35"/>
      <c r="O258" s="35"/>
      <c r="P258" s="32"/>
      <c r="Q258" s="33"/>
      <c r="R258" s="36" t="str">
        <f aca="false">IF(C258="","",SUMIFS('Payment Claims'!$E$2:$E$501,'Payment Claims'!$A$2:$A$501,A258,'Payment Claims'!$B$2:$B$501,C258,'Payment Claims'!$G$2:$G$501,"&lt;&gt;Disputed"))</f>
        <v/>
      </c>
      <c r="S258" s="36" t="str">
        <f aca="false">IF(OR(C258="",G258=""),"",G258-R258)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4"/>
      <c r="H259" s="34"/>
      <c r="I259" s="34"/>
      <c r="J259" s="34"/>
      <c r="K259" s="41"/>
      <c r="L259" s="41"/>
      <c r="M259" s="35"/>
      <c r="N259" s="35"/>
      <c r="O259" s="35"/>
      <c r="P259" s="32"/>
      <c r="Q259" s="33"/>
      <c r="R259" s="36" t="str">
        <f aca="false">IF(C259="","",SUMIFS('Payment Claims'!$E$2:$E$501,'Payment Claims'!$A$2:$A$501,A259,'Payment Claims'!$B$2:$B$501,C259,'Payment Claims'!$G$2:$G$501,"&lt;&gt;Disputed"))</f>
        <v/>
      </c>
      <c r="S259" s="36" t="str">
        <f aca="false">IF(OR(C259="",G259=""),"",G259-R259)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4"/>
      <c r="H260" s="34"/>
      <c r="I260" s="34"/>
      <c r="J260" s="34"/>
      <c r="K260" s="41"/>
      <c r="L260" s="41"/>
      <c r="M260" s="35"/>
      <c r="N260" s="35"/>
      <c r="O260" s="35"/>
      <c r="P260" s="32"/>
      <c r="Q260" s="33"/>
      <c r="R260" s="36" t="str">
        <f aca="false">IF(C260="","",SUMIFS('Payment Claims'!$E$2:$E$501,'Payment Claims'!$A$2:$A$501,A260,'Payment Claims'!$B$2:$B$501,C260,'Payment Claims'!$G$2:$G$501,"&lt;&gt;Disputed"))</f>
        <v/>
      </c>
      <c r="S260" s="36" t="str">
        <f aca="false">IF(OR(C260="",G260=""),"",G260-R260)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4"/>
      <c r="H261" s="34"/>
      <c r="I261" s="34"/>
      <c r="J261" s="34"/>
      <c r="K261" s="41"/>
      <c r="L261" s="41"/>
      <c r="M261" s="35"/>
      <c r="N261" s="35"/>
      <c r="O261" s="35"/>
      <c r="P261" s="32"/>
      <c r="Q261" s="33"/>
      <c r="R261" s="36" t="str">
        <f aca="false">IF(C261="","",SUMIFS('Payment Claims'!$E$2:$E$501,'Payment Claims'!$A$2:$A$501,A261,'Payment Claims'!$B$2:$B$501,C261,'Payment Claims'!$G$2:$G$501,"&lt;&gt;Disputed"))</f>
        <v/>
      </c>
      <c r="S261" s="36" t="str">
        <f aca="false">IF(OR(C261="",G261=""),"",G261-R261)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4"/>
      <c r="H262" s="34"/>
      <c r="I262" s="34"/>
      <c r="J262" s="34"/>
      <c r="K262" s="41"/>
      <c r="L262" s="41"/>
      <c r="M262" s="35"/>
      <c r="N262" s="35"/>
      <c r="O262" s="35"/>
      <c r="P262" s="32"/>
      <c r="Q262" s="33"/>
      <c r="R262" s="36" t="str">
        <f aca="false">IF(C262="","",SUMIFS('Payment Claims'!$E$2:$E$501,'Payment Claims'!$A$2:$A$501,A262,'Payment Claims'!$B$2:$B$501,C262,'Payment Claims'!$G$2:$G$501,"&lt;&gt;Disputed"))</f>
        <v/>
      </c>
      <c r="S262" s="36" t="str">
        <f aca="false">IF(OR(C262="",G262=""),"",G262-R262)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4"/>
      <c r="H263" s="34"/>
      <c r="I263" s="34"/>
      <c r="J263" s="34"/>
      <c r="K263" s="41"/>
      <c r="L263" s="41"/>
      <c r="M263" s="35"/>
      <c r="N263" s="35"/>
      <c r="O263" s="35"/>
      <c r="P263" s="32"/>
      <c r="Q263" s="33"/>
      <c r="R263" s="36" t="str">
        <f aca="false">IF(C263="","",SUMIFS('Payment Claims'!$E$2:$E$501,'Payment Claims'!$A$2:$A$501,A263,'Payment Claims'!$B$2:$B$501,C263,'Payment Claims'!$G$2:$G$501,"&lt;&gt;Disputed"))</f>
        <v/>
      </c>
      <c r="S263" s="36" t="str">
        <f aca="false">IF(OR(C263="",G263=""),"",G263-R263)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4"/>
      <c r="H264" s="34"/>
      <c r="I264" s="34"/>
      <c r="J264" s="34"/>
      <c r="K264" s="41"/>
      <c r="L264" s="41"/>
      <c r="M264" s="35"/>
      <c r="N264" s="35"/>
      <c r="O264" s="35"/>
      <c r="P264" s="32"/>
      <c r="Q264" s="33"/>
      <c r="R264" s="36" t="str">
        <f aca="false">IF(C264="","",SUMIFS('Payment Claims'!$E$2:$E$501,'Payment Claims'!$A$2:$A$501,A264,'Payment Claims'!$B$2:$B$501,C264,'Payment Claims'!$G$2:$G$501,"&lt;&gt;Disputed"))</f>
        <v/>
      </c>
      <c r="S264" s="36" t="str">
        <f aca="false">IF(OR(C264="",G264=""),"",G264-R264)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4"/>
      <c r="H265" s="34"/>
      <c r="I265" s="34"/>
      <c r="J265" s="34"/>
      <c r="K265" s="41"/>
      <c r="L265" s="41"/>
      <c r="M265" s="35"/>
      <c r="N265" s="35"/>
      <c r="O265" s="35"/>
      <c r="P265" s="32"/>
      <c r="Q265" s="33"/>
      <c r="R265" s="36" t="str">
        <f aca="false">IF(C265="","",SUMIFS('Payment Claims'!$E$2:$E$501,'Payment Claims'!$A$2:$A$501,A265,'Payment Claims'!$B$2:$B$501,C265,'Payment Claims'!$G$2:$G$501,"&lt;&gt;Disputed"))</f>
        <v/>
      </c>
      <c r="S265" s="36" t="str">
        <f aca="false">IF(OR(C265="",G265=""),"",G265-R265)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4"/>
      <c r="H266" s="34"/>
      <c r="I266" s="34"/>
      <c r="J266" s="34"/>
      <c r="K266" s="41"/>
      <c r="L266" s="41"/>
      <c r="M266" s="35"/>
      <c r="N266" s="35"/>
      <c r="O266" s="35"/>
      <c r="P266" s="32"/>
      <c r="Q266" s="33"/>
      <c r="R266" s="36" t="str">
        <f aca="false">IF(C266="","",SUMIFS('Payment Claims'!$E$2:$E$501,'Payment Claims'!$A$2:$A$501,A266,'Payment Claims'!$B$2:$B$501,C266,'Payment Claims'!$G$2:$G$501,"&lt;&gt;Disputed"))</f>
        <v/>
      </c>
      <c r="S266" s="36" t="str">
        <f aca="false">IF(OR(C266="",G266=""),"",G266-R266)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4"/>
      <c r="H267" s="34"/>
      <c r="I267" s="34"/>
      <c r="J267" s="34"/>
      <c r="K267" s="41"/>
      <c r="L267" s="41"/>
      <c r="M267" s="35"/>
      <c r="N267" s="35"/>
      <c r="O267" s="35"/>
      <c r="P267" s="32"/>
      <c r="Q267" s="33"/>
      <c r="R267" s="36" t="str">
        <f aca="false">IF(C267="","",SUMIFS('Payment Claims'!$E$2:$E$501,'Payment Claims'!$A$2:$A$501,A267,'Payment Claims'!$B$2:$B$501,C267,'Payment Claims'!$G$2:$G$501,"&lt;&gt;Disputed"))</f>
        <v/>
      </c>
      <c r="S267" s="36" t="str">
        <f aca="false">IF(OR(C267="",G267=""),"",G267-R267)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4"/>
      <c r="H268" s="34"/>
      <c r="I268" s="34"/>
      <c r="J268" s="34"/>
      <c r="K268" s="41"/>
      <c r="L268" s="41"/>
      <c r="M268" s="35"/>
      <c r="N268" s="35"/>
      <c r="O268" s="35"/>
      <c r="P268" s="32"/>
      <c r="Q268" s="33"/>
      <c r="R268" s="36" t="str">
        <f aca="false">IF(C268="","",SUMIFS('Payment Claims'!$E$2:$E$501,'Payment Claims'!$A$2:$A$501,A268,'Payment Claims'!$B$2:$B$501,C268,'Payment Claims'!$G$2:$G$501,"&lt;&gt;Disputed"))</f>
        <v/>
      </c>
      <c r="S268" s="36" t="str">
        <f aca="false">IF(OR(C268="",G268=""),"",G268-R268)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4"/>
      <c r="H269" s="34"/>
      <c r="I269" s="34"/>
      <c r="J269" s="34"/>
      <c r="K269" s="41"/>
      <c r="L269" s="41"/>
      <c r="M269" s="35"/>
      <c r="N269" s="35"/>
      <c r="O269" s="35"/>
      <c r="P269" s="32"/>
      <c r="Q269" s="33"/>
      <c r="R269" s="36" t="str">
        <f aca="false">IF(C269="","",SUMIFS('Payment Claims'!$E$2:$E$501,'Payment Claims'!$A$2:$A$501,A269,'Payment Claims'!$B$2:$B$501,C269,'Payment Claims'!$G$2:$G$501,"&lt;&gt;Disputed"))</f>
        <v/>
      </c>
      <c r="S269" s="36" t="str">
        <f aca="false">IF(OR(C269="",G269=""),"",G269-R269)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4"/>
      <c r="H270" s="34"/>
      <c r="I270" s="34"/>
      <c r="J270" s="34"/>
      <c r="K270" s="41"/>
      <c r="L270" s="41"/>
      <c r="M270" s="35"/>
      <c r="N270" s="35"/>
      <c r="O270" s="35"/>
      <c r="P270" s="32"/>
      <c r="Q270" s="33"/>
      <c r="R270" s="36" t="str">
        <f aca="false">IF(C270="","",SUMIFS('Payment Claims'!$E$2:$E$501,'Payment Claims'!$A$2:$A$501,A270,'Payment Claims'!$B$2:$B$501,C270,'Payment Claims'!$G$2:$G$501,"&lt;&gt;Disputed"))</f>
        <v/>
      </c>
      <c r="S270" s="36" t="str">
        <f aca="false">IF(OR(C270="",G270=""),"",G270-R270)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4"/>
      <c r="H271" s="34"/>
      <c r="I271" s="34"/>
      <c r="J271" s="34"/>
      <c r="K271" s="41"/>
      <c r="L271" s="41"/>
      <c r="M271" s="35"/>
      <c r="N271" s="35"/>
      <c r="O271" s="35"/>
      <c r="P271" s="32"/>
      <c r="Q271" s="33"/>
      <c r="R271" s="36" t="str">
        <f aca="false">IF(C271="","",SUMIFS('Payment Claims'!$E$2:$E$501,'Payment Claims'!$A$2:$A$501,A271,'Payment Claims'!$B$2:$B$501,C271,'Payment Claims'!$G$2:$G$501,"&lt;&gt;Disputed"))</f>
        <v/>
      </c>
      <c r="S271" s="36" t="str">
        <f aca="false">IF(OR(C271="",G271=""),"",G271-R271)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4"/>
      <c r="H272" s="34"/>
      <c r="I272" s="34"/>
      <c r="J272" s="34"/>
      <c r="K272" s="41"/>
      <c r="L272" s="41"/>
      <c r="M272" s="35"/>
      <c r="N272" s="35"/>
      <c r="O272" s="35"/>
      <c r="P272" s="32"/>
      <c r="Q272" s="33"/>
      <c r="R272" s="36" t="str">
        <f aca="false">IF(C272="","",SUMIFS('Payment Claims'!$E$2:$E$501,'Payment Claims'!$A$2:$A$501,A272,'Payment Claims'!$B$2:$B$501,C272,'Payment Claims'!$G$2:$G$501,"&lt;&gt;Disputed"))</f>
        <v/>
      </c>
      <c r="S272" s="36" t="str">
        <f aca="false">IF(OR(C272="",G272=""),"",G272-R272)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4"/>
      <c r="H273" s="34"/>
      <c r="I273" s="34"/>
      <c r="J273" s="34"/>
      <c r="K273" s="41"/>
      <c r="L273" s="41"/>
      <c r="M273" s="35"/>
      <c r="N273" s="35"/>
      <c r="O273" s="35"/>
      <c r="P273" s="32"/>
      <c r="Q273" s="33"/>
      <c r="R273" s="36" t="str">
        <f aca="false">IF(C273="","",SUMIFS('Payment Claims'!$E$2:$E$501,'Payment Claims'!$A$2:$A$501,A273,'Payment Claims'!$B$2:$B$501,C273,'Payment Claims'!$G$2:$G$501,"&lt;&gt;Disputed"))</f>
        <v/>
      </c>
      <c r="S273" s="36" t="str">
        <f aca="false">IF(OR(C273="",G273=""),"",G273-R273)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4"/>
      <c r="H274" s="34"/>
      <c r="I274" s="34"/>
      <c r="J274" s="34"/>
      <c r="K274" s="41"/>
      <c r="L274" s="41"/>
      <c r="M274" s="35"/>
      <c r="N274" s="35"/>
      <c r="O274" s="35"/>
      <c r="P274" s="32"/>
      <c r="Q274" s="33"/>
      <c r="R274" s="36" t="str">
        <f aca="false">IF(C274="","",SUMIFS('Payment Claims'!$E$2:$E$501,'Payment Claims'!$A$2:$A$501,A274,'Payment Claims'!$B$2:$B$501,C274,'Payment Claims'!$G$2:$G$501,"&lt;&gt;Disputed"))</f>
        <v/>
      </c>
      <c r="S274" s="36" t="str">
        <f aca="false">IF(OR(C274="",G274=""),"",G274-R274)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4"/>
      <c r="H275" s="34"/>
      <c r="I275" s="34"/>
      <c r="J275" s="34"/>
      <c r="K275" s="41"/>
      <c r="L275" s="41"/>
      <c r="M275" s="35"/>
      <c r="N275" s="35"/>
      <c r="O275" s="35"/>
      <c r="P275" s="32"/>
      <c r="Q275" s="33"/>
      <c r="R275" s="36" t="str">
        <f aca="false">IF(C275="","",SUMIFS('Payment Claims'!$E$2:$E$501,'Payment Claims'!$A$2:$A$501,A275,'Payment Claims'!$B$2:$B$501,C275,'Payment Claims'!$G$2:$G$501,"&lt;&gt;Disputed"))</f>
        <v/>
      </c>
      <c r="S275" s="36" t="str">
        <f aca="false">IF(OR(C275="",G275=""),"",G275-R275)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4"/>
      <c r="H276" s="34"/>
      <c r="I276" s="34"/>
      <c r="J276" s="34"/>
      <c r="K276" s="41"/>
      <c r="L276" s="41"/>
      <c r="M276" s="35"/>
      <c r="N276" s="35"/>
      <c r="O276" s="35"/>
      <c r="P276" s="32"/>
      <c r="Q276" s="33"/>
      <c r="R276" s="36" t="str">
        <f aca="false">IF(C276="","",SUMIFS('Payment Claims'!$E$2:$E$501,'Payment Claims'!$A$2:$A$501,A276,'Payment Claims'!$B$2:$B$501,C276,'Payment Claims'!$G$2:$G$501,"&lt;&gt;Disputed"))</f>
        <v/>
      </c>
      <c r="S276" s="36" t="str">
        <f aca="false">IF(OR(C276="",G276=""),"",G276-R276)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4"/>
      <c r="H277" s="34"/>
      <c r="I277" s="34"/>
      <c r="J277" s="34"/>
      <c r="K277" s="41"/>
      <c r="L277" s="41"/>
      <c r="M277" s="35"/>
      <c r="N277" s="35"/>
      <c r="O277" s="35"/>
      <c r="P277" s="32"/>
      <c r="Q277" s="33"/>
      <c r="R277" s="36" t="str">
        <f aca="false">IF(C277="","",SUMIFS('Payment Claims'!$E$2:$E$501,'Payment Claims'!$A$2:$A$501,A277,'Payment Claims'!$B$2:$B$501,C277,'Payment Claims'!$G$2:$G$501,"&lt;&gt;Disputed"))</f>
        <v/>
      </c>
      <c r="S277" s="36" t="str">
        <f aca="false">IF(OR(C277="",G277=""),"",G277-R277)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4"/>
      <c r="H278" s="34"/>
      <c r="I278" s="34"/>
      <c r="J278" s="34"/>
      <c r="K278" s="41"/>
      <c r="L278" s="41"/>
      <c r="M278" s="35"/>
      <c r="N278" s="35"/>
      <c r="O278" s="35"/>
      <c r="P278" s="32"/>
      <c r="Q278" s="33"/>
      <c r="R278" s="36" t="str">
        <f aca="false">IF(C278="","",SUMIFS('Payment Claims'!$E$2:$E$501,'Payment Claims'!$A$2:$A$501,A278,'Payment Claims'!$B$2:$B$501,C278,'Payment Claims'!$G$2:$G$501,"&lt;&gt;Disputed"))</f>
        <v/>
      </c>
      <c r="S278" s="36" t="str">
        <f aca="false">IF(OR(C278="",G278=""),"",G278-R278)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4"/>
      <c r="H279" s="34"/>
      <c r="I279" s="34"/>
      <c r="J279" s="34"/>
      <c r="K279" s="41"/>
      <c r="L279" s="41"/>
      <c r="M279" s="35"/>
      <c r="N279" s="35"/>
      <c r="O279" s="35"/>
      <c r="P279" s="32"/>
      <c r="Q279" s="33"/>
      <c r="R279" s="36" t="str">
        <f aca="false">IF(C279="","",SUMIFS('Payment Claims'!$E$2:$E$501,'Payment Claims'!$A$2:$A$501,A279,'Payment Claims'!$B$2:$B$501,C279,'Payment Claims'!$G$2:$G$501,"&lt;&gt;Disputed"))</f>
        <v/>
      </c>
      <c r="S279" s="36" t="str">
        <f aca="false">IF(OR(C279="",G279=""),"",G279-R279)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4"/>
      <c r="H280" s="34"/>
      <c r="I280" s="34"/>
      <c r="J280" s="34"/>
      <c r="K280" s="41"/>
      <c r="L280" s="41"/>
      <c r="M280" s="35"/>
      <c r="N280" s="35"/>
      <c r="O280" s="35"/>
      <c r="P280" s="32"/>
      <c r="Q280" s="33"/>
      <c r="R280" s="36" t="str">
        <f aca="false">IF(C280="","",SUMIFS('Payment Claims'!$E$2:$E$501,'Payment Claims'!$A$2:$A$501,A280,'Payment Claims'!$B$2:$B$501,C280,'Payment Claims'!$G$2:$G$501,"&lt;&gt;Disputed"))</f>
        <v/>
      </c>
      <c r="S280" s="36" t="str">
        <f aca="false">IF(OR(C280="",G280=""),"",G280-R280)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4"/>
      <c r="H281" s="34"/>
      <c r="I281" s="34"/>
      <c r="J281" s="34"/>
      <c r="K281" s="41"/>
      <c r="L281" s="41"/>
      <c r="M281" s="35"/>
      <c r="N281" s="35"/>
      <c r="O281" s="35"/>
      <c r="P281" s="32"/>
      <c r="Q281" s="33"/>
      <c r="R281" s="36" t="str">
        <f aca="false">IF(C281="","",SUMIFS('Payment Claims'!$E$2:$E$501,'Payment Claims'!$A$2:$A$501,A281,'Payment Claims'!$B$2:$B$501,C281,'Payment Claims'!$G$2:$G$501,"&lt;&gt;Disputed"))</f>
        <v/>
      </c>
      <c r="S281" s="36" t="str">
        <f aca="false">IF(OR(C281="",G281=""),"",G281-R281)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4"/>
      <c r="H282" s="34"/>
      <c r="I282" s="34"/>
      <c r="J282" s="34"/>
      <c r="K282" s="41"/>
      <c r="L282" s="41"/>
      <c r="M282" s="35"/>
      <c r="N282" s="35"/>
      <c r="O282" s="35"/>
      <c r="P282" s="32"/>
      <c r="Q282" s="33"/>
      <c r="R282" s="36" t="str">
        <f aca="false">IF(C282="","",SUMIFS('Payment Claims'!$E$2:$E$501,'Payment Claims'!$A$2:$A$501,A282,'Payment Claims'!$B$2:$B$501,C282,'Payment Claims'!$G$2:$G$501,"&lt;&gt;Disputed"))</f>
        <v/>
      </c>
      <c r="S282" s="36" t="str">
        <f aca="false">IF(OR(C282="",G282=""),"",G282-R282)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4"/>
      <c r="H283" s="34"/>
      <c r="I283" s="34"/>
      <c r="J283" s="34"/>
      <c r="K283" s="41"/>
      <c r="L283" s="41"/>
      <c r="M283" s="35"/>
      <c r="N283" s="35"/>
      <c r="O283" s="35"/>
      <c r="P283" s="32"/>
      <c r="Q283" s="33"/>
      <c r="R283" s="36" t="str">
        <f aca="false">IF(C283="","",SUMIFS('Payment Claims'!$E$2:$E$501,'Payment Claims'!$A$2:$A$501,A283,'Payment Claims'!$B$2:$B$501,C283,'Payment Claims'!$G$2:$G$501,"&lt;&gt;Disputed"))</f>
        <v/>
      </c>
      <c r="S283" s="36" t="str">
        <f aca="false">IF(OR(C283="",G283=""),"",G283-R283)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4"/>
      <c r="H284" s="34"/>
      <c r="I284" s="34"/>
      <c r="J284" s="34"/>
      <c r="K284" s="41"/>
      <c r="L284" s="41"/>
      <c r="M284" s="35"/>
      <c r="N284" s="35"/>
      <c r="O284" s="35"/>
      <c r="P284" s="32"/>
      <c r="Q284" s="33"/>
      <c r="R284" s="36" t="str">
        <f aca="false">IF(C284="","",SUMIFS('Payment Claims'!$E$2:$E$501,'Payment Claims'!$A$2:$A$501,A284,'Payment Claims'!$B$2:$B$501,C284,'Payment Claims'!$G$2:$G$501,"&lt;&gt;Disputed"))</f>
        <v/>
      </c>
      <c r="S284" s="36" t="str">
        <f aca="false">IF(OR(C284="",G284=""),"",G284-R284)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4"/>
      <c r="H285" s="34"/>
      <c r="I285" s="34"/>
      <c r="J285" s="34"/>
      <c r="K285" s="41"/>
      <c r="L285" s="41"/>
      <c r="M285" s="35"/>
      <c r="N285" s="35"/>
      <c r="O285" s="35"/>
      <c r="P285" s="32"/>
      <c r="Q285" s="33"/>
      <c r="R285" s="36" t="str">
        <f aca="false">IF(C285="","",SUMIFS('Payment Claims'!$E$2:$E$501,'Payment Claims'!$A$2:$A$501,A285,'Payment Claims'!$B$2:$B$501,C285,'Payment Claims'!$G$2:$G$501,"&lt;&gt;Disputed"))</f>
        <v/>
      </c>
      <c r="S285" s="36" t="str">
        <f aca="false">IF(OR(C285="",G285=""),"",G285-R285)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4"/>
      <c r="H286" s="34"/>
      <c r="I286" s="34"/>
      <c r="J286" s="34"/>
      <c r="K286" s="41"/>
      <c r="L286" s="41"/>
      <c r="M286" s="35"/>
      <c r="N286" s="35"/>
      <c r="O286" s="35"/>
      <c r="P286" s="32"/>
      <c r="Q286" s="33"/>
      <c r="R286" s="36" t="str">
        <f aca="false">IF(C286="","",SUMIFS('Payment Claims'!$E$2:$E$501,'Payment Claims'!$A$2:$A$501,A286,'Payment Claims'!$B$2:$B$501,C286,'Payment Claims'!$G$2:$G$501,"&lt;&gt;Disputed"))</f>
        <v/>
      </c>
      <c r="S286" s="36" t="str">
        <f aca="false">IF(OR(C286="",G286=""),"",G286-R286)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4"/>
      <c r="H287" s="34"/>
      <c r="I287" s="34"/>
      <c r="J287" s="34"/>
      <c r="K287" s="41"/>
      <c r="L287" s="41"/>
      <c r="M287" s="35"/>
      <c r="N287" s="35"/>
      <c r="O287" s="35"/>
      <c r="P287" s="32"/>
      <c r="Q287" s="33"/>
      <c r="R287" s="36" t="str">
        <f aca="false">IF(C287="","",SUMIFS('Payment Claims'!$E$2:$E$501,'Payment Claims'!$A$2:$A$501,A287,'Payment Claims'!$B$2:$B$501,C287,'Payment Claims'!$G$2:$G$501,"&lt;&gt;Disputed"))</f>
        <v/>
      </c>
      <c r="S287" s="36" t="str">
        <f aca="false">IF(OR(C287="",G287=""),"",G287-R287)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4"/>
      <c r="H288" s="34"/>
      <c r="I288" s="34"/>
      <c r="J288" s="34"/>
      <c r="K288" s="41"/>
      <c r="L288" s="41"/>
      <c r="M288" s="35"/>
      <c r="N288" s="35"/>
      <c r="O288" s="35"/>
      <c r="P288" s="32"/>
      <c r="Q288" s="33"/>
      <c r="R288" s="36" t="str">
        <f aca="false">IF(C288="","",SUMIFS('Payment Claims'!$E$2:$E$501,'Payment Claims'!$A$2:$A$501,A288,'Payment Claims'!$B$2:$B$501,C288,'Payment Claims'!$G$2:$G$501,"&lt;&gt;Disputed"))</f>
        <v/>
      </c>
      <c r="S288" s="36" t="str">
        <f aca="false">IF(OR(C288="",G288=""),"",G288-R288)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4"/>
      <c r="H289" s="34"/>
      <c r="I289" s="34"/>
      <c r="J289" s="34"/>
      <c r="K289" s="41"/>
      <c r="L289" s="41"/>
      <c r="M289" s="35"/>
      <c r="N289" s="35"/>
      <c r="O289" s="35"/>
      <c r="P289" s="32"/>
      <c r="Q289" s="33"/>
      <c r="R289" s="36" t="str">
        <f aca="false">IF(C289="","",SUMIFS('Payment Claims'!$E$2:$E$501,'Payment Claims'!$A$2:$A$501,A289,'Payment Claims'!$B$2:$B$501,C289,'Payment Claims'!$G$2:$G$501,"&lt;&gt;Disputed"))</f>
        <v/>
      </c>
      <c r="S289" s="36" t="str">
        <f aca="false">IF(OR(C289="",G289=""),"",G289-R289)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4"/>
      <c r="H290" s="34"/>
      <c r="I290" s="34"/>
      <c r="J290" s="34"/>
      <c r="K290" s="41"/>
      <c r="L290" s="41"/>
      <c r="M290" s="35"/>
      <c r="N290" s="35"/>
      <c r="O290" s="35"/>
      <c r="P290" s="32"/>
      <c r="Q290" s="33"/>
      <c r="R290" s="36" t="str">
        <f aca="false">IF(C290="","",SUMIFS('Payment Claims'!$E$2:$E$501,'Payment Claims'!$A$2:$A$501,A290,'Payment Claims'!$B$2:$B$501,C290,'Payment Claims'!$G$2:$G$501,"&lt;&gt;Disputed"))</f>
        <v/>
      </c>
      <c r="S290" s="36" t="str">
        <f aca="false">IF(OR(C290="",G290=""),"",G290-R290)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4"/>
      <c r="H291" s="34"/>
      <c r="I291" s="34"/>
      <c r="J291" s="34"/>
      <c r="K291" s="41"/>
      <c r="L291" s="41"/>
      <c r="M291" s="35"/>
      <c r="N291" s="35"/>
      <c r="O291" s="35"/>
      <c r="P291" s="32"/>
      <c r="Q291" s="33"/>
      <c r="R291" s="36" t="str">
        <f aca="false">IF(C291="","",SUMIFS('Payment Claims'!$E$2:$E$501,'Payment Claims'!$A$2:$A$501,A291,'Payment Claims'!$B$2:$B$501,C291,'Payment Claims'!$G$2:$G$501,"&lt;&gt;Disputed"))</f>
        <v/>
      </c>
      <c r="S291" s="36" t="str">
        <f aca="false">IF(OR(C291="",G291=""),"",G291-R291)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4"/>
      <c r="H292" s="34"/>
      <c r="I292" s="34"/>
      <c r="J292" s="34"/>
      <c r="K292" s="41"/>
      <c r="L292" s="41"/>
      <c r="M292" s="35"/>
      <c r="N292" s="35"/>
      <c r="O292" s="35"/>
      <c r="P292" s="32"/>
      <c r="Q292" s="33"/>
      <c r="R292" s="36" t="str">
        <f aca="false">IF(C292="","",SUMIFS('Payment Claims'!$E$2:$E$501,'Payment Claims'!$A$2:$A$501,A292,'Payment Claims'!$B$2:$B$501,C292,'Payment Claims'!$G$2:$G$501,"&lt;&gt;Disputed"))</f>
        <v/>
      </c>
      <c r="S292" s="36" t="str">
        <f aca="false">IF(OR(C292="",G292=""),"",G292-R292)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4"/>
      <c r="H293" s="34"/>
      <c r="I293" s="34"/>
      <c r="J293" s="34"/>
      <c r="K293" s="41"/>
      <c r="L293" s="41"/>
      <c r="M293" s="35"/>
      <c r="N293" s="35"/>
      <c r="O293" s="35"/>
      <c r="P293" s="32"/>
      <c r="Q293" s="33"/>
      <c r="R293" s="36" t="str">
        <f aca="false">IF(C293="","",SUMIFS('Payment Claims'!$E$2:$E$501,'Payment Claims'!$A$2:$A$501,A293,'Payment Claims'!$B$2:$B$501,C293,'Payment Claims'!$G$2:$G$501,"&lt;&gt;Disputed"))</f>
        <v/>
      </c>
      <c r="S293" s="36" t="str">
        <f aca="false">IF(OR(C293="",G293=""),"",G293-R293)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4"/>
      <c r="H294" s="34"/>
      <c r="I294" s="34"/>
      <c r="J294" s="34"/>
      <c r="K294" s="41"/>
      <c r="L294" s="41"/>
      <c r="M294" s="35"/>
      <c r="N294" s="35"/>
      <c r="O294" s="35"/>
      <c r="P294" s="32"/>
      <c r="Q294" s="33"/>
      <c r="R294" s="36" t="str">
        <f aca="false">IF(C294="","",SUMIFS('Payment Claims'!$E$2:$E$501,'Payment Claims'!$A$2:$A$501,A294,'Payment Claims'!$B$2:$B$501,C294,'Payment Claims'!$G$2:$G$501,"&lt;&gt;Disputed"))</f>
        <v/>
      </c>
      <c r="S294" s="36" t="str">
        <f aca="false">IF(OR(C294="",G294=""),"",G294-R294)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4"/>
      <c r="H295" s="34"/>
      <c r="I295" s="34"/>
      <c r="J295" s="34"/>
      <c r="K295" s="41"/>
      <c r="L295" s="41"/>
      <c r="M295" s="35"/>
      <c r="N295" s="35"/>
      <c r="O295" s="35"/>
      <c r="P295" s="32"/>
      <c r="Q295" s="33"/>
      <c r="R295" s="36" t="str">
        <f aca="false">IF(C295="","",SUMIFS('Payment Claims'!$E$2:$E$501,'Payment Claims'!$A$2:$A$501,A295,'Payment Claims'!$B$2:$B$501,C295,'Payment Claims'!$G$2:$G$501,"&lt;&gt;Disputed"))</f>
        <v/>
      </c>
      <c r="S295" s="36" t="str">
        <f aca="false">IF(OR(C295="",G295=""),"",G295-R295)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4"/>
      <c r="H296" s="34"/>
      <c r="I296" s="34"/>
      <c r="J296" s="34"/>
      <c r="K296" s="41"/>
      <c r="L296" s="41"/>
      <c r="M296" s="35"/>
      <c r="N296" s="35"/>
      <c r="O296" s="35"/>
      <c r="P296" s="32"/>
      <c r="Q296" s="33"/>
      <c r="R296" s="36" t="str">
        <f aca="false">IF(C296="","",SUMIFS('Payment Claims'!$E$2:$E$501,'Payment Claims'!$A$2:$A$501,A296,'Payment Claims'!$B$2:$B$501,C296,'Payment Claims'!$G$2:$G$501,"&lt;&gt;Disputed"))</f>
        <v/>
      </c>
      <c r="S296" s="36" t="str">
        <f aca="false">IF(OR(C296="",G296=""),"",G296-R296)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4"/>
      <c r="H297" s="34"/>
      <c r="I297" s="34"/>
      <c r="J297" s="34"/>
      <c r="K297" s="41"/>
      <c r="L297" s="41"/>
      <c r="M297" s="35"/>
      <c r="N297" s="35"/>
      <c r="O297" s="35"/>
      <c r="P297" s="32"/>
      <c r="Q297" s="33"/>
      <c r="R297" s="36" t="str">
        <f aca="false">IF(C297="","",SUMIFS('Payment Claims'!$E$2:$E$501,'Payment Claims'!$A$2:$A$501,A297,'Payment Claims'!$B$2:$B$501,C297,'Payment Claims'!$G$2:$G$501,"&lt;&gt;Disputed"))</f>
        <v/>
      </c>
      <c r="S297" s="36" t="str">
        <f aca="false">IF(OR(C297="",G297=""),"",G297-R297)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4"/>
      <c r="H298" s="34"/>
      <c r="I298" s="34"/>
      <c r="J298" s="34"/>
      <c r="K298" s="41"/>
      <c r="L298" s="41"/>
      <c r="M298" s="35"/>
      <c r="N298" s="35"/>
      <c r="O298" s="35"/>
      <c r="P298" s="32"/>
      <c r="Q298" s="33"/>
      <c r="R298" s="36" t="str">
        <f aca="false">IF(C298="","",SUMIFS('Payment Claims'!$E$2:$E$501,'Payment Claims'!$A$2:$A$501,A298,'Payment Claims'!$B$2:$B$501,C298,'Payment Claims'!$G$2:$G$501,"&lt;&gt;Disputed"))</f>
        <v/>
      </c>
      <c r="S298" s="36" t="str">
        <f aca="false">IF(OR(C298="",G298=""),"",G298-R298)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4"/>
      <c r="H299" s="34"/>
      <c r="I299" s="34"/>
      <c r="J299" s="34"/>
      <c r="K299" s="41"/>
      <c r="L299" s="41"/>
      <c r="M299" s="35"/>
      <c r="N299" s="35"/>
      <c r="O299" s="35"/>
      <c r="P299" s="32"/>
      <c r="Q299" s="33"/>
      <c r="R299" s="36" t="str">
        <f aca="false">IF(C299="","",SUMIFS('Payment Claims'!$E$2:$E$501,'Payment Claims'!$A$2:$A$501,A299,'Payment Claims'!$B$2:$B$501,C299,'Payment Claims'!$G$2:$G$501,"&lt;&gt;Disputed"))</f>
        <v/>
      </c>
      <c r="S299" s="36" t="str">
        <f aca="false">IF(OR(C299="",G299=""),"",G299-R299)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4"/>
      <c r="H300" s="34"/>
      <c r="I300" s="34"/>
      <c r="J300" s="34"/>
      <c r="K300" s="41"/>
      <c r="L300" s="41"/>
      <c r="M300" s="35"/>
      <c r="N300" s="35"/>
      <c r="O300" s="35"/>
      <c r="P300" s="32"/>
      <c r="Q300" s="33"/>
      <c r="R300" s="36" t="str">
        <f aca="false">IF(C300="","",SUMIFS('Payment Claims'!$E$2:$E$501,'Payment Claims'!$A$2:$A$501,A300,'Payment Claims'!$B$2:$B$501,C300,'Payment Claims'!$G$2:$G$501,"&lt;&gt;Disputed"))</f>
        <v/>
      </c>
      <c r="S300" s="36" t="str">
        <f aca="false">IF(OR(C300="",G300=""),"",G300-R300)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4"/>
      <c r="H301" s="34"/>
      <c r="I301" s="34"/>
      <c r="J301" s="34"/>
      <c r="K301" s="41"/>
      <c r="L301" s="41"/>
      <c r="M301" s="35"/>
      <c r="N301" s="35"/>
      <c r="O301" s="35"/>
      <c r="P301" s="32"/>
      <c r="Q301" s="33"/>
      <c r="R301" s="36" t="str">
        <f aca="false">IF(C301="","",SUMIFS('Payment Claims'!$E$2:$E$501,'Payment Claims'!$A$2:$A$501,A301,'Payment Claims'!$B$2:$B$501,C301,'Payment Claims'!$G$2:$G$501,"&lt;&gt;Disputed"))</f>
        <v/>
      </c>
      <c r="S301" s="36" t="str">
        <f aca="false">IF(OR(C301="",G301=""),"",G301-R301)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4"/>
      <c r="H302" s="34"/>
      <c r="I302" s="34"/>
      <c r="J302" s="34"/>
      <c r="K302" s="41"/>
      <c r="L302" s="41"/>
      <c r="M302" s="35"/>
      <c r="N302" s="35"/>
      <c r="O302" s="35"/>
      <c r="P302" s="32"/>
      <c r="Q302" s="33"/>
      <c r="R302" s="36" t="str">
        <f aca="false">IF(C302="","",SUMIFS('Payment Claims'!$E$2:$E$501,'Payment Claims'!$A$2:$A$501,A302,'Payment Claims'!$B$2:$B$501,C302,'Payment Claims'!$G$2:$G$501,"&lt;&gt;Disputed"))</f>
        <v/>
      </c>
      <c r="S302" s="36" t="str">
        <f aca="false">IF(OR(C302="",G302=""),"",G302-R302)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4"/>
      <c r="H303" s="34"/>
      <c r="I303" s="34"/>
      <c r="J303" s="34"/>
      <c r="K303" s="41"/>
      <c r="L303" s="41"/>
      <c r="M303" s="35"/>
      <c r="N303" s="35"/>
      <c r="O303" s="35"/>
      <c r="P303" s="32"/>
      <c r="Q303" s="33"/>
      <c r="R303" s="36" t="str">
        <f aca="false">IF(C303="","",SUMIFS('Payment Claims'!$E$2:$E$501,'Payment Claims'!$A$2:$A$501,A303,'Payment Claims'!$B$2:$B$501,C303,'Payment Claims'!$G$2:$G$501,"&lt;&gt;Disputed"))</f>
        <v/>
      </c>
      <c r="S303" s="36" t="str">
        <f aca="false">IF(OR(C303="",G303=""),"",G303-R303)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4"/>
      <c r="H304" s="34"/>
      <c r="I304" s="34"/>
      <c r="J304" s="34"/>
      <c r="K304" s="41"/>
      <c r="L304" s="41"/>
      <c r="M304" s="35"/>
      <c r="N304" s="35"/>
      <c r="O304" s="35"/>
      <c r="P304" s="32"/>
      <c r="Q304" s="33"/>
      <c r="R304" s="36" t="str">
        <f aca="false">IF(C304="","",SUMIFS('Payment Claims'!$E$2:$E$501,'Payment Claims'!$A$2:$A$501,A304,'Payment Claims'!$B$2:$B$501,C304,'Payment Claims'!$G$2:$G$501,"&lt;&gt;Disputed"))</f>
        <v/>
      </c>
      <c r="S304" s="36" t="str">
        <f aca="false">IF(OR(C304="",G304=""),"",G304-R304)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4"/>
      <c r="H305" s="34"/>
      <c r="I305" s="34"/>
      <c r="J305" s="34"/>
      <c r="K305" s="41"/>
      <c r="L305" s="41"/>
      <c r="M305" s="35"/>
      <c r="N305" s="35"/>
      <c r="O305" s="35"/>
      <c r="P305" s="32"/>
      <c r="Q305" s="33"/>
      <c r="R305" s="36" t="str">
        <f aca="false">IF(C305="","",SUMIFS('Payment Claims'!$E$2:$E$501,'Payment Claims'!$A$2:$A$501,A305,'Payment Claims'!$B$2:$B$501,C305,'Payment Claims'!$G$2:$G$501,"&lt;&gt;Disputed"))</f>
        <v/>
      </c>
      <c r="S305" s="36" t="str">
        <f aca="false">IF(OR(C305="",G305=""),"",G305-R305)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4"/>
      <c r="H306" s="34"/>
      <c r="I306" s="34"/>
      <c r="J306" s="34"/>
      <c r="K306" s="41"/>
      <c r="L306" s="41"/>
      <c r="M306" s="35"/>
      <c r="N306" s="35"/>
      <c r="O306" s="35"/>
      <c r="P306" s="32"/>
      <c r="Q306" s="33"/>
      <c r="R306" s="36" t="str">
        <f aca="false">IF(C306="","",SUMIFS('Payment Claims'!$E$2:$E$501,'Payment Claims'!$A$2:$A$501,A306,'Payment Claims'!$B$2:$B$501,C306,'Payment Claims'!$G$2:$G$501,"&lt;&gt;Disputed"))</f>
        <v/>
      </c>
      <c r="S306" s="36" t="str">
        <f aca="false">IF(OR(C306="",G306=""),"",G306-R306)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4"/>
      <c r="H307" s="34"/>
      <c r="I307" s="34"/>
      <c r="J307" s="34"/>
      <c r="K307" s="41"/>
      <c r="L307" s="41"/>
      <c r="M307" s="35"/>
      <c r="N307" s="35"/>
      <c r="O307" s="35"/>
      <c r="P307" s="32"/>
      <c r="Q307" s="33"/>
      <c r="R307" s="36" t="str">
        <f aca="false">IF(C307="","",SUMIFS('Payment Claims'!$E$2:$E$501,'Payment Claims'!$A$2:$A$501,A307,'Payment Claims'!$B$2:$B$501,C307,'Payment Claims'!$G$2:$G$501,"&lt;&gt;Disputed"))</f>
        <v/>
      </c>
      <c r="S307" s="36" t="str">
        <f aca="false">IF(OR(C307="",G307=""),"",G307-R307)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4"/>
      <c r="H308" s="34"/>
      <c r="I308" s="34"/>
      <c r="J308" s="34"/>
      <c r="K308" s="41"/>
      <c r="L308" s="41"/>
      <c r="M308" s="35"/>
      <c r="N308" s="35"/>
      <c r="O308" s="35"/>
      <c r="P308" s="32"/>
      <c r="Q308" s="33"/>
      <c r="R308" s="36" t="str">
        <f aca="false">IF(C308="","",SUMIFS('Payment Claims'!$E$2:$E$501,'Payment Claims'!$A$2:$A$501,A308,'Payment Claims'!$B$2:$B$501,C308,'Payment Claims'!$G$2:$G$501,"&lt;&gt;Disputed"))</f>
        <v/>
      </c>
      <c r="S308" s="36" t="str">
        <f aca="false">IF(OR(C308="",G308=""),"",G308-R308)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4"/>
      <c r="H309" s="34"/>
      <c r="I309" s="34"/>
      <c r="J309" s="34"/>
      <c r="K309" s="41"/>
      <c r="L309" s="41"/>
      <c r="M309" s="35"/>
      <c r="N309" s="35"/>
      <c r="O309" s="35"/>
      <c r="P309" s="32"/>
      <c r="Q309" s="33"/>
      <c r="R309" s="36" t="str">
        <f aca="false">IF(C309="","",SUMIFS('Payment Claims'!$E$2:$E$501,'Payment Claims'!$A$2:$A$501,A309,'Payment Claims'!$B$2:$B$501,C309,'Payment Claims'!$G$2:$G$501,"&lt;&gt;Disputed"))</f>
        <v/>
      </c>
      <c r="S309" s="36" t="str">
        <f aca="false">IF(OR(C309="",G309=""),"",G309-R309)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4"/>
      <c r="H310" s="34"/>
      <c r="I310" s="34"/>
      <c r="J310" s="34"/>
      <c r="K310" s="41"/>
      <c r="L310" s="41"/>
      <c r="M310" s="35"/>
      <c r="N310" s="35"/>
      <c r="O310" s="35"/>
      <c r="P310" s="32"/>
      <c r="Q310" s="33"/>
      <c r="R310" s="36" t="str">
        <f aca="false">IF(C310="","",SUMIFS('Payment Claims'!$E$2:$E$501,'Payment Claims'!$A$2:$A$501,A310,'Payment Claims'!$B$2:$B$501,C310,'Payment Claims'!$G$2:$G$501,"&lt;&gt;Disputed"))</f>
        <v/>
      </c>
      <c r="S310" s="36" t="str">
        <f aca="false">IF(OR(C310="",G310=""),"",G310-R310)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4"/>
      <c r="H311" s="34"/>
      <c r="I311" s="34"/>
      <c r="J311" s="34"/>
      <c r="K311" s="41"/>
      <c r="L311" s="41"/>
      <c r="M311" s="35"/>
      <c r="N311" s="35"/>
      <c r="O311" s="35"/>
      <c r="P311" s="32"/>
      <c r="Q311" s="33"/>
      <c r="R311" s="36" t="str">
        <f aca="false">IF(C311="","",SUMIFS('Payment Claims'!$E$2:$E$501,'Payment Claims'!$A$2:$A$501,A311,'Payment Claims'!$B$2:$B$501,C311,'Payment Claims'!$G$2:$G$501,"&lt;&gt;Disputed"))</f>
        <v/>
      </c>
      <c r="S311" s="36" t="str">
        <f aca="false">IF(OR(C311="",G311=""),"",G311-R311)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4"/>
      <c r="H312" s="34"/>
      <c r="I312" s="34"/>
      <c r="J312" s="34"/>
      <c r="K312" s="41"/>
      <c r="L312" s="41"/>
      <c r="M312" s="35"/>
      <c r="N312" s="35"/>
      <c r="O312" s="35"/>
      <c r="P312" s="32"/>
      <c r="Q312" s="33"/>
      <c r="R312" s="36" t="str">
        <f aca="false">IF(C312="","",SUMIFS('Payment Claims'!$E$2:$E$501,'Payment Claims'!$A$2:$A$501,A312,'Payment Claims'!$B$2:$B$501,C312,'Payment Claims'!$G$2:$G$501,"&lt;&gt;Disputed"))</f>
        <v/>
      </c>
      <c r="S312" s="36" t="str">
        <f aca="false">IF(OR(C312="",G312=""),"",G312-R312)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4"/>
      <c r="H313" s="34"/>
      <c r="I313" s="34"/>
      <c r="J313" s="34"/>
      <c r="K313" s="41"/>
      <c r="L313" s="41"/>
      <c r="M313" s="35"/>
      <c r="N313" s="35"/>
      <c r="O313" s="35"/>
      <c r="P313" s="32"/>
      <c r="Q313" s="33"/>
      <c r="R313" s="36" t="str">
        <f aca="false">IF(C313="","",SUMIFS('Payment Claims'!$E$2:$E$501,'Payment Claims'!$A$2:$A$501,A313,'Payment Claims'!$B$2:$B$501,C313,'Payment Claims'!$G$2:$G$501,"&lt;&gt;Disputed"))</f>
        <v/>
      </c>
      <c r="S313" s="36" t="str">
        <f aca="false">IF(OR(C313="",G313=""),"",G313-R313)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4"/>
      <c r="H314" s="34"/>
      <c r="I314" s="34"/>
      <c r="J314" s="34"/>
      <c r="K314" s="41"/>
      <c r="L314" s="41"/>
      <c r="M314" s="35"/>
      <c r="N314" s="35"/>
      <c r="O314" s="35"/>
      <c r="P314" s="32"/>
      <c r="Q314" s="33"/>
      <c r="R314" s="36" t="str">
        <f aca="false">IF(C314="","",SUMIFS('Payment Claims'!$E$2:$E$501,'Payment Claims'!$A$2:$A$501,A314,'Payment Claims'!$B$2:$B$501,C314,'Payment Claims'!$G$2:$G$501,"&lt;&gt;Disputed"))</f>
        <v/>
      </c>
      <c r="S314" s="36" t="str">
        <f aca="false">IF(OR(C314="",G314=""),"",G314-R314)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4"/>
      <c r="H315" s="34"/>
      <c r="I315" s="34"/>
      <c r="J315" s="34"/>
      <c r="K315" s="41"/>
      <c r="L315" s="41"/>
      <c r="M315" s="35"/>
      <c r="N315" s="35"/>
      <c r="O315" s="35"/>
      <c r="P315" s="32"/>
      <c r="Q315" s="33"/>
      <c r="R315" s="36" t="str">
        <f aca="false">IF(C315="","",SUMIFS('Payment Claims'!$E$2:$E$501,'Payment Claims'!$A$2:$A$501,A315,'Payment Claims'!$B$2:$B$501,C315,'Payment Claims'!$G$2:$G$501,"&lt;&gt;Disputed"))</f>
        <v/>
      </c>
      <c r="S315" s="36" t="str">
        <f aca="false">IF(OR(C315="",G315=""),"",G315-R315)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4"/>
      <c r="H316" s="34"/>
      <c r="I316" s="34"/>
      <c r="J316" s="34"/>
      <c r="K316" s="41"/>
      <c r="L316" s="41"/>
      <c r="M316" s="35"/>
      <c r="N316" s="35"/>
      <c r="O316" s="35"/>
      <c r="P316" s="32"/>
      <c r="Q316" s="33"/>
      <c r="R316" s="36" t="str">
        <f aca="false">IF(C316="","",SUMIFS('Payment Claims'!$E$2:$E$501,'Payment Claims'!$A$2:$A$501,A316,'Payment Claims'!$B$2:$B$501,C316,'Payment Claims'!$G$2:$G$501,"&lt;&gt;Disputed"))</f>
        <v/>
      </c>
      <c r="S316" s="36" t="str">
        <f aca="false">IF(OR(C316="",G316=""),"",G316-R316)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4"/>
      <c r="H317" s="34"/>
      <c r="I317" s="34"/>
      <c r="J317" s="34"/>
      <c r="K317" s="41"/>
      <c r="L317" s="41"/>
      <c r="M317" s="35"/>
      <c r="N317" s="35"/>
      <c r="O317" s="35"/>
      <c r="P317" s="32"/>
      <c r="Q317" s="33"/>
      <c r="R317" s="36" t="str">
        <f aca="false">IF(C317="","",SUMIFS('Payment Claims'!$E$2:$E$501,'Payment Claims'!$A$2:$A$501,A317,'Payment Claims'!$B$2:$B$501,C317,'Payment Claims'!$G$2:$G$501,"&lt;&gt;Disputed"))</f>
        <v/>
      </c>
      <c r="S317" s="36" t="str">
        <f aca="false">IF(OR(C317="",G317=""),"",G317-R317)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4"/>
      <c r="H318" s="34"/>
      <c r="I318" s="34"/>
      <c r="J318" s="34"/>
      <c r="K318" s="41"/>
      <c r="L318" s="41"/>
      <c r="M318" s="35"/>
      <c r="N318" s="35"/>
      <c r="O318" s="35"/>
      <c r="P318" s="32"/>
      <c r="Q318" s="33"/>
      <c r="R318" s="36" t="str">
        <f aca="false">IF(C318="","",SUMIFS('Payment Claims'!$E$2:$E$501,'Payment Claims'!$A$2:$A$501,A318,'Payment Claims'!$B$2:$B$501,C318,'Payment Claims'!$G$2:$G$501,"&lt;&gt;Disputed"))</f>
        <v/>
      </c>
      <c r="S318" s="36" t="str">
        <f aca="false">IF(OR(C318="",G318=""),"",G318-R318)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4"/>
      <c r="H319" s="34"/>
      <c r="I319" s="34"/>
      <c r="J319" s="34"/>
      <c r="K319" s="41"/>
      <c r="L319" s="41"/>
      <c r="M319" s="35"/>
      <c r="N319" s="35"/>
      <c r="O319" s="35"/>
      <c r="P319" s="32"/>
      <c r="Q319" s="33"/>
      <c r="R319" s="36" t="str">
        <f aca="false">IF(C319="","",SUMIFS('Payment Claims'!$E$2:$E$501,'Payment Claims'!$A$2:$A$501,A319,'Payment Claims'!$B$2:$B$501,C319,'Payment Claims'!$G$2:$G$501,"&lt;&gt;Disputed"))</f>
        <v/>
      </c>
      <c r="S319" s="36" t="str">
        <f aca="false">IF(OR(C319="",G319=""),"",G319-R319)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4"/>
      <c r="H320" s="34"/>
      <c r="I320" s="34"/>
      <c r="J320" s="34"/>
      <c r="K320" s="41"/>
      <c r="L320" s="41"/>
      <c r="M320" s="35"/>
      <c r="N320" s="35"/>
      <c r="O320" s="35"/>
      <c r="P320" s="32"/>
      <c r="Q320" s="33"/>
      <c r="R320" s="36" t="str">
        <f aca="false">IF(C320="","",SUMIFS('Payment Claims'!$E$2:$E$501,'Payment Claims'!$A$2:$A$501,A320,'Payment Claims'!$B$2:$B$501,C320,'Payment Claims'!$G$2:$G$501,"&lt;&gt;Disputed"))</f>
        <v/>
      </c>
      <c r="S320" s="36" t="str">
        <f aca="false">IF(OR(C320="",G320=""),"",G320-R320)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4"/>
      <c r="H321" s="34"/>
      <c r="I321" s="34"/>
      <c r="J321" s="34"/>
      <c r="K321" s="41"/>
      <c r="L321" s="41"/>
      <c r="M321" s="35"/>
      <c r="N321" s="35"/>
      <c r="O321" s="35"/>
      <c r="P321" s="32"/>
      <c r="Q321" s="33"/>
      <c r="R321" s="36" t="str">
        <f aca="false">IF(C321="","",SUMIFS('Payment Claims'!$E$2:$E$501,'Payment Claims'!$A$2:$A$501,A321,'Payment Claims'!$B$2:$B$501,C321,'Payment Claims'!$G$2:$G$501,"&lt;&gt;Disputed"))</f>
        <v/>
      </c>
      <c r="S321" s="36" t="str">
        <f aca="false">IF(OR(C321="",G321=""),"",G321-R321)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4"/>
      <c r="H322" s="34"/>
      <c r="I322" s="34"/>
      <c r="J322" s="34"/>
      <c r="K322" s="41"/>
      <c r="L322" s="41"/>
      <c r="M322" s="35"/>
      <c r="N322" s="35"/>
      <c r="O322" s="35"/>
      <c r="P322" s="32"/>
      <c r="Q322" s="33"/>
      <c r="R322" s="36" t="str">
        <f aca="false">IF(C322="","",SUMIFS('Payment Claims'!$E$2:$E$501,'Payment Claims'!$A$2:$A$501,A322,'Payment Claims'!$B$2:$B$501,C322,'Payment Claims'!$G$2:$G$501,"&lt;&gt;Disputed"))</f>
        <v/>
      </c>
      <c r="S322" s="36" t="str">
        <f aca="false">IF(OR(C322="",G322=""),"",G322-R322)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4"/>
      <c r="H323" s="34"/>
      <c r="I323" s="34"/>
      <c r="J323" s="34"/>
      <c r="K323" s="41"/>
      <c r="L323" s="41"/>
      <c r="M323" s="35"/>
      <c r="N323" s="35"/>
      <c r="O323" s="35"/>
      <c r="P323" s="32"/>
      <c r="Q323" s="33"/>
      <c r="R323" s="36" t="str">
        <f aca="false">IF(C323="","",SUMIFS('Payment Claims'!$E$2:$E$501,'Payment Claims'!$A$2:$A$501,A323,'Payment Claims'!$B$2:$B$501,C323,'Payment Claims'!$G$2:$G$501,"&lt;&gt;Disputed"))</f>
        <v/>
      </c>
      <c r="S323" s="36" t="str">
        <f aca="false">IF(OR(C323="",G323=""),"",G323-R323)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4"/>
      <c r="H324" s="34"/>
      <c r="I324" s="34"/>
      <c r="J324" s="34"/>
      <c r="K324" s="41"/>
      <c r="L324" s="41"/>
      <c r="M324" s="35"/>
      <c r="N324" s="35"/>
      <c r="O324" s="35"/>
      <c r="P324" s="32"/>
      <c r="Q324" s="33"/>
      <c r="R324" s="36" t="str">
        <f aca="false">IF(C324="","",SUMIFS('Payment Claims'!$E$2:$E$501,'Payment Claims'!$A$2:$A$501,A324,'Payment Claims'!$B$2:$B$501,C324,'Payment Claims'!$G$2:$G$501,"&lt;&gt;Disputed"))</f>
        <v/>
      </c>
      <c r="S324" s="36" t="str">
        <f aca="false">IF(OR(C324="",G324=""),"",G324-R324)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4"/>
      <c r="H325" s="34"/>
      <c r="I325" s="34"/>
      <c r="J325" s="34"/>
      <c r="K325" s="41"/>
      <c r="L325" s="41"/>
      <c r="M325" s="35"/>
      <c r="N325" s="35"/>
      <c r="O325" s="35"/>
      <c r="P325" s="32"/>
      <c r="Q325" s="33"/>
      <c r="R325" s="36" t="str">
        <f aca="false">IF(C325="","",SUMIFS('Payment Claims'!$E$2:$E$501,'Payment Claims'!$A$2:$A$501,A325,'Payment Claims'!$B$2:$B$501,C325,'Payment Claims'!$G$2:$G$501,"&lt;&gt;Disputed"))</f>
        <v/>
      </c>
      <c r="S325" s="36" t="str">
        <f aca="false">IF(OR(C325="",G325=""),"",G325-R325)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4"/>
      <c r="H326" s="34"/>
      <c r="I326" s="34"/>
      <c r="J326" s="34"/>
      <c r="K326" s="41"/>
      <c r="L326" s="41"/>
      <c r="M326" s="35"/>
      <c r="N326" s="35"/>
      <c r="O326" s="35"/>
      <c r="P326" s="32"/>
      <c r="Q326" s="33"/>
      <c r="R326" s="36" t="str">
        <f aca="false">IF(C326="","",SUMIFS('Payment Claims'!$E$2:$E$501,'Payment Claims'!$A$2:$A$501,A326,'Payment Claims'!$B$2:$B$501,C326,'Payment Claims'!$G$2:$G$501,"&lt;&gt;Disputed"))</f>
        <v/>
      </c>
      <c r="S326" s="36" t="str">
        <f aca="false">IF(OR(C326="",G326=""),"",G326-R326)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4"/>
      <c r="H327" s="34"/>
      <c r="I327" s="34"/>
      <c r="J327" s="34"/>
      <c r="K327" s="41"/>
      <c r="L327" s="41"/>
      <c r="M327" s="35"/>
      <c r="N327" s="35"/>
      <c r="O327" s="35"/>
      <c r="P327" s="32"/>
      <c r="Q327" s="33"/>
      <c r="R327" s="36" t="str">
        <f aca="false">IF(C327="","",SUMIFS('Payment Claims'!$E$2:$E$501,'Payment Claims'!$A$2:$A$501,A327,'Payment Claims'!$B$2:$B$501,C327,'Payment Claims'!$G$2:$G$501,"&lt;&gt;Disputed"))</f>
        <v/>
      </c>
      <c r="S327" s="36" t="str">
        <f aca="false">IF(OR(C327="",G327=""),"",G327-R327)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4"/>
      <c r="H328" s="34"/>
      <c r="I328" s="34"/>
      <c r="J328" s="34"/>
      <c r="K328" s="41"/>
      <c r="L328" s="41"/>
      <c r="M328" s="35"/>
      <c r="N328" s="35"/>
      <c r="O328" s="35"/>
      <c r="P328" s="32"/>
      <c r="Q328" s="33"/>
      <c r="R328" s="36" t="str">
        <f aca="false">IF(C328="","",SUMIFS('Payment Claims'!$E$2:$E$501,'Payment Claims'!$A$2:$A$501,A328,'Payment Claims'!$B$2:$B$501,C328,'Payment Claims'!$G$2:$G$501,"&lt;&gt;Disputed"))</f>
        <v/>
      </c>
      <c r="S328" s="36" t="str">
        <f aca="false">IF(OR(C328="",G328=""),"",G328-R328)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4"/>
      <c r="H329" s="34"/>
      <c r="I329" s="34"/>
      <c r="J329" s="34"/>
      <c r="K329" s="41"/>
      <c r="L329" s="41"/>
      <c r="M329" s="35"/>
      <c r="N329" s="35"/>
      <c r="O329" s="35"/>
      <c r="P329" s="32"/>
      <c r="Q329" s="33"/>
      <c r="R329" s="36" t="str">
        <f aca="false">IF(C329="","",SUMIFS('Payment Claims'!$E$2:$E$501,'Payment Claims'!$A$2:$A$501,A329,'Payment Claims'!$B$2:$B$501,C329,'Payment Claims'!$G$2:$G$501,"&lt;&gt;Disputed"))</f>
        <v/>
      </c>
      <c r="S329" s="36" t="str">
        <f aca="false">IF(OR(C329="",G329=""),"",G329-R329)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4"/>
      <c r="H330" s="34"/>
      <c r="I330" s="34"/>
      <c r="J330" s="34"/>
      <c r="K330" s="41"/>
      <c r="L330" s="41"/>
      <c r="M330" s="35"/>
      <c r="N330" s="35"/>
      <c r="O330" s="35"/>
      <c r="P330" s="32"/>
      <c r="Q330" s="33"/>
      <c r="R330" s="36" t="str">
        <f aca="false">IF(C330="","",SUMIFS('Payment Claims'!$E$2:$E$501,'Payment Claims'!$A$2:$A$501,A330,'Payment Claims'!$B$2:$B$501,C330,'Payment Claims'!$G$2:$G$501,"&lt;&gt;Disputed"))</f>
        <v/>
      </c>
      <c r="S330" s="36" t="str">
        <f aca="false">IF(OR(C330="",G330=""),"",G330-R330)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4"/>
      <c r="H331" s="34"/>
      <c r="I331" s="34"/>
      <c r="J331" s="34"/>
      <c r="K331" s="41"/>
      <c r="L331" s="41"/>
      <c r="M331" s="35"/>
      <c r="N331" s="35"/>
      <c r="O331" s="35"/>
      <c r="P331" s="32"/>
      <c r="Q331" s="33"/>
      <c r="R331" s="36" t="str">
        <f aca="false">IF(C331="","",SUMIFS('Payment Claims'!$E$2:$E$501,'Payment Claims'!$A$2:$A$501,A331,'Payment Claims'!$B$2:$B$501,C331,'Payment Claims'!$G$2:$G$501,"&lt;&gt;Disputed"))</f>
        <v/>
      </c>
      <c r="S331" s="36" t="str">
        <f aca="false">IF(OR(C331="",G331=""),"",G331-R331)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4"/>
      <c r="H332" s="34"/>
      <c r="I332" s="34"/>
      <c r="J332" s="34"/>
      <c r="K332" s="41"/>
      <c r="L332" s="41"/>
      <c r="M332" s="35"/>
      <c r="N332" s="35"/>
      <c r="O332" s="35"/>
      <c r="P332" s="32"/>
      <c r="Q332" s="33"/>
      <c r="R332" s="36" t="str">
        <f aca="false">IF(C332="","",SUMIFS('Payment Claims'!$E$2:$E$501,'Payment Claims'!$A$2:$A$501,A332,'Payment Claims'!$B$2:$B$501,C332,'Payment Claims'!$G$2:$G$501,"&lt;&gt;Disputed"))</f>
        <v/>
      </c>
      <c r="S332" s="36" t="str">
        <f aca="false">IF(OR(C332="",G332=""),"",G332-R332)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4"/>
      <c r="H333" s="34"/>
      <c r="I333" s="34"/>
      <c r="J333" s="34"/>
      <c r="K333" s="41"/>
      <c r="L333" s="41"/>
      <c r="M333" s="35"/>
      <c r="N333" s="35"/>
      <c r="O333" s="35"/>
      <c r="P333" s="32"/>
      <c r="Q333" s="33"/>
      <c r="R333" s="36" t="str">
        <f aca="false">IF(C333="","",SUMIFS('Payment Claims'!$E$2:$E$501,'Payment Claims'!$A$2:$A$501,A333,'Payment Claims'!$B$2:$B$501,C333,'Payment Claims'!$G$2:$G$501,"&lt;&gt;Disputed"))</f>
        <v/>
      </c>
      <c r="S333" s="36" t="str">
        <f aca="false">IF(OR(C333="",G333=""),"",G333-R333)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4"/>
      <c r="H334" s="34"/>
      <c r="I334" s="34"/>
      <c r="J334" s="34"/>
      <c r="K334" s="41"/>
      <c r="L334" s="41"/>
      <c r="M334" s="35"/>
      <c r="N334" s="35"/>
      <c r="O334" s="35"/>
      <c r="P334" s="32"/>
      <c r="Q334" s="33"/>
      <c r="R334" s="36" t="str">
        <f aca="false">IF(C334="","",SUMIFS('Payment Claims'!$E$2:$E$501,'Payment Claims'!$A$2:$A$501,A334,'Payment Claims'!$B$2:$B$501,C334,'Payment Claims'!$G$2:$G$501,"&lt;&gt;Disputed"))</f>
        <v/>
      </c>
      <c r="S334" s="36" t="str">
        <f aca="false">IF(OR(C334="",G334=""),"",G334-R334)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4"/>
      <c r="H335" s="34"/>
      <c r="I335" s="34"/>
      <c r="J335" s="34"/>
      <c r="K335" s="41"/>
      <c r="L335" s="41"/>
      <c r="M335" s="35"/>
      <c r="N335" s="35"/>
      <c r="O335" s="35"/>
      <c r="P335" s="32"/>
      <c r="Q335" s="33"/>
      <c r="R335" s="36" t="str">
        <f aca="false">IF(C335="","",SUMIFS('Payment Claims'!$E$2:$E$501,'Payment Claims'!$A$2:$A$501,A335,'Payment Claims'!$B$2:$B$501,C335,'Payment Claims'!$G$2:$G$501,"&lt;&gt;Disputed"))</f>
        <v/>
      </c>
      <c r="S335" s="36" t="str">
        <f aca="false">IF(OR(C335="",G335=""),"",G335-R335)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4"/>
      <c r="H336" s="34"/>
      <c r="I336" s="34"/>
      <c r="J336" s="34"/>
      <c r="K336" s="41"/>
      <c r="L336" s="41"/>
      <c r="M336" s="35"/>
      <c r="N336" s="35"/>
      <c r="O336" s="35"/>
      <c r="P336" s="32"/>
      <c r="Q336" s="33"/>
      <c r="R336" s="36" t="str">
        <f aca="false">IF(C336="","",SUMIFS('Payment Claims'!$E$2:$E$501,'Payment Claims'!$A$2:$A$501,A336,'Payment Claims'!$B$2:$B$501,C336,'Payment Claims'!$G$2:$G$501,"&lt;&gt;Disputed"))</f>
        <v/>
      </c>
      <c r="S336" s="36" t="str">
        <f aca="false">IF(OR(C336="",G336=""),"",G336-R336)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4"/>
      <c r="H337" s="34"/>
      <c r="I337" s="34"/>
      <c r="J337" s="34"/>
      <c r="K337" s="41"/>
      <c r="L337" s="41"/>
      <c r="M337" s="35"/>
      <c r="N337" s="35"/>
      <c r="O337" s="35"/>
      <c r="P337" s="32"/>
      <c r="Q337" s="33"/>
      <c r="R337" s="36" t="str">
        <f aca="false">IF(C337="","",SUMIFS('Payment Claims'!$E$2:$E$501,'Payment Claims'!$A$2:$A$501,A337,'Payment Claims'!$B$2:$B$501,C337,'Payment Claims'!$G$2:$G$501,"&lt;&gt;Disputed"))</f>
        <v/>
      </c>
      <c r="S337" s="36" t="str">
        <f aca="false">IF(OR(C337="",G337=""),"",G337-R337)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4"/>
      <c r="H338" s="34"/>
      <c r="I338" s="34"/>
      <c r="J338" s="34"/>
      <c r="K338" s="41"/>
      <c r="L338" s="41"/>
      <c r="M338" s="35"/>
      <c r="N338" s="35"/>
      <c r="O338" s="35"/>
      <c r="P338" s="32"/>
      <c r="Q338" s="33"/>
      <c r="R338" s="36" t="str">
        <f aca="false">IF(C338="","",SUMIFS('Payment Claims'!$E$2:$E$501,'Payment Claims'!$A$2:$A$501,A338,'Payment Claims'!$B$2:$B$501,C338,'Payment Claims'!$G$2:$G$501,"&lt;&gt;Disputed"))</f>
        <v/>
      </c>
      <c r="S338" s="36" t="str">
        <f aca="false">IF(OR(C338="",G338=""),"",G338-R338)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4"/>
      <c r="H339" s="34"/>
      <c r="I339" s="34"/>
      <c r="J339" s="34"/>
      <c r="K339" s="41"/>
      <c r="L339" s="41"/>
      <c r="M339" s="35"/>
      <c r="N339" s="35"/>
      <c r="O339" s="35"/>
      <c r="P339" s="32"/>
      <c r="Q339" s="33"/>
      <c r="R339" s="36" t="str">
        <f aca="false">IF(C339="","",SUMIFS('Payment Claims'!$E$2:$E$501,'Payment Claims'!$A$2:$A$501,A339,'Payment Claims'!$B$2:$B$501,C339,'Payment Claims'!$G$2:$G$501,"&lt;&gt;Disputed"))</f>
        <v/>
      </c>
      <c r="S339" s="36" t="str">
        <f aca="false">IF(OR(C339="",G339=""),"",G339-R339)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4"/>
      <c r="H340" s="34"/>
      <c r="I340" s="34"/>
      <c r="J340" s="34"/>
      <c r="K340" s="41"/>
      <c r="L340" s="41"/>
      <c r="M340" s="35"/>
      <c r="N340" s="35"/>
      <c r="O340" s="35"/>
      <c r="P340" s="32"/>
      <c r="Q340" s="33"/>
      <c r="R340" s="36" t="str">
        <f aca="false">IF(C340="","",SUMIFS('Payment Claims'!$E$2:$E$501,'Payment Claims'!$A$2:$A$501,A340,'Payment Claims'!$B$2:$B$501,C340,'Payment Claims'!$G$2:$G$501,"&lt;&gt;Disputed"))</f>
        <v/>
      </c>
      <c r="S340" s="36" t="str">
        <f aca="false">IF(OR(C340="",G340=""),"",G340-R340)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4"/>
      <c r="H341" s="34"/>
      <c r="I341" s="34"/>
      <c r="J341" s="34"/>
      <c r="K341" s="41"/>
      <c r="L341" s="41"/>
      <c r="M341" s="35"/>
      <c r="N341" s="35"/>
      <c r="O341" s="35"/>
      <c r="P341" s="32"/>
      <c r="Q341" s="33"/>
      <c r="R341" s="36" t="str">
        <f aca="false">IF(C341="","",SUMIFS('Payment Claims'!$E$2:$E$501,'Payment Claims'!$A$2:$A$501,A341,'Payment Claims'!$B$2:$B$501,C341,'Payment Claims'!$G$2:$G$501,"&lt;&gt;Disputed"))</f>
        <v/>
      </c>
      <c r="S341" s="36" t="str">
        <f aca="false">IF(OR(C341="",G341=""),"",G341-R341)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4"/>
      <c r="H342" s="34"/>
      <c r="I342" s="34"/>
      <c r="J342" s="34"/>
      <c r="K342" s="41"/>
      <c r="L342" s="41"/>
      <c r="M342" s="35"/>
      <c r="N342" s="35"/>
      <c r="O342" s="35"/>
      <c r="P342" s="32"/>
      <c r="Q342" s="33"/>
      <c r="R342" s="36" t="str">
        <f aca="false">IF(C342="","",SUMIFS('Payment Claims'!$E$2:$E$501,'Payment Claims'!$A$2:$A$501,A342,'Payment Claims'!$B$2:$B$501,C342,'Payment Claims'!$G$2:$G$501,"&lt;&gt;Disputed"))</f>
        <v/>
      </c>
      <c r="S342" s="36" t="str">
        <f aca="false">IF(OR(C342="",G342=""),"",G342-R342)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4"/>
      <c r="H343" s="34"/>
      <c r="I343" s="34"/>
      <c r="J343" s="34"/>
      <c r="K343" s="41"/>
      <c r="L343" s="41"/>
      <c r="M343" s="35"/>
      <c r="N343" s="35"/>
      <c r="O343" s="35"/>
      <c r="P343" s="32"/>
      <c r="Q343" s="33"/>
      <c r="R343" s="36" t="str">
        <f aca="false">IF(C343="","",SUMIFS('Payment Claims'!$E$2:$E$501,'Payment Claims'!$A$2:$A$501,A343,'Payment Claims'!$B$2:$B$501,C343,'Payment Claims'!$G$2:$G$501,"&lt;&gt;Disputed"))</f>
        <v/>
      </c>
      <c r="S343" s="36" t="str">
        <f aca="false">IF(OR(C343="",G343=""),"",G343-R343)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4"/>
      <c r="H344" s="34"/>
      <c r="I344" s="34"/>
      <c r="J344" s="34"/>
      <c r="K344" s="41"/>
      <c r="L344" s="41"/>
      <c r="M344" s="35"/>
      <c r="N344" s="35"/>
      <c r="O344" s="35"/>
      <c r="P344" s="32"/>
      <c r="Q344" s="33"/>
      <c r="R344" s="36" t="str">
        <f aca="false">IF(C344="","",SUMIFS('Payment Claims'!$E$2:$E$501,'Payment Claims'!$A$2:$A$501,A344,'Payment Claims'!$B$2:$B$501,C344,'Payment Claims'!$G$2:$G$501,"&lt;&gt;Disputed"))</f>
        <v/>
      </c>
      <c r="S344" s="36" t="str">
        <f aca="false">IF(OR(C344="",G344=""),"",G344-R344)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4"/>
      <c r="H345" s="34"/>
      <c r="I345" s="34"/>
      <c r="J345" s="34"/>
      <c r="K345" s="41"/>
      <c r="L345" s="41"/>
      <c r="M345" s="35"/>
      <c r="N345" s="35"/>
      <c r="O345" s="35"/>
      <c r="P345" s="32"/>
      <c r="Q345" s="33"/>
      <c r="R345" s="36" t="str">
        <f aca="false">IF(C345="","",SUMIFS('Payment Claims'!$E$2:$E$501,'Payment Claims'!$A$2:$A$501,A345,'Payment Claims'!$B$2:$B$501,C345,'Payment Claims'!$G$2:$G$501,"&lt;&gt;Disputed"))</f>
        <v/>
      </c>
      <c r="S345" s="36" t="str">
        <f aca="false">IF(OR(C345="",G345=""),"",G345-R345)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4"/>
      <c r="H346" s="34"/>
      <c r="I346" s="34"/>
      <c r="J346" s="34"/>
      <c r="K346" s="41"/>
      <c r="L346" s="41"/>
      <c r="M346" s="35"/>
      <c r="N346" s="35"/>
      <c r="O346" s="35"/>
      <c r="P346" s="32"/>
      <c r="Q346" s="33"/>
      <c r="R346" s="36" t="str">
        <f aca="false">IF(C346="","",SUMIFS('Payment Claims'!$E$2:$E$501,'Payment Claims'!$A$2:$A$501,A346,'Payment Claims'!$B$2:$B$501,C346,'Payment Claims'!$G$2:$G$501,"&lt;&gt;Disputed"))</f>
        <v/>
      </c>
      <c r="S346" s="36" t="str">
        <f aca="false">IF(OR(C346="",G346=""),"",G346-R346)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4"/>
      <c r="H347" s="34"/>
      <c r="I347" s="34"/>
      <c r="J347" s="34"/>
      <c r="K347" s="41"/>
      <c r="L347" s="41"/>
      <c r="M347" s="35"/>
      <c r="N347" s="35"/>
      <c r="O347" s="35"/>
      <c r="P347" s="32"/>
      <c r="Q347" s="33"/>
      <c r="R347" s="36" t="str">
        <f aca="false">IF(C347="","",SUMIFS('Payment Claims'!$E$2:$E$501,'Payment Claims'!$A$2:$A$501,A347,'Payment Claims'!$B$2:$B$501,C347,'Payment Claims'!$G$2:$G$501,"&lt;&gt;Disputed"))</f>
        <v/>
      </c>
      <c r="S347" s="36" t="str">
        <f aca="false">IF(OR(C347="",G347=""),"",G347-R347)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4"/>
      <c r="H348" s="34"/>
      <c r="I348" s="34"/>
      <c r="J348" s="34"/>
      <c r="K348" s="41"/>
      <c r="L348" s="41"/>
      <c r="M348" s="35"/>
      <c r="N348" s="35"/>
      <c r="O348" s="35"/>
      <c r="P348" s="32"/>
      <c r="Q348" s="33"/>
      <c r="R348" s="36" t="str">
        <f aca="false">IF(C348="","",SUMIFS('Payment Claims'!$E$2:$E$501,'Payment Claims'!$A$2:$A$501,A348,'Payment Claims'!$B$2:$B$501,C348,'Payment Claims'!$G$2:$G$501,"&lt;&gt;Disputed"))</f>
        <v/>
      </c>
      <c r="S348" s="36" t="str">
        <f aca="false">IF(OR(C348="",G348=""),"",G348-R348)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4"/>
      <c r="H349" s="34"/>
      <c r="I349" s="34"/>
      <c r="J349" s="34"/>
      <c r="K349" s="41"/>
      <c r="L349" s="41"/>
      <c r="M349" s="35"/>
      <c r="N349" s="35"/>
      <c r="O349" s="35"/>
      <c r="P349" s="32"/>
      <c r="Q349" s="33"/>
      <c r="R349" s="36" t="str">
        <f aca="false">IF(C349="","",SUMIFS('Payment Claims'!$E$2:$E$501,'Payment Claims'!$A$2:$A$501,A349,'Payment Claims'!$B$2:$B$501,C349,'Payment Claims'!$G$2:$G$501,"&lt;&gt;Disputed"))</f>
        <v/>
      </c>
      <c r="S349" s="36" t="str">
        <f aca="false">IF(OR(C349="",G349=""),"",G349-R349)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4"/>
      <c r="H350" s="34"/>
      <c r="I350" s="34"/>
      <c r="J350" s="34"/>
      <c r="K350" s="41"/>
      <c r="L350" s="41"/>
      <c r="M350" s="35"/>
      <c r="N350" s="35"/>
      <c r="O350" s="35"/>
      <c r="P350" s="32"/>
      <c r="Q350" s="33"/>
      <c r="R350" s="36" t="str">
        <f aca="false">IF(C350="","",SUMIFS('Payment Claims'!$E$2:$E$501,'Payment Claims'!$A$2:$A$501,A350,'Payment Claims'!$B$2:$B$501,C350,'Payment Claims'!$G$2:$G$501,"&lt;&gt;Disputed"))</f>
        <v/>
      </c>
      <c r="S350" s="36" t="str">
        <f aca="false">IF(OR(C350="",G350=""),"",G350-R350)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4"/>
      <c r="H351" s="34"/>
      <c r="I351" s="34"/>
      <c r="J351" s="34"/>
      <c r="K351" s="41"/>
      <c r="L351" s="41"/>
      <c r="M351" s="35"/>
      <c r="N351" s="35"/>
      <c r="O351" s="35"/>
      <c r="P351" s="32"/>
      <c r="Q351" s="33"/>
      <c r="R351" s="36" t="str">
        <f aca="false">IF(C351="","",SUMIFS('Payment Claims'!$E$2:$E$501,'Payment Claims'!$A$2:$A$501,A351,'Payment Claims'!$B$2:$B$501,C351,'Payment Claims'!$G$2:$G$501,"&lt;&gt;Disputed"))</f>
        <v/>
      </c>
      <c r="S351" s="36" t="str">
        <f aca="false">IF(OR(C351="",G351=""),"",G351-R351)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4"/>
      <c r="H352" s="34"/>
      <c r="I352" s="34"/>
      <c r="J352" s="34"/>
      <c r="K352" s="41"/>
      <c r="L352" s="41"/>
      <c r="M352" s="35"/>
      <c r="N352" s="35"/>
      <c r="O352" s="35"/>
      <c r="P352" s="32"/>
      <c r="Q352" s="33"/>
      <c r="R352" s="36" t="str">
        <f aca="false">IF(C352="","",SUMIFS('Payment Claims'!$E$2:$E$501,'Payment Claims'!$A$2:$A$501,A352,'Payment Claims'!$B$2:$B$501,C352,'Payment Claims'!$G$2:$G$501,"&lt;&gt;Disputed"))</f>
        <v/>
      </c>
      <c r="S352" s="36" t="str">
        <f aca="false">IF(OR(C352="",G352=""),"",G352-R352)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4"/>
      <c r="H353" s="34"/>
      <c r="I353" s="34"/>
      <c r="J353" s="34"/>
      <c r="K353" s="41"/>
      <c r="L353" s="41"/>
      <c r="M353" s="35"/>
      <c r="N353" s="35"/>
      <c r="O353" s="35"/>
      <c r="P353" s="32"/>
      <c r="Q353" s="33"/>
      <c r="R353" s="36" t="str">
        <f aca="false">IF(C353="","",SUMIFS('Payment Claims'!$E$2:$E$501,'Payment Claims'!$A$2:$A$501,A353,'Payment Claims'!$B$2:$B$501,C353,'Payment Claims'!$G$2:$G$501,"&lt;&gt;Disputed"))</f>
        <v/>
      </c>
      <c r="S353" s="36" t="str">
        <f aca="false">IF(OR(C353="",G353=""),"",G353-R353)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4"/>
      <c r="H354" s="34"/>
      <c r="I354" s="34"/>
      <c r="J354" s="34"/>
      <c r="K354" s="41"/>
      <c r="L354" s="41"/>
      <c r="M354" s="35"/>
      <c r="N354" s="35"/>
      <c r="O354" s="35"/>
      <c r="P354" s="32"/>
      <c r="Q354" s="33"/>
      <c r="R354" s="36" t="str">
        <f aca="false">IF(C354="","",SUMIFS('Payment Claims'!$E$2:$E$501,'Payment Claims'!$A$2:$A$501,A354,'Payment Claims'!$B$2:$B$501,C354,'Payment Claims'!$G$2:$G$501,"&lt;&gt;Disputed"))</f>
        <v/>
      </c>
      <c r="S354" s="36" t="str">
        <f aca="false">IF(OR(C354="",G354=""),"",G354-R354)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4"/>
      <c r="H355" s="34"/>
      <c r="I355" s="34"/>
      <c r="J355" s="34"/>
      <c r="K355" s="41"/>
      <c r="L355" s="41"/>
      <c r="M355" s="35"/>
      <c r="N355" s="35"/>
      <c r="O355" s="35"/>
      <c r="P355" s="32"/>
      <c r="Q355" s="33"/>
      <c r="R355" s="36" t="str">
        <f aca="false">IF(C355="","",SUMIFS('Payment Claims'!$E$2:$E$501,'Payment Claims'!$A$2:$A$501,A355,'Payment Claims'!$B$2:$B$501,C355,'Payment Claims'!$G$2:$G$501,"&lt;&gt;Disputed"))</f>
        <v/>
      </c>
      <c r="S355" s="36" t="str">
        <f aca="false">IF(OR(C355="",G355=""),"",G355-R355)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4"/>
      <c r="H356" s="34"/>
      <c r="I356" s="34"/>
      <c r="J356" s="34"/>
      <c r="K356" s="41"/>
      <c r="L356" s="41"/>
      <c r="M356" s="35"/>
      <c r="N356" s="35"/>
      <c r="O356" s="35"/>
      <c r="P356" s="32"/>
      <c r="Q356" s="33"/>
      <c r="R356" s="36" t="str">
        <f aca="false">IF(C356="","",SUMIFS('Payment Claims'!$E$2:$E$501,'Payment Claims'!$A$2:$A$501,A356,'Payment Claims'!$B$2:$B$501,C356,'Payment Claims'!$G$2:$G$501,"&lt;&gt;Disputed"))</f>
        <v/>
      </c>
      <c r="S356" s="36" t="str">
        <f aca="false">IF(OR(C356="",G356=""),"",G356-R356)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4"/>
      <c r="H357" s="34"/>
      <c r="I357" s="34"/>
      <c r="J357" s="34"/>
      <c r="K357" s="41"/>
      <c r="L357" s="41"/>
      <c r="M357" s="35"/>
      <c r="N357" s="35"/>
      <c r="O357" s="35"/>
      <c r="P357" s="32"/>
      <c r="Q357" s="33"/>
      <c r="R357" s="36" t="str">
        <f aca="false">IF(C357="","",SUMIFS('Payment Claims'!$E$2:$E$501,'Payment Claims'!$A$2:$A$501,A357,'Payment Claims'!$B$2:$B$501,C357,'Payment Claims'!$G$2:$G$501,"&lt;&gt;Disputed"))</f>
        <v/>
      </c>
      <c r="S357" s="36" t="str">
        <f aca="false">IF(OR(C357="",G357=""),"",G357-R357)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4"/>
      <c r="H358" s="34"/>
      <c r="I358" s="34"/>
      <c r="J358" s="34"/>
      <c r="K358" s="41"/>
      <c r="L358" s="41"/>
      <c r="M358" s="35"/>
      <c r="N358" s="35"/>
      <c r="O358" s="35"/>
      <c r="P358" s="32"/>
      <c r="Q358" s="33"/>
      <c r="R358" s="36" t="str">
        <f aca="false">IF(C358="","",SUMIFS('Payment Claims'!$E$2:$E$501,'Payment Claims'!$A$2:$A$501,A358,'Payment Claims'!$B$2:$B$501,C358,'Payment Claims'!$G$2:$G$501,"&lt;&gt;Disputed"))</f>
        <v/>
      </c>
      <c r="S358" s="36" t="str">
        <f aca="false">IF(OR(C358="",G358=""),"",G358-R358)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4"/>
      <c r="H359" s="34"/>
      <c r="I359" s="34"/>
      <c r="J359" s="34"/>
      <c r="K359" s="41"/>
      <c r="L359" s="41"/>
      <c r="M359" s="35"/>
      <c r="N359" s="35"/>
      <c r="O359" s="35"/>
      <c r="P359" s="32"/>
      <c r="Q359" s="33"/>
      <c r="R359" s="36" t="str">
        <f aca="false">IF(C359="","",SUMIFS('Payment Claims'!$E$2:$E$501,'Payment Claims'!$A$2:$A$501,A359,'Payment Claims'!$B$2:$B$501,C359,'Payment Claims'!$G$2:$G$501,"&lt;&gt;Disputed"))</f>
        <v/>
      </c>
      <c r="S359" s="36" t="str">
        <f aca="false">IF(OR(C359="",G359=""),"",G359-R359)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4"/>
      <c r="H360" s="34"/>
      <c r="I360" s="34"/>
      <c r="J360" s="34"/>
      <c r="K360" s="41"/>
      <c r="L360" s="41"/>
      <c r="M360" s="35"/>
      <c r="N360" s="35"/>
      <c r="O360" s="35"/>
      <c r="P360" s="32"/>
      <c r="Q360" s="33"/>
      <c r="R360" s="36" t="str">
        <f aca="false">IF(C360="","",SUMIFS('Payment Claims'!$E$2:$E$501,'Payment Claims'!$A$2:$A$501,A360,'Payment Claims'!$B$2:$B$501,C360,'Payment Claims'!$G$2:$G$501,"&lt;&gt;Disputed"))</f>
        <v/>
      </c>
      <c r="S360" s="36" t="str">
        <f aca="false">IF(OR(C360="",G360=""),"",G360-R360)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4"/>
      <c r="H361" s="34"/>
      <c r="I361" s="34"/>
      <c r="J361" s="34"/>
      <c r="K361" s="41"/>
      <c r="L361" s="41"/>
      <c r="M361" s="35"/>
      <c r="N361" s="35"/>
      <c r="O361" s="35"/>
      <c r="P361" s="32"/>
      <c r="Q361" s="33"/>
      <c r="R361" s="36" t="str">
        <f aca="false">IF(C361="","",SUMIFS('Payment Claims'!$E$2:$E$501,'Payment Claims'!$A$2:$A$501,A361,'Payment Claims'!$B$2:$B$501,C361,'Payment Claims'!$G$2:$G$501,"&lt;&gt;Disputed"))</f>
        <v/>
      </c>
      <c r="S361" s="36" t="str">
        <f aca="false">IF(OR(C361="",G361=""),"",G361-R361)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4"/>
      <c r="H362" s="34"/>
      <c r="I362" s="34"/>
      <c r="J362" s="34"/>
      <c r="K362" s="41"/>
      <c r="L362" s="41"/>
      <c r="M362" s="35"/>
      <c r="N362" s="35"/>
      <c r="O362" s="35"/>
      <c r="P362" s="32"/>
      <c r="Q362" s="33"/>
      <c r="R362" s="36" t="str">
        <f aca="false">IF(C362="","",SUMIFS('Payment Claims'!$E$2:$E$501,'Payment Claims'!$A$2:$A$501,A362,'Payment Claims'!$B$2:$B$501,C362,'Payment Claims'!$G$2:$G$501,"&lt;&gt;Disputed"))</f>
        <v/>
      </c>
      <c r="S362" s="36" t="str">
        <f aca="false">IF(OR(C362="",G362=""),"",G362-R362)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4"/>
      <c r="H363" s="34"/>
      <c r="I363" s="34"/>
      <c r="J363" s="34"/>
      <c r="K363" s="41"/>
      <c r="L363" s="41"/>
      <c r="M363" s="35"/>
      <c r="N363" s="35"/>
      <c r="O363" s="35"/>
      <c r="P363" s="32"/>
      <c r="Q363" s="33"/>
      <c r="R363" s="36" t="str">
        <f aca="false">IF(C363="","",SUMIFS('Payment Claims'!$E$2:$E$501,'Payment Claims'!$A$2:$A$501,A363,'Payment Claims'!$B$2:$B$501,C363,'Payment Claims'!$G$2:$G$501,"&lt;&gt;Disputed"))</f>
        <v/>
      </c>
      <c r="S363" s="36" t="str">
        <f aca="false">IF(OR(C363="",G363=""),"",G363-R363)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4"/>
      <c r="H364" s="34"/>
      <c r="I364" s="34"/>
      <c r="J364" s="34"/>
      <c r="K364" s="41"/>
      <c r="L364" s="41"/>
      <c r="M364" s="35"/>
      <c r="N364" s="35"/>
      <c r="O364" s="35"/>
      <c r="P364" s="32"/>
      <c r="Q364" s="33"/>
      <c r="R364" s="36" t="str">
        <f aca="false">IF(C364="","",SUMIFS('Payment Claims'!$E$2:$E$501,'Payment Claims'!$A$2:$A$501,A364,'Payment Claims'!$B$2:$B$501,C364,'Payment Claims'!$G$2:$G$501,"&lt;&gt;Disputed"))</f>
        <v/>
      </c>
      <c r="S364" s="36" t="str">
        <f aca="false">IF(OR(C364="",G364=""),"",G364-R364)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4"/>
      <c r="H365" s="34"/>
      <c r="I365" s="34"/>
      <c r="J365" s="34"/>
      <c r="K365" s="41"/>
      <c r="L365" s="41"/>
      <c r="M365" s="35"/>
      <c r="N365" s="35"/>
      <c r="O365" s="35"/>
      <c r="P365" s="32"/>
      <c r="Q365" s="33"/>
      <c r="R365" s="36" t="str">
        <f aca="false">IF(C365="","",SUMIFS('Payment Claims'!$E$2:$E$501,'Payment Claims'!$A$2:$A$501,A365,'Payment Claims'!$B$2:$B$501,C365,'Payment Claims'!$G$2:$G$501,"&lt;&gt;Disputed"))</f>
        <v/>
      </c>
      <c r="S365" s="36" t="str">
        <f aca="false">IF(OR(C365="",G365=""),"",G365-R365)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4"/>
      <c r="H366" s="34"/>
      <c r="I366" s="34"/>
      <c r="J366" s="34"/>
      <c r="K366" s="41"/>
      <c r="L366" s="41"/>
      <c r="M366" s="35"/>
      <c r="N366" s="35"/>
      <c r="O366" s="35"/>
      <c r="P366" s="32"/>
      <c r="Q366" s="33"/>
      <c r="R366" s="36" t="str">
        <f aca="false">IF(C366="","",SUMIFS('Payment Claims'!$E$2:$E$501,'Payment Claims'!$A$2:$A$501,A366,'Payment Claims'!$B$2:$B$501,C366,'Payment Claims'!$G$2:$G$501,"&lt;&gt;Disputed"))</f>
        <v/>
      </c>
      <c r="S366" s="36" t="str">
        <f aca="false">IF(OR(C366="",G366=""),"",G366-R366)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4"/>
      <c r="H367" s="34"/>
      <c r="I367" s="34"/>
      <c r="J367" s="34"/>
      <c r="K367" s="41"/>
      <c r="L367" s="41"/>
      <c r="M367" s="35"/>
      <c r="N367" s="35"/>
      <c r="O367" s="35"/>
      <c r="P367" s="32"/>
      <c r="Q367" s="33"/>
      <c r="R367" s="36" t="str">
        <f aca="false">IF(C367="","",SUMIFS('Payment Claims'!$E$2:$E$501,'Payment Claims'!$A$2:$A$501,A367,'Payment Claims'!$B$2:$B$501,C367,'Payment Claims'!$G$2:$G$501,"&lt;&gt;Disputed"))</f>
        <v/>
      </c>
      <c r="S367" s="36" t="str">
        <f aca="false">IF(OR(C367="",G367=""),"",G367-R367)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4"/>
      <c r="H368" s="34"/>
      <c r="I368" s="34"/>
      <c r="J368" s="34"/>
      <c r="K368" s="41"/>
      <c r="L368" s="41"/>
      <c r="M368" s="35"/>
      <c r="N368" s="35"/>
      <c r="O368" s="35"/>
      <c r="P368" s="32"/>
      <c r="Q368" s="33"/>
      <c r="R368" s="36" t="str">
        <f aca="false">IF(C368="","",SUMIFS('Payment Claims'!$E$2:$E$501,'Payment Claims'!$A$2:$A$501,A368,'Payment Claims'!$B$2:$B$501,C368,'Payment Claims'!$G$2:$G$501,"&lt;&gt;Disputed"))</f>
        <v/>
      </c>
      <c r="S368" s="36" t="str">
        <f aca="false">IF(OR(C368="",G368=""),"",G368-R368)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4"/>
      <c r="H369" s="34"/>
      <c r="I369" s="34"/>
      <c r="J369" s="34"/>
      <c r="K369" s="41"/>
      <c r="L369" s="41"/>
      <c r="M369" s="35"/>
      <c r="N369" s="35"/>
      <c r="O369" s="35"/>
      <c r="P369" s="32"/>
      <c r="Q369" s="33"/>
      <c r="R369" s="36" t="str">
        <f aca="false">IF(C369="","",SUMIFS('Payment Claims'!$E$2:$E$501,'Payment Claims'!$A$2:$A$501,A369,'Payment Claims'!$B$2:$B$501,C369,'Payment Claims'!$G$2:$G$501,"&lt;&gt;Disputed"))</f>
        <v/>
      </c>
      <c r="S369" s="36" t="str">
        <f aca="false">IF(OR(C369="",G369=""),"",G369-R369)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4"/>
      <c r="H370" s="34"/>
      <c r="I370" s="34"/>
      <c r="J370" s="34"/>
      <c r="K370" s="41"/>
      <c r="L370" s="41"/>
      <c r="M370" s="35"/>
      <c r="N370" s="35"/>
      <c r="O370" s="35"/>
      <c r="P370" s="32"/>
      <c r="Q370" s="33"/>
      <c r="R370" s="36" t="str">
        <f aca="false">IF(C370="","",SUMIFS('Payment Claims'!$E$2:$E$501,'Payment Claims'!$A$2:$A$501,A370,'Payment Claims'!$B$2:$B$501,C370,'Payment Claims'!$G$2:$G$501,"&lt;&gt;Disputed"))</f>
        <v/>
      </c>
      <c r="S370" s="36" t="str">
        <f aca="false">IF(OR(C370="",G370=""),"",G370-R370)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4"/>
      <c r="H371" s="34"/>
      <c r="I371" s="34"/>
      <c r="J371" s="34"/>
      <c r="K371" s="41"/>
      <c r="L371" s="41"/>
      <c r="M371" s="35"/>
      <c r="N371" s="35"/>
      <c r="O371" s="35"/>
      <c r="P371" s="32"/>
      <c r="Q371" s="33"/>
      <c r="R371" s="36" t="str">
        <f aca="false">IF(C371="","",SUMIFS('Payment Claims'!$E$2:$E$501,'Payment Claims'!$A$2:$A$501,A371,'Payment Claims'!$B$2:$B$501,C371,'Payment Claims'!$G$2:$G$501,"&lt;&gt;Disputed"))</f>
        <v/>
      </c>
      <c r="S371" s="36" t="str">
        <f aca="false">IF(OR(C371="",G371=""),"",G371-R371)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4"/>
      <c r="H372" s="34"/>
      <c r="I372" s="34"/>
      <c r="J372" s="34"/>
      <c r="K372" s="41"/>
      <c r="L372" s="41"/>
      <c r="M372" s="35"/>
      <c r="N372" s="35"/>
      <c r="O372" s="35"/>
      <c r="P372" s="32"/>
      <c r="Q372" s="33"/>
      <c r="R372" s="36" t="str">
        <f aca="false">IF(C372="","",SUMIFS('Payment Claims'!$E$2:$E$501,'Payment Claims'!$A$2:$A$501,A372,'Payment Claims'!$B$2:$B$501,C372,'Payment Claims'!$G$2:$G$501,"&lt;&gt;Disputed"))</f>
        <v/>
      </c>
      <c r="S372" s="36" t="str">
        <f aca="false">IF(OR(C372="",G372=""),"",G372-R372)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4"/>
      <c r="H373" s="34"/>
      <c r="I373" s="34"/>
      <c r="J373" s="34"/>
      <c r="K373" s="41"/>
      <c r="L373" s="41"/>
      <c r="M373" s="35"/>
      <c r="N373" s="35"/>
      <c r="O373" s="35"/>
      <c r="P373" s="32"/>
      <c r="Q373" s="33"/>
      <c r="R373" s="36" t="str">
        <f aca="false">IF(C373="","",SUMIFS('Payment Claims'!$E$2:$E$501,'Payment Claims'!$A$2:$A$501,A373,'Payment Claims'!$B$2:$B$501,C373,'Payment Claims'!$G$2:$G$501,"&lt;&gt;Disputed"))</f>
        <v/>
      </c>
      <c r="S373" s="36" t="str">
        <f aca="false">IF(OR(C373="",G373=""),"",G373-R373)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4"/>
      <c r="H374" s="34"/>
      <c r="I374" s="34"/>
      <c r="J374" s="34"/>
      <c r="K374" s="41"/>
      <c r="L374" s="41"/>
      <c r="M374" s="35"/>
      <c r="N374" s="35"/>
      <c r="O374" s="35"/>
      <c r="P374" s="32"/>
      <c r="Q374" s="33"/>
      <c r="R374" s="36" t="str">
        <f aca="false">IF(C374="","",SUMIFS('Payment Claims'!$E$2:$E$501,'Payment Claims'!$A$2:$A$501,A374,'Payment Claims'!$B$2:$B$501,C374,'Payment Claims'!$G$2:$G$501,"&lt;&gt;Disputed"))</f>
        <v/>
      </c>
      <c r="S374" s="36" t="str">
        <f aca="false">IF(OR(C374="",G374=""),"",G374-R374)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4"/>
      <c r="H375" s="34"/>
      <c r="I375" s="34"/>
      <c r="J375" s="34"/>
      <c r="K375" s="41"/>
      <c r="L375" s="41"/>
      <c r="M375" s="35"/>
      <c r="N375" s="35"/>
      <c r="O375" s="35"/>
      <c r="P375" s="32"/>
      <c r="Q375" s="33"/>
      <c r="R375" s="36" t="str">
        <f aca="false">IF(C375="","",SUMIFS('Payment Claims'!$E$2:$E$501,'Payment Claims'!$A$2:$A$501,A375,'Payment Claims'!$B$2:$B$501,C375,'Payment Claims'!$G$2:$G$501,"&lt;&gt;Disputed"))</f>
        <v/>
      </c>
      <c r="S375" s="36" t="str">
        <f aca="false">IF(OR(C375="",G375=""),"",G375-R375)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4"/>
      <c r="H376" s="34"/>
      <c r="I376" s="34"/>
      <c r="J376" s="34"/>
      <c r="K376" s="41"/>
      <c r="L376" s="41"/>
      <c r="M376" s="35"/>
      <c r="N376" s="35"/>
      <c r="O376" s="35"/>
      <c r="P376" s="32"/>
      <c r="Q376" s="33"/>
      <c r="R376" s="36" t="str">
        <f aca="false">IF(C376="","",SUMIFS('Payment Claims'!$E$2:$E$501,'Payment Claims'!$A$2:$A$501,A376,'Payment Claims'!$B$2:$B$501,C376,'Payment Claims'!$G$2:$G$501,"&lt;&gt;Disputed"))</f>
        <v/>
      </c>
      <c r="S376" s="36" t="str">
        <f aca="false">IF(OR(C376="",G376=""),"",G376-R376)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4"/>
      <c r="H377" s="34"/>
      <c r="I377" s="34"/>
      <c r="J377" s="34"/>
      <c r="K377" s="41"/>
      <c r="L377" s="41"/>
      <c r="M377" s="35"/>
      <c r="N377" s="35"/>
      <c r="O377" s="35"/>
      <c r="P377" s="32"/>
      <c r="Q377" s="33"/>
      <c r="R377" s="36" t="str">
        <f aca="false">IF(C377="","",SUMIFS('Payment Claims'!$E$2:$E$501,'Payment Claims'!$A$2:$A$501,A377,'Payment Claims'!$B$2:$B$501,C377,'Payment Claims'!$G$2:$G$501,"&lt;&gt;Disputed"))</f>
        <v/>
      </c>
      <c r="S377" s="36" t="str">
        <f aca="false">IF(OR(C377="",G377=""),"",G377-R377)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4"/>
      <c r="H378" s="34"/>
      <c r="I378" s="34"/>
      <c r="J378" s="34"/>
      <c r="K378" s="41"/>
      <c r="L378" s="41"/>
      <c r="M378" s="35"/>
      <c r="N378" s="35"/>
      <c r="O378" s="35"/>
      <c r="P378" s="32"/>
      <c r="Q378" s="33"/>
      <c r="R378" s="36" t="str">
        <f aca="false">IF(C378="","",SUMIFS('Payment Claims'!$E$2:$E$501,'Payment Claims'!$A$2:$A$501,A378,'Payment Claims'!$B$2:$B$501,C378,'Payment Claims'!$G$2:$G$501,"&lt;&gt;Disputed"))</f>
        <v/>
      </c>
      <c r="S378" s="36" t="str">
        <f aca="false">IF(OR(C378="",G378=""),"",G378-R378)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4"/>
      <c r="H379" s="34"/>
      <c r="I379" s="34"/>
      <c r="J379" s="34"/>
      <c r="K379" s="41"/>
      <c r="L379" s="41"/>
      <c r="M379" s="35"/>
      <c r="N379" s="35"/>
      <c r="O379" s="35"/>
      <c r="P379" s="32"/>
      <c r="Q379" s="33"/>
      <c r="R379" s="36" t="str">
        <f aca="false">IF(C379="","",SUMIFS('Payment Claims'!$E$2:$E$501,'Payment Claims'!$A$2:$A$501,A379,'Payment Claims'!$B$2:$B$501,C379,'Payment Claims'!$G$2:$G$501,"&lt;&gt;Disputed"))</f>
        <v/>
      </c>
      <c r="S379" s="36" t="str">
        <f aca="false">IF(OR(C379="",G379=""),"",G379-R379)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4"/>
      <c r="H380" s="34"/>
      <c r="I380" s="34"/>
      <c r="J380" s="34"/>
      <c r="K380" s="41"/>
      <c r="L380" s="41"/>
      <c r="M380" s="35"/>
      <c r="N380" s="35"/>
      <c r="O380" s="35"/>
      <c r="P380" s="32"/>
      <c r="Q380" s="33"/>
      <c r="R380" s="36" t="str">
        <f aca="false">IF(C380="","",SUMIFS('Payment Claims'!$E$2:$E$501,'Payment Claims'!$A$2:$A$501,A380,'Payment Claims'!$B$2:$B$501,C380,'Payment Claims'!$G$2:$G$501,"&lt;&gt;Disputed"))</f>
        <v/>
      </c>
      <c r="S380" s="36" t="str">
        <f aca="false">IF(OR(C380="",G380=""),"",G380-R380)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4"/>
      <c r="H381" s="34"/>
      <c r="I381" s="34"/>
      <c r="J381" s="34"/>
      <c r="K381" s="41"/>
      <c r="L381" s="41"/>
      <c r="M381" s="35"/>
      <c r="N381" s="35"/>
      <c r="O381" s="35"/>
      <c r="P381" s="32"/>
      <c r="Q381" s="33"/>
      <c r="R381" s="36" t="str">
        <f aca="false">IF(C381="","",SUMIFS('Payment Claims'!$E$2:$E$501,'Payment Claims'!$A$2:$A$501,A381,'Payment Claims'!$B$2:$B$501,C381,'Payment Claims'!$G$2:$G$501,"&lt;&gt;Disputed"))</f>
        <v/>
      </c>
      <c r="S381" s="36" t="str">
        <f aca="false">IF(OR(C381="",G381=""),"",G381-R381)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4"/>
      <c r="H382" s="34"/>
      <c r="I382" s="34"/>
      <c r="J382" s="34"/>
      <c r="K382" s="41"/>
      <c r="L382" s="41"/>
      <c r="M382" s="35"/>
      <c r="N382" s="35"/>
      <c r="O382" s="35"/>
      <c r="P382" s="32"/>
      <c r="Q382" s="33"/>
      <c r="R382" s="36" t="str">
        <f aca="false">IF(C382="","",SUMIFS('Payment Claims'!$E$2:$E$501,'Payment Claims'!$A$2:$A$501,A382,'Payment Claims'!$B$2:$B$501,C382,'Payment Claims'!$G$2:$G$501,"&lt;&gt;Disputed"))</f>
        <v/>
      </c>
      <c r="S382" s="36" t="str">
        <f aca="false">IF(OR(C382="",G382=""),"",G382-R382)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4"/>
      <c r="H383" s="34"/>
      <c r="I383" s="34"/>
      <c r="J383" s="34"/>
      <c r="K383" s="41"/>
      <c r="L383" s="41"/>
      <c r="M383" s="35"/>
      <c r="N383" s="35"/>
      <c r="O383" s="35"/>
      <c r="P383" s="32"/>
      <c r="Q383" s="33"/>
      <c r="R383" s="36" t="str">
        <f aca="false">IF(C383="","",SUMIFS('Payment Claims'!$E$2:$E$501,'Payment Claims'!$A$2:$A$501,A383,'Payment Claims'!$B$2:$B$501,C383,'Payment Claims'!$G$2:$G$501,"&lt;&gt;Disputed"))</f>
        <v/>
      </c>
      <c r="S383" s="36" t="str">
        <f aca="false">IF(OR(C383="",G383=""),"",G383-R383)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4"/>
      <c r="H384" s="34"/>
      <c r="I384" s="34"/>
      <c r="J384" s="34"/>
      <c r="K384" s="41"/>
      <c r="L384" s="41"/>
      <c r="M384" s="35"/>
      <c r="N384" s="35"/>
      <c r="O384" s="35"/>
      <c r="P384" s="32"/>
      <c r="Q384" s="33"/>
      <c r="R384" s="36" t="str">
        <f aca="false">IF(C384="","",SUMIFS('Payment Claims'!$E$2:$E$501,'Payment Claims'!$A$2:$A$501,A384,'Payment Claims'!$B$2:$B$501,C384,'Payment Claims'!$G$2:$G$501,"&lt;&gt;Disputed"))</f>
        <v/>
      </c>
      <c r="S384" s="36" t="str">
        <f aca="false">IF(OR(C384="",G384=""),"",G384-R384)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4"/>
      <c r="H385" s="34"/>
      <c r="I385" s="34"/>
      <c r="J385" s="34"/>
      <c r="K385" s="41"/>
      <c r="L385" s="41"/>
      <c r="M385" s="35"/>
      <c r="N385" s="35"/>
      <c r="O385" s="35"/>
      <c r="P385" s="32"/>
      <c r="Q385" s="33"/>
      <c r="R385" s="36" t="str">
        <f aca="false">IF(C385="","",SUMIFS('Payment Claims'!$E$2:$E$501,'Payment Claims'!$A$2:$A$501,A385,'Payment Claims'!$B$2:$B$501,C385,'Payment Claims'!$G$2:$G$501,"&lt;&gt;Disputed"))</f>
        <v/>
      </c>
      <c r="S385" s="36" t="str">
        <f aca="false">IF(OR(C385="",G385=""),"",G385-R385)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4"/>
      <c r="H386" s="34"/>
      <c r="I386" s="34"/>
      <c r="J386" s="34"/>
      <c r="K386" s="41"/>
      <c r="L386" s="41"/>
      <c r="M386" s="35"/>
      <c r="N386" s="35"/>
      <c r="O386" s="35"/>
      <c r="P386" s="32"/>
      <c r="Q386" s="33"/>
      <c r="R386" s="36" t="str">
        <f aca="false">IF(C386="","",SUMIFS('Payment Claims'!$E$2:$E$501,'Payment Claims'!$A$2:$A$501,A386,'Payment Claims'!$B$2:$B$501,C386,'Payment Claims'!$G$2:$G$501,"&lt;&gt;Disputed"))</f>
        <v/>
      </c>
      <c r="S386" s="36" t="str">
        <f aca="false">IF(OR(C386="",G386=""),"",G386-R386)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4"/>
      <c r="H387" s="34"/>
      <c r="I387" s="34"/>
      <c r="J387" s="34"/>
      <c r="K387" s="41"/>
      <c r="L387" s="41"/>
      <c r="M387" s="35"/>
      <c r="N387" s="35"/>
      <c r="O387" s="35"/>
      <c r="P387" s="32"/>
      <c r="Q387" s="33"/>
      <c r="R387" s="36" t="str">
        <f aca="false">IF(C387="","",SUMIFS('Payment Claims'!$E$2:$E$501,'Payment Claims'!$A$2:$A$501,A387,'Payment Claims'!$B$2:$B$501,C387,'Payment Claims'!$G$2:$G$501,"&lt;&gt;Disputed"))</f>
        <v/>
      </c>
      <c r="S387" s="36" t="str">
        <f aca="false">IF(OR(C387="",G387=""),"",G387-R387)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4"/>
      <c r="H388" s="34"/>
      <c r="I388" s="34"/>
      <c r="J388" s="34"/>
      <c r="K388" s="41"/>
      <c r="L388" s="41"/>
      <c r="M388" s="35"/>
      <c r="N388" s="35"/>
      <c r="O388" s="35"/>
      <c r="P388" s="32"/>
      <c r="Q388" s="33"/>
      <c r="R388" s="36" t="str">
        <f aca="false">IF(C388="","",SUMIFS('Payment Claims'!$E$2:$E$501,'Payment Claims'!$A$2:$A$501,A388,'Payment Claims'!$B$2:$B$501,C388,'Payment Claims'!$G$2:$G$501,"&lt;&gt;Disputed"))</f>
        <v/>
      </c>
      <c r="S388" s="36" t="str">
        <f aca="false">IF(OR(C388="",G388=""),"",G388-R388)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4"/>
      <c r="H389" s="34"/>
      <c r="I389" s="34"/>
      <c r="J389" s="34"/>
      <c r="K389" s="41"/>
      <c r="L389" s="41"/>
      <c r="M389" s="35"/>
      <c r="N389" s="35"/>
      <c r="O389" s="35"/>
      <c r="P389" s="32"/>
      <c r="Q389" s="33"/>
      <c r="R389" s="36" t="str">
        <f aca="false">IF(C389="","",SUMIFS('Payment Claims'!$E$2:$E$501,'Payment Claims'!$A$2:$A$501,A389,'Payment Claims'!$B$2:$B$501,C389,'Payment Claims'!$G$2:$G$501,"&lt;&gt;Disputed"))</f>
        <v/>
      </c>
      <c r="S389" s="36" t="str">
        <f aca="false">IF(OR(C389="",G389=""),"",G389-R389)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4"/>
      <c r="H390" s="34"/>
      <c r="I390" s="34"/>
      <c r="J390" s="34"/>
      <c r="K390" s="41"/>
      <c r="L390" s="41"/>
      <c r="M390" s="35"/>
      <c r="N390" s="35"/>
      <c r="O390" s="35"/>
      <c r="P390" s="32"/>
      <c r="Q390" s="33"/>
      <c r="R390" s="36" t="str">
        <f aca="false">IF(C390="","",SUMIFS('Payment Claims'!$E$2:$E$501,'Payment Claims'!$A$2:$A$501,A390,'Payment Claims'!$B$2:$B$501,C390,'Payment Claims'!$G$2:$G$501,"&lt;&gt;Disputed"))</f>
        <v/>
      </c>
      <c r="S390" s="36" t="str">
        <f aca="false">IF(OR(C390="",G390=""),"",G390-R390)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4"/>
      <c r="H391" s="34"/>
      <c r="I391" s="34"/>
      <c r="J391" s="34"/>
      <c r="K391" s="41"/>
      <c r="L391" s="41"/>
      <c r="M391" s="35"/>
      <c r="N391" s="35"/>
      <c r="O391" s="35"/>
      <c r="P391" s="32"/>
      <c r="Q391" s="33"/>
      <c r="R391" s="36" t="str">
        <f aca="false">IF(C391="","",SUMIFS('Payment Claims'!$E$2:$E$501,'Payment Claims'!$A$2:$A$501,A391,'Payment Claims'!$B$2:$B$501,C391,'Payment Claims'!$G$2:$G$501,"&lt;&gt;Disputed"))</f>
        <v/>
      </c>
      <c r="S391" s="36" t="str">
        <f aca="false">IF(OR(C391="",G391=""),"",G391-R391)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4"/>
      <c r="H392" s="34"/>
      <c r="I392" s="34"/>
      <c r="J392" s="34"/>
      <c r="K392" s="41"/>
      <c r="L392" s="41"/>
      <c r="M392" s="35"/>
      <c r="N392" s="35"/>
      <c r="O392" s="35"/>
      <c r="P392" s="32"/>
      <c r="Q392" s="33"/>
      <c r="R392" s="36" t="str">
        <f aca="false">IF(C392="","",SUMIFS('Payment Claims'!$E$2:$E$501,'Payment Claims'!$A$2:$A$501,A392,'Payment Claims'!$B$2:$B$501,C392,'Payment Claims'!$G$2:$G$501,"&lt;&gt;Disputed"))</f>
        <v/>
      </c>
      <c r="S392" s="36" t="str">
        <f aca="false">IF(OR(C392="",G392=""),"",G392-R392)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4"/>
      <c r="H393" s="34"/>
      <c r="I393" s="34"/>
      <c r="J393" s="34"/>
      <c r="K393" s="41"/>
      <c r="L393" s="41"/>
      <c r="M393" s="35"/>
      <c r="N393" s="35"/>
      <c r="O393" s="35"/>
      <c r="P393" s="32"/>
      <c r="Q393" s="33"/>
      <c r="R393" s="36" t="str">
        <f aca="false">IF(C393="","",SUMIFS('Payment Claims'!$E$2:$E$501,'Payment Claims'!$A$2:$A$501,A393,'Payment Claims'!$B$2:$B$501,C393,'Payment Claims'!$G$2:$G$501,"&lt;&gt;Disputed"))</f>
        <v/>
      </c>
      <c r="S393" s="36" t="str">
        <f aca="false">IF(OR(C393="",G393=""),"",G393-R393)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4"/>
      <c r="H394" s="34"/>
      <c r="I394" s="34"/>
      <c r="J394" s="34"/>
      <c r="K394" s="41"/>
      <c r="L394" s="41"/>
      <c r="M394" s="35"/>
      <c r="N394" s="35"/>
      <c r="O394" s="35"/>
      <c r="P394" s="32"/>
      <c r="Q394" s="33"/>
      <c r="R394" s="36" t="str">
        <f aca="false">IF(C394="","",SUMIFS('Payment Claims'!$E$2:$E$501,'Payment Claims'!$A$2:$A$501,A394,'Payment Claims'!$B$2:$B$501,C394,'Payment Claims'!$G$2:$G$501,"&lt;&gt;Disputed"))</f>
        <v/>
      </c>
      <c r="S394" s="36" t="str">
        <f aca="false">IF(OR(C394="",G394=""),"",G394-R394)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4"/>
      <c r="H395" s="34"/>
      <c r="I395" s="34"/>
      <c r="J395" s="34"/>
      <c r="K395" s="41"/>
      <c r="L395" s="41"/>
      <c r="M395" s="35"/>
      <c r="N395" s="35"/>
      <c r="O395" s="35"/>
      <c r="P395" s="32"/>
      <c r="Q395" s="33"/>
      <c r="R395" s="36" t="str">
        <f aca="false">IF(C395="","",SUMIFS('Payment Claims'!$E$2:$E$501,'Payment Claims'!$A$2:$A$501,A395,'Payment Claims'!$B$2:$B$501,C395,'Payment Claims'!$G$2:$G$501,"&lt;&gt;Disputed"))</f>
        <v/>
      </c>
      <c r="S395" s="36" t="str">
        <f aca="false">IF(OR(C395="",G395=""),"",G395-R395)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4"/>
      <c r="H396" s="34"/>
      <c r="I396" s="34"/>
      <c r="J396" s="34"/>
      <c r="K396" s="41"/>
      <c r="L396" s="41"/>
      <c r="M396" s="35"/>
      <c r="N396" s="35"/>
      <c r="O396" s="35"/>
      <c r="P396" s="32"/>
      <c r="Q396" s="33"/>
      <c r="R396" s="36" t="str">
        <f aca="false">IF(C396="","",SUMIFS('Payment Claims'!$E$2:$E$501,'Payment Claims'!$A$2:$A$501,A396,'Payment Claims'!$B$2:$B$501,C396,'Payment Claims'!$G$2:$G$501,"&lt;&gt;Disputed"))</f>
        <v/>
      </c>
      <c r="S396" s="36" t="str">
        <f aca="false">IF(OR(C396="",G396=""),"",G396-R396)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4"/>
      <c r="H397" s="34"/>
      <c r="I397" s="34"/>
      <c r="J397" s="34"/>
      <c r="K397" s="41"/>
      <c r="L397" s="41"/>
      <c r="M397" s="35"/>
      <c r="N397" s="35"/>
      <c r="O397" s="35"/>
      <c r="P397" s="32"/>
      <c r="Q397" s="33"/>
      <c r="R397" s="36" t="str">
        <f aca="false">IF(C397="","",SUMIFS('Payment Claims'!$E$2:$E$501,'Payment Claims'!$A$2:$A$501,A397,'Payment Claims'!$B$2:$B$501,C397,'Payment Claims'!$G$2:$G$501,"&lt;&gt;Disputed"))</f>
        <v/>
      </c>
      <c r="S397" s="36" t="str">
        <f aca="false">IF(OR(C397="",G397=""),"",G397-R397)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4"/>
      <c r="H398" s="34"/>
      <c r="I398" s="34"/>
      <c r="J398" s="34"/>
      <c r="K398" s="41"/>
      <c r="L398" s="41"/>
      <c r="M398" s="35"/>
      <c r="N398" s="35"/>
      <c r="O398" s="35"/>
      <c r="P398" s="32"/>
      <c r="Q398" s="33"/>
      <c r="R398" s="36" t="str">
        <f aca="false">IF(C398="","",SUMIFS('Payment Claims'!$E$2:$E$501,'Payment Claims'!$A$2:$A$501,A398,'Payment Claims'!$B$2:$B$501,C398,'Payment Claims'!$G$2:$G$501,"&lt;&gt;Disputed"))</f>
        <v/>
      </c>
      <c r="S398" s="36" t="str">
        <f aca="false">IF(OR(C398="",G398=""),"",G398-R398)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4"/>
      <c r="H399" s="34"/>
      <c r="I399" s="34"/>
      <c r="J399" s="34"/>
      <c r="K399" s="41"/>
      <c r="L399" s="41"/>
      <c r="M399" s="35"/>
      <c r="N399" s="35"/>
      <c r="O399" s="35"/>
      <c r="P399" s="32"/>
      <c r="Q399" s="33"/>
      <c r="R399" s="36" t="str">
        <f aca="false">IF(C399="","",SUMIFS('Payment Claims'!$E$2:$E$501,'Payment Claims'!$A$2:$A$501,A399,'Payment Claims'!$B$2:$B$501,C399,'Payment Claims'!$G$2:$G$501,"&lt;&gt;Disputed"))</f>
        <v/>
      </c>
      <c r="S399" s="36" t="str">
        <f aca="false">IF(OR(C399="",G399=""),"",G399-R399)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4"/>
      <c r="H400" s="34"/>
      <c r="I400" s="34"/>
      <c r="J400" s="34"/>
      <c r="K400" s="41"/>
      <c r="L400" s="41"/>
      <c r="M400" s="35"/>
      <c r="N400" s="35"/>
      <c r="O400" s="35"/>
      <c r="P400" s="32"/>
      <c r="Q400" s="33"/>
      <c r="R400" s="36" t="str">
        <f aca="false">IF(C400="","",SUMIFS('Payment Claims'!$E$2:$E$501,'Payment Claims'!$A$2:$A$501,A400,'Payment Claims'!$B$2:$B$501,C400,'Payment Claims'!$G$2:$G$501,"&lt;&gt;Disputed"))</f>
        <v/>
      </c>
      <c r="S400" s="36" t="str">
        <f aca="false">IF(OR(C400="",G400=""),"",G400-R400)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4"/>
      <c r="H401" s="34"/>
      <c r="I401" s="34"/>
      <c r="J401" s="34"/>
      <c r="K401" s="41"/>
      <c r="L401" s="41"/>
      <c r="M401" s="35"/>
      <c r="N401" s="35"/>
      <c r="O401" s="35"/>
      <c r="P401" s="32"/>
      <c r="Q401" s="33"/>
      <c r="R401" s="36" t="str">
        <f aca="false">IF(C401="","",SUMIFS('Payment Claims'!$E$2:$E$501,'Payment Claims'!$A$2:$A$501,A401,'Payment Claims'!$B$2:$B$501,C401,'Payment Claims'!$G$2:$G$501,"&lt;&gt;Disputed"))</f>
        <v/>
      </c>
      <c r="S401" s="36" t="str">
        <f aca="false">IF(OR(C401="",G401=""),"",G401-R401)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4"/>
      <c r="H402" s="34"/>
      <c r="I402" s="34"/>
      <c r="J402" s="34"/>
      <c r="K402" s="41"/>
      <c r="L402" s="41"/>
      <c r="M402" s="35"/>
      <c r="N402" s="35"/>
      <c r="O402" s="35"/>
      <c r="P402" s="32"/>
      <c r="Q402" s="33"/>
      <c r="R402" s="36" t="str">
        <f aca="false">IF(C402="","",SUMIFS('Payment Claims'!$E$2:$E$501,'Payment Claims'!$A$2:$A$501,A402,'Payment Claims'!$B$2:$B$501,C402,'Payment Claims'!$G$2:$G$501,"&lt;&gt;Disputed"))</f>
        <v/>
      </c>
      <c r="S402" s="36" t="str">
        <f aca="false">IF(OR(C402="",G402=""),"",G402-R402)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4"/>
      <c r="H403" s="34"/>
      <c r="I403" s="34"/>
      <c r="J403" s="34"/>
      <c r="K403" s="41"/>
      <c r="L403" s="41"/>
      <c r="M403" s="35"/>
      <c r="N403" s="35"/>
      <c r="O403" s="35"/>
      <c r="P403" s="32"/>
      <c r="Q403" s="33"/>
      <c r="R403" s="36" t="str">
        <f aca="false">IF(C403="","",SUMIFS('Payment Claims'!$E$2:$E$501,'Payment Claims'!$A$2:$A$501,A403,'Payment Claims'!$B$2:$B$501,C403,'Payment Claims'!$G$2:$G$501,"&lt;&gt;Disputed"))</f>
        <v/>
      </c>
      <c r="S403" s="36" t="str">
        <f aca="false">IF(OR(C403="",G403=""),"",G403-R403)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4"/>
      <c r="H404" s="34"/>
      <c r="I404" s="34"/>
      <c r="J404" s="34"/>
      <c r="K404" s="41"/>
      <c r="L404" s="41"/>
      <c r="M404" s="35"/>
      <c r="N404" s="35"/>
      <c r="O404" s="35"/>
      <c r="P404" s="32"/>
      <c r="Q404" s="33"/>
      <c r="R404" s="36" t="str">
        <f aca="false">IF(C404="","",SUMIFS('Payment Claims'!$E$2:$E$501,'Payment Claims'!$A$2:$A$501,A404,'Payment Claims'!$B$2:$B$501,C404,'Payment Claims'!$G$2:$G$501,"&lt;&gt;Disputed"))</f>
        <v/>
      </c>
      <c r="S404" s="36" t="str">
        <f aca="false">IF(OR(C404="",G404=""),"",G404-R404)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4"/>
      <c r="H405" s="34"/>
      <c r="I405" s="34"/>
      <c r="J405" s="34"/>
      <c r="K405" s="41"/>
      <c r="L405" s="41"/>
      <c r="M405" s="35"/>
      <c r="N405" s="35"/>
      <c r="O405" s="35"/>
      <c r="P405" s="32"/>
      <c r="Q405" s="33"/>
      <c r="R405" s="36" t="str">
        <f aca="false">IF(C405="","",SUMIFS('Payment Claims'!$E$2:$E$501,'Payment Claims'!$A$2:$A$501,A405,'Payment Claims'!$B$2:$B$501,C405,'Payment Claims'!$G$2:$G$501,"&lt;&gt;Disputed"))</f>
        <v/>
      </c>
      <c r="S405" s="36" t="str">
        <f aca="false">IF(OR(C405="",G405=""),"",G405-R405)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4"/>
      <c r="H406" s="34"/>
      <c r="I406" s="34"/>
      <c r="J406" s="34"/>
      <c r="K406" s="41"/>
      <c r="L406" s="41"/>
      <c r="M406" s="35"/>
      <c r="N406" s="35"/>
      <c r="O406" s="35"/>
      <c r="P406" s="32"/>
      <c r="Q406" s="33"/>
      <c r="R406" s="36" t="str">
        <f aca="false">IF(C406="","",SUMIFS('Payment Claims'!$E$2:$E$501,'Payment Claims'!$A$2:$A$501,A406,'Payment Claims'!$B$2:$B$501,C406,'Payment Claims'!$G$2:$G$501,"&lt;&gt;Disputed"))</f>
        <v/>
      </c>
      <c r="S406" s="36" t="str">
        <f aca="false">IF(OR(C406="",G406=""),"",G406-R406)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4"/>
      <c r="H407" s="34"/>
      <c r="I407" s="34"/>
      <c r="J407" s="34"/>
      <c r="K407" s="41"/>
      <c r="L407" s="41"/>
      <c r="M407" s="35"/>
      <c r="N407" s="35"/>
      <c r="O407" s="35"/>
      <c r="P407" s="32"/>
      <c r="Q407" s="33"/>
      <c r="R407" s="36" t="str">
        <f aca="false">IF(C407="","",SUMIFS('Payment Claims'!$E$2:$E$501,'Payment Claims'!$A$2:$A$501,A407,'Payment Claims'!$B$2:$B$501,C407,'Payment Claims'!$G$2:$G$501,"&lt;&gt;Disputed"))</f>
        <v/>
      </c>
      <c r="S407" s="36" t="str">
        <f aca="false">IF(OR(C407="",G407=""),"",G407-R407)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4"/>
      <c r="H408" s="34"/>
      <c r="I408" s="34"/>
      <c r="J408" s="34"/>
      <c r="K408" s="41"/>
      <c r="L408" s="41"/>
      <c r="M408" s="35"/>
      <c r="N408" s="35"/>
      <c r="O408" s="35"/>
      <c r="P408" s="32"/>
      <c r="Q408" s="33"/>
      <c r="R408" s="36" t="str">
        <f aca="false">IF(C408="","",SUMIFS('Payment Claims'!$E$2:$E$501,'Payment Claims'!$A$2:$A$501,A408,'Payment Claims'!$B$2:$B$501,C408,'Payment Claims'!$G$2:$G$501,"&lt;&gt;Disputed"))</f>
        <v/>
      </c>
      <c r="S408" s="36" t="str">
        <f aca="false">IF(OR(C408="",G408=""),"",G408-R408)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4"/>
      <c r="H409" s="34"/>
      <c r="I409" s="34"/>
      <c r="J409" s="34"/>
      <c r="K409" s="41"/>
      <c r="L409" s="41"/>
      <c r="M409" s="35"/>
      <c r="N409" s="35"/>
      <c r="O409" s="35"/>
      <c r="P409" s="32"/>
      <c r="Q409" s="33"/>
      <c r="R409" s="36" t="str">
        <f aca="false">IF(C409="","",SUMIFS('Payment Claims'!$E$2:$E$501,'Payment Claims'!$A$2:$A$501,A409,'Payment Claims'!$B$2:$B$501,C409,'Payment Claims'!$G$2:$G$501,"&lt;&gt;Disputed"))</f>
        <v/>
      </c>
      <c r="S409" s="36" t="str">
        <f aca="false">IF(OR(C409="",G409=""),"",G409-R409)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4"/>
      <c r="H410" s="34"/>
      <c r="I410" s="34"/>
      <c r="J410" s="34"/>
      <c r="K410" s="41"/>
      <c r="L410" s="41"/>
      <c r="M410" s="35"/>
      <c r="N410" s="35"/>
      <c r="O410" s="35"/>
      <c r="P410" s="32"/>
      <c r="Q410" s="33"/>
      <c r="R410" s="36" t="str">
        <f aca="false">IF(C410="","",SUMIFS('Payment Claims'!$E$2:$E$501,'Payment Claims'!$A$2:$A$501,A410,'Payment Claims'!$B$2:$B$501,C410,'Payment Claims'!$G$2:$G$501,"&lt;&gt;Disputed"))</f>
        <v/>
      </c>
      <c r="S410" s="36" t="str">
        <f aca="false">IF(OR(C410="",G410=""),"",G410-R410)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4"/>
      <c r="H411" s="34"/>
      <c r="I411" s="34"/>
      <c r="J411" s="34"/>
      <c r="K411" s="41"/>
      <c r="L411" s="41"/>
      <c r="M411" s="35"/>
      <c r="N411" s="35"/>
      <c r="O411" s="35"/>
      <c r="P411" s="32"/>
      <c r="Q411" s="33"/>
      <c r="R411" s="36" t="str">
        <f aca="false">IF(C411="","",SUMIFS('Payment Claims'!$E$2:$E$501,'Payment Claims'!$A$2:$A$501,A411,'Payment Claims'!$B$2:$B$501,C411,'Payment Claims'!$G$2:$G$501,"&lt;&gt;Disputed"))</f>
        <v/>
      </c>
      <c r="S411" s="36" t="str">
        <f aca="false">IF(OR(C411="",G411=""),"",G411-R411)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4"/>
      <c r="H412" s="34"/>
      <c r="I412" s="34"/>
      <c r="J412" s="34"/>
      <c r="K412" s="41"/>
      <c r="L412" s="41"/>
      <c r="M412" s="35"/>
      <c r="N412" s="35"/>
      <c r="O412" s="35"/>
      <c r="P412" s="32"/>
      <c r="Q412" s="33"/>
      <c r="R412" s="36" t="str">
        <f aca="false">IF(C412="","",SUMIFS('Payment Claims'!$E$2:$E$501,'Payment Claims'!$A$2:$A$501,A412,'Payment Claims'!$B$2:$B$501,C412,'Payment Claims'!$G$2:$G$501,"&lt;&gt;Disputed"))</f>
        <v/>
      </c>
      <c r="S412" s="36" t="str">
        <f aca="false">IF(OR(C412="",G412=""),"",G412-R412)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4"/>
      <c r="H413" s="34"/>
      <c r="I413" s="34"/>
      <c r="J413" s="34"/>
      <c r="K413" s="41"/>
      <c r="L413" s="41"/>
      <c r="M413" s="35"/>
      <c r="N413" s="35"/>
      <c r="O413" s="35"/>
      <c r="P413" s="32"/>
      <c r="Q413" s="33"/>
      <c r="R413" s="36" t="str">
        <f aca="false">IF(C413="","",SUMIFS('Payment Claims'!$E$2:$E$501,'Payment Claims'!$A$2:$A$501,A413,'Payment Claims'!$B$2:$B$501,C413,'Payment Claims'!$G$2:$G$501,"&lt;&gt;Disputed"))</f>
        <v/>
      </c>
      <c r="S413" s="36" t="str">
        <f aca="false">IF(OR(C413="",G413=""),"",G413-R413)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4"/>
      <c r="H414" s="34"/>
      <c r="I414" s="34"/>
      <c r="J414" s="34"/>
      <c r="K414" s="41"/>
      <c r="L414" s="41"/>
      <c r="M414" s="35"/>
      <c r="N414" s="35"/>
      <c r="O414" s="35"/>
      <c r="P414" s="32"/>
      <c r="Q414" s="33"/>
      <c r="R414" s="36" t="str">
        <f aca="false">IF(C414="","",SUMIFS('Payment Claims'!$E$2:$E$501,'Payment Claims'!$A$2:$A$501,A414,'Payment Claims'!$B$2:$B$501,C414,'Payment Claims'!$G$2:$G$501,"&lt;&gt;Disputed"))</f>
        <v/>
      </c>
      <c r="S414" s="36" t="str">
        <f aca="false">IF(OR(C414="",G414=""),"",G414-R414)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4"/>
      <c r="H415" s="34"/>
      <c r="I415" s="34"/>
      <c r="J415" s="34"/>
      <c r="K415" s="41"/>
      <c r="L415" s="41"/>
      <c r="M415" s="35"/>
      <c r="N415" s="35"/>
      <c r="O415" s="35"/>
      <c r="P415" s="32"/>
      <c r="Q415" s="33"/>
      <c r="R415" s="36" t="str">
        <f aca="false">IF(C415="","",SUMIFS('Payment Claims'!$E$2:$E$501,'Payment Claims'!$A$2:$A$501,A415,'Payment Claims'!$B$2:$B$501,C415,'Payment Claims'!$G$2:$G$501,"&lt;&gt;Disputed"))</f>
        <v/>
      </c>
      <c r="S415" s="36" t="str">
        <f aca="false">IF(OR(C415="",G415=""),"",G415-R415)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4"/>
      <c r="H416" s="34"/>
      <c r="I416" s="34"/>
      <c r="J416" s="34"/>
      <c r="K416" s="41"/>
      <c r="L416" s="41"/>
      <c r="M416" s="35"/>
      <c r="N416" s="35"/>
      <c r="O416" s="35"/>
      <c r="P416" s="32"/>
      <c r="Q416" s="33"/>
      <c r="R416" s="36" t="str">
        <f aca="false">IF(C416="","",SUMIFS('Payment Claims'!$E$2:$E$501,'Payment Claims'!$A$2:$A$501,A416,'Payment Claims'!$B$2:$B$501,C416,'Payment Claims'!$G$2:$G$501,"&lt;&gt;Disputed"))</f>
        <v/>
      </c>
      <c r="S416" s="36" t="str">
        <f aca="false">IF(OR(C416="",G416=""),"",G416-R416)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4"/>
      <c r="H417" s="34"/>
      <c r="I417" s="34"/>
      <c r="J417" s="34"/>
      <c r="K417" s="41"/>
      <c r="L417" s="41"/>
      <c r="M417" s="35"/>
      <c r="N417" s="35"/>
      <c r="O417" s="35"/>
      <c r="P417" s="32"/>
      <c r="Q417" s="33"/>
      <c r="R417" s="36" t="str">
        <f aca="false">IF(C417="","",SUMIFS('Payment Claims'!$E$2:$E$501,'Payment Claims'!$A$2:$A$501,A417,'Payment Claims'!$B$2:$B$501,C417,'Payment Claims'!$G$2:$G$501,"&lt;&gt;Disputed"))</f>
        <v/>
      </c>
      <c r="S417" s="36" t="str">
        <f aca="false">IF(OR(C417="",G417=""),"",G417-R417)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4"/>
      <c r="H418" s="34"/>
      <c r="I418" s="34"/>
      <c r="J418" s="34"/>
      <c r="K418" s="41"/>
      <c r="L418" s="41"/>
      <c r="M418" s="35"/>
      <c r="N418" s="35"/>
      <c r="O418" s="35"/>
      <c r="P418" s="32"/>
      <c r="Q418" s="33"/>
      <c r="R418" s="36" t="str">
        <f aca="false">IF(C418="","",SUMIFS('Payment Claims'!$E$2:$E$501,'Payment Claims'!$A$2:$A$501,A418,'Payment Claims'!$B$2:$B$501,C418,'Payment Claims'!$G$2:$G$501,"&lt;&gt;Disputed"))</f>
        <v/>
      </c>
      <c r="S418" s="36" t="str">
        <f aca="false">IF(OR(C418="",G418=""),"",G418-R418)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4"/>
      <c r="H419" s="34"/>
      <c r="I419" s="34"/>
      <c r="J419" s="34"/>
      <c r="K419" s="41"/>
      <c r="L419" s="41"/>
      <c r="M419" s="35"/>
      <c r="N419" s="35"/>
      <c r="O419" s="35"/>
      <c r="P419" s="32"/>
      <c r="Q419" s="33"/>
      <c r="R419" s="36" t="str">
        <f aca="false">IF(C419="","",SUMIFS('Payment Claims'!$E$2:$E$501,'Payment Claims'!$A$2:$A$501,A419,'Payment Claims'!$B$2:$B$501,C419,'Payment Claims'!$G$2:$G$501,"&lt;&gt;Disputed"))</f>
        <v/>
      </c>
      <c r="S419" s="36" t="str">
        <f aca="false">IF(OR(C419="",G419=""),"",G419-R419)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4"/>
      <c r="H420" s="34"/>
      <c r="I420" s="34"/>
      <c r="J420" s="34"/>
      <c r="K420" s="41"/>
      <c r="L420" s="41"/>
      <c r="M420" s="35"/>
      <c r="N420" s="35"/>
      <c r="O420" s="35"/>
      <c r="P420" s="32"/>
      <c r="Q420" s="33"/>
      <c r="R420" s="36" t="str">
        <f aca="false">IF(C420="","",SUMIFS('Payment Claims'!$E$2:$E$501,'Payment Claims'!$A$2:$A$501,A420,'Payment Claims'!$B$2:$B$501,C420,'Payment Claims'!$G$2:$G$501,"&lt;&gt;Disputed"))</f>
        <v/>
      </c>
      <c r="S420" s="36" t="str">
        <f aca="false">IF(OR(C420="",G420=""),"",G420-R420)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4"/>
      <c r="H421" s="34"/>
      <c r="I421" s="34"/>
      <c r="J421" s="34"/>
      <c r="K421" s="41"/>
      <c r="L421" s="41"/>
      <c r="M421" s="35"/>
      <c r="N421" s="35"/>
      <c r="O421" s="35"/>
      <c r="P421" s="32"/>
      <c r="Q421" s="33"/>
      <c r="R421" s="36" t="str">
        <f aca="false">IF(C421="","",SUMIFS('Payment Claims'!$E$2:$E$501,'Payment Claims'!$A$2:$A$501,A421,'Payment Claims'!$B$2:$B$501,C421,'Payment Claims'!$G$2:$G$501,"&lt;&gt;Disputed"))</f>
        <v/>
      </c>
      <c r="S421" s="36" t="str">
        <f aca="false">IF(OR(C421="",G421=""),"",G421-R421)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4"/>
      <c r="H422" s="34"/>
      <c r="I422" s="34"/>
      <c r="J422" s="34"/>
      <c r="K422" s="41"/>
      <c r="L422" s="41"/>
      <c r="M422" s="35"/>
      <c r="N422" s="35"/>
      <c r="O422" s="35"/>
      <c r="P422" s="32"/>
      <c r="Q422" s="33"/>
      <c r="R422" s="36" t="str">
        <f aca="false">IF(C422="","",SUMIFS('Payment Claims'!$E$2:$E$501,'Payment Claims'!$A$2:$A$501,A422,'Payment Claims'!$B$2:$B$501,C422,'Payment Claims'!$G$2:$G$501,"&lt;&gt;Disputed"))</f>
        <v/>
      </c>
      <c r="S422" s="36" t="str">
        <f aca="false">IF(OR(C422="",G422=""),"",G422-R422)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4"/>
      <c r="H423" s="34"/>
      <c r="I423" s="34"/>
      <c r="J423" s="34"/>
      <c r="K423" s="41"/>
      <c r="L423" s="41"/>
      <c r="M423" s="35"/>
      <c r="N423" s="35"/>
      <c r="O423" s="35"/>
      <c r="P423" s="32"/>
      <c r="Q423" s="33"/>
      <c r="R423" s="36" t="str">
        <f aca="false">IF(C423="","",SUMIFS('Payment Claims'!$E$2:$E$501,'Payment Claims'!$A$2:$A$501,A423,'Payment Claims'!$B$2:$B$501,C423,'Payment Claims'!$G$2:$G$501,"&lt;&gt;Disputed"))</f>
        <v/>
      </c>
      <c r="S423" s="36" t="str">
        <f aca="false">IF(OR(C423="",G423=""),"",G423-R423)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4"/>
      <c r="H424" s="34"/>
      <c r="I424" s="34"/>
      <c r="J424" s="34"/>
      <c r="K424" s="41"/>
      <c r="L424" s="41"/>
      <c r="M424" s="35"/>
      <c r="N424" s="35"/>
      <c r="O424" s="35"/>
      <c r="P424" s="32"/>
      <c r="Q424" s="33"/>
      <c r="R424" s="36" t="str">
        <f aca="false">IF(C424="","",SUMIFS('Payment Claims'!$E$2:$E$501,'Payment Claims'!$A$2:$A$501,A424,'Payment Claims'!$B$2:$B$501,C424,'Payment Claims'!$G$2:$G$501,"&lt;&gt;Disputed"))</f>
        <v/>
      </c>
      <c r="S424" s="36" t="str">
        <f aca="false">IF(OR(C424="",G424=""),"",G424-R424)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4"/>
      <c r="H425" s="34"/>
      <c r="I425" s="34"/>
      <c r="J425" s="34"/>
      <c r="K425" s="41"/>
      <c r="L425" s="41"/>
      <c r="M425" s="35"/>
      <c r="N425" s="35"/>
      <c r="O425" s="35"/>
      <c r="P425" s="32"/>
      <c r="Q425" s="33"/>
      <c r="R425" s="36" t="str">
        <f aca="false">IF(C425="","",SUMIFS('Payment Claims'!$E$2:$E$501,'Payment Claims'!$A$2:$A$501,A425,'Payment Claims'!$B$2:$B$501,C425,'Payment Claims'!$G$2:$G$501,"&lt;&gt;Disputed"))</f>
        <v/>
      </c>
      <c r="S425" s="36" t="str">
        <f aca="false">IF(OR(C425="",G425=""),"",G425-R425)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4"/>
      <c r="H426" s="34"/>
      <c r="I426" s="34"/>
      <c r="J426" s="34"/>
      <c r="K426" s="41"/>
      <c r="L426" s="41"/>
      <c r="M426" s="35"/>
      <c r="N426" s="35"/>
      <c r="O426" s="35"/>
      <c r="P426" s="32"/>
      <c r="Q426" s="33"/>
      <c r="R426" s="36" t="str">
        <f aca="false">IF(C426="","",SUMIFS('Payment Claims'!$E$2:$E$501,'Payment Claims'!$A$2:$A$501,A426,'Payment Claims'!$B$2:$B$501,C426,'Payment Claims'!$G$2:$G$501,"&lt;&gt;Disputed"))</f>
        <v/>
      </c>
      <c r="S426" s="36" t="str">
        <f aca="false">IF(OR(C426="",G426=""),"",G426-R426)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4"/>
      <c r="H427" s="34"/>
      <c r="I427" s="34"/>
      <c r="J427" s="34"/>
      <c r="K427" s="41"/>
      <c r="L427" s="41"/>
      <c r="M427" s="35"/>
      <c r="N427" s="35"/>
      <c r="O427" s="35"/>
      <c r="P427" s="32"/>
      <c r="Q427" s="33"/>
      <c r="R427" s="36" t="str">
        <f aca="false">IF(C427="","",SUMIFS('Payment Claims'!$E$2:$E$501,'Payment Claims'!$A$2:$A$501,A427,'Payment Claims'!$B$2:$B$501,C427,'Payment Claims'!$G$2:$G$501,"&lt;&gt;Disputed"))</f>
        <v/>
      </c>
      <c r="S427" s="36" t="str">
        <f aca="false">IF(OR(C427="",G427=""),"",G427-R427)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4"/>
      <c r="H428" s="34"/>
      <c r="I428" s="34"/>
      <c r="J428" s="34"/>
      <c r="K428" s="41"/>
      <c r="L428" s="41"/>
      <c r="M428" s="35"/>
      <c r="N428" s="35"/>
      <c r="O428" s="35"/>
      <c r="P428" s="32"/>
      <c r="Q428" s="33"/>
      <c r="R428" s="36" t="str">
        <f aca="false">IF(C428="","",SUMIFS('Payment Claims'!$E$2:$E$501,'Payment Claims'!$A$2:$A$501,A428,'Payment Claims'!$B$2:$B$501,C428,'Payment Claims'!$G$2:$G$501,"&lt;&gt;Disputed"))</f>
        <v/>
      </c>
      <c r="S428" s="36" t="str">
        <f aca="false">IF(OR(C428="",G428=""),"",G428-R428)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4"/>
      <c r="H429" s="34"/>
      <c r="I429" s="34"/>
      <c r="J429" s="34"/>
      <c r="K429" s="41"/>
      <c r="L429" s="41"/>
      <c r="M429" s="35"/>
      <c r="N429" s="35"/>
      <c r="O429" s="35"/>
      <c r="P429" s="32"/>
      <c r="Q429" s="33"/>
      <c r="R429" s="36" t="str">
        <f aca="false">IF(C429="","",SUMIFS('Payment Claims'!$E$2:$E$501,'Payment Claims'!$A$2:$A$501,A429,'Payment Claims'!$B$2:$B$501,C429,'Payment Claims'!$G$2:$G$501,"&lt;&gt;Disputed"))</f>
        <v/>
      </c>
      <c r="S429" s="36" t="str">
        <f aca="false">IF(OR(C429="",G429=""),"",G429-R429)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4"/>
      <c r="H430" s="34"/>
      <c r="I430" s="34"/>
      <c r="J430" s="34"/>
      <c r="K430" s="41"/>
      <c r="L430" s="41"/>
      <c r="M430" s="35"/>
      <c r="N430" s="35"/>
      <c r="O430" s="35"/>
      <c r="P430" s="32"/>
      <c r="Q430" s="33"/>
      <c r="R430" s="36" t="str">
        <f aca="false">IF(C430="","",SUMIFS('Payment Claims'!$E$2:$E$501,'Payment Claims'!$A$2:$A$501,A430,'Payment Claims'!$B$2:$B$501,C430,'Payment Claims'!$G$2:$G$501,"&lt;&gt;Disputed"))</f>
        <v/>
      </c>
      <c r="S430" s="36" t="str">
        <f aca="false">IF(OR(C430="",G430=""),"",G430-R430)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4"/>
      <c r="H431" s="34"/>
      <c r="I431" s="34"/>
      <c r="J431" s="34"/>
      <c r="K431" s="41"/>
      <c r="L431" s="41"/>
      <c r="M431" s="35"/>
      <c r="N431" s="35"/>
      <c r="O431" s="35"/>
      <c r="P431" s="32"/>
      <c r="Q431" s="33"/>
      <c r="R431" s="36" t="str">
        <f aca="false">IF(C431="","",SUMIFS('Payment Claims'!$E$2:$E$501,'Payment Claims'!$A$2:$A$501,A431,'Payment Claims'!$B$2:$B$501,C431,'Payment Claims'!$G$2:$G$501,"&lt;&gt;Disputed"))</f>
        <v/>
      </c>
      <c r="S431" s="36" t="str">
        <f aca="false">IF(OR(C431="",G431=""),"",G431-R431)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4"/>
      <c r="H432" s="34"/>
      <c r="I432" s="34"/>
      <c r="J432" s="34"/>
      <c r="K432" s="41"/>
      <c r="L432" s="41"/>
      <c r="M432" s="35"/>
      <c r="N432" s="35"/>
      <c r="O432" s="35"/>
      <c r="P432" s="32"/>
      <c r="Q432" s="33"/>
      <c r="R432" s="36" t="str">
        <f aca="false">IF(C432="","",SUMIFS('Payment Claims'!$E$2:$E$501,'Payment Claims'!$A$2:$A$501,A432,'Payment Claims'!$B$2:$B$501,C432,'Payment Claims'!$G$2:$G$501,"&lt;&gt;Disputed"))</f>
        <v/>
      </c>
      <c r="S432" s="36" t="str">
        <f aca="false">IF(OR(C432="",G432=""),"",G432-R432)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4"/>
      <c r="H433" s="34"/>
      <c r="I433" s="34"/>
      <c r="J433" s="34"/>
      <c r="K433" s="41"/>
      <c r="L433" s="41"/>
      <c r="M433" s="35"/>
      <c r="N433" s="35"/>
      <c r="O433" s="35"/>
      <c r="P433" s="32"/>
      <c r="Q433" s="33"/>
      <c r="R433" s="36" t="str">
        <f aca="false">IF(C433="","",SUMIFS('Payment Claims'!$E$2:$E$501,'Payment Claims'!$A$2:$A$501,A433,'Payment Claims'!$B$2:$B$501,C433,'Payment Claims'!$G$2:$G$501,"&lt;&gt;Disputed"))</f>
        <v/>
      </c>
      <c r="S433" s="36" t="str">
        <f aca="false">IF(OR(C433="",G433=""),"",G433-R433)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4"/>
      <c r="H434" s="34"/>
      <c r="I434" s="34"/>
      <c r="J434" s="34"/>
      <c r="K434" s="41"/>
      <c r="L434" s="41"/>
      <c r="M434" s="35"/>
      <c r="N434" s="35"/>
      <c r="O434" s="35"/>
      <c r="P434" s="32"/>
      <c r="Q434" s="33"/>
      <c r="R434" s="36" t="str">
        <f aca="false">IF(C434="","",SUMIFS('Payment Claims'!$E$2:$E$501,'Payment Claims'!$A$2:$A$501,A434,'Payment Claims'!$B$2:$B$501,C434,'Payment Claims'!$G$2:$G$501,"&lt;&gt;Disputed"))</f>
        <v/>
      </c>
      <c r="S434" s="36" t="str">
        <f aca="false">IF(OR(C434="",G434=""),"",G434-R434)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4"/>
      <c r="H435" s="34"/>
      <c r="I435" s="34"/>
      <c r="J435" s="34"/>
      <c r="K435" s="41"/>
      <c r="L435" s="41"/>
      <c r="M435" s="35"/>
      <c r="N435" s="35"/>
      <c r="O435" s="35"/>
      <c r="P435" s="32"/>
      <c r="Q435" s="33"/>
      <c r="R435" s="36" t="str">
        <f aca="false">IF(C435="","",SUMIFS('Payment Claims'!$E$2:$E$501,'Payment Claims'!$A$2:$A$501,A435,'Payment Claims'!$B$2:$B$501,C435,'Payment Claims'!$G$2:$G$501,"&lt;&gt;Disputed"))</f>
        <v/>
      </c>
      <c r="S435" s="36" t="str">
        <f aca="false">IF(OR(C435="",G435=""),"",G435-R435)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4"/>
      <c r="H436" s="34"/>
      <c r="I436" s="34"/>
      <c r="J436" s="34"/>
      <c r="K436" s="41"/>
      <c r="L436" s="41"/>
      <c r="M436" s="35"/>
      <c r="N436" s="35"/>
      <c r="O436" s="35"/>
      <c r="P436" s="32"/>
      <c r="Q436" s="33"/>
      <c r="R436" s="36" t="str">
        <f aca="false">IF(C436="","",SUMIFS('Payment Claims'!$E$2:$E$501,'Payment Claims'!$A$2:$A$501,A436,'Payment Claims'!$B$2:$B$501,C436,'Payment Claims'!$G$2:$G$501,"&lt;&gt;Disputed"))</f>
        <v/>
      </c>
      <c r="S436" s="36" t="str">
        <f aca="false">IF(OR(C436="",G436=""),"",G436-R436)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4"/>
      <c r="H437" s="34"/>
      <c r="I437" s="34"/>
      <c r="J437" s="34"/>
      <c r="K437" s="41"/>
      <c r="L437" s="41"/>
      <c r="M437" s="35"/>
      <c r="N437" s="35"/>
      <c r="O437" s="35"/>
      <c r="P437" s="32"/>
      <c r="Q437" s="33"/>
      <c r="R437" s="36" t="str">
        <f aca="false">IF(C437="","",SUMIFS('Payment Claims'!$E$2:$E$501,'Payment Claims'!$A$2:$A$501,A437,'Payment Claims'!$B$2:$B$501,C437,'Payment Claims'!$G$2:$G$501,"&lt;&gt;Disputed"))</f>
        <v/>
      </c>
      <c r="S437" s="36" t="str">
        <f aca="false">IF(OR(C437="",G437=""),"",G437-R437)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4"/>
      <c r="H438" s="34"/>
      <c r="I438" s="34"/>
      <c r="J438" s="34"/>
      <c r="K438" s="41"/>
      <c r="L438" s="41"/>
      <c r="M438" s="35"/>
      <c r="N438" s="35"/>
      <c r="O438" s="35"/>
      <c r="P438" s="32"/>
      <c r="Q438" s="33"/>
      <c r="R438" s="36" t="str">
        <f aca="false">IF(C438="","",SUMIFS('Payment Claims'!$E$2:$E$501,'Payment Claims'!$A$2:$A$501,A438,'Payment Claims'!$B$2:$B$501,C438,'Payment Claims'!$G$2:$G$501,"&lt;&gt;Disputed"))</f>
        <v/>
      </c>
      <c r="S438" s="36" t="str">
        <f aca="false">IF(OR(C438="",G438=""),"",G438-R438)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4"/>
      <c r="H439" s="34"/>
      <c r="I439" s="34"/>
      <c r="J439" s="34"/>
      <c r="K439" s="41"/>
      <c r="L439" s="41"/>
      <c r="M439" s="35"/>
      <c r="N439" s="35"/>
      <c r="O439" s="35"/>
      <c r="P439" s="32"/>
      <c r="Q439" s="33"/>
      <c r="R439" s="36" t="str">
        <f aca="false">IF(C439="","",SUMIFS('Payment Claims'!$E$2:$E$501,'Payment Claims'!$A$2:$A$501,A439,'Payment Claims'!$B$2:$B$501,C439,'Payment Claims'!$G$2:$G$501,"&lt;&gt;Disputed"))</f>
        <v/>
      </c>
      <c r="S439" s="36" t="str">
        <f aca="false">IF(OR(C439="",G439=""),"",G439-R439)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4"/>
      <c r="H440" s="34"/>
      <c r="I440" s="34"/>
      <c r="J440" s="34"/>
      <c r="K440" s="41"/>
      <c r="L440" s="41"/>
      <c r="M440" s="35"/>
      <c r="N440" s="35"/>
      <c r="O440" s="35"/>
      <c r="P440" s="32"/>
      <c r="Q440" s="33"/>
      <c r="R440" s="36" t="str">
        <f aca="false">IF(C440="","",SUMIFS('Payment Claims'!$E$2:$E$501,'Payment Claims'!$A$2:$A$501,A440,'Payment Claims'!$B$2:$B$501,C440,'Payment Claims'!$G$2:$G$501,"&lt;&gt;Disputed"))</f>
        <v/>
      </c>
      <c r="S440" s="36" t="str">
        <f aca="false">IF(OR(C440="",G440=""),"",G440-R440)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4"/>
      <c r="H441" s="34"/>
      <c r="I441" s="34"/>
      <c r="J441" s="34"/>
      <c r="K441" s="41"/>
      <c r="L441" s="41"/>
      <c r="M441" s="35"/>
      <c r="N441" s="35"/>
      <c r="O441" s="35"/>
      <c r="P441" s="32"/>
      <c r="Q441" s="33"/>
      <c r="R441" s="36" t="str">
        <f aca="false">IF(C441="","",SUMIFS('Payment Claims'!$E$2:$E$501,'Payment Claims'!$A$2:$A$501,A441,'Payment Claims'!$B$2:$B$501,C441,'Payment Claims'!$G$2:$G$501,"&lt;&gt;Disputed"))</f>
        <v/>
      </c>
      <c r="S441" s="36" t="str">
        <f aca="false">IF(OR(C441="",G441=""),"",G441-R441)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4"/>
      <c r="H442" s="34"/>
      <c r="I442" s="34"/>
      <c r="J442" s="34"/>
      <c r="K442" s="41"/>
      <c r="L442" s="41"/>
      <c r="M442" s="35"/>
      <c r="N442" s="35"/>
      <c r="O442" s="35"/>
      <c r="P442" s="32"/>
      <c r="Q442" s="33"/>
      <c r="R442" s="36" t="str">
        <f aca="false">IF(C442="","",SUMIFS('Payment Claims'!$E$2:$E$501,'Payment Claims'!$A$2:$A$501,A442,'Payment Claims'!$B$2:$B$501,C442,'Payment Claims'!$G$2:$G$501,"&lt;&gt;Disputed"))</f>
        <v/>
      </c>
      <c r="S442" s="36" t="str">
        <f aca="false">IF(OR(C442="",G442=""),"",G442-R442)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4"/>
      <c r="H443" s="34"/>
      <c r="I443" s="34"/>
      <c r="J443" s="34"/>
      <c r="K443" s="41"/>
      <c r="L443" s="41"/>
      <c r="M443" s="35"/>
      <c r="N443" s="35"/>
      <c r="O443" s="35"/>
      <c r="P443" s="32"/>
      <c r="Q443" s="33"/>
      <c r="R443" s="36" t="str">
        <f aca="false">IF(C443="","",SUMIFS('Payment Claims'!$E$2:$E$501,'Payment Claims'!$A$2:$A$501,A443,'Payment Claims'!$B$2:$B$501,C443,'Payment Claims'!$G$2:$G$501,"&lt;&gt;Disputed"))</f>
        <v/>
      </c>
      <c r="S443" s="36" t="str">
        <f aca="false">IF(OR(C443="",G443=""),"",G443-R443)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4"/>
      <c r="H444" s="34"/>
      <c r="I444" s="34"/>
      <c r="J444" s="34"/>
      <c r="K444" s="41"/>
      <c r="L444" s="41"/>
      <c r="M444" s="35"/>
      <c r="N444" s="35"/>
      <c r="O444" s="35"/>
      <c r="P444" s="32"/>
      <c r="Q444" s="33"/>
      <c r="R444" s="36" t="str">
        <f aca="false">IF(C444="","",SUMIFS('Payment Claims'!$E$2:$E$501,'Payment Claims'!$A$2:$A$501,A444,'Payment Claims'!$B$2:$B$501,C444,'Payment Claims'!$G$2:$G$501,"&lt;&gt;Disputed"))</f>
        <v/>
      </c>
      <c r="S444" s="36" t="str">
        <f aca="false">IF(OR(C444="",G444=""),"",G444-R444)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4"/>
      <c r="H445" s="34"/>
      <c r="I445" s="34"/>
      <c r="J445" s="34"/>
      <c r="K445" s="41"/>
      <c r="L445" s="41"/>
      <c r="M445" s="35"/>
      <c r="N445" s="35"/>
      <c r="O445" s="35"/>
      <c r="P445" s="32"/>
      <c r="Q445" s="33"/>
      <c r="R445" s="36" t="str">
        <f aca="false">IF(C445="","",SUMIFS('Payment Claims'!$E$2:$E$501,'Payment Claims'!$A$2:$A$501,A445,'Payment Claims'!$B$2:$B$501,C445,'Payment Claims'!$G$2:$G$501,"&lt;&gt;Disputed"))</f>
        <v/>
      </c>
      <c r="S445" s="36" t="str">
        <f aca="false">IF(OR(C445="",G445=""),"",G445-R445)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4"/>
      <c r="H446" s="34"/>
      <c r="I446" s="34"/>
      <c r="J446" s="34"/>
      <c r="K446" s="41"/>
      <c r="L446" s="41"/>
      <c r="M446" s="35"/>
      <c r="N446" s="35"/>
      <c r="O446" s="35"/>
      <c r="P446" s="32"/>
      <c r="Q446" s="33"/>
      <c r="R446" s="36" t="str">
        <f aca="false">IF(C446="","",SUMIFS('Payment Claims'!$E$2:$E$501,'Payment Claims'!$A$2:$A$501,A446,'Payment Claims'!$B$2:$B$501,C446,'Payment Claims'!$G$2:$G$501,"&lt;&gt;Disputed"))</f>
        <v/>
      </c>
      <c r="S446" s="36" t="str">
        <f aca="false">IF(OR(C446="",G446=""),"",G446-R446)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4"/>
      <c r="H447" s="34"/>
      <c r="I447" s="34"/>
      <c r="J447" s="34"/>
      <c r="K447" s="41"/>
      <c r="L447" s="41"/>
      <c r="M447" s="35"/>
      <c r="N447" s="35"/>
      <c r="O447" s="35"/>
      <c r="P447" s="32"/>
      <c r="Q447" s="33"/>
      <c r="R447" s="36" t="str">
        <f aca="false">IF(C447="","",SUMIFS('Payment Claims'!$E$2:$E$501,'Payment Claims'!$A$2:$A$501,A447,'Payment Claims'!$B$2:$B$501,C447,'Payment Claims'!$G$2:$G$501,"&lt;&gt;Disputed"))</f>
        <v/>
      </c>
      <c r="S447" s="36" t="str">
        <f aca="false">IF(OR(C447="",G447=""),"",G447-R447)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4"/>
      <c r="H448" s="34"/>
      <c r="I448" s="34"/>
      <c r="J448" s="34"/>
      <c r="K448" s="41"/>
      <c r="L448" s="41"/>
      <c r="M448" s="35"/>
      <c r="N448" s="35"/>
      <c r="O448" s="35"/>
      <c r="P448" s="32"/>
      <c r="Q448" s="33"/>
      <c r="R448" s="36" t="str">
        <f aca="false">IF(C448="","",SUMIFS('Payment Claims'!$E$2:$E$501,'Payment Claims'!$A$2:$A$501,A448,'Payment Claims'!$B$2:$B$501,C448,'Payment Claims'!$G$2:$G$501,"&lt;&gt;Disputed"))</f>
        <v/>
      </c>
      <c r="S448" s="36" t="str">
        <f aca="false">IF(OR(C448="",G448=""),"",G448-R448)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4"/>
      <c r="H449" s="34"/>
      <c r="I449" s="34"/>
      <c r="J449" s="34"/>
      <c r="K449" s="41"/>
      <c r="L449" s="41"/>
      <c r="M449" s="35"/>
      <c r="N449" s="35"/>
      <c r="O449" s="35"/>
      <c r="P449" s="32"/>
      <c r="Q449" s="33"/>
      <c r="R449" s="36" t="str">
        <f aca="false">IF(C449="","",SUMIFS('Payment Claims'!$E$2:$E$501,'Payment Claims'!$A$2:$A$501,A449,'Payment Claims'!$B$2:$B$501,C449,'Payment Claims'!$G$2:$G$501,"&lt;&gt;Disputed"))</f>
        <v/>
      </c>
      <c r="S449" s="36" t="str">
        <f aca="false">IF(OR(C449="",G449=""),"",G449-R449)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4"/>
      <c r="H450" s="34"/>
      <c r="I450" s="34"/>
      <c r="J450" s="34"/>
      <c r="K450" s="41"/>
      <c r="L450" s="41"/>
      <c r="M450" s="35"/>
      <c r="N450" s="35"/>
      <c r="O450" s="35"/>
      <c r="P450" s="32"/>
      <c r="Q450" s="33"/>
      <c r="R450" s="36" t="str">
        <f aca="false">IF(C450="","",SUMIFS('Payment Claims'!$E$2:$E$501,'Payment Claims'!$A$2:$A$501,A450,'Payment Claims'!$B$2:$B$501,C450,'Payment Claims'!$G$2:$G$501,"&lt;&gt;Disputed"))</f>
        <v/>
      </c>
      <c r="S450" s="36" t="str">
        <f aca="false">IF(OR(C450="",G450=""),"",G450-R450)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4"/>
      <c r="H451" s="34"/>
      <c r="I451" s="34"/>
      <c r="J451" s="34"/>
      <c r="K451" s="41"/>
      <c r="L451" s="41"/>
      <c r="M451" s="35"/>
      <c r="N451" s="35"/>
      <c r="O451" s="35"/>
      <c r="P451" s="32"/>
      <c r="Q451" s="33"/>
      <c r="R451" s="36" t="str">
        <f aca="false">IF(C451="","",SUMIFS('Payment Claims'!$E$2:$E$501,'Payment Claims'!$A$2:$A$501,A451,'Payment Claims'!$B$2:$B$501,C451,'Payment Claims'!$G$2:$G$501,"&lt;&gt;Disputed"))</f>
        <v/>
      </c>
      <c r="S451" s="36" t="str">
        <f aca="false">IF(OR(C451="",G451=""),"",G451-R451)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4"/>
      <c r="H452" s="34"/>
      <c r="I452" s="34"/>
      <c r="J452" s="34"/>
      <c r="K452" s="41"/>
      <c r="L452" s="41"/>
      <c r="M452" s="35"/>
      <c r="N452" s="35"/>
      <c r="O452" s="35"/>
      <c r="P452" s="32"/>
      <c r="Q452" s="33"/>
      <c r="R452" s="36" t="str">
        <f aca="false">IF(C452="","",SUMIFS('Payment Claims'!$E$2:$E$501,'Payment Claims'!$A$2:$A$501,A452,'Payment Claims'!$B$2:$B$501,C452,'Payment Claims'!$G$2:$G$501,"&lt;&gt;Disputed"))</f>
        <v/>
      </c>
      <c r="S452" s="36" t="str">
        <f aca="false">IF(OR(C452="",G452=""),"",G452-R452)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4"/>
      <c r="H453" s="34"/>
      <c r="I453" s="34"/>
      <c r="J453" s="34"/>
      <c r="K453" s="41"/>
      <c r="L453" s="41"/>
      <c r="M453" s="35"/>
      <c r="N453" s="35"/>
      <c r="O453" s="35"/>
      <c r="P453" s="32"/>
      <c r="Q453" s="33"/>
      <c r="R453" s="36" t="str">
        <f aca="false">IF(C453="","",SUMIFS('Payment Claims'!$E$2:$E$501,'Payment Claims'!$A$2:$A$501,A453,'Payment Claims'!$B$2:$B$501,C453,'Payment Claims'!$G$2:$G$501,"&lt;&gt;Disputed"))</f>
        <v/>
      </c>
      <c r="S453" s="36" t="str">
        <f aca="false">IF(OR(C453="",G453=""),"",G453-R453)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4"/>
      <c r="H454" s="34"/>
      <c r="I454" s="34"/>
      <c r="J454" s="34"/>
      <c r="K454" s="41"/>
      <c r="L454" s="41"/>
      <c r="M454" s="35"/>
      <c r="N454" s="35"/>
      <c r="O454" s="35"/>
      <c r="P454" s="32"/>
      <c r="Q454" s="33"/>
      <c r="R454" s="36" t="str">
        <f aca="false">IF(C454="","",SUMIFS('Payment Claims'!$E$2:$E$501,'Payment Claims'!$A$2:$A$501,A454,'Payment Claims'!$B$2:$B$501,C454,'Payment Claims'!$G$2:$G$501,"&lt;&gt;Disputed"))</f>
        <v/>
      </c>
      <c r="S454" s="36" t="str">
        <f aca="false">IF(OR(C454="",G454=""),"",G454-R454)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4"/>
      <c r="H455" s="34"/>
      <c r="I455" s="34"/>
      <c r="J455" s="34"/>
      <c r="K455" s="41"/>
      <c r="L455" s="41"/>
      <c r="M455" s="35"/>
      <c r="N455" s="35"/>
      <c r="O455" s="35"/>
      <c r="P455" s="32"/>
      <c r="Q455" s="33"/>
      <c r="R455" s="36" t="str">
        <f aca="false">IF(C455="","",SUMIFS('Payment Claims'!$E$2:$E$501,'Payment Claims'!$A$2:$A$501,A455,'Payment Claims'!$B$2:$B$501,C455,'Payment Claims'!$G$2:$G$501,"&lt;&gt;Disputed"))</f>
        <v/>
      </c>
      <c r="S455" s="36" t="str">
        <f aca="false">IF(OR(C455="",G455=""),"",G455-R455)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4"/>
      <c r="H456" s="34"/>
      <c r="I456" s="34"/>
      <c r="J456" s="34"/>
      <c r="K456" s="41"/>
      <c r="L456" s="41"/>
      <c r="M456" s="35"/>
      <c r="N456" s="35"/>
      <c r="O456" s="35"/>
      <c r="P456" s="32"/>
      <c r="Q456" s="33"/>
      <c r="R456" s="36" t="str">
        <f aca="false">IF(C456="","",SUMIFS('Payment Claims'!$E$2:$E$501,'Payment Claims'!$A$2:$A$501,A456,'Payment Claims'!$B$2:$B$501,C456,'Payment Claims'!$G$2:$G$501,"&lt;&gt;Disputed"))</f>
        <v/>
      </c>
      <c r="S456" s="36" t="str">
        <f aca="false">IF(OR(C456="",G456=""),"",G456-R456)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4"/>
      <c r="H457" s="34"/>
      <c r="I457" s="34"/>
      <c r="J457" s="34"/>
      <c r="K457" s="41"/>
      <c r="L457" s="41"/>
      <c r="M457" s="35"/>
      <c r="N457" s="35"/>
      <c r="O457" s="35"/>
      <c r="P457" s="32"/>
      <c r="Q457" s="33"/>
      <c r="R457" s="36" t="str">
        <f aca="false">IF(C457="","",SUMIFS('Payment Claims'!$E$2:$E$501,'Payment Claims'!$A$2:$A$501,A457,'Payment Claims'!$B$2:$B$501,C457,'Payment Claims'!$G$2:$G$501,"&lt;&gt;Disputed"))</f>
        <v/>
      </c>
      <c r="S457" s="36" t="str">
        <f aca="false">IF(OR(C457="",G457=""),"",G457-R457)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4"/>
      <c r="H458" s="34"/>
      <c r="I458" s="34"/>
      <c r="J458" s="34"/>
      <c r="K458" s="41"/>
      <c r="L458" s="41"/>
      <c r="M458" s="35"/>
      <c r="N458" s="35"/>
      <c r="O458" s="35"/>
      <c r="P458" s="32"/>
      <c r="Q458" s="33"/>
      <c r="R458" s="36" t="str">
        <f aca="false">IF(C458="","",SUMIFS('Payment Claims'!$E$2:$E$501,'Payment Claims'!$A$2:$A$501,A458,'Payment Claims'!$B$2:$B$501,C458,'Payment Claims'!$G$2:$G$501,"&lt;&gt;Disputed"))</f>
        <v/>
      </c>
      <c r="S458" s="36" t="str">
        <f aca="false">IF(OR(C458="",G458=""),"",G458-R458)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4"/>
      <c r="H459" s="34"/>
      <c r="I459" s="34"/>
      <c r="J459" s="34"/>
      <c r="K459" s="41"/>
      <c r="L459" s="41"/>
      <c r="M459" s="35"/>
      <c r="N459" s="35"/>
      <c r="O459" s="35"/>
      <c r="P459" s="32"/>
      <c r="Q459" s="33"/>
      <c r="R459" s="36" t="str">
        <f aca="false">IF(C459="","",SUMIFS('Payment Claims'!$E$2:$E$501,'Payment Claims'!$A$2:$A$501,A459,'Payment Claims'!$B$2:$B$501,C459,'Payment Claims'!$G$2:$G$501,"&lt;&gt;Disputed"))</f>
        <v/>
      </c>
      <c r="S459" s="36" t="str">
        <f aca="false">IF(OR(C459="",G459=""),"",G459-R459)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4"/>
      <c r="H460" s="34"/>
      <c r="I460" s="34"/>
      <c r="J460" s="34"/>
      <c r="K460" s="41"/>
      <c r="L460" s="41"/>
      <c r="M460" s="35"/>
      <c r="N460" s="35"/>
      <c r="O460" s="35"/>
      <c r="P460" s="32"/>
      <c r="Q460" s="33"/>
      <c r="R460" s="36" t="str">
        <f aca="false">IF(C460="","",SUMIFS('Payment Claims'!$E$2:$E$501,'Payment Claims'!$A$2:$A$501,A460,'Payment Claims'!$B$2:$B$501,C460,'Payment Claims'!$G$2:$G$501,"&lt;&gt;Disputed"))</f>
        <v/>
      </c>
      <c r="S460" s="36" t="str">
        <f aca="false">IF(OR(C460="",G460=""),"",G460-R460)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4"/>
      <c r="H461" s="34"/>
      <c r="I461" s="34"/>
      <c r="J461" s="34"/>
      <c r="K461" s="41"/>
      <c r="L461" s="41"/>
      <c r="M461" s="35"/>
      <c r="N461" s="35"/>
      <c r="O461" s="35"/>
      <c r="P461" s="32"/>
      <c r="Q461" s="33"/>
      <c r="R461" s="36" t="str">
        <f aca="false">IF(C461="","",SUMIFS('Payment Claims'!$E$2:$E$501,'Payment Claims'!$A$2:$A$501,A461,'Payment Claims'!$B$2:$B$501,C461,'Payment Claims'!$G$2:$G$501,"&lt;&gt;Disputed"))</f>
        <v/>
      </c>
      <c r="S461" s="36" t="str">
        <f aca="false">IF(OR(C461="",G461=""),"",G461-R461)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4"/>
      <c r="H462" s="34"/>
      <c r="I462" s="34"/>
      <c r="J462" s="34"/>
      <c r="K462" s="41"/>
      <c r="L462" s="41"/>
      <c r="M462" s="35"/>
      <c r="N462" s="35"/>
      <c r="O462" s="35"/>
      <c r="P462" s="32"/>
      <c r="Q462" s="33"/>
      <c r="R462" s="36" t="str">
        <f aca="false">IF(C462="","",SUMIFS('Payment Claims'!$E$2:$E$501,'Payment Claims'!$A$2:$A$501,A462,'Payment Claims'!$B$2:$B$501,C462,'Payment Claims'!$G$2:$G$501,"&lt;&gt;Disputed"))</f>
        <v/>
      </c>
      <c r="S462" s="36" t="str">
        <f aca="false">IF(OR(C462="",G462=""),"",G462-R462)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4"/>
      <c r="H463" s="34"/>
      <c r="I463" s="34"/>
      <c r="J463" s="34"/>
      <c r="K463" s="41"/>
      <c r="L463" s="41"/>
      <c r="M463" s="35"/>
      <c r="N463" s="35"/>
      <c r="O463" s="35"/>
      <c r="P463" s="32"/>
      <c r="Q463" s="33"/>
      <c r="R463" s="36" t="str">
        <f aca="false">IF(C463="","",SUMIFS('Payment Claims'!$E$2:$E$501,'Payment Claims'!$A$2:$A$501,A463,'Payment Claims'!$B$2:$B$501,C463,'Payment Claims'!$G$2:$G$501,"&lt;&gt;Disputed"))</f>
        <v/>
      </c>
      <c r="S463" s="36" t="str">
        <f aca="false">IF(OR(C463="",G463=""),"",G463-R463)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4"/>
      <c r="H464" s="34"/>
      <c r="I464" s="34"/>
      <c r="J464" s="34"/>
      <c r="K464" s="41"/>
      <c r="L464" s="41"/>
      <c r="M464" s="35"/>
      <c r="N464" s="35"/>
      <c r="O464" s="35"/>
      <c r="P464" s="32"/>
      <c r="Q464" s="33"/>
      <c r="R464" s="36" t="str">
        <f aca="false">IF(C464="","",SUMIFS('Payment Claims'!$E$2:$E$501,'Payment Claims'!$A$2:$A$501,A464,'Payment Claims'!$B$2:$B$501,C464,'Payment Claims'!$G$2:$G$501,"&lt;&gt;Disputed"))</f>
        <v/>
      </c>
      <c r="S464" s="36" t="str">
        <f aca="false">IF(OR(C464="",G464=""),"",G464-R464)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4"/>
      <c r="H465" s="34"/>
      <c r="I465" s="34"/>
      <c r="J465" s="34"/>
      <c r="K465" s="41"/>
      <c r="L465" s="41"/>
      <c r="M465" s="35"/>
      <c r="N465" s="35"/>
      <c r="O465" s="35"/>
      <c r="P465" s="32"/>
      <c r="Q465" s="33"/>
      <c r="R465" s="36" t="str">
        <f aca="false">IF(C465="","",SUMIFS('Payment Claims'!$E$2:$E$501,'Payment Claims'!$A$2:$A$501,A465,'Payment Claims'!$B$2:$B$501,C465,'Payment Claims'!$G$2:$G$501,"&lt;&gt;Disputed"))</f>
        <v/>
      </c>
      <c r="S465" s="36" t="str">
        <f aca="false">IF(OR(C465="",G465=""),"",G465-R465)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4"/>
      <c r="H466" s="34"/>
      <c r="I466" s="34"/>
      <c r="J466" s="34"/>
      <c r="K466" s="41"/>
      <c r="L466" s="41"/>
      <c r="M466" s="35"/>
      <c r="N466" s="35"/>
      <c r="O466" s="35"/>
      <c r="P466" s="32"/>
      <c r="Q466" s="33"/>
      <c r="R466" s="36" t="str">
        <f aca="false">IF(C466="","",SUMIFS('Payment Claims'!$E$2:$E$501,'Payment Claims'!$A$2:$A$501,A466,'Payment Claims'!$B$2:$B$501,C466,'Payment Claims'!$G$2:$G$501,"&lt;&gt;Disputed"))</f>
        <v/>
      </c>
      <c r="S466" s="36" t="str">
        <f aca="false">IF(OR(C466="",G466=""),"",G466-R466)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4"/>
      <c r="H467" s="34"/>
      <c r="I467" s="34"/>
      <c r="J467" s="34"/>
      <c r="K467" s="41"/>
      <c r="L467" s="41"/>
      <c r="M467" s="35"/>
      <c r="N467" s="35"/>
      <c r="O467" s="35"/>
      <c r="P467" s="32"/>
      <c r="Q467" s="33"/>
      <c r="R467" s="36" t="str">
        <f aca="false">IF(C467="","",SUMIFS('Payment Claims'!$E$2:$E$501,'Payment Claims'!$A$2:$A$501,A467,'Payment Claims'!$B$2:$B$501,C467,'Payment Claims'!$G$2:$G$501,"&lt;&gt;Disputed"))</f>
        <v/>
      </c>
      <c r="S467" s="36" t="str">
        <f aca="false">IF(OR(C467="",G467=""),"",G467-R467)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4"/>
      <c r="H468" s="34"/>
      <c r="I468" s="34"/>
      <c r="J468" s="34"/>
      <c r="K468" s="41"/>
      <c r="L468" s="41"/>
      <c r="M468" s="35"/>
      <c r="N468" s="35"/>
      <c r="O468" s="35"/>
      <c r="P468" s="32"/>
      <c r="Q468" s="33"/>
      <c r="R468" s="36" t="str">
        <f aca="false">IF(C468="","",SUMIFS('Payment Claims'!$E$2:$E$501,'Payment Claims'!$A$2:$A$501,A468,'Payment Claims'!$B$2:$B$501,C468,'Payment Claims'!$G$2:$G$501,"&lt;&gt;Disputed"))</f>
        <v/>
      </c>
      <c r="S468" s="36" t="str">
        <f aca="false">IF(OR(C468="",G468=""),"",G468-R468)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4"/>
      <c r="H469" s="34"/>
      <c r="I469" s="34"/>
      <c r="J469" s="34"/>
      <c r="K469" s="41"/>
      <c r="L469" s="41"/>
      <c r="M469" s="35"/>
      <c r="N469" s="35"/>
      <c r="O469" s="35"/>
      <c r="P469" s="32"/>
      <c r="Q469" s="33"/>
      <c r="R469" s="36" t="str">
        <f aca="false">IF(C469="","",SUMIFS('Payment Claims'!$E$2:$E$501,'Payment Claims'!$A$2:$A$501,A469,'Payment Claims'!$B$2:$B$501,C469,'Payment Claims'!$G$2:$G$501,"&lt;&gt;Disputed"))</f>
        <v/>
      </c>
      <c r="S469" s="36" t="str">
        <f aca="false">IF(OR(C469="",G469=""),"",G469-R469)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4"/>
      <c r="H470" s="34"/>
      <c r="I470" s="34"/>
      <c r="J470" s="34"/>
      <c r="K470" s="41"/>
      <c r="L470" s="41"/>
      <c r="M470" s="35"/>
      <c r="N470" s="35"/>
      <c r="O470" s="35"/>
      <c r="P470" s="32"/>
      <c r="Q470" s="33"/>
      <c r="R470" s="36" t="str">
        <f aca="false">IF(C470="","",SUMIFS('Payment Claims'!$E$2:$E$501,'Payment Claims'!$A$2:$A$501,A470,'Payment Claims'!$B$2:$B$501,C470,'Payment Claims'!$G$2:$G$501,"&lt;&gt;Disputed"))</f>
        <v/>
      </c>
      <c r="S470" s="36" t="str">
        <f aca="false">IF(OR(C470="",G470=""),"",G470-R470)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4"/>
      <c r="H471" s="34"/>
      <c r="I471" s="34"/>
      <c r="J471" s="34"/>
      <c r="K471" s="41"/>
      <c r="L471" s="41"/>
      <c r="M471" s="35"/>
      <c r="N471" s="35"/>
      <c r="O471" s="35"/>
      <c r="P471" s="32"/>
      <c r="Q471" s="33"/>
      <c r="R471" s="36" t="str">
        <f aca="false">IF(C471="","",SUMIFS('Payment Claims'!$E$2:$E$501,'Payment Claims'!$A$2:$A$501,A471,'Payment Claims'!$B$2:$B$501,C471,'Payment Claims'!$G$2:$G$501,"&lt;&gt;Disputed"))</f>
        <v/>
      </c>
      <c r="S471" s="36" t="str">
        <f aca="false">IF(OR(C471="",G471=""),"",G471-R471)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4"/>
      <c r="H472" s="34"/>
      <c r="I472" s="34"/>
      <c r="J472" s="34"/>
      <c r="K472" s="41"/>
      <c r="L472" s="41"/>
      <c r="M472" s="35"/>
      <c r="N472" s="35"/>
      <c r="O472" s="35"/>
      <c r="P472" s="32"/>
      <c r="Q472" s="33"/>
      <c r="R472" s="36" t="str">
        <f aca="false">IF(C472="","",SUMIFS('Payment Claims'!$E$2:$E$501,'Payment Claims'!$A$2:$A$501,A472,'Payment Claims'!$B$2:$B$501,C472,'Payment Claims'!$G$2:$G$501,"&lt;&gt;Disputed"))</f>
        <v/>
      </c>
      <c r="S472" s="36" t="str">
        <f aca="false">IF(OR(C472="",G472=""),"",G472-R472)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4"/>
      <c r="H473" s="34"/>
      <c r="I473" s="34"/>
      <c r="J473" s="34"/>
      <c r="K473" s="41"/>
      <c r="L473" s="41"/>
      <c r="M473" s="35"/>
      <c r="N473" s="35"/>
      <c r="O473" s="35"/>
      <c r="P473" s="32"/>
      <c r="Q473" s="33"/>
      <c r="R473" s="36" t="str">
        <f aca="false">IF(C473="","",SUMIFS('Payment Claims'!$E$2:$E$501,'Payment Claims'!$A$2:$A$501,A473,'Payment Claims'!$B$2:$B$501,C473,'Payment Claims'!$G$2:$G$501,"&lt;&gt;Disputed"))</f>
        <v/>
      </c>
      <c r="S473" s="36" t="str">
        <f aca="false">IF(OR(C473="",G473=""),"",G473-R473)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4"/>
      <c r="H474" s="34"/>
      <c r="I474" s="34"/>
      <c r="J474" s="34"/>
      <c r="K474" s="41"/>
      <c r="L474" s="41"/>
      <c r="M474" s="35"/>
      <c r="N474" s="35"/>
      <c r="O474" s="35"/>
      <c r="P474" s="32"/>
      <c r="Q474" s="33"/>
      <c r="R474" s="36" t="str">
        <f aca="false">IF(C474="","",SUMIFS('Payment Claims'!$E$2:$E$501,'Payment Claims'!$A$2:$A$501,A474,'Payment Claims'!$B$2:$B$501,C474,'Payment Claims'!$G$2:$G$501,"&lt;&gt;Disputed"))</f>
        <v/>
      </c>
      <c r="S474" s="36" t="str">
        <f aca="false">IF(OR(C474="",G474=""),"",G474-R474)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4"/>
      <c r="H475" s="34"/>
      <c r="I475" s="34"/>
      <c r="J475" s="34"/>
      <c r="K475" s="41"/>
      <c r="L475" s="41"/>
      <c r="M475" s="35"/>
      <c r="N475" s="35"/>
      <c r="O475" s="35"/>
      <c r="P475" s="32"/>
      <c r="Q475" s="33"/>
      <c r="R475" s="36" t="str">
        <f aca="false">IF(C475="","",SUMIFS('Payment Claims'!$E$2:$E$501,'Payment Claims'!$A$2:$A$501,A475,'Payment Claims'!$B$2:$B$501,C475,'Payment Claims'!$G$2:$G$501,"&lt;&gt;Disputed"))</f>
        <v/>
      </c>
      <c r="S475" s="36" t="str">
        <f aca="false">IF(OR(C475="",G475=""),"",G475-R475)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4"/>
      <c r="H476" s="34"/>
      <c r="I476" s="34"/>
      <c r="J476" s="34"/>
      <c r="K476" s="41"/>
      <c r="L476" s="41"/>
      <c r="M476" s="35"/>
      <c r="N476" s="35"/>
      <c r="O476" s="35"/>
      <c r="P476" s="32"/>
      <c r="Q476" s="33"/>
      <c r="R476" s="36" t="str">
        <f aca="false">IF(C476="","",SUMIFS('Payment Claims'!$E$2:$E$501,'Payment Claims'!$A$2:$A$501,A476,'Payment Claims'!$B$2:$B$501,C476,'Payment Claims'!$G$2:$G$501,"&lt;&gt;Disputed"))</f>
        <v/>
      </c>
      <c r="S476" s="36" t="str">
        <f aca="false">IF(OR(C476="",G476=""),"",G476-R476)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4"/>
      <c r="H477" s="34"/>
      <c r="I477" s="34"/>
      <c r="J477" s="34"/>
      <c r="K477" s="41"/>
      <c r="L477" s="41"/>
      <c r="M477" s="35"/>
      <c r="N477" s="35"/>
      <c r="O477" s="35"/>
      <c r="P477" s="32"/>
      <c r="Q477" s="33"/>
      <c r="R477" s="36" t="str">
        <f aca="false">IF(C477="","",SUMIFS('Payment Claims'!$E$2:$E$501,'Payment Claims'!$A$2:$A$501,A477,'Payment Claims'!$B$2:$B$501,C477,'Payment Claims'!$G$2:$G$501,"&lt;&gt;Disputed"))</f>
        <v/>
      </c>
      <c r="S477" s="36" t="str">
        <f aca="false">IF(OR(C477="",G477=""),"",G477-R477)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4"/>
      <c r="H478" s="34"/>
      <c r="I478" s="34"/>
      <c r="J478" s="34"/>
      <c r="K478" s="41"/>
      <c r="L478" s="41"/>
      <c r="M478" s="35"/>
      <c r="N478" s="35"/>
      <c r="O478" s="35"/>
      <c r="P478" s="32"/>
      <c r="Q478" s="33"/>
      <c r="R478" s="36" t="str">
        <f aca="false">IF(C478="","",SUMIFS('Payment Claims'!$E$2:$E$501,'Payment Claims'!$A$2:$A$501,A478,'Payment Claims'!$B$2:$B$501,C478,'Payment Claims'!$G$2:$G$501,"&lt;&gt;Disputed"))</f>
        <v/>
      </c>
      <c r="S478" s="36" t="str">
        <f aca="false">IF(OR(C478="",G478=""),"",G478-R478)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4"/>
      <c r="H479" s="34"/>
      <c r="I479" s="34"/>
      <c r="J479" s="34"/>
      <c r="K479" s="41"/>
      <c r="L479" s="41"/>
      <c r="M479" s="35"/>
      <c r="N479" s="35"/>
      <c r="O479" s="35"/>
      <c r="P479" s="32"/>
      <c r="Q479" s="33"/>
      <c r="R479" s="36" t="str">
        <f aca="false">IF(C479="","",SUMIFS('Payment Claims'!$E$2:$E$501,'Payment Claims'!$A$2:$A$501,A479,'Payment Claims'!$B$2:$B$501,C479,'Payment Claims'!$G$2:$G$501,"&lt;&gt;Disputed"))</f>
        <v/>
      </c>
      <c r="S479" s="36" t="str">
        <f aca="false">IF(OR(C479="",G479=""),"",G479-R479)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4"/>
      <c r="H480" s="34"/>
      <c r="I480" s="34"/>
      <c r="J480" s="34"/>
      <c r="K480" s="41"/>
      <c r="L480" s="41"/>
      <c r="M480" s="35"/>
      <c r="N480" s="35"/>
      <c r="O480" s="35"/>
      <c r="P480" s="32"/>
      <c r="Q480" s="33"/>
      <c r="R480" s="36" t="str">
        <f aca="false">IF(C480="","",SUMIFS('Payment Claims'!$E$2:$E$501,'Payment Claims'!$A$2:$A$501,A480,'Payment Claims'!$B$2:$B$501,C480,'Payment Claims'!$G$2:$G$501,"&lt;&gt;Disputed"))</f>
        <v/>
      </c>
      <c r="S480" s="36" t="str">
        <f aca="false">IF(OR(C480="",G480=""),"",G480-R480)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4"/>
      <c r="H481" s="34"/>
      <c r="I481" s="34"/>
      <c r="J481" s="34"/>
      <c r="K481" s="41"/>
      <c r="L481" s="41"/>
      <c r="M481" s="35"/>
      <c r="N481" s="35"/>
      <c r="O481" s="35"/>
      <c r="P481" s="32"/>
      <c r="Q481" s="33"/>
      <c r="R481" s="36" t="str">
        <f aca="false">IF(C481="","",SUMIFS('Payment Claims'!$E$2:$E$501,'Payment Claims'!$A$2:$A$501,A481,'Payment Claims'!$B$2:$B$501,C481,'Payment Claims'!$G$2:$G$501,"&lt;&gt;Disputed"))</f>
        <v/>
      </c>
      <c r="S481" s="36" t="str">
        <f aca="false">IF(OR(C481="",G481=""),"",G481-R481)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4"/>
      <c r="H482" s="34"/>
      <c r="I482" s="34"/>
      <c r="J482" s="34"/>
      <c r="K482" s="41"/>
      <c r="L482" s="41"/>
      <c r="M482" s="35"/>
      <c r="N482" s="35"/>
      <c r="O482" s="35"/>
      <c r="P482" s="32"/>
      <c r="Q482" s="33"/>
      <c r="R482" s="36" t="str">
        <f aca="false">IF(C482="","",SUMIFS('Payment Claims'!$E$2:$E$501,'Payment Claims'!$A$2:$A$501,A482,'Payment Claims'!$B$2:$B$501,C482,'Payment Claims'!$G$2:$G$501,"&lt;&gt;Disputed"))</f>
        <v/>
      </c>
      <c r="S482" s="36" t="str">
        <f aca="false">IF(OR(C482="",G482=""),"",G482-R482)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4"/>
      <c r="H483" s="34"/>
      <c r="I483" s="34"/>
      <c r="J483" s="34"/>
      <c r="K483" s="41"/>
      <c r="L483" s="41"/>
      <c r="M483" s="35"/>
      <c r="N483" s="35"/>
      <c r="O483" s="35"/>
      <c r="P483" s="32"/>
      <c r="Q483" s="33"/>
      <c r="R483" s="36" t="str">
        <f aca="false">IF(C483="","",SUMIFS('Payment Claims'!$E$2:$E$501,'Payment Claims'!$A$2:$A$501,A483,'Payment Claims'!$B$2:$B$501,C483,'Payment Claims'!$G$2:$G$501,"&lt;&gt;Disputed"))</f>
        <v/>
      </c>
      <c r="S483" s="36" t="str">
        <f aca="false">IF(OR(C483="",G483=""),"",G483-R483)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4"/>
      <c r="H484" s="34"/>
      <c r="I484" s="34"/>
      <c r="J484" s="34"/>
      <c r="K484" s="41"/>
      <c r="L484" s="41"/>
      <c r="M484" s="35"/>
      <c r="N484" s="35"/>
      <c r="O484" s="35"/>
      <c r="P484" s="32"/>
      <c r="Q484" s="33"/>
      <c r="R484" s="36" t="str">
        <f aca="false">IF(C484="","",SUMIFS('Payment Claims'!$E$2:$E$501,'Payment Claims'!$A$2:$A$501,A484,'Payment Claims'!$B$2:$B$501,C484,'Payment Claims'!$G$2:$G$501,"&lt;&gt;Disputed"))</f>
        <v/>
      </c>
      <c r="S484" s="36" t="str">
        <f aca="false">IF(OR(C484="",G484=""),"",G484-R484)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4"/>
      <c r="H485" s="34"/>
      <c r="I485" s="34"/>
      <c r="J485" s="34"/>
      <c r="K485" s="41"/>
      <c r="L485" s="41"/>
      <c r="M485" s="35"/>
      <c r="N485" s="35"/>
      <c r="O485" s="35"/>
      <c r="P485" s="32"/>
      <c r="Q485" s="33"/>
      <c r="R485" s="36" t="str">
        <f aca="false">IF(C485="","",SUMIFS('Payment Claims'!$E$2:$E$501,'Payment Claims'!$A$2:$A$501,A485,'Payment Claims'!$B$2:$B$501,C485,'Payment Claims'!$G$2:$G$501,"&lt;&gt;Disputed"))</f>
        <v/>
      </c>
      <c r="S485" s="36" t="str">
        <f aca="false">IF(OR(C485="",G485=""),"",G485-R485)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4"/>
      <c r="H486" s="34"/>
      <c r="I486" s="34"/>
      <c r="J486" s="34"/>
      <c r="K486" s="41"/>
      <c r="L486" s="41"/>
      <c r="M486" s="35"/>
      <c r="N486" s="35"/>
      <c r="O486" s="35"/>
      <c r="P486" s="32"/>
      <c r="Q486" s="33"/>
      <c r="R486" s="36" t="str">
        <f aca="false">IF(C486="","",SUMIFS('Payment Claims'!$E$2:$E$501,'Payment Claims'!$A$2:$A$501,A486,'Payment Claims'!$B$2:$B$501,C486,'Payment Claims'!$G$2:$G$501,"&lt;&gt;Disputed"))</f>
        <v/>
      </c>
      <c r="S486" s="36" t="str">
        <f aca="false">IF(OR(C486="",G486=""),"",G486-R486)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4"/>
      <c r="H487" s="34"/>
      <c r="I487" s="34"/>
      <c r="J487" s="34"/>
      <c r="K487" s="41"/>
      <c r="L487" s="41"/>
      <c r="M487" s="35"/>
      <c r="N487" s="35"/>
      <c r="O487" s="35"/>
      <c r="P487" s="32"/>
      <c r="Q487" s="33"/>
      <c r="R487" s="36" t="str">
        <f aca="false">IF(C487="","",SUMIFS('Payment Claims'!$E$2:$E$501,'Payment Claims'!$A$2:$A$501,A487,'Payment Claims'!$B$2:$B$501,C487,'Payment Claims'!$G$2:$G$501,"&lt;&gt;Disputed"))</f>
        <v/>
      </c>
      <c r="S487" s="36" t="str">
        <f aca="false">IF(OR(C487="",G487=""),"",G487-R487)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4"/>
      <c r="H488" s="34"/>
      <c r="I488" s="34"/>
      <c r="J488" s="34"/>
      <c r="K488" s="41"/>
      <c r="L488" s="41"/>
      <c r="M488" s="35"/>
      <c r="N488" s="35"/>
      <c r="O488" s="35"/>
      <c r="P488" s="32"/>
      <c r="Q488" s="33"/>
      <c r="R488" s="36" t="str">
        <f aca="false">IF(C488="","",SUMIFS('Payment Claims'!$E$2:$E$501,'Payment Claims'!$A$2:$A$501,A488,'Payment Claims'!$B$2:$B$501,C488,'Payment Claims'!$G$2:$G$501,"&lt;&gt;Disputed"))</f>
        <v/>
      </c>
      <c r="S488" s="36" t="str">
        <f aca="false">IF(OR(C488="",G488=""),"",G488-R488)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4"/>
      <c r="H489" s="34"/>
      <c r="I489" s="34"/>
      <c r="J489" s="34"/>
      <c r="K489" s="41"/>
      <c r="L489" s="41"/>
      <c r="M489" s="35"/>
      <c r="N489" s="35"/>
      <c r="O489" s="35"/>
      <c r="P489" s="32"/>
      <c r="Q489" s="33"/>
      <c r="R489" s="36" t="str">
        <f aca="false">IF(C489="","",SUMIFS('Payment Claims'!$E$2:$E$501,'Payment Claims'!$A$2:$A$501,A489,'Payment Claims'!$B$2:$B$501,C489,'Payment Claims'!$G$2:$G$501,"&lt;&gt;Disputed"))</f>
        <v/>
      </c>
      <c r="S489" s="36" t="str">
        <f aca="false">IF(OR(C489="",G489=""),"",G489-R489)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4"/>
      <c r="H490" s="34"/>
      <c r="I490" s="34"/>
      <c r="J490" s="34"/>
      <c r="K490" s="41"/>
      <c r="L490" s="41"/>
      <c r="M490" s="35"/>
      <c r="N490" s="35"/>
      <c r="O490" s="35"/>
      <c r="P490" s="32"/>
      <c r="Q490" s="33"/>
      <c r="R490" s="36" t="str">
        <f aca="false">IF(C490="","",SUMIFS('Payment Claims'!$E$2:$E$501,'Payment Claims'!$A$2:$A$501,A490,'Payment Claims'!$B$2:$B$501,C490,'Payment Claims'!$G$2:$G$501,"&lt;&gt;Disputed"))</f>
        <v/>
      </c>
      <c r="S490" s="36" t="str">
        <f aca="false">IF(OR(C490="",G490=""),"",G490-R490)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4"/>
      <c r="H491" s="34"/>
      <c r="I491" s="34"/>
      <c r="J491" s="34"/>
      <c r="K491" s="41"/>
      <c r="L491" s="41"/>
      <c r="M491" s="35"/>
      <c r="N491" s="35"/>
      <c r="O491" s="35"/>
      <c r="P491" s="32"/>
      <c r="Q491" s="33"/>
      <c r="R491" s="36" t="str">
        <f aca="false">IF(C491="","",SUMIFS('Payment Claims'!$E$2:$E$501,'Payment Claims'!$A$2:$A$501,A491,'Payment Claims'!$B$2:$B$501,C491,'Payment Claims'!$G$2:$G$501,"&lt;&gt;Disputed"))</f>
        <v/>
      </c>
      <c r="S491" s="36" t="str">
        <f aca="false">IF(OR(C491="",G491=""),"",G491-R491)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4"/>
      <c r="H492" s="34"/>
      <c r="I492" s="34"/>
      <c r="J492" s="34"/>
      <c r="K492" s="41"/>
      <c r="L492" s="41"/>
      <c r="M492" s="35"/>
      <c r="N492" s="35"/>
      <c r="O492" s="35"/>
      <c r="P492" s="32"/>
      <c r="Q492" s="33"/>
      <c r="R492" s="36" t="str">
        <f aca="false">IF(C492="","",SUMIFS('Payment Claims'!$E$2:$E$501,'Payment Claims'!$A$2:$A$501,A492,'Payment Claims'!$B$2:$B$501,C492,'Payment Claims'!$G$2:$G$501,"&lt;&gt;Disputed"))</f>
        <v/>
      </c>
      <c r="S492" s="36" t="str">
        <f aca="false">IF(OR(C492="",G492=""),"",G492-R492)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4"/>
      <c r="H493" s="34"/>
      <c r="I493" s="34"/>
      <c r="J493" s="34"/>
      <c r="K493" s="41"/>
      <c r="L493" s="41"/>
      <c r="M493" s="35"/>
      <c r="N493" s="35"/>
      <c r="O493" s="35"/>
      <c r="P493" s="32"/>
      <c r="Q493" s="33"/>
      <c r="R493" s="36" t="str">
        <f aca="false">IF(C493="","",SUMIFS('Payment Claims'!$E$2:$E$501,'Payment Claims'!$A$2:$A$501,A493,'Payment Claims'!$B$2:$B$501,C493,'Payment Claims'!$G$2:$G$501,"&lt;&gt;Disputed"))</f>
        <v/>
      </c>
      <c r="S493" s="36" t="str">
        <f aca="false">IF(OR(C493="",G493=""),"",G493-R493)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4"/>
      <c r="H494" s="34"/>
      <c r="I494" s="34"/>
      <c r="J494" s="34"/>
      <c r="K494" s="41"/>
      <c r="L494" s="41"/>
      <c r="M494" s="35"/>
      <c r="N494" s="35"/>
      <c r="O494" s="35"/>
      <c r="P494" s="32"/>
      <c r="Q494" s="33"/>
      <c r="R494" s="36" t="str">
        <f aca="false">IF(C494="","",SUMIFS('Payment Claims'!$E$2:$E$501,'Payment Claims'!$A$2:$A$501,A494,'Payment Claims'!$B$2:$B$501,C494,'Payment Claims'!$G$2:$G$501,"&lt;&gt;Disputed"))</f>
        <v/>
      </c>
      <c r="S494" s="36" t="str">
        <f aca="false">IF(OR(C494="",G494=""),"",G494-R494)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4"/>
      <c r="H495" s="34"/>
      <c r="I495" s="34"/>
      <c r="J495" s="34"/>
      <c r="K495" s="41"/>
      <c r="L495" s="41"/>
      <c r="M495" s="35"/>
      <c r="N495" s="35"/>
      <c r="O495" s="35"/>
      <c r="P495" s="32"/>
      <c r="Q495" s="33"/>
      <c r="R495" s="36" t="str">
        <f aca="false">IF(C495="","",SUMIFS('Payment Claims'!$E$2:$E$501,'Payment Claims'!$A$2:$A$501,A495,'Payment Claims'!$B$2:$B$501,C495,'Payment Claims'!$G$2:$G$501,"&lt;&gt;Disputed"))</f>
        <v/>
      </c>
      <c r="S495" s="36" t="str">
        <f aca="false">IF(OR(C495="",G495=""),"",G495-R495)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4"/>
      <c r="H496" s="34"/>
      <c r="I496" s="34"/>
      <c r="J496" s="34"/>
      <c r="K496" s="41"/>
      <c r="L496" s="41"/>
      <c r="M496" s="35"/>
      <c r="N496" s="35"/>
      <c r="O496" s="35"/>
      <c r="P496" s="32"/>
      <c r="Q496" s="33"/>
      <c r="R496" s="36" t="str">
        <f aca="false">IF(C496="","",SUMIFS('Payment Claims'!$E$2:$E$501,'Payment Claims'!$A$2:$A$501,A496,'Payment Claims'!$B$2:$B$501,C496,'Payment Claims'!$G$2:$G$501,"&lt;&gt;Disputed"))</f>
        <v/>
      </c>
      <c r="S496" s="36" t="str">
        <f aca="false">IF(OR(C496="",G496=""),"",G496-R496)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4"/>
      <c r="H497" s="34"/>
      <c r="I497" s="34"/>
      <c r="J497" s="34"/>
      <c r="K497" s="41"/>
      <c r="L497" s="41"/>
      <c r="M497" s="35"/>
      <c r="N497" s="35"/>
      <c r="O497" s="35"/>
      <c r="P497" s="32"/>
      <c r="Q497" s="33"/>
      <c r="R497" s="36" t="str">
        <f aca="false">IF(C497="","",SUMIFS('Payment Claims'!$E$2:$E$501,'Payment Claims'!$A$2:$A$501,A497,'Payment Claims'!$B$2:$B$501,C497,'Payment Claims'!$G$2:$G$501,"&lt;&gt;Disputed"))</f>
        <v/>
      </c>
      <c r="S497" s="36" t="str">
        <f aca="false">IF(OR(C497="",G497=""),"",G497-R497)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4"/>
      <c r="H498" s="34"/>
      <c r="I498" s="34"/>
      <c r="J498" s="34"/>
      <c r="K498" s="41"/>
      <c r="L498" s="41"/>
      <c r="M498" s="35"/>
      <c r="N498" s="35"/>
      <c r="O498" s="35"/>
      <c r="P498" s="32"/>
      <c r="Q498" s="33"/>
      <c r="R498" s="36" t="str">
        <f aca="false">IF(C498="","",SUMIFS('Payment Claims'!$E$2:$E$501,'Payment Claims'!$A$2:$A$501,A498,'Payment Claims'!$B$2:$B$501,C498,'Payment Claims'!$G$2:$G$501,"&lt;&gt;Disputed"))</f>
        <v/>
      </c>
      <c r="S498" s="36" t="str">
        <f aca="false">IF(OR(C498="",G498=""),"",G498-R498)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4"/>
      <c r="H499" s="34"/>
      <c r="I499" s="34"/>
      <c r="J499" s="34"/>
      <c r="K499" s="41"/>
      <c r="L499" s="41"/>
      <c r="M499" s="35"/>
      <c r="N499" s="35"/>
      <c r="O499" s="35"/>
      <c r="P499" s="32"/>
      <c r="Q499" s="33"/>
      <c r="R499" s="36" t="str">
        <f aca="false">IF(C499="","",SUMIFS('Payment Claims'!$E$2:$E$501,'Payment Claims'!$A$2:$A$501,A499,'Payment Claims'!$B$2:$B$501,C499,'Payment Claims'!$G$2:$G$501,"&lt;&gt;Disputed"))</f>
        <v/>
      </c>
      <c r="S499" s="36" t="str">
        <f aca="false">IF(OR(C499="",G499=""),"",G499-R499)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4"/>
      <c r="H500" s="34"/>
      <c r="I500" s="34"/>
      <c r="J500" s="34"/>
      <c r="K500" s="41"/>
      <c r="L500" s="41"/>
      <c r="M500" s="35"/>
      <c r="N500" s="35"/>
      <c r="O500" s="35"/>
      <c r="P500" s="32"/>
      <c r="Q500" s="33"/>
      <c r="R500" s="36" t="str">
        <f aca="false">IF(C500="","",SUMIFS('Payment Claims'!$E$2:$E$501,'Payment Claims'!$A$2:$A$501,A500,'Payment Claims'!$B$2:$B$501,C500,'Payment Claims'!$G$2:$G$501,"&lt;&gt;Disputed"))</f>
        <v/>
      </c>
      <c r="S500" s="36" t="str">
        <f aca="false">IF(OR(C500="",G500=""),"",G500-R500)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4"/>
      <c r="H501" s="34"/>
      <c r="I501" s="34"/>
      <c r="J501" s="34"/>
      <c r="K501" s="41"/>
      <c r="L501" s="41"/>
      <c r="M501" s="35"/>
      <c r="N501" s="35"/>
      <c r="O501" s="35"/>
      <c r="P501" s="32"/>
      <c r="Q501" s="33"/>
      <c r="R501" s="36" t="str">
        <f aca="false">IF(C501="","",SUMIFS('Payment Claims'!$E$2:$E$501,'Payment Claims'!$A$2:$A$501,A501,'Payment Claims'!$B$2:$B$501,C501,'Payment Claims'!$G$2:$G$501,"&lt;&gt;Disputed"))</f>
        <v/>
      </c>
      <c r="S501" s="36" t="str">
        <f aca="false">IF(OR(C501="",G501=""),"",G501-R501)</f>
        <v/>
      </c>
    </row>
  </sheetData>
  <autoFilter ref="A1:S501"/>
  <conditionalFormatting sqref="P2:P501">
    <cfRule type="expression" priority="2" aboveAverage="0" equalAverage="0" bottom="0" percent="0" rank="0" text="" dxfId="16">
      <formula>OR(P2="Done",P2="Closed",P2="Complete",P2="Paid")</formula>
    </cfRule>
  </conditionalFormatting>
  <dataValidations count="10">
    <dataValidation allowBlank="true" error="Enter a valid date (e.g. 31-Dec-2026)." errorStyle="stop" errorTitle="Invalid date" operator="greaterThan" showDropDown="false" showErrorMessage="false" showInputMessage="false" sqref="M2:O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lst_PartyType</formula1>
      <formula2>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H2:H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I2:I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J2:J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K2:K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P2:P501" type="list">
      <formula1>lst_ContractStatus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17" t="s">
        <v>110</v>
      </c>
      <c r="B1" s="17" t="s">
        <v>293</v>
      </c>
      <c r="C1" s="17" t="s">
        <v>294</v>
      </c>
      <c r="D1" s="17" t="s">
        <v>295</v>
      </c>
      <c r="E1" s="17" t="s">
        <v>296</v>
      </c>
      <c r="F1" s="17" t="s">
        <v>217</v>
      </c>
      <c r="G1" s="17" t="s">
        <v>171</v>
      </c>
      <c r="H1" s="17" t="s">
        <v>297</v>
      </c>
      <c r="I1" s="17" t="s">
        <v>111</v>
      </c>
      <c r="J1" s="17" t="s">
        <v>298</v>
      </c>
      <c r="K1" s="17" t="s">
        <v>235</v>
      </c>
      <c r="L1" s="31" t="s">
        <v>299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4"/>
      <c r="G2" s="35"/>
      <c r="H2" s="35"/>
      <c r="I2" s="32"/>
      <c r="J2" s="35"/>
      <c r="K2" s="33"/>
      <c r="L2" s="37" t="str">
        <f aca="true">IF(OR(B2="",OR(I2="Completed",I2="Terminated")),"",IF(J2="","",IF(J2&lt;TODAY(),"Expired",IF(J2&lt;=TODAY()+60,"Expiring Soon","OK"))))</f>
        <v/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4"/>
      <c r="G3" s="35"/>
      <c r="H3" s="35"/>
      <c r="I3" s="32"/>
      <c r="J3" s="35"/>
      <c r="K3" s="33"/>
      <c r="L3" s="37" t="str">
        <f aca="true">IF(OR(B3="",OR(I3="Completed",I3="Terminated")),"",IF(J3="","",IF(J3&lt;TODAY(),"Expired",IF(J3&lt;=TODAY()+60,"Expiring Soon","OK"))))</f>
        <v/>
      </c>
    </row>
    <row r="4" customFormat="false" ht="15" hidden="false" customHeight="false" outlineLevel="0" collapsed="false">
      <c r="A4" s="32"/>
      <c r="B4" s="32"/>
      <c r="C4" s="32"/>
      <c r="D4" s="32"/>
      <c r="E4" s="32"/>
      <c r="F4" s="34"/>
      <c r="G4" s="35"/>
      <c r="H4" s="35"/>
      <c r="I4" s="32"/>
      <c r="J4" s="35"/>
      <c r="K4" s="33"/>
      <c r="L4" s="37" t="str">
        <f aca="true">IF(OR(B4="",OR(I4="Completed",I4="Terminated")),"",IF(J4="","",IF(J4&lt;TODAY(),"Expired",IF(J4&lt;=TODAY()+60,"Expiring Soon","OK"))))</f>
        <v/>
      </c>
    </row>
    <row r="5" customFormat="false" ht="15" hidden="false" customHeight="false" outlineLevel="0" collapsed="false">
      <c r="A5" s="32"/>
      <c r="B5" s="32"/>
      <c r="C5" s="32"/>
      <c r="D5" s="32"/>
      <c r="E5" s="32"/>
      <c r="F5" s="34"/>
      <c r="G5" s="35"/>
      <c r="H5" s="35"/>
      <c r="I5" s="32"/>
      <c r="J5" s="35"/>
      <c r="K5" s="33"/>
      <c r="L5" s="37" t="str">
        <f aca="true">IF(OR(B5="",OR(I5="Completed",I5="Terminated")),"",IF(J5="","",IF(J5&lt;TODAY(),"Expired",IF(J5&lt;=TODAY()+60,"Expiring Soon","OK"))))</f>
        <v/>
      </c>
    </row>
    <row r="6" customFormat="false" ht="15" hidden="false" customHeight="false" outlineLevel="0" collapsed="false">
      <c r="A6" s="32"/>
      <c r="B6" s="32"/>
      <c r="C6" s="32"/>
      <c r="D6" s="32"/>
      <c r="E6" s="32"/>
      <c r="F6" s="34"/>
      <c r="G6" s="35"/>
      <c r="H6" s="35"/>
      <c r="I6" s="32"/>
      <c r="J6" s="35"/>
      <c r="K6" s="33"/>
      <c r="L6" s="37" t="str">
        <f aca="true">IF(OR(B6="",OR(I6="Completed",I6="Terminated")),"",IF(J6="","",IF(J6&lt;TODAY(),"Expired",IF(J6&lt;=TODAY()+60,"Expiring Soon","OK"))))</f>
        <v/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4"/>
      <c r="G7" s="35"/>
      <c r="H7" s="35"/>
      <c r="I7" s="32"/>
      <c r="J7" s="35"/>
      <c r="K7" s="33"/>
      <c r="L7" s="37" t="str">
        <f aca="true">IF(OR(B7="",OR(I7="Completed",I7="Terminated")),"",IF(J7="","",IF(J7&lt;TODAY(),"Expired",IF(J7&lt;=TODAY()+60,"Expiring Soon","OK"))))</f>
        <v/>
      </c>
    </row>
    <row r="8" customFormat="false" ht="15" hidden="false" customHeight="false" outlineLevel="0" collapsed="false">
      <c r="A8" s="32"/>
      <c r="B8" s="32"/>
      <c r="C8" s="32"/>
      <c r="D8" s="32"/>
      <c r="E8" s="32"/>
      <c r="F8" s="34"/>
      <c r="G8" s="35"/>
      <c r="H8" s="35"/>
      <c r="I8" s="32"/>
      <c r="J8" s="35"/>
      <c r="K8" s="33"/>
      <c r="L8" s="37" t="str">
        <f aca="true">IF(OR(B8="",OR(I8="Completed",I8="Terminated")),"",IF(J8="","",IF(J8&lt;TODAY(),"Expired",IF(J8&lt;=TODAY()+60,"Expiring Soon","OK"))))</f>
        <v/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4"/>
      <c r="G9" s="35"/>
      <c r="H9" s="35"/>
      <c r="I9" s="32"/>
      <c r="J9" s="35"/>
      <c r="K9" s="33"/>
      <c r="L9" s="37" t="str">
        <f aca="true">IF(OR(B9="",OR(I9="Completed",I9="Terminated")),"",IF(J9="","",IF(J9&lt;TODAY(),"Expired",IF(J9&lt;=TODAY()+60,"Expiring Soon","OK"))))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4"/>
      <c r="G10" s="35"/>
      <c r="H10" s="35"/>
      <c r="I10" s="32"/>
      <c r="J10" s="35"/>
      <c r="K10" s="33"/>
      <c r="L10" s="37" t="str">
        <f aca="true">IF(OR(B10="",OR(I10="Completed",I10="Terminated")),"",IF(J10="","",IF(J10&lt;TODAY(),"Expired",IF(J10&lt;=TODAY()+60,"Expiring Soon","OK"))))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4"/>
      <c r="G11" s="35"/>
      <c r="H11" s="35"/>
      <c r="I11" s="32"/>
      <c r="J11" s="35"/>
      <c r="K11" s="33"/>
      <c r="L11" s="37" t="str">
        <f aca="true">IF(OR(B11="",OR(I11="Completed",I11="Terminated")),"",IF(J11="","",IF(J11&lt;TODAY(),"Expired",IF(J11&lt;=TODAY()+60,"Expiring Soon","OK"))))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4"/>
      <c r="G12" s="35"/>
      <c r="H12" s="35"/>
      <c r="I12" s="32"/>
      <c r="J12" s="35"/>
      <c r="K12" s="33"/>
      <c r="L12" s="37" t="str">
        <f aca="true">IF(OR(B12="",OR(I12="Completed",I12="Terminated")),"",IF(J12="","",IF(J12&lt;TODAY(),"Expired",IF(J12&lt;=TODAY()+60,"Expiring Soon","OK"))))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4"/>
      <c r="G13" s="35"/>
      <c r="H13" s="35"/>
      <c r="I13" s="32"/>
      <c r="J13" s="35"/>
      <c r="K13" s="33"/>
      <c r="L13" s="37" t="str">
        <f aca="true">IF(OR(B13="",OR(I13="Completed",I13="Terminated")),"",IF(J13="","",IF(J13&lt;TODAY(),"Expired",IF(J13&lt;=TODAY()+60,"Expiring Soon","OK"))))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4"/>
      <c r="G14" s="35"/>
      <c r="H14" s="35"/>
      <c r="I14" s="32"/>
      <c r="J14" s="35"/>
      <c r="K14" s="33"/>
      <c r="L14" s="37" t="str">
        <f aca="true">IF(OR(B14="",OR(I14="Completed",I14="Terminated")),"",IF(J14="","",IF(J14&lt;TODAY(),"Expired",IF(J14&lt;=TODAY()+60,"Expiring Soon","OK"))))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4"/>
      <c r="G15" s="35"/>
      <c r="H15" s="35"/>
      <c r="I15" s="32"/>
      <c r="J15" s="35"/>
      <c r="K15" s="33"/>
      <c r="L15" s="37" t="str">
        <f aca="true">IF(OR(B15="",OR(I15="Completed",I15="Terminated")),"",IF(J15="","",IF(J15&lt;TODAY(),"Expired",IF(J15&lt;=TODAY()+60,"Expiring Soon","OK"))))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4"/>
      <c r="G16" s="35"/>
      <c r="H16" s="35"/>
      <c r="I16" s="32"/>
      <c r="J16" s="35"/>
      <c r="K16" s="33"/>
      <c r="L16" s="37" t="str">
        <f aca="true">IF(OR(B16="",OR(I16="Completed",I16="Terminated")),"",IF(J16="","",IF(J16&lt;TODAY(),"Expired",IF(J16&lt;=TODAY()+60,"Expiring Soon","OK"))))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4"/>
      <c r="G17" s="35"/>
      <c r="H17" s="35"/>
      <c r="I17" s="32"/>
      <c r="J17" s="35"/>
      <c r="K17" s="33"/>
      <c r="L17" s="37" t="str">
        <f aca="true">IF(OR(B17="",OR(I17="Completed",I17="Terminated")),"",IF(J17="","",IF(J17&lt;TODAY(),"Expired",IF(J17&lt;=TODAY()+60,"Expiring Soon","OK"))))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4"/>
      <c r="G18" s="35"/>
      <c r="H18" s="35"/>
      <c r="I18" s="32"/>
      <c r="J18" s="35"/>
      <c r="K18" s="33"/>
      <c r="L18" s="37" t="str">
        <f aca="true">IF(OR(B18="",OR(I18="Completed",I18="Terminated")),"",IF(J18="","",IF(J18&lt;TODAY(),"Expired",IF(J18&lt;=TODAY()+60,"Expiring Soon","OK"))))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4"/>
      <c r="G19" s="35"/>
      <c r="H19" s="35"/>
      <c r="I19" s="32"/>
      <c r="J19" s="35"/>
      <c r="K19" s="33"/>
      <c r="L19" s="37" t="str">
        <f aca="true">IF(OR(B19="",OR(I19="Completed",I19="Terminated")),"",IF(J19="","",IF(J19&lt;TODAY(),"Expired",IF(J19&lt;=TODAY()+60,"Expiring Soon","OK"))))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4"/>
      <c r="G20" s="35"/>
      <c r="H20" s="35"/>
      <c r="I20" s="32"/>
      <c r="J20" s="35"/>
      <c r="K20" s="33"/>
      <c r="L20" s="37" t="str">
        <f aca="true">IF(OR(B20="",OR(I20="Completed",I20="Terminated")),"",IF(J20="","",IF(J20&lt;TODAY(),"Expired",IF(J20&lt;=TODAY()+60,"Expiring Soon","OK"))))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4"/>
      <c r="G21" s="35"/>
      <c r="H21" s="35"/>
      <c r="I21" s="32"/>
      <c r="J21" s="35"/>
      <c r="K21" s="33"/>
      <c r="L21" s="37" t="str">
        <f aca="true">IF(OR(B21="",OR(I21="Completed",I21="Terminated")),"",IF(J21="","",IF(J21&lt;TODAY(),"Expired",IF(J21&lt;=TODAY()+60,"Expiring Soon","OK"))))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4"/>
      <c r="G22" s="35"/>
      <c r="H22" s="35"/>
      <c r="I22" s="32"/>
      <c r="J22" s="35"/>
      <c r="K22" s="33"/>
      <c r="L22" s="37" t="str">
        <f aca="true">IF(OR(B22="",OR(I22="Completed",I22="Terminated")),"",IF(J22="","",IF(J22&lt;TODAY(),"Expired",IF(J22&lt;=TODAY()+60,"Expiring Soon","OK"))))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4"/>
      <c r="G23" s="35"/>
      <c r="H23" s="35"/>
      <c r="I23" s="32"/>
      <c r="J23" s="35"/>
      <c r="K23" s="33"/>
      <c r="L23" s="37" t="str">
        <f aca="true">IF(OR(B23="",OR(I23="Completed",I23="Terminated")),"",IF(J23="","",IF(J23&lt;TODAY(),"Expired",IF(J23&lt;=TODAY()+60,"Expiring Soon","OK"))))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4"/>
      <c r="G24" s="35"/>
      <c r="H24" s="35"/>
      <c r="I24" s="32"/>
      <c r="J24" s="35"/>
      <c r="K24" s="33"/>
      <c r="L24" s="37" t="str">
        <f aca="true">IF(OR(B24="",OR(I24="Completed",I24="Terminated")),"",IF(J24="","",IF(J24&lt;TODAY(),"Expired",IF(J24&lt;=TODAY()+60,"Expiring Soon","OK"))))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4"/>
      <c r="G25" s="35"/>
      <c r="H25" s="35"/>
      <c r="I25" s="32"/>
      <c r="J25" s="35"/>
      <c r="K25" s="33"/>
      <c r="L25" s="37" t="str">
        <f aca="true">IF(OR(B25="",OR(I25="Completed",I25="Terminated")),"",IF(J25="","",IF(J25&lt;TODAY(),"Expired",IF(J25&lt;=TODAY()+60,"Expiring Soon","OK"))))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4"/>
      <c r="G26" s="35"/>
      <c r="H26" s="35"/>
      <c r="I26" s="32"/>
      <c r="J26" s="35"/>
      <c r="K26" s="33"/>
      <c r="L26" s="37" t="str">
        <f aca="true">IF(OR(B26="",OR(I26="Completed",I26="Terminated")),"",IF(J26="","",IF(J26&lt;TODAY(),"Expired",IF(J26&lt;=TODAY()+60,"Expiring Soon","OK"))))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4"/>
      <c r="G27" s="35"/>
      <c r="H27" s="35"/>
      <c r="I27" s="32"/>
      <c r="J27" s="35"/>
      <c r="K27" s="33"/>
      <c r="L27" s="37" t="str">
        <f aca="true">IF(OR(B27="",OR(I27="Completed",I27="Terminated")),"",IF(J27="","",IF(J27&lt;TODAY(),"Expired",IF(J27&lt;=TODAY()+60,"Expiring Soon","OK"))))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4"/>
      <c r="G28" s="35"/>
      <c r="H28" s="35"/>
      <c r="I28" s="32"/>
      <c r="J28" s="35"/>
      <c r="K28" s="33"/>
      <c r="L28" s="37" t="str">
        <f aca="true">IF(OR(B28="",OR(I28="Completed",I28="Terminated")),"",IF(J28="","",IF(J28&lt;TODAY(),"Expired",IF(J28&lt;=TODAY()+60,"Expiring Soon","OK"))))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4"/>
      <c r="G29" s="35"/>
      <c r="H29" s="35"/>
      <c r="I29" s="32"/>
      <c r="J29" s="35"/>
      <c r="K29" s="33"/>
      <c r="L29" s="37" t="str">
        <f aca="true">IF(OR(B29="",OR(I29="Completed",I29="Terminated")),"",IF(J29="","",IF(J29&lt;TODAY(),"Expired",IF(J29&lt;=TODAY()+60,"Expiring Soon","OK"))))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4"/>
      <c r="G30" s="35"/>
      <c r="H30" s="35"/>
      <c r="I30" s="32"/>
      <c r="J30" s="35"/>
      <c r="K30" s="33"/>
      <c r="L30" s="37" t="str">
        <f aca="true">IF(OR(B30="",OR(I30="Completed",I30="Terminated")),"",IF(J30="","",IF(J30&lt;TODAY(),"Expired",IF(J30&lt;=TODAY()+60,"Expiring Soon","OK"))))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4"/>
      <c r="G31" s="35"/>
      <c r="H31" s="35"/>
      <c r="I31" s="32"/>
      <c r="J31" s="35"/>
      <c r="K31" s="33"/>
      <c r="L31" s="37" t="str">
        <f aca="true">IF(OR(B31="",OR(I31="Completed",I31="Terminated")),"",IF(J31="","",IF(J31&lt;TODAY(),"Expired",IF(J31&lt;=TODAY()+60,"Expiring Soon","OK"))))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4"/>
      <c r="G32" s="35"/>
      <c r="H32" s="35"/>
      <c r="I32" s="32"/>
      <c r="J32" s="35"/>
      <c r="K32" s="33"/>
      <c r="L32" s="37" t="str">
        <f aca="true">IF(OR(B32="",OR(I32="Completed",I32="Terminated")),"",IF(J32="","",IF(J32&lt;TODAY(),"Expired",IF(J32&lt;=TODAY()+60,"Expiring Soon","OK"))))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4"/>
      <c r="G33" s="35"/>
      <c r="H33" s="35"/>
      <c r="I33" s="32"/>
      <c r="J33" s="35"/>
      <c r="K33" s="33"/>
      <c r="L33" s="37" t="str">
        <f aca="true">IF(OR(B33="",OR(I33="Completed",I33="Terminated")),"",IF(J33="","",IF(J33&lt;TODAY(),"Expired",IF(J33&lt;=TODAY()+60,"Expiring Soon","OK"))))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4"/>
      <c r="G34" s="35"/>
      <c r="H34" s="35"/>
      <c r="I34" s="32"/>
      <c r="J34" s="35"/>
      <c r="K34" s="33"/>
      <c r="L34" s="37" t="str">
        <f aca="true">IF(OR(B34="",OR(I34="Completed",I34="Terminated")),"",IF(J34="","",IF(J34&lt;TODAY(),"Expired",IF(J34&lt;=TODAY()+60,"Expiring Soon","OK"))))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4"/>
      <c r="G35" s="35"/>
      <c r="H35" s="35"/>
      <c r="I35" s="32"/>
      <c r="J35" s="35"/>
      <c r="K35" s="33"/>
      <c r="L35" s="37" t="str">
        <f aca="true">IF(OR(B35="",OR(I35="Completed",I35="Terminated")),"",IF(J35="","",IF(J35&lt;TODAY(),"Expired",IF(J35&lt;=TODAY()+60,"Expiring Soon","OK"))))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4"/>
      <c r="G36" s="35"/>
      <c r="H36" s="35"/>
      <c r="I36" s="32"/>
      <c r="J36" s="35"/>
      <c r="K36" s="33"/>
      <c r="L36" s="37" t="str">
        <f aca="true">IF(OR(B36="",OR(I36="Completed",I36="Terminated")),"",IF(J36="","",IF(J36&lt;TODAY(),"Expired",IF(J36&lt;=TODAY()+60,"Expiring Soon","OK"))))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4"/>
      <c r="G37" s="35"/>
      <c r="H37" s="35"/>
      <c r="I37" s="32"/>
      <c r="J37" s="35"/>
      <c r="K37" s="33"/>
      <c r="L37" s="37" t="str">
        <f aca="true">IF(OR(B37="",OR(I37="Completed",I37="Terminated")),"",IF(J37="","",IF(J37&lt;TODAY(),"Expired",IF(J37&lt;=TODAY()+60,"Expiring Soon","OK"))))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4"/>
      <c r="G38" s="35"/>
      <c r="H38" s="35"/>
      <c r="I38" s="32"/>
      <c r="J38" s="35"/>
      <c r="K38" s="33"/>
      <c r="L38" s="37" t="str">
        <f aca="true">IF(OR(B38="",OR(I38="Completed",I38="Terminated")),"",IF(J38="","",IF(J38&lt;TODAY(),"Expired",IF(J38&lt;=TODAY()+60,"Expiring Soon","OK"))))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4"/>
      <c r="G39" s="35"/>
      <c r="H39" s="35"/>
      <c r="I39" s="32"/>
      <c r="J39" s="35"/>
      <c r="K39" s="33"/>
      <c r="L39" s="37" t="str">
        <f aca="true">IF(OR(B39="",OR(I39="Completed",I39="Terminated")),"",IF(J39="","",IF(J39&lt;TODAY(),"Expired",IF(J39&lt;=TODAY()+60,"Expiring Soon","OK"))))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4"/>
      <c r="G40" s="35"/>
      <c r="H40" s="35"/>
      <c r="I40" s="32"/>
      <c r="J40" s="35"/>
      <c r="K40" s="33"/>
      <c r="L40" s="37" t="str">
        <f aca="true">IF(OR(B40="",OR(I40="Completed",I40="Terminated")),"",IF(J40="","",IF(J40&lt;TODAY(),"Expired",IF(J40&lt;=TODAY()+60,"Expiring Soon","OK"))))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4"/>
      <c r="G41" s="35"/>
      <c r="H41" s="35"/>
      <c r="I41" s="32"/>
      <c r="J41" s="35"/>
      <c r="K41" s="33"/>
      <c r="L41" s="37" t="str">
        <f aca="true">IF(OR(B41="",OR(I41="Completed",I41="Terminated")),"",IF(J41="","",IF(J41&lt;TODAY(),"Expired",IF(J41&lt;=TODAY()+60,"Expiring Soon","OK"))))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4"/>
      <c r="G42" s="35"/>
      <c r="H42" s="35"/>
      <c r="I42" s="32"/>
      <c r="J42" s="35"/>
      <c r="K42" s="33"/>
      <c r="L42" s="37" t="str">
        <f aca="true">IF(OR(B42="",OR(I42="Completed",I42="Terminated")),"",IF(J42="","",IF(J42&lt;TODAY(),"Expired",IF(J42&lt;=TODAY()+60,"Expiring Soon","OK"))))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4"/>
      <c r="G43" s="35"/>
      <c r="H43" s="35"/>
      <c r="I43" s="32"/>
      <c r="J43" s="35"/>
      <c r="K43" s="33"/>
      <c r="L43" s="37" t="str">
        <f aca="true">IF(OR(B43="",OR(I43="Completed",I43="Terminated")),"",IF(J43="","",IF(J43&lt;TODAY(),"Expired",IF(J43&lt;=TODAY()+60,"Expiring Soon","OK"))))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4"/>
      <c r="G44" s="35"/>
      <c r="H44" s="35"/>
      <c r="I44" s="32"/>
      <c r="J44" s="35"/>
      <c r="K44" s="33"/>
      <c r="L44" s="37" t="str">
        <f aca="true">IF(OR(B44="",OR(I44="Completed",I44="Terminated")),"",IF(J44="","",IF(J44&lt;TODAY(),"Expired",IF(J44&lt;=TODAY()+60,"Expiring Soon","OK"))))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4"/>
      <c r="G45" s="35"/>
      <c r="H45" s="35"/>
      <c r="I45" s="32"/>
      <c r="J45" s="35"/>
      <c r="K45" s="33"/>
      <c r="L45" s="37" t="str">
        <f aca="true">IF(OR(B45="",OR(I45="Completed",I45="Terminated")),"",IF(J45="","",IF(J45&lt;TODAY(),"Expired",IF(J45&lt;=TODAY()+60,"Expiring Soon","OK"))))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4"/>
      <c r="G46" s="35"/>
      <c r="H46" s="35"/>
      <c r="I46" s="32"/>
      <c r="J46" s="35"/>
      <c r="K46" s="33"/>
      <c r="L46" s="37" t="str">
        <f aca="true">IF(OR(B46="",OR(I46="Completed",I46="Terminated")),"",IF(J46="","",IF(J46&lt;TODAY(),"Expired",IF(J46&lt;=TODAY()+60,"Expiring Soon","OK"))))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4"/>
      <c r="G47" s="35"/>
      <c r="H47" s="35"/>
      <c r="I47" s="32"/>
      <c r="J47" s="35"/>
      <c r="K47" s="33"/>
      <c r="L47" s="37" t="str">
        <f aca="true">IF(OR(B47="",OR(I47="Completed",I47="Terminated")),"",IF(J47="","",IF(J47&lt;TODAY(),"Expired",IF(J47&lt;=TODAY()+60,"Expiring Soon","OK"))))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4"/>
      <c r="G48" s="35"/>
      <c r="H48" s="35"/>
      <c r="I48" s="32"/>
      <c r="J48" s="35"/>
      <c r="K48" s="33"/>
      <c r="L48" s="37" t="str">
        <f aca="true">IF(OR(B48="",OR(I48="Completed",I48="Terminated")),"",IF(J48="","",IF(J48&lt;TODAY(),"Expired",IF(J48&lt;=TODAY()+60,"Expiring Soon","OK"))))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4"/>
      <c r="G49" s="35"/>
      <c r="H49" s="35"/>
      <c r="I49" s="32"/>
      <c r="J49" s="35"/>
      <c r="K49" s="33"/>
      <c r="L49" s="37" t="str">
        <f aca="true">IF(OR(B49="",OR(I49="Completed",I49="Terminated")),"",IF(J49="","",IF(J49&lt;TODAY(),"Expired",IF(J49&lt;=TODAY()+60,"Expiring Soon","OK"))))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4"/>
      <c r="G50" s="35"/>
      <c r="H50" s="35"/>
      <c r="I50" s="32"/>
      <c r="J50" s="35"/>
      <c r="K50" s="33"/>
      <c r="L50" s="37" t="str">
        <f aca="true">IF(OR(B50="",OR(I50="Completed",I50="Terminated")),"",IF(J50="","",IF(J50&lt;TODAY(),"Expired",IF(J50&lt;=TODAY()+60,"Expiring Soon","OK"))))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4"/>
      <c r="G51" s="35"/>
      <c r="H51" s="35"/>
      <c r="I51" s="32"/>
      <c r="J51" s="35"/>
      <c r="K51" s="33"/>
      <c r="L51" s="37" t="str">
        <f aca="true">IF(OR(B51="",OR(I51="Completed",I51="Terminated")),"",IF(J51="","",IF(J51&lt;TODAY(),"Expired",IF(J51&lt;=TODAY()+60,"Expiring Soon","OK"))))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4"/>
      <c r="G52" s="35"/>
      <c r="H52" s="35"/>
      <c r="I52" s="32"/>
      <c r="J52" s="35"/>
      <c r="K52" s="33"/>
      <c r="L52" s="37" t="str">
        <f aca="true">IF(OR(B52="",OR(I52="Completed",I52="Terminated")),"",IF(J52="","",IF(J52&lt;TODAY(),"Expired",IF(J52&lt;=TODAY()+60,"Expiring Soon","OK"))))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4"/>
      <c r="G53" s="35"/>
      <c r="H53" s="35"/>
      <c r="I53" s="32"/>
      <c r="J53" s="35"/>
      <c r="K53" s="33"/>
      <c r="L53" s="37" t="str">
        <f aca="true">IF(OR(B53="",OR(I53="Completed",I53="Terminated")),"",IF(J53="","",IF(J53&lt;TODAY(),"Expired",IF(J53&lt;=TODAY()+60,"Expiring Soon","OK"))))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4"/>
      <c r="G54" s="35"/>
      <c r="H54" s="35"/>
      <c r="I54" s="32"/>
      <c r="J54" s="35"/>
      <c r="K54" s="33"/>
      <c r="L54" s="37" t="str">
        <f aca="true">IF(OR(B54="",OR(I54="Completed",I54="Terminated")),"",IF(J54="","",IF(J54&lt;TODAY(),"Expired",IF(J54&lt;=TODAY()+60,"Expiring Soon","OK"))))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4"/>
      <c r="G55" s="35"/>
      <c r="H55" s="35"/>
      <c r="I55" s="32"/>
      <c r="J55" s="35"/>
      <c r="K55" s="33"/>
      <c r="L55" s="37" t="str">
        <f aca="true">IF(OR(B55="",OR(I55="Completed",I55="Terminated")),"",IF(J55="","",IF(J55&lt;TODAY(),"Expired",IF(J55&lt;=TODAY()+60,"Expiring Soon","OK"))))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4"/>
      <c r="G56" s="35"/>
      <c r="H56" s="35"/>
      <c r="I56" s="32"/>
      <c r="J56" s="35"/>
      <c r="K56" s="33"/>
      <c r="L56" s="37" t="str">
        <f aca="true">IF(OR(B56="",OR(I56="Completed",I56="Terminated")),"",IF(J56="","",IF(J56&lt;TODAY(),"Expired",IF(J56&lt;=TODAY()+60,"Expiring Soon","OK"))))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4"/>
      <c r="G57" s="35"/>
      <c r="H57" s="35"/>
      <c r="I57" s="32"/>
      <c r="J57" s="35"/>
      <c r="K57" s="33"/>
      <c r="L57" s="37" t="str">
        <f aca="true">IF(OR(B57="",OR(I57="Completed",I57="Terminated")),"",IF(J57="","",IF(J57&lt;TODAY(),"Expired",IF(J57&lt;=TODAY()+60,"Expiring Soon","OK"))))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4"/>
      <c r="G58" s="35"/>
      <c r="H58" s="35"/>
      <c r="I58" s="32"/>
      <c r="J58" s="35"/>
      <c r="K58" s="33"/>
      <c r="L58" s="37" t="str">
        <f aca="true">IF(OR(B58="",OR(I58="Completed",I58="Terminated")),"",IF(J58="","",IF(J58&lt;TODAY(),"Expired",IF(J58&lt;=TODAY()+60,"Expiring Soon","OK"))))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4"/>
      <c r="G59" s="35"/>
      <c r="H59" s="35"/>
      <c r="I59" s="32"/>
      <c r="J59" s="35"/>
      <c r="K59" s="33"/>
      <c r="L59" s="37" t="str">
        <f aca="true">IF(OR(B59="",OR(I59="Completed",I59="Terminated")),"",IF(J59="","",IF(J59&lt;TODAY(),"Expired",IF(J59&lt;=TODAY()+60,"Expiring Soon","OK"))))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4"/>
      <c r="G60" s="35"/>
      <c r="H60" s="35"/>
      <c r="I60" s="32"/>
      <c r="J60" s="35"/>
      <c r="K60" s="33"/>
      <c r="L60" s="37" t="str">
        <f aca="true">IF(OR(B60="",OR(I60="Completed",I60="Terminated")),"",IF(J60="","",IF(J60&lt;TODAY(),"Expired",IF(J60&lt;=TODAY()+60,"Expiring Soon","OK"))))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4"/>
      <c r="G61" s="35"/>
      <c r="H61" s="35"/>
      <c r="I61" s="32"/>
      <c r="J61" s="35"/>
      <c r="K61" s="33"/>
      <c r="L61" s="37" t="str">
        <f aca="true">IF(OR(B61="",OR(I61="Completed",I61="Terminated")),"",IF(J61="","",IF(J61&lt;TODAY(),"Expired",IF(J61&lt;=TODAY()+60,"Expiring Soon","OK"))))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4"/>
      <c r="G62" s="35"/>
      <c r="H62" s="35"/>
      <c r="I62" s="32"/>
      <c r="J62" s="35"/>
      <c r="K62" s="33"/>
      <c r="L62" s="37" t="str">
        <f aca="true">IF(OR(B62="",OR(I62="Completed",I62="Terminated")),"",IF(J62="","",IF(J62&lt;TODAY(),"Expired",IF(J62&lt;=TODAY()+60,"Expiring Soon","OK"))))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4"/>
      <c r="G63" s="35"/>
      <c r="H63" s="35"/>
      <c r="I63" s="32"/>
      <c r="J63" s="35"/>
      <c r="K63" s="33"/>
      <c r="L63" s="37" t="str">
        <f aca="true">IF(OR(B63="",OR(I63="Completed",I63="Terminated")),"",IF(J63="","",IF(J63&lt;TODAY(),"Expired",IF(J63&lt;=TODAY()+60,"Expiring Soon","OK"))))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4"/>
      <c r="G64" s="35"/>
      <c r="H64" s="35"/>
      <c r="I64" s="32"/>
      <c r="J64" s="35"/>
      <c r="K64" s="33"/>
      <c r="L64" s="37" t="str">
        <f aca="true">IF(OR(B64="",OR(I64="Completed",I64="Terminated")),"",IF(J64="","",IF(J64&lt;TODAY(),"Expired",IF(J64&lt;=TODAY()+60,"Expiring Soon","OK"))))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4"/>
      <c r="G65" s="35"/>
      <c r="H65" s="35"/>
      <c r="I65" s="32"/>
      <c r="J65" s="35"/>
      <c r="K65" s="33"/>
      <c r="L65" s="37" t="str">
        <f aca="true">IF(OR(B65="",OR(I65="Completed",I65="Terminated")),"",IF(J65="","",IF(J65&lt;TODAY(),"Expired",IF(J65&lt;=TODAY()+60,"Expiring Soon","OK"))))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4"/>
      <c r="G66" s="35"/>
      <c r="H66" s="35"/>
      <c r="I66" s="32"/>
      <c r="J66" s="35"/>
      <c r="K66" s="33"/>
      <c r="L66" s="37" t="str">
        <f aca="true">IF(OR(B66="",OR(I66="Completed",I66="Terminated")),"",IF(J66="","",IF(J66&lt;TODAY(),"Expired",IF(J66&lt;=TODAY()+60,"Expiring Soon","OK"))))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4"/>
      <c r="G67" s="35"/>
      <c r="H67" s="35"/>
      <c r="I67" s="32"/>
      <c r="J67" s="35"/>
      <c r="K67" s="33"/>
      <c r="L67" s="37" t="str">
        <f aca="true">IF(OR(B67="",OR(I67="Completed",I67="Terminated")),"",IF(J67="","",IF(J67&lt;TODAY(),"Expired",IF(J67&lt;=TODAY()+60,"Expiring Soon","OK"))))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4"/>
      <c r="G68" s="35"/>
      <c r="H68" s="35"/>
      <c r="I68" s="32"/>
      <c r="J68" s="35"/>
      <c r="K68" s="33"/>
      <c r="L68" s="37" t="str">
        <f aca="true">IF(OR(B68="",OR(I68="Completed",I68="Terminated")),"",IF(J68="","",IF(J68&lt;TODAY(),"Expired",IF(J68&lt;=TODAY()+60,"Expiring Soon","OK"))))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4"/>
      <c r="G69" s="35"/>
      <c r="H69" s="35"/>
      <c r="I69" s="32"/>
      <c r="J69" s="35"/>
      <c r="K69" s="33"/>
      <c r="L69" s="37" t="str">
        <f aca="true">IF(OR(B69="",OR(I69="Completed",I69="Terminated")),"",IF(J69="","",IF(J69&lt;TODAY(),"Expired",IF(J69&lt;=TODAY()+60,"Expiring Soon","OK"))))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4"/>
      <c r="G70" s="35"/>
      <c r="H70" s="35"/>
      <c r="I70" s="32"/>
      <c r="J70" s="35"/>
      <c r="K70" s="33"/>
      <c r="L70" s="37" t="str">
        <f aca="true">IF(OR(B70="",OR(I70="Completed",I70="Terminated")),"",IF(J70="","",IF(J70&lt;TODAY(),"Expired",IF(J70&lt;=TODAY()+60,"Expiring Soon","OK"))))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4"/>
      <c r="G71" s="35"/>
      <c r="H71" s="35"/>
      <c r="I71" s="32"/>
      <c r="J71" s="35"/>
      <c r="K71" s="33"/>
      <c r="L71" s="37" t="str">
        <f aca="true">IF(OR(B71="",OR(I71="Completed",I71="Terminated")),"",IF(J71="","",IF(J71&lt;TODAY(),"Expired",IF(J71&lt;=TODAY()+60,"Expiring Soon","OK"))))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4"/>
      <c r="G72" s="35"/>
      <c r="H72" s="35"/>
      <c r="I72" s="32"/>
      <c r="J72" s="35"/>
      <c r="K72" s="33"/>
      <c r="L72" s="37" t="str">
        <f aca="true">IF(OR(B72="",OR(I72="Completed",I72="Terminated")),"",IF(J72="","",IF(J72&lt;TODAY(),"Expired",IF(J72&lt;=TODAY()+60,"Expiring Soon","OK"))))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4"/>
      <c r="G73" s="35"/>
      <c r="H73" s="35"/>
      <c r="I73" s="32"/>
      <c r="J73" s="35"/>
      <c r="K73" s="33"/>
      <c r="L73" s="37" t="str">
        <f aca="true">IF(OR(B73="",OR(I73="Completed",I73="Terminated")),"",IF(J73="","",IF(J73&lt;TODAY(),"Expired",IF(J73&lt;=TODAY()+60,"Expiring Soon","OK"))))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4"/>
      <c r="G74" s="35"/>
      <c r="H74" s="35"/>
      <c r="I74" s="32"/>
      <c r="J74" s="35"/>
      <c r="K74" s="33"/>
      <c r="L74" s="37" t="str">
        <f aca="true">IF(OR(B74="",OR(I74="Completed",I74="Terminated")),"",IF(J74="","",IF(J74&lt;TODAY(),"Expired",IF(J74&lt;=TODAY()+60,"Expiring Soon","OK"))))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4"/>
      <c r="G75" s="35"/>
      <c r="H75" s="35"/>
      <c r="I75" s="32"/>
      <c r="J75" s="35"/>
      <c r="K75" s="33"/>
      <c r="L75" s="37" t="str">
        <f aca="true">IF(OR(B75="",OR(I75="Completed",I75="Terminated")),"",IF(J75="","",IF(J75&lt;TODAY(),"Expired",IF(J75&lt;=TODAY()+60,"Expiring Soon","OK"))))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4"/>
      <c r="G76" s="35"/>
      <c r="H76" s="35"/>
      <c r="I76" s="32"/>
      <c r="J76" s="35"/>
      <c r="K76" s="33"/>
      <c r="L76" s="37" t="str">
        <f aca="true">IF(OR(B76="",OR(I76="Completed",I76="Terminated")),"",IF(J76="","",IF(J76&lt;TODAY(),"Expired",IF(J76&lt;=TODAY()+60,"Expiring Soon","OK"))))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4"/>
      <c r="G77" s="35"/>
      <c r="H77" s="35"/>
      <c r="I77" s="32"/>
      <c r="J77" s="35"/>
      <c r="K77" s="33"/>
      <c r="L77" s="37" t="str">
        <f aca="true">IF(OR(B77="",OR(I77="Completed",I77="Terminated")),"",IF(J77="","",IF(J77&lt;TODAY(),"Expired",IF(J77&lt;=TODAY()+60,"Expiring Soon","OK"))))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4"/>
      <c r="G78" s="35"/>
      <c r="H78" s="35"/>
      <c r="I78" s="32"/>
      <c r="J78" s="35"/>
      <c r="K78" s="33"/>
      <c r="L78" s="37" t="str">
        <f aca="true">IF(OR(B78="",OR(I78="Completed",I78="Terminated")),"",IF(J78="","",IF(J78&lt;TODAY(),"Expired",IF(J78&lt;=TODAY()+60,"Expiring Soon","OK"))))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4"/>
      <c r="G79" s="35"/>
      <c r="H79" s="35"/>
      <c r="I79" s="32"/>
      <c r="J79" s="35"/>
      <c r="K79" s="33"/>
      <c r="L79" s="37" t="str">
        <f aca="true">IF(OR(B79="",OR(I79="Completed",I79="Terminated")),"",IF(J79="","",IF(J79&lt;TODAY(),"Expired",IF(J79&lt;=TODAY()+60,"Expiring Soon","OK"))))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4"/>
      <c r="G80" s="35"/>
      <c r="H80" s="35"/>
      <c r="I80" s="32"/>
      <c r="J80" s="35"/>
      <c r="K80" s="33"/>
      <c r="L80" s="37" t="str">
        <f aca="true">IF(OR(B80="",OR(I80="Completed",I80="Terminated")),"",IF(J80="","",IF(J80&lt;TODAY(),"Expired",IF(J80&lt;=TODAY()+60,"Expiring Soon","OK"))))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4"/>
      <c r="G81" s="35"/>
      <c r="H81" s="35"/>
      <c r="I81" s="32"/>
      <c r="J81" s="35"/>
      <c r="K81" s="33"/>
      <c r="L81" s="37" t="str">
        <f aca="true">IF(OR(B81="",OR(I81="Completed",I81="Terminated")),"",IF(J81="","",IF(J81&lt;TODAY(),"Expired",IF(J81&lt;=TODAY()+60,"Expiring Soon","OK"))))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4"/>
      <c r="G82" s="35"/>
      <c r="H82" s="35"/>
      <c r="I82" s="32"/>
      <c r="J82" s="35"/>
      <c r="K82" s="33"/>
      <c r="L82" s="37" t="str">
        <f aca="true">IF(OR(B82="",OR(I82="Completed",I82="Terminated")),"",IF(J82="","",IF(J82&lt;TODAY(),"Expired",IF(J82&lt;=TODAY()+60,"Expiring Soon","OK"))))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4"/>
      <c r="G83" s="35"/>
      <c r="H83" s="35"/>
      <c r="I83" s="32"/>
      <c r="J83" s="35"/>
      <c r="K83" s="33"/>
      <c r="L83" s="37" t="str">
        <f aca="true">IF(OR(B83="",OR(I83="Completed",I83="Terminated")),"",IF(J83="","",IF(J83&lt;TODAY(),"Expired",IF(J83&lt;=TODAY()+60,"Expiring Soon","OK"))))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4"/>
      <c r="G84" s="35"/>
      <c r="H84" s="35"/>
      <c r="I84" s="32"/>
      <c r="J84" s="35"/>
      <c r="K84" s="33"/>
      <c r="L84" s="37" t="str">
        <f aca="true">IF(OR(B84="",OR(I84="Completed",I84="Terminated")),"",IF(J84="","",IF(J84&lt;TODAY(),"Expired",IF(J84&lt;=TODAY()+60,"Expiring Soon","OK"))))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4"/>
      <c r="G85" s="35"/>
      <c r="H85" s="35"/>
      <c r="I85" s="32"/>
      <c r="J85" s="35"/>
      <c r="K85" s="33"/>
      <c r="L85" s="37" t="str">
        <f aca="true">IF(OR(B85="",OR(I85="Completed",I85="Terminated")),"",IF(J85="","",IF(J85&lt;TODAY(),"Expired",IF(J85&lt;=TODAY()+60,"Expiring Soon","OK"))))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4"/>
      <c r="G86" s="35"/>
      <c r="H86" s="35"/>
      <c r="I86" s="32"/>
      <c r="J86" s="35"/>
      <c r="K86" s="33"/>
      <c r="L86" s="37" t="str">
        <f aca="true">IF(OR(B86="",OR(I86="Completed",I86="Terminated")),"",IF(J86="","",IF(J86&lt;TODAY(),"Expired",IF(J86&lt;=TODAY()+60,"Expiring Soon","OK"))))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4"/>
      <c r="G87" s="35"/>
      <c r="H87" s="35"/>
      <c r="I87" s="32"/>
      <c r="J87" s="35"/>
      <c r="K87" s="33"/>
      <c r="L87" s="37" t="str">
        <f aca="true">IF(OR(B87="",OR(I87="Completed",I87="Terminated")),"",IF(J87="","",IF(J87&lt;TODAY(),"Expired",IF(J87&lt;=TODAY()+60,"Expiring Soon","OK"))))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4"/>
      <c r="G88" s="35"/>
      <c r="H88" s="35"/>
      <c r="I88" s="32"/>
      <c r="J88" s="35"/>
      <c r="K88" s="33"/>
      <c r="L88" s="37" t="str">
        <f aca="true">IF(OR(B88="",OR(I88="Completed",I88="Terminated")),"",IF(J88="","",IF(J88&lt;TODAY(),"Expired",IF(J88&lt;=TODAY()+60,"Expiring Soon","OK"))))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4"/>
      <c r="G89" s="35"/>
      <c r="H89" s="35"/>
      <c r="I89" s="32"/>
      <c r="J89" s="35"/>
      <c r="K89" s="33"/>
      <c r="L89" s="37" t="str">
        <f aca="true">IF(OR(B89="",OR(I89="Completed",I89="Terminated")),"",IF(J89="","",IF(J89&lt;TODAY(),"Expired",IF(J89&lt;=TODAY()+60,"Expiring Soon","OK"))))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4"/>
      <c r="G90" s="35"/>
      <c r="H90" s="35"/>
      <c r="I90" s="32"/>
      <c r="J90" s="35"/>
      <c r="K90" s="33"/>
      <c r="L90" s="37" t="str">
        <f aca="true">IF(OR(B90="",OR(I90="Completed",I90="Terminated")),"",IF(J90="","",IF(J90&lt;TODAY(),"Expired",IF(J90&lt;=TODAY()+60,"Expiring Soon","OK"))))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4"/>
      <c r="G91" s="35"/>
      <c r="H91" s="35"/>
      <c r="I91" s="32"/>
      <c r="J91" s="35"/>
      <c r="K91" s="33"/>
      <c r="L91" s="37" t="str">
        <f aca="true">IF(OR(B91="",OR(I91="Completed",I91="Terminated")),"",IF(J91="","",IF(J91&lt;TODAY(),"Expired",IF(J91&lt;=TODAY()+60,"Expiring Soon","OK"))))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4"/>
      <c r="G92" s="35"/>
      <c r="H92" s="35"/>
      <c r="I92" s="32"/>
      <c r="J92" s="35"/>
      <c r="K92" s="33"/>
      <c r="L92" s="37" t="str">
        <f aca="true">IF(OR(B92="",OR(I92="Completed",I92="Terminated")),"",IF(J92="","",IF(J92&lt;TODAY(),"Expired",IF(J92&lt;=TODAY()+60,"Expiring Soon","OK"))))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4"/>
      <c r="G93" s="35"/>
      <c r="H93" s="35"/>
      <c r="I93" s="32"/>
      <c r="J93" s="35"/>
      <c r="K93" s="33"/>
      <c r="L93" s="37" t="str">
        <f aca="true">IF(OR(B93="",OR(I93="Completed",I93="Terminated")),"",IF(J93="","",IF(J93&lt;TODAY(),"Expired",IF(J93&lt;=TODAY()+60,"Expiring Soon","OK"))))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4"/>
      <c r="G94" s="35"/>
      <c r="H94" s="35"/>
      <c r="I94" s="32"/>
      <c r="J94" s="35"/>
      <c r="K94" s="33"/>
      <c r="L94" s="37" t="str">
        <f aca="true">IF(OR(B94="",OR(I94="Completed",I94="Terminated")),"",IF(J94="","",IF(J94&lt;TODAY(),"Expired",IF(J94&lt;=TODAY()+60,"Expiring Soon","OK"))))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4"/>
      <c r="G95" s="35"/>
      <c r="H95" s="35"/>
      <c r="I95" s="32"/>
      <c r="J95" s="35"/>
      <c r="K95" s="33"/>
      <c r="L95" s="37" t="str">
        <f aca="true">IF(OR(B95="",OR(I95="Completed",I95="Terminated")),"",IF(J95="","",IF(J95&lt;TODAY(),"Expired",IF(J95&lt;=TODAY()+60,"Expiring Soon","OK"))))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4"/>
      <c r="G96" s="35"/>
      <c r="H96" s="35"/>
      <c r="I96" s="32"/>
      <c r="J96" s="35"/>
      <c r="K96" s="33"/>
      <c r="L96" s="37" t="str">
        <f aca="true">IF(OR(B96="",OR(I96="Completed",I96="Terminated")),"",IF(J96="","",IF(J96&lt;TODAY(),"Expired",IF(J96&lt;=TODAY()+60,"Expiring Soon","OK"))))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4"/>
      <c r="G97" s="35"/>
      <c r="H97" s="35"/>
      <c r="I97" s="32"/>
      <c r="J97" s="35"/>
      <c r="K97" s="33"/>
      <c r="L97" s="37" t="str">
        <f aca="true">IF(OR(B97="",OR(I97="Completed",I97="Terminated")),"",IF(J97="","",IF(J97&lt;TODAY(),"Expired",IF(J97&lt;=TODAY()+60,"Expiring Soon","OK"))))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4"/>
      <c r="G98" s="35"/>
      <c r="H98" s="35"/>
      <c r="I98" s="32"/>
      <c r="J98" s="35"/>
      <c r="K98" s="33"/>
      <c r="L98" s="37" t="str">
        <f aca="true">IF(OR(B98="",OR(I98="Completed",I98="Terminated")),"",IF(J98="","",IF(J98&lt;TODAY(),"Expired",IF(J98&lt;=TODAY()+60,"Expiring Soon","OK"))))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4"/>
      <c r="G99" s="35"/>
      <c r="H99" s="35"/>
      <c r="I99" s="32"/>
      <c r="J99" s="35"/>
      <c r="K99" s="33"/>
      <c r="L99" s="37" t="str">
        <f aca="true">IF(OR(B99="",OR(I99="Completed",I99="Terminated")),"",IF(J99="","",IF(J99&lt;TODAY(),"Expired",IF(J99&lt;=TODAY()+60,"Expiring Soon","OK"))))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4"/>
      <c r="G100" s="35"/>
      <c r="H100" s="35"/>
      <c r="I100" s="32"/>
      <c r="J100" s="35"/>
      <c r="K100" s="33"/>
      <c r="L100" s="37" t="str">
        <f aca="true">IF(OR(B100="",OR(I100="Completed",I100="Terminated")),"",IF(J100="","",IF(J100&lt;TODAY(),"Expired",IF(J100&lt;=TODAY()+60,"Expiring Soon","OK"))))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4"/>
      <c r="G101" s="35"/>
      <c r="H101" s="35"/>
      <c r="I101" s="32"/>
      <c r="J101" s="35"/>
      <c r="K101" s="33"/>
      <c r="L101" s="37" t="str">
        <f aca="true">IF(OR(B101="",OR(I101="Completed",I101="Terminated")),"",IF(J101="","",IF(J101&lt;TODAY(),"Expired",IF(J101&lt;=TODAY()+60,"Expiring Soon","OK"))))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4"/>
      <c r="G102" s="35"/>
      <c r="H102" s="35"/>
      <c r="I102" s="32"/>
      <c r="J102" s="35"/>
      <c r="K102" s="33"/>
      <c r="L102" s="37" t="str">
        <f aca="true">IF(OR(B102="",OR(I102="Completed",I102="Terminated")),"",IF(J102="","",IF(J102&lt;TODAY(),"Expired",IF(J102&lt;=TODAY()+60,"Expiring Soon","OK"))))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4"/>
      <c r="G103" s="35"/>
      <c r="H103" s="35"/>
      <c r="I103" s="32"/>
      <c r="J103" s="35"/>
      <c r="K103" s="33"/>
      <c r="L103" s="37" t="str">
        <f aca="true">IF(OR(B103="",OR(I103="Completed",I103="Terminated")),"",IF(J103="","",IF(J103&lt;TODAY(),"Expired",IF(J103&lt;=TODAY()+60,"Expiring Soon","OK"))))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4"/>
      <c r="G104" s="35"/>
      <c r="H104" s="35"/>
      <c r="I104" s="32"/>
      <c r="J104" s="35"/>
      <c r="K104" s="33"/>
      <c r="L104" s="37" t="str">
        <f aca="true">IF(OR(B104="",OR(I104="Completed",I104="Terminated")),"",IF(J104="","",IF(J104&lt;TODAY(),"Expired",IF(J104&lt;=TODAY()+60,"Expiring Soon","OK"))))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4"/>
      <c r="G105" s="35"/>
      <c r="H105" s="35"/>
      <c r="I105" s="32"/>
      <c r="J105" s="35"/>
      <c r="K105" s="33"/>
      <c r="L105" s="37" t="str">
        <f aca="true">IF(OR(B105="",OR(I105="Completed",I105="Terminated")),"",IF(J105="","",IF(J105&lt;TODAY(),"Expired",IF(J105&lt;=TODAY()+60,"Expiring Soon","OK"))))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4"/>
      <c r="G106" s="35"/>
      <c r="H106" s="35"/>
      <c r="I106" s="32"/>
      <c r="J106" s="35"/>
      <c r="K106" s="33"/>
      <c r="L106" s="37" t="str">
        <f aca="true">IF(OR(B106="",OR(I106="Completed",I106="Terminated")),"",IF(J106="","",IF(J106&lt;TODAY(),"Expired",IF(J106&lt;=TODAY()+60,"Expiring Soon","OK"))))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4"/>
      <c r="G107" s="35"/>
      <c r="H107" s="35"/>
      <c r="I107" s="32"/>
      <c r="J107" s="35"/>
      <c r="K107" s="33"/>
      <c r="L107" s="37" t="str">
        <f aca="true">IF(OR(B107="",OR(I107="Completed",I107="Terminated")),"",IF(J107="","",IF(J107&lt;TODAY(),"Expired",IF(J107&lt;=TODAY()+60,"Expiring Soon","OK"))))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4"/>
      <c r="G108" s="35"/>
      <c r="H108" s="35"/>
      <c r="I108" s="32"/>
      <c r="J108" s="35"/>
      <c r="K108" s="33"/>
      <c r="L108" s="37" t="str">
        <f aca="true">IF(OR(B108="",OR(I108="Completed",I108="Terminated")),"",IF(J108="","",IF(J108&lt;TODAY(),"Expired",IF(J108&lt;=TODAY()+60,"Expiring Soon","OK"))))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4"/>
      <c r="G109" s="35"/>
      <c r="H109" s="35"/>
      <c r="I109" s="32"/>
      <c r="J109" s="35"/>
      <c r="K109" s="33"/>
      <c r="L109" s="37" t="str">
        <f aca="true">IF(OR(B109="",OR(I109="Completed",I109="Terminated")),"",IF(J109="","",IF(J109&lt;TODAY(),"Expired",IF(J109&lt;=TODAY()+60,"Expiring Soon","OK"))))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4"/>
      <c r="G110" s="35"/>
      <c r="H110" s="35"/>
      <c r="I110" s="32"/>
      <c r="J110" s="35"/>
      <c r="K110" s="33"/>
      <c r="L110" s="37" t="str">
        <f aca="true">IF(OR(B110="",OR(I110="Completed",I110="Terminated")),"",IF(J110="","",IF(J110&lt;TODAY(),"Expired",IF(J110&lt;=TODAY()+60,"Expiring Soon","OK"))))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4"/>
      <c r="G111" s="35"/>
      <c r="H111" s="35"/>
      <c r="I111" s="32"/>
      <c r="J111" s="35"/>
      <c r="K111" s="33"/>
      <c r="L111" s="37" t="str">
        <f aca="true">IF(OR(B111="",OR(I111="Completed",I111="Terminated")),"",IF(J111="","",IF(J111&lt;TODAY(),"Expired",IF(J111&lt;=TODAY()+60,"Expiring Soon","OK"))))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4"/>
      <c r="G112" s="35"/>
      <c r="H112" s="35"/>
      <c r="I112" s="32"/>
      <c r="J112" s="35"/>
      <c r="K112" s="33"/>
      <c r="L112" s="37" t="str">
        <f aca="true">IF(OR(B112="",OR(I112="Completed",I112="Terminated")),"",IF(J112="","",IF(J112&lt;TODAY(),"Expired",IF(J112&lt;=TODAY()+60,"Expiring Soon","OK"))))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4"/>
      <c r="G113" s="35"/>
      <c r="H113" s="35"/>
      <c r="I113" s="32"/>
      <c r="J113" s="35"/>
      <c r="K113" s="33"/>
      <c r="L113" s="37" t="str">
        <f aca="true">IF(OR(B113="",OR(I113="Completed",I113="Terminated")),"",IF(J113="","",IF(J113&lt;TODAY(),"Expired",IF(J113&lt;=TODAY()+60,"Expiring Soon","OK"))))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4"/>
      <c r="G114" s="35"/>
      <c r="H114" s="35"/>
      <c r="I114" s="32"/>
      <c r="J114" s="35"/>
      <c r="K114" s="33"/>
      <c r="L114" s="37" t="str">
        <f aca="true">IF(OR(B114="",OR(I114="Completed",I114="Terminated")),"",IF(J114="","",IF(J114&lt;TODAY(),"Expired",IF(J114&lt;=TODAY()+60,"Expiring Soon","OK"))))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4"/>
      <c r="G115" s="35"/>
      <c r="H115" s="35"/>
      <c r="I115" s="32"/>
      <c r="J115" s="35"/>
      <c r="K115" s="33"/>
      <c r="L115" s="37" t="str">
        <f aca="true">IF(OR(B115="",OR(I115="Completed",I115="Terminated")),"",IF(J115="","",IF(J115&lt;TODAY(),"Expired",IF(J115&lt;=TODAY()+60,"Expiring Soon","OK"))))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4"/>
      <c r="G116" s="35"/>
      <c r="H116" s="35"/>
      <c r="I116" s="32"/>
      <c r="J116" s="35"/>
      <c r="K116" s="33"/>
      <c r="L116" s="37" t="str">
        <f aca="true">IF(OR(B116="",OR(I116="Completed",I116="Terminated")),"",IF(J116="","",IF(J116&lt;TODAY(),"Expired",IF(J116&lt;=TODAY()+60,"Expiring Soon","OK"))))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4"/>
      <c r="G117" s="35"/>
      <c r="H117" s="35"/>
      <c r="I117" s="32"/>
      <c r="J117" s="35"/>
      <c r="K117" s="33"/>
      <c r="L117" s="37" t="str">
        <f aca="true">IF(OR(B117="",OR(I117="Completed",I117="Terminated")),"",IF(J117="","",IF(J117&lt;TODAY(),"Expired",IF(J117&lt;=TODAY()+60,"Expiring Soon","OK"))))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4"/>
      <c r="G118" s="35"/>
      <c r="H118" s="35"/>
      <c r="I118" s="32"/>
      <c r="J118" s="35"/>
      <c r="K118" s="33"/>
      <c r="L118" s="37" t="str">
        <f aca="true">IF(OR(B118="",OR(I118="Completed",I118="Terminated")),"",IF(J118="","",IF(J118&lt;TODAY(),"Expired",IF(J118&lt;=TODAY()+60,"Expiring Soon","OK"))))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4"/>
      <c r="G119" s="35"/>
      <c r="H119" s="35"/>
      <c r="I119" s="32"/>
      <c r="J119" s="35"/>
      <c r="K119" s="33"/>
      <c r="L119" s="37" t="str">
        <f aca="true">IF(OR(B119="",OR(I119="Completed",I119="Terminated")),"",IF(J119="","",IF(J119&lt;TODAY(),"Expired",IF(J119&lt;=TODAY()+60,"Expiring Soon","OK"))))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4"/>
      <c r="G120" s="35"/>
      <c r="H120" s="35"/>
      <c r="I120" s="32"/>
      <c r="J120" s="35"/>
      <c r="K120" s="33"/>
      <c r="L120" s="37" t="str">
        <f aca="true">IF(OR(B120="",OR(I120="Completed",I120="Terminated")),"",IF(J120="","",IF(J120&lt;TODAY(),"Expired",IF(J120&lt;=TODAY()+60,"Expiring Soon","OK"))))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4"/>
      <c r="G121" s="35"/>
      <c r="H121" s="35"/>
      <c r="I121" s="32"/>
      <c r="J121" s="35"/>
      <c r="K121" s="33"/>
      <c r="L121" s="37" t="str">
        <f aca="true">IF(OR(B121="",OR(I121="Completed",I121="Terminated")),"",IF(J121="","",IF(J121&lt;TODAY(),"Expired",IF(J121&lt;=TODAY()+60,"Expiring Soon","OK"))))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4"/>
      <c r="G122" s="35"/>
      <c r="H122" s="35"/>
      <c r="I122" s="32"/>
      <c r="J122" s="35"/>
      <c r="K122" s="33"/>
      <c r="L122" s="37" t="str">
        <f aca="true">IF(OR(B122="",OR(I122="Completed",I122="Terminated")),"",IF(J122="","",IF(J122&lt;TODAY(),"Expired",IF(J122&lt;=TODAY()+60,"Expiring Soon","OK"))))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4"/>
      <c r="G123" s="35"/>
      <c r="H123" s="35"/>
      <c r="I123" s="32"/>
      <c r="J123" s="35"/>
      <c r="K123" s="33"/>
      <c r="L123" s="37" t="str">
        <f aca="true">IF(OR(B123="",OR(I123="Completed",I123="Terminated")),"",IF(J123="","",IF(J123&lt;TODAY(),"Expired",IF(J123&lt;=TODAY()+60,"Expiring Soon","OK"))))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4"/>
      <c r="G124" s="35"/>
      <c r="H124" s="35"/>
      <c r="I124" s="32"/>
      <c r="J124" s="35"/>
      <c r="K124" s="33"/>
      <c r="L124" s="37" t="str">
        <f aca="true">IF(OR(B124="",OR(I124="Completed",I124="Terminated")),"",IF(J124="","",IF(J124&lt;TODAY(),"Expired",IF(J124&lt;=TODAY()+60,"Expiring Soon","OK"))))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4"/>
      <c r="G125" s="35"/>
      <c r="H125" s="35"/>
      <c r="I125" s="32"/>
      <c r="J125" s="35"/>
      <c r="K125" s="33"/>
      <c r="L125" s="37" t="str">
        <f aca="true">IF(OR(B125="",OR(I125="Completed",I125="Terminated")),"",IF(J125="","",IF(J125&lt;TODAY(),"Expired",IF(J125&lt;=TODAY()+60,"Expiring Soon","OK"))))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4"/>
      <c r="G126" s="35"/>
      <c r="H126" s="35"/>
      <c r="I126" s="32"/>
      <c r="J126" s="35"/>
      <c r="K126" s="33"/>
      <c r="L126" s="37" t="str">
        <f aca="true">IF(OR(B126="",OR(I126="Completed",I126="Terminated")),"",IF(J126="","",IF(J126&lt;TODAY(),"Expired",IF(J126&lt;=TODAY()+60,"Expiring Soon","OK"))))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4"/>
      <c r="G127" s="35"/>
      <c r="H127" s="35"/>
      <c r="I127" s="32"/>
      <c r="J127" s="35"/>
      <c r="K127" s="33"/>
      <c r="L127" s="37" t="str">
        <f aca="true">IF(OR(B127="",OR(I127="Completed",I127="Terminated")),"",IF(J127="","",IF(J127&lt;TODAY(),"Expired",IF(J127&lt;=TODAY()+60,"Expiring Soon","OK"))))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4"/>
      <c r="G128" s="35"/>
      <c r="H128" s="35"/>
      <c r="I128" s="32"/>
      <c r="J128" s="35"/>
      <c r="K128" s="33"/>
      <c r="L128" s="37" t="str">
        <f aca="true">IF(OR(B128="",OR(I128="Completed",I128="Terminated")),"",IF(J128="","",IF(J128&lt;TODAY(),"Expired",IF(J128&lt;=TODAY()+60,"Expiring Soon","OK"))))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4"/>
      <c r="G129" s="35"/>
      <c r="H129" s="35"/>
      <c r="I129" s="32"/>
      <c r="J129" s="35"/>
      <c r="K129" s="33"/>
      <c r="L129" s="37" t="str">
        <f aca="true">IF(OR(B129="",OR(I129="Completed",I129="Terminated")),"",IF(J129="","",IF(J129&lt;TODAY(),"Expired",IF(J129&lt;=TODAY()+60,"Expiring Soon","OK"))))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4"/>
      <c r="G130" s="35"/>
      <c r="H130" s="35"/>
      <c r="I130" s="32"/>
      <c r="J130" s="35"/>
      <c r="K130" s="33"/>
      <c r="L130" s="37" t="str">
        <f aca="true">IF(OR(B130="",OR(I130="Completed",I130="Terminated")),"",IF(J130="","",IF(J130&lt;TODAY(),"Expired",IF(J130&lt;=TODAY()+60,"Expiring Soon","OK"))))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4"/>
      <c r="G131" s="35"/>
      <c r="H131" s="35"/>
      <c r="I131" s="32"/>
      <c r="J131" s="35"/>
      <c r="K131" s="33"/>
      <c r="L131" s="37" t="str">
        <f aca="true">IF(OR(B131="",OR(I131="Completed",I131="Terminated")),"",IF(J131="","",IF(J131&lt;TODAY(),"Expired",IF(J131&lt;=TODAY()+60,"Expiring Soon","OK"))))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4"/>
      <c r="G132" s="35"/>
      <c r="H132" s="35"/>
      <c r="I132" s="32"/>
      <c r="J132" s="35"/>
      <c r="K132" s="33"/>
      <c r="L132" s="37" t="str">
        <f aca="true">IF(OR(B132="",OR(I132="Completed",I132="Terminated")),"",IF(J132="","",IF(J132&lt;TODAY(),"Expired",IF(J132&lt;=TODAY()+60,"Expiring Soon","OK"))))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4"/>
      <c r="G133" s="35"/>
      <c r="H133" s="35"/>
      <c r="I133" s="32"/>
      <c r="J133" s="35"/>
      <c r="K133" s="33"/>
      <c r="L133" s="37" t="str">
        <f aca="true">IF(OR(B133="",OR(I133="Completed",I133="Terminated")),"",IF(J133="","",IF(J133&lt;TODAY(),"Expired",IF(J133&lt;=TODAY()+60,"Expiring Soon","OK"))))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4"/>
      <c r="G134" s="35"/>
      <c r="H134" s="35"/>
      <c r="I134" s="32"/>
      <c r="J134" s="35"/>
      <c r="K134" s="33"/>
      <c r="L134" s="37" t="str">
        <f aca="true">IF(OR(B134="",OR(I134="Completed",I134="Terminated")),"",IF(J134="","",IF(J134&lt;TODAY(),"Expired",IF(J134&lt;=TODAY()+60,"Expiring Soon","OK"))))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4"/>
      <c r="G135" s="35"/>
      <c r="H135" s="35"/>
      <c r="I135" s="32"/>
      <c r="J135" s="35"/>
      <c r="K135" s="33"/>
      <c r="L135" s="37" t="str">
        <f aca="true">IF(OR(B135="",OR(I135="Completed",I135="Terminated")),"",IF(J135="","",IF(J135&lt;TODAY(),"Expired",IF(J135&lt;=TODAY()+60,"Expiring Soon","OK"))))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4"/>
      <c r="G136" s="35"/>
      <c r="H136" s="35"/>
      <c r="I136" s="32"/>
      <c r="J136" s="35"/>
      <c r="K136" s="33"/>
      <c r="L136" s="37" t="str">
        <f aca="true">IF(OR(B136="",OR(I136="Completed",I136="Terminated")),"",IF(J136="","",IF(J136&lt;TODAY(),"Expired",IF(J136&lt;=TODAY()+60,"Expiring Soon","OK"))))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4"/>
      <c r="G137" s="35"/>
      <c r="H137" s="35"/>
      <c r="I137" s="32"/>
      <c r="J137" s="35"/>
      <c r="K137" s="33"/>
      <c r="L137" s="37" t="str">
        <f aca="true">IF(OR(B137="",OR(I137="Completed",I137="Terminated")),"",IF(J137="","",IF(J137&lt;TODAY(),"Expired",IF(J137&lt;=TODAY()+60,"Expiring Soon","OK"))))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4"/>
      <c r="G138" s="35"/>
      <c r="H138" s="35"/>
      <c r="I138" s="32"/>
      <c r="J138" s="35"/>
      <c r="K138" s="33"/>
      <c r="L138" s="37" t="str">
        <f aca="true">IF(OR(B138="",OR(I138="Completed",I138="Terminated")),"",IF(J138="","",IF(J138&lt;TODAY(),"Expired",IF(J138&lt;=TODAY()+60,"Expiring Soon","OK"))))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4"/>
      <c r="G139" s="35"/>
      <c r="H139" s="35"/>
      <c r="I139" s="32"/>
      <c r="J139" s="35"/>
      <c r="K139" s="33"/>
      <c r="L139" s="37" t="str">
        <f aca="true">IF(OR(B139="",OR(I139="Completed",I139="Terminated")),"",IF(J139="","",IF(J139&lt;TODAY(),"Expired",IF(J139&lt;=TODAY()+60,"Expiring Soon","OK"))))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4"/>
      <c r="G140" s="35"/>
      <c r="H140" s="35"/>
      <c r="I140" s="32"/>
      <c r="J140" s="35"/>
      <c r="K140" s="33"/>
      <c r="L140" s="37" t="str">
        <f aca="true">IF(OR(B140="",OR(I140="Completed",I140="Terminated")),"",IF(J140="","",IF(J140&lt;TODAY(),"Expired",IF(J140&lt;=TODAY()+60,"Expiring Soon","OK"))))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4"/>
      <c r="G141" s="35"/>
      <c r="H141" s="35"/>
      <c r="I141" s="32"/>
      <c r="J141" s="35"/>
      <c r="K141" s="33"/>
      <c r="L141" s="37" t="str">
        <f aca="true">IF(OR(B141="",OR(I141="Completed",I141="Terminated")),"",IF(J141="","",IF(J141&lt;TODAY(),"Expired",IF(J141&lt;=TODAY()+60,"Expiring Soon","OK"))))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4"/>
      <c r="G142" s="35"/>
      <c r="H142" s="35"/>
      <c r="I142" s="32"/>
      <c r="J142" s="35"/>
      <c r="K142" s="33"/>
      <c r="L142" s="37" t="str">
        <f aca="true">IF(OR(B142="",OR(I142="Completed",I142="Terminated")),"",IF(J142="","",IF(J142&lt;TODAY(),"Expired",IF(J142&lt;=TODAY()+60,"Expiring Soon","OK"))))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4"/>
      <c r="G143" s="35"/>
      <c r="H143" s="35"/>
      <c r="I143" s="32"/>
      <c r="J143" s="35"/>
      <c r="K143" s="33"/>
      <c r="L143" s="37" t="str">
        <f aca="true">IF(OR(B143="",OR(I143="Completed",I143="Terminated")),"",IF(J143="","",IF(J143&lt;TODAY(),"Expired",IF(J143&lt;=TODAY()+60,"Expiring Soon","OK"))))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4"/>
      <c r="G144" s="35"/>
      <c r="H144" s="35"/>
      <c r="I144" s="32"/>
      <c r="J144" s="35"/>
      <c r="K144" s="33"/>
      <c r="L144" s="37" t="str">
        <f aca="true">IF(OR(B144="",OR(I144="Completed",I144="Terminated")),"",IF(J144="","",IF(J144&lt;TODAY(),"Expired",IF(J144&lt;=TODAY()+60,"Expiring Soon","OK"))))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4"/>
      <c r="G145" s="35"/>
      <c r="H145" s="35"/>
      <c r="I145" s="32"/>
      <c r="J145" s="35"/>
      <c r="K145" s="33"/>
      <c r="L145" s="37" t="str">
        <f aca="true">IF(OR(B145="",OR(I145="Completed",I145="Terminated")),"",IF(J145="","",IF(J145&lt;TODAY(),"Expired",IF(J145&lt;=TODAY()+60,"Expiring Soon","OK"))))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4"/>
      <c r="G146" s="35"/>
      <c r="H146" s="35"/>
      <c r="I146" s="32"/>
      <c r="J146" s="35"/>
      <c r="K146" s="33"/>
      <c r="L146" s="37" t="str">
        <f aca="true">IF(OR(B146="",OR(I146="Completed",I146="Terminated")),"",IF(J146="","",IF(J146&lt;TODAY(),"Expired",IF(J146&lt;=TODAY()+60,"Expiring Soon","OK"))))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4"/>
      <c r="G147" s="35"/>
      <c r="H147" s="35"/>
      <c r="I147" s="32"/>
      <c r="J147" s="35"/>
      <c r="K147" s="33"/>
      <c r="L147" s="37" t="str">
        <f aca="true">IF(OR(B147="",OR(I147="Completed",I147="Terminated")),"",IF(J147="","",IF(J147&lt;TODAY(),"Expired",IF(J147&lt;=TODAY()+60,"Expiring Soon","OK"))))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4"/>
      <c r="G148" s="35"/>
      <c r="H148" s="35"/>
      <c r="I148" s="32"/>
      <c r="J148" s="35"/>
      <c r="K148" s="33"/>
      <c r="L148" s="37" t="str">
        <f aca="true">IF(OR(B148="",OR(I148="Completed",I148="Terminated")),"",IF(J148="","",IF(J148&lt;TODAY(),"Expired",IF(J148&lt;=TODAY()+60,"Expiring Soon","OK"))))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4"/>
      <c r="G149" s="35"/>
      <c r="H149" s="35"/>
      <c r="I149" s="32"/>
      <c r="J149" s="35"/>
      <c r="K149" s="33"/>
      <c r="L149" s="37" t="str">
        <f aca="true">IF(OR(B149="",OR(I149="Completed",I149="Terminated")),"",IF(J149="","",IF(J149&lt;TODAY(),"Expired",IF(J149&lt;=TODAY()+60,"Expiring Soon","OK"))))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4"/>
      <c r="G150" s="35"/>
      <c r="H150" s="35"/>
      <c r="I150" s="32"/>
      <c r="J150" s="35"/>
      <c r="K150" s="33"/>
      <c r="L150" s="37" t="str">
        <f aca="true">IF(OR(B150="",OR(I150="Completed",I150="Terminated")),"",IF(J150="","",IF(J150&lt;TODAY(),"Expired",IF(J150&lt;=TODAY()+60,"Expiring Soon","OK"))))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4"/>
      <c r="G151" s="35"/>
      <c r="H151" s="35"/>
      <c r="I151" s="32"/>
      <c r="J151" s="35"/>
      <c r="K151" s="33"/>
      <c r="L151" s="37" t="str">
        <f aca="true">IF(OR(B151="",OR(I151="Completed",I151="Terminated")),"",IF(J151="","",IF(J151&lt;TODAY(),"Expired",IF(J151&lt;=TODAY()+60,"Expiring Soon","OK"))))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4"/>
      <c r="G152" s="35"/>
      <c r="H152" s="35"/>
      <c r="I152" s="32"/>
      <c r="J152" s="35"/>
      <c r="K152" s="33"/>
      <c r="L152" s="37" t="str">
        <f aca="true">IF(OR(B152="",OR(I152="Completed",I152="Terminated")),"",IF(J152="","",IF(J152&lt;TODAY(),"Expired",IF(J152&lt;=TODAY()+60,"Expiring Soon","OK"))))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4"/>
      <c r="G153" s="35"/>
      <c r="H153" s="35"/>
      <c r="I153" s="32"/>
      <c r="J153" s="35"/>
      <c r="K153" s="33"/>
      <c r="L153" s="37" t="str">
        <f aca="true">IF(OR(B153="",OR(I153="Completed",I153="Terminated")),"",IF(J153="","",IF(J153&lt;TODAY(),"Expired",IF(J153&lt;=TODAY()+60,"Expiring Soon","OK"))))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4"/>
      <c r="G154" s="35"/>
      <c r="H154" s="35"/>
      <c r="I154" s="32"/>
      <c r="J154" s="35"/>
      <c r="K154" s="33"/>
      <c r="L154" s="37" t="str">
        <f aca="true">IF(OR(B154="",OR(I154="Completed",I154="Terminated")),"",IF(J154="","",IF(J154&lt;TODAY(),"Expired",IF(J154&lt;=TODAY()+60,"Expiring Soon","OK"))))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4"/>
      <c r="G155" s="35"/>
      <c r="H155" s="35"/>
      <c r="I155" s="32"/>
      <c r="J155" s="35"/>
      <c r="K155" s="33"/>
      <c r="L155" s="37" t="str">
        <f aca="true">IF(OR(B155="",OR(I155="Completed",I155="Terminated")),"",IF(J155="","",IF(J155&lt;TODAY(),"Expired",IF(J155&lt;=TODAY()+60,"Expiring Soon","OK"))))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4"/>
      <c r="G156" s="35"/>
      <c r="H156" s="35"/>
      <c r="I156" s="32"/>
      <c r="J156" s="35"/>
      <c r="K156" s="33"/>
      <c r="L156" s="37" t="str">
        <f aca="true">IF(OR(B156="",OR(I156="Completed",I156="Terminated")),"",IF(J156="","",IF(J156&lt;TODAY(),"Expired",IF(J156&lt;=TODAY()+60,"Expiring Soon","OK"))))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4"/>
      <c r="G157" s="35"/>
      <c r="H157" s="35"/>
      <c r="I157" s="32"/>
      <c r="J157" s="35"/>
      <c r="K157" s="33"/>
      <c r="L157" s="37" t="str">
        <f aca="true">IF(OR(B157="",OR(I157="Completed",I157="Terminated")),"",IF(J157="","",IF(J157&lt;TODAY(),"Expired",IF(J157&lt;=TODAY()+60,"Expiring Soon","OK"))))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4"/>
      <c r="G158" s="35"/>
      <c r="H158" s="35"/>
      <c r="I158" s="32"/>
      <c r="J158" s="35"/>
      <c r="K158" s="33"/>
      <c r="L158" s="37" t="str">
        <f aca="true">IF(OR(B158="",OR(I158="Completed",I158="Terminated")),"",IF(J158="","",IF(J158&lt;TODAY(),"Expired",IF(J158&lt;=TODAY()+60,"Expiring Soon","OK"))))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4"/>
      <c r="G159" s="35"/>
      <c r="H159" s="35"/>
      <c r="I159" s="32"/>
      <c r="J159" s="35"/>
      <c r="K159" s="33"/>
      <c r="L159" s="37" t="str">
        <f aca="true">IF(OR(B159="",OR(I159="Completed",I159="Terminated")),"",IF(J159="","",IF(J159&lt;TODAY(),"Expired",IF(J159&lt;=TODAY()+60,"Expiring Soon","OK"))))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4"/>
      <c r="G160" s="35"/>
      <c r="H160" s="35"/>
      <c r="I160" s="32"/>
      <c r="J160" s="35"/>
      <c r="K160" s="33"/>
      <c r="L160" s="37" t="str">
        <f aca="true">IF(OR(B160="",OR(I160="Completed",I160="Terminated")),"",IF(J160="","",IF(J160&lt;TODAY(),"Expired",IF(J160&lt;=TODAY()+60,"Expiring Soon","OK"))))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4"/>
      <c r="G161" s="35"/>
      <c r="H161" s="35"/>
      <c r="I161" s="32"/>
      <c r="J161" s="35"/>
      <c r="K161" s="33"/>
      <c r="L161" s="37" t="str">
        <f aca="true">IF(OR(B161="",OR(I161="Completed",I161="Terminated")),"",IF(J161="","",IF(J161&lt;TODAY(),"Expired",IF(J161&lt;=TODAY()+60,"Expiring Soon","OK"))))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4"/>
      <c r="G162" s="35"/>
      <c r="H162" s="35"/>
      <c r="I162" s="32"/>
      <c r="J162" s="35"/>
      <c r="K162" s="33"/>
      <c r="L162" s="37" t="str">
        <f aca="true">IF(OR(B162="",OR(I162="Completed",I162="Terminated")),"",IF(J162="","",IF(J162&lt;TODAY(),"Expired",IF(J162&lt;=TODAY()+60,"Expiring Soon","OK"))))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4"/>
      <c r="G163" s="35"/>
      <c r="H163" s="35"/>
      <c r="I163" s="32"/>
      <c r="J163" s="35"/>
      <c r="K163" s="33"/>
      <c r="L163" s="37" t="str">
        <f aca="true">IF(OR(B163="",OR(I163="Completed",I163="Terminated")),"",IF(J163="","",IF(J163&lt;TODAY(),"Expired",IF(J163&lt;=TODAY()+60,"Expiring Soon","OK"))))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4"/>
      <c r="G164" s="35"/>
      <c r="H164" s="35"/>
      <c r="I164" s="32"/>
      <c r="J164" s="35"/>
      <c r="K164" s="33"/>
      <c r="L164" s="37" t="str">
        <f aca="true">IF(OR(B164="",OR(I164="Completed",I164="Terminated")),"",IF(J164="","",IF(J164&lt;TODAY(),"Expired",IF(J164&lt;=TODAY()+60,"Expiring Soon","OK"))))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4"/>
      <c r="G165" s="35"/>
      <c r="H165" s="35"/>
      <c r="I165" s="32"/>
      <c r="J165" s="35"/>
      <c r="K165" s="33"/>
      <c r="L165" s="37" t="str">
        <f aca="true">IF(OR(B165="",OR(I165="Completed",I165="Terminated")),"",IF(J165="","",IF(J165&lt;TODAY(),"Expired",IF(J165&lt;=TODAY()+60,"Expiring Soon","OK"))))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4"/>
      <c r="G166" s="35"/>
      <c r="H166" s="35"/>
      <c r="I166" s="32"/>
      <c r="J166" s="35"/>
      <c r="K166" s="33"/>
      <c r="L166" s="37" t="str">
        <f aca="true">IF(OR(B166="",OR(I166="Completed",I166="Terminated")),"",IF(J166="","",IF(J166&lt;TODAY(),"Expired",IF(J166&lt;=TODAY()+60,"Expiring Soon","OK"))))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4"/>
      <c r="G167" s="35"/>
      <c r="H167" s="35"/>
      <c r="I167" s="32"/>
      <c r="J167" s="35"/>
      <c r="K167" s="33"/>
      <c r="L167" s="37" t="str">
        <f aca="true">IF(OR(B167="",OR(I167="Completed",I167="Terminated")),"",IF(J167="","",IF(J167&lt;TODAY(),"Expired",IF(J167&lt;=TODAY()+60,"Expiring Soon","OK"))))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4"/>
      <c r="G168" s="35"/>
      <c r="H168" s="35"/>
      <c r="I168" s="32"/>
      <c r="J168" s="35"/>
      <c r="K168" s="33"/>
      <c r="L168" s="37" t="str">
        <f aca="true">IF(OR(B168="",OR(I168="Completed",I168="Terminated")),"",IF(J168="","",IF(J168&lt;TODAY(),"Expired",IF(J168&lt;=TODAY()+60,"Expiring Soon","OK"))))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4"/>
      <c r="G169" s="35"/>
      <c r="H169" s="35"/>
      <c r="I169" s="32"/>
      <c r="J169" s="35"/>
      <c r="K169" s="33"/>
      <c r="L169" s="37" t="str">
        <f aca="true">IF(OR(B169="",OR(I169="Completed",I169="Terminated")),"",IF(J169="","",IF(J169&lt;TODAY(),"Expired",IF(J169&lt;=TODAY()+60,"Expiring Soon","OK"))))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4"/>
      <c r="G170" s="35"/>
      <c r="H170" s="35"/>
      <c r="I170" s="32"/>
      <c r="J170" s="35"/>
      <c r="K170" s="33"/>
      <c r="L170" s="37" t="str">
        <f aca="true">IF(OR(B170="",OR(I170="Completed",I170="Terminated")),"",IF(J170="","",IF(J170&lt;TODAY(),"Expired",IF(J170&lt;=TODAY()+60,"Expiring Soon","OK"))))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4"/>
      <c r="G171" s="35"/>
      <c r="H171" s="35"/>
      <c r="I171" s="32"/>
      <c r="J171" s="35"/>
      <c r="K171" s="33"/>
      <c r="L171" s="37" t="str">
        <f aca="true">IF(OR(B171="",OR(I171="Completed",I171="Terminated")),"",IF(J171="","",IF(J171&lt;TODAY(),"Expired",IF(J171&lt;=TODAY()+60,"Expiring Soon","OK"))))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4"/>
      <c r="G172" s="35"/>
      <c r="H172" s="35"/>
      <c r="I172" s="32"/>
      <c r="J172" s="35"/>
      <c r="K172" s="33"/>
      <c r="L172" s="37" t="str">
        <f aca="true">IF(OR(B172="",OR(I172="Completed",I172="Terminated")),"",IF(J172="","",IF(J172&lt;TODAY(),"Expired",IF(J172&lt;=TODAY()+60,"Expiring Soon","OK"))))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4"/>
      <c r="G173" s="35"/>
      <c r="H173" s="35"/>
      <c r="I173" s="32"/>
      <c r="J173" s="35"/>
      <c r="K173" s="33"/>
      <c r="L173" s="37" t="str">
        <f aca="true">IF(OR(B173="",OR(I173="Completed",I173="Terminated")),"",IF(J173="","",IF(J173&lt;TODAY(),"Expired",IF(J173&lt;=TODAY()+60,"Expiring Soon","OK"))))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4"/>
      <c r="G174" s="35"/>
      <c r="H174" s="35"/>
      <c r="I174" s="32"/>
      <c r="J174" s="35"/>
      <c r="K174" s="33"/>
      <c r="L174" s="37" t="str">
        <f aca="true">IF(OR(B174="",OR(I174="Completed",I174="Terminated")),"",IF(J174="","",IF(J174&lt;TODAY(),"Expired",IF(J174&lt;=TODAY()+60,"Expiring Soon","OK"))))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4"/>
      <c r="G175" s="35"/>
      <c r="H175" s="35"/>
      <c r="I175" s="32"/>
      <c r="J175" s="35"/>
      <c r="K175" s="33"/>
      <c r="L175" s="37" t="str">
        <f aca="true">IF(OR(B175="",OR(I175="Completed",I175="Terminated")),"",IF(J175="","",IF(J175&lt;TODAY(),"Expired",IF(J175&lt;=TODAY()+60,"Expiring Soon","OK"))))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4"/>
      <c r="G176" s="35"/>
      <c r="H176" s="35"/>
      <c r="I176" s="32"/>
      <c r="J176" s="35"/>
      <c r="K176" s="33"/>
      <c r="L176" s="37" t="str">
        <f aca="true">IF(OR(B176="",OR(I176="Completed",I176="Terminated")),"",IF(J176="","",IF(J176&lt;TODAY(),"Expired",IF(J176&lt;=TODAY()+60,"Expiring Soon","OK"))))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4"/>
      <c r="G177" s="35"/>
      <c r="H177" s="35"/>
      <c r="I177" s="32"/>
      <c r="J177" s="35"/>
      <c r="K177" s="33"/>
      <c r="L177" s="37" t="str">
        <f aca="true">IF(OR(B177="",OR(I177="Completed",I177="Terminated")),"",IF(J177="","",IF(J177&lt;TODAY(),"Expired",IF(J177&lt;=TODAY()+60,"Expiring Soon","OK"))))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4"/>
      <c r="G178" s="35"/>
      <c r="H178" s="35"/>
      <c r="I178" s="32"/>
      <c r="J178" s="35"/>
      <c r="K178" s="33"/>
      <c r="L178" s="37" t="str">
        <f aca="true">IF(OR(B178="",OR(I178="Completed",I178="Terminated")),"",IF(J178="","",IF(J178&lt;TODAY(),"Expired",IF(J178&lt;=TODAY()+60,"Expiring Soon","OK"))))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4"/>
      <c r="G179" s="35"/>
      <c r="H179" s="35"/>
      <c r="I179" s="32"/>
      <c r="J179" s="35"/>
      <c r="K179" s="33"/>
      <c r="L179" s="37" t="str">
        <f aca="true">IF(OR(B179="",OR(I179="Completed",I179="Terminated")),"",IF(J179="","",IF(J179&lt;TODAY(),"Expired",IF(J179&lt;=TODAY()+60,"Expiring Soon","OK"))))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4"/>
      <c r="G180" s="35"/>
      <c r="H180" s="35"/>
      <c r="I180" s="32"/>
      <c r="J180" s="35"/>
      <c r="K180" s="33"/>
      <c r="L180" s="37" t="str">
        <f aca="true">IF(OR(B180="",OR(I180="Completed",I180="Terminated")),"",IF(J180="","",IF(J180&lt;TODAY(),"Expired",IF(J180&lt;=TODAY()+60,"Expiring Soon","OK"))))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4"/>
      <c r="G181" s="35"/>
      <c r="H181" s="35"/>
      <c r="I181" s="32"/>
      <c r="J181" s="35"/>
      <c r="K181" s="33"/>
      <c r="L181" s="37" t="str">
        <f aca="true">IF(OR(B181="",OR(I181="Completed",I181="Terminated")),"",IF(J181="","",IF(J181&lt;TODAY(),"Expired",IF(J181&lt;=TODAY()+60,"Expiring Soon","OK"))))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4"/>
      <c r="G182" s="35"/>
      <c r="H182" s="35"/>
      <c r="I182" s="32"/>
      <c r="J182" s="35"/>
      <c r="K182" s="33"/>
      <c r="L182" s="37" t="str">
        <f aca="true">IF(OR(B182="",OR(I182="Completed",I182="Terminated")),"",IF(J182="","",IF(J182&lt;TODAY(),"Expired",IF(J182&lt;=TODAY()+60,"Expiring Soon","OK"))))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4"/>
      <c r="G183" s="35"/>
      <c r="H183" s="35"/>
      <c r="I183" s="32"/>
      <c r="J183" s="35"/>
      <c r="K183" s="33"/>
      <c r="L183" s="37" t="str">
        <f aca="true">IF(OR(B183="",OR(I183="Completed",I183="Terminated")),"",IF(J183="","",IF(J183&lt;TODAY(),"Expired",IF(J183&lt;=TODAY()+60,"Expiring Soon","OK"))))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4"/>
      <c r="G184" s="35"/>
      <c r="H184" s="35"/>
      <c r="I184" s="32"/>
      <c r="J184" s="35"/>
      <c r="K184" s="33"/>
      <c r="L184" s="37" t="str">
        <f aca="true">IF(OR(B184="",OR(I184="Completed",I184="Terminated")),"",IF(J184="","",IF(J184&lt;TODAY(),"Expired",IF(J184&lt;=TODAY()+60,"Expiring Soon","OK"))))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4"/>
      <c r="G185" s="35"/>
      <c r="H185" s="35"/>
      <c r="I185" s="32"/>
      <c r="J185" s="35"/>
      <c r="K185" s="33"/>
      <c r="L185" s="37" t="str">
        <f aca="true">IF(OR(B185="",OR(I185="Completed",I185="Terminated")),"",IF(J185="","",IF(J185&lt;TODAY(),"Expired",IF(J185&lt;=TODAY()+60,"Expiring Soon","OK"))))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4"/>
      <c r="G186" s="35"/>
      <c r="H186" s="35"/>
      <c r="I186" s="32"/>
      <c r="J186" s="35"/>
      <c r="K186" s="33"/>
      <c r="L186" s="37" t="str">
        <f aca="true">IF(OR(B186="",OR(I186="Completed",I186="Terminated")),"",IF(J186="","",IF(J186&lt;TODAY(),"Expired",IF(J186&lt;=TODAY()+60,"Expiring Soon","OK"))))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4"/>
      <c r="G187" s="35"/>
      <c r="H187" s="35"/>
      <c r="I187" s="32"/>
      <c r="J187" s="35"/>
      <c r="K187" s="33"/>
      <c r="L187" s="37" t="str">
        <f aca="true">IF(OR(B187="",OR(I187="Completed",I187="Terminated")),"",IF(J187="","",IF(J187&lt;TODAY(),"Expired",IF(J187&lt;=TODAY()+60,"Expiring Soon","OK"))))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4"/>
      <c r="G188" s="35"/>
      <c r="H188" s="35"/>
      <c r="I188" s="32"/>
      <c r="J188" s="35"/>
      <c r="K188" s="33"/>
      <c r="L188" s="37" t="str">
        <f aca="true">IF(OR(B188="",OR(I188="Completed",I188="Terminated")),"",IF(J188="","",IF(J188&lt;TODAY(),"Expired",IF(J188&lt;=TODAY()+60,"Expiring Soon","OK"))))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4"/>
      <c r="G189" s="35"/>
      <c r="H189" s="35"/>
      <c r="I189" s="32"/>
      <c r="J189" s="35"/>
      <c r="K189" s="33"/>
      <c r="L189" s="37" t="str">
        <f aca="true">IF(OR(B189="",OR(I189="Completed",I189="Terminated")),"",IF(J189="","",IF(J189&lt;TODAY(),"Expired",IF(J189&lt;=TODAY()+60,"Expiring Soon","OK"))))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4"/>
      <c r="G190" s="35"/>
      <c r="H190" s="35"/>
      <c r="I190" s="32"/>
      <c r="J190" s="35"/>
      <c r="K190" s="33"/>
      <c r="L190" s="37" t="str">
        <f aca="true">IF(OR(B190="",OR(I190="Completed",I190="Terminated")),"",IF(J190="","",IF(J190&lt;TODAY(),"Expired",IF(J190&lt;=TODAY()+60,"Expiring Soon","OK"))))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4"/>
      <c r="G191" s="35"/>
      <c r="H191" s="35"/>
      <c r="I191" s="32"/>
      <c r="J191" s="35"/>
      <c r="K191" s="33"/>
      <c r="L191" s="37" t="str">
        <f aca="true">IF(OR(B191="",OR(I191="Completed",I191="Terminated")),"",IF(J191="","",IF(J191&lt;TODAY(),"Expired",IF(J191&lt;=TODAY()+60,"Expiring Soon","OK"))))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4"/>
      <c r="G192" s="35"/>
      <c r="H192" s="35"/>
      <c r="I192" s="32"/>
      <c r="J192" s="35"/>
      <c r="K192" s="33"/>
      <c r="L192" s="37" t="str">
        <f aca="true">IF(OR(B192="",OR(I192="Completed",I192="Terminated")),"",IF(J192="","",IF(J192&lt;TODAY(),"Expired",IF(J192&lt;=TODAY()+60,"Expiring Soon","OK"))))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4"/>
      <c r="G193" s="35"/>
      <c r="H193" s="35"/>
      <c r="I193" s="32"/>
      <c r="J193" s="35"/>
      <c r="K193" s="33"/>
      <c r="L193" s="37" t="str">
        <f aca="true">IF(OR(B193="",OR(I193="Completed",I193="Terminated")),"",IF(J193="","",IF(J193&lt;TODAY(),"Expired",IF(J193&lt;=TODAY()+60,"Expiring Soon","OK"))))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4"/>
      <c r="G194" s="35"/>
      <c r="H194" s="35"/>
      <c r="I194" s="32"/>
      <c r="J194" s="35"/>
      <c r="K194" s="33"/>
      <c r="L194" s="37" t="str">
        <f aca="true">IF(OR(B194="",OR(I194="Completed",I194="Terminated")),"",IF(J194="","",IF(J194&lt;TODAY(),"Expired",IF(J194&lt;=TODAY()+60,"Expiring Soon","OK"))))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4"/>
      <c r="G195" s="35"/>
      <c r="H195" s="35"/>
      <c r="I195" s="32"/>
      <c r="J195" s="35"/>
      <c r="K195" s="33"/>
      <c r="L195" s="37" t="str">
        <f aca="true">IF(OR(B195="",OR(I195="Completed",I195="Terminated")),"",IF(J195="","",IF(J195&lt;TODAY(),"Expired",IF(J195&lt;=TODAY()+60,"Expiring Soon","OK"))))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4"/>
      <c r="G196" s="35"/>
      <c r="H196" s="35"/>
      <c r="I196" s="32"/>
      <c r="J196" s="35"/>
      <c r="K196" s="33"/>
      <c r="L196" s="37" t="str">
        <f aca="true">IF(OR(B196="",OR(I196="Completed",I196="Terminated")),"",IF(J196="","",IF(J196&lt;TODAY(),"Expired",IF(J196&lt;=TODAY()+60,"Expiring Soon","OK"))))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4"/>
      <c r="G197" s="35"/>
      <c r="H197" s="35"/>
      <c r="I197" s="32"/>
      <c r="J197" s="35"/>
      <c r="K197" s="33"/>
      <c r="L197" s="37" t="str">
        <f aca="true">IF(OR(B197="",OR(I197="Completed",I197="Terminated")),"",IF(J197="","",IF(J197&lt;TODAY(),"Expired",IF(J197&lt;=TODAY()+60,"Expiring Soon","OK"))))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4"/>
      <c r="G198" s="35"/>
      <c r="H198" s="35"/>
      <c r="I198" s="32"/>
      <c r="J198" s="35"/>
      <c r="K198" s="33"/>
      <c r="L198" s="37" t="str">
        <f aca="true">IF(OR(B198="",OR(I198="Completed",I198="Terminated")),"",IF(J198="","",IF(J198&lt;TODAY(),"Expired",IF(J198&lt;=TODAY()+60,"Expiring Soon","OK"))))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4"/>
      <c r="G199" s="35"/>
      <c r="H199" s="35"/>
      <c r="I199" s="32"/>
      <c r="J199" s="35"/>
      <c r="K199" s="33"/>
      <c r="L199" s="37" t="str">
        <f aca="true">IF(OR(B199="",OR(I199="Completed",I199="Terminated")),"",IF(J199="","",IF(J199&lt;TODAY(),"Expired",IF(J199&lt;=TODAY()+60,"Expiring Soon","OK"))))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4"/>
      <c r="G200" s="35"/>
      <c r="H200" s="35"/>
      <c r="I200" s="32"/>
      <c r="J200" s="35"/>
      <c r="K200" s="33"/>
      <c r="L200" s="37" t="str">
        <f aca="true">IF(OR(B200="",OR(I200="Completed",I200="Terminated")),"",IF(J200="","",IF(J200&lt;TODAY(),"Expired",IF(J200&lt;=TODAY()+60,"Expiring Soon","OK"))))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4"/>
      <c r="G201" s="35"/>
      <c r="H201" s="35"/>
      <c r="I201" s="32"/>
      <c r="J201" s="35"/>
      <c r="K201" s="33"/>
      <c r="L201" s="37" t="str">
        <f aca="true">IF(OR(B201="",OR(I201="Completed",I201="Terminated")),"",IF(J201="","",IF(J201&lt;TODAY(),"Expired",IF(J201&lt;=TODAY()+60,"Expiring Soon","OK"))))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4"/>
      <c r="G202" s="35"/>
      <c r="H202" s="35"/>
      <c r="I202" s="32"/>
      <c r="J202" s="35"/>
      <c r="K202" s="33"/>
      <c r="L202" s="37" t="str">
        <f aca="true">IF(OR(B202="",OR(I202="Completed",I202="Terminated")),"",IF(J202="","",IF(J202&lt;TODAY(),"Expired",IF(J202&lt;=TODAY()+60,"Expiring Soon","OK"))))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4"/>
      <c r="G203" s="35"/>
      <c r="H203" s="35"/>
      <c r="I203" s="32"/>
      <c r="J203" s="35"/>
      <c r="K203" s="33"/>
      <c r="L203" s="37" t="str">
        <f aca="true">IF(OR(B203="",OR(I203="Completed",I203="Terminated")),"",IF(J203="","",IF(J203&lt;TODAY(),"Expired",IF(J203&lt;=TODAY()+60,"Expiring Soon","OK"))))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4"/>
      <c r="G204" s="35"/>
      <c r="H204" s="35"/>
      <c r="I204" s="32"/>
      <c r="J204" s="35"/>
      <c r="K204" s="33"/>
      <c r="L204" s="37" t="str">
        <f aca="true">IF(OR(B204="",OR(I204="Completed",I204="Terminated")),"",IF(J204="","",IF(J204&lt;TODAY(),"Expired",IF(J204&lt;=TODAY()+60,"Expiring Soon","OK"))))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4"/>
      <c r="G205" s="35"/>
      <c r="H205" s="35"/>
      <c r="I205" s="32"/>
      <c r="J205" s="35"/>
      <c r="K205" s="33"/>
      <c r="L205" s="37" t="str">
        <f aca="true">IF(OR(B205="",OR(I205="Completed",I205="Terminated")),"",IF(J205="","",IF(J205&lt;TODAY(),"Expired",IF(J205&lt;=TODAY()+60,"Expiring Soon","OK"))))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4"/>
      <c r="G206" s="35"/>
      <c r="H206" s="35"/>
      <c r="I206" s="32"/>
      <c r="J206" s="35"/>
      <c r="K206" s="33"/>
      <c r="L206" s="37" t="str">
        <f aca="true">IF(OR(B206="",OR(I206="Completed",I206="Terminated")),"",IF(J206="","",IF(J206&lt;TODAY(),"Expired",IF(J206&lt;=TODAY()+60,"Expiring Soon","OK"))))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4"/>
      <c r="G207" s="35"/>
      <c r="H207" s="35"/>
      <c r="I207" s="32"/>
      <c r="J207" s="35"/>
      <c r="K207" s="33"/>
      <c r="L207" s="37" t="str">
        <f aca="true">IF(OR(B207="",OR(I207="Completed",I207="Terminated")),"",IF(J207="","",IF(J207&lt;TODAY(),"Expired",IF(J207&lt;=TODAY()+60,"Expiring Soon","OK"))))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4"/>
      <c r="G208" s="35"/>
      <c r="H208" s="35"/>
      <c r="I208" s="32"/>
      <c r="J208" s="35"/>
      <c r="K208" s="33"/>
      <c r="L208" s="37" t="str">
        <f aca="true">IF(OR(B208="",OR(I208="Completed",I208="Terminated")),"",IF(J208="","",IF(J208&lt;TODAY(),"Expired",IF(J208&lt;=TODAY()+60,"Expiring Soon","OK"))))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4"/>
      <c r="G209" s="35"/>
      <c r="H209" s="35"/>
      <c r="I209" s="32"/>
      <c r="J209" s="35"/>
      <c r="K209" s="33"/>
      <c r="L209" s="37" t="str">
        <f aca="true">IF(OR(B209="",OR(I209="Completed",I209="Terminated")),"",IF(J209="","",IF(J209&lt;TODAY(),"Expired",IF(J209&lt;=TODAY()+60,"Expiring Soon","OK"))))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4"/>
      <c r="G210" s="35"/>
      <c r="H210" s="35"/>
      <c r="I210" s="32"/>
      <c r="J210" s="35"/>
      <c r="K210" s="33"/>
      <c r="L210" s="37" t="str">
        <f aca="true">IF(OR(B210="",OR(I210="Completed",I210="Terminated")),"",IF(J210="","",IF(J210&lt;TODAY(),"Expired",IF(J210&lt;=TODAY()+60,"Expiring Soon","OK"))))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4"/>
      <c r="G211" s="35"/>
      <c r="H211" s="35"/>
      <c r="I211" s="32"/>
      <c r="J211" s="35"/>
      <c r="K211" s="33"/>
      <c r="L211" s="37" t="str">
        <f aca="true">IF(OR(B211="",OR(I211="Completed",I211="Terminated")),"",IF(J211="","",IF(J211&lt;TODAY(),"Expired",IF(J211&lt;=TODAY()+60,"Expiring Soon","OK"))))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4"/>
      <c r="G212" s="35"/>
      <c r="H212" s="35"/>
      <c r="I212" s="32"/>
      <c r="J212" s="35"/>
      <c r="K212" s="33"/>
      <c r="L212" s="37" t="str">
        <f aca="true">IF(OR(B212="",OR(I212="Completed",I212="Terminated")),"",IF(J212="","",IF(J212&lt;TODAY(),"Expired",IF(J212&lt;=TODAY()+60,"Expiring Soon","OK"))))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4"/>
      <c r="G213" s="35"/>
      <c r="H213" s="35"/>
      <c r="I213" s="32"/>
      <c r="J213" s="35"/>
      <c r="K213" s="33"/>
      <c r="L213" s="37" t="str">
        <f aca="true">IF(OR(B213="",OR(I213="Completed",I213="Terminated")),"",IF(J213="","",IF(J213&lt;TODAY(),"Expired",IF(J213&lt;=TODAY()+60,"Expiring Soon","OK"))))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4"/>
      <c r="G214" s="35"/>
      <c r="H214" s="35"/>
      <c r="I214" s="32"/>
      <c r="J214" s="35"/>
      <c r="K214" s="33"/>
      <c r="L214" s="37" t="str">
        <f aca="true">IF(OR(B214="",OR(I214="Completed",I214="Terminated")),"",IF(J214="","",IF(J214&lt;TODAY(),"Expired",IF(J214&lt;=TODAY()+60,"Expiring Soon","OK"))))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4"/>
      <c r="G215" s="35"/>
      <c r="H215" s="35"/>
      <c r="I215" s="32"/>
      <c r="J215" s="35"/>
      <c r="K215" s="33"/>
      <c r="L215" s="37" t="str">
        <f aca="true">IF(OR(B215="",OR(I215="Completed",I215="Terminated")),"",IF(J215="","",IF(J215&lt;TODAY(),"Expired",IF(J215&lt;=TODAY()+60,"Expiring Soon","OK"))))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4"/>
      <c r="G216" s="35"/>
      <c r="H216" s="35"/>
      <c r="I216" s="32"/>
      <c r="J216" s="35"/>
      <c r="K216" s="33"/>
      <c r="L216" s="37" t="str">
        <f aca="true">IF(OR(B216="",OR(I216="Completed",I216="Terminated")),"",IF(J216="","",IF(J216&lt;TODAY(),"Expired",IF(J216&lt;=TODAY()+60,"Expiring Soon","OK"))))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4"/>
      <c r="G217" s="35"/>
      <c r="H217" s="35"/>
      <c r="I217" s="32"/>
      <c r="J217" s="35"/>
      <c r="K217" s="33"/>
      <c r="L217" s="37" t="str">
        <f aca="true">IF(OR(B217="",OR(I217="Completed",I217="Terminated")),"",IF(J217="","",IF(J217&lt;TODAY(),"Expired",IF(J217&lt;=TODAY()+60,"Expiring Soon","OK"))))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4"/>
      <c r="G218" s="35"/>
      <c r="H218" s="35"/>
      <c r="I218" s="32"/>
      <c r="J218" s="35"/>
      <c r="K218" s="33"/>
      <c r="L218" s="37" t="str">
        <f aca="true">IF(OR(B218="",OR(I218="Completed",I218="Terminated")),"",IF(J218="","",IF(J218&lt;TODAY(),"Expired",IF(J218&lt;=TODAY()+60,"Expiring Soon","OK"))))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4"/>
      <c r="G219" s="35"/>
      <c r="H219" s="35"/>
      <c r="I219" s="32"/>
      <c r="J219" s="35"/>
      <c r="K219" s="33"/>
      <c r="L219" s="37" t="str">
        <f aca="true">IF(OR(B219="",OR(I219="Completed",I219="Terminated")),"",IF(J219="","",IF(J219&lt;TODAY(),"Expired",IF(J219&lt;=TODAY()+60,"Expiring Soon","OK"))))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4"/>
      <c r="G220" s="35"/>
      <c r="H220" s="35"/>
      <c r="I220" s="32"/>
      <c r="J220" s="35"/>
      <c r="K220" s="33"/>
      <c r="L220" s="37" t="str">
        <f aca="true">IF(OR(B220="",OR(I220="Completed",I220="Terminated")),"",IF(J220="","",IF(J220&lt;TODAY(),"Expired",IF(J220&lt;=TODAY()+60,"Expiring Soon","OK"))))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4"/>
      <c r="G221" s="35"/>
      <c r="H221" s="35"/>
      <c r="I221" s="32"/>
      <c r="J221" s="35"/>
      <c r="K221" s="33"/>
      <c r="L221" s="37" t="str">
        <f aca="true">IF(OR(B221="",OR(I221="Completed",I221="Terminated")),"",IF(J221="","",IF(J221&lt;TODAY(),"Expired",IF(J221&lt;=TODAY()+60,"Expiring Soon","OK"))))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4"/>
      <c r="G222" s="35"/>
      <c r="H222" s="35"/>
      <c r="I222" s="32"/>
      <c r="J222" s="35"/>
      <c r="K222" s="33"/>
      <c r="L222" s="37" t="str">
        <f aca="true">IF(OR(B222="",OR(I222="Completed",I222="Terminated")),"",IF(J222="","",IF(J222&lt;TODAY(),"Expired",IF(J222&lt;=TODAY()+60,"Expiring Soon","OK"))))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4"/>
      <c r="G223" s="35"/>
      <c r="H223" s="35"/>
      <c r="I223" s="32"/>
      <c r="J223" s="35"/>
      <c r="K223" s="33"/>
      <c r="L223" s="37" t="str">
        <f aca="true">IF(OR(B223="",OR(I223="Completed",I223="Terminated")),"",IF(J223="","",IF(J223&lt;TODAY(),"Expired",IF(J223&lt;=TODAY()+60,"Expiring Soon","OK"))))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4"/>
      <c r="G224" s="35"/>
      <c r="H224" s="35"/>
      <c r="I224" s="32"/>
      <c r="J224" s="35"/>
      <c r="K224" s="33"/>
      <c r="L224" s="37" t="str">
        <f aca="true">IF(OR(B224="",OR(I224="Completed",I224="Terminated")),"",IF(J224="","",IF(J224&lt;TODAY(),"Expired",IF(J224&lt;=TODAY()+60,"Expiring Soon","OK"))))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4"/>
      <c r="G225" s="35"/>
      <c r="H225" s="35"/>
      <c r="I225" s="32"/>
      <c r="J225" s="35"/>
      <c r="K225" s="33"/>
      <c r="L225" s="37" t="str">
        <f aca="true">IF(OR(B225="",OR(I225="Completed",I225="Terminated")),"",IF(J225="","",IF(J225&lt;TODAY(),"Expired",IF(J225&lt;=TODAY()+60,"Expiring Soon","OK"))))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4"/>
      <c r="G226" s="35"/>
      <c r="H226" s="35"/>
      <c r="I226" s="32"/>
      <c r="J226" s="35"/>
      <c r="K226" s="33"/>
      <c r="L226" s="37" t="str">
        <f aca="true">IF(OR(B226="",OR(I226="Completed",I226="Terminated")),"",IF(J226="","",IF(J226&lt;TODAY(),"Expired",IF(J226&lt;=TODAY()+60,"Expiring Soon","OK"))))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4"/>
      <c r="G227" s="35"/>
      <c r="H227" s="35"/>
      <c r="I227" s="32"/>
      <c r="J227" s="35"/>
      <c r="K227" s="33"/>
      <c r="L227" s="37" t="str">
        <f aca="true">IF(OR(B227="",OR(I227="Completed",I227="Terminated")),"",IF(J227="","",IF(J227&lt;TODAY(),"Expired",IF(J227&lt;=TODAY()+60,"Expiring Soon","OK"))))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4"/>
      <c r="G228" s="35"/>
      <c r="H228" s="35"/>
      <c r="I228" s="32"/>
      <c r="J228" s="35"/>
      <c r="K228" s="33"/>
      <c r="L228" s="37" t="str">
        <f aca="true">IF(OR(B228="",OR(I228="Completed",I228="Terminated")),"",IF(J228="","",IF(J228&lt;TODAY(),"Expired",IF(J228&lt;=TODAY()+60,"Expiring Soon","OK"))))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4"/>
      <c r="G229" s="35"/>
      <c r="H229" s="35"/>
      <c r="I229" s="32"/>
      <c r="J229" s="35"/>
      <c r="K229" s="33"/>
      <c r="L229" s="37" t="str">
        <f aca="true">IF(OR(B229="",OR(I229="Completed",I229="Terminated")),"",IF(J229="","",IF(J229&lt;TODAY(),"Expired",IF(J229&lt;=TODAY()+60,"Expiring Soon","OK"))))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4"/>
      <c r="G230" s="35"/>
      <c r="H230" s="35"/>
      <c r="I230" s="32"/>
      <c r="J230" s="35"/>
      <c r="K230" s="33"/>
      <c r="L230" s="37" t="str">
        <f aca="true">IF(OR(B230="",OR(I230="Completed",I230="Terminated")),"",IF(J230="","",IF(J230&lt;TODAY(),"Expired",IF(J230&lt;=TODAY()+60,"Expiring Soon","OK"))))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4"/>
      <c r="G231" s="35"/>
      <c r="H231" s="35"/>
      <c r="I231" s="32"/>
      <c r="J231" s="35"/>
      <c r="K231" s="33"/>
      <c r="L231" s="37" t="str">
        <f aca="true">IF(OR(B231="",OR(I231="Completed",I231="Terminated")),"",IF(J231="","",IF(J231&lt;TODAY(),"Expired",IF(J231&lt;=TODAY()+60,"Expiring Soon","OK"))))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4"/>
      <c r="G232" s="35"/>
      <c r="H232" s="35"/>
      <c r="I232" s="32"/>
      <c r="J232" s="35"/>
      <c r="K232" s="33"/>
      <c r="L232" s="37" t="str">
        <f aca="true">IF(OR(B232="",OR(I232="Completed",I232="Terminated")),"",IF(J232="","",IF(J232&lt;TODAY(),"Expired",IF(J232&lt;=TODAY()+60,"Expiring Soon","OK"))))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4"/>
      <c r="G233" s="35"/>
      <c r="H233" s="35"/>
      <c r="I233" s="32"/>
      <c r="J233" s="35"/>
      <c r="K233" s="33"/>
      <c r="L233" s="37" t="str">
        <f aca="true">IF(OR(B233="",OR(I233="Completed",I233="Terminated")),"",IF(J233="","",IF(J233&lt;TODAY(),"Expired",IF(J233&lt;=TODAY()+60,"Expiring Soon","OK"))))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4"/>
      <c r="G234" s="35"/>
      <c r="H234" s="35"/>
      <c r="I234" s="32"/>
      <c r="J234" s="35"/>
      <c r="K234" s="33"/>
      <c r="L234" s="37" t="str">
        <f aca="true">IF(OR(B234="",OR(I234="Completed",I234="Terminated")),"",IF(J234="","",IF(J234&lt;TODAY(),"Expired",IF(J234&lt;=TODAY()+60,"Expiring Soon","OK"))))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4"/>
      <c r="G235" s="35"/>
      <c r="H235" s="35"/>
      <c r="I235" s="32"/>
      <c r="J235" s="35"/>
      <c r="K235" s="33"/>
      <c r="L235" s="37" t="str">
        <f aca="true">IF(OR(B235="",OR(I235="Completed",I235="Terminated")),"",IF(J235="","",IF(J235&lt;TODAY(),"Expired",IF(J235&lt;=TODAY()+60,"Expiring Soon","OK"))))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4"/>
      <c r="G236" s="35"/>
      <c r="H236" s="35"/>
      <c r="I236" s="32"/>
      <c r="J236" s="35"/>
      <c r="K236" s="33"/>
      <c r="L236" s="37" t="str">
        <f aca="true">IF(OR(B236="",OR(I236="Completed",I236="Terminated")),"",IF(J236="","",IF(J236&lt;TODAY(),"Expired",IF(J236&lt;=TODAY()+60,"Expiring Soon","OK"))))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4"/>
      <c r="G237" s="35"/>
      <c r="H237" s="35"/>
      <c r="I237" s="32"/>
      <c r="J237" s="35"/>
      <c r="K237" s="33"/>
      <c r="L237" s="37" t="str">
        <f aca="true">IF(OR(B237="",OR(I237="Completed",I237="Terminated")),"",IF(J237="","",IF(J237&lt;TODAY(),"Expired",IF(J237&lt;=TODAY()+60,"Expiring Soon","OK"))))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4"/>
      <c r="G238" s="35"/>
      <c r="H238" s="35"/>
      <c r="I238" s="32"/>
      <c r="J238" s="35"/>
      <c r="K238" s="33"/>
      <c r="L238" s="37" t="str">
        <f aca="true">IF(OR(B238="",OR(I238="Completed",I238="Terminated")),"",IF(J238="","",IF(J238&lt;TODAY(),"Expired",IF(J238&lt;=TODAY()+60,"Expiring Soon","OK"))))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4"/>
      <c r="G239" s="35"/>
      <c r="H239" s="35"/>
      <c r="I239" s="32"/>
      <c r="J239" s="35"/>
      <c r="K239" s="33"/>
      <c r="L239" s="37" t="str">
        <f aca="true">IF(OR(B239="",OR(I239="Completed",I239="Terminated")),"",IF(J239="","",IF(J239&lt;TODAY(),"Expired",IF(J239&lt;=TODAY()+60,"Expiring Soon","OK"))))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4"/>
      <c r="G240" s="35"/>
      <c r="H240" s="35"/>
      <c r="I240" s="32"/>
      <c r="J240" s="35"/>
      <c r="K240" s="33"/>
      <c r="L240" s="37" t="str">
        <f aca="true">IF(OR(B240="",OR(I240="Completed",I240="Terminated")),"",IF(J240="","",IF(J240&lt;TODAY(),"Expired",IF(J240&lt;=TODAY()+60,"Expiring Soon","OK"))))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4"/>
      <c r="G241" s="35"/>
      <c r="H241" s="35"/>
      <c r="I241" s="32"/>
      <c r="J241" s="35"/>
      <c r="K241" s="33"/>
      <c r="L241" s="37" t="str">
        <f aca="true">IF(OR(B241="",OR(I241="Completed",I241="Terminated")),"",IF(J241="","",IF(J241&lt;TODAY(),"Expired",IF(J241&lt;=TODAY()+60,"Expiring Soon","OK"))))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4"/>
      <c r="G242" s="35"/>
      <c r="H242" s="35"/>
      <c r="I242" s="32"/>
      <c r="J242" s="35"/>
      <c r="K242" s="33"/>
      <c r="L242" s="37" t="str">
        <f aca="true">IF(OR(B242="",OR(I242="Completed",I242="Terminated")),"",IF(J242="","",IF(J242&lt;TODAY(),"Expired",IF(J242&lt;=TODAY()+60,"Expiring Soon","OK"))))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4"/>
      <c r="G243" s="35"/>
      <c r="H243" s="35"/>
      <c r="I243" s="32"/>
      <c r="J243" s="35"/>
      <c r="K243" s="33"/>
      <c r="L243" s="37" t="str">
        <f aca="true">IF(OR(B243="",OR(I243="Completed",I243="Terminated")),"",IF(J243="","",IF(J243&lt;TODAY(),"Expired",IF(J243&lt;=TODAY()+60,"Expiring Soon","OK"))))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4"/>
      <c r="G244" s="35"/>
      <c r="H244" s="35"/>
      <c r="I244" s="32"/>
      <c r="J244" s="35"/>
      <c r="K244" s="33"/>
      <c r="L244" s="37" t="str">
        <f aca="true">IF(OR(B244="",OR(I244="Completed",I244="Terminated")),"",IF(J244="","",IF(J244&lt;TODAY(),"Expired",IF(J244&lt;=TODAY()+60,"Expiring Soon","OK"))))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4"/>
      <c r="G245" s="35"/>
      <c r="H245" s="35"/>
      <c r="I245" s="32"/>
      <c r="J245" s="35"/>
      <c r="K245" s="33"/>
      <c r="L245" s="37" t="str">
        <f aca="true">IF(OR(B245="",OR(I245="Completed",I245="Terminated")),"",IF(J245="","",IF(J245&lt;TODAY(),"Expired",IF(J245&lt;=TODAY()+60,"Expiring Soon","OK"))))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4"/>
      <c r="G246" s="35"/>
      <c r="H246" s="35"/>
      <c r="I246" s="32"/>
      <c r="J246" s="35"/>
      <c r="K246" s="33"/>
      <c r="L246" s="37" t="str">
        <f aca="true">IF(OR(B246="",OR(I246="Completed",I246="Terminated")),"",IF(J246="","",IF(J246&lt;TODAY(),"Expired",IF(J246&lt;=TODAY()+60,"Expiring Soon","OK"))))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4"/>
      <c r="G247" s="35"/>
      <c r="H247" s="35"/>
      <c r="I247" s="32"/>
      <c r="J247" s="35"/>
      <c r="K247" s="33"/>
      <c r="L247" s="37" t="str">
        <f aca="true">IF(OR(B247="",OR(I247="Completed",I247="Terminated")),"",IF(J247="","",IF(J247&lt;TODAY(),"Expired",IF(J247&lt;=TODAY()+60,"Expiring Soon","OK"))))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4"/>
      <c r="G248" s="35"/>
      <c r="H248" s="35"/>
      <c r="I248" s="32"/>
      <c r="J248" s="35"/>
      <c r="K248" s="33"/>
      <c r="L248" s="37" t="str">
        <f aca="true">IF(OR(B248="",OR(I248="Completed",I248="Terminated")),"",IF(J248="","",IF(J248&lt;TODAY(),"Expired",IF(J248&lt;=TODAY()+60,"Expiring Soon","OK"))))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4"/>
      <c r="G249" s="35"/>
      <c r="H249" s="35"/>
      <c r="I249" s="32"/>
      <c r="J249" s="35"/>
      <c r="K249" s="33"/>
      <c r="L249" s="37" t="str">
        <f aca="true">IF(OR(B249="",OR(I249="Completed",I249="Terminated")),"",IF(J249="","",IF(J249&lt;TODAY(),"Expired",IF(J249&lt;=TODAY()+60,"Expiring Soon","OK"))))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4"/>
      <c r="G250" s="35"/>
      <c r="H250" s="35"/>
      <c r="I250" s="32"/>
      <c r="J250" s="35"/>
      <c r="K250" s="33"/>
      <c r="L250" s="37" t="str">
        <f aca="true">IF(OR(B250="",OR(I250="Completed",I250="Terminated")),"",IF(J250="","",IF(J250&lt;TODAY(),"Expired",IF(J250&lt;=TODAY()+60,"Expiring Soon","OK"))))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4"/>
      <c r="G251" s="35"/>
      <c r="H251" s="35"/>
      <c r="I251" s="32"/>
      <c r="J251" s="35"/>
      <c r="K251" s="33"/>
      <c r="L251" s="37" t="str">
        <f aca="true">IF(OR(B251="",OR(I251="Completed",I251="Terminated")),"",IF(J251="","",IF(J251&lt;TODAY(),"Expired",IF(J251&lt;=TODAY()+60,"Expiring Soon","OK"))))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4"/>
      <c r="G252" s="35"/>
      <c r="H252" s="35"/>
      <c r="I252" s="32"/>
      <c r="J252" s="35"/>
      <c r="K252" s="33"/>
      <c r="L252" s="37" t="str">
        <f aca="true">IF(OR(B252="",OR(I252="Completed",I252="Terminated")),"",IF(J252="","",IF(J252&lt;TODAY(),"Expired",IF(J252&lt;=TODAY()+60,"Expiring Soon","OK"))))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4"/>
      <c r="G253" s="35"/>
      <c r="H253" s="35"/>
      <c r="I253" s="32"/>
      <c r="J253" s="35"/>
      <c r="K253" s="33"/>
      <c r="L253" s="37" t="str">
        <f aca="true">IF(OR(B253="",OR(I253="Completed",I253="Terminated")),"",IF(J253="","",IF(J253&lt;TODAY(),"Expired",IF(J253&lt;=TODAY()+60,"Expiring Soon","OK"))))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4"/>
      <c r="G254" s="35"/>
      <c r="H254" s="35"/>
      <c r="I254" s="32"/>
      <c r="J254" s="35"/>
      <c r="K254" s="33"/>
      <c r="L254" s="37" t="str">
        <f aca="true">IF(OR(B254="",OR(I254="Completed",I254="Terminated")),"",IF(J254="","",IF(J254&lt;TODAY(),"Expired",IF(J254&lt;=TODAY()+60,"Expiring Soon","OK"))))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4"/>
      <c r="G255" s="35"/>
      <c r="H255" s="35"/>
      <c r="I255" s="32"/>
      <c r="J255" s="35"/>
      <c r="K255" s="33"/>
      <c r="L255" s="37" t="str">
        <f aca="true">IF(OR(B255="",OR(I255="Completed",I255="Terminated")),"",IF(J255="","",IF(J255&lt;TODAY(),"Expired",IF(J255&lt;=TODAY()+60,"Expiring Soon","OK"))))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4"/>
      <c r="G256" s="35"/>
      <c r="H256" s="35"/>
      <c r="I256" s="32"/>
      <c r="J256" s="35"/>
      <c r="K256" s="33"/>
      <c r="L256" s="37" t="str">
        <f aca="true">IF(OR(B256="",OR(I256="Completed",I256="Terminated")),"",IF(J256="","",IF(J256&lt;TODAY(),"Expired",IF(J256&lt;=TODAY()+60,"Expiring Soon","OK"))))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4"/>
      <c r="G257" s="35"/>
      <c r="H257" s="35"/>
      <c r="I257" s="32"/>
      <c r="J257" s="35"/>
      <c r="K257" s="33"/>
      <c r="L257" s="37" t="str">
        <f aca="true">IF(OR(B257="",OR(I257="Completed",I257="Terminated")),"",IF(J257="","",IF(J257&lt;TODAY(),"Expired",IF(J257&lt;=TODAY()+60,"Expiring Soon","OK"))))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4"/>
      <c r="G258" s="35"/>
      <c r="H258" s="35"/>
      <c r="I258" s="32"/>
      <c r="J258" s="35"/>
      <c r="K258" s="33"/>
      <c r="L258" s="37" t="str">
        <f aca="true">IF(OR(B258="",OR(I258="Completed",I258="Terminated")),"",IF(J258="","",IF(J258&lt;TODAY(),"Expired",IF(J258&lt;=TODAY()+60,"Expiring Soon","OK"))))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4"/>
      <c r="G259" s="35"/>
      <c r="H259" s="35"/>
      <c r="I259" s="32"/>
      <c r="J259" s="35"/>
      <c r="K259" s="33"/>
      <c r="L259" s="37" t="str">
        <f aca="true">IF(OR(B259="",OR(I259="Completed",I259="Terminated")),"",IF(J259="","",IF(J259&lt;TODAY(),"Expired",IF(J259&lt;=TODAY()+60,"Expiring Soon","OK"))))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4"/>
      <c r="G260" s="35"/>
      <c r="H260" s="35"/>
      <c r="I260" s="32"/>
      <c r="J260" s="35"/>
      <c r="K260" s="33"/>
      <c r="L260" s="37" t="str">
        <f aca="true">IF(OR(B260="",OR(I260="Completed",I260="Terminated")),"",IF(J260="","",IF(J260&lt;TODAY(),"Expired",IF(J260&lt;=TODAY()+60,"Expiring Soon","OK"))))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4"/>
      <c r="G261" s="35"/>
      <c r="H261" s="35"/>
      <c r="I261" s="32"/>
      <c r="J261" s="35"/>
      <c r="K261" s="33"/>
      <c r="L261" s="37" t="str">
        <f aca="true">IF(OR(B261="",OR(I261="Completed",I261="Terminated")),"",IF(J261="","",IF(J261&lt;TODAY(),"Expired",IF(J261&lt;=TODAY()+60,"Expiring Soon","OK"))))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4"/>
      <c r="G262" s="35"/>
      <c r="H262" s="35"/>
      <c r="I262" s="32"/>
      <c r="J262" s="35"/>
      <c r="K262" s="33"/>
      <c r="L262" s="37" t="str">
        <f aca="true">IF(OR(B262="",OR(I262="Completed",I262="Terminated")),"",IF(J262="","",IF(J262&lt;TODAY(),"Expired",IF(J262&lt;=TODAY()+60,"Expiring Soon","OK"))))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4"/>
      <c r="G263" s="35"/>
      <c r="H263" s="35"/>
      <c r="I263" s="32"/>
      <c r="J263" s="35"/>
      <c r="K263" s="33"/>
      <c r="L263" s="37" t="str">
        <f aca="true">IF(OR(B263="",OR(I263="Completed",I263="Terminated")),"",IF(J263="","",IF(J263&lt;TODAY(),"Expired",IF(J263&lt;=TODAY()+60,"Expiring Soon","OK"))))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4"/>
      <c r="G264" s="35"/>
      <c r="H264" s="35"/>
      <c r="I264" s="32"/>
      <c r="J264" s="35"/>
      <c r="K264" s="33"/>
      <c r="L264" s="37" t="str">
        <f aca="true">IF(OR(B264="",OR(I264="Completed",I264="Terminated")),"",IF(J264="","",IF(J264&lt;TODAY(),"Expired",IF(J264&lt;=TODAY()+60,"Expiring Soon","OK"))))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4"/>
      <c r="G265" s="35"/>
      <c r="H265" s="35"/>
      <c r="I265" s="32"/>
      <c r="J265" s="35"/>
      <c r="K265" s="33"/>
      <c r="L265" s="37" t="str">
        <f aca="true">IF(OR(B265="",OR(I265="Completed",I265="Terminated")),"",IF(J265="","",IF(J265&lt;TODAY(),"Expired",IF(J265&lt;=TODAY()+60,"Expiring Soon","OK"))))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4"/>
      <c r="G266" s="35"/>
      <c r="H266" s="35"/>
      <c r="I266" s="32"/>
      <c r="J266" s="35"/>
      <c r="K266" s="33"/>
      <c r="L266" s="37" t="str">
        <f aca="true">IF(OR(B266="",OR(I266="Completed",I266="Terminated")),"",IF(J266="","",IF(J266&lt;TODAY(),"Expired",IF(J266&lt;=TODAY()+60,"Expiring Soon","OK"))))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4"/>
      <c r="G267" s="35"/>
      <c r="H267" s="35"/>
      <c r="I267" s="32"/>
      <c r="J267" s="35"/>
      <c r="K267" s="33"/>
      <c r="L267" s="37" t="str">
        <f aca="true">IF(OR(B267="",OR(I267="Completed",I267="Terminated")),"",IF(J267="","",IF(J267&lt;TODAY(),"Expired",IF(J267&lt;=TODAY()+60,"Expiring Soon","OK"))))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4"/>
      <c r="G268" s="35"/>
      <c r="H268" s="35"/>
      <c r="I268" s="32"/>
      <c r="J268" s="35"/>
      <c r="K268" s="33"/>
      <c r="L268" s="37" t="str">
        <f aca="true">IF(OR(B268="",OR(I268="Completed",I268="Terminated")),"",IF(J268="","",IF(J268&lt;TODAY(),"Expired",IF(J268&lt;=TODAY()+60,"Expiring Soon","OK"))))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4"/>
      <c r="G269" s="35"/>
      <c r="H269" s="35"/>
      <c r="I269" s="32"/>
      <c r="J269" s="35"/>
      <c r="K269" s="33"/>
      <c r="L269" s="37" t="str">
        <f aca="true">IF(OR(B269="",OR(I269="Completed",I269="Terminated")),"",IF(J269="","",IF(J269&lt;TODAY(),"Expired",IF(J269&lt;=TODAY()+60,"Expiring Soon","OK"))))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4"/>
      <c r="G270" s="35"/>
      <c r="H270" s="35"/>
      <c r="I270" s="32"/>
      <c r="J270" s="35"/>
      <c r="K270" s="33"/>
      <c r="L270" s="37" t="str">
        <f aca="true">IF(OR(B270="",OR(I270="Completed",I270="Terminated")),"",IF(J270="","",IF(J270&lt;TODAY(),"Expired",IF(J270&lt;=TODAY()+60,"Expiring Soon","OK"))))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4"/>
      <c r="G271" s="35"/>
      <c r="H271" s="35"/>
      <c r="I271" s="32"/>
      <c r="J271" s="35"/>
      <c r="K271" s="33"/>
      <c r="L271" s="37" t="str">
        <f aca="true">IF(OR(B271="",OR(I271="Completed",I271="Terminated")),"",IF(J271="","",IF(J271&lt;TODAY(),"Expired",IF(J271&lt;=TODAY()+60,"Expiring Soon","OK"))))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4"/>
      <c r="G272" s="35"/>
      <c r="H272" s="35"/>
      <c r="I272" s="32"/>
      <c r="J272" s="35"/>
      <c r="K272" s="33"/>
      <c r="L272" s="37" t="str">
        <f aca="true">IF(OR(B272="",OR(I272="Completed",I272="Terminated")),"",IF(J272="","",IF(J272&lt;TODAY(),"Expired",IF(J272&lt;=TODAY()+60,"Expiring Soon","OK"))))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4"/>
      <c r="G273" s="35"/>
      <c r="H273" s="35"/>
      <c r="I273" s="32"/>
      <c r="J273" s="35"/>
      <c r="K273" s="33"/>
      <c r="L273" s="37" t="str">
        <f aca="true">IF(OR(B273="",OR(I273="Completed",I273="Terminated")),"",IF(J273="","",IF(J273&lt;TODAY(),"Expired",IF(J273&lt;=TODAY()+60,"Expiring Soon","OK"))))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4"/>
      <c r="G274" s="35"/>
      <c r="H274" s="35"/>
      <c r="I274" s="32"/>
      <c r="J274" s="35"/>
      <c r="K274" s="33"/>
      <c r="L274" s="37" t="str">
        <f aca="true">IF(OR(B274="",OR(I274="Completed",I274="Terminated")),"",IF(J274="","",IF(J274&lt;TODAY(),"Expired",IF(J274&lt;=TODAY()+60,"Expiring Soon","OK"))))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4"/>
      <c r="G275" s="35"/>
      <c r="H275" s="35"/>
      <c r="I275" s="32"/>
      <c r="J275" s="35"/>
      <c r="K275" s="33"/>
      <c r="L275" s="37" t="str">
        <f aca="true">IF(OR(B275="",OR(I275="Completed",I275="Terminated")),"",IF(J275="","",IF(J275&lt;TODAY(),"Expired",IF(J275&lt;=TODAY()+60,"Expiring Soon","OK"))))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4"/>
      <c r="G276" s="35"/>
      <c r="H276" s="35"/>
      <c r="I276" s="32"/>
      <c r="J276" s="35"/>
      <c r="K276" s="33"/>
      <c r="L276" s="37" t="str">
        <f aca="true">IF(OR(B276="",OR(I276="Completed",I276="Terminated")),"",IF(J276="","",IF(J276&lt;TODAY(),"Expired",IF(J276&lt;=TODAY()+60,"Expiring Soon","OK"))))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4"/>
      <c r="G277" s="35"/>
      <c r="H277" s="35"/>
      <c r="I277" s="32"/>
      <c r="J277" s="35"/>
      <c r="K277" s="33"/>
      <c r="L277" s="37" t="str">
        <f aca="true">IF(OR(B277="",OR(I277="Completed",I277="Terminated")),"",IF(J277="","",IF(J277&lt;TODAY(),"Expired",IF(J277&lt;=TODAY()+60,"Expiring Soon","OK"))))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4"/>
      <c r="G278" s="35"/>
      <c r="H278" s="35"/>
      <c r="I278" s="32"/>
      <c r="J278" s="35"/>
      <c r="K278" s="33"/>
      <c r="L278" s="37" t="str">
        <f aca="true">IF(OR(B278="",OR(I278="Completed",I278="Terminated")),"",IF(J278="","",IF(J278&lt;TODAY(),"Expired",IF(J278&lt;=TODAY()+60,"Expiring Soon","OK"))))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4"/>
      <c r="G279" s="35"/>
      <c r="H279" s="35"/>
      <c r="I279" s="32"/>
      <c r="J279" s="35"/>
      <c r="K279" s="33"/>
      <c r="L279" s="37" t="str">
        <f aca="true">IF(OR(B279="",OR(I279="Completed",I279="Terminated")),"",IF(J279="","",IF(J279&lt;TODAY(),"Expired",IF(J279&lt;=TODAY()+60,"Expiring Soon","OK"))))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4"/>
      <c r="G280" s="35"/>
      <c r="H280" s="35"/>
      <c r="I280" s="32"/>
      <c r="J280" s="35"/>
      <c r="K280" s="33"/>
      <c r="L280" s="37" t="str">
        <f aca="true">IF(OR(B280="",OR(I280="Completed",I280="Terminated")),"",IF(J280="","",IF(J280&lt;TODAY(),"Expired",IF(J280&lt;=TODAY()+60,"Expiring Soon","OK"))))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4"/>
      <c r="G281" s="35"/>
      <c r="H281" s="35"/>
      <c r="I281" s="32"/>
      <c r="J281" s="35"/>
      <c r="K281" s="33"/>
      <c r="L281" s="37" t="str">
        <f aca="true">IF(OR(B281="",OR(I281="Completed",I281="Terminated")),"",IF(J281="","",IF(J281&lt;TODAY(),"Expired",IF(J281&lt;=TODAY()+60,"Expiring Soon","OK"))))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4"/>
      <c r="G282" s="35"/>
      <c r="H282" s="35"/>
      <c r="I282" s="32"/>
      <c r="J282" s="35"/>
      <c r="K282" s="33"/>
      <c r="L282" s="37" t="str">
        <f aca="true">IF(OR(B282="",OR(I282="Completed",I282="Terminated")),"",IF(J282="","",IF(J282&lt;TODAY(),"Expired",IF(J282&lt;=TODAY()+60,"Expiring Soon","OK"))))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4"/>
      <c r="G283" s="35"/>
      <c r="H283" s="35"/>
      <c r="I283" s="32"/>
      <c r="J283" s="35"/>
      <c r="K283" s="33"/>
      <c r="L283" s="37" t="str">
        <f aca="true">IF(OR(B283="",OR(I283="Completed",I283="Terminated")),"",IF(J283="","",IF(J283&lt;TODAY(),"Expired",IF(J283&lt;=TODAY()+60,"Expiring Soon","OK"))))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4"/>
      <c r="G284" s="35"/>
      <c r="H284" s="35"/>
      <c r="I284" s="32"/>
      <c r="J284" s="35"/>
      <c r="K284" s="33"/>
      <c r="L284" s="37" t="str">
        <f aca="true">IF(OR(B284="",OR(I284="Completed",I284="Terminated")),"",IF(J284="","",IF(J284&lt;TODAY(),"Expired",IF(J284&lt;=TODAY()+60,"Expiring Soon","OK"))))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4"/>
      <c r="G285" s="35"/>
      <c r="H285" s="35"/>
      <c r="I285" s="32"/>
      <c r="J285" s="35"/>
      <c r="K285" s="33"/>
      <c r="L285" s="37" t="str">
        <f aca="true">IF(OR(B285="",OR(I285="Completed",I285="Terminated")),"",IF(J285="","",IF(J285&lt;TODAY(),"Expired",IF(J285&lt;=TODAY()+60,"Expiring Soon","OK"))))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4"/>
      <c r="G286" s="35"/>
      <c r="H286" s="35"/>
      <c r="I286" s="32"/>
      <c r="J286" s="35"/>
      <c r="K286" s="33"/>
      <c r="L286" s="37" t="str">
        <f aca="true">IF(OR(B286="",OR(I286="Completed",I286="Terminated")),"",IF(J286="","",IF(J286&lt;TODAY(),"Expired",IF(J286&lt;=TODAY()+60,"Expiring Soon","OK"))))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4"/>
      <c r="G287" s="35"/>
      <c r="H287" s="35"/>
      <c r="I287" s="32"/>
      <c r="J287" s="35"/>
      <c r="K287" s="33"/>
      <c r="L287" s="37" t="str">
        <f aca="true">IF(OR(B287="",OR(I287="Completed",I287="Terminated")),"",IF(J287="","",IF(J287&lt;TODAY(),"Expired",IF(J287&lt;=TODAY()+60,"Expiring Soon","OK"))))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4"/>
      <c r="G288" s="35"/>
      <c r="H288" s="35"/>
      <c r="I288" s="32"/>
      <c r="J288" s="35"/>
      <c r="K288" s="33"/>
      <c r="L288" s="37" t="str">
        <f aca="true">IF(OR(B288="",OR(I288="Completed",I288="Terminated")),"",IF(J288="","",IF(J288&lt;TODAY(),"Expired",IF(J288&lt;=TODAY()+60,"Expiring Soon","OK"))))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4"/>
      <c r="G289" s="35"/>
      <c r="H289" s="35"/>
      <c r="I289" s="32"/>
      <c r="J289" s="35"/>
      <c r="K289" s="33"/>
      <c r="L289" s="37" t="str">
        <f aca="true">IF(OR(B289="",OR(I289="Completed",I289="Terminated")),"",IF(J289="","",IF(J289&lt;TODAY(),"Expired",IF(J289&lt;=TODAY()+60,"Expiring Soon","OK"))))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4"/>
      <c r="G290" s="35"/>
      <c r="H290" s="35"/>
      <c r="I290" s="32"/>
      <c r="J290" s="35"/>
      <c r="K290" s="33"/>
      <c r="L290" s="37" t="str">
        <f aca="true">IF(OR(B290="",OR(I290="Completed",I290="Terminated")),"",IF(J290="","",IF(J290&lt;TODAY(),"Expired",IF(J290&lt;=TODAY()+60,"Expiring Soon","OK"))))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4"/>
      <c r="G291" s="35"/>
      <c r="H291" s="35"/>
      <c r="I291" s="32"/>
      <c r="J291" s="35"/>
      <c r="K291" s="33"/>
      <c r="L291" s="37" t="str">
        <f aca="true">IF(OR(B291="",OR(I291="Completed",I291="Terminated")),"",IF(J291="","",IF(J291&lt;TODAY(),"Expired",IF(J291&lt;=TODAY()+60,"Expiring Soon","OK"))))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4"/>
      <c r="G292" s="35"/>
      <c r="H292" s="35"/>
      <c r="I292" s="32"/>
      <c r="J292" s="35"/>
      <c r="K292" s="33"/>
      <c r="L292" s="37" t="str">
        <f aca="true">IF(OR(B292="",OR(I292="Completed",I292="Terminated")),"",IF(J292="","",IF(J292&lt;TODAY(),"Expired",IF(J292&lt;=TODAY()+60,"Expiring Soon","OK"))))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4"/>
      <c r="G293" s="35"/>
      <c r="H293" s="35"/>
      <c r="I293" s="32"/>
      <c r="J293" s="35"/>
      <c r="K293" s="33"/>
      <c r="L293" s="37" t="str">
        <f aca="true">IF(OR(B293="",OR(I293="Completed",I293="Terminated")),"",IF(J293="","",IF(J293&lt;TODAY(),"Expired",IF(J293&lt;=TODAY()+60,"Expiring Soon","OK"))))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4"/>
      <c r="G294" s="35"/>
      <c r="H294" s="35"/>
      <c r="I294" s="32"/>
      <c r="J294" s="35"/>
      <c r="K294" s="33"/>
      <c r="L294" s="37" t="str">
        <f aca="true">IF(OR(B294="",OR(I294="Completed",I294="Terminated")),"",IF(J294="","",IF(J294&lt;TODAY(),"Expired",IF(J294&lt;=TODAY()+60,"Expiring Soon","OK"))))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4"/>
      <c r="G295" s="35"/>
      <c r="H295" s="35"/>
      <c r="I295" s="32"/>
      <c r="J295" s="35"/>
      <c r="K295" s="33"/>
      <c r="L295" s="37" t="str">
        <f aca="true">IF(OR(B295="",OR(I295="Completed",I295="Terminated")),"",IF(J295="","",IF(J295&lt;TODAY(),"Expired",IF(J295&lt;=TODAY()+60,"Expiring Soon","OK"))))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4"/>
      <c r="G296" s="35"/>
      <c r="H296" s="35"/>
      <c r="I296" s="32"/>
      <c r="J296" s="35"/>
      <c r="K296" s="33"/>
      <c r="L296" s="37" t="str">
        <f aca="true">IF(OR(B296="",OR(I296="Completed",I296="Terminated")),"",IF(J296="","",IF(J296&lt;TODAY(),"Expired",IF(J296&lt;=TODAY()+60,"Expiring Soon","OK"))))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4"/>
      <c r="G297" s="35"/>
      <c r="H297" s="35"/>
      <c r="I297" s="32"/>
      <c r="J297" s="35"/>
      <c r="K297" s="33"/>
      <c r="L297" s="37" t="str">
        <f aca="true">IF(OR(B297="",OR(I297="Completed",I297="Terminated")),"",IF(J297="","",IF(J297&lt;TODAY(),"Expired",IF(J297&lt;=TODAY()+60,"Expiring Soon","OK"))))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4"/>
      <c r="G298" s="35"/>
      <c r="H298" s="35"/>
      <c r="I298" s="32"/>
      <c r="J298" s="35"/>
      <c r="K298" s="33"/>
      <c r="L298" s="37" t="str">
        <f aca="true">IF(OR(B298="",OR(I298="Completed",I298="Terminated")),"",IF(J298="","",IF(J298&lt;TODAY(),"Expired",IF(J298&lt;=TODAY()+60,"Expiring Soon","OK"))))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4"/>
      <c r="G299" s="35"/>
      <c r="H299" s="35"/>
      <c r="I299" s="32"/>
      <c r="J299" s="35"/>
      <c r="K299" s="33"/>
      <c r="L299" s="37" t="str">
        <f aca="true">IF(OR(B299="",OR(I299="Completed",I299="Terminated")),"",IF(J299="","",IF(J299&lt;TODAY(),"Expired",IF(J299&lt;=TODAY()+60,"Expiring Soon","OK"))))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4"/>
      <c r="G300" s="35"/>
      <c r="H300" s="35"/>
      <c r="I300" s="32"/>
      <c r="J300" s="35"/>
      <c r="K300" s="33"/>
      <c r="L300" s="37" t="str">
        <f aca="true">IF(OR(B300="",OR(I300="Completed",I300="Terminated")),"",IF(J300="","",IF(J300&lt;TODAY(),"Expired",IF(J300&lt;=TODAY()+60,"Expiring Soon","OK"))))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4"/>
      <c r="G301" s="35"/>
      <c r="H301" s="35"/>
      <c r="I301" s="32"/>
      <c r="J301" s="35"/>
      <c r="K301" s="33"/>
      <c r="L301" s="37" t="str">
        <f aca="true">IF(OR(B301="",OR(I301="Completed",I301="Terminated")),"",IF(J301="","",IF(J301&lt;TODAY(),"Expired",IF(J301&lt;=TODAY()+60,"Expiring Soon","OK"))))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4"/>
      <c r="G302" s="35"/>
      <c r="H302" s="35"/>
      <c r="I302" s="32"/>
      <c r="J302" s="35"/>
      <c r="K302" s="33"/>
      <c r="L302" s="37" t="str">
        <f aca="true">IF(OR(B302="",OR(I302="Completed",I302="Terminated")),"",IF(J302="","",IF(J302&lt;TODAY(),"Expired",IF(J302&lt;=TODAY()+60,"Expiring Soon","OK"))))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4"/>
      <c r="G303" s="35"/>
      <c r="H303" s="35"/>
      <c r="I303" s="32"/>
      <c r="J303" s="35"/>
      <c r="K303" s="33"/>
      <c r="L303" s="37" t="str">
        <f aca="true">IF(OR(B303="",OR(I303="Completed",I303="Terminated")),"",IF(J303="","",IF(J303&lt;TODAY(),"Expired",IF(J303&lt;=TODAY()+60,"Expiring Soon","OK"))))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4"/>
      <c r="G304" s="35"/>
      <c r="H304" s="35"/>
      <c r="I304" s="32"/>
      <c r="J304" s="35"/>
      <c r="K304" s="33"/>
      <c r="L304" s="37" t="str">
        <f aca="true">IF(OR(B304="",OR(I304="Completed",I304="Terminated")),"",IF(J304="","",IF(J304&lt;TODAY(),"Expired",IF(J304&lt;=TODAY()+60,"Expiring Soon","OK"))))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4"/>
      <c r="G305" s="35"/>
      <c r="H305" s="35"/>
      <c r="I305" s="32"/>
      <c r="J305" s="35"/>
      <c r="K305" s="33"/>
      <c r="L305" s="37" t="str">
        <f aca="true">IF(OR(B305="",OR(I305="Completed",I305="Terminated")),"",IF(J305="","",IF(J305&lt;TODAY(),"Expired",IF(J305&lt;=TODAY()+60,"Expiring Soon","OK"))))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4"/>
      <c r="G306" s="35"/>
      <c r="H306" s="35"/>
      <c r="I306" s="32"/>
      <c r="J306" s="35"/>
      <c r="K306" s="33"/>
      <c r="L306" s="37" t="str">
        <f aca="true">IF(OR(B306="",OR(I306="Completed",I306="Terminated")),"",IF(J306="","",IF(J306&lt;TODAY(),"Expired",IF(J306&lt;=TODAY()+60,"Expiring Soon","OK"))))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4"/>
      <c r="G307" s="35"/>
      <c r="H307" s="35"/>
      <c r="I307" s="32"/>
      <c r="J307" s="35"/>
      <c r="K307" s="33"/>
      <c r="L307" s="37" t="str">
        <f aca="true">IF(OR(B307="",OR(I307="Completed",I307="Terminated")),"",IF(J307="","",IF(J307&lt;TODAY(),"Expired",IF(J307&lt;=TODAY()+60,"Expiring Soon","OK"))))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4"/>
      <c r="G308" s="35"/>
      <c r="H308" s="35"/>
      <c r="I308" s="32"/>
      <c r="J308" s="35"/>
      <c r="K308" s="33"/>
      <c r="L308" s="37" t="str">
        <f aca="true">IF(OR(B308="",OR(I308="Completed",I308="Terminated")),"",IF(J308="","",IF(J308&lt;TODAY(),"Expired",IF(J308&lt;=TODAY()+60,"Expiring Soon","OK"))))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4"/>
      <c r="G309" s="35"/>
      <c r="H309" s="35"/>
      <c r="I309" s="32"/>
      <c r="J309" s="35"/>
      <c r="K309" s="33"/>
      <c r="L309" s="37" t="str">
        <f aca="true">IF(OR(B309="",OR(I309="Completed",I309="Terminated")),"",IF(J309="","",IF(J309&lt;TODAY(),"Expired",IF(J309&lt;=TODAY()+60,"Expiring Soon","OK"))))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4"/>
      <c r="G310" s="35"/>
      <c r="H310" s="35"/>
      <c r="I310" s="32"/>
      <c r="J310" s="35"/>
      <c r="K310" s="33"/>
      <c r="L310" s="37" t="str">
        <f aca="true">IF(OR(B310="",OR(I310="Completed",I310="Terminated")),"",IF(J310="","",IF(J310&lt;TODAY(),"Expired",IF(J310&lt;=TODAY()+60,"Expiring Soon","OK"))))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4"/>
      <c r="G311" s="35"/>
      <c r="H311" s="35"/>
      <c r="I311" s="32"/>
      <c r="J311" s="35"/>
      <c r="K311" s="33"/>
      <c r="L311" s="37" t="str">
        <f aca="true">IF(OR(B311="",OR(I311="Completed",I311="Terminated")),"",IF(J311="","",IF(J311&lt;TODAY(),"Expired",IF(J311&lt;=TODAY()+60,"Expiring Soon","OK"))))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4"/>
      <c r="G312" s="35"/>
      <c r="H312" s="35"/>
      <c r="I312" s="32"/>
      <c r="J312" s="35"/>
      <c r="K312" s="33"/>
      <c r="L312" s="37" t="str">
        <f aca="true">IF(OR(B312="",OR(I312="Completed",I312="Terminated")),"",IF(J312="","",IF(J312&lt;TODAY(),"Expired",IF(J312&lt;=TODAY()+60,"Expiring Soon","OK"))))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4"/>
      <c r="G313" s="35"/>
      <c r="H313" s="35"/>
      <c r="I313" s="32"/>
      <c r="J313" s="35"/>
      <c r="K313" s="33"/>
      <c r="L313" s="37" t="str">
        <f aca="true">IF(OR(B313="",OR(I313="Completed",I313="Terminated")),"",IF(J313="","",IF(J313&lt;TODAY(),"Expired",IF(J313&lt;=TODAY()+60,"Expiring Soon","OK"))))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4"/>
      <c r="G314" s="35"/>
      <c r="H314" s="35"/>
      <c r="I314" s="32"/>
      <c r="J314" s="35"/>
      <c r="K314" s="33"/>
      <c r="L314" s="37" t="str">
        <f aca="true">IF(OR(B314="",OR(I314="Completed",I314="Terminated")),"",IF(J314="","",IF(J314&lt;TODAY(),"Expired",IF(J314&lt;=TODAY()+60,"Expiring Soon","OK"))))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4"/>
      <c r="G315" s="35"/>
      <c r="H315" s="35"/>
      <c r="I315" s="32"/>
      <c r="J315" s="35"/>
      <c r="K315" s="33"/>
      <c r="L315" s="37" t="str">
        <f aca="true">IF(OR(B315="",OR(I315="Completed",I315="Terminated")),"",IF(J315="","",IF(J315&lt;TODAY(),"Expired",IF(J315&lt;=TODAY()+60,"Expiring Soon","OK"))))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4"/>
      <c r="G316" s="35"/>
      <c r="H316" s="35"/>
      <c r="I316" s="32"/>
      <c r="J316" s="35"/>
      <c r="K316" s="33"/>
      <c r="L316" s="37" t="str">
        <f aca="true">IF(OR(B316="",OR(I316="Completed",I316="Terminated")),"",IF(J316="","",IF(J316&lt;TODAY(),"Expired",IF(J316&lt;=TODAY()+60,"Expiring Soon","OK"))))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4"/>
      <c r="G317" s="35"/>
      <c r="H317" s="35"/>
      <c r="I317" s="32"/>
      <c r="J317" s="35"/>
      <c r="K317" s="33"/>
      <c r="L317" s="37" t="str">
        <f aca="true">IF(OR(B317="",OR(I317="Completed",I317="Terminated")),"",IF(J317="","",IF(J317&lt;TODAY(),"Expired",IF(J317&lt;=TODAY()+60,"Expiring Soon","OK"))))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4"/>
      <c r="G318" s="35"/>
      <c r="H318" s="35"/>
      <c r="I318" s="32"/>
      <c r="J318" s="35"/>
      <c r="K318" s="33"/>
      <c r="L318" s="37" t="str">
        <f aca="true">IF(OR(B318="",OR(I318="Completed",I318="Terminated")),"",IF(J318="","",IF(J318&lt;TODAY(),"Expired",IF(J318&lt;=TODAY()+60,"Expiring Soon","OK"))))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4"/>
      <c r="G319" s="35"/>
      <c r="H319" s="35"/>
      <c r="I319" s="32"/>
      <c r="J319" s="35"/>
      <c r="K319" s="33"/>
      <c r="L319" s="37" t="str">
        <f aca="true">IF(OR(B319="",OR(I319="Completed",I319="Terminated")),"",IF(J319="","",IF(J319&lt;TODAY(),"Expired",IF(J319&lt;=TODAY()+60,"Expiring Soon","OK"))))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4"/>
      <c r="G320" s="35"/>
      <c r="H320" s="35"/>
      <c r="I320" s="32"/>
      <c r="J320" s="35"/>
      <c r="K320" s="33"/>
      <c r="L320" s="37" t="str">
        <f aca="true">IF(OR(B320="",OR(I320="Completed",I320="Terminated")),"",IF(J320="","",IF(J320&lt;TODAY(),"Expired",IF(J320&lt;=TODAY()+60,"Expiring Soon","OK"))))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4"/>
      <c r="G321" s="35"/>
      <c r="H321" s="35"/>
      <c r="I321" s="32"/>
      <c r="J321" s="35"/>
      <c r="K321" s="33"/>
      <c r="L321" s="37" t="str">
        <f aca="true">IF(OR(B321="",OR(I321="Completed",I321="Terminated")),"",IF(J321="","",IF(J321&lt;TODAY(),"Expired",IF(J321&lt;=TODAY()+60,"Expiring Soon","OK"))))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4"/>
      <c r="G322" s="35"/>
      <c r="H322" s="35"/>
      <c r="I322" s="32"/>
      <c r="J322" s="35"/>
      <c r="K322" s="33"/>
      <c r="L322" s="37" t="str">
        <f aca="true">IF(OR(B322="",OR(I322="Completed",I322="Terminated")),"",IF(J322="","",IF(J322&lt;TODAY(),"Expired",IF(J322&lt;=TODAY()+60,"Expiring Soon","OK"))))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4"/>
      <c r="G323" s="35"/>
      <c r="H323" s="35"/>
      <c r="I323" s="32"/>
      <c r="J323" s="35"/>
      <c r="K323" s="33"/>
      <c r="L323" s="37" t="str">
        <f aca="true">IF(OR(B323="",OR(I323="Completed",I323="Terminated")),"",IF(J323="","",IF(J323&lt;TODAY(),"Expired",IF(J323&lt;=TODAY()+60,"Expiring Soon","OK"))))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4"/>
      <c r="G324" s="35"/>
      <c r="H324" s="35"/>
      <c r="I324" s="32"/>
      <c r="J324" s="35"/>
      <c r="K324" s="33"/>
      <c r="L324" s="37" t="str">
        <f aca="true">IF(OR(B324="",OR(I324="Completed",I324="Terminated")),"",IF(J324="","",IF(J324&lt;TODAY(),"Expired",IF(J324&lt;=TODAY()+60,"Expiring Soon","OK"))))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4"/>
      <c r="G325" s="35"/>
      <c r="H325" s="35"/>
      <c r="I325" s="32"/>
      <c r="J325" s="35"/>
      <c r="K325" s="33"/>
      <c r="L325" s="37" t="str">
        <f aca="true">IF(OR(B325="",OR(I325="Completed",I325="Terminated")),"",IF(J325="","",IF(J325&lt;TODAY(),"Expired",IF(J325&lt;=TODAY()+60,"Expiring Soon","OK"))))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4"/>
      <c r="G326" s="35"/>
      <c r="H326" s="35"/>
      <c r="I326" s="32"/>
      <c r="J326" s="35"/>
      <c r="K326" s="33"/>
      <c r="L326" s="37" t="str">
        <f aca="true">IF(OR(B326="",OR(I326="Completed",I326="Terminated")),"",IF(J326="","",IF(J326&lt;TODAY(),"Expired",IF(J326&lt;=TODAY()+60,"Expiring Soon","OK"))))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4"/>
      <c r="G327" s="35"/>
      <c r="H327" s="35"/>
      <c r="I327" s="32"/>
      <c r="J327" s="35"/>
      <c r="K327" s="33"/>
      <c r="L327" s="37" t="str">
        <f aca="true">IF(OR(B327="",OR(I327="Completed",I327="Terminated")),"",IF(J327="","",IF(J327&lt;TODAY(),"Expired",IF(J327&lt;=TODAY()+60,"Expiring Soon","OK"))))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4"/>
      <c r="G328" s="35"/>
      <c r="H328" s="35"/>
      <c r="I328" s="32"/>
      <c r="J328" s="35"/>
      <c r="K328" s="33"/>
      <c r="L328" s="37" t="str">
        <f aca="true">IF(OR(B328="",OR(I328="Completed",I328="Terminated")),"",IF(J328="","",IF(J328&lt;TODAY(),"Expired",IF(J328&lt;=TODAY()+60,"Expiring Soon","OK"))))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4"/>
      <c r="G329" s="35"/>
      <c r="H329" s="35"/>
      <c r="I329" s="32"/>
      <c r="J329" s="35"/>
      <c r="K329" s="33"/>
      <c r="L329" s="37" t="str">
        <f aca="true">IF(OR(B329="",OR(I329="Completed",I329="Terminated")),"",IF(J329="","",IF(J329&lt;TODAY(),"Expired",IF(J329&lt;=TODAY()+60,"Expiring Soon","OK"))))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4"/>
      <c r="G330" s="35"/>
      <c r="H330" s="35"/>
      <c r="I330" s="32"/>
      <c r="J330" s="35"/>
      <c r="K330" s="33"/>
      <c r="L330" s="37" t="str">
        <f aca="true">IF(OR(B330="",OR(I330="Completed",I330="Terminated")),"",IF(J330="","",IF(J330&lt;TODAY(),"Expired",IF(J330&lt;=TODAY()+60,"Expiring Soon","OK"))))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4"/>
      <c r="G331" s="35"/>
      <c r="H331" s="35"/>
      <c r="I331" s="32"/>
      <c r="J331" s="35"/>
      <c r="K331" s="33"/>
      <c r="L331" s="37" t="str">
        <f aca="true">IF(OR(B331="",OR(I331="Completed",I331="Terminated")),"",IF(J331="","",IF(J331&lt;TODAY(),"Expired",IF(J331&lt;=TODAY()+60,"Expiring Soon","OK"))))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4"/>
      <c r="G332" s="35"/>
      <c r="H332" s="35"/>
      <c r="I332" s="32"/>
      <c r="J332" s="35"/>
      <c r="K332" s="33"/>
      <c r="L332" s="37" t="str">
        <f aca="true">IF(OR(B332="",OR(I332="Completed",I332="Terminated")),"",IF(J332="","",IF(J332&lt;TODAY(),"Expired",IF(J332&lt;=TODAY()+60,"Expiring Soon","OK"))))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4"/>
      <c r="G333" s="35"/>
      <c r="H333" s="35"/>
      <c r="I333" s="32"/>
      <c r="J333" s="35"/>
      <c r="K333" s="33"/>
      <c r="L333" s="37" t="str">
        <f aca="true">IF(OR(B333="",OR(I333="Completed",I333="Terminated")),"",IF(J333="","",IF(J333&lt;TODAY(),"Expired",IF(J333&lt;=TODAY()+60,"Expiring Soon","OK"))))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4"/>
      <c r="G334" s="35"/>
      <c r="H334" s="35"/>
      <c r="I334" s="32"/>
      <c r="J334" s="35"/>
      <c r="K334" s="33"/>
      <c r="L334" s="37" t="str">
        <f aca="true">IF(OR(B334="",OR(I334="Completed",I334="Terminated")),"",IF(J334="","",IF(J334&lt;TODAY(),"Expired",IF(J334&lt;=TODAY()+60,"Expiring Soon","OK"))))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4"/>
      <c r="G335" s="35"/>
      <c r="H335" s="35"/>
      <c r="I335" s="32"/>
      <c r="J335" s="35"/>
      <c r="K335" s="33"/>
      <c r="L335" s="37" t="str">
        <f aca="true">IF(OR(B335="",OR(I335="Completed",I335="Terminated")),"",IF(J335="","",IF(J335&lt;TODAY(),"Expired",IF(J335&lt;=TODAY()+60,"Expiring Soon","OK"))))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4"/>
      <c r="G336" s="35"/>
      <c r="H336" s="35"/>
      <c r="I336" s="32"/>
      <c r="J336" s="35"/>
      <c r="K336" s="33"/>
      <c r="L336" s="37" t="str">
        <f aca="true">IF(OR(B336="",OR(I336="Completed",I336="Terminated")),"",IF(J336="","",IF(J336&lt;TODAY(),"Expired",IF(J336&lt;=TODAY()+60,"Expiring Soon","OK"))))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4"/>
      <c r="G337" s="35"/>
      <c r="H337" s="35"/>
      <c r="I337" s="32"/>
      <c r="J337" s="35"/>
      <c r="K337" s="33"/>
      <c r="L337" s="37" t="str">
        <f aca="true">IF(OR(B337="",OR(I337="Completed",I337="Terminated")),"",IF(J337="","",IF(J337&lt;TODAY(),"Expired",IF(J337&lt;=TODAY()+60,"Expiring Soon","OK"))))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4"/>
      <c r="G338" s="35"/>
      <c r="H338" s="35"/>
      <c r="I338" s="32"/>
      <c r="J338" s="35"/>
      <c r="K338" s="33"/>
      <c r="L338" s="37" t="str">
        <f aca="true">IF(OR(B338="",OR(I338="Completed",I338="Terminated")),"",IF(J338="","",IF(J338&lt;TODAY(),"Expired",IF(J338&lt;=TODAY()+60,"Expiring Soon","OK"))))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4"/>
      <c r="G339" s="35"/>
      <c r="H339" s="35"/>
      <c r="I339" s="32"/>
      <c r="J339" s="35"/>
      <c r="K339" s="33"/>
      <c r="L339" s="37" t="str">
        <f aca="true">IF(OR(B339="",OR(I339="Completed",I339="Terminated")),"",IF(J339="","",IF(J339&lt;TODAY(),"Expired",IF(J339&lt;=TODAY()+60,"Expiring Soon","OK"))))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4"/>
      <c r="G340" s="35"/>
      <c r="H340" s="35"/>
      <c r="I340" s="32"/>
      <c r="J340" s="35"/>
      <c r="K340" s="33"/>
      <c r="L340" s="37" t="str">
        <f aca="true">IF(OR(B340="",OR(I340="Completed",I340="Terminated")),"",IF(J340="","",IF(J340&lt;TODAY(),"Expired",IF(J340&lt;=TODAY()+60,"Expiring Soon","OK"))))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4"/>
      <c r="G341" s="35"/>
      <c r="H341" s="35"/>
      <c r="I341" s="32"/>
      <c r="J341" s="35"/>
      <c r="K341" s="33"/>
      <c r="L341" s="37" t="str">
        <f aca="true">IF(OR(B341="",OR(I341="Completed",I341="Terminated")),"",IF(J341="","",IF(J341&lt;TODAY(),"Expired",IF(J341&lt;=TODAY()+60,"Expiring Soon","OK"))))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4"/>
      <c r="G342" s="35"/>
      <c r="H342" s="35"/>
      <c r="I342" s="32"/>
      <c r="J342" s="35"/>
      <c r="K342" s="33"/>
      <c r="L342" s="37" t="str">
        <f aca="true">IF(OR(B342="",OR(I342="Completed",I342="Terminated")),"",IF(J342="","",IF(J342&lt;TODAY(),"Expired",IF(J342&lt;=TODAY()+60,"Expiring Soon","OK"))))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4"/>
      <c r="G343" s="35"/>
      <c r="H343" s="35"/>
      <c r="I343" s="32"/>
      <c r="J343" s="35"/>
      <c r="K343" s="33"/>
      <c r="L343" s="37" t="str">
        <f aca="true">IF(OR(B343="",OR(I343="Completed",I343="Terminated")),"",IF(J343="","",IF(J343&lt;TODAY(),"Expired",IF(J343&lt;=TODAY()+60,"Expiring Soon","OK"))))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4"/>
      <c r="G344" s="35"/>
      <c r="H344" s="35"/>
      <c r="I344" s="32"/>
      <c r="J344" s="35"/>
      <c r="K344" s="33"/>
      <c r="L344" s="37" t="str">
        <f aca="true">IF(OR(B344="",OR(I344="Completed",I344="Terminated")),"",IF(J344="","",IF(J344&lt;TODAY(),"Expired",IF(J344&lt;=TODAY()+60,"Expiring Soon","OK"))))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4"/>
      <c r="G345" s="35"/>
      <c r="H345" s="35"/>
      <c r="I345" s="32"/>
      <c r="J345" s="35"/>
      <c r="K345" s="33"/>
      <c r="L345" s="37" t="str">
        <f aca="true">IF(OR(B345="",OR(I345="Completed",I345="Terminated")),"",IF(J345="","",IF(J345&lt;TODAY(),"Expired",IF(J345&lt;=TODAY()+60,"Expiring Soon","OK"))))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4"/>
      <c r="G346" s="35"/>
      <c r="H346" s="35"/>
      <c r="I346" s="32"/>
      <c r="J346" s="35"/>
      <c r="K346" s="33"/>
      <c r="L346" s="37" t="str">
        <f aca="true">IF(OR(B346="",OR(I346="Completed",I346="Terminated")),"",IF(J346="","",IF(J346&lt;TODAY(),"Expired",IF(J346&lt;=TODAY()+60,"Expiring Soon","OK"))))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4"/>
      <c r="G347" s="35"/>
      <c r="H347" s="35"/>
      <c r="I347" s="32"/>
      <c r="J347" s="35"/>
      <c r="K347" s="33"/>
      <c r="L347" s="37" t="str">
        <f aca="true">IF(OR(B347="",OR(I347="Completed",I347="Terminated")),"",IF(J347="","",IF(J347&lt;TODAY(),"Expired",IF(J347&lt;=TODAY()+60,"Expiring Soon","OK"))))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4"/>
      <c r="G348" s="35"/>
      <c r="H348" s="35"/>
      <c r="I348" s="32"/>
      <c r="J348" s="35"/>
      <c r="K348" s="33"/>
      <c r="L348" s="37" t="str">
        <f aca="true">IF(OR(B348="",OR(I348="Completed",I348="Terminated")),"",IF(J348="","",IF(J348&lt;TODAY(),"Expired",IF(J348&lt;=TODAY()+60,"Expiring Soon","OK"))))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4"/>
      <c r="G349" s="35"/>
      <c r="H349" s="35"/>
      <c r="I349" s="32"/>
      <c r="J349" s="35"/>
      <c r="K349" s="33"/>
      <c r="L349" s="37" t="str">
        <f aca="true">IF(OR(B349="",OR(I349="Completed",I349="Terminated")),"",IF(J349="","",IF(J349&lt;TODAY(),"Expired",IF(J349&lt;=TODAY()+60,"Expiring Soon","OK"))))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4"/>
      <c r="G350" s="35"/>
      <c r="H350" s="35"/>
      <c r="I350" s="32"/>
      <c r="J350" s="35"/>
      <c r="K350" s="33"/>
      <c r="L350" s="37" t="str">
        <f aca="true">IF(OR(B350="",OR(I350="Completed",I350="Terminated")),"",IF(J350="","",IF(J350&lt;TODAY(),"Expired",IF(J350&lt;=TODAY()+60,"Expiring Soon","OK"))))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4"/>
      <c r="G351" s="35"/>
      <c r="H351" s="35"/>
      <c r="I351" s="32"/>
      <c r="J351" s="35"/>
      <c r="K351" s="33"/>
      <c r="L351" s="37" t="str">
        <f aca="true">IF(OR(B351="",OR(I351="Completed",I351="Terminated")),"",IF(J351="","",IF(J351&lt;TODAY(),"Expired",IF(J351&lt;=TODAY()+60,"Expiring Soon","OK"))))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4"/>
      <c r="G352" s="35"/>
      <c r="H352" s="35"/>
      <c r="I352" s="32"/>
      <c r="J352" s="35"/>
      <c r="K352" s="33"/>
      <c r="L352" s="37" t="str">
        <f aca="true">IF(OR(B352="",OR(I352="Completed",I352="Terminated")),"",IF(J352="","",IF(J352&lt;TODAY(),"Expired",IF(J352&lt;=TODAY()+60,"Expiring Soon","OK"))))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4"/>
      <c r="G353" s="35"/>
      <c r="H353" s="35"/>
      <c r="I353" s="32"/>
      <c r="J353" s="35"/>
      <c r="K353" s="33"/>
      <c r="L353" s="37" t="str">
        <f aca="true">IF(OR(B353="",OR(I353="Completed",I353="Terminated")),"",IF(J353="","",IF(J353&lt;TODAY(),"Expired",IF(J353&lt;=TODAY()+60,"Expiring Soon","OK"))))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4"/>
      <c r="G354" s="35"/>
      <c r="H354" s="35"/>
      <c r="I354" s="32"/>
      <c r="J354" s="35"/>
      <c r="K354" s="33"/>
      <c r="L354" s="37" t="str">
        <f aca="true">IF(OR(B354="",OR(I354="Completed",I354="Terminated")),"",IF(J354="","",IF(J354&lt;TODAY(),"Expired",IF(J354&lt;=TODAY()+60,"Expiring Soon","OK"))))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4"/>
      <c r="G355" s="35"/>
      <c r="H355" s="35"/>
      <c r="I355" s="32"/>
      <c r="J355" s="35"/>
      <c r="K355" s="33"/>
      <c r="L355" s="37" t="str">
        <f aca="true">IF(OR(B355="",OR(I355="Completed",I355="Terminated")),"",IF(J355="","",IF(J355&lt;TODAY(),"Expired",IF(J355&lt;=TODAY()+60,"Expiring Soon","OK"))))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4"/>
      <c r="G356" s="35"/>
      <c r="H356" s="35"/>
      <c r="I356" s="32"/>
      <c r="J356" s="35"/>
      <c r="K356" s="33"/>
      <c r="L356" s="37" t="str">
        <f aca="true">IF(OR(B356="",OR(I356="Completed",I356="Terminated")),"",IF(J356="","",IF(J356&lt;TODAY(),"Expired",IF(J356&lt;=TODAY()+60,"Expiring Soon","OK"))))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4"/>
      <c r="G357" s="35"/>
      <c r="H357" s="35"/>
      <c r="I357" s="32"/>
      <c r="J357" s="35"/>
      <c r="K357" s="33"/>
      <c r="L357" s="37" t="str">
        <f aca="true">IF(OR(B357="",OR(I357="Completed",I357="Terminated")),"",IF(J357="","",IF(J357&lt;TODAY(),"Expired",IF(J357&lt;=TODAY()+60,"Expiring Soon","OK"))))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4"/>
      <c r="G358" s="35"/>
      <c r="H358" s="35"/>
      <c r="I358" s="32"/>
      <c r="J358" s="35"/>
      <c r="K358" s="33"/>
      <c r="L358" s="37" t="str">
        <f aca="true">IF(OR(B358="",OR(I358="Completed",I358="Terminated")),"",IF(J358="","",IF(J358&lt;TODAY(),"Expired",IF(J358&lt;=TODAY()+60,"Expiring Soon","OK"))))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4"/>
      <c r="G359" s="35"/>
      <c r="H359" s="35"/>
      <c r="I359" s="32"/>
      <c r="J359" s="35"/>
      <c r="K359" s="33"/>
      <c r="L359" s="37" t="str">
        <f aca="true">IF(OR(B359="",OR(I359="Completed",I359="Terminated")),"",IF(J359="","",IF(J359&lt;TODAY(),"Expired",IF(J359&lt;=TODAY()+60,"Expiring Soon","OK"))))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4"/>
      <c r="G360" s="35"/>
      <c r="H360" s="35"/>
      <c r="I360" s="32"/>
      <c r="J360" s="35"/>
      <c r="K360" s="33"/>
      <c r="L360" s="37" t="str">
        <f aca="true">IF(OR(B360="",OR(I360="Completed",I360="Terminated")),"",IF(J360="","",IF(J360&lt;TODAY(),"Expired",IF(J360&lt;=TODAY()+60,"Expiring Soon","OK"))))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4"/>
      <c r="G361" s="35"/>
      <c r="H361" s="35"/>
      <c r="I361" s="32"/>
      <c r="J361" s="35"/>
      <c r="K361" s="33"/>
      <c r="L361" s="37" t="str">
        <f aca="true">IF(OR(B361="",OR(I361="Completed",I361="Terminated")),"",IF(J361="","",IF(J361&lt;TODAY(),"Expired",IF(J361&lt;=TODAY()+60,"Expiring Soon","OK"))))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4"/>
      <c r="G362" s="35"/>
      <c r="H362" s="35"/>
      <c r="I362" s="32"/>
      <c r="J362" s="35"/>
      <c r="K362" s="33"/>
      <c r="L362" s="37" t="str">
        <f aca="true">IF(OR(B362="",OR(I362="Completed",I362="Terminated")),"",IF(J362="","",IF(J362&lt;TODAY(),"Expired",IF(J362&lt;=TODAY()+60,"Expiring Soon","OK"))))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4"/>
      <c r="G363" s="35"/>
      <c r="H363" s="35"/>
      <c r="I363" s="32"/>
      <c r="J363" s="35"/>
      <c r="K363" s="33"/>
      <c r="L363" s="37" t="str">
        <f aca="true">IF(OR(B363="",OR(I363="Completed",I363="Terminated")),"",IF(J363="","",IF(J363&lt;TODAY(),"Expired",IF(J363&lt;=TODAY()+60,"Expiring Soon","OK"))))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4"/>
      <c r="G364" s="35"/>
      <c r="H364" s="35"/>
      <c r="I364" s="32"/>
      <c r="J364" s="35"/>
      <c r="K364" s="33"/>
      <c r="L364" s="37" t="str">
        <f aca="true">IF(OR(B364="",OR(I364="Completed",I364="Terminated")),"",IF(J364="","",IF(J364&lt;TODAY(),"Expired",IF(J364&lt;=TODAY()+60,"Expiring Soon","OK"))))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4"/>
      <c r="G365" s="35"/>
      <c r="H365" s="35"/>
      <c r="I365" s="32"/>
      <c r="J365" s="35"/>
      <c r="K365" s="33"/>
      <c r="L365" s="37" t="str">
        <f aca="true">IF(OR(B365="",OR(I365="Completed",I365="Terminated")),"",IF(J365="","",IF(J365&lt;TODAY(),"Expired",IF(J365&lt;=TODAY()+60,"Expiring Soon","OK"))))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4"/>
      <c r="G366" s="35"/>
      <c r="H366" s="35"/>
      <c r="I366" s="32"/>
      <c r="J366" s="35"/>
      <c r="K366" s="33"/>
      <c r="L366" s="37" t="str">
        <f aca="true">IF(OR(B366="",OR(I366="Completed",I366="Terminated")),"",IF(J366="","",IF(J366&lt;TODAY(),"Expired",IF(J366&lt;=TODAY()+60,"Expiring Soon","OK"))))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4"/>
      <c r="G367" s="35"/>
      <c r="H367" s="35"/>
      <c r="I367" s="32"/>
      <c r="J367" s="35"/>
      <c r="K367" s="33"/>
      <c r="L367" s="37" t="str">
        <f aca="true">IF(OR(B367="",OR(I367="Completed",I367="Terminated")),"",IF(J367="","",IF(J367&lt;TODAY(),"Expired",IF(J367&lt;=TODAY()+60,"Expiring Soon","OK"))))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4"/>
      <c r="G368" s="35"/>
      <c r="H368" s="35"/>
      <c r="I368" s="32"/>
      <c r="J368" s="35"/>
      <c r="K368" s="33"/>
      <c r="L368" s="37" t="str">
        <f aca="true">IF(OR(B368="",OR(I368="Completed",I368="Terminated")),"",IF(J368="","",IF(J368&lt;TODAY(),"Expired",IF(J368&lt;=TODAY()+60,"Expiring Soon","OK"))))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4"/>
      <c r="G369" s="35"/>
      <c r="H369" s="35"/>
      <c r="I369" s="32"/>
      <c r="J369" s="35"/>
      <c r="K369" s="33"/>
      <c r="L369" s="37" t="str">
        <f aca="true">IF(OR(B369="",OR(I369="Completed",I369="Terminated")),"",IF(J369="","",IF(J369&lt;TODAY(),"Expired",IF(J369&lt;=TODAY()+60,"Expiring Soon","OK"))))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4"/>
      <c r="G370" s="35"/>
      <c r="H370" s="35"/>
      <c r="I370" s="32"/>
      <c r="J370" s="35"/>
      <c r="K370" s="33"/>
      <c r="L370" s="37" t="str">
        <f aca="true">IF(OR(B370="",OR(I370="Completed",I370="Terminated")),"",IF(J370="","",IF(J370&lt;TODAY(),"Expired",IF(J370&lt;=TODAY()+60,"Expiring Soon","OK"))))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4"/>
      <c r="G371" s="35"/>
      <c r="H371" s="35"/>
      <c r="I371" s="32"/>
      <c r="J371" s="35"/>
      <c r="K371" s="33"/>
      <c r="L371" s="37" t="str">
        <f aca="true">IF(OR(B371="",OR(I371="Completed",I371="Terminated")),"",IF(J371="","",IF(J371&lt;TODAY(),"Expired",IF(J371&lt;=TODAY()+60,"Expiring Soon","OK"))))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4"/>
      <c r="G372" s="35"/>
      <c r="H372" s="35"/>
      <c r="I372" s="32"/>
      <c r="J372" s="35"/>
      <c r="K372" s="33"/>
      <c r="L372" s="37" t="str">
        <f aca="true">IF(OR(B372="",OR(I372="Completed",I372="Terminated")),"",IF(J372="","",IF(J372&lt;TODAY(),"Expired",IF(J372&lt;=TODAY()+60,"Expiring Soon","OK"))))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4"/>
      <c r="G373" s="35"/>
      <c r="H373" s="35"/>
      <c r="I373" s="32"/>
      <c r="J373" s="35"/>
      <c r="K373" s="33"/>
      <c r="L373" s="37" t="str">
        <f aca="true">IF(OR(B373="",OR(I373="Completed",I373="Terminated")),"",IF(J373="","",IF(J373&lt;TODAY(),"Expired",IF(J373&lt;=TODAY()+60,"Expiring Soon","OK"))))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4"/>
      <c r="G374" s="35"/>
      <c r="H374" s="35"/>
      <c r="I374" s="32"/>
      <c r="J374" s="35"/>
      <c r="K374" s="33"/>
      <c r="L374" s="37" t="str">
        <f aca="true">IF(OR(B374="",OR(I374="Completed",I374="Terminated")),"",IF(J374="","",IF(J374&lt;TODAY(),"Expired",IF(J374&lt;=TODAY()+60,"Expiring Soon","OK"))))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4"/>
      <c r="G375" s="35"/>
      <c r="H375" s="35"/>
      <c r="I375" s="32"/>
      <c r="J375" s="35"/>
      <c r="K375" s="33"/>
      <c r="L375" s="37" t="str">
        <f aca="true">IF(OR(B375="",OR(I375="Completed",I375="Terminated")),"",IF(J375="","",IF(J375&lt;TODAY(),"Expired",IF(J375&lt;=TODAY()+60,"Expiring Soon","OK"))))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4"/>
      <c r="G376" s="35"/>
      <c r="H376" s="35"/>
      <c r="I376" s="32"/>
      <c r="J376" s="35"/>
      <c r="K376" s="33"/>
      <c r="L376" s="37" t="str">
        <f aca="true">IF(OR(B376="",OR(I376="Completed",I376="Terminated")),"",IF(J376="","",IF(J376&lt;TODAY(),"Expired",IF(J376&lt;=TODAY()+60,"Expiring Soon","OK"))))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4"/>
      <c r="G377" s="35"/>
      <c r="H377" s="35"/>
      <c r="I377" s="32"/>
      <c r="J377" s="35"/>
      <c r="K377" s="33"/>
      <c r="L377" s="37" t="str">
        <f aca="true">IF(OR(B377="",OR(I377="Completed",I377="Terminated")),"",IF(J377="","",IF(J377&lt;TODAY(),"Expired",IF(J377&lt;=TODAY()+60,"Expiring Soon","OK"))))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4"/>
      <c r="G378" s="35"/>
      <c r="H378" s="35"/>
      <c r="I378" s="32"/>
      <c r="J378" s="35"/>
      <c r="K378" s="33"/>
      <c r="L378" s="37" t="str">
        <f aca="true">IF(OR(B378="",OR(I378="Completed",I378="Terminated")),"",IF(J378="","",IF(J378&lt;TODAY(),"Expired",IF(J378&lt;=TODAY()+60,"Expiring Soon","OK"))))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4"/>
      <c r="G379" s="35"/>
      <c r="H379" s="35"/>
      <c r="I379" s="32"/>
      <c r="J379" s="35"/>
      <c r="K379" s="33"/>
      <c r="L379" s="37" t="str">
        <f aca="true">IF(OR(B379="",OR(I379="Completed",I379="Terminated")),"",IF(J379="","",IF(J379&lt;TODAY(),"Expired",IF(J379&lt;=TODAY()+60,"Expiring Soon","OK"))))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4"/>
      <c r="G380" s="35"/>
      <c r="H380" s="35"/>
      <c r="I380" s="32"/>
      <c r="J380" s="35"/>
      <c r="K380" s="33"/>
      <c r="L380" s="37" t="str">
        <f aca="true">IF(OR(B380="",OR(I380="Completed",I380="Terminated")),"",IF(J380="","",IF(J380&lt;TODAY(),"Expired",IF(J380&lt;=TODAY()+60,"Expiring Soon","OK"))))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4"/>
      <c r="G381" s="35"/>
      <c r="H381" s="35"/>
      <c r="I381" s="32"/>
      <c r="J381" s="35"/>
      <c r="K381" s="33"/>
      <c r="L381" s="37" t="str">
        <f aca="true">IF(OR(B381="",OR(I381="Completed",I381="Terminated")),"",IF(J381="","",IF(J381&lt;TODAY(),"Expired",IF(J381&lt;=TODAY()+60,"Expiring Soon","OK"))))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4"/>
      <c r="G382" s="35"/>
      <c r="H382" s="35"/>
      <c r="I382" s="32"/>
      <c r="J382" s="35"/>
      <c r="K382" s="33"/>
      <c r="L382" s="37" t="str">
        <f aca="true">IF(OR(B382="",OR(I382="Completed",I382="Terminated")),"",IF(J382="","",IF(J382&lt;TODAY(),"Expired",IF(J382&lt;=TODAY()+60,"Expiring Soon","OK"))))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4"/>
      <c r="G383" s="35"/>
      <c r="H383" s="35"/>
      <c r="I383" s="32"/>
      <c r="J383" s="35"/>
      <c r="K383" s="33"/>
      <c r="L383" s="37" t="str">
        <f aca="true">IF(OR(B383="",OR(I383="Completed",I383="Terminated")),"",IF(J383="","",IF(J383&lt;TODAY(),"Expired",IF(J383&lt;=TODAY()+60,"Expiring Soon","OK"))))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4"/>
      <c r="G384" s="35"/>
      <c r="H384" s="35"/>
      <c r="I384" s="32"/>
      <c r="J384" s="35"/>
      <c r="K384" s="33"/>
      <c r="L384" s="37" t="str">
        <f aca="true">IF(OR(B384="",OR(I384="Completed",I384="Terminated")),"",IF(J384="","",IF(J384&lt;TODAY(),"Expired",IF(J384&lt;=TODAY()+60,"Expiring Soon","OK"))))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4"/>
      <c r="G385" s="35"/>
      <c r="H385" s="35"/>
      <c r="I385" s="32"/>
      <c r="J385" s="35"/>
      <c r="K385" s="33"/>
      <c r="L385" s="37" t="str">
        <f aca="true">IF(OR(B385="",OR(I385="Completed",I385="Terminated")),"",IF(J385="","",IF(J385&lt;TODAY(),"Expired",IF(J385&lt;=TODAY()+60,"Expiring Soon","OK"))))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4"/>
      <c r="G386" s="35"/>
      <c r="H386" s="35"/>
      <c r="I386" s="32"/>
      <c r="J386" s="35"/>
      <c r="K386" s="33"/>
      <c r="L386" s="37" t="str">
        <f aca="true">IF(OR(B386="",OR(I386="Completed",I386="Terminated")),"",IF(J386="","",IF(J386&lt;TODAY(),"Expired",IF(J386&lt;=TODAY()+60,"Expiring Soon","OK"))))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4"/>
      <c r="G387" s="35"/>
      <c r="H387" s="35"/>
      <c r="I387" s="32"/>
      <c r="J387" s="35"/>
      <c r="K387" s="33"/>
      <c r="L387" s="37" t="str">
        <f aca="true">IF(OR(B387="",OR(I387="Completed",I387="Terminated")),"",IF(J387="","",IF(J387&lt;TODAY(),"Expired",IF(J387&lt;=TODAY()+60,"Expiring Soon","OK"))))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4"/>
      <c r="G388" s="35"/>
      <c r="H388" s="35"/>
      <c r="I388" s="32"/>
      <c r="J388" s="35"/>
      <c r="K388" s="33"/>
      <c r="L388" s="37" t="str">
        <f aca="true">IF(OR(B388="",OR(I388="Completed",I388="Terminated")),"",IF(J388="","",IF(J388&lt;TODAY(),"Expired",IF(J388&lt;=TODAY()+60,"Expiring Soon","OK"))))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4"/>
      <c r="G389" s="35"/>
      <c r="H389" s="35"/>
      <c r="I389" s="32"/>
      <c r="J389" s="35"/>
      <c r="K389" s="33"/>
      <c r="L389" s="37" t="str">
        <f aca="true">IF(OR(B389="",OR(I389="Completed",I389="Terminated")),"",IF(J389="","",IF(J389&lt;TODAY(),"Expired",IF(J389&lt;=TODAY()+60,"Expiring Soon","OK"))))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4"/>
      <c r="G390" s="35"/>
      <c r="H390" s="35"/>
      <c r="I390" s="32"/>
      <c r="J390" s="35"/>
      <c r="K390" s="33"/>
      <c r="L390" s="37" t="str">
        <f aca="true">IF(OR(B390="",OR(I390="Completed",I390="Terminated")),"",IF(J390="","",IF(J390&lt;TODAY(),"Expired",IF(J390&lt;=TODAY()+60,"Expiring Soon","OK"))))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4"/>
      <c r="G391" s="35"/>
      <c r="H391" s="35"/>
      <c r="I391" s="32"/>
      <c r="J391" s="35"/>
      <c r="K391" s="33"/>
      <c r="L391" s="37" t="str">
        <f aca="true">IF(OR(B391="",OR(I391="Completed",I391="Terminated")),"",IF(J391="","",IF(J391&lt;TODAY(),"Expired",IF(J391&lt;=TODAY()+60,"Expiring Soon","OK"))))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4"/>
      <c r="G392" s="35"/>
      <c r="H392" s="35"/>
      <c r="I392" s="32"/>
      <c r="J392" s="35"/>
      <c r="K392" s="33"/>
      <c r="L392" s="37" t="str">
        <f aca="true">IF(OR(B392="",OR(I392="Completed",I392="Terminated")),"",IF(J392="","",IF(J392&lt;TODAY(),"Expired",IF(J392&lt;=TODAY()+60,"Expiring Soon","OK"))))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4"/>
      <c r="G393" s="35"/>
      <c r="H393" s="35"/>
      <c r="I393" s="32"/>
      <c r="J393" s="35"/>
      <c r="K393" s="33"/>
      <c r="L393" s="37" t="str">
        <f aca="true">IF(OR(B393="",OR(I393="Completed",I393="Terminated")),"",IF(J393="","",IF(J393&lt;TODAY(),"Expired",IF(J393&lt;=TODAY()+60,"Expiring Soon","OK"))))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4"/>
      <c r="G394" s="35"/>
      <c r="H394" s="35"/>
      <c r="I394" s="32"/>
      <c r="J394" s="35"/>
      <c r="K394" s="33"/>
      <c r="L394" s="37" t="str">
        <f aca="true">IF(OR(B394="",OR(I394="Completed",I394="Terminated")),"",IF(J394="","",IF(J394&lt;TODAY(),"Expired",IF(J394&lt;=TODAY()+60,"Expiring Soon","OK"))))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4"/>
      <c r="G395" s="35"/>
      <c r="H395" s="35"/>
      <c r="I395" s="32"/>
      <c r="J395" s="35"/>
      <c r="K395" s="33"/>
      <c r="L395" s="37" t="str">
        <f aca="true">IF(OR(B395="",OR(I395="Completed",I395="Terminated")),"",IF(J395="","",IF(J395&lt;TODAY(),"Expired",IF(J395&lt;=TODAY()+60,"Expiring Soon","OK"))))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4"/>
      <c r="G396" s="35"/>
      <c r="H396" s="35"/>
      <c r="I396" s="32"/>
      <c r="J396" s="35"/>
      <c r="K396" s="33"/>
      <c r="L396" s="37" t="str">
        <f aca="true">IF(OR(B396="",OR(I396="Completed",I396="Terminated")),"",IF(J396="","",IF(J396&lt;TODAY(),"Expired",IF(J396&lt;=TODAY()+60,"Expiring Soon","OK"))))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4"/>
      <c r="G397" s="35"/>
      <c r="H397" s="35"/>
      <c r="I397" s="32"/>
      <c r="J397" s="35"/>
      <c r="K397" s="33"/>
      <c r="L397" s="37" t="str">
        <f aca="true">IF(OR(B397="",OR(I397="Completed",I397="Terminated")),"",IF(J397="","",IF(J397&lt;TODAY(),"Expired",IF(J397&lt;=TODAY()+60,"Expiring Soon","OK"))))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4"/>
      <c r="G398" s="35"/>
      <c r="H398" s="35"/>
      <c r="I398" s="32"/>
      <c r="J398" s="35"/>
      <c r="K398" s="33"/>
      <c r="L398" s="37" t="str">
        <f aca="true">IF(OR(B398="",OR(I398="Completed",I398="Terminated")),"",IF(J398="","",IF(J398&lt;TODAY(),"Expired",IF(J398&lt;=TODAY()+60,"Expiring Soon","OK"))))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4"/>
      <c r="G399" s="35"/>
      <c r="H399" s="35"/>
      <c r="I399" s="32"/>
      <c r="J399" s="35"/>
      <c r="K399" s="33"/>
      <c r="L399" s="37" t="str">
        <f aca="true">IF(OR(B399="",OR(I399="Completed",I399="Terminated")),"",IF(J399="","",IF(J399&lt;TODAY(),"Expired",IF(J399&lt;=TODAY()+60,"Expiring Soon","OK"))))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4"/>
      <c r="G400" s="35"/>
      <c r="H400" s="35"/>
      <c r="I400" s="32"/>
      <c r="J400" s="35"/>
      <c r="K400" s="33"/>
      <c r="L400" s="37" t="str">
        <f aca="true">IF(OR(B400="",OR(I400="Completed",I400="Terminated")),"",IF(J400="","",IF(J400&lt;TODAY(),"Expired",IF(J400&lt;=TODAY()+60,"Expiring Soon","OK"))))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4"/>
      <c r="G401" s="35"/>
      <c r="H401" s="35"/>
      <c r="I401" s="32"/>
      <c r="J401" s="35"/>
      <c r="K401" s="33"/>
      <c r="L401" s="37" t="str">
        <f aca="true">IF(OR(B401="",OR(I401="Completed",I401="Terminated")),"",IF(J401="","",IF(J401&lt;TODAY(),"Expired",IF(J401&lt;=TODAY()+60,"Expiring Soon","OK"))))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4"/>
      <c r="G402" s="35"/>
      <c r="H402" s="35"/>
      <c r="I402" s="32"/>
      <c r="J402" s="35"/>
      <c r="K402" s="33"/>
      <c r="L402" s="37" t="str">
        <f aca="true">IF(OR(B402="",OR(I402="Completed",I402="Terminated")),"",IF(J402="","",IF(J402&lt;TODAY(),"Expired",IF(J402&lt;=TODAY()+60,"Expiring Soon","OK"))))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4"/>
      <c r="G403" s="35"/>
      <c r="H403" s="35"/>
      <c r="I403" s="32"/>
      <c r="J403" s="35"/>
      <c r="K403" s="33"/>
      <c r="L403" s="37" t="str">
        <f aca="true">IF(OR(B403="",OR(I403="Completed",I403="Terminated")),"",IF(J403="","",IF(J403&lt;TODAY(),"Expired",IF(J403&lt;=TODAY()+60,"Expiring Soon","OK"))))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4"/>
      <c r="G404" s="35"/>
      <c r="H404" s="35"/>
      <c r="I404" s="32"/>
      <c r="J404" s="35"/>
      <c r="K404" s="33"/>
      <c r="L404" s="37" t="str">
        <f aca="true">IF(OR(B404="",OR(I404="Completed",I404="Terminated")),"",IF(J404="","",IF(J404&lt;TODAY(),"Expired",IF(J404&lt;=TODAY()+60,"Expiring Soon","OK"))))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4"/>
      <c r="G405" s="35"/>
      <c r="H405" s="35"/>
      <c r="I405" s="32"/>
      <c r="J405" s="35"/>
      <c r="K405" s="33"/>
      <c r="L405" s="37" t="str">
        <f aca="true">IF(OR(B405="",OR(I405="Completed",I405="Terminated")),"",IF(J405="","",IF(J405&lt;TODAY(),"Expired",IF(J405&lt;=TODAY()+60,"Expiring Soon","OK"))))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4"/>
      <c r="G406" s="35"/>
      <c r="H406" s="35"/>
      <c r="I406" s="32"/>
      <c r="J406" s="35"/>
      <c r="K406" s="33"/>
      <c r="L406" s="37" t="str">
        <f aca="true">IF(OR(B406="",OR(I406="Completed",I406="Terminated")),"",IF(J406="","",IF(J406&lt;TODAY(),"Expired",IF(J406&lt;=TODAY()+60,"Expiring Soon","OK"))))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4"/>
      <c r="G407" s="35"/>
      <c r="H407" s="35"/>
      <c r="I407" s="32"/>
      <c r="J407" s="35"/>
      <c r="K407" s="33"/>
      <c r="L407" s="37" t="str">
        <f aca="true">IF(OR(B407="",OR(I407="Completed",I407="Terminated")),"",IF(J407="","",IF(J407&lt;TODAY(),"Expired",IF(J407&lt;=TODAY()+60,"Expiring Soon","OK"))))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4"/>
      <c r="G408" s="35"/>
      <c r="H408" s="35"/>
      <c r="I408" s="32"/>
      <c r="J408" s="35"/>
      <c r="K408" s="33"/>
      <c r="L408" s="37" t="str">
        <f aca="true">IF(OR(B408="",OR(I408="Completed",I408="Terminated")),"",IF(J408="","",IF(J408&lt;TODAY(),"Expired",IF(J408&lt;=TODAY()+60,"Expiring Soon","OK"))))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4"/>
      <c r="G409" s="35"/>
      <c r="H409" s="35"/>
      <c r="I409" s="32"/>
      <c r="J409" s="35"/>
      <c r="K409" s="33"/>
      <c r="L409" s="37" t="str">
        <f aca="true">IF(OR(B409="",OR(I409="Completed",I409="Terminated")),"",IF(J409="","",IF(J409&lt;TODAY(),"Expired",IF(J409&lt;=TODAY()+60,"Expiring Soon","OK"))))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4"/>
      <c r="G410" s="35"/>
      <c r="H410" s="35"/>
      <c r="I410" s="32"/>
      <c r="J410" s="35"/>
      <c r="K410" s="33"/>
      <c r="L410" s="37" t="str">
        <f aca="true">IF(OR(B410="",OR(I410="Completed",I410="Terminated")),"",IF(J410="","",IF(J410&lt;TODAY(),"Expired",IF(J410&lt;=TODAY()+60,"Expiring Soon","OK"))))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4"/>
      <c r="G411" s="35"/>
      <c r="H411" s="35"/>
      <c r="I411" s="32"/>
      <c r="J411" s="35"/>
      <c r="K411" s="33"/>
      <c r="L411" s="37" t="str">
        <f aca="true">IF(OR(B411="",OR(I411="Completed",I411="Terminated")),"",IF(J411="","",IF(J411&lt;TODAY(),"Expired",IF(J411&lt;=TODAY()+60,"Expiring Soon","OK"))))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4"/>
      <c r="G412" s="35"/>
      <c r="H412" s="35"/>
      <c r="I412" s="32"/>
      <c r="J412" s="35"/>
      <c r="K412" s="33"/>
      <c r="L412" s="37" t="str">
        <f aca="true">IF(OR(B412="",OR(I412="Completed",I412="Terminated")),"",IF(J412="","",IF(J412&lt;TODAY(),"Expired",IF(J412&lt;=TODAY()+60,"Expiring Soon","OK"))))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4"/>
      <c r="G413" s="35"/>
      <c r="H413" s="35"/>
      <c r="I413" s="32"/>
      <c r="J413" s="35"/>
      <c r="K413" s="33"/>
      <c r="L413" s="37" t="str">
        <f aca="true">IF(OR(B413="",OR(I413="Completed",I413="Terminated")),"",IF(J413="","",IF(J413&lt;TODAY(),"Expired",IF(J413&lt;=TODAY()+60,"Expiring Soon","OK"))))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4"/>
      <c r="G414" s="35"/>
      <c r="H414" s="35"/>
      <c r="I414" s="32"/>
      <c r="J414" s="35"/>
      <c r="K414" s="33"/>
      <c r="L414" s="37" t="str">
        <f aca="true">IF(OR(B414="",OR(I414="Completed",I414="Terminated")),"",IF(J414="","",IF(J414&lt;TODAY(),"Expired",IF(J414&lt;=TODAY()+60,"Expiring Soon","OK"))))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4"/>
      <c r="G415" s="35"/>
      <c r="H415" s="35"/>
      <c r="I415" s="32"/>
      <c r="J415" s="35"/>
      <c r="K415" s="33"/>
      <c r="L415" s="37" t="str">
        <f aca="true">IF(OR(B415="",OR(I415="Completed",I415="Terminated")),"",IF(J415="","",IF(J415&lt;TODAY(),"Expired",IF(J415&lt;=TODAY()+60,"Expiring Soon","OK"))))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4"/>
      <c r="G416" s="35"/>
      <c r="H416" s="35"/>
      <c r="I416" s="32"/>
      <c r="J416" s="35"/>
      <c r="K416" s="33"/>
      <c r="L416" s="37" t="str">
        <f aca="true">IF(OR(B416="",OR(I416="Completed",I416="Terminated")),"",IF(J416="","",IF(J416&lt;TODAY(),"Expired",IF(J416&lt;=TODAY()+60,"Expiring Soon","OK"))))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4"/>
      <c r="G417" s="35"/>
      <c r="H417" s="35"/>
      <c r="I417" s="32"/>
      <c r="J417" s="35"/>
      <c r="K417" s="33"/>
      <c r="L417" s="37" t="str">
        <f aca="true">IF(OR(B417="",OR(I417="Completed",I417="Terminated")),"",IF(J417="","",IF(J417&lt;TODAY(),"Expired",IF(J417&lt;=TODAY()+60,"Expiring Soon","OK"))))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4"/>
      <c r="G418" s="35"/>
      <c r="H418" s="35"/>
      <c r="I418" s="32"/>
      <c r="J418" s="35"/>
      <c r="K418" s="33"/>
      <c r="L418" s="37" t="str">
        <f aca="true">IF(OR(B418="",OR(I418="Completed",I418="Terminated")),"",IF(J418="","",IF(J418&lt;TODAY(),"Expired",IF(J418&lt;=TODAY()+60,"Expiring Soon","OK"))))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4"/>
      <c r="G419" s="35"/>
      <c r="H419" s="35"/>
      <c r="I419" s="32"/>
      <c r="J419" s="35"/>
      <c r="K419" s="33"/>
      <c r="L419" s="37" t="str">
        <f aca="true">IF(OR(B419="",OR(I419="Completed",I419="Terminated")),"",IF(J419="","",IF(J419&lt;TODAY(),"Expired",IF(J419&lt;=TODAY()+60,"Expiring Soon","OK"))))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4"/>
      <c r="G420" s="35"/>
      <c r="H420" s="35"/>
      <c r="I420" s="32"/>
      <c r="J420" s="35"/>
      <c r="K420" s="33"/>
      <c r="L420" s="37" t="str">
        <f aca="true">IF(OR(B420="",OR(I420="Completed",I420="Terminated")),"",IF(J420="","",IF(J420&lt;TODAY(),"Expired",IF(J420&lt;=TODAY()+60,"Expiring Soon","OK"))))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4"/>
      <c r="G421" s="35"/>
      <c r="H421" s="35"/>
      <c r="I421" s="32"/>
      <c r="J421" s="35"/>
      <c r="K421" s="33"/>
      <c r="L421" s="37" t="str">
        <f aca="true">IF(OR(B421="",OR(I421="Completed",I421="Terminated")),"",IF(J421="","",IF(J421&lt;TODAY(),"Expired",IF(J421&lt;=TODAY()+60,"Expiring Soon","OK"))))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4"/>
      <c r="G422" s="35"/>
      <c r="H422" s="35"/>
      <c r="I422" s="32"/>
      <c r="J422" s="35"/>
      <c r="K422" s="33"/>
      <c r="L422" s="37" t="str">
        <f aca="true">IF(OR(B422="",OR(I422="Completed",I422="Terminated")),"",IF(J422="","",IF(J422&lt;TODAY(),"Expired",IF(J422&lt;=TODAY()+60,"Expiring Soon","OK"))))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4"/>
      <c r="G423" s="35"/>
      <c r="H423" s="35"/>
      <c r="I423" s="32"/>
      <c r="J423" s="35"/>
      <c r="K423" s="33"/>
      <c r="L423" s="37" t="str">
        <f aca="true">IF(OR(B423="",OR(I423="Completed",I423="Terminated")),"",IF(J423="","",IF(J423&lt;TODAY(),"Expired",IF(J423&lt;=TODAY()+60,"Expiring Soon","OK"))))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4"/>
      <c r="G424" s="35"/>
      <c r="H424" s="35"/>
      <c r="I424" s="32"/>
      <c r="J424" s="35"/>
      <c r="K424" s="33"/>
      <c r="L424" s="37" t="str">
        <f aca="true">IF(OR(B424="",OR(I424="Completed",I424="Terminated")),"",IF(J424="","",IF(J424&lt;TODAY(),"Expired",IF(J424&lt;=TODAY()+60,"Expiring Soon","OK"))))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4"/>
      <c r="G425" s="35"/>
      <c r="H425" s="35"/>
      <c r="I425" s="32"/>
      <c r="J425" s="35"/>
      <c r="K425" s="33"/>
      <c r="L425" s="37" t="str">
        <f aca="true">IF(OR(B425="",OR(I425="Completed",I425="Terminated")),"",IF(J425="","",IF(J425&lt;TODAY(),"Expired",IF(J425&lt;=TODAY()+60,"Expiring Soon","OK"))))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4"/>
      <c r="G426" s="35"/>
      <c r="H426" s="35"/>
      <c r="I426" s="32"/>
      <c r="J426" s="35"/>
      <c r="K426" s="33"/>
      <c r="L426" s="37" t="str">
        <f aca="true">IF(OR(B426="",OR(I426="Completed",I426="Terminated")),"",IF(J426="","",IF(J426&lt;TODAY(),"Expired",IF(J426&lt;=TODAY()+60,"Expiring Soon","OK"))))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4"/>
      <c r="G427" s="35"/>
      <c r="H427" s="35"/>
      <c r="I427" s="32"/>
      <c r="J427" s="35"/>
      <c r="K427" s="33"/>
      <c r="L427" s="37" t="str">
        <f aca="true">IF(OR(B427="",OR(I427="Completed",I427="Terminated")),"",IF(J427="","",IF(J427&lt;TODAY(),"Expired",IF(J427&lt;=TODAY()+60,"Expiring Soon","OK"))))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4"/>
      <c r="G428" s="35"/>
      <c r="H428" s="35"/>
      <c r="I428" s="32"/>
      <c r="J428" s="35"/>
      <c r="K428" s="33"/>
      <c r="L428" s="37" t="str">
        <f aca="true">IF(OR(B428="",OR(I428="Completed",I428="Terminated")),"",IF(J428="","",IF(J428&lt;TODAY(),"Expired",IF(J428&lt;=TODAY()+60,"Expiring Soon","OK"))))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4"/>
      <c r="G429" s="35"/>
      <c r="H429" s="35"/>
      <c r="I429" s="32"/>
      <c r="J429" s="35"/>
      <c r="K429" s="33"/>
      <c r="L429" s="37" t="str">
        <f aca="true">IF(OR(B429="",OR(I429="Completed",I429="Terminated")),"",IF(J429="","",IF(J429&lt;TODAY(),"Expired",IF(J429&lt;=TODAY()+60,"Expiring Soon","OK"))))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4"/>
      <c r="G430" s="35"/>
      <c r="H430" s="35"/>
      <c r="I430" s="32"/>
      <c r="J430" s="35"/>
      <c r="K430" s="33"/>
      <c r="L430" s="37" t="str">
        <f aca="true">IF(OR(B430="",OR(I430="Completed",I430="Terminated")),"",IF(J430="","",IF(J430&lt;TODAY(),"Expired",IF(J430&lt;=TODAY()+60,"Expiring Soon","OK"))))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4"/>
      <c r="G431" s="35"/>
      <c r="H431" s="35"/>
      <c r="I431" s="32"/>
      <c r="J431" s="35"/>
      <c r="K431" s="33"/>
      <c r="L431" s="37" t="str">
        <f aca="true">IF(OR(B431="",OR(I431="Completed",I431="Terminated")),"",IF(J431="","",IF(J431&lt;TODAY(),"Expired",IF(J431&lt;=TODAY()+60,"Expiring Soon","OK"))))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4"/>
      <c r="G432" s="35"/>
      <c r="H432" s="35"/>
      <c r="I432" s="32"/>
      <c r="J432" s="35"/>
      <c r="K432" s="33"/>
      <c r="L432" s="37" t="str">
        <f aca="true">IF(OR(B432="",OR(I432="Completed",I432="Terminated")),"",IF(J432="","",IF(J432&lt;TODAY(),"Expired",IF(J432&lt;=TODAY()+60,"Expiring Soon","OK"))))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4"/>
      <c r="G433" s="35"/>
      <c r="H433" s="35"/>
      <c r="I433" s="32"/>
      <c r="J433" s="35"/>
      <c r="K433" s="33"/>
      <c r="L433" s="37" t="str">
        <f aca="true">IF(OR(B433="",OR(I433="Completed",I433="Terminated")),"",IF(J433="","",IF(J433&lt;TODAY(),"Expired",IF(J433&lt;=TODAY()+60,"Expiring Soon","OK"))))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4"/>
      <c r="G434" s="35"/>
      <c r="H434" s="35"/>
      <c r="I434" s="32"/>
      <c r="J434" s="35"/>
      <c r="K434" s="33"/>
      <c r="L434" s="37" t="str">
        <f aca="true">IF(OR(B434="",OR(I434="Completed",I434="Terminated")),"",IF(J434="","",IF(J434&lt;TODAY(),"Expired",IF(J434&lt;=TODAY()+60,"Expiring Soon","OK"))))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4"/>
      <c r="G435" s="35"/>
      <c r="H435" s="35"/>
      <c r="I435" s="32"/>
      <c r="J435" s="35"/>
      <c r="K435" s="33"/>
      <c r="L435" s="37" t="str">
        <f aca="true">IF(OR(B435="",OR(I435="Completed",I435="Terminated")),"",IF(J435="","",IF(J435&lt;TODAY(),"Expired",IF(J435&lt;=TODAY()+60,"Expiring Soon","OK"))))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4"/>
      <c r="G436" s="35"/>
      <c r="H436" s="35"/>
      <c r="I436" s="32"/>
      <c r="J436" s="35"/>
      <c r="K436" s="33"/>
      <c r="L436" s="37" t="str">
        <f aca="true">IF(OR(B436="",OR(I436="Completed",I436="Terminated")),"",IF(J436="","",IF(J436&lt;TODAY(),"Expired",IF(J436&lt;=TODAY()+60,"Expiring Soon","OK"))))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4"/>
      <c r="G437" s="35"/>
      <c r="H437" s="35"/>
      <c r="I437" s="32"/>
      <c r="J437" s="35"/>
      <c r="K437" s="33"/>
      <c r="L437" s="37" t="str">
        <f aca="true">IF(OR(B437="",OR(I437="Completed",I437="Terminated")),"",IF(J437="","",IF(J437&lt;TODAY(),"Expired",IF(J437&lt;=TODAY()+60,"Expiring Soon","OK"))))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4"/>
      <c r="G438" s="35"/>
      <c r="H438" s="35"/>
      <c r="I438" s="32"/>
      <c r="J438" s="35"/>
      <c r="K438" s="33"/>
      <c r="L438" s="37" t="str">
        <f aca="true">IF(OR(B438="",OR(I438="Completed",I438="Terminated")),"",IF(J438="","",IF(J438&lt;TODAY(),"Expired",IF(J438&lt;=TODAY()+60,"Expiring Soon","OK"))))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4"/>
      <c r="G439" s="35"/>
      <c r="H439" s="35"/>
      <c r="I439" s="32"/>
      <c r="J439" s="35"/>
      <c r="K439" s="33"/>
      <c r="L439" s="37" t="str">
        <f aca="true">IF(OR(B439="",OR(I439="Completed",I439="Terminated")),"",IF(J439="","",IF(J439&lt;TODAY(),"Expired",IF(J439&lt;=TODAY()+60,"Expiring Soon","OK"))))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4"/>
      <c r="G440" s="35"/>
      <c r="H440" s="35"/>
      <c r="I440" s="32"/>
      <c r="J440" s="35"/>
      <c r="K440" s="33"/>
      <c r="L440" s="37" t="str">
        <f aca="true">IF(OR(B440="",OR(I440="Completed",I440="Terminated")),"",IF(J440="","",IF(J440&lt;TODAY(),"Expired",IF(J440&lt;=TODAY()+60,"Expiring Soon","OK"))))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4"/>
      <c r="G441" s="35"/>
      <c r="H441" s="35"/>
      <c r="I441" s="32"/>
      <c r="J441" s="35"/>
      <c r="K441" s="33"/>
      <c r="L441" s="37" t="str">
        <f aca="true">IF(OR(B441="",OR(I441="Completed",I441="Terminated")),"",IF(J441="","",IF(J441&lt;TODAY(),"Expired",IF(J441&lt;=TODAY()+60,"Expiring Soon","OK"))))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4"/>
      <c r="G442" s="35"/>
      <c r="H442" s="35"/>
      <c r="I442" s="32"/>
      <c r="J442" s="35"/>
      <c r="K442" s="33"/>
      <c r="L442" s="37" t="str">
        <f aca="true">IF(OR(B442="",OR(I442="Completed",I442="Terminated")),"",IF(J442="","",IF(J442&lt;TODAY(),"Expired",IF(J442&lt;=TODAY()+60,"Expiring Soon","OK"))))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4"/>
      <c r="G443" s="35"/>
      <c r="H443" s="35"/>
      <c r="I443" s="32"/>
      <c r="J443" s="35"/>
      <c r="K443" s="33"/>
      <c r="L443" s="37" t="str">
        <f aca="true">IF(OR(B443="",OR(I443="Completed",I443="Terminated")),"",IF(J443="","",IF(J443&lt;TODAY(),"Expired",IF(J443&lt;=TODAY()+60,"Expiring Soon","OK"))))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4"/>
      <c r="G444" s="35"/>
      <c r="H444" s="35"/>
      <c r="I444" s="32"/>
      <c r="J444" s="35"/>
      <c r="K444" s="33"/>
      <c r="L444" s="37" t="str">
        <f aca="true">IF(OR(B444="",OR(I444="Completed",I444="Terminated")),"",IF(J444="","",IF(J444&lt;TODAY(),"Expired",IF(J444&lt;=TODAY()+60,"Expiring Soon","OK"))))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4"/>
      <c r="G445" s="35"/>
      <c r="H445" s="35"/>
      <c r="I445" s="32"/>
      <c r="J445" s="35"/>
      <c r="K445" s="33"/>
      <c r="L445" s="37" t="str">
        <f aca="true">IF(OR(B445="",OR(I445="Completed",I445="Terminated")),"",IF(J445="","",IF(J445&lt;TODAY(),"Expired",IF(J445&lt;=TODAY()+60,"Expiring Soon","OK"))))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4"/>
      <c r="G446" s="35"/>
      <c r="H446" s="35"/>
      <c r="I446" s="32"/>
      <c r="J446" s="35"/>
      <c r="K446" s="33"/>
      <c r="L446" s="37" t="str">
        <f aca="true">IF(OR(B446="",OR(I446="Completed",I446="Terminated")),"",IF(J446="","",IF(J446&lt;TODAY(),"Expired",IF(J446&lt;=TODAY()+60,"Expiring Soon","OK"))))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4"/>
      <c r="G447" s="35"/>
      <c r="H447" s="35"/>
      <c r="I447" s="32"/>
      <c r="J447" s="35"/>
      <c r="K447" s="33"/>
      <c r="L447" s="37" t="str">
        <f aca="true">IF(OR(B447="",OR(I447="Completed",I447="Terminated")),"",IF(J447="","",IF(J447&lt;TODAY(),"Expired",IF(J447&lt;=TODAY()+60,"Expiring Soon","OK"))))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4"/>
      <c r="G448" s="35"/>
      <c r="H448" s="35"/>
      <c r="I448" s="32"/>
      <c r="J448" s="35"/>
      <c r="K448" s="33"/>
      <c r="L448" s="37" t="str">
        <f aca="true">IF(OR(B448="",OR(I448="Completed",I448="Terminated")),"",IF(J448="","",IF(J448&lt;TODAY(),"Expired",IF(J448&lt;=TODAY()+60,"Expiring Soon","OK"))))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4"/>
      <c r="G449" s="35"/>
      <c r="H449" s="35"/>
      <c r="I449" s="32"/>
      <c r="J449" s="35"/>
      <c r="K449" s="33"/>
      <c r="L449" s="37" t="str">
        <f aca="true">IF(OR(B449="",OR(I449="Completed",I449="Terminated")),"",IF(J449="","",IF(J449&lt;TODAY(),"Expired",IF(J449&lt;=TODAY()+60,"Expiring Soon","OK"))))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4"/>
      <c r="G450" s="35"/>
      <c r="H450" s="35"/>
      <c r="I450" s="32"/>
      <c r="J450" s="35"/>
      <c r="K450" s="33"/>
      <c r="L450" s="37" t="str">
        <f aca="true">IF(OR(B450="",OR(I450="Completed",I450="Terminated")),"",IF(J450="","",IF(J450&lt;TODAY(),"Expired",IF(J450&lt;=TODAY()+60,"Expiring Soon","OK"))))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4"/>
      <c r="G451" s="35"/>
      <c r="H451" s="35"/>
      <c r="I451" s="32"/>
      <c r="J451" s="35"/>
      <c r="K451" s="33"/>
      <c r="L451" s="37" t="str">
        <f aca="true">IF(OR(B451="",OR(I451="Completed",I451="Terminated")),"",IF(J451="","",IF(J451&lt;TODAY(),"Expired",IF(J451&lt;=TODAY()+60,"Expiring Soon","OK"))))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4"/>
      <c r="G452" s="35"/>
      <c r="H452" s="35"/>
      <c r="I452" s="32"/>
      <c r="J452" s="35"/>
      <c r="K452" s="33"/>
      <c r="L452" s="37" t="str">
        <f aca="true">IF(OR(B452="",OR(I452="Completed",I452="Terminated")),"",IF(J452="","",IF(J452&lt;TODAY(),"Expired",IF(J452&lt;=TODAY()+60,"Expiring Soon","OK"))))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4"/>
      <c r="G453" s="35"/>
      <c r="H453" s="35"/>
      <c r="I453" s="32"/>
      <c r="J453" s="35"/>
      <c r="K453" s="33"/>
      <c r="L453" s="37" t="str">
        <f aca="true">IF(OR(B453="",OR(I453="Completed",I453="Terminated")),"",IF(J453="","",IF(J453&lt;TODAY(),"Expired",IF(J453&lt;=TODAY()+60,"Expiring Soon","OK"))))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4"/>
      <c r="G454" s="35"/>
      <c r="H454" s="35"/>
      <c r="I454" s="32"/>
      <c r="J454" s="35"/>
      <c r="K454" s="33"/>
      <c r="L454" s="37" t="str">
        <f aca="true">IF(OR(B454="",OR(I454="Completed",I454="Terminated")),"",IF(J454="","",IF(J454&lt;TODAY(),"Expired",IF(J454&lt;=TODAY()+60,"Expiring Soon","OK"))))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4"/>
      <c r="G455" s="35"/>
      <c r="H455" s="35"/>
      <c r="I455" s="32"/>
      <c r="J455" s="35"/>
      <c r="K455" s="33"/>
      <c r="L455" s="37" t="str">
        <f aca="true">IF(OR(B455="",OR(I455="Completed",I455="Terminated")),"",IF(J455="","",IF(J455&lt;TODAY(),"Expired",IF(J455&lt;=TODAY()+60,"Expiring Soon","OK"))))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4"/>
      <c r="G456" s="35"/>
      <c r="H456" s="35"/>
      <c r="I456" s="32"/>
      <c r="J456" s="35"/>
      <c r="K456" s="33"/>
      <c r="L456" s="37" t="str">
        <f aca="true">IF(OR(B456="",OR(I456="Completed",I456="Terminated")),"",IF(J456="","",IF(J456&lt;TODAY(),"Expired",IF(J456&lt;=TODAY()+60,"Expiring Soon","OK"))))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4"/>
      <c r="G457" s="35"/>
      <c r="H457" s="35"/>
      <c r="I457" s="32"/>
      <c r="J457" s="35"/>
      <c r="K457" s="33"/>
      <c r="L457" s="37" t="str">
        <f aca="true">IF(OR(B457="",OR(I457="Completed",I457="Terminated")),"",IF(J457="","",IF(J457&lt;TODAY(),"Expired",IF(J457&lt;=TODAY()+60,"Expiring Soon","OK"))))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4"/>
      <c r="G458" s="35"/>
      <c r="H458" s="35"/>
      <c r="I458" s="32"/>
      <c r="J458" s="35"/>
      <c r="K458" s="33"/>
      <c r="L458" s="37" t="str">
        <f aca="true">IF(OR(B458="",OR(I458="Completed",I458="Terminated")),"",IF(J458="","",IF(J458&lt;TODAY(),"Expired",IF(J458&lt;=TODAY()+60,"Expiring Soon","OK"))))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4"/>
      <c r="G459" s="35"/>
      <c r="H459" s="35"/>
      <c r="I459" s="32"/>
      <c r="J459" s="35"/>
      <c r="K459" s="33"/>
      <c r="L459" s="37" t="str">
        <f aca="true">IF(OR(B459="",OR(I459="Completed",I459="Terminated")),"",IF(J459="","",IF(J459&lt;TODAY(),"Expired",IF(J459&lt;=TODAY()+60,"Expiring Soon","OK"))))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4"/>
      <c r="G460" s="35"/>
      <c r="H460" s="35"/>
      <c r="I460" s="32"/>
      <c r="J460" s="35"/>
      <c r="K460" s="33"/>
      <c r="L460" s="37" t="str">
        <f aca="true">IF(OR(B460="",OR(I460="Completed",I460="Terminated")),"",IF(J460="","",IF(J460&lt;TODAY(),"Expired",IF(J460&lt;=TODAY()+60,"Expiring Soon","OK"))))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4"/>
      <c r="G461" s="35"/>
      <c r="H461" s="35"/>
      <c r="I461" s="32"/>
      <c r="J461" s="35"/>
      <c r="K461" s="33"/>
      <c r="L461" s="37" t="str">
        <f aca="true">IF(OR(B461="",OR(I461="Completed",I461="Terminated")),"",IF(J461="","",IF(J461&lt;TODAY(),"Expired",IF(J461&lt;=TODAY()+60,"Expiring Soon","OK"))))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4"/>
      <c r="G462" s="35"/>
      <c r="H462" s="35"/>
      <c r="I462" s="32"/>
      <c r="J462" s="35"/>
      <c r="K462" s="33"/>
      <c r="L462" s="37" t="str">
        <f aca="true">IF(OR(B462="",OR(I462="Completed",I462="Terminated")),"",IF(J462="","",IF(J462&lt;TODAY(),"Expired",IF(J462&lt;=TODAY()+60,"Expiring Soon","OK"))))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4"/>
      <c r="G463" s="35"/>
      <c r="H463" s="35"/>
      <c r="I463" s="32"/>
      <c r="J463" s="35"/>
      <c r="K463" s="33"/>
      <c r="L463" s="37" t="str">
        <f aca="true">IF(OR(B463="",OR(I463="Completed",I463="Terminated")),"",IF(J463="","",IF(J463&lt;TODAY(),"Expired",IF(J463&lt;=TODAY()+60,"Expiring Soon","OK"))))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4"/>
      <c r="G464" s="35"/>
      <c r="H464" s="35"/>
      <c r="I464" s="32"/>
      <c r="J464" s="35"/>
      <c r="K464" s="33"/>
      <c r="L464" s="37" t="str">
        <f aca="true">IF(OR(B464="",OR(I464="Completed",I464="Terminated")),"",IF(J464="","",IF(J464&lt;TODAY(),"Expired",IF(J464&lt;=TODAY()+60,"Expiring Soon","OK"))))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4"/>
      <c r="G465" s="35"/>
      <c r="H465" s="35"/>
      <c r="I465" s="32"/>
      <c r="J465" s="35"/>
      <c r="K465" s="33"/>
      <c r="L465" s="37" t="str">
        <f aca="true">IF(OR(B465="",OR(I465="Completed",I465="Terminated")),"",IF(J465="","",IF(J465&lt;TODAY(),"Expired",IF(J465&lt;=TODAY()+60,"Expiring Soon","OK"))))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4"/>
      <c r="G466" s="35"/>
      <c r="H466" s="35"/>
      <c r="I466" s="32"/>
      <c r="J466" s="35"/>
      <c r="K466" s="33"/>
      <c r="L466" s="37" t="str">
        <f aca="true">IF(OR(B466="",OR(I466="Completed",I466="Terminated")),"",IF(J466="","",IF(J466&lt;TODAY(),"Expired",IF(J466&lt;=TODAY()+60,"Expiring Soon","OK"))))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4"/>
      <c r="G467" s="35"/>
      <c r="H467" s="35"/>
      <c r="I467" s="32"/>
      <c r="J467" s="35"/>
      <c r="K467" s="33"/>
      <c r="L467" s="37" t="str">
        <f aca="true">IF(OR(B467="",OR(I467="Completed",I467="Terminated")),"",IF(J467="","",IF(J467&lt;TODAY(),"Expired",IF(J467&lt;=TODAY()+60,"Expiring Soon","OK"))))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4"/>
      <c r="G468" s="35"/>
      <c r="H468" s="35"/>
      <c r="I468" s="32"/>
      <c r="J468" s="35"/>
      <c r="K468" s="33"/>
      <c r="L468" s="37" t="str">
        <f aca="true">IF(OR(B468="",OR(I468="Completed",I468="Terminated")),"",IF(J468="","",IF(J468&lt;TODAY(),"Expired",IF(J468&lt;=TODAY()+60,"Expiring Soon","OK"))))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4"/>
      <c r="G469" s="35"/>
      <c r="H469" s="35"/>
      <c r="I469" s="32"/>
      <c r="J469" s="35"/>
      <c r="K469" s="33"/>
      <c r="L469" s="37" t="str">
        <f aca="true">IF(OR(B469="",OR(I469="Completed",I469="Terminated")),"",IF(J469="","",IF(J469&lt;TODAY(),"Expired",IF(J469&lt;=TODAY()+60,"Expiring Soon","OK"))))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4"/>
      <c r="G470" s="35"/>
      <c r="H470" s="35"/>
      <c r="I470" s="32"/>
      <c r="J470" s="35"/>
      <c r="K470" s="33"/>
      <c r="L470" s="37" t="str">
        <f aca="true">IF(OR(B470="",OR(I470="Completed",I470="Terminated")),"",IF(J470="","",IF(J470&lt;TODAY(),"Expired",IF(J470&lt;=TODAY()+60,"Expiring Soon","OK"))))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4"/>
      <c r="G471" s="35"/>
      <c r="H471" s="35"/>
      <c r="I471" s="32"/>
      <c r="J471" s="35"/>
      <c r="K471" s="33"/>
      <c r="L471" s="37" t="str">
        <f aca="true">IF(OR(B471="",OR(I471="Completed",I471="Terminated")),"",IF(J471="","",IF(J471&lt;TODAY(),"Expired",IF(J471&lt;=TODAY()+60,"Expiring Soon","OK"))))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4"/>
      <c r="G472" s="35"/>
      <c r="H472" s="35"/>
      <c r="I472" s="32"/>
      <c r="J472" s="35"/>
      <c r="K472" s="33"/>
      <c r="L472" s="37" t="str">
        <f aca="true">IF(OR(B472="",OR(I472="Completed",I472="Terminated")),"",IF(J472="","",IF(J472&lt;TODAY(),"Expired",IF(J472&lt;=TODAY()+60,"Expiring Soon","OK"))))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4"/>
      <c r="G473" s="35"/>
      <c r="H473" s="35"/>
      <c r="I473" s="32"/>
      <c r="J473" s="35"/>
      <c r="K473" s="33"/>
      <c r="L473" s="37" t="str">
        <f aca="true">IF(OR(B473="",OR(I473="Completed",I473="Terminated")),"",IF(J473="","",IF(J473&lt;TODAY(),"Expired",IF(J473&lt;=TODAY()+60,"Expiring Soon","OK"))))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4"/>
      <c r="G474" s="35"/>
      <c r="H474" s="35"/>
      <c r="I474" s="32"/>
      <c r="J474" s="35"/>
      <c r="K474" s="33"/>
      <c r="L474" s="37" t="str">
        <f aca="true">IF(OR(B474="",OR(I474="Completed",I474="Terminated")),"",IF(J474="","",IF(J474&lt;TODAY(),"Expired",IF(J474&lt;=TODAY()+60,"Expiring Soon","OK"))))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4"/>
      <c r="G475" s="35"/>
      <c r="H475" s="35"/>
      <c r="I475" s="32"/>
      <c r="J475" s="35"/>
      <c r="K475" s="33"/>
      <c r="L475" s="37" t="str">
        <f aca="true">IF(OR(B475="",OR(I475="Completed",I475="Terminated")),"",IF(J475="","",IF(J475&lt;TODAY(),"Expired",IF(J475&lt;=TODAY()+60,"Expiring Soon","OK"))))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4"/>
      <c r="G476" s="35"/>
      <c r="H476" s="35"/>
      <c r="I476" s="32"/>
      <c r="J476" s="35"/>
      <c r="K476" s="33"/>
      <c r="L476" s="37" t="str">
        <f aca="true">IF(OR(B476="",OR(I476="Completed",I476="Terminated")),"",IF(J476="","",IF(J476&lt;TODAY(),"Expired",IF(J476&lt;=TODAY()+60,"Expiring Soon","OK"))))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4"/>
      <c r="G477" s="35"/>
      <c r="H477" s="35"/>
      <c r="I477" s="32"/>
      <c r="J477" s="35"/>
      <c r="K477" s="33"/>
      <c r="L477" s="37" t="str">
        <f aca="true">IF(OR(B477="",OR(I477="Completed",I477="Terminated")),"",IF(J477="","",IF(J477&lt;TODAY(),"Expired",IF(J477&lt;=TODAY()+60,"Expiring Soon","OK"))))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4"/>
      <c r="G478" s="35"/>
      <c r="H478" s="35"/>
      <c r="I478" s="32"/>
      <c r="J478" s="35"/>
      <c r="K478" s="33"/>
      <c r="L478" s="37" t="str">
        <f aca="true">IF(OR(B478="",OR(I478="Completed",I478="Terminated")),"",IF(J478="","",IF(J478&lt;TODAY(),"Expired",IF(J478&lt;=TODAY()+60,"Expiring Soon","OK"))))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4"/>
      <c r="G479" s="35"/>
      <c r="H479" s="35"/>
      <c r="I479" s="32"/>
      <c r="J479" s="35"/>
      <c r="K479" s="33"/>
      <c r="L479" s="37" t="str">
        <f aca="true">IF(OR(B479="",OR(I479="Completed",I479="Terminated")),"",IF(J479="","",IF(J479&lt;TODAY(),"Expired",IF(J479&lt;=TODAY()+60,"Expiring Soon","OK"))))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4"/>
      <c r="G480" s="35"/>
      <c r="H480" s="35"/>
      <c r="I480" s="32"/>
      <c r="J480" s="35"/>
      <c r="K480" s="33"/>
      <c r="L480" s="37" t="str">
        <f aca="true">IF(OR(B480="",OR(I480="Completed",I480="Terminated")),"",IF(J480="","",IF(J480&lt;TODAY(),"Expired",IF(J480&lt;=TODAY()+60,"Expiring Soon","OK"))))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4"/>
      <c r="G481" s="35"/>
      <c r="H481" s="35"/>
      <c r="I481" s="32"/>
      <c r="J481" s="35"/>
      <c r="K481" s="33"/>
      <c r="L481" s="37" t="str">
        <f aca="true">IF(OR(B481="",OR(I481="Completed",I481="Terminated")),"",IF(J481="","",IF(J481&lt;TODAY(),"Expired",IF(J481&lt;=TODAY()+60,"Expiring Soon","OK"))))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4"/>
      <c r="G482" s="35"/>
      <c r="H482" s="35"/>
      <c r="I482" s="32"/>
      <c r="J482" s="35"/>
      <c r="K482" s="33"/>
      <c r="L482" s="37" t="str">
        <f aca="true">IF(OR(B482="",OR(I482="Completed",I482="Terminated")),"",IF(J482="","",IF(J482&lt;TODAY(),"Expired",IF(J482&lt;=TODAY()+60,"Expiring Soon","OK"))))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4"/>
      <c r="G483" s="35"/>
      <c r="H483" s="35"/>
      <c r="I483" s="32"/>
      <c r="J483" s="35"/>
      <c r="K483" s="33"/>
      <c r="L483" s="37" t="str">
        <f aca="true">IF(OR(B483="",OR(I483="Completed",I483="Terminated")),"",IF(J483="","",IF(J483&lt;TODAY(),"Expired",IF(J483&lt;=TODAY()+60,"Expiring Soon","OK"))))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4"/>
      <c r="G484" s="35"/>
      <c r="H484" s="35"/>
      <c r="I484" s="32"/>
      <c r="J484" s="35"/>
      <c r="K484" s="33"/>
      <c r="L484" s="37" t="str">
        <f aca="true">IF(OR(B484="",OR(I484="Completed",I484="Terminated")),"",IF(J484="","",IF(J484&lt;TODAY(),"Expired",IF(J484&lt;=TODAY()+60,"Expiring Soon","OK"))))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4"/>
      <c r="G485" s="35"/>
      <c r="H485" s="35"/>
      <c r="I485" s="32"/>
      <c r="J485" s="35"/>
      <c r="K485" s="33"/>
      <c r="L485" s="37" t="str">
        <f aca="true">IF(OR(B485="",OR(I485="Completed",I485="Terminated")),"",IF(J485="","",IF(J485&lt;TODAY(),"Expired",IF(J485&lt;=TODAY()+60,"Expiring Soon","OK"))))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4"/>
      <c r="G486" s="35"/>
      <c r="H486" s="35"/>
      <c r="I486" s="32"/>
      <c r="J486" s="35"/>
      <c r="K486" s="33"/>
      <c r="L486" s="37" t="str">
        <f aca="true">IF(OR(B486="",OR(I486="Completed",I486="Terminated")),"",IF(J486="","",IF(J486&lt;TODAY(),"Expired",IF(J486&lt;=TODAY()+60,"Expiring Soon","OK"))))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4"/>
      <c r="G487" s="35"/>
      <c r="H487" s="35"/>
      <c r="I487" s="32"/>
      <c r="J487" s="35"/>
      <c r="K487" s="33"/>
      <c r="L487" s="37" t="str">
        <f aca="true">IF(OR(B487="",OR(I487="Completed",I487="Terminated")),"",IF(J487="","",IF(J487&lt;TODAY(),"Expired",IF(J487&lt;=TODAY()+60,"Expiring Soon","OK"))))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4"/>
      <c r="G488" s="35"/>
      <c r="H488" s="35"/>
      <c r="I488" s="32"/>
      <c r="J488" s="35"/>
      <c r="K488" s="33"/>
      <c r="L488" s="37" t="str">
        <f aca="true">IF(OR(B488="",OR(I488="Completed",I488="Terminated")),"",IF(J488="","",IF(J488&lt;TODAY(),"Expired",IF(J488&lt;=TODAY()+60,"Expiring Soon","OK"))))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4"/>
      <c r="G489" s="35"/>
      <c r="H489" s="35"/>
      <c r="I489" s="32"/>
      <c r="J489" s="35"/>
      <c r="K489" s="33"/>
      <c r="L489" s="37" t="str">
        <f aca="true">IF(OR(B489="",OR(I489="Completed",I489="Terminated")),"",IF(J489="","",IF(J489&lt;TODAY(),"Expired",IF(J489&lt;=TODAY()+60,"Expiring Soon","OK"))))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4"/>
      <c r="G490" s="35"/>
      <c r="H490" s="35"/>
      <c r="I490" s="32"/>
      <c r="J490" s="35"/>
      <c r="K490" s="33"/>
      <c r="L490" s="37" t="str">
        <f aca="true">IF(OR(B490="",OR(I490="Completed",I490="Terminated")),"",IF(J490="","",IF(J490&lt;TODAY(),"Expired",IF(J490&lt;=TODAY()+60,"Expiring Soon","OK"))))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4"/>
      <c r="G491" s="35"/>
      <c r="H491" s="35"/>
      <c r="I491" s="32"/>
      <c r="J491" s="35"/>
      <c r="K491" s="33"/>
      <c r="L491" s="37" t="str">
        <f aca="true">IF(OR(B491="",OR(I491="Completed",I491="Terminated")),"",IF(J491="","",IF(J491&lt;TODAY(),"Expired",IF(J491&lt;=TODAY()+60,"Expiring Soon","OK"))))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4"/>
      <c r="G492" s="35"/>
      <c r="H492" s="35"/>
      <c r="I492" s="32"/>
      <c r="J492" s="35"/>
      <c r="K492" s="33"/>
      <c r="L492" s="37" t="str">
        <f aca="true">IF(OR(B492="",OR(I492="Completed",I492="Terminated")),"",IF(J492="","",IF(J492&lt;TODAY(),"Expired",IF(J492&lt;=TODAY()+60,"Expiring Soon","OK"))))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4"/>
      <c r="G493" s="35"/>
      <c r="H493" s="35"/>
      <c r="I493" s="32"/>
      <c r="J493" s="35"/>
      <c r="K493" s="33"/>
      <c r="L493" s="37" t="str">
        <f aca="true">IF(OR(B493="",OR(I493="Completed",I493="Terminated")),"",IF(J493="","",IF(J493&lt;TODAY(),"Expired",IF(J493&lt;=TODAY()+60,"Expiring Soon","OK"))))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4"/>
      <c r="G494" s="35"/>
      <c r="H494" s="35"/>
      <c r="I494" s="32"/>
      <c r="J494" s="35"/>
      <c r="K494" s="33"/>
      <c r="L494" s="37" t="str">
        <f aca="true">IF(OR(B494="",OR(I494="Completed",I494="Terminated")),"",IF(J494="","",IF(J494&lt;TODAY(),"Expired",IF(J494&lt;=TODAY()+60,"Expiring Soon","OK"))))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4"/>
      <c r="G495" s="35"/>
      <c r="H495" s="35"/>
      <c r="I495" s="32"/>
      <c r="J495" s="35"/>
      <c r="K495" s="33"/>
      <c r="L495" s="37" t="str">
        <f aca="true">IF(OR(B495="",OR(I495="Completed",I495="Terminated")),"",IF(J495="","",IF(J495&lt;TODAY(),"Expired",IF(J495&lt;=TODAY()+60,"Expiring Soon","OK"))))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4"/>
      <c r="G496" s="35"/>
      <c r="H496" s="35"/>
      <c r="I496" s="32"/>
      <c r="J496" s="35"/>
      <c r="K496" s="33"/>
      <c r="L496" s="37" t="str">
        <f aca="true">IF(OR(B496="",OR(I496="Completed",I496="Terminated")),"",IF(J496="","",IF(J496&lt;TODAY(),"Expired",IF(J496&lt;=TODAY()+60,"Expiring Soon","OK"))))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4"/>
      <c r="G497" s="35"/>
      <c r="H497" s="35"/>
      <c r="I497" s="32"/>
      <c r="J497" s="35"/>
      <c r="K497" s="33"/>
      <c r="L497" s="37" t="str">
        <f aca="true">IF(OR(B497="",OR(I497="Completed",I497="Terminated")),"",IF(J497="","",IF(J497&lt;TODAY(),"Expired",IF(J497&lt;=TODAY()+60,"Expiring Soon","OK"))))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4"/>
      <c r="G498" s="35"/>
      <c r="H498" s="35"/>
      <c r="I498" s="32"/>
      <c r="J498" s="35"/>
      <c r="K498" s="33"/>
      <c r="L498" s="37" t="str">
        <f aca="true">IF(OR(B498="",OR(I498="Completed",I498="Terminated")),"",IF(J498="","",IF(J498&lt;TODAY(),"Expired",IF(J498&lt;=TODAY()+60,"Expiring Soon","OK"))))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4"/>
      <c r="G499" s="35"/>
      <c r="H499" s="35"/>
      <c r="I499" s="32"/>
      <c r="J499" s="35"/>
      <c r="K499" s="33"/>
      <c r="L499" s="37" t="str">
        <f aca="true">IF(OR(B499="",OR(I499="Completed",I499="Terminated")),"",IF(J499="","",IF(J499&lt;TODAY(),"Expired",IF(J499&lt;=TODAY()+60,"Expiring Soon","OK"))))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4"/>
      <c r="G500" s="35"/>
      <c r="H500" s="35"/>
      <c r="I500" s="32"/>
      <c r="J500" s="35"/>
      <c r="K500" s="33"/>
      <c r="L500" s="37" t="str">
        <f aca="true">IF(OR(B500="",OR(I500="Completed",I500="Terminated")),"",IF(J500="","",IF(J500&lt;TODAY(),"Expired",IF(J500&lt;=TODAY()+60,"Expiring Soon","OK"))))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4"/>
      <c r="G501" s="35"/>
      <c r="H501" s="35"/>
      <c r="I501" s="32"/>
      <c r="J501" s="35"/>
      <c r="K501" s="33"/>
      <c r="L501" s="37" t="str">
        <f aca="true">IF(OR(B501="",OR(I501="Completed",I501="Terminated")),"",IF(J501="","",IF(J501&lt;TODAY(),"Expired",IF(J501&lt;=TODAY()+60,"Expiring Soon","OK"))))</f>
        <v/>
      </c>
    </row>
  </sheetData>
  <autoFilter ref="A1:L501"/>
  <conditionalFormatting sqref="I2:I501">
    <cfRule type="expression" priority="2" aboveAverage="0" equalAverage="0" bottom="0" percent="0" rank="0" text="" dxfId="16">
      <formula>OR(I2="Done",I2="Closed",I2="Complete",I2="Paid")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H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lst_SubStatus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9" min="7" style="0" width="13"/>
    <col collapsed="false" customWidth="true" hidden="false" outlineLevel="0" max="10" min="10" style="0" width="2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17" t="s">
        <v>110</v>
      </c>
      <c r="B1" s="17" t="s">
        <v>193</v>
      </c>
      <c r="C1" s="17" t="s">
        <v>232</v>
      </c>
      <c r="D1" s="17" t="s">
        <v>300</v>
      </c>
      <c r="E1" s="17" t="s">
        <v>301</v>
      </c>
      <c r="F1" s="17" t="s">
        <v>111</v>
      </c>
      <c r="G1" s="17" t="s">
        <v>302</v>
      </c>
      <c r="H1" s="17" t="s">
        <v>303</v>
      </c>
      <c r="I1" s="17" t="s">
        <v>304</v>
      </c>
      <c r="J1" s="17" t="s">
        <v>235</v>
      </c>
      <c r="K1" s="31" t="s">
        <v>305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5"/>
      <c r="H2" s="35"/>
      <c r="I2" s="35"/>
      <c r="J2" s="33"/>
      <c r="K2" s="37" t="str">
        <f aca="true">IF(B2="","",IF(I2="","",IF(I2&lt;TODAY(),"Expired",IF(I2&lt;=TODAY()+60,"Expiring Soon","OK"))))</f>
        <v/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5"/>
      <c r="H3" s="35"/>
      <c r="I3" s="35"/>
      <c r="J3" s="33"/>
      <c r="K3" s="37" t="str">
        <f aca="true">IF(B3="","",IF(I3="","",IF(I3&lt;TODAY(),"Expired",IF(I3&lt;=TODAY()+60,"Expiring Soon","OK"))))</f>
        <v/>
      </c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5"/>
      <c r="H4" s="35"/>
      <c r="I4" s="35"/>
      <c r="J4" s="33"/>
      <c r="K4" s="37" t="str">
        <f aca="true">IF(B4="","",IF(I4="","",IF(I4&lt;TODAY(),"Expired",IF(I4&lt;=TODAY()+60,"Expiring Soon","OK"))))</f>
        <v/>
      </c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5"/>
      <c r="H5" s="35"/>
      <c r="I5" s="35"/>
      <c r="J5" s="33"/>
      <c r="K5" s="37" t="str">
        <f aca="true">IF(B5="","",IF(I5="","",IF(I5&lt;TODAY(),"Expired",IF(I5&lt;=TODAY()+60,"Expiring Soon","OK"))))</f>
        <v/>
      </c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5"/>
      <c r="H6" s="35"/>
      <c r="I6" s="35"/>
      <c r="J6" s="33"/>
      <c r="K6" s="37" t="str">
        <f aca="true">IF(B6="","",IF(I6="","",IF(I6&lt;TODAY(),"Expired",IF(I6&lt;=TODAY()+60,"Expiring Soon","OK"))))</f>
        <v/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5"/>
      <c r="H7" s="35"/>
      <c r="I7" s="35"/>
      <c r="J7" s="33"/>
      <c r="K7" s="37" t="str">
        <f aca="true">IF(B7="","",IF(I7="","",IF(I7&lt;TODAY(),"Expired",IF(I7&lt;=TODAY()+60,"Expiring Soon","OK"))))</f>
        <v/>
      </c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5"/>
      <c r="H8" s="35"/>
      <c r="I8" s="35"/>
      <c r="J8" s="33"/>
      <c r="K8" s="37" t="str">
        <f aca="true">IF(B8="","",IF(I8="","",IF(I8&lt;TODAY(),"Expired",IF(I8&lt;=TODAY()+60,"Expiring Soon","OK"))))</f>
        <v/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5"/>
      <c r="H9" s="35"/>
      <c r="I9" s="35"/>
      <c r="J9" s="33"/>
      <c r="K9" s="37" t="str">
        <f aca="true">IF(B9="","",IF(I9="","",IF(I9&lt;TODAY(),"Expired",IF(I9&lt;=TODAY()+60,"Expiring Soon","OK"))))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5"/>
      <c r="H10" s="35"/>
      <c r="I10" s="35"/>
      <c r="J10" s="33"/>
      <c r="K10" s="37" t="str">
        <f aca="true">IF(B10="","",IF(I10="","",IF(I10&lt;TODAY(),"Expired",IF(I10&lt;=TODAY()+60,"Expiring Soon","OK"))))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5"/>
      <c r="H11" s="35"/>
      <c r="I11" s="35"/>
      <c r="J11" s="33"/>
      <c r="K11" s="37" t="str">
        <f aca="true">IF(B11="","",IF(I11="","",IF(I11&lt;TODAY(),"Expired",IF(I11&lt;=TODAY()+60,"Expiring Soon","OK"))))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5"/>
      <c r="H12" s="35"/>
      <c r="I12" s="35"/>
      <c r="J12" s="33"/>
      <c r="K12" s="37" t="str">
        <f aca="true">IF(B12="","",IF(I12="","",IF(I12&lt;TODAY(),"Expired",IF(I12&lt;=TODAY()+60,"Expiring Soon","OK"))))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5"/>
      <c r="H13" s="35"/>
      <c r="I13" s="35"/>
      <c r="J13" s="33"/>
      <c r="K13" s="37" t="str">
        <f aca="true">IF(B13="","",IF(I13="","",IF(I13&lt;TODAY(),"Expired",IF(I13&lt;=TODAY()+60,"Expiring Soon","OK"))))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5"/>
      <c r="H14" s="35"/>
      <c r="I14" s="35"/>
      <c r="J14" s="33"/>
      <c r="K14" s="37" t="str">
        <f aca="true">IF(B14="","",IF(I14="","",IF(I14&lt;TODAY(),"Expired",IF(I14&lt;=TODAY()+60,"Expiring Soon","OK"))))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5"/>
      <c r="H15" s="35"/>
      <c r="I15" s="35"/>
      <c r="J15" s="33"/>
      <c r="K15" s="37" t="str">
        <f aca="true">IF(B15="","",IF(I15="","",IF(I15&lt;TODAY(),"Expired",IF(I15&lt;=TODAY()+60,"Expiring Soon","OK"))))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5"/>
      <c r="H16" s="35"/>
      <c r="I16" s="35"/>
      <c r="J16" s="33"/>
      <c r="K16" s="37" t="str">
        <f aca="true">IF(B16="","",IF(I16="","",IF(I16&lt;TODAY(),"Expired",IF(I16&lt;=TODAY()+60,"Expiring Soon","OK"))))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5"/>
      <c r="H17" s="35"/>
      <c r="I17" s="35"/>
      <c r="J17" s="33"/>
      <c r="K17" s="37" t="str">
        <f aca="true">IF(B17="","",IF(I17="","",IF(I17&lt;TODAY(),"Expired",IF(I17&lt;=TODAY()+60,"Expiring Soon","OK"))))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5"/>
      <c r="H18" s="35"/>
      <c r="I18" s="35"/>
      <c r="J18" s="33"/>
      <c r="K18" s="37" t="str">
        <f aca="true">IF(B18="","",IF(I18="","",IF(I18&lt;TODAY(),"Expired",IF(I18&lt;=TODAY()+60,"Expiring Soon","OK"))))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5"/>
      <c r="H19" s="35"/>
      <c r="I19" s="35"/>
      <c r="J19" s="33"/>
      <c r="K19" s="37" t="str">
        <f aca="true">IF(B19="","",IF(I19="","",IF(I19&lt;TODAY(),"Expired",IF(I19&lt;=TODAY()+60,"Expiring Soon","OK"))))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5"/>
      <c r="H20" s="35"/>
      <c r="I20" s="35"/>
      <c r="J20" s="33"/>
      <c r="K20" s="37" t="str">
        <f aca="true">IF(B20="","",IF(I20="","",IF(I20&lt;TODAY(),"Expired",IF(I20&lt;=TODAY()+60,"Expiring Soon","OK"))))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5"/>
      <c r="H21" s="35"/>
      <c r="I21" s="35"/>
      <c r="J21" s="33"/>
      <c r="K21" s="37" t="str">
        <f aca="true">IF(B21="","",IF(I21="","",IF(I21&lt;TODAY(),"Expired",IF(I21&lt;=TODAY()+60,"Expiring Soon","OK"))))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5"/>
      <c r="H22" s="35"/>
      <c r="I22" s="35"/>
      <c r="J22" s="33"/>
      <c r="K22" s="37" t="str">
        <f aca="true">IF(B22="","",IF(I22="","",IF(I22&lt;TODAY(),"Expired",IF(I22&lt;=TODAY()+60,"Expiring Soon","OK"))))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5"/>
      <c r="H23" s="35"/>
      <c r="I23" s="35"/>
      <c r="J23" s="33"/>
      <c r="K23" s="37" t="str">
        <f aca="true">IF(B23="","",IF(I23="","",IF(I23&lt;TODAY(),"Expired",IF(I23&lt;=TODAY()+60,"Expiring Soon","OK"))))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5"/>
      <c r="H24" s="35"/>
      <c r="I24" s="35"/>
      <c r="J24" s="33"/>
      <c r="K24" s="37" t="str">
        <f aca="true">IF(B24="","",IF(I24="","",IF(I24&lt;TODAY(),"Expired",IF(I24&lt;=TODAY()+60,"Expiring Soon","OK"))))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5"/>
      <c r="H25" s="35"/>
      <c r="I25" s="35"/>
      <c r="J25" s="33"/>
      <c r="K25" s="37" t="str">
        <f aca="true">IF(B25="","",IF(I25="","",IF(I25&lt;TODAY(),"Expired",IF(I25&lt;=TODAY()+60,"Expiring Soon","OK"))))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5"/>
      <c r="H26" s="35"/>
      <c r="I26" s="35"/>
      <c r="J26" s="33"/>
      <c r="K26" s="37" t="str">
        <f aca="true">IF(B26="","",IF(I26="","",IF(I26&lt;TODAY(),"Expired",IF(I26&lt;=TODAY()+60,"Expiring Soon","OK"))))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5"/>
      <c r="H27" s="35"/>
      <c r="I27" s="35"/>
      <c r="J27" s="33"/>
      <c r="K27" s="37" t="str">
        <f aca="true">IF(B27="","",IF(I27="","",IF(I27&lt;TODAY(),"Expired",IF(I27&lt;=TODAY()+60,"Expiring Soon","OK"))))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5"/>
      <c r="H28" s="35"/>
      <c r="I28" s="35"/>
      <c r="J28" s="33"/>
      <c r="K28" s="37" t="str">
        <f aca="true">IF(B28="","",IF(I28="","",IF(I28&lt;TODAY(),"Expired",IF(I28&lt;=TODAY()+60,"Expiring Soon","OK"))))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5"/>
      <c r="H29" s="35"/>
      <c r="I29" s="35"/>
      <c r="J29" s="33"/>
      <c r="K29" s="37" t="str">
        <f aca="true">IF(B29="","",IF(I29="","",IF(I29&lt;TODAY(),"Expired",IF(I29&lt;=TODAY()+60,"Expiring Soon","OK"))))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5"/>
      <c r="H30" s="35"/>
      <c r="I30" s="35"/>
      <c r="J30" s="33"/>
      <c r="K30" s="37" t="str">
        <f aca="true">IF(B30="","",IF(I30="","",IF(I30&lt;TODAY(),"Expired",IF(I30&lt;=TODAY()+60,"Expiring Soon","OK"))))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5"/>
      <c r="H31" s="35"/>
      <c r="I31" s="35"/>
      <c r="J31" s="33"/>
      <c r="K31" s="37" t="str">
        <f aca="true">IF(B31="","",IF(I31="","",IF(I31&lt;TODAY(),"Expired",IF(I31&lt;=TODAY()+60,"Expiring Soon","OK"))))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5"/>
      <c r="H32" s="35"/>
      <c r="I32" s="35"/>
      <c r="J32" s="33"/>
      <c r="K32" s="37" t="str">
        <f aca="true">IF(B32="","",IF(I32="","",IF(I32&lt;TODAY(),"Expired",IF(I32&lt;=TODAY()+60,"Expiring Soon","OK"))))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5"/>
      <c r="H33" s="35"/>
      <c r="I33" s="35"/>
      <c r="J33" s="33"/>
      <c r="K33" s="37" t="str">
        <f aca="true">IF(B33="","",IF(I33="","",IF(I33&lt;TODAY(),"Expired",IF(I33&lt;=TODAY()+60,"Expiring Soon","OK"))))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5"/>
      <c r="H34" s="35"/>
      <c r="I34" s="35"/>
      <c r="J34" s="33"/>
      <c r="K34" s="37" t="str">
        <f aca="true">IF(B34="","",IF(I34="","",IF(I34&lt;TODAY(),"Expired",IF(I34&lt;=TODAY()+60,"Expiring Soon","OK"))))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5"/>
      <c r="H35" s="35"/>
      <c r="I35" s="35"/>
      <c r="J35" s="33"/>
      <c r="K35" s="37" t="str">
        <f aca="true">IF(B35="","",IF(I35="","",IF(I35&lt;TODAY(),"Expired",IF(I35&lt;=TODAY()+60,"Expiring Soon","OK"))))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5"/>
      <c r="H36" s="35"/>
      <c r="I36" s="35"/>
      <c r="J36" s="33"/>
      <c r="K36" s="37" t="str">
        <f aca="true">IF(B36="","",IF(I36="","",IF(I36&lt;TODAY(),"Expired",IF(I36&lt;=TODAY()+60,"Expiring Soon","OK"))))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5"/>
      <c r="H37" s="35"/>
      <c r="I37" s="35"/>
      <c r="J37" s="33"/>
      <c r="K37" s="37" t="str">
        <f aca="true">IF(B37="","",IF(I37="","",IF(I37&lt;TODAY(),"Expired",IF(I37&lt;=TODAY()+60,"Expiring Soon","OK"))))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5"/>
      <c r="H38" s="35"/>
      <c r="I38" s="35"/>
      <c r="J38" s="33"/>
      <c r="K38" s="37" t="str">
        <f aca="true">IF(B38="","",IF(I38="","",IF(I38&lt;TODAY(),"Expired",IF(I38&lt;=TODAY()+60,"Expiring Soon","OK"))))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5"/>
      <c r="H39" s="35"/>
      <c r="I39" s="35"/>
      <c r="J39" s="33"/>
      <c r="K39" s="37" t="str">
        <f aca="true">IF(B39="","",IF(I39="","",IF(I39&lt;TODAY(),"Expired",IF(I39&lt;=TODAY()+60,"Expiring Soon","OK"))))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5"/>
      <c r="H40" s="35"/>
      <c r="I40" s="35"/>
      <c r="J40" s="33"/>
      <c r="K40" s="37" t="str">
        <f aca="true">IF(B40="","",IF(I40="","",IF(I40&lt;TODAY(),"Expired",IF(I40&lt;=TODAY()+60,"Expiring Soon","OK"))))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5"/>
      <c r="H41" s="35"/>
      <c r="I41" s="35"/>
      <c r="J41" s="33"/>
      <c r="K41" s="37" t="str">
        <f aca="true">IF(B41="","",IF(I41="","",IF(I41&lt;TODAY(),"Expired",IF(I41&lt;=TODAY()+60,"Expiring Soon","OK"))))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5"/>
      <c r="H42" s="35"/>
      <c r="I42" s="35"/>
      <c r="J42" s="33"/>
      <c r="K42" s="37" t="str">
        <f aca="true">IF(B42="","",IF(I42="","",IF(I42&lt;TODAY(),"Expired",IF(I42&lt;=TODAY()+60,"Expiring Soon","OK"))))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5"/>
      <c r="H43" s="35"/>
      <c r="I43" s="35"/>
      <c r="J43" s="33"/>
      <c r="K43" s="37" t="str">
        <f aca="true">IF(B43="","",IF(I43="","",IF(I43&lt;TODAY(),"Expired",IF(I43&lt;=TODAY()+60,"Expiring Soon","OK"))))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5"/>
      <c r="H44" s="35"/>
      <c r="I44" s="35"/>
      <c r="J44" s="33"/>
      <c r="K44" s="37" t="str">
        <f aca="true">IF(B44="","",IF(I44="","",IF(I44&lt;TODAY(),"Expired",IF(I44&lt;=TODAY()+60,"Expiring Soon","OK"))))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5"/>
      <c r="H45" s="35"/>
      <c r="I45" s="35"/>
      <c r="J45" s="33"/>
      <c r="K45" s="37" t="str">
        <f aca="true">IF(B45="","",IF(I45="","",IF(I45&lt;TODAY(),"Expired",IF(I45&lt;=TODAY()+60,"Expiring Soon","OK"))))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5"/>
      <c r="H46" s="35"/>
      <c r="I46" s="35"/>
      <c r="J46" s="33"/>
      <c r="K46" s="37" t="str">
        <f aca="true">IF(B46="","",IF(I46="","",IF(I46&lt;TODAY(),"Expired",IF(I46&lt;=TODAY()+60,"Expiring Soon","OK"))))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5"/>
      <c r="H47" s="35"/>
      <c r="I47" s="35"/>
      <c r="J47" s="33"/>
      <c r="K47" s="37" t="str">
        <f aca="true">IF(B47="","",IF(I47="","",IF(I47&lt;TODAY(),"Expired",IF(I47&lt;=TODAY()+60,"Expiring Soon","OK"))))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5"/>
      <c r="H48" s="35"/>
      <c r="I48" s="35"/>
      <c r="J48" s="33"/>
      <c r="K48" s="37" t="str">
        <f aca="true">IF(B48="","",IF(I48="","",IF(I48&lt;TODAY(),"Expired",IF(I48&lt;=TODAY()+60,"Expiring Soon","OK"))))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5"/>
      <c r="H49" s="35"/>
      <c r="I49" s="35"/>
      <c r="J49" s="33"/>
      <c r="K49" s="37" t="str">
        <f aca="true">IF(B49="","",IF(I49="","",IF(I49&lt;TODAY(),"Expired",IF(I49&lt;=TODAY()+60,"Expiring Soon","OK"))))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5"/>
      <c r="H50" s="35"/>
      <c r="I50" s="35"/>
      <c r="J50" s="33"/>
      <c r="K50" s="37" t="str">
        <f aca="true">IF(B50="","",IF(I50="","",IF(I50&lt;TODAY(),"Expired",IF(I50&lt;=TODAY()+60,"Expiring Soon","OK"))))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5"/>
      <c r="H51" s="35"/>
      <c r="I51" s="35"/>
      <c r="J51" s="33"/>
      <c r="K51" s="37" t="str">
        <f aca="true">IF(B51="","",IF(I51="","",IF(I51&lt;TODAY(),"Expired",IF(I51&lt;=TODAY()+60,"Expiring Soon","OK"))))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5"/>
      <c r="H52" s="35"/>
      <c r="I52" s="35"/>
      <c r="J52" s="33"/>
      <c r="K52" s="37" t="str">
        <f aca="true">IF(B52="","",IF(I52="","",IF(I52&lt;TODAY(),"Expired",IF(I52&lt;=TODAY()+60,"Expiring Soon","OK"))))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5"/>
      <c r="H53" s="35"/>
      <c r="I53" s="35"/>
      <c r="J53" s="33"/>
      <c r="K53" s="37" t="str">
        <f aca="true">IF(B53="","",IF(I53="","",IF(I53&lt;TODAY(),"Expired",IF(I53&lt;=TODAY()+60,"Expiring Soon","OK"))))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5"/>
      <c r="H54" s="35"/>
      <c r="I54" s="35"/>
      <c r="J54" s="33"/>
      <c r="K54" s="37" t="str">
        <f aca="true">IF(B54="","",IF(I54="","",IF(I54&lt;TODAY(),"Expired",IF(I54&lt;=TODAY()+60,"Expiring Soon","OK"))))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5"/>
      <c r="H55" s="35"/>
      <c r="I55" s="35"/>
      <c r="J55" s="33"/>
      <c r="K55" s="37" t="str">
        <f aca="true">IF(B55="","",IF(I55="","",IF(I55&lt;TODAY(),"Expired",IF(I55&lt;=TODAY()+60,"Expiring Soon","OK"))))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5"/>
      <c r="H56" s="35"/>
      <c r="I56" s="35"/>
      <c r="J56" s="33"/>
      <c r="K56" s="37" t="str">
        <f aca="true">IF(B56="","",IF(I56="","",IF(I56&lt;TODAY(),"Expired",IF(I56&lt;=TODAY()+60,"Expiring Soon","OK"))))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5"/>
      <c r="H57" s="35"/>
      <c r="I57" s="35"/>
      <c r="J57" s="33"/>
      <c r="K57" s="37" t="str">
        <f aca="true">IF(B57="","",IF(I57="","",IF(I57&lt;TODAY(),"Expired",IF(I57&lt;=TODAY()+60,"Expiring Soon","OK"))))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5"/>
      <c r="H58" s="35"/>
      <c r="I58" s="35"/>
      <c r="J58" s="33"/>
      <c r="K58" s="37" t="str">
        <f aca="true">IF(B58="","",IF(I58="","",IF(I58&lt;TODAY(),"Expired",IF(I58&lt;=TODAY()+60,"Expiring Soon","OK"))))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5"/>
      <c r="H59" s="35"/>
      <c r="I59" s="35"/>
      <c r="J59" s="33"/>
      <c r="K59" s="37" t="str">
        <f aca="true">IF(B59="","",IF(I59="","",IF(I59&lt;TODAY(),"Expired",IF(I59&lt;=TODAY()+60,"Expiring Soon","OK"))))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5"/>
      <c r="H60" s="35"/>
      <c r="I60" s="35"/>
      <c r="J60" s="33"/>
      <c r="K60" s="37" t="str">
        <f aca="true">IF(B60="","",IF(I60="","",IF(I60&lt;TODAY(),"Expired",IF(I60&lt;=TODAY()+60,"Expiring Soon","OK"))))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5"/>
      <c r="H61" s="35"/>
      <c r="I61" s="35"/>
      <c r="J61" s="33"/>
      <c r="K61" s="37" t="str">
        <f aca="true">IF(B61="","",IF(I61="","",IF(I61&lt;TODAY(),"Expired",IF(I61&lt;=TODAY()+60,"Expiring Soon","OK"))))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5"/>
      <c r="H62" s="35"/>
      <c r="I62" s="35"/>
      <c r="J62" s="33"/>
      <c r="K62" s="37" t="str">
        <f aca="true">IF(B62="","",IF(I62="","",IF(I62&lt;TODAY(),"Expired",IF(I62&lt;=TODAY()+60,"Expiring Soon","OK"))))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5"/>
      <c r="H63" s="35"/>
      <c r="I63" s="35"/>
      <c r="J63" s="33"/>
      <c r="K63" s="37" t="str">
        <f aca="true">IF(B63="","",IF(I63="","",IF(I63&lt;TODAY(),"Expired",IF(I63&lt;=TODAY()+60,"Expiring Soon","OK"))))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5"/>
      <c r="H64" s="35"/>
      <c r="I64" s="35"/>
      <c r="J64" s="33"/>
      <c r="K64" s="37" t="str">
        <f aca="true">IF(B64="","",IF(I64="","",IF(I64&lt;TODAY(),"Expired",IF(I64&lt;=TODAY()+60,"Expiring Soon","OK"))))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5"/>
      <c r="H65" s="35"/>
      <c r="I65" s="35"/>
      <c r="J65" s="33"/>
      <c r="K65" s="37" t="str">
        <f aca="true">IF(B65="","",IF(I65="","",IF(I65&lt;TODAY(),"Expired",IF(I65&lt;=TODAY()+60,"Expiring Soon","OK"))))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5"/>
      <c r="H66" s="35"/>
      <c r="I66" s="35"/>
      <c r="J66" s="33"/>
      <c r="K66" s="37" t="str">
        <f aca="true">IF(B66="","",IF(I66="","",IF(I66&lt;TODAY(),"Expired",IF(I66&lt;=TODAY()+60,"Expiring Soon","OK"))))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5"/>
      <c r="H67" s="35"/>
      <c r="I67" s="35"/>
      <c r="J67" s="33"/>
      <c r="K67" s="37" t="str">
        <f aca="true">IF(B67="","",IF(I67="","",IF(I67&lt;TODAY(),"Expired",IF(I67&lt;=TODAY()+60,"Expiring Soon","OK"))))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5"/>
      <c r="H68" s="35"/>
      <c r="I68" s="35"/>
      <c r="J68" s="33"/>
      <c r="K68" s="37" t="str">
        <f aca="true">IF(B68="","",IF(I68="","",IF(I68&lt;TODAY(),"Expired",IF(I68&lt;=TODAY()+60,"Expiring Soon","OK"))))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5"/>
      <c r="H69" s="35"/>
      <c r="I69" s="35"/>
      <c r="J69" s="33"/>
      <c r="K69" s="37" t="str">
        <f aca="true">IF(B69="","",IF(I69="","",IF(I69&lt;TODAY(),"Expired",IF(I69&lt;=TODAY()+60,"Expiring Soon","OK"))))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5"/>
      <c r="H70" s="35"/>
      <c r="I70" s="35"/>
      <c r="J70" s="33"/>
      <c r="K70" s="37" t="str">
        <f aca="true">IF(B70="","",IF(I70="","",IF(I70&lt;TODAY(),"Expired",IF(I70&lt;=TODAY()+60,"Expiring Soon","OK"))))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5"/>
      <c r="H71" s="35"/>
      <c r="I71" s="35"/>
      <c r="J71" s="33"/>
      <c r="K71" s="37" t="str">
        <f aca="true">IF(B71="","",IF(I71="","",IF(I71&lt;TODAY(),"Expired",IF(I71&lt;=TODAY()+60,"Expiring Soon","OK"))))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5"/>
      <c r="H72" s="35"/>
      <c r="I72" s="35"/>
      <c r="J72" s="33"/>
      <c r="K72" s="37" t="str">
        <f aca="true">IF(B72="","",IF(I72="","",IF(I72&lt;TODAY(),"Expired",IF(I72&lt;=TODAY()+60,"Expiring Soon","OK"))))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5"/>
      <c r="H73" s="35"/>
      <c r="I73" s="35"/>
      <c r="J73" s="33"/>
      <c r="K73" s="37" t="str">
        <f aca="true">IF(B73="","",IF(I73="","",IF(I73&lt;TODAY(),"Expired",IF(I73&lt;=TODAY()+60,"Expiring Soon","OK"))))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5"/>
      <c r="H74" s="35"/>
      <c r="I74" s="35"/>
      <c r="J74" s="33"/>
      <c r="K74" s="37" t="str">
        <f aca="true">IF(B74="","",IF(I74="","",IF(I74&lt;TODAY(),"Expired",IF(I74&lt;=TODAY()+60,"Expiring Soon","OK"))))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5"/>
      <c r="H75" s="35"/>
      <c r="I75" s="35"/>
      <c r="J75" s="33"/>
      <c r="K75" s="37" t="str">
        <f aca="true">IF(B75="","",IF(I75="","",IF(I75&lt;TODAY(),"Expired",IF(I75&lt;=TODAY()+60,"Expiring Soon","OK"))))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5"/>
      <c r="H76" s="35"/>
      <c r="I76" s="35"/>
      <c r="J76" s="33"/>
      <c r="K76" s="37" t="str">
        <f aca="true">IF(B76="","",IF(I76="","",IF(I76&lt;TODAY(),"Expired",IF(I76&lt;=TODAY()+60,"Expiring Soon","OK"))))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5"/>
      <c r="H77" s="35"/>
      <c r="I77" s="35"/>
      <c r="J77" s="33"/>
      <c r="K77" s="37" t="str">
        <f aca="true">IF(B77="","",IF(I77="","",IF(I77&lt;TODAY(),"Expired",IF(I77&lt;=TODAY()+60,"Expiring Soon","OK"))))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5"/>
      <c r="H78" s="35"/>
      <c r="I78" s="35"/>
      <c r="J78" s="33"/>
      <c r="K78" s="37" t="str">
        <f aca="true">IF(B78="","",IF(I78="","",IF(I78&lt;TODAY(),"Expired",IF(I78&lt;=TODAY()+60,"Expiring Soon","OK"))))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5"/>
      <c r="H79" s="35"/>
      <c r="I79" s="35"/>
      <c r="J79" s="33"/>
      <c r="K79" s="37" t="str">
        <f aca="true">IF(B79="","",IF(I79="","",IF(I79&lt;TODAY(),"Expired",IF(I79&lt;=TODAY()+60,"Expiring Soon","OK"))))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5"/>
      <c r="H80" s="35"/>
      <c r="I80" s="35"/>
      <c r="J80" s="33"/>
      <c r="K80" s="37" t="str">
        <f aca="true">IF(B80="","",IF(I80="","",IF(I80&lt;TODAY(),"Expired",IF(I80&lt;=TODAY()+60,"Expiring Soon","OK"))))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5"/>
      <c r="H81" s="35"/>
      <c r="I81" s="35"/>
      <c r="J81" s="33"/>
      <c r="K81" s="37" t="str">
        <f aca="true">IF(B81="","",IF(I81="","",IF(I81&lt;TODAY(),"Expired",IF(I81&lt;=TODAY()+60,"Expiring Soon","OK"))))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5"/>
      <c r="H82" s="35"/>
      <c r="I82" s="35"/>
      <c r="J82" s="33"/>
      <c r="K82" s="37" t="str">
        <f aca="true">IF(B82="","",IF(I82="","",IF(I82&lt;TODAY(),"Expired",IF(I82&lt;=TODAY()+60,"Expiring Soon","OK"))))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5"/>
      <c r="H83" s="35"/>
      <c r="I83" s="35"/>
      <c r="J83" s="33"/>
      <c r="K83" s="37" t="str">
        <f aca="true">IF(B83="","",IF(I83="","",IF(I83&lt;TODAY(),"Expired",IF(I83&lt;=TODAY()+60,"Expiring Soon","OK"))))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5"/>
      <c r="H84" s="35"/>
      <c r="I84" s="35"/>
      <c r="J84" s="33"/>
      <c r="K84" s="37" t="str">
        <f aca="true">IF(B84="","",IF(I84="","",IF(I84&lt;TODAY(),"Expired",IF(I84&lt;=TODAY()+60,"Expiring Soon","OK"))))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5"/>
      <c r="H85" s="35"/>
      <c r="I85" s="35"/>
      <c r="J85" s="33"/>
      <c r="K85" s="37" t="str">
        <f aca="true">IF(B85="","",IF(I85="","",IF(I85&lt;TODAY(),"Expired",IF(I85&lt;=TODAY()+60,"Expiring Soon","OK"))))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5"/>
      <c r="H86" s="35"/>
      <c r="I86" s="35"/>
      <c r="J86" s="33"/>
      <c r="K86" s="37" t="str">
        <f aca="true">IF(B86="","",IF(I86="","",IF(I86&lt;TODAY(),"Expired",IF(I86&lt;=TODAY()+60,"Expiring Soon","OK"))))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5"/>
      <c r="H87" s="35"/>
      <c r="I87" s="35"/>
      <c r="J87" s="33"/>
      <c r="K87" s="37" t="str">
        <f aca="true">IF(B87="","",IF(I87="","",IF(I87&lt;TODAY(),"Expired",IF(I87&lt;=TODAY()+60,"Expiring Soon","OK"))))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5"/>
      <c r="H88" s="35"/>
      <c r="I88" s="35"/>
      <c r="J88" s="33"/>
      <c r="K88" s="37" t="str">
        <f aca="true">IF(B88="","",IF(I88="","",IF(I88&lt;TODAY(),"Expired",IF(I88&lt;=TODAY()+60,"Expiring Soon","OK"))))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5"/>
      <c r="H89" s="35"/>
      <c r="I89" s="35"/>
      <c r="J89" s="33"/>
      <c r="K89" s="37" t="str">
        <f aca="true">IF(B89="","",IF(I89="","",IF(I89&lt;TODAY(),"Expired",IF(I89&lt;=TODAY()+60,"Expiring Soon","OK"))))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5"/>
      <c r="H90" s="35"/>
      <c r="I90" s="35"/>
      <c r="J90" s="33"/>
      <c r="K90" s="37" t="str">
        <f aca="true">IF(B90="","",IF(I90="","",IF(I90&lt;TODAY(),"Expired",IF(I90&lt;=TODAY()+60,"Expiring Soon","OK"))))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5"/>
      <c r="H91" s="35"/>
      <c r="I91" s="35"/>
      <c r="J91" s="33"/>
      <c r="K91" s="37" t="str">
        <f aca="true">IF(B91="","",IF(I91="","",IF(I91&lt;TODAY(),"Expired",IF(I91&lt;=TODAY()+60,"Expiring Soon","OK"))))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5"/>
      <c r="H92" s="35"/>
      <c r="I92" s="35"/>
      <c r="J92" s="33"/>
      <c r="K92" s="37" t="str">
        <f aca="true">IF(B92="","",IF(I92="","",IF(I92&lt;TODAY(),"Expired",IF(I92&lt;=TODAY()+60,"Expiring Soon","OK"))))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5"/>
      <c r="H93" s="35"/>
      <c r="I93" s="35"/>
      <c r="J93" s="33"/>
      <c r="K93" s="37" t="str">
        <f aca="true">IF(B93="","",IF(I93="","",IF(I93&lt;TODAY(),"Expired",IF(I93&lt;=TODAY()+60,"Expiring Soon","OK"))))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5"/>
      <c r="H94" s="35"/>
      <c r="I94" s="35"/>
      <c r="J94" s="33"/>
      <c r="K94" s="37" t="str">
        <f aca="true">IF(B94="","",IF(I94="","",IF(I94&lt;TODAY(),"Expired",IF(I94&lt;=TODAY()+60,"Expiring Soon","OK"))))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5"/>
      <c r="H95" s="35"/>
      <c r="I95" s="35"/>
      <c r="J95" s="33"/>
      <c r="K95" s="37" t="str">
        <f aca="true">IF(B95="","",IF(I95="","",IF(I95&lt;TODAY(),"Expired",IF(I95&lt;=TODAY()+60,"Expiring Soon","OK"))))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5"/>
      <c r="H96" s="35"/>
      <c r="I96" s="35"/>
      <c r="J96" s="33"/>
      <c r="K96" s="37" t="str">
        <f aca="true">IF(B96="","",IF(I96="","",IF(I96&lt;TODAY(),"Expired",IF(I96&lt;=TODAY()+60,"Expiring Soon","OK"))))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5"/>
      <c r="H97" s="35"/>
      <c r="I97" s="35"/>
      <c r="J97" s="33"/>
      <c r="K97" s="37" t="str">
        <f aca="true">IF(B97="","",IF(I97="","",IF(I97&lt;TODAY(),"Expired",IF(I97&lt;=TODAY()+60,"Expiring Soon","OK"))))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5"/>
      <c r="H98" s="35"/>
      <c r="I98" s="35"/>
      <c r="J98" s="33"/>
      <c r="K98" s="37" t="str">
        <f aca="true">IF(B98="","",IF(I98="","",IF(I98&lt;TODAY(),"Expired",IF(I98&lt;=TODAY()+60,"Expiring Soon","OK"))))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5"/>
      <c r="H99" s="35"/>
      <c r="I99" s="35"/>
      <c r="J99" s="33"/>
      <c r="K99" s="37" t="str">
        <f aca="true">IF(B99="","",IF(I99="","",IF(I99&lt;TODAY(),"Expired",IF(I99&lt;=TODAY()+60,"Expiring Soon","OK"))))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5"/>
      <c r="H100" s="35"/>
      <c r="I100" s="35"/>
      <c r="J100" s="33"/>
      <c r="K100" s="37" t="str">
        <f aca="true">IF(B100="","",IF(I100="","",IF(I100&lt;TODAY(),"Expired",IF(I100&lt;=TODAY()+60,"Expiring Soon","OK"))))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5"/>
      <c r="H101" s="35"/>
      <c r="I101" s="35"/>
      <c r="J101" s="33"/>
      <c r="K101" s="37" t="str">
        <f aca="true">IF(B101="","",IF(I101="","",IF(I101&lt;TODAY(),"Expired",IF(I101&lt;=TODAY()+60,"Expiring Soon","OK"))))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5"/>
      <c r="H102" s="35"/>
      <c r="I102" s="35"/>
      <c r="J102" s="33"/>
      <c r="K102" s="37" t="str">
        <f aca="true">IF(B102="","",IF(I102="","",IF(I102&lt;TODAY(),"Expired",IF(I102&lt;=TODAY()+60,"Expiring Soon","OK"))))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5"/>
      <c r="H103" s="35"/>
      <c r="I103" s="35"/>
      <c r="J103" s="33"/>
      <c r="K103" s="37" t="str">
        <f aca="true">IF(B103="","",IF(I103="","",IF(I103&lt;TODAY(),"Expired",IF(I103&lt;=TODAY()+60,"Expiring Soon","OK"))))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5"/>
      <c r="H104" s="35"/>
      <c r="I104" s="35"/>
      <c r="J104" s="33"/>
      <c r="K104" s="37" t="str">
        <f aca="true">IF(B104="","",IF(I104="","",IF(I104&lt;TODAY(),"Expired",IF(I104&lt;=TODAY()+60,"Expiring Soon","OK"))))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5"/>
      <c r="H105" s="35"/>
      <c r="I105" s="35"/>
      <c r="J105" s="33"/>
      <c r="K105" s="37" t="str">
        <f aca="true">IF(B105="","",IF(I105="","",IF(I105&lt;TODAY(),"Expired",IF(I105&lt;=TODAY()+60,"Expiring Soon","OK"))))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5"/>
      <c r="H106" s="35"/>
      <c r="I106" s="35"/>
      <c r="J106" s="33"/>
      <c r="K106" s="37" t="str">
        <f aca="true">IF(B106="","",IF(I106="","",IF(I106&lt;TODAY(),"Expired",IF(I106&lt;=TODAY()+60,"Expiring Soon","OK"))))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5"/>
      <c r="H107" s="35"/>
      <c r="I107" s="35"/>
      <c r="J107" s="33"/>
      <c r="K107" s="37" t="str">
        <f aca="true">IF(B107="","",IF(I107="","",IF(I107&lt;TODAY(),"Expired",IF(I107&lt;=TODAY()+60,"Expiring Soon","OK"))))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5"/>
      <c r="H108" s="35"/>
      <c r="I108" s="35"/>
      <c r="J108" s="33"/>
      <c r="K108" s="37" t="str">
        <f aca="true">IF(B108="","",IF(I108="","",IF(I108&lt;TODAY(),"Expired",IF(I108&lt;=TODAY()+60,"Expiring Soon","OK"))))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5"/>
      <c r="H109" s="35"/>
      <c r="I109" s="35"/>
      <c r="J109" s="33"/>
      <c r="K109" s="37" t="str">
        <f aca="true">IF(B109="","",IF(I109="","",IF(I109&lt;TODAY(),"Expired",IF(I109&lt;=TODAY()+60,"Expiring Soon","OK"))))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5"/>
      <c r="H110" s="35"/>
      <c r="I110" s="35"/>
      <c r="J110" s="33"/>
      <c r="K110" s="37" t="str">
        <f aca="true">IF(B110="","",IF(I110="","",IF(I110&lt;TODAY(),"Expired",IF(I110&lt;=TODAY()+60,"Expiring Soon","OK"))))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5"/>
      <c r="H111" s="35"/>
      <c r="I111" s="35"/>
      <c r="J111" s="33"/>
      <c r="K111" s="37" t="str">
        <f aca="true">IF(B111="","",IF(I111="","",IF(I111&lt;TODAY(),"Expired",IF(I111&lt;=TODAY()+60,"Expiring Soon","OK"))))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5"/>
      <c r="H112" s="35"/>
      <c r="I112" s="35"/>
      <c r="J112" s="33"/>
      <c r="K112" s="37" t="str">
        <f aca="true">IF(B112="","",IF(I112="","",IF(I112&lt;TODAY(),"Expired",IF(I112&lt;=TODAY()+60,"Expiring Soon","OK"))))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5"/>
      <c r="H113" s="35"/>
      <c r="I113" s="35"/>
      <c r="J113" s="33"/>
      <c r="K113" s="37" t="str">
        <f aca="true">IF(B113="","",IF(I113="","",IF(I113&lt;TODAY(),"Expired",IF(I113&lt;=TODAY()+60,"Expiring Soon","OK"))))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5"/>
      <c r="H114" s="35"/>
      <c r="I114" s="35"/>
      <c r="J114" s="33"/>
      <c r="K114" s="37" t="str">
        <f aca="true">IF(B114="","",IF(I114="","",IF(I114&lt;TODAY(),"Expired",IF(I114&lt;=TODAY()+60,"Expiring Soon","OK"))))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5"/>
      <c r="H115" s="35"/>
      <c r="I115" s="35"/>
      <c r="J115" s="33"/>
      <c r="K115" s="37" t="str">
        <f aca="true">IF(B115="","",IF(I115="","",IF(I115&lt;TODAY(),"Expired",IF(I115&lt;=TODAY()+60,"Expiring Soon","OK"))))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5"/>
      <c r="H116" s="35"/>
      <c r="I116" s="35"/>
      <c r="J116" s="33"/>
      <c r="K116" s="37" t="str">
        <f aca="true">IF(B116="","",IF(I116="","",IF(I116&lt;TODAY(),"Expired",IF(I116&lt;=TODAY()+60,"Expiring Soon","OK"))))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5"/>
      <c r="H117" s="35"/>
      <c r="I117" s="35"/>
      <c r="J117" s="33"/>
      <c r="K117" s="37" t="str">
        <f aca="true">IF(B117="","",IF(I117="","",IF(I117&lt;TODAY(),"Expired",IF(I117&lt;=TODAY()+60,"Expiring Soon","OK"))))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5"/>
      <c r="H118" s="35"/>
      <c r="I118" s="35"/>
      <c r="J118" s="33"/>
      <c r="K118" s="37" t="str">
        <f aca="true">IF(B118="","",IF(I118="","",IF(I118&lt;TODAY(),"Expired",IF(I118&lt;=TODAY()+60,"Expiring Soon","OK"))))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5"/>
      <c r="H119" s="35"/>
      <c r="I119" s="35"/>
      <c r="J119" s="33"/>
      <c r="K119" s="37" t="str">
        <f aca="true">IF(B119="","",IF(I119="","",IF(I119&lt;TODAY(),"Expired",IF(I119&lt;=TODAY()+60,"Expiring Soon","OK"))))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5"/>
      <c r="H120" s="35"/>
      <c r="I120" s="35"/>
      <c r="J120" s="33"/>
      <c r="K120" s="37" t="str">
        <f aca="true">IF(B120="","",IF(I120="","",IF(I120&lt;TODAY(),"Expired",IF(I120&lt;=TODAY()+60,"Expiring Soon","OK"))))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5"/>
      <c r="H121" s="35"/>
      <c r="I121" s="35"/>
      <c r="J121" s="33"/>
      <c r="K121" s="37" t="str">
        <f aca="true">IF(B121="","",IF(I121="","",IF(I121&lt;TODAY(),"Expired",IF(I121&lt;=TODAY()+60,"Expiring Soon","OK"))))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5"/>
      <c r="H122" s="35"/>
      <c r="I122" s="35"/>
      <c r="J122" s="33"/>
      <c r="K122" s="37" t="str">
        <f aca="true">IF(B122="","",IF(I122="","",IF(I122&lt;TODAY(),"Expired",IF(I122&lt;=TODAY()+60,"Expiring Soon","OK"))))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5"/>
      <c r="H123" s="35"/>
      <c r="I123" s="35"/>
      <c r="J123" s="33"/>
      <c r="K123" s="37" t="str">
        <f aca="true">IF(B123="","",IF(I123="","",IF(I123&lt;TODAY(),"Expired",IF(I123&lt;=TODAY()+60,"Expiring Soon","OK"))))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5"/>
      <c r="H124" s="35"/>
      <c r="I124" s="35"/>
      <c r="J124" s="33"/>
      <c r="K124" s="37" t="str">
        <f aca="true">IF(B124="","",IF(I124="","",IF(I124&lt;TODAY(),"Expired",IF(I124&lt;=TODAY()+60,"Expiring Soon","OK"))))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5"/>
      <c r="H125" s="35"/>
      <c r="I125" s="35"/>
      <c r="J125" s="33"/>
      <c r="K125" s="37" t="str">
        <f aca="true">IF(B125="","",IF(I125="","",IF(I125&lt;TODAY(),"Expired",IF(I125&lt;=TODAY()+60,"Expiring Soon","OK"))))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5"/>
      <c r="H126" s="35"/>
      <c r="I126" s="35"/>
      <c r="J126" s="33"/>
      <c r="K126" s="37" t="str">
        <f aca="true">IF(B126="","",IF(I126="","",IF(I126&lt;TODAY(),"Expired",IF(I126&lt;=TODAY()+60,"Expiring Soon","OK"))))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5"/>
      <c r="H127" s="35"/>
      <c r="I127" s="35"/>
      <c r="J127" s="33"/>
      <c r="K127" s="37" t="str">
        <f aca="true">IF(B127="","",IF(I127="","",IF(I127&lt;TODAY(),"Expired",IF(I127&lt;=TODAY()+60,"Expiring Soon","OK"))))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5"/>
      <c r="H128" s="35"/>
      <c r="I128" s="35"/>
      <c r="J128" s="33"/>
      <c r="K128" s="37" t="str">
        <f aca="true">IF(B128="","",IF(I128="","",IF(I128&lt;TODAY(),"Expired",IF(I128&lt;=TODAY()+60,"Expiring Soon","OK"))))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5"/>
      <c r="H129" s="35"/>
      <c r="I129" s="35"/>
      <c r="J129" s="33"/>
      <c r="K129" s="37" t="str">
        <f aca="true">IF(B129="","",IF(I129="","",IF(I129&lt;TODAY(),"Expired",IF(I129&lt;=TODAY()+60,"Expiring Soon","OK"))))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5"/>
      <c r="H130" s="35"/>
      <c r="I130" s="35"/>
      <c r="J130" s="33"/>
      <c r="K130" s="37" t="str">
        <f aca="true">IF(B130="","",IF(I130="","",IF(I130&lt;TODAY(),"Expired",IF(I130&lt;=TODAY()+60,"Expiring Soon","OK"))))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5"/>
      <c r="H131" s="35"/>
      <c r="I131" s="35"/>
      <c r="J131" s="33"/>
      <c r="K131" s="37" t="str">
        <f aca="true">IF(B131="","",IF(I131="","",IF(I131&lt;TODAY(),"Expired",IF(I131&lt;=TODAY()+60,"Expiring Soon","OK"))))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5"/>
      <c r="H132" s="35"/>
      <c r="I132" s="35"/>
      <c r="J132" s="33"/>
      <c r="K132" s="37" t="str">
        <f aca="true">IF(B132="","",IF(I132="","",IF(I132&lt;TODAY(),"Expired",IF(I132&lt;=TODAY()+60,"Expiring Soon","OK"))))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5"/>
      <c r="H133" s="35"/>
      <c r="I133" s="35"/>
      <c r="J133" s="33"/>
      <c r="K133" s="37" t="str">
        <f aca="true">IF(B133="","",IF(I133="","",IF(I133&lt;TODAY(),"Expired",IF(I133&lt;=TODAY()+60,"Expiring Soon","OK"))))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5"/>
      <c r="H134" s="35"/>
      <c r="I134" s="35"/>
      <c r="J134" s="33"/>
      <c r="K134" s="37" t="str">
        <f aca="true">IF(B134="","",IF(I134="","",IF(I134&lt;TODAY(),"Expired",IF(I134&lt;=TODAY()+60,"Expiring Soon","OK"))))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5"/>
      <c r="H135" s="35"/>
      <c r="I135" s="35"/>
      <c r="J135" s="33"/>
      <c r="K135" s="37" t="str">
        <f aca="true">IF(B135="","",IF(I135="","",IF(I135&lt;TODAY(),"Expired",IF(I135&lt;=TODAY()+60,"Expiring Soon","OK"))))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5"/>
      <c r="H136" s="35"/>
      <c r="I136" s="35"/>
      <c r="J136" s="33"/>
      <c r="K136" s="37" t="str">
        <f aca="true">IF(B136="","",IF(I136="","",IF(I136&lt;TODAY(),"Expired",IF(I136&lt;=TODAY()+60,"Expiring Soon","OK"))))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5"/>
      <c r="H137" s="35"/>
      <c r="I137" s="35"/>
      <c r="J137" s="33"/>
      <c r="K137" s="37" t="str">
        <f aca="true">IF(B137="","",IF(I137="","",IF(I137&lt;TODAY(),"Expired",IF(I137&lt;=TODAY()+60,"Expiring Soon","OK"))))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5"/>
      <c r="H138" s="35"/>
      <c r="I138" s="35"/>
      <c r="J138" s="33"/>
      <c r="K138" s="37" t="str">
        <f aca="true">IF(B138="","",IF(I138="","",IF(I138&lt;TODAY(),"Expired",IF(I138&lt;=TODAY()+60,"Expiring Soon","OK"))))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5"/>
      <c r="H139" s="35"/>
      <c r="I139" s="35"/>
      <c r="J139" s="33"/>
      <c r="K139" s="37" t="str">
        <f aca="true">IF(B139="","",IF(I139="","",IF(I139&lt;TODAY(),"Expired",IF(I139&lt;=TODAY()+60,"Expiring Soon","OK"))))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5"/>
      <c r="H140" s="35"/>
      <c r="I140" s="35"/>
      <c r="J140" s="33"/>
      <c r="K140" s="37" t="str">
        <f aca="true">IF(B140="","",IF(I140="","",IF(I140&lt;TODAY(),"Expired",IF(I140&lt;=TODAY()+60,"Expiring Soon","OK"))))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5"/>
      <c r="H141" s="35"/>
      <c r="I141" s="35"/>
      <c r="J141" s="33"/>
      <c r="K141" s="37" t="str">
        <f aca="true">IF(B141="","",IF(I141="","",IF(I141&lt;TODAY(),"Expired",IF(I141&lt;=TODAY()+60,"Expiring Soon","OK"))))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5"/>
      <c r="H142" s="35"/>
      <c r="I142" s="35"/>
      <c r="J142" s="33"/>
      <c r="K142" s="37" t="str">
        <f aca="true">IF(B142="","",IF(I142="","",IF(I142&lt;TODAY(),"Expired",IF(I142&lt;=TODAY()+60,"Expiring Soon","OK"))))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5"/>
      <c r="H143" s="35"/>
      <c r="I143" s="35"/>
      <c r="J143" s="33"/>
      <c r="K143" s="37" t="str">
        <f aca="true">IF(B143="","",IF(I143="","",IF(I143&lt;TODAY(),"Expired",IF(I143&lt;=TODAY()+60,"Expiring Soon","OK"))))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5"/>
      <c r="H144" s="35"/>
      <c r="I144" s="35"/>
      <c r="J144" s="33"/>
      <c r="K144" s="37" t="str">
        <f aca="true">IF(B144="","",IF(I144="","",IF(I144&lt;TODAY(),"Expired",IF(I144&lt;=TODAY()+60,"Expiring Soon","OK"))))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5"/>
      <c r="H145" s="35"/>
      <c r="I145" s="35"/>
      <c r="J145" s="33"/>
      <c r="K145" s="37" t="str">
        <f aca="true">IF(B145="","",IF(I145="","",IF(I145&lt;TODAY(),"Expired",IF(I145&lt;=TODAY()+60,"Expiring Soon","OK"))))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5"/>
      <c r="H146" s="35"/>
      <c r="I146" s="35"/>
      <c r="J146" s="33"/>
      <c r="K146" s="37" t="str">
        <f aca="true">IF(B146="","",IF(I146="","",IF(I146&lt;TODAY(),"Expired",IF(I146&lt;=TODAY()+60,"Expiring Soon","OK"))))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5"/>
      <c r="H147" s="35"/>
      <c r="I147" s="35"/>
      <c r="J147" s="33"/>
      <c r="K147" s="37" t="str">
        <f aca="true">IF(B147="","",IF(I147="","",IF(I147&lt;TODAY(),"Expired",IF(I147&lt;=TODAY()+60,"Expiring Soon","OK"))))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5"/>
      <c r="H148" s="35"/>
      <c r="I148" s="35"/>
      <c r="J148" s="33"/>
      <c r="K148" s="37" t="str">
        <f aca="true">IF(B148="","",IF(I148="","",IF(I148&lt;TODAY(),"Expired",IF(I148&lt;=TODAY()+60,"Expiring Soon","OK"))))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5"/>
      <c r="H149" s="35"/>
      <c r="I149" s="35"/>
      <c r="J149" s="33"/>
      <c r="K149" s="37" t="str">
        <f aca="true">IF(B149="","",IF(I149="","",IF(I149&lt;TODAY(),"Expired",IF(I149&lt;=TODAY()+60,"Expiring Soon","OK"))))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5"/>
      <c r="H150" s="35"/>
      <c r="I150" s="35"/>
      <c r="J150" s="33"/>
      <c r="K150" s="37" t="str">
        <f aca="true">IF(B150="","",IF(I150="","",IF(I150&lt;TODAY(),"Expired",IF(I150&lt;=TODAY()+60,"Expiring Soon","OK"))))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5"/>
      <c r="H151" s="35"/>
      <c r="I151" s="35"/>
      <c r="J151" s="33"/>
      <c r="K151" s="37" t="str">
        <f aca="true">IF(B151="","",IF(I151="","",IF(I151&lt;TODAY(),"Expired",IF(I151&lt;=TODAY()+60,"Expiring Soon","OK"))))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5"/>
      <c r="H152" s="35"/>
      <c r="I152" s="35"/>
      <c r="J152" s="33"/>
      <c r="K152" s="37" t="str">
        <f aca="true">IF(B152="","",IF(I152="","",IF(I152&lt;TODAY(),"Expired",IF(I152&lt;=TODAY()+60,"Expiring Soon","OK"))))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5"/>
      <c r="H153" s="35"/>
      <c r="I153" s="35"/>
      <c r="J153" s="33"/>
      <c r="K153" s="37" t="str">
        <f aca="true">IF(B153="","",IF(I153="","",IF(I153&lt;TODAY(),"Expired",IF(I153&lt;=TODAY()+60,"Expiring Soon","OK"))))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5"/>
      <c r="H154" s="35"/>
      <c r="I154" s="35"/>
      <c r="J154" s="33"/>
      <c r="K154" s="37" t="str">
        <f aca="true">IF(B154="","",IF(I154="","",IF(I154&lt;TODAY(),"Expired",IF(I154&lt;=TODAY()+60,"Expiring Soon","OK"))))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5"/>
      <c r="H155" s="35"/>
      <c r="I155" s="35"/>
      <c r="J155" s="33"/>
      <c r="K155" s="37" t="str">
        <f aca="true">IF(B155="","",IF(I155="","",IF(I155&lt;TODAY(),"Expired",IF(I155&lt;=TODAY()+60,"Expiring Soon","OK"))))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5"/>
      <c r="H156" s="35"/>
      <c r="I156" s="35"/>
      <c r="J156" s="33"/>
      <c r="K156" s="37" t="str">
        <f aca="true">IF(B156="","",IF(I156="","",IF(I156&lt;TODAY(),"Expired",IF(I156&lt;=TODAY()+60,"Expiring Soon","OK"))))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5"/>
      <c r="H157" s="35"/>
      <c r="I157" s="35"/>
      <c r="J157" s="33"/>
      <c r="K157" s="37" t="str">
        <f aca="true">IF(B157="","",IF(I157="","",IF(I157&lt;TODAY(),"Expired",IF(I157&lt;=TODAY()+60,"Expiring Soon","OK"))))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5"/>
      <c r="H158" s="35"/>
      <c r="I158" s="35"/>
      <c r="J158" s="33"/>
      <c r="K158" s="37" t="str">
        <f aca="true">IF(B158="","",IF(I158="","",IF(I158&lt;TODAY(),"Expired",IF(I158&lt;=TODAY()+60,"Expiring Soon","OK"))))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5"/>
      <c r="H159" s="35"/>
      <c r="I159" s="35"/>
      <c r="J159" s="33"/>
      <c r="K159" s="37" t="str">
        <f aca="true">IF(B159="","",IF(I159="","",IF(I159&lt;TODAY(),"Expired",IF(I159&lt;=TODAY()+60,"Expiring Soon","OK"))))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5"/>
      <c r="H160" s="35"/>
      <c r="I160" s="35"/>
      <c r="J160" s="33"/>
      <c r="K160" s="37" t="str">
        <f aca="true">IF(B160="","",IF(I160="","",IF(I160&lt;TODAY(),"Expired",IF(I160&lt;=TODAY()+60,"Expiring Soon","OK"))))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5"/>
      <c r="H161" s="35"/>
      <c r="I161" s="35"/>
      <c r="J161" s="33"/>
      <c r="K161" s="37" t="str">
        <f aca="true">IF(B161="","",IF(I161="","",IF(I161&lt;TODAY(),"Expired",IF(I161&lt;=TODAY()+60,"Expiring Soon","OK"))))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5"/>
      <c r="H162" s="35"/>
      <c r="I162" s="35"/>
      <c r="J162" s="33"/>
      <c r="K162" s="37" t="str">
        <f aca="true">IF(B162="","",IF(I162="","",IF(I162&lt;TODAY(),"Expired",IF(I162&lt;=TODAY()+60,"Expiring Soon","OK"))))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5"/>
      <c r="H163" s="35"/>
      <c r="I163" s="35"/>
      <c r="J163" s="33"/>
      <c r="K163" s="37" t="str">
        <f aca="true">IF(B163="","",IF(I163="","",IF(I163&lt;TODAY(),"Expired",IF(I163&lt;=TODAY()+60,"Expiring Soon","OK"))))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5"/>
      <c r="H164" s="35"/>
      <c r="I164" s="35"/>
      <c r="J164" s="33"/>
      <c r="K164" s="37" t="str">
        <f aca="true">IF(B164="","",IF(I164="","",IF(I164&lt;TODAY(),"Expired",IF(I164&lt;=TODAY()+60,"Expiring Soon","OK"))))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5"/>
      <c r="H165" s="35"/>
      <c r="I165" s="35"/>
      <c r="J165" s="33"/>
      <c r="K165" s="37" t="str">
        <f aca="true">IF(B165="","",IF(I165="","",IF(I165&lt;TODAY(),"Expired",IF(I165&lt;=TODAY()+60,"Expiring Soon","OK"))))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5"/>
      <c r="H166" s="35"/>
      <c r="I166" s="35"/>
      <c r="J166" s="33"/>
      <c r="K166" s="37" t="str">
        <f aca="true">IF(B166="","",IF(I166="","",IF(I166&lt;TODAY(),"Expired",IF(I166&lt;=TODAY()+60,"Expiring Soon","OK"))))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5"/>
      <c r="H167" s="35"/>
      <c r="I167" s="35"/>
      <c r="J167" s="33"/>
      <c r="K167" s="37" t="str">
        <f aca="true">IF(B167="","",IF(I167="","",IF(I167&lt;TODAY(),"Expired",IF(I167&lt;=TODAY()+60,"Expiring Soon","OK"))))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5"/>
      <c r="H168" s="35"/>
      <c r="I168" s="35"/>
      <c r="J168" s="33"/>
      <c r="K168" s="37" t="str">
        <f aca="true">IF(B168="","",IF(I168="","",IF(I168&lt;TODAY(),"Expired",IF(I168&lt;=TODAY()+60,"Expiring Soon","OK"))))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5"/>
      <c r="H169" s="35"/>
      <c r="I169" s="35"/>
      <c r="J169" s="33"/>
      <c r="K169" s="37" t="str">
        <f aca="true">IF(B169="","",IF(I169="","",IF(I169&lt;TODAY(),"Expired",IF(I169&lt;=TODAY()+60,"Expiring Soon","OK"))))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5"/>
      <c r="H170" s="35"/>
      <c r="I170" s="35"/>
      <c r="J170" s="33"/>
      <c r="K170" s="37" t="str">
        <f aca="true">IF(B170="","",IF(I170="","",IF(I170&lt;TODAY(),"Expired",IF(I170&lt;=TODAY()+60,"Expiring Soon","OK"))))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5"/>
      <c r="H171" s="35"/>
      <c r="I171" s="35"/>
      <c r="J171" s="33"/>
      <c r="K171" s="37" t="str">
        <f aca="true">IF(B171="","",IF(I171="","",IF(I171&lt;TODAY(),"Expired",IF(I171&lt;=TODAY()+60,"Expiring Soon","OK"))))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5"/>
      <c r="H172" s="35"/>
      <c r="I172" s="35"/>
      <c r="J172" s="33"/>
      <c r="K172" s="37" t="str">
        <f aca="true">IF(B172="","",IF(I172="","",IF(I172&lt;TODAY(),"Expired",IF(I172&lt;=TODAY()+60,"Expiring Soon","OK"))))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5"/>
      <c r="H173" s="35"/>
      <c r="I173" s="35"/>
      <c r="J173" s="33"/>
      <c r="K173" s="37" t="str">
        <f aca="true">IF(B173="","",IF(I173="","",IF(I173&lt;TODAY(),"Expired",IF(I173&lt;=TODAY()+60,"Expiring Soon","OK"))))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5"/>
      <c r="H174" s="35"/>
      <c r="I174" s="35"/>
      <c r="J174" s="33"/>
      <c r="K174" s="37" t="str">
        <f aca="true">IF(B174="","",IF(I174="","",IF(I174&lt;TODAY(),"Expired",IF(I174&lt;=TODAY()+60,"Expiring Soon","OK"))))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5"/>
      <c r="H175" s="35"/>
      <c r="I175" s="35"/>
      <c r="J175" s="33"/>
      <c r="K175" s="37" t="str">
        <f aca="true">IF(B175="","",IF(I175="","",IF(I175&lt;TODAY(),"Expired",IF(I175&lt;=TODAY()+60,"Expiring Soon","OK"))))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5"/>
      <c r="H176" s="35"/>
      <c r="I176" s="35"/>
      <c r="J176" s="33"/>
      <c r="K176" s="37" t="str">
        <f aca="true">IF(B176="","",IF(I176="","",IF(I176&lt;TODAY(),"Expired",IF(I176&lt;=TODAY()+60,"Expiring Soon","OK"))))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5"/>
      <c r="H177" s="35"/>
      <c r="I177" s="35"/>
      <c r="J177" s="33"/>
      <c r="K177" s="37" t="str">
        <f aca="true">IF(B177="","",IF(I177="","",IF(I177&lt;TODAY(),"Expired",IF(I177&lt;=TODAY()+60,"Expiring Soon","OK"))))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5"/>
      <c r="H178" s="35"/>
      <c r="I178" s="35"/>
      <c r="J178" s="33"/>
      <c r="K178" s="37" t="str">
        <f aca="true">IF(B178="","",IF(I178="","",IF(I178&lt;TODAY(),"Expired",IF(I178&lt;=TODAY()+60,"Expiring Soon","OK"))))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5"/>
      <c r="H179" s="35"/>
      <c r="I179" s="35"/>
      <c r="J179" s="33"/>
      <c r="K179" s="37" t="str">
        <f aca="true">IF(B179="","",IF(I179="","",IF(I179&lt;TODAY(),"Expired",IF(I179&lt;=TODAY()+60,"Expiring Soon","OK"))))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5"/>
      <c r="H180" s="35"/>
      <c r="I180" s="35"/>
      <c r="J180" s="33"/>
      <c r="K180" s="37" t="str">
        <f aca="true">IF(B180="","",IF(I180="","",IF(I180&lt;TODAY(),"Expired",IF(I180&lt;=TODAY()+60,"Expiring Soon","OK"))))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5"/>
      <c r="H181" s="35"/>
      <c r="I181" s="35"/>
      <c r="J181" s="33"/>
      <c r="K181" s="37" t="str">
        <f aca="true">IF(B181="","",IF(I181="","",IF(I181&lt;TODAY(),"Expired",IF(I181&lt;=TODAY()+60,"Expiring Soon","OK"))))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5"/>
      <c r="H182" s="35"/>
      <c r="I182" s="35"/>
      <c r="J182" s="33"/>
      <c r="K182" s="37" t="str">
        <f aca="true">IF(B182="","",IF(I182="","",IF(I182&lt;TODAY(),"Expired",IF(I182&lt;=TODAY()+60,"Expiring Soon","OK"))))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5"/>
      <c r="H183" s="35"/>
      <c r="I183" s="35"/>
      <c r="J183" s="33"/>
      <c r="K183" s="37" t="str">
        <f aca="true">IF(B183="","",IF(I183="","",IF(I183&lt;TODAY(),"Expired",IF(I183&lt;=TODAY()+60,"Expiring Soon","OK"))))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5"/>
      <c r="H184" s="35"/>
      <c r="I184" s="35"/>
      <c r="J184" s="33"/>
      <c r="K184" s="37" t="str">
        <f aca="true">IF(B184="","",IF(I184="","",IF(I184&lt;TODAY(),"Expired",IF(I184&lt;=TODAY()+60,"Expiring Soon","OK"))))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5"/>
      <c r="H185" s="35"/>
      <c r="I185" s="35"/>
      <c r="J185" s="33"/>
      <c r="K185" s="37" t="str">
        <f aca="true">IF(B185="","",IF(I185="","",IF(I185&lt;TODAY(),"Expired",IF(I185&lt;=TODAY()+60,"Expiring Soon","OK"))))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5"/>
      <c r="H186" s="35"/>
      <c r="I186" s="35"/>
      <c r="J186" s="33"/>
      <c r="K186" s="37" t="str">
        <f aca="true">IF(B186="","",IF(I186="","",IF(I186&lt;TODAY(),"Expired",IF(I186&lt;=TODAY()+60,"Expiring Soon","OK"))))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5"/>
      <c r="H187" s="35"/>
      <c r="I187" s="35"/>
      <c r="J187" s="33"/>
      <c r="K187" s="37" t="str">
        <f aca="true">IF(B187="","",IF(I187="","",IF(I187&lt;TODAY(),"Expired",IF(I187&lt;=TODAY()+60,"Expiring Soon","OK"))))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5"/>
      <c r="H188" s="35"/>
      <c r="I188" s="35"/>
      <c r="J188" s="33"/>
      <c r="K188" s="37" t="str">
        <f aca="true">IF(B188="","",IF(I188="","",IF(I188&lt;TODAY(),"Expired",IF(I188&lt;=TODAY()+60,"Expiring Soon","OK"))))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5"/>
      <c r="H189" s="35"/>
      <c r="I189" s="35"/>
      <c r="J189" s="33"/>
      <c r="K189" s="37" t="str">
        <f aca="true">IF(B189="","",IF(I189="","",IF(I189&lt;TODAY(),"Expired",IF(I189&lt;=TODAY()+60,"Expiring Soon","OK"))))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5"/>
      <c r="H190" s="35"/>
      <c r="I190" s="35"/>
      <c r="J190" s="33"/>
      <c r="K190" s="37" t="str">
        <f aca="true">IF(B190="","",IF(I190="","",IF(I190&lt;TODAY(),"Expired",IF(I190&lt;=TODAY()+60,"Expiring Soon","OK"))))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5"/>
      <c r="H191" s="35"/>
      <c r="I191" s="35"/>
      <c r="J191" s="33"/>
      <c r="K191" s="37" t="str">
        <f aca="true">IF(B191="","",IF(I191="","",IF(I191&lt;TODAY(),"Expired",IF(I191&lt;=TODAY()+60,"Expiring Soon","OK"))))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5"/>
      <c r="H192" s="35"/>
      <c r="I192" s="35"/>
      <c r="J192" s="33"/>
      <c r="K192" s="37" t="str">
        <f aca="true">IF(B192="","",IF(I192="","",IF(I192&lt;TODAY(),"Expired",IF(I192&lt;=TODAY()+60,"Expiring Soon","OK"))))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5"/>
      <c r="H193" s="35"/>
      <c r="I193" s="35"/>
      <c r="J193" s="33"/>
      <c r="K193" s="37" t="str">
        <f aca="true">IF(B193="","",IF(I193="","",IF(I193&lt;TODAY(),"Expired",IF(I193&lt;=TODAY()+60,"Expiring Soon","OK"))))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5"/>
      <c r="H194" s="35"/>
      <c r="I194" s="35"/>
      <c r="J194" s="33"/>
      <c r="K194" s="37" t="str">
        <f aca="true">IF(B194="","",IF(I194="","",IF(I194&lt;TODAY(),"Expired",IF(I194&lt;=TODAY()+60,"Expiring Soon","OK"))))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5"/>
      <c r="H195" s="35"/>
      <c r="I195" s="35"/>
      <c r="J195" s="33"/>
      <c r="K195" s="37" t="str">
        <f aca="true">IF(B195="","",IF(I195="","",IF(I195&lt;TODAY(),"Expired",IF(I195&lt;=TODAY()+60,"Expiring Soon","OK"))))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5"/>
      <c r="H196" s="35"/>
      <c r="I196" s="35"/>
      <c r="J196" s="33"/>
      <c r="K196" s="37" t="str">
        <f aca="true">IF(B196="","",IF(I196="","",IF(I196&lt;TODAY(),"Expired",IF(I196&lt;=TODAY()+60,"Expiring Soon","OK"))))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5"/>
      <c r="H197" s="35"/>
      <c r="I197" s="35"/>
      <c r="J197" s="33"/>
      <c r="K197" s="37" t="str">
        <f aca="true">IF(B197="","",IF(I197="","",IF(I197&lt;TODAY(),"Expired",IF(I197&lt;=TODAY()+60,"Expiring Soon","OK"))))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5"/>
      <c r="H198" s="35"/>
      <c r="I198" s="35"/>
      <c r="J198" s="33"/>
      <c r="K198" s="37" t="str">
        <f aca="true">IF(B198="","",IF(I198="","",IF(I198&lt;TODAY(),"Expired",IF(I198&lt;=TODAY()+60,"Expiring Soon","OK"))))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5"/>
      <c r="H199" s="35"/>
      <c r="I199" s="35"/>
      <c r="J199" s="33"/>
      <c r="K199" s="37" t="str">
        <f aca="true">IF(B199="","",IF(I199="","",IF(I199&lt;TODAY(),"Expired",IF(I199&lt;=TODAY()+60,"Expiring Soon","OK"))))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5"/>
      <c r="H200" s="35"/>
      <c r="I200" s="35"/>
      <c r="J200" s="33"/>
      <c r="K200" s="37" t="str">
        <f aca="true">IF(B200="","",IF(I200="","",IF(I200&lt;TODAY(),"Expired",IF(I200&lt;=TODAY()+60,"Expiring Soon","OK"))))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5"/>
      <c r="H201" s="35"/>
      <c r="I201" s="35"/>
      <c r="J201" s="33"/>
      <c r="K201" s="37" t="str">
        <f aca="true">IF(B201="","",IF(I201="","",IF(I201&lt;TODAY(),"Expired",IF(I201&lt;=TODAY()+60,"Expiring Soon","OK"))))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5"/>
      <c r="H202" s="35"/>
      <c r="I202" s="35"/>
      <c r="J202" s="33"/>
      <c r="K202" s="37" t="str">
        <f aca="true">IF(B202="","",IF(I202="","",IF(I202&lt;TODAY(),"Expired",IF(I202&lt;=TODAY()+60,"Expiring Soon","OK"))))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5"/>
      <c r="H203" s="35"/>
      <c r="I203" s="35"/>
      <c r="J203" s="33"/>
      <c r="K203" s="37" t="str">
        <f aca="true">IF(B203="","",IF(I203="","",IF(I203&lt;TODAY(),"Expired",IF(I203&lt;=TODAY()+60,"Expiring Soon","OK"))))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5"/>
      <c r="H204" s="35"/>
      <c r="I204" s="35"/>
      <c r="J204" s="33"/>
      <c r="K204" s="37" t="str">
        <f aca="true">IF(B204="","",IF(I204="","",IF(I204&lt;TODAY(),"Expired",IF(I204&lt;=TODAY()+60,"Expiring Soon","OK"))))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5"/>
      <c r="H205" s="35"/>
      <c r="I205" s="35"/>
      <c r="J205" s="33"/>
      <c r="K205" s="37" t="str">
        <f aca="true">IF(B205="","",IF(I205="","",IF(I205&lt;TODAY(),"Expired",IF(I205&lt;=TODAY()+60,"Expiring Soon","OK"))))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5"/>
      <c r="H206" s="35"/>
      <c r="I206" s="35"/>
      <c r="J206" s="33"/>
      <c r="K206" s="37" t="str">
        <f aca="true">IF(B206="","",IF(I206="","",IF(I206&lt;TODAY(),"Expired",IF(I206&lt;=TODAY()+60,"Expiring Soon","OK"))))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5"/>
      <c r="H207" s="35"/>
      <c r="I207" s="35"/>
      <c r="J207" s="33"/>
      <c r="K207" s="37" t="str">
        <f aca="true">IF(B207="","",IF(I207="","",IF(I207&lt;TODAY(),"Expired",IF(I207&lt;=TODAY()+60,"Expiring Soon","OK"))))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5"/>
      <c r="H208" s="35"/>
      <c r="I208" s="35"/>
      <c r="J208" s="33"/>
      <c r="K208" s="37" t="str">
        <f aca="true">IF(B208="","",IF(I208="","",IF(I208&lt;TODAY(),"Expired",IF(I208&lt;=TODAY()+60,"Expiring Soon","OK"))))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5"/>
      <c r="H209" s="35"/>
      <c r="I209" s="35"/>
      <c r="J209" s="33"/>
      <c r="K209" s="37" t="str">
        <f aca="true">IF(B209="","",IF(I209="","",IF(I209&lt;TODAY(),"Expired",IF(I209&lt;=TODAY()+60,"Expiring Soon","OK"))))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5"/>
      <c r="H210" s="35"/>
      <c r="I210" s="35"/>
      <c r="J210" s="33"/>
      <c r="K210" s="37" t="str">
        <f aca="true">IF(B210="","",IF(I210="","",IF(I210&lt;TODAY(),"Expired",IF(I210&lt;=TODAY()+60,"Expiring Soon","OK"))))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5"/>
      <c r="H211" s="35"/>
      <c r="I211" s="35"/>
      <c r="J211" s="33"/>
      <c r="K211" s="37" t="str">
        <f aca="true">IF(B211="","",IF(I211="","",IF(I211&lt;TODAY(),"Expired",IF(I211&lt;=TODAY()+60,"Expiring Soon","OK"))))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5"/>
      <c r="H212" s="35"/>
      <c r="I212" s="35"/>
      <c r="J212" s="33"/>
      <c r="K212" s="37" t="str">
        <f aca="true">IF(B212="","",IF(I212="","",IF(I212&lt;TODAY(),"Expired",IF(I212&lt;=TODAY()+60,"Expiring Soon","OK"))))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5"/>
      <c r="H213" s="35"/>
      <c r="I213" s="35"/>
      <c r="J213" s="33"/>
      <c r="K213" s="37" t="str">
        <f aca="true">IF(B213="","",IF(I213="","",IF(I213&lt;TODAY(),"Expired",IF(I213&lt;=TODAY()+60,"Expiring Soon","OK"))))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5"/>
      <c r="H214" s="35"/>
      <c r="I214" s="35"/>
      <c r="J214" s="33"/>
      <c r="K214" s="37" t="str">
        <f aca="true">IF(B214="","",IF(I214="","",IF(I214&lt;TODAY(),"Expired",IF(I214&lt;=TODAY()+60,"Expiring Soon","OK"))))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5"/>
      <c r="H215" s="35"/>
      <c r="I215" s="35"/>
      <c r="J215" s="33"/>
      <c r="K215" s="37" t="str">
        <f aca="true">IF(B215="","",IF(I215="","",IF(I215&lt;TODAY(),"Expired",IF(I215&lt;=TODAY()+60,"Expiring Soon","OK"))))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5"/>
      <c r="H216" s="35"/>
      <c r="I216" s="35"/>
      <c r="J216" s="33"/>
      <c r="K216" s="37" t="str">
        <f aca="true">IF(B216="","",IF(I216="","",IF(I216&lt;TODAY(),"Expired",IF(I216&lt;=TODAY()+60,"Expiring Soon","OK"))))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5"/>
      <c r="H217" s="35"/>
      <c r="I217" s="35"/>
      <c r="J217" s="33"/>
      <c r="K217" s="37" t="str">
        <f aca="true">IF(B217="","",IF(I217="","",IF(I217&lt;TODAY(),"Expired",IF(I217&lt;=TODAY()+60,"Expiring Soon","OK"))))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5"/>
      <c r="H218" s="35"/>
      <c r="I218" s="35"/>
      <c r="J218" s="33"/>
      <c r="K218" s="37" t="str">
        <f aca="true">IF(B218="","",IF(I218="","",IF(I218&lt;TODAY(),"Expired",IF(I218&lt;=TODAY()+60,"Expiring Soon","OK"))))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5"/>
      <c r="H219" s="35"/>
      <c r="I219" s="35"/>
      <c r="J219" s="33"/>
      <c r="K219" s="37" t="str">
        <f aca="true">IF(B219="","",IF(I219="","",IF(I219&lt;TODAY(),"Expired",IF(I219&lt;=TODAY()+60,"Expiring Soon","OK"))))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5"/>
      <c r="H220" s="35"/>
      <c r="I220" s="35"/>
      <c r="J220" s="33"/>
      <c r="K220" s="37" t="str">
        <f aca="true">IF(B220="","",IF(I220="","",IF(I220&lt;TODAY(),"Expired",IF(I220&lt;=TODAY()+60,"Expiring Soon","OK"))))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5"/>
      <c r="H221" s="35"/>
      <c r="I221" s="35"/>
      <c r="J221" s="33"/>
      <c r="K221" s="37" t="str">
        <f aca="true">IF(B221="","",IF(I221="","",IF(I221&lt;TODAY(),"Expired",IF(I221&lt;=TODAY()+60,"Expiring Soon","OK"))))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5"/>
      <c r="H222" s="35"/>
      <c r="I222" s="35"/>
      <c r="J222" s="33"/>
      <c r="K222" s="37" t="str">
        <f aca="true">IF(B222="","",IF(I222="","",IF(I222&lt;TODAY(),"Expired",IF(I222&lt;=TODAY()+60,"Expiring Soon","OK"))))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5"/>
      <c r="H223" s="35"/>
      <c r="I223" s="35"/>
      <c r="J223" s="33"/>
      <c r="K223" s="37" t="str">
        <f aca="true">IF(B223="","",IF(I223="","",IF(I223&lt;TODAY(),"Expired",IF(I223&lt;=TODAY()+60,"Expiring Soon","OK"))))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5"/>
      <c r="H224" s="35"/>
      <c r="I224" s="35"/>
      <c r="J224" s="33"/>
      <c r="K224" s="37" t="str">
        <f aca="true">IF(B224="","",IF(I224="","",IF(I224&lt;TODAY(),"Expired",IF(I224&lt;=TODAY()+60,"Expiring Soon","OK"))))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5"/>
      <c r="H225" s="35"/>
      <c r="I225" s="35"/>
      <c r="J225" s="33"/>
      <c r="K225" s="37" t="str">
        <f aca="true">IF(B225="","",IF(I225="","",IF(I225&lt;TODAY(),"Expired",IF(I225&lt;=TODAY()+60,"Expiring Soon","OK"))))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5"/>
      <c r="H226" s="35"/>
      <c r="I226" s="35"/>
      <c r="J226" s="33"/>
      <c r="K226" s="37" t="str">
        <f aca="true">IF(B226="","",IF(I226="","",IF(I226&lt;TODAY(),"Expired",IF(I226&lt;=TODAY()+60,"Expiring Soon","OK"))))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5"/>
      <c r="H227" s="35"/>
      <c r="I227" s="35"/>
      <c r="J227" s="33"/>
      <c r="K227" s="37" t="str">
        <f aca="true">IF(B227="","",IF(I227="","",IF(I227&lt;TODAY(),"Expired",IF(I227&lt;=TODAY()+60,"Expiring Soon","OK"))))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5"/>
      <c r="H228" s="35"/>
      <c r="I228" s="35"/>
      <c r="J228" s="33"/>
      <c r="K228" s="37" t="str">
        <f aca="true">IF(B228="","",IF(I228="","",IF(I228&lt;TODAY(),"Expired",IF(I228&lt;=TODAY()+60,"Expiring Soon","OK"))))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5"/>
      <c r="H229" s="35"/>
      <c r="I229" s="35"/>
      <c r="J229" s="33"/>
      <c r="K229" s="37" t="str">
        <f aca="true">IF(B229="","",IF(I229="","",IF(I229&lt;TODAY(),"Expired",IF(I229&lt;=TODAY()+60,"Expiring Soon","OK"))))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5"/>
      <c r="H230" s="35"/>
      <c r="I230" s="35"/>
      <c r="J230" s="33"/>
      <c r="K230" s="37" t="str">
        <f aca="true">IF(B230="","",IF(I230="","",IF(I230&lt;TODAY(),"Expired",IF(I230&lt;=TODAY()+60,"Expiring Soon","OK"))))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5"/>
      <c r="H231" s="35"/>
      <c r="I231" s="35"/>
      <c r="J231" s="33"/>
      <c r="K231" s="37" t="str">
        <f aca="true">IF(B231="","",IF(I231="","",IF(I231&lt;TODAY(),"Expired",IF(I231&lt;=TODAY()+60,"Expiring Soon","OK"))))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5"/>
      <c r="H232" s="35"/>
      <c r="I232" s="35"/>
      <c r="J232" s="33"/>
      <c r="K232" s="37" t="str">
        <f aca="true">IF(B232="","",IF(I232="","",IF(I232&lt;TODAY(),"Expired",IF(I232&lt;=TODAY()+60,"Expiring Soon","OK"))))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5"/>
      <c r="H233" s="35"/>
      <c r="I233" s="35"/>
      <c r="J233" s="33"/>
      <c r="K233" s="37" t="str">
        <f aca="true">IF(B233="","",IF(I233="","",IF(I233&lt;TODAY(),"Expired",IF(I233&lt;=TODAY()+60,"Expiring Soon","OK"))))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5"/>
      <c r="H234" s="35"/>
      <c r="I234" s="35"/>
      <c r="J234" s="33"/>
      <c r="K234" s="37" t="str">
        <f aca="true">IF(B234="","",IF(I234="","",IF(I234&lt;TODAY(),"Expired",IF(I234&lt;=TODAY()+60,"Expiring Soon","OK"))))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5"/>
      <c r="H235" s="35"/>
      <c r="I235" s="35"/>
      <c r="J235" s="33"/>
      <c r="K235" s="37" t="str">
        <f aca="true">IF(B235="","",IF(I235="","",IF(I235&lt;TODAY(),"Expired",IF(I235&lt;=TODAY()+60,"Expiring Soon","OK"))))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5"/>
      <c r="H236" s="35"/>
      <c r="I236" s="35"/>
      <c r="J236" s="33"/>
      <c r="K236" s="37" t="str">
        <f aca="true">IF(B236="","",IF(I236="","",IF(I236&lt;TODAY(),"Expired",IF(I236&lt;=TODAY()+60,"Expiring Soon","OK"))))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5"/>
      <c r="H237" s="35"/>
      <c r="I237" s="35"/>
      <c r="J237" s="33"/>
      <c r="K237" s="37" t="str">
        <f aca="true">IF(B237="","",IF(I237="","",IF(I237&lt;TODAY(),"Expired",IF(I237&lt;=TODAY()+60,"Expiring Soon","OK"))))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5"/>
      <c r="H238" s="35"/>
      <c r="I238" s="35"/>
      <c r="J238" s="33"/>
      <c r="K238" s="37" t="str">
        <f aca="true">IF(B238="","",IF(I238="","",IF(I238&lt;TODAY(),"Expired",IF(I238&lt;=TODAY()+60,"Expiring Soon","OK"))))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5"/>
      <c r="H239" s="35"/>
      <c r="I239" s="35"/>
      <c r="J239" s="33"/>
      <c r="K239" s="37" t="str">
        <f aca="true">IF(B239="","",IF(I239="","",IF(I239&lt;TODAY(),"Expired",IF(I239&lt;=TODAY()+60,"Expiring Soon","OK"))))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5"/>
      <c r="H240" s="35"/>
      <c r="I240" s="35"/>
      <c r="J240" s="33"/>
      <c r="K240" s="37" t="str">
        <f aca="true">IF(B240="","",IF(I240="","",IF(I240&lt;TODAY(),"Expired",IF(I240&lt;=TODAY()+60,"Expiring Soon","OK"))))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5"/>
      <c r="H241" s="35"/>
      <c r="I241" s="35"/>
      <c r="J241" s="33"/>
      <c r="K241" s="37" t="str">
        <f aca="true">IF(B241="","",IF(I241="","",IF(I241&lt;TODAY(),"Expired",IF(I241&lt;=TODAY()+60,"Expiring Soon","OK"))))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5"/>
      <c r="H242" s="35"/>
      <c r="I242" s="35"/>
      <c r="J242" s="33"/>
      <c r="K242" s="37" t="str">
        <f aca="true">IF(B242="","",IF(I242="","",IF(I242&lt;TODAY(),"Expired",IF(I242&lt;=TODAY()+60,"Expiring Soon","OK"))))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5"/>
      <c r="H243" s="35"/>
      <c r="I243" s="35"/>
      <c r="J243" s="33"/>
      <c r="K243" s="37" t="str">
        <f aca="true">IF(B243="","",IF(I243="","",IF(I243&lt;TODAY(),"Expired",IF(I243&lt;=TODAY()+60,"Expiring Soon","OK"))))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5"/>
      <c r="H244" s="35"/>
      <c r="I244" s="35"/>
      <c r="J244" s="33"/>
      <c r="K244" s="37" t="str">
        <f aca="true">IF(B244="","",IF(I244="","",IF(I244&lt;TODAY(),"Expired",IF(I244&lt;=TODAY()+60,"Expiring Soon","OK"))))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5"/>
      <c r="H245" s="35"/>
      <c r="I245" s="35"/>
      <c r="J245" s="33"/>
      <c r="K245" s="37" t="str">
        <f aca="true">IF(B245="","",IF(I245="","",IF(I245&lt;TODAY(),"Expired",IF(I245&lt;=TODAY()+60,"Expiring Soon","OK"))))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5"/>
      <c r="H246" s="35"/>
      <c r="I246" s="35"/>
      <c r="J246" s="33"/>
      <c r="K246" s="37" t="str">
        <f aca="true">IF(B246="","",IF(I246="","",IF(I246&lt;TODAY(),"Expired",IF(I246&lt;=TODAY()+60,"Expiring Soon","OK"))))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5"/>
      <c r="H247" s="35"/>
      <c r="I247" s="35"/>
      <c r="J247" s="33"/>
      <c r="K247" s="37" t="str">
        <f aca="true">IF(B247="","",IF(I247="","",IF(I247&lt;TODAY(),"Expired",IF(I247&lt;=TODAY()+60,"Expiring Soon","OK"))))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5"/>
      <c r="H248" s="35"/>
      <c r="I248" s="35"/>
      <c r="J248" s="33"/>
      <c r="K248" s="37" t="str">
        <f aca="true">IF(B248="","",IF(I248="","",IF(I248&lt;TODAY(),"Expired",IF(I248&lt;=TODAY()+60,"Expiring Soon","OK"))))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5"/>
      <c r="H249" s="35"/>
      <c r="I249" s="35"/>
      <c r="J249" s="33"/>
      <c r="K249" s="37" t="str">
        <f aca="true">IF(B249="","",IF(I249="","",IF(I249&lt;TODAY(),"Expired",IF(I249&lt;=TODAY()+60,"Expiring Soon","OK"))))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5"/>
      <c r="H250" s="35"/>
      <c r="I250" s="35"/>
      <c r="J250" s="33"/>
      <c r="K250" s="37" t="str">
        <f aca="true">IF(B250="","",IF(I250="","",IF(I250&lt;TODAY(),"Expired",IF(I250&lt;=TODAY()+60,"Expiring Soon","OK"))))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5"/>
      <c r="H251" s="35"/>
      <c r="I251" s="35"/>
      <c r="J251" s="33"/>
      <c r="K251" s="37" t="str">
        <f aca="true">IF(B251="","",IF(I251="","",IF(I251&lt;TODAY(),"Expired",IF(I251&lt;=TODAY()+60,"Expiring Soon","OK"))))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5"/>
      <c r="H252" s="35"/>
      <c r="I252" s="35"/>
      <c r="J252" s="33"/>
      <c r="K252" s="37" t="str">
        <f aca="true">IF(B252="","",IF(I252="","",IF(I252&lt;TODAY(),"Expired",IF(I252&lt;=TODAY()+60,"Expiring Soon","OK"))))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5"/>
      <c r="H253" s="35"/>
      <c r="I253" s="35"/>
      <c r="J253" s="33"/>
      <c r="K253" s="37" t="str">
        <f aca="true">IF(B253="","",IF(I253="","",IF(I253&lt;TODAY(),"Expired",IF(I253&lt;=TODAY()+60,"Expiring Soon","OK"))))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5"/>
      <c r="H254" s="35"/>
      <c r="I254" s="35"/>
      <c r="J254" s="33"/>
      <c r="K254" s="37" t="str">
        <f aca="true">IF(B254="","",IF(I254="","",IF(I254&lt;TODAY(),"Expired",IF(I254&lt;=TODAY()+60,"Expiring Soon","OK"))))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5"/>
      <c r="H255" s="35"/>
      <c r="I255" s="35"/>
      <c r="J255" s="33"/>
      <c r="K255" s="37" t="str">
        <f aca="true">IF(B255="","",IF(I255="","",IF(I255&lt;TODAY(),"Expired",IF(I255&lt;=TODAY()+60,"Expiring Soon","OK"))))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5"/>
      <c r="H256" s="35"/>
      <c r="I256" s="35"/>
      <c r="J256" s="33"/>
      <c r="K256" s="37" t="str">
        <f aca="true">IF(B256="","",IF(I256="","",IF(I256&lt;TODAY(),"Expired",IF(I256&lt;=TODAY()+60,"Expiring Soon","OK"))))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5"/>
      <c r="H257" s="35"/>
      <c r="I257" s="35"/>
      <c r="J257" s="33"/>
      <c r="K257" s="37" t="str">
        <f aca="true">IF(B257="","",IF(I257="","",IF(I257&lt;TODAY(),"Expired",IF(I257&lt;=TODAY()+60,"Expiring Soon","OK"))))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5"/>
      <c r="H258" s="35"/>
      <c r="I258" s="35"/>
      <c r="J258" s="33"/>
      <c r="K258" s="37" t="str">
        <f aca="true">IF(B258="","",IF(I258="","",IF(I258&lt;TODAY(),"Expired",IF(I258&lt;=TODAY()+60,"Expiring Soon","OK"))))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5"/>
      <c r="H259" s="35"/>
      <c r="I259" s="35"/>
      <c r="J259" s="33"/>
      <c r="K259" s="37" t="str">
        <f aca="true">IF(B259="","",IF(I259="","",IF(I259&lt;TODAY(),"Expired",IF(I259&lt;=TODAY()+60,"Expiring Soon","OK"))))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5"/>
      <c r="H260" s="35"/>
      <c r="I260" s="35"/>
      <c r="J260" s="33"/>
      <c r="K260" s="37" t="str">
        <f aca="true">IF(B260="","",IF(I260="","",IF(I260&lt;TODAY(),"Expired",IF(I260&lt;=TODAY()+60,"Expiring Soon","OK"))))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5"/>
      <c r="H261" s="35"/>
      <c r="I261" s="35"/>
      <c r="J261" s="33"/>
      <c r="K261" s="37" t="str">
        <f aca="true">IF(B261="","",IF(I261="","",IF(I261&lt;TODAY(),"Expired",IF(I261&lt;=TODAY()+60,"Expiring Soon","OK"))))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5"/>
      <c r="H262" s="35"/>
      <c r="I262" s="35"/>
      <c r="J262" s="33"/>
      <c r="K262" s="37" t="str">
        <f aca="true">IF(B262="","",IF(I262="","",IF(I262&lt;TODAY(),"Expired",IF(I262&lt;=TODAY()+60,"Expiring Soon","OK"))))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5"/>
      <c r="H263" s="35"/>
      <c r="I263" s="35"/>
      <c r="J263" s="33"/>
      <c r="K263" s="37" t="str">
        <f aca="true">IF(B263="","",IF(I263="","",IF(I263&lt;TODAY(),"Expired",IF(I263&lt;=TODAY()+60,"Expiring Soon","OK"))))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5"/>
      <c r="H264" s="35"/>
      <c r="I264" s="35"/>
      <c r="J264" s="33"/>
      <c r="K264" s="37" t="str">
        <f aca="true">IF(B264="","",IF(I264="","",IF(I264&lt;TODAY(),"Expired",IF(I264&lt;=TODAY()+60,"Expiring Soon","OK"))))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5"/>
      <c r="H265" s="35"/>
      <c r="I265" s="35"/>
      <c r="J265" s="33"/>
      <c r="K265" s="37" t="str">
        <f aca="true">IF(B265="","",IF(I265="","",IF(I265&lt;TODAY(),"Expired",IF(I265&lt;=TODAY()+60,"Expiring Soon","OK"))))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5"/>
      <c r="H266" s="35"/>
      <c r="I266" s="35"/>
      <c r="J266" s="33"/>
      <c r="K266" s="37" t="str">
        <f aca="true">IF(B266="","",IF(I266="","",IF(I266&lt;TODAY(),"Expired",IF(I266&lt;=TODAY()+60,"Expiring Soon","OK"))))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5"/>
      <c r="H267" s="35"/>
      <c r="I267" s="35"/>
      <c r="J267" s="33"/>
      <c r="K267" s="37" t="str">
        <f aca="true">IF(B267="","",IF(I267="","",IF(I267&lt;TODAY(),"Expired",IF(I267&lt;=TODAY()+60,"Expiring Soon","OK"))))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5"/>
      <c r="H268" s="35"/>
      <c r="I268" s="35"/>
      <c r="J268" s="33"/>
      <c r="K268" s="37" t="str">
        <f aca="true">IF(B268="","",IF(I268="","",IF(I268&lt;TODAY(),"Expired",IF(I268&lt;=TODAY()+60,"Expiring Soon","OK"))))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5"/>
      <c r="H269" s="35"/>
      <c r="I269" s="35"/>
      <c r="J269" s="33"/>
      <c r="K269" s="37" t="str">
        <f aca="true">IF(B269="","",IF(I269="","",IF(I269&lt;TODAY(),"Expired",IF(I269&lt;=TODAY()+60,"Expiring Soon","OK"))))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5"/>
      <c r="H270" s="35"/>
      <c r="I270" s="35"/>
      <c r="J270" s="33"/>
      <c r="K270" s="37" t="str">
        <f aca="true">IF(B270="","",IF(I270="","",IF(I270&lt;TODAY(),"Expired",IF(I270&lt;=TODAY()+60,"Expiring Soon","OK"))))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5"/>
      <c r="H271" s="35"/>
      <c r="I271" s="35"/>
      <c r="J271" s="33"/>
      <c r="K271" s="37" t="str">
        <f aca="true">IF(B271="","",IF(I271="","",IF(I271&lt;TODAY(),"Expired",IF(I271&lt;=TODAY()+60,"Expiring Soon","OK"))))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5"/>
      <c r="H272" s="35"/>
      <c r="I272" s="35"/>
      <c r="J272" s="33"/>
      <c r="K272" s="37" t="str">
        <f aca="true">IF(B272="","",IF(I272="","",IF(I272&lt;TODAY(),"Expired",IF(I272&lt;=TODAY()+60,"Expiring Soon","OK"))))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5"/>
      <c r="H273" s="35"/>
      <c r="I273" s="35"/>
      <c r="J273" s="33"/>
      <c r="K273" s="37" t="str">
        <f aca="true">IF(B273="","",IF(I273="","",IF(I273&lt;TODAY(),"Expired",IF(I273&lt;=TODAY()+60,"Expiring Soon","OK"))))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5"/>
      <c r="H274" s="35"/>
      <c r="I274" s="35"/>
      <c r="J274" s="33"/>
      <c r="K274" s="37" t="str">
        <f aca="true">IF(B274="","",IF(I274="","",IF(I274&lt;TODAY(),"Expired",IF(I274&lt;=TODAY()+60,"Expiring Soon","OK"))))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5"/>
      <c r="H275" s="35"/>
      <c r="I275" s="35"/>
      <c r="J275" s="33"/>
      <c r="K275" s="37" t="str">
        <f aca="true">IF(B275="","",IF(I275="","",IF(I275&lt;TODAY(),"Expired",IF(I275&lt;=TODAY()+60,"Expiring Soon","OK"))))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5"/>
      <c r="H276" s="35"/>
      <c r="I276" s="35"/>
      <c r="J276" s="33"/>
      <c r="K276" s="37" t="str">
        <f aca="true">IF(B276="","",IF(I276="","",IF(I276&lt;TODAY(),"Expired",IF(I276&lt;=TODAY()+60,"Expiring Soon","OK"))))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5"/>
      <c r="H277" s="35"/>
      <c r="I277" s="35"/>
      <c r="J277" s="33"/>
      <c r="K277" s="37" t="str">
        <f aca="true">IF(B277="","",IF(I277="","",IF(I277&lt;TODAY(),"Expired",IF(I277&lt;=TODAY()+60,"Expiring Soon","OK"))))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5"/>
      <c r="H278" s="35"/>
      <c r="I278" s="35"/>
      <c r="J278" s="33"/>
      <c r="K278" s="37" t="str">
        <f aca="true">IF(B278="","",IF(I278="","",IF(I278&lt;TODAY(),"Expired",IF(I278&lt;=TODAY()+60,"Expiring Soon","OK"))))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5"/>
      <c r="H279" s="35"/>
      <c r="I279" s="35"/>
      <c r="J279" s="33"/>
      <c r="K279" s="37" t="str">
        <f aca="true">IF(B279="","",IF(I279="","",IF(I279&lt;TODAY(),"Expired",IF(I279&lt;=TODAY()+60,"Expiring Soon","OK"))))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5"/>
      <c r="H280" s="35"/>
      <c r="I280" s="35"/>
      <c r="J280" s="33"/>
      <c r="K280" s="37" t="str">
        <f aca="true">IF(B280="","",IF(I280="","",IF(I280&lt;TODAY(),"Expired",IF(I280&lt;=TODAY()+60,"Expiring Soon","OK"))))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5"/>
      <c r="H281" s="35"/>
      <c r="I281" s="35"/>
      <c r="J281" s="33"/>
      <c r="K281" s="37" t="str">
        <f aca="true">IF(B281="","",IF(I281="","",IF(I281&lt;TODAY(),"Expired",IF(I281&lt;=TODAY()+60,"Expiring Soon","OK"))))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5"/>
      <c r="H282" s="35"/>
      <c r="I282" s="35"/>
      <c r="J282" s="33"/>
      <c r="K282" s="37" t="str">
        <f aca="true">IF(B282="","",IF(I282="","",IF(I282&lt;TODAY(),"Expired",IF(I282&lt;=TODAY()+60,"Expiring Soon","OK"))))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5"/>
      <c r="H283" s="35"/>
      <c r="I283" s="35"/>
      <c r="J283" s="33"/>
      <c r="K283" s="37" t="str">
        <f aca="true">IF(B283="","",IF(I283="","",IF(I283&lt;TODAY(),"Expired",IF(I283&lt;=TODAY()+60,"Expiring Soon","OK"))))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5"/>
      <c r="H284" s="35"/>
      <c r="I284" s="35"/>
      <c r="J284" s="33"/>
      <c r="K284" s="37" t="str">
        <f aca="true">IF(B284="","",IF(I284="","",IF(I284&lt;TODAY(),"Expired",IF(I284&lt;=TODAY()+60,"Expiring Soon","OK"))))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5"/>
      <c r="H285" s="35"/>
      <c r="I285" s="35"/>
      <c r="J285" s="33"/>
      <c r="K285" s="37" t="str">
        <f aca="true">IF(B285="","",IF(I285="","",IF(I285&lt;TODAY(),"Expired",IF(I285&lt;=TODAY()+60,"Expiring Soon","OK"))))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5"/>
      <c r="H286" s="35"/>
      <c r="I286" s="35"/>
      <c r="J286" s="33"/>
      <c r="K286" s="37" t="str">
        <f aca="true">IF(B286="","",IF(I286="","",IF(I286&lt;TODAY(),"Expired",IF(I286&lt;=TODAY()+60,"Expiring Soon","OK"))))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5"/>
      <c r="H287" s="35"/>
      <c r="I287" s="35"/>
      <c r="J287" s="33"/>
      <c r="K287" s="37" t="str">
        <f aca="true">IF(B287="","",IF(I287="","",IF(I287&lt;TODAY(),"Expired",IF(I287&lt;=TODAY()+60,"Expiring Soon","OK"))))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5"/>
      <c r="H288" s="35"/>
      <c r="I288" s="35"/>
      <c r="J288" s="33"/>
      <c r="K288" s="37" t="str">
        <f aca="true">IF(B288="","",IF(I288="","",IF(I288&lt;TODAY(),"Expired",IF(I288&lt;=TODAY()+60,"Expiring Soon","OK"))))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5"/>
      <c r="H289" s="35"/>
      <c r="I289" s="35"/>
      <c r="J289" s="33"/>
      <c r="K289" s="37" t="str">
        <f aca="true">IF(B289="","",IF(I289="","",IF(I289&lt;TODAY(),"Expired",IF(I289&lt;=TODAY()+60,"Expiring Soon","OK"))))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5"/>
      <c r="H290" s="35"/>
      <c r="I290" s="35"/>
      <c r="J290" s="33"/>
      <c r="K290" s="37" t="str">
        <f aca="true">IF(B290="","",IF(I290="","",IF(I290&lt;TODAY(),"Expired",IF(I290&lt;=TODAY()+60,"Expiring Soon","OK"))))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5"/>
      <c r="H291" s="35"/>
      <c r="I291" s="35"/>
      <c r="J291" s="33"/>
      <c r="K291" s="37" t="str">
        <f aca="true">IF(B291="","",IF(I291="","",IF(I291&lt;TODAY(),"Expired",IF(I291&lt;=TODAY()+60,"Expiring Soon","OK"))))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5"/>
      <c r="H292" s="35"/>
      <c r="I292" s="35"/>
      <c r="J292" s="33"/>
      <c r="K292" s="37" t="str">
        <f aca="true">IF(B292="","",IF(I292="","",IF(I292&lt;TODAY(),"Expired",IF(I292&lt;=TODAY()+60,"Expiring Soon","OK"))))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5"/>
      <c r="H293" s="35"/>
      <c r="I293" s="35"/>
      <c r="J293" s="33"/>
      <c r="K293" s="37" t="str">
        <f aca="true">IF(B293="","",IF(I293="","",IF(I293&lt;TODAY(),"Expired",IF(I293&lt;=TODAY()+60,"Expiring Soon","OK"))))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5"/>
      <c r="H294" s="35"/>
      <c r="I294" s="35"/>
      <c r="J294" s="33"/>
      <c r="K294" s="37" t="str">
        <f aca="true">IF(B294="","",IF(I294="","",IF(I294&lt;TODAY(),"Expired",IF(I294&lt;=TODAY()+60,"Expiring Soon","OK"))))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5"/>
      <c r="H295" s="35"/>
      <c r="I295" s="35"/>
      <c r="J295" s="33"/>
      <c r="K295" s="37" t="str">
        <f aca="true">IF(B295="","",IF(I295="","",IF(I295&lt;TODAY(),"Expired",IF(I295&lt;=TODAY()+60,"Expiring Soon","OK"))))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5"/>
      <c r="H296" s="35"/>
      <c r="I296" s="35"/>
      <c r="J296" s="33"/>
      <c r="K296" s="37" t="str">
        <f aca="true">IF(B296="","",IF(I296="","",IF(I296&lt;TODAY(),"Expired",IF(I296&lt;=TODAY()+60,"Expiring Soon","OK"))))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5"/>
      <c r="H297" s="35"/>
      <c r="I297" s="35"/>
      <c r="J297" s="33"/>
      <c r="K297" s="37" t="str">
        <f aca="true">IF(B297="","",IF(I297="","",IF(I297&lt;TODAY(),"Expired",IF(I297&lt;=TODAY()+60,"Expiring Soon","OK"))))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5"/>
      <c r="H298" s="35"/>
      <c r="I298" s="35"/>
      <c r="J298" s="33"/>
      <c r="K298" s="37" t="str">
        <f aca="true">IF(B298="","",IF(I298="","",IF(I298&lt;TODAY(),"Expired",IF(I298&lt;=TODAY()+60,"Expiring Soon","OK"))))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5"/>
      <c r="H299" s="35"/>
      <c r="I299" s="35"/>
      <c r="J299" s="33"/>
      <c r="K299" s="37" t="str">
        <f aca="true">IF(B299="","",IF(I299="","",IF(I299&lt;TODAY(),"Expired",IF(I299&lt;=TODAY()+60,"Expiring Soon","OK"))))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5"/>
      <c r="H300" s="35"/>
      <c r="I300" s="35"/>
      <c r="J300" s="33"/>
      <c r="K300" s="37" t="str">
        <f aca="true">IF(B300="","",IF(I300="","",IF(I300&lt;TODAY(),"Expired",IF(I300&lt;=TODAY()+60,"Expiring Soon","OK"))))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5"/>
      <c r="H301" s="35"/>
      <c r="I301" s="35"/>
      <c r="J301" s="33"/>
      <c r="K301" s="37" t="str">
        <f aca="true">IF(B301="","",IF(I301="","",IF(I301&lt;TODAY(),"Expired",IF(I301&lt;=TODAY()+60,"Expiring Soon","OK"))))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5"/>
      <c r="H302" s="35"/>
      <c r="I302" s="35"/>
      <c r="J302" s="33"/>
      <c r="K302" s="37" t="str">
        <f aca="true">IF(B302="","",IF(I302="","",IF(I302&lt;TODAY(),"Expired",IF(I302&lt;=TODAY()+60,"Expiring Soon","OK"))))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5"/>
      <c r="H303" s="35"/>
      <c r="I303" s="35"/>
      <c r="J303" s="33"/>
      <c r="K303" s="37" t="str">
        <f aca="true">IF(B303="","",IF(I303="","",IF(I303&lt;TODAY(),"Expired",IF(I303&lt;=TODAY()+60,"Expiring Soon","OK"))))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5"/>
      <c r="H304" s="35"/>
      <c r="I304" s="35"/>
      <c r="J304" s="33"/>
      <c r="K304" s="37" t="str">
        <f aca="true">IF(B304="","",IF(I304="","",IF(I304&lt;TODAY(),"Expired",IF(I304&lt;=TODAY()+60,"Expiring Soon","OK"))))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5"/>
      <c r="H305" s="35"/>
      <c r="I305" s="35"/>
      <c r="J305" s="33"/>
      <c r="K305" s="37" t="str">
        <f aca="true">IF(B305="","",IF(I305="","",IF(I305&lt;TODAY(),"Expired",IF(I305&lt;=TODAY()+60,"Expiring Soon","OK"))))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5"/>
      <c r="H306" s="35"/>
      <c r="I306" s="35"/>
      <c r="J306" s="33"/>
      <c r="K306" s="37" t="str">
        <f aca="true">IF(B306="","",IF(I306="","",IF(I306&lt;TODAY(),"Expired",IF(I306&lt;=TODAY()+60,"Expiring Soon","OK"))))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5"/>
      <c r="H307" s="35"/>
      <c r="I307" s="35"/>
      <c r="J307" s="33"/>
      <c r="K307" s="37" t="str">
        <f aca="true">IF(B307="","",IF(I307="","",IF(I307&lt;TODAY(),"Expired",IF(I307&lt;=TODAY()+60,"Expiring Soon","OK"))))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5"/>
      <c r="H308" s="35"/>
      <c r="I308" s="35"/>
      <c r="J308" s="33"/>
      <c r="K308" s="37" t="str">
        <f aca="true">IF(B308="","",IF(I308="","",IF(I308&lt;TODAY(),"Expired",IF(I308&lt;=TODAY()+60,"Expiring Soon","OK"))))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5"/>
      <c r="H309" s="35"/>
      <c r="I309" s="35"/>
      <c r="J309" s="33"/>
      <c r="K309" s="37" t="str">
        <f aca="true">IF(B309="","",IF(I309="","",IF(I309&lt;TODAY(),"Expired",IF(I309&lt;=TODAY()+60,"Expiring Soon","OK"))))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5"/>
      <c r="H310" s="35"/>
      <c r="I310" s="35"/>
      <c r="J310" s="33"/>
      <c r="K310" s="37" t="str">
        <f aca="true">IF(B310="","",IF(I310="","",IF(I310&lt;TODAY(),"Expired",IF(I310&lt;=TODAY()+60,"Expiring Soon","OK"))))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5"/>
      <c r="H311" s="35"/>
      <c r="I311" s="35"/>
      <c r="J311" s="33"/>
      <c r="K311" s="37" t="str">
        <f aca="true">IF(B311="","",IF(I311="","",IF(I311&lt;TODAY(),"Expired",IF(I311&lt;=TODAY()+60,"Expiring Soon","OK"))))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5"/>
      <c r="H312" s="35"/>
      <c r="I312" s="35"/>
      <c r="J312" s="33"/>
      <c r="K312" s="37" t="str">
        <f aca="true">IF(B312="","",IF(I312="","",IF(I312&lt;TODAY(),"Expired",IF(I312&lt;=TODAY()+60,"Expiring Soon","OK"))))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5"/>
      <c r="H313" s="35"/>
      <c r="I313" s="35"/>
      <c r="J313" s="33"/>
      <c r="K313" s="37" t="str">
        <f aca="true">IF(B313="","",IF(I313="","",IF(I313&lt;TODAY(),"Expired",IF(I313&lt;=TODAY()+60,"Expiring Soon","OK"))))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5"/>
      <c r="H314" s="35"/>
      <c r="I314" s="35"/>
      <c r="J314" s="33"/>
      <c r="K314" s="37" t="str">
        <f aca="true">IF(B314="","",IF(I314="","",IF(I314&lt;TODAY(),"Expired",IF(I314&lt;=TODAY()+60,"Expiring Soon","OK"))))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5"/>
      <c r="H315" s="35"/>
      <c r="I315" s="35"/>
      <c r="J315" s="33"/>
      <c r="K315" s="37" t="str">
        <f aca="true">IF(B315="","",IF(I315="","",IF(I315&lt;TODAY(),"Expired",IF(I315&lt;=TODAY()+60,"Expiring Soon","OK"))))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5"/>
      <c r="H316" s="35"/>
      <c r="I316" s="35"/>
      <c r="J316" s="33"/>
      <c r="K316" s="37" t="str">
        <f aca="true">IF(B316="","",IF(I316="","",IF(I316&lt;TODAY(),"Expired",IF(I316&lt;=TODAY()+60,"Expiring Soon","OK"))))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5"/>
      <c r="H317" s="35"/>
      <c r="I317" s="35"/>
      <c r="J317" s="33"/>
      <c r="K317" s="37" t="str">
        <f aca="true">IF(B317="","",IF(I317="","",IF(I317&lt;TODAY(),"Expired",IF(I317&lt;=TODAY()+60,"Expiring Soon","OK"))))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5"/>
      <c r="H318" s="35"/>
      <c r="I318" s="35"/>
      <c r="J318" s="33"/>
      <c r="K318" s="37" t="str">
        <f aca="true">IF(B318="","",IF(I318="","",IF(I318&lt;TODAY(),"Expired",IF(I318&lt;=TODAY()+60,"Expiring Soon","OK"))))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5"/>
      <c r="H319" s="35"/>
      <c r="I319" s="35"/>
      <c r="J319" s="33"/>
      <c r="K319" s="37" t="str">
        <f aca="true">IF(B319="","",IF(I319="","",IF(I319&lt;TODAY(),"Expired",IF(I319&lt;=TODAY()+60,"Expiring Soon","OK"))))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5"/>
      <c r="H320" s="35"/>
      <c r="I320" s="35"/>
      <c r="J320" s="33"/>
      <c r="K320" s="37" t="str">
        <f aca="true">IF(B320="","",IF(I320="","",IF(I320&lt;TODAY(),"Expired",IF(I320&lt;=TODAY()+60,"Expiring Soon","OK"))))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5"/>
      <c r="H321" s="35"/>
      <c r="I321" s="35"/>
      <c r="J321" s="33"/>
      <c r="K321" s="37" t="str">
        <f aca="true">IF(B321="","",IF(I321="","",IF(I321&lt;TODAY(),"Expired",IF(I321&lt;=TODAY()+60,"Expiring Soon","OK"))))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5"/>
      <c r="H322" s="35"/>
      <c r="I322" s="35"/>
      <c r="J322" s="33"/>
      <c r="K322" s="37" t="str">
        <f aca="true">IF(B322="","",IF(I322="","",IF(I322&lt;TODAY(),"Expired",IF(I322&lt;=TODAY()+60,"Expiring Soon","OK"))))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5"/>
      <c r="H323" s="35"/>
      <c r="I323" s="35"/>
      <c r="J323" s="33"/>
      <c r="K323" s="37" t="str">
        <f aca="true">IF(B323="","",IF(I323="","",IF(I323&lt;TODAY(),"Expired",IF(I323&lt;=TODAY()+60,"Expiring Soon","OK"))))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5"/>
      <c r="H324" s="35"/>
      <c r="I324" s="35"/>
      <c r="J324" s="33"/>
      <c r="K324" s="37" t="str">
        <f aca="true">IF(B324="","",IF(I324="","",IF(I324&lt;TODAY(),"Expired",IF(I324&lt;=TODAY()+60,"Expiring Soon","OK"))))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5"/>
      <c r="H325" s="35"/>
      <c r="I325" s="35"/>
      <c r="J325" s="33"/>
      <c r="K325" s="37" t="str">
        <f aca="true">IF(B325="","",IF(I325="","",IF(I325&lt;TODAY(),"Expired",IF(I325&lt;=TODAY()+60,"Expiring Soon","OK"))))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5"/>
      <c r="H326" s="35"/>
      <c r="I326" s="35"/>
      <c r="J326" s="33"/>
      <c r="K326" s="37" t="str">
        <f aca="true">IF(B326="","",IF(I326="","",IF(I326&lt;TODAY(),"Expired",IF(I326&lt;=TODAY()+60,"Expiring Soon","OK"))))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5"/>
      <c r="H327" s="35"/>
      <c r="I327" s="35"/>
      <c r="J327" s="33"/>
      <c r="K327" s="37" t="str">
        <f aca="true">IF(B327="","",IF(I327="","",IF(I327&lt;TODAY(),"Expired",IF(I327&lt;=TODAY()+60,"Expiring Soon","OK"))))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5"/>
      <c r="H328" s="35"/>
      <c r="I328" s="35"/>
      <c r="J328" s="33"/>
      <c r="K328" s="37" t="str">
        <f aca="true">IF(B328="","",IF(I328="","",IF(I328&lt;TODAY(),"Expired",IF(I328&lt;=TODAY()+60,"Expiring Soon","OK"))))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5"/>
      <c r="H329" s="35"/>
      <c r="I329" s="35"/>
      <c r="J329" s="33"/>
      <c r="K329" s="37" t="str">
        <f aca="true">IF(B329="","",IF(I329="","",IF(I329&lt;TODAY(),"Expired",IF(I329&lt;=TODAY()+60,"Expiring Soon","OK"))))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5"/>
      <c r="H330" s="35"/>
      <c r="I330" s="35"/>
      <c r="J330" s="33"/>
      <c r="K330" s="37" t="str">
        <f aca="true">IF(B330="","",IF(I330="","",IF(I330&lt;TODAY(),"Expired",IF(I330&lt;=TODAY()+60,"Expiring Soon","OK"))))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5"/>
      <c r="H331" s="35"/>
      <c r="I331" s="35"/>
      <c r="J331" s="33"/>
      <c r="K331" s="37" t="str">
        <f aca="true">IF(B331="","",IF(I331="","",IF(I331&lt;TODAY(),"Expired",IF(I331&lt;=TODAY()+60,"Expiring Soon","OK"))))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5"/>
      <c r="H332" s="35"/>
      <c r="I332" s="35"/>
      <c r="J332" s="33"/>
      <c r="K332" s="37" t="str">
        <f aca="true">IF(B332="","",IF(I332="","",IF(I332&lt;TODAY(),"Expired",IF(I332&lt;=TODAY()+60,"Expiring Soon","OK"))))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5"/>
      <c r="H333" s="35"/>
      <c r="I333" s="35"/>
      <c r="J333" s="33"/>
      <c r="K333" s="37" t="str">
        <f aca="true">IF(B333="","",IF(I333="","",IF(I333&lt;TODAY(),"Expired",IF(I333&lt;=TODAY()+60,"Expiring Soon","OK"))))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5"/>
      <c r="H334" s="35"/>
      <c r="I334" s="35"/>
      <c r="J334" s="33"/>
      <c r="K334" s="37" t="str">
        <f aca="true">IF(B334="","",IF(I334="","",IF(I334&lt;TODAY(),"Expired",IF(I334&lt;=TODAY()+60,"Expiring Soon","OK"))))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5"/>
      <c r="H335" s="35"/>
      <c r="I335" s="35"/>
      <c r="J335" s="33"/>
      <c r="K335" s="37" t="str">
        <f aca="true">IF(B335="","",IF(I335="","",IF(I335&lt;TODAY(),"Expired",IF(I335&lt;=TODAY()+60,"Expiring Soon","OK"))))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5"/>
      <c r="H336" s="35"/>
      <c r="I336" s="35"/>
      <c r="J336" s="33"/>
      <c r="K336" s="37" t="str">
        <f aca="true">IF(B336="","",IF(I336="","",IF(I336&lt;TODAY(),"Expired",IF(I336&lt;=TODAY()+60,"Expiring Soon","OK"))))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5"/>
      <c r="H337" s="35"/>
      <c r="I337" s="35"/>
      <c r="J337" s="33"/>
      <c r="K337" s="37" t="str">
        <f aca="true">IF(B337="","",IF(I337="","",IF(I337&lt;TODAY(),"Expired",IF(I337&lt;=TODAY()+60,"Expiring Soon","OK"))))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5"/>
      <c r="H338" s="35"/>
      <c r="I338" s="35"/>
      <c r="J338" s="33"/>
      <c r="K338" s="37" t="str">
        <f aca="true">IF(B338="","",IF(I338="","",IF(I338&lt;TODAY(),"Expired",IF(I338&lt;=TODAY()+60,"Expiring Soon","OK"))))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5"/>
      <c r="H339" s="35"/>
      <c r="I339" s="35"/>
      <c r="J339" s="33"/>
      <c r="K339" s="37" t="str">
        <f aca="true">IF(B339="","",IF(I339="","",IF(I339&lt;TODAY(),"Expired",IF(I339&lt;=TODAY()+60,"Expiring Soon","OK"))))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5"/>
      <c r="H340" s="35"/>
      <c r="I340" s="35"/>
      <c r="J340" s="33"/>
      <c r="K340" s="37" t="str">
        <f aca="true">IF(B340="","",IF(I340="","",IF(I340&lt;TODAY(),"Expired",IF(I340&lt;=TODAY()+60,"Expiring Soon","OK"))))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5"/>
      <c r="H341" s="35"/>
      <c r="I341" s="35"/>
      <c r="J341" s="33"/>
      <c r="K341" s="37" t="str">
        <f aca="true">IF(B341="","",IF(I341="","",IF(I341&lt;TODAY(),"Expired",IF(I341&lt;=TODAY()+60,"Expiring Soon","OK"))))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5"/>
      <c r="H342" s="35"/>
      <c r="I342" s="35"/>
      <c r="J342" s="33"/>
      <c r="K342" s="37" t="str">
        <f aca="true">IF(B342="","",IF(I342="","",IF(I342&lt;TODAY(),"Expired",IF(I342&lt;=TODAY()+60,"Expiring Soon","OK"))))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5"/>
      <c r="H343" s="35"/>
      <c r="I343" s="35"/>
      <c r="J343" s="33"/>
      <c r="K343" s="37" t="str">
        <f aca="true">IF(B343="","",IF(I343="","",IF(I343&lt;TODAY(),"Expired",IF(I343&lt;=TODAY()+60,"Expiring Soon","OK"))))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5"/>
      <c r="H344" s="35"/>
      <c r="I344" s="35"/>
      <c r="J344" s="33"/>
      <c r="K344" s="37" t="str">
        <f aca="true">IF(B344="","",IF(I344="","",IF(I344&lt;TODAY(),"Expired",IF(I344&lt;=TODAY()+60,"Expiring Soon","OK"))))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5"/>
      <c r="H345" s="35"/>
      <c r="I345" s="35"/>
      <c r="J345" s="33"/>
      <c r="K345" s="37" t="str">
        <f aca="true">IF(B345="","",IF(I345="","",IF(I345&lt;TODAY(),"Expired",IF(I345&lt;=TODAY()+60,"Expiring Soon","OK"))))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5"/>
      <c r="H346" s="35"/>
      <c r="I346" s="35"/>
      <c r="J346" s="33"/>
      <c r="K346" s="37" t="str">
        <f aca="true">IF(B346="","",IF(I346="","",IF(I346&lt;TODAY(),"Expired",IF(I346&lt;=TODAY()+60,"Expiring Soon","OK"))))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5"/>
      <c r="H347" s="35"/>
      <c r="I347" s="35"/>
      <c r="J347" s="33"/>
      <c r="K347" s="37" t="str">
        <f aca="true">IF(B347="","",IF(I347="","",IF(I347&lt;TODAY(),"Expired",IF(I347&lt;=TODAY()+60,"Expiring Soon","OK"))))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5"/>
      <c r="H348" s="35"/>
      <c r="I348" s="35"/>
      <c r="J348" s="33"/>
      <c r="K348" s="37" t="str">
        <f aca="true">IF(B348="","",IF(I348="","",IF(I348&lt;TODAY(),"Expired",IF(I348&lt;=TODAY()+60,"Expiring Soon","OK"))))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5"/>
      <c r="H349" s="35"/>
      <c r="I349" s="35"/>
      <c r="J349" s="33"/>
      <c r="K349" s="37" t="str">
        <f aca="true">IF(B349="","",IF(I349="","",IF(I349&lt;TODAY(),"Expired",IF(I349&lt;=TODAY()+60,"Expiring Soon","OK"))))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5"/>
      <c r="H350" s="35"/>
      <c r="I350" s="35"/>
      <c r="J350" s="33"/>
      <c r="K350" s="37" t="str">
        <f aca="true">IF(B350="","",IF(I350="","",IF(I350&lt;TODAY(),"Expired",IF(I350&lt;=TODAY()+60,"Expiring Soon","OK"))))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5"/>
      <c r="H351" s="35"/>
      <c r="I351" s="35"/>
      <c r="J351" s="33"/>
      <c r="K351" s="37" t="str">
        <f aca="true">IF(B351="","",IF(I351="","",IF(I351&lt;TODAY(),"Expired",IF(I351&lt;=TODAY()+60,"Expiring Soon","OK"))))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5"/>
      <c r="H352" s="35"/>
      <c r="I352" s="35"/>
      <c r="J352" s="33"/>
      <c r="K352" s="37" t="str">
        <f aca="true">IF(B352="","",IF(I352="","",IF(I352&lt;TODAY(),"Expired",IF(I352&lt;=TODAY()+60,"Expiring Soon","OK"))))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5"/>
      <c r="H353" s="35"/>
      <c r="I353" s="35"/>
      <c r="J353" s="33"/>
      <c r="K353" s="37" t="str">
        <f aca="true">IF(B353="","",IF(I353="","",IF(I353&lt;TODAY(),"Expired",IF(I353&lt;=TODAY()+60,"Expiring Soon","OK"))))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5"/>
      <c r="H354" s="35"/>
      <c r="I354" s="35"/>
      <c r="J354" s="33"/>
      <c r="K354" s="37" t="str">
        <f aca="true">IF(B354="","",IF(I354="","",IF(I354&lt;TODAY(),"Expired",IF(I354&lt;=TODAY()+60,"Expiring Soon","OK"))))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5"/>
      <c r="H355" s="35"/>
      <c r="I355" s="35"/>
      <c r="J355" s="33"/>
      <c r="K355" s="37" t="str">
        <f aca="true">IF(B355="","",IF(I355="","",IF(I355&lt;TODAY(),"Expired",IF(I355&lt;=TODAY()+60,"Expiring Soon","OK"))))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5"/>
      <c r="H356" s="35"/>
      <c r="I356" s="35"/>
      <c r="J356" s="33"/>
      <c r="K356" s="37" t="str">
        <f aca="true">IF(B356="","",IF(I356="","",IF(I356&lt;TODAY(),"Expired",IF(I356&lt;=TODAY()+60,"Expiring Soon","OK"))))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5"/>
      <c r="H357" s="35"/>
      <c r="I357" s="35"/>
      <c r="J357" s="33"/>
      <c r="K357" s="37" t="str">
        <f aca="true">IF(B357="","",IF(I357="","",IF(I357&lt;TODAY(),"Expired",IF(I357&lt;=TODAY()+60,"Expiring Soon","OK"))))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5"/>
      <c r="H358" s="35"/>
      <c r="I358" s="35"/>
      <c r="J358" s="33"/>
      <c r="K358" s="37" t="str">
        <f aca="true">IF(B358="","",IF(I358="","",IF(I358&lt;TODAY(),"Expired",IF(I358&lt;=TODAY()+60,"Expiring Soon","OK"))))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5"/>
      <c r="H359" s="35"/>
      <c r="I359" s="35"/>
      <c r="J359" s="33"/>
      <c r="K359" s="37" t="str">
        <f aca="true">IF(B359="","",IF(I359="","",IF(I359&lt;TODAY(),"Expired",IF(I359&lt;=TODAY()+60,"Expiring Soon","OK"))))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5"/>
      <c r="H360" s="35"/>
      <c r="I360" s="35"/>
      <c r="J360" s="33"/>
      <c r="K360" s="37" t="str">
        <f aca="true">IF(B360="","",IF(I360="","",IF(I360&lt;TODAY(),"Expired",IF(I360&lt;=TODAY()+60,"Expiring Soon","OK"))))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5"/>
      <c r="H361" s="35"/>
      <c r="I361" s="35"/>
      <c r="J361" s="33"/>
      <c r="K361" s="37" t="str">
        <f aca="true">IF(B361="","",IF(I361="","",IF(I361&lt;TODAY(),"Expired",IF(I361&lt;=TODAY()+60,"Expiring Soon","OK"))))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5"/>
      <c r="H362" s="35"/>
      <c r="I362" s="35"/>
      <c r="J362" s="33"/>
      <c r="K362" s="37" t="str">
        <f aca="true">IF(B362="","",IF(I362="","",IF(I362&lt;TODAY(),"Expired",IF(I362&lt;=TODAY()+60,"Expiring Soon","OK"))))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5"/>
      <c r="H363" s="35"/>
      <c r="I363" s="35"/>
      <c r="J363" s="33"/>
      <c r="K363" s="37" t="str">
        <f aca="true">IF(B363="","",IF(I363="","",IF(I363&lt;TODAY(),"Expired",IF(I363&lt;=TODAY()+60,"Expiring Soon","OK"))))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5"/>
      <c r="H364" s="35"/>
      <c r="I364" s="35"/>
      <c r="J364" s="33"/>
      <c r="K364" s="37" t="str">
        <f aca="true">IF(B364="","",IF(I364="","",IF(I364&lt;TODAY(),"Expired",IF(I364&lt;=TODAY()+60,"Expiring Soon","OK"))))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5"/>
      <c r="H365" s="35"/>
      <c r="I365" s="35"/>
      <c r="J365" s="33"/>
      <c r="K365" s="37" t="str">
        <f aca="true">IF(B365="","",IF(I365="","",IF(I365&lt;TODAY(),"Expired",IF(I365&lt;=TODAY()+60,"Expiring Soon","OK"))))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5"/>
      <c r="H366" s="35"/>
      <c r="I366" s="35"/>
      <c r="J366" s="33"/>
      <c r="K366" s="37" t="str">
        <f aca="true">IF(B366="","",IF(I366="","",IF(I366&lt;TODAY(),"Expired",IF(I366&lt;=TODAY()+60,"Expiring Soon","OK"))))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5"/>
      <c r="H367" s="35"/>
      <c r="I367" s="35"/>
      <c r="J367" s="33"/>
      <c r="K367" s="37" t="str">
        <f aca="true">IF(B367="","",IF(I367="","",IF(I367&lt;TODAY(),"Expired",IF(I367&lt;=TODAY()+60,"Expiring Soon","OK"))))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5"/>
      <c r="H368" s="35"/>
      <c r="I368" s="35"/>
      <c r="J368" s="33"/>
      <c r="K368" s="37" t="str">
        <f aca="true">IF(B368="","",IF(I368="","",IF(I368&lt;TODAY(),"Expired",IF(I368&lt;=TODAY()+60,"Expiring Soon","OK"))))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5"/>
      <c r="H369" s="35"/>
      <c r="I369" s="35"/>
      <c r="J369" s="33"/>
      <c r="K369" s="37" t="str">
        <f aca="true">IF(B369="","",IF(I369="","",IF(I369&lt;TODAY(),"Expired",IF(I369&lt;=TODAY()+60,"Expiring Soon","OK"))))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5"/>
      <c r="H370" s="35"/>
      <c r="I370" s="35"/>
      <c r="J370" s="33"/>
      <c r="K370" s="37" t="str">
        <f aca="true">IF(B370="","",IF(I370="","",IF(I370&lt;TODAY(),"Expired",IF(I370&lt;=TODAY()+60,"Expiring Soon","OK"))))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5"/>
      <c r="H371" s="35"/>
      <c r="I371" s="35"/>
      <c r="J371" s="33"/>
      <c r="K371" s="37" t="str">
        <f aca="true">IF(B371="","",IF(I371="","",IF(I371&lt;TODAY(),"Expired",IF(I371&lt;=TODAY()+60,"Expiring Soon","OK"))))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5"/>
      <c r="H372" s="35"/>
      <c r="I372" s="35"/>
      <c r="J372" s="33"/>
      <c r="K372" s="37" t="str">
        <f aca="true">IF(B372="","",IF(I372="","",IF(I372&lt;TODAY(),"Expired",IF(I372&lt;=TODAY()+60,"Expiring Soon","OK"))))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5"/>
      <c r="H373" s="35"/>
      <c r="I373" s="35"/>
      <c r="J373" s="33"/>
      <c r="K373" s="37" t="str">
        <f aca="true">IF(B373="","",IF(I373="","",IF(I373&lt;TODAY(),"Expired",IF(I373&lt;=TODAY()+60,"Expiring Soon","OK"))))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5"/>
      <c r="H374" s="35"/>
      <c r="I374" s="35"/>
      <c r="J374" s="33"/>
      <c r="K374" s="37" t="str">
        <f aca="true">IF(B374="","",IF(I374="","",IF(I374&lt;TODAY(),"Expired",IF(I374&lt;=TODAY()+60,"Expiring Soon","OK"))))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5"/>
      <c r="H375" s="35"/>
      <c r="I375" s="35"/>
      <c r="J375" s="33"/>
      <c r="K375" s="37" t="str">
        <f aca="true">IF(B375="","",IF(I375="","",IF(I375&lt;TODAY(),"Expired",IF(I375&lt;=TODAY()+60,"Expiring Soon","OK"))))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5"/>
      <c r="H376" s="35"/>
      <c r="I376" s="35"/>
      <c r="J376" s="33"/>
      <c r="K376" s="37" t="str">
        <f aca="true">IF(B376="","",IF(I376="","",IF(I376&lt;TODAY(),"Expired",IF(I376&lt;=TODAY()+60,"Expiring Soon","OK"))))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5"/>
      <c r="H377" s="35"/>
      <c r="I377" s="35"/>
      <c r="J377" s="33"/>
      <c r="K377" s="37" t="str">
        <f aca="true">IF(B377="","",IF(I377="","",IF(I377&lt;TODAY(),"Expired",IF(I377&lt;=TODAY()+60,"Expiring Soon","OK"))))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5"/>
      <c r="H378" s="35"/>
      <c r="I378" s="35"/>
      <c r="J378" s="33"/>
      <c r="K378" s="37" t="str">
        <f aca="true">IF(B378="","",IF(I378="","",IF(I378&lt;TODAY(),"Expired",IF(I378&lt;=TODAY()+60,"Expiring Soon","OK"))))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5"/>
      <c r="H379" s="35"/>
      <c r="I379" s="35"/>
      <c r="J379" s="33"/>
      <c r="K379" s="37" t="str">
        <f aca="true">IF(B379="","",IF(I379="","",IF(I379&lt;TODAY(),"Expired",IF(I379&lt;=TODAY()+60,"Expiring Soon","OK"))))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5"/>
      <c r="H380" s="35"/>
      <c r="I380" s="35"/>
      <c r="J380" s="33"/>
      <c r="K380" s="37" t="str">
        <f aca="true">IF(B380="","",IF(I380="","",IF(I380&lt;TODAY(),"Expired",IF(I380&lt;=TODAY()+60,"Expiring Soon","OK"))))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5"/>
      <c r="H381" s="35"/>
      <c r="I381" s="35"/>
      <c r="J381" s="33"/>
      <c r="K381" s="37" t="str">
        <f aca="true">IF(B381="","",IF(I381="","",IF(I381&lt;TODAY(),"Expired",IF(I381&lt;=TODAY()+60,"Expiring Soon","OK"))))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5"/>
      <c r="H382" s="35"/>
      <c r="I382" s="35"/>
      <c r="J382" s="33"/>
      <c r="K382" s="37" t="str">
        <f aca="true">IF(B382="","",IF(I382="","",IF(I382&lt;TODAY(),"Expired",IF(I382&lt;=TODAY()+60,"Expiring Soon","OK"))))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5"/>
      <c r="H383" s="35"/>
      <c r="I383" s="35"/>
      <c r="J383" s="33"/>
      <c r="K383" s="37" t="str">
        <f aca="true">IF(B383="","",IF(I383="","",IF(I383&lt;TODAY(),"Expired",IF(I383&lt;=TODAY()+60,"Expiring Soon","OK"))))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5"/>
      <c r="H384" s="35"/>
      <c r="I384" s="35"/>
      <c r="J384" s="33"/>
      <c r="K384" s="37" t="str">
        <f aca="true">IF(B384="","",IF(I384="","",IF(I384&lt;TODAY(),"Expired",IF(I384&lt;=TODAY()+60,"Expiring Soon","OK"))))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5"/>
      <c r="H385" s="35"/>
      <c r="I385" s="35"/>
      <c r="J385" s="33"/>
      <c r="K385" s="37" t="str">
        <f aca="true">IF(B385="","",IF(I385="","",IF(I385&lt;TODAY(),"Expired",IF(I385&lt;=TODAY()+60,"Expiring Soon","OK"))))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5"/>
      <c r="H386" s="35"/>
      <c r="I386" s="35"/>
      <c r="J386" s="33"/>
      <c r="K386" s="37" t="str">
        <f aca="true">IF(B386="","",IF(I386="","",IF(I386&lt;TODAY(),"Expired",IF(I386&lt;=TODAY()+60,"Expiring Soon","OK"))))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5"/>
      <c r="H387" s="35"/>
      <c r="I387" s="35"/>
      <c r="J387" s="33"/>
      <c r="K387" s="37" t="str">
        <f aca="true">IF(B387="","",IF(I387="","",IF(I387&lt;TODAY(),"Expired",IF(I387&lt;=TODAY()+60,"Expiring Soon","OK"))))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5"/>
      <c r="H388" s="35"/>
      <c r="I388" s="35"/>
      <c r="J388" s="33"/>
      <c r="K388" s="37" t="str">
        <f aca="true">IF(B388="","",IF(I388="","",IF(I388&lt;TODAY(),"Expired",IF(I388&lt;=TODAY()+60,"Expiring Soon","OK"))))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5"/>
      <c r="H389" s="35"/>
      <c r="I389" s="35"/>
      <c r="J389" s="33"/>
      <c r="K389" s="37" t="str">
        <f aca="true">IF(B389="","",IF(I389="","",IF(I389&lt;TODAY(),"Expired",IF(I389&lt;=TODAY()+60,"Expiring Soon","OK"))))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5"/>
      <c r="H390" s="35"/>
      <c r="I390" s="35"/>
      <c r="J390" s="33"/>
      <c r="K390" s="37" t="str">
        <f aca="true">IF(B390="","",IF(I390="","",IF(I390&lt;TODAY(),"Expired",IF(I390&lt;=TODAY()+60,"Expiring Soon","OK"))))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5"/>
      <c r="H391" s="35"/>
      <c r="I391" s="35"/>
      <c r="J391" s="33"/>
      <c r="K391" s="37" t="str">
        <f aca="true">IF(B391="","",IF(I391="","",IF(I391&lt;TODAY(),"Expired",IF(I391&lt;=TODAY()+60,"Expiring Soon","OK"))))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5"/>
      <c r="H392" s="35"/>
      <c r="I392" s="35"/>
      <c r="J392" s="33"/>
      <c r="K392" s="37" t="str">
        <f aca="true">IF(B392="","",IF(I392="","",IF(I392&lt;TODAY(),"Expired",IF(I392&lt;=TODAY()+60,"Expiring Soon","OK"))))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5"/>
      <c r="H393" s="35"/>
      <c r="I393" s="35"/>
      <c r="J393" s="33"/>
      <c r="K393" s="37" t="str">
        <f aca="true">IF(B393="","",IF(I393="","",IF(I393&lt;TODAY(),"Expired",IF(I393&lt;=TODAY()+60,"Expiring Soon","OK"))))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5"/>
      <c r="H394" s="35"/>
      <c r="I394" s="35"/>
      <c r="J394" s="33"/>
      <c r="K394" s="37" t="str">
        <f aca="true">IF(B394="","",IF(I394="","",IF(I394&lt;TODAY(),"Expired",IF(I394&lt;=TODAY()+60,"Expiring Soon","OK"))))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5"/>
      <c r="H395" s="35"/>
      <c r="I395" s="35"/>
      <c r="J395" s="33"/>
      <c r="K395" s="37" t="str">
        <f aca="true">IF(B395="","",IF(I395="","",IF(I395&lt;TODAY(),"Expired",IF(I395&lt;=TODAY()+60,"Expiring Soon","OK"))))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5"/>
      <c r="H396" s="35"/>
      <c r="I396" s="35"/>
      <c r="J396" s="33"/>
      <c r="K396" s="37" t="str">
        <f aca="true">IF(B396="","",IF(I396="","",IF(I396&lt;TODAY(),"Expired",IF(I396&lt;=TODAY()+60,"Expiring Soon","OK"))))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5"/>
      <c r="H397" s="35"/>
      <c r="I397" s="35"/>
      <c r="J397" s="33"/>
      <c r="K397" s="37" t="str">
        <f aca="true">IF(B397="","",IF(I397="","",IF(I397&lt;TODAY(),"Expired",IF(I397&lt;=TODAY()+60,"Expiring Soon","OK"))))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5"/>
      <c r="H398" s="35"/>
      <c r="I398" s="35"/>
      <c r="J398" s="33"/>
      <c r="K398" s="37" t="str">
        <f aca="true">IF(B398="","",IF(I398="","",IF(I398&lt;TODAY(),"Expired",IF(I398&lt;=TODAY()+60,"Expiring Soon","OK"))))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5"/>
      <c r="H399" s="35"/>
      <c r="I399" s="35"/>
      <c r="J399" s="33"/>
      <c r="K399" s="37" t="str">
        <f aca="true">IF(B399="","",IF(I399="","",IF(I399&lt;TODAY(),"Expired",IF(I399&lt;=TODAY()+60,"Expiring Soon","OK"))))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5"/>
      <c r="H400" s="35"/>
      <c r="I400" s="35"/>
      <c r="J400" s="33"/>
      <c r="K400" s="37" t="str">
        <f aca="true">IF(B400="","",IF(I400="","",IF(I400&lt;TODAY(),"Expired",IF(I400&lt;=TODAY()+60,"Expiring Soon","OK"))))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5"/>
      <c r="H401" s="35"/>
      <c r="I401" s="35"/>
      <c r="J401" s="33"/>
      <c r="K401" s="37" t="str">
        <f aca="true">IF(B401="","",IF(I401="","",IF(I401&lt;TODAY(),"Expired",IF(I401&lt;=TODAY()+60,"Expiring Soon","OK"))))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5"/>
      <c r="H402" s="35"/>
      <c r="I402" s="35"/>
      <c r="J402" s="33"/>
      <c r="K402" s="37" t="str">
        <f aca="true">IF(B402="","",IF(I402="","",IF(I402&lt;TODAY(),"Expired",IF(I402&lt;=TODAY()+60,"Expiring Soon","OK"))))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5"/>
      <c r="H403" s="35"/>
      <c r="I403" s="35"/>
      <c r="J403" s="33"/>
      <c r="K403" s="37" t="str">
        <f aca="true">IF(B403="","",IF(I403="","",IF(I403&lt;TODAY(),"Expired",IF(I403&lt;=TODAY()+60,"Expiring Soon","OK"))))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5"/>
      <c r="H404" s="35"/>
      <c r="I404" s="35"/>
      <c r="J404" s="33"/>
      <c r="K404" s="37" t="str">
        <f aca="true">IF(B404="","",IF(I404="","",IF(I404&lt;TODAY(),"Expired",IF(I404&lt;=TODAY()+60,"Expiring Soon","OK"))))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5"/>
      <c r="H405" s="35"/>
      <c r="I405" s="35"/>
      <c r="J405" s="33"/>
      <c r="K405" s="37" t="str">
        <f aca="true">IF(B405="","",IF(I405="","",IF(I405&lt;TODAY(),"Expired",IF(I405&lt;=TODAY()+60,"Expiring Soon","OK"))))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5"/>
      <c r="H406" s="35"/>
      <c r="I406" s="35"/>
      <c r="J406" s="33"/>
      <c r="K406" s="37" t="str">
        <f aca="true">IF(B406="","",IF(I406="","",IF(I406&lt;TODAY(),"Expired",IF(I406&lt;=TODAY()+60,"Expiring Soon","OK"))))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5"/>
      <c r="H407" s="35"/>
      <c r="I407" s="35"/>
      <c r="J407" s="33"/>
      <c r="K407" s="37" t="str">
        <f aca="true">IF(B407="","",IF(I407="","",IF(I407&lt;TODAY(),"Expired",IF(I407&lt;=TODAY()+60,"Expiring Soon","OK"))))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5"/>
      <c r="H408" s="35"/>
      <c r="I408" s="35"/>
      <c r="J408" s="33"/>
      <c r="K408" s="37" t="str">
        <f aca="true">IF(B408="","",IF(I408="","",IF(I408&lt;TODAY(),"Expired",IF(I408&lt;=TODAY()+60,"Expiring Soon","OK"))))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5"/>
      <c r="H409" s="35"/>
      <c r="I409" s="35"/>
      <c r="J409" s="33"/>
      <c r="K409" s="37" t="str">
        <f aca="true">IF(B409="","",IF(I409="","",IF(I409&lt;TODAY(),"Expired",IF(I409&lt;=TODAY()+60,"Expiring Soon","OK"))))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5"/>
      <c r="H410" s="35"/>
      <c r="I410" s="35"/>
      <c r="J410" s="33"/>
      <c r="K410" s="37" t="str">
        <f aca="true">IF(B410="","",IF(I410="","",IF(I410&lt;TODAY(),"Expired",IF(I410&lt;=TODAY()+60,"Expiring Soon","OK"))))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5"/>
      <c r="H411" s="35"/>
      <c r="I411" s="35"/>
      <c r="J411" s="33"/>
      <c r="K411" s="37" t="str">
        <f aca="true">IF(B411="","",IF(I411="","",IF(I411&lt;TODAY(),"Expired",IF(I411&lt;=TODAY()+60,"Expiring Soon","OK"))))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5"/>
      <c r="H412" s="35"/>
      <c r="I412" s="35"/>
      <c r="J412" s="33"/>
      <c r="K412" s="37" t="str">
        <f aca="true">IF(B412="","",IF(I412="","",IF(I412&lt;TODAY(),"Expired",IF(I412&lt;=TODAY()+60,"Expiring Soon","OK"))))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5"/>
      <c r="H413" s="35"/>
      <c r="I413" s="35"/>
      <c r="J413" s="33"/>
      <c r="K413" s="37" t="str">
        <f aca="true">IF(B413="","",IF(I413="","",IF(I413&lt;TODAY(),"Expired",IF(I413&lt;=TODAY()+60,"Expiring Soon","OK"))))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5"/>
      <c r="H414" s="35"/>
      <c r="I414" s="35"/>
      <c r="J414" s="33"/>
      <c r="K414" s="37" t="str">
        <f aca="true">IF(B414="","",IF(I414="","",IF(I414&lt;TODAY(),"Expired",IF(I414&lt;=TODAY()+60,"Expiring Soon","OK"))))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5"/>
      <c r="H415" s="35"/>
      <c r="I415" s="35"/>
      <c r="J415" s="33"/>
      <c r="K415" s="37" t="str">
        <f aca="true">IF(B415="","",IF(I415="","",IF(I415&lt;TODAY(),"Expired",IF(I415&lt;=TODAY()+60,"Expiring Soon","OK"))))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5"/>
      <c r="H416" s="35"/>
      <c r="I416" s="35"/>
      <c r="J416" s="33"/>
      <c r="K416" s="37" t="str">
        <f aca="true">IF(B416="","",IF(I416="","",IF(I416&lt;TODAY(),"Expired",IF(I416&lt;=TODAY()+60,"Expiring Soon","OK"))))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5"/>
      <c r="H417" s="35"/>
      <c r="I417" s="35"/>
      <c r="J417" s="33"/>
      <c r="K417" s="37" t="str">
        <f aca="true">IF(B417="","",IF(I417="","",IF(I417&lt;TODAY(),"Expired",IF(I417&lt;=TODAY()+60,"Expiring Soon","OK"))))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5"/>
      <c r="H418" s="35"/>
      <c r="I418" s="35"/>
      <c r="J418" s="33"/>
      <c r="K418" s="37" t="str">
        <f aca="true">IF(B418="","",IF(I418="","",IF(I418&lt;TODAY(),"Expired",IF(I418&lt;=TODAY()+60,"Expiring Soon","OK"))))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5"/>
      <c r="H419" s="35"/>
      <c r="I419" s="35"/>
      <c r="J419" s="33"/>
      <c r="K419" s="37" t="str">
        <f aca="true">IF(B419="","",IF(I419="","",IF(I419&lt;TODAY(),"Expired",IF(I419&lt;=TODAY()+60,"Expiring Soon","OK"))))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5"/>
      <c r="H420" s="35"/>
      <c r="I420" s="35"/>
      <c r="J420" s="33"/>
      <c r="K420" s="37" t="str">
        <f aca="true">IF(B420="","",IF(I420="","",IF(I420&lt;TODAY(),"Expired",IF(I420&lt;=TODAY()+60,"Expiring Soon","OK"))))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5"/>
      <c r="H421" s="35"/>
      <c r="I421" s="35"/>
      <c r="J421" s="33"/>
      <c r="K421" s="37" t="str">
        <f aca="true">IF(B421="","",IF(I421="","",IF(I421&lt;TODAY(),"Expired",IF(I421&lt;=TODAY()+60,"Expiring Soon","OK"))))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5"/>
      <c r="H422" s="35"/>
      <c r="I422" s="35"/>
      <c r="J422" s="33"/>
      <c r="K422" s="37" t="str">
        <f aca="true">IF(B422="","",IF(I422="","",IF(I422&lt;TODAY(),"Expired",IF(I422&lt;=TODAY()+60,"Expiring Soon","OK"))))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5"/>
      <c r="H423" s="35"/>
      <c r="I423" s="35"/>
      <c r="J423" s="33"/>
      <c r="K423" s="37" t="str">
        <f aca="true">IF(B423="","",IF(I423="","",IF(I423&lt;TODAY(),"Expired",IF(I423&lt;=TODAY()+60,"Expiring Soon","OK"))))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5"/>
      <c r="H424" s="35"/>
      <c r="I424" s="35"/>
      <c r="J424" s="33"/>
      <c r="K424" s="37" t="str">
        <f aca="true">IF(B424="","",IF(I424="","",IF(I424&lt;TODAY(),"Expired",IF(I424&lt;=TODAY()+60,"Expiring Soon","OK"))))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5"/>
      <c r="H425" s="35"/>
      <c r="I425" s="35"/>
      <c r="J425" s="33"/>
      <c r="K425" s="37" t="str">
        <f aca="true">IF(B425="","",IF(I425="","",IF(I425&lt;TODAY(),"Expired",IF(I425&lt;=TODAY()+60,"Expiring Soon","OK"))))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5"/>
      <c r="H426" s="35"/>
      <c r="I426" s="35"/>
      <c r="J426" s="33"/>
      <c r="K426" s="37" t="str">
        <f aca="true">IF(B426="","",IF(I426="","",IF(I426&lt;TODAY(),"Expired",IF(I426&lt;=TODAY()+60,"Expiring Soon","OK"))))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5"/>
      <c r="H427" s="35"/>
      <c r="I427" s="35"/>
      <c r="J427" s="33"/>
      <c r="K427" s="37" t="str">
        <f aca="true">IF(B427="","",IF(I427="","",IF(I427&lt;TODAY(),"Expired",IF(I427&lt;=TODAY()+60,"Expiring Soon","OK"))))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5"/>
      <c r="H428" s="35"/>
      <c r="I428" s="35"/>
      <c r="J428" s="33"/>
      <c r="K428" s="37" t="str">
        <f aca="true">IF(B428="","",IF(I428="","",IF(I428&lt;TODAY(),"Expired",IF(I428&lt;=TODAY()+60,"Expiring Soon","OK"))))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5"/>
      <c r="H429" s="35"/>
      <c r="I429" s="35"/>
      <c r="J429" s="33"/>
      <c r="K429" s="37" t="str">
        <f aca="true">IF(B429="","",IF(I429="","",IF(I429&lt;TODAY(),"Expired",IF(I429&lt;=TODAY()+60,"Expiring Soon","OK"))))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5"/>
      <c r="H430" s="35"/>
      <c r="I430" s="35"/>
      <c r="J430" s="33"/>
      <c r="K430" s="37" t="str">
        <f aca="true">IF(B430="","",IF(I430="","",IF(I430&lt;TODAY(),"Expired",IF(I430&lt;=TODAY()+60,"Expiring Soon","OK"))))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5"/>
      <c r="H431" s="35"/>
      <c r="I431" s="35"/>
      <c r="J431" s="33"/>
      <c r="K431" s="37" t="str">
        <f aca="true">IF(B431="","",IF(I431="","",IF(I431&lt;TODAY(),"Expired",IF(I431&lt;=TODAY()+60,"Expiring Soon","OK"))))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5"/>
      <c r="H432" s="35"/>
      <c r="I432" s="35"/>
      <c r="J432" s="33"/>
      <c r="K432" s="37" t="str">
        <f aca="true">IF(B432="","",IF(I432="","",IF(I432&lt;TODAY(),"Expired",IF(I432&lt;=TODAY()+60,"Expiring Soon","OK"))))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5"/>
      <c r="H433" s="35"/>
      <c r="I433" s="35"/>
      <c r="J433" s="33"/>
      <c r="K433" s="37" t="str">
        <f aca="true">IF(B433="","",IF(I433="","",IF(I433&lt;TODAY(),"Expired",IF(I433&lt;=TODAY()+60,"Expiring Soon","OK"))))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5"/>
      <c r="H434" s="35"/>
      <c r="I434" s="35"/>
      <c r="J434" s="33"/>
      <c r="K434" s="37" t="str">
        <f aca="true">IF(B434="","",IF(I434="","",IF(I434&lt;TODAY(),"Expired",IF(I434&lt;=TODAY()+60,"Expiring Soon","OK"))))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5"/>
      <c r="H435" s="35"/>
      <c r="I435" s="35"/>
      <c r="J435" s="33"/>
      <c r="K435" s="37" t="str">
        <f aca="true">IF(B435="","",IF(I435="","",IF(I435&lt;TODAY(),"Expired",IF(I435&lt;=TODAY()+60,"Expiring Soon","OK"))))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5"/>
      <c r="H436" s="35"/>
      <c r="I436" s="35"/>
      <c r="J436" s="33"/>
      <c r="K436" s="37" t="str">
        <f aca="true">IF(B436="","",IF(I436="","",IF(I436&lt;TODAY(),"Expired",IF(I436&lt;=TODAY()+60,"Expiring Soon","OK"))))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5"/>
      <c r="H437" s="35"/>
      <c r="I437" s="35"/>
      <c r="J437" s="33"/>
      <c r="K437" s="37" t="str">
        <f aca="true">IF(B437="","",IF(I437="","",IF(I437&lt;TODAY(),"Expired",IF(I437&lt;=TODAY()+60,"Expiring Soon","OK"))))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5"/>
      <c r="H438" s="35"/>
      <c r="I438" s="35"/>
      <c r="J438" s="33"/>
      <c r="K438" s="37" t="str">
        <f aca="true">IF(B438="","",IF(I438="","",IF(I438&lt;TODAY(),"Expired",IF(I438&lt;=TODAY()+60,"Expiring Soon","OK"))))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5"/>
      <c r="H439" s="35"/>
      <c r="I439" s="35"/>
      <c r="J439" s="33"/>
      <c r="K439" s="37" t="str">
        <f aca="true">IF(B439="","",IF(I439="","",IF(I439&lt;TODAY(),"Expired",IF(I439&lt;=TODAY()+60,"Expiring Soon","OK"))))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5"/>
      <c r="H440" s="35"/>
      <c r="I440" s="35"/>
      <c r="J440" s="33"/>
      <c r="K440" s="37" t="str">
        <f aca="true">IF(B440="","",IF(I440="","",IF(I440&lt;TODAY(),"Expired",IF(I440&lt;=TODAY()+60,"Expiring Soon","OK"))))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5"/>
      <c r="H441" s="35"/>
      <c r="I441" s="35"/>
      <c r="J441" s="33"/>
      <c r="K441" s="37" t="str">
        <f aca="true">IF(B441="","",IF(I441="","",IF(I441&lt;TODAY(),"Expired",IF(I441&lt;=TODAY()+60,"Expiring Soon","OK"))))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5"/>
      <c r="H442" s="35"/>
      <c r="I442" s="35"/>
      <c r="J442" s="33"/>
      <c r="K442" s="37" t="str">
        <f aca="true">IF(B442="","",IF(I442="","",IF(I442&lt;TODAY(),"Expired",IF(I442&lt;=TODAY()+60,"Expiring Soon","OK"))))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5"/>
      <c r="H443" s="35"/>
      <c r="I443" s="35"/>
      <c r="J443" s="33"/>
      <c r="K443" s="37" t="str">
        <f aca="true">IF(B443="","",IF(I443="","",IF(I443&lt;TODAY(),"Expired",IF(I443&lt;=TODAY()+60,"Expiring Soon","OK"))))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5"/>
      <c r="H444" s="35"/>
      <c r="I444" s="35"/>
      <c r="J444" s="33"/>
      <c r="K444" s="37" t="str">
        <f aca="true">IF(B444="","",IF(I444="","",IF(I444&lt;TODAY(),"Expired",IF(I444&lt;=TODAY()+60,"Expiring Soon","OK"))))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5"/>
      <c r="H445" s="35"/>
      <c r="I445" s="35"/>
      <c r="J445" s="33"/>
      <c r="K445" s="37" t="str">
        <f aca="true">IF(B445="","",IF(I445="","",IF(I445&lt;TODAY(),"Expired",IF(I445&lt;=TODAY()+60,"Expiring Soon","OK"))))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5"/>
      <c r="H446" s="35"/>
      <c r="I446" s="35"/>
      <c r="J446" s="33"/>
      <c r="K446" s="37" t="str">
        <f aca="true">IF(B446="","",IF(I446="","",IF(I446&lt;TODAY(),"Expired",IF(I446&lt;=TODAY()+60,"Expiring Soon","OK"))))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5"/>
      <c r="H447" s="35"/>
      <c r="I447" s="35"/>
      <c r="J447" s="33"/>
      <c r="K447" s="37" t="str">
        <f aca="true">IF(B447="","",IF(I447="","",IF(I447&lt;TODAY(),"Expired",IF(I447&lt;=TODAY()+60,"Expiring Soon","OK"))))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5"/>
      <c r="H448" s="35"/>
      <c r="I448" s="35"/>
      <c r="J448" s="33"/>
      <c r="K448" s="37" t="str">
        <f aca="true">IF(B448="","",IF(I448="","",IF(I448&lt;TODAY(),"Expired",IF(I448&lt;=TODAY()+60,"Expiring Soon","OK"))))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5"/>
      <c r="H449" s="35"/>
      <c r="I449" s="35"/>
      <c r="J449" s="33"/>
      <c r="K449" s="37" t="str">
        <f aca="true">IF(B449="","",IF(I449="","",IF(I449&lt;TODAY(),"Expired",IF(I449&lt;=TODAY()+60,"Expiring Soon","OK"))))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5"/>
      <c r="H450" s="35"/>
      <c r="I450" s="35"/>
      <c r="J450" s="33"/>
      <c r="K450" s="37" t="str">
        <f aca="true">IF(B450="","",IF(I450="","",IF(I450&lt;TODAY(),"Expired",IF(I450&lt;=TODAY()+60,"Expiring Soon","OK"))))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5"/>
      <c r="H451" s="35"/>
      <c r="I451" s="35"/>
      <c r="J451" s="33"/>
      <c r="K451" s="37" t="str">
        <f aca="true">IF(B451="","",IF(I451="","",IF(I451&lt;TODAY(),"Expired",IF(I451&lt;=TODAY()+60,"Expiring Soon","OK"))))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5"/>
      <c r="H452" s="35"/>
      <c r="I452" s="35"/>
      <c r="J452" s="33"/>
      <c r="K452" s="37" t="str">
        <f aca="true">IF(B452="","",IF(I452="","",IF(I452&lt;TODAY(),"Expired",IF(I452&lt;=TODAY()+60,"Expiring Soon","OK"))))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5"/>
      <c r="H453" s="35"/>
      <c r="I453" s="35"/>
      <c r="J453" s="33"/>
      <c r="K453" s="37" t="str">
        <f aca="true">IF(B453="","",IF(I453="","",IF(I453&lt;TODAY(),"Expired",IF(I453&lt;=TODAY()+60,"Expiring Soon","OK"))))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5"/>
      <c r="H454" s="35"/>
      <c r="I454" s="35"/>
      <c r="J454" s="33"/>
      <c r="K454" s="37" t="str">
        <f aca="true">IF(B454="","",IF(I454="","",IF(I454&lt;TODAY(),"Expired",IF(I454&lt;=TODAY()+60,"Expiring Soon","OK"))))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5"/>
      <c r="H455" s="35"/>
      <c r="I455" s="35"/>
      <c r="J455" s="33"/>
      <c r="K455" s="37" t="str">
        <f aca="true">IF(B455="","",IF(I455="","",IF(I455&lt;TODAY(),"Expired",IF(I455&lt;=TODAY()+60,"Expiring Soon","OK"))))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5"/>
      <c r="H456" s="35"/>
      <c r="I456" s="35"/>
      <c r="J456" s="33"/>
      <c r="K456" s="37" t="str">
        <f aca="true">IF(B456="","",IF(I456="","",IF(I456&lt;TODAY(),"Expired",IF(I456&lt;=TODAY()+60,"Expiring Soon","OK"))))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5"/>
      <c r="H457" s="35"/>
      <c r="I457" s="35"/>
      <c r="J457" s="33"/>
      <c r="K457" s="37" t="str">
        <f aca="true">IF(B457="","",IF(I457="","",IF(I457&lt;TODAY(),"Expired",IF(I457&lt;=TODAY()+60,"Expiring Soon","OK"))))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5"/>
      <c r="H458" s="35"/>
      <c r="I458" s="35"/>
      <c r="J458" s="33"/>
      <c r="K458" s="37" t="str">
        <f aca="true">IF(B458="","",IF(I458="","",IF(I458&lt;TODAY(),"Expired",IF(I458&lt;=TODAY()+60,"Expiring Soon","OK"))))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5"/>
      <c r="H459" s="35"/>
      <c r="I459" s="35"/>
      <c r="J459" s="33"/>
      <c r="K459" s="37" t="str">
        <f aca="true">IF(B459="","",IF(I459="","",IF(I459&lt;TODAY(),"Expired",IF(I459&lt;=TODAY()+60,"Expiring Soon","OK"))))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5"/>
      <c r="H460" s="35"/>
      <c r="I460" s="35"/>
      <c r="J460" s="33"/>
      <c r="K460" s="37" t="str">
        <f aca="true">IF(B460="","",IF(I460="","",IF(I460&lt;TODAY(),"Expired",IF(I460&lt;=TODAY()+60,"Expiring Soon","OK"))))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5"/>
      <c r="H461" s="35"/>
      <c r="I461" s="35"/>
      <c r="J461" s="33"/>
      <c r="K461" s="37" t="str">
        <f aca="true">IF(B461="","",IF(I461="","",IF(I461&lt;TODAY(),"Expired",IF(I461&lt;=TODAY()+60,"Expiring Soon","OK"))))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5"/>
      <c r="H462" s="35"/>
      <c r="I462" s="35"/>
      <c r="J462" s="33"/>
      <c r="K462" s="37" t="str">
        <f aca="true">IF(B462="","",IF(I462="","",IF(I462&lt;TODAY(),"Expired",IF(I462&lt;=TODAY()+60,"Expiring Soon","OK"))))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5"/>
      <c r="H463" s="35"/>
      <c r="I463" s="35"/>
      <c r="J463" s="33"/>
      <c r="K463" s="37" t="str">
        <f aca="true">IF(B463="","",IF(I463="","",IF(I463&lt;TODAY(),"Expired",IF(I463&lt;=TODAY()+60,"Expiring Soon","OK"))))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5"/>
      <c r="H464" s="35"/>
      <c r="I464" s="35"/>
      <c r="J464" s="33"/>
      <c r="K464" s="37" t="str">
        <f aca="true">IF(B464="","",IF(I464="","",IF(I464&lt;TODAY(),"Expired",IF(I464&lt;=TODAY()+60,"Expiring Soon","OK"))))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5"/>
      <c r="H465" s="35"/>
      <c r="I465" s="35"/>
      <c r="J465" s="33"/>
      <c r="K465" s="37" t="str">
        <f aca="true">IF(B465="","",IF(I465="","",IF(I465&lt;TODAY(),"Expired",IF(I465&lt;=TODAY()+60,"Expiring Soon","OK"))))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5"/>
      <c r="H466" s="35"/>
      <c r="I466" s="35"/>
      <c r="J466" s="33"/>
      <c r="K466" s="37" t="str">
        <f aca="true">IF(B466="","",IF(I466="","",IF(I466&lt;TODAY(),"Expired",IF(I466&lt;=TODAY()+60,"Expiring Soon","OK"))))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5"/>
      <c r="H467" s="35"/>
      <c r="I467" s="35"/>
      <c r="J467" s="33"/>
      <c r="K467" s="37" t="str">
        <f aca="true">IF(B467="","",IF(I467="","",IF(I467&lt;TODAY(),"Expired",IF(I467&lt;=TODAY()+60,"Expiring Soon","OK"))))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5"/>
      <c r="H468" s="35"/>
      <c r="I468" s="35"/>
      <c r="J468" s="33"/>
      <c r="K468" s="37" t="str">
        <f aca="true">IF(B468="","",IF(I468="","",IF(I468&lt;TODAY(),"Expired",IF(I468&lt;=TODAY()+60,"Expiring Soon","OK"))))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5"/>
      <c r="H469" s="35"/>
      <c r="I469" s="35"/>
      <c r="J469" s="33"/>
      <c r="K469" s="37" t="str">
        <f aca="true">IF(B469="","",IF(I469="","",IF(I469&lt;TODAY(),"Expired",IF(I469&lt;=TODAY()+60,"Expiring Soon","OK"))))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5"/>
      <c r="H470" s="35"/>
      <c r="I470" s="35"/>
      <c r="J470" s="33"/>
      <c r="K470" s="37" t="str">
        <f aca="true">IF(B470="","",IF(I470="","",IF(I470&lt;TODAY(),"Expired",IF(I470&lt;=TODAY()+60,"Expiring Soon","OK"))))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5"/>
      <c r="H471" s="35"/>
      <c r="I471" s="35"/>
      <c r="J471" s="33"/>
      <c r="K471" s="37" t="str">
        <f aca="true">IF(B471="","",IF(I471="","",IF(I471&lt;TODAY(),"Expired",IF(I471&lt;=TODAY()+60,"Expiring Soon","OK"))))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5"/>
      <c r="H472" s="35"/>
      <c r="I472" s="35"/>
      <c r="J472" s="33"/>
      <c r="K472" s="37" t="str">
        <f aca="true">IF(B472="","",IF(I472="","",IF(I472&lt;TODAY(),"Expired",IF(I472&lt;=TODAY()+60,"Expiring Soon","OK"))))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5"/>
      <c r="H473" s="35"/>
      <c r="I473" s="35"/>
      <c r="J473" s="33"/>
      <c r="K473" s="37" t="str">
        <f aca="true">IF(B473="","",IF(I473="","",IF(I473&lt;TODAY(),"Expired",IF(I473&lt;=TODAY()+60,"Expiring Soon","OK"))))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5"/>
      <c r="H474" s="35"/>
      <c r="I474" s="35"/>
      <c r="J474" s="33"/>
      <c r="K474" s="37" t="str">
        <f aca="true">IF(B474="","",IF(I474="","",IF(I474&lt;TODAY(),"Expired",IF(I474&lt;=TODAY()+60,"Expiring Soon","OK"))))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5"/>
      <c r="H475" s="35"/>
      <c r="I475" s="35"/>
      <c r="J475" s="33"/>
      <c r="K475" s="37" t="str">
        <f aca="true">IF(B475="","",IF(I475="","",IF(I475&lt;TODAY(),"Expired",IF(I475&lt;=TODAY()+60,"Expiring Soon","OK"))))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5"/>
      <c r="H476" s="35"/>
      <c r="I476" s="35"/>
      <c r="J476" s="33"/>
      <c r="K476" s="37" t="str">
        <f aca="true">IF(B476="","",IF(I476="","",IF(I476&lt;TODAY(),"Expired",IF(I476&lt;=TODAY()+60,"Expiring Soon","OK"))))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5"/>
      <c r="H477" s="35"/>
      <c r="I477" s="35"/>
      <c r="J477" s="33"/>
      <c r="K477" s="37" t="str">
        <f aca="true">IF(B477="","",IF(I477="","",IF(I477&lt;TODAY(),"Expired",IF(I477&lt;=TODAY()+60,"Expiring Soon","OK"))))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5"/>
      <c r="H478" s="35"/>
      <c r="I478" s="35"/>
      <c r="J478" s="33"/>
      <c r="K478" s="37" t="str">
        <f aca="true">IF(B478="","",IF(I478="","",IF(I478&lt;TODAY(),"Expired",IF(I478&lt;=TODAY()+60,"Expiring Soon","OK"))))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5"/>
      <c r="H479" s="35"/>
      <c r="I479" s="35"/>
      <c r="J479" s="33"/>
      <c r="K479" s="37" t="str">
        <f aca="true">IF(B479="","",IF(I479="","",IF(I479&lt;TODAY(),"Expired",IF(I479&lt;=TODAY()+60,"Expiring Soon","OK"))))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5"/>
      <c r="H480" s="35"/>
      <c r="I480" s="35"/>
      <c r="J480" s="33"/>
      <c r="K480" s="37" t="str">
        <f aca="true">IF(B480="","",IF(I480="","",IF(I480&lt;TODAY(),"Expired",IF(I480&lt;=TODAY()+60,"Expiring Soon","OK"))))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5"/>
      <c r="H481" s="35"/>
      <c r="I481" s="35"/>
      <c r="J481" s="33"/>
      <c r="K481" s="37" t="str">
        <f aca="true">IF(B481="","",IF(I481="","",IF(I481&lt;TODAY(),"Expired",IF(I481&lt;=TODAY()+60,"Expiring Soon","OK"))))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5"/>
      <c r="H482" s="35"/>
      <c r="I482" s="35"/>
      <c r="J482" s="33"/>
      <c r="K482" s="37" t="str">
        <f aca="true">IF(B482="","",IF(I482="","",IF(I482&lt;TODAY(),"Expired",IF(I482&lt;=TODAY()+60,"Expiring Soon","OK"))))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5"/>
      <c r="H483" s="35"/>
      <c r="I483" s="35"/>
      <c r="J483" s="33"/>
      <c r="K483" s="37" t="str">
        <f aca="true">IF(B483="","",IF(I483="","",IF(I483&lt;TODAY(),"Expired",IF(I483&lt;=TODAY()+60,"Expiring Soon","OK"))))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5"/>
      <c r="H484" s="35"/>
      <c r="I484" s="35"/>
      <c r="J484" s="33"/>
      <c r="K484" s="37" t="str">
        <f aca="true">IF(B484="","",IF(I484="","",IF(I484&lt;TODAY(),"Expired",IF(I484&lt;=TODAY()+60,"Expiring Soon","OK"))))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5"/>
      <c r="H485" s="35"/>
      <c r="I485" s="35"/>
      <c r="J485" s="33"/>
      <c r="K485" s="37" t="str">
        <f aca="true">IF(B485="","",IF(I485="","",IF(I485&lt;TODAY(),"Expired",IF(I485&lt;=TODAY()+60,"Expiring Soon","OK"))))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5"/>
      <c r="H486" s="35"/>
      <c r="I486" s="35"/>
      <c r="J486" s="33"/>
      <c r="K486" s="37" t="str">
        <f aca="true">IF(B486="","",IF(I486="","",IF(I486&lt;TODAY(),"Expired",IF(I486&lt;=TODAY()+60,"Expiring Soon","OK"))))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5"/>
      <c r="H487" s="35"/>
      <c r="I487" s="35"/>
      <c r="J487" s="33"/>
      <c r="K487" s="37" t="str">
        <f aca="true">IF(B487="","",IF(I487="","",IF(I487&lt;TODAY(),"Expired",IF(I487&lt;=TODAY()+60,"Expiring Soon","OK"))))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5"/>
      <c r="H488" s="35"/>
      <c r="I488" s="35"/>
      <c r="J488" s="33"/>
      <c r="K488" s="37" t="str">
        <f aca="true">IF(B488="","",IF(I488="","",IF(I488&lt;TODAY(),"Expired",IF(I488&lt;=TODAY()+60,"Expiring Soon","OK"))))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5"/>
      <c r="H489" s="35"/>
      <c r="I489" s="35"/>
      <c r="J489" s="33"/>
      <c r="K489" s="37" t="str">
        <f aca="true">IF(B489="","",IF(I489="","",IF(I489&lt;TODAY(),"Expired",IF(I489&lt;=TODAY()+60,"Expiring Soon","OK"))))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5"/>
      <c r="H490" s="35"/>
      <c r="I490" s="35"/>
      <c r="J490" s="33"/>
      <c r="K490" s="37" t="str">
        <f aca="true">IF(B490="","",IF(I490="","",IF(I490&lt;TODAY(),"Expired",IF(I490&lt;=TODAY()+60,"Expiring Soon","OK"))))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5"/>
      <c r="H491" s="35"/>
      <c r="I491" s="35"/>
      <c r="J491" s="33"/>
      <c r="K491" s="37" t="str">
        <f aca="true">IF(B491="","",IF(I491="","",IF(I491&lt;TODAY(),"Expired",IF(I491&lt;=TODAY()+60,"Expiring Soon","OK"))))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5"/>
      <c r="H492" s="35"/>
      <c r="I492" s="35"/>
      <c r="J492" s="33"/>
      <c r="K492" s="37" t="str">
        <f aca="true">IF(B492="","",IF(I492="","",IF(I492&lt;TODAY(),"Expired",IF(I492&lt;=TODAY()+60,"Expiring Soon","OK"))))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5"/>
      <c r="H493" s="35"/>
      <c r="I493" s="35"/>
      <c r="J493" s="33"/>
      <c r="K493" s="37" t="str">
        <f aca="true">IF(B493="","",IF(I493="","",IF(I493&lt;TODAY(),"Expired",IF(I493&lt;=TODAY()+60,"Expiring Soon","OK"))))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5"/>
      <c r="H494" s="35"/>
      <c r="I494" s="35"/>
      <c r="J494" s="33"/>
      <c r="K494" s="37" t="str">
        <f aca="true">IF(B494="","",IF(I494="","",IF(I494&lt;TODAY(),"Expired",IF(I494&lt;=TODAY()+60,"Expiring Soon","OK"))))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5"/>
      <c r="H495" s="35"/>
      <c r="I495" s="35"/>
      <c r="J495" s="33"/>
      <c r="K495" s="37" t="str">
        <f aca="true">IF(B495="","",IF(I495="","",IF(I495&lt;TODAY(),"Expired",IF(I495&lt;=TODAY()+60,"Expiring Soon","OK"))))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5"/>
      <c r="H496" s="35"/>
      <c r="I496" s="35"/>
      <c r="J496" s="33"/>
      <c r="K496" s="37" t="str">
        <f aca="true">IF(B496="","",IF(I496="","",IF(I496&lt;TODAY(),"Expired",IF(I496&lt;=TODAY()+60,"Expiring Soon","OK"))))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5"/>
      <c r="H497" s="35"/>
      <c r="I497" s="35"/>
      <c r="J497" s="33"/>
      <c r="K497" s="37" t="str">
        <f aca="true">IF(B497="","",IF(I497="","",IF(I497&lt;TODAY(),"Expired",IF(I497&lt;=TODAY()+60,"Expiring Soon","OK"))))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5"/>
      <c r="H498" s="35"/>
      <c r="I498" s="35"/>
      <c r="J498" s="33"/>
      <c r="K498" s="37" t="str">
        <f aca="true">IF(B498="","",IF(I498="","",IF(I498&lt;TODAY(),"Expired",IF(I498&lt;=TODAY()+60,"Expiring Soon","OK"))))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5"/>
      <c r="H499" s="35"/>
      <c r="I499" s="35"/>
      <c r="J499" s="33"/>
      <c r="K499" s="37" t="str">
        <f aca="true">IF(B499="","",IF(I499="","",IF(I499&lt;TODAY(),"Expired",IF(I499&lt;=TODAY()+60,"Expiring Soon","OK"))))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5"/>
      <c r="H500" s="35"/>
      <c r="I500" s="35"/>
      <c r="J500" s="33"/>
      <c r="K500" s="37" t="str">
        <f aca="true">IF(B500="","",IF(I500="","",IF(I500&lt;TODAY(),"Expired",IF(I500&lt;=TODAY()+60,"Expiring Soon","OK"))))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5"/>
      <c r="H501" s="35"/>
      <c r="I501" s="35"/>
      <c r="J501" s="33"/>
      <c r="K501" s="37" t="str">
        <f aca="true">IF(B501="","",IF(I501="","",IF(I501&lt;TODAY(),"Expired",IF(I501&lt;=TODAY()+60,"Expiring Soon","OK"))))</f>
        <v/>
      </c>
    </row>
  </sheetData>
  <autoFilter ref="A1:K501"/>
  <conditionalFormatting sqref="F2:F501">
    <cfRule type="expression" priority="2" aboveAverage="0" equalAverage="0" bottom="0" percent="0" rank="0" text="" dxfId="16">
      <formula>OR(F2="Done",F2="Closed",F2="Complete",F2="Paid")</formula>
    </cfRule>
  </conditionalFormatting>
  <conditionalFormatting sqref="K2:K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I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lst_PermitStatus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3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7" t="s">
        <v>110</v>
      </c>
      <c r="B1" s="17" t="s">
        <v>199</v>
      </c>
      <c r="C1" s="17" t="s">
        <v>193</v>
      </c>
      <c r="D1" s="17" t="s">
        <v>306</v>
      </c>
      <c r="E1" s="17" t="s">
        <v>300</v>
      </c>
      <c r="F1" s="17" t="s">
        <v>307</v>
      </c>
      <c r="G1" s="17" t="s">
        <v>171</v>
      </c>
      <c r="H1" s="17" t="s">
        <v>304</v>
      </c>
      <c r="I1" s="17" t="s">
        <v>235</v>
      </c>
      <c r="J1" s="31" t="s">
        <v>305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3"/>
      <c r="G2" s="35"/>
      <c r="H2" s="35"/>
      <c r="I2" s="33"/>
      <c r="J2" s="37" t="str">
        <f aca="true">IF(C2="","",IF(H2="","",IF(H2&lt;TODAY(),"Expired",IF(H2&lt;=TODAY()+60,"Expiring Soon","OK"))))</f>
        <v/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3"/>
      <c r="G3" s="35"/>
      <c r="H3" s="35"/>
      <c r="I3" s="33"/>
      <c r="J3" s="37" t="str">
        <f aca="true">IF(C3="","",IF(H3="","",IF(H3&lt;TODAY(),"Expired",IF(H3&lt;=TODAY()+60,"Expiring Soon","OK"))))</f>
        <v/>
      </c>
    </row>
    <row r="4" customFormat="false" ht="15" hidden="false" customHeight="false" outlineLevel="0" collapsed="false">
      <c r="A4" s="32"/>
      <c r="B4" s="32"/>
      <c r="C4" s="32"/>
      <c r="D4" s="32"/>
      <c r="E4" s="32"/>
      <c r="F4" s="33"/>
      <c r="G4" s="35"/>
      <c r="H4" s="35"/>
      <c r="I4" s="33"/>
      <c r="J4" s="37" t="str">
        <f aca="true">IF(C4="","",IF(H4="","",IF(H4&lt;TODAY(),"Expired",IF(H4&lt;=TODAY()+60,"Expiring Soon","OK"))))</f>
        <v/>
      </c>
    </row>
    <row r="5" customFormat="false" ht="15" hidden="false" customHeight="false" outlineLevel="0" collapsed="false">
      <c r="A5" s="32"/>
      <c r="B5" s="32"/>
      <c r="C5" s="32"/>
      <c r="D5" s="32"/>
      <c r="E5" s="32"/>
      <c r="F5" s="33"/>
      <c r="G5" s="35"/>
      <c r="H5" s="35"/>
      <c r="I5" s="33"/>
      <c r="J5" s="37" t="str">
        <f aca="true">IF(C5="","",IF(H5="","",IF(H5&lt;TODAY(),"Expired",IF(H5&lt;=TODAY()+60,"Expiring Soon","OK"))))</f>
        <v/>
      </c>
    </row>
    <row r="6" customFormat="false" ht="15" hidden="false" customHeight="false" outlineLevel="0" collapsed="false">
      <c r="A6" s="32"/>
      <c r="B6" s="32"/>
      <c r="C6" s="32"/>
      <c r="D6" s="32"/>
      <c r="E6" s="32"/>
      <c r="F6" s="33"/>
      <c r="G6" s="35"/>
      <c r="H6" s="35"/>
      <c r="I6" s="33"/>
      <c r="J6" s="37" t="str">
        <f aca="true">IF(C6="","",IF(H6="","",IF(H6&lt;TODAY(),"Expired",IF(H6&lt;=TODAY()+60,"Expiring Soon","OK"))))</f>
        <v/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3"/>
      <c r="G7" s="35"/>
      <c r="H7" s="35"/>
      <c r="I7" s="33"/>
      <c r="J7" s="37" t="str">
        <f aca="true">IF(C7="","",IF(H7="","",IF(H7&lt;TODAY(),"Expired",IF(H7&lt;=TODAY()+60,"Expiring Soon","OK"))))</f>
        <v/>
      </c>
    </row>
    <row r="8" customFormat="false" ht="15" hidden="false" customHeight="false" outlineLevel="0" collapsed="false">
      <c r="A8" s="32"/>
      <c r="B8" s="32"/>
      <c r="C8" s="32"/>
      <c r="D8" s="32"/>
      <c r="E8" s="32"/>
      <c r="F8" s="33"/>
      <c r="G8" s="35"/>
      <c r="H8" s="35"/>
      <c r="I8" s="33"/>
      <c r="J8" s="37" t="str">
        <f aca="true">IF(C8="","",IF(H8="","",IF(H8&lt;TODAY(),"Expired",IF(H8&lt;=TODAY()+60,"Expiring Soon","OK"))))</f>
        <v/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3"/>
      <c r="G9" s="35"/>
      <c r="H9" s="35"/>
      <c r="I9" s="33"/>
      <c r="J9" s="37" t="str">
        <f aca="true">IF(C9="","",IF(H9="","",IF(H9&lt;TODAY(),"Expired",IF(H9&lt;=TODAY()+60,"Expiring Soon","OK"))))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3"/>
      <c r="G10" s="35"/>
      <c r="H10" s="35"/>
      <c r="I10" s="33"/>
      <c r="J10" s="37" t="str">
        <f aca="true">IF(C10="","",IF(H10="","",IF(H10&lt;TODAY(),"Expired",IF(H10&lt;=TODAY()+60,"Expiring Soon","OK"))))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3"/>
      <c r="G11" s="35"/>
      <c r="H11" s="35"/>
      <c r="I11" s="33"/>
      <c r="J11" s="37" t="str">
        <f aca="true">IF(C11="","",IF(H11="","",IF(H11&lt;TODAY(),"Expired",IF(H11&lt;=TODAY()+60,"Expiring Soon","OK"))))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3"/>
      <c r="G12" s="35"/>
      <c r="H12" s="35"/>
      <c r="I12" s="33"/>
      <c r="J12" s="37" t="str">
        <f aca="true">IF(C12="","",IF(H12="","",IF(H12&lt;TODAY(),"Expired",IF(H12&lt;=TODAY()+60,"Expiring Soon","OK"))))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3"/>
      <c r="G13" s="35"/>
      <c r="H13" s="35"/>
      <c r="I13" s="33"/>
      <c r="J13" s="37" t="str">
        <f aca="true">IF(C13="","",IF(H13="","",IF(H13&lt;TODAY(),"Expired",IF(H13&lt;=TODAY()+60,"Expiring Soon","OK"))))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3"/>
      <c r="G14" s="35"/>
      <c r="H14" s="35"/>
      <c r="I14" s="33"/>
      <c r="J14" s="37" t="str">
        <f aca="true">IF(C14="","",IF(H14="","",IF(H14&lt;TODAY(),"Expired",IF(H14&lt;=TODAY()+60,"Expiring Soon","OK"))))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3"/>
      <c r="G15" s="35"/>
      <c r="H15" s="35"/>
      <c r="I15" s="33"/>
      <c r="J15" s="37" t="str">
        <f aca="true">IF(C15="","",IF(H15="","",IF(H15&lt;TODAY(),"Expired",IF(H15&lt;=TODAY()+60,"Expiring Soon","OK"))))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3"/>
      <c r="G16" s="35"/>
      <c r="H16" s="35"/>
      <c r="I16" s="33"/>
      <c r="J16" s="37" t="str">
        <f aca="true">IF(C16="","",IF(H16="","",IF(H16&lt;TODAY(),"Expired",IF(H16&lt;=TODAY()+60,"Expiring Soon","OK"))))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3"/>
      <c r="G17" s="35"/>
      <c r="H17" s="35"/>
      <c r="I17" s="33"/>
      <c r="J17" s="37" t="str">
        <f aca="true">IF(C17="","",IF(H17="","",IF(H17&lt;TODAY(),"Expired",IF(H17&lt;=TODAY()+60,"Expiring Soon","OK"))))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3"/>
      <c r="G18" s="35"/>
      <c r="H18" s="35"/>
      <c r="I18" s="33"/>
      <c r="J18" s="37" t="str">
        <f aca="true">IF(C18="","",IF(H18="","",IF(H18&lt;TODAY(),"Expired",IF(H18&lt;=TODAY()+60,"Expiring Soon","OK"))))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3"/>
      <c r="G19" s="35"/>
      <c r="H19" s="35"/>
      <c r="I19" s="33"/>
      <c r="J19" s="37" t="str">
        <f aca="true">IF(C19="","",IF(H19="","",IF(H19&lt;TODAY(),"Expired",IF(H19&lt;=TODAY()+60,"Expiring Soon","OK"))))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3"/>
      <c r="G20" s="35"/>
      <c r="H20" s="35"/>
      <c r="I20" s="33"/>
      <c r="J20" s="37" t="str">
        <f aca="true">IF(C20="","",IF(H20="","",IF(H20&lt;TODAY(),"Expired",IF(H20&lt;=TODAY()+60,"Expiring Soon","OK"))))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3"/>
      <c r="G21" s="35"/>
      <c r="H21" s="35"/>
      <c r="I21" s="33"/>
      <c r="J21" s="37" t="str">
        <f aca="true">IF(C21="","",IF(H21="","",IF(H21&lt;TODAY(),"Expired",IF(H21&lt;=TODAY()+60,"Expiring Soon","OK"))))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3"/>
      <c r="G22" s="35"/>
      <c r="H22" s="35"/>
      <c r="I22" s="33"/>
      <c r="J22" s="37" t="str">
        <f aca="true">IF(C22="","",IF(H22="","",IF(H22&lt;TODAY(),"Expired",IF(H22&lt;=TODAY()+60,"Expiring Soon","OK"))))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3"/>
      <c r="G23" s="35"/>
      <c r="H23" s="35"/>
      <c r="I23" s="33"/>
      <c r="J23" s="37" t="str">
        <f aca="true">IF(C23="","",IF(H23="","",IF(H23&lt;TODAY(),"Expired",IF(H23&lt;=TODAY()+60,"Expiring Soon","OK"))))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3"/>
      <c r="G24" s="35"/>
      <c r="H24" s="35"/>
      <c r="I24" s="33"/>
      <c r="J24" s="37" t="str">
        <f aca="true">IF(C24="","",IF(H24="","",IF(H24&lt;TODAY(),"Expired",IF(H24&lt;=TODAY()+60,"Expiring Soon","OK"))))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3"/>
      <c r="G25" s="35"/>
      <c r="H25" s="35"/>
      <c r="I25" s="33"/>
      <c r="J25" s="37" t="str">
        <f aca="true">IF(C25="","",IF(H25="","",IF(H25&lt;TODAY(),"Expired",IF(H25&lt;=TODAY()+60,"Expiring Soon","OK"))))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3"/>
      <c r="G26" s="35"/>
      <c r="H26" s="35"/>
      <c r="I26" s="33"/>
      <c r="J26" s="37" t="str">
        <f aca="true">IF(C26="","",IF(H26="","",IF(H26&lt;TODAY(),"Expired",IF(H26&lt;=TODAY()+60,"Expiring Soon","OK"))))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3"/>
      <c r="G27" s="35"/>
      <c r="H27" s="35"/>
      <c r="I27" s="33"/>
      <c r="J27" s="37" t="str">
        <f aca="true">IF(C27="","",IF(H27="","",IF(H27&lt;TODAY(),"Expired",IF(H27&lt;=TODAY()+60,"Expiring Soon","OK"))))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3"/>
      <c r="G28" s="35"/>
      <c r="H28" s="35"/>
      <c r="I28" s="33"/>
      <c r="J28" s="37" t="str">
        <f aca="true">IF(C28="","",IF(H28="","",IF(H28&lt;TODAY(),"Expired",IF(H28&lt;=TODAY()+60,"Expiring Soon","OK"))))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3"/>
      <c r="G29" s="35"/>
      <c r="H29" s="35"/>
      <c r="I29" s="33"/>
      <c r="J29" s="37" t="str">
        <f aca="true">IF(C29="","",IF(H29="","",IF(H29&lt;TODAY(),"Expired",IF(H29&lt;=TODAY()+60,"Expiring Soon","OK"))))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3"/>
      <c r="G30" s="35"/>
      <c r="H30" s="35"/>
      <c r="I30" s="33"/>
      <c r="J30" s="37" t="str">
        <f aca="true">IF(C30="","",IF(H30="","",IF(H30&lt;TODAY(),"Expired",IF(H30&lt;=TODAY()+60,"Expiring Soon","OK"))))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3"/>
      <c r="G31" s="35"/>
      <c r="H31" s="35"/>
      <c r="I31" s="33"/>
      <c r="J31" s="37" t="str">
        <f aca="true">IF(C31="","",IF(H31="","",IF(H31&lt;TODAY(),"Expired",IF(H31&lt;=TODAY()+60,"Expiring Soon","OK"))))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3"/>
      <c r="G32" s="35"/>
      <c r="H32" s="35"/>
      <c r="I32" s="33"/>
      <c r="J32" s="37" t="str">
        <f aca="true">IF(C32="","",IF(H32="","",IF(H32&lt;TODAY(),"Expired",IF(H32&lt;=TODAY()+60,"Expiring Soon","OK"))))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3"/>
      <c r="G33" s="35"/>
      <c r="H33" s="35"/>
      <c r="I33" s="33"/>
      <c r="J33" s="37" t="str">
        <f aca="true">IF(C33="","",IF(H33="","",IF(H33&lt;TODAY(),"Expired",IF(H33&lt;=TODAY()+60,"Expiring Soon","OK"))))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3"/>
      <c r="G34" s="35"/>
      <c r="H34" s="35"/>
      <c r="I34" s="33"/>
      <c r="J34" s="37" t="str">
        <f aca="true">IF(C34="","",IF(H34="","",IF(H34&lt;TODAY(),"Expired",IF(H34&lt;=TODAY()+60,"Expiring Soon","OK"))))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3"/>
      <c r="G35" s="35"/>
      <c r="H35" s="35"/>
      <c r="I35" s="33"/>
      <c r="J35" s="37" t="str">
        <f aca="true">IF(C35="","",IF(H35="","",IF(H35&lt;TODAY(),"Expired",IF(H35&lt;=TODAY()+60,"Expiring Soon","OK"))))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3"/>
      <c r="G36" s="35"/>
      <c r="H36" s="35"/>
      <c r="I36" s="33"/>
      <c r="J36" s="37" t="str">
        <f aca="true">IF(C36="","",IF(H36="","",IF(H36&lt;TODAY(),"Expired",IF(H36&lt;=TODAY()+60,"Expiring Soon","OK"))))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3"/>
      <c r="G37" s="35"/>
      <c r="H37" s="35"/>
      <c r="I37" s="33"/>
      <c r="J37" s="37" t="str">
        <f aca="true">IF(C37="","",IF(H37="","",IF(H37&lt;TODAY(),"Expired",IF(H37&lt;=TODAY()+60,"Expiring Soon","OK"))))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3"/>
      <c r="G38" s="35"/>
      <c r="H38" s="35"/>
      <c r="I38" s="33"/>
      <c r="J38" s="37" t="str">
        <f aca="true">IF(C38="","",IF(H38="","",IF(H38&lt;TODAY(),"Expired",IF(H38&lt;=TODAY()+60,"Expiring Soon","OK"))))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3"/>
      <c r="G39" s="35"/>
      <c r="H39" s="35"/>
      <c r="I39" s="33"/>
      <c r="J39" s="37" t="str">
        <f aca="true">IF(C39="","",IF(H39="","",IF(H39&lt;TODAY(),"Expired",IF(H39&lt;=TODAY()+60,"Expiring Soon","OK"))))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3"/>
      <c r="G40" s="35"/>
      <c r="H40" s="35"/>
      <c r="I40" s="33"/>
      <c r="J40" s="37" t="str">
        <f aca="true">IF(C40="","",IF(H40="","",IF(H40&lt;TODAY(),"Expired",IF(H40&lt;=TODAY()+60,"Expiring Soon","OK"))))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3"/>
      <c r="G41" s="35"/>
      <c r="H41" s="35"/>
      <c r="I41" s="33"/>
      <c r="J41" s="37" t="str">
        <f aca="true">IF(C41="","",IF(H41="","",IF(H41&lt;TODAY(),"Expired",IF(H41&lt;=TODAY()+60,"Expiring Soon","OK"))))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3"/>
      <c r="G42" s="35"/>
      <c r="H42" s="35"/>
      <c r="I42" s="33"/>
      <c r="J42" s="37" t="str">
        <f aca="true">IF(C42="","",IF(H42="","",IF(H42&lt;TODAY(),"Expired",IF(H42&lt;=TODAY()+60,"Expiring Soon","OK"))))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3"/>
      <c r="G43" s="35"/>
      <c r="H43" s="35"/>
      <c r="I43" s="33"/>
      <c r="J43" s="37" t="str">
        <f aca="true">IF(C43="","",IF(H43="","",IF(H43&lt;TODAY(),"Expired",IF(H43&lt;=TODAY()+60,"Expiring Soon","OK"))))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3"/>
      <c r="G44" s="35"/>
      <c r="H44" s="35"/>
      <c r="I44" s="33"/>
      <c r="J44" s="37" t="str">
        <f aca="true">IF(C44="","",IF(H44="","",IF(H44&lt;TODAY(),"Expired",IF(H44&lt;=TODAY()+60,"Expiring Soon","OK"))))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3"/>
      <c r="G45" s="35"/>
      <c r="H45" s="35"/>
      <c r="I45" s="33"/>
      <c r="J45" s="37" t="str">
        <f aca="true">IF(C45="","",IF(H45="","",IF(H45&lt;TODAY(),"Expired",IF(H45&lt;=TODAY()+60,"Expiring Soon","OK"))))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3"/>
      <c r="G46" s="35"/>
      <c r="H46" s="35"/>
      <c r="I46" s="33"/>
      <c r="J46" s="37" t="str">
        <f aca="true">IF(C46="","",IF(H46="","",IF(H46&lt;TODAY(),"Expired",IF(H46&lt;=TODAY()+60,"Expiring Soon","OK"))))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3"/>
      <c r="G47" s="35"/>
      <c r="H47" s="35"/>
      <c r="I47" s="33"/>
      <c r="J47" s="37" t="str">
        <f aca="true">IF(C47="","",IF(H47="","",IF(H47&lt;TODAY(),"Expired",IF(H47&lt;=TODAY()+60,"Expiring Soon","OK"))))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3"/>
      <c r="G48" s="35"/>
      <c r="H48" s="35"/>
      <c r="I48" s="33"/>
      <c r="J48" s="37" t="str">
        <f aca="true">IF(C48="","",IF(H48="","",IF(H48&lt;TODAY(),"Expired",IF(H48&lt;=TODAY()+60,"Expiring Soon","OK"))))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3"/>
      <c r="G49" s="35"/>
      <c r="H49" s="35"/>
      <c r="I49" s="33"/>
      <c r="J49" s="37" t="str">
        <f aca="true">IF(C49="","",IF(H49="","",IF(H49&lt;TODAY(),"Expired",IF(H49&lt;=TODAY()+60,"Expiring Soon","OK"))))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3"/>
      <c r="G50" s="35"/>
      <c r="H50" s="35"/>
      <c r="I50" s="33"/>
      <c r="J50" s="37" t="str">
        <f aca="true">IF(C50="","",IF(H50="","",IF(H50&lt;TODAY(),"Expired",IF(H50&lt;=TODAY()+60,"Expiring Soon","OK"))))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3"/>
      <c r="G51" s="35"/>
      <c r="H51" s="35"/>
      <c r="I51" s="33"/>
      <c r="J51" s="37" t="str">
        <f aca="true">IF(C51="","",IF(H51="","",IF(H51&lt;TODAY(),"Expired",IF(H51&lt;=TODAY()+60,"Expiring Soon","OK"))))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3"/>
      <c r="G52" s="35"/>
      <c r="H52" s="35"/>
      <c r="I52" s="33"/>
      <c r="J52" s="37" t="str">
        <f aca="true">IF(C52="","",IF(H52="","",IF(H52&lt;TODAY(),"Expired",IF(H52&lt;=TODAY()+60,"Expiring Soon","OK"))))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3"/>
      <c r="G53" s="35"/>
      <c r="H53" s="35"/>
      <c r="I53" s="33"/>
      <c r="J53" s="37" t="str">
        <f aca="true">IF(C53="","",IF(H53="","",IF(H53&lt;TODAY(),"Expired",IF(H53&lt;=TODAY()+60,"Expiring Soon","OK"))))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3"/>
      <c r="G54" s="35"/>
      <c r="H54" s="35"/>
      <c r="I54" s="33"/>
      <c r="J54" s="37" t="str">
        <f aca="true">IF(C54="","",IF(H54="","",IF(H54&lt;TODAY(),"Expired",IF(H54&lt;=TODAY()+60,"Expiring Soon","OK"))))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3"/>
      <c r="G55" s="35"/>
      <c r="H55" s="35"/>
      <c r="I55" s="33"/>
      <c r="J55" s="37" t="str">
        <f aca="true">IF(C55="","",IF(H55="","",IF(H55&lt;TODAY(),"Expired",IF(H55&lt;=TODAY()+60,"Expiring Soon","OK"))))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3"/>
      <c r="G56" s="35"/>
      <c r="H56" s="35"/>
      <c r="I56" s="33"/>
      <c r="J56" s="37" t="str">
        <f aca="true">IF(C56="","",IF(H56="","",IF(H56&lt;TODAY(),"Expired",IF(H56&lt;=TODAY()+60,"Expiring Soon","OK"))))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3"/>
      <c r="G57" s="35"/>
      <c r="H57" s="35"/>
      <c r="I57" s="33"/>
      <c r="J57" s="37" t="str">
        <f aca="true">IF(C57="","",IF(H57="","",IF(H57&lt;TODAY(),"Expired",IF(H57&lt;=TODAY()+60,"Expiring Soon","OK"))))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3"/>
      <c r="G58" s="35"/>
      <c r="H58" s="35"/>
      <c r="I58" s="33"/>
      <c r="J58" s="37" t="str">
        <f aca="true">IF(C58="","",IF(H58="","",IF(H58&lt;TODAY(),"Expired",IF(H58&lt;=TODAY()+60,"Expiring Soon","OK"))))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3"/>
      <c r="G59" s="35"/>
      <c r="H59" s="35"/>
      <c r="I59" s="33"/>
      <c r="J59" s="37" t="str">
        <f aca="true">IF(C59="","",IF(H59="","",IF(H59&lt;TODAY(),"Expired",IF(H59&lt;=TODAY()+60,"Expiring Soon","OK"))))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3"/>
      <c r="G60" s="35"/>
      <c r="H60" s="35"/>
      <c r="I60" s="33"/>
      <c r="J60" s="37" t="str">
        <f aca="true">IF(C60="","",IF(H60="","",IF(H60&lt;TODAY(),"Expired",IF(H60&lt;=TODAY()+60,"Expiring Soon","OK"))))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3"/>
      <c r="G61" s="35"/>
      <c r="H61" s="35"/>
      <c r="I61" s="33"/>
      <c r="J61" s="37" t="str">
        <f aca="true">IF(C61="","",IF(H61="","",IF(H61&lt;TODAY(),"Expired",IF(H61&lt;=TODAY()+60,"Expiring Soon","OK"))))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3"/>
      <c r="G62" s="35"/>
      <c r="H62" s="35"/>
      <c r="I62" s="33"/>
      <c r="J62" s="37" t="str">
        <f aca="true">IF(C62="","",IF(H62="","",IF(H62&lt;TODAY(),"Expired",IF(H62&lt;=TODAY()+60,"Expiring Soon","OK"))))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3"/>
      <c r="G63" s="35"/>
      <c r="H63" s="35"/>
      <c r="I63" s="33"/>
      <c r="J63" s="37" t="str">
        <f aca="true">IF(C63="","",IF(H63="","",IF(H63&lt;TODAY(),"Expired",IF(H63&lt;=TODAY()+60,"Expiring Soon","OK"))))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3"/>
      <c r="G64" s="35"/>
      <c r="H64" s="35"/>
      <c r="I64" s="33"/>
      <c r="J64" s="37" t="str">
        <f aca="true">IF(C64="","",IF(H64="","",IF(H64&lt;TODAY(),"Expired",IF(H64&lt;=TODAY()+60,"Expiring Soon","OK"))))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3"/>
      <c r="G65" s="35"/>
      <c r="H65" s="35"/>
      <c r="I65" s="33"/>
      <c r="J65" s="37" t="str">
        <f aca="true">IF(C65="","",IF(H65="","",IF(H65&lt;TODAY(),"Expired",IF(H65&lt;=TODAY()+60,"Expiring Soon","OK"))))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3"/>
      <c r="G66" s="35"/>
      <c r="H66" s="35"/>
      <c r="I66" s="33"/>
      <c r="J66" s="37" t="str">
        <f aca="true">IF(C66="","",IF(H66="","",IF(H66&lt;TODAY(),"Expired",IF(H66&lt;=TODAY()+60,"Expiring Soon","OK"))))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3"/>
      <c r="G67" s="35"/>
      <c r="H67" s="35"/>
      <c r="I67" s="33"/>
      <c r="J67" s="37" t="str">
        <f aca="true">IF(C67="","",IF(H67="","",IF(H67&lt;TODAY(),"Expired",IF(H67&lt;=TODAY()+60,"Expiring Soon","OK"))))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3"/>
      <c r="G68" s="35"/>
      <c r="H68" s="35"/>
      <c r="I68" s="33"/>
      <c r="J68" s="37" t="str">
        <f aca="true">IF(C68="","",IF(H68="","",IF(H68&lt;TODAY(),"Expired",IF(H68&lt;=TODAY()+60,"Expiring Soon","OK"))))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3"/>
      <c r="G69" s="35"/>
      <c r="H69" s="35"/>
      <c r="I69" s="33"/>
      <c r="J69" s="37" t="str">
        <f aca="true">IF(C69="","",IF(H69="","",IF(H69&lt;TODAY(),"Expired",IF(H69&lt;=TODAY()+60,"Expiring Soon","OK"))))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3"/>
      <c r="G70" s="35"/>
      <c r="H70" s="35"/>
      <c r="I70" s="33"/>
      <c r="J70" s="37" t="str">
        <f aca="true">IF(C70="","",IF(H70="","",IF(H70&lt;TODAY(),"Expired",IF(H70&lt;=TODAY()+60,"Expiring Soon","OK"))))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3"/>
      <c r="G71" s="35"/>
      <c r="H71" s="35"/>
      <c r="I71" s="33"/>
      <c r="J71" s="37" t="str">
        <f aca="true">IF(C71="","",IF(H71="","",IF(H71&lt;TODAY(),"Expired",IF(H71&lt;=TODAY()+60,"Expiring Soon","OK"))))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3"/>
      <c r="G72" s="35"/>
      <c r="H72" s="35"/>
      <c r="I72" s="33"/>
      <c r="J72" s="37" t="str">
        <f aca="true">IF(C72="","",IF(H72="","",IF(H72&lt;TODAY(),"Expired",IF(H72&lt;=TODAY()+60,"Expiring Soon","OK"))))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3"/>
      <c r="G73" s="35"/>
      <c r="H73" s="35"/>
      <c r="I73" s="33"/>
      <c r="J73" s="37" t="str">
        <f aca="true">IF(C73="","",IF(H73="","",IF(H73&lt;TODAY(),"Expired",IF(H73&lt;=TODAY()+60,"Expiring Soon","OK"))))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3"/>
      <c r="G74" s="35"/>
      <c r="H74" s="35"/>
      <c r="I74" s="33"/>
      <c r="J74" s="37" t="str">
        <f aca="true">IF(C74="","",IF(H74="","",IF(H74&lt;TODAY(),"Expired",IF(H74&lt;=TODAY()+60,"Expiring Soon","OK"))))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3"/>
      <c r="G75" s="35"/>
      <c r="H75" s="35"/>
      <c r="I75" s="33"/>
      <c r="J75" s="37" t="str">
        <f aca="true">IF(C75="","",IF(H75="","",IF(H75&lt;TODAY(),"Expired",IF(H75&lt;=TODAY()+60,"Expiring Soon","OK"))))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3"/>
      <c r="G76" s="35"/>
      <c r="H76" s="35"/>
      <c r="I76" s="33"/>
      <c r="J76" s="37" t="str">
        <f aca="true">IF(C76="","",IF(H76="","",IF(H76&lt;TODAY(),"Expired",IF(H76&lt;=TODAY()+60,"Expiring Soon","OK"))))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3"/>
      <c r="G77" s="35"/>
      <c r="H77" s="35"/>
      <c r="I77" s="33"/>
      <c r="J77" s="37" t="str">
        <f aca="true">IF(C77="","",IF(H77="","",IF(H77&lt;TODAY(),"Expired",IF(H77&lt;=TODAY()+60,"Expiring Soon","OK"))))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3"/>
      <c r="G78" s="35"/>
      <c r="H78" s="35"/>
      <c r="I78" s="33"/>
      <c r="J78" s="37" t="str">
        <f aca="true">IF(C78="","",IF(H78="","",IF(H78&lt;TODAY(),"Expired",IF(H78&lt;=TODAY()+60,"Expiring Soon","OK"))))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3"/>
      <c r="G79" s="35"/>
      <c r="H79" s="35"/>
      <c r="I79" s="33"/>
      <c r="J79" s="37" t="str">
        <f aca="true">IF(C79="","",IF(H79="","",IF(H79&lt;TODAY(),"Expired",IF(H79&lt;=TODAY()+60,"Expiring Soon","OK"))))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3"/>
      <c r="G80" s="35"/>
      <c r="H80" s="35"/>
      <c r="I80" s="33"/>
      <c r="J80" s="37" t="str">
        <f aca="true">IF(C80="","",IF(H80="","",IF(H80&lt;TODAY(),"Expired",IF(H80&lt;=TODAY()+60,"Expiring Soon","OK"))))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3"/>
      <c r="G81" s="35"/>
      <c r="H81" s="35"/>
      <c r="I81" s="33"/>
      <c r="J81" s="37" t="str">
        <f aca="true">IF(C81="","",IF(H81="","",IF(H81&lt;TODAY(),"Expired",IF(H81&lt;=TODAY()+60,"Expiring Soon","OK"))))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3"/>
      <c r="G82" s="35"/>
      <c r="H82" s="35"/>
      <c r="I82" s="33"/>
      <c r="J82" s="37" t="str">
        <f aca="true">IF(C82="","",IF(H82="","",IF(H82&lt;TODAY(),"Expired",IF(H82&lt;=TODAY()+60,"Expiring Soon","OK"))))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3"/>
      <c r="G83" s="35"/>
      <c r="H83" s="35"/>
      <c r="I83" s="33"/>
      <c r="J83" s="37" t="str">
        <f aca="true">IF(C83="","",IF(H83="","",IF(H83&lt;TODAY(),"Expired",IF(H83&lt;=TODAY()+60,"Expiring Soon","OK"))))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3"/>
      <c r="G84" s="35"/>
      <c r="H84" s="35"/>
      <c r="I84" s="33"/>
      <c r="J84" s="37" t="str">
        <f aca="true">IF(C84="","",IF(H84="","",IF(H84&lt;TODAY(),"Expired",IF(H84&lt;=TODAY()+60,"Expiring Soon","OK"))))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3"/>
      <c r="G85" s="35"/>
      <c r="H85" s="35"/>
      <c r="I85" s="33"/>
      <c r="J85" s="37" t="str">
        <f aca="true">IF(C85="","",IF(H85="","",IF(H85&lt;TODAY(),"Expired",IF(H85&lt;=TODAY()+60,"Expiring Soon","OK"))))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3"/>
      <c r="G86" s="35"/>
      <c r="H86" s="35"/>
      <c r="I86" s="33"/>
      <c r="J86" s="37" t="str">
        <f aca="true">IF(C86="","",IF(H86="","",IF(H86&lt;TODAY(),"Expired",IF(H86&lt;=TODAY()+60,"Expiring Soon","OK"))))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3"/>
      <c r="G87" s="35"/>
      <c r="H87" s="35"/>
      <c r="I87" s="33"/>
      <c r="J87" s="37" t="str">
        <f aca="true">IF(C87="","",IF(H87="","",IF(H87&lt;TODAY(),"Expired",IF(H87&lt;=TODAY()+60,"Expiring Soon","OK"))))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3"/>
      <c r="G88" s="35"/>
      <c r="H88" s="35"/>
      <c r="I88" s="33"/>
      <c r="J88" s="37" t="str">
        <f aca="true">IF(C88="","",IF(H88="","",IF(H88&lt;TODAY(),"Expired",IF(H88&lt;=TODAY()+60,"Expiring Soon","OK"))))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3"/>
      <c r="G89" s="35"/>
      <c r="H89" s="35"/>
      <c r="I89" s="33"/>
      <c r="J89" s="37" t="str">
        <f aca="true">IF(C89="","",IF(H89="","",IF(H89&lt;TODAY(),"Expired",IF(H89&lt;=TODAY()+60,"Expiring Soon","OK"))))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3"/>
      <c r="G90" s="35"/>
      <c r="H90" s="35"/>
      <c r="I90" s="33"/>
      <c r="J90" s="37" t="str">
        <f aca="true">IF(C90="","",IF(H90="","",IF(H90&lt;TODAY(),"Expired",IF(H90&lt;=TODAY()+60,"Expiring Soon","OK"))))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3"/>
      <c r="G91" s="35"/>
      <c r="H91" s="35"/>
      <c r="I91" s="33"/>
      <c r="J91" s="37" t="str">
        <f aca="true">IF(C91="","",IF(H91="","",IF(H91&lt;TODAY(),"Expired",IF(H91&lt;=TODAY()+60,"Expiring Soon","OK"))))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3"/>
      <c r="G92" s="35"/>
      <c r="H92" s="35"/>
      <c r="I92" s="33"/>
      <c r="J92" s="37" t="str">
        <f aca="true">IF(C92="","",IF(H92="","",IF(H92&lt;TODAY(),"Expired",IF(H92&lt;=TODAY()+60,"Expiring Soon","OK"))))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3"/>
      <c r="G93" s="35"/>
      <c r="H93" s="35"/>
      <c r="I93" s="33"/>
      <c r="J93" s="37" t="str">
        <f aca="true">IF(C93="","",IF(H93="","",IF(H93&lt;TODAY(),"Expired",IF(H93&lt;=TODAY()+60,"Expiring Soon","OK"))))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3"/>
      <c r="G94" s="35"/>
      <c r="H94" s="35"/>
      <c r="I94" s="33"/>
      <c r="J94" s="37" t="str">
        <f aca="true">IF(C94="","",IF(H94="","",IF(H94&lt;TODAY(),"Expired",IF(H94&lt;=TODAY()+60,"Expiring Soon","OK"))))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3"/>
      <c r="G95" s="35"/>
      <c r="H95" s="35"/>
      <c r="I95" s="33"/>
      <c r="J95" s="37" t="str">
        <f aca="true">IF(C95="","",IF(H95="","",IF(H95&lt;TODAY(),"Expired",IF(H95&lt;=TODAY()+60,"Expiring Soon","OK"))))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3"/>
      <c r="G96" s="35"/>
      <c r="H96" s="35"/>
      <c r="I96" s="33"/>
      <c r="J96" s="37" t="str">
        <f aca="true">IF(C96="","",IF(H96="","",IF(H96&lt;TODAY(),"Expired",IF(H96&lt;=TODAY()+60,"Expiring Soon","OK"))))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3"/>
      <c r="G97" s="35"/>
      <c r="H97" s="35"/>
      <c r="I97" s="33"/>
      <c r="J97" s="37" t="str">
        <f aca="true">IF(C97="","",IF(H97="","",IF(H97&lt;TODAY(),"Expired",IF(H97&lt;=TODAY()+60,"Expiring Soon","OK"))))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3"/>
      <c r="G98" s="35"/>
      <c r="H98" s="35"/>
      <c r="I98" s="33"/>
      <c r="J98" s="37" t="str">
        <f aca="true">IF(C98="","",IF(H98="","",IF(H98&lt;TODAY(),"Expired",IF(H98&lt;=TODAY()+60,"Expiring Soon","OK"))))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3"/>
      <c r="G99" s="35"/>
      <c r="H99" s="35"/>
      <c r="I99" s="33"/>
      <c r="J99" s="37" t="str">
        <f aca="true">IF(C99="","",IF(H99="","",IF(H99&lt;TODAY(),"Expired",IF(H99&lt;=TODAY()+60,"Expiring Soon","OK"))))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3"/>
      <c r="G100" s="35"/>
      <c r="H100" s="35"/>
      <c r="I100" s="33"/>
      <c r="J100" s="37" t="str">
        <f aca="true">IF(C100="","",IF(H100="","",IF(H100&lt;TODAY(),"Expired",IF(H100&lt;=TODAY()+60,"Expiring Soon","OK"))))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3"/>
      <c r="G101" s="35"/>
      <c r="H101" s="35"/>
      <c r="I101" s="33"/>
      <c r="J101" s="37" t="str">
        <f aca="true">IF(C101="","",IF(H101="","",IF(H101&lt;TODAY(),"Expired",IF(H101&lt;=TODAY()+60,"Expiring Soon","OK"))))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3"/>
      <c r="G102" s="35"/>
      <c r="H102" s="35"/>
      <c r="I102" s="33"/>
      <c r="J102" s="37" t="str">
        <f aca="true">IF(C102="","",IF(H102="","",IF(H102&lt;TODAY(),"Expired",IF(H102&lt;=TODAY()+60,"Expiring Soon","OK"))))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3"/>
      <c r="G103" s="35"/>
      <c r="H103" s="35"/>
      <c r="I103" s="33"/>
      <c r="J103" s="37" t="str">
        <f aca="true">IF(C103="","",IF(H103="","",IF(H103&lt;TODAY(),"Expired",IF(H103&lt;=TODAY()+60,"Expiring Soon","OK"))))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3"/>
      <c r="G104" s="35"/>
      <c r="H104" s="35"/>
      <c r="I104" s="33"/>
      <c r="J104" s="37" t="str">
        <f aca="true">IF(C104="","",IF(H104="","",IF(H104&lt;TODAY(),"Expired",IF(H104&lt;=TODAY()+60,"Expiring Soon","OK"))))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3"/>
      <c r="G105" s="35"/>
      <c r="H105" s="35"/>
      <c r="I105" s="33"/>
      <c r="J105" s="37" t="str">
        <f aca="true">IF(C105="","",IF(H105="","",IF(H105&lt;TODAY(),"Expired",IF(H105&lt;=TODAY()+60,"Expiring Soon","OK"))))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3"/>
      <c r="G106" s="35"/>
      <c r="H106" s="35"/>
      <c r="I106" s="33"/>
      <c r="J106" s="37" t="str">
        <f aca="true">IF(C106="","",IF(H106="","",IF(H106&lt;TODAY(),"Expired",IF(H106&lt;=TODAY()+60,"Expiring Soon","OK"))))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3"/>
      <c r="G107" s="35"/>
      <c r="H107" s="35"/>
      <c r="I107" s="33"/>
      <c r="J107" s="37" t="str">
        <f aca="true">IF(C107="","",IF(H107="","",IF(H107&lt;TODAY(),"Expired",IF(H107&lt;=TODAY()+60,"Expiring Soon","OK"))))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3"/>
      <c r="G108" s="35"/>
      <c r="H108" s="35"/>
      <c r="I108" s="33"/>
      <c r="J108" s="37" t="str">
        <f aca="true">IF(C108="","",IF(H108="","",IF(H108&lt;TODAY(),"Expired",IF(H108&lt;=TODAY()+60,"Expiring Soon","OK"))))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3"/>
      <c r="G109" s="35"/>
      <c r="H109" s="35"/>
      <c r="I109" s="33"/>
      <c r="J109" s="37" t="str">
        <f aca="true">IF(C109="","",IF(H109="","",IF(H109&lt;TODAY(),"Expired",IF(H109&lt;=TODAY()+60,"Expiring Soon","OK"))))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3"/>
      <c r="G110" s="35"/>
      <c r="H110" s="35"/>
      <c r="I110" s="33"/>
      <c r="J110" s="37" t="str">
        <f aca="true">IF(C110="","",IF(H110="","",IF(H110&lt;TODAY(),"Expired",IF(H110&lt;=TODAY()+60,"Expiring Soon","OK"))))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3"/>
      <c r="G111" s="35"/>
      <c r="H111" s="35"/>
      <c r="I111" s="33"/>
      <c r="J111" s="37" t="str">
        <f aca="true">IF(C111="","",IF(H111="","",IF(H111&lt;TODAY(),"Expired",IF(H111&lt;=TODAY()+60,"Expiring Soon","OK"))))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3"/>
      <c r="G112" s="35"/>
      <c r="H112" s="35"/>
      <c r="I112" s="33"/>
      <c r="J112" s="37" t="str">
        <f aca="true">IF(C112="","",IF(H112="","",IF(H112&lt;TODAY(),"Expired",IF(H112&lt;=TODAY()+60,"Expiring Soon","OK"))))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3"/>
      <c r="G113" s="35"/>
      <c r="H113" s="35"/>
      <c r="I113" s="33"/>
      <c r="J113" s="37" t="str">
        <f aca="true">IF(C113="","",IF(H113="","",IF(H113&lt;TODAY(),"Expired",IF(H113&lt;=TODAY()+60,"Expiring Soon","OK"))))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3"/>
      <c r="G114" s="35"/>
      <c r="H114" s="35"/>
      <c r="I114" s="33"/>
      <c r="J114" s="37" t="str">
        <f aca="true">IF(C114="","",IF(H114="","",IF(H114&lt;TODAY(),"Expired",IF(H114&lt;=TODAY()+60,"Expiring Soon","OK"))))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3"/>
      <c r="G115" s="35"/>
      <c r="H115" s="35"/>
      <c r="I115" s="33"/>
      <c r="J115" s="37" t="str">
        <f aca="true">IF(C115="","",IF(H115="","",IF(H115&lt;TODAY(),"Expired",IF(H115&lt;=TODAY()+60,"Expiring Soon","OK"))))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3"/>
      <c r="G116" s="35"/>
      <c r="H116" s="35"/>
      <c r="I116" s="33"/>
      <c r="J116" s="37" t="str">
        <f aca="true">IF(C116="","",IF(H116="","",IF(H116&lt;TODAY(),"Expired",IF(H116&lt;=TODAY()+60,"Expiring Soon","OK"))))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3"/>
      <c r="G117" s="35"/>
      <c r="H117" s="35"/>
      <c r="I117" s="33"/>
      <c r="J117" s="37" t="str">
        <f aca="true">IF(C117="","",IF(H117="","",IF(H117&lt;TODAY(),"Expired",IF(H117&lt;=TODAY()+60,"Expiring Soon","OK"))))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3"/>
      <c r="G118" s="35"/>
      <c r="H118" s="35"/>
      <c r="I118" s="33"/>
      <c r="J118" s="37" t="str">
        <f aca="true">IF(C118="","",IF(H118="","",IF(H118&lt;TODAY(),"Expired",IF(H118&lt;=TODAY()+60,"Expiring Soon","OK"))))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3"/>
      <c r="G119" s="35"/>
      <c r="H119" s="35"/>
      <c r="I119" s="33"/>
      <c r="J119" s="37" t="str">
        <f aca="true">IF(C119="","",IF(H119="","",IF(H119&lt;TODAY(),"Expired",IF(H119&lt;=TODAY()+60,"Expiring Soon","OK"))))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3"/>
      <c r="G120" s="35"/>
      <c r="H120" s="35"/>
      <c r="I120" s="33"/>
      <c r="J120" s="37" t="str">
        <f aca="true">IF(C120="","",IF(H120="","",IF(H120&lt;TODAY(),"Expired",IF(H120&lt;=TODAY()+60,"Expiring Soon","OK"))))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3"/>
      <c r="G121" s="35"/>
      <c r="H121" s="35"/>
      <c r="I121" s="33"/>
      <c r="J121" s="37" t="str">
        <f aca="true">IF(C121="","",IF(H121="","",IF(H121&lt;TODAY(),"Expired",IF(H121&lt;=TODAY()+60,"Expiring Soon","OK"))))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3"/>
      <c r="G122" s="35"/>
      <c r="H122" s="35"/>
      <c r="I122" s="33"/>
      <c r="J122" s="37" t="str">
        <f aca="true">IF(C122="","",IF(H122="","",IF(H122&lt;TODAY(),"Expired",IF(H122&lt;=TODAY()+60,"Expiring Soon","OK"))))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3"/>
      <c r="G123" s="35"/>
      <c r="H123" s="35"/>
      <c r="I123" s="33"/>
      <c r="J123" s="37" t="str">
        <f aca="true">IF(C123="","",IF(H123="","",IF(H123&lt;TODAY(),"Expired",IF(H123&lt;=TODAY()+60,"Expiring Soon","OK"))))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3"/>
      <c r="G124" s="35"/>
      <c r="H124" s="35"/>
      <c r="I124" s="33"/>
      <c r="J124" s="37" t="str">
        <f aca="true">IF(C124="","",IF(H124="","",IF(H124&lt;TODAY(),"Expired",IF(H124&lt;=TODAY()+60,"Expiring Soon","OK"))))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3"/>
      <c r="G125" s="35"/>
      <c r="H125" s="35"/>
      <c r="I125" s="33"/>
      <c r="J125" s="37" t="str">
        <f aca="true">IF(C125="","",IF(H125="","",IF(H125&lt;TODAY(),"Expired",IF(H125&lt;=TODAY()+60,"Expiring Soon","OK"))))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3"/>
      <c r="G126" s="35"/>
      <c r="H126" s="35"/>
      <c r="I126" s="33"/>
      <c r="J126" s="37" t="str">
        <f aca="true">IF(C126="","",IF(H126="","",IF(H126&lt;TODAY(),"Expired",IF(H126&lt;=TODAY()+60,"Expiring Soon","OK"))))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3"/>
      <c r="G127" s="35"/>
      <c r="H127" s="35"/>
      <c r="I127" s="33"/>
      <c r="J127" s="37" t="str">
        <f aca="true">IF(C127="","",IF(H127="","",IF(H127&lt;TODAY(),"Expired",IF(H127&lt;=TODAY()+60,"Expiring Soon","OK"))))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3"/>
      <c r="G128" s="35"/>
      <c r="H128" s="35"/>
      <c r="I128" s="33"/>
      <c r="J128" s="37" t="str">
        <f aca="true">IF(C128="","",IF(H128="","",IF(H128&lt;TODAY(),"Expired",IF(H128&lt;=TODAY()+60,"Expiring Soon","OK"))))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3"/>
      <c r="G129" s="35"/>
      <c r="H129" s="35"/>
      <c r="I129" s="33"/>
      <c r="J129" s="37" t="str">
        <f aca="true">IF(C129="","",IF(H129="","",IF(H129&lt;TODAY(),"Expired",IF(H129&lt;=TODAY()+60,"Expiring Soon","OK"))))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3"/>
      <c r="G130" s="35"/>
      <c r="H130" s="35"/>
      <c r="I130" s="33"/>
      <c r="J130" s="37" t="str">
        <f aca="true">IF(C130="","",IF(H130="","",IF(H130&lt;TODAY(),"Expired",IF(H130&lt;=TODAY()+60,"Expiring Soon","OK"))))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3"/>
      <c r="G131" s="35"/>
      <c r="H131" s="35"/>
      <c r="I131" s="33"/>
      <c r="J131" s="37" t="str">
        <f aca="true">IF(C131="","",IF(H131="","",IF(H131&lt;TODAY(),"Expired",IF(H131&lt;=TODAY()+60,"Expiring Soon","OK"))))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3"/>
      <c r="G132" s="35"/>
      <c r="H132" s="35"/>
      <c r="I132" s="33"/>
      <c r="J132" s="37" t="str">
        <f aca="true">IF(C132="","",IF(H132="","",IF(H132&lt;TODAY(),"Expired",IF(H132&lt;=TODAY()+60,"Expiring Soon","OK"))))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3"/>
      <c r="G133" s="35"/>
      <c r="H133" s="35"/>
      <c r="I133" s="33"/>
      <c r="J133" s="37" t="str">
        <f aca="true">IF(C133="","",IF(H133="","",IF(H133&lt;TODAY(),"Expired",IF(H133&lt;=TODAY()+60,"Expiring Soon","OK"))))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3"/>
      <c r="G134" s="35"/>
      <c r="H134" s="35"/>
      <c r="I134" s="33"/>
      <c r="J134" s="37" t="str">
        <f aca="true">IF(C134="","",IF(H134="","",IF(H134&lt;TODAY(),"Expired",IF(H134&lt;=TODAY()+60,"Expiring Soon","OK"))))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3"/>
      <c r="G135" s="35"/>
      <c r="H135" s="35"/>
      <c r="I135" s="33"/>
      <c r="J135" s="37" t="str">
        <f aca="true">IF(C135="","",IF(H135="","",IF(H135&lt;TODAY(),"Expired",IF(H135&lt;=TODAY()+60,"Expiring Soon","OK"))))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3"/>
      <c r="G136" s="35"/>
      <c r="H136" s="35"/>
      <c r="I136" s="33"/>
      <c r="J136" s="37" t="str">
        <f aca="true">IF(C136="","",IF(H136="","",IF(H136&lt;TODAY(),"Expired",IF(H136&lt;=TODAY()+60,"Expiring Soon","OK"))))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3"/>
      <c r="G137" s="35"/>
      <c r="H137" s="35"/>
      <c r="I137" s="33"/>
      <c r="J137" s="37" t="str">
        <f aca="true">IF(C137="","",IF(H137="","",IF(H137&lt;TODAY(),"Expired",IF(H137&lt;=TODAY()+60,"Expiring Soon","OK"))))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3"/>
      <c r="G138" s="35"/>
      <c r="H138" s="35"/>
      <c r="I138" s="33"/>
      <c r="J138" s="37" t="str">
        <f aca="true">IF(C138="","",IF(H138="","",IF(H138&lt;TODAY(),"Expired",IF(H138&lt;=TODAY()+60,"Expiring Soon","OK"))))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3"/>
      <c r="G139" s="35"/>
      <c r="H139" s="35"/>
      <c r="I139" s="33"/>
      <c r="J139" s="37" t="str">
        <f aca="true">IF(C139="","",IF(H139="","",IF(H139&lt;TODAY(),"Expired",IF(H139&lt;=TODAY()+60,"Expiring Soon","OK"))))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3"/>
      <c r="G140" s="35"/>
      <c r="H140" s="35"/>
      <c r="I140" s="33"/>
      <c r="J140" s="37" t="str">
        <f aca="true">IF(C140="","",IF(H140="","",IF(H140&lt;TODAY(),"Expired",IF(H140&lt;=TODAY()+60,"Expiring Soon","OK"))))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3"/>
      <c r="G141" s="35"/>
      <c r="H141" s="35"/>
      <c r="I141" s="33"/>
      <c r="J141" s="37" t="str">
        <f aca="true">IF(C141="","",IF(H141="","",IF(H141&lt;TODAY(),"Expired",IF(H141&lt;=TODAY()+60,"Expiring Soon","OK"))))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3"/>
      <c r="G142" s="35"/>
      <c r="H142" s="35"/>
      <c r="I142" s="33"/>
      <c r="J142" s="37" t="str">
        <f aca="true">IF(C142="","",IF(H142="","",IF(H142&lt;TODAY(),"Expired",IF(H142&lt;=TODAY()+60,"Expiring Soon","OK"))))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3"/>
      <c r="G143" s="35"/>
      <c r="H143" s="35"/>
      <c r="I143" s="33"/>
      <c r="J143" s="37" t="str">
        <f aca="true">IF(C143="","",IF(H143="","",IF(H143&lt;TODAY(),"Expired",IF(H143&lt;=TODAY()+60,"Expiring Soon","OK"))))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3"/>
      <c r="G144" s="35"/>
      <c r="H144" s="35"/>
      <c r="I144" s="33"/>
      <c r="J144" s="37" t="str">
        <f aca="true">IF(C144="","",IF(H144="","",IF(H144&lt;TODAY(),"Expired",IF(H144&lt;=TODAY()+60,"Expiring Soon","OK"))))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3"/>
      <c r="G145" s="35"/>
      <c r="H145" s="35"/>
      <c r="I145" s="33"/>
      <c r="J145" s="37" t="str">
        <f aca="true">IF(C145="","",IF(H145="","",IF(H145&lt;TODAY(),"Expired",IF(H145&lt;=TODAY()+60,"Expiring Soon","OK"))))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3"/>
      <c r="G146" s="35"/>
      <c r="H146" s="35"/>
      <c r="I146" s="33"/>
      <c r="J146" s="37" t="str">
        <f aca="true">IF(C146="","",IF(H146="","",IF(H146&lt;TODAY(),"Expired",IF(H146&lt;=TODAY()+60,"Expiring Soon","OK"))))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3"/>
      <c r="G147" s="35"/>
      <c r="H147" s="35"/>
      <c r="I147" s="33"/>
      <c r="J147" s="37" t="str">
        <f aca="true">IF(C147="","",IF(H147="","",IF(H147&lt;TODAY(),"Expired",IF(H147&lt;=TODAY()+60,"Expiring Soon","OK"))))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3"/>
      <c r="G148" s="35"/>
      <c r="H148" s="35"/>
      <c r="I148" s="33"/>
      <c r="J148" s="37" t="str">
        <f aca="true">IF(C148="","",IF(H148="","",IF(H148&lt;TODAY(),"Expired",IF(H148&lt;=TODAY()+60,"Expiring Soon","OK"))))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3"/>
      <c r="G149" s="35"/>
      <c r="H149" s="35"/>
      <c r="I149" s="33"/>
      <c r="J149" s="37" t="str">
        <f aca="true">IF(C149="","",IF(H149="","",IF(H149&lt;TODAY(),"Expired",IF(H149&lt;=TODAY()+60,"Expiring Soon","OK"))))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3"/>
      <c r="G150" s="35"/>
      <c r="H150" s="35"/>
      <c r="I150" s="33"/>
      <c r="J150" s="37" t="str">
        <f aca="true">IF(C150="","",IF(H150="","",IF(H150&lt;TODAY(),"Expired",IF(H150&lt;=TODAY()+60,"Expiring Soon","OK"))))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3"/>
      <c r="G151" s="35"/>
      <c r="H151" s="35"/>
      <c r="I151" s="33"/>
      <c r="J151" s="37" t="str">
        <f aca="true">IF(C151="","",IF(H151="","",IF(H151&lt;TODAY(),"Expired",IF(H151&lt;=TODAY()+60,"Expiring Soon","OK"))))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3"/>
      <c r="G152" s="35"/>
      <c r="H152" s="35"/>
      <c r="I152" s="33"/>
      <c r="J152" s="37" t="str">
        <f aca="true">IF(C152="","",IF(H152="","",IF(H152&lt;TODAY(),"Expired",IF(H152&lt;=TODAY()+60,"Expiring Soon","OK"))))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3"/>
      <c r="G153" s="35"/>
      <c r="H153" s="35"/>
      <c r="I153" s="33"/>
      <c r="J153" s="37" t="str">
        <f aca="true">IF(C153="","",IF(H153="","",IF(H153&lt;TODAY(),"Expired",IF(H153&lt;=TODAY()+60,"Expiring Soon","OK"))))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3"/>
      <c r="G154" s="35"/>
      <c r="H154" s="35"/>
      <c r="I154" s="33"/>
      <c r="J154" s="37" t="str">
        <f aca="true">IF(C154="","",IF(H154="","",IF(H154&lt;TODAY(),"Expired",IF(H154&lt;=TODAY()+60,"Expiring Soon","OK"))))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3"/>
      <c r="G155" s="35"/>
      <c r="H155" s="35"/>
      <c r="I155" s="33"/>
      <c r="J155" s="37" t="str">
        <f aca="true">IF(C155="","",IF(H155="","",IF(H155&lt;TODAY(),"Expired",IF(H155&lt;=TODAY()+60,"Expiring Soon","OK"))))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3"/>
      <c r="G156" s="35"/>
      <c r="H156" s="35"/>
      <c r="I156" s="33"/>
      <c r="J156" s="37" t="str">
        <f aca="true">IF(C156="","",IF(H156="","",IF(H156&lt;TODAY(),"Expired",IF(H156&lt;=TODAY()+60,"Expiring Soon","OK"))))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3"/>
      <c r="G157" s="35"/>
      <c r="H157" s="35"/>
      <c r="I157" s="33"/>
      <c r="J157" s="37" t="str">
        <f aca="true">IF(C157="","",IF(H157="","",IF(H157&lt;TODAY(),"Expired",IF(H157&lt;=TODAY()+60,"Expiring Soon","OK"))))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3"/>
      <c r="G158" s="35"/>
      <c r="H158" s="35"/>
      <c r="I158" s="33"/>
      <c r="J158" s="37" t="str">
        <f aca="true">IF(C158="","",IF(H158="","",IF(H158&lt;TODAY(),"Expired",IF(H158&lt;=TODAY()+60,"Expiring Soon","OK"))))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3"/>
      <c r="G159" s="35"/>
      <c r="H159" s="35"/>
      <c r="I159" s="33"/>
      <c r="J159" s="37" t="str">
        <f aca="true">IF(C159="","",IF(H159="","",IF(H159&lt;TODAY(),"Expired",IF(H159&lt;=TODAY()+60,"Expiring Soon","OK"))))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3"/>
      <c r="G160" s="35"/>
      <c r="H160" s="35"/>
      <c r="I160" s="33"/>
      <c r="J160" s="37" t="str">
        <f aca="true">IF(C160="","",IF(H160="","",IF(H160&lt;TODAY(),"Expired",IF(H160&lt;=TODAY()+60,"Expiring Soon","OK"))))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3"/>
      <c r="G161" s="35"/>
      <c r="H161" s="35"/>
      <c r="I161" s="33"/>
      <c r="J161" s="37" t="str">
        <f aca="true">IF(C161="","",IF(H161="","",IF(H161&lt;TODAY(),"Expired",IF(H161&lt;=TODAY()+60,"Expiring Soon","OK"))))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3"/>
      <c r="G162" s="35"/>
      <c r="H162" s="35"/>
      <c r="I162" s="33"/>
      <c r="J162" s="37" t="str">
        <f aca="true">IF(C162="","",IF(H162="","",IF(H162&lt;TODAY(),"Expired",IF(H162&lt;=TODAY()+60,"Expiring Soon","OK"))))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3"/>
      <c r="G163" s="35"/>
      <c r="H163" s="35"/>
      <c r="I163" s="33"/>
      <c r="J163" s="37" t="str">
        <f aca="true">IF(C163="","",IF(H163="","",IF(H163&lt;TODAY(),"Expired",IF(H163&lt;=TODAY()+60,"Expiring Soon","OK"))))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3"/>
      <c r="G164" s="35"/>
      <c r="H164" s="35"/>
      <c r="I164" s="33"/>
      <c r="J164" s="37" t="str">
        <f aca="true">IF(C164="","",IF(H164="","",IF(H164&lt;TODAY(),"Expired",IF(H164&lt;=TODAY()+60,"Expiring Soon","OK"))))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3"/>
      <c r="G165" s="35"/>
      <c r="H165" s="35"/>
      <c r="I165" s="33"/>
      <c r="J165" s="37" t="str">
        <f aca="true">IF(C165="","",IF(H165="","",IF(H165&lt;TODAY(),"Expired",IF(H165&lt;=TODAY()+60,"Expiring Soon","OK"))))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3"/>
      <c r="G166" s="35"/>
      <c r="H166" s="35"/>
      <c r="I166" s="33"/>
      <c r="J166" s="37" t="str">
        <f aca="true">IF(C166="","",IF(H166="","",IF(H166&lt;TODAY(),"Expired",IF(H166&lt;=TODAY()+60,"Expiring Soon","OK"))))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3"/>
      <c r="G167" s="35"/>
      <c r="H167" s="35"/>
      <c r="I167" s="33"/>
      <c r="J167" s="37" t="str">
        <f aca="true">IF(C167="","",IF(H167="","",IF(H167&lt;TODAY(),"Expired",IF(H167&lt;=TODAY()+60,"Expiring Soon","OK"))))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3"/>
      <c r="G168" s="35"/>
      <c r="H168" s="35"/>
      <c r="I168" s="33"/>
      <c r="J168" s="37" t="str">
        <f aca="true">IF(C168="","",IF(H168="","",IF(H168&lt;TODAY(),"Expired",IF(H168&lt;=TODAY()+60,"Expiring Soon","OK"))))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3"/>
      <c r="G169" s="35"/>
      <c r="H169" s="35"/>
      <c r="I169" s="33"/>
      <c r="J169" s="37" t="str">
        <f aca="true">IF(C169="","",IF(H169="","",IF(H169&lt;TODAY(),"Expired",IF(H169&lt;=TODAY()+60,"Expiring Soon","OK"))))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3"/>
      <c r="G170" s="35"/>
      <c r="H170" s="35"/>
      <c r="I170" s="33"/>
      <c r="J170" s="37" t="str">
        <f aca="true">IF(C170="","",IF(H170="","",IF(H170&lt;TODAY(),"Expired",IF(H170&lt;=TODAY()+60,"Expiring Soon","OK"))))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3"/>
      <c r="G171" s="35"/>
      <c r="H171" s="35"/>
      <c r="I171" s="33"/>
      <c r="J171" s="37" t="str">
        <f aca="true">IF(C171="","",IF(H171="","",IF(H171&lt;TODAY(),"Expired",IF(H171&lt;=TODAY()+60,"Expiring Soon","OK"))))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3"/>
      <c r="G172" s="35"/>
      <c r="H172" s="35"/>
      <c r="I172" s="33"/>
      <c r="J172" s="37" t="str">
        <f aca="true">IF(C172="","",IF(H172="","",IF(H172&lt;TODAY(),"Expired",IF(H172&lt;=TODAY()+60,"Expiring Soon","OK"))))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3"/>
      <c r="G173" s="35"/>
      <c r="H173" s="35"/>
      <c r="I173" s="33"/>
      <c r="J173" s="37" t="str">
        <f aca="true">IF(C173="","",IF(H173="","",IF(H173&lt;TODAY(),"Expired",IF(H173&lt;=TODAY()+60,"Expiring Soon","OK"))))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3"/>
      <c r="G174" s="35"/>
      <c r="H174" s="35"/>
      <c r="I174" s="33"/>
      <c r="J174" s="37" t="str">
        <f aca="true">IF(C174="","",IF(H174="","",IF(H174&lt;TODAY(),"Expired",IF(H174&lt;=TODAY()+60,"Expiring Soon","OK"))))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3"/>
      <c r="G175" s="35"/>
      <c r="H175" s="35"/>
      <c r="I175" s="33"/>
      <c r="J175" s="37" t="str">
        <f aca="true">IF(C175="","",IF(H175="","",IF(H175&lt;TODAY(),"Expired",IF(H175&lt;=TODAY()+60,"Expiring Soon","OK"))))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3"/>
      <c r="G176" s="35"/>
      <c r="H176" s="35"/>
      <c r="I176" s="33"/>
      <c r="J176" s="37" t="str">
        <f aca="true">IF(C176="","",IF(H176="","",IF(H176&lt;TODAY(),"Expired",IF(H176&lt;=TODAY()+60,"Expiring Soon","OK"))))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3"/>
      <c r="G177" s="35"/>
      <c r="H177" s="35"/>
      <c r="I177" s="33"/>
      <c r="J177" s="37" t="str">
        <f aca="true">IF(C177="","",IF(H177="","",IF(H177&lt;TODAY(),"Expired",IF(H177&lt;=TODAY()+60,"Expiring Soon","OK"))))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3"/>
      <c r="G178" s="35"/>
      <c r="H178" s="35"/>
      <c r="I178" s="33"/>
      <c r="J178" s="37" t="str">
        <f aca="true">IF(C178="","",IF(H178="","",IF(H178&lt;TODAY(),"Expired",IF(H178&lt;=TODAY()+60,"Expiring Soon","OK"))))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3"/>
      <c r="G179" s="35"/>
      <c r="H179" s="35"/>
      <c r="I179" s="33"/>
      <c r="J179" s="37" t="str">
        <f aca="true">IF(C179="","",IF(H179="","",IF(H179&lt;TODAY(),"Expired",IF(H179&lt;=TODAY()+60,"Expiring Soon","OK"))))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3"/>
      <c r="G180" s="35"/>
      <c r="H180" s="35"/>
      <c r="I180" s="33"/>
      <c r="J180" s="37" t="str">
        <f aca="true">IF(C180="","",IF(H180="","",IF(H180&lt;TODAY(),"Expired",IF(H180&lt;=TODAY()+60,"Expiring Soon","OK"))))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3"/>
      <c r="G181" s="35"/>
      <c r="H181" s="35"/>
      <c r="I181" s="33"/>
      <c r="J181" s="37" t="str">
        <f aca="true">IF(C181="","",IF(H181="","",IF(H181&lt;TODAY(),"Expired",IF(H181&lt;=TODAY()+60,"Expiring Soon","OK"))))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3"/>
      <c r="G182" s="35"/>
      <c r="H182" s="35"/>
      <c r="I182" s="33"/>
      <c r="J182" s="37" t="str">
        <f aca="true">IF(C182="","",IF(H182="","",IF(H182&lt;TODAY(),"Expired",IF(H182&lt;=TODAY()+60,"Expiring Soon","OK"))))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3"/>
      <c r="G183" s="35"/>
      <c r="H183" s="35"/>
      <c r="I183" s="33"/>
      <c r="J183" s="37" t="str">
        <f aca="true">IF(C183="","",IF(H183="","",IF(H183&lt;TODAY(),"Expired",IF(H183&lt;=TODAY()+60,"Expiring Soon","OK"))))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3"/>
      <c r="G184" s="35"/>
      <c r="H184" s="35"/>
      <c r="I184" s="33"/>
      <c r="J184" s="37" t="str">
        <f aca="true">IF(C184="","",IF(H184="","",IF(H184&lt;TODAY(),"Expired",IF(H184&lt;=TODAY()+60,"Expiring Soon","OK"))))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3"/>
      <c r="G185" s="35"/>
      <c r="H185" s="35"/>
      <c r="I185" s="33"/>
      <c r="J185" s="37" t="str">
        <f aca="true">IF(C185="","",IF(H185="","",IF(H185&lt;TODAY(),"Expired",IF(H185&lt;=TODAY()+60,"Expiring Soon","OK"))))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3"/>
      <c r="G186" s="35"/>
      <c r="H186" s="35"/>
      <c r="I186" s="33"/>
      <c r="J186" s="37" t="str">
        <f aca="true">IF(C186="","",IF(H186="","",IF(H186&lt;TODAY(),"Expired",IF(H186&lt;=TODAY()+60,"Expiring Soon","OK"))))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3"/>
      <c r="G187" s="35"/>
      <c r="H187" s="35"/>
      <c r="I187" s="33"/>
      <c r="J187" s="37" t="str">
        <f aca="true">IF(C187="","",IF(H187="","",IF(H187&lt;TODAY(),"Expired",IF(H187&lt;=TODAY()+60,"Expiring Soon","OK"))))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3"/>
      <c r="G188" s="35"/>
      <c r="H188" s="35"/>
      <c r="I188" s="33"/>
      <c r="J188" s="37" t="str">
        <f aca="true">IF(C188="","",IF(H188="","",IF(H188&lt;TODAY(),"Expired",IF(H188&lt;=TODAY()+60,"Expiring Soon","OK"))))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3"/>
      <c r="G189" s="35"/>
      <c r="H189" s="35"/>
      <c r="I189" s="33"/>
      <c r="J189" s="37" t="str">
        <f aca="true">IF(C189="","",IF(H189="","",IF(H189&lt;TODAY(),"Expired",IF(H189&lt;=TODAY()+60,"Expiring Soon","OK"))))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3"/>
      <c r="G190" s="35"/>
      <c r="H190" s="35"/>
      <c r="I190" s="33"/>
      <c r="J190" s="37" t="str">
        <f aca="true">IF(C190="","",IF(H190="","",IF(H190&lt;TODAY(),"Expired",IF(H190&lt;=TODAY()+60,"Expiring Soon","OK"))))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3"/>
      <c r="G191" s="35"/>
      <c r="H191" s="35"/>
      <c r="I191" s="33"/>
      <c r="J191" s="37" t="str">
        <f aca="true">IF(C191="","",IF(H191="","",IF(H191&lt;TODAY(),"Expired",IF(H191&lt;=TODAY()+60,"Expiring Soon","OK"))))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3"/>
      <c r="G192" s="35"/>
      <c r="H192" s="35"/>
      <c r="I192" s="33"/>
      <c r="J192" s="37" t="str">
        <f aca="true">IF(C192="","",IF(H192="","",IF(H192&lt;TODAY(),"Expired",IF(H192&lt;=TODAY()+60,"Expiring Soon","OK"))))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3"/>
      <c r="G193" s="35"/>
      <c r="H193" s="35"/>
      <c r="I193" s="33"/>
      <c r="J193" s="37" t="str">
        <f aca="true">IF(C193="","",IF(H193="","",IF(H193&lt;TODAY(),"Expired",IF(H193&lt;=TODAY()+60,"Expiring Soon","OK"))))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3"/>
      <c r="G194" s="35"/>
      <c r="H194" s="35"/>
      <c r="I194" s="33"/>
      <c r="J194" s="37" t="str">
        <f aca="true">IF(C194="","",IF(H194="","",IF(H194&lt;TODAY(),"Expired",IF(H194&lt;=TODAY()+60,"Expiring Soon","OK"))))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3"/>
      <c r="G195" s="35"/>
      <c r="H195" s="35"/>
      <c r="I195" s="33"/>
      <c r="J195" s="37" t="str">
        <f aca="true">IF(C195="","",IF(H195="","",IF(H195&lt;TODAY(),"Expired",IF(H195&lt;=TODAY()+60,"Expiring Soon","OK"))))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3"/>
      <c r="G196" s="35"/>
      <c r="H196" s="35"/>
      <c r="I196" s="33"/>
      <c r="J196" s="37" t="str">
        <f aca="true">IF(C196="","",IF(H196="","",IF(H196&lt;TODAY(),"Expired",IF(H196&lt;=TODAY()+60,"Expiring Soon","OK"))))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3"/>
      <c r="G197" s="35"/>
      <c r="H197" s="35"/>
      <c r="I197" s="33"/>
      <c r="J197" s="37" t="str">
        <f aca="true">IF(C197="","",IF(H197="","",IF(H197&lt;TODAY(),"Expired",IF(H197&lt;=TODAY()+60,"Expiring Soon","OK"))))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3"/>
      <c r="G198" s="35"/>
      <c r="H198" s="35"/>
      <c r="I198" s="33"/>
      <c r="J198" s="37" t="str">
        <f aca="true">IF(C198="","",IF(H198="","",IF(H198&lt;TODAY(),"Expired",IF(H198&lt;=TODAY()+60,"Expiring Soon","OK"))))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3"/>
      <c r="G199" s="35"/>
      <c r="H199" s="35"/>
      <c r="I199" s="33"/>
      <c r="J199" s="37" t="str">
        <f aca="true">IF(C199="","",IF(H199="","",IF(H199&lt;TODAY(),"Expired",IF(H199&lt;=TODAY()+60,"Expiring Soon","OK"))))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3"/>
      <c r="G200" s="35"/>
      <c r="H200" s="35"/>
      <c r="I200" s="33"/>
      <c r="J200" s="37" t="str">
        <f aca="true">IF(C200="","",IF(H200="","",IF(H200&lt;TODAY(),"Expired",IF(H200&lt;=TODAY()+60,"Expiring Soon","OK"))))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3"/>
      <c r="G201" s="35"/>
      <c r="H201" s="35"/>
      <c r="I201" s="33"/>
      <c r="J201" s="37" t="str">
        <f aca="true">IF(C201="","",IF(H201="","",IF(H201&lt;TODAY(),"Expired",IF(H201&lt;=TODAY()+60,"Expiring Soon","OK"))))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3"/>
      <c r="G202" s="35"/>
      <c r="H202" s="35"/>
      <c r="I202" s="33"/>
      <c r="J202" s="37" t="str">
        <f aca="true">IF(C202="","",IF(H202="","",IF(H202&lt;TODAY(),"Expired",IF(H202&lt;=TODAY()+60,"Expiring Soon","OK"))))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3"/>
      <c r="G203" s="35"/>
      <c r="H203" s="35"/>
      <c r="I203" s="33"/>
      <c r="J203" s="37" t="str">
        <f aca="true">IF(C203="","",IF(H203="","",IF(H203&lt;TODAY(),"Expired",IF(H203&lt;=TODAY()+60,"Expiring Soon","OK"))))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3"/>
      <c r="G204" s="35"/>
      <c r="H204" s="35"/>
      <c r="I204" s="33"/>
      <c r="J204" s="37" t="str">
        <f aca="true">IF(C204="","",IF(H204="","",IF(H204&lt;TODAY(),"Expired",IF(H204&lt;=TODAY()+60,"Expiring Soon","OK"))))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3"/>
      <c r="G205" s="35"/>
      <c r="H205" s="35"/>
      <c r="I205" s="33"/>
      <c r="J205" s="37" t="str">
        <f aca="true">IF(C205="","",IF(H205="","",IF(H205&lt;TODAY(),"Expired",IF(H205&lt;=TODAY()+60,"Expiring Soon","OK"))))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3"/>
      <c r="G206" s="35"/>
      <c r="H206" s="35"/>
      <c r="I206" s="33"/>
      <c r="J206" s="37" t="str">
        <f aca="true">IF(C206="","",IF(H206="","",IF(H206&lt;TODAY(),"Expired",IF(H206&lt;=TODAY()+60,"Expiring Soon","OK"))))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3"/>
      <c r="G207" s="35"/>
      <c r="H207" s="35"/>
      <c r="I207" s="33"/>
      <c r="J207" s="37" t="str">
        <f aca="true">IF(C207="","",IF(H207="","",IF(H207&lt;TODAY(),"Expired",IF(H207&lt;=TODAY()+60,"Expiring Soon","OK"))))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3"/>
      <c r="G208" s="35"/>
      <c r="H208" s="35"/>
      <c r="I208" s="33"/>
      <c r="J208" s="37" t="str">
        <f aca="true">IF(C208="","",IF(H208="","",IF(H208&lt;TODAY(),"Expired",IF(H208&lt;=TODAY()+60,"Expiring Soon","OK"))))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3"/>
      <c r="G209" s="35"/>
      <c r="H209" s="35"/>
      <c r="I209" s="33"/>
      <c r="J209" s="37" t="str">
        <f aca="true">IF(C209="","",IF(H209="","",IF(H209&lt;TODAY(),"Expired",IF(H209&lt;=TODAY()+60,"Expiring Soon","OK"))))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3"/>
      <c r="G210" s="35"/>
      <c r="H210" s="35"/>
      <c r="I210" s="33"/>
      <c r="J210" s="37" t="str">
        <f aca="true">IF(C210="","",IF(H210="","",IF(H210&lt;TODAY(),"Expired",IF(H210&lt;=TODAY()+60,"Expiring Soon","OK"))))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3"/>
      <c r="G211" s="35"/>
      <c r="H211" s="35"/>
      <c r="I211" s="33"/>
      <c r="J211" s="37" t="str">
        <f aca="true">IF(C211="","",IF(H211="","",IF(H211&lt;TODAY(),"Expired",IF(H211&lt;=TODAY()+60,"Expiring Soon","OK"))))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3"/>
      <c r="G212" s="35"/>
      <c r="H212" s="35"/>
      <c r="I212" s="33"/>
      <c r="J212" s="37" t="str">
        <f aca="true">IF(C212="","",IF(H212="","",IF(H212&lt;TODAY(),"Expired",IF(H212&lt;=TODAY()+60,"Expiring Soon","OK"))))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3"/>
      <c r="G213" s="35"/>
      <c r="H213" s="35"/>
      <c r="I213" s="33"/>
      <c r="J213" s="37" t="str">
        <f aca="true">IF(C213="","",IF(H213="","",IF(H213&lt;TODAY(),"Expired",IF(H213&lt;=TODAY()+60,"Expiring Soon","OK"))))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3"/>
      <c r="G214" s="35"/>
      <c r="H214" s="35"/>
      <c r="I214" s="33"/>
      <c r="J214" s="37" t="str">
        <f aca="true">IF(C214="","",IF(H214="","",IF(H214&lt;TODAY(),"Expired",IF(H214&lt;=TODAY()+60,"Expiring Soon","OK"))))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3"/>
      <c r="G215" s="35"/>
      <c r="H215" s="35"/>
      <c r="I215" s="33"/>
      <c r="J215" s="37" t="str">
        <f aca="true">IF(C215="","",IF(H215="","",IF(H215&lt;TODAY(),"Expired",IF(H215&lt;=TODAY()+60,"Expiring Soon","OK"))))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3"/>
      <c r="G216" s="35"/>
      <c r="H216" s="35"/>
      <c r="I216" s="33"/>
      <c r="J216" s="37" t="str">
        <f aca="true">IF(C216="","",IF(H216="","",IF(H216&lt;TODAY(),"Expired",IF(H216&lt;=TODAY()+60,"Expiring Soon","OK"))))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3"/>
      <c r="G217" s="35"/>
      <c r="H217" s="35"/>
      <c r="I217" s="33"/>
      <c r="J217" s="37" t="str">
        <f aca="true">IF(C217="","",IF(H217="","",IF(H217&lt;TODAY(),"Expired",IF(H217&lt;=TODAY()+60,"Expiring Soon","OK"))))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3"/>
      <c r="G218" s="35"/>
      <c r="H218" s="35"/>
      <c r="I218" s="33"/>
      <c r="J218" s="37" t="str">
        <f aca="true">IF(C218="","",IF(H218="","",IF(H218&lt;TODAY(),"Expired",IF(H218&lt;=TODAY()+60,"Expiring Soon","OK"))))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3"/>
      <c r="G219" s="35"/>
      <c r="H219" s="35"/>
      <c r="I219" s="33"/>
      <c r="J219" s="37" t="str">
        <f aca="true">IF(C219="","",IF(H219="","",IF(H219&lt;TODAY(),"Expired",IF(H219&lt;=TODAY()+60,"Expiring Soon","OK"))))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3"/>
      <c r="G220" s="35"/>
      <c r="H220" s="35"/>
      <c r="I220" s="33"/>
      <c r="J220" s="37" t="str">
        <f aca="true">IF(C220="","",IF(H220="","",IF(H220&lt;TODAY(),"Expired",IF(H220&lt;=TODAY()+60,"Expiring Soon","OK"))))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3"/>
      <c r="G221" s="35"/>
      <c r="H221" s="35"/>
      <c r="I221" s="33"/>
      <c r="J221" s="37" t="str">
        <f aca="true">IF(C221="","",IF(H221="","",IF(H221&lt;TODAY(),"Expired",IF(H221&lt;=TODAY()+60,"Expiring Soon","OK"))))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3"/>
      <c r="G222" s="35"/>
      <c r="H222" s="35"/>
      <c r="I222" s="33"/>
      <c r="J222" s="37" t="str">
        <f aca="true">IF(C222="","",IF(H222="","",IF(H222&lt;TODAY(),"Expired",IF(H222&lt;=TODAY()+60,"Expiring Soon","OK"))))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3"/>
      <c r="G223" s="35"/>
      <c r="H223" s="35"/>
      <c r="I223" s="33"/>
      <c r="J223" s="37" t="str">
        <f aca="true">IF(C223="","",IF(H223="","",IF(H223&lt;TODAY(),"Expired",IF(H223&lt;=TODAY()+60,"Expiring Soon","OK"))))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3"/>
      <c r="G224" s="35"/>
      <c r="H224" s="35"/>
      <c r="I224" s="33"/>
      <c r="J224" s="37" t="str">
        <f aca="true">IF(C224="","",IF(H224="","",IF(H224&lt;TODAY(),"Expired",IF(H224&lt;=TODAY()+60,"Expiring Soon","OK"))))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3"/>
      <c r="G225" s="35"/>
      <c r="H225" s="35"/>
      <c r="I225" s="33"/>
      <c r="J225" s="37" t="str">
        <f aca="true">IF(C225="","",IF(H225="","",IF(H225&lt;TODAY(),"Expired",IF(H225&lt;=TODAY()+60,"Expiring Soon","OK"))))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3"/>
      <c r="G226" s="35"/>
      <c r="H226" s="35"/>
      <c r="I226" s="33"/>
      <c r="J226" s="37" t="str">
        <f aca="true">IF(C226="","",IF(H226="","",IF(H226&lt;TODAY(),"Expired",IF(H226&lt;=TODAY()+60,"Expiring Soon","OK"))))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3"/>
      <c r="G227" s="35"/>
      <c r="H227" s="35"/>
      <c r="I227" s="33"/>
      <c r="J227" s="37" t="str">
        <f aca="true">IF(C227="","",IF(H227="","",IF(H227&lt;TODAY(),"Expired",IF(H227&lt;=TODAY()+60,"Expiring Soon","OK"))))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3"/>
      <c r="G228" s="35"/>
      <c r="H228" s="35"/>
      <c r="I228" s="33"/>
      <c r="J228" s="37" t="str">
        <f aca="true">IF(C228="","",IF(H228="","",IF(H228&lt;TODAY(),"Expired",IF(H228&lt;=TODAY()+60,"Expiring Soon","OK"))))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3"/>
      <c r="G229" s="35"/>
      <c r="H229" s="35"/>
      <c r="I229" s="33"/>
      <c r="J229" s="37" t="str">
        <f aca="true">IF(C229="","",IF(H229="","",IF(H229&lt;TODAY(),"Expired",IF(H229&lt;=TODAY()+60,"Expiring Soon","OK"))))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3"/>
      <c r="G230" s="35"/>
      <c r="H230" s="35"/>
      <c r="I230" s="33"/>
      <c r="J230" s="37" t="str">
        <f aca="true">IF(C230="","",IF(H230="","",IF(H230&lt;TODAY(),"Expired",IF(H230&lt;=TODAY()+60,"Expiring Soon","OK"))))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3"/>
      <c r="G231" s="35"/>
      <c r="H231" s="35"/>
      <c r="I231" s="33"/>
      <c r="J231" s="37" t="str">
        <f aca="true">IF(C231="","",IF(H231="","",IF(H231&lt;TODAY(),"Expired",IF(H231&lt;=TODAY()+60,"Expiring Soon","OK"))))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3"/>
      <c r="G232" s="35"/>
      <c r="H232" s="35"/>
      <c r="I232" s="33"/>
      <c r="J232" s="37" t="str">
        <f aca="true">IF(C232="","",IF(H232="","",IF(H232&lt;TODAY(),"Expired",IF(H232&lt;=TODAY()+60,"Expiring Soon","OK"))))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3"/>
      <c r="G233" s="35"/>
      <c r="H233" s="35"/>
      <c r="I233" s="33"/>
      <c r="J233" s="37" t="str">
        <f aca="true">IF(C233="","",IF(H233="","",IF(H233&lt;TODAY(),"Expired",IF(H233&lt;=TODAY()+60,"Expiring Soon","OK"))))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3"/>
      <c r="G234" s="35"/>
      <c r="H234" s="35"/>
      <c r="I234" s="33"/>
      <c r="J234" s="37" t="str">
        <f aca="true">IF(C234="","",IF(H234="","",IF(H234&lt;TODAY(),"Expired",IF(H234&lt;=TODAY()+60,"Expiring Soon","OK"))))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3"/>
      <c r="G235" s="35"/>
      <c r="H235" s="35"/>
      <c r="I235" s="33"/>
      <c r="J235" s="37" t="str">
        <f aca="true">IF(C235="","",IF(H235="","",IF(H235&lt;TODAY(),"Expired",IF(H235&lt;=TODAY()+60,"Expiring Soon","OK"))))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3"/>
      <c r="G236" s="35"/>
      <c r="H236" s="35"/>
      <c r="I236" s="33"/>
      <c r="J236" s="37" t="str">
        <f aca="true">IF(C236="","",IF(H236="","",IF(H236&lt;TODAY(),"Expired",IF(H236&lt;=TODAY()+60,"Expiring Soon","OK"))))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3"/>
      <c r="G237" s="35"/>
      <c r="H237" s="35"/>
      <c r="I237" s="33"/>
      <c r="J237" s="37" t="str">
        <f aca="true">IF(C237="","",IF(H237="","",IF(H237&lt;TODAY(),"Expired",IF(H237&lt;=TODAY()+60,"Expiring Soon","OK"))))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3"/>
      <c r="G238" s="35"/>
      <c r="H238" s="35"/>
      <c r="I238" s="33"/>
      <c r="J238" s="37" t="str">
        <f aca="true">IF(C238="","",IF(H238="","",IF(H238&lt;TODAY(),"Expired",IF(H238&lt;=TODAY()+60,"Expiring Soon","OK"))))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3"/>
      <c r="G239" s="35"/>
      <c r="H239" s="35"/>
      <c r="I239" s="33"/>
      <c r="J239" s="37" t="str">
        <f aca="true">IF(C239="","",IF(H239="","",IF(H239&lt;TODAY(),"Expired",IF(H239&lt;=TODAY()+60,"Expiring Soon","OK"))))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3"/>
      <c r="G240" s="35"/>
      <c r="H240" s="35"/>
      <c r="I240" s="33"/>
      <c r="J240" s="37" t="str">
        <f aca="true">IF(C240="","",IF(H240="","",IF(H240&lt;TODAY(),"Expired",IF(H240&lt;=TODAY()+60,"Expiring Soon","OK"))))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3"/>
      <c r="G241" s="35"/>
      <c r="H241" s="35"/>
      <c r="I241" s="33"/>
      <c r="J241" s="37" t="str">
        <f aca="true">IF(C241="","",IF(H241="","",IF(H241&lt;TODAY(),"Expired",IF(H241&lt;=TODAY()+60,"Expiring Soon","OK"))))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3"/>
      <c r="G242" s="35"/>
      <c r="H242" s="35"/>
      <c r="I242" s="33"/>
      <c r="J242" s="37" t="str">
        <f aca="true">IF(C242="","",IF(H242="","",IF(H242&lt;TODAY(),"Expired",IF(H242&lt;=TODAY()+60,"Expiring Soon","OK"))))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3"/>
      <c r="G243" s="35"/>
      <c r="H243" s="35"/>
      <c r="I243" s="33"/>
      <c r="J243" s="37" t="str">
        <f aca="true">IF(C243="","",IF(H243="","",IF(H243&lt;TODAY(),"Expired",IF(H243&lt;=TODAY()+60,"Expiring Soon","OK"))))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3"/>
      <c r="G244" s="35"/>
      <c r="H244" s="35"/>
      <c r="I244" s="33"/>
      <c r="J244" s="37" t="str">
        <f aca="true">IF(C244="","",IF(H244="","",IF(H244&lt;TODAY(),"Expired",IF(H244&lt;=TODAY()+60,"Expiring Soon","OK"))))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3"/>
      <c r="G245" s="35"/>
      <c r="H245" s="35"/>
      <c r="I245" s="33"/>
      <c r="J245" s="37" t="str">
        <f aca="true">IF(C245="","",IF(H245="","",IF(H245&lt;TODAY(),"Expired",IF(H245&lt;=TODAY()+60,"Expiring Soon","OK"))))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3"/>
      <c r="G246" s="35"/>
      <c r="H246" s="35"/>
      <c r="I246" s="33"/>
      <c r="J246" s="37" t="str">
        <f aca="true">IF(C246="","",IF(H246="","",IF(H246&lt;TODAY(),"Expired",IF(H246&lt;=TODAY()+60,"Expiring Soon","OK"))))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3"/>
      <c r="G247" s="35"/>
      <c r="H247" s="35"/>
      <c r="I247" s="33"/>
      <c r="J247" s="37" t="str">
        <f aca="true">IF(C247="","",IF(H247="","",IF(H247&lt;TODAY(),"Expired",IF(H247&lt;=TODAY()+60,"Expiring Soon","OK"))))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3"/>
      <c r="G248" s="35"/>
      <c r="H248" s="35"/>
      <c r="I248" s="33"/>
      <c r="J248" s="37" t="str">
        <f aca="true">IF(C248="","",IF(H248="","",IF(H248&lt;TODAY(),"Expired",IF(H248&lt;=TODAY()+60,"Expiring Soon","OK"))))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3"/>
      <c r="G249" s="35"/>
      <c r="H249" s="35"/>
      <c r="I249" s="33"/>
      <c r="J249" s="37" t="str">
        <f aca="true">IF(C249="","",IF(H249="","",IF(H249&lt;TODAY(),"Expired",IF(H249&lt;=TODAY()+60,"Expiring Soon","OK"))))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3"/>
      <c r="G250" s="35"/>
      <c r="H250" s="35"/>
      <c r="I250" s="33"/>
      <c r="J250" s="37" t="str">
        <f aca="true">IF(C250="","",IF(H250="","",IF(H250&lt;TODAY(),"Expired",IF(H250&lt;=TODAY()+60,"Expiring Soon","OK"))))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3"/>
      <c r="G251" s="35"/>
      <c r="H251" s="35"/>
      <c r="I251" s="33"/>
      <c r="J251" s="37" t="str">
        <f aca="true">IF(C251="","",IF(H251="","",IF(H251&lt;TODAY(),"Expired",IF(H251&lt;=TODAY()+60,"Expiring Soon","OK"))))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3"/>
      <c r="G252" s="35"/>
      <c r="H252" s="35"/>
      <c r="I252" s="33"/>
      <c r="J252" s="37" t="str">
        <f aca="true">IF(C252="","",IF(H252="","",IF(H252&lt;TODAY(),"Expired",IF(H252&lt;=TODAY()+60,"Expiring Soon","OK"))))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3"/>
      <c r="G253" s="35"/>
      <c r="H253" s="35"/>
      <c r="I253" s="33"/>
      <c r="J253" s="37" t="str">
        <f aca="true">IF(C253="","",IF(H253="","",IF(H253&lt;TODAY(),"Expired",IF(H253&lt;=TODAY()+60,"Expiring Soon","OK"))))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3"/>
      <c r="G254" s="35"/>
      <c r="H254" s="35"/>
      <c r="I254" s="33"/>
      <c r="J254" s="37" t="str">
        <f aca="true">IF(C254="","",IF(H254="","",IF(H254&lt;TODAY(),"Expired",IF(H254&lt;=TODAY()+60,"Expiring Soon","OK"))))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3"/>
      <c r="G255" s="35"/>
      <c r="H255" s="35"/>
      <c r="I255" s="33"/>
      <c r="J255" s="37" t="str">
        <f aca="true">IF(C255="","",IF(H255="","",IF(H255&lt;TODAY(),"Expired",IF(H255&lt;=TODAY()+60,"Expiring Soon","OK"))))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3"/>
      <c r="G256" s="35"/>
      <c r="H256" s="35"/>
      <c r="I256" s="33"/>
      <c r="J256" s="37" t="str">
        <f aca="true">IF(C256="","",IF(H256="","",IF(H256&lt;TODAY(),"Expired",IF(H256&lt;=TODAY()+60,"Expiring Soon","OK"))))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3"/>
      <c r="G257" s="35"/>
      <c r="H257" s="35"/>
      <c r="I257" s="33"/>
      <c r="J257" s="37" t="str">
        <f aca="true">IF(C257="","",IF(H257="","",IF(H257&lt;TODAY(),"Expired",IF(H257&lt;=TODAY()+60,"Expiring Soon","OK"))))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3"/>
      <c r="G258" s="35"/>
      <c r="H258" s="35"/>
      <c r="I258" s="33"/>
      <c r="J258" s="37" t="str">
        <f aca="true">IF(C258="","",IF(H258="","",IF(H258&lt;TODAY(),"Expired",IF(H258&lt;=TODAY()+60,"Expiring Soon","OK"))))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3"/>
      <c r="G259" s="35"/>
      <c r="H259" s="35"/>
      <c r="I259" s="33"/>
      <c r="J259" s="37" t="str">
        <f aca="true">IF(C259="","",IF(H259="","",IF(H259&lt;TODAY(),"Expired",IF(H259&lt;=TODAY()+60,"Expiring Soon","OK"))))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3"/>
      <c r="G260" s="35"/>
      <c r="H260" s="35"/>
      <c r="I260" s="33"/>
      <c r="J260" s="37" t="str">
        <f aca="true">IF(C260="","",IF(H260="","",IF(H260&lt;TODAY(),"Expired",IF(H260&lt;=TODAY()+60,"Expiring Soon","OK"))))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3"/>
      <c r="G261" s="35"/>
      <c r="H261" s="35"/>
      <c r="I261" s="33"/>
      <c r="J261" s="37" t="str">
        <f aca="true">IF(C261="","",IF(H261="","",IF(H261&lt;TODAY(),"Expired",IF(H261&lt;=TODAY()+60,"Expiring Soon","OK"))))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3"/>
      <c r="G262" s="35"/>
      <c r="H262" s="35"/>
      <c r="I262" s="33"/>
      <c r="J262" s="37" t="str">
        <f aca="true">IF(C262="","",IF(H262="","",IF(H262&lt;TODAY(),"Expired",IF(H262&lt;=TODAY()+60,"Expiring Soon","OK"))))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3"/>
      <c r="G263" s="35"/>
      <c r="H263" s="35"/>
      <c r="I263" s="33"/>
      <c r="J263" s="37" t="str">
        <f aca="true">IF(C263="","",IF(H263="","",IF(H263&lt;TODAY(),"Expired",IF(H263&lt;=TODAY()+60,"Expiring Soon","OK"))))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3"/>
      <c r="G264" s="35"/>
      <c r="H264" s="35"/>
      <c r="I264" s="33"/>
      <c r="J264" s="37" t="str">
        <f aca="true">IF(C264="","",IF(H264="","",IF(H264&lt;TODAY(),"Expired",IF(H264&lt;=TODAY()+60,"Expiring Soon","OK"))))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3"/>
      <c r="G265" s="35"/>
      <c r="H265" s="35"/>
      <c r="I265" s="33"/>
      <c r="J265" s="37" t="str">
        <f aca="true">IF(C265="","",IF(H265="","",IF(H265&lt;TODAY(),"Expired",IF(H265&lt;=TODAY()+60,"Expiring Soon","OK"))))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3"/>
      <c r="G266" s="35"/>
      <c r="H266" s="35"/>
      <c r="I266" s="33"/>
      <c r="J266" s="37" t="str">
        <f aca="true">IF(C266="","",IF(H266="","",IF(H266&lt;TODAY(),"Expired",IF(H266&lt;=TODAY()+60,"Expiring Soon","OK"))))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3"/>
      <c r="G267" s="35"/>
      <c r="H267" s="35"/>
      <c r="I267" s="33"/>
      <c r="J267" s="37" t="str">
        <f aca="true">IF(C267="","",IF(H267="","",IF(H267&lt;TODAY(),"Expired",IF(H267&lt;=TODAY()+60,"Expiring Soon","OK"))))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3"/>
      <c r="G268" s="35"/>
      <c r="H268" s="35"/>
      <c r="I268" s="33"/>
      <c r="J268" s="37" t="str">
        <f aca="true">IF(C268="","",IF(H268="","",IF(H268&lt;TODAY(),"Expired",IF(H268&lt;=TODAY()+60,"Expiring Soon","OK"))))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3"/>
      <c r="G269" s="35"/>
      <c r="H269" s="35"/>
      <c r="I269" s="33"/>
      <c r="J269" s="37" t="str">
        <f aca="true">IF(C269="","",IF(H269="","",IF(H269&lt;TODAY(),"Expired",IF(H269&lt;=TODAY()+60,"Expiring Soon","OK"))))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3"/>
      <c r="G270" s="35"/>
      <c r="H270" s="35"/>
      <c r="I270" s="33"/>
      <c r="J270" s="37" t="str">
        <f aca="true">IF(C270="","",IF(H270="","",IF(H270&lt;TODAY(),"Expired",IF(H270&lt;=TODAY()+60,"Expiring Soon","OK"))))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3"/>
      <c r="G271" s="35"/>
      <c r="H271" s="35"/>
      <c r="I271" s="33"/>
      <c r="J271" s="37" t="str">
        <f aca="true">IF(C271="","",IF(H271="","",IF(H271&lt;TODAY(),"Expired",IF(H271&lt;=TODAY()+60,"Expiring Soon","OK"))))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3"/>
      <c r="G272" s="35"/>
      <c r="H272" s="35"/>
      <c r="I272" s="33"/>
      <c r="J272" s="37" t="str">
        <f aca="true">IF(C272="","",IF(H272="","",IF(H272&lt;TODAY(),"Expired",IF(H272&lt;=TODAY()+60,"Expiring Soon","OK"))))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3"/>
      <c r="G273" s="35"/>
      <c r="H273" s="35"/>
      <c r="I273" s="33"/>
      <c r="J273" s="37" t="str">
        <f aca="true">IF(C273="","",IF(H273="","",IF(H273&lt;TODAY(),"Expired",IF(H273&lt;=TODAY()+60,"Expiring Soon","OK"))))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3"/>
      <c r="G274" s="35"/>
      <c r="H274" s="35"/>
      <c r="I274" s="33"/>
      <c r="J274" s="37" t="str">
        <f aca="true">IF(C274="","",IF(H274="","",IF(H274&lt;TODAY(),"Expired",IF(H274&lt;=TODAY()+60,"Expiring Soon","OK"))))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3"/>
      <c r="G275" s="35"/>
      <c r="H275" s="35"/>
      <c r="I275" s="33"/>
      <c r="J275" s="37" t="str">
        <f aca="true">IF(C275="","",IF(H275="","",IF(H275&lt;TODAY(),"Expired",IF(H275&lt;=TODAY()+60,"Expiring Soon","OK"))))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3"/>
      <c r="G276" s="35"/>
      <c r="H276" s="35"/>
      <c r="I276" s="33"/>
      <c r="J276" s="37" t="str">
        <f aca="true">IF(C276="","",IF(H276="","",IF(H276&lt;TODAY(),"Expired",IF(H276&lt;=TODAY()+60,"Expiring Soon","OK"))))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3"/>
      <c r="G277" s="35"/>
      <c r="H277" s="35"/>
      <c r="I277" s="33"/>
      <c r="J277" s="37" t="str">
        <f aca="true">IF(C277="","",IF(H277="","",IF(H277&lt;TODAY(),"Expired",IF(H277&lt;=TODAY()+60,"Expiring Soon","OK"))))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3"/>
      <c r="G278" s="35"/>
      <c r="H278" s="35"/>
      <c r="I278" s="33"/>
      <c r="J278" s="37" t="str">
        <f aca="true">IF(C278="","",IF(H278="","",IF(H278&lt;TODAY(),"Expired",IF(H278&lt;=TODAY()+60,"Expiring Soon","OK"))))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3"/>
      <c r="G279" s="35"/>
      <c r="H279" s="35"/>
      <c r="I279" s="33"/>
      <c r="J279" s="37" t="str">
        <f aca="true">IF(C279="","",IF(H279="","",IF(H279&lt;TODAY(),"Expired",IF(H279&lt;=TODAY()+60,"Expiring Soon","OK"))))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3"/>
      <c r="G280" s="35"/>
      <c r="H280" s="35"/>
      <c r="I280" s="33"/>
      <c r="J280" s="37" t="str">
        <f aca="true">IF(C280="","",IF(H280="","",IF(H280&lt;TODAY(),"Expired",IF(H280&lt;=TODAY()+60,"Expiring Soon","OK"))))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3"/>
      <c r="G281" s="35"/>
      <c r="H281" s="35"/>
      <c r="I281" s="33"/>
      <c r="J281" s="37" t="str">
        <f aca="true">IF(C281="","",IF(H281="","",IF(H281&lt;TODAY(),"Expired",IF(H281&lt;=TODAY()+60,"Expiring Soon","OK"))))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3"/>
      <c r="G282" s="35"/>
      <c r="H282" s="35"/>
      <c r="I282" s="33"/>
      <c r="J282" s="37" t="str">
        <f aca="true">IF(C282="","",IF(H282="","",IF(H282&lt;TODAY(),"Expired",IF(H282&lt;=TODAY()+60,"Expiring Soon","OK"))))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3"/>
      <c r="G283" s="35"/>
      <c r="H283" s="35"/>
      <c r="I283" s="33"/>
      <c r="J283" s="37" t="str">
        <f aca="true">IF(C283="","",IF(H283="","",IF(H283&lt;TODAY(),"Expired",IF(H283&lt;=TODAY()+60,"Expiring Soon","OK"))))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3"/>
      <c r="G284" s="35"/>
      <c r="H284" s="35"/>
      <c r="I284" s="33"/>
      <c r="J284" s="37" t="str">
        <f aca="true">IF(C284="","",IF(H284="","",IF(H284&lt;TODAY(),"Expired",IF(H284&lt;=TODAY()+60,"Expiring Soon","OK"))))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3"/>
      <c r="G285" s="35"/>
      <c r="H285" s="35"/>
      <c r="I285" s="33"/>
      <c r="J285" s="37" t="str">
        <f aca="true">IF(C285="","",IF(H285="","",IF(H285&lt;TODAY(),"Expired",IF(H285&lt;=TODAY()+60,"Expiring Soon","OK"))))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3"/>
      <c r="G286" s="35"/>
      <c r="H286" s="35"/>
      <c r="I286" s="33"/>
      <c r="J286" s="37" t="str">
        <f aca="true">IF(C286="","",IF(H286="","",IF(H286&lt;TODAY(),"Expired",IF(H286&lt;=TODAY()+60,"Expiring Soon","OK"))))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3"/>
      <c r="G287" s="35"/>
      <c r="H287" s="35"/>
      <c r="I287" s="33"/>
      <c r="J287" s="37" t="str">
        <f aca="true">IF(C287="","",IF(H287="","",IF(H287&lt;TODAY(),"Expired",IF(H287&lt;=TODAY()+60,"Expiring Soon","OK"))))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3"/>
      <c r="G288" s="35"/>
      <c r="H288" s="35"/>
      <c r="I288" s="33"/>
      <c r="J288" s="37" t="str">
        <f aca="true">IF(C288="","",IF(H288="","",IF(H288&lt;TODAY(),"Expired",IF(H288&lt;=TODAY()+60,"Expiring Soon","OK"))))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3"/>
      <c r="G289" s="35"/>
      <c r="H289" s="35"/>
      <c r="I289" s="33"/>
      <c r="J289" s="37" t="str">
        <f aca="true">IF(C289="","",IF(H289="","",IF(H289&lt;TODAY(),"Expired",IF(H289&lt;=TODAY()+60,"Expiring Soon","OK"))))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3"/>
      <c r="G290" s="35"/>
      <c r="H290" s="35"/>
      <c r="I290" s="33"/>
      <c r="J290" s="37" t="str">
        <f aca="true">IF(C290="","",IF(H290="","",IF(H290&lt;TODAY(),"Expired",IF(H290&lt;=TODAY()+60,"Expiring Soon","OK"))))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3"/>
      <c r="G291" s="35"/>
      <c r="H291" s="35"/>
      <c r="I291" s="33"/>
      <c r="J291" s="37" t="str">
        <f aca="true">IF(C291="","",IF(H291="","",IF(H291&lt;TODAY(),"Expired",IF(H291&lt;=TODAY()+60,"Expiring Soon","OK"))))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3"/>
      <c r="G292" s="35"/>
      <c r="H292" s="35"/>
      <c r="I292" s="33"/>
      <c r="J292" s="37" t="str">
        <f aca="true">IF(C292="","",IF(H292="","",IF(H292&lt;TODAY(),"Expired",IF(H292&lt;=TODAY()+60,"Expiring Soon","OK"))))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3"/>
      <c r="G293" s="35"/>
      <c r="H293" s="35"/>
      <c r="I293" s="33"/>
      <c r="J293" s="37" t="str">
        <f aca="true">IF(C293="","",IF(H293="","",IF(H293&lt;TODAY(),"Expired",IF(H293&lt;=TODAY()+60,"Expiring Soon","OK"))))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3"/>
      <c r="G294" s="35"/>
      <c r="H294" s="35"/>
      <c r="I294" s="33"/>
      <c r="J294" s="37" t="str">
        <f aca="true">IF(C294="","",IF(H294="","",IF(H294&lt;TODAY(),"Expired",IF(H294&lt;=TODAY()+60,"Expiring Soon","OK"))))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3"/>
      <c r="G295" s="35"/>
      <c r="H295" s="35"/>
      <c r="I295" s="33"/>
      <c r="J295" s="37" t="str">
        <f aca="true">IF(C295="","",IF(H295="","",IF(H295&lt;TODAY(),"Expired",IF(H295&lt;=TODAY()+60,"Expiring Soon","OK"))))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3"/>
      <c r="G296" s="35"/>
      <c r="H296" s="35"/>
      <c r="I296" s="33"/>
      <c r="J296" s="37" t="str">
        <f aca="true">IF(C296="","",IF(H296="","",IF(H296&lt;TODAY(),"Expired",IF(H296&lt;=TODAY()+60,"Expiring Soon","OK"))))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3"/>
      <c r="G297" s="35"/>
      <c r="H297" s="35"/>
      <c r="I297" s="33"/>
      <c r="J297" s="37" t="str">
        <f aca="true">IF(C297="","",IF(H297="","",IF(H297&lt;TODAY(),"Expired",IF(H297&lt;=TODAY()+60,"Expiring Soon","OK"))))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3"/>
      <c r="G298" s="35"/>
      <c r="H298" s="35"/>
      <c r="I298" s="33"/>
      <c r="J298" s="37" t="str">
        <f aca="true">IF(C298="","",IF(H298="","",IF(H298&lt;TODAY(),"Expired",IF(H298&lt;=TODAY()+60,"Expiring Soon","OK"))))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3"/>
      <c r="G299" s="35"/>
      <c r="H299" s="35"/>
      <c r="I299" s="33"/>
      <c r="J299" s="37" t="str">
        <f aca="true">IF(C299="","",IF(H299="","",IF(H299&lt;TODAY(),"Expired",IF(H299&lt;=TODAY()+60,"Expiring Soon","OK"))))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3"/>
      <c r="G300" s="35"/>
      <c r="H300" s="35"/>
      <c r="I300" s="33"/>
      <c r="J300" s="37" t="str">
        <f aca="true">IF(C300="","",IF(H300="","",IF(H300&lt;TODAY(),"Expired",IF(H300&lt;=TODAY()+60,"Expiring Soon","OK"))))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3"/>
      <c r="G301" s="35"/>
      <c r="H301" s="35"/>
      <c r="I301" s="33"/>
      <c r="J301" s="37" t="str">
        <f aca="true">IF(C301="","",IF(H301="","",IF(H301&lt;TODAY(),"Expired",IF(H301&lt;=TODAY()+60,"Expiring Soon","OK"))))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3"/>
      <c r="G302" s="35"/>
      <c r="H302" s="35"/>
      <c r="I302" s="33"/>
      <c r="J302" s="37" t="str">
        <f aca="true">IF(C302="","",IF(H302="","",IF(H302&lt;TODAY(),"Expired",IF(H302&lt;=TODAY()+60,"Expiring Soon","OK"))))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3"/>
      <c r="G303" s="35"/>
      <c r="H303" s="35"/>
      <c r="I303" s="33"/>
      <c r="J303" s="37" t="str">
        <f aca="true">IF(C303="","",IF(H303="","",IF(H303&lt;TODAY(),"Expired",IF(H303&lt;=TODAY()+60,"Expiring Soon","OK"))))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3"/>
      <c r="G304" s="35"/>
      <c r="H304" s="35"/>
      <c r="I304" s="33"/>
      <c r="J304" s="37" t="str">
        <f aca="true">IF(C304="","",IF(H304="","",IF(H304&lt;TODAY(),"Expired",IF(H304&lt;=TODAY()+60,"Expiring Soon","OK"))))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3"/>
      <c r="G305" s="35"/>
      <c r="H305" s="35"/>
      <c r="I305" s="33"/>
      <c r="J305" s="37" t="str">
        <f aca="true">IF(C305="","",IF(H305="","",IF(H305&lt;TODAY(),"Expired",IF(H305&lt;=TODAY()+60,"Expiring Soon","OK"))))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3"/>
      <c r="G306" s="35"/>
      <c r="H306" s="35"/>
      <c r="I306" s="33"/>
      <c r="J306" s="37" t="str">
        <f aca="true">IF(C306="","",IF(H306="","",IF(H306&lt;TODAY(),"Expired",IF(H306&lt;=TODAY()+60,"Expiring Soon","OK"))))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3"/>
      <c r="G307" s="35"/>
      <c r="H307" s="35"/>
      <c r="I307" s="33"/>
      <c r="J307" s="37" t="str">
        <f aca="true">IF(C307="","",IF(H307="","",IF(H307&lt;TODAY(),"Expired",IF(H307&lt;=TODAY()+60,"Expiring Soon","OK"))))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3"/>
      <c r="G308" s="35"/>
      <c r="H308" s="35"/>
      <c r="I308" s="33"/>
      <c r="J308" s="37" t="str">
        <f aca="true">IF(C308="","",IF(H308="","",IF(H308&lt;TODAY(),"Expired",IF(H308&lt;=TODAY()+60,"Expiring Soon","OK"))))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3"/>
      <c r="G309" s="35"/>
      <c r="H309" s="35"/>
      <c r="I309" s="33"/>
      <c r="J309" s="37" t="str">
        <f aca="true">IF(C309="","",IF(H309="","",IF(H309&lt;TODAY(),"Expired",IF(H309&lt;=TODAY()+60,"Expiring Soon","OK"))))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3"/>
      <c r="G310" s="35"/>
      <c r="H310" s="35"/>
      <c r="I310" s="33"/>
      <c r="J310" s="37" t="str">
        <f aca="true">IF(C310="","",IF(H310="","",IF(H310&lt;TODAY(),"Expired",IF(H310&lt;=TODAY()+60,"Expiring Soon","OK"))))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3"/>
      <c r="G311" s="35"/>
      <c r="H311" s="35"/>
      <c r="I311" s="33"/>
      <c r="J311" s="37" t="str">
        <f aca="true">IF(C311="","",IF(H311="","",IF(H311&lt;TODAY(),"Expired",IF(H311&lt;=TODAY()+60,"Expiring Soon","OK"))))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3"/>
      <c r="G312" s="35"/>
      <c r="H312" s="35"/>
      <c r="I312" s="33"/>
      <c r="J312" s="37" t="str">
        <f aca="true">IF(C312="","",IF(H312="","",IF(H312&lt;TODAY(),"Expired",IF(H312&lt;=TODAY()+60,"Expiring Soon","OK"))))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3"/>
      <c r="G313" s="35"/>
      <c r="H313" s="35"/>
      <c r="I313" s="33"/>
      <c r="J313" s="37" t="str">
        <f aca="true">IF(C313="","",IF(H313="","",IF(H313&lt;TODAY(),"Expired",IF(H313&lt;=TODAY()+60,"Expiring Soon","OK"))))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3"/>
      <c r="G314" s="35"/>
      <c r="H314" s="35"/>
      <c r="I314" s="33"/>
      <c r="J314" s="37" t="str">
        <f aca="true">IF(C314="","",IF(H314="","",IF(H314&lt;TODAY(),"Expired",IF(H314&lt;=TODAY()+60,"Expiring Soon","OK"))))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3"/>
      <c r="G315" s="35"/>
      <c r="H315" s="35"/>
      <c r="I315" s="33"/>
      <c r="J315" s="37" t="str">
        <f aca="true">IF(C315="","",IF(H315="","",IF(H315&lt;TODAY(),"Expired",IF(H315&lt;=TODAY()+60,"Expiring Soon","OK"))))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3"/>
      <c r="G316" s="35"/>
      <c r="H316" s="35"/>
      <c r="I316" s="33"/>
      <c r="J316" s="37" t="str">
        <f aca="true">IF(C316="","",IF(H316="","",IF(H316&lt;TODAY(),"Expired",IF(H316&lt;=TODAY()+60,"Expiring Soon","OK"))))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3"/>
      <c r="G317" s="35"/>
      <c r="H317" s="35"/>
      <c r="I317" s="33"/>
      <c r="J317" s="37" t="str">
        <f aca="true">IF(C317="","",IF(H317="","",IF(H317&lt;TODAY(),"Expired",IF(H317&lt;=TODAY()+60,"Expiring Soon","OK"))))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3"/>
      <c r="G318" s="35"/>
      <c r="H318" s="35"/>
      <c r="I318" s="33"/>
      <c r="J318" s="37" t="str">
        <f aca="true">IF(C318="","",IF(H318="","",IF(H318&lt;TODAY(),"Expired",IF(H318&lt;=TODAY()+60,"Expiring Soon","OK"))))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3"/>
      <c r="G319" s="35"/>
      <c r="H319" s="35"/>
      <c r="I319" s="33"/>
      <c r="J319" s="37" t="str">
        <f aca="true">IF(C319="","",IF(H319="","",IF(H319&lt;TODAY(),"Expired",IF(H319&lt;=TODAY()+60,"Expiring Soon","OK"))))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3"/>
      <c r="G320" s="35"/>
      <c r="H320" s="35"/>
      <c r="I320" s="33"/>
      <c r="J320" s="37" t="str">
        <f aca="true">IF(C320="","",IF(H320="","",IF(H320&lt;TODAY(),"Expired",IF(H320&lt;=TODAY()+60,"Expiring Soon","OK"))))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3"/>
      <c r="G321" s="35"/>
      <c r="H321" s="35"/>
      <c r="I321" s="33"/>
      <c r="J321" s="37" t="str">
        <f aca="true">IF(C321="","",IF(H321="","",IF(H321&lt;TODAY(),"Expired",IF(H321&lt;=TODAY()+60,"Expiring Soon","OK"))))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3"/>
      <c r="G322" s="35"/>
      <c r="H322" s="35"/>
      <c r="I322" s="33"/>
      <c r="J322" s="37" t="str">
        <f aca="true">IF(C322="","",IF(H322="","",IF(H322&lt;TODAY(),"Expired",IF(H322&lt;=TODAY()+60,"Expiring Soon","OK"))))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3"/>
      <c r="G323" s="35"/>
      <c r="H323" s="35"/>
      <c r="I323" s="33"/>
      <c r="J323" s="37" t="str">
        <f aca="true">IF(C323="","",IF(H323="","",IF(H323&lt;TODAY(),"Expired",IF(H323&lt;=TODAY()+60,"Expiring Soon","OK"))))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3"/>
      <c r="G324" s="35"/>
      <c r="H324" s="35"/>
      <c r="I324" s="33"/>
      <c r="J324" s="37" t="str">
        <f aca="true">IF(C324="","",IF(H324="","",IF(H324&lt;TODAY(),"Expired",IF(H324&lt;=TODAY()+60,"Expiring Soon","OK"))))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3"/>
      <c r="G325" s="35"/>
      <c r="H325" s="35"/>
      <c r="I325" s="33"/>
      <c r="J325" s="37" t="str">
        <f aca="true">IF(C325="","",IF(H325="","",IF(H325&lt;TODAY(),"Expired",IF(H325&lt;=TODAY()+60,"Expiring Soon","OK"))))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3"/>
      <c r="G326" s="35"/>
      <c r="H326" s="35"/>
      <c r="I326" s="33"/>
      <c r="J326" s="37" t="str">
        <f aca="true">IF(C326="","",IF(H326="","",IF(H326&lt;TODAY(),"Expired",IF(H326&lt;=TODAY()+60,"Expiring Soon","OK"))))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3"/>
      <c r="G327" s="35"/>
      <c r="H327" s="35"/>
      <c r="I327" s="33"/>
      <c r="J327" s="37" t="str">
        <f aca="true">IF(C327="","",IF(H327="","",IF(H327&lt;TODAY(),"Expired",IF(H327&lt;=TODAY()+60,"Expiring Soon","OK"))))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3"/>
      <c r="G328" s="35"/>
      <c r="H328" s="35"/>
      <c r="I328" s="33"/>
      <c r="J328" s="37" t="str">
        <f aca="true">IF(C328="","",IF(H328="","",IF(H328&lt;TODAY(),"Expired",IF(H328&lt;=TODAY()+60,"Expiring Soon","OK"))))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3"/>
      <c r="G329" s="35"/>
      <c r="H329" s="35"/>
      <c r="I329" s="33"/>
      <c r="J329" s="37" t="str">
        <f aca="true">IF(C329="","",IF(H329="","",IF(H329&lt;TODAY(),"Expired",IF(H329&lt;=TODAY()+60,"Expiring Soon","OK"))))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3"/>
      <c r="G330" s="35"/>
      <c r="H330" s="35"/>
      <c r="I330" s="33"/>
      <c r="J330" s="37" t="str">
        <f aca="true">IF(C330="","",IF(H330="","",IF(H330&lt;TODAY(),"Expired",IF(H330&lt;=TODAY()+60,"Expiring Soon","OK"))))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3"/>
      <c r="G331" s="35"/>
      <c r="H331" s="35"/>
      <c r="I331" s="33"/>
      <c r="J331" s="37" t="str">
        <f aca="true">IF(C331="","",IF(H331="","",IF(H331&lt;TODAY(),"Expired",IF(H331&lt;=TODAY()+60,"Expiring Soon","OK"))))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3"/>
      <c r="G332" s="35"/>
      <c r="H332" s="35"/>
      <c r="I332" s="33"/>
      <c r="J332" s="37" t="str">
        <f aca="true">IF(C332="","",IF(H332="","",IF(H332&lt;TODAY(),"Expired",IF(H332&lt;=TODAY()+60,"Expiring Soon","OK"))))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3"/>
      <c r="G333" s="35"/>
      <c r="H333" s="35"/>
      <c r="I333" s="33"/>
      <c r="J333" s="37" t="str">
        <f aca="true">IF(C333="","",IF(H333="","",IF(H333&lt;TODAY(),"Expired",IF(H333&lt;=TODAY()+60,"Expiring Soon","OK"))))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3"/>
      <c r="G334" s="35"/>
      <c r="H334" s="35"/>
      <c r="I334" s="33"/>
      <c r="J334" s="37" t="str">
        <f aca="true">IF(C334="","",IF(H334="","",IF(H334&lt;TODAY(),"Expired",IF(H334&lt;=TODAY()+60,"Expiring Soon","OK"))))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3"/>
      <c r="G335" s="35"/>
      <c r="H335" s="35"/>
      <c r="I335" s="33"/>
      <c r="J335" s="37" t="str">
        <f aca="true">IF(C335="","",IF(H335="","",IF(H335&lt;TODAY(),"Expired",IF(H335&lt;=TODAY()+60,"Expiring Soon","OK"))))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3"/>
      <c r="G336" s="35"/>
      <c r="H336" s="35"/>
      <c r="I336" s="33"/>
      <c r="J336" s="37" t="str">
        <f aca="true">IF(C336="","",IF(H336="","",IF(H336&lt;TODAY(),"Expired",IF(H336&lt;=TODAY()+60,"Expiring Soon","OK"))))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3"/>
      <c r="G337" s="35"/>
      <c r="H337" s="35"/>
      <c r="I337" s="33"/>
      <c r="J337" s="37" t="str">
        <f aca="true">IF(C337="","",IF(H337="","",IF(H337&lt;TODAY(),"Expired",IF(H337&lt;=TODAY()+60,"Expiring Soon","OK"))))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3"/>
      <c r="G338" s="35"/>
      <c r="H338" s="35"/>
      <c r="I338" s="33"/>
      <c r="J338" s="37" t="str">
        <f aca="true">IF(C338="","",IF(H338="","",IF(H338&lt;TODAY(),"Expired",IF(H338&lt;=TODAY()+60,"Expiring Soon","OK"))))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3"/>
      <c r="G339" s="35"/>
      <c r="H339" s="35"/>
      <c r="I339" s="33"/>
      <c r="J339" s="37" t="str">
        <f aca="true">IF(C339="","",IF(H339="","",IF(H339&lt;TODAY(),"Expired",IF(H339&lt;=TODAY()+60,"Expiring Soon","OK"))))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3"/>
      <c r="G340" s="35"/>
      <c r="H340" s="35"/>
      <c r="I340" s="33"/>
      <c r="J340" s="37" t="str">
        <f aca="true">IF(C340="","",IF(H340="","",IF(H340&lt;TODAY(),"Expired",IF(H340&lt;=TODAY()+60,"Expiring Soon","OK"))))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3"/>
      <c r="G341" s="35"/>
      <c r="H341" s="35"/>
      <c r="I341" s="33"/>
      <c r="J341" s="37" t="str">
        <f aca="true">IF(C341="","",IF(H341="","",IF(H341&lt;TODAY(),"Expired",IF(H341&lt;=TODAY()+60,"Expiring Soon","OK"))))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3"/>
      <c r="G342" s="35"/>
      <c r="H342" s="35"/>
      <c r="I342" s="33"/>
      <c r="J342" s="37" t="str">
        <f aca="true">IF(C342="","",IF(H342="","",IF(H342&lt;TODAY(),"Expired",IF(H342&lt;=TODAY()+60,"Expiring Soon","OK"))))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3"/>
      <c r="G343" s="35"/>
      <c r="H343" s="35"/>
      <c r="I343" s="33"/>
      <c r="J343" s="37" t="str">
        <f aca="true">IF(C343="","",IF(H343="","",IF(H343&lt;TODAY(),"Expired",IF(H343&lt;=TODAY()+60,"Expiring Soon","OK"))))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3"/>
      <c r="G344" s="35"/>
      <c r="H344" s="35"/>
      <c r="I344" s="33"/>
      <c r="J344" s="37" t="str">
        <f aca="true">IF(C344="","",IF(H344="","",IF(H344&lt;TODAY(),"Expired",IF(H344&lt;=TODAY()+60,"Expiring Soon","OK"))))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3"/>
      <c r="G345" s="35"/>
      <c r="H345" s="35"/>
      <c r="I345" s="33"/>
      <c r="J345" s="37" t="str">
        <f aca="true">IF(C345="","",IF(H345="","",IF(H345&lt;TODAY(),"Expired",IF(H345&lt;=TODAY()+60,"Expiring Soon","OK"))))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3"/>
      <c r="G346" s="35"/>
      <c r="H346" s="35"/>
      <c r="I346" s="33"/>
      <c r="J346" s="37" t="str">
        <f aca="true">IF(C346="","",IF(H346="","",IF(H346&lt;TODAY(),"Expired",IF(H346&lt;=TODAY()+60,"Expiring Soon","OK"))))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3"/>
      <c r="G347" s="35"/>
      <c r="H347" s="35"/>
      <c r="I347" s="33"/>
      <c r="J347" s="37" t="str">
        <f aca="true">IF(C347="","",IF(H347="","",IF(H347&lt;TODAY(),"Expired",IF(H347&lt;=TODAY()+60,"Expiring Soon","OK"))))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3"/>
      <c r="G348" s="35"/>
      <c r="H348" s="35"/>
      <c r="I348" s="33"/>
      <c r="J348" s="37" t="str">
        <f aca="true">IF(C348="","",IF(H348="","",IF(H348&lt;TODAY(),"Expired",IF(H348&lt;=TODAY()+60,"Expiring Soon","OK"))))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3"/>
      <c r="G349" s="35"/>
      <c r="H349" s="35"/>
      <c r="I349" s="33"/>
      <c r="J349" s="37" t="str">
        <f aca="true">IF(C349="","",IF(H349="","",IF(H349&lt;TODAY(),"Expired",IF(H349&lt;=TODAY()+60,"Expiring Soon","OK"))))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3"/>
      <c r="G350" s="35"/>
      <c r="H350" s="35"/>
      <c r="I350" s="33"/>
      <c r="J350" s="37" t="str">
        <f aca="true">IF(C350="","",IF(H350="","",IF(H350&lt;TODAY(),"Expired",IF(H350&lt;=TODAY()+60,"Expiring Soon","OK"))))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3"/>
      <c r="G351" s="35"/>
      <c r="H351" s="35"/>
      <c r="I351" s="33"/>
      <c r="J351" s="37" t="str">
        <f aca="true">IF(C351="","",IF(H351="","",IF(H351&lt;TODAY(),"Expired",IF(H351&lt;=TODAY()+60,"Expiring Soon","OK"))))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3"/>
      <c r="G352" s="35"/>
      <c r="H352" s="35"/>
      <c r="I352" s="33"/>
      <c r="J352" s="37" t="str">
        <f aca="true">IF(C352="","",IF(H352="","",IF(H352&lt;TODAY(),"Expired",IF(H352&lt;=TODAY()+60,"Expiring Soon","OK"))))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3"/>
      <c r="G353" s="35"/>
      <c r="H353" s="35"/>
      <c r="I353" s="33"/>
      <c r="J353" s="37" t="str">
        <f aca="true">IF(C353="","",IF(H353="","",IF(H353&lt;TODAY(),"Expired",IF(H353&lt;=TODAY()+60,"Expiring Soon","OK"))))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3"/>
      <c r="G354" s="35"/>
      <c r="H354" s="35"/>
      <c r="I354" s="33"/>
      <c r="J354" s="37" t="str">
        <f aca="true">IF(C354="","",IF(H354="","",IF(H354&lt;TODAY(),"Expired",IF(H354&lt;=TODAY()+60,"Expiring Soon","OK"))))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3"/>
      <c r="G355" s="35"/>
      <c r="H355" s="35"/>
      <c r="I355" s="33"/>
      <c r="J355" s="37" t="str">
        <f aca="true">IF(C355="","",IF(H355="","",IF(H355&lt;TODAY(),"Expired",IF(H355&lt;=TODAY()+60,"Expiring Soon","OK"))))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3"/>
      <c r="G356" s="35"/>
      <c r="H356" s="35"/>
      <c r="I356" s="33"/>
      <c r="J356" s="37" t="str">
        <f aca="true">IF(C356="","",IF(H356="","",IF(H356&lt;TODAY(),"Expired",IF(H356&lt;=TODAY()+60,"Expiring Soon","OK"))))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3"/>
      <c r="G357" s="35"/>
      <c r="H357" s="35"/>
      <c r="I357" s="33"/>
      <c r="J357" s="37" t="str">
        <f aca="true">IF(C357="","",IF(H357="","",IF(H357&lt;TODAY(),"Expired",IF(H357&lt;=TODAY()+60,"Expiring Soon","OK"))))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3"/>
      <c r="G358" s="35"/>
      <c r="H358" s="35"/>
      <c r="I358" s="33"/>
      <c r="J358" s="37" t="str">
        <f aca="true">IF(C358="","",IF(H358="","",IF(H358&lt;TODAY(),"Expired",IF(H358&lt;=TODAY()+60,"Expiring Soon","OK"))))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3"/>
      <c r="G359" s="35"/>
      <c r="H359" s="35"/>
      <c r="I359" s="33"/>
      <c r="J359" s="37" t="str">
        <f aca="true">IF(C359="","",IF(H359="","",IF(H359&lt;TODAY(),"Expired",IF(H359&lt;=TODAY()+60,"Expiring Soon","OK"))))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3"/>
      <c r="G360" s="35"/>
      <c r="H360" s="35"/>
      <c r="I360" s="33"/>
      <c r="J360" s="37" t="str">
        <f aca="true">IF(C360="","",IF(H360="","",IF(H360&lt;TODAY(),"Expired",IF(H360&lt;=TODAY()+60,"Expiring Soon","OK"))))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3"/>
      <c r="G361" s="35"/>
      <c r="H361" s="35"/>
      <c r="I361" s="33"/>
      <c r="J361" s="37" t="str">
        <f aca="true">IF(C361="","",IF(H361="","",IF(H361&lt;TODAY(),"Expired",IF(H361&lt;=TODAY()+60,"Expiring Soon","OK"))))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3"/>
      <c r="G362" s="35"/>
      <c r="H362" s="35"/>
      <c r="I362" s="33"/>
      <c r="J362" s="37" t="str">
        <f aca="true">IF(C362="","",IF(H362="","",IF(H362&lt;TODAY(),"Expired",IF(H362&lt;=TODAY()+60,"Expiring Soon","OK"))))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3"/>
      <c r="G363" s="35"/>
      <c r="H363" s="35"/>
      <c r="I363" s="33"/>
      <c r="J363" s="37" t="str">
        <f aca="true">IF(C363="","",IF(H363="","",IF(H363&lt;TODAY(),"Expired",IF(H363&lt;=TODAY()+60,"Expiring Soon","OK"))))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3"/>
      <c r="G364" s="35"/>
      <c r="H364" s="35"/>
      <c r="I364" s="33"/>
      <c r="J364" s="37" t="str">
        <f aca="true">IF(C364="","",IF(H364="","",IF(H364&lt;TODAY(),"Expired",IF(H364&lt;=TODAY()+60,"Expiring Soon","OK"))))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3"/>
      <c r="G365" s="35"/>
      <c r="H365" s="35"/>
      <c r="I365" s="33"/>
      <c r="J365" s="37" t="str">
        <f aca="true">IF(C365="","",IF(H365="","",IF(H365&lt;TODAY(),"Expired",IF(H365&lt;=TODAY()+60,"Expiring Soon","OK"))))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3"/>
      <c r="G366" s="35"/>
      <c r="H366" s="35"/>
      <c r="I366" s="33"/>
      <c r="J366" s="37" t="str">
        <f aca="true">IF(C366="","",IF(H366="","",IF(H366&lt;TODAY(),"Expired",IF(H366&lt;=TODAY()+60,"Expiring Soon","OK"))))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3"/>
      <c r="G367" s="35"/>
      <c r="H367" s="35"/>
      <c r="I367" s="33"/>
      <c r="J367" s="37" t="str">
        <f aca="true">IF(C367="","",IF(H367="","",IF(H367&lt;TODAY(),"Expired",IF(H367&lt;=TODAY()+60,"Expiring Soon","OK"))))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3"/>
      <c r="G368" s="35"/>
      <c r="H368" s="35"/>
      <c r="I368" s="33"/>
      <c r="J368" s="37" t="str">
        <f aca="true">IF(C368="","",IF(H368="","",IF(H368&lt;TODAY(),"Expired",IF(H368&lt;=TODAY()+60,"Expiring Soon","OK"))))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3"/>
      <c r="G369" s="35"/>
      <c r="H369" s="35"/>
      <c r="I369" s="33"/>
      <c r="J369" s="37" t="str">
        <f aca="true">IF(C369="","",IF(H369="","",IF(H369&lt;TODAY(),"Expired",IF(H369&lt;=TODAY()+60,"Expiring Soon","OK"))))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3"/>
      <c r="G370" s="35"/>
      <c r="H370" s="35"/>
      <c r="I370" s="33"/>
      <c r="J370" s="37" t="str">
        <f aca="true">IF(C370="","",IF(H370="","",IF(H370&lt;TODAY(),"Expired",IF(H370&lt;=TODAY()+60,"Expiring Soon","OK"))))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3"/>
      <c r="G371" s="35"/>
      <c r="H371" s="35"/>
      <c r="I371" s="33"/>
      <c r="J371" s="37" t="str">
        <f aca="true">IF(C371="","",IF(H371="","",IF(H371&lt;TODAY(),"Expired",IF(H371&lt;=TODAY()+60,"Expiring Soon","OK"))))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3"/>
      <c r="G372" s="35"/>
      <c r="H372" s="35"/>
      <c r="I372" s="33"/>
      <c r="J372" s="37" t="str">
        <f aca="true">IF(C372="","",IF(H372="","",IF(H372&lt;TODAY(),"Expired",IF(H372&lt;=TODAY()+60,"Expiring Soon","OK"))))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3"/>
      <c r="G373" s="35"/>
      <c r="H373" s="35"/>
      <c r="I373" s="33"/>
      <c r="J373" s="37" t="str">
        <f aca="true">IF(C373="","",IF(H373="","",IF(H373&lt;TODAY(),"Expired",IF(H373&lt;=TODAY()+60,"Expiring Soon","OK"))))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3"/>
      <c r="G374" s="35"/>
      <c r="H374" s="35"/>
      <c r="I374" s="33"/>
      <c r="J374" s="37" t="str">
        <f aca="true">IF(C374="","",IF(H374="","",IF(H374&lt;TODAY(),"Expired",IF(H374&lt;=TODAY()+60,"Expiring Soon","OK"))))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3"/>
      <c r="G375" s="35"/>
      <c r="H375" s="35"/>
      <c r="I375" s="33"/>
      <c r="J375" s="37" t="str">
        <f aca="true">IF(C375="","",IF(H375="","",IF(H375&lt;TODAY(),"Expired",IF(H375&lt;=TODAY()+60,"Expiring Soon","OK"))))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3"/>
      <c r="G376" s="35"/>
      <c r="H376" s="35"/>
      <c r="I376" s="33"/>
      <c r="J376" s="37" t="str">
        <f aca="true">IF(C376="","",IF(H376="","",IF(H376&lt;TODAY(),"Expired",IF(H376&lt;=TODAY()+60,"Expiring Soon","OK"))))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3"/>
      <c r="G377" s="35"/>
      <c r="H377" s="35"/>
      <c r="I377" s="33"/>
      <c r="J377" s="37" t="str">
        <f aca="true">IF(C377="","",IF(H377="","",IF(H377&lt;TODAY(),"Expired",IF(H377&lt;=TODAY()+60,"Expiring Soon","OK"))))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3"/>
      <c r="G378" s="35"/>
      <c r="H378" s="35"/>
      <c r="I378" s="33"/>
      <c r="J378" s="37" t="str">
        <f aca="true">IF(C378="","",IF(H378="","",IF(H378&lt;TODAY(),"Expired",IF(H378&lt;=TODAY()+60,"Expiring Soon","OK"))))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3"/>
      <c r="G379" s="35"/>
      <c r="H379" s="35"/>
      <c r="I379" s="33"/>
      <c r="J379" s="37" t="str">
        <f aca="true">IF(C379="","",IF(H379="","",IF(H379&lt;TODAY(),"Expired",IF(H379&lt;=TODAY()+60,"Expiring Soon","OK"))))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3"/>
      <c r="G380" s="35"/>
      <c r="H380" s="35"/>
      <c r="I380" s="33"/>
      <c r="J380" s="37" t="str">
        <f aca="true">IF(C380="","",IF(H380="","",IF(H380&lt;TODAY(),"Expired",IF(H380&lt;=TODAY()+60,"Expiring Soon","OK"))))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3"/>
      <c r="G381" s="35"/>
      <c r="H381" s="35"/>
      <c r="I381" s="33"/>
      <c r="J381" s="37" t="str">
        <f aca="true">IF(C381="","",IF(H381="","",IF(H381&lt;TODAY(),"Expired",IF(H381&lt;=TODAY()+60,"Expiring Soon","OK"))))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3"/>
      <c r="G382" s="35"/>
      <c r="H382" s="35"/>
      <c r="I382" s="33"/>
      <c r="J382" s="37" t="str">
        <f aca="true">IF(C382="","",IF(H382="","",IF(H382&lt;TODAY(),"Expired",IF(H382&lt;=TODAY()+60,"Expiring Soon","OK"))))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3"/>
      <c r="G383" s="35"/>
      <c r="H383" s="35"/>
      <c r="I383" s="33"/>
      <c r="J383" s="37" t="str">
        <f aca="true">IF(C383="","",IF(H383="","",IF(H383&lt;TODAY(),"Expired",IF(H383&lt;=TODAY()+60,"Expiring Soon","OK"))))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3"/>
      <c r="G384" s="35"/>
      <c r="H384" s="35"/>
      <c r="I384" s="33"/>
      <c r="J384" s="37" t="str">
        <f aca="true">IF(C384="","",IF(H384="","",IF(H384&lt;TODAY(),"Expired",IF(H384&lt;=TODAY()+60,"Expiring Soon","OK"))))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3"/>
      <c r="G385" s="35"/>
      <c r="H385" s="35"/>
      <c r="I385" s="33"/>
      <c r="J385" s="37" t="str">
        <f aca="true">IF(C385="","",IF(H385="","",IF(H385&lt;TODAY(),"Expired",IF(H385&lt;=TODAY()+60,"Expiring Soon","OK"))))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3"/>
      <c r="G386" s="35"/>
      <c r="H386" s="35"/>
      <c r="I386" s="33"/>
      <c r="J386" s="37" t="str">
        <f aca="true">IF(C386="","",IF(H386="","",IF(H386&lt;TODAY(),"Expired",IF(H386&lt;=TODAY()+60,"Expiring Soon","OK"))))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3"/>
      <c r="G387" s="35"/>
      <c r="H387" s="35"/>
      <c r="I387" s="33"/>
      <c r="J387" s="37" t="str">
        <f aca="true">IF(C387="","",IF(H387="","",IF(H387&lt;TODAY(),"Expired",IF(H387&lt;=TODAY()+60,"Expiring Soon","OK"))))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3"/>
      <c r="G388" s="35"/>
      <c r="H388" s="35"/>
      <c r="I388" s="33"/>
      <c r="J388" s="37" t="str">
        <f aca="true">IF(C388="","",IF(H388="","",IF(H388&lt;TODAY(),"Expired",IF(H388&lt;=TODAY()+60,"Expiring Soon","OK"))))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3"/>
      <c r="G389" s="35"/>
      <c r="H389" s="35"/>
      <c r="I389" s="33"/>
      <c r="J389" s="37" t="str">
        <f aca="true">IF(C389="","",IF(H389="","",IF(H389&lt;TODAY(),"Expired",IF(H389&lt;=TODAY()+60,"Expiring Soon","OK"))))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3"/>
      <c r="G390" s="35"/>
      <c r="H390" s="35"/>
      <c r="I390" s="33"/>
      <c r="J390" s="37" t="str">
        <f aca="true">IF(C390="","",IF(H390="","",IF(H390&lt;TODAY(),"Expired",IF(H390&lt;=TODAY()+60,"Expiring Soon","OK"))))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3"/>
      <c r="G391" s="35"/>
      <c r="H391" s="35"/>
      <c r="I391" s="33"/>
      <c r="J391" s="37" t="str">
        <f aca="true">IF(C391="","",IF(H391="","",IF(H391&lt;TODAY(),"Expired",IF(H391&lt;=TODAY()+60,"Expiring Soon","OK"))))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3"/>
      <c r="G392" s="35"/>
      <c r="H392" s="35"/>
      <c r="I392" s="33"/>
      <c r="J392" s="37" t="str">
        <f aca="true">IF(C392="","",IF(H392="","",IF(H392&lt;TODAY(),"Expired",IF(H392&lt;=TODAY()+60,"Expiring Soon","OK"))))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3"/>
      <c r="G393" s="35"/>
      <c r="H393" s="35"/>
      <c r="I393" s="33"/>
      <c r="J393" s="37" t="str">
        <f aca="true">IF(C393="","",IF(H393="","",IF(H393&lt;TODAY(),"Expired",IF(H393&lt;=TODAY()+60,"Expiring Soon","OK"))))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3"/>
      <c r="G394" s="35"/>
      <c r="H394" s="35"/>
      <c r="I394" s="33"/>
      <c r="J394" s="37" t="str">
        <f aca="true">IF(C394="","",IF(H394="","",IF(H394&lt;TODAY(),"Expired",IF(H394&lt;=TODAY()+60,"Expiring Soon","OK"))))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3"/>
      <c r="G395" s="35"/>
      <c r="H395" s="35"/>
      <c r="I395" s="33"/>
      <c r="J395" s="37" t="str">
        <f aca="true">IF(C395="","",IF(H395="","",IF(H395&lt;TODAY(),"Expired",IF(H395&lt;=TODAY()+60,"Expiring Soon","OK"))))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3"/>
      <c r="G396" s="35"/>
      <c r="H396" s="35"/>
      <c r="I396" s="33"/>
      <c r="J396" s="37" t="str">
        <f aca="true">IF(C396="","",IF(H396="","",IF(H396&lt;TODAY(),"Expired",IF(H396&lt;=TODAY()+60,"Expiring Soon","OK"))))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3"/>
      <c r="G397" s="35"/>
      <c r="H397" s="35"/>
      <c r="I397" s="33"/>
      <c r="J397" s="37" t="str">
        <f aca="true">IF(C397="","",IF(H397="","",IF(H397&lt;TODAY(),"Expired",IF(H397&lt;=TODAY()+60,"Expiring Soon","OK"))))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3"/>
      <c r="G398" s="35"/>
      <c r="H398" s="35"/>
      <c r="I398" s="33"/>
      <c r="J398" s="37" t="str">
        <f aca="true">IF(C398="","",IF(H398="","",IF(H398&lt;TODAY(),"Expired",IF(H398&lt;=TODAY()+60,"Expiring Soon","OK"))))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3"/>
      <c r="G399" s="35"/>
      <c r="H399" s="35"/>
      <c r="I399" s="33"/>
      <c r="J399" s="37" t="str">
        <f aca="true">IF(C399="","",IF(H399="","",IF(H399&lt;TODAY(),"Expired",IF(H399&lt;=TODAY()+60,"Expiring Soon","OK"))))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3"/>
      <c r="G400" s="35"/>
      <c r="H400" s="35"/>
      <c r="I400" s="33"/>
      <c r="J400" s="37" t="str">
        <f aca="true">IF(C400="","",IF(H400="","",IF(H400&lt;TODAY(),"Expired",IF(H400&lt;=TODAY()+60,"Expiring Soon","OK"))))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3"/>
      <c r="G401" s="35"/>
      <c r="H401" s="35"/>
      <c r="I401" s="33"/>
      <c r="J401" s="37" t="str">
        <f aca="true">IF(C401="","",IF(H401="","",IF(H401&lt;TODAY(),"Expired",IF(H401&lt;=TODAY()+60,"Expiring Soon","OK"))))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3"/>
      <c r="G402" s="35"/>
      <c r="H402" s="35"/>
      <c r="I402" s="33"/>
      <c r="J402" s="37" t="str">
        <f aca="true">IF(C402="","",IF(H402="","",IF(H402&lt;TODAY(),"Expired",IF(H402&lt;=TODAY()+60,"Expiring Soon","OK"))))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3"/>
      <c r="G403" s="35"/>
      <c r="H403" s="35"/>
      <c r="I403" s="33"/>
      <c r="J403" s="37" t="str">
        <f aca="true">IF(C403="","",IF(H403="","",IF(H403&lt;TODAY(),"Expired",IF(H403&lt;=TODAY()+60,"Expiring Soon","OK"))))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3"/>
      <c r="G404" s="35"/>
      <c r="H404" s="35"/>
      <c r="I404" s="33"/>
      <c r="J404" s="37" t="str">
        <f aca="true">IF(C404="","",IF(H404="","",IF(H404&lt;TODAY(),"Expired",IF(H404&lt;=TODAY()+60,"Expiring Soon","OK"))))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3"/>
      <c r="G405" s="35"/>
      <c r="H405" s="35"/>
      <c r="I405" s="33"/>
      <c r="J405" s="37" t="str">
        <f aca="true">IF(C405="","",IF(H405="","",IF(H405&lt;TODAY(),"Expired",IF(H405&lt;=TODAY()+60,"Expiring Soon","OK"))))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3"/>
      <c r="G406" s="35"/>
      <c r="H406" s="35"/>
      <c r="I406" s="33"/>
      <c r="J406" s="37" t="str">
        <f aca="true">IF(C406="","",IF(H406="","",IF(H406&lt;TODAY(),"Expired",IF(H406&lt;=TODAY()+60,"Expiring Soon","OK"))))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3"/>
      <c r="G407" s="35"/>
      <c r="H407" s="35"/>
      <c r="I407" s="33"/>
      <c r="J407" s="37" t="str">
        <f aca="true">IF(C407="","",IF(H407="","",IF(H407&lt;TODAY(),"Expired",IF(H407&lt;=TODAY()+60,"Expiring Soon","OK"))))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3"/>
      <c r="G408" s="35"/>
      <c r="H408" s="35"/>
      <c r="I408" s="33"/>
      <c r="J408" s="37" t="str">
        <f aca="true">IF(C408="","",IF(H408="","",IF(H408&lt;TODAY(),"Expired",IF(H408&lt;=TODAY()+60,"Expiring Soon","OK"))))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3"/>
      <c r="G409" s="35"/>
      <c r="H409" s="35"/>
      <c r="I409" s="33"/>
      <c r="J409" s="37" t="str">
        <f aca="true">IF(C409="","",IF(H409="","",IF(H409&lt;TODAY(),"Expired",IF(H409&lt;=TODAY()+60,"Expiring Soon","OK"))))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3"/>
      <c r="G410" s="35"/>
      <c r="H410" s="35"/>
      <c r="I410" s="33"/>
      <c r="J410" s="37" t="str">
        <f aca="true">IF(C410="","",IF(H410="","",IF(H410&lt;TODAY(),"Expired",IF(H410&lt;=TODAY()+60,"Expiring Soon","OK"))))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3"/>
      <c r="G411" s="35"/>
      <c r="H411" s="35"/>
      <c r="I411" s="33"/>
      <c r="J411" s="37" t="str">
        <f aca="true">IF(C411="","",IF(H411="","",IF(H411&lt;TODAY(),"Expired",IF(H411&lt;=TODAY()+60,"Expiring Soon","OK"))))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3"/>
      <c r="G412" s="35"/>
      <c r="H412" s="35"/>
      <c r="I412" s="33"/>
      <c r="J412" s="37" t="str">
        <f aca="true">IF(C412="","",IF(H412="","",IF(H412&lt;TODAY(),"Expired",IF(H412&lt;=TODAY()+60,"Expiring Soon","OK"))))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3"/>
      <c r="G413" s="35"/>
      <c r="H413" s="35"/>
      <c r="I413" s="33"/>
      <c r="J413" s="37" t="str">
        <f aca="true">IF(C413="","",IF(H413="","",IF(H413&lt;TODAY(),"Expired",IF(H413&lt;=TODAY()+60,"Expiring Soon","OK"))))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3"/>
      <c r="G414" s="35"/>
      <c r="H414" s="35"/>
      <c r="I414" s="33"/>
      <c r="J414" s="37" t="str">
        <f aca="true">IF(C414="","",IF(H414="","",IF(H414&lt;TODAY(),"Expired",IF(H414&lt;=TODAY()+60,"Expiring Soon","OK"))))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3"/>
      <c r="G415" s="35"/>
      <c r="H415" s="35"/>
      <c r="I415" s="33"/>
      <c r="J415" s="37" t="str">
        <f aca="true">IF(C415="","",IF(H415="","",IF(H415&lt;TODAY(),"Expired",IF(H415&lt;=TODAY()+60,"Expiring Soon","OK"))))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3"/>
      <c r="G416" s="35"/>
      <c r="H416" s="35"/>
      <c r="I416" s="33"/>
      <c r="J416" s="37" t="str">
        <f aca="true">IF(C416="","",IF(H416="","",IF(H416&lt;TODAY(),"Expired",IF(H416&lt;=TODAY()+60,"Expiring Soon","OK"))))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3"/>
      <c r="G417" s="35"/>
      <c r="H417" s="35"/>
      <c r="I417" s="33"/>
      <c r="J417" s="37" t="str">
        <f aca="true">IF(C417="","",IF(H417="","",IF(H417&lt;TODAY(),"Expired",IF(H417&lt;=TODAY()+60,"Expiring Soon","OK"))))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3"/>
      <c r="G418" s="35"/>
      <c r="H418" s="35"/>
      <c r="I418" s="33"/>
      <c r="J418" s="37" t="str">
        <f aca="true">IF(C418="","",IF(H418="","",IF(H418&lt;TODAY(),"Expired",IF(H418&lt;=TODAY()+60,"Expiring Soon","OK"))))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3"/>
      <c r="G419" s="35"/>
      <c r="H419" s="35"/>
      <c r="I419" s="33"/>
      <c r="J419" s="37" t="str">
        <f aca="true">IF(C419="","",IF(H419="","",IF(H419&lt;TODAY(),"Expired",IF(H419&lt;=TODAY()+60,"Expiring Soon","OK"))))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3"/>
      <c r="G420" s="35"/>
      <c r="H420" s="35"/>
      <c r="I420" s="33"/>
      <c r="J420" s="37" t="str">
        <f aca="true">IF(C420="","",IF(H420="","",IF(H420&lt;TODAY(),"Expired",IF(H420&lt;=TODAY()+60,"Expiring Soon","OK"))))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3"/>
      <c r="G421" s="35"/>
      <c r="H421" s="35"/>
      <c r="I421" s="33"/>
      <c r="J421" s="37" t="str">
        <f aca="true">IF(C421="","",IF(H421="","",IF(H421&lt;TODAY(),"Expired",IF(H421&lt;=TODAY()+60,"Expiring Soon","OK"))))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3"/>
      <c r="G422" s="35"/>
      <c r="H422" s="35"/>
      <c r="I422" s="33"/>
      <c r="J422" s="37" t="str">
        <f aca="true">IF(C422="","",IF(H422="","",IF(H422&lt;TODAY(),"Expired",IF(H422&lt;=TODAY()+60,"Expiring Soon","OK"))))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3"/>
      <c r="G423" s="35"/>
      <c r="H423" s="35"/>
      <c r="I423" s="33"/>
      <c r="J423" s="37" t="str">
        <f aca="true">IF(C423="","",IF(H423="","",IF(H423&lt;TODAY(),"Expired",IF(H423&lt;=TODAY()+60,"Expiring Soon","OK"))))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3"/>
      <c r="G424" s="35"/>
      <c r="H424" s="35"/>
      <c r="I424" s="33"/>
      <c r="J424" s="37" t="str">
        <f aca="true">IF(C424="","",IF(H424="","",IF(H424&lt;TODAY(),"Expired",IF(H424&lt;=TODAY()+60,"Expiring Soon","OK"))))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3"/>
      <c r="G425" s="35"/>
      <c r="H425" s="35"/>
      <c r="I425" s="33"/>
      <c r="J425" s="37" t="str">
        <f aca="true">IF(C425="","",IF(H425="","",IF(H425&lt;TODAY(),"Expired",IF(H425&lt;=TODAY()+60,"Expiring Soon","OK"))))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3"/>
      <c r="G426" s="35"/>
      <c r="H426" s="35"/>
      <c r="I426" s="33"/>
      <c r="J426" s="37" t="str">
        <f aca="true">IF(C426="","",IF(H426="","",IF(H426&lt;TODAY(),"Expired",IF(H426&lt;=TODAY()+60,"Expiring Soon","OK"))))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3"/>
      <c r="G427" s="35"/>
      <c r="H427" s="35"/>
      <c r="I427" s="33"/>
      <c r="J427" s="37" t="str">
        <f aca="true">IF(C427="","",IF(H427="","",IF(H427&lt;TODAY(),"Expired",IF(H427&lt;=TODAY()+60,"Expiring Soon","OK"))))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3"/>
      <c r="G428" s="35"/>
      <c r="H428" s="35"/>
      <c r="I428" s="33"/>
      <c r="J428" s="37" t="str">
        <f aca="true">IF(C428="","",IF(H428="","",IF(H428&lt;TODAY(),"Expired",IF(H428&lt;=TODAY()+60,"Expiring Soon","OK"))))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3"/>
      <c r="G429" s="35"/>
      <c r="H429" s="35"/>
      <c r="I429" s="33"/>
      <c r="J429" s="37" t="str">
        <f aca="true">IF(C429="","",IF(H429="","",IF(H429&lt;TODAY(),"Expired",IF(H429&lt;=TODAY()+60,"Expiring Soon","OK"))))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3"/>
      <c r="G430" s="35"/>
      <c r="H430" s="35"/>
      <c r="I430" s="33"/>
      <c r="J430" s="37" t="str">
        <f aca="true">IF(C430="","",IF(H430="","",IF(H430&lt;TODAY(),"Expired",IF(H430&lt;=TODAY()+60,"Expiring Soon","OK"))))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3"/>
      <c r="G431" s="35"/>
      <c r="H431" s="35"/>
      <c r="I431" s="33"/>
      <c r="J431" s="37" t="str">
        <f aca="true">IF(C431="","",IF(H431="","",IF(H431&lt;TODAY(),"Expired",IF(H431&lt;=TODAY()+60,"Expiring Soon","OK"))))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3"/>
      <c r="G432" s="35"/>
      <c r="H432" s="35"/>
      <c r="I432" s="33"/>
      <c r="J432" s="37" t="str">
        <f aca="true">IF(C432="","",IF(H432="","",IF(H432&lt;TODAY(),"Expired",IF(H432&lt;=TODAY()+60,"Expiring Soon","OK"))))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3"/>
      <c r="G433" s="35"/>
      <c r="H433" s="35"/>
      <c r="I433" s="33"/>
      <c r="J433" s="37" t="str">
        <f aca="true">IF(C433="","",IF(H433="","",IF(H433&lt;TODAY(),"Expired",IF(H433&lt;=TODAY()+60,"Expiring Soon","OK"))))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3"/>
      <c r="G434" s="35"/>
      <c r="H434" s="35"/>
      <c r="I434" s="33"/>
      <c r="J434" s="37" t="str">
        <f aca="true">IF(C434="","",IF(H434="","",IF(H434&lt;TODAY(),"Expired",IF(H434&lt;=TODAY()+60,"Expiring Soon","OK"))))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3"/>
      <c r="G435" s="35"/>
      <c r="H435" s="35"/>
      <c r="I435" s="33"/>
      <c r="J435" s="37" t="str">
        <f aca="true">IF(C435="","",IF(H435="","",IF(H435&lt;TODAY(),"Expired",IF(H435&lt;=TODAY()+60,"Expiring Soon","OK"))))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3"/>
      <c r="G436" s="35"/>
      <c r="H436" s="35"/>
      <c r="I436" s="33"/>
      <c r="J436" s="37" t="str">
        <f aca="true">IF(C436="","",IF(H436="","",IF(H436&lt;TODAY(),"Expired",IF(H436&lt;=TODAY()+60,"Expiring Soon","OK"))))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3"/>
      <c r="G437" s="35"/>
      <c r="H437" s="35"/>
      <c r="I437" s="33"/>
      <c r="J437" s="37" t="str">
        <f aca="true">IF(C437="","",IF(H437="","",IF(H437&lt;TODAY(),"Expired",IF(H437&lt;=TODAY()+60,"Expiring Soon","OK"))))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3"/>
      <c r="G438" s="35"/>
      <c r="H438" s="35"/>
      <c r="I438" s="33"/>
      <c r="J438" s="37" t="str">
        <f aca="true">IF(C438="","",IF(H438="","",IF(H438&lt;TODAY(),"Expired",IF(H438&lt;=TODAY()+60,"Expiring Soon","OK"))))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3"/>
      <c r="G439" s="35"/>
      <c r="H439" s="35"/>
      <c r="I439" s="33"/>
      <c r="J439" s="37" t="str">
        <f aca="true">IF(C439="","",IF(H439="","",IF(H439&lt;TODAY(),"Expired",IF(H439&lt;=TODAY()+60,"Expiring Soon","OK"))))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3"/>
      <c r="G440" s="35"/>
      <c r="H440" s="35"/>
      <c r="I440" s="33"/>
      <c r="J440" s="37" t="str">
        <f aca="true">IF(C440="","",IF(H440="","",IF(H440&lt;TODAY(),"Expired",IF(H440&lt;=TODAY()+60,"Expiring Soon","OK"))))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3"/>
      <c r="G441" s="35"/>
      <c r="H441" s="35"/>
      <c r="I441" s="33"/>
      <c r="J441" s="37" t="str">
        <f aca="true">IF(C441="","",IF(H441="","",IF(H441&lt;TODAY(),"Expired",IF(H441&lt;=TODAY()+60,"Expiring Soon","OK"))))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3"/>
      <c r="G442" s="35"/>
      <c r="H442" s="35"/>
      <c r="I442" s="33"/>
      <c r="J442" s="37" t="str">
        <f aca="true">IF(C442="","",IF(H442="","",IF(H442&lt;TODAY(),"Expired",IF(H442&lt;=TODAY()+60,"Expiring Soon","OK"))))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3"/>
      <c r="G443" s="35"/>
      <c r="H443" s="35"/>
      <c r="I443" s="33"/>
      <c r="J443" s="37" t="str">
        <f aca="true">IF(C443="","",IF(H443="","",IF(H443&lt;TODAY(),"Expired",IF(H443&lt;=TODAY()+60,"Expiring Soon","OK"))))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3"/>
      <c r="G444" s="35"/>
      <c r="H444" s="35"/>
      <c r="I444" s="33"/>
      <c r="J444" s="37" t="str">
        <f aca="true">IF(C444="","",IF(H444="","",IF(H444&lt;TODAY(),"Expired",IF(H444&lt;=TODAY()+60,"Expiring Soon","OK"))))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3"/>
      <c r="G445" s="35"/>
      <c r="H445" s="35"/>
      <c r="I445" s="33"/>
      <c r="J445" s="37" t="str">
        <f aca="true">IF(C445="","",IF(H445="","",IF(H445&lt;TODAY(),"Expired",IF(H445&lt;=TODAY()+60,"Expiring Soon","OK"))))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3"/>
      <c r="G446" s="35"/>
      <c r="H446" s="35"/>
      <c r="I446" s="33"/>
      <c r="J446" s="37" t="str">
        <f aca="true">IF(C446="","",IF(H446="","",IF(H446&lt;TODAY(),"Expired",IF(H446&lt;=TODAY()+60,"Expiring Soon","OK"))))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3"/>
      <c r="G447" s="35"/>
      <c r="H447" s="35"/>
      <c r="I447" s="33"/>
      <c r="J447" s="37" t="str">
        <f aca="true">IF(C447="","",IF(H447="","",IF(H447&lt;TODAY(),"Expired",IF(H447&lt;=TODAY()+60,"Expiring Soon","OK"))))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3"/>
      <c r="G448" s="35"/>
      <c r="H448" s="35"/>
      <c r="I448" s="33"/>
      <c r="J448" s="37" t="str">
        <f aca="true">IF(C448="","",IF(H448="","",IF(H448&lt;TODAY(),"Expired",IF(H448&lt;=TODAY()+60,"Expiring Soon","OK"))))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3"/>
      <c r="G449" s="35"/>
      <c r="H449" s="35"/>
      <c r="I449" s="33"/>
      <c r="J449" s="37" t="str">
        <f aca="true">IF(C449="","",IF(H449="","",IF(H449&lt;TODAY(),"Expired",IF(H449&lt;=TODAY()+60,"Expiring Soon","OK"))))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3"/>
      <c r="G450" s="35"/>
      <c r="H450" s="35"/>
      <c r="I450" s="33"/>
      <c r="J450" s="37" t="str">
        <f aca="true">IF(C450="","",IF(H450="","",IF(H450&lt;TODAY(),"Expired",IF(H450&lt;=TODAY()+60,"Expiring Soon","OK"))))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3"/>
      <c r="G451" s="35"/>
      <c r="H451" s="35"/>
      <c r="I451" s="33"/>
      <c r="J451" s="37" t="str">
        <f aca="true">IF(C451="","",IF(H451="","",IF(H451&lt;TODAY(),"Expired",IF(H451&lt;=TODAY()+60,"Expiring Soon","OK"))))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3"/>
      <c r="G452" s="35"/>
      <c r="H452" s="35"/>
      <c r="I452" s="33"/>
      <c r="J452" s="37" t="str">
        <f aca="true">IF(C452="","",IF(H452="","",IF(H452&lt;TODAY(),"Expired",IF(H452&lt;=TODAY()+60,"Expiring Soon","OK"))))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3"/>
      <c r="G453" s="35"/>
      <c r="H453" s="35"/>
      <c r="I453" s="33"/>
      <c r="J453" s="37" t="str">
        <f aca="true">IF(C453="","",IF(H453="","",IF(H453&lt;TODAY(),"Expired",IF(H453&lt;=TODAY()+60,"Expiring Soon","OK"))))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3"/>
      <c r="G454" s="35"/>
      <c r="H454" s="35"/>
      <c r="I454" s="33"/>
      <c r="J454" s="37" t="str">
        <f aca="true">IF(C454="","",IF(H454="","",IF(H454&lt;TODAY(),"Expired",IF(H454&lt;=TODAY()+60,"Expiring Soon","OK"))))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3"/>
      <c r="G455" s="35"/>
      <c r="H455" s="35"/>
      <c r="I455" s="33"/>
      <c r="J455" s="37" t="str">
        <f aca="true">IF(C455="","",IF(H455="","",IF(H455&lt;TODAY(),"Expired",IF(H455&lt;=TODAY()+60,"Expiring Soon","OK"))))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3"/>
      <c r="G456" s="35"/>
      <c r="H456" s="35"/>
      <c r="I456" s="33"/>
      <c r="J456" s="37" t="str">
        <f aca="true">IF(C456="","",IF(H456="","",IF(H456&lt;TODAY(),"Expired",IF(H456&lt;=TODAY()+60,"Expiring Soon","OK"))))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3"/>
      <c r="G457" s="35"/>
      <c r="H457" s="35"/>
      <c r="I457" s="33"/>
      <c r="J457" s="37" t="str">
        <f aca="true">IF(C457="","",IF(H457="","",IF(H457&lt;TODAY(),"Expired",IF(H457&lt;=TODAY()+60,"Expiring Soon","OK"))))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3"/>
      <c r="G458" s="35"/>
      <c r="H458" s="35"/>
      <c r="I458" s="33"/>
      <c r="J458" s="37" t="str">
        <f aca="true">IF(C458="","",IF(H458="","",IF(H458&lt;TODAY(),"Expired",IF(H458&lt;=TODAY()+60,"Expiring Soon","OK"))))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3"/>
      <c r="G459" s="35"/>
      <c r="H459" s="35"/>
      <c r="I459" s="33"/>
      <c r="J459" s="37" t="str">
        <f aca="true">IF(C459="","",IF(H459="","",IF(H459&lt;TODAY(),"Expired",IF(H459&lt;=TODAY()+60,"Expiring Soon","OK"))))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3"/>
      <c r="G460" s="35"/>
      <c r="H460" s="35"/>
      <c r="I460" s="33"/>
      <c r="J460" s="37" t="str">
        <f aca="true">IF(C460="","",IF(H460="","",IF(H460&lt;TODAY(),"Expired",IF(H460&lt;=TODAY()+60,"Expiring Soon","OK"))))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3"/>
      <c r="G461" s="35"/>
      <c r="H461" s="35"/>
      <c r="I461" s="33"/>
      <c r="J461" s="37" t="str">
        <f aca="true">IF(C461="","",IF(H461="","",IF(H461&lt;TODAY(),"Expired",IF(H461&lt;=TODAY()+60,"Expiring Soon","OK"))))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3"/>
      <c r="G462" s="35"/>
      <c r="H462" s="35"/>
      <c r="I462" s="33"/>
      <c r="J462" s="37" t="str">
        <f aca="true">IF(C462="","",IF(H462="","",IF(H462&lt;TODAY(),"Expired",IF(H462&lt;=TODAY()+60,"Expiring Soon","OK"))))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3"/>
      <c r="G463" s="35"/>
      <c r="H463" s="35"/>
      <c r="I463" s="33"/>
      <c r="J463" s="37" t="str">
        <f aca="true">IF(C463="","",IF(H463="","",IF(H463&lt;TODAY(),"Expired",IF(H463&lt;=TODAY()+60,"Expiring Soon","OK"))))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3"/>
      <c r="G464" s="35"/>
      <c r="H464" s="35"/>
      <c r="I464" s="33"/>
      <c r="J464" s="37" t="str">
        <f aca="true">IF(C464="","",IF(H464="","",IF(H464&lt;TODAY(),"Expired",IF(H464&lt;=TODAY()+60,"Expiring Soon","OK"))))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3"/>
      <c r="G465" s="35"/>
      <c r="H465" s="35"/>
      <c r="I465" s="33"/>
      <c r="J465" s="37" t="str">
        <f aca="true">IF(C465="","",IF(H465="","",IF(H465&lt;TODAY(),"Expired",IF(H465&lt;=TODAY()+60,"Expiring Soon","OK"))))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3"/>
      <c r="G466" s="35"/>
      <c r="H466" s="35"/>
      <c r="I466" s="33"/>
      <c r="J466" s="37" t="str">
        <f aca="true">IF(C466="","",IF(H466="","",IF(H466&lt;TODAY(),"Expired",IF(H466&lt;=TODAY()+60,"Expiring Soon","OK"))))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3"/>
      <c r="G467" s="35"/>
      <c r="H467" s="35"/>
      <c r="I467" s="33"/>
      <c r="J467" s="37" t="str">
        <f aca="true">IF(C467="","",IF(H467="","",IF(H467&lt;TODAY(),"Expired",IF(H467&lt;=TODAY()+60,"Expiring Soon","OK"))))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3"/>
      <c r="G468" s="35"/>
      <c r="H468" s="35"/>
      <c r="I468" s="33"/>
      <c r="J468" s="37" t="str">
        <f aca="true">IF(C468="","",IF(H468="","",IF(H468&lt;TODAY(),"Expired",IF(H468&lt;=TODAY()+60,"Expiring Soon","OK"))))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3"/>
      <c r="G469" s="35"/>
      <c r="H469" s="35"/>
      <c r="I469" s="33"/>
      <c r="J469" s="37" t="str">
        <f aca="true">IF(C469="","",IF(H469="","",IF(H469&lt;TODAY(),"Expired",IF(H469&lt;=TODAY()+60,"Expiring Soon","OK"))))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3"/>
      <c r="G470" s="35"/>
      <c r="H470" s="35"/>
      <c r="I470" s="33"/>
      <c r="J470" s="37" t="str">
        <f aca="true">IF(C470="","",IF(H470="","",IF(H470&lt;TODAY(),"Expired",IF(H470&lt;=TODAY()+60,"Expiring Soon","OK"))))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3"/>
      <c r="G471" s="35"/>
      <c r="H471" s="35"/>
      <c r="I471" s="33"/>
      <c r="J471" s="37" t="str">
        <f aca="true">IF(C471="","",IF(H471="","",IF(H471&lt;TODAY(),"Expired",IF(H471&lt;=TODAY()+60,"Expiring Soon","OK"))))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3"/>
      <c r="G472" s="35"/>
      <c r="H472" s="35"/>
      <c r="I472" s="33"/>
      <c r="J472" s="37" t="str">
        <f aca="true">IF(C472="","",IF(H472="","",IF(H472&lt;TODAY(),"Expired",IF(H472&lt;=TODAY()+60,"Expiring Soon","OK"))))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3"/>
      <c r="G473" s="35"/>
      <c r="H473" s="35"/>
      <c r="I473" s="33"/>
      <c r="J473" s="37" t="str">
        <f aca="true">IF(C473="","",IF(H473="","",IF(H473&lt;TODAY(),"Expired",IF(H473&lt;=TODAY()+60,"Expiring Soon","OK"))))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3"/>
      <c r="G474" s="35"/>
      <c r="H474" s="35"/>
      <c r="I474" s="33"/>
      <c r="J474" s="37" t="str">
        <f aca="true">IF(C474="","",IF(H474="","",IF(H474&lt;TODAY(),"Expired",IF(H474&lt;=TODAY()+60,"Expiring Soon","OK"))))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3"/>
      <c r="G475" s="35"/>
      <c r="H475" s="35"/>
      <c r="I475" s="33"/>
      <c r="J475" s="37" t="str">
        <f aca="true">IF(C475="","",IF(H475="","",IF(H475&lt;TODAY(),"Expired",IF(H475&lt;=TODAY()+60,"Expiring Soon","OK"))))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3"/>
      <c r="G476" s="35"/>
      <c r="H476" s="35"/>
      <c r="I476" s="33"/>
      <c r="J476" s="37" t="str">
        <f aca="true">IF(C476="","",IF(H476="","",IF(H476&lt;TODAY(),"Expired",IF(H476&lt;=TODAY()+60,"Expiring Soon","OK"))))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3"/>
      <c r="G477" s="35"/>
      <c r="H477" s="35"/>
      <c r="I477" s="33"/>
      <c r="J477" s="37" t="str">
        <f aca="true">IF(C477="","",IF(H477="","",IF(H477&lt;TODAY(),"Expired",IF(H477&lt;=TODAY()+60,"Expiring Soon","OK"))))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3"/>
      <c r="G478" s="35"/>
      <c r="H478" s="35"/>
      <c r="I478" s="33"/>
      <c r="J478" s="37" t="str">
        <f aca="true">IF(C478="","",IF(H478="","",IF(H478&lt;TODAY(),"Expired",IF(H478&lt;=TODAY()+60,"Expiring Soon","OK"))))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3"/>
      <c r="G479" s="35"/>
      <c r="H479" s="35"/>
      <c r="I479" s="33"/>
      <c r="J479" s="37" t="str">
        <f aca="true">IF(C479="","",IF(H479="","",IF(H479&lt;TODAY(),"Expired",IF(H479&lt;=TODAY()+60,"Expiring Soon","OK"))))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3"/>
      <c r="G480" s="35"/>
      <c r="H480" s="35"/>
      <c r="I480" s="33"/>
      <c r="J480" s="37" t="str">
        <f aca="true">IF(C480="","",IF(H480="","",IF(H480&lt;TODAY(),"Expired",IF(H480&lt;=TODAY()+60,"Expiring Soon","OK"))))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3"/>
      <c r="G481" s="35"/>
      <c r="H481" s="35"/>
      <c r="I481" s="33"/>
      <c r="J481" s="37" t="str">
        <f aca="true">IF(C481="","",IF(H481="","",IF(H481&lt;TODAY(),"Expired",IF(H481&lt;=TODAY()+60,"Expiring Soon","OK"))))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3"/>
      <c r="G482" s="35"/>
      <c r="H482" s="35"/>
      <c r="I482" s="33"/>
      <c r="J482" s="37" t="str">
        <f aca="true">IF(C482="","",IF(H482="","",IF(H482&lt;TODAY(),"Expired",IF(H482&lt;=TODAY()+60,"Expiring Soon","OK"))))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3"/>
      <c r="G483" s="35"/>
      <c r="H483" s="35"/>
      <c r="I483" s="33"/>
      <c r="J483" s="37" t="str">
        <f aca="true">IF(C483="","",IF(H483="","",IF(H483&lt;TODAY(),"Expired",IF(H483&lt;=TODAY()+60,"Expiring Soon","OK"))))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3"/>
      <c r="G484" s="35"/>
      <c r="H484" s="35"/>
      <c r="I484" s="33"/>
      <c r="J484" s="37" t="str">
        <f aca="true">IF(C484="","",IF(H484="","",IF(H484&lt;TODAY(),"Expired",IF(H484&lt;=TODAY()+60,"Expiring Soon","OK"))))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3"/>
      <c r="G485" s="35"/>
      <c r="H485" s="35"/>
      <c r="I485" s="33"/>
      <c r="J485" s="37" t="str">
        <f aca="true">IF(C485="","",IF(H485="","",IF(H485&lt;TODAY(),"Expired",IF(H485&lt;=TODAY()+60,"Expiring Soon","OK"))))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3"/>
      <c r="G486" s="35"/>
      <c r="H486" s="35"/>
      <c r="I486" s="33"/>
      <c r="J486" s="37" t="str">
        <f aca="true">IF(C486="","",IF(H486="","",IF(H486&lt;TODAY(),"Expired",IF(H486&lt;=TODAY()+60,"Expiring Soon","OK"))))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3"/>
      <c r="G487" s="35"/>
      <c r="H487" s="35"/>
      <c r="I487" s="33"/>
      <c r="J487" s="37" t="str">
        <f aca="true">IF(C487="","",IF(H487="","",IF(H487&lt;TODAY(),"Expired",IF(H487&lt;=TODAY()+60,"Expiring Soon","OK"))))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3"/>
      <c r="G488" s="35"/>
      <c r="H488" s="35"/>
      <c r="I488" s="33"/>
      <c r="J488" s="37" t="str">
        <f aca="true">IF(C488="","",IF(H488="","",IF(H488&lt;TODAY(),"Expired",IF(H488&lt;=TODAY()+60,"Expiring Soon","OK"))))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3"/>
      <c r="G489" s="35"/>
      <c r="H489" s="35"/>
      <c r="I489" s="33"/>
      <c r="J489" s="37" t="str">
        <f aca="true">IF(C489="","",IF(H489="","",IF(H489&lt;TODAY(),"Expired",IF(H489&lt;=TODAY()+60,"Expiring Soon","OK"))))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3"/>
      <c r="G490" s="35"/>
      <c r="H490" s="35"/>
      <c r="I490" s="33"/>
      <c r="J490" s="37" t="str">
        <f aca="true">IF(C490="","",IF(H490="","",IF(H490&lt;TODAY(),"Expired",IF(H490&lt;=TODAY()+60,"Expiring Soon","OK"))))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3"/>
      <c r="G491" s="35"/>
      <c r="H491" s="35"/>
      <c r="I491" s="33"/>
      <c r="J491" s="37" t="str">
        <f aca="true">IF(C491="","",IF(H491="","",IF(H491&lt;TODAY(),"Expired",IF(H491&lt;=TODAY()+60,"Expiring Soon","OK"))))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3"/>
      <c r="G492" s="35"/>
      <c r="H492" s="35"/>
      <c r="I492" s="33"/>
      <c r="J492" s="37" t="str">
        <f aca="true">IF(C492="","",IF(H492="","",IF(H492&lt;TODAY(),"Expired",IF(H492&lt;=TODAY()+60,"Expiring Soon","OK"))))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3"/>
      <c r="G493" s="35"/>
      <c r="H493" s="35"/>
      <c r="I493" s="33"/>
      <c r="J493" s="37" t="str">
        <f aca="true">IF(C493="","",IF(H493="","",IF(H493&lt;TODAY(),"Expired",IF(H493&lt;=TODAY()+60,"Expiring Soon","OK"))))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3"/>
      <c r="G494" s="35"/>
      <c r="H494" s="35"/>
      <c r="I494" s="33"/>
      <c r="J494" s="37" t="str">
        <f aca="true">IF(C494="","",IF(H494="","",IF(H494&lt;TODAY(),"Expired",IF(H494&lt;=TODAY()+60,"Expiring Soon","OK"))))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3"/>
      <c r="G495" s="35"/>
      <c r="H495" s="35"/>
      <c r="I495" s="33"/>
      <c r="J495" s="37" t="str">
        <f aca="true">IF(C495="","",IF(H495="","",IF(H495&lt;TODAY(),"Expired",IF(H495&lt;=TODAY()+60,"Expiring Soon","OK"))))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3"/>
      <c r="G496" s="35"/>
      <c r="H496" s="35"/>
      <c r="I496" s="33"/>
      <c r="J496" s="37" t="str">
        <f aca="true">IF(C496="","",IF(H496="","",IF(H496&lt;TODAY(),"Expired",IF(H496&lt;=TODAY()+60,"Expiring Soon","OK"))))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3"/>
      <c r="G497" s="35"/>
      <c r="H497" s="35"/>
      <c r="I497" s="33"/>
      <c r="J497" s="37" t="str">
        <f aca="true">IF(C497="","",IF(H497="","",IF(H497&lt;TODAY(),"Expired",IF(H497&lt;=TODAY()+60,"Expiring Soon","OK"))))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3"/>
      <c r="G498" s="35"/>
      <c r="H498" s="35"/>
      <c r="I498" s="33"/>
      <c r="J498" s="37" t="str">
        <f aca="true">IF(C498="","",IF(H498="","",IF(H498&lt;TODAY(),"Expired",IF(H498&lt;=TODAY()+60,"Expiring Soon","OK"))))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3"/>
      <c r="G499" s="35"/>
      <c r="H499" s="35"/>
      <c r="I499" s="33"/>
      <c r="J499" s="37" t="str">
        <f aca="true">IF(C499="","",IF(H499="","",IF(H499&lt;TODAY(),"Expired",IF(H499&lt;=TODAY()+60,"Expiring Soon","OK"))))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3"/>
      <c r="G500" s="35"/>
      <c r="H500" s="35"/>
      <c r="I500" s="33"/>
      <c r="J500" s="37" t="str">
        <f aca="true">IF(C500="","",IF(H500="","",IF(H500&lt;TODAY(),"Expired",IF(H500&lt;=TODAY()+60,"Expiring Soon","OK"))))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3"/>
      <c r="G501" s="35"/>
      <c r="H501" s="35"/>
      <c r="I501" s="33"/>
      <c r="J501" s="37" t="str">
        <f aca="true">IF(C501="","",IF(H501="","",IF(H501&lt;TODAY(),"Expired",IF(H501&lt;=TODAY()+60,"Expiring Soon","OK"))))</f>
        <v/>
      </c>
    </row>
  </sheetData>
  <autoFilter ref="A1:J501"/>
  <conditionalFormatting sqref="J2:J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lst_IWType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7" t="s">
        <v>110</v>
      </c>
      <c r="B1" s="17" t="s">
        <v>308</v>
      </c>
      <c r="C1" s="17" t="s">
        <v>309</v>
      </c>
      <c r="D1" s="17" t="s">
        <v>310</v>
      </c>
      <c r="E1" s="17" t="s">
        <v>311</v>
      </c>
      <c r="F1" s="17" t="s">
        <v>312</v>
      </c>
      <c r="G1" s="17" t="s">
        <v>235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3"/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3"/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3"/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3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3"/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3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3"/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3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3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3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3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3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3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3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3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3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3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3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3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3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3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3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3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3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3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3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3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3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3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3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3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3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3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3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3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3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3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3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3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3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3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3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3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3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3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3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3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3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3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3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3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3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3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3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3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3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3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3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3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3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3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3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3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3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3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3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3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3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3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3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3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3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3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3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3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3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3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3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3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3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3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3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3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3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3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3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3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3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3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3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3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3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3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3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3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3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3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3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3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3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3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3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3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3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3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3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3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3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3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3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3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3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3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3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3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3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3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3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3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3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3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3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3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3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3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3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3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3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3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3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3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3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3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3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3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3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3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3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3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3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3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3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3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3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3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3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3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3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3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3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3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3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3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3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3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3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3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3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3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3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3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3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3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3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3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3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3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3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3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3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3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3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3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3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3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3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3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3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3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3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3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3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3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3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3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3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3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3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3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3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3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3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3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3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3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3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3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3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3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3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3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3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3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3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3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3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3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3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3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3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3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3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3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3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3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3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3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3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3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3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3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3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3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3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3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3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3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3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3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3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3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3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3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3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3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3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3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3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3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3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3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3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3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3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3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3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3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3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3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3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3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3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3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3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3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3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3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3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3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3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3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3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3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3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3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3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3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3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3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3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3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3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3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3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3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3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3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3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3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3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3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3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3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3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3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3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3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3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3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3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3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3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3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3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3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3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3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3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3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3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3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3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3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3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3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3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3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3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3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3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3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3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3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3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3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3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3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3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3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3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3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3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3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3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3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3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3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3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3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3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3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3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3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3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3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3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3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3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3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3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3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3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3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3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3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3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3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3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3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3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3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3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3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3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3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3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3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3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3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3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3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3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3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3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3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3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3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3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3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3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3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3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3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3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3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3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3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3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3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3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3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3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3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3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3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3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3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3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3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3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3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3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3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3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3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3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3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3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3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3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3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3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3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3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3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3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3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3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3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3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3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3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3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3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3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3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3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3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3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3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3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3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3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3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3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3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3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3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3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3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3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3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3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3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3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3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3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3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3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3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3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3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3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3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3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3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3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3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3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3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3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3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3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3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3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3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3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3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3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3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3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3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3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3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3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3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3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3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3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3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3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3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3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3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3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3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3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3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3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3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3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3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3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3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3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3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3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3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3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3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3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3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3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3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3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3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3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3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3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3"/>
    </row>
  </sheetData>
  <autoFilter ref="A1:G501"/>
  <dataValidations count="1"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7" t="s">
        <v>110</v>
      </c>
      <c r="B1" s="17" t="s">
        <v>193</v>
      </c>
      <c r="C1" s="17" t="s">
        <v>313</v>
      </c>
      <c r="D1" s="17" t="s">
        <v>314</v>
      </c>
      <c r="E1" s="17" t="s">
        <v>168</v>
      </c>
      <c r="F1" s="17" t="s">
        <v>315</v>
      </c>
      <c r="G1" s="17" t="s">
        <v>316</v>
      </c>
      <c r="H1" s="17" t="s">
        <v>317</v>
      </c>
      <c r="I1" s="17" t="s">
        <v>235</v>
      </c>
      <c r="J1" s="17" t="s">
        <v>318</v>
      </c>
    </row>
    <row r="2" customFormat="false" ht="15" hidden="false" customHeight="false" outlineLevel="0" collapsed="false">
      <c r="A2" s="32"/>
      <c r="B2" s="32"/>
      <c r="C2" s="35"/>
      <c r="D2" s="32"/>
      <c r="E2" s="32"/>
      <c r="F2" s="33"/>
      <c r="G2" s="33"/>
      <c r="H2" s="35"/>
      <c r="I2" s="33"/>
      <c r="J2" s="32"/>
    </row>
    <row r="3" customFormat="false" ht="15" hidden="false" customHeight="false" outlineLevel="0" collapsed="false">
      <c r="A3" s="32"/>
      <c r="B3" s="32"/>
      <c r="C3" s="35"/>
      <c r="D3" s="32"/>
      <c r="E3" s="32"/>
      <c r="F3" s="33"/>
      <c r="G3" s="33"/>
      <c r="H3" s="35"/>
      <c r="I3" s="33"/>
      <c r="J3" s="32"/>
    </row>
    <row r="4" customFormat="false" ht="15" hidden="false" customHeight="false" outlineLevel="0" collapsed="false">
      <c r="A4" s="32"/>
      <c r="B4" s="32"/>
      <c r="C4" s="35"/>
      <c r="D4" s="32"/>
      <c r="E4" s="32"/>
      <c r="F4" s="33"/>
      <c r="G4" s="33"/>
      <c r="H4" s="35"/>
      <c r="I4" s="33"/>
      <c r="J4" s="32"/>
    </row>
    <row r="5" customFormat="false" ht="15" hidden="false" customHeight="false" outlineLevel="0" collapsed="false">
      <c r="A5" s="32"/>
      <c r="B5" s="32"/>
      <c r="C5" s="35"/>
      <c r="D5" s="32"/>
      <c r="E5" s="32"/>
      <c r="F5" s="33"/>
      <c r="G5" s="33"/>
      <c r="H5" s="35"/>
      <c r="I5" s="33"/>
      <c r="J5" s="32"/>
    </row>
    <row r="6" customFormat="false" ht="15" hidden="false" customHeight="false" outlineLevel="0" collapsed="false">
      <c r="A6" s="32"/>
      <c r="B6" s="32"/>
      <c r="C6" s="35"/>
      <c r="D6" s="32"/>
      <c r="E6" s="32"/>
      <c r="F6" s="33"/>
      <c r="G6" s="33"/>
      <c r="H6" s="35"/>
      <c r="I6" s="33"/>
      <c r="J6" s="32"/>
    </row>
    <row r="7" customFormat="false" ht="15" hidden="false" customHeight="false" outlineLevel="0" collapsed="false">
      <c r="A7" s="32"/>
      <c r="B7" s="32"/>
      <c r="C7" s="35"/>
      <c r="D7" s="32"/>
      <c r="E7" s="32"/>
      <c r="F7" s="33"/>
      <c r="G7" s="33"/>
      <c r="H7" s="35"/>
      <c r="I7" s="33"/>
      <c r="J7" s="32"/>
    </row>
    <row r="8" customFormat="false" ht="15" hidden="false" customHeight="false" outlineLevel="0" collapsed="false">
      <c r="A8" s="32"/>
      <c r="B8" s="32"/>
      <c r="C8" s="35"/>
      <c r="D8" s="32"/>
      <c r="E8" s="32"/>
      <c r="F8" s="33"/>
      <c r="G8" s="33"/>
      <c r="H8" s="35"/>
      <c r="I8" s="33"/>
      <c r="J8" s="32"/>
    </row>
    <row r="9" customFormat="false" ht="15" hidden="false" customHeight="false" outlineLevel="0" collapsed="false">
      <c r="A9" s="32"/>
      <c r="B9" s="32"/>
      <c r="C9" s="35"/>
      <c r="D9" s="32"/>
      <c r="E9" s="32"/>
      <c r="F9" s="33"/>
      <c r="G9" s="33"/>
      <c r="H9" s="35"/>
      <c r="I9" s="33"/>
      <c r="J9" s="32"/>
    </row>
    <row r="10" customFormat="false" ht="15" hidden="false" customHeight="false" outlineLevel="0" collapsed="false">
      <c r="A10" s="32"/>
      <c r="B10" s="32"/>
      <c r="C10" s="35"/>
      <c r="D10" s="32"/>
      <c r="E10" s="32"/>
      <c r="F10" s="33"/>
      <c r="G10" s="33"/>
      <c r="H10" s="35"/>
      <c r="I10" s="33"/>
      <c r="J10" s="32"/>
    </row>
    <row r="11" customFormat="false" ht="15" hidden="false" customHeight="false" outlineLevel="0" collapsed="false">
      <c r="A11" s="32"/>
      <c r="B11" s="32"/>
      <c r="C11" s="35"/>
      <c r="D11" s="32"/>
      <c r="E11" s="32"/>
      <c r="F11" s="33"/>
      <c r="G11" s="33"/>
      <c r="H11" s="35"/>
      <c r="I11" s="33"/>
      <c r="J11" s="32"/>
    </row>
    <row r="12" customFormat="false" ht="15" hidden="false" customHeight="false" outlineLevel="0" collapsed="false">
      <c r="A12" s="32"/>
      <c r="B12" s="32"/>
      <c r="C12" s="35"/>
      <c r="D12" s="32"/>
      <c r="E12" s="32"/>
      <c r="F12" s="33"/>
      <c r="G12" s="33"/>
      <c r="H12" s="35"/>
      <c r="I12" s="33"/>
      <c r="J12" s="32"/>
    </row>
    <row r="13" customFormat="false" ht="15" hidden="false" customHeight="false" outlineLevel="0" collapsed="false">
      <c r="A13" s="32"/>
      <c r="B13" s="32"/>
      <c r="C13" s="35"/>
      <c r="D13" s="32"/>
      <c r="E13" s="32"/>
      <c r="F13" s="33"/>
      <c r="G13" s="33"/>
      <c r="H13" s="35"/>
      <c r="I13" s="33"/>
      <c r="J13" s="32"/>
    </row>
    <row r="14" customFormat="false" ht="15" hidden="false" customHeight="false" outlineLevel="0" collapsed="false">
      <c r="A14" s="32"/>
      <c r="B14" s="32"/>
      <c r="C14" s="35"/>
      <c r="D14" s="32"/>
      <c r="E14" s="32"/>
      <c r="F14" s="33"/>
      <c r="G14" s="33"/>
      <c r="H14" s="35"/>
      <c r="I14" s="33"/>
      <c r="J14" s="32"/>
    </row>
    <row r="15" customFormat="false" ht="15" hidden="false" customHeight="false" outlineLevel="0" collapsed="false">
      <c r="A15" s="32"/>
      <c r="B15" s="32"/>
      <c r="C15" s="35"/>
      <c r="D15" s="32"/>
      <c r="E15" s="32"/>
      <c r="F15" s="33"/>
      <c r="G15" s="33"/>
      <c r="H15" s="35"/>
      <c r="I15" s="33"/>
      <c r="J15" s="32"/>
    </row>
    <row r="16" customFormat="false" ht="15" hidden="false" customHeight="false" outlineLevel="0" collapsed="false">
      <c r="A16" s="32"/>
      <c r="B16" s="32"/>
      <c r="C16" s="35"/>
      <c r="D16" s="32"/>
      <c r="E16" s="32"/>
      <c r="F16" s="33"/>
      <c r="G16" s="33"/>
      <c r="H16" s="35"/>
      <c r="I16" s="33"/>
      <c r="J16" s="32"/>
    </row>
    <row r="17" customFormat="false" ht="15" hidden="false" customHeight="false" outlineLevel="0" collapsed="false">
      <c r="A17" s="32"/>
      <c r="B17" s="32"/>
      <c r="C17" s="35"/>
      <c r="D17" s="32"/>
      <c r="E17" s="32"/>
      <c r="F17" s="33"/>
      <c r="G17" s="33"/>
      <c r="H17" s="35"/>
      <c r="I17" s="33"/>
      <c r="J17" s="32"/>
    </row>
    <row r="18" customFormat="false" ht="15" hidden="false" customHeight="false" outlineLevel="0" collapsed="false">
      <c r="A18" s="32"/>
      <c r="B18" s="32"/>
      <c r="C18" s="35"/>
      <c r="D18" s="32"/>
      <c r="E18" s="32"/>
      <c r="F18" s="33"/>
      <c r="G18" s="33"/>
      <c r="H18" s="35"/>
      <c r="I18" s="33"/>
      <c r="J18" s="32"/>
    </row>
    <row r="19" customFormat="false" ht="15" hidden="false" customHeight="false" outlineLevel="0" collapsed="false">
      <c r="A19" s="32"/>
      <c r="B19" s="32"/>
      <c r="C19" s="35"/>
      <c r="D19" s="32"/>
      <c r="E19" s="32"/>
      <c r="F19" s="33"/>
      <c r="G19" s="33"/>
      <c r="H19" s="35"/>
      <c r="I19" s="33"/>
      <c r="J19" s="32"/>
    </row>
    <row r="20" customFormat="false" ht="15" hidden="false" customHeight="false" outlineLevel="0" collapsed="false">
      <c r="A20" s="32"/>
      <c r="B20" s="32"/>
      <c r="C20" s="35"/>
      <c r="D20" s="32"/>
      <c r="E20" s="32"/>
      <c r="F20" s="33"/>
      <c r="G20" s="33"/>
      <c r="H20" s="35"/>
      <c r="I20" s="33"/>
      <c r="J20" s="32"/>
    </row>
    <row r="21" customFormat="false" ht="15" hidden="false" customHeight="false" outlineLevel="0" collapsed="false">
      <c r="A21" s="32"/>
      <c r="B21" s="32"/>
      <c r="C21" s="35"/>
      <c r="D21" s="32"/>
      <c r="E21" s="32"/>
      <c r="F21" s="33"/>
      <c r="G21" s="33"/>
      <c r="H21" s="35"/>
      <c r="I21" s="33"/>
      <c r="J21" s="32"/>
    </row>
    <row r="22" customFormat="false" ht="15" hidden="false" customHeight="false" outlineLevel="0" collapsed="false">
      <c r="A22" s="32"/>
      <c r="B22" s="32"/>
      <c r="C22" s="35"/>
      <c r="D22" s="32"/>
      <c r="E22" s="32"/>
      <c r="F22" s="33"/>
      <c r="G22" s="33"/>
      <c r="H22" s="35"/>
      <c r="I22" s="33"/>
      <c r="J22" s="32"/>
    </row>
    <row r="23" customFormat="false" ht="15" hidden="false" customHeight="false" outlineLevel="0" collapsed="false">
      <c r="A23" s="32"/>
      <c r="B23" s="32"/>
      <c r="C23" s="35"/>
      <c r="D23" s="32"/>
      <c r="E23" s="32"/>
      <c r="F23" s="33"/>
      <c r="G23" s="33"/>
      <c r="H23" s="35"/>
      <c r="I23" s="33"/>
      <c r="J23" s="32"/>
    </row>
    <row r="24" customFormat="false" ht="15" hidden="false" customHeight="false" outlineLevel="0" collapsed="false">
      <c r="A24" s="32"/>
      <c r="B24" s="32"/>
      <c r="C24" s="35"/>
      <c r="D24" s="32"/>
      <c r="E24" s="32"/>
      <c r="F24" s="33"/>
      <c r="G24" s="33"/>
      <c r="H24" s="35"/>
      <c r="I24" s="33"/>
      <c r="J24" s="32"/>
    </row>
    <row r="25" customFormat="false" ht="15" hidden="false" customHeight="false" outlineLevel="0" collapsed="false">
      <c r="A25" s="32"/>
      <c r="B25" s="32"/>
      <c r="C25" s="35"/>
      <c r="D25" s="32"/>
      <c r="E25" s="32"/>
      <c r="F25" s="33"/>
      <c r="G25" s="33"/>
      <c r="H25" s="35"/>
      <c r="I25" s="33"/>
      <c r="J25" s="32"/>
    </row>
    <row r="26" customFormat="false" ht="15" hidden="false" customHeight="false" outlineLevel="0" collapsed="false">
      <c r="A26" s="32"/>
      <c r="B26" s="32"/>
      <c r="C26" s="35"/>
      <c r="D26" s="32"/>
      <c r="E26" s="32"/>
      <c r="F26" s="33"/>
      <c r="G26" s="33"/>
      <c r="H26" s="35"/>
      <c r="I26" s="33"/>
      <c r="J26" s="32"/>
    </row>
    <row r="27" customFormat="false" ht="15" hidden="false" customHeight="false" outlineLevel="0" collapsed="false">
      <c r="A27" s="32"/>
      <c r="B27" s="32"/>
      <c r="C27" s="35"/>
      <c r="D27" s="32"/>
      <c r="E27" s="32"/>
      <c r="F27" s="33"/>
      <c r="G27" s="33"/>
      <c r="H27" s="35"/>
      <c r="I27" s="33"/>
      <c r="J27" s="32"/>
    </row>
    <row r="28" customFormat="false" ht="15" hidden="false" customHeight="false" outlineLevel="0" collapsed="false">
      <c r="A28" s="32"/>
      <c r="B28" s="32"/>
      <c r="C28" s="35"/>
      <c r="D28" s="32"/>
      <c r="E28" s="32"/>
      <c r="F28" s="33"/>
      <c r="G28" s="33"/>
      <c r="H28" s="35"/>
      <c r="I28" s="33"/>
      <c r="J28" s="32"/>
    </row>
    <row r="29" customFormat="false" ht="15" hidden="false" customHeight="false" outlineLevel="0" collapsed="false">
      <c r="A29" s="32"/>
      <c r="B29" s="32"/>
      <c r="C29" s="35"/>
      <c r="D29" s="32"/>
      <c r="E29" s="32"/>
      <c r="F29" s="33"/>
      <c r="G29" s="33"/>
      <c r="H29" s="35"/>
      <c r="I29" s="33"/>
      <c r="J29" s="32"/>
    </row>
    <row r="30" customFormat="false" ht="15" hidden="false" customHeight="false" outlineLevel="0" collapsed="false">
      <c r="A30" s="32"/>
      <c r="B30" s="32"/>
      <c r="C30" s="35"/>
      <c r="D30" s="32"/>
      <c r="E30" s="32"/>
      <c r="F30" s="33"/>
      <c r="G30" s="33"/>
      <c r="H30" s="35"/>
      <c r="I30" s="33"/>
      <c r="J30" s="32"/>
    </row>
    <row r="31" customFormat="false" ht="15" hidden="false" customHeight="false" outlineLevel="0" collapsed="false">
      <c r="A31" s="32"/>
      <c r="B31" s="32"/>
      <c r="C31" s="35"/>
      <c r="D31" s="32"/>
      <c r="E31" s="32"/>
      <c r="F31" s="33"/>
      <c r="G31" s="33"/>
      <c r="H31" s="35"/>
      <c r="I31" s="33"/>
      <c r="J31" s="32"/>
    </row>
    <row r="32" customFormat="false" ht="15" hidden="false" customHeight="false" outlineLevel="0" collapsed="false">
      <c r="A32" s="32"/>
      <c r="B32" s="32"/>
      <c r="C32" s="35"/>
      <c r="D32" s="32"/>
      <c r="E32" s="32"/>
      <c r="F32" s="33"/>
      <c r="G32" s="33"/>
      <c r="H32" s="35"/>
      <c r="I32" s="33"/>
      <c r="J32" s="32"/>
    </row>
    <row r="33" customFormat="false" ht="15" hidden="false" customHeight="false" outlineLevel="0" collapsed="false">
      <c r="A33" s="32"/>
      <c r="B33" s="32"/>
      <c r="C33" s="35"/>
      <c r="D33" s="32"/>
      <c r="E33" s="32"/>
      <c r="F33" s="33"/>
      <c r="G33" s="33"/>
      <c r="H33" s="35"/>
      <c r="I33" s="33"/>
      <c r="J33" s="32"/>
    </row>
    <row r="34" customFormat="false" ht="15" hidden="false" customHeight="false" outlineLevel="0" collapsed="false">
      <c r="A34" s="32"/>
      <c r="B34" s="32"/>
      <c r="C34" s="35"/>
      <c r="D34" s="32"/>
      <c r="E34" s="32"/>
      <c r="F34" s="33"/>
      <c r="G34" s="33"/>
      <c r="H34" s="35"/>
      <c r="I34" s="33"/>
      <c r="J34" s="32"/>
    </row>
    <row r="35" customFormat="false" ht="15" hidden="false" customHeight="false" outlineLevel="0" collapsed="false">
      <c r="A35" s="32"/>
      <c r="B35" s="32"/>
      <c r="C35" s="35"/>
      <c r="D35" s="32"/>
      <c r="E35" s="32"/>
      <c r="F35" s="33"/>
      <c r="G35" s="33"/>
      <c r="H35" s="35"/>
      <c r="I35" s="33"/>
      <c r="J35" s="32"/>
    </row>
    <row r="36" customFormat="false" ht="15" hidden="false" customHeight="false" outlineLevel="0" collapsed="false">
      <c r="A36" s="32"/>
      <c r="B36" s="32"/>
      <c r="C36" s="35"/>
      <c r="D36" s="32"/>
      <c r="E36" s="32"/>
      <c r="F36" s="33"/>
      <c r="G36" s="33"/>
      <c r="H36" s="35"/>
      <c r="I36" s="33"/>
      <c r="J36" s="32"/>
    </row>
    <row r="37" customFormat="false" ht="15" hidden="false" customHeight="false" outlineLevel="0" collapsed="false">
      <c r="A37" s="32"/>
      <c r="B37" s="32"/>
      <c r="C37" s="35"/>
      <c r="D37" s="32"/>
      <c r="E37" s="32"/>
      <c r="F37" s="33"/>
      <c r="G37" s="33"/>
      <c r="H37" s="35"/>
      <c r="I37" s="33"/>
      <c r="J37" s="32"/>
    </row>
    <row r="38" customFormat="false" ht="15" hidden="false" customHeight="false" outlineLevel="0" collapsed="false">
      <c r="A38" s="32"/>
      <c r="B38" s="32"/>
      <c r="C38" s="35"/>
      <c r="D38" s="32"/>
      <c r="E38" s="32"/>
      <c r="F38" s="33"/>
      <c r="G38" s="33"/>
      <c r="H38" s="35"/>
      <c r="I38" s="33"/>
      <c r="J38" s="32"/>
    </row>
    <row r="39" customFormat="false" ht="15" hidden="false" customHeight="false" outlineLevel="0" collapsed="false">
      <c r="A39" s="32"/>
      <c r="B39" s="32"/>
      <c r="C39" s="35"/>
      <c r="D39" s="32"/>
      <c r="E39" s="32"/>
      <c r="F39" s="33"/>
      <c r="G39" s="33"/>
      <c r="H39" s="35"/>
      <c r="I39" s="33"/>
      <c r="J39" s="32"/>
    </row>
    <row r="40" customFormat="false" ht="15" hidden="false" customHeight="false" outlineLevel="0" collapsed="false">
      <c r="A40" s="32"/>
      <c r="B40" s="32"/>
      <c r="C40" s="35"/>
      <c r="D40" s="32"/>
      <c r="E40" s="32"/>
      <c r="F40" s="33"/>
      <c r="G40" s="33"/>
      <c r="H40" s="35"/>
      <c r="I40" s="33"/>
      <c r="J40" s="32"/>
    </row>
    <row r="41" customFormat="false" ht="15" hidden="false" customHeight="false" outlineLevel="0" collapsed="false">
      <c r="A41" s="32"/>
      <c r="B41" s="32"/>
      <c r="C41" s="35"/>
      <c r="D41" s="32"/>
      <c r="E41" s="32"/>
      <c r="F41" s="33"/>
      <c r="G41" s="33"/>
      <c r="H41" s="35"/>
      <c r="I41" s="33"/>
      <c r="J41" s="32"/>
    </row>
    <row r="42" customFormat="false" ht="15" hidden="false" customHeight="false" outlineLevel="0" collapsed="false">
      <c r="A42" s="32"/>
      <c r="B42" s="32"/>
      <c r="C42" s="35"/>
      <c r="D42" s="32"/>
      <c r="E42" s="32"/>
      <c r="F42" s="33"/>
      <c r="G42" s="33"/>
      <c r="H42" s="35"/>
      <c r="I42" s="33"/>
      <c r="J42" s="32"/>
    </row>
    <row r="43" customFormat="false" ht="15" hidden="false" customHeight="false" outlineLevel="0" collapsed="false">
      <c r="A43" s="32"/>
      <c r="B43" s="32"/>
      <c r="C43" s="35"/>
      <c r="D43" s="32"/>
      <c r="E43" s="32"/>
      <c r="F43" s="33"/>
      <c r="G43" s="33"/>
      <c r="H43" s="35"/>
      <c r="I43" s="33"/>
      <c r="J43" s="32"/>
    </row>
    <row r="44" customFormat="false" ht="15" hidden="false" customHeight="false" outlineLevel="0" collapsed="false">
      <c r="A44" s="32"/>
      <c r="B44" s="32"/>
      <c r="C44" s="35"/>
      <c r="D44" s="32"/>
      <c r="E44" s="32"/>
      <c r="F44" s="33"/>
      <c r="G44" s="33"/>
      <c r="H44" s="35"/>
      <c r="I44" s="33"/>
      <c r="J44" s="32"/>
    </row>
    <row r="45" customFormat="false" ht="15" hidden="false" customHeight="false" outlineLevel="0" collapsed="false">
      <c r="A45" s="32"/>
      <c r="B45" s="32"/>
      <c r="C45" s="35"/>
      <c r="D45" s="32"/>
      <c r="E45" s="32"/>
      <c r="F45" s="33"/>
      <c r="G45" s="33"/>
      <c r="H45" s="35"/>
      <c r="I45" s="33"/>
      <c r="J45" s="32"/>
    </row>
    <row r="46" customFormat="false" ht="15" hidden="false" customHeight="false" outlineLevel="0" collapsed="false">
      <c r="A46" s="32"/>
      <c r="B46" s="32"/>
      <c r="C46" s="35"/>
      <c r="D46" s="32"/>
      <c r="E46" s="32"/>
      <c r="F46" s="33"/>
      <c r="G46" s="33"/>
      <c r="H46" s="35"/>
      <c r="I46" s="33"/>
      <c r="J46" s="32"/>
    </row>
    <row r="47" customFormat="false" ht="15" hidden="false" customHeight="false" outlineLevel="0" collapsed="false">
      <c r="A47" s="32"/>
      <c r="B47" s="32"/>
      <c r="C47" s="35"/>
      <c r="D47" s="32"/>
      <c r="E47" s="32"/>
      <c r="F47" s="33"/>
      <c r="G47" s="33"/>
      <c r="H47" s="35"/>
      <c r="I47" s="33"/>
      <c r="J47" s="32"/>
    </row>
    <row r="48" customFormat="false" ht="15" hidden="false" customHeight="false" outlineLevel="0" collapsed="false">
      <c r="A48" s="32"/>
      <c r="B48" s="32"/>
      <c r="C48" s="35"/>
      <c r="D48" s="32"/>
      <c r="E48" s="32"/>
      <c r="F48" s="33"/>
      <c r="G48" s="33"/>
      <c r="H48" s="35"/>
      <c r="I48" s="33"/>
      <c r="J48" s="32"/>
    </row>
    <row r="49" customFormat="false" ht="15" hidden="false" customHeight="false" outlineLevel="0" collapsed="false">
      <c r="A49" s="32"/>
      <c r="B49" s="32"/>
      <c r="C49" s="35"/>
      <c r="D49" s="32"/>
      <c r="E49" s="32"/>
      <c r="F49" s="33"/>
      <c r="G49" s="33"/>
      <c r="H49" s="35"/>
      <c r="I49" s="33"/>
      <c r="J49" s="32"/>
    </row>
    <row r="50" customFormat="false" ht="15" hidden="false" customHeight="false" outlineLevel="0" collapsed="false">
      <c r="A50" s="32"/>
      <c r="B50" s="32"/>
      <c r="C50" s="35"/>
      <c r="D50" s="32"/>
      <c r="E50" s="32"/>
      <c r="F50" s="33"/>
      <c r="G50" s="33"/>
      <c r="H50" s="35"/>
      <c r="I50" s="33"/>
      <c r="J50" s="32"/>
    </row>
    <row r="51" customFormat="false" ht="15" hidden="false" customHeight="false" outlineLevel="0" collapsed="false">
      <c r="A51" s="32"/>
      <c r="B51" s="32"/>
      <c r="C51" s="35"/>
      <c r="D51" s="32"/>
      <c r="E51" s="32"/>
      <c r="F51" s="33"/>
      <c r="G51" s="33"/>
      <c r="H51" s="35"/>
      <c r="I51" s="33"/>
      <c r="J51" s="32"/>
    </row>
    <row r="52" customFormat="false" ht="15" hidden="false" customHeight="false" outlineLevel="0" collapsed="false">
      <c r="A52" s="32"/>
      <c r="B52" s="32"/>
      <c r="C52" s="35"/>
      <c r="D52" s="32"/>
      <c r="E52" s="32"/>
      <c r="F52" s="33"/>
      <c r="G52" s="33"/>
      <c r="H52" s="35"/>
      <c r="I52" s="33"/>
      <c r="J52" s="32"/>
    </row>
    <row r="53" customFormat="false" ht="15" hidden="false" customHeight="false" outlineLevel="0" collapsed="false">
      <c r="A53" s="32"/>
      <c r="B53" s="32"/>
      <c r="C53" s="35"/>
      <c r="D53" s="32"/>
      <c r="E53" s="32"/>
      <c r="F53" s="33"/>
      <c r="G53" s="33"/>
      <c r="H53" s="35"/>
      <c r="I53" s="33"/>
      <c r="J53" s="32"/>
    </row>
    <row r="54" customFormat="false" ht="15" hidden="false" customHeight="false" outlineLevel="0" collapsed="false">
      <c r="A54" s="32"/>
      <c r="B54" s="32"/>
      <c r="C54" s="35"/>
      <c r="D54" s="32"/>
      <c r="E54" s="32"/>
      <c r="F54" s="33"/>
      <c r="G54" s="33"/>
      <c r="H54" s="35"/>
      <c r="I54" s="33"/>
      <c r="J54" s="32"/>
    </row>
    <row r="55" customFormat="false" ht="15" hidden="false" customHeight="false" outlineLevel="0" collapsed="false">
      <c r="A55" s="32"/>
      <c r="B55" s="32"/>
      <c r="C55" s="35"/>
      <c r="D55" s="32"/>
      <c r="E55" s="32"/>
      <c r="F55" s="33"/>
      <c r="G55" s="33"/>
      <c r="H55" s="35"/>
      <c r="I55" s="33"/>
      <c r="J55" s="32"/>
    </row>
    <row r="56" customFormat="false" ht="15" hidden="false" customHeight="false" outlineLevel="0" collapsed="false">
      <c r="A56" s="32"/>
      <c r="B56" s="32"/>
      <c r="C56" s="35"/>
      <c r="D56" s="32"/>
      <c r="E56" s="32"/>
      <c r="F56" s="33"/>
      <c r="G56" s="33"/>
      <c r="H56" s="35"/>
      <c r="I56" s="33"/>
      <c r="J56" s="32"/>
    </row>
    <row r="57" customFormat="false" ht="15" hidden="false" customHeight="false" outlineLevel="0" collapsed="false">
      <c r="A57" s="32"/>
      <c r="B57" s="32"/>
      <c r="C57" s="35"/>
      <c r="D57" s="32"/>
      <c r="E57" s="32"/>
      <c r="F57" s="33"/>
      <c r="G57" s="33"/>
      <c r="H57" s="35"/>
      <c r="I57" s="33"/>
      <c r="J57" s="32"/>
    </row>
    <row r="58" customFormat="false" ht="15" hidden="false" customHeight="false" outlineLevel="0" collapsed="false">
      <c r="A58" s="32"/>
      <c r="B58" s="32"/>
      <c r="C58" s="35"/>
      <c r="D58" s="32"/>
      <c r="E58" s="32"/>
      <c r="F58" s="33"/>
      <c r="G58" s="33"/>
      <c r="H58" s="35"/>
      <c r="I58" s="33"/>
      <c r="J58" s="32"/>
    </row>
    <row r="59" customFormat="false" ht="15" hidden="false" customHeight="false" outlineLevel="0" collapsed="false">
      <c r="A59" s="32"/>
      <c r="B59" s="32"/>
      <c r="C59" s="35"/>
      <c r="D59" s="32"/>
      <c r="E59" s="32"/>
      <c r="F59" s="33"/>
      <c r="G59" s="33"/>
      <c r="H59" s="35"/>
      <c r="I59" s="33"/>
      <c r="J59" s="32"/>
    </row>
    <row r="60" customFormat="false" ht="15" hidden="false" customHeight="false" outlineLevel="0" collapsed="false">
      <c r="A60" s="32"/>
      <c r="B60" s="32"/>
      <c r="C60" s="35"/>
      <c r="D60" s="32"/>
      <c r="E60" s="32"/>
      <c r="F60" s="33"/>
      <c r="G60" s="33"/>
      <c r="H60" s="35"/>
      <c r="I60" s="33"/>
      <c r="J60" s="32"/>
    </row>
    <row r="61" customFormat="false" ht="15" hidden="false" customHeight="false" outlineLevel="0" collapsed="false">
      <c r="A61" s="32"/>
      <c r="B61" s="32"/>
      <c r="C61" s="35"/>
      <c r="D61" s="32"/>
      <c r="E61" s="32"/>
      <c r="F61" s="33"/>
      <c r="G61" s="33"/>
      <c r="H61" s="35"/>
      <c r="I61" s="33"/>
      <c r="J61" s="32"/>
    </row>
    <row r="62" customFormat="false" ht="15" hidden="false" customHeight="false" outlineLevel="0" collapsed="false">
      <c r="A62" s="32"/>
      <c r="B62" s="32"/>
      <c r="C62" s="35"/>
      <c r="D62" s="32"/>
      <c r="E62" s="32"/>
      <c r="F62" s="33"/>
      <c r="G62" s="33"/>
      <c r="H62" s="35"/>
      <c r="I62" s="33"/>
      <c r="J62" s="32"/>
    </row>
    <row r="63" customFormat="false" ht="15" hidden="false" customHeight="false" outlineLevel="0" collapsed="false">
      <c r="A63" s="32"/>
      <c r="B63" s="32"/>
      <c r="C63" s="35"/>
      <c r="D63" s="32"/>
      <c r="E63" s="32"/>
      <c r="F63" s="33"/>
      <c r="G63" s="33"/>
      <c r="H63" s="35"/>
      <c r="I63" s="33"/>
      <c r="J63" s="32"/>
    </row>
    <row r="64" customFormat="false" ht="15" hidden="false" customHeight="false" outlineLevel="0" collapsed="false">
      <c r="A64" s="32"/>
      <c r="B64" s="32"/>
      <c r="C64" s="35"/>
      <c r="D64" s="32"/>
      <c r="E64" s="32"/>
      <c r="F64" s="33"/>
      <c r="G64" s="33"/>
      <c r="H64" s="35"/>
      <c r="I64" s="33"/>
      <c r="J64" s="32"/>
    </row>
    <row r="65" customFormat="false" ht="15" hidden="false" customHeight="false" outlineLevel="0" collapsed="false">
      <c r="A65" s="32"/>
      <c r="B65" s="32"/>
      <c r="C65" s="35"/>
      <c r="D65" s="32"/>
      <c r="E65" s="32"/>
      <c r="F65" s="33"/>
      <c r="G65" s="33"/>
      <c r="H65" s="35"/>
      <c r="I65" s="33"/>
      <c r="J65" s="32"/>
    </row>
    <row r="66" customFormat="false" ht="15" hidden="false" customHeight="false" outlineLevel="0" collapsed="false">
      <c r="A66" s="32"/>
      <c r="B66" s="32"/>
      <c r="C66" s="35"/>
      <c r="D66" s="32"/>
      <c r="E66" s="32"/>
      <c r="F66" s="33"/>
      <c r="G66" s="33"/>
      <c r="H66" s="35"/>
      <c r="I66" s="33"/>
      <c r="J66" s="32"/>
    </row>
    <row r="67" customFormat="false" ht="15" hidden="false" customHeight="false" outlineLevel="0" collapsed="false">
      <c r="A67" s="32"/>
      <c r="B67" s="32"/>
      <c r="C67" s="35"/>
      <c r="D67" s="32"/>
      <c r="E67" s="32"/>
      <c r="F67" s="33"/>
      <c r="G67" s="33"/>
      <c r="H67" s="35"/>
      <c r="I67" s="33"/>
      <c r="J67" s="32"/>
    </row>
    <row r="68" customFormat="false" ht="15" hidden="false" customHeight="false" outlineLevel="0" collapsed="false">
      <c r="A68" s="32"/>
      <c r="B68" s="32"/>
      <c r="C68" s="35"/>
      <c r="D68" s="32"/>
      <c r="E68" s="32"/>
      <c r="F68" s="33"/>
      <c r="G68" s="33"/>
      <c r="H68" s="35"/>
      <c r="I68" s="33"/>
      <c r="J68" s="32"/>
    </row>
    <row r="69" customFormat="false" ht="15" hidden="false" customHeight="false" outlineLevel="0" collapsed="false">
      <c r="A69" s="32"/>
      <c r="B69" s="32"/>
      <c r="C69" s="35"/>
      <c r="D69" s="32"/>
      <c r="E69" s="32"/>
      <c r="F69" s="33"/>
      <c r="G69" s="33"/>
      <c r="H69" s="35"/>
      <c r="I69" s="33"/>
      <c r="J69" s="32"/>
    </row>
    <row r="70" customFormat="false" ht="15" hidden="false" customHeight="false" outlineLevel="0" collapsed="false">
      <c r="A70" s="32"/>
      <c r="B70" s="32"/>
      <c r="C70" s="35"/>
      <c r="D70" s="32"/>
      <c r="E70" s="32"/>
      <c r="F70" s="33"/>
      <c r="G70" s="33"/>
      <c r="H70" s="35"/>
      <c r="I70" s="33"/>
      <c r="J70" s="32"/>
    </row>
    <row r="71" customFormat="false" ht="15" hidden="false" customHeight="false" outlineLevel="0" collapsed="false">
      <c r="A71" s="32"/>
      <c r="B71" s="32"/>
      <c r="C71" s="35"/>
      <c r="D71" s="32"/>
      <c r="E71" s="32"/>
      <c r="F71" s="33"/>
      <c r="G71" s="33"/>
      <c r="H71" s="35"/>
      <c r="I71" s="33"/>
      <c r="J71" s="32"/>
    </row>
    <row r="72" customFormat="false" ht="15" hidden="false" customHeight="false" outlineLevel="0" collapsed="false">
      <c r="A72" s="32"/>
      <c r="B72" s="32"/>
      <c r="C72" s="35"/>
      <c r="D72" s="32"/>
      <c r="E72" s="32"/>
      <c r="F72" s="33"/>
      <c r="G72" s="33"/>
      <c r="H72" s="35"/>
      <c r="I72" s="33"/>
      <c r="J72" s="32"/>
    </row>
    <row r="73" customFormat="false" ht="15" hidden="false" customHeight="false" outlineLevel="0" collapsed="false">
      <c r="A73" s="32"/>
      <c r="B73" s="32"/>
      <c r="C73" s="35"/>
      <c r="D73" s="32"/>
      <c r="E73" s="32"/>
      <c r="F73" s="33"/>
      <c r="G73" s="33"/>
      <c r="H73" s="35"/>
      <c r="I73" s="33"/>
      <c r="J73" s="32"/>
    </row>
    <row r="74" customFormat="false" ht="15" hidden="false" customHeight="false" outlineLevel="0" collapsed="false">
      <c r="A74" s="32"/>
      <c r="B74" s="32"/>
      <c r="C74" s="35"/>
      <c r="D74" s="32"/>
      <c r="E74" s="32"/>
      <c r="F74" s="33"/>
      <c r="G74" s="33"/>
      <c r="H74" s="35"/>
      <c r="I74" s="33"/>
      <c r="J74" s="32"/>
    </row>
    <row r="75" customFormat="false" ht="15" hidden="false" customHeight="false" outlineLevel="0" collapsed="false">
      <c r="A75" s="32"/>
      <c r="B75" s="32"/>
      <c r="C75" s="35"/>
      <c r="D75" s="32"/>
      <c r="E75" s="32"/>
      <c r="F75" s="33"/>
      <c r="G75" s="33"/>
      <c r="H75" s="35"/>
      <c r="I75" s="33"/>
      <c r="J75" s="32"/>
    </row>
    <row r="76" customFormat="false" ht="15" hidden="false" customHeight="false" outlineLevel="0" collapsed="false">
      <c r="A76" s="32"/>
      <c r="B76" s="32"/>
      <c r="C76" s="35"/>
      <c r="D76" s="32"/>
      <c r="E76" s="32"/>
      <c r="F76" s="33"/>
      <c r="G76" s="33"/>
      <c r="H76" s="35"/>
      <c r="I76" s="33"/>
      <c r="J76" s="32"/>
    </row>
    <row r="77" customFormat="false" ht="15" hidden="false" customHeight="false" outlineLevel="0" collapsed="false">
      <c r="A77" s="32"/>
      <c r="B77" s="32"/>
      <c r="C77" s="35"/>
      <c r="D77" s="32"/>
      <c r="E77" s="32"/>
      <c r="F77" s="33"/>
      <c r="G77" s="33"/>
      <c r="H77" s="35"/>
      <c r="I77" s="33"/>
      <c r="J77" s="32"/>
    </row>
    <row r="78" customFormat="false" ht="15" hidden="false" customHeight="false" outlineLevel="0" collapsed="false">
      <c r="A78" s="32"/>
      <c r="B78" s="32"/>
      <c r="C78" s="35"/>
      <c r="D78" s="32"/>
      <c r="E78" s="32"/>
      <c r="F78" s="33"/>
      <c r="G78" s="33"/>
      <c r="H78" s="35"/>
      <c r="I78" s="33"/>
      <c r="J78" s="32"/>
    </row>
    <row r="79" customFormat="false" ht="15" hidden="false" customHeight="false" outlineLevel="0" collapsed="false">
      <c r="A79" s="32"/>
      <c r="B79" s="32"/>
      <c r="C79" s="35"/>
      <c r="D79" s="32"/>
      <c r="E79" s="32"/>
      <c r="F79" s="33"/>
      <c r="G79" s="33"/>
      <c r="H79" s="35"/>
      <c r="I79" s="33"/>
      <c r="J79" s="32"/>
    </row>
    <row r="80" customFormat="false" ht="15" hidden="false" customHeight="false" outlineLevel="0" collapsed="false">
      <c r="A80" s="32"/>
      <c r="B80" s="32"/>
      <c r="C80" s="35"/>
      <c r="D80" s="32"/>
      <c r="E80" s="32"/>
      <c r="F80" s="33"/>
      <c r="G80" s="33"/>
      <c r="H80" s="35"/>
      <c r="I80" s="33"/>
      <c r="J80" s="32"/>
    </row>
    <row r="81" customFormat="false" ht="15" hidden="false" customHeight="false" outlineLevel="0" collapsed="false">
      <c r="A81" s="32"/>
      <c r="B81" s="32"/>
      <c r="C81" s="35"/>
      <c r="D81" s="32"/>
      <c r="E81" s="32"/>
      <c r="F81" s="33"/>
      <c r="G81" s="33"/>
      <c r="H81" s="35"/>
      <c r="I81" s="33"/>
      <c r="J81" s="32"/>
    </row>
    <row r="82" customFormat="false" ht="15" hidden="false" customHeight="false" outlineLevel="0" collapsed="false">
      <c r="A82" s="32"/>
      <c r="B82" s="32"/>
      <c r="C82" s="35"/>
      <c r="D82" s="32"/>
      <c r="E82" s="32"/>
      <c r="F82" s="33"/>
      <c r="G82" s="33"/>
      <c r="H82" s="35"/>
      <c r="I82" s="33"/>
      <c r="J82" s="32"/>
    </row>
    <row r="83" customFormat="false" ht="15" hidden="false" customHeight="false" outlineLevel="0" collapsed="false">
      <c r="A83" s="32"/>
      <c r="B83" s="32"/>
      <c r="C83" s="35"/>
      <c r="D83" s="32"/>
      <c r="E83" s="32"/>
      <c r="F83" s="33"/>
      <c r="G83" s="33"/>
      <c r="H83" s="35"/>
      <c r="I83" s="33"/>
      <c r="J83" s="32"/>
    </row>
    <row r="84" customFormat="false" ht="15" hidden="false" customHeight="false" outlineLevel="0" collapsed="false">
      <c r="A84" s="32"/>
      <c r="B84" s="32"/>
      <c r="C84" s="35"/>
      <c r="D84" s="32"/>
      <c r="E84" s="32"/>
      <c r="F84" s="33"/>
      <c r="G84" s="33"/>
      <c r="H84" s="35"/>
      <c r="I84" s="33"/>
      <c r="J84" s="32"/>
    </row>
    <row r="85" customFormat="false" ht="15" hidden="false" customHeight="false" outlineLevel="0" collapsed="false">
      <c r="A85" s="32"/>
      <c r="B85" s="32"/>
      <c r="C85" s="35"/>
      <c r="D85" s="32"/>
      <c r="E85" s="32"/>
      <c r="F85" s="33"/>
      <c r="G85" s="33"/>
      <c r="H85" s="35"/>
      <c r="I85" s="33"/>
      <c r="J85" s="32"/>
    </row>
    <row r="86" customFormat="false" ht="15" hidden="false" customHeight="false" outlineLevel="0" collapsed="false">
      <c r="A86" s="32"/>
      <c r="B86" s="32"/>
      <c r="C86" s="35"/>
      <c r="D86" s="32"/>
      <c r="E86" s="32"/>
      <c r="F86" s="33"/>
      <c r="G86" s="33"/>
      <c r="H86" s="35"/>
      <c r="I86" s="33"/>
      <c r="J86" s="32"/>
    </row>
    <row r="87" customFormat="false" ht="15" hidden="false" customHeight="false" outlineLevel="0" collapsed="false">
      <c r="A87" s="32"/>
      <c r="B87" s="32"/>
      <c r="C87" s="35"/>
      <c r="D87" s="32"/>
      <c r="E87" s="32"/>
      <c r="F87" s="33"/>
      <c r="G87" s="33"/>
      <c r="H87" s="35"/>
      <c r="I87" s="33"/>
      <c r="J87" s="32"/>
    </row>
    <row r="88" customFormat="false" ht="15" hidden="false" customHeight="false" outlineLevel="0" collapsed="false">
      <c r="A88" s="32"/>
      <c r="B88" s="32"/>
      <c r="C88" s="35"/>
      <c r="D88" s="32"/>
      <c r="E88" s="32"/>
      <c r="F88" s="33"/>
      <c r="G88" s="33"/>
      <c r="H88" s="35"/>
      <c r="I88" s="33"/>
      <c r="J88" s="32"/>
    </row>
    <row r="89" customFormat="false" ht="15" hidden="false" customHeight="false" outlineLevel="0" collapsed="false">
      <c r="A89" s="32"/>
      <c r="B89" s="32"/>
      <c r="C89" s="35"/>
      <c r="D89" s="32"/>
      <c r="E89" s="32"/>
      <c r="F89" s="33"/>
      <c r="G89" s="33"/>
      <c r="H89" s="35"/>
      <c r="I89" s="33"/>
      <c r="J89" s="32"/>
    </row>
    <row r="90" customFormat="false" ht="15" hidden="false" customHeight="false" outlineLevel="0" collapsed="false">
      <c r="A90" s="32"/>
      <c r="B90" s="32"/>
      <c r="C90" s="35"/>
      <c r="D90" s="32"/>
      <c r="E90" s="32"/>
      <c r="F90" s="33"/>
      <c r="G90" s="33"/>
      <c r="H90" s="35"/>
      <c r="I90" s="33"/>
      <c r="J90" s="32"/>
    </row>
    <row r="91" customFormat="false" ht="15" hidden="false" customHeight="false" outlineLevel="0" collapsed="false">
      <c r="A91" s="32"/>
      <c r="B91" s="32"/>
      <c r="C91" s="35"/>
      <c r="D91" s="32"/>
      <c r="E91" s="32"/>
      <c r="F91" s="33"/>
      <c r="G91" s="33"/>
      <c r="H91" s="35"/>
      <c r="I91" s="33"/>
      <c r="J91" s="32"/>
    </row>
    <row r="92" customFormat="false" ht="15" hidden="false" customHeight="false" outlineLevel="0" collapsed="false">
      <c r="A92" s="32"/>
      <c r="B92" s="32"/>
      <c r="C92" s="35"/>
      <c r="D92" s="32"/>
      <c r="E92" s="32"/>
      <c r="F92" s="33"/>
      <c r="G92" s="33"/>
      <c r="H92" s="35"/>
      <c r="I92" s="33"/>
      <c r="J92" s="32"/>
    </row>
    <row r="93" customFormat="false" ht="15" hidden="false" customHeight="false" outlineLevel="0" collapsed="false">
      <c r="A93" s="32"/>
      <c r="B93" s="32"/>
      <c r="C93" s="35"/>
      <c r="D93" s="32"/>
      <c r="E93" s="32"/>
      <c r="F93" s="33"/>
      <c r="G93" s="33"/>
      <c r="H93" s="35"/>
      <c r="I93" s="33"/>
      <c r="J93" s="32"/>
    </row>
    <row r="94" customFormat="false" ht="15" hidden="false" customHeight="false" outlineLevel="0" collapsed="false">
      <c r="A94" s="32"/>
      <c r="B94" s="32"/>
      <c r="C94" s="35"/>
      <c r="D94" s="32"/>
      <c r="E94" s="32"/>
      <c r="F94" s="33"/>
      <c r="G94" s="33"/>
      <c r="H94" s="35"/>
      <c r="I94" s="33"/>
      <c r="J94" s="32"/>
    </row>
    <row r="95" customFormat="false" ht="15" hidden="false" customHeight="false" outlineLevel="0" collapsed="false">
      <c r="A95" s="32"/>
      <c r="B95" s="32"/>
      <c r="C95" s="35"/>
      <c r="D95" s="32"/>
      <c r="E95" s="32"/>
      <c r="F95" s="33"/>
      <c r="G95" s="33"/>
      <c r="H95" s="35"/>
      <c r="I95" s="33"/>
      <c r="J95" s="32"/>
    </row>
    <row r="96" customFormat="false" ht="15" hidden="false" customHeight="false" outlineLevel="0" collapsed="false">
      <c r="A96" s="32"/>
      <c r="B96" s="32"/>
      <c r="C96" s="35"/>
      <c r="D96" s="32"/>
      <c r="E96" s="32"/>
      <c r="F96" s="33"/>
      <c r="G96" s="33"/>
      <c r="H96" s="35"/>
      <c r="I96" s="33"/>
      <c r="J96" s="32"/>
    </row>
    <row r="97" customFormat="false" ht="15" hidden="false" customHeight="false" outlineLevel="0" collapsed="false">
      <c r="A97" s="32"/>
      <c r="B97" s="32"/>
      <c r="C97" s="35"/>
      <c r="D97" s="32"/>
      <c r="E97" s="32"/>
      <c r="F97" s="33"/>
      <c r="G97" s="33"/>
      <c r="H97" s="35"/>
      <c r="I97" s="33"/>
      <c r="J97" s="32"/>
    </row>
    <row r="98" customFormat="false" ht="15" hidden="false" customHeight="false" outlineLevel="0" collapsed="false">
      <c r="A98" s="32"/>
      <c r="B98" s="32"/>
      <c r="C98" s="35"/>
      <c r="D98" s="32"/>
      <c r="E98" s="32"/>
      <c r="F98" s="33"/>
      <c r="G98" s="33"/>
      <c r="H98" s="35"/>
      <c r="I98" s="33"/>
      <c r="J98" s="32"/>
    </row>
    <row r="99" customFormat="false" ht="15" hidden="false" customHeight="false" outlineLevel="0" collapsed="false">
      <c r="A99" s="32"/>
      <c r="B99" s="32"/>
      <c r="C99" s="35"/>
      <c r="D99" s="32"/>
      <c r="E99" s="32"/>
      <c r="F99" s="33"/>
      <c r="G99" s="33"/>
      <c r="H99" s="35"/>
      <c r="I99" s="33"/>
      <c r="J99" s="32"/>
    </row>
    <row r="100" customFormat="false" ht="15" hidden="false" customHeight="false" outlineLevel="0" collapsed="false">
      <c r="A100" s="32"/>
      <c r="B100" s="32"/>
      <c r="C100" s="35"/>
      <c r="D100" s="32"/>
      <c r="E100" s="32"/>
      <c r="F100" s="33"/>
      <c r="G100" s="33"/>
      <c r="H100" s="35"/>
      <c r="I100" s="33"/>
      <c r="J100" s="32"/>
    </row>
    <row r="101" customFormat="false" ht="15" hidden="false" customHeight="false" outlineLevel="0" collapsed="false">
      <c r="A101" s="32"/>
      <c r="B101" s="32"/>
      <c r="C101" s="35"/>
      <c r="D101" s="32"/>
      <c r="E101" s="32"/>
      <c r="F101" s="33"/>
      <c r="G101" s="33"/>
      <c r="H101" s="35"/>
      <c r="I101" s="33"/>
      <c r="J101" s="32"/>
    </row>
    <row r="102" customFormat="false" ht="15" hidden="false" customHeight="false" outlineLevel="0" collapsed="false">
      <c r="A102" s="32"/>
      <c r="B102" s="32"/>
      <c r="C102" s="35"/>
      <c r="D102" s="32"/>
      <c r="E102" s="32"/>
      <c r="F102" s="33"/>
      <c r="G102" s="33"/>
      <c r="H102" s="35"/>
      <c r="I102" s="33"/>
      <c r="J102" s="32"/>
    </row>
    <row r="103" customFormat="false" ht="15" hidden="false" customHeight="false" outlineLevel="0" collapsed="false">
      <c r="A103" s="32"/>
      <c r="B103" s="32"/>
      <c r="C103" s="35"/>
      <c r="D103" s="32"/>
      <c r="E103" s="32"/>
      <c r="F103" s="33"/>
      <c r="G103" s="33"/>
      <c r="H103" s="35"/>
      <c r="I103" s="33"/>
      <c r="J103" s="32"/>
    </row>
    <row r="104" customFormat="false" ht="15" hidden="false" customHeight="false" outlineLevel="0" collapsed="false">
      <c r="A104" s="32"/>
      <c r="B104" s="32"/>
      <c r="C104" s="35"/>
      <c r="D104" s="32"/>
      <c r="E104" s="32"/>
      <c r="F104" s="33"/>
      <c r="G104" s="33"/>
      <c r="H104" s="35"/>
      <c r="I104" s="33"/>
      <c r="J104" s="32"/>
    </row>
    <row r="105" customFormat="false" ht="15" hidden="false" customHeight="false" outlineLevel="0" collapsed="false">
      <c r="A105" s="32"/>
      <c r="B105" s="32"/>
      <c r="C105" s="35"/>
      <c r="D105" s="32"/>
      <c r="E105" s="32"/>
      <c r="F105" s="33"/>
      <c r="G105" s="33"/>
      <c r="H105" s="35"/>
      <c r="I105" s="33"/>
      <c r="J105" s="32"/>
    </row>
    <row r="106" customFormat="false" ht="15" hidden="false" customHeight="false" outlineLevel="0" collapsed="false">
      <c r="A106" s="32"/>
      <c r="B106" s="32"/>
      <c r="C106" s="35"/>
      <c r="D106" s="32"/>
      <c r="E106" s="32"/>
      <c r="F106" s="33"/>
      <c r="G106" s="33"/>
      <c r="H106" s="35"/>
      <c r="I106" s="33"/>
      <c r="J106" s="32"/>
    </row>
    <row r="107" customFormat="false" ht="15" hidden="false" customHeight="false" outlineLevel="0" collapsed="false">
      <c r="A107" s="32"/>
      <c r="B107" s="32"/>
      <c r="C107" s="35"/>
      <c r="D107" s="32"/>
      <c r="E107" s="32"/>
      <c r="F107" s="33"/>
      <c r="G107" s="33"/>
      <c r="H107" s="35"/>
      <c r="I107" s="33"/>
      <c r="J107" s="32"/>
    </row>
    <row r="108" customFormat="false" ht="15" hidden="false" customHeight="false" outlineLevel="0" collapsed="false">
      <c r="A108" s="32"/>
      <c r="B108" s="32"/>
      <c r="C108" s="35"/>
      <c r="D108" s="32"/>
      <c r="E108" s="32"/>
      <c r="F108" s="33"/>
      <c r="G108" s="33"/>
      <c r="H108" s="35"/>
      <c r="I108" s="33"/>
      <c r="J108" s="32"/>
    </row>
    <row r="109" customFormat="false" ht="15" hidden="false" customHeight="false" outlineLevel="0" collapsed="false">
      <c r="A109" s="32"/>
      <c r="B109" s="32"/>
      <c r="C109" s="35"/>
      <c r="D109" s="32"/>
      <c r="E109" s="32"/>
      <c r="F109" s="33"/>
      <c r="G109" s="33"/>
      <c r="H109" s="35"/>
      <c r="I109" s="33"/>
      <c r="J109" s="32"/>
    </row>
    <row r="110" customFormat="false" ht="15" hidden="false" customHeight="false" outlineLevel="0" collapsed="false">
      <c r="A110" s="32"/>
      <c r="B110" s="32"/>
      <c r="C110" s="35"/>
      <c r="D110" s="32"/>
      <c r="E110" s="32"/>
      <c r="F110" s="33"/>
      <c r="G110" s="33"/>
      <c r="H110" s="35"/>
      <c r="I110" s="33"/>
      <c r="J110" s="32"/>
    </row>
    <row r="111" customFormat="false" ht="15" hidden="false" customHeight="false" outlineLevel="0" collapsed="false">
      <c r="A111" s="32"/>
      <c r="B111" s="32"/>
      <c r="C111" s="35"/>
      <c r="D111" s="32"/>
      <c r="E111" s="32"/>
      <c r="F111" s="33"/>
      <c r="G111" s="33"/>
      <c r="H111" s="35"/>
      <c r="I111" s="33"/>
      <c r="J111" s="32"/>
    </row>
    <row r="112" customFormat="false" ht="15" hidden="false" customHeight="false" outlineLevel="0" collapsed="false">
      <c r="A112" s="32"/>
      <c r="B112" s="32"/>
      <c r="C112" s="35"/>
      <c r="D112" s="32"/>
      <c r="E112" s="32"/>
      <c r="F112" s="33"/>
      <c r="G112" s="33"/>
      <c r="H112" s="35"/>
      <c r="I112" s="33"/>
      <c r="J112" s="32"/>
    </row>
    <row r="113" customFormat="false" ht="15" hidden="false" customHeight="false" outlineLevel="0" collapsed="false">
      <c r="A113" s="32"/>
      <c r="B113" s="32"/>
      <c r="C113" s="35"/>
      <c r="D113" s="32"/>
      <c r="E113" s="32"/>
      <c r="F113" s="33"/>
      <c r="G113" s="33"/>
      <c r="H113" s="35"/>
      <c r="I113" s="33"/>
      <c r="J113" s="32"/>
    </row>
    <row r="114" customFormat="false" ht="15" hidden="false" customHeight="false" outlineLevel="0" collapsed="false">
      <c r="A114" s="32"/>
      <c r="B114" s="32"/>
      <c r="C114" s="35"/>
      <c r="D114" s="32"/>
      <c r="E114" s="32"/>
      <c r="F114" s="33"/>
      <c r="G114" s="33"/>
      <c r="H114" s="35"/>
      <c r="I114" s="33"/>
      <c r="J114" s="32"/>
    </row>
    <row r="115" customFormat="false" ht="15" hidden="false" customHeight="false" outlineLevel="0" collapsed="false">
      <c r="A115" s="32"/>
      <c r="B115" s="32"/>
      <c r="C115" s="35"/>
      <c r="D115" s="32"/>
      <c r="E115" s="32"/>
      <c r="F115" s="33"/>
      <c r="G115" s="33"/>
      <c r="H115" s="35"/>
      <c r="I115" s="33"/>
      <c r="J115" s="32"/>
    </row>
    <row r="116" customFormat="false" ht="15" hidden="false" customHeight="false" outlineLevel="0" collapsed="false">
      <c r="A116" s="32"/>
      <c r="B116" s="32"/>
      <c r="C116" s="35"/>
      <c r="D116" s="32"/>
      <c r="E116" s="32"/>
      <c r="F116" s="33"/>
      <c r="G116" s="33"/>
      <c r="H116" s="35"/>
      <c r="I116" s="33"/>
      <c r="J116" s="32"/>
    </row>
    <row r="117" customFormat="false" ht="15" hidden="false" customHeight="false" outlineLevel="0" collapsed="false">
      <c r="A117" s="32"/>
      <c r="B117" s="32"/>
      <c r="C117" s="35"/>
      <c r="D117" s="32"/>
      <c r="E117" s="32"/>
      <c r="F117" s="33"/>
      <c r="G117" s="33"/>
      <c r="H117" s="35"/>
      <c r="I117" s="33"/>
      <c r="J117" s="32"/>
    </row>
    <row r="118" customFormat="false" ht="15" hidden="false" customHeight="false" outlineLevel="0" collapsed="false">
      <c r="A118" s="32"/>
      <c r="B118" s="32"/>
      <c r="C118" s="35"/>
      <c r="D118" s="32"/>
      <c r="E118" s="32"/>
      <c r="F118" s="33"/>
      <c r="G118" s="33"/>
      <c r="H118" s="35"/>
      <c r="I118" s="33"/>
      <c r="J118" s="32"/>
    </row>
    <row r="119" customFormat="false" ht="15" hidden="false" customHeight="false" outlineLevel="0" collapsed="false">
      <c r="A119" s="32"/>
      <c r="B119" s="32"/>
      <c r="C119" s="35"/>
      <c r="D119" s="32"/>
      <c r="E119" s="32"/>
      <c r="F119" s="33"/>
      <c r="G119" s="33"/>
      <c r="H119" s="35"/>
      <c r="I119" s="33"/>
      <c r="J119" s="32"/>
    </row>
    <row r="120" customFormat="false" ht="15" hidden="false" customHeight="false" outlineLevel="0" collapsed="false">
      <c r="A120" s="32"/>
      <c r="B120" s="32"/>
      <c r="C120" s="35"/>
      <c r="D120" s="32"/>
      <c r="E120" s="32"/>
      <c r="F120" s="33"/>
      <c r="G120" s="33"/>
      <c r="H120" s="35"/>
      <c r="I120" s="33"/>
      <c r="J120" s="32"/>
    </row>
    <row r="121" customFormat="false" ht="15" hidden="false" customHeight="false" outlineLevel="0" collapsed="false">
      <c r="A121" s="32"/>
      <c r="B121" s="32"/>
      <c r="C121" s="35"/>
      <c r="D121" s="32"/>
      <c r="E121" s="32"/>
      <c r="F121" s="33"/>
      <c r="G121" s="33"/>
      <c r="H121" s="35"/>
      <c r="I121" s="33"/>
      <c r="J121" s="32"/>
    </row>
    <row r="122" customFormat="false" ht="15" hidden="false" customHeight="false" outlineLevel="0" collapsed="false">
      <c r="A122" s="32"/>
      <c r="B122" s="32"/>
      <c r="C122" s="35"/>
      <c r="D122" s="32"/>
      <c r="E122" s="32"/>
      <c r="F122" s="33"/>
      <c r="G122" s="33"/>
      <c r="H122" s="35"/>
      <c r="I122" s="33"/>
      <c r="J122" s="32"/>
    </row>
    <row r="123" customFormat="false" ht="15" hidden="false" customHeight="false" outlineLevel="0" collapsed="false">
      <c r="A123" s="32"/>
      <c r="B123" s="32"/>
      <c r="C123" s="35"/>
      <c r="D123" s="32"/>
      <c r="E123" s="32"/>
      <c r="F123" s="33"/>
      <c r="G123" s="33"/>
      <c r="H123" s="35"/>
      <c r="I123" s="33"/>
      <c r="J123" s="32"/>
    </row>
    <row r="124" customFormat="false" ht="15" hidden="false" customHeight="false" outlineLevel="0" collapsed="false">
      <c r="A124" s="32"/>
      <c r="B124" s="32"/>
      <c r="C124" s="35"/>
      <c r="D124" s="32"/>
      <c r="E124" s="32"/>
      <c r="F124" s="33"/>
      <c r="G124" s="33"/>
      <c r="H124" s="35"/>
      <c r="I124" s="33"/>
      <c r="J124" s="32"/>
    </row>
    <row r="125" customFormat="false" ht="15" hidden="false" customHeight="false" outlineLevel="0" collapsed="false">
      <c r="A125" s="32"/>
      <c r="B125" s="32"/>
      <c r="C125" s="35"/>
      <c r="D125" s="32"/>
      <c r="E125" s="32"/>
      <c r="F125" s="33"/>
      <c r="G125" s="33"/>
      <c r="H125" s="35"/>
      <c r="I125" s="33"/>
      <c r="J125" s="32"/>
    </row>
    <row r="126" customFormat="false" ht="15" hidden="false" customHeight="false" outlineLevel="0" collapsed="false">
      <c r="A126" s="32"/>
      <c r="B126" s="32"/>
      <c r="C126" s="35"/>
      <c r="D126" s="32"/>
      <c r="E126" s="32"/>
      <c r="F126" s="33"/>
      <c r="G126" s="33"/>
      <c r="H126" s="35"/>
      <c r="I126" s="33"/>
      <c r="J126" s="32"/>
    </row>
    <row r="127" customFormat="false" ht="15" hidden="false" customHeight="false" outlineLevel="0" collapsed="false">
      <c r="A127" s="32"/>
      <c r="B127" s="32"/>
      <c r="C127" s="35"/>
      <c r="D127" s="32"/>
      <c r="E127" s="32"/>
      <c r="F127" s="33"/>
      <c r="G127" s="33"/>
      <c r="H127" s="35"/>
      <c r="I127" s="33"/>
      <c r="J127" s="32"/>
    </row>
    <row r="128" customFormat="false" ht="15" hidden="false" customHeight="false" outlineLevel="0" collapsed="false">
      <c r="A128" s="32"/>
      <c r="B128" s="32"/>
      <c r="C128" s="35"/>
      <c r="D128" s="32"/>
      <c r="E128" s="32"/>
      <c r="F128" s="33"/>
      <c r="G128" s="33"/>
      <c r="H128" s="35"/>
      <c r="I128" s="33"/>
      <c r="J128" s="32"/>
    </row>
    <row r="129" customFormat="false" ht="15" hidden="false" customHeight="false" outlineLevel="0" collapsed="false">
      <c r="A129" s="32"/>
      <c r="B129" s="32"/>
      <c r="C129" s="35"/>
      <c r="D129" s="32"/>
      <c r="E129" s="32"/>
      <c r="F129" s="33"/>
      <c r="G129" s="33"/>
      <c r="H129" s="35"/>
      <c r="I129" s="33"/>
      <c r="J129" s="32"/>
    </row>
    <row r="130" customFormat="false" ht="15" hidden="false" customHeight="false" outlineLevel="0" collapsed="false">
      <c r="A130" s="32"/>
      <c r="B130" s="32"/>
      <c r="C130" s="35"/>
      <c r="D130" s="32"/>
      <c r="E130" s="32"/>
      <c r="F130" s="33"/>
      <c r="G130" s="33"/>
      <c r="H130" s="35"/>
      <c r="I130" s="33"/>
      <c r="J130" s="32"/>
    </row>
    <row r="131" customFormat="false" ht="15" hidden="false" customHeight="false" outlineLevel="0" collapsed="false">
      <c r="A131" s="32"/>
      <c r="B131" s="32"/>
      <c r="C131" s="35"/>
      <c r="D131" s="32"/>
      <c r="E131" s="32"/>
      <c r="F131" s="33"/>
      <c r="G131" s="33"/>
      <c r="H131" s="35"/>
      <c r="I131" s="33"/>
      <c r="J131" s="32"/>
    </row>
    <row r="132" customFormat="false" ht="15" hidden="false" customHeight="false" outlineLevel="0" collapsed="false">
      <c r="A132" s="32"/>
      <c r="B132" s="32"/>
      <c r="C132" s="35"/>
      <c r="D132" s="32"/>
      <c r="E132" s="32"/>
      <c r="F132" s="33"/>
      <c r="G132" s="33"/>
      <c r="H132" s="35"/>
      <c r="I132" s="33"/>
      <c r="J132" s="32"/>
    </row>
    <row r="133" customFormat="false" ht="15" hidden="false" customHeight="false" outlineLevel="0" collapsed="false">
      <c r="A133" s="32"/>
      <c r="B133" s="32"/>
      <c r="C133" s="35"/>
      <c r="D133" s="32"/>
      <c r="E133" s="32"/>
      <c r="F133" s="33"/>
      <c r="G133" s="33"/>
      <c r="H133" s="35"/>
      <c r="I133" s="33"/>
      <c r="J133" s="32"/>
    </row>
    <row r="134" customFormat="false" ht="15" hidden="false" customHeight="false" outlineLevel="0" collapsed="false">
      <c r="A134" s="32"/>
      <c r="B134" s="32"/>
      <c r="C134" s="35"/>
      <c r="D134" s="32"/>
      <c r="E134" s="32"/>
      <c r="F134" s="33"/>
      <c r="G134" s="33"/>
      <c r="H134" s="35"/>
      <c r="I134" s="33"/>
      <c r="J134" s="32"/>
    </row>
    <row r="135" customFormat="false" ht="15" hidden="false" customHeight="false" outlineLevel="0" collapsed="false">
      <c r="A135" s="32"/>
      <c r="B135" s="32"/>
      <c r="C135" s="35"/>
      <c r="D135" s="32"/>
      <c r="E135" s="32"/>
      <c r="F135" s="33"/>
      <c r="G135" s="33"/>
      <c r="H135" s="35"/>
      <c r="I135" s="33"/>
      <c r="J135" s="32"/>
    </row>
    <row r="136" customFormat="false" ht="15" hidden="false" customHeight="false" outlineLevel="0" collapsed="false">
      <c r="A136" s="32"/>
      <c r="B136" s="32"/>
      <c r="C136" s="35"/>
      <c r="D136" s="32"/>
      <c r="E136" s="32"/>
      <c r="F136" s="33"/>
      <c r="G136" s="33"/>
      <c r="H136" s="35"/>
      <c r="I136" s="33"/>
      <c r="J136" s="32"/>
    </row>
    <row r="137" customFormat="false" ht="15" hidden="false" customHeight="false" outlineLevel="0" collapsed="false">
      <c r="A137" s="32"/>
      <c r="B137" s="32"/>
      <c r="C137" s="35"/>
      <c r="D137" s="32"/>
      <c r="E137" s="32"/>
      <c r="F137" s="33"/>
      <c r="G137" s="33"/>
      <c r="H137" s="35"/>
      <c r="I137" s="33"/>
      <c r="J137" s="32"/>
    </row>
    <row r="138" customFormat="false" ht="15" hidden="false" customHeight="false" outlineLevel="0" collapsed="false">
      <c r="A138" s="32"/>
      <c r="B138" s="32"/>
      <c r="C138" s="35"/>
      <c r="D138" s="32"/>
      <c r="E138" s="32"/>
      <c r="F138" s="33"/>
      <c r="G138" s="33"/>
      <c r="H138" s="35"/>
      <c r="I138" s="33"/>
      <c r="J138" s="32"/>
    </row>
    <row r="139" customFormat="false" ht="15" hidden="false" customHeight="false" outlineLevel="0" collapsed="false">
      <c r="A139" s="32"/>
      <c r="B139" s="32"/>
      <c r="C139" s="35"/>
      <c r="D139" s="32"/>
      <c r="E139" s="32"/>
      <c r="F139" s="33"/>
      <c r="G139" s="33"/>
      <c r="H139" s="35"/>
      <c r="I139" s="33"/>
      <c r="J139" s="32"/>
    </row>
    <row r="140" customFormat="false" ht="15" hidden="false" customHeight="false" outlineLevel="0" collapsed="false">
      <c r="A140" s="32"/>
      <c r="B140" s="32"/>
      <c r="C140" s="35"/>
      <c r="D140" s="32"/>
      <c r="E140" s="32"/>
      <c r="F140" s="33"/>
      <c r="G140" s="33"/>
      <c r="H140" s="35"/>
      <c r="I140" s="33"/>
      <c r="J140" s="32"/>
    </row>
    <row r="141" customFormat="false" ht="15" hidden="false" customHeight="false" outlineLevel="0" collapsed="false">
      <c r="A141" s="32"/>
      <c r="B141" s="32"/>
      <c r="C141" s="35"/>
      <c r="D141" s="32"/>
      <c r="E141" s="32"/>
      <c r="F141" s="33"/>
      <c r="G141" s="33"/>
      <c r="H141" s="35"/>
      <c r="I141" s="33"/>
      <c r="J141" s="32"/>
    </row>
    <row r="142" customFormat="false" ht="15" hidden="false" customHeight="false" outlineLevel="0" collapsed="false">
      <c r="A142" s="32"/>
      <c r="B142" s="32"/>
      <c r="C142" s="35"/>
      <c r="D142" s="32"/>
      <c r="E142" s="32"/>
      <c r="F142" s="33"/>
      <c r="G142" s="33"/>
      <c r="H142" s="35"/>
      <c r="I142" s="33"/>
      <c r="J142" s="32"/>
    </row>
    <row r="143" customFormat="false" ht="15" hidden="false" customHeight="false" outlineLevel="0" collapsed="false">
      <c r="A143" s="32"/>
      <c r="B143" s="32"/>
      <c r="C143" s="35"/>
      <c r="D143" s="32"/>
      <c r="E143" s="32"/>
      <c r="F143" s="33"/>
      <c r="G143" s="33"/>
      <c r="H143" s="35"/>
      <c r="I143" s="33"/>
      <c r="J143" s="32"/>
    </row>
    <row r="144" customFormat="false" ht="15" hidden="false" customHeight="false" outlineLevel="0" collapsed="false">
      <c r="A144" s="32"/>
      <c r="B144" s="32"/>
      <c r="C144" s="35"/>
      <c r="D144" s="32"/>
      <c r="E144" s="32"/>
      <c r="F144" s="33"/>
      <c r="G144" s="33"/>
      <c r="H144" s="35"/>
      <c r="I144" s="33"/>
      <c r="J144" s="32"/>
    </row>
    <row r="145" customFormat="false" ht="15" hidden="false" customHeight="false" outlineLevel="0" collapsed="false">
      <c r="A145" s="32"/>
      <c r="B145" s="32"/>
      <c r="C145" s="35"/>
      <c r="D145" s="32"/>
      <c r="E145" s="32"/>
      <c r="F145" s="33"/>
      <c r="G145" s="33"/>
      <c r="H145" s="35"/>
      <c r="I145" s="33"/>
      <c r="J145" s="32"/>
    </row>
    <row r="146" customFormat="false" ht="15" hidden="false" customHeight="false" outlineLevel="0" collapsed="false">
      <c r="A146" s="32"/>
      <c r="B146" s="32"/>
      <c r="C146" s="35"/>
      <c r="D146" s="32"/>
      <c r="E146" s="32"/>
      <c r="F146" s="33"/>
      <c r="G146" s="33"/>
      <c r="H146" s="35"/>
      <c r="I146" s="33"/>
      <c r="J146" s="32"/>
    </row>
    <row r="147" customFormat="false" ht="15" hidden="false" customHeight="false" outlineLevel="0" collapsed="false">
      <c r="A147" s="32"/>
      <c r="B147" s="32"/>
      <c r="C147" s="35"/>
      <c r="D147" s="32"/>
      <c r="E147" s="32"/>
      <c r="F147" s="33"/>
      <c r="G147" s="33"/>
      <c r="H147" s="35"/>
      <c r="I147" s="33"/>
      <c r="J147" s="32"/>
    </row>
    <row r="148" customFormat="false" ht="15" hidden="false" customHeight="false" outlineLevel="0" collapsed="false">
      <c r="A148" s="32"/>
      <c r="B148" s="32"/>
      <c r="C148" s="35"/>
      <c r="D148" s="32"/>
      <c r="E148" s="32"/>
      <c r="F148" s="33"/>
      <c r="G148" s="33"/>
      <c r="H148" s="35"/>
      <c r="I148" s="33"/>
      <c r="J148" s="32"/>
    </row>
    <row r="149" customFormat="false" ht="15" hidden="false" customHeight="false" outlineLevel="0" collapsed="false">
      <c r="A149" s="32"/>
      <c r="B149" s="32"/>
      <c r="C149" s="35"/>
      <c r="D149" s="32"/>
      <c r="E149" s="32"/>
      <c r="F149" s="33"/>
      <c r="G149" s="33"/>
      <c r="H149" s="35"/>
      <c r="I149" s="33"/>
      <c r="J149" s="32"/>
    </row>
    <row r="150" customFormat="false" ht="15" hidden="false" customHeight="false" outlineLevel="0" collapsed="false">
      <c r="A150" s="32"/>
      <c r="B150" s="32"/>
      <c r="C150" s="35"/>
      <c r="D150" s="32"/>
      <c r="E150" s="32"/>
      <c r="F150" s="33"/>
      <c r="G150" s="33"/>
      <c r="H150" s="35"/>
      <c r="I150" s="33"/>
      <c r="J150" s="32"/>
    </row>
    <row r="151" customFormat="false" ht="15" hidden="false" customHeight="false" outlineLevel="0" collapsed="false">
      <c r="A151" s="32"/>
      <c r="B151" s="32"/>
      <c r="C151" s="35"/>
      <c r="D151" s="32"/>
      <c r="E151" s="32"/>
      <c r="F151" s="33"/>
      <c r="G151" s="33"/>
      <c r="H151" s="35"/>
      <c r="I151" s="33"/>
      <c r="J151" s="32"/>
    </row>
    <row r="152" customFormat="false" ht="15" hidden="false" customHeight="false" outlineLevel="0" collapsed="false">
      <c r="A152" s="32"/>
      <c r="B152" s="32"/>
      <c r="C152" s="35"/>
      <c r="D152" s="32"/>
      <c r="E152" s="32"/>
      <c r="F152" s="33"/>
      <c r="G152" s="33"/>
      <c r="H152" s="35"/>
      <c r="I152" s="33"/>
      <c r="J152" s="32"/>
    </row>
    <row r="153" customFormat="false" ht="15" hidden="false" customHeight="false" outlineLevel="0" collapsed="false">
      <c r="A153" s="32"/>
      <c r="B153" s="32"/>
      <c r="C153" s="35"/>
      <c r="D153" s="32"/>
      <c r="E153" s="32"/>
      <c r="F153" s="33"/>
      <c r="G153" s="33"/>
      <c r="H153" s="35"/>
      <c r="I153" s="33"/>
      <c r="J153" s="32"/>
    </row>
    <row r="154" customFormat="false" ht="15" hidden="false" customHeight="false" outlineLevel="0" collapsed="false">
      <c r="A154" s="32"/>
      <c r="B154" s="32"/>
      <c r="C154" s="35"/>
      <c r="D154" s="32"/>
      <c r="E154" s="32"/>
      <c r="F154" s="33"/>
      <c r="G154" s="33"/>
      <c r="H154" s="35"/>
      <c r="I154" s="33"/>
      <c r="J154" s="32"/>
    </row>
    <row r="155" customFormat="false" ht="15" hidden="false" customHeight="false" outlineLevel="0" collapsed="false">
      <c r="A155" s="32"/>
      <c r="B155" s="32"/>
      <c r="C155" s="35"/>
      <c r="D155" s="32"/>
      <c r="E155" s="32"/>
      <c r="F155" s="33"/>
      <c r="G155" s="33"/>
      <c r="H155" s="35"/>
      <c r="I155" s="33"/>
      <c r="J155" s="32"/>
    </row>
    <row r="156" customFormat="false" ht="15" hidden="false" customHeight="false" outlineLevel="0" collapsed="false">
      <c r="A156" s="32"/>
      <c r="B156" s="32"/>
      <c r="C156" s="35"/>
      <c r="D156" s="32"/>
      <c r="E156" s="32"/>
      <c r="F156" s="33"/>
      <c r="G156" s="33"/>
      <c r="H156" s="35"/>
      <c r="I156" s="33"/>
      <c r="J156" s="32"/>
    </row>
    <row r="157" customFormat="false" ht="15" hidden="false" customHeight="false" outlineLevel="0" collapsed="false">
      <c r="A157" s="32"/>
      <c r="B157" s="32"/>
      <c r="C157" s="35"/>
      <c r="D157" s="32"/>
      <c r="E157" s="32"/>
      <c r="F157" s="33"/>
      <c r="G157" s="33"/>
      <c r="H157" s="35"/>
      <c r="I157" s="33"/>
      <c r="J157" s="32"/>
    </row>
    <row r="158" customFormat="false" ht="15" hidden="false" customHeight="false" outlineLevel="0" collapsed="false">
      <c r="A158" s="32"/>
      <c r="B158" s="32"/>
      <c r="C158" s="35"/>
      <c r="D158" s="32"/>
      <c r="E158" s="32"/>
      <c r="F158" s="33"/>
      <c r="G158" s="33"/>
      <c r="H158" s="35"/>
      <c r="I158" s="33"/>
      <c r="J158" s="32"/>
    </row>
    <row r="159" customFormat="false" ht="15" hidden="false" customHeight="false" outlineLevel="0" collapsed="false">
      <c r="A159" s="32"/>
      <c r="B159" s="32"/>
      <c r="C159" s="35"/>
      <c r="D159" s="32"/>
      <c r="E159" s="32"/>
      <c r="F159" s="33"/>
      <c r="G159" s="33"/>
      <c r="H159" s="35"/>
      <c r="I159" s="33"/>
      <c r="J159" s="32"/>
    </row>
    <row r="160" customFormat="false" ht="15" hidden="false" customHeight="false" outlineLevel="0" collapsed="false">
      <c r="A160" s="32"/>
      <c r="B160" s="32"/>
      <c r="C160" s="35"/>
      <c r="D160" s="32"/>
      <c r="E160" s="32"/>
      <c r="F160" s="33"/>
      <c r="G160" s="33"/>
      <c r="H160" s="35"/>
      <c r="I160" s="33"/>
      <c r="J160" s="32"/>
    </row>
    <row r="161" customFormat="false" ht="15" hidden="false" customHeight="false" outlineLevel="0" collapsed="false">
      <c r="A161" s="32"/>
      <c r="B161" s="32"/>
      <c r="C161" s="35"/>
      <c r="D161" s="32"/>
      <c r="E161" s="32"/>
      <c r="F161" s="33"/>
      <c r="G161" s="33"/>
      <c r="H161" s="35"/>
      <c r="I161" s="33"/>
      <c r="J161" s="32"/>
    </row>
    <row r="162" customFormat="false" ht="15" hidden="false" customHeight="false" outlineLevel="0" collapsed="false">
      <c r="A162" s="32"/>
      <c r="B162" s="32"/>
      <c r="C162" s="35"/>
      <c r="D162" s="32"/>
      <c r="E162" s="32"/>
      <c r="F162" s="33"/>
      <c r="G162" s="33"/>
      <c r="H162" s="35"/>
      <c r="I162" s="33"/>
      <c r="J162" s="32"/>
    </row>
    <row r="163" customFormat="false" ht="15" hidden="false" customHeight="false" outlineLevel="0" collapsed="false">
      <c r="A163" s="32"/>
      <c r="B163" s="32"/>
      <c r="C163" s="35"/>
      <c r="D163" s="32"/>
      <c r="E163" s="32"/>
      <c r="F163" s="33"/>
      <c r="G163" s="33"/>
      <c r="H163" s="35"/>
      <c r="I163" s="33"/>
      <c r="J163" s="32"/>
    </row>
    <row r="164" customFormat="false" ht="15" hidden="false" customHeight="false" outlineLevel="0" collapsed="false">
      <c r="A164" s="32"/>
      <c r="B164" s="32"/>
      <c r="C164" s="35"/>
      <c r="D164" s="32"/>
      <c r="E164" s="32"/>
      <c r="F164" s="33"/>
      <c r="G164" s="33"/>
      <c r="H164" s="35"/>
      <c r="I164" s="33"/>
      <c r="J164" s="32"/>
    </row>
    <row r="165" customFormat="false" ht="15" hidden="false" customHeight="false" outlineLevel="0" collapsed="false">
      <c r="A165" s="32"/>
      <c r="B165" s="32"/>
      <c r="C165" s="35"/>
      <c r="D165" s="32"/>
      <c r="E165" s="32"/>
      <c r="F165" s="33"/>
      <c r="G165" s="33"/>
      <c r="H165" s="35"/>
      <c r="I165" s="33"/>
      <c r="J165" s="32"/>
    </row>
    <row r="166" customFormat="false" ht="15" hidden="false" customHeight="false" outlineLevel="0" collapsed="false">
      <c r="A166" s="32"/>
      <c r="B166" s="32"/>
      <c r="C166" s="35"/>
      <c r="D166" s="32"/>
      <c r="E166" s="32"/>
      <c r="F166" s="33"/>
      <c r="G166" s="33"/>
      <c r="H166" s="35"/>
      <c r="I166" s="33"/>
      <c r="J166" s="32"/>
    </row>
    <row r="167" customFormat="false" ht="15" hidden="false" customHeight="false" outlineLevel="0" collapsed="false">
      <c r="A167" s="32"/>
      <c r="B167" s="32"/>
      <c r="C167" s="35"/>
      <c r="D167" s="32"/>
      <c r="E167" s="32"/>
      <c r="F167" s="33"/>
      <c r="G167" s="33"/>
      <c r="H167" s="35"/>
      <c r="I167" s="33"/>
      <c r="J167" s="32"/>
    </row>
    <row r="168" customFormat="false" ht="15" hidden="false" customHeight="false" outlineLevel="0" collapsed="false">
      <c r="A168" s="32"/>
      <c r="B168" s="32"/>
      <c r="C168" s="35"/>
      <c r="D168" s="32"/>
      <c r="E168" s="32"/>
      <c r="F168" s="33"/>
      <c r="G168" s="33"/>
      <c r="H168" s="35"/>
      <c r="I168" s="33"/>
      <c r="J168" s="32"/>
    </row>
    <row r="169" customFormat="false" ht="15" hidden="false" customHeight="false" outlineLevel="0" collapsed="false">
      <c r="A169" s="32"/>
      <c r="B169" s="32"/>
      <c r="C169" s="35"/>
      <c r="D169" s="32"/>
      <c r="E169" s="32"/>
      <c r="F169" s="33"/>
      <c r="G169" s="33"/>
      <c r="H169" s="35"/>
      <c r="I169" s="33"/>
      <c r="J169" s="32"/>
    </row>
    <row r="170" customFormat="false" ht="15" hidden="false" customHeight="false" outlineLevel="0" collapsed="false">
      <c r="A170" s="32"/>
      <c r="B170" s="32"/>
      <c r="C170" s="35"/>
      <c r="D170" s="32"/>
      <c r="E170" s="32"/>
      <c r="F170" s="33"/>
      <c r="G170" s="33"/>
      <c r="H170" s="35"/>
      <c r="I170" s="33"/>
      <c r="J170" s="32"/>
    </row>
    <row r="171" customFormat="false" ht="15" hidden="false" customHeight="false" outlineLevel="0" collapsed="false">
      <c r="A171" s="32"/>
      <c r="B171" s="32"/>
      <c r="C171" s="35"/>
      <c r="D171" s="32"/>
      <c r="E171" s="32"/>
      <c r="F171" s="33"/>
      <c r="G171" s="33"/>
      <c r="H171" s="35"/>
      <c r="I171" s="33"/>
      <c r="J171" s="32"/>
    </row>
    <row r="172" customFormat="false" ht="15" hidden="false" customHeight="false" outlineLevel="0" collapsed="false">
      <c r="A172" s="32"/>
      <c r="B172" s="32"/>
      <c r="C172" s="35"/>
      <c r="D172" s="32"/>
      <c r="E172" s="32"/>
      <c r="F172" s="33"/>
      <c r="G172" s="33"/>
      <c r="H172" s="35"/>
      <c r="I172" s="33"/>
      <c r="J172" s="32"/>
    </row>
    <row r="173" customFormat="false" ht="15" hidden="false" customHeight="false" outlineLevel="0" collapsed="false">
      <c r="A173" s="32"/>
      <c r="B173" s="32"/>
      <c r="C173" s="35"/>
      <c r="D173" s="32"/>
      <c r="E173" s="32"/>
      <c r="F173" s="33"/>
      <c r="G173" s="33"/>
      <c r="H173" s="35"/>
      <c r="I173" s="33"/>
      <c r="J173" s="32"/>
    </row>
    <row r="174" customFormat="false" ht="15" hidden="false" customHeight="false" outlineLevel="0" collapsed="false">
      <c r="A174" s="32"/>
      <c r="B174" s="32"/>
      <c r="C174" s="35"/>
      <c r="D174" s="32"/>
      <c r="E174" s="32"/>
      <c r="F174" s="33"/>
      <c r="G174" s="33"/>
      <c r="H174" s="35"/>
      <c r="I174" s="33"/>
      <c r="J174" s="32"/>
    </row>
    <row r="175" customFormat="false" ht="15" hidden="false" customHeight="false" outlineLevel="0" collapsed="false">
      <c r="A175" s="32"/>
      <c r="B175" s="32"/>
      <c r="C175" s="35"/>
      <c r="D175" s="32"/>
      <c r="E175" s="32"/>
      <c r="F175" s="33"/>
      <c r="G175" s="33"/>
      <c r="H175" s="35"/>
      <c r="I175" s="33"/>
      <c r="J175" s="32"/>
    </row>
    <row r="176" customFormat="false" ht="15" hidden="false" customHeight="false" outlineLevel="0" collapsed="false">
      <c r="A176" s="32"/>
      <c r="B176" s="32"/>
      <c r="C176" s="35"/>
      <c r="D176" s="32"/>
      <c r="E176" s="32"/>
      <c r="F176" s="33"/>
      <c r="G176" s="33"/>
      <c r="H176" s="35"/>
      <c r="I176" s="33"/>
      <c r="J176" s="32"/>
    </row>
    <row r="177" customFormat="false" ht="15" hidden="false" customHeight="false" outlineLevel="0" collapsed="false">
      <c r="A177" s="32"/>
      <c r="B177" s="32"/>
      <c r="C177" s="35"/>
      <c r="D177" s="32"/>
      <c r="E177" s="32"/>
      <c r="F177" s="33"/>
      <c r="G177" s="33"/>
      <c r="H177" s="35"/>
      <c r="I177" s="33"/>
      <c r="J177" s="32"/>
    </row>
    <row r="178" customFormat="false" ht="15" hidden="false" customHeight="false" outlineLevel="0" collapsed="false">
      <c r="A178" s="32"/>
      <c r="B178" s="32"/>
      <c r="C178" s="35"/>
      <c r="D178" s="32"/>
      <c r="E178" s="32"/>
      <c r="F178" s="33"/>
      <c r="G178" s="33"/>
      <c r="H178" s="35"/>
      <c r="I178" s="33"/>
      <c r="J178" s="32"/>
    </row>
    <row r="179" customFormat="false" ht="15" hidden="false" customHeight="false" outlineLevel="0" collapsed="false">
      <c r="A179" s="32"/>
      <c r="B179" s="32"/>
      <c r="C179" s="35"/>
      <c r="D179" s="32"/>
      <c r="E179" s="32"/>
      <c r="F179" s="33"/>
      <c r="G179" s="33"/>
      <c r="H179" s="35"/>
      <c r="I179" s="33"/>
      <c r="J179" s="32"/>
    </row>
    <row r="180" customFormat="false" ht="15" hidden="false" customHeight="false" outlineLevel="0" collapsed="false">
      <c r="A180" s="32"/>
      <c r="B180" s="32"/>
      <c r="C180" s="35"/>
      <c r="D180" s="32"/>
      <c r="E180" s="32"/>
      <c r="F180" s="33"/>
      <c r="G180" s="33"/>
      <c r="H180" s="35"/>
      <c r="I180" s="33"/>
      <c r="J180" s="32"/>
    </row>
    <row r="181" customFormat="false" ht="15" hidden="false" customHeight="false" outlineLevel="0" collapsed="false">
      <c r="A181" s="32"/>
      <c r="B181" s="32"/>
      <c r="C181" s="35"/>
      <c r="D181" s="32"/>
      <c r="E181" s="32"/>
      <c r="F181" s="33"/>
      <c r="G181" s="33"/>
      <c r="H181" s="35"/>
      <c r="I181" s="33"/>
      <c r="J181" s="32"/>
    </row>
    <row r="182" customFormat="false" ht="15" hidden="false" customHeight="false" outlineLevel="0" collapsed="false">
      <c r="A182" s="32"/>
      <c r="B182" s="32"/>
      <c r="C182" s="35"/>
      <c r="D182" s="32"/>
      <c r="E182" s="32"/>
      <c r="F182" s="33"/>
      <c r="G182" s="33"/>
      <c r="H182" s="35"/>
      <c r="I182" s="33"/>
      <c r="J182" s="32"/>
    </row>
    <row r="183" customFormat="false" ht="15" hidden="false" customHeight="false" outlineLevel="0" collapsed="false">
      <c r="A183" s="32"/>
      <c r="B183" s="32"/>
      <c r="C183" s="35"/>
      <c r="D183" s="32"/>
      <c r="E183" s="32"/>
      <c r="F183" s="33"/>
      <c r="G183" s="33"/>
      <c r="H183" s="35"/>
      <c r="I183" s="33"/>
      <c r="J183" s="32"/>
    </row>
    <row r="184" customFormat="false" ht="15" hidden="false" customHeight="false" outlineLevel="0" collapsed="false">
      <c r="A184" s="32"/>
      <c r="B184" s="32"/>
      <c r="C184" s="35"/>
      <c r="D184" s="32"/>
      <c r="E184" s="32"/>
      <c r="F184" s="33"/>
      <c r="G184" s="33"/>
      <c r="H184" s="35"/>
      <c r="I184" s="33"/>
      <c r="J184" s="32"/>
    </row>
    <row r="185" customFormat="false" ht="15" hidden="false" customHeight="false" outlineLevel="0" collapsed="false">
      <c r="A185" s="32"/>
      <c r="B185" s="32"/>
      <c r="C185" s="35"/>
      <c r="D185" s="32"/>
      <c r="E185" s="32"/>
      <c r="F185" s="33"/>
      <c r="G185" s="33"/>
      <c r="H185" s="35"/>
      <c r="I185" s="33"/>
      <c r="J185" s="32"/>
    </row>
    <row r="186" customFormat="false" ht="15" hidden="false" customHeight="false" outlineLevel="0" collapsed="false">
      <c r="A186" s="32"/>
      <c r="B186" s="32"/>
      <c r="C186" s="35"/>
      <c r="D186" s="32"/>
      <c r="E186" s="32"/>
      <c r="F186" s="33"/>
      <c r="G186" s="33"/>
      <c r="H186" s="35"/>
      <c r="I186" s="33"/>
      <c r="J186" s="32"/>
    </row>
    <row r="187" customFormat="false" ht="15" hidden="false" customHeight="false" outlineLevel="0" collapsed="false">
      <c r="A187" s="32"/>
      <c r="B187" s="32"/>
      <c r="C187" s="35"/>
      <c r="D187" s="32"/>
      <c r="E187" s="32"/>
      <c r="F187" s="33"/>
      <c r="G187" s="33"/>
      <c r="H187" s="35"/>
      <c r="I187" s="33"/>
      <c r="J187" s="32"/>
    </row>
    <row r="188" customFormat="false" ht="15" hidden="false" customHeight="false" outlineLevel="0" collapsed="false">
      <c r="A188" s="32"/>
      <c r="B188" s="32"/>
      <c r="C188" s="35"/>
      <c r="D188" s="32"/>
      <c r="E188" s="32"/>
      <c r="F188" s="33"/>
      <c r="G188" s="33"/>
      <c r="H188" s="35"/>
      <c r="I188" s="33"/>
      <c r="J188" s="32"/>
    </row>
    <row r="189" customFormat="false" ht="15" hidden="false" customHeight="false" outlineLevel="0" collapsed="false">
      <c r="A189" s="32"/>
      <c r="B189" s="32"/>
      <c r="C189" s="35"/>
      <c r="D189" s="32"/>
      <c r="E189" s="32"/>
      <c r="F189" s="33"/>
      <c r="G189" s="33"/>
      <c r="H189" s="35"/>
      <c r="I189" s="33"/>
      <c r="J189" s="32"/>
    </row>
    <row r="190" customFormat="false" ht="15" hidden="false" customHeight="false" outlineLevel="0" collapsed="false">
      <c r="A190" s="32"/>
      <c r="B190" s="32"/>
      <c r="C190" s="35"/>
      <c r="D190" s="32"/>
      <c r="E190" s="32"/>
      <c r="F190" s="33"/>
      <c r="G190" s="33"/>
      <c r="H190" s="35"/>
      <c r="I190" s="33"/>
      <c r="J190" s="32"/>
    </row>
    <row r="191" customFormat="false" ht="15" hidden="false" customHeight="false" outlineLevel="0" collapsed="false">
      <c r="A191" s="32"/>
      <c r="B191" s="32"/>
      <c r="C191" s="35"/>
      <c r="D191" s="32"/>
      <c r="E191" s="32"/>
      <c r="F191" s="33"/>
      <c r="G191" s="33"/>
      <c r="H191" s="35"/>
      <c r="I191" s="33"/>
      <c r="J191" s="32"/>
    </row>
    <row r="192" customFormat="false" ht="15" hidden="false" customHeight="false" outlineLevel="0" collapsed="false">
      <c r="A192" s="32"/>
      <c r="B192" s="32"/>
      <c r="C192" s="35"/>
      <c r="D192" s="32"/>
      <c r="E192" s="32"/>
      <c r="F192" s="33"/>
      <c r="G192" s="33"/>
      <c r="H192" s="35"/>
      <c r="I192" s="33"/>
      <c r="J192" s="32"/>
    </row>
    <row r="193" customFormat="false" ht="15" hidden="false" customHeight="false" outlineLevel="0" collapsed="false">
      <c r="A193" s="32"/>
      <c r="B193" s="32"/>
      <c r="C193" s="35"/>
      <c r="D193" s="32"/>
      <c r="E193" s="32"/>
      <c r="F193" s="33"/>
      <c r="G193" s="33"/>
      <c r="H193" s="35"/>
      <c r="I193" s="33"/>
      <c r="J193" s="32"/>
    </row>
    <row r="194" customFormat="false" ht="15" hidden="false" customHeight="false" outlineLevel="0" collapsed="false">
      <c r="A194" s="32"/>
      <c r="B194" s="32"/>
      <c r="C194" s="35"/>
      <c r="D194" s="32"/>
      <c r="E194" s="32"/>
      <c r="F194" s="33"/>
      <c r="G194" s="33"/>
      <c r="H194" s="35"/>
      <c r="I194" s="33"/>
      <c r="J194" s="32"/>
    </row>
    <row r="195" customFormat="false" ht="15" hidden="false" customHeight="false" outlineLevel="0" collapsed="false">
      <c r="A195" s="32"/>
      <c r="B195" s="32"/>
      <c r="C195" s="35"/>
      <c r="D195" s="32"/>
      <c r="E195" s="32"/>
      <c r="F195" s="33"/>
      <c r="G195" s="33"/>
      <c r="H195" s="35"/>
      <c r="I195" s="33"/>
      <c r="J195" s="32"/>
    </row>
    <row r="196" customFormat="false" ht="15" hidden="false" customHeight="false" outlineLevel="0" collapsed="false">
      <c r="A196" s="32"/>
      <c r="B196" s="32"/>
      <c r="C196" s="35"/>
      <c r="D196" s="32"/>
      <c r="E196" s="32"/>
      <c r="F196" s="33"/>
      <c r="G196" s="33"/>
      <c r="H196" s="35"/>
      <c r="I196" s="33"/>
      <c r="J196" s="32"/>
    </row>
    <row r="197" customFormat="false" ht="15" hidden="false" customHeight="false" outlineLevel="0" collapsed="false">
      <c r="A197" s="32"/>
      <c r="B197" s="32"/>
      <c r="C197" s="35"/>
      <c r="D197" s="32"/>
      <c r="E197" s="32"/>
      <c r="F197" s="33"/>
      <c r="G197" s="33"/>
      <c r="H197" s="35"/>
      <c r="I197" s="33"/>
      <c r="J197" s="32"/>
    </row>
    <row r="198" customFormat="false" ht="15" hidden="false" customHeight="false" outlineLevel="0" collapsed="false">
      <c r="A198" s="32"/>
      <c r="B198" s="32"/>
      <c r="C198" s="35"/>
      <c r="D198" s="32"/>
      <c r="E198" s="32"/>
      <c r="F198" s="33"/>
      <c r="G198" s="33"/>
      <c r="H198" s="35"/>
      <c r="I198" s="33"/>
      <c r="J198" s="32"/>
    </row>
    <row r="199" customFormat="false" ht="15" hidden="false" customHeight="false" outlineLevel="0" collapsed="false">
      <c r="A199" s="32"/>
      <c r="B199" s="32"/>
      <c r="C199" s="35"/>
      <c r="D199" s="32"/>
      <c r="E199" s="32"/>
      <c r="F199" s="33"/>
      <c r="G199" s="33"/>
      <c r="H199" s="35"/>
      <c r="I199" s="33"/>
      <c r="J199" s="32"/>
    </row>
    <row r="200" customFormat="false" ht="15" hidden="false" customHeight="false" outlineLevel="0" collapsed="false">
      <c r="A200" s="32"/>
      <c r="B200" s="32"/>
      <c r="C200" s="35"/>
      <c r="D200" s="32"/>
      <c r="E200" s="32"/>
      <c r="F200" s="33"/>
      <c r="G200" s="33"/>
      <c r="H200" s="35"/>
      <c r="I200" s="33"/>
      <c r="J200" s="32"/>
    </row>
    <row r="201" customFormat="false" ht="15" hidden="false" customHeight="false" outlineLevel="0" collapsed="false">
      <c r="A201" s="32"/>
      <c r="B201" s="32"/>
      <c r="C201" s="35"/>
      <c r="D201" s="32"/>
      <c r="E201" s="32"/>
      <c r="F201" s="33"/>
      <c r="G201" s="33"/>
      <c r="H201" s="35"/>
      <c r="I201" s="33"/>
      <c r="J201" s="32"/>
    </row>
    <row r="202" customFormat="false" ht="15" hidden="false" customHeight="false" outlineLevel="0" collapsed="false">
      <c r="A202" s="32"/>
      <c r="B202" s="32"/>
      <c r="C202" s="35"/>
      <c r="D202" s="32"/>
      <c r="E202" s="32"/>
      <c r="F202" s="33"/>
      <c r="G202" s="33"/>
      <c r="H202" s="35"/>
      <c r="I202" s="33"/>
      <c r="J202" s="32"/>
    </row>
    <row r="203" customFormat="false" ht="15" hidden="false" customHeight="false" outlineLevel="0" collapsed="false">
      <c r="A203" s="32"/>
      <c r="B203" s="32"/>
      <c r="C203" s="35"/>
      <c r="D203" s="32"/>
      <c r="E203" s="32"/>
      <c r="F203" s="33"/>
      <c r="G203" s="33"/>
      <c r="H203" s="35"/>
      <c r="I203" s="33"/>
      <c r="J203" s="32"/>
    </row>
    <row r="204" customFormat="false" ht="15" hidden="false" customHeight="false" outlineLevel="0" collapsed="false">
      <c r="A204" s="32"/>
      <c r="B204" s="32"/>
      <c r="C204" s="35"/>
      <c r="D204" s="32"/>
      <c r="E204" s="32"/>
      <c r="F204" s="33"/>
      <c r="G204" s="33"/>
      <c r="H204" s="35"/>
      <c r="I204" s="33"/>
      <c r="J204" s="32"/>
    </row>
    <row r="205" customFormat="false" ht="15" hidden="false" customHeight="false" outlineLevel="0" collapsed="false">
      <c r="A205" s="32"/>
      <c r="B205" s="32"/>
      <c r="C205" s="35"/>
      <c r="D205" s="32"/>
      <c r="E205" s="32"/>
      <c r="F205" s="33"/>
      <c r="G205" s="33"/>
      <c r="H205" s="35"/>
      <c r="I205" s="33"/>
      <c r="J205" s="32"/>
    </row>
    <row r="206" customFormat="false" ht="15" hidden="false" customHeight="false" outlineLevel="0" collapsed="false">
      <c r="A206" s="32"/>
      <c r="B206" s="32"/>
      <c r="C206" s="35"/>
      <c r="D206" s="32"/>
      <c r="E206" s="32"/>
      <c r="F206" s="33"/>
      <c r="G206" s="33"/>
      <c r="H206" s="35"/>
      <c r="I206" s="33"/>
      <c r="J206" s="32"/>
    </row>
    <row r="207" customFormat="false" ht="15" hidden="false" customHeight="false" outlineLevel="0" collapsed="false">
      <c r="A207" s="32"/>
      <c r="B207" s="32"/>
      <c r="C207" s="35"/>
      <c r="D207" s="32"/>
      <c r="E207" s="32"/>
      <c r="F207" s="33"/>
      <c r="G207" s="33"/>
      <c r="H207" s="35"/>
      <c r="I207" s="33"/>
      <c r="J207" s="32"/>
    </row>
    <row r="208" customFormat="false" ht="15" hidden="false" customHeight="false" outlineLevel="0" collapsed="false">
      <c r="A208" s="32"/>
      <c r="B208" s="32"/>
      <c r="C208" s="35"/>
      <c r="D208" s="32"/>
      <c r="E208" s="32"/>
      <c r="F208" s="33"/>
      <c r="G208" s="33"/>
      <c r="H208" s="35"/>
      <c r="I208" s="33"/>
      <c r="J208" s="32"/>
    </row>
    <row r="209" customFormat="false" ht="15" hidden="false" customHeight="false" outlineLevel="0" collapsed="false">
      <c r="A209" s="32"/>
      <c r="B209" s="32"/>
      <c r="C209" s="35"/>
      <c r="D209" s="32"/>
      <c r="E209" s="32"/>
      <c r="F209" s="33"/>
      <c r="G209" s="33"/>
      <c r="H209" s="35"/>
      <c r="I209" s="33"/>
      <c r="J209" s="32"/>
    </row>
    <row r="210" customFormat="false" ht="15" hidden="false" customHeight="false" outlineLevel="0" collapsed="false">
      <c r="A210" s="32"/>
      <c r="B210" s="32"/>
      <c r="C210" s="35"/>
      <c r="D210" s="32"/>
      <c r="E210" s="32"/>
      <c r="F210" s="33"/>
      <c r="G210" s="33"/>
      <c r="H210" s="35"/>
      <c r="I210" s="33"/>
      <c r="J210" s="32"/>
    </row>
    <row r="211" customFormat="false" ht="15" hidden="false" customHeight="false" outlineLevel="0" collapsed="false">
      <c r="A211" s="32"/>
      <c r="B211" s="32"/>
      <c r="C211" s="35"/>
      <c r="D211" s="32"/>
      <c r="E211" s="32"/>
      <c r="F211" s="33"/>
      <c r="G211" s="33"/>
      <c r="H211" s="35"/>
      <c r="I211" s="33"/>
      <c r="J211" s="32"/>
    </row>
    <row r="212" customFormat="false" ht="15" hidden="false" customHeight="false" outlineLevel="0" collapsed="false">
      <c r="A212" s="32"/>
      <c r="B212" s="32"/>
      <c r="C212" s="35"/>
      <c r="D212" s="32"/>
      <c r="E212" s="32"/>
      <c r="F212" s="33"/>
      <c r="G212" s="33"/>
      <c r="H212" s="35"/>
      <c r="I212" s="33"/>
      <c r="J212" s="32"/>
    </row>
    <row r="213" customFormat="false" ht="15" hidden="false" customHeight="false" outlineLevel="0" collapsed="false">
      <c r="A213" s="32"/>
      <c r="B213" s="32"/>
      <c r="C213" s="35"/>
      <c r="D213" s="32"/>
      <c r="E213" s="32"/>
      <c r="F213" s="33"/>
      <c r="G213" s="33"/>
      <c r="H213" s="35"/>
      <c r="I213" s="33"/>
      <c r="J213" s="32"/>
    </row>
    <row r="214" customFormat="false" ht="15" hidden="false" customHeight="false" outlineLevel="0" collapsed="false">
      <c r="A214" s="32"/>
      <c r="B214" s="32"/>
      <c r="C214" s="35"/>
      <c r="D214" s="32"/>
      <c r="E214" s="32"/>
      <c r="F214" s="33"/>
      <c r="G214" s="33"/>
      <c r="H214" s="35"/>
      <c r="I214" s="33"/>
      <c r="J214" s="32"/>
    </row>
    <row r="215" customFormat="false" ht="15" hidden="false" customHeight="false" outlineLevel="0" collapsed="false">
      <c r="A215" s="32"/>
      <c r="B215" s="32"/>
      <c r="C215" s="35"/>
      <c r="D215" s="32"/>
      <c r="E215" s="32"/>
      <c r="F215" s="33"/>
      <c r="G215" s="33"/>
      <c r="H215" s="35"/>
      <c r="I215" s="33"/>
      <c r="J215" s="32"/>
    </row>
    <row r="216" customFormat="false" ht="15" hidden="false" customHeight="false" outlineLevel="0" collapsed="false">
      <c r="A216" s="32"/>
      <c r="B216" s="32"/>
      <c r="C216" s="35"/>
      <c r="D216" s="32"/>
      <c r="E216" s="32"/>
      <c r="F216" s="33"/>
      <c r="G216" s="33"/>
      <c r="H216" s="35"/>
      <c r="I216" s="33"/>
      <c r="J216" s="32"/>
    </row>
    <row r="217" customFormat="false" ht="15" hidden="false" customHeight="false" outlineLevel="0" collapsed="false">
      <c r="A217" s="32"/>
      <c r="B217" s="32"/>
      <c r="C217" s="35"/>
      <c r="D217" s="32"/>
      <c r="E217" s="32"/>
      <c r="F217" s="33"/>
      <c r="G217" s="33"/>
      <c r="H217" s="35"/>
      <c r="I217" s="33"/>
      <c r="J217" s="32"/>
    </row>
    <row r="218" customFormat="false" ht="15" hidden="false" customHeight="false" outlineLevel="0" collapsed="false">
      <c r="A218" s="32"/>
      <c r="B218" s="32"/>
      <c r="C218" s="35"/>
      <c r="D218" s="32"/>
      <c r="E218" s="32"/>
      <c r="F218" s="33"/>
      <c r="G218" s="33"/>
      <c r="H218" s="35"/>
      <c r="I218" s="33"/>
      <c r="J218" s="32"/>
    </row>
    <row r="219" customFormat="false" ht="15" hidden="false" customHeight="false" outlineLevel="0" collapsed="false">
      <c r="A219" s="32"/>
      <c r="B219" s="32"/>
      <c r="C219" s="35"/>
      <c r="D219" s="32"/>
      <c r="E219" s="32"/>
      <c r="F219" s="33"/>
      <c r="G219" s="33"/>
      <c r="H219" s="35"/>
      <c r="I219" s="33"/>
      <c r="J219" s="32"/>
    </row>
    <row r="220" customFormat="false" ht="15" hidden="false" customHeight="false" outlineLevel="0" collapsed="false">
      <c r="A220" s="32"/>
      <c r="B220" s="32"/>
      <c r="C220" s="35"/>
      <c r="D220" s="32"/>
      <c r="E220" s="32"/>
      <c r="F220" s="33"/>
      <c r="G220" s="33"/>
      <c r="H220" s="35"/>
      <c r="I220" s="33"/>
      <c r="J220" s="32"/>
    </row>
    <row r="221" customFormat="false" ht="15" hidden="false" customHeight="false" outlineLevel="0" collapsed="false">
      <c r="A221" s="32"/>
      <c r="B221" s="32"/>
      <c r="C221" s="35"/>
      <c r="D221" s="32"/>
      <c r="E221" s="32"/>
      <c r="F221" s="33"/>
      <c r="G221" s="33"/>
      <c r="H221" s="35"/>
      <c r="I221" s="33"/>
      <c r="J221" s="32"/>
    </row>
    <row r="222" customFormat="false" ht="15" hidden="false" customHeight="false" outlineLevel="0" collapsed="false">
      <c r="A222" s="32"/>
      <c r="B222" s="32"/>
      <c r="C222" s="35"/>
      <c r="D222" s="32"/>
      <c r="E222" s="32"/>
      <c r="F222" s="33"/>
      <c r="G222" s="33"/>
      <c r="H222" s="35"/>
      <c r="I222" s="33"/>
      <c r="J222" s="32"/>
    </row>
    <row r="223" customFormat="false" ht="15" hidden="false" customHeight="false" outlineLevel="0" collapsed="false">
      <c r="A223" s="32"/>
      <c r="B223" s="32"/>
      <c r="C223" s="35"/>
      <c r="D223" s="32"/>
      <c r="E223" s="32"/>
      <c r="F223" s="33"/>
      <c r="G223" s="33"/>
      <c r="H223" s="35"/>
      <c r="I223" s="33"/>
      <c r="J223" s="32"/>
    </row>
    <row r="224" customFormat="false" ht="15" hidden="false" customHeight="false" outlineLevel="0" collapsed="false">
      <c r="A224" s="32"/>
      <c r="B224" s="32"/>
      <c r="C224" s="35"/>
      <c r="D224" s="32"/>
      <c r="E224" s="32"/>
      <c r="F224" s="33"/>
      <c r="G224" s="33"/>
      <c r="H224" s="35"/>
      <c r="I224" s="33"/>
      <c r="J224" s="32"/>
    </row>
    <row r="225" customFormat="false" ht="15" hidden="false" customHeight="false" outlineLevel="0" collapsed="false">
      <c r="A225" s="32"/>
      <c r="B225" s="32"/>
      <c r="C225" s="35"/>
      <c r="D225" s="32"/>
      <c r="E225" s="32"/>
      <c r="F225" s="33"/>
      <c r="G225" s="33"/>
      <c r="H225" s="35"/>
      <c r="I225" s="33"/>
      <c r="J225" s="32"/>
    </row>
    <row r="226" customFormat="false" ht="15" hidden="false" customHeight="false" outlineLevel="0" collapsed="false">
      <c r="A226" s="32"/>
      <c r="B226" s="32"/>
      <c r="C226" s="35"/>
      <c r="D226" s="32"/>
      <c r="E226" s="32"/>
      <c r="F226" s="33"/>
      <c r="G226" s="33"/>
      <c r="H226" s="35"/>
      <c r="I226" s="33"/>
      <c r="J226" s="32"/>
    </row>
    <row r="227" customFormat="false" ht="15" hidden="false" customHeight="false" outlineLevel="0" collapsed="false">
      <c r="A227" s="32"/>
      <c r="B227" s="32"/>
      <c r="C227" s="35"/>
      <c r="D227" s="32"/>
      <c r="E227" s="32"/>
      <c r="F227" s="33"/>
      <c r="G227" s="33"/>
      <c r="H227" s="35"/>
      <c r="I227" s="33"/>
      <c r="J227" s="32"/>
    </row>
    <row r="228" customFormat="false" ht="15" hidden="false" customHeight="false" outlineLevel="0" collapsed="false">
      <c r="A228" s="32"/>
      <c r="B228" s="32"/>
      <c r="C228" s="35"/>
      <c r="D228" s="32"/>
      <c r="E228" s="32"/>
      <c r="F228" s="33"/>
      <c r="G228" s="33"/>
      <c r="H228" s="35"/>
      <c r="I228" s="33"/>
      <c r="J228" s="32"/>
    </row>
    <row r="229" customFormat="false" ht="15" hidden="false" customHeight="false" outlineLevel="0" collapsed="false">
      <c r="A229" s="32"/>
      <c r="B229" s="32"/>
      <c r="C229" s="35"/>
      <c r="D229" s="32"/>
      <c r="E229" s="32"/>
      <c r="F229" s="33"/>
      <c r="G229" s="33"/>
      <c r="H229" s="35"/>
      <c r="I229" s="33"/>
      <c r="J229" s="32"/>
    </row>
    <row r="230" customFormat="false" ht="15" hidden="false" customHeight="false" outlineLevel="0" collapsed="false">
      <c r="A230" s="32"/>
      <c r="B230" s="32"/>
      <c r="C230" s="35"/>
      <c r="D230" s="32"/>
      <c r="E230" s="32"/>
      <c r="F230" s="33"/>
      <c r="G230" s="33"/>
      <c r="H230" s="35"/>
      <c r="I230" s="33"/>
      <c r="J230" s="32"/>
    </row>
    <row r="231" customFormat="false" ht="15" hidden="false" customHeight="false" outlineLevel="0" collapsed="false">
      <c r="A231" s="32"/>
      <c r="B231" s="32"/>
      <c r="C231" s="35"/>
      <c r="D231" s="32"/>
      <c r="E231" s="32"/>
      <c r="F231" s="33"/>
      <c r="G231" s="33"/>
      <c r="H231" s="35"/>
      <c r="I231" s="33"/>
      <c r="J231" s="32"/>
    </row>
    <row r="232" customFormat="false" ht="15" hidden="false" customHeight="false" outlineLevel="0" collapsed="false">
      <c r="A232" s="32"/>
      <c r="B232" s="32"/>
      <c r="C232" s="35"/>
      <c r="D232" s="32"/>
      <c r="E232" s="32"/>
      <c r="F232" s="33"/>
      <c r="G232" s="33"/>
      <c r="H232" s="35"/>
      <c r="I232" s="33"/>
      <c r="J232" s="32"/>
    </row>
    <row r="233" customFormat="false" ht="15" hidden="false" customHeight="false" outlineLevel="0" collapsed="false">
      <c r="A233" s="32"/>
      <c r="B233" s="32"/>
      <c r="C233" s="35"/>
      <c r="D233" s="32"/>
      <c r="E233" s="32"/>
      <c r="F233" s="33"/>
      <c r="G233" s="33"/>
      <c r="H233" s="35"/>
      <c r="I233" s="33"/>
      <c r="J233" s="32"/>
    </row>
    <row r="234" customFormat="false" ht="15" hidden="false" customHeight="false" outlineLevel="0" collapsed="false">
      <c r="A234" s="32"/>
      <c r="B234" s="32"/>
      <c r="C234" s="35"/>
      <c r="D234" s="32"/>
      <c r="E234" s="32"/>
      <c r="F234" s="33"/>
      <c r="G234" s="33"/>
      <c r="H234" s="35"/>
      <c r="I234" s="33"/>
      <c r="J234" s="32"/>
    </row>
    <row r="235" customFormat="false" ht="15" hidden="false" customHeight="false" outlineLevel="0" collapsed="false">
      <c r="A235" s="32"/>
      <c r="B235" s="32"/>
      <c r="C235" s="35"/>
      <c r="D235" s="32"/>
      <c r="E235" s="32"/>
      <c r="F235" s="33"/>
      <c r="G235" s="33"/>
      <c r="H235" s="35"/>
      <c r="I235" s="33"/>
      <c r="J235" s="32"/>
    </row>
    <row r="236" customFormat="false" ht="15" hidden="false" customHeight="false" outlineLevel="0" collapsed="false">
      <c r="A236" s="32"/>
      <c r="B236" s="32"/>
      <c r="C236" s="35"/>
      <c r="D236" s="32"/>
      <c r="E236" s="32"/>
      <c r="F236" s="33"/>
      <c r="G236" s="33"/>
      <c r="H236" s="35"/>
      <c r="I236" s="33"/>
      <c r="J236" s="32"/>
    </row>
    <row r="237" customFormat="false" ht="15" hidden="false" customHeight="false" outlineLevel="0" collapsed="false">
      <c r="A237" s="32"/>
      <c r="B237" s="32"/>
      <c r="C237" s="35"/>
      <c r="D237" s="32"/>
      <c r="E237" s="32"/>
      <c r="F237" s="33"/>
      <c r="G237" s="33"/>
      <c r="H237" s="35"/>
      <c r="I237" s="33"/>
      <c r="J237" s="32"/>
    </row>
    <row r="238" customFormat="false" ht="15" hidden="false" customHeight="false" outlineLevel="0" collapsed="false">
      <c r="A238" s="32"/>
      <c r="B238" s="32"/>
      <c r="C238" s="35"/>
      <c r="D238" s="32"/>
      <c r="E238" s="32"/>
      <c r="F238" s="33"/>
      <c r="G238" s="33"/>
      <c r="H238" s="35"/>
      <c r="I238" s="33"/>
      <c r="J238" s="32"/>
    </row>
    <row r="239" customFormat="false" ht="15" hidden="false" customHeight="false" outlineLevel="0" collapsed="false">
      <c r="A239" s="32"/>
      <c r="B239" s="32"/>
      <c r="C239" s="35"/>
      <c r="D239" s="32"/>
      <c r="E239" s="32"/>
      <c r="F239" s="33"/>
      <c r="G239" s="33"/>
      <c r="H239" s="35"/>
      <c r="I239" s="33"/>
      <c r="J239" s="32"/>
    </row>
    <row r="240" customFormat="false" ht="15" hidden="false" customHeight="false" outlineLevel="0" collapsed="false">
      <c r="A240" s="32"/>
      <c r="B240" s="32"/>
      <c r="C240" s="35"/>
      <c r="D240" s="32"/>
      <c r="E240" s="32"/>
      <c r="F240" s="33"/>
      <c r="G240" s="33"/>
      <c r="H240" s="35"/>
      <c r="I240" s="33"/>
      <c r="J240" s="32"/>
    </row>
    <row r="241" customFormat="false" ht="15" hidden="false" customHeight="false" outlineLevel="0" collapsed="false">
      <c r="A241" s="32"/>
      <c r="B241" s="32"/>
      <c r="C241" s="35"/>
      <c r="D241" s="32"/>
      <c r="E241" s="32"/>
      <c r="F241" s="33"/>
      <c r="G241" s="33"/>
      <c r="H241" s="35"/>
      <c r="I241" s="33"/>
      <c r="J241" s="32"/>
    </row>
    <row r="242" customFormat="false" ht="15" hidden="false" customHeight="false" outlineLevel="0" collapsed="false">
      <c r="A242" s="32"/>
      <c r="B242" s="32"/>
      <c r="C242" s="35"/>
      <c r="D242" s="32"/>
      <c r="E242" s="32"/>
      <c r="F242" s="33"/>
      <c r="G242" s="33"/>
      <c r="H242" s="35"/>
      <c r="I242" s="33"/>
      <c r="J242" s="32"/>
    </row>
    <row r="243" customFormat="false" ht="15" hidden="false" customHeight="false" outlineLevel="0" collapsed="false">
      <c r="A243" s="32"/>
      <c r="B243" s="32"/>
      <c r="C243" s="35"/>
      <c r="D243" s="32"/>
      <c r="E243" s="32"/>
      <c r="F243" s="33"/>
      <c r="G243" s="33"/>
      <c r="H243" s="35"/>
      <c r="I243" s="33"/>
      <c r="J243" s="32"/>
    </row>
    <row r="244" customFormat="false" ht="15" hidden="false" customHeight="false" outlineLevel="0" collapsed="false">
      <c r="A244" s="32"/>
      <c r="B244" s="32"/>
      <c r="C244" s="35"/>
      <c r="D244" s="32"/>
      <c r="E244" s="32"/>
      <c r="F244" s="33"/>
      <c r="G244" s="33"/>
      <c r="H244" s="35"/>
      <c r="I244" s="33"/>
      <c r="J244" s="32"/>
    </row>
    <row r="245" customFormat="false" ht="15" hidden="false" customHeight="false" outlineLevel="0" collapsed="false">
      <c r="A245" s="32"/>
      <c r="B245" s="32"/>
      <c r="C245" s="35"/>
      <c r="D245" s="32"/>
      <c r="E245" s="32"/>
      <c r="F245" s="33"/>
      <c r="G245" s="33"/>
      <c r="H245" s="35"/>
      <c r="I245" s="33"/>
      <c r="J245" s="32"/>
    </row>
    <row r="246" customFormat="false" ht="15" hidden="false" customHeight="false" outlineLevel="0" collapsed="false">
      <c r="A246" s="32"/>
      <c r="B246" s="32"/>
      <c r="C246" s="35"/>
      <c r="D246" s="32"/>
      <c r="E246" s="32"/>
      <c r="F246" s="33"/>
      <c r="G246" s="33"/>
      <c r="H246" s="35"/>
      <c r="I246" s="33"/>
      <c r="J246" s="32"/>
    </row>
    <row r="247" customFormat="false" ht="15" hidden="false" customHeight="false" outlineLevel="0" collapsed="false">
      <c r="A247" s="32"/>
      <c r="B247" s="32"/>
      <c r="C247" s="35"/>
      <c r="D247" s="32"/>
      <c r="E247" s="32"/>
      <c r="F247" s="33"/>
      <c r="G247" s="33"/>
      <c r="H247" s="35"/>
      <c r="I247" s="33"/>
      <c r="J247" s="32"/>
    </row>
    <row r="248" customFormat="false" ht="15" hidden="false" customHeight="false" outlineLevel="0" collapsed="false">
      <c r="A248" s="32"/>
      <c r="B248" s="32"/>
      <c r="C248" s="35"/>
      <c r="D248" s="32"/>
      <c r="E248" s="32"/>
      <c r="F248" s="33"/>
      <c r="G248" s="33"/>
      <c r="H248" s="35"/>
      <c r="I248" s="33"/>
      <c r="J248" s="32"/>
    </row>
    <row r="249" customFormat="false" ht="15" hidden="false" customHeight="false" outlineLevel="0" collapsed="false">
      <c r="A249" s="32"/>
      <c r="B249" s="32"/>
      <c r="C249" s="35"/>
      <c r="D249" s="32"/>
      <c r="E249" s="32"/>
      <c r="F249" s="33"/>
      <c r="G249" s="33"/>
      <c r="H249" s="35"/>
      <c r="I249" s="33"/>
      <c r="J249" s="32"/>
    </row>
    <row r="250" customFormat="false" ht="15" hidden="false" customHeight="false" outlineLevel="0" collapsed="false">
      <c r="A250" s="32"/>
      <c r="B250" s="32"/>
      <c r="C250" s="35"/>
      <c r="D250" s="32"/>
      <c r="E250" s="32"/>
      <c r="F250" s="33"/>
      <c r="G250" s="33"/>
      <c r="H250" s="35"/>
      <c r="I250" s="33"/>
      <c r="J250" s="32"/>
    </row>
    <row r="251" customFormat="false" ht="15" hidden="false" customHeight="false" outlineLevel="0" collapsed="false">
      <c r="A251" s="32"/>
      <c r="B251" s="32"/>
      <c r="C251" s="35"/>
      <c r="D251" s="32"/>
      <c r="E251" s="32"/>
      <c r="F251" s="33"/>
      <c r="G251" s="33"/>
      <c r="H251" s="35"/>
      <c r="I251" s="33"/>
      <c r="J251" s="32"/>
    </row>
    <row r="252" customFormat="false" ht="15" hidden="false" customHeight="false" outlineLevel="0" collapsed="false">
      <c r="A252" s="32"/>
      <c r="B252" s="32"/>
      <c r="C252" s="35"/>
      <c r="D252" s="32"/>
      <c r="E252" s="32"/>
      <c r="F252" s="33"/>
      <c r="G252" s="33"/>
      <c r="H252" s="35"/>
      <c r="I252" s="33"/>
      <c r="J252" s="32"/>
    </row>
    <row r="253" customFormat="false" ht="15" hidden="false" customHeight="false" outlineLevel="0" collapsed="false">
      <c r="A253" s="32"/>
      <c r="B253" s="32"/>
      <c r="C253" s="35"/>
      <c r="D253" s="32"/>
      <c r="E253" s="32"/>
      <c r="F253" s="33"/>
      <c r="G253" s="33"/>
      <c r="H253" s="35"/>
      <c r="I253" s="33"/>
      <c r="J253" s="32"/>
    </row>
    <row r="254" customFormat="false" ht="15" hidden="false" customHeight="false" outlineLevel="0" collapsed="false">
      <c r="A254" s="32"/>
      <c r="B254" s="32"/>
      <c r="C254" s="35"/>
      <c r="D254" s="32"/>
      <c r="E254" s="32"/>
      <c r="F254" s="33"/>
      <c r="G254" s="33"/>
      <c r="H254" s="35"/>
      <c r="I254" s="33"/>
      <c r="J254" s="32"/>
    </row>
    <row r="255" customFormat="false" ht="15" hidden="false" customHeight="false" outlineLevel="0" collapsed="false">
      <c r="A255" s="32"/>
      <c r="B255" s="32"/>
      <c r="C255" s="35"/>
      <c r="D255" s="32"/>
      <c r="E255" s="32"/>
      <c r="F255" s="33"/>
      <c r="G255" s="33"/>
      <c r="H255" s="35"/>
      <c r="I255" s="33"/>
      <c r="J255" s="32"/>
    </row>
    <row r="256" customFormat="false" ht="15" hidden="false" customHeight="false" outlineLevel="0" collapsed="false">
      <c r="A256" s="32"/>
      <c r="B256" s="32"/>
      <c r="C256" s="35"/>
      <c r="D256" s="32"/>
      <c r="E256" s="32"/>
      <c r="F256" s="33"/>
      <c r="G256" s="33"/>
      <c r="H256" s="35"/>
      <c r="I256" s="33"/>
      <c r="J256" s="32"/>
    </row>
    <row r="257" customFormat="false" ht="15" hidden="false" customHeight="false" outlineLevel="0" collapsed="false">
      <c r="A257" s="32"/>
      <c r="B257" s="32"/>
      <c r="C257" s="35"/>
      <c r="D257" s="32"/>
      <c r="E257" s="32"/>
      <c r="F257" s="33"/>
      <c r="G257" s="33"/>
      <c r="H257" s="35"/>
      <c r="I257" s="33"/>
      <c r="J257" s="32"/>
    </row>
    <row r="258" customFormat="false" ht="15" hidden="false" customHeight="false" outlineLevel="0" collapsed="false">
      <c r="A258" s="32"/>
      <c r="B258" s="32"/>
      <c r="C258" s="35"/>
      <c r="D258" s="32"/>
      <c r="E258" s="32"/>
      <c r="F258" s="33"/>
      <c r="G258" s="33"/>
      <c r="H258" s="35"/>
      <c r="I258" s="33"/>
      <c r="J258" s="32"/>
    </row>
    <row r="259" customFormat="false" ht="15" hidden="false" customHeight="false" outlineLevel="0" collapsed="false">
      <c r="A259" s="32"/>
      <c r="B259" s="32"/>
      <c r="C259" s="35"/>
      <c r="D259" s="32"/>
      <c r="E259" s="32"/>
      <c r="F259" s="33"/>
      <c r="G259" s="33"/>
      <c r="H259" s="35"/>
      <c r="I259" s="33"/>
      <c r="J259" s="32"/>
    </row>
    <row r="260" customFormat="false" ht="15" hidden="false" customHeight="false" outlineLevel="0" collapsed="false">
      <c r="A260" s="32"/>
      <c r="B260" s="32"/>
      <c r="C260" s="35"/>
      <c r="D260" s="32"/>
      <c r="E260" s="32"/>
      <c r="F260" s="33"/>
      <c r="G260" s="33"/>
      <c r="H260" s="35"/>
      <c r="I260" s="33"/>
      <c r="J260" s="32"/>
    </row>
    <row r="261" customFormat="false" ht="15" hidden="false" customHeight="false" outlineLevel="0" collapsed="false">
      <c r="A261" s="32"/>
      <c r="B261" s="32"/>
      <c r="C261" s="35"/>
      <c r="D261" s="32"/>
      <c r="E261" s="32"/>
      <c r="F261" s="33"/>
      <c r="G261" s="33"/>
      <c r="H261" s="35"/>
      <c r="I261" s="33"/>
      <c r="J261" s="32"/>
    </row>
    <row r="262" customFormat="false" ht="15" hidden="false" customHeight="false" outlineLevel="0" collapsed="false">
      <c r="A262" s="32"/>
      <c r="B262" s="32"/>
      <c r="C262" s="35"/>
      <c r="D262" s="32"/>
      <c r="E262" s="32"/>
      <c r="F262" s="33"/>
      <c r="G262" s="33"/>
      <c r="H262" s="35"/>
      <c r="I262" s="33"/>
      <c r="J262" s="32"/>
    </row>
    <row r="263" customFormat="false" ht="15" hidden="false" customHeight="false" outlineLevel="0" collapsed="false">
      <c r="A263" s="32"/>
      <c r="B263" s="32"/>
      <c r="C263" s="35"/>
      <c r="D263" s="32"/>
      <c r="E263" s="32"/>
      <c r="F263" s="33"/>
      <c r="G263" s="33"/>
      <c r="H263" s="35"/>
      <c r="I263" s="33"/>
      <c r="J263" s="32"/>
    </row>
    <row r="264" customFormat="false" ht="15" hidden="false" customHeight="false" outlineLevel="0" collapsed="false">
      <c r="A264" s="32"/>
      <c r="B264" s="32"/>
      <c r="C264" s="35"/>
      <c r="D264" s="32"/>
      <c r="E264" s="32"/>
      <c r="F264" s="33"/>
      <c r="G264" s="33"/>
      <c r="H264" s="35"/>
      <c r="I264" s="33"/>
      <c r="J264" s="32"/>
    </row>
    <row r="265" customFormat="false" ht="15" hidden="false" customHeight="false" outlineLevel="0" collapsed="false">
      <c r="A265" s="32"/>
      <c r="B265" s="32"/>
      <c r="C265" s="35"/>
      <c r="D265" s="32"/>
      <c r="E265" s="32"/>
      <c r="F265" s="33"/>
      <c r="G265" s="33"/>
      <c r="H265" s="35"/>
      <c r="I265" s="33"/>
      <c r="J265" s="32"/>
    </row>
    <row r="266" customFormat="false" ht="15" hidden="false" customHeight="false" outlineLevel="0" collapsed="false">
      <c r="A266" s="32"/>
      <c r="B266" s="32"/>
      <c r="C266" s="35"/>
      <c r="D266" s="32"/>
      <c r="E266" s="32"/>
      <c r="F266" s="33"/>
      <c r="G266" s="33"/>
      <c r="H266" s="35"/>
      <c r="I266" s="33"/>
      <c r="J266" s="32"/>
    </row>
    <row r="267" customFormat="false" ht="15" hidden="false" customHeight="false" outlineLevel="0" collapsed="false">
      <c r="A267" s="32"/>
      <c r="B267" s="32"/>
      <c r="C267" s="35"/>
      <c r="D267" s="32"/>
      <c r="E267" s="32"/>
      <c r="F267" s="33"/>
      <c r="G267" s="33"/>
      <c r="H267" s="35"/>
      <c r="I267" s="33"/>
      <c r="J267" s="32"/>
    </row>
    <row r="268" customFormat="false" ht="15" hidden="false" customHeight="false" outlineLevel="0" collapsed="false">
      <c r="A268" s="32"/>
      <c r="B268" s="32"/>
      <c r="C268" s="35"/>
      <c r="D268" s="32"/>
      <c r="E268" s="32"/>
      <c r="F268" s="33"/>
      <c r="G268" s="33"/>
      <c r="H268" s="35"/>
      <c r="I268" s="33"/>
      <c r="J268" s="32"/>
    </row>
    <row r="269" customFormat="false" ht="15" hidden="false" customHeight="false" outlineLevel="0" collapsed="false">
      <c r="A269" s="32"/>
      <c r="B269" s="32"/>
      <c r="C269" s="35"/>
      <c r="D269" s="32"/>
      <c r="E269" s="32"/>
      <c r="F269" s="33"/>
      <c r="G269" s="33"/>
      <c r="H269" s="35"/>
      <c r="I269" s="33"/>
      <c r="J269" s="32"/>
    </row>
    <row r="270" customFormat="false" ht="15" hidden="false" customHeight="false" outlineLevel="0" collapsed="false">
      <c r="A270" s="32"/>
      <c r="B270" s="32"/>
      <c r="C270" s="35"/>
      <c r="D270" s="32"/>
      <c r="E270" s="32"/>
      <c r="F270" s="33"/>
      <c r="G270" s="33"/>
      <c r="H270" s="35"/>
      <c r="I270" s="33"/>
      <c r="J270" s="32"/>
    </row>
    <row r="271" customFormat="false" ht="15" hidden="false" customHeight="false" outlineLevel="0" collapsed="false">
      <c r="A271" s="32"/>
      <c r="B271" s="32"/>
      <c r="C271" s="35"/>
      <c r="D271" s="32"/>
      <c r="E271" s="32"/>
      <c r="F271" s="33"/>
      <c r="G271" s="33"/>
      <c r="H271" s="35"/>
      <c r="I271" s="33"/>
      <c r="J271" s="32"/>
    </row>
    <row r="272" customFormat="false" ht="15" hidden="false" customHeight="false" outlineLevel="0" collapsed="false">
      <c r="A272" s="32"/>
      <c r="B272" s="32"/>
      <c r="C272" s="35"/>
      <c r="D272" s="32"/>
      <c r="E272" s="32"/>
      <c r="F272" s="33"/>
      <c r="G272" s="33"/>
      <c r="H272" s="35"/>
      <c r="I272" s="33"/>
      <c r="J272" s="32"/>
    </row>
    <row r="273" customFormat="false" ht="15" hidden="false" customHeight="false" outlineLevel="0" collapsed="false">
      <c r="A273" s="32"/>
      <c r="B273" s="32"/>
      <c r="C273" s="35"/>
      <c r="D273" s="32"/>
      <c r="E273" s="32"/>
      <c r="F273" s="33"/>
      <c r="G273" s="33"/>
      <c r="H273" s="35"/>
      <c r="I273" s="33"/>
      <c r="J273" s="32"/>
    </row>
    <row r="274" customFormat="false" ht="15" hidden="false" customHeight="false" outlineLevel="0" collapsed="false">
      <c r="A274" s="32"/>
      <c r="B274" s="32"/>
      <c r="C274" s="35"/>
      <c r="D274" s="32"/>
      <c r="E274" s="32"/>
      <c r="F274" s="33"/>
      <c r="G274" s="33"/>
      <c r="H274" s="35"/>
      <c r="I274" s="33"/>
      <c r="J274" s="32"/>
    </row>
    <row r="275" customFormat="false" ht="15" hidden="false" customHeight="false" outlineLevel="0" collapsed="false">
      <c r="A275" s="32"/>
      <c r="B275" s="32"/>
      <c r="C275" s="35"/>
      <c r="D275" s="32"/>
      <c r="E275" s="32"/>
      <c r="F275" s="33"/>
      <c r="G275" s="33"/>
      <c r="H275" s="35"/>
      <c r="I275" s="33"/>
      <c r="J275" s="32"/>
    </row>
    <row r="276" customFormat="false" ht="15" hidden="false" customHeight="false" outlineLevel="0" collapsed="false">
      <c r="A276" s="32"/>
      <c r="B276" s="32"/>
      <c r="C276" s="35"/>
      <c r="D276" s="32"/>
      <c r="E276" s="32"/>
      <c r="F276" s="33"/>
      <c r="G276" s="33"/>
      <c r="H276" s="35"/>
      <c r="I276" s="33"/>
      <c r="J276" s="32"/>
    </row>
    <row r="277" customFormat="false" ht="15" hidden="false" customHeight="false" outlineLevel="0" collapsed="false">
      <c r="A277" s="32"/>
      <c r="B277" s="32"/>
      <c r="C277" s="35"/>
      <c r="D277" s="32"/>
      <c r="E277" s="32"/>
      <c r="F277" s="33"/>
      <c r="G277" s="33"/>
      <c r="H277" s="35"/>
      <c r="I277" s="33"/>
      <c r="J277" s="32"/>
    </row>
    <row r="278" customFormat="false" ht="15" hidden="false" customHeight="false" outlineLevel="0" collapsed="false">
      <c r="A278" s="32"/>
      <c r="B278" s="32"/>
      <c r="C278" s="35"/>
      <c r="D278" s="32"/>
      <c r="E278" s="32"/>
      <c r="F278" s="33"/>
      <c r="G278" s="33"/>
      <c r="H278" s="35"/>
      <c r="I278" s="33"/>
      <c r="J278" s="32"/>
    </row>
    <row r="279" customFormat="false" ht="15" hidden="false" customHeight="false" outlineLevel="0" collapsed="false">
      <c r="A279" s="32"/>
      <c r="B279" s="32"/>
      <c r="C279" s="35"/>
      <c r="D279" s="32"/>
      <c r="E279" s="32"/>
      <c r="F279" s="33"/>
      <c r="G279" s="33"/>
      <c r="H279" s="35"/>
      <c r="I279" s="33"/>
      <c r="J279" s="32"/>
    </row>
    <row r="280" customFormat="false" ht="15" hidden="false" customHeight="false" outlineLevel="0" collapsed="false">
      <c r="A280" s="32"/>
      <c r="B280" s="32"/>
      <c r="C280" s="35"/>
      <c r="D280" s="32"/>
      <c r="E280" s="32"/>
      <c r="F280" s="33"/>
      <c r="G280" s="33"/>
      <c r="H280" s="35"/>
      <c r="I280" s="33"/>
      <c r="J280" s="32"/>
    </row>
    <row r="281" customFormat="false" ht="15" hidden="false" customHeight="false" outlineLevel="0" collapsed="false">
      <c r="A281" s="32"/>
      <c r="B281" s="32"/>
      <c r="C281" s="35"/>
      <c r="D281" s="32"/>
      <c r="E281" s="32"/>
      <c r="F281" s="33"/>
      <c r="G281" s="33"/>
      <c r="H281" s="35"/>
      <c r="I281" s="33"/>
      <c r="J281" s="32"/>
    </row>
    <row r="282" customFormat="false" ht="15" hidden="false" customHeight="false" outlineLevel="0" collapsed="false">
      <c r="A282" s="32"/>
      <c r="B282" s="32"/>
      <c r="C282" s="35"/>
      <c r="D282" s="32"/>
      <c r="E282" s="32"/>
      <c r="F282" s="33"/>
      <c r="G282" s="33"/>
      <c r="H282" s="35"/>
      <c r="I282" s="33"/>
      <c r="J282" s="32"/>
    </row>
    <row r="283" customFormat="false" ht="15" hidden="false" customHeight="false" outlineLevel="0" collapsed="false">
      <c r="A283" s="32"/>
      <c r="B283" s="32"/>
      <c r="C283" s="35"/>
      <c r="D283" s="32"/>
      <c r="E283" s="32"/>
      <c r="F283" s="33"/>
      <c r="G283" s="33"/>
      <c r="H283" s="35"/>
      <c r="I283" s="33"/>
      <c r="J283" s="32"/>
    </row>
    <row r="284" customFormat="false" ht="15" hidden="false" customHeight="false" outlineLevel="0" collapsed="false">
      <c r="A284" s="32"/>
      <c r="B284" s="32"/>
      <c r="C284" s="35"/>
      <c r="D284" s="32"/>
      <c r="E284" s="32"/>
      <c r="F284" s="33"/>
      <c r="G284" s="33"/>
      <c r="H284" s="35"/>
      <c r="I284" s="33"/>
      <c r="J284" s="32"/>
    </row>
    <row r="285" customFormat="false" ht="15" hidden="false" customHeight="false" outlineLevel="0" collapsed="false">
      <c r="A285" s="32"/>
      <c r="B285" s="32"/>
      <c r="C285" s="35"/>
      <c r="D285" s="32"/>
      <c r="E285" s="32"/>
      <c r="F285" s="33"/>
      <c r="G285" s="33"/>
      <c r="H285" s="35"/>
      <c r="I285" s="33"/>
      <c r="J285" s="32"/>
    </row>
    <row r="286" customFormat="false" ht="15" hidden="false" customHeight="false" outlineLevel="0" collapsed="false">
      <c r="A286" s="32"/>
      <c r="B286" s="32"/>
      <c r="C286" s="35"/>
      <c r="D286" s="32"/>
      <c r="E286" s="32"/>
      <c r="F286" s="33"/>
      <c r="G286" s="33"/>
      <c r="H286" s="35"/>
      <c r="I286" s="33"/>
      <c r="J286" s="32"/>
    </row>
    <row r="287" customFormat="false" ht="15" hidden="false" customHeight="false" outlineLevel="0" collapsed="false">
      <c r="A287" s="32"/>
      <c r="B287" s="32"/>
      <c r="C287" s="35"/>
      <c r="D287" s="32"/>
      <c r="E287" s="32"/>
      <c r="F287" s="33"/>
      <c r="G287" s="33"/>
      <c r="H287" s="35"/>
      <c r="I287" s="33"/>
      <c r="J287" s="32"/>
    </row>
    <row r="288" customFormat="false" ht="15" hidden="false" customHeight="false" outlineLevel="0" collapsed="false">
      <c r="A288" s="32"/>
      <c r="B288" s="32"/>
      <c r="C288" s="35"/>
      <c r="D288" s="32"/>
      <c r="E288" s="32"/>
      <c r="F288" s="33"/>
      <c r="G288" s="33"/>
      <c r="H288" s="35"/>
      <c r="I288" s="33"/>
      <c r="J288" s="32"/>
    </row>
    <row r="289" customFormat="false" ht="15" hidden="false" customHeight="false" outlineLevel="0" collapsed="false">
      <c r="A289" s="32"/>
      <c r="B289" s="32"/>
      <c r="C289" s="35"/>
      <c r="D289" s="32"/>
      <c r="E289" s="32"/>
      <c r="F289" s="33"/>
      <c r="G289" s="33"/>
      <c r="H289" s="35"/>
      <c r="I289" s="33"/>
      <c r="J289" s="32"/>
    </row>
    <row r="290" customFormat="false" ht="15" hidden="false" customHeight="false" outlineLevel="0" collapsed="false">
      <c r="A290" s="32"/>
      <c r="B290" s="32"/>
      <c r="C290" s="35"/>
      <c r="D290" s="32"/>
      <c r="E290" s="32"/>
      <c r="F290" s="33"/>
      <c r="G290" s="33"/>
      <c r="H290" s="35"/>
      <c r="I290" s="33"/>
      <c r="J290" s="32"/>
    </row>
    <row r="291" customFormat="false" ht="15" hidden="false" customHeight="false" outlineLevel="0" collapsed="false">
      <c r="A291" s="32"/>
      <c r="B291" s="32"/>
      <c r="C291" s="35"/>
      <c r="D291" s="32"/>
      <c r="E291" s="32"/>
      <c r="F291" s="33"/>
      <c r="G291" s="33"/>
      <c r="H291" s="35"/>
      <c r="I291" s="33"/>
      <c r="J291" s="32"/>
    </row>
    <row r="292" customFormat="false" ht="15" hidden="false" customHeight="false" outlineLevel="0" collapsed="false">
      <c r="A292" s="32"/>
      <c r="B292" s="32"/>
      <c r="C292" s="35"/>
      <c r="D292" s="32"/>
      <c r="E292" s="32"/>
      <c r="F292" s="33"/>
      <c r="G292" s="33"/>
      <c r="H292" s="35"/>
      <c r="I292" s="33"/>
      <c r="J292" s="32"/>
    </row>
    <row r="293" customFormat="false" ht="15" hidden="false" customHeight="false" outlineLevel="0" collapsed="false">
      <c r="A293" s="32"/>
      <c r="B293" s="32"/>
      <c r="C293" s="35"/>
      <c r="D293" s="32"/>
      <c r="E293" s="32"/>
      <c r="F293" s="33"/>
      <c r="G293" s="33"/>
      <c r="H293" s="35"/>
      <c r="I293" s="33"/>
      <c r="J293" s="32"/>
    </row>
    <row r="294" customFormat="false" ht="15" hidden="false" customHeight="false" outlineLevel="0" collapsed="false">
      <c r="A294" s="32"/>
      <c r="B294" s="32"/>
      <c r="C294" s="35"/>
      <c r="D294" s="32"/>
      <c r="E294" s="32"/>
      <c r="F294" s="33"/>
      <c r="G294" s="33"/>
      <c r="H294" s="35"/>
      <c r="I294" s="33"/>
      <c r="J294" s="32"/>
    </row>
    <row r="295" customFormat="false" ht="15" hidden="false" customHeight="false" outlineLevel="0" collapsed="false">
      <c r="A295" s="32"/>
      <c r="B295" s="32"/>
      <c r="C295" s="35"/>
      <c r="D295" s="32"/>
      <c r="E295" s="32"/>
      <c r="F295" s="33"/>
      <c r="G295" s="33"/>
      <c r="H295" s="35"/>
      <c r="I295" s="33"/>
      <c r="J295" s="32"/>
    </row>
    <row r="296" customFormat="false" ht="15" hidden="false" customHeight="false" outlineLevel="0" collapsed="false">
      <c r="A296" s="32"/>
      <c r="B296" s="32"/>
      <c r="C296" s="35"/>
      <c r="D296" s="32"/>
      <c r="E296" s="32"/>
      <c r="F296" s="33"/>
      <c r="G296" s="33"/>
      <c r="H296" s="35"/>
      <c r="I296" s="33"/>
      <c r="J296" s="32"/>
    </row>
    <row r="297" customFormat="false" ht="15" hidden="false" customHeight="false" outlineLevel="0" collapsed="false">
      <c r="A297" s="32"/>
      <c r="B297" s="32"/>
      <c r="C297" s="35"/>
      <c r="D297" s="32"/>
      <c r="E297" s="32"/>
      <c r="F297" s="33"/>
      <c r="G297" s="33"/>
      <c r="H297" s="35"/>
      <c r="I297" s="33"/>
      <c r="J297" s="32"/>
    </row>
    <row r="298" customFormat="false" ht="15" hidden="false" customHeight="false" outlineLevel="0" collapsed="false">
      <c r="A298" s="32"/>
      <c r="B298" s="32"/>
      <c r="C298" s="35"/>
      <c r="D298" s="32"/>
      <c r="E298" s="32"/>
      <c r="F298" s="33"/>
      <c r="G298" s="33"/>
      <c r="H298" s="35"/>
      <c r="I298" s="33"/>
      <c r="J298" s="32"/>
    </row>
    <row r="299" customFormat="false" ht="15" hidden="false" customHeight="false" outlineLevel="0" collapsed="false">
      <c r="A299" s="32"/>
      <c r="B299" s="32"/>
      <c r="C299" s="35"/>
      <c r="D299" s="32"/>
      <c r="E299" s="32"/>
      <c r="F299" s="33"/>
      <c r="G299" s="33"/>
      <c r="H299" s="35"/>
      <c r="I299" s="33"/>
      <c r="J299" s="32"/>
    </row>
    <row r="300" customFormat="false" ht="15" hidden="false" customHeight="false" outlineLevel="0" collapsed="false">
      <c r="A300" s="32"/>
      <c r="B300" s="32"/>
      <c r="C300" s="35"/>
      <c r="D300" s="32"/>
      <c r="E300" s="32"/>
      <c r="F300" s="33"/>
      <c r="G300" s="33"/>
      <c r="H300" s="35"/>
      <c r="I300" s="33"/>
      <c r="J300" s="32"/>
    </row>
    <row r="301" customFormat="false" ht="15" hidden="false" customHeight="false" outlineLevel="0" collapsed="false">
      <c r="A301" s="32"/>
      <c r="B301" s="32"/>
      <c r="C301" s="35"/>
      <c r="D301" s="32"/>
      <c r="E301" s="32"/>
      <c r="F301" s="33"/>
      <c r="G301" s="33"/>
      <c r="H301" s="35"/>
      <c r="I301" s="33"/>
      <c r="J301" s="32"/>
    </row>
    <row r="302" customFormat="false" ht="15" hidden="false" customHeight="false" outlineLevel="0" collapsed="false">
      <c r="A302" s="32"/>
      <c r="B302" s="32"/>
      <c r="C302" s="35"/>
      <c r="D302" s="32"/>
      <c r="E302" s="32"/>
      <c r="F302" s="33"/>
      <c r="G302" s="33"/>
      <c r="H302" s="35"/>
      <c r="I302" s="33"/>
      <c r="J302" s="32"/>
    </row>
    <row r="303" customFormat="false" ht="15" hidden="false" customHeight="false" outlineLevel="0" collapsed="false">
      <c r="A303" s="32"/>
      <c r="B303" s="32"/>
      <c r="C303" s="35"/>
      <c r="D303" s="32"/>
      <c r="E303" s="32"/>
      <c r="F303" s="33"/>
      <c r="G303" s="33"/>
      <c r="H303" s="35"/>
      <c r="I303" s="33"/>
      <c r="J303" s="32"/>
    </row>
    <row r="304" customFormat="false" ht="15" hidden="false" customHeight="false" outlineLevel="0" collapsed="false">
      <c r="A304" s="32"/>
      <c r="B304" s="32"/>
      <c r="C304" s="35"/>
      <c r="D304" s="32"/>
      <c r="E304" s="32"/>
      <c r="F304" s="33"/>
      <c r="G304" s="33"/>
      <c r="H304" s="35"/>
      <c r="I304" s="33"/>
      <c r="J304" s="32"/>
    </row>
    <row r="305" customFormat="false" ht="15" hidden="false" customHeight="false" outlineLevel="0" collapsed="false">
      <c r="A305" s="32"/>
      <c r="B305" s="32"/>
      <c r="C305" s="35"/>
      <c r="D305" s="32"/>
      <c r="E305" s="32"/>
      <c r="F305" s="33"/>
      <c r="G305" s="33"/>
      <c r="H305" s="35"/>
      <c r="I305" s="33"/>
      <c r="J305" s="32"/>
    </row>
    <row r="306" customFormat="false" ht="15" hidden="false" customHeight="false" outlineLevel="0" collapsed="false">
      <c r="A306" s="32"/>
      <c r="B306" s="32"/>
      <c r="C306" s="35"/>
      <c r="D306" s="32"/>
      <c r="E306" s="32"/>
      <c r="F306" s="33"/>
      <c r="G306" s="33"/>
      <c r="H306" s="35"/>
      <c r="I306" s="33"/>
      <c r="J306" s="32"/>
    </row>
    <row r="307" customFormat="false" ht="15" hidden="false" customHeight="false" outlineLevel="0" collapsed="false">
      <c r="A307" s="32"/>
      <c r="B307" s="32"/>
      <c r="C307" s="35"/>
      <c r="D307" s="32"/>
      <c r="E307" s="32"/>
      <c r="F307" s="33"/>
      <c r="G307" s="33"/>
      <c r="H307" s="35"/>
      <c r="I307" s="33"/>
      <c r="J307" s="32"/>
    </row>
    <row r="308" customFormat="false" ht="15" hidden="false" customHeight="false" outlineLevel="0" collapsed="false">
      <c r="A308" s="32"/>
      <c r="B308" s="32"/>
      <c r="C308" s="35"/>
      <c r="D308" s="32"/>
      <c r="E308" s="32"/>
      <c r="F308" s="33"/>
      <c r="G308" s="33"/>
      <c r="H308" s="35"/>
      <c r="I308" s="33"/>
      <c r="J308" s="32"/>
    </row>
    <row r="309" customFormat="false" ht="15" hidden="false" customHeight="false" outlineLevel="0" collapsed="false">
      <c r="A309" s="32"/>
      <c r="B309" s="32"/>
      <c r="C309" s="35"/>
      <c r="D309" s="32"/>
      <c r="E309" s="32"/>
      <c r="F309" s="33"/>
      <c r="G309" s="33"/>
      <c r="H309" s="35"/>
      <c r="I309" s="33"/>
      <c r="J309" s="32"/>
    </row>
    <row r="310" customFormat="false" ht="15" hidden="false" customHeight="false" outlineLevel="0" collapsed="false">
      <c r="A310" s="32"/>
      <c r="B310" s="32"/>
      <c r="C310" s="35"/>
      <c r="D310" s="32"/>
      <c r="E310" s="32"/>
      <c r="F310" s="33"/>
      <c r="G310" s="33"/>
      <c r="H310" s="35"/>
      <c r="I310" s="33"/>
      <c r="J310" s="32"/>
    </row>
    <row r="311" customFormat="false" ht="15" hidden="false" customHeight="false" outlineLevel="0" collapsed="false">
      <c r="A311" s="32"/>
      <c r="B311" s="32"/>
      <c r="C311" s="35"/>
      <c r="D311" s="32"/>
      <c r="E311" s="32"/>
      <c r="F311" s="33"/>
      <c r="G311" s="33"/>
      <c r="H311" s="35"/>
      <c r="I311" s="33"/>
      <c r="J311" s="32"/>
    </row>
    <row r="312" customFormat="false" ht="15" hidden="false" customHeight="false" outlineLevel="0" collapsed="false">
      <c r="A312" s="32"/>
      <c r="B312" s="32"/>
      <c r="C312" s="35"/>
      <c r="D312" s="32"/>
      <c r="E312" s="32"/>
      <c r="F312" s="33"/>
      <c r="G312" s="33"/>
      <c r="H312" s="35"/>
      <c r="I312" s="33"/>
      <c r="J312" s="32"/>
    </row>
    <row r="313" customFormat="false" ht="15" hidden="false" customHeight="false" outlineLevel="0" collapsed="false">
      <c r="A313" s="32"/>
      <c r="B313" s="32"/>
      <c r="C313" s="35"/>
      <c r="D313" s="32"/>
      <c r="E313" s="32"/>
      <c r="F313" s="33"/>
      <c r="G313" s="33"/>
      <c r="H313" s="35"/>
      <c r="I313" s="33"/>
      <c r="J313" s="32"/>
    </row>
    <row r="314" customFormat="false" ht="15" hidden="false" customHeight="false" outlineLevel="0" collapsed="false">
      <c r="A314" s="32"/>
      <c r="B314" s="32"/>
      <c r="C314" s="35"/>
      <c r="D314" s="32"/>
      <c r="E314" s="32"/>
      <c r="F314" s="33"/>
      <c r="G314" s="33"/>
      <c r="H314" s="35"/>
      <c r="I314" s="33"/>
      <c r="J314" s="32"/>
    </row>
    <row r="315" customFormat="false" ht="15" hidden="false" customHeight="false" outlineLevel="0" collapsed="false">
      <c r="A315" s="32"/>
      <c r="B315" s="32"/>
      <c r="C315" s="35"/>
      <c r="D315" s="32"/>
      <c r="E315" s="32"/>
      <c r="F315" s="33"/>
      <c r="G315" s="33"/>
      <c r="H315" s="35"/>
      <c r="I315" s="33"/>
      <c r="J315" s="32"/>
    </row>
    <row r="316" customFormat="false" ht="15" hidden="false" customHeight="false" outlineLevel="0" collapsed="false">
      <c r="A316" s="32"/>
      <c r="B316" s="32"/>
      <c r="C316" s="35"/>
      <c r="D316" s="32"/>
      <c r="E316" s="32"/>
      <c r="F316" s="33"/>
      <c r="G316" s="33"/>
      <c r="H316" s="35"/>
      <c r="I316" s="33"/>
      <c r="J316" s="32"/>
    </row>
    <row r="317" customFormat="false" ht="15" hidden="false" customHeight="false" outlineLevel="0" collapsed="false">
      <c r="A317" s="32"/>
      <c r="B317" s="32"/>
      <c r="C317" s="35"/>
      <c r="D317" s="32"/>
      <c r="E317" s="32"/>
      <c r="F317" s="33"/>
      <c r="G317" s="33"/>
      <c r="H317" s="35"/>
      <c r="I317" s="33"/>
      <c r="J317" s="32"/>
    </row>
    <row r="318" customFormat="false" ht="15" hidden="false" customHeight="false" outlineLevel="0" collapsed="false">
      <c r="A318" s="32"/>
      <c r="B318" s="32"/>
      <c r="C318" s="35"/>
      <c r="D318" s="32"/>
      <c r="E318" s="32"/>
      <c r="F318" s="33"/>
      <c r="G318" s="33"/>
      <c r="H318" s="35"/>
      <c r="I318" s="33"/>
      <c r="J318" s="32"/>
    </row>
    <row r="319" customFormat="false" ht="15" hidden="false" customHeight="false" outlineLevel="0" collapsed="false">
      <c r="A319" s="32"/>
      <c r="B319" s="32"/>
      <c r="C319" s="35"/>
      <c r="D319" s="32"/>
      <c r="E319" s="32"/>
      <c r="F319" s="33"/>
      <c r="G319" s="33"/>
      <c r="H319" s="35"/>
      <c r="I319" s="33"/>
      <c r="J319" s="32"/>
    </row>
    <row r="320" customFormat="false" ht="15" hidden="false" customHeight="false" outlineLevel="0" collapsed="false">
      <c r="A320" s="32"/>
      <c r="B320" s="32"/>
      <c r="C320" s="35"/>
      <c r="D320" s="32"/>
      <c r="E320" s="32"/>
      <c r="F320" s="33"/>
      <c r="G320" s="33"/>
      <c r="H320" s="35"/>
      <c r="I320" s="33"/>
      <c r="J320" s="32"/>
    </row>
    <row r="321" customFormat="false" ht="15" hidden="false" customHeight="false" outlineLevel="0" collapsed="false">
      <c r="A321" s="32"/>
      <c r="B321" s="32"/>
      <c r="C321" s="35"/>
      <c r="D321" s="32"/>
      <c r="E321" s="32"/>
      <c r="F321" s="33"/>
      <c r="G321" s="33"/>
      <c r="H321" s="35"/>
      <c r="I321" s="33"/>
      <c r="J321" s="32"/>
    </row>
    <row r="322" customFormat="false" ht="15" hidden="false" customHeight="false" outlineLevel="0" collapsed="false">
      <c r="A322" s="32"/>
      <c r="B322" s="32"/>
      <c r="C322" s="35"/>
      <c r="D322" s="32"/>
      <c r="E322" s="32"/>
      <c r="F322" s="33"/>
      <c r="G322" s="33"/>
      <c r="H322" s="35"/>
      <c r="I322" s="33"/>
      <c r="J322" s="32"/>
    </row>
    <row r="323" customFormat="false" ht="15" hidden="false" customHeight="false" outlineLevel="0" collapsed="false">
      <c r="A323" s="32"/>
      <c r="B323" s="32"/>
      <c r="C323" s="35"/>
      <c r="D323" s="32"/>
      <c r="E323" s="32"/>
      <c r="F323" s="33"/>
      <c r="G323" s="33"/>
      <c r="H323" s="35"/>
      <c r="I323" s="33"/>
      <c r="J323" s="32"/>
    </row>
    <row r="324" customFormat="false" ht="15" hidden="false" customHeight="false" outlineLevel="0" collapsed="false">
      <c r="A324" s="32"/>
      <c r="B324" s="32"/>
      <c r="C324" s="35"/>
      <c r="D324" s="32"/>
      <c r="E324" s="32"/>
      <c r="F324" s="33"/>
      <c r="G324" s="33"/>
      <c r="H324" s="35"/>
      <c r="I324" s="33"/>
      <c r="J324" s="32"/>
    </row>
    <row r="325" customFormat="false" ht="15" hidden="false" customHeight="false" outlineLevel="0" collapsed="false">
      <c r="A325" s="32"/>
      <c r="B325" s="32"/>
      <c r="C325" s="35"/>
      <c r="D325" s="32"/>
      <c r="E325" s="32"/>
      <c r="F325" s="33"/>
      <c r="G325" s="33"/>
      <c r="H325" s="35"/>
      <c r="I325" s="33"/>
      <c r="J325" s="32"/>
    </row>
    <row r="326" customFormat="false" ht="15" hidden="false" customHeight="false" outlineLevel="0" collapsed="false">
      <c r="A326" s="32"/>
      <c r="B326" s="32"/>
      <c r="C326" s="35"/>
      <c r="D326" s="32"/>
      <c r="E326" s="32"/>
      <c r="F326" s="33"/>
      <c r="G326" s="33"/>
      <c r="H326" s="35"/>
      <c r="I326" s="33"/>
      <c r="J326" s="32"/>
    </row>
    <row r="327" customFormat="false" ht="15" hidden="false" customHeight="false" outlineLevel="0" collapsed="false">
      <c r="A327" s="32"/>
      <c r="B327" s="32"/>
      <c r="C327" s="35"/>
      <c r="D327" s="32"/>
      <c r="E327" s="32"/>
      <c r="F327" s="33"/>
      <c r="G327" s="33"/>
      <c r="H327" s="35"/>
      <c r="I327" s="33"/>
      <c r="J327" s="32"/>
    </row>
    <row r="328" customFormat="false" ht="15" hidden="false" customHeight="false" outlineLevel="0" collapsed="false">
      <c r="A328" s="32"/>
      <c r="B328" s="32"/>
      <c r="C328" s="35"/>
      <c r="D328" s="32"/>
      <c r="E328" s="32"/>
      <c r="F328" s="33"/>
      <c r="G328" s="33"/>
      <c r="H328" s="35"/>
      <c r="I328" s="33"/>
      <c r="J328" s="32"/>
    </row>
    <row r="329" customFormat="false" ht="15" hidden="false" customHeight="false" outlineLevel="0" collapsed="false">
      <c r="A329" s="32"/>
      <c r="B329" s="32"/>
      <c r="C329" s="35"/>
      <c r="D329" s="32"/>
      <c r="E329" s="32"/>
      <c r="F329" s="33"/>
      <c r="G329" s="33"/>
      <c r="H329" s="35"/>
      <c r="I329" s="33"/>
      <c r="J329" s="32"/>
    </row>
    <row r="330" customFormat="false" ht="15" hidden="false" customHeight="false" outlineLevel="0" collapsed="false">
      <c r="A330" s="32"/>
      <c r="B330" s="32"/>
      <c r="C330" s="35"/>
      <c r="D330" s="32"/>
      <c r="E330" s="32"/>
      <c r="F330" s="33"/>
      <c r="G330" s="33"/>
      <c r="H330" s="35"/>
      <c r="I330" s="33"/>
      <c r="J330" s="32"/>
    </row>
    <row r="331" customFormat="false" ht="15" hidden="false" customHeight="false" outlineLevel="0" collapsed="false">
      <c r="A331" s="32"/>
      <c r="B331" s="32"/>
      <c r="C331" s="35"/>
      <c r="D331" s="32"/>
      <c r="E331" s="32"/>
      <c r="F331" s="33"/>
      <c r="G331" s="33"/>
      <c r="H331" s="35"/>
      <c r="I331" s="33"/>
      <c r="J331" s="32"/>
    </row>
    <row r="332" customFormat="false" ht="15" hidden="false" customHeight="false" outlineLevel="0" collapsed="false">
      <c r="A332" s="32"/>
      <c r="B332" s="32"/>
      <c r="C332" s="35"/>
      <c r="D332" s="32"/>
      <c r="E332" s="32"/>
      <c r="F332" s="33"/>
      <c r="G332" s="33"/>
      <c r="H332" s="35"/>
      <c r="I332" s="33"/>
      <c r="J332" s="32"/>
    </row>
    <row r="333" customFormat="false" ht="15" hidden="false" customHeight="false" outlineLevel="0" collapsed="false">
      <c r="A333" s="32"/>
      <c r="B333" s="32"/>
      <c r="C333" s="35"/>
      <c r="D333" s="32"/>
      <c r="E333" s="32"/>
      <c r="F333" s="33"/>
      <c r="G333" s="33"/>
      <c r="H333" s="35"/>
      <c r="I333" s="33"/>
      <c r="J333" s="32"/>
    </row>
    <row r="334" customFormat="false" ht="15" hidden="false" customHeight="false" outlineLevel="0" collapsed="false">
      <c r="A334" s="32"/>
      <c r="B334" s="32"/>
      <c r="C334" s="35"/>
      <c r="D334" s="32"/>
      <c r="E334" s="32"/>
      <c r="F334" s="33"/>
      <c r="G334" s="33"/>
      <c r="H334" s="35"/>
      <c r="I334" s="33"/>
      <c r="J334" s="32"/>
    </row>
    <row r="335" customFormat="false" ht="15" hidden="false" customHeight="false" outlineLevel="0" collapsed="false">
      <c r="A335" s="32"/>
      <c r="B335" s="32"/>
      <c r="C335" s="35"/>
      <c r="D335" s="32"/>
      <c r="E335" s="32"/>
      <c r="F335" s="33"/>
      <c r="G335" s="33"/>
      <c r="H335" s="35"/>
      <c r="I335" s="33"/>
      <c r="J335" s="32"/>
    </row>
    <row r="336" customFormat="false" ht="15" hidden="false" customHeight="false" outlineLevel="0" collapsed="false">
      <c r="A336" s="32"/>
      <c r="B336" s="32"/>
      <c r="C336" s="35"/>
      <c r="D336" s="32"/>
      <c r="E336" s="32"/>
      <c r="F336" s="33"/>
      <c r="G336" s="33"/>
      <c r="H336" s="35"/>
      <c r="I336" s="33"/>
      <c r="J336" s="32"/>
    </row>
    <row r="337" customFormat="false" ht="15" hidden="false" customHeight="false" outlineLevel="0" collapsed="false">
      <c r="A337" s="32"/>
      <c r="B337" s="32"/>
      <c r="C337" s="35"/>
      <c r="D337" s="32"/>
      <c r="E337" s="32"/>
      <c r="F337" s="33"/>
      <c r="G337" s="33"/>
      <c r="H337" s="35"/>
      <c r="I337" s="33"/>
      <c r="J337" s="32"/>
    </row>
    <row r="338" customFormat="false" ht="15" hidden="false" customHeight="false" outlineLevel="0" collapsed="false">
      <c r="A338" s="32"/>
      <c r="B338" s="32"/>
      <c r="C338" s="35"/>
      <c r="D338" s="32"/>
      <c r="E338" s="32"/>
      <c r="F338" s="33"/>
      <c r="G338" s="33"/>
      <c r="H338" s="35"/>
      <c r="I338" s="33"/>
      <c r="J338" s="32"/>
    </row>
    <row r="339" customFormat="false" ht="15" hidden="false" customHeight="false" outlineLevel="0" collapsed="false">
      <c r="A339" s="32"/>
      <c r="B339" s="32"/>
      <c r="C339" s="35"/>
      <c r="D339" s="32"/>
      <c r="E339" s="32"/>
      <c r="F339" s="33"/>
      <c r="G339" s="33"/>
      <c r="H339" s="35"/>
      <c r="I339" s="33"/>
      <c r="J339" s="32"/>
    </row>
    <row r="340" customFormat="false" ht="15" hidden="false" customHeight="false" outlineLevel="0" collapsed="false">
      <c r="A340" s="32"/>
      <c r="B340" s="32"/>
      <c r="C340" s="35"/>
      <c r="D340" s="32"/>
      <c r="E340" s="32"/>
      <c r="F340" s="33"/>
      <c r="G340" s="33"/>
      <c r="H340" s="35"/>
      <c r="I340" s="33"/>
      <c r="J340" s="32"/>
    </row>
    <row r="341" customFormat="false" ht="15" hidden="false" customHeight="false" outlineLevel="0" collapsed="false">
      <c r="A341" s="32"/>
      <c r="B341" s="32"/>
      <c r="C341" s="35"/>
      <c r="D341" s="32"/>
      <c r="E341" s="32"/>
      <c r="F341" s="33"/>
      <c r="G341" s="33"/>
      <c r="H341" s="35"/>
      <c r="I341" s="33"/>
      <c r="J341" s="32"/>
    </row>
    <row r="342" customFormat="false" ht="15" hidden="false" customHeight="false" outlineLevel="0" collapsed="false">
      <c r="A342" s="32"/>
      <c r="B342" s="32"/>
      <c r="C342" s="35"/>
      <c r="D342" s="32"/>
      <c r="E342" s="32"/>
      <c r="F342" s="33"/>
      <c r="G342" s="33"/>
      <c r="H342" s="35"/>
      <c r="I342" s="33"/>
      <c r="J342" s="32"/>
    </row>
    <row r="343" customFormat="false" ht="15" hidden="false" customHeight="false" outlineLevel="0" collapsed="false">
      <c r="A343" s="32"/>
      <c r="B343" s="32"/>
      <c r="C343" s="35"/>
      <c r="D343" s="32"/>
      <c r="E343" s="32"/>
      <c r="F343" s="33"/>
      <c r="G343" s="33"/>
      <c r="H343" s="35"/>
      <c r="I343" s="33"/>
      <c r="J343" s="32"/>
    </row>
    <row r="344" customFormat="false" ht="15" hidden="false" customHeight="false" outlineLevel="0" collapsed="false">
      <c r="A344" s="32"/>
      <c r="B344" s="32"/>
      <c r="C344" s="35"/>
      <c r="D344" s="32"/>
      <c r="E344" s="32"/>
      <c r="F344" s="33"/>
      <c r="G344" s="33"/>
      <c r="H344" s="35"/>
      <c r="I344" s="33"/>
      <c r="J344" s="32"/>
    </row>
    <row r="345" customFormat="false" ht="15" hidden="false" customHeight="false" outlineLevel="0" collapsed="false">
      <c r="A345" s="32"/>
      <c r="B345" s="32"/>
      <c r="C345" s="35"/>
      <c r="D345" s="32"/>
      <c r="E345" s="32"/>
      <c r="F345" s="33"/>
      <c r="G345" s="33"/>
      <c r="H345" s="35"/>
      <c r="I345" s="33"/>
      <c r="J345" s="32"/>
    </row>
    <row r="346" customFormat="false" ht="15" hidden="false" customHeight="false" outlineLevel="0" collapsed="false">
      <c r="A346" s="32"/>
      <c r="B346" s="32"/>
      <c r="C346" s="35"/>
      <c r="D346" s="32"/>
      <c r="E346" s="32"/>
      <c r="F346" s="33"/>
      <c r="G346" s="33"/>
      <c r="H346" s="35"/>
      <c r="I346" s="33"/>
      <c r="J346" s="32"/>
    </row>
    <row r="347" customFormat="false" ht="15" hidden="false" customHeight="false" outlineLevel="0" collapsed="false">
      <c r="A347" s="32"/>
      <c r="B347" s="32"/>
      <c r="C347" s="35"/>
      <c r="D347" s="32"/>
      <c r="E347" s="32"/>
      <c r="F347" s="33"/>
      <c r="G347" s="33"/>
      <c r="H347" s="35"/>
      <c r="I347" s="33"/>
      <c r="J347" s="32"/>
    </row>
    <row r="348" customFormat="false" ht="15" hidden="false" customHeight="false" outlineLevel="0" collapsed="false">
      <c r="A348" s="32"/>
      <c r="B348" s="32"/>
      <c r="C348" s="35"/>
      <c r="D348" s="32"/>
      <c r="E348" s="32"/>
      <c r="F348" s="33"/>
      <c r="G348" s="33"/>
      <c r="H348" s="35"/>
      <c r="I348" s="33"/>
      <c r="J348" s="32"/>
    </row>
    <row r="349" customFormat="false" ht="15" hidden="false" customHeight="false" outlineLevel="0" collapsed="false">
      <c r="A349" s="32"/>
      <c r="B349" s="32"/>
      <c r="C349" s="35"/>
      <c r="D349" s="32"/>
      <c r="E349" s="32"/>
      <c r="F349" s="33"/>
      <c r="G349" s="33"/>
      <c r="H349" s="35"/>
      <c r="I349" s="33"/>
      <c r="J349" s="32"/>
    </row>
    <row r="350" customFormat="false" ht="15" hidden="false" customHeight="false" outlineLevel="0" collapsed="false">
      <c r="A350" s="32"/>
      <c r="B350" s="32"/>
      <c r="C350" s="35"/>
      <c r="D350" s="32"/>
      <c r="E350" s="32"/>
      <c r="F350" s="33"/>
      <c r="G350" s="33"/>
      <c r="H350" s="35"/>
      <c r="I350" s="33"/>
      <c r="J350" s="32"/>
    </row>
    <row r="351" customFormat="false" ht="15" hidden="false" customHeight="false" outlineLevel="0" collapsed="false">
      <c r="A351" s="32"/>
      <c r="B351" s="32"/>
      <c r="C351" s="35"/>
      <c r="D351" s="32"/>
      <c r="E351" s="32"/>
      <c r="F351" s="33"/>
      <c r="G351" s="33"/>
      <c r="H351" s="35"/>
      <c r="I351" s="33"/>
      <c r="J351" s="32"/>
    </row>
    <row r="352" customFormat="false" ht="15" hidden="false" customHeight="false" outlineLevel="0" collapsed="false">
      <c r="A352" s="32"/>
      <c r="B352" s="32"/>
      <c r="C352" s="35"/>
      <c r="D352" s="32"/>
      <c r="E352" s="32"/>
      <c r="F352" s="33"/>
      <c r="G352" s="33"/>
      <c r="H352" s="35"/>
      <c r="I352" s="33"/>
      <c r="J352" s="32"/>
    </row>
    <row r="353" customFormat="false" ht="15" hidden="false" customHeight="false" outlineLevel="0" collapsed="false">
      <c r="A353" s="32"/>
      <c r="B353" s="32"/>
      <c r="C353" s="35"/>
      <c r="D353" s="32"/>
      <c r="E353" s="32"/>
      <c r="F353" s="33"/>
      <c r="G353" s="33"/>
      <c r="H353" s="35"/>
      <c r="I353" s="33"/>
      <c r="J353" s="32"/>
    </row>
    <row r="354" customFormat="false" ht="15" hidden="false" customHeight="false" outlineLevel="0" collapsed="false">
      <c r="A354" s="32"/>
      <c r="B354" s="32"/>
      <c r="C354" s="35"/>
      <c r="D354" s="32"/>
      <c r="E354" s="32"/>
      <c r="F354" s="33"/>
      <c r="G354" s="33"/>
      <c r="H354" s="35"/>
      <c r="I354" s="33"/>
      <c r="J354" s="32"/>
    </row>
    <row r="355" customFormat="false" ht="15" hidden="false" customHeight="false" outlineLevel="0" collapsed="false">
      <c r="A355" s="32"/>
      <c r="B355" s="32"/>
      <c r="C355" s="35"/>
      <c r="D355" s="32"/>
      <c r="E355" s="32"/>
      <c r="F355" s="33"/>
      <c r="G355" s="33"/>
      <c r="H355" s="35"/>
      <c r="I355" s="33"/>
      <c r="J355" s="32"/>
    </row>
    <row r="356" customFormat="false" ht="15" hidden="false" customHeight="false" outlineLevel="0" collapsed="false">
      <c r="A356" s="32"/>
      <c r="B356" s="32"/>
      <c r="C356" s="35"/>
      <c r="D356" s="32"/>
      <c r="E356" s="32"/>
      <c r="F356" s="33"/>
      <c r="G356" s="33"/>
      <c r="H356" s="35"/>
      <c r="I356" s="33"/>
      <c r="J356" s="32"/>
    </row>
    <row r="357" customFormat="false" ht="15" hidden="false" customHeight="false" outlineLevel="0" collapsed="false">
      <c r="A357" s="32"/>
      <c r="B357" s="32"/>
      <c r="C357" s="35"/>
      <c r="D357" s="32"/>
      <c r="E357" s="32"/>
      <c r="F357" s="33"/>
      <c r="G357" s="33"/>
      <c r="H357" s="35"/>
      <c r="I357" s="33"/>
      <c r="J357" s="32"/>
    </row>
    <row r="358" customFormat="false" ht="15" hidden="false" customHeight="false" outlineLevel="0" collapsed="false">
      <c r="A358" s="32"/>
      <c r="B358" s="32"/>
      <c r="C358" s="35"/>
      <c r="D358" s="32"/>
      <c r="E358" s="32"/>
      <c r="F358" s="33"/>
      <c r="G358" s="33"/>
      <c r="H358" s="35"/>
      <c r="I358" s="33"/>
      <c r="J358" s="32"/>
    </row>
    <row r="359" customFormat="false" ht="15" hidden="false" customHeight="false" outlineLevel="0" collapsed="false">
      <c r="A359" s="32"/>
      <c r="B359" s="32"/>
      <c r="C359" s="35"/>
      <c r="D359" s="32"/>
      <c r="E359" s="32"/>
      <c r="F359" s="33"/>
      <c r="G359" s="33"/>
      <c r="H359" s="35"/>
      <c r="I359" s="33"/>
      <c r="J359" s="32"/>
    </row>
    <row r="360" customFormat="false" ht="15" hidden="false" customHeight="false" outlineLevel="0" collapsed="false">
      <c r="A360" s="32"/>
      <c r="B360" s="32"/>
      <c r="C360" s="35"/>
      <c r="D360" s="32"/>
      <c r="E360" s="32"/>
      <c r="F360" s="33"/>
      <c r="G360" s="33"/>
      <c r="H360" s="35"/>
      <c r="I360" s="33"/>
      <c r="J360" s="32"/>
    </row>
    <row r="361" customFormat="false" ht="15" hidden="false" customHeight="false" outlineLevel="0" collapsed="false">
      <c r="A361" s="32"/>
      <c r="B361" s="32"/>
      <c r="C361" s="35"/>
      <c r="D361" s="32"/>
      <c r="E361" s="32"/>
      <c r="F361" s="33"/>
      <c r="G361" s="33"/>
      <c r="H361" s="35"/>
      <c r="I361" s="33"/>
      <c r="J361" s="32"/>
    </row>
    <row r="362" customFormat="false" ht="15" hidden="false" customHeight="false" outlineLevel="0" collapsed="false">
      <c r="A362" s="32"/>
      <c r="B362" s="32"/>
      <c r="C362" s="35"/>
      <c r="D362" s="32"/>
      <c r="E362" s="32"/>
      <c r="F362" s="33"/>
      <c r="G362" s="33"/>
      <c r="H362" s="35"/>
      <c r="I362" s="33"/>
      <c r="J362" s="32"/>
    </row>
    <row r="363" customFormat="false" ht="15" hidden="false" customHeight="false" outlineLevel="0" collapsed="false">
      <c r="A363" s="32"/>
      <c r="B363" s="32"/>
      <c r="C363" s="35"/>
      <c r="D363" s="32"/>
      <c r="E363" s="32"/>
      <c r="F363" s="33"/>
      <c r="G363" s="33"/>
      <c r="H363" s="35"/>
      <c r="I363" s="33"/>
      <c r="J363" s="32"/>
    </row>
    <row r="364" customFormat="false" ht="15" hidden="false" customHeight="false" outlineLevel="0" collapsed="false">
      <c r="A364" s="32"/>
      <c r="B364" s="32"/>
      <c r="C364" s="35"/>
      <c r="D364" s="32"/>
      <c r="E364" s="32"/>
      <c r="F364" s="33"/>
      <c r="G364" s="33"/>
      <c r="H364" s="35"/>
      <c r="I364" s="33"/>
      <c r="J364" s="32"/>
    </row>
    <row r="365" customFormat="false" ht="15" hidden="false" customHeight="false" outlineLevel="0" collapsed="false">
      <c r="A365" s="32"/>
      <c r="B365" s="32"/>
      <c r="C365" s="35"/>
      <c r="D365" s="32"/>
      <c r="E365" s="32"/>
      <c r="F365" s="33"/>
      <c r="G365" s="33"/>
      <c r="H365" s="35"/>
      <c r="I365" s="33"/>
      <c r="J365" s="32"/>
    </row>
    <row r="366" customFormat="false" ht="15" hidden="false" customHeight="false" outlineLevel="0" collapsed="false">
      <c r="A366" s="32"/>
      <c r="B366" s="32"/>
      <c r="C366" s="35"/>
      <c r="D366" s="32"/>
      <c r="E366" s="32"/>
      <c r="F366" s="33"/>
      <c r="G366" s="33"/>
      <c r="H366" s="35"/>
      <c r="I366" s="33"/>
      <c r="J366" s="32"/>
    </row>
    <row r="367" customFormat="false" ht="15" hidden="false" customHeight="false" outlineLevel="0" collapsed="false">
      <c r="A367" s="32"/>
      <c r="B367" s="32"/>
      <c r="C367" s="35"/>
      <c r="D367" s="32"/>
      <c r="E367" s="32"/>
      <c r="F367" s="33"/>
      <c r="G367" s="33"/>
      <c r="H367" s="35"/>
      <c r="I367" s="33"/>
      <c r="J367" s="32"/>
    </row>
    <row r="368" customFormat="false" ht="15" hidden="false" customHeight="false" outlineLevel="0" collapsed="false">
      <c r="A368" s="32"/>
      <c r="B368" s="32"/>
      <c r="C368" s="35"/>
      <c r="D368" s="32"/>
      <c r="E368" s="32"/>
      <c r="F368" s="33"/>
      <c r="G368" s="33"/>
      <c r="H368" s="35"/>
      <c r="I368" s="33"/>
      <c r="J368" s="32"/>
    </row>
    <row r="369" customFormat="false" ht="15" hidden="false" customHeight="false" outlineLevel="0" collapsed="false">
      <c r="A369" s="32"/>
      <c r="B369" s="32"/>
      <c r="C369" s="35"/>
      <c r="D369" s="32"/>
      <c r="E369" s="32"/>
      <c r="F369" s="33"/>
      <c r="G369" s="33"/>
      <c r="H369" s="35"/>
      <c r="I369" s="33"/>
      <c r="J369" s="32"/>
    </row>
    <row r="370" customFormat="false" ht="15" hidden="false" customHeight="false" outlineLevel="0" collapsed="false">
      <c r="A370" s="32"/>
      <c r="B370" s="32"/>
      <c r="C370" s="35"/>
      <c r="D370" s="32"/>
      <c r="E370" s="32"/>
      <c r="F370" s="33"/>
      <c r="G370" s="33"/>
      <c r="H370" s="35"/>
      <c r="I370" s="33"/>
      <c r="J370" s="32"/>
    </row>
    <row r="371" customFormat="false" ht="15" hidden="false" customHeight="false" outlineLevel="0" collapsed="false">
      <c r="A371" s="32"/>
      <c r="B371" s="32"/>
      <c r="C371" s="35"/>
      <c r="D371" s="32"/>
      <c r="E371" s="32"/>
      <c r="F371" s="33"/>
      <c r="G371" s="33"/>
      <c r="H371" s="35"/>
      <c r="I371" s="33"/>
      <c r="J371" s="32"/>
    </row>
    <row r="372" customFormat="false" ht="15" hidden="false" customHeight="false" outlineLevel="0" collapsed="false">
      <c r="A372" s="32"/>
      <c r="B372" s="32"/>
      <c r="C372" s="35"/>
      <c r="D372" s="32"/>
      <c r="E372" s="32"/>
      <c r="F372" s="33"/>
      <c r="G372" s="33"/>
      <c r="H372" s="35"/>
      <c r="I372" s="33"/>
      <c r="J372" s="32"/>
    </row>
    <row r="373" customFormat="false" ht="15" hidden="false" customHeight="false" outlineLevel="0" collapsed="false">
      <c r="A373" s="32"/>
      <c r="B373" s="32"/>
      <c r="C373" s="35"/>
      <c r="D373" s="32"/>
      <c r="E373" s="32"/>
      <c r="F373" s="33"/>
      <c r="G373" s="33"/>
      <c r="H373" s="35"/>
      <c r="I373" s="33"/>
      <c r="J373" s="32"/>
    </row>
    <row r="374" customFormat="false" ht="15" hidden="false" customHeight="false" outlineLevel="0" collapsed="false">
      <c r="A374" s="32"/>
      <c r="B374" s="32"/>
      <c r="C374" s="35"/>
      <c r="D374" s="32"/>
      <c r="E374" s="32"/>
      <c r="F374" s="33"/>
      <c r="G374" s="33"/>
      <c r="H374" s="35"/>
      <c r="I374" s="33"/>
      <c r="J374" s="32"/>
    </row>
    <row r="375" customFormat="false" ht="15" hidden="false" customHeight="false" outlineLevel="0" collapsed="false">
      <c r="A375" s="32"/>
      <c r="B375" s="32"/>
      <c r="C375" s="35"/>
      <c r="D375" s="32"/>
      <c r="E375" s="32"/>
      <c r="F375" s="33"/>
      <c r="G375" s="33"/>
      <c r="H375" s="35"/>
      <c r="I375" s="33"/>
      <c r="J375" s="32"/>
    </row>
    <row r="376" customFormat="false" ht="15" hidden="false" customHeight="false" outlineLevel="0" collapsed="false">
      <c r="A376" s="32"/>
      <c r="B376" s="32"/>
      <c r="C376" s="35"/>
      <c r="D376" s="32"/>
      <c r="E376" s="32"/>
      <c r="F376" s="33"/>
      <c r="G376" s="33"/>
      <c r="H376" s="35"/>
      <c r="I376" s="33"/>
      <c r="J376" s="32"/>
    </row>
    <row r="377" customFormat="false" ht="15" hidden="false" customHeight="false" outlineLevel="0" collapsed="false">
      <c r="A377" s="32"/>
      <c r="B377" s="32"/>
      <c r="C377" s="35"/>
      <c r="D377" s="32"/>
      <c r="E377" s="32"/>
      <c r="F377" s="33"/>
      <c r="G377" s="33"/>
      <c r="H377" s="35"/>
      <c r="I377" s="33"/>
      <c r="J377" s="32"/>
    </row>
    <row r="378" customFormat="false" ht="15" hidden="false" customHeight="false" outlineLevel="0" collapsed="false">
      <c r="A378" s="32"/>
      <c r="B378" s="32"/>
      <c r="C378" s="35"/>
      <c r="D378" s="32"/>
      <c r="E378" s="32"/>
      <c r="F378" s="33"/>
      <c r="G378" s="33"/>
      <c r="H378" s="35"/>
      <c r="I378" s="33"/>
      <c r="J378" s="32"/>
    </row>
    <row r="379" customFormat="false" ht="15" hidden="false" customHeight="false" outlineLevel="0" collapsed="false">
      <c r="A379" s="32"/>
      <c r="B379" s="32"/>
      <c r="C379" s="35"/>
      <c r="D379" s="32"/>
      <c r="E379" s="32"/>
      <c r="F379" s="33"/>
      <c r="G379" s="33"/>
      <c r="H379" s="35"/>
      <c r="I379" s="33"/>
      <c r="J379" s="32"/>
    </row>
    <row r="380" customFormat="false" ht="15" hidden="false" customHeight="false" outlineLevel="0" collapsed="false">
      <c r="A380" s="32"/>
      <c r="B380" s="32"/>
      <c r="C380" s="35"/>
      <c r="D380" s="32"/>
      <c r="E380" s="32"/>
      <c r="F380" s="33"/>
      <c r="G380" s="33"/>
      <c r="H380" s="35"/>
      <c r="I380" s="33"/>
      <c r="J380" s="32"/>
    </row>
    <row r="381" customFormat="false" ht="15" hidden="false" customHeight="false" outlineLevel="0" collapsed="false">
      <c r="A381" s="32"/>
      <c r="B381" s="32"/>
      <c r="C381" s="35"/>
      <c r="D381" s="32"/>
      <c r="E381" s="32"/>
      <c r="F381" s="33"/>
      <c r="G381" s="33"/>
      <c r="H381" s="35"/>
      <c r="I381" s="33"/>
      <c r="J381" s="32"/>
    </row>
    <row r="382" customFormat="false" ht="15" hidden="false" customHeight="false" outlineLevel="0" collapsed="false">
      <c r="A382" s="32"/>
      <c r="B382" s="32"/>
      <c r="C382" s="35"/>
      <c r="D382" s="32"/>
      <c r="E382" s="32"/>
      <c r="F382" s="33"/>
      <c r="G382" s="33"/>
      <c r="H382" s="35"/>
      <c r="I382" s="33"/>
      <c r="J382" s="32"/>
    </row>
    <row r="383" customFormat="false" ht="15" hidden="false" customHeight="false" outlineLevel="0" collapsed="false">
      <c r="A383" s="32"/>
      <c r="B383" s="32"/>
      <c r="C383" s="35"/>
      <c r="D383" s="32"/>
      <c r="E383" s="32"/>
      <c r="F383" s="33"/>
      <c r="G383" s="33"/>
      <c r="H383" s="35"/>
      <c r="I383" s="33"/>
      <c r="J383" s="32"/>
    </row>
    <row r="384" customFormat="false" ht="15" hidden="false" customHeight="false" outlineLevel="0" collapsed="false">
      <c r="A384" s="32"/>
      <c r="B384" s="32"/>
      <c r="C384" s="35"/>
      <c r="D384" s="32"/>
      <c r="E384" s="32"/>
      <c r="F384" s="33"/>
      <c r="G384" s="33"/>
      <c r="H384" s="35"/>
      <c r="I384" s="33"/>
      <c r="J384" s="32"/>
    </row>
    <row r="385" customFormat="false" ht="15" hidden="false" customHeight="false" outlineLevel="0" collapsed="false">
      <c r="A385" s="32"/>
      <c r="B385" s="32"/>
      <c r="C385" s="35"/>
      <c r="D385" s="32"/>
      <c r="E385" s="32"/>
      <c r="F385" s="33"/>
      <c r="G385" s="33"/>
      <c r="H385" s="35"/>
      <c r="I385" s="33"/>
      <c r="J385" s="32"/>
    </row>
    <row r="386" customFormat="false" ht="15" hidden="false" customHeight="false" outlineLevel="0" collapsed="false">
      <c r="A386" s="32"/>
      <c r="B386" s="32"/>
      <c r="C386" s="35"/>
      <c r="D386" s="32"/>
      <c r="E386" s="32"/>
      <c r="F386" s="33"/>
      <c r="G386" s="33"/>
      <c r="H386" s="35"/>
      <c r="I386" s="33"/>
      <c r="J386" s="32"/>
    </row>
    <row r="387" customFormat="false" ht="15" hidden="false" customHeight="false" outlineLevel="0" collapsed="false">
      <c r="A387" s="32"/>
      <c r="B387" s="32"/>
      <c r="C387" s="35"/>
      <c r="D387" s="32"/>
      <c r="E387" s="32"/>
      <c r="F387" s="33"/>
      <c r="G387" s="33"/>
      <c r="H387" s="35"/>
      <c r="I387" s="33"/>
      <c r="J387" s="32"/>
    </row>
    <row r="388" customFormat="false" ht="15" hidden="false" customHeight="false" outlineLevel="0" collapsed="false">
      <c r="A388" s="32"/>
      <c r="B388" s="32"/>
      <c r="C388" s="35"/>
      <c r="D388" s="32"/>
      <c r="E388" s="32"/>
      <c r="F388" s="33"/>
      <c r="G388" s="33"/>
      <c r="H388" s="35"/>
      <c r="I388" s="33"/>
      <c r="J388" s="32"/>
    </row>
    <row r="389" customFormat="false" ht="15" hidden="false" customHeight="false" outlineLevel="0" collapsed="false">
      <c r="A389" s="32"/>
      <c r="B389" s="32"/>
      <c r="C389" s="35"/>
      <c r="D389" s="32"/>
      <c r="E389" s="32"/>
      <c r="F389" s="33"/>
      <c r="G389" s="33"/>
      <c r="H389" s="35"/>
      <c r="I389" s="33"/>
      <c r="J389" s="32"/>
    </row>
    <row r="390" customFormat="false" ht="15" hidden="false" customHeight="false" outlineLevel="0" collapsed="false">
      <c r="A390" s="32"/>
      <c r="B390" s="32"/>
      <c r="C390" s="35"/>
      <c r="D390" s="32"/>
      <c r="E390" s="32"/>
      <c r="F390" s="33"/>
      <c r="G390" s="33"/>
      <c r="H390" s="35"/>
      <c r="I390" s="33"/>
      <c r="J390" s="32"/>
    </row>
    <row r="391" customFormat="false" ht="15" hidden="false" customHeight="false" outlineLevel="0" collapsed="false">
      <c r="A391" s="32"/>
      <c r="B391" s="32"/>
      <c r="C391" s="35"/>
      <c r="D391" s="32"/>
      <c r="E391" s="32"/>
      <c r="F391" s="33"/>
      <c r="G391" s="33"/>
      <c r="H391" s="35"/>
      <c r="I391" s="33"/>
      <c r="J391" s="32"/>
    </row>
    <row r="392" customFormat="false" ht="15" hidden="false" customHeight="false" outlineLevel="0" collapsed="false">
      <c r="A392" s="32"/>
      <c r="B392" s="32"/>
      <c r="C392" s="35"/>
      <c r="D392" s="32"/>
      <c r="E392" s="32"/>
      <c r="F392" s="33"/>
      <c r="G392" s="33"/>
      <c r="H392" s="35"/>
      <c r="I392" s="33"/>
      <c r="J392" s="32"/>
    </row>
    <row r="393" customFormat="false" ht="15" hidden="false" customHeight="false" outlineLevel="0" collapsed="false">
      <c r="A393" s="32"/>
      <c r="B393" s="32"/>
      <c r="C393" s="35"/>
      <c r="D393" s="32"/>
      <c r="E393" s="32"/>
      <c r="F393" s="33"/>
      <c r="G393" s="33"/>
      <c r="H393" s="35"/>
      <c r="I393" s="33"/>
      <c r="J393" s="32"/>
    </row>
    <row r="394" customFormat="false" ht="15" hidden="false" customHeight="false" outlineLevel="0" collapsed="false">
      <c r="A394" s="32"/>
      <c r="B394" s="32"/>
      <c r="C394" s="35"/>
      <c r="D394" s="32"/>
      <c r="E394" s="32"/>
      <c r="F394" s="33"/>
      <c r="G394" s="33"/>
      <c r="H394" s="35"/>
      <c r="I394" s="33"/>
      <c r="J394" s="32"/>
    </row>
    <row r="395" customFormat="false" ht="15" hidden="false" customHeight="false" outlineLevel="0" collapsed="false">
      <c r="A395" s="32"/>
      <c r="B395" s="32"/>
      <c r="C395" s="35"/>
      <c r="D395" s="32"/>
      <c r="E395" s="32"/>
      <c r="F395" s="33"/>
      <c r="G395" s="33"/>
      <c r="H395" s="35"/>
      <c r="I395" s="33"/>
      <c r="J395" s="32"/>
    </row>
    <row r="396" customFormat="false" ht="15" hidden="false" customHeight="false" outlineLevel="0" collapsed="false">
      <c r="A396" s="32"/>
      <c r="B396" s="32"/>
      <c r="C396" s="35"/>
      <c r="D396" s="32"/>
      <c r="E396" s="32"/>
      <c r="F396" s="33"/>
      <c r="G396" s="33"/>
      <c r="H396" s="35"/>
      <c r="I396" s="33"/>
      <c r="J396" s="32"/>
    </row>
    <row r="397" customFormat="false" ht="15" hidden="false" customHeight="false" outlineLevel="0" collapsed="false">
      <c r="A397" s="32"/>
      <c r="B397" s="32"/>
      <c r="C397" s="35"/>
      <c r="D397" s="32"/>
      <c r="E397" s="32"/>
      <c r="F397" s="33"/>
      <c r="G397" s="33"/>
      <c r="H397" s="35"/>
      <c r="I397" s="33"/>
      <c r="J397" s="32"/>
    </row>
    <row r="398" customFormat="false" ht="15" hidden="false" customHeight="false" outlineLevel="0" collapsed="false">
      <c r="A398" s="32"/>
      <c r="B398" s="32"/>
      <c r="C398" s="35"/>
      <c r="D398" s="32"/>
      <c r="E398" s="32"/>
      <c r="F398" s="33"/>
      <c r="G398" s="33"/>
      <c r="H398" s="35"/>
      <c r="I398" s="33"/>
      <c r="J398" s="32"/>
    </row>
    <row r="399" customFormat="false" ht="15" hidden="false" customHeight="false" outlineLevel="0" collapsed="false">
      <c r="A399" s="32"/>
      <c r="B399" s="32"/>
      <c r="C399" s="35"/>
      <c r="D399" s="32"/>
      <c r="E399" s="32"/>
      <c r="F399" s="33"/>
      <c r="G399" s="33"/>
      <c r="H399" s="35"/>
      <c r="I399" s="33"/>
      <c r="J399" s="32"/>
    </row>
    <row r="400" customFormat="false" ht="15" hidden="false" customHeight="false" outlineLevel="0" collapsed="false">
      <c r="A400" s="32"/>
      <c r="B400" s="32"/>
      <c r="C400" s="35"/>
      <c r="D400" s="32"/>
      <c r="E400" s="32"/>
      <c r="F400" s="33"/>
      <c r="G400" s="33"/>
      <c r="H400" s="35"/>
      <c r="I400" s="33"/>
      <c r="J400" s="32"/>
    </row>
    <row r="401" customFormat="false" ht="15" hidden="false" customHeight="false" outlineLevel="0" collapsed="false">
      <c r="A401" s="32"/>
      <c r="B401" s="32"/>
      <c r="C401" s="35"/>
      <c r="D401" s="32"/>
      <c r="E401" s="32"/>
      <c r="F401" s="33"/>
      <c r="G401" s="33"/>
      <c r="H401" s="35"/>
      <c r="I401" s="33"/>
      <c r="J401" s="32"/>
    </row>
    <row r="402" customFormat="false" ht="15" hidden="false" customHeight="false" outlineLevel="0" collapsed="false">
      <c r="A402" s="32"/>
      <c r="B402" s="32"/>
      <c r="C402" s="35"/>
      <c r="D402" s="32"/>
      <c r="E402" s="32"/>
      <c r="F402" s="33"/>
      <c r="G402" s="33"/>
      <c r="H402" s="35"/>
      <c r="I402" s="33"/>
      <c r="J402" s="32"/>
    </row>
    <row r="403" customFormat="false" ht="15" hidden="false" customHeight="false" outlineLevel="0" collapsed="false">
      <c r="A403" s="32"/>
      <c r="B403" s="32"/>
      <c r="C403" s="35"/>
      <c r="D403" s="32"/>
      <c r="E403" s="32"/>
      <c r="F403" s="33"/>
      <c r="G403" s="33"/>
      <c r="H403" s="35"/>
      <c r="I403" s="33"/>
      <c r="J403" s="32"/>
    </row>
    <row r="404" customFormat="false" ht="15" hidden="false" customHeight="false" outlineLevel="0" collapsed="false">
      <c r="A404" s="32"/>
      <c r="B404" s="32"/>
      <c r="C404" s="35"/>
      <c r="D404" s="32"/>
      <c r="E404" s="32"/>
      <c r="F404" s="33"/>
      <c r="G404" s="33"/>
      <c r="H404" s="35"/>
      <c r="I404" s="33"/>
      <c r="J404" s="32"/>
    </row>
    <row r="405" customFormat="false" ht="15" hidden="false" customHeight="false" outlineLevel="0" collapsed="false">
      <c r="A405" s="32"/>
      <c r="B405" s="32"/>
      <c r="C405" s="35"/>
      <c r="D405" s="32"/>
      <c r="E405" s="32"/>
      <c r="F405" s="33"/>
      <c r="G405" s="33"/>
      <c r="H405" s="35"/>
      <c r="I405" s="33"/>
      <c r="J405" s="32"/>
    </row>
    <row r="406" customFormat="false" ht="15" hidden="false" customHeight="false" outlineLevel="0" collapsed="false">
      <c r="A406" s="32"/>
      <c r="B406" s="32"/>
      <c r="C406" s="35"/>
      <c r="D406" s="32"/>
      <c r="E406" s="32"/>
      <c r="F406" s="33"/>
      <c r="G406" s="33"/>
      <c r="H406" s="35"/>
      <c r="I406" s="33"/>
      <c r="J406" s="32"/>
    </row>
    <row r="407" customFormat="false" ht="15" hidden="false" customHeight="false" outlineLevel="0" collapsed="false">
      <c r="A407" s="32"/>
      <c r="B407" s="32"/>
      <c r="C407" s="35"/>
      <c r="D407" s="32"/>
      <c r="E407" s="32"/>
      <c r="F407" s="33"/>
      <c r="G407" s="33"/>
      <c r="H407" s="35"/>
      <c r="I407" s="33"/>
      <c r="J407" s="32"/>
    </row>
    <row r="408" customFormat="false" ht="15" hidden="false" customHeight="false" outlineLevel="0" collapsed="false">
      <c r="A408" s="32"/>
      <c r="B408" s="32"/>
      <c r="C408" s="35"/>
      <c r="D408" s="32"/>
      <c r="E408" s="32"/>
      <c r="F408" s="33"/>
      <c r="G408" s="33"/>
      <c r="H408" s="35"/>
      <c r="I408" s="33"/>
      <c r="J408" s="32"/>
    </row>
    <row r="409" customFormat="false" ht="15" hidden="false" customHeight="false" outlineLevel="0" collapsed="false">
      <c r="A409" s="32"/>
      <c r="B409" s="32"/>
      <c r="C409" s="35"/>
      <c r="D409" s="32"/>
      <c r="E409" s="32"/>
      <c r="F409" s="33"/>
      <c r="G409" s="33"/>
      <c r="H409" s="35"/>
      <c r="I409" s="33"/>
      <c r="J409" s="32"/>
    </row>
    <row r="410" customFormat="false" ht="15" hidden="false" customHeight="false" outlineLevel="0" collapsed="false">
      <c r="A410" s="32"/>
      <c r="B410" s="32"/>
      <c r="C410" s="35"/>
      <c r="D410" s="32"/>
      <c r="E410" s="32"/>
      <c r="F410" s="33"/>
      <c r="G410" s="33"/>
      <c r="H410" s="35"/>
      <c r="I410" s="33"/>
      <c r="J410" s="32"/>
    </row>
    <row r="411" customFormat="false" ht="15" hidden="false" customHeight="false" outlineLevel="0" collapsed="false">
      <c r="A411" s="32"/>
      <c r="B411" s="32"/>
      <c r="C411" s="35"/>
      <c r="D411" s="32"/>
      <c r="E411" s="32"/>
      <c r="F411" s="33"/>
      <c r="G411" s="33"/>
      <c r="H411" s="35"/>
      <c r="I411" s="33"/>
      <c r="J411" s="32"/>
    </row>
    <row r="412" customFormat="false" ht="15" hidden="false" customHeight="false" outlineLevel="0" collapsed="false">
      <c r="A412" s="32"/>
      <c r="B412" s="32"/>
      <c r="C412" s="35"/>
      <c r="D412" s="32"/>
      <c r="E412" s="32"/>
      <c r="F412" s="33"/>
      <c r="G412" s="33"/>
      <c r="H412" s="35"/>
      <c r="I412" s="33"/>
      <c r="J412" s="32"/>
    </row>
    <row r="413" customFormat="false" ht="15" hidden="false" customHeight="false" outlineLevel="0" collapsed="false">
      <c r="A413" s="32"/>
      <c r="B413" s="32"/>
      <c r="C413" s="35"/>
      <c r="D413" s="32"/>
      <c r="E413" s="32"/>
      <c r="F413" s="33"/>
      <c r="G413" s="33"/>
      <c r="H413" s="35"/>
      <c r="I413" s="33"/>
      <c r="J413" s="32"/>
    </row>
    <row r="414" customFormat="false" ht="15" hidden="false" customHeight="false" outlineLevel="0" collapsed="false">
      <c r="A414" s="32"/>
      <c r="B414" s="32"/>
      <c r="C414" s="35"/>
      <c r="D414" s="32"/>
      <c r="E414" s="32"/>
      <c r="F414" s="33"/>
      <c r="G414" s="33"/>
      <c r="H414" s="35"/>
      <c r="I414" s="33"/>
      <c r="J414" s="32"/>
    </row>
    <row r="415" customFormat="false" ht="15" hidden="false" customHeight="false" outlineLevel="0" collapsed="false">
      <c r="A415" s="32"/>
      <c r="B415" s="32"/>
      <c r="C415" s="35"/>
      <c r="D415" s="32"/>
      <c r="E415" s="32"/>
      <c r="F415" s="33"/>
      <c r="G415" s="33"/>
      <c r="H415" s="35"/>
      <c r="I415" s="33"/>
      <c r="J415" s="32"/>
    </row>
    <row r="416" customFormat="false" ht="15" hidden="false" customHeight="false" outlineLevel="0" collapsed="false">
      <c r="A416" s="32"/>
      <c r="B416" s="32"/>
      <c r="C416" s="35"/>
      <c r="D416" s="32"/>
      <c r="E416" s="32"/>
      <c r="F416" s="33"/>
      <c r="G416" s="33"/>
      <c r="H416" s="35"/>
      <c r="I416" s="33"/>
      <c r="J416" s="32"/>
    </row>
    <row r="417" customFormat="false" ht="15" hidden="false" customHeight="false" outlineLevel="0" collapsed="false">
      <c r="A417" s="32"/>
      <c r="B417" s="32"/>
      <c r="C417" s="35"/>
      <c r="D417" s="32"/>
      <c r="E417" s="32"/>
      <c r="F417" s="33"/>
      <c r="G417" s="33"/>
      <c r="H417" s="35"/>
      <c r="I417" s="33"/>
      <c r="J417" s="32"/>
    </row>
    <row r="418" customFormat="false" ht="15" hidden="false" customHeight="false" outlineLevel="0" collapsed="false">
      <c r="A418" s="32"/>
      <c r="B418" s="32"/>
      <c r="C418" s="35"/>
      <c r="D418" s="32"/>
      <c r="E418" s="32"/>
      <c r="F418" s="33"/>
      <c r="G418" s="33"/>
      <c r="H418" s="35"/>
      <c r="I418" s="33"/>
      <c r="J418" s="32"/>
    </row>
    <row r="419" customFormat="false" ht="15" hidden="false" customHeight="false" outlineLevel="0" collapsed="false">
      <c r="A419" s="32"/>
      <c r="B419" s="32"/>
      <c r="C419" s="35"/>
      <c r="D419" s="32"/>
      <c r="E419" s="32"/>
      <c r="F419" s="33"/>
      <c r="G419" s="33"/>
      <c r="H419" s="35"/>
      <c r="I419" s="33"/>
      <c r="J419" s="32"/>
    </row>
    <row r="420" customFormat="false" ht="15" hidden="false" customHeight="false" outlineLevel="0" collapsed="false">
      <c r="A420" s="32"/>
      <c r="B420" s="32"/>
      <c r="C420" s="35"/>
      <c r="D420" s="32"/>
      <c r="E420" s="32"/>
      <c r="F420" s="33"/>
      <c r="G420" s="33"/>
      <c r="H420" s="35"/>
      <c r="I420" s="33"/>
      <c r="J420" s="32"/>
    </row>
    <row r="421" customFormat="false" ht="15" hidden="false" customHeight="false" outlineLevel="0" collapsed="false">
      <c r="A421" s="32"/>
      <c r="B421" s="32"/>
      <c r="C421" s="35"/>
      <c r="D421" s="32"/>
      <c r="E421" s="32"/>
      <c r="F421" s="33"/>
      <c r="G421" s="33"/>
      <c r="H421" s="35"/>
      <c r="I421" s="33"/>
      <c r="J421" s="32"/>
    </row>
    <row r="422" customFormat="false" ht="15" hidden="false" customHeight="false" outlineLevel="0" collapsed="false">
      <c r="A422" s="32"/>
      <c r="B422" s="32"/>
      <c r="C422" s="35"/>
      <c r="D422" s="32"/>
      <c r="E422" s="32"/>
      <c r="F422" s="33"/>
      <c r="G422" s="33"/>
      <c r="H422" s="35"/>
      <c r="I422" s="33"/>
      <c r="J422" s="32"/>
    </row>
    <row r="423" customFormat="false" ht="15" hidden="false" customHeight="false" outlineLevel="0" collapsed="false">
      <c r="A423" s="32"/>
      <c r="B423" s="32"/>
      <c r="C423" s="35"/>
      <c r="D423" s="32"/>
      <c r="E423" s="32"/>
      <c r="F423" s="33"/>
      <c r="G423" s="33"/>
      <c r="H423" s="35"/>
      <c r="I423" s="33"/>
      <c r="J423" s="32"/>
    </row>
    <row r="424" customFormat="false" ht="15" hidden="false" customHeight="false" outlineLevel="0" collapsed="false">
      <c r="A424" s="32"/>
      <c r="B424" s="32"/>
      <c r="C424" s="35"/>
      <c r="D424" s="32"/>
      <c r="E424" s="32"/>
      <c r="F424" s="33"/>
      <c r="G424" s="33"/>
      <c r="H424" s="35"/>
      <c r="I424" s="33"/>
      <c r="J424" s="32"/>
    </row>
    <row r="425" customFormat="false" ht="15" hidden="false" customHeight="false" outlineLevel="0" collapsed="false">
      <c r="A425" s="32"/>
      <c r="B425" s="32"/>
      <c r="C425" s="35"/>
      <c r="D425" s="32"/>
      <c r="E425" s="32"/>
      <c r="F425" s="33"/>
      <c r="G425" s="33"/>
      <c r="H425" s="35"/>
      <c r="I425" s="33"/>
      <c r="J425" s="32"/>
    </row>
    <row r="426" customFormat="false" ht="15" hidden="false" customHeight="false" outlineLevel="0" collapsed="false">
      <c r="A426" s="32"/>
      <c r="B426" s="32"/>
      <c r="C426" s="35"/>
      <c r="D426" s="32"/>
      <c r="E426" s="32"/>
      <c r="F426" s="33"/>
      <c r="G426" s="33"/>
      <c r="H426" s="35"/>
      <c r="I426" s="33"/>
      <c r="J426" s="32"/>
    </row>
    <row r="427" customFormat="false" ht="15" hidden="false" customHeight="false" outlineLevel="0" collapsed="false">
      <c r="A427" s="32"/>
      <c r="B427" s="32"/>
      <c r="C427" s="35"/>
      <c r="D427" s="32"/>
      <c r="E427" s="32"/>
      <c r="F427" s="33"/>
      <c r="G427" s="33"/>
      <c r="H427" s="35"/>
      <c r="I427" s="33"/>
      <c r="J427" s="32"/>
    </row>
    <row r="428" customFormat="false" ht="15" hidden="false" customHeight="false" outlineLevel="0" collapsed="false">
      <c r="A428" s="32"/>
      <c r="B428" s="32"/>
      <c r="C428" s="35"/>
      <c r="D428" s="32"/>
      <c r="E428" s="32"/>
      <c r="F428" s="33"/>
      <c r="G428" s="33"/>
      <c r="H428" s="35"/>
      <c r="I428" s="33"/>
      <c r="J428" s="32"/>
    </row>
    <row r="429" customFormat="false" ht="15" hidden="false" customHeight="false" outlineLevel="0" collapsed="false">
      <c r="A429" s="32"/>
      <c r="B429" s="32"/>
      <c r="C429" s="35"/>
      <c r="D429" s="32"/>
      <c r="E429" s="32"/>
      <c r="F429" s="33"/>
      <c r="G429" s="33"/>
      <c r="H429" s="35"/>
      <c r="I429" s="33"/>
      <c r="J429" s="32"/>
    </row>
    <row r="430" customFormat="false" ht="15" hidden="false" customHeight="false" outlineLevel="0" collapsed="false">
      <c r="A430" s="32"/>
      <c r="B430" s="32"/>
      <c r="C430" s="35"/>
      <c r="D430" s="32"/>
      <c r="E430" s="32"/>
      <c r="F430" s="33"/>
      <c r="G430" s="33"/>
      <c r="H430" s="35"/>
      <c r="I430" s="33"/>
      <c r="J430" s="32"/>
    </row>
    <row r="431" customFormat="false" ht="15" hidden="false" customHeight="false" outlineLevel="0" collapsed="false">
      <c r="A431" s="32"/>
      <c r="B431" s="32"/>
      <c r="C431" s="35"/>
      <c r="D431" s="32"/>
      <c r="E431" s="32"/>
      <c r="F431" s="33"/>
      <c r="G431" s="33"/>
      <c r="H431" s="35"/>
      <c r="I431" s="33"/>
      <c r="J431" s="32"/>
    </row>
    <row r="432" customFormat="false" ht="15" hidden="false" customHeight="false" outlineLevel="0" collapsed="false">
      <c r="A432" s="32"/>
      <c r="B432" s="32"/>
      <c r="C432" s="35"/>
      <c r="D432" s="32"/>
      <c r="E432" s="32"/>
      <c r="F432" s="33"/>
      <c r="G432" s="33"/>
      <c r="H432" s="35"/>
      <c r="I432" s="33"/>
      <c r="J432" s="32"/>
    </row>
    <row r="433" customFormat="false" ht="15" hidden="false" customHeight="false" outlineLevel="0" collapsed="false">
      <c r="A433" s="32"/>
      <c r="B433" s="32"/>
      <c r="C433" s="35"/>
      <c r="D433" s="32"/>
      <c r="E433" s="32"/>
      <c r="F433" s="33"/>
      <c r="G433" s="33"/>
      <c r="H433" s="35"/>
      <c r="I433" s="33"/>
      <c r="J433" s="32"/>
    </row>
    <row r="434" customFormat="false" ht="15" hidden="false" customHeight="false" outlineLevel="0" collapsed="false">
      <c r="A434" s="32"/>
      <c r="B434" s="32"/>
      <c r="C434" s="35"/>
      <c r="D434" s="32"/>
      <c r="E434" s="32"/>
      <c r="F434" s="33"/>
      <c r="G434" s="33"/>
      <c r="H434" s="35"/>
      <c r="I434" s="33"/>
      <c r="J434" s="32"/>
    </row>
    <row r="435" customFormat="false" ht="15" hidden="false" customHeight="false" outlineLevel="0" collapsed="false">
      <c r="A435" s="32"/>
      <c r="B435" s="32"/>
      <c r="C435" s="35"/>
      <c r="D435" s="32"/>
      <c r="E435" s="32"/>
      <c r="F435" s="33"/>
      <c r="G435" s="33"/>
      <c r="H435" s="35"/>
      <c r="I435" s="33"/>
      <c r="J435" s="32"/>
    </row>
    <row r="436" customFormat="false" ht="15" hidden="false" customHeight="false" outlineLevel="0" collapsed="false">
      <c r="A436" s="32"/>
      <c r="B436" s="32"/>
      <c r="C436" s="35"/>
      <c r="D436" s="32"/>
      <c r="E436" s="32"/>
      <c r="F436" s="33"/>
      <c r="G436" s="33"/>
      <c r="H436" s="35"/>
      <c r="I436" s="33"/>
      <c r="J436" s="32"/>
    </row>
    <row r="437" customFormat="false" ht="15" hidden="false" customHeight="false" outlineLevel="0" collapsed="false">
      <c r="A437" s="32"/>
      <c r="B437" s="32"/>
      <c r="C437" s="35"/>
      <c r="D437" s="32"/>
      <c r="E437" s="32"/>
      <c r="F437" s="33"/>
      <c r="G437" s="33"/>
      <c r="H437" s="35"/>
      <c r="I437" s="33"/>
      <c r="J437" s="32"/>
    </row>
    <row r="438" customFormat="false" ht="15" hidden="false" customHeight="false" outlineLevel="0" collapsed="false">
      <c r="A438" s="32"/>
      <c r="B438" s="32"/>
      <c r="C438" s="35"/>
      <c r="D438" s="32"/>
      <c r="E438" s="32"/>
      <c r="F438" s="33"/>
      <c r="G438" s="33"/>
      <c r="H438" s="35"/>
      <c r="I438" s="33"/>
      <c r="J438" s="32"/>
    </row>
    <row r="439" customFormat="false" ht="15" hidden="false" customHeight="false" outlineLevel="0" collapsed="false">
      <c r="A439" s="32"/>
      <c r="B439" s="32"/>
      <c r="C439" s="35"/>
      <c r="D439" s="32"/>
      <c r="E439" s="32"/>
      <c r="F439" s="33"/>
      <c r="G439" s="33"/>
      <c r="H439" s="35"/>
      <c r="I439" s="33"/>
      <c r="J439" s="32"/>
    </row>
    <row r="440" customFormat="false" ht="15" hidden="false" customHeight="false" outlineLevel="0" collapsed="false">
      <c r="A440" s="32"/>
      <c r="B440" s="32"/>
      <c r="C440" s="35"/>
      <c r="D440" s="32"/>
      <c r="E440" s="32"/>
      <c r="F440" s="33"/>
      <c r="G440" s="33"/>
      <c r="H440" s="35"/>
      <c r="I440" s="33"/>
      <c r="J440" s="32"/>
    </row>
    <row r="441" customFormat="false" ht="15" hidden="false" customHeight="false" outlineLevel="0" collapsed="false">
      <c r="A441" s="32"/>
      <c r="B441" s="32"/>
      <c r="C441" s="35"/>
      <c r="D441" s="32"/>
      <c r="E441" s="32"/>
      <c r="F441" s="33"/>
      <c r="G441" s="33"/>
      <c r="H441" s="35"/>
      <c r="I441" s="33"/>
      <c r="J441" s="32"/>
    </row>
    <row r="442" customFormat="false" ht="15" hidden="false" customHeight="false" outlineLevel="0" collapsed="false">
      <c r="A442" s="32"/>
      <c r="B442" s="32"/>
      <c r="C442" s="35"/>
      <c r="D442" s="32"/>
      <c r="E442" s="32"/>
      <c r="F442" s="33"/>
      <c r="G442" s="33"/>
      <c r="H442" s="35"/>
      <c r="I442" s="33"/>
      <c r="J442" s="32"/>
    </row>
    <row r="443" customFormat="false" ht="15" hidden="false" customHeight="false" outlineLevel="0" collapsed="false">
      <c r="A443" s="32"/>
      <c r="B443" s="32"/>
      <c r="C443" s="35"/>
      <c r="D443" s="32"/>
      <c r="E443" s="32"/>
      <c r="F443" s="33"/>
      <c r="G443" s="33"/>
      <c r="H443" s="35"/>
      <c r="I443" s="33"/>
      <c r="J443" s="32"/>
    </row>
    <row r="444" customFormat="false" ht="15" hidden="false" customHeight="false" outlineLevel="0" collapsed="false">
      <c r="A444" s="32"/>
      <c r="B444" s="32"/>
      <c r="C444" s="35"/>
      <c r="D444" s="32"/>
      <c r="E444" s="32"/>
      <c r="F444" s="33"/>
      <c r="G444" s="33"/>
      <c r="H444" s="35"/>
      <c r="I444" s="33"/>
      <c r="J444" s="32"/>
    </row>
    <row r="445" customFormat="false" ht="15" hidden="false" customHeight="false" outlineLevel="0" collapsed="false">
      <c r="A445" s="32"/>
      <c r="B445" s="32"/>
      <c r="C445" s="35"/>
      <c r="D445" s="32"/>
      <c r="E445" s="32"/>
      <c r="F445" s="33"/>
      <c r="G445" s="33"/>
      <c r="H445" s="35"/>
      <c r="I445" s="33"/>
      <c r="J445" s="32"/>
    </row>
    <row r="446" customFormat="false" ht="15" hidden="false" customHeight="false" outlineLevel="0" collapsed="false">
      <c r="A446" s="32"/>
      <c r="B446" s="32"/>
      <c r="C446" s="35"/>
      <c r="D446" s="32"/>
      <c r="E446" s="32"/>
      <c r="F446" s="33"/>
      <c r="G446" s="33"/>
      <c r="H446" s="35"/>
      <c r="I446" s="33"/>
      <c r="J446" s="32"/>
    </row>
    <row r="447" customFormat="false" ht="15" hidden="false" customHeight="false" outlineLevel="0" collapsed="false">
      <c r="A447" s="32"/>
      <c r="B447" s="32"/>
      <c r="C447" s="35"/>
      <c r="D447" s="32"/>
      <c r="E447" s="32"/>
      <c r="F447" s="33"/>
      <c r="G447" s="33"/>
      <c r="H447" s="35"/>
      <c r="I447" s="33"/>
      <c r="J447" s="32"/>
    </row>
    <row r="448" customFormat="false" ht="15" hidden="false" customHeight="false" outlineLevel="0" collapsed="false">
      <c r="A448" s="32"/>
      <c r="B448" s="32"/>
      <c r="C448" s="35"/>
      <c r="D448" s="32"/>
      <c r="E448" s="32"/>
      <c r="F448" s="33"/>
      <c r="G448" s="33"/>
      <c r="H448" s="35"/>
      <c r="I448" s="33"/>
      <c r="J448" s="32"/>
    </row>
    <row r="449" customFormat="false" ht="15" hidden="false" customHeight="false" outlineLevel="0" collapsed="false">
      <c r="A449" s="32"/>
      <c r="B449" s="32"/>
      <c r="C449" s="35"/>
      <c r="D449" s="32"/>
      <c r="E449" s="32"/>
      <c r="F449" s="33"/>
      <c r="G449" s="33"/>
      <c r="H449" s="35"/>
      <c r="I449" s="33"/>
      <c r="J449" s="32"/>
    </row>
    <row r="450" customFormat="false" ht="15" hidden="false" customHeight="false" outlineLevel="0" collapsed="false">
      <c r="A450" s="32"/>
      <c r="B450" s="32"/>
      <c r="C450" s="35"/>
      <c r="D450" s="32"/>
      <c r="E450" s="32"/>
      <c r="F450" s="33"/>
      <c r="G450" s="33"/>
      <c r="H450" s="35"/>
      <c r="I450" s="33"/>
      <c r="J450" s="32"/>
    </row>
    <row r="451" customFormat="false" ht="15" hidden="false" customHeight="false" outlineLevel="0" collapsed="false">
      <c r="A451" s="32"/>
      <c r="B451" s="32"/>
      <c r="C451" s="35"/>
      <c r="D451" s="32"/>
      <c r="E451" s="32"/>
      <c r="F451" s="33"/>
      <c r="G451" s="33"/>
      <c r="H451" s="35"/>
      <c r="I451" s="33"/>
      <c r="J451" s="32"/>
    </row>
    <row r="452" customFormat="false" ht="15" hidden="false" customHeight="false" outlineLevel="0" collapsed="false">
      <c r="A452" s="32"/>
      <c r="B452" s="32"/>
      <c r="C452" s="35"/>
      <c r="D452" s="32"/>
      <c r="E452" s="32"/>
      <c r="F452" s="33"/>
      <c r="G452" s="33"/>
      <c r="H452" s="35"/>
      <c r="I452" s="33"/>
      <c r="J452" s="32"/>
    </row>
    <row r="453" customFormat="false" ht="15" hidden="false" customHeight="false" outlineLevel="0" collapsed="false">
      <c r="A453" s="32"/>
      <c r="B453" s="32"/>
      <c r="C453" s="35"/>
      <c r="D453" s="32"/>
      <c r="E453" s="32"/>
      <c r="F453" s="33"/>
      <c r="G453" s="33"/>
      <c r="H453" s="35"/>
      <c r="I453" s="33"/>
      <c r="J453" s="32"/>
    </row>
    <row r="454" customFormat="false" ht="15" hidden="false" customHeight="false" outlineLevel="0" collapsed="false">
      <c r="A454" s="32"/>
      <c r="B454" s="32"/>
      <c r="C454" s="35"/>
      <c r="D454" s="32"/>
      <c r="E454" s="32"/>
      <c r="F454" s="33"/>
      <c r="G454" s="33"/>
      <c r="H454" s="35"/>
      <c r="I454" s="33"/>
      <c r="J454" s="32"/>
    </row>
    <row r="455" customFormat="false" ht="15" hidden="false" customHeight="false" outlineLevel="0" collapsed="false">
      <c r="A455" s="32"/>
      <c r="B455" s="32"/>
      <c r="C455" s="35"/>
      <c r="D455" s="32"/>
      <c r="E455" s="32"/>
      <c r="F455" s="33"/>
      <c r="G455" s="33"/>
      <c r="H455" s="35"/>
      <c r="I455" s="33"/>
      <c r="J455" s="32"/>
    </row>
    <row r="456" customFormat="false" ht="15" hidden="false" customHeight="false" outlineLevel="0" collapsed="false">
      <c r="A456" s="32"/>
      <c r="B456" s="32"/>
      <c r="C456" s="35"/>
      <c r="D456" s="32"/>
      <c r="E456" s="32"/>
      <c r="F456" s="33"/>
      <c r="G456" s="33"/>
      <c r="H456" s="35"/>
      <c r="I456" s="33"/>
      <c r="J456" s="32"/>
    </row>
    <row r="457" customFormat="false" ht="15" hidden="false" customHeight="false" outlineLevel="0" collapsed="false">
      <c r="A457" s="32"/>
      <c r="B457" s="32"/>
      <c r="C457" s="35"/>
      <c r="D457" s="32"/>
      <c r="E457" s="32"/>
      <c r="F457" s="33"/>
      <c r="G457" s="33"/>
      <c r="H457" s="35"/>
      <c r="I457" s="33"/>
      <c r="J457" s="32"/>
    </row>
    <row r="458" customFormat="false" ht="15" hidden="false" customHeight="false" outlineLevel="0" collapsed="false">
      <c r="A458" s="32"/>
      <c r="B458" s="32"/>
      <c r="C458" s="35"/>
      <c r="D458" s="32"/>
      <c r="E458" s="32"/>
      <c r="F458" s="33"/>
      <c r="G458" s="33"/>
      <c r="H458" s="35"/>
      <c r="I458" s="33"/>
      <c r="J458" s="32"/>
    </row>
    <row r="459" customFormat="false" ht="15" hidden="false" customHeight="false" outlineLevel="0" collapsed="false">
      <c r="A459" s="32"/>
      <c r="B459" s="32"/>
      <c r="C459" s="35"/>
      <c r="D459" s="32"/>
      <c r="E459" s="32"/>
      <c r="F459" s="33"/>
      <c r="G459" s="33"/>
      <c r="H459" s="35"/>
      <c r="I459" s="33"/>
      <c r="J459" s="32"/>
    </row>
    <row r="460" customFormat="false" ht="15" hidden="false" customHeight="false" outlineLevel="0" collapsed="false">
      <c r="A460" s="32"/>
      <c r="B460" s="32"/>
      <c r="C460" s="35"/>
      <c r="D460" s="32"/>
      <c r="E460" s="32"/>
      <c r="F460" s="33"/>
      <c r="G460" s="33"/>
      <c r="H460" s="35"/>
      <c r="I460" s="33"/>
      <c r="J460" s="32"/>
    </row>
    <row r="461" customFormat="false" ht="15" hidden="false" customHeight="false" outlineLevel="0" collapsed="false">
      <c r="A461" s="32"/>
      <c r="B461" s="32"/>
      <c r="C461" s="35"/>
      <c r="D461" s="32"/>
      <c r="E461" s="32"/>
      <c r="F461" s="33"/>
      <c r="G461" s="33"/>
      <c r="H461" s="35"/>
      <c r="I461" s="33"/>
      <c r="J461" s="32"/>
    </row>
    <row r="462" customFormat="false" ht="15" hidden="false" customHeight="false" outlineLevel="0" collapsed="false">
      <c r="A462" s="32"/>
      <c r="B462" s="32"/>
      <c r="C462" s="35"/>
      <c r="D462" s="32"/>
      <c r="E462" s="32"/>
      <c r="F462" s="33"/>
      <c r="G462" s="33"/>
      <c r="H462" s="35"/>
      <c r="I462" s="33"/>
      <c r="J462" s="32"/>
    </row>
    <row r="463" customFormat="false" ht="15" hidden="false" customHeight="false" outlineLevel="0" collapsed="false">
      <c r="A463" s="32"/>
      <c r="B463" s="32"/>
      <c r="C463" s="35"/>
      <c r="D463" s="32"/>
      <c r="E463" s="32"/>
      <c r="F463" s="33"/>
      <c r="G463" s="33"/>
      <c r="H463" s="35"/>
      <c r="I463" s="33"/>
      <c r="J463" s="32"/>
    </row>
    <row r="464" customFormat="false" ht="15" hidden="false" customHeight="false" outlineLevel="0" collapsed="false">
      <c r="A464" s="32"/>
      <c r="B464" s="32"/>
      <c r="C464" s="35"/>
      <c r="D464" s="32"/>
      <c r="E464" s="32"/>
      <c r="F464" s="33"/>
      <c r="G464" s="33"/>
      <c r="H464" s="35"/>
      <c r="I464" s="33"/>
      <c r="J464" s="32"/>
    </row>
    <row r="465" customFormat="false" ht="15" hidden="false" customHeight="false" outlineLevel="0" collapsed="false">
      <c r="A465" s="32"/>
      <c r="B465" s="32"/>
      <c r="C465" s="35"/>
      <c r="D465" s="32"/>
      <c r="E465" s="32"/>
      <c r="F465" s="33"/>
      <c r="G465" s="33"/>
      <c r="H465" s="35"/>
      <c r="I465" s="33"/>
      <c r="J465" s="32"/>
    </row>
    <row r="466" customFormat="false" ht="15" hidden="false" customHeight="false" outlineLevel="0" collapsed="false">
      <c r="A466" s="32"/>
      <c r="B466" s="32"/>
      <c r="C466" s="35"/>
      <c r="D466" s="32"/>
      <c r="E466" s="32"/>
      <c r="F466" s="33"/>
      <c r="G466" s="33"/>
      <c r="H466" s="35"/>
      <c r="I466" s="33"/>
      <c r="J466" s="32"/>
    </row>
    <row r="467" customFormat="false" ht="15" hidden="false" customHeight="false" outlineLevel="0" collapsed="false">
      <c r="A467" s="32"/>
      <c r="B467" s="32"/>
      <c r="C467" s="35"/>
      <c r="D467" s="32"/>
      <c r="E467" s="32"/>
      <c r="F467" s="33"/>
      <c r="G467" s="33"/>
      <c r="H467" s="35"/>
      <c r="I467" s="33"/>
      <c r="J467" s="32"/>
    </row>
    <row r="468" customFormat="false" ht="15" hidden="false" customHeight="false" outlineLevel="0" collapsed="false">
      <c r="A468" s="32"/>
      <c r="B468" s="32"/>
      <c r="C468" s="35"/>
      <c r="D468" s="32"/>
      <c r="E468" s="32"/>
      <c r="F468" s="33"/>
      <c r="G468" s="33"/>
      <c r="H468" s="35"/>
      <c r="I468" s="33"/>
      <c r="J468" s="32"/>
    </row>
    <row r="469" customFormat="false" ht="15" hidden="false" customHeight="false" outlineLevel="0" collapsed="false">
      <c r="A469" s="32"/>
      <c r="B469" s="32"/>
      <c r="C469" s="35"/>
      <c r="D469" s="32"/>
      <c r="E469" s="32"/>
      <c r="F469" s="33"/>
      <c r="G469" s="33"/>
      <c r="H469" s="35"/>
      <c r="I469" s="33"/>
      <c r="J469" s="32"/>
    </row>
    <row r="470" customFormat="false" ht="15" hidden="false" customHeight="false" outlineLevel="0" collapsed="false">
      <c r="A470" s="32"/>
      <c r="B470" s="32"/>
      <c r="C470" s="35"/>
      <c r="D470" s="32"/>
      <c r="E470" s="32"/>
      <c r="F470" s="33"/>
      <c r="G470" s="33"/>
      <c r="H470" s="35"/>
      <c r="I470" s="33"/>
      <c r="J470" s="32"/>
    </row>
    <row r="471" customFormat="false" ht="15" hidden="false" customHeight="false" outlineLevel="0" collapsed="false">
      <c r="A471" s="32"/>
      <c r="B471" s="32"/>
      <c r="C471" s="35"/>
      <c r="D471" s="32"/>
      <c r="E471" s="32"/>
      <c r="F471" s="33"/>
      <c r="G471" s="33"/>
      <c r="H471" s="35"/>
      <c r="I471" s="33"/>
      <c r="J471" s="32"/>
    </row>
    <row r="472" customFormat="false" ht="15" hidden="false" customHeight="false" outlineLevel="0" collapsed="false">
      <c r="A472" s="32"/>
      <c r="B472" s="32"/>
      <c r="C472" s="35"/>
      <c r="D472" s="32"/>
      <c r="E472" s="32"/>
      <c r="F472" s="33"/>
      <c r="G472" s="33"/>
      <c r="H472" s="35"/>
      <c r="I472" s="33"/>
      <c r="J472" s="32"/>
    </row>
    <row r="473" customFormat="false" ht="15" hidden="false" customHeight="false" outlineLevel="0" collapsed="false">
      <c r="A473" s="32"/>
      <c r="B473" s="32"/>
      <c r="C473" s="35"/>
      <c r="D473" s="32"/>
      <c r="E473" s="32"/>
      <c r="F473" s="33"/>
      <c r="G473" s="33"/>
      <c r="H473" s="35"/>
      <c r="I473" s="33"/>
      <c r="J473" s="32"/>
    </row>
    <row r="474" customFormat="false" ht="15" hidden="false" customHeight="false" outlineLevel="0" collapsed="false">
      <c r="A474" s="32"/>
      <c r="B474" s="32"/>
      <c r="C474" s="35"/>
      <c r="D474" s="32"/>
      <c r="E474" s="32"/>
      <c r="F474" s="33"/>
      <c r="G474" s="33"/>
      <c r="H474" s="35"/>
      <c r="I474" s="33"/>
      <c r="J474" s="32"/>
    </row>
    <row r="475" customFormat="false" ht="15" hidden="false" customHeight="false" outlineLevel="0" collapsed="false">
      <c r="A475" s="32"/>
      <c r="B475" s="32"/>
      <c r="C475" s="35"/>
      <c r="D475" s="32"/>
      <c r="E475" s="32"/>
      <c r="F475" s="33"/>
      <c r="G475" s="33"/>
      <c r="H475" s="35"/>
      <c r="I475" s="33"/>
      <c r="J475" s="32"/>
    </row>
    <row r="476" customFormat="false" ht="15" hidden="false" customHeight="false" outlineLevel="0" collapsed="false">
      <c r="A476" s="32"/>
      <c r="B476" s="32"/>
      <c r="C476" s="35"/>
      <c r="D476" s="32"/>
      <c r="E476" s="32"/>
      <c r="F476" s="33"/>
      <c r="G476" s="33"/>
      <c r="H476" s="35"/>
      <c r="I476" s="33"/>
      <c r="J476" s="32"/>
    </row>
    <row r="477" customFormat="false" ht="15" hidden="false" customHeight="false" outlineLevel="0" collapsed="false">
      <c r="A477" s="32"/>
      <c r="B477" s="32"/>
      <c r="C477" s="35"/>
      <c r="D477" s="32"/>
      <c r="E477" s="32"/>
      <c r="F477" s="33"/>
      <c r="G477" s="33"/>
      <c r="H477" s="35"/>
      <c r="I477" s="33"/>
      <c r="J477" s="32"/>
    </row>
    <row r="478" customFormat="false" ht="15" hidden="false" customHeight="false" outlineLevel="0" collapsed="false">
      <c r="A478" s="32"/>
      <c r="B478" s="32"/>
      <c r="C478" s="35"/>
      <c r="D478" s="32"/>
      <c r="E478" s="32"/>
      <c r="F478" s="33"/>
      <c r="G478" s="33"/>
      <c r="H478" s="35"/>
      <c r="I478" s="33"/>
      <c r="J478" s="32"/>
    </row>
    <row r="479" customFormat="false" ht="15" hidden="false" customHeight="false" outlineLevel="0" collapsed="false">
      <c r="A479" s="32"/>
      <c r="B479" s="32"/>
      <c r="C479" s="35"/>
      <c r="D479" s="32"/>
      <c r="E479" s="32"/>
      <c r="F479" s="33"/>
      <c r="G479" s="33"/>
      <c r="H479" s="35"/>
      <c r="I479" s="33"/>
      <c r="J479" s="32"/>
    </row>
    <row r="480" customFormat="false" ht="15" hidden="false" customHeight="false" outlineLevel="0" collapsed="false">
      <c r="A480" s="32"/>
      <c r="B480" s="32"/>
      <c r="C480" s="35"/>
      <c r="D480" s="32"/>
      <c r="E480" s="32"/>
      <c r="F480" s="33"/>
      <c r="G480" s="33"/>
      <c r="H480" s="35"/>
      <c r="I480" s="33"/>
      <c r="J480" s="32"/>
    </row>
    <row r="481" customFormat="false" ht="15" hidden="false" customHeight="false" outlineLevel="0" collapsed="false">
      <c r="A481" s="32"/>
      <c r="B481" s="32"/>
      <c r="C481" s="35"/>
      <c r="D481" s="32"/>
      <c r="E481" s="32"/>
      <c r="F481" s="33"/>
      <c r="G481" s="33"/>
      <c r="H481" s="35"/>
      <c r="I481" s="33"/>
      <c r="J481" s="32"/>
    </row>
    <row r="482" customFormat="false" ht="15" hidden="false" customHeight="false" outlineLevel="0" collapsed="false">
      <c r="A482" s="32"/>
      <c r="B482" s="32"/>
      <c r="C482" s="35"/>
      <c r="D482" s="32"/>
      <c r="E482" s="32"/>
      <c r="F482" s="33"/>
      <c r="G482" s="33"/>
      <c r="H482" s="35"/>
      <c r="I482" s="33"/>
      <c r="J482" s="32"/>
    </row>
    <row r="483" customFormat="false" ht="15" hidden="false" customHeight="false" outlineLevel="0" collapsed="false">
      <c r="A483" s="32"/>
      <c r="B483" s="32"/>
      <c r="C483" s="35"/>
      <c r="D483" s="32"/>
      <c r="E483" s="32"/>
      <c r="F483" s="33"/>
      <c r="G483" s="33"/>
      <c r="H483" s="35"/>
      <c r="I483" s="33"/>
      <c r="J483" s="32"/>
    </row>
    <row r="484" customFormat="false" ht="15" hidden="false" customHeight="false" outlineLevel="0" collapsed="false">
      <c r="A484" s="32"/>
      <c r="B484" s="32"/>
      <c r="C484" s="35"/>
      <c r="D484" s="32"/>
      <c r="E484" s="32"/>
      <c r="F484" s="33"/>
      <c r="G484" s="33"/>
      <c r="H484" s="35"/>
      <c r="I484" s="33"/>
      <c r="J484" s="32"/>
    </row>
    <row r="485" customFormat="false" ht="15" hidden="false" customHeight="false" outlineLevel="0" collapsed="false">
      <c r="A485" s="32"/>
      <c r="B485" s="32"/>
      <c r="C485" s="35"/>
      <c r="D485" s="32"/>
      <c r="E485" s="32"/>
      <c r="F485" s="33"/>
      <c r="G485" s="33"/>
      <c r="H485" s="35"/>
      <c r="I485" s="33"/>
      <c r="J485" s="32"/>
    </row>
    <row r="486" customFormat="false" ht="15" hidden="false" customHeight="false" outlineLevel="0" collapsed="false">
      <c r="A486" s="32"/>
      <c r="B486" s="32"/>
      <c r="C486" s="35"/>
      <c r="D486" s="32"/>
      <c r="E486" s="32"/>
      <c r="F486" s="33"/>
      <c r="G486" s="33"/>
      <c r="H486" s="35"/>
      <c r="I486" s="33"/>
      <c r="J486" s="32"/>
    </row>
    <row r="487" customFormat="false" ht="15" hidden="false" customHeight="false" outlineLevel="0" collapsed="false">
      <c r="A487" s="32"/>
      <c r="B487" s="32"/>
      <c r="C487" s="35"/>
      <c r="D487" s="32"/>
      <c r="E487" s="32"/>
      <c r="F487" s="33"/>
      <c r="G487" s="33"/>
      <c r="H487" s="35"/>
      <c r="I487" s="33"/>
      <c r="J487" s="32"/>
    </row>
    <row r="488" customFormat="false" ht="15" hidden="false" customHeight="false" outlineLevel="0" collapsed="false">
      <c r="A488" s="32"/>
      <c r="B488" s="32"/>
      <c r="C488" s="35"/>
      <c r="D488" s="32"/>
      <c r="E488" s="32"/>
      <c r="F488" s="33"/>
      <c r="G488" s="33"/>
      <c r="H488" s="35"/>
      <c r="I488" s="33"/>
      <c r="J488" s="32"/>
    </row>
    <row r="489" customFormat="false" ht="15" hidden="false" customHeight="false" outlineLevel="0" collapsed="false">
      <c r="A489" s="32"/>
      <c r="B489" s="32"/>
      <c r="C489" s="35"/>
      <c r="D489" s="32"/>
      <c r="E489" s="32"/>
      <c r="F489" s="33"/>
      <c r="G489" s="33"/>
      <c r="H489" s="35"/>
      <c r="I489" s="33"/>
      <c r="J489" s="32"/>
    </row>
    <row r="490" customFormat="false" ht="15" hidden="false" customHeight="false" outlineLevel="0" collapsed="false">
      <c r="A490" s="32"/>
      <c r="B490" s="32"/>
      <c r="C490" s="35"/>
      <c r="D490" s="32"/>
      <c r="E490" s="32"/>
      <c r="F490" s="33"/>
      <c r="G490" s="33"/>
      <c r="H490" s="35"/>
      <c r="I490" s="33"/>
      <c r="J490" s="32"/>
    </row>
    <row r="491" customFormat="false" ht="15" hidden="false" customHeight="false" outlineLevel="0" collapsed="false">
      <c r="A491" s="32"/>
      <c r="B491" s="32"/>
      <c r="C491" s="35"/>
      <c r="D491" s="32"/>
      <c r="E491" s="32"/>
      <c r="F491" s="33"/>
      <c r="G491" s="33"/>
      <c r="H491" s="35"/>
      <c r="I491" s="33"/>
      <c r="J491" s="32"/>
    </row>
    <row r="492" customFormat="false" ht="15" hidden="false" customHeight="false" outlineLevel="0" collapsed="false">
      <c r="A492" s="32"/>
      <c r="B492" s="32"/>
      <c r="C492" s="35"/>
      <c r="D492" s="32"/>
      <c r="E492" s="32"/>
      <c r="F492" s="33"/>
      <c r="G492" s="33"/>
      <c r="H492" s="35"/>
      <c r="I492" s="33"/>
      <c r="J492" s="32"/>
    </row>
    <row r="493" customFormat="false" ht="15" hidden="false" customHeight="false" outlineLevel="0" collapsed="false">
      <c r="A493" s="32"/>
      <c r="B493" s="32"/>
      <c r="C493" s="35"/>
      <c r="D493" s="32"/>
      <c r="E493" s="32"/>
      <c r="F493" s="33"/>
      <c r="G493" s="33"/>
      <c r="H493" s="35"/>
      <c r="I493" s="33"/>
      <c r="J493" s="32"/>
    </row>
    <row r="494" customFormat="false" ht="15" hidden="false" customHeight="false" outlineLevel="0" collapsed="false">
      <c r="A494" s="32"/>
      <c r="B494" s="32"/>
      <c r="C494" s="35"/>
      <c r="D494" s="32"/>
      <c r="E494" s="32"/>
      <c r="F494" s="33"/>
      <c r="G494" s="33"/>
      <c r="H494" s="35"/>
      <c r="I494" s="33"/>
      <c r="J494" s="32"/>
    </row>
    <row r="495" customFormat="false" ht="15" hidden="false" customHeight="false" outlineLevel="0" collapsed="false">
      <c r="A495" s="32"/>
      <c r="B495" s="32"/>
      <c r="C495" s="35"/>
      <c r="D495" s="32"/>
      <c r="E495" s="32"/>
      <c r="F495" s="33"/>
      <c r="G495" s="33"/>
      <c r="H495" s="35"/>
      <c r="I495" s="33"/>
      <c r="J495" s="32"/>
    </row>
    <row r="496" customFormat="false" ht="15" hidden="false" customHeight="false" outlineLevel="0" collapsed="false">
      <c r="A496" s="32"/>
      <c r="B496" s="32"/>
      <c r="C496" s="35"/>
      <c r="D496" s="32"/>
      <c r="E496" s="32"/>
      <c r="F496" s="33"/>
      <c r="G496" s="33"/>
      <c r="H496" s="35"/>
      <c r="I496" s="33"/>
      <c r="J496" s="32"/>
    </row>
    <row r="497" customFormat="false" ht="15" hidden="false" customHeight="false" outlineLevel="0" collapsed="false">
      <c r="A497" s="32"/>
      <c r="B497" s="32"/>
      <c r="C497" s="35"/>
      <c r="D497" s="32"/>
      <c r="E497" s="32"/>
      <c r="F497" s="33"/>
      <c r="G497" s="33"/>
      <c r="H497" s="35"/>
      <c r="I497" s="33"/>
      <c r="J497" s="32"/>
    </row>
    <row r="498" customFormat="false" ht="15" hidden="false" customHeight="false" outlineLevel="0" collapsed="false">
      <c r="A498" s="32"/>
      <c r="B498" s="32"/>
      <c r="C498" s="35"/>
      <c r="D498" s="32"/>
      <c r="E498" s="32"/>
      <c r="F498" s="33"/>
      <c r="G498" s="33"/>
      <c r="H498" s="35"/>
      <c r="I498" s="33"/>
      <c r="J498" s="32"/>
    </row>
    <row r="499" customFormat="false" ht="15" hidden="false" customHeight="false" outlineLevel="0" collapsed="false">
      <c r="A499" s="32"/>
      <c r="B499" s="32"/>
      <c r="C499" s="35"/>
      <c r="D499" s="32"/>
      <c r="E499" s="32"/>
      <c r="F499" s="33"/>
      <c r="G499" s="33"/>
      <c r="H499" s="35"/>
      <c r="I499" s="33"/>
      <c r="J499" s="32"/>
    </row>
    <row r="500" customFormat="false" ht="15" hidden="false" customHeight="false" outlineLevel="0" collapsed="false">
      <c r="A500" s="32"/>
      <c r="B500" s="32"/>
      <c r="C500" s="35"/>
      <c r="D500" s="32"/>
      <c r="E500" s="32"/>
      <c r="F500" s="33"/>
      <c r="G500" s="33"/>
      <c r="H500" s="35"/>
      <c r="I500" s="33"/>
      <c r="J500" s="32"/>
    </row>
    <row r="501" customFormat="false" ht="15" hidden="false" customHeight="false" outlineLevel="0" collapsed="false">
      <c r="A501" s="32"/>
      <c r="B501" s="32"/>
      <c r="C501" s="35"/>
      <c r="D501" s="32"/>
      <c r="E501" s="32"/>
      <c r="F501" s="33"/>
      <c r="G501" s="33"/>
      <c r="H501" s="35"/>
      <c r="I501" s="33"/>
      <c r="J501" s="32"/>
    </row>
  </sheetData>
  <autoFilter ref="A1:J501"/>
  <dataValidations count="2">
    <dataValidation allowBlank="true" error="Enter a valid date (e.g. 31-Dec-2026)." errorStyle="stop" errorTitle="Invalid date" operator="greaterThan" showDropDown="false" showErrorMessage="false" showInputMessage="false" sqref="C2:C501 H2:H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6" min="5" style="0" width="32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319</v>
      </c>
      <c r="D1" s="17" t="s">
        <v>320</v>
      </c>
      <c r="E1" s="17" t="s">
        <v>248</v>
      </c>
      <c r="F1" s="17" t="s">
        <v>316</v>
      </c>
      <c r="G1" s="17" t="s">
        <v>321</v>
      </c>
      <c r="H1" s="17" t="s">
        <v>322</v>
      </c>
      <c r="I1" s="17" t="s">
        <v>111</v>
      </c>
      <c r="J1" s="17" t="s">
        <v>233</v>
      </c>
      <c r="K1" s="17" t="s">
        <v>235</v>
      </c>
      <c r="L1" s="31" t="s">
        <v>254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3"/>
      <c r="G2" s="35"/>
      <c r="H2" s="35"/>
      <c r="I2" s="32"/>
      <c r="J2" s="35"/>
      <c r="K2" s="33"/>
      <c r="L2" s="37" t="str">
        <f aca="true">IF(OR(E2="",I2&lt;&gt;"Open",H2=""),"",IF(H2&lt;TODAY(),"Overdue",""))</f>
        <v/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3"/>
      <c r="G3" s="35"/>
      <c r="H3" s="35"/>
      <c r="I3" s="32"/>
      <c r="J3" s="35"/>
      <c r="K3" s="33"/>
      <c r="L3" s="37" t="str">
        <f aca="true">IF(OR(E3="",I3&lt;&gt;"Open",H3=""),"",IF(H3&lt;TODAY(),"Overdue",""))</f>
        <v/>
      </c>
    </row>
    <row r="4" customFormat="false" ht="15" hidden="false" customHeight="false" outlineLevel="0" collapsed="false">
      <c r="A4" s="32"/>
      <c r="B4" s="32"/>
      <c r="C4" s="32"/>
      <c r="D4" s="32"/>
      <c r="E4" s="32"/>
      <c r="F4" s="33"/>
      <c r="G4" s="35"/>
      <c r="H4" s="35"/>
      <c r="I4" s="32"/>
      <c r="J4" s="35"/>
      <c r="K4" s="33"/>
      <c r="L4" s="37" t="str">
        <f aca="true">IF(OR(E4="",I4&lt;&gt;"Open",H4=""),"",IF(H4&lt;TODAY(),"Overdue",""))</f>
        <v/>
      </c>
    </row>
    <row r="5" customFormat="false" ht="15" hidden="false" customHeight="false" outlineLevel="0" collapsed="false">
      <c r="A5" s="32"/>
      <c r="B5" s="32"/>
      <c r="C5" s="32"/>
      <c r="D5" s="32"/>
      <c r="E5" s="32"/>
      <c r="F5" s="33"/>
      <c r="G5" s="35"/>
      <c r="H5" s="35"/>
      <c r="I5" s="32"/>
      <c r="J5" s="35"/>
      <c r="K5" s="33"/>
      <c r="L5" s="37" t="str">
        <f aca="true">IF(OR(E5="",I5&lt;&gt;"Open",H5=""),"",IF(H5&lt;TODAY(),"Overdue",""))</f>
        <v/>
      </c>
    </row>
    <row r="6" customFormat="false" ht="15" hidden="false" customHeight="false" outlineLevel="0" collapsed="false">
      <c r="A6" s="32"/>
      <c r="B6" s="32"/>
      <c r="C6" s="32"/>
      <c r="D6" s="32"/>
      <c r="E6" s="32"/>
      <c r="F6" s="33"/>
      <c r="G6" s="35"/>
      <c r="H6" s="35"/>
      <c r="I6" s="32"/>
      <c r="J6" s="35"/>
      <c r="K6" s="33"/>
      <c r="L6" s="37" t="str">
        <f aca="true">IF(OR(E6="",I6&lt;&gt;"Open",H6=""),"",IF(H6&lt;TODAY(),"Overdue",""))</f>
        <v/>
      </c>
    </row>
    <row r="7" customFormat="false" ht="15" hidden="false" customHeight="false" outlineLevel="0" collapsed="false">
      <c r="A7" s="32"/>
      <c r="B7" s="32"/>
      <c r="C7" s="32"/>
      <c r="D7" s="32"/>
      <c r="E7" s="32"/>
      <c r="F7" s="33"/>
      <c r="G7" s="35"/>
      <c r="H7" s="35"/>
      <c r="I7" s="32"/>
      <c r="J7" s="35"/>
      <c r="K7" s="33"/>
      <c r="L7" s="37" t="str">
        <f aca="true">IF(OR(E7="",I7&lt;&gt;"Open",H7=""),"",IF(H7&lt;TODAY(),"Overdue",""))</f>
        <v/>
      </c>
    </row>
    <row r="8" customFormat="false" ht="15" hidden="false" customHeight="false" outlineLevel="0" collapsed="false">
      <c r="A8" s="32"/>
      <c r="B8" s="32"/>
      <c r="C8" s="32"/>
      <c r="D8" s="32"/>
      <c r="E8" s="32"/>
      <c r="F8" s="33"/>
      <c r="G8" s="35"/>
      <c r="H8" s="35"/>
      <c r="I8" s="32"/>
      <c r="J8" s="35"/>
      <c r="K8" s="33"/>
      <c r="L8" s="37" t="str">
        <f aca="true">IF(OR(E8="",I8&lt;&gt;"Open",H8=""),"",IF(H8&lt;TODAY(),"Overdue",""))</f>
        <v/>
      </c>
    </row>
    <row r="9" customFormat="false" ht="15" hidden="false" customHeight="false" outlineLevel="0" collapsed="false">
      <c r="A9" s="32"/>
      <c r="B9" s="32"/>
      <c r="C9" s="32"/>
      <c r="D9" s="32"/>
      <c r="E9" s="32"/>
      <c r="F9" s="33"/>
      <c r="G9" s="35"/>
      <c r="H9" s="35"/>
      <c r="I9" s="32"/>
      <c r="J9" s="35"/>
      <c r="K9" s="33"/>
      <c r="L9" s="37" t="str">
        <f aca="true">IF(OR(E9="",I9&lt;&gt;"Open",H9=""),"",IF(H9&lt;TODAY(),"Overdue",""))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3"/>
      <c r="G10" s="35"/>
      <c r="H10" s="35"/>
      <c r="I10" s="32"/>
      <c r="J10" s="35"/>
      <c r="K10" s="33"/>
      <c r="L10" s="37" t="str">
        <f aca="true">IF(OR(E10="",I10&lt;&gt;"Open",H10=""),"",IF(H10&lt;TODAY(),"Overdue",""))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3"/>
      <c r="G11" s="35"/>
      <c r="H11" s="35"/>
      <c r="I11" s="32"/>
      <c r="J11" s="35"/>
      <c r="K11" s="33"/>
      <c r="L11" s="37" t="str">
        <f aca="true">IF(OR(E11="",I11&lt;&gt;"Open",H11=""),"",IF(H11&lt;TODAY(),"Overdue",""))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3"/>
      <c r="G12" s="35"/>
      <c r="H12" s="35"/>
      <c r="I12" s="32"/>
      <c r="J12" s="35"/>
      <c r="K12" s="33"/>
      <c r="L12" s="37" t="str">
        <f aca="true">IF(OR(E12="",I12&lt;&gt;"Open",H12=""),"",IF(H12&lt;TODAY(),"Overdue",""))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3"/>
      <c r="G13" s="35"/>
      <c r="H13" s="35"/>
      <c r="I13" s="32"/>
      <c r="J13" s="35"/>
      <c r="K13" s="33"/>
      <c r="L13" s="37" t="str">
        <f aca="true">IF(OR(E13="",I13&lt;&gt;"Open",H13=""),"",IF(H13&lt;TODAY(),"Overdue",""))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3"/>
      <c r="G14" s="35"/>
      <c r="H14" s="35"/>
      <c r="I14" s="32"/>
      <c r="J14" s="35"/>
      <c r="K14" s="33"/>
      <c r="L14" s="37" t="str">
        <f aca="true">IF(OR(E14="",I14&lt;&gt;"Open",H14=""),"",IF(H14&lt;TODAY(),"Overdue",""))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3"/>
      <c r="G15" s="35"/>
      <c r="H15" s="35"/>
      <c r="I15" s="32"/>
      <c r="J15" s="35"/>
      <c r="K15" s="33"/>
      <c r="L15" s="37" t="str">
        <f aca="true">IF(OR(E15="",I15&lt;&gt;"Open",H15=""),"",IF(H15&lt;TODAY(),"Overdue",""))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3"/>
      <c r="G16" s="35"/>
      <c r="H16" s="35"/>
      <c r="I16" s="32"/>
      <c r="J16" s="35"/>
      <c r="K16" s="33"/>
      <c r="L16" s="37" t="str">
        <f aca="true">IF(OR(E16="",I16&lt;&gt;"Open",H16=""),"",IF(H16&lt;TODAY(),"Overdue",""))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3"/>
      <c r="G17" s="35"/>
      <c r="H17" s="35"/>
      <c r="I17" s="32"/>
      <c r="J17" s="35"/>
      <c r="K17" s="33"/>
      <c r="L17" s="37" t="str">
        <f aca="true">IF(OR(E17="",I17&lt;&gt;"Open",H17=""),"",IF(H17&lt;TODAY(),"Overdue",""))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3"/>
      <c r="G18" s="35"/>
      <c r="H18" s="35"/>
      <c r="I18" s="32"/>
      <c r="J18" s="35"/>
      <c r="K18" s="33"/>
      <c r="L18" s="37" t="str">
        <f aca="true">IF(OR(E18="",I18&lt;&gt;"Open",H18=""),"",IF(H18&lt;TODAY(),"Overdue",""))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3"/>
      <c r="G19" s="35"/>
      <c r="H19" s="35"/>
      <c r="I19" s="32"/>
      <c r="J19" s="35"/>
      <c r="K19" s="33"/>
      <c r="L19" s="37" t="str">
        <f aca="true">IF(OR(E19="",I19&lt;&gt;"Open",H19=""),"",IF(H19&lt;TODAY(),"Overdue",""))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3"/>
      <c r="G20" s="35"/>
      <c r="H20" s="35"/>
      <c r="I20" s="32"/>
      <c r="J20" s="35"/>
      <c r="K20" s="33"/>
      <c r="L20" s="37" t="str">
        <f aca="true">IF(OR(E20="",I20&lt;&gt;"Open",H20=""),"",IF(H20&lt;TODAY(),"Overdue",""))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3"/>
      <c r="G21" s="35"/>
      <c r="H21" s="35"/>
      <c r="I21" s="32"/>
      <c r="J21" s="35"/>
      <c r="K21" s="33"/>
      <c r="L21" s="37" t="str">
        <f aca="true">IF(OR(E21="",I21&lt;&gt;"Open",H21=""),"",IF(H21&lt;TODAY(),"Overdue",""))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3"/>
      <c r="G22" s="35"/>
      <c r="H22" s="35"/>
      <c r="I22" s="32"/>
      <c r="J22" s="35"/>
      <c r="K22" s="33"/>
      <c r="L22" s="37" t="str">
        <f aca="true">IF(OR(E22="",I22&lt;&gt;"Open",H22=""),"",IF(H22&lt;TODAY(),"Overdue",""))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3"/>
      <c r="G23" s="35"/>
      <c r="H23" s="35"/>
      <c r="I23" s="32"/>
      <c r="J23" s="35"/>
      <c r="K23" s="33"/>
      <c r="L23" s="37" t="str">
        <f aca="true">IF(OR(E23="",I23&lt;&gt;"Open",H23=""),"",IF(H23&lt;TODAY(),"Overdue",""))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3"/>
      <c r="G24" s="35"/>
      <c r="H24" s="35"/>
      <c r="I24" s="32"/>
      <c r="J24" s="35"/>
      <c r="K24" s="33"/>
      <c r="L24" s="37" t="str">
        <f aca="true">IF(OR(E24="",I24&lt;&gt;"Open",H24=""),"",IF(H24&lt;TODAY(),"Overdue",""))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3"/>
      <c r="G25" s="35"/>
      <c r="H25" s="35"/>
      <c r="I25" s="32"/>
      <c r="J25" s="35"/>
      <c r="K25" s="33"/>
      <c r="L25" s="37" t="str">
        <f aca="true">IF(OR(E25="",I25&lt;&gt;"Open",H25=""),"",IF(H25&lt;TODAY(),"Overdue",""))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3"/>
      <c r="G26" s="35"/>
      <c r="H26" s="35"/>
      <c r="I26" s="32"/>
      <c r="J26" s="35"/>
      <c r="K26" s="33"/>
      <c r="L26" s="37" t="str">
        <f aca="true">IF(OR(E26="",I26&lt;&gt;"Open",H26=""),"",IF(H26&lt;TODAY(),"Overdue",""))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3"/>
      <c r="G27" s="35"/>
      <c r="H27" s="35"/>
      <c r="I27" s="32"/>
      <c r="J27" s="35"/>
      <c r="K27" s="33"/>
      <c r="L27" s="37" t="str">
        <f aca="true">IF(OR(E27="",I27&lt;&gt;"Open",H27=""),"",IF(H27&lt;TODAY(),"Overdue",""))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3"/>
      <c r="G28" s="35"/>
      <c r="H28" s="35"/>
      <c r="I28" s="32"/>
      <c r="J28" s="35"/>
      <c r="K28" s="33"/>
      <c r="L28" s="37" t="str">
        <f aca="true">IF(OR(E28="",I28&lt;&gt;"Open",H28=""),"",IF(H28&lt;TODAY(),"Overdue",""))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3"/>
      <c r="G29" s="35"/>
      <c r="H29" s="35"/>
      <c r="I29" s="32"/>
      <c r="J29" s="35"/>
      <c r="K29" s="33"/>
      <c r="L29" s="37" t="str">
        <f aca="true">IF(OR(E29="",I29&lt;&gt;"Open",H29=""),"",IF(H29&lt;TODAY(),"Overdue",""))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3"/>
      <c r="G30" s="35"/>
      <c r="H30" s="35"/>
      <c r="I30" s="32"/>
      <c r="J30" s="35"/>
      <c r="K30" s="33"/>
      <c r="L30" s="37" t="str">
        <f aca="true">IF(OR(E30="",I30&lt;&gt;"Open",H30=""),"",IF(H30&lt;TODAY(),"Overdue",""))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3"/>
      <c r="G31" s="35"/>
      <c r="H31" s="35"/>
      <c r="I31" s="32"/>
      <c r="J31" s="35"/>
      <c r="K31" s="33"/>
      <c r="L31" s="37" t="str">
        <f aca="true">IF(OR(E31="",I31&lt;&gt;"Open",H31=""),"",IF(H31&lt;TODAY(),"Overdue",""))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3"/>
      <c r="G32" s="35"/>
      <c r="H32" s="35"/>
      <c r="I32" s="32"/>
      <c r="J32" s="35"/>
      <c r="K32" s="33"/>
      <c r="L32" s="37" t="str">
        <f aca="true">IF(OR(E32="",I32&lt;&gt;"Open",H32=""),"",IF(H32&lt;TODAY(),"Overdue",""))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3"/>
      <c r="G33" s="35"/>
      <c r="H33" s="35"/>
      <c r="I33" s="32"/>
      <c r="J33" s="35"/>
      <c r="K33" s="33"/>
      <c r="L33" s="37" t="str">
        <f aca="true">IF(OR(E33="",I33&lt;&gt;"Open",H33=""),"",IF(H33&lt;TODAY(),"Overdue",""))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3"/>
      <c r="G34" s="35"/>
      <c r="H34" s="35"/>
      <c r="I34" s="32"/>
      <c r="J34" s="35"/>
      <c r="K34" s="33"/>
      <c r="L34" s="37" t="str">
        <f aca="true">IF(OR(E34="",I34&lt;&gt;"Open",H34=""),"",IF(H34&lt;TODAY(),"Overdue",""))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3"/>
      <c r="G35" s="35"/>
      <c r="H35" s="35"/>
      <c r="I35" s="32"/>
      <c r="J35" s="35"/>
      <c r="K35" s="33"/>
      <c r="L35" s="37" t="str">
        <f aca="true">IF(OR(E35="",I35&lt;&gt;"Open",H35=""),"",IF(H35&lt;TODAY(),"Overdue",""))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3"/>
      <c r="G36" s="35"/>
      <c r="H36" s="35"/>
      <c r="I36" s="32"/>
      <c r="J36" s="35"/>
      <c r="K36" s="33"/>
      <c r="L36" s="37" t="str">
        <f aca="true">IF(OR(E36="",I36&lt;&gt;"Open",H36=""),"",IF(H36&lt;TODAY(),"Overdue",""))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3"/>
      <c r="G37" s="35"/>
      <c r="H37" s="35"/>
      <c r="I37" s="32"/>
      <c r="J37" s="35"/>
      <c r="K37" s="33"/>
      <c r="L37" s="37" t="str">
        <f aca="true">IF(OR(E37="",I37&lt;&gt;"Open",H37=""),"",IF(H37&lt;TODAY(),"Overdue",""))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3"/>
      <c r="G38" s="35"/>
      <c r="H38" s="35"/>
      <c r="I38" s="32"/>
      <c r="J38" s="35"/>
      <c r="K38" s="33"/>
      <c r="L38" s="37" t="str">
        <f aca="true">IF(OR(E38="",I38&lt;&gt;"Open",H38=""),"",IF(H38&lt;TODAY(),"Overdue",""))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3"/>
      <c r="G39" s="35"/>
      <c r="H39" s="35"/>
      <c r="I39" s="32"/>
      <c r="J39" s="35"/>
      <c r="K39" s="33"/>
      <c r="L39" s="37" t="str">
        <f aca="true">IF(OR(E39="",I39&lt;&gt;"Open",H39=""),"",IF(H39&lt;TODAY(),"Overdue",""))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3"/>
      <c r="G40" s="35"/>
      <c r="H40" s="35"/>
      <c r="I40" s="32"/>
      <c r="J40" s="35"/>
      <c r="K40" s="33"/>
      <c r="L40" s="37" t="str">
        <f aca="true">IF(OR(E40="",I40&lt;&gt;"Open",H40=""),"",IF(H40&lt;TODAY(),"Overdue",""))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3"/>
      <c r="G41" s="35"/>
      <c r="H41" s="35"/>
      <c r="I41" s="32"/>
      <c r="J41" s="35"/>
      <c r="K41" s="33"/>
      <c r="L41" s="37" t="str">
        <f aca="true">IF(OR(E41="",I41&lt;&gt;"Open",H41=""),"",IF(H41&lt;TODAY(),"Overdue",""))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3"/>
      <c r="G42" s="35"/>
      <c r="H42" s="35"/>
      <c r="I42" s="32"/>
      <c r="J42" s="35"/>
      <c r="K42" s="33"/>
      <c r="L42" s="37" t="str">
        <f aca="true">IF(OR(E42="",I42&lt;&gt;"Open",H42=""),"",IF(H42&lt;TODAY(),"Overdue",""))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3"/>
      <c r="G43" s="35"/>
      <c r="H43" s="35"/>
      <c r="I43" s="32"/>
      <c r="J43" s="35"/>
      <c r="K43" s="33"/>
      <c r="L43" s="37" t="str">
        <f aca="true">IF(OR(E43="",I43&lt;&gt;"Open",H43=""),"",IF(H43&lt;TODAY(),"Overdue",""))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3"/>
      <c r="G44" s="35"/>
      <c r="H44" s="35"/>
      <c r="I44" s="32"/>
      <c r="J44" s="35"/>
      <c r="K44" s="33"/>
      <c r="L44" s="37" t="str">
        <f aca="true">IF(OR(E44="",I44&lt;&gt;"Open",H44=""),"",IF(H44&lt;TODAY(),"Overdue",""))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3"/>
      <c r="G45" s="35"/>
      <c r="H45" s="35"/>
      <c r="I45" s="32"/>
      <c r="J45" s="35"/>
      <c r="K45" s="33"/>
      <c r="L45" s="37" t="str">
        <f aca="true">IF(OR(E45="",I45&lt;&gt;"Open",H45=""),"",IF(H45&lt;TODAY(),"Overdue",""))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3"/>
      <c r="G46" s="35"/>
      <c r="H46" s="35"/>
      <c r="I46" s="32"/>
      <c r="J46" s="35"/>
      <c r="K46" s="33"/>
      <c r="L46" s="37" t="str">
        <f aca="true">IF(OR(E46="",I46&lt;&gt;"Open",H46=""),"",IF(H46&lt;TODAY(),"Overdue",""))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3"/>
      <c r="G47" s="35"/>
      <c r="H47" s="35"/>
      <c r="I47" s="32"/>
      <c r="J47" s="35"/>
      <c r="K47" s="33"/>
      <c r="L47" s="37" t="str">
        <f aca="true">IF(OR(E47="",I47&lt;&gt;"Open",H47=""),"",IF(H47&lt;TODAY(),"Overdue",""))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3"/>
      <c r="G48" s="35"/>
      <c r="H48" s="35"/>
      <c r="I48" s="32"/>
      <c r="J48" s="35"/>
      <c r="K48" s="33"/>
      <c r="L48" s="37" t="str">
        <f aca="true">IF(OR(E48="",I48&lt;&gt;"Open",H48=""),"",IF(H48&lt;TODAY(),"Overdue",""))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3"/>
      <c r="G49" s="35"/>
      <c r="H49" s="35"/>
      <c r="I49" s="32"/>
      <c r="J49" s="35"/>
      <c r="K49" s="33"/>
      <c r="L49" s="37" t="str">
        <f aca="true">IF(OR(E49="",I49&lt;&gt;"Open",H49=""),"",IF(H49&lt;TODAY(),"Overdue",""))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3"/>
      <c r="G50" s="35"/>
      <c r="H50" s="35"/>
      <c r="I50" s="32"/>
      <c r="J50" s="35"/>
      <c r="K50" s="33"/>
      <c r="L50" s="37" t="str">
        <f aca="true">IF(OR(E50="",I50&lt;&gt;"Open",H50=""),"",IF(H50&lt;TODAY(),"Overdue",""))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3"/>
      <c r="G51" s="35"/>
      <c r="H51" s="35"/>
      <c r="I51" s="32"/>
      <c r="J51" s="35"/>
      <c r="K51" s="33"/>
      <c r="L51" s="37" t="str">
        <f aca="true">IF(OR(E51="",I51&lt;&gt;"Open",H51=""),"",IF(H51&lt;TODAY(),"Overdue",""))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3"/>
      <c r="G52" s="35"/>
      <c r="H52" s="35"/>
      <c r="I52" s="32"/>
      <c r="J52" s="35"/>
      <c r="K52" s="33"/>
      <c r="L52" s="37" t="str">
        <f aca="true">IF(OR(E52="",I52&lt;&gt;"Open",H52=""),"",IF(H52&lt;TODAY(),"Overdue",""))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3"/>
      <c r="G53" s="35"/>
      <c r="H53" s="35"/>
      <c r="I53" s="32"/>
      <c r="J53" s="35"/>
      <c r="K53" s="33"/>
      <c r="L53" s="37" t="str">
        <f aca="true">IF(OR(E53="",I53&lt;&gt;"Open",H53=""),"",IF(H53&lt;TODAY(),"Overdue",""))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3"/>
      <c r="G54" s="35"/>
      <c r="H54" s="35"/>
      <c r="I54" s="32"/>
      <c r="J54" s="35"/>
      <c r="K54" s="33"/>
      <c r="L54" s="37" t="str">
        <f aca="true">IF(OR(E54="",I54&lt;&gt;"Open",H54=""),"",IF(H54&lt;TODAY(),"Overdue",""))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3"/>
      <c r="G55" s="35"/>
      <c r="H55" s="35"/>
      <c r="I55" s="32"/>
      <c r="J55" s="35"/>
      <c r="K55" s="33"/>
      <c r="L55" s="37" t="str">
        <f aca="true">IF(OR(E55="",I55&lt;&gt;"Open",H55=""),"",IF(H55&lt;TODAY(),"Overdue",""))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3"/>
      <c r="G56" s="35"/>
      <c r="H56" s="35"/>
      <c r="I56" s="32"/>
      <c r="J56" s="35"/>
      <c r="K56" s="33"/>
      <c r="L56" s="37" t="str">
        <f aca="true">IF(OR(E56="",I56&lt;&gt;"Open",H56=""),"",IF(H56&lt;TODAY(),"Overdue",""))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3"/>
      <c r="G57" s="35"/>
      <c r="H57" s="35"/>
      <c r="I57" s="32"/>
      <c r="J57" s="35"/>
      <c r="K57" s="33"/>
      <c r="L57" s="37" t="str">
        <f aca="true">IF(OR(E57="",I57&lt;&gt;"Open",H57=""),"",IF(H57&lt;TODAY(),"Overdue",""))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3"/>
      <c r="G58" s="35"/>
      <c r="H58" s="35"/>
      <c r="I58" s="32"/>
      <c r="J58" s="35"/>
      <c r="K58" s="33"/>
      <c r="L58" s="37" t="str">
        <f aca="true">IF(OR(E58="",I58&lt;&gt;"Open",H58=""),"",IF(H58&lt;TODAY(),"Overdue",""))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3"/>
      <c r="G59" s="35"/>
      <c r="H59" s="35"/>
      <c r="I59" s="32"/>
      <c r="J59" s="35"/>
      <c r="K59" s="33"/>
      <c r="L59" s="37" t="str">
        <f aca="true">IF(OR(E59="",I59&lt;&gt;"Open",H59=""),"",IF(H59&lt;TODAY(),"Overdue",""))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3"/>
      <c r="G60" s="35"/>
      <c r="H60" s="35"/>
      <c r="I60" s="32"/>
      <c r="J60" s="35"/>
      <c r="K60" s="33"/>
      <c r="L60" s="37" t="str">
        <f aca="true">IF(OR(E60="",I60&lt;&gt;"Open",H60=""),"",IF(H60&lt;TODAY(),"Overdue",""))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3"/>
      <c r="G61" s="35"/>
      <c r="H61" s="35"/>
      <c r="I61" s="32"/>
      <c r="J61" s="35"/>
      <c r="K61" s="33"/>
      <c r="L61" s="37" t="str">
        <f aca="true">IF(OR(E61="",I61&lt;&gt;"Open",H61=""),"",IF(H61&lt;TODAY(),"Overdue",""))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3"/>
      <c r="G62" s="35"/>
      <c r="H62" s="35"/>
      <c r="I62" s="32"/>
      <c r="J62" s="35"/>
      <c r="K62" s="33"/>
      <c r="L62" s="37" t="str">
        <f aca="true">IF(OR(E62="",I62&lt;&gt;"Open",H62=""),"",IF(H62&lt;TODAY(),"Overdue",""))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3"/>
      <c r="G63" s="35"/>
      <c r="H63" s="35"/>
      <c r="I63" s="32"/>
      <c r="J63" s="35"/>
      <c r="K63" s="33"/>
      <c r="L63" s="37" t="str">
        <f aca="true">IF(OR(E63="",I63&lt;&gt;"Open",H63=""),"",IF(H63&lt;TODAY(),"Overdue",""))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3"/>
      <c r="G64" s="35"/>
      <c r="H64" s="35"/>
      <c r="I64" s="32"/>
      <c r="J64" s="35"/>
      <c r="K64" s="33"/>
      <c r="L64" s="37" t="str">
        <f aca="true">IF(OR(E64="",I64&lt;&gt;"Open",H64=""),"",IF(H64&lt;TODAY(),"Overdue",""))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3"/>
      <c r="G65" s="35"/>
      <c r="H65" s="35"/>
      <c r="I65" s="32"/>
      <c r="J65" s="35"/>
      <c r="K65" s="33"/>
      <c r="L65" s="37" t="str">
        <f aca="true">IF(OR(E65="",I65&lt;&gt;"Open",H65=""),"",IF(H65&lt;TODAY(),"Overdue",""))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3"/>
      <c r="G66" s="35"/>
      <c r="H66" s="35"/>
      <c r="I66" s="32"/>
      <c r="J66" s="35"/>
      <c r="K66" s="33"/>
      <c r="L66" s="37" t="str">
        <f aca="true">IF(OR(E66="",I66&lt;&gt;"Open",H66=""),"",IF(H66&lt;TODAY(),"Overdue",""))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3"/>
      <c r="G67" s="35"/>
      <c r="H67" s="35"/>
      <c r="I67" s="32"/>
      <c r="J67" s="35"/>
      <c r="K67" s="33"/>
      <c r="L67" s="37" t="str">
        <f aca="true">IF(OR(E67="",I67&lt;&gt;"Open",H67=""),"",IF(H67&lt;TODAY(),"Overdue",""))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3"/>
      <c r="G68" s="35"/>
      <c r="H68" s="35"/>
      <c r="I68" s="32"/>
      <c r="J68" s="35"/>
      <c r="K68" s="33"/>
      <c r="L68" s="37" t="str">
        <f aca="true">IF(OR(E68="",I68&lt;&gt;"Open",H68=""),"",IF(H68&lt;TODAY(),"Overdue",""))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3"/>
      <c r="G69" s="35"/>
      <c r="H69" s="35"/>
      <c r="I69" s="32"/>
      <c r="J69" s="35"/>
      <c r="K69" s="33"/>
      <c r="L69" s="37" t="str">
        <f aca="true">IF(OR(E69="",I69&lt;&gt;"Open",H69=""),"",IF(H69&lt;TODAY(),"Overdue",""))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3"/>
      <c r="G70" s="35"/>
      <c r="H70" s="35"/>
      <c r="I70" s="32"/>
      <c r="J70" s="35"/>
      <c r="K70" s="33"/>
      <c r="L70" s="37" t="str">
        <f aca="true">IF(OR(E70="",I70&lt;&gt;"Open",H70=""),"",IF(H70&lt;TODAY(),"Overdue",""))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3"/>
      <c r="G71" s="35"/>
      <c r="H71" s="35"/>
      <c r="I71" s="32"/>
      <c r="J71" s="35"/>
      <c r="K71" s="33"/>
      <c r="L71" s="37" t="str">
        <f aca="true">IF(OR(E71="",I71&lt;&gt;"Open",H71=""),"",IF(H71&lt;TODAY(),"Overdue",""))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3"/>
      <c r="G72" s="35"/>
      <c r="H72" s="35"/>
      <c r="I72" s="32"/>
      <c r="J72" s="35"/>
      <c r="K72" s="33"/>
      <c r="L72" s="37" t="str">
        <f aca="true">IF(OR(E72="",I72&lt;&gt;"Open",H72=""),"",IF(H72&lt;TODAY(),"Overdue",""))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3"/>
      <c r="G73" s="35"/>
      <c r="H73" s="35"/>
      <c r="I73" s="32"/>
      <c r="J73" s="35"/>
      <c r="K73" s="33"/>
      <c r="L73" s="37" t="str">
        <f aca="true">IF(OR(E73="",I73&lt;&gt;"Open",H73=""),"",IF(H73&lt;TODAY(),"Overdue",""))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3"/>
      <c r="G74" s="35"/>
      <c r="H74" s="35"/>
      <c r="I74" s="32"/>
      <c r="J74" s="35"/>
      <c r="K74" s="33"/>
      <c r="L74" s="37" t="str">
        <f aca="true">IF(OR(E74="",I74&lt;&gt;"Open",H74=""),"",IF(H74&lt;TODAY(),"Overdue",""))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3"/>
      <c r="G75" s="35"/>
      <c r="H75" s="35"/>
      <c r="I75" s="32"/>
      <c r="J75" s="35"/>
      <c r="K75" s="33"/>
      <c r="L75" s="37" t="str">
        <f aca="true">IF(OR(E75="",I75&lt;&gt;"Open",H75=""),"",IF(H75&lt;TODAY(),"Overdue",""))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3"/>
      <c r="G76" s="35"/>
      <c r="H76" s="35"/>
      <c r="I76" s="32"/>
      <c r="J76" s="35"/>
      <c r="K76" s="33"/>
      <c r="L76" s="37" t="str">
        <f aca="true">IF(OR(E76="",I76&lt;&gt;"Open",H76=""),"",IF(H76&lt;TODAY(),"Overdue",""))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3"/>
      <c r="G77" s="35"/>
      <c r="H77" s="35"/>
      <c r="I77" s="32"/>
      <c r="J77" s="35"/>
      <c r="K77" s="33"/>
      <c r="L77" s="37" t="str">
        <f aca="true">IF(OR(E77="",I77&lt;&gt;"Open",H77=""),"",IF(H77&lt;TODAY(),"Overdue",""))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3"/>
      <c r="G78" s="35"/>
      <c r="H78" s="35"/>
      <c r="I78" s="32"/>
      <c r="J78" s="35"/>
      <c r="K78" s="33"/>
      <c r="L78" s="37" t="str">
        <f aca="true">IF(OR(E78="",I78&lt;&gt;"Open",H78=""),"",IF(H78&lt;TODAY(),"Overdue",""))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3"/>
      <c r="G79" s="35"/>
      <c r="H79" s="35"/>
      <c r="I79" s="32"/>
      <c r="J79" s="35"/>
      <c r="K79" s="33"/>
      <c r="L79" s="37" t="str">
        <f aca="true">IF(OR(E79="",I79&lt;&gt;"Open",H79=""),"",IF(H79&lt;TODAY(),"Overdue",""))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3"/>
      <c r="G80" s="35"/>
      <c r="H80" s="35"/>
      <c r="I80" s="32"/>
      <c r="J80" s="35"/>
      <c r="K80" s="33"/>
      <c r="L80" s="37" t="str">
        <f aca="true">IF(OR(E80="",I80&lt;&gt;"Open",H80=""),"",IF(H80&lt;TODAY(),"Overdue",""))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3"/>
      <c r="G81" s="35"/>
      <c r="H81" s="35"/>
      <c r="I81" s="32"/>
      <c r="J81" s="35"/>
      <c r="K81" s="33"/>
      <c r="L81" s="37" t="str">
        <f aca="true">IF(OR(E81="",I81&lt;&gt;"Open",H81=""),"",IF(H81&lt;TODAY(),"Overdue",""))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3"/>
      <c r="G82" s="35"/>
      <c r="H82" s="35"/>
      <c r="I82" s="32"/>
      <c r="J82" s="35"/>
      <c r="K82" s="33"/>
      <c r="L82" s="37" t="str">
        <f aca="true">IF(OR(E82="",I82&lt;&gt;"Open",H82=""),"",IF(H82&lt;TODAY(),"Overdue",""))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3"/>
      <c r="G83" s="35"/>
      <c r="H83" s="35"/>
      <c r="I83" s="32"/>
      <c r="J83" s="35"/>
      <c r="K83" s="33"/>
      <c r="L83" s="37" t="str">
        <f aca="true">IF(OR(E83="",I83&lt;&gt;"Open",H83=""),"",IF(H83&lt;TODAY(),"Overdue",""))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3"/>
      <c r="G84" s="35"/>
      <c r="H84" s="35"/>
      <c r="I84" s="32"/>
      <c r="J84" s="35"/>
      <c r="K84" s="33"/>
      <c r="L84" s="37" t="str">
        <f aca="true">IF(OR(E84="",I84&lt;&gt;"Open",H84=""),"",IF(H84&lt;TODAY(),"Overdue",""))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3"/>
      <c r="G85" s="35"/>
      <c r="H85" s="35"/>
      <c r="I85" s="32"/>
      <c r="J85" s="35"/>
      <c r="K85" s="33"/>
      <c r="L85" s="37" t="str">
        <f aca="true">IF(OR(E85="",I85&lt;&gt;"Open",H85=""),"",IF(H85&lt;TODAY(),"Overdue",""))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3"/>
      <c r="G86" s="35"/>
      <c r="H86" s="35"/>
      <c r="I86" s="32"/>
      <c r="J86" s="35"/>
      <c r="K86" s="33"/>
      <c r="L86" s="37" t="str">
        <f aca="true">IF(OR(E86="",I86&lt;&gt;"Open",H86=""),"",IF(H86&lt;TODAY(),"Overdue",""))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3"/>
      <c r="G87" s="35"/>
      <c r="H87" s="35"/>
      <c r="I87" s="32"/>
      <c r="J87" s="35"/>
      <c r="K87" s="33"/>
      <c r="L87" s="37" t="str">
        <f aca="true">IF(OR(E87="",I87&lt;&gt;"Open",H87=""),"",IF(H87&lt;TODAY(),"Overdue",""))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3"/>
      <c r="G88" s="35"/>
      <c r="H88" s="35"/>
      <c r="I88" s="32"/>
      <c r="J88" s="35"/>
      <c r="K88" s="33"/>
      <c r="L88" s="37" t="str">
        <f aca="true">IF(OR(E88="",I88&lt;&gt;"Open",H88=""),"",IF(H88&lt;TODAY(),"Overdue",""))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3"/>
      <c r="G89" s="35"/>
      <c r="H89" s="35"/>
      <c r="I89" s="32"/>
      <c r="J89" s="35"/>
      <c r="K89" s="33"/>
      <c r="L89" s="37" t="str">
        <f aca="true">IF(OR(E89="",I89&lt;&gt;"Open",H89=""),"",IF(H89&lt;TODAY(),"Overdue",""))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3"/>
      <c r="G90" s="35"/>
      <c r="H90" s="35"/>
      <c r="I90" s="32"/>
      <c r="J90" s="35"/>
      <c r="K90" s="33"/>
      <c r="L90" s="37" t="str">
        <f aca="true">IF(OR(E90="",I90&lt;&gt;"Open",H90=""),"",IF(H90&lt;TODAY(),"Overdue",""))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3"/>
      <c r="G91" s="35"/>
      <c r="H91" s="35"/>
      <c r="I91" s="32"/>
      <c r="J91" s="35"/>
      <c r="K91" s="33"/>
      <c r="L91" s="37" t="str">
        <f aca="true">IF(OR(E91="",I91&lt;&gt;"Open",H91=""),"",IF(H91&lt;TODAY(),"Overdue",""))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3"/>
      <c r="G92" s="35"/>
      <c r="H92" s="35"/>
      <c r="I92" s="32"/>
      <c r="J92" s="35"/>
      <c r="K92" s="33"/>
      <c r="L92" s="37" t="str">
        <f aca="true">IF(OR(E92="",I92&lt;&gt;"Open",H92=""),"",IF(H92&lt;TODAY(),"Overdue",""))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3"/>
      <c r="G93" s="35"/>
      <c r="H93" s="35"/>
      <c r="I93" s="32"/>
      <c r="J93" s="35"/>
      <c r="K93" s="33"/>
      <c r="L93" s="37" t="str">
        <f aca="true">IF(OR(E93="",I93&lt;&gt;"Open",H93=""),"",IF(H93&lt;TODAY(),"Overdue",""))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3"/>
      <c r="G94" s="35"/>
      <c r="H94" s="35"/>
      <c r="I94" s="32"/>
      <c r="J94" s="35"/>
      <c r="K94" s="33"/>
      <c r="L94" s="37" t="str">
        <f aca="true">IF(OR(E94="",I94&lt;&gt;"Open",H94=""),"",IF(H94&lt;TODAY(),"Overdue",""))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3"/>
      <c r="G95" s="35"/>
      <c r="H95" s="35"/>
      <c r="I95" s="32"/>
      <c r="J95" s="35"/>
      <c r="K95" s="33"/>
      <c r="L95" s="37" t="str">
        <f aca="true">IF(OR(E95="",I95&lt;&gt;"Open",H95=""),"",IF(H95&lt;TODAY(),"Overdue",""))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3"/>
      <c r="G96" s="35"/>
      <c r="H96" s="35"/>
      <c r="I96" s="32"/>
      <c r="J96" s="35"/>
      <c r="K96" s="33"/>
      <c r="L96" s="37" t="str">
        <f aca="true">IF(OR(E96="",I96&lt;&gt;"Open",H96=""),"",IF(H96&lt;TODAY(),"Overdue",""))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3"/>
      <c r="G97" s="35"/>
      <c r="H97" s="35"/>
      <c r="I97" s="32"/>
      <c r="J97" s="35"/>
      <c r="K97" s="33"/>
      <c r="L97" s="37" t="str">
        <f aca="true">IF(OR(E97="",I97&lt;&gt;"Open",H97=""),"",IF(H97&lt;TODAY(),"Overdue",""))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3"/>
      <c r="G98" s="35"/>
      <c r="H98" s="35"/>
      <c r="I98" s="32"/>
      <c r="J98" s="35"/>
      <c r="K98" s="33"/>
      <c r="L98" s="37" t="str">
        <f aca="true">IF(OR(E98="",I98&lt;&gt;"Open",H98=""),"",IF(H98&lt;TODAY(),"Overdue",""))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3"/>
      <c r="G99" s="35"/>
      <c r="H99" s="35"/>
      <c r="I99" s="32"/>
      <c r="J99" s="35"/>
      <c r="K99" s="33"/>
      <c r="L99" s="37" t="str">
        <f aca="true">IF(OR(E99="",I99&lt;&gt;"Open",H99=""),"",IF(H99&lt;TODAY(),"Overdue",""))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3"/>
      <c r="G100" s="35"/>
      <c r="H100" s="35"/>
      <c r="I100" s="32"/>
      <c r="J100" s="35"/>
      <c r="K100" s="33"/>
      <c r="L100" s="37" t="str">
        <f aca="true">IF(OR(E100="",I100&lt;&gt;"Open",H100=""),"",IF(H100&lt;TODAY(),"Overdue",""))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3"/>
      <c r="G101" s="35"/>
      <c r="H101" s="35"/>
      <c r="I101" s="32"/>
      <c r="J101" s="35"/>
      <c r="K101" s="33"/>
      <c r="L101" s="37" t="str">
        <f aca="true">IF(OR(E101="",I101&lt;&gt;"Open",H101=""),"",IF(H101&lt;TODAY(),"Overdue",""))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3"/>
      <c r="G102" s="35"/>
      <c r="H102" s="35"/>
      <c r="I102" s="32"/>
      <c r="J102" s="35"/>
      <c r="K102" s="33"/>
      <c r="L102" s="37" t="str">
        <f aca="true">IF(OR(E102="",I102&lt;&gt;"Open",H102=""),"",IF(H102&lt;TODAY(),"Overdue",""))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3"/>
      <c r="G103" s="35"/>
      <c r="H103" s="35"/>
      <c r="I103" s="32"/>
      <c r="J103" s="35"/>
      <c r="K103" s="33"/>
      <c r="L103" s="37" t="str">
        <f aca="true">IF(OR(E103="",I103&lt;&gt;"Open",H103=""),"",IF(H103&lt;TODAY(),"Overdue",""))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3"/>
      <c r="G104" s="35"/>
      <c r="H104" s="35"/>
      <c r="I104" s="32"/>
      <c r="J104" s="35"/>
      <c r="K104" s="33"/>
      <c r="L104" s="37" t="str">
        <f aca="true">IF(OR(E104="",I104&lt;&gt;"Open",H104=""),"",IF(H104&lt;TODAY(),"Overdue",""))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3"/>
      <c r="G105" s="35"/>
      <c r="H105" s="35"/>
      <c r="I105" s="32"/>
      <c r="J105" s="35"/>
      <c r="K105" s="33"/>
      <c r="L105" s="37" t="str">
        <f aca="true">IF(OR(E105="",I105&lt;&gt;"Open",H105=""),"",IF(H105&lt;TODAY(),"Overdue",""))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3"/>
      <c r="G106" s="35"/>
      <c r="H106" s="35"/>
      <c r="I106" s="32"/>
      <c r="J106" s="35"/>
      <c r="K106" s="33"/>
      <c r="L106" s="37" t="str">
        <f aca="true">IF(OR(E106="",I106&lt;&gt;"Open",H106=""),"",IF(H106&lt;TODAY(),"Overdue",""))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3"/>
      <c r="G107" s="35"/>
      <c r="H107" s="35"/>
      <c r="I107" s="32"/>
      <c r="J107" s="35"/>
      <c r="K107" s="33"/>
      <c r="L107" s="37" t="str">
        <f aca="true">IF(OR(E107="",I107&lt;&gt;"Open",H107=""),"",IF(H107&lt;TODAY(),"Overdue",""))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3"/>
      <c r="G108" s="35"/>
      <c r="H108" s="35"/>
      <c r="I108" s="32"/>
      <c r="J108" s="35"/>
      <c r="K108" s="33"/>
      <c r="L108" s="37" t="str">
        <f aca="true">IF(OR(E108="",I108&lt;&gt;"Open",H108=""),"",IF(H108&lt;TODAY(),"Overdue",""))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3"/>
      <c r="G109" s="35"/>
      <c r="H109" s="35"/>
      <c r="I109" s="32"/>
      <c r="J109" s="35"/>
      <c r="K109" s="33"/>
      <c r="L109" s="37" t="str">
        <f aca="true">IF(OR(E109="",I109&lt;&gt;"Open",H109=""),"",IF(H109&lt;TODAY(),"Overdue",""))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3"/>
      <c r="G110" s="35"/>
      <c r="H110" s="35"/>
      <c r="I110" s="32"/>
      <c r="J110" s="35"/>
      <c r="K110" s="33"/>
      <c r="L110" s="37" t="str">
        <f aca="true">IF(OR(E110="",I110&lt;&gt;"Open",H110=""),"",IF(H110&lt;TODAY(),"Overdue",""))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3"/>
      <c r="G111" s="35"/>
      <c r="H111" s="35"/>
      <c r="I111" s="32"/>
      <c r="J111" s="35"/>
      <c r="K111" s="33"/>
      <c r="L111" s="37" t="str">
        <f aca="true">IF(OR(E111="",I111&lt;&gt;"Open",H111=""),"",IF(H111&lt;TODAY(),"Overdue",""))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3"/>
      <c r="G112" s="35"/>
      <c r="H112" s="35"/>
      <c r="I112" s="32"/>
      <c r="J112" s="35"/>
      <c r="K112" s="33"/>
      <c r="L112" s="37" t="str">
        <f aca="true">IF(OR(E112="",I112&lt;&gt;"Open",H112=""),"",IF(H112&lt;TODAY(),"Overdue",""))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3"/>
      <c r="G113" s="35"/>
      <c r="H113" s="35"/>
      <c r="I113" s="32"/>
      <c r="J113" s="35"/>
      <c r="K113" s="33"/>
      <c r="L113" s="37" t="str">
        <f aca="true">IF(OR(E113="",I113&lt;&gt;"Open",H113=""),"",IF(H113&lt;TODAY(),"Overdue",""))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3"/>
      <c r="G114" s="35"/>
      <c r="H114" s="35"/>
      <c r="I114" s="32"/>
      <c r="J114" s="35"/>
      <c r="K114" s="33"/>
      <c r="L114" s="37" t="str">
        <f aca="true">IF(OR(E114="",I114&lt;&gt;"Open",H114=""),"",IF(H114&lt;TODAY(),"Overdue",""))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3"/>
      <c r="G115" s="35"/>
      <c r="H115" s="35"/>
      <c r="I115" s="32"/>
      <c r="J115" s="35"/>
      <c r="K115" s="33"/>
      <c r="L115" s="37" t="str">
        <f aca="true">IF(OR(E115="",I115&lt;&gt;"Open",H115=""),"",IF(H115&lt;TODAY(),"Overdue",""))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3"/>
      <c r="G116" s="35"/>
      <c r="H116" s="35"/>
      <c r="I116" s="32"/>
      <c r="J116" s="35"/>
      <c r="K116" s="33"/>
      <c r="L116" s="37" t="str">
        <f aca="true">IF(OR(E116="",I116&lt;&gt;"Open",H116=""),"",IF(H116&lt;TODAY(),"Overdue",""))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3"/>
      <c r="G117" s="35"/>
      <c r="H117" s="35"/>
      <c r="I117" s="32"/>
      <c r="J117" s="35"/>
      <c r="K117" s="33"/>
      <c r="L117" s="37" t="str">
        <f aca="true">IF(OR(E117="",I117&lt;&gt;"Open",H117=""),"",IF(H117&lt;TODAY(),"Overdue",""))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3"/>
      <c r="G118" s="35"/>
      <c r="H118" s="35"/>
      <c r="I118" s="32"/>
      <c r="J118" s="35"/>
      <c r="K118" s="33"/>
      <c r="L118" s="37" t="str">
        <f aca="true">IF(OR(E118="",I118&lt;&gt;"Open",H118=""),"",IF(H118&lt;TODAY(),"Overdue",""))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3"/>
      <c r="G119" s="35"/>
      <c r="H119" s="35"/>
      <c r="I119" s="32"/>
      <c r="J119" s="35"/>
      <c r="K119" s="33"/>
      <c r="L119" s="37" t="str">
        <f aca="true">IF(OR(E119="",I119&lt;&gt;"Open",H119=""),"",IF(H119&lt;TODAY(),"Overdue",""))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3"/>
      <c r="G120" s="35"/>
      <c r="H120" s="35"/>
      <c r="I120" s="32"/>
      <c r="J120" s="35"/>
      <c r="K120" s="33"/>
      <c r="L120" s="37" t="str">
        <f aca="true">IF(OR(E120="",I120&lt;&gt;"Open",H120=""),"",IF(H120&lt;TODAY(),"Overdue",""))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3"/>
      <c r="G121" s="35"/>
      <c r="H121" s="35"/>
      <c r="I121" s="32"/>
      <c r="J121" s="35"/>
      <c r="K121" s="33"/>
      <c r="L121" s="37" t="str">
        <f aca="true">IF(OR(E121="",I121&lt;&gt;"Open",H121=""),"",IF(H121&lt;TODAY(),"Overdue",""))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3"/>
      <c r="G122" s="35"/>
      <c r="H122" s="35"/>
      <c r="I122" s="32"/>
      <c r="J122" s="35"/>
      <c r="K122" s="33"/>
      <c r="L122" s="37" t="str">
        <f aca="true">IF(OR(E122="",I122&lt;&gt;"Open",H122=""),"",IF(H122&lt;TODAY(),"Overdue",""))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3"/>
      <c r="G123" s="35"/>
      <c r="H123" s="35"/>
      <c r="I123" s="32"/>
      <c r="J123" s="35"/>
      <c r="K123" s="33"/>
      <c r="L123" s="37" t="str">
        <f aca="true">IF(OR(E123="",I123&lt;&gt;"Open",H123=""),"",IF(H123&lt;TODAY(),"Overdue",""))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3"/>
      <c r="G124" s="35"/>
      <c r="H124" s="35"/>
      <c r="I124" s="32"/>
      <c r="J124" s="35"/>
      <c r="K124" s="33"/>
      <c r="L124" s="37" t="str">
        <f aca="true">IF(OR(E124="",I124&lt;&gt;"Open",H124=""),"",IF(H124&lt;TODAY(),"Overdue",""))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3"/>
      <c r="G125" s="35"/>
      <c r="H125" s="35"/>
      <c r="I125" s="32"/>
      <c r="J125" s="35"/>
      <c r="K125" s="33"/>
      <c r="L125" s="37" t="str">
        <f aca="true">IF(OR(E125="",I125&lt;&gt;"Open",H125=""),"",IF(H125&lt;TODAY(),"Overdue",""))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3"/>
      <c r="G126" s="35"/>
      <c r="H126" s="35"/>
      <c r="I126" s="32"/>
      <c r="J126" s="35"/>
      <c r="K126" s="33"/>
      <c r="L126" s="37" t="str">
        <f aca="true">IF(OR(E126="",I126&lt;&gt;"Open",H126=""),"",IF(H126&lt;TODAY(),"Overdue",""))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3"/>
      <c r="G127" s="35"/>
      <c r="H127" s="35"/>
      <c r="I127" s="32"/>
      <c r="J127" s="35"/>
      <c r="K127" s="33"/>
      <c r="L127" s="37" t="str">
        <f aca="true">IF(OR(E127="",I127&lt;&gt;"Open",H127=""),"",IF(H127&lt;TODAY(),"Overdue",""))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3"/>
      <c r="G128" s="35"/>
      <c r="H128" s="35"/>
      <c r="I128" s="32"/>
      <c r="J128" s="35"/>
      <c r="K128" s="33"/>
      <c r="L128" s="37" t="str">
        <f aca="true">IF(OR(E128="",I128&lt;&gt;"Open",H128=""),"",IF(H128&lt;TODAY(),"Overdue",""))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3"/>
      <c r="G129" s="35"/>
      <c r="H129" s="35"/>
      <c r="I129" s="32"/>
      <c r="J129" s="35"/>
      <c r="K129" s="33"/>
      <c r="L129" s="37" t="str">
        <f aca="true">IF(OR(E129="",I129&lt;&gt;"Open",H129=""),"",IF(H129&lt;TODAY(),"Overdue",""))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3"/>
      <c r="G130" s="35"/>
      <c r="H130" s="35"/>
      <c r="I130" s="32"/>
      <c r="J130" s="35"/>
      <c r="K130" s="33"/>
      <c r="L130" s="37" t="str">
        <f aca="true">IF(OR(E130="",I130&lt;&gt;"Open",H130=""),"",IF(H130&lt;TODAY(),"Overdue",""))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3"/>
      <c r="G131" s="35"/>
      <c r="H131" s="35"/>
      <c r="I131" s="32"/>
      <c r="J131" s="35"/>
      <c r="K131" s="33"/>
      <c r="L131" s="37" t="str">
        <f aca="true">IF(OR(E131="",I131&lt;&gt;"Open",H131=""),"",IF(H131&lt;TODAY(),"Overdue",""))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3"/>
      <c r="G132" s="35"/>
      <c r="H132" s="35"/>
      <c r="I132" s="32"/>
      <c r="J132" s="35"/>
      <c r="K132" s="33"/>
      <c r="L132" s="37" t="str">
        <f aca="true">IF(OR(E132="",I132&lt;&gt;"Open",H132=""),"",IF(H132&lt;TODAY(),"Overdue",""))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3"/>
      <c r="G133" s="35"/>
      <c r="H133" s="35"/>
      <c r="I133" s="32"/>
      <c r="J133" s="35"/>
      <c r="K133" s="33"/>
      <c r="L133" s="37" t="str">
        <f aca="true">IF(OR(E133="",I133&lt;&gt;"Open",H133=""),"",IF(H133&lt;TODAY(),"Overdue",""))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3"/>
      <c r="G134" s="35"/>
      <c r="H134" s="35"/>
      <c r="I134" s="32"/>
      <c r="J134" s="35"/>
      <c r="K134" s="33"/>
      <c r="L134" s="37" t="str">
        <f aca="true">IF(OR(E134="",I134&lt;&gt;"Open",H134=""),"",IF(H134&lt;TODAY(),"Overdue",""))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3"/>
      <c r="G135" s="35"/>
      <c r="H135" s="35"/>
      <c r="I135" s="32"/>
      <c r="J135" s="35"/>
      <c r="K135" s="33"/>
      <c r="L135" s="37" t="str">
        <f aca="true">IF(OR(E135="",I135&lt;&gt;"Open",H135=""),"",IF(H135&lt;TODAY(),"Overdue",""))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3"/>
      <c r="G136" s="35"/>
      <c r="H136" s="35"/>
      <c r="I136" s="32"/>
      <c r="J136" s="35"/>
      <c r="K136" s="33"/>
      <c r="L136" s="37" t="str">
        <f aca="true">IF(OR(E136="",I136&lt;&gt;"Open",H136=""),"",IF(H136&lt;TODAY(),"Overdue",""))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3"/>
      <c r="G137" s="35"/>
      <c r="H137" s="35"/>
      <c r="I137" s="32"/>
      <c r="J137" s="35"/>
      <c r="K137" s="33"/>
      <c r="L137" s="37" t="str">
        <f aca="true">IF(OR(E137="",I137&lt;&gt;"Open",H137=""),"",IF(H137&lt;TODAY(),"Overdue",""))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3"/>
      <c r="G138" s="35"/>
      <c r="H138" s="35"/>
      <c r="I138" s="32"/>
      <c r="J138" s="35"/>
      <c r="K138" s="33"/>
      <c r="L138" s="37" t="str">
        <f aca="true">IF(OR(E138="",I138&lt;&gt;"Open",H138=""),"",IF(H138&lt;TODAY(),"Overdue",""))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3"/>
      <c r="G139" s="35"/>
      <c r="H139" s="35"/>
      <c r="I139" s="32"/>
      <c r="J139" s="35"/>
      <c r="K139" s="33"/>
      <c r="L139" s="37" t="str">
        <f aca="true">IF(OR(E139="",I139&lt;&gt;"Open",H139=""),"",IF(H139&lt;TODAY(),"Overdue",""))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3"/>
      <c r="G140" s="35"/>
      <c r="H140" s="35"/>
      <c r="I140" s="32"/>
      <c r="J140" s="35"/>
      <c r="K140" s="33"/>
      <c r="L140" s="37" t="str">
        <f aca="true">IF(OR(E140="",I140&lt;&gt;"Open",H140=""),"",IF(H140&lt;TODAY(),"Overdue",""))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3"/>
      <c r="G141" s="35"/>
      <c r="H141" s="35"/>
      <c r="I141" s="32"/>
      <c r="J141" s="35"/>
      <c r="K141" s="33"/>
      <c r="L141" s="37" t="str">
        <f aca="true">IF(OR(E141="",I141&lt;&gt;"Open",H141=""),"",IF(H141&lt;TODAY(),"Overdue",""))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3"/>
      <c r="G142" s="35"/>
      <c r="H142" s="35"/>
      <c r="I142" s="32"/>
      <c r="J142" s="35"/>
      <c r="K142" s="33"/>
      <c r="L142" s="37" t="str">
        <f aca="true">IF(OR(E142="",I142&lt;&gt;"Open",H142=""),"",IF(H142&lt;TODAY(),"Overdue",""))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3"/>
      <c r="G143" s="35"/>
      <c r="H143" s="35"/>
      <c r="I143" s="32"/>
      <c r="J143" s="35"/>
      <c r="K143" s="33"/>
      <c r="L143" s="37" t="str">
        <f aca="true">IF(OR(E143="",I143&lt;&gt;"Open",H143=""),"",IF(H143&lt;TODAY(),"Overdue",""))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3"/>
      <c r="G144" s="35"/>
      <c r="H144" s="35"/>
      <c r="I144" s="32"/>
      <c r="J144" s="35"/>
      <c r="K144" s="33"/>
      <c r="L144" s="37" t="str">
        <f aca="true">IF(OR(E144="",I144&lt;&gt;"Open",H144=""),"",IF(H144&lt;TODAY(),"Overdue",""))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3"/>
      <c r="G145" s="35"/>
      <c r="H145" s="35"/>
      <c r="I145" s="32"/>
      <c r="J145" s="35"/>
      <c r="K145" s="33"/>
      <c r="L145" s="37" t="str">
        <f aca="true">IF(OR(E145="",I145&lt;&gt;"Open",H145=""),"",IF(H145&lt;TODAY(),"Overdue",""))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3"/>
      <c r="G146" s="35"/>
      <c r="H146" s="35"/>
      <c r="I146" s="32"/>
      <c r="J146" s="35"/>
      <c r="K146" s="33"/>
      <c r="L146" s="37" t="str">
        <f aca="true">IF(OR(E146="",I146&lt;&gt;"Open",H146=""),"",IF(H146&lt;TODAY(),"Overdue",""))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3"/>
      <c r="G147" s="35"/>
      <c r="H147" s="35"/>
      <c r="I147" s="32"/>
      <c r="J147" s="35"/>
      <c r="K147" s="33"/>
      <c r="L147" s="37" t="str">
        <f aca="true">IF(OR(E147="",I147&lt;&gt;"Open",H147=""),"",IF(H147&lt;TODAY(),"Overdue",""))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3"/>
      <c r="G148" s="35"/>
      <c r="H148" s="35"/>
      <c r="I148" s="32"/>
      <c r="J148" s="35"/>
      <c r="K148" s="33"/>
      <c r="L148" s="37" t="str">
        <f aca="true">IF(OR(E148="",I148&lt;&gt;"Open",H148=""),"",IF(H148&lt;TODAY(),"Overdue",""))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3"/>
      <c r="G149" s="35"/>
      <c r="H149" s="35"/>
      <c r="I149" s="32"/>
      <c r="J149" s="35"/>
      <c r="K149" s="33"/>
      <c r="L149" s="37" t="str">
        <f aca="true">IF(OR(E149="",I149&lt;&gt;"Open",H149=""),"",IF(H149&lt;TODAY(),"Overdue",""))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3"/>
      <c r="G150" s="35"/>
      <c r="H150" s="35"/>
      <c r="I150" s="32"/>
      <c r="J150" s="35"/>
      <c r="K150" s="33"/>
      <c r="L150" s="37" t="str">
        <f aca="true">IF(OR(E150="",I150&lt;&gt;"Open",H150=""),"",IF(H150&lt;TODAY(),"Overdue",""))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3"/>
      <c r="G151" s="35"/>
      <c r="H151" s="35"/>
      <c r="I151" s="32"/>
      <c r="J151" s="35"/>
      <c r="K151" s="33"/>
      <c r="L151" s="37" t="str">
        <f aca="true">IF(OR(E151="",I151&lt;&gt;"Open",H151=""),"",IF(H151&lt;TODAY(),"Overdue",""))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3"/>
      <c r="G152" s="35"/>
      <c r="H152" s="35"/>
      <c r="I152" s="32"/>
      <c r="J152" s="35"/>
      <c r="K152" s="33"/>
      <c r="L152" s="37" t="str">
        <f aca="true">IF(OR(E152="",I152&lt;&gt;"Open",H152=""),"",IF(H152&lt;TODAY(),"Overdue",""))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3"/>
      <c r="G153" s="35"/>
      <c r="H153" s="35"/>
      <c r="I153" s="32"/>
      <c r="J153" s="35"/>
      <c r="K153" s="33"/>
      <c r="L153" s="37" t="str">
        <f aca="true">IF(OR(E153="",I153&lt;&gt;"Open",H153=""),"",IF(H153&lt;TODAY(),"Overdue",""))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3"/>
      <c r="G154" s="35"/>
      <c r="H154" s="35"/>
      <c r="I154" s="32"/>
      <c r="J154" s="35"/>
      <c r="K154" s="33"/>
      <c r="L154" s="37" t="str">
        <f aca="true">IF(OR(E154="",I154&lt;&gt;"Open",H154=""),"",IF(H154&lt;TODAY(),"Overdue",""))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3"/>
      <c r="G155" s="35"/>
      <c r="H155" s="35"/>
      <c r="I155" s="32"/>
      <c r="J155" s="35"/>
      <c r="K155" s="33"/>
      <c r="L155" s="37" t="str">
        <f aca="true">IF(OR(E155="",I155&lt;&gt;"Open",H155=""),"",IF(H155&lt;TODAY(),"Overdue",""))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3"/>
      <c r="G156" s="35"/>
      <c r="H156" s="35"/>
      <c r="I156" s="32"/>
      <c r="J156" s="35"/>
      <c r="K156" s="33"/>
      <c r="L156" s="37" t="str">
        <f aca="true">IF(OR(E156="",I156&lt;&gt;"Open",H156=""),"",IF(H156&lt;TODAY(),"Overdue",""))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3"/>
      <c r="G157" s="35"/>
      <c r="H157" s="35"/>
      <c r="I157" s="32"/>
      <c r="J157" s="35"/>
      <c r="K157" s="33"/>
      <c r="L157" s="37" t="str">
        <f aca="true">IF(OR(E157="",I157&lt;&gt;"Open",H157=""),"",IF(H157&lt;TODAY(),"Overdue",""))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3"/>
      <c r="G158" s="35"/>
      <c r="H158" s="35"/>
      <c r="I158" s="32"/>
      <c r="J158" s="35"/>
      <c r="K158" s="33"/>
      <c r="L158" s="37" t="str">
        <f aca="true">IF(OR(E158="",I158&lt;&gt;"Open",H158=""),"",IF(H158&lt;TODAY(),"Overdue",""))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3"/>
      <c r="G159" s="35"/>
      <c r="H159" s="35"/>
      <c r="I159" s="32"/>
      <c r="J159" s="35"/>
      <c r="K159" s="33"/>
      <c r="L159" s="37" t="str">
        <f aca="true">IF(OR(E159="",I159&lt;&gt;"Open",H159=""),"",IF(H159&lt;TODAY(),"Overdue",""))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3"/>
      <c r="G160" s="35"/>
      <c r="H160" s="35"/>
      <c r="I160" s="32"/>
      <c r="J160" s="35"/>
      <c r="K160" s="33"/>
      <c r="L160" s="37" t="str">
        <f aca="true">IF(OR(E160="",I160&lt;&gt;"Open",H160=""),"",IF(H160&lt;TODAY(),"Overdue",""))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3"/>
      <c r="G161" s="35"/>
      <c r="H161" s="35"/>
      <c r="I161" s="32"/>
      <c r="J161" s="35"/>
      <c r="K161" s="33"/>
      <c r="L161" s="37" t="str">
        <f aca="true">IF(OR(E161="",I161&lt;&gt;"Open",H161=""),"",IF(H161&lt;TODAY(),"Overdue",""))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3"/>
      <c r="G162" s="35"/>
      <c r="H162" s="35"/>
      <c r="I162" s="32"/>
      <c r="J162" s="35"/>
      <c r="K162" s="33"/>
      <c r="L162" s="37" t="str">
        <f aca="true">IF(OR(E162="",I162&lt;&gt;"Open",H162=""),"",IF(H162&lt;TODAY(),"Overdue",""))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3"/>
      <c r="G163" s="35"/>
      <c r="H163" s="35"/>
      <c r="I163" s="32"/>
      <c r="J163" s="35"/>
      <c r="K163" s="33"/>
      <c r="L163" s="37" t="str">
        <f aca="true">IF(OR(E163="",I163&lt;&gt;"Open",H163=""),"",IF(H163&lt;TODAY(),"Overdue",""))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3"/>
      <c r="G164" s="35"/>
      <c r="H164" s="35"/>
      <c r="I164" s="32"/>
      <c r="J164" s="35"/>
      <c r="K164" s="33"/>
      <c r="L164" s="37" t="str">
        <f aca="true">IF(OR(E164="",I164&lt;&gt;"Open",H164=""),"",IF(H164&lt;TODAY(),"Overdue",""))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3"/>
      <c r="G165" s="35"/>
      <c r="H165" s="35"/>
      <c r="I165" s="32"/>
      <c r="J165" s="35"/>
      <c r="K165" s="33"/>
      <c r="L165" s="37" t="str">
        <f aca="true">IF(OR(E165="",I165&lt;&gt;"Open",H165=""),"",IF(H165&lt;TODAY(),"Overdue",""))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3"/>
      <c r="G166" s="35"/>
      <c r="H166" s="35"/>
      <c r="I166" s="32"/>
      <c r="J166" s="35"/>
      <c r="K166" s="33"/>
      <c r="L166" s="37" t="str">
        <f aca="true">IF(OR(E166="",I166&lt;&gt;"Open",H166=""),"",IF(H166&lt;TODAY(),"Overdue",""))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3"/>
      <c r="G167" s="35"/>
      <c r="H167" s="35"/>
      <c r="I167" s="32"/>
      <c r="J167" s="35"/>
      <c r="K167" s="33"/>
      <c r="L167" s="37" t="str">
        <f aca="true">IF(OR(E167="",I167&lt;&gt;"Open",H167=""),"",IF(H167&lt;TODAY(),"Overdue",""))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3"/>
      <c r="G168" s="35"/>
      <c r="H168" s="35"/>
      <c r="I168" s="32"/>
      <c r="J168" s="35"/>
      <c r="K168" s="33"/>
      <c r="L168" s="37" t="str">
        <f aca="true">IF(OR(E168="",I168&lt;&gt;"Open",H168=""),"",IF(H168&lt;TODAY(),"Overdue",""))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3"/>
      <c r="G169" s="35"/>
      <c r="H169" s="35"/>
      <c r="I169" s="32"/>
      <c r="J169" s="35"/>
      <c r="K169" s="33"/>
      <c r="L169" s="37" t="str">
        <f aca="true">IF(OR(E169="",I169&lt;&gt;"Open",H169=""),"",IF(H169&lt;TODAY(),"Overdue",""))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3"/>
      <c r="G170" s="35"/>
      <c r="H170" s="35"/>
      <c r="I170" s="32"/>
      <c r="J170" s="35"/>
      <c r="K170" s="33"/>
      <c r="L170" s="37" t="str">
        <f aca="true">IF(OR(E170="",I170&lt;&gt;"Open",H170=""),"",IF(H170&lt;TODAY(),"Overdue",""))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3"/>
      <c r="G171" s="35"/>
      <c r="H171" s="35"/>
      <c r="I171" s="32"/>
      <c r="J171" s="35"/>
      <c r="K171" s="33"/>
      <c r="L171" s="37" t="str">
        <f aca="true">IF(OR(E171="",I171&lt;&gt;"Open",H171=""),"",IF(H171&lt;TODAY(),"Overdue",""))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3"/>
      <c r="G172" s="35"/>
      <c r="H172" s="35"/>
      <c r="I172" s="32"/>
      <c r="J172" s="35"/>
      <c r="K172" s="33"/>
      <c r="L172" s="37" t="str">
        <f aca="true">IF(OR(E172="",I172&lt;&gt;"Open",H172=""),"",IF(H172&lt;TODAY(),"Overdue",""))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3"/>
      <c r="G173" s="35"/>
      <c r="H173" s="35"/>
      <c r="I173" s="32"/>
      <c r="J173" s="35"/>
      <c r="K173" s="33"/>
      <c r="L173" s="37" t="str">
        <f aca="true">IF(OR(E173="",I173&lt;&gt;"Open",H173=""),"",IF(H173&lt;TODAY(),"Overdue",""))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3"/>
      <c r="G174" s="35"/>
      <c r="H174" s="35"/>
      <c r="I174" s="32"/>
      <c r="J174" s="35"/>
      <c r="K174" s="33"/>
      <c r="L174" s="37" t="str">
        <f aca="true">IF(OR(E174="",I174&lt;&gt;"Open",H174=""),"",IF(H174&lt;TODAY(),"Overdue",""))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3"/>
      <c r="G175" s="35"/>
      <c r="H175" s="35"/>
      <c r="I175" s="32"/>
      <c r="J175" s="35"/>
      <c r="K175" s="33"/>
      <c r="L175" s="37" t="str">
        <f aca="true">IF(OR(E175="",I175&lt;&gt;"Open",H175=""),"",IF(H175&lt;TODAY(),"Overdue",""))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3"/>
      <c r="G176" s="35"/>
      <c r="H176" s="35"/>
      <c r="I176" s="32"/>
      <c r="J176" s="35"/>
      <c r="K176" s="33"/>
      <c r="L176" s="37" t="str">
        <f aca="true">IF(OR(E176="",I176&lt;&gt;"Open",H176=""),"",IF(H176&lt;TODAY(),"Overdue",""))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3"/>
      <c r="G177" s="35"/>
      <c r="H177" s="35"/>
      <c r="I177" s="32"/>
      <c r="J177" s="35"/>
      <c r="K177" s="33"/>
      <c r="L177" s="37" t="str">
        <f aca="true">IF(OR(E177="",I177&lt;&gt;"Open",H177=""),"",IF(H177&lt;TODAY(),"Overdue",""))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3"/>
      <c r="G178" s="35"/>
      <c r="H178" s="35"/>
      <c r="I178" s="32"/>
      <c r="J178" s="35"/>
      <c r="K178" s="33"/>
      <c r="L178" s="37" t="str">
        <f aca="true">IF(OR(E178="",I178&lt;&gt;"Open",H178=""),"",IF(H178&lt;TODAY(),"Overdue",""))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3"/>
      <c r="G179" s="35"/>
      <c r="H179" s="35"/>
      <c r="I179" s="32"/>
      <c r="J179" s="35"/>
      <c r="K179" s="33"/>
      <c r="L179" s="37" t="str">
        <f aca="true">IF(OR(E179="",I179&lt;&gt;"Open",H179=""),"",IF(H179&lt;TODAY(),"Overdue",""))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3"/>
      <c r="G180" s="35"/>
      <c r="H180" s="35"/>
      <c r="I180" s="32"/>
      <c r="J180" s="35"/>
      <c r="K180" s="33"/>
      <c r="L180" s="37" t="str">
        <f aca="true">IF(OR(E180="",I180&lt;&gt;"Open",H180=""),"",IF(H180&lt;TODAY(),"Overdue",""))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3"/>
      <c r="G181" s="35"/>
      <c r="H181" s="35"/>
      <c r="I181" s="32"/>
      <c r="J181" s="35"/>
      <c r="K181" s="33"/>
      <c r="L181" s="37" t="str">
        <f aca="true">IF(OR(E181="",I181&lt;&gt;"Open",H181=""),"",IF(H181&lt;TODAY(),"Overdue",""))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3"/>
      <c r="G182" s="35"/>
      <c r="H182" s="35"/>
      <c r="I182" s="32"/>
      <c r="J182" s="35"/>
      <c r="K182" s="33"/>
      <c r="L182" s="37" t="str">
        <f aca="true">IF(OR(E182="",I182&lt;&gt;"Open",H182=""),"",IF(H182&lt;TODAY(),"Overdue",""))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3"/>
      <c r="G183" s="35"/>
      <c r="H183" s="35"/>
      <c r="I183" s="32"/>
      <c r="J183" s="35"/>
      <c r="K183" s="33"/>
      <c r="L183" s="37" t="str">
        <f aca="true">IF(OR(E183="",I183&lt;&gt;"Open",H183=""),"",IF(H183&lt;TODAY(),"Overdue",""))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3"/>
      <c r="G184" s="35"/>
      <c r="H184" s="35"/>
      <c r="I184" s="32"/>
      <c r="J184" s="35"/>
      <c r="K184" s="33"/>
      <c r="L184" s="37" t="str">
        <f aca="true">IF(OR(E184="",I184&lt;&gt;"Open",H184=""),"",IF(H184&lt;TODAY(),"Overdue",""))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3"/>
      <c r="G185" s="35"/>
      <c r="H185" s="35"/>
      <c r="I185" s="32"/>
      <c r="J185" s="35"/>
      <c r="K185" s="33"/>
      <c r="L185" s="37" t="str">
        <f aca="true">IF(OR(E185="",I185&lt;&gt;"Open",H185=""),"",IF(H185&lt;TODAY(),"Overdue",""))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3"/>
      <c r="G186" s="35"/>
      <c r="H186" s="35"/>
      <c r="I186" s="32"/>
      <c r="J186" s="35"/>
      <c r="K186" s="33"/>
      <c r="L186" s="37" t="str">
        <f aca="true">IF(OR(E186="",I186&lt;&gt;"Open",H186=""),"",IF(H186&lt;TODAY(),"Overdue",""))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3"/>
      <c r="G187" s="35"/>
      <c r="H187" s="35"/>
      <c r="I187" s="32"/>
      <c r="J187" s="35"/>
      <c r="K187" s="33"/>
      <c r="L187" s="37" t="str">
        <f aca="true">IF(OR(E187="",I187&lt;&gt;"Open",H187=""),"",IF(H187&lt;TODAY(),"Overdue",""))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3"/>
      <c r="G188" s="35"/>
      <c r="H188" s="35"/>
      <c r="I188" s="32"/>
      <c r="J188" s="35"/>
      <c r="K188" s="33"/>
      <c r="L188" s="37" t="str">
        <f aca="true">IF(OR(E188="",I188&lt;&gt;"Open",H188=""),"",IF(H188&lt;TODAY(),"Overdue",""))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3"/>
      <c r="G189" s="35"/>
      <c r="H189" s="35"/>
      <c r="I189" s="32"/>
      <c r="J189" s="35"/>
      <c r="K189" s="33"/>
      <c r="L189" s="37" t="str">
        <f aca="true">IF(OR(E189="",I189&lt;&gt;"Open",H189=""),"",IF(H189&lt;TODAY(),"Overdue",""))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3"/>
      <c r="G190" s="35"/>
      <c r="H190" s="35"/>
      <c r="I190" s="32"/>
      <c r="J190" s="35"/>
      <c r="K190" s="33"/>
      <c r="L190" s="37" t="str">
        <f aca="true">IF(OR(E190="",I190&lt;&gt;"Open",H190=""),"",IF(H190&lt;TODAY(),"Overdue",""))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3"/>
      <c r="G191" s="35"/>
      <c r="H191" s="35"/>
      <c r="I191" s="32"/>
      <c r="J191" s="35"/>
      <c r="K191" s="33"/>
      <c r="L191" s="37" t="str">
        <f aca="true">IF(OR(E191="",I191&lt;&gt;"Open",H191=""),"",IF(H191&lt;TODAY(),"Overdue",""))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3"/>
      <c r="G192" s="35"/>
      <c r="H192" s="35"/>
      <c r="I192" s="32"/>
      <c r="J192" s="35"/>
      <c r="K192" s="33"/>
      <c r="L192" s="37" t="str">
        <f aca="true">IF(OR(E192="",I192&lt;&gt;"Open",H192=""),"",IF(H192&lt;TODAY(),"Overdue",""))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3"/>
      <c r="G193" s="35"/>
      <c r="H193" s="35"/>
      <c r="I193" s="32"/>
      <c r="J193" s="35"/>
      <c r="K193" s="33"/>
      <c r="L193" s="37" t="str">
        <f aca="true">IF(OR(E193="",I193&lt;&gt;"Open",H193=""),"",IF(H193&lt;TODAY(),"Overdue",""))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3"/>
      <c r="G194" s="35"/>
      <c r="H194" s="35"/>
      <c r="I194" s="32"/>
      <c r="J194" s="35"/>
      <c r="K194" s="33"/>
      <c r="L194" s="37" t="str">
        <f aca="true">IF(OR(E194="",I194&lt;&gt;"Open",H194=""),"",IF(H194&lt;TODAY(),"Overdue",""))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3"/>
      <c r="G195" s="35"/>
      <c r="H195" s="35"/>
      <c r="I195" s="32"/>
      <c r="J195" s="35"/>
      <c r="K195" s="33"/>
      <c r="L195" s="37" t="str">
        <f aca="true">IF(OR(E195="",I195&lt;&gt;"Open",H195=""),"",IF(H195&lt;TODAY(),"Overdue",""))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3"/>
      <c r="G196" s="35"/>
      <c r="H196" s="35"/>
      <c r="I196" s="32"/>
      <c r="J196" s="35"/>
      <c r="K196" s="33"/>
      <c r="L196" s="37" t="str">
        <f aca="true">IF(OR(E196="",I196&lt;&gt;"Open",H196=""),"",IF(H196&lt;TODAY(),"Overdue",""))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3"/>
      <c r="G197" s="35"/>
      <c r="H197" s="35"/>
      <c r="I197" s="32"/>
      <c r="J197" s="35"/>
      <c r="K197" s="33"/>
      <c r="L197" s="37" t="str">
        <f aca="true">IF(OR(E197="",I197&lt;&gt;"Open",H197=""),"",IF(H197&lt;TODAY(),"Overdue",""))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3"/>
      <c r="G198" s="35"/>
      <c r="H198" s="35"/>
      <c r="I198" s="32"/>
      <c r="J198" s="35"/>
      <c r="K198" s="33"/>
      <c r="L198" s="37" t="str">
        <f aca="true">IF(OR(E198="",I198&lt;&gt;"Open",H198=""),"",IF(H198&lt;TODAY(),"Overdue",""))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3"/>
      <c r="G199" s="35"/>
      <c r="H199" s="35"/>
      <c r="I199" s="32"/>
      <c r="J199" s="35"/>
      <c r="K199" s="33"/>
      <c r="L199" s="37" t="str">
        <f aca="true">IF(OR(E199="",I199&lt;&gt;"Open",H199=""),"",IF(H199&lt;TODAY(),"Overdue",""))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3"/>
      <c r="G200" s="35"/>
      <c r="H200" s="35"/>
      <c r="I200" s="32"/>
      <c r="J200" s="35"/>
      <c r="K200" s="33"/>
      <c r="L200" s="37" t="str">
        <f aca="true">IF(OR(E200="",I200&lt;&gt;"Open",H200=""),"",IF(H200&lt;TODAY(),"Overdue",""))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3"/>
      <c r="G201" s="35"/>
      <c r="H201" s="35"/>
      <c r="I201" s="32"/>
      <c r="J201" s="35"/>
      <c r="K201" s="33"/>
      <c r="L201" s="37" t="str">
        <f aca="true">IF(OR(E201="",I201&lt;&gt;"Open",H201=""),"",IF(H201&lt;TODAY(),"Overdue",""))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3"/>
      <c r="G202" s="35"/>
      <c r="H202" s="35"/>
      <c r="I202" s="32"/>
      <c r="J202" s="35"/>
      <c r="K202" s="33"/>
      <c r="L202" s="37" t="str">
        <f aca="true">IF(OR(E202="",I202&lt;&gt;"Open",H202=""),"",IF(H202&lt;TODAY(),"Overdue",""))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3"/>
      <c r="G203" s="35"/>
      <c r="H203" s="35"/>
      <c r="I203" s="32"/>
      <c r="J203" s="35"/>
      <c r="K203" s="33"/>
      <c r="L203" s="37" t="str">
        <f aca="true">IF(OR(E203="",I203&lt;&gt;"Open",H203=""),"",IF(H203&lt;TODAY(),"Overdue",""))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3"/>
      <c r="G204" s="35"/>
      <c r="H204" s="35"/>
      <c r="I204" s="32"/>
      <c r="J204" s="35"/>
      <c r="K204" s="33"/>
      <c r="L204" s="37" t="str">
        <f aca="true">IF(OR(E204="",I204&lt;&gt;"Open",H204=""),"",IF(H204&lt;TODAY(),"Overdue",""))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3"/>
      <c r="G205" s="35"/>
      <c r="H205" s="35"/>
      <c r="I205" s="32"/>
      <c r="J205" s="35"/>
      <c r="K205" s="33"/>
      <c r="L205" s="37" t="str">
        <f aca="true">IF(OR(E205="",I205&lt;&gt;"Open",H205=""),"",IF(H205&lt;TODAY(),"Overdue",""))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3"/>
      <c r="G206" s="35"/>
      <c r="H206" s="35"/>
      <c r="I206" s="32"/>
      <c r="J206" s="35"/>
      <c r="K206" s="33"/>
      <c r="L206" s="37" t="str">
        <f aca="true">IF(OR(E206="",I206&lt;&gt;"Open",H206=""),"",IF(H206&lt;TODAY(),"Overdue",""))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3"/>
      <c r="G207" s="35"/>
      <c r="H207" s="35"/>
      <c r="I207" s="32"/>
      <c r="J207" s="35"/>
      <c r="K207" s="33"/>
      <c r="L207" s="37" t="str">
        <f aca="true">IF(OR(E207="",I207&lt;&gt;"Open",H207=""),"",IF(H207&lt;TODAY(),"Overdue",""))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3"/>
      <c r="G208" s="35"/>
      <c r="H208" s="35"/>
      <c r="I208" s="32"/>
      <c r="J208" s="35"/>
      <c r="K208" s="33"/>
      <c r="L208" s="37" t="str">
        <f aca="true">IF(OR(E208="",I208&lt;&gt;"Open",H208=""),"",IF(H208&lt;TODAY(),"Overdue",""))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3"/>
      <c r="G209" s="35"/>
      <c r="H209" s="35"/>
      <c r="I209" s="32"/>
      <c r="J209" s="35"/>
      <c r="K209" s="33"/>
      <c r="L209" s="37" t="str">
        <f aca="true">IF(OR(E209="",I209&lt;&gt;"Open",H209=""),"",IF(H209&lt;TODAY(),"Overdue",""))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3"/>
      <c r="G210" s="35"/>
      <c r="H210" s="35"/>
      <c r="I210" s="32"/>
      <c r="J210" s="35"/>
      <c r="K210" s="33"/>
      <c r="L210" s="37" t="str">
        <f aca="true">IF(OR(E210="",I210&lt;&gt;"Open",H210=""),"",IF(H210&lt;TODAY(),"Overdue",""))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3"/>
      <c r="G211" s="35"/>
      <c r="H211" s="35"/>
      <c r="I211" s="32"/>
      <c r="J211" s="35"/>
      <c r="K211" s="33"/>
      <c r="L211" s="37" t="str">
        <f aca="true">IF(OR(E211="",I211&lt;&gt;"Open",H211=""),"",IF(H211&lt;TODAY(),"Overdue",""))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3"/>
      <c r="G212" s="35"/>
      <c r="H212" s="35"/>
      <c r="I212" s="32"/>
      <c r="J212" s="35"/>
      <c r="K212" s="33"/>
      <c r="L212" s="37" t="str">
        <f aca="true">IF(OR(E212="",I212&lt;&gt;"Open",H212=""),"",IF(H212&lt;TODAY(),"Overdue",""))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3"/>
      <c r="G213" s="35"/>
      <c r="H213" s="35"/>
      <c r="I213" s="32"/>
      <c r="J213" s="35"/>
      <c r="K213" s="33"/>
      <c r="L213" s="37" t="str">
        <f aca="true">IF(OR(E213="",I213&lt;&gt;"Open",H213=""),"",IF(H213&lt;TODAY(),"Overdue",""))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3"/>
      <c r="G214" s="35"/>
      <c r="H214" s="35"/>
      <c r="I214" s="32"/>
      <c r="J214" s="35"/>
      <c r="K214" s="33"/>
      <c r="L214" s="37" t="str">
        <f aca="true">IF(OR(E214="",I214&lt;&gt;"Open",H214=""),"",IF(H214&lt;TODAY(),"Overdue",""))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3"/>
      <c r="G215" s="35"/>
      <c r="H215" s="35"/>
      <c r="I215" s="32"/>
      <c r="J215" s="35"/>
      <c r="K215" s="33"/>
      <c r="L215" s="37" t="str">
        <f aca="true">IF(OR(E215="",I215&lt;&gt;"Open",H215=""),"",IF(H215&lt;TODAY(),"Overdue",""))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3"/>
      <c r="G216" s="35"/>
      <c r="H216" s="35"/>
      <c r="I216" s="32"/>
      <c r="J216" s="35"/>
      <c r="K216" s="33"/>
      <c r="L216" s="37" t="str">
        <f aca="true">IF(OR(E216="",I216&lt;&gt;"Open",H216=""),"",IF(H216&lt;TODAY(),"Overdue",""))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3"/>
      <c r="G217" s="35"/>
      <c r="H217" s="35"/>
      <c r="I217" s="32"/>
      <c r="J217" s="35"/>
      <c r="K217" s="33"/>
      <c r="L217" s="37" t="str">
        <f aca="true">IF(OR(E217="",I217&lt;&gt;"Open",H217=""),"",IF(H217&lt;TODAY(),"Overdue",""))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3"/>
      <c r="G218" s="35"/>
      <c r="H218" s="35"/>
      <c r="I218" s="32"/>
      <c r="J218" s="35"/>
      <c r="K218" s="33"/>
      <c r="L218" s="37" t="str">
        <f aca="true">IF(OR(E218="",I218&lt;&gt;"Open",H218=""),"",IF(H218&lt;TODAY(),"Overdue",""))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3"/>
      <c r="G219" s="35"/>
      <c r="H219" s="35"/>
      <c r="I219" s="32"/>
      <c r="J219" s="35"/>
      <c r="K219" s="33"/>
      <c r="L219" s="37" t="str">
        <f aca="true">IF(OR(E219="",I219&lt;&gt;"Open",H219=""),"",IF(H219&lt;TODAY(),"Overdue",""))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3"/>
      <c r="G220" s="35"/>
      <c r="H220" s="35"/>
      <c r="I220" s="32"/>
      <c r="J220" s="35"/>
      <c r="K220" s="33"/>
      <c r="L220" s="37" t="str">
        <f aca="true">IF(OR(E220="",I220&lt;&gt;"Open",H220=""),"",IF(H220&lt;TODAY(),"Overdue",""))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3"/>
      <c r="G221" s="35"/>
      <c r="H221" s="35"/>
      <c r="I221" s="32"/>
      <c r="J221" s="35"/>
      <c r="K221" s="33"/>
      <c r="L221" s="37" t="str">
        <f aca="true">IF(OR(E221="",I221&lt;&gt;"Open",H221=""),"",IF(H221&lt;TODAY(),"Overdue",""))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3"/>
      <c r="G222" s="35"/>
      <c r="H222" s="35"/>
      <c r="I222" s="32"/>
      <c r="J222" s="35"/>
      <c r="K222" s="33"/>
      <c r="L222" s="37" t="str">
        <f aca="true">IF(OR(E222="",I222&lt;&gt;"Open",H222=""),"",IF(H222&lt;TODAY(),"Overdue",""))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3"/>
      <c r="G223" s="35"/>
      <c r="H223" s="35"/>
      <c r="I223" s="32"/>
      <c r="J223" s="35"/>
      <c r="K223" s="33"/>
      <c r="L223" s="37" t="str">
        <f aca="true">IF(OR(E223="",I223&lt;&gt;"Open",H223=""),"",IF(H223&lt;TODAY(),"Overdue",""))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3"/>
      <c r="G224" s="35"/>
      <c r="H224" s="35"/>
      <c r="I224" s="32"/>
      <c r="J224" s="35"/>
      <c r="K224" s="33"/>
      <c r="L224" s="37" t="str">
        <f aca="true">IF(OR(E224="",I224&lt;&gt;"Open",H224=""),"",IF(H224&lt;TODAY(),"Overdue",""))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3"/>
      <c r="G225" s="35"/>
      <c r="H225" s="35"/>
      <c r="I225" s="32"/>
      <c r="J225" s="35"/>
      <c r="K225" s="33"/>
      <c r="L225" s="37" t="str">
        <f aca="true">IF(OR(E225="",I225&lt;&gt;"Open",H225=""),"",IF(H225&lt;TODAY(),"Overdue",""))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3"/>
      <c r="G226" s="35"/>
      <c r="H226" s="35"/>
      <c r="I226" s="32"/>
      <c r="J226" s="35"/>
      <c r="K226" s="33"/>
      <c r="L226" s="37" t="str">
        <f aca="true">IF(OR(E226="",I226&lt;&gt;"Open",H226=""),"",IF(H226&lt;TODAY(),"Overdue",""))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3"/>
      <c r="G227" s="35"/>
      <c r="H227" s="35"/>
      <c r="I227" s="32"/>
      <c r="J227" s="35"/>
      <c r="K227" s="33"/>
      <c r="L227" s="37" t="str">
        <f aca="true">IF(OR(E227="",I227&lt;&gt;"Open",H227=""),"",IF(H227&lt;TODAY(),"Overdue",""))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3"/>
      <c r="G228" s="35"/>
      <c r="H228" s="35"/>
      <c r="I228" s="32"/>
      <c r="J228" s="35"/>
      <c r="K228" s="33"/>
      <c r="L228" s="37" t="str">
        <f aca="true">IF(OR(E228="",I228&lt;&gt;"Open",H228=""),"",IF(H228&lt;TODAY(),"Overdue",""))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3"/>
      <c r="G229" s="35"/>
      <c r="H229" s="35"/>
      <c r="I229" s="32"/>
      <c r="J229" s="35"/>
      <c r="K229" s="33"/>
      <c r="L229" s="37" t="str">
        <f aca="true">IF(OR(E229="",I229&lt;&gt;"Open",H229=""),"",IF(H229&lt;TODAY(),"Overdue",""))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3"/>
      <c r="G230" s="35"/>
      <c r="H230" s="35"/>
      <c r="I230" s="32"/>
      <c r="J230" s="35"/>
      <c r="K230" s="33"/>
      <c r="L230" s="37" t="str">
        <f aca="true">IF(OR(E230="",I230&lt;&gt;"Open",H230=""),"",IF(H230&lt;TODAY(),"Overdue",""))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3"/>
      <c r="G231" s="35"/>
      <c r="H231" s="35"/>
      <c r="I231" s="32"/>
      <c r="J231" s="35"/>
      <c r="K231" s="33"/>
      <c r="L231" s="37" t="str">
        <f aca="true">IF(OR(E231="",I231&lt;&gt;"Open",H231=""),"",IF(H231&lt;TODAY(),"Overdue",""))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3"/>
      <c r="G232" s="35"/>
      <c r="H232" s="35"/>
      <c r="I232" s="32"/>
      <c r="J232" s="35"/>
      <c r="K232" s="33"/>
      <c r="L232" s="37" t="str">
        <f aca="true">IF(OR(E232="",I232&lt;&gt;"Open",H232=""),"",IF(H232&lt;TODAY(),"Overdue",""))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3"/>
      <c r="G233" s="35"/>
      <c r="H233" s="35"/>
      <c r="I233" s="32"/>
      <c r="J233" s="35"/>
      <c r="K233" s="33"/>
      <c r="L233" s="37" t="str">
        <f aca="true">IF(OR(E233="",I233&lt;&gt;"Open",H233=""),"",IF(H233&lt;TODAY(),"Overdue",""))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3"/>
      <c r="G234" s="35"/>
      <c r="H234" s="35"/>
      <c r="I234" s="32"/>
      <c r="J234" s="35"/>
      <c r="K234" s="33"/>
      <c r="L234" s="37" t="str">
        <f aca="true">IF(OR(E234="",I234&lt;&gt;"Open",H234=""),"",IF(H234&lt;TODAY(),"Overdue",""))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3"/>
      <c r="G235" s="35"/>
      <c r="H235" s="35"/>
      <c r="I235" s="32"/>
      <c r="J235" s="35"/>
      <c r="K235" s="33"/>
      <c r="L235" s="37" t="str">
        <f aca="true">IF(OR(E235="",I235&lt;&gt;"Open",H235=""),"",IF(H235&lt;TODAY(),"Overdue",""))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3"/>
      <c r="G236" s="35"/>
      <c r="H236" s="35"/>
      <c r="I236" s="32"/>
      <c r="J236" s="35"/>
      <c r="K236" s="33"/>
      <c r="L236" s="37" t="str">
        <f aca="true">IF(OR(E236="",I236&lt;&gt;"Open",H236=""),"",IF(H236&lt;TODAY(),"Overdue",""))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3"/>
      <c r="G237" s="35"/>
      <c r="H237" s="35"/>
      <c r="I237" s="32"/>
      <c r="J237" s="35"/>
      <c r="K237" s="33"/>
      <c r="L237" s="37" t="str">
        <f aca="true">IF(OR(E237="",I237&lt;&gt;"Open",H237=""),"",IF(H237&lt;TODAY(),"Overdue",""))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3"/>
      <c r="G238" s="35"/>
      <c r="H238" s="35"/>
      <c r="I238" s="32"/>
      <c r="J238" s="35"/>
      <c r="K238" s="33"/>
      <c r="L238" s="37" t="str">
        <f aca="true">IF(OR(E238="",I238&lt;&gt;"Open",H238=""),"",IF(H238&lt;TODAY(),"Overdue",""))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3"/>
      <c r="G239" s="35"/>
      <c r="H239" s="35"/>
      <c r="I239" s="32"/>
      <c r="J239" s="35"/>
      <c r="K239" s="33"/>
      <c r="L239" s="37" t="str">
        <f aca="true">IF(OR(E239="",I239&lt;&gt;"Open",H239=""),"",IF(H239&lt;TODAY(),"Overdue",""))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3"/>
      <c r="G240" s="35"/>
      <c r="H240" s="35"/>
      <c r="I240" s="32"/>
      <c r="J240" s="35"/>
      <c r="K240" s="33"/>
      <c r="L240" s="37" t="str">
        <f aca="true">IF(OR(E240="",I240&lt;&gt;"Open",H240=""),"",IF(H240&lt;TODAY(),"Overdue",""))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3"/>
      <c r="G241" s="35"/>
      <c r="H241" s="35"/>
      <c r="I241" s="32"/>
      <c r="J241" s="35"/>
      <c r="K241" s="33"/>
      <c r="L241" s="37" t="str">
        <f aca="true">IF(OR(E241="",I241&lt;&gt;"Open",H241=""),"",IF(H241&lt;TODAY(),"Overdue",""))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3"/>
      <c r="G242" s="35"/>
      <c r="H242" s="35"/>
      <c r="I242" s="32"/>
      <c r="J242" s="35"/>
      <c r="K242" s="33"/>
      <c r="L242" s="37" t="str">
        <f aca="true">IF(OR(E242="",I242&lt;&gt;"Open",H242=""),"",IF(H242&lt;TODAY(),"Overdue",""))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3"/>
      <c r="G243" s="35"/>
      <c r="H243" s="35"/>
      <c r="I243" s="32"/>
      <c r="J243" s="35"/>
      <c r="K243" s="33"/>
      <c r="L243" s="37" t="str">
        <f aca="true">IF(OR(E243="",I243&lt;&gt;"Open",H243=""),"",IF(H243&lt;TODAY(),"Overdue",""))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3"/>
      <c r="G244" s="35"/>
      <c r="H244" s="35"/>
      <c r="I244" s="32"/>
      <c r="J244" s="35"/>
      <c r="K244" s="33"/>
      <c r="L244" s="37" t="str">
        <f aca="true">IF(OR(E244="",I244&lt;&gt;"Open",H244=""),"",IF(H244&lt;TODAY(),"Overdue",""))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3"/>
      <c r="G245" s="35"/>
      <c r="H245" s="35"/>
      <c r="I245" s="32"/>
      <c r="J245" s="35"/>
      <c r="K245" s="33"/>
      <c r="L245" s="37" t="str">
        <f aca="true">IF(OR(E245="",I245&lt;&gt;"Open",H245=""),"",IF(H245&lt;TODAY(),"Overdue",""))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3"/>
      <c r="G246" s="35"/>
      <c r="H246" s="35"/>
      <c r="I246" s="32"/>
      <c r="J246" s="35"/>
      <c r="K246" s="33"/>
      <c r="L246" s="37" t="str">
        <f aca="true">IF(OR(E246="",I246&lt;&gt;"Open",H246=""),"",IF(H246&lt;TODAY(),"Overdue",""))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3"/>
      <c r="G247" s="35"/>
      <c r="H247" s="35"/>
      <c r="I247" s="32"/>
      <c r="J247" s="35"/>
      <c r="K247" s="33"/>
      <c r="L247" s="37" t="str">
        <f aca="true">IF(OR(E247="",I247&lt;&gt;"Open",H247=""),"",IF(H247&lt;TODAY(),"Overdue",""))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3"/>
      <c r="G248" s="35"/>
      <c r="H248" s="35"/>
      <c r="I248" s="32"/>
      <c r="J248" s="35"/>
      <c r="K248" s="33"/>
      <c r="L248" s="37" t="str">
        <f aca="true">IF(OR(E248="",I248&lt;&gt;"Open",H248=""),"",IF(H248&lt;TODAY(),"Overdue",""))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3"/>
      <c r="G249" s="35"/>
      <c r="H249" s="35"/>
      <c r="I249" s="32"/>
      <c r="J249" s="35"/>
      <c r="K249" s="33"/>
      <c r="L249" s="37" t="str">
        <f aca="true">IF(OR(E249="",I249&lt;&gt;"Open",H249=""),"",IF(H249&lt;TODAY(),"Overdue",""))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3"/>
      <c r="G250" s="35"/>
      <c r="H250" s="35"/>
      <c r="I250" s="32"/>
      <c r="J250" s="35"/>
      <c r="K250" s="33"/>
      <c r="L250" s="37" t="str">
        <f aca="true">IF(OR(E250="",I250&lt;&gt;"Open",H250=""),"",IF(H250&lt;TODAY(),"Overdue",""))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3"/>
      <c r="G251" s="35"/>
      <c r="H251" s="35"/>
      <c r="I251" s="32"/>
      <c r="J251" s="35"/>
      <c r="K251" s="33"/>
      <c r="L251" s="37" t="str">
        <f aca="true">IF(OR(E251="",I251&lt;&gt;"Open",H251=""),"",IF(H251&lt;TODAY(),"Overdue",""))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3"/>
      <c r="G252" s="35"/>
      <c r="H252" s="35"/>
      <c r="I252" s="32"/>
      <c r="J252" s="35"/>
      <c r="K252" s="33"/>
      <c r="L252" s="37" t="str">
        <f aca="true">IF(OR(E252="",I252&lt;&gt;"Open",H252=""),"",IF(H252&lt;TODAY(),"Overdue",""))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3"/>
      <c r="G253" s="35"/>
      <c r="H253" s="35"/>
      <c r="I253" s="32"/>
      <c r="J253" s="35"/>
      <c r="K253" s="33"/>
      <c r="L253" s="37" t="str">
        <f aca="true">IF(OR(E253="",I253&lt;&gt;"Open",H253=""),"",IF(H253&lt;TODAY(),"Overdue",""))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3"/>
      <c r="G254" s="35"/>
      <c r="H254" s="35"/>
      <c r="I254" s="32"/>
      <c r="J254" s="35"/>
      <c r="K254" s="33"/>
      <c r="L254" s="37" t="str">
        <f aca="true">IF(OR(E254="",I254&lt;&gt;"Open",H254=""),"",IF(H254&lt;TODAY(),"Overdue",""))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3"/>
      <c r="G255" s="35"/>
      <c r="H255" s="35"/>
      <c r="I255" s="32"/>
      <c r="J255" s="35"/>
      <c r="K255" s="33"/>
      <c r="L255" s="37" t="str">
        <f aca="true">IF(OR(E255="",I255&lt;&gt;"Open",H255=""),"",IF(H255&lt;TODAY(),"Overdue",""))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3"/>
      <c r="G256" s="35"/>
      <c r="H256" s="35"/>
      <c r="I256" s="32"/>
      <c r="J256" s="35"/>
      <c r="K256" s="33"/>
      <c r="L256" s="37" t="str">
        <f aca="true">IF(OR(E256="",I256&lt;&gt;"Open",H256=""),"",IF(H256&lt;TODAY(),"Overdue",""))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3"/>
      <c r="G257" s="35"/>
      <c r="H257" s="35"/>
      <c r="I257" s="32"/>
      <c r="J257" s="35"/>
      <c r="K257" s="33"/>
      <c r="L257" s="37" t="str">
        <f aca="true">IF(OR(E257="",I257&lt;&gt;"Open",H257=""),"",IF(H257&lt;TODAY(),"Overdue",""))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3"/>
      <c r="G258" s="35"/>
      <c r="H258" s="35"/>
      <c r="I258" s="32"/>
      <c r="J258" s="35"/>
      <c r="K258" s="33"/>
      <c r="L258" s="37" t="str">
        <f aca="true">IF(OR(E258="",I258&lt;&gt;"Open",H258=""),"",IF(H258&lt;TODAY(),"Overdue",""))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3"/>
      <c r="G259" s="35"/>
      <c r="H259" s="35"/>
      <c r="I259" s="32"/>
      <c r="J259" s="35"/>
      <c r="K259" s="33"/>
      <c r="L259" s="37" t="str">
        <f aca="true">IF(OR(E259="",I259&lt;&gt;"Open",H259=""),"",IF(H259&lt;TODAY(),"Overdue",""))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3"/>
      <c r="G260" s="35"/>
      <c r="H260" s="35"/>
      <c r="I260" s="32"/>
      <c r="J260" s="35"/>
      <c r="K260" s="33"/>
      <c r="L260" s="37" t="str">
        <f aca="true">IF(OR(E260="",I260&lt;&gt;"Open",H260=""),"",IF(H260&lt;TODAY(),"Overdue",""))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3"/>
      <c r="G261" s="35"/>
      <c r="H261" s="35"/>
      <c r="I261" s="32"/>
      <c r="J261" s="35"/>
      <c r="K261" s="33"/>
      <c r="L261" s="37" t="str">
        <f aca="true">IF(OR(E261="",I261&lt;&gt;"Open",H261=""),"",IF(H261&lt;TODAY(),"Overdue",""))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3"/>
      <c r="G262" s="35"/>
      <c r="H262" s="35"/>
      <c r="I262" s="32"/>
      <c r="J262" s="35"/>
      <c r="K262" s="33"/>
      <c r="L262" s="37" t="str">
        <f aca="true">IF(OR(E262="",I262&lt;&gt;"Open",H262=""),"",IF(H262&lt;TODAY(),"Overdue",""))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3"/>
      <c r="G263" s="35"/>
      <c r="H263" s="35"/>
      <c r="I263" s="32"/>
      <c r="J263" s="35"/>
      <c r="K263" s="33"/>
      <c r="L263" s="37" t="str">
        <f aca="true">IF(OR(E263="",I263&lt;&gt;"Open",H263=""),"",IF(H263&lt;TODAY(),"Overdue",""))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3"/>
      <c r="G264" s="35"/>
      <c r="H264" s="35"/>
      <c r="I264" s="32"/>
      <c r="J264" s="35"/>
      <c r="K264" s="33"/>
      <c r="L264" s="37" t="str">
        <f aca="true">IF(OR(E264="",I264&lt;&gt;"Open",H264=""),"",IF(H264&lt;TODAY(),"Overdue",""))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3"/>
      <c r="G265" s="35"/>
      <c r="H265" s="35"/>
      <c r="I265" s="32"/>
      <c r="J265" s="35"/>
      <c r="K265" s="33"/>
      <c r="L265" s="37" t="str">
        <f aca="true">IF(OR(E265="",I265&lt;&gt;"Open",H265=""),"",IF(H265&lt;TODAY(),"Overdue",""))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3"/>
      <c r="G266" s="35"/>
      <c r="H266" s="35"/>
      <c r="I266" s="32"/>
      <c r="J266" s="35"/>
      <c r="K266" s="33"/>
      <c r="L266" s="37" t="str">
        <f aca="true">IF(OR(E266="",I266&lt;&gt;"Open",H266=""),"",IF(H266&lt;TODAY(),"Overdue",""))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3"/>
      <c r="G267" s="35"/>
      <c r="H267" s="35"/>
      <c r="I267" s="32"/>
      <c r="J267" s="35"/>
      <c r="K267" s="33"/>
      <c r="L267" s="37" t="str">
        <f aca="true">IF(OR(E267="",I267&lt;&gt;"Open",H267=""),"",IF(H267&lt;TODAY(),"Overdue",""))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3"/>
      <c r="G268" s="35"/>
      <c r="H268" s="35"/>
      <c r="I268" s="32"/>
      <c r="J268" s="35"/>
      <c r="K268" s="33"/>
      <c r="L268" s="37" t="str">
        <f aca="true">IF(OR(E268="",I268&lt;&gt;"Open",H268=""),"",IF(H268&lt;TODAY(),"Overdue",""))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3"/>
      <c r="G269" s="35"/>
      <c r="H269" s="35"/>
      <c r="I269" s="32"/>
      <c r="J269" s="35"/>
      <c r="K269" s="33"/>
      <c r="L269" s="37" t="str">
        <f aca="true">IF(OR(E269="",I269&lt;&gt;"Open",H269=""),"",IF(H269&lt;TODAY(),"Overdue",""))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3"/>
      <c r="G270" s="35"/>
      <c r="H270" s="35"/>
      <c r="I270" s="32"/>
      <c r="J270" s="35"/>
      <c r="K270" s="33"/>
      <c r="L270" s="37" t="str">
        <f aca="true">IF(OR(E270="",I270&lt;&gt;"Open",H270=""),"",IF(H270&lt;TODAY(),"Overdue",""))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3"/>
      <c r="G271" s="35"/>
      <c r="H271" s="35"/>
      <c r="I271" s="32"/>
      <c r="J271" s="35"/>
      <c r="K271" s="33"/>
      <c r="L271" s="37" t="str">
        <f aca="true">IF(OR(E271="",I271&lt;&gt;"Open",H271=""),"",IF(H271&lt;TODAY(),"Overdue",""))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3"/>
      <c r="G272" s="35"/>
      <c r="H272" s="35"/>
      <c r="I272" s="32"/>
      <c r="J272" s="35"/>
      <c r="K272" s="33"/>
      <c r="L272" s="37" t="str">
        <f aca="true">IF(OR(E272="",I272&lt;&gt;"Open",H272=""),"",IF(H272&lt;TODAY(),"Overdue",""))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3"/>
      <c r="G273" s="35"/>
      <c r="H273" s="35"/>
      <c r="I273" s="32"/>
      <c r="J273" s="35"/>
      <c r="K273" s="33"/>
      <c r="L273" s="37" t="str">
        <f aca="true">IF(OR(E273="",I273&lt;&gt;"Open",H273=""),"",IF(H273&lt;TODAY(),"Overdue",""))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3"/>
      <c r="G274" s="35"/>
      <c r="H274" s="35"/>
      <c r="I274" s="32"/>
      <c r="J274" s="35"/>
      <c r="K274" s="33"/>
      <c r="L274" s="37" t="str">
        <f aca="true">IF(OR(E274="",I274&lt;&gt;"Open",H274=""),"",IF(H274&lt;TODAY(),"Overdue",""))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3"/>
      <c r="G275" s="35"/>
      <c r="H275" s="35"/>
      <c r="I275" s="32"/>
      <c r="J275" s="35"/>
      <c r="K275" s="33"/>
      <c r="L275" s="37" t="str">
        <f aca="true">IF(OR(E275="",I275&lt;&gt;"Open",H275=""),"",IF(H275&lt;TODAY(),"Overdue",""))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3"/>
      <c r="G276" s="35"/>
      <c r="H276" s="35"/>
      <c r="I276" s="32"/>
      <c r="J276" s="35"/>
      <c r="K276" s="33"/>
      <c r="L276" s="37" t="str">
        <f aca="true">IF(OR(E276="",I276&lt;&gt;"Open",H276=""),"",IF(H276&lt;TODAY(),"Overdue",""))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3"/>
      <c r="G277" s="35"/>
      <c r="H277" s="35"/>
      <c r="I277" s="32"/>
      <c r="J277" s="35"/>
      <c r="K277" s="33"/>
      <c r="L277" s="37" t="str">
        <f aca="true">IF(OR(E277="",I277&lt;&gt;"Open",H277=""),"",IF(H277&lt;TODAY(),"Overdue",""))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3"/>
      <c r="G278" s="35"/>
      <c r="H278" s="35"/>
      <c r="I278" s="32"/>
      <c r="J278" s="35"/>
      <c r="K278" s="33"/>
      <c r="L278" s="37" t="str">
        <f aca="true">IF(OR(E278="",I278&lt;&gt;"Open",H278=""),"",IF(H278&lt;TODAY(),"Overdue",""))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3"/>
      <c r="G279" s="35"/>
      <c r="H279" s="35"/>
      <c r="I279" s="32"/>
      <c r="J279" s="35"/>
      <c r="K279" s="33"/>
      <c r="L279" s="37" t="str">
        <f aca="true">IF(OR(E279="",I279&lt;&gt;"Open",H279=""),"",IF(H279&lt;TODAY(),"Overdue",""))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3"/>
      <c r="G280" s="35"/>
      <c r="H280" s="35"/>
      <c r="I280" s="32"/>
      <c r="J280" s="35"/>
      <c r="K280" s="33"/>
      <c r="L280" s="37" t="str">
        <f aca="true">IF(OR(E280="",I280&lt;&gt;"Open",H280=""),"",IF(H280&lt;TODAY(),"Overdue",""))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3"/>
      <c r="G281" s="35"/>
      <c r="H281" s="35"/>
      <c r="I281" s="32"/>
      <c r="J281" s="35"/>
      <c r="K281" s="33"/>
      <c r="L281" s="37" t="str">
        <f aca="true">IF(OR(E281="",I281&lt;&gt;"Open",H281=""),"",IF(H281&lt;TODAY(),"Overdue",""))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3"/>
      <c r="G282" s="35"/>
      <c r="H282" s="35"/>
      <c r="I282" s="32"/>
      <c r="J282" s="35"/>
      <c r="K282" s="33"/>
      <c r="L282" s="37" t="str">
        <f aca="true">IF(OR(E282="",I282&lt;&gt;"Open",H282=""),"",IF(H282&lt;TODAY(),"Overdue",""))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3"/>
      <c r="G283" s="35"/>
      <c r="H283" s="35"/>
      <c r="I283" s="32"/>
      <c r="J283" s="35"/>
      <c r="K283" s="33"/>
      <c r="L283" s="37" t="str">
        <f aca="true">IF(OR(E283="",I283&lt;&gt;"Open",H283=""),"",IF(H283&lt;TODAY(),"Overdue",""))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3"/>
      <c r="G284" s="35"/>
      <c r="H284" s="35"/>
      <c r="I284" s="32"/>
      <c r="J284" s="35"/>
      <c r="K284" s="33"/>
      <c r="L284" s="37" t="str">
        <f aca="true">IF(OR(E284="",I284&lt;&gt;"Open",H284=""),"",IF(H284&lt;TODAY(),"Overdue",""))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3"/>
      <c r="G285" s="35"/>
      <c r="H285" s="35"/>
      <c r="I285" s="32"/>
      <c r="J285" s="35"/>
      <c r="K285" s="33"/>
      <c r="L285" s="37" t="str">
        <f aca="true">IF(OR(E285="",I285&lt;&gt;"Open",H285=""),"",IF(H285&lt;TODAY(),"Overdue",""))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3"/>
      <c r="G286" s="35"/>
      <c r="H286" s="35"/>
      <c r="I286" s="32"/>
      <c r="J286" s="35"/>
      <c r="K286" s="33"/>
      <c r="L286" s="37" t="str">
        <f aca="true">IF(OR(E286="",I286&lt;&gt;"Open",H286=""),"",IF(H286&lt;TODAY(),"Overdue",""))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3"/>
      <c r="G287" s="35"/>
      <c r="H287" s="35"/>
      <c r="I287" s="32"/>
      <c r="J287" s="35"/>
      <c r="K287" s="33"/>
      <c r="L287" s="37" t="str">
        <f aca="true">IF(OR(E287="",I287&lt;&gt;"Open",H287=""),"",IF(H287&lt;TODAY(),"Overdue",""))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3"/>
      <c r="G288" s="35"/>
      <c r="H288" s="35"/>
      <c r="I288" s="32"/>
      <c r="J288" s="35"/>
      <c r="K288" s="33"/>
      <c r="L288" s="37" t="str">
        <f aca="true">IF(OR(E288="",I288&lt;&gt;"Open",H288=""),"",IF(H288&lt;TODAY(),"Overdue",""))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3"/>
      <c r="G289" s="35"/>
      <c r="H289" s="35"/>
      <c r="I289" s="32"/>
      <c r="J289" s="35"/>
      <c r="K289" s="33"/>
      <c r="L289" s="37" t="str">
        <f aca="true">IF(OR(E289="",I289&lt;&gt;"Open",H289=""),"",IF(H289&lt;TODAY(),"Overdue",""))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3"/>
      <c r="G290" s="35"/>
      <c r="H290" s="35"/>
      <c r="I290" s="32"/>
      <c r="J290" s="35"/>
      <c r="K290" s="33"/>
      <c r="L290" s="37" t="str">
        <f aca="true">IF(OR(E290="",I290&lt;&gt;"Open",H290=""),"",IF(H290&lt;TODAY(),"Overdue",""))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3"/>
      <c r="G291" s="35"/>
      <c r="H291" s="35"/>
      <c r="I291" s="32"/>
      <c r="J291" s="35"/>
      <c r="K291" s="33"/>
      <c r="L291" s="37" t="str">
        <f aca="true">IF(OR(E291="",I291&lt;&gt;"Open",H291=""),"",IF(H291&lt;TODAY(),"Overdue",""))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3"/>
      <c r="G292" s="35"/>
      <c r="H292" s="35"/>
      <c r="I292" s="32"/>
      <c r="J292" s="35"/>
      <c r="K292" s="33"/>
      <c r="L292" s="37" t="str">
        <f aca="true">IF(OR(E292="",I292&lt;&gt;"Open",H292=""),"",IF(H292&lt;TODAY(),"Overdue",""))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3"/>
      <c r="G293" s="35"/>
      <c r="H293" s="35"/>
      <c r="I293" s="32"/>
      <c r="J293" s="35"/>
      <c r="K293" s="33"/>
      <c r="L293" s="37" t="str">
        <f aca="true">IF(OR(E293="",I293&lt;&gt;"Open",H293=""),"",IF(H293&lt;TODAY(),"Overdue",""))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3"/>
      <c r="G294" s="35"/>
      <c r="H294" s="35"/>
      <c r="I294" s="32"/>
      <c r="J294" s="35"/>
      <c r="K294" s="33"/>
      <c r="L294" s="37" t="str">
        <f aca="true">IF(OR(E294="",I294&lt;&gt;"Open",H294=""),"",IF(H294&lt;TODAY(),"Overdue",""))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3"/>
      <c r="G295" s="35"/>
      <c r="H295" s="35"/>
      <c r="I295" s="32"/>
      <c r="J295" s="35"/>
      <c r="K295" s="33"/>
      <c r="L295" s="37" t="str">
        <f aca="true">IF(OR(E295="",I295&lt;&gt;"Open",H295=""),"",IF(H295&lt;TODAY(),"Overdue",""))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3"/>
      <c r="G296" s="35"/>
      <c r="H296" s="35"/>
      <c r="I296" s="32"/>
      <c r="J296" s="35"/>
      <c r="K296" s="33"/>
      <c r="L296" s="37" t="str">
        <f aca="true">IF(OR(E296="",I296&lt;&gt;"Open",H296=""),"",IF(H296&lt;TODAY(),"Overdue",""))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3"/>
      <c r="G297" s="35"/>
      <c r="H297" s="35"/>
      <c r="I297" s="32"/>
      <c r="J297" s="35"/>
      <c r="K297" s="33"/>
      <c r="L297" s="37" t="str">
        <f aca="true">IF(OR(E297="",I297&lt;&gt;"Open",H297=""),"",IF(H297&lt;TODAY(),"Overdue",""))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3"/>
      <c r="G298" s="35"/>
      <c r="H298" s="35"/>
      <c r="I298" s="32"/>
      <c r="J298" s="35"/>
      <c r="K298" s="33"/>
      <c r="L298" s="37" t="str">
        <f aca="true">IF(OR(E298="",I298&lt;&gt;"Open",H298=""),"",IF(H298&lt;TODAY(),"Overdue",""))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3"/>
      <c r="G299" s="35"/>
      <c r="H299" s="35"/>
      <c r="I299" s="32"/>
      <c r="J299" s="35"/>
      <c r="K299" s="33"/>
      <c r="L299" s="37" t="str">
        <f aca="true">IF(OR(E299="",I299&lt;&gt;"Open",H299=""),"",IF(H299&lt;TODAY(),"Overdue",""))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3"/>
      <c r="G300" s="35"/>
      <c r="H300" s="35"/>
      <c r="I300" s="32"/>
      <c r="J300" s="35"/>
      <c r="K300" s="33"/>
      <c r="L300" s="37" t="str">
        <f aca="true">IF(OR(E300="",I300&lt;&gt;"Open",H300=""),"",IF(H300&lt;TODAY(),"Overdue",""))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3"/>
      <c r="G301" s="35"/>
      <c r="H301" s="35"/>
      <c r="I301" s="32"/>
      <c r="J301" s="35"/>
      <c r="K301" s="33"/>
      <c r="L301" s="37" t="str">
        <f aca="true">IF(OR(E301="",I301&lt;&gt;"Open",H301=""),"",IF(H301&lt;TODAY(),"Overdue",""))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3"/>
      <c r="G302" s="35"/>
      <c r="H302" s="35"/>
      <c r="I302" s="32"/>
      <c r="J302" s="35"/>
      <c r="K302" s="33"/>
      <c r="L302" s="37" t="str">
        <f aca="true">IF(OR(E302="",I302&lt;&gt;"Open",H302=""),"",IF(H302&lt;TODAY(),"Overdue",""))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3"/>
      <c r="G303" s="35"/>
      <c r="H303" s="35"/>
      <c r="I303" s="32"/>
      <c r="J303" s="35"/>
      <c r="K303" s="33"/>
      <c r="L303" s="37" t="str">
        <f aca="true">IF(OR(E303="",I303&lt;&gt;"Open",H303=""),"",IF(H303&lt;TODAY(),"Overdue",""))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3"/>
      <c r="G304" s="35"/>
      <c r="H304" s="35"/>
      <c r="I304" s="32"/>
      <c r="J304" s="35"/>
      <c r="K304" s="33"/>
      <c r="L304" s="37" t="str">
        <f aca="true">IF(OR(E304="",I304&lt;&gt;"Open",H304=""),"",IF(H304&lt;TODAY(),"Overdue",""))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3"/>
      <c r="G305" s="35"/>
      <c r="H305" s="35"/>
      <c r="I305" s="32"/>
      <c r="J305" s="35"/>
      <c r="K305" s="33"/>
      <c r="L305" s="37" t="str">
        <f aca="true">IF(OR(E305="",I305&lt;&gt;"Open",H305=""),"",IF(H305&lt;TODAY(),"Overdue",""))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3"/>
      <c r="G306" s="35"/>
      <c r="H306" s="35"/>
      <c r="I306" s="32"/>
      <c r="J306" s="35"/>
      <c r="K306" s="33"/>
      <c r="L306" s="37" t="str">
        <f aca="true">IF(OR(E306="",I306&lt;&gt;"Open",H306=""),"",IF(H306&lt;TODAY(),"Overdue",""))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3"/>
      <c r="G307" s="35"/>
      <c r="H307" s="35"/>
      <c r="I307" s="32"/>
      <c r="J307" s="35"/>
      <c r="K307" s="33"/>
      <c r="L307" s="37" t="str">
        <f aca="true">IF(OR(E307="",I307&lt;&gt;"Open",H307=""),"",IF(H307&lt;TODAY(),"Overdue",""))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3"/>
      <c r="G308" s="35"/>
      <c r="H308" s="35"/>
      <c r="I308" s="32"/>
      <c r="J308" s="35"/>
      <c r="K308" s="33"/>
      <c r="L308" s="37" t="str">
        <f aca="true">IF(OR(E308="",I308&lt;&gt;"Open",H308=""),"",IF(H308&lt;TODAY(),"Overdue",""))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3"/>
      <c r="G309" s="35"/>
      <c r="H309" s="35"/>
      <c r="I309" s="32"/>
      <c r="J309" s="35"/>
      <c r="K309" s="33"/>
      <c r="L309" s="37" t="str">
        <f aca="true">IF(OR(E309="",I309&lt;&gt;"Open",H309=""),"",IF(H309&lt;TODAY(),"Overdue",""))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3"/>
      <c r="G310" s="35"/>
      <c r="H310" s="35"/>
      <c r="I310" s="32"/>
      <c r="J310" s="35"/>
      <c r="K310" s="33"/>
      <c r="L310" s="37" t="str">
        <f aca="true">IF(OR(E310="",I310&lt;&gt;"Open",H310=""),"",IF(H310&lt;TODAY(),"Overdue",""))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3"/>
      <c r="G311" s="35"/>
      <c r="H311" s="35"/>
      <c r="I311" s="32"/>
      <c r="J311" s="35"/>
      <c r="K311" s="33"/>
      <c r="L311" s="37" t="str">
        <f aca="true">IF(OR(E311="",I311&lt;&gt;"Open",H311=""),"",IF(H311&lt;TODAY(),"Overdue",""))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3"/>
      <c r="G312" s="35"/>
      <c r="H312" s="35"/>
      <c r="I312" s="32"/>
      <c r="J312" s="35"/>
      <c r="K312" s="33"/>
      <c r="L312" s="37" t="str">
        <f aca="true">IF(OR(E312="",I312&lt;&gt;"Open",H312=""),"",IF(H312&lt;TODAY(),"Overdue",""))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3"/>
      <c r="G313" s="35"/>
      <c r="H313" s="35"/>
      <c r="I313" s="32"/>
      <c r="J313" s="35"/>
      <c r="K313" s="33"/>
      <c r="L313" s="37" t="str">
        <f aca="true">IF(OR(E313="",I313&lt;&gt;"Open",H313=""),"",IF(H313&lt;TODAY(),"Overdue",""))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3"/>
      <c r="G314" s="35"/>
      <c r="H314" s="35"/>
      <c r="I314" s="32"/>
      <c r="J314" s="35"/>
      <c r="K314" s="33"/>
      <c r="L314" s="37" t="str">
        <f aca="true">IF(OR(E314="",I314&lt;&gt;"Open",H314=""),"",IF(H314&lt;TODAY(),"Overdue",""))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3"/>
      <c r="G315" s="35"/>
      <c r="H315" s="35"/>
      <c r="I315" s="32"/>
      <c r="J315" s="35"/>
      <c r="K315" s="33"/>
      <c r="L315" s="37" t="str">
        <f aca="true">IF(OR(E315="",I315&lt;&gt;"Open",H315=""),"",IF(H315&lt;TODAY(),"Overdue",""))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3"/>
      <c r="G316" s="35"/>
      <c r="H316" s="35"/>
      <c r="I316" s="32"/>
      <c r="J316" s="35"/>
      <c r="K316" s="33"/>
      <c r="L316" s="37" t="str">
        <f aca="true">IF(OR(E316="",I316&lt;&gt;"Open",H316=""),"",IF(H316&lt;TODAY(),"Overdue",""))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3"/>
      <c r="G317" s="35"/>
      <c r="H317" s="35"/>
      <c r="I317" s="32"/>
      <c r="J317" s="35"/>
      <c r="K317" s="33"/>
      <c r="L317" s="37" t="str">
        <f aca="true">IF(OR(E317="",I317&lt;&gt;"Open",H317=""),"",IF(H317&lt;TODAY(),"Overdue",""))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3"/>
      <c r="G318" s="35"/>
      <c r="H318" s="35"/>
      <c r="I318" s="32"/>
      <c r="J318" s="35"/>
      <c r="K318" s="33"/>
      <c r="L318" s="37" t="str">
        <f aca="true">IF(OR(E318="",I318&lt;&gt;"Open",H318=""),"",IF(H318&lt;TODAY(),"Overdue",""))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3"/>
      <c r="G319" s="35"/>
      <c r="H319" s="35"/>
      <c r="I319" s="32"/>
      <c r="J319" s="35"/>
      <c r="K319" s="33"/>
      <c r="L319" s="37" t="str">
        <f aca="true">IF(OR(E319="",I319&lt;&gt;"Open",H319=""),"",IF(H319&lt;TODAY(),"Overdue",""))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3"/>
      <c r="G320" s="35"/>
      <c r="H320" s="35"/>
      <c r="I320" s="32"/>
      <c r="J320" s="35"/>
      <c r="K320" s="33"/>
      <c r="L320" s="37" t="str">
        <f aca="true">IF(OR(E320="",I320&lt;&gt;"Open",H320=""),"",IF(H320&lt;TODAY(),"Overdue",""))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3"/>
      <c r="G321" s="35"/>
      <c r="H321" s="35"/>
      <c r="I321" s="32"/>
      <c r="J321" s="35"/>
      <c r="K321" s="33"/>
      <c r="L321" s="37" t="str">
        <f aca="true">IF(OR(E321="",I321&lt;&gt;"Open",H321=""),"",IF(H321&lt;TODAY(),"Overdue",""))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3"/>
      <c r="G322" s="35"/>
      <c r="H322" s="35"/>
      <c r="I322" s="32"/>
      <c r="J322" s="35"/>
      <c r="K322" s="33"/>
      <c r="L322" s="37" t="str">
        <f aca="true">IF(OR(E322="",I322&lt;&gt;"Open",H322=""),"",IF(H322&lt;TODAY(),"Overdue",""))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3"/>
      <c r="G323" s="35"/>
      <c r="H323" s="35"/>
      <c r="I323" s="32"/>
      <c r="J323" s="35"/>
      <c r="K323" s="33"/>
      <c r="L323" s="37" t="str">
        <f aca="true">IF(OR(E323="",I323&lt;&gt;"Open",H323=""),"",IF(H323&lt;TODAY(),"Overdue",""))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3"/>
      <c r="G324" s="35"/>
      <c r="H324" s="35"/>
      <c r="I324" s="32"/>
      <c r="J324" s="35"/>
      <c r="K324" s="33"/>
      <c r="L324" s="37" t="str">
        <f aca="true">IF(OR(E324="",I324&lt;&gt;"Open",H324=""),"",IF(H324&lt;TODAY(),"Overdue",""))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3"/>
      <c r="G325" s="35"/>
      <c r="H325" s="35"/>
      <c r="I325" s="32"/>
      <c r="J325" s="35"/>
      <c r="K325" s="33"/>
      <c r="L325" s="37" t="str">
        <f aca="true">IF(OR(E325="",I325&lt;&gt;"Open",H325=""),"",IF(H325&lt;TODAY(),"Overdue",""))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3"/>
      <c r="G326" s="35"/>
      <c r="H326" s="35"/>
      <c r="I326" s="32"/>
      <c r="J326" s="35"/>
      <c r="K326" s="33"/>
      <c r="L326" s="37" t="str">
        <f aca="true">IF(OR(E326="",I326&lt;&gt;"Open",H326=""),"",IF(H326&lt;TODAY(),"Overdue",""))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3"/>
      <c r="G327" s="35"/>
      <c r="H327" s="35"/>
      <c r="I327" s="32"/>
      <c r="J327" s="35"/>
      <c r="K327" s="33"/>
      <c r="L327" s="37" t="str">
        <f aca="true">IF(OR(E327="",I327&lt;&gt;"Open",H327=""),"",IF(H327&lt;TODAY(),"Overdue",""))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3"/>
      <c r="G328" s="35"/>
      <c r="H328" s="35"/>
      <c r="I328" s="32"/>
      <c r="J328" s="35"/>
      <c r="K328" s="33"/>
      <c r="L328" s="37" t="str">
        <f aca="true">IF(OR(E328="",I328&lt;&gt;"Open",H328=""),"",IF(H328&lt;TODAY(),"Overdue",""))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3"/>
      <c r="G329" s="35"/>
      <c r="H329" s="35"/>
      <c r="I329" s="32"/>
      <c r="J329" s="35"/>
      <c r="K329" s="33"/>
      <c r="L329" s="37" t="str">
        <f aca="true">IF(OR(E329="",I329&lt;&gt;"Open",H329=""),"",IF(H329&lt;TODAY(),"Overdue",""))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3"/>
      <c r="G330" s="35"/>
      <c r="H330" s="35"/>
      <c r="I330" s="32"/>
      <c r="J330" s="35"/>
      <c r="K330" s="33"/>
      <c r="L330" s="37" t="str">
        <f aca="true">IF(OR(E330="",I330&lt;&gt;"Open",H330=""),"",IF(H330&lt;TODAY(),"Overdue",""))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3"/>
      <c r="G331" s="35"/>
      <c r="H331" s="35"/>
      <c r="I331" s="32"/>
      <c r="J331" s="35"/>
      <c r="K331" s="33"/>
      <c r="L331" s="37" t="str">
        <f aca="true">IF(OR(E331="",I331&lt;&gt;"Open",H331=""),"",IF(H331&lt;TODAY(),"Overdue",""))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3"/>
      <c r="G332" s="35"/>
      <c r="H332" s="35"/>
      <c r="I332" s="32"/>
      <c r="J332" s="35"/>
      <c r="K332" s="33"/>
      <c r="L332" s="37" t="str">
        <f aca="true">IF(OR(E332="",I332&lt;&gt;"Open",H332=""),"",IF(H332&lt;TODAY(),"Overdue",""))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3"/>
      <c r="G333" s="35"/>
      <c r="H333" s="35"/>
      <c r="I333" s="32"/>
      <c r="J333" s="35"/>
      <c r="K333" s="33"/>
      <c r="L333" s="37" t="str">
        <f aca="true">IF(OR(E333="",I333&lt;&gt;"Open",H333=""),"",IF(H333&lt;TODAY(),"Overdue",""))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3"/>
      <c r="G334" s="35"/>
      <c r="H334" s="35"/>
      <c r="I334" s="32"/>
      <c r="J334" s="35"/>
      <c r="K334" s="33"/>
      <c r="L334" s="37" t="str">
        <f aca="true">IF(OR(E334="",I334&lt;&gt;"Open",H334=""),"",IF(H334&lt;TODAY(),"Overdue",""))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3"/>
      <c r="G335" s="35"/>
      <c r="H335" s="35"/>
      <c r="I335" s="32"/>
      <c r="J335" s="35"/>
      <c r="K335" s="33"/>
      <c r="L335" s="37" t="str">
        <f aca="true">IF(OR(E335="",I335&lt;&gt;"Open",H335=""),"",IF(H335&lt;TODAY(),"Overdue",""))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3"/>
      <c r="G336" s="35"/>
      <c r="H336" s="35"/>
      <c r="I336" s="32"/>
      <c r="J336" s="35"/>
      <c r="K336" s="33"/>
      <c r="L336" s="37" t="str">
        <f aca="true">IF(OR(E336="",I336&lt;&gt;"Open",H336=""),"",IF(H336&lt;TODAY(),"Overdue",""))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3"/>
      <c r="G337" s="35"/>
      <c r="H337" s="35"/>
      <c r="I337" s="32"/>
      <c r="J337" s="35"/>
      <c r="K337" s="33"/>
      <c r="L337" s="37" t="str">
        <f aca="true">IF(OR(E337="",I337&lt;&gt;"Open",H337=""),"",IF(H337&lt;TODAY(),"Overdue",""))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3"/>
      <c r="G338" s="35"/>
      <c r="H338" s="35"/>
      <c r="I338" s="32"/>
      <c r="J338" s="35"/>
      <c r="K338" s="33"/>
      <c r="L338" s="37" t="str">
        <f aca="true">IF(OR(E338="",I338&lt;&gt;"Open",H338=""),"",IF(H338&lt;TODAY(),"Overdue",""))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3"/>
      <c r="G339" s="35"/>
      <c r="H339" s="35"/>
      <c r="I339" s="32"/>
      <c r="J339" s="35"/>
      <c r="K339" s="33"/>
      <c r="L339" s="37" t="str">
        <f aca="true">IF(OR(E339="",I339&lt;&gt;"Open",H339=""),"",IF(H339&lt;TODAY(),"Overdue",""))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3"/>
      <c r="G340" s="35"/>
      <c r="H340" s="35"/>
      <c r="I340" s="32"/>
      <c r="J340" s="35"/>
      <c r="K340" s="33"/>
      <c r="L340" s="37" t="str">
        <f aca="true">IF(OR(E340="",I340&lt;&gt;"Open",H340=""),"",IF(H340&lt;TODAY(),"Overdue",""))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3"/>
      <c r="G341" s="35"/>
      <c r="H341" s="35"/>
      <c r="I341" s="32"/>
      <c r="J341" s="35"/>
      <c r="K341" s="33"/>
      <c r="L341" s="37" t="str">
        <f aca="true">IF(OR(E341="",I341&lt;&gt;"Open",H341=""),"",IF(H341&lt;TODAY(),"Overdue",""))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3"/>
      <c r="G342" s="35"/>
      <c r="H342" s="35"/>
      <c r="I342" s="32"/>
      <c r="J342" s="35"/>
      <c r="K342" s="33"/>
      <c r="L342" s="37" t="str">
        <f aca="true">IF(OR(E342="",I342&lt;&gt;"Open",H342=""),"",IF(H342&lt;TODAY(),"Overdue",""))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3"/>
      <c r="G343" s="35"/>
      <c r="H343" s="35"/>
      <c r="I343" s="32"/>
      <c r="J343" s="35"/>
      <c r="K343" s="33"/>
      <c r="L343" s="37" t="str">
        <f aca="true">IF(OR(E343="",I343&lt;&gt;"Open",H343=""),"",IF(H343&lt;TODAY(),"Overdue",""))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3"/>
      <c r="G344" s="35"/>
      <c r="H344" s="35"/>
      <c r="I344" s="32"/>
      <c r="J344" s="35"/>
      <c r="K344" s="33"/>
      <c r="L344" s="37" t="str">
        <f aca="true">IF(OR(E344="",I344&lt;&gt;"Open",H344=""),"",IF(H344&lt;TODAY(),"Overdue",""))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3"/>
      <c r="G345" s="35"/>
      <c r="H345" s="35"/>
      <c r="I345" s="32"/>
      <c r="J345" s="35"/>
      <c r="K345" s="33"/>
      <c r="L345" s="37" t="str">
        <f aca="true">IF(OR(E345="",I345&lt;&gt;"Open",H345=""),"",IF(H345&lt;TODAY(),"Overdue",""))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3"/>
      <c r="G346" s="35"/>
      <c r="H346" s="35"/>
      <c r="I346" s="32"/>
      <c r="J346" s="35"/>
      <c r="K346" s="33"/>
      <c r="L346" s="37" t="str">
        <f aca="true">IF(OR(E346="",I346&lt;&gt;"Open",H346=""),"",IF(H346&lt;TODAY(),"Overdue",""))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3"/>
      <c r="G347" s="35"/>
      <c r="H347" s="35"/>
      <c r="I347" s="32"/>
      <c r="J347" s="35"/>
      <c r="K347" s="33"/>
      <c r="L347" s="37" t="str">
        <f aca="true">IF(OR(E347="",I347&lt;&gt;"Open",H347=""),"",IF(H347&lt;TODAY(),"Overdue",""))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3"/>
      <c r="G348" s="35"/>
      <c r="H348" s="35"/>
      <c r="I348" s="32"/>
      <c r="J348" s="35"/>
      <c r="K348" s="33"/>
      <c r="L348" s="37" t="str">
        <f aca="true">IF(OR(E348="",I348&lt;&gt;"Open",H348=""),"",IF(H348&lt;TODAY(),"Overdue",""))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3"/>
      <c r="G349" s="35"/>
      <c r="H349" s="35"/>
      <c r="I349" s="32"/>
      <c r="J349" s="35"/>
      <c r="K349" s="33"/>
      <c r="L349" s="37" t="str">
        <f aca="true">IF(OR(E349="",I349&lt;&gt;"Open",H349=""),"",IF(H349&lt;TODAY(),"Overdue",""))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3"/>
      <c r="G350" s="35"/>
      <c r="H350" s="35"/>
      <c r="I350" s="32"/>
      <c r="J350" s="35"/>
      <c r="K350" s="33"/>
      <c r="L350" s="37" t="str">
        <f aca="true">IF(OR(E350="",I350&lt;&gt;"Open",H350=""),"",IF(H350&lt;TODAY(),"Overdue",""))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3"/>
      <c r="G351" s="35"/>
      <c r="H351" s="35"/>
      <c r="I351" s="32"/>
      <c r="J351" s="35"/>
      <c r="K351" s="33"/>
      <c r="L351" s="37" t="str">
        <f aca="true">IF(OR(E351="",I351&lt;&gt;"Open",H351=""),"",IF(H351&lt;TODAY(),"Overdue",""))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3"/>
      <c r="G352" s="35"/>
      <c r="H352" s="35"/>
      <c r="I352" s="32"/>
      <c r="J352" s="35"/>
      <c r="K352" s="33"/>
      <c r="L352" s="37" t="str">
        <f aca="true">IF(OR(E352="",I352&lt;&gt;"Open",H352=""),"",IF(H352&lt;TODAY(),"Overdue",""))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3"/>
      <c r="G353" s="35"/>
      <c r="H353" s="35"/>
      <c r="I353" s="32"/>
      <c r="J353" s="35"/>
      <c r="K353" s="33"/>
      <c r="L353" s="37" t="str">
        <f aca="true">IF(OR(E353="",I353&lt;&gt;"Open",H353=""),"",IF(H353&lt;TODAY(),"Overdue",""))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3"/>
      <c r="G354" s="35"/>
      <c r="H354" s="35"/>
      <c r="I354" s="32"/>
      <c r="J354" s="35"/>
      <c r="K354" s="33"/>
      <c r="L354" s="37" t="str">
        <f aca="true">IF(OR(E354="",I354&lt;&gt;"Open",H354=""),"",IF(H354&lt;TODAY(),"Overdue",""))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3"/>
      <c r="G355" s="35"/>
      <c r="H355" s="35"/>
      <c r="I355" s="32"/>
      <c r="J355" s="35"/>
      <c r="K355" s="33"/>
      <c r="L355" s="37" t="str">
        <f aca="true">IF(OR(E355="",I355&lt;&gt;"Open",H355=""),"",IF(H355&lt;TODAY(),"Overdue",""))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3"/>
      <c r="G356" s="35"/>
      <c r="H356" s="35"/>
      <c r="I356" s="32"/>
      <c r="J356" s="35"/>
      <c r="K356" s="33"/>
      <c r="L356" s="37" t="str">
        <f aca="true">IF(OR(E356="",I356&lt;&gt;"Open",H356=""),"",IF(H356&lt;TODAY(),"Overdue",""))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3"/>
      <c r="G357" s="35"/>
      <c r="H357" s="35"/>
      <c r="I357" s="32"/>
      <c r="J357" s="35"/>
      <c r="K357" s="33"/>
      <c r="L357" s="37" t="str">
        <f aca="true">IF(OR(E357="",I357&lt;&gt;"Open",H357=""),"",IF(H357&lt;TODAY(),"Overdue",""))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3"/>
      <c r="G358" s="35"/>
      <c r="H358" s="35"/>
      <c r="I358" s="32"/>
      <c r="J358" s="35"/>
      <c r="K358" s="33"/>
      <c r="L358" s="37" t="str">
        <f aca="true">IF(OR(E358="",I358&lt;&gt;"Open",H358=""),"",IF(H358&lt;TODAY(),"Overdue",""))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3"/>
      <c r="G359" s="35"/>
      <c r="H359" s="35"/>
      <c r="I359" s="32"/>
      <c r="J359" s="35"/>
      <c r="K359" s="33"/>
      <c r="L359" s="37" t="str">
        <f aca="true">IF(OR(E359="",I359&lt;&gt;"Open",H359=""),"",IF(H359&lt;TODAY(),"Overdue",""))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3"/>
      <c r="G360" s="35"/>
      <c r="H360" s="35"/>
      <c r="I360" s="32"/>
      <c r="J360" s="35"/>
      <c r="K360" s="33"/>
      <c r="L360" s="37" t="str">
        <f aca="true">IF(OR(E360="",I360&lt;&gt;"Open",H360=""),"",IF(H360&lt;TODAY(),"Overdue",""))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3"/>
      <c r="G361" s="35"/>
      <c r="H361" s="35"/>
      <c r="I361" s="32"/>
      <c r="J361" s="35"/>
      <c r="K361" s="33"/>
      <c r="L361" s="37" t="str">
        <f aca="true">IF(OR(E361="",I361&lt;&gt;"Open",H361=""),"",IF(H361&lt;TODAY(),"Overdue",""))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3"/>
      <c r="G362" s="35"/>
      <c r="H362" s="35"/>
      <c r="I362" s="32"/>
      <c r="J362" s="35"/>
      <c r="K362" s="33"/>
      <c r="L362" s="37" t="str">
        <f aca="true">IF(OR(E362="",I362&lt;&gt;"Open",H362=""),"",IF(H362&lt;TODAY(),"Overdue",""))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3"/>
      <c r="G363" s="35"/>
      <c r="H363" s="35"/>
      <c r="I363" s="32"/>
      <c r="J363" s="35"/>
      <c r="K363" s="33"/>
      <c r="L363" s="37" t="str">
        <f aca="true">IF(OR(E363="",I363&lt;&gt;"Open",H363=""),"",IF(H363&lt;TODAY(),"Overdue",""))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3"/>
      <c r="G364" s="35"/>
      <c r="H364" s="35"/>
      <c r="I364" s="32"/>
      <c r="J364" s="35"/>
      <c r="K364" s="33"/>
      <c r="L364" s="37" t="str">
        <f aca="true">IF(OR(E364="",I364&lt;&gt;"Open",H364=""),"",IF(H364&lt;TODAY(),"Overdue",""))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3"/>
      <c r="G365" s="35"/>
      <c r="H365" s="35"/>
      <c r="I365" s="32"/>
      <c r="J365" s="35"/>
      <c r="K365" s="33"/>
      <c r="L365" s="37" t="str">
        <f aca="true">IF(OR(E365="",I365&lt;&gt;"Open",H365=""),"",IF(H365&lt;TODAY(),"Overdue",""))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3"/>
      <c r="G366" s="35"/>
      <c r="H366" s="35"/>
      <c r="I366" s="32"/>
      <c r="J366" s="35"/>
      <c r="K366" s="33"/>
      <c r="L366" s="37" t="str">
        <f aca="true">IF(OR(E366="",I366&lt;&gt;"Open",H366=""),"",IF(H366&lt;TODAY(),"Overdue",""))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3"/>
      <c r="G367" s="35"/>
      <c r="H367" s="35"/>
      <c r="I367" s="32"/>
      <c r="J367" s="35"/>
      <c r="K367" s="33"/>
      <c r="L367" s="37" t="str">
        <f aca="true">IF(OR(E367="",I367&lt;&gt;"Open",H367=""),"",IF(H367&lt;TODAY(),"Overdue",""))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3"/>
      <c r="G368" s="35"/>
      <c r="H368" s="35"/>
      <c r="I368" s="32"/>
      <c r="J368" s="35"/>
      <c r="K368" s="33"/>
      <c r="L368" s="37" t="str">
        <f aca="true">IF(OR(E368="",I368&lt;&gt;"Open",H368=""),"",IF(H368&lt;TODAY(),"Overdue",""))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3"/>
      <c r="G369" s="35"/>
      <c r="H369" s="35"/>
      <c r="I369" s="32"/>
      <c r="J369" s="35"/>
      <c r="K369" s="33"/>
      <c r="L369" s="37" t="str">
        <f aca="true">IF(OR(E369="",I369&lt;&gt;"Open",H369=""),"",IF(H369&lt;TODAY(),"Overdue",""))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3"/>
      <c r="G370" s="35"/>
      <c r="H370" s="35"/>
      <c r="I370" s="32"/>
      <c r="J370" s="35"/>
      <c r="K370" s="33"/>
      <c r="L370" s="37" t="str">
        <f aca="true">IF(OR(E370="",I370&lt;&gt;"Open",H370=""),"",IF(H370&lt;TODAY(),"Overdue",""))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3"/>
      <c r="G371" s="35"/>
      <c r="H371" s="35"/>
      <c r="I371" s="32"/>
      <c r="J371" s="35"/>
      <c r="K371" s="33"/>
      <c r="L371" s="37" t="str">
        <f aca="true">IF(OR(E371="",I371&lt;&gt;"Open",H371=""),"",IF(H371&lt;TODAY(),"Overdue",""))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3"/>
      <c r="G372" s="35"/>
      <c r="H372" s="35"/>
      <c r="I372" s="32"/>
      <c r="J372" s="35"/>
      <c r="K372" s="33"/>
      <c r="L372" s="37" t="str">
        <f aca="true">IF(OR(E372="",I372&lt;&gt;"Open",H372=""),"",IF(H372&lt;TODAY(),"Overdue",""))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3"/>
      <c r="G373" s="35"/>
      <c r="H373" s="35"/>
      <c r="I373" s="32"/>
      <c r="J373" s="35"/>
      <c r="K373" s="33"/>
      <c r="L373" s="37" t="str">
        <f aca="true">IF(OR(E373="",I373&lt;&gt;"Open",H373=""),"",IF(H373&lt;TODAY(),"Overdue",""))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3"/>
      <c r="G374" s="35"/>
      <c r="H374" s="35"/>
      <c r="I374" s="32"/>
      <c r="J374" s="35"/>
      <c r="K374" s="33"/>
      <c r="L374" s="37" t="str">
        <f aca="true">IF(OR(E374="",I374&lt;&gt;"Open",H374=""),"",IF(H374&lt;TODAY(),"Overdue",""))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3"/>
      <c r="G375" s="35"/>
      <c r="H375" s="35"/>
      <c r="I375" s="32"/>
      <c r="J375" s="35"/>
      <c r="K375" s="33"/>
      <c r="L375" s="37" t="str">
        <f aca="true">IF(OR(E375="",I375&lt;&gt;"Open",H375=""),"",IF(H375&lt;TODAY(),"Overdue",""))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3"/>
      <c r="G376" s="35"/>
      <c r="H376" s="35"/>
      <c r="I376" s="32"/>
      <c r="J376" s="35"/>
      <c r="K376" s="33"/>
      <c r="L376" s="37" t="str">
        <f aca="true">IF(OR(E376="",I376&lt;&gt;"Open",H376=""),"",IF(H376&lt;TODAY(),"Overdue",""))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3"/>
      <c r="G377" s="35"/>
      <c r="H377" s="35"/>
      <c r="I377" s="32"/>
      <c r="J377" s="35"/>
      <c r="K377" s="33"/>
      <c r="L377" s="37" t="str">
        <f aca="true">IF(OR(E377="",I377&lt;&gt;"Open",H377=""),"",IF(H377&lt;TODAY(),"Overdue",""))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3"/>
      <c r="G378" s="35"/>
      <c r="H378" s="35"/>
      <c r="I378" s="32"/>
      <c r="J378" s="35"/>
      <c r="K378" s="33"/>
      <c r="L378" s="37" t="str">
        <f aca="true">IF(OR(E378="",I378&lt;&gt;"Open",H378=""),"",IF(H378&lt;TODAY(),"Overdue",""))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3"/>
      <c r="G379" s="35"/>
      <c r="H379" s="35"/>
      <c r="I379" s="32"/>
      <c r="J379" s="35"/>
      <c r="K379" s="33"/>
      <c r="L379" s="37" t="str">
        <f aca="true">IF(OR(E379="",I379&lt;&gt;"Open",H379=""),"",IF(H379&lt;TODAY(),"Overdue",""))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3"/>
      <c r="G380" s="35"/>
      <c r="H380" s="35"/>
      <c r="I380" s="32"/>
      <c r="J380" s="35"/>
      <c r="K380" s="33"/>
      <c r="L380" s="37" t="str">
        <f aca="true">IF(OR(E380="",I380&lt;&gt;"Open",H380=""),"",IF(H380&lt;TODAY(),"Overdue",""))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3"/>
      <c r="G381" s="35"/>
      <c r="H381" s="35"/>
      <c r="I381" s="32"/>
      <c r="J381" s="35"/>
      <c r="K381" s="33"/>
      <c r="L381" s="37" t="str">
        <f aca="true">IF(OR(E381="",I381&lt;&gt;"Open",H381=""),"",IF(H381&lt;TODAY(),"Overdue",""))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3"/>
      <c r="G382" s="35"/>
      <c r="H382" s="35"/>
      <c r="I382" s="32"/>
      <c r="J382" s="35"/>
      <c r="K382" s="33"/>
      <c r="L382" s="37" t="str">
        <f aca="true">IF(OR(E382="",I382&lt;&gt;"Open",H382=""),"",IF(H382&lt;TODAY(),"Overdue",""))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3"/>
      <c r="G383" s="35"/>
      <c r="H383" s="35"/>
      <c r="I383" s="32"/>
      <c r="J383" s="35"/>
      <c r="K383" s="33"/>
      <c r="L383" s="37" t="str">
        <f aca="true">IF(OR(E383="",I383&lt;&gt;"Open",H383=""),"",IF(H383&lt;TODAY(),"Overdue",""))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3"/>
      <c r="G384" s="35"/>
      <c r="H384" s="35"/>
      <c r="I384" s="32"/>
      <c r="J384" s="35"/>
      <c r="K384" s="33"/>
      <c r="L384" s="37" t="str">
        <f aca="true">IF(OR(E384="",I384&lt;&gt;"Open",H384=""),"",IF(H384&lt;TODAY(),"Overdue",""))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3"/>
      <c r="G385" s="35"/>
      <c r="H385" s="35"/>
      <c r="I385" s="32"/>
      <c r="J385" s="35"/>
      <c r="K385" s="33"/>
      <c r="L385" s="37" t="str">
        <f aca="true">IF(OR(E385="",I385&lt;&gt;"Open",H385=""),"",IF(H385&lt;TODAY(),"Overdue",""))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3"/>
      <c r="G386" s="35"/>
      <c r="H386" s="35"/>
      <c r="I386" s="32"/>
      <c r="J386" s="35"/>
      <c r="K386" s="33"/>
      <c r="L386" s="37" t="str">
        <f aca="true">IF(OR(E386="",I386&lt;&gt;"Open",H386=""),"",IF(H386&lt;TODAY(),"Overdue",""))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3"/>
      <c r="G387" s="35"/>
      <c r="H387" s="35"/>
      <c r="I387" s="32"/>
      <c r="J387" s="35"/>
      <c r="K387" s="33"/>
      <c r="L387" s="37" t="str">
        <f aca="true">IF(OR(E387="",I387&lt;&gt;"Open",H387=""),"",IF(H387&lt;TODAY(),"Overdue",""))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3"/>
      <c r="G388" s="35"/>
      <c r="H388" s="35"/>
      <c r="I388" s="32"/>
      <c r="J388" s="35"/>
      <c r="K388" s="33"/>
      <c r="L388" s="37" t="str">
        <f aca="true">IF(OR(E388="",I388&lt;&gt;"Open",H388=""),"",IF(H388&lt;TODAY(),"Overdue",""))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3"/>
      <c r="G389" s="35"/>
      <c r="H389" s="35"/>
      <c r="I389" s="32"/>
      <c r="J389" s="35"/>
      <c r="K389" s="33"/>
      <c r="L389" s="37" t="str">
        <f aca="true">IF(OR(E389="",I389&lt;&gt;"Open",H389=""),"",IF(H389&lt;TODAY(),"Overdue",""))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3"/>
      <c r="G390" s="35"/>
      <c r="H390" s="35"/>
      <c r="I390" s="32"/>
      <c r="J390" s="35"/>
      <c r="K390" s="33"/>
      <c r="L390" s="37" t="str">
        <f aca="true">IF(OR(E390="",I390&lt;&gt;"Open",H390=""),"",IF(H390&lt;TODAY(),"Overdue",""))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3"/>
      <c r="G391" s="35"/>
      <c r="H391" s="35"/>
      <c r="I391" s="32"/>
      <c r="J391" s="35"/>
      <c r="K391" s="33"/>
      <c r="L391" s="37" t="str">
        <f aca="true">IF(OR(E391="",I391&lt;&gt;"Open",H391=""),"",IF(H391&lt;TODAY(),"Overdue",""))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3"/>
      <c r="G392" s="35"/>
      <c r="H392" s="35"/>
      <c r="I392" s="32"/>
      <c r="J392" s="35"/>
      <c r="K392" s="33"/>
      <c r="L392" s="37" t="str">
        <f aca="true">IF(OR(E392="",I392&lt;&gt;"Open",H392=""),"",IF(H392&lt;TODAY(),"Overdue",""))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3"/>
      <c r="G393" s="35"/>
      <c r="H393" s="35"/>
      <c r="I393" s="32"/>
      <c r="J393" s="35"/>
      <c r="K393" s="33"/>
      <c r="L393" s="37" t="str">
        <f aca="true">IF(OR(E393="",I393&lt;&gt;"Open",H393=""),"",IF(H393&lt;TODAY(),"Overdue",""))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3"/>
      <c r="G394" s="35"/>
      <c r="H394" s="35"/>
      <c r="I394" s="32"/>
      <c r="J394" s="35"/>
      <c r="K394" s="33"/>
      <c r="L394" s="37" t="str">
        <f aca="true">IF(OR(E394="",I394&lt;&gt;"Open",H394=""),"",IF(H394&lt;TODAY(),"Overdue",""))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3"/>
      <c r="G395" s="35"/>
      <c r="H395" s="35"/>
      <c r="I395" s="32"/>
      <c r="J395" s="35"/>
      <c r="K395" s="33"/>
      <c r="L395" s="37" t="str">
        <f aca="true">IF(OR(E395="",I395&lt;&gt;"Open",H395=""),"",IF(H395&lt;TODAY(),"Overdue",""))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3"/>
      <c r="G396" s="35"/>
      <c r="H396" s="35"/>
      <c r="I396" s="32"/>
      <c r="J396" s="35"/>
      <c r="K396" s="33"/>
      <c r="L396" s="37" t="str">
        <f aca="true">IF(OR(E396="",I396&lt;&gt;"Open",H396=""),"",IF(H396&lt;TODAY(),"Overdue",""))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3"/>
      <c r="G397" s="35"/>
      <c r="H397" s="35"/>
      <c r="I397" s="32"/>
      <c r="J397" s="35"/>
      <c r="K397" s="33"/>
      <c r="L397" s="37" t="str">
        <f aca="true">IF(OR(E397="",I397&lt;&gt;"Open",H397=""),"",IF(H397&lt;TODAY(),"Overdue",""))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3"/>
      <c r="G398" s="35"/>
      <c r="H398" s="35"/>
      <c r="I398" s="32"/>
      <c r="J398" s="35"/>
      <c r="K398" s="33"/>
      <c r="L398" s="37" t="str">
        <f aca="true">IF(OR(E398="",I398&lt;&gt;"Open",H398=""),"",IF(H398&lt;TODAY(),"Overdue",""))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3"/>
      <c r="G399" s="35"/>
      <c r="H399" s="35"/>
      <c r="I399" s="32"/>
      <c r="J399" s="35"/>
      <c r="K399" s="33"/>
      <c r="L399" s="37" t="str">
        <f aca="true">IF(OR(E399="",I399&lt;&gt;"Open",H399=""),"",IF(H399&lt;TODAY(),"Overdue",""))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3"/>
      <c r="G400" s="35"/>
      <c r="H400" s="35"/>
      <c r="I400" s="32"/>
      <c r="J400" s="35"/>
      <c r="K400" s="33"/>
      <c r="L400" s="37" t="str">
        <f aca="true">IF(OR(E400="",I400&lt;&gt;"Open",H400=""),"",IF(H400&lt;TODAY(),"Overdue",""))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3"/>
      <c r="G401" s="35"/>
      <c r="H401" s="35"/>
      <c r="I401" s="32"/>
      <c r="J401" s="35"/>
      <c r="K401" s="33"/>
      <c r="L401" s="37" t="str">
        <f aca="true">IF(OR(E401="",I401&lt;&gt;"Open",H401=""),"",IF(H401&lt;TODAY(),"Overdue",""))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3"/>
      <c r="G402" s="35"/>
      <c r="H402" s="35"/>
      <c r="I402" s="32"/>
      <c r="J402" s="35"/>
      <c r="K402" s="33"/>
      <c r="L402" s="37" t="str">
        <f aca="true">IF(OR(E402="",I402&lt;&gt;"Open",H402=""),"",IF(H402&lt;TODAY(),"Overdue",""))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3"/>
      <c r="G403" s="35"/>
      <c r="H403" s="35"/>
      <c r="I403" s="32"/>
      <c r="J403" s="35"/>
      <c r="K403" s="33"/>
      <c r="L403" s="37" t="str">
        <f aca="true">IF(OR(E403="",I403&lt;&gt;"Open",H403=""),"",IF(H403&lt;TODAY(),"Overdue",""))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3"/>
      <c r="G404" s="35"/>
      <c r="H404" s="35"/>
      <c r="I404" s="32"/>
      <c r="J404" s="35"/>
      <c r="K404" s="33"/>
      <c r="L404" s="37" t="str">
        <f aca="true">IF(OR(E404="",I404&lt;&gt;"Open",H404=""),"",IF(H404&lt;TODAY(),"Overdue",""))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3"/>
      <c r="G405" s="35"/>
      <c r="H405" s="35"/>
      <c r="I405" s="32"/>
      <c r="J405" s="35"/>
      <c r="K405" s="33"/>
      <c r="L405" s="37" t="str">
        <f aca="true">IF(OR(E405="",I405&lt;&gt;"Open",H405=""),"",IF(H405&lt;TODAY(),"Overdue",""))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3"/>
      <c r="G406" s="35"/>
      <c r="H406" s="35"/>
      <c r="I406" s="32"/>
      <c r="J406" s="35"/>
      <c r="K406" s="33"/>
      <c r="L406" s="37" t="str">
        <f aca="true">IF(OR(E406="",I406&lt;&gt;"Open",H406=""),"",IF(H406&lt;TODAY(),"Overdue",""))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3"/>
      <c r="G407" s="35"/>
      <c r="H407" s="35"/>
      <c r="I407" s="32"/>
      <c r="J407" s="35"/>
      <c r="K407" s="33"/>
      <c r="L407" s="37" t="str">
        <f aca="true">IF(OR(E407="",I407&lt;&gt;"Open",H407=""),"",IF(H407&lt;TODAY(),"Overdue",""))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3"/>
      <c r="G408" s="35"/>
      <c r="H408" s="35"/>
      <c r="I408" s="32"/>
      <c r="J408" s="35"/>
      <c r="K408" s="33"/>
      <c r="L408" s="37" t="str">
        <f aca="true">IF(OR(E408="",I408&lt;&gt;"Open",H408=""),"",IF(H408&lt;TODAY(),"Overdue",""))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3"/>
      <c r="G409" s="35"/>
      <c r="H409" s="35"/>
      <c r="I409" s="32"/>
      <c r="J409" s="35"/>
      <c r="K409" s="33"/>
      <c r="L409" s="37" t="str">
        <f aca="true">IF(OR(E409="",I409&lt;&gt;"Open",H409=""),"",IF(H409&lt;TODAY(),"Overdue",""))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3"/>
      <c r="G410" s="35"/>
      <c r="H410" s="35"/>
      <c r="I410" s="32"/>
      <c r="J410" s="35"/>
      <c r="K410" s="33"/>
      <c r="L410" s="37" t="str">
        <f aca="true">IF(OR(E410="",I410&lt;&gt;"Open",H410=""),"",IF(H410&lt;TODAY(),"Overdue",""))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3"/>
      <c r="G411" s="35"/>
      <c r="H411" s="35"/>
      <c r="I411" s="32"/>
      <c r="J411" s="35"/>
      <c r="K411" s="33"/>
      <c r="L411" s="37" t="str">
        <f aca="true">IF(OR(E411="",I411&lt;&gt;"Open",H411=""),"",IF(H411&lt;TODAY(),"Overdue",""))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3"/>
      <c r="G412" s="35"/>
      <c r="H412" s="35"/>
      <c r="I412" s="32"/>
      <c r="J412" s="35"/>
      <c r="K412" s="33"/>
      <c r="L412" s="37" t="str">
        <f aca="true">IF(OR(E412="",I412&lt;&gt;"Open",H412=""),"",IF(H412&lt;TODAY(),"Overdue",""))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3"/>
      <c r="G413" s="35"/>
      <c r="H413" s="35"/>
      <c r="I413" s="32"/>
      <c r="J413" s="35"/>
      <c r="K413" s="33"/>
      <c r="L413" s="37" t="str">
        <f aca="true">IF(OR(E413="",I413&lt;&gt;"Open",H413=""),"",IF(H413&lt;TODAY(),"Overdue",""))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3"/>
      <c r="G414" s="35"/>
      <c r="H414" s="35"/>
      <c r="I414" s="32"/>
      <c r="J414" s="35"/>
      <c r="K414" s="33"/>
      <c r="L414" s="37" t="str">
        <f aca="true">IF(OR(E414="",I414&lt;&gt;"Open",H414=""),"",IF(H414&lt;TODAY(),"Overdue",""))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3"/>
      <c r="G415" s="35"/>
      <c r="H415" s="35"/>
      <c r="I415" s="32"/>
      <c r="J415" s="35"/>
      <c r="K415" s="33"/>
      <c r="L415" s="37" t="str">
        <f aca="true">IF(OR(E415="",I415&lt;&gt;"Open",H415=""),"",IF(H415&lt;TODAY(),"Overdue",""))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3"/>
      <c r="G416" s="35"/>
      <c r="H416" s="35"/>
      <c r="I416" s="32"/>
      <c r="J416" s="35"/>
      <c r="K416" s="33"/>
      <c r="L416" s="37" t="str">
        <f aca="true">IF(OR(E416="",I416&lt;&gt;"Open",H416=""),"",IF(H416&lt;TODAY(),"Overdue",""))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3"/>
      <c r="G417" s="35"/>
      <c r="H417" s="35"/>
      <c r="I417" s="32"/>
      <c r="J417" s="35"/>
      <c r="K417" s="33"/>
      <c r="L417" s="37" t="str">
        <f aca="true">IF(OR(E417="",I417&lt;&gt;"Open",H417=""),"",IF(H417&lt;TODAY(),"Overdue",""))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3"/>
      <c r="G418" s="35"/>
      <c r="H418" s="35"/>
      <c r="I418" s="32"/>
      <c r="J418" s="35"/>
      <c r="K418" s="33"/>
      <c r="L418" s="37" t="str">
        <f aca="true">IF(OR(E418="",I418&lt;&gt;"Open",H418=""),"",IF(H418&lt;TODAY(),"Overdue",""))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3"/>
      <c r="G419" s="35"/>
      <c r="H419" s="35"/>
      <c r="I419" s="32"/>
      <c r="J419" s="35"/>
      <c r="K419" s="33"/>
      <c r="L419" s="37" t="str">
        <f aca="true">IF(OR(E419="",I419&lt;&gt;"Open",H419=""),"",IF(H419&lt;TODAY(),"Overdue",""))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3"/>
      <c r="G420" s="35"/>
      <c r="H420" s="35"/>
      <c r="I420" s="32"/>
      <c r="J420" s="35"/>
      <c r="K420" s="33"/>
      <c r="L420" s="37" t="str">
        <f aca="true">IF(OR(E420="",I420&lt;&gt;"Open",H420=""),"",IF(H420&lt;TODAY(),"Overdue",""))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3"/>
      <c r="G421" s="35"/>
      <c r="H421" s="35"/>
      <c r="I421" s="32"/>
      <c r="J421" s="35"/>
      <c r="K421" s="33"/>
      <c r="L421" s="37" t="str">
        <f aca="true">IF(OR(E421="",I421&lt;&gt;"Open",H421=""),"",IF(H421&lt;TODAY(),"Overdue",""))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3"/>
      <c r="G422" s="35"/>
      <c r="H422" s="35"/>
      <c r="I422" s="32"/>
      <c r="J422" s="35"/>
      <c r="K422" s="33"/>
      <c r="L422" s="37" t="str">
        <f aca="true">IF(OR(E422="",I422&lt;&gt;"Open",H422=""),"",IF(H422&lt;TODAY(),"Overdue",""))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3"/>
      <c r="G423" s="35"/>
      <c r="H423" s="35"/>
      <c r="I423" s="32"/>
      <c r="J423" s="35"/>
      <c r="K423" s="33"/>
      <c r="L423" s="37" t="str">
        <f aca="true">IF(OR(E423="",I423&lt;&gt;"Open",H423=""),"",IF(H423&lt;TODAY(),"Overdue",""))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3"/>
      <c r="G424" s="35"/>
      <c r="H424" s="35"/>
      <c r="I424" s="32"/>
      <c r="J424" s="35"/>
      <c r="K424" s="33"/>
      <c r="L424" s="37" t="str">
        <f aca="true">IF(OR(E424="",I424&lt;&gt;"Open",H424=""),"",IF(H424&lt;TODAY(),"Overdue",""))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3"/>
      <c r="G425" s="35"/>
      <c r="H425" s="35"/>
      <c r="I425" s="32"/>
      <c r="J425" s="35"/>
      <c r="K425" s="33"/>
      <c r="L425" s="37" t="str">
        <f aca="true">IF(OR(E425="",I425&lt;&gt;"Open",H425=""),"",IF(H425&lt;TODAY(),"Overdue",""))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3"/>
      <c r="G426" s="35"/>
      <c r="H426" s="35"/>
      <c r="I426" s="32"/>
      <c r="J426" s="35"/>
      <c r="K426" s="33"/>
      <c r="L426" s="37" t="str">
        <f aca="true">IF(OR(E426="",I426&lt;&gt;"Open",H426=""),"",IF(H426&lt;TODAY(),"Overdue",""))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3"/>
      <c r="G427" s="35"/>
      <c r="H427" s="35"/>
      <c r="I427" s="32"/>
      <c r="J427" s="35"/>
      <c r="K427" s="33"/>
      <c r="L427" s="37" t="str">
        <f aca="true">IF(OR(E427="",I427&lt;&gt;"Open",H427=""),"",IF(H427&lt;TODAY(),"Overdue",""))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3"/>
      <c r="G428" s="35"/>
      <c r="H428" s="35"/>
      <c r="I428" s="32"/>
      <c r="J428" s="35"/>
      <c r="K428" s="33"/>
      <c r="L428" s="37" t="str">
        <f aca="true">IF(OR(E428="",I428&lt;&gt;"Open",H428=""),"",IF(H428&lt;TODAY(),"Overdue",""))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3"/>
      <c r="G429" s="35"/>
      <c r="H429" s="35"/>
      <c r="I429" s="32"/>
      <c r="J429" s="35"/>
      <c r="K429" s="33"/>
      <c r="L429" s="37" t="str">
        <f aca="true">IF(OR(E429="",I429&lt;&gt;"Open",H429=""),"",IF(H429&lt;TODAY(),"Overdue",""))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3"/>
      <c r="G430" s="35"/>
      <c r="H430" s="35"/>
      <c r="I430" s="32"/>
      <c r="J430" s="35"/>
      <c r="K430" s="33"/>
      <c r="L430" s="37" t="str">
        <f aca="true">IF(OR(E430="",I430&lt;&gt;"Open",H430=""),"",IF(H430&lt;TODAY(),"Overdue",""))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3"/>
      <c r="G431" s="35"/>
      <c r="H431" s="35"/>
      <c r="I431" s="32"/>
      <c r="J431" s="35"/>
      <c r="K431" s="33"/>
      <c r="L431" s="37" t="str">
        <f aca="true">IF(OR(E431="",I431&lt;&gt;"Open",H431=""),"",IF(H431&lt;TODAY(),"Overdue",""))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3"/>
      <c r="G432" s="35"/>
      <c r="H432" s="35"/>
      <c r="I432" s="32"/>
      <c r="J432" s="35"/>
      <c r="K432" s="33"/>
      <c r="L432" s="37" t="str">
        <f aca="true">IF(OR(E432="",I432&lt;&gt;"Open",H432=""),"",IF(H432&lt;TODAY(),"Overdue",""))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3"/>
      <c r="G433" s="35"/>
      <c r="H433" s="35"/>
      <c r="I433" s="32"/>
      <c r="J433" s="35"/>
      <c r="K433" s="33"/>
      <c r="L433" s="37" t="str">
        <f aca="true">IF(OR(E433="",I433&lt;&gt;"Open",H433=""),"",IF(H433&lt;TODAY(),"Overdue",""))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3"/>
      <c r="G434" s="35"/>
      <c r="H434" s="35"/>
      <c r="I434" s="32"/>
      <c r="J434" s="35"/>
      <c r="K434" s="33"/>
      <c r="L434" s="37" t="str">
        <f aca="true">IF(OR(E434="",I434&lt;&gt;"Open",H434=""),"",IF(H434&lt;TODAY(),"Overdue",""))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3"/>
      <c r="G435" s="35"/>
      <c r="H435" s="35"/>
      <c r="I435" s="32"/>
      <c r="J435" s="35"/>
      <c r="K435" s="33"/>
      <c r="L435" s="37" t="str">
        <f aca="true">IF(OR(E435="",I435&lt;&gt;"Open",H435=""),"",IF(H435&lt;TODAY(),"Overdue",""))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3"/>
      <c r="G436" s="35"/>
      <c r="H436" s="35"/>
      <c r="I436" s="32"/>
      <c r="J436" s="35"/>
      <c r="K436" s="33"/>
      <c r="L436" s="37" t="str">
        <f aca="true">IF(OR(E436="",I436&lt;&gt;"Open",H436=""),"",IF(H436&lt;TODAY(),"Overdue",""))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3"/>
      <c r="G437" s="35"/>
      <c r="H437" s="35"/>
      <c r="I437" s="32"/>
      <c r="J437" s="35"/>
      <c r="K437" s="33"/>
      <c r="L437" s="37" t="str">
        <f aca="true">IF(OR(E437="",I437&lt;&gt;"Open",H437=""),"",IF(H437&lt;TODAY(),"Overdue",""))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3"/>
      <c r="G438" s="35"/>
      <c r="H438" s="35"/>
      <c r="I438" s="32"/>
      <c r="J438" s="35"/>
      <c r="K438" s="33"/>
      <c r="L438" s="37" t="str">
        <f aca="true">IF(OR(E438="",I438&lt;&gt;"Open",H438=""),"",IF(H438&lt;TODAY(),"Overdue",""))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3"/>
      <c r="G439" s="35"/>
      <c r="H439" s="35"/>
      <c r="I439" s="32"/>
      <c r="J439" s="35"/>
      <c r="K439" s="33"/>
      <c r="L439" s="37" t="str">
        <f aca="true">IF(OR(E439="",I439&lt;&gt;"Open",H439=""),"",IF(H439&lt;TODAY(),"Overdue",""))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3"/>
      <c r="G440" s="35"/>
      <c r="H440" s="35"/>
      <c r="I440" s="32"/>
      <c r="J440" s="35"/>
      <c r="K440" s="33"/>
      <c r="L440" s="37" t="str">
        <f aca="true">IF(OR(E440="",I440&lt;&gt;"Open",H440=""),"",IF(H440&lt;TODAY(),"Overdue",""))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3"/>
      <c r="G441" s="35"/>
      <c r="H441" s="35"/>
      <c r="I441" s="32"/>
      <c r="J441" s="35"/>
      <c r="K441" s="33"/>
      <c r="L441" s="37" t="str">
        <f aca="true">IF(OR(E441="",I441&lt;&gt;"Open",H441=""),"",IF(H441&lt;TODAY(),"Overdue",""))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3"/>
      <c r="G442" s="35"/>
      <c r="H442" s="35"/>
      <c r="I442" s="32"/>
      <c r="J442" s="35"/>
      <c r="K442" s="33"/>
      <c r="L442" s="37" t="str">
        <f aca="true">IF(OR(E442="",I442&lt;&gt;"Open",H442=""),"",IF(H442&lt;TODAY(),"Overdue",""))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3"/>
      <c r="G443" s="35"/>
      <c r="H443" s="35"/>
      <c r="I443" s="32"/>
      <c r="J443" s="35"/>
      <c r="K443" s="33"/>
      <c r="L443" s="37" t="str">
        <f aca="true">IF(OR(E443="",I443&lt;&gt;"Open",H443=""),"",IF(H443&lt;TODAY(),"Overdue",""))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3"/>
      <c r="G444" s="35"/>
      <c r="H444" s="35"/>
      <c r="I444" s="32"/>
      <c r="J444" s="35"/>
      <c r="K444" s="33"/>
      <c r="L444" s="37" t="str">
        <f aca="true">IF(OR(E444="",I444&lt;&gt;"Open",H444=""),"",IF(H444&lt;TODAY(),"Overdue",""))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3"/>
      <c r="G445" s="35"/>
      <c r="H445" s="35"/>
      <c r="I445" s="32"/>
      <c r="J445" s="35"/>
      <c r="K445" s="33"/>
      <c r="L445" s="37" t="str">
        <f aca="true">IF(OR(E445="",I445&lt;&gt;"Open",H445=""),"",IF(H445&lt;TODAY(),"Overdue",""))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3"/>
      <c r="G446" s="35"/>
      <c r="H446" s="35"/>
      <c r="I446" s="32"/>
      <c r="J446" s="35"/>
      <c r="K446" s="33"/>
      <c r="L446" s="37" t="str">
        <f aca="true">IF(OR(E446="",I446&lt;&gt;"Open",H446=""),"",IF(H446&lt;TODAY(),"Overdue",""))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3"/>
      <c r="G447" s="35"/>
      <c r="H447" s="35"/>
      <c r="I447" s="32"/>
      <c r="J447" s="35"/>
      <c r="K447" s="33"/>
      <c r="L447" s="37" t="str">
        <f aca="true">IF(OR(E447="",I447&lt;&gt;"Open",H447=""),"",IF(H447&lt;TODAY(),"Overdue",""))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3"/>
      <c r="G448" s="35"/>
      <c r="H448" s="35"/>
      <c r="I448" s="32"/>
      <c r="J448" s="35"/>
      <c r="K448" s="33"/>
      <c r="L448" s="37" t="str">
        <f aca="true">IF(OR(E448="",I448&lt;&gt;"Open",H448=""),"",IF(H448&lt;TODAY(),"Overdue",""))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3"/>
      <c r="G449" s="35"/>
      <c r="H449" s="35"/>
      <c r="I449" s="32"/>
      <c r="J449" s="35"/>
      <c r="K449" s="33"/>
      <c r="L449" s="37" t="str">
        <f aca="true">IF(OR(E449="",I449&lt;&gt;"Open",H449=""),"",IF(H449&lt;TODAY(),"Overdue",""))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3"/>
      <c r="G450" s="35"/>
      <c r="H450" s="35"/>
      <c r="I450" s="32"/>
      <c r="J450" s="35"/>
      <c r="K450" s="33"/>
      <c r="L450" s="37" t="str">
        <f aca="true">IF(OR(E450="",I450&lt;&gt;"Open",H450=""),"",IF(H450&lt;TODAY(),"Overdue",""))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3"/>
      <c r="G451" s="35"/>
      <c r="H451" s="35"/>
      <c r="I451" s="32"/>
      <c r="J451" s="35"/>
      <c r="K451" s="33"/>
      <c r="L451" s="37" t="str">
        <f aca="true">IF(OR(E451="",I451&lt;&gt;"Open",H451=""),"",IF(H451&lt;TODAY(),"Overdue",""))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3"/>
      <c r="G452" s="35"/>
      <c r="H452" s="35"/>
      <c r="I452" s="32"/>
      <c r="J452" s="35"/>
      <c r="K452" s="33"/>
      <c r="L452" s="37" t="str">
        <f aca="true">IF(OR(E452="",I452&lt;&gt;"Open",H452=""),"",IF(H452&lt;TODAY(),"Overdue",""))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3"/>
      <c r="G453" s="35"/>
      <c r="H453" s="35"/>
      <c r="I453" s="32"/>
      <c r="J453" s="35"/>
      <c r="K453" s="33"/>
      <c r="L453" s="37" t="str">
        <f aca="true">IF(OR(E453="",I453&lt;&gt;"Open",H453=""),"",IF(H453&lt;TODAY(),"Overdue",""))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3"/>
      <c r="G454" s="35"/>
      <c r="H454" s="35"/>
      <c r="I454" s="32"/>
      <c r="J454" s="35"/>
      <c r="K454" s="33"/>
      <c r="L454" s="37" t="str">
        <f aca="true">IF(OR(E454="",I454&lt;&gt;"Open",H454=""),"",IF(H454&lt;TODAY(),"Overdue",""))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3"/>
      <c r="G455" s="35"/>
      <c r="H455" s="35"/>
      <c r="I455" s="32"/>
      <c r="J455" s="35"/>
      <c r="K455" s="33"/>
      <c r="L455" s="37" t="str">
        <f aca="true">IF(OR(E455="",I455&lt;&gt;"Open",H455=""),"",IF(H455&lt;TODAY(),"Overdue",""))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3"/>
      <c r="G456" s="35"/>
      <c r="H456" s="35"/>
      <c r="I456" s="32"/>
      <c r="J456" s="35"/>
      <c r="K456" s="33"/>
      <c r="L456" s="37" t="str">
        <f aca="true">IF(OR(E456="",I456&lt;&gt;"Open",H456=""),"",IF(H456&lt;TODAY(),"Overdue",""))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3"/>
      <c r="G457" s="35"/>
      <c r="H457" s="35"/>
      <c r="I457" s="32"/>
      <c r="J457" s="35"/>
      <c r="K457" s="33"/>
      <c r="L457" s="37" t="str">
        <f aca="true">IF(OR(E457="",I457&lt;&gt;"Open",H457=""),"",IF(H457&lt;TODAY(),"Overdue",""))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3"/>
      <c r="G458" s="35"/>
      <c r="H458" s="35"/>
      <c r="I458" s="32"/>
      <c r="J458" s="35"/>
      <c r="K458" s="33"/>
      <c r="L458" s="37" t="str">
        <f aca="true">IF(OR(E458="",I458&lt;&gt;"Open",H458=""),"",IF(H458&lt;TODAY(),"Overdue",""))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3"/>
      <c r="G459" s="35"/>
      <c r="H459" s="35"/>
      <c r="I459" s="32"/>
      <c r="J459" s="35"/>
      <c r="K459" s="33"/>
      <c r="L459" s="37" t="str">
        <f aca="true">IF(OR(E459="",I459&lt;&gt;"Open",H459=""),"",IF(H459&lt;TODAY(),"Overdue",""))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3"/>
      <c r="G460" s="35"/>
      <c r="H460" s="35"/>
      <c r="I460" s="32"/>
      <c r="J460" s="35"/>
      <c r="K460" s="33"/>
      <c r="L460" s="37" t="str">
        <f aca="true">IF(OR(E460="",I460&lt;&gt;"Open",H460=""),"",IF(H460&lt;TODAY(),"Overdue",""))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3"/>
      <c r="G461" s="35"/>
      <c r="H461" s="35"/>
      <c r="I461" s="32"/>
      <c r="J461" s="35"/>
      <c r="K461" s="33"/>
      <c r="L461" s="37" t="str">
        <f aca="true">IF(OR(E461="",I461&lt;&gt;"Open",H461=""),"",IF(H461&lt;TODAY(),"Overdue",""))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3"/>
      <c r="G462" s="35"/>
      <c r="H462" s="35"/>
      <c r="I462" s="32"/>
      <c r="J462" s="35"/>
      <c r="K462" s="33"/>
      <c r="L462" s="37" t="str">
        <f aca="true">IF(OR(E462="",I462&lt;&gt;"Open",H462=""),"",IF(H462&lt;TODAY(),"Overdue",""))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3"/>
      <c r="G463" s="35"/>
      <c r="H463" s="35"/>
      <c r="I463" s="32"/>
      <c r="J463" s="35"/>
      <c r="K463" s="33"/>
      <c r="L463" s="37" t="str">
        <f aca="true">IF(OR(E463="",I463&lt;&gt;"Open",H463=""),"",IF(H463&lt;TODAY(),"Overdue",""))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3"/>
      <c r="G464" s="35"/>
      <c r="H464" s="35"/>
      <c r="I464" s="32"/>
      <c r="J464" s="35"/>
      <c r="K464" s="33"/>
      <c r="L464" s="37" t="str">
        <f aca="true">IF(OR(E464="",I464&lt;&gt;"Open",H464=""),"",IF(H464&lt;TODAY(),"Overdue",""))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3"/>
      <c r="G465" s="35"/>
      <c r="H465" s="35"/>
      <c r="I465" s="32"/>
      <c r="J465" s="35"/>
      <c r="K465" s="33"/>
      <c r="L465" s="37" t="str">
        <f aca="true">IF(OR(E465="",I465&lt;&gt;"Open",H465=""),"",IF(H465&lt;TODAY(),"Overdue",""))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3"/>
      <c r="G466" s="35"/>
      <c r="H466" s="35"/>
      <c r="I466" s="32"/>
      <c r="J466" s="35"/>
      <c r="K466" s="33"/>
      <c r="L466" s="37" t="str">
        <f aca="true">IF(OR(E466="",I466&lt;&gt;"Open",H466=""),"",IF(H466&lt;TODAY(),"Overdue",""))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3"/>
      <c r="G467" s="35"/>
      <c r="H467" s="35"/>
      <c r="I467" s="32"/>
      <c r="J467" s="35"/>
      <c r="K467" s="33"/>
      <c r="L467" s="37" t="str">
        <f aca="true">IF(OR(E467="",I467&lt;&gt;"Open",H467=""),"",IF(H467&lt;TODAY(),"Overdue",""))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3"/>
      <c r="G468" s="35"/>
      <c r="H468" s="35"/>
      <c r="I468" s="32"/>
      <c r="J468" s="35"/>
      <c r="K468" s="33"/>
      <c r="L468" s="37" t="str">
        <f aca="true">IF(OR(E468="",I468&lt;&gt;"Open",H468=""),"",IF(H468&lt;TODAY(),"Overdue",""))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3"/>
      <c r="G469" s="35"/>
      <c r="H469" s="35"/>
      <c r="I469" s="32"/>
      <c r="J469" s="35"/>
      <c r="K469" s="33"/>
      <c r="L469" s="37" t="str">
        <f aca="true">IF(OR(E469="",I469&lt;&gt;"Open",H469=""),"",IF(H469&lt;TODAY(),"Overdue",""))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3"/>
      <c r="G470" s="35"/>
      <c r="H470" s="35"/>
      <c r="I470" s="32"/>
      <c r="J470" s="35"/>
      <c r="K470" s="33"/>
      <c r="L470" s="37" t="str">
        <f aca="true">IF(OR(E470="",I470&lt;&gt;"Open",H470=""),"",IF(H470&lt;TODAY(),"Overdue",""))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3"/>
      <c r="G471" s="35"/>
      <c r="H471" s="35"/>
      <c r="I471" s="32"/>
      <c r="J471" s="35"/>
      <c r="K471" s="33"/>
      <c r="L471" s="37" t="str">
        <f aca="true">IF(OR(E471="",I471&lt;&gt;"Open",H471=""),"",IF(H471&lt;TODAY(),"Overdue",""))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3"/>
      <c r="G472" s="35"/>
      <c r="H472" s="35"/>
      <c r="I472" s="32"/>
      <c r="J472" s="35"/>
      <c r="K472" s="33"/>
      <c r="L472" s="37" t="str">
        <f aca="true">IF(OR(E472="",I472&lt;&gt;"Open",H472=""),"",IF(H472&lt;TODAY(),"Overdue",""))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3"/>
      <c r="G473" s="35"/>
      <c r="H473" s="35"/>
      <c r="I473" s="32"/>
      <c r="J473" s="35"/>
      <c r="K473" s="33"/>
      <c r="L473" s="37" t="str">
        <f aca="true">IF(OR(E473="",I473&lt;&gt;"Open",H473=""),"",IF(H473&lt;TODAY(),"Overdue",""))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3"/>
      <c r="G474" s="35"/>
      <c r="H474" s="35"/>
      <c r="I474" s="32"/>
      <c r="J474" s="35"/>
      <c r="K474" s="33"/>
      <c r="L474" s="37" t="str">
        <f aca="true">IF(OR(E474="",I474&lt;&gt;"Open",H474=""),"",IF(H474&lt;TODAY(),"Overdue",""))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3"/>
      <c r="G475" s="35"/>
      <c r="H475" s="35"/>
      <c r="I475" s="32"/>
      <c r="J475" s="35"/>
      <c r="K475" s="33"/>
      <c r="L475" s="37" t="str">
        <f aca="true">IF(OR(E475="",I475&lt;&gt;"Open",H475=""),"",IF(H475&lt;TODAY(),"Overdue",""))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3"/>
      <c r="G476" s="35"/>
      <c r="H476" s="35"/>
      <c r="I476" s="32"/>
      <c r="J476" s="35"/>
      <c r="K476" s="33"/>
      <c r="L476" s="37" t="str">
        <f aca="true">IF(OR(E476="",I476&lt;&gt;"Open",H476=""),"",IF(H476&lt;TODAY(),"Overdue",""))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3"/>
      <c r="G477" s="35"/>
      <c r="H477" s="35"/>
      <c r="I477" s="32"/>
      <c r="J477" s="35"/>
      <c r="K477" s="33"/>
      <c r="L477" s="37" t="str">
        <f aca="true">IF(OR(E477="",I477&lt;&gt;"Open",H477=""),"",IF(H477&lt;TODAY(),"Overdue",""))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3"/>
      <c r="G478" s="35"/>
      <c r="H478" s="35"/>
      <c r="I478" s="32"/>
      <c r="J478" s="35"/>
      <c r="K478" s="33"/>
      <c r="L478" s="37" t="str">
        <f aca="true">IF(OR(E478="",I478&lt;&gt;"Open",H478=""),"",IF(H478&lt;TODAY(),"Overdue",""))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3"/>
      <c r="G479" s="35"/>
      <c r="H479" s="35"/>
      <c r="I479" s="32"/>
      <c r="J479" s="35"/>
      <c r="K479" s="33"/>
      <c r="L479" s="37" t="str">
        <f aca="true">IF(OR(E479="",I479&lt;&gt;"Open",H479=""),"",IF(H479&lt;TODAY(),"Overdue",""))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3"/>
      <c r="G480" s="35"/>
      <c r="H480" s="35"/>
      <c r="I480" s="32"/>
      <c r="J480" s="35"/>
      <c r="K480" s="33"/>
      <c r="L480" s="37" t="str">
        <f aca="true">IF(OR(E480="",I480&lt;&gt;"Open",H480=""),"",IF(H480&lt;TODAY(),"Overdue",""))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3"/>
      <c r="G481" s="35"/>
      <c r="H481" s="35"/>
      <c r="I481" s="32"/>
      <c r="J481" s="35"/>
      <c r="K481" s="33"/>
      <c r="L481" s="37" t="str">
        <f aca="true">IF(OR(E481="",I481&lt;&gt;"Open",H481=""),"",IF(H481&lt;TODAY(),"Overdue",""))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3"/>
      <c r="G482" s="35"/>
      <c r="H482" s="35"/>
      <c r="I482" s="32"/>
      <c r="J482" s="35"/>
      <c r="K482" s="33"/>
      <c r="L482" s="37" t="str">
        <f aca="true">IF(OR(E482="",I482&lt;&gt;"Open",H482=""),"",IF(H482&lt;TODAY(),"Overdue",""))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3"/>
      <c r="G483" s="35"/>
      <c r="H483" s="35"/>
      <c r="I483" s="32"/>
      <c r="J483" s="35"/>
      <c r="K483" s="33"/>
      <c r="L483" s="37" t="str">
        <f aca="true">IF(OR(E483="",I483&lt;&gt;"Open",H483=""),"",IF(H483&lt;TODAY(),"Overdue",""))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3"/>
      <c r="G484" s="35"/>
      <c r="H484" s="35"/>
      <c r="I484" s="32"/>
      <c r="J484" s="35"/>
      <c r="K484" s="33"/>
      <c r="L484" s="37" t="str">
        <f aca="true">IF(OR(E484="",I484&lt;&gt;"Open",H484=""),"",IF(H484&lt;TODAY(),"Overdue",""))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3"/>
      <c r="G485" s="35"/>
      <c r="H485" s="35"/>
      <c r="I485" s="32"/>
      <c r="J485" s="35"/>
      <c r="K485" s="33"/>
      <c r="L485" s="37" t="str">
        <f aca="true">IF(OR(E485="",I485&lt;&gt;"Open",H485=""),"",IF(H485&lt;TODAY(),"Overdue",""))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3"/>
      <c r="G486" s="35"/>
      <c r="H486" s="35"/>
      <c r="I486" s="32"/>
      <c r="J486" s="35"/>
      <c r="K486" s="33"/>
      <c r="L486" s="37" t="str">
        <f aca="true">IF(OR(E486="",I486&lt;&gt;"Open",H486=""),"",IF(H486&lt;TODAY(),"Overdue",""))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3"/>
      <c r="G487" s="35"/>
      <c r="H487" s="35"/>
      <c r="I487" s="32"/>
      <c r="J487" s="35"/>
      <c r="K487" s="33"/>
      <c r="L487" s="37" t="str">
        <f aca="true">IF(OR(E487="",I487&lt;&gt;"Open",H487=""),"",IF(H487&lt;TODAY(),"Overdue",""))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3"/>
      <c r="G488" s="35"/>
      <c r="H488" s="35"/>
      <c r="I488" s="32"/>
      <c r="J488" s="35"/>
      <c r="K488" s="33"/>
      <c r="L488" s="37" t="str">
        <f aca="true">IF(OR(E488="",I488&lt;&gt;"Open",H488=""),"",IF(H488&lt;TODAY(),"Overdue",""))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3"/>
      <c r="G489" s="35"/>
      <c r="H489" s="35"/>
      <c r="I489" s="32"/>
      <c r="J489" s="35"/>
      <c r="K489" s="33"/>
      <c r="L489" s="37" t="str">
        <f aca="true">IF(OR(E489="",I489&lt;&gt;"Open",H489=""),"",IF(H489&lt;TODAY(),"Overdue",""))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3"/>
      <c r="G490" s="35"/>
      <c r="H490" s="35"/>
      <c r="I490" s="32"/>
      <c r="J490" s="35"/>
      <c r="K490" s="33"/>
      <c r="L490" s="37" t="str">
        <f aca="true">IF(OR(E490="",I490&lt;&gt;"Open",H490=""),"",IF(H490&lt;TODAY(),"Overdue",""))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3"/>
      <c r="G491" s="35"/>
      <c r="H491" s="35"/>
      <c r="I491" s="32"/>
      <c r="J491" s="35"/>
      <c r="K491" s="33"/>
      <c r="L491" s="37" t="str">
        <f aca="true">IF(OR(E491="",I491&lt;&gt;"Open",H491=""),"",IF(H491&lt;TODAY(),"Overdue",""))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3"/>
      <c r="G492" s="35"/>
      <c r="H492" s="35"/>
      <c r="I492" s="32"/>
      <c r="J492" s="35"/>
      <c r="K492" s="33"/>
      <c r="L492" s="37" t="str">
        <f aca="true">IF(OR(E492="",I492&lt;&gt;"Open",H492=""),"",IF(H492&lt;TODAY(),"Overdue",""))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3"/>
      <c r="G493" s="35"/>
      <c r="H493" s="35"/>
      <c r="I493" s="32"/>
      <c r="J493" s="35"/>
      <c r="K493" s="33"/>
      <c r="L493" s="37" t="str">
        <f aca="true">IF(OR(E493="",I493&lt;&gt;"Open",H493=""),"",IF(H493&lt;TODAY(),"Overdue",""))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3"/>
      <c r="G494" s="35"/>
      <c r="H494" s="35"/>
      <c r="I494" s="32"/>
      <c r="J494" s="35"/>
      <c r="K494" s="33"/>
      <c r="L494" s="37" t="str">
        <f aca="true">IF(OR(E494="",I494&lt;&gt;"Open",H494=""),"",IF(H494&lt;TODAY(),"Overdue",""))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3"/>
      <c r="G495" s="35"/>
      <c r="H495" s="35"/>
      <c r="I495" s="32"/>
      <c r="J495" s="35"/>
      <c r="K495" s="33"/>
      <c r="L495" s="37" t="str">
        <f aca="true">IF(OR(E495="",I495&lt;&gt;"Open",H495=""),"",IF(H495&lt;TODAY(),"Overdue",""))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3"/>
      <c r="G496" s="35"/>
      <c r="H496" s="35"/>
      <c r="I496" s="32"/>
      <c r="J496" s="35"/>
      <c r="K496" s="33"/>
      <c r="L496" s="37" t="str">
        <f aca="true">IF(OR(E496="",I496&lt;&gt;"Open",H496=""),"",IF(H496&lt;TODAY(),"Overdue",""))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3"/>
      <c r="G497" s="35"/>
      <c r="H497" s="35"/>
      <c r="I497" s="32"/>
      <c r="J497" s="35"/>
      <c r="K497" s="33"/>
      <c r="L497" s="37" t="str">
        <f aca="true">IF(OR(E497="",I497&lt;&gt;"Open",H497=""),"",IF(H497&lt;TODAY(),"Overdue",""))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3"/>
      <c r="G498" s="35"/>
      <c r="H498" s="35"/>
      <c r="I498" s="32"/>
      <c r="J498" s="35"/>
      <c r="K498" s="33"/>
      <c r="L498" s="37" t="str">
        <f aca="true">IF(OR(E498="",I498&lt;&gt;"Open",H498=""),"",IF(H498&lt;TODAY(),"Overdue",""))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3"/>
      <c r="G499" s="35"/>
      <c r="H499" s="35"/>
      <c r="I499" s="32"/>
      <c r="J499" s="35"/>
      <c r="K499" s="33"/>
      <c r="L499" s="37" t="str">
        <f aca="true">IF(OR(E499="",I499&lt;&gt;"Open",H499=""),"",IF(H499&lt;TODAY(),"Overdue",""))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3"/>
      <c r="G500" s="35"/>
      <c r="H500" s="35"/>
      <c r="I500" s="32"/>
      <c r="J500" s="35"/>
      <c r="K500" s="33"/>
      <c r="L500" s="37" t="str">
        <f aca="true">IF(OR(E500="",I500&lt;&gt;"Open",H500=""),"",IF(H500&lt;TODAY(),"Overdue",""))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3"/>
      <c r="G501" s="35"/>
      <c r="H501" s="35"/>
      <c r="I501" s="32"/>
      <c r="J501" s="35"/>
      <c r="K501" s="33"/>
      <c r="L501" s="37" t="str">
        <f aca="true">IF(OR(E501="",I501&lt;&gt;"Open",H501=""),"",IF(H501&lt;TODAY(),"Overdue",""))</f>
        <v/>
      </c>
    </row>
  </sheetData>
  <autoFilter ref="A1:L501"/>
  <conditionalFormatting sqref="I2:I501">
    <cfRule type="expression" priority="2" aboveAverage="0" equalAverage="0" bottom="0" percent="0" rank="0" text="" dxfId="16">
      <formula>OR(I2="Done",I2="Closed",I2="Complete",I2="Paid")</formula>
    </cfRule>
  </conditionalFormatting>
  <conditionalFormatting sqref="L2:L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G2:H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lst_Direction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lst_CorrStatus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30"/>
  </cols>
  <sheetData>
    <row r="1" customFormat="false" ht="33.75" hidden="false" customHeight="true" outlineLevel="0" collapsed="false">
      <c r="A1" s="17" t="s">
        <v>110</v>
      </c>
      <c r="B1" s="17" t="s">
        <v>323</v>
      </c>
      <c r="C1" s="17" t="s">
        <v>193</v>
      </c>
      <c r="D1" s="17" t="s">
        <v>232</v>
      </c>
      <c r="E1" s="17" t="s">
        <v>324</v>
      </c>
      <c r="F1" s="17" t="s">
        <v>111</v>
      </c>
      <c r="G1" s="17" t="s">
        <v>325</v>
      </c>
      <c r="H1" s="17" t="s">
        <v>214</v>
      </c>
      <c r="I1" s="17" t="s">
        <v>235</v>
      </c>
      <c r="J1" s="17" t="s">
        <v>326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5"/>
      <c r="H2" s="33"/>
      <c r="I2" s="33"/>
      <c r="J2" s="32"/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5"/>
      <c r="H3" s="33"/>
      <c r="I3" s="33"/>
      <c r="J3" s="32"/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5"/>
      <c r="H4" s="33"/>
      <c r="I4" s="33"/>
      <c r="J4" s="32"/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5"/>
      <c r="H5" s="33"/>
      <c r="I5" s="33"/>
      <c r="J5" s="32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5"/>
      <c r="H6" s="33"/>
      <c r="I6" s="33"/>
      <c r="J6" s="32"/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5"/>
      <c r="H7" s="33"/>
      <c r="I7" s="33"/>
      <c r="J7" s="32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5"/>
      <c r="H8" s="33"/>
      <c r="I8" s="33"/>
      <c r="J8" s="32"/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5"/>
      <c r="H9" s="33"/>
      <c r="I9" s="33"/>
      <c r="J9" s="32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5"/>
      <c r="H10" s="33"/>
      <c r="I10" s="33"/>
      <c r="J10" s="32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5"/>
      <c r="H11" s="33"/>
      <c r="I11" s="33"/>
      <c r="J11" s="32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5"/>
      <c r="H12" s="33"/>
      <c r="I12" s="33"/>
      <c r="J12" s="32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5"/>
      <c r="H13" s="33"/>
      <c r="I13" s="33"/>
      <c r="J13" s="32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5"/>
      <c r="H14" s="33"/>
      <c r="I14" s="33"/>
      <c r="J14" s="32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5"/>
      <c r="H15" s="33"/>
      <c r="I15" s="33"/>
      <c r="J15" s="32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5"/>
      <c r="H16" s="33"/>
      <c r="I16" s="33"/>
      <c r="J16" s="32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5"/>
      <c r="H17" s="33"/>
      <c r="I17" s="33"/>
      <c r="J17" s="32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5"/>
      <c r="H18" s="33"/>
      <c r="I18" s="33"/>
      <c r="J18" s="32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5"/>
      <c r="H19" s="33"/>
      <c r="I19" s="33"/>
      <c r="J19" s="32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5"/>
      <c r="H20" s="33"/>
      <c r="I20" s="33"/>
      <c r="J20" s="32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5"/>
      <c r="H21" s="33"/>
      <c r="I21" s="33"/>
      <c r="J21" s="32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5"/>
      <c r="H22" s="33"/>
      <c r="I22" s="33"/>
      <c r="J22" s="32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5"/>
      <c r="H23" s="33"/>
      <c r="I23" s="33"/>
      <c r="J23" s="32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5"/>
      <c r="H24" s="33"/>
      <c r="I24" s="33"/>
      <c r="J24" s="32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5"/>
      <c r="H25" s="33"/>
      <c r="I25" s="33"/>
      <c r="J25" s="32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5"/>
      <c r="H26" s="33"/>
      <c r="I26" s="33"/>
      <c r="J26" s="32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5"/>
      <c r="H27" s="33"/>
      <c r="I27" s="33"/>
      <c r="J27" s="32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5"/>
      <c r="H28" s="33"/>
      <c r="I28" s="33"/>
      <c r="J28" s="32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5"/>
      <c r="H29" s="33"/>
      <c r="I29" s="33"/>
      <c r="J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5"/>
      <c r="H30" s="33"/>
      <c r="I30" s="33"/>
      <c r="J30" s="32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5"/>
      <c r="H31" s="33"/>
      <c r="I31" s="33"/>
      <c r="J31" s="32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5"/>
      <c r="H32" s="33"/>
      <c r="I32" s="33"/>
      <c r="J32" s="32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5"/>
      <c r="H33" s="33"/>
      <c r="I33" s="33"/>
      <c r="J33" s="32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5"/>
      <c r="H34" s="33"/>
      <c r="I34" s="33"/>
      <c r="J34" s="32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5"/>
      <c r="H35" s="33"/>
      <c r="I35" s="33"/>
      <c r="J35" s="32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5"/>
      <c r="H36" s="33"/>
      <c r="I36" s="33"/>
      <c r="J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5"/>
      <c r="H37" s="33"/>
      <c r="I37" s="33"/>
      <c r="J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5"/>
      <c r="H38" s="33"/>
      <c r="I38" s="33"/>
      <c r="J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5"/>
      <c r="H39" s="33"/>
      <c r="I39" s="33"/>
      <c r="J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5"/>
      <c r="H40" s="33"/>
      <c r="I40" s="33"/>
      <c r="J40" s="32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5"/>
      <c r="H41" s="33"/>
      <c r="I41" s="33"/>
      <c r="J41" s="32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5"/>
      <c r="H42" s="33"/>
      <c r="I42" s="33"/>
      <c r="J42" s="32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5"/>
      <c r="H43" s="33"/>
      <c r="I43" s="33"/>
      <c r="J43" s="32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5"/>
      <c r="H44" s="33"/>
      <c r="I44" s="33"/>
      <c r="J44" s="32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5"/>
      <c r="H45" s="33"/>
      <c r="I45" s="33"/>
      <c r="J45" s="32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5"/>
      <c r="H46" s="33"/>
      <c r="I46" s="33"/>
      <c r="J46" s="32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5"/>
      <c r="H47" s="33"/>
      <c r="I47" s="33"/>
      <c r="J47" s="32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5"/>
      <c r="H48" s="33"/>
      <c r="I48" s="33"/>
      <c r="J48" s="32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5"/>
      <c r="H49" s="33"/>
      <c r="I49" s="33"/>
      <c r="J49" s="32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5"/>
      <c r="H50" s="33"/>
      <c r="I50" s="33"/>
      <c r="J50" s="32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5"/>
      <c r="H51" s="33"/>
      <c r="I51" s="33"/>
      <c r="J51" s="32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5"/>
      <c r="H52" s="33"/>
      <c r="I52" s="33"/>
      <c r="J52" s="32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5"/>
      <c r="H53" s="33"/>
      <c r="I53" s="33"/>
      <c r="J53" s="32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5"/>
      <c r="H54" s="33"/>
      <c r="I54" s="33"/>
      <c r="J54" s="32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5"/>
      <c r="H55" s="33"/>
      <c r="I55" s="33"/>
      <c r="J55" s="32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5"/>
      <c r="H56" s="33"/>
      <c r="I56" s="33"/>
      <c r="J56" s="32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5"/>
      <c r="H57" s="33"/>
      <c r="I57" s="33"/>
      <c r="J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5"/>
      <c r="H58" s="33"/>
      <c r="I58" s="33"/>
      <c r="J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5"/>
      <c r="H59" s="33"/>
      <c r="I59" s="33"/>
      <c r="J59" s="32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5"/>
      <c r="H60" s="33"/>
      <c r="I60" s="33"/>
      <c r="J60" s="32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5"/>
      <c r="H61" s="33"/>
      <c r="I61" s="33"/>
      <c r="J61" s="32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5"/>
      <c r="H62" s="33"/>
      <c r="I62" s="33"/>
      <c r="J62" s="32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5"/>
      <c r="H63" s="33"/>
      <c r="I63" s="33"/>
      <c r="J63" s="32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5"/>
      <c r="H64" s="33"/>
      <c r="I64" s="33"/>
      <c r="J64" s="32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5"/>
      <c r="H65" s="33"/>
      <c r="I65" s="33"/>
      <c r="J65" s="32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5"/>
      <c r="H66" s="33"/>
      <c r="I66" s="33"/>
      <c r="J66" s="32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5"/>
      <c r="H67" s="33"/>
      <c r="I67" s="33"/>
      <c r="J67" s="32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5"/>
      <c r="H68" s="33"/>
      <c r="I68" s="33"/>
      <c r="J68" s="32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5"/>
      <c r="H69" s="33"/>
      <c r="I69" s="33"/>
      <c r="J69" s="32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5"/>
      <c r="H70" s="33"/>
      <c r="I70" s="33"/>
      <c r="J70" s="32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5"/>
      <c r="H71" s="33"/>
      <c r="I71" s="33"/>
      <c r="J71" s="32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5"/>
      <c r="H72" s="33"/>
      <c r="I72" s="33"/>
      <c r="J72" s="32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5"/>
      <c r="H73" s="33"/>
      <c r="I73" s="33"/>
      <c r="J73" s="32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5"/>
      <c r="H74" s="33"/>
      <c r="I74" s="33"/>
      <c r="J74" s="32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5"/>
      <c r="H75" s="33"/>
      <c r="I75" s="33"/>
      <c r="J75" s="32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5"/>
      <c r="H76" s="33"/>
      <c r="I76" s="33"/>
      <c r="J76" s="32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5"/>
      <c r="H77" s="33"/>
      <c r="I77" s="33"/>
      <c r="J77" s="32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5"/>
      <c r="H78" s="33"/>
      <c r="I78" s="33"/>
      <c r="J78" s="32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5"/>
      <c r="H79" s="33"/>
      <c r="I79" s="33"/>
      <c r="J79" s="32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5"/>
      <c r="H80" s="33"/>
      <c r="I80" s="33"/>
      <c r="J80" s="32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5"/>
      <c r="H81" s="33"/>
      <c r="I81" s="33"/>
      <c r="J81" s="32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5"/>
      <c r="H82" s="33"/>
      <c r="I82" s="33"/>
      <c r="J82" s="32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5"/>
      <c r="H83" s="33"/>
      <c r="I83" s="33"/>
      <c r="J83" s="32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5"/>
      <c r="H84" s="33"/>
      <c r="I84" s="33"/>
      <c r="J84" s="32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5"/>
      <c r="H85" s="33"/>
      <c r="I85" s="33"/>
      <c r="J85" s="32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5"/>
      <c r="H86" s="33"/>
      <c r="I86" s="33"/>
      <c r="J86" s="32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5"/>
      <c r="H87" s="33"/>
      <c r="I87" s="33"/>
      <c r="J87" s="32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5"/>
      <c r="H88" s="33"/>
      <c r="I88" s="33"/>
      <c r="J88" s="32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5"/>
      <c r="H89" s="33"/>
      <c r="I89" s="33"/>
      <c r="J89" s="32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5"/>
      <c r="H90" s="33"/>
      <c r="I90" s="33"/>
      <c r="J90" s="32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5"/>
      <c r="H91" s="33"/>
      <c r="I91" s="33"/>
      <c r="J91" s="32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5"/>
      <c r="H92" s="33"/>
      <c r="I92" s="33"/>
      <c r="J92" s="32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5"/>
      <c r="H93" s="33"/>
      <c r="I93" s="33"/>
      <c r="J93" s="32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5"/>
      <c r="H94" s="33"/>
      <c r="I94" s="33"/>
      <c r="J94" s="32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5"/>
      <c r="H95" s="33"/>
      <c r="I95" s="33"/>
      <c r="J95" s="32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5"/>
      <c r="H96" s="33"/>
      <c r="I96" s="33"/>
      <c r="J96" s="32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5"/>
      <c r="H97" s="33"/>
      <c r="I97" s="33"/>
      <c r="J97" s="32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5"/>
      <c r="H98" s="33"/>
      <c r="I98" s="33"/>
      <c r="J98" s="32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5"/>
      <c r="H99" s="33"/>
      <c r="I99" s="33"/>
      <c r="J99" s="32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5"/>
      <c r="H100" s="33"/>
      <c r="I100" s="33"/>
      <c r="J100" s="32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5"/>
      <c r="H101" s="33"/>
      <c r="I101" s="33"/>
      <c r="J101" s="32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5"/>
      <c r="H102" s="33"/>
      <c r="I102" s="33"/>
      <c r="J102" s="32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5"/>
      <c r="H103" s="33"/>
      <c r="I103" s="33"/>
      <c r="J103" s="32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5"/>
      <c r="H104" s="33"/>
      <c r="I104" s="33"/>
      <c r="J104" s="32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5"/>
      <c r="H105" s="33"/>
      <c r="I105" s="33"/>
      <c r="J105" s="32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5"/>
      <c r="H106" s="33"/>
      <c r="I106" s="33"/>
      <c r="J106" s="32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5"/>
      <c r="H107" s="33"/>
      <c r="I107" s="33"/>
      <c r="J107" s="32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5"/>
      <c r="H108" s="33"/>
      <c r="I108" s="33"/>
      <c r="J108" s="32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5"/>
      <c r="H109" s="33"/>
      <c r="I109" s="33"/>
      <c r="J109" s="32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5"/>
      <c r="H110" s="33"/>
      <c r="I110" s="33"/>
      <c r="J110" s="32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5"/>
      <c r="H111" s="33"/>
      <c r="I111" s="33"/>
      <c r="J111" s="32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5"/>
      <c r="H112" s="33"/>
      <c r="I112" s="33"/>
      <c r="J112" s="32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5"/>
      <c r="H113" s="33"/>
      <c r="I113" s="33"/>
      <c r="J113" s="32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5"/>
      <c r="H114" s="33"/>
      <c r="I114" s="33"/>
      <c r="J114" s="32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5"/>
      <c r="H115" s="33"/>
      <c r="I115" s="33"/>
      <c r="J115" s="32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5"/>
      <c r="H116" s="33"/>
      <c r="I116" s="33"/>
      <c r="J116" s="32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5"/>
      <c r="H117" s="33"/>
      <c r="I117" s="33"/>
      <c r="J117" s="32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5"/>
      <c r="H118" s="33"/>
      <c r="I118" s="33"/>
      <c r="J118" s="32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5"/>
      <c r="H119" s="33"/>
      <c r="I119" s="33"/>
      <c r="J119" s="32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5"/>
      <c r="H120" s="33"/>
      <c r="I120" s="33"/>
      <c r="J120" s="32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5"/>
      <c r="H121" s="33"/>
      <c r="I121" s="33"/>
      <c r="J121" s="32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5"/>
      <c r="H122" s="33"/>
      <c r="I122" s="33"/>
      <c r="J122" s="32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5"/>
      <c r="H123" s="33"/>
      <c r="I123" s="33"/>
      <c r="J123" s="32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5"/>
      <c r="H124" s="33"/>
      <c r="I124" s="33"/>
      <c r="J124" s="32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5"/>
      <c r="H125" s="33"/>
      <c r="I125" s="33"/>
      <c r="J125" s="32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5"/>
      <c r="H126" s="33"/>
      <c r="I126" s="33"/>
      <c r="J126" s="32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5"/>
      <c r="H127" s="33"/>
      <c r="I127" s="33"/>
      <c r="J127" s="32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5"/>
      <c r="H128" s="33"/>
      <c r="I128" s="33"/>
      <c r="J128" s="32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5"/>
      <c r="H129" s="33"/>
      <c r="I129" s="33"/>
      <c r="J129" s="32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5"/>
      <c r="H130" s="33"/>
      <c r="I130" s="33"/>
      <c r="J130" s="32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5"/>
      <c r="H131" s="33"/>
      <c r="I131" s="33"/>
      <c r="J131" s="32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5"/>
      <c r="H132" s="33"/>
      <c r="I132" s="33"/>
      <c r="J132" s="32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5"/>
      <c r="H133" s="33"/>
      <c r="I133" s="33"/>
      <c r="J133" s="32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5"/>
      <c r="H134" s="33"/>
      <c r="I134" s="33"/>
      <c r="J134" s="32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5"/>
      <c r="H135" s="33"/>
      <c r="I135" s="33"/>
      <c r="J135" s="32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5"/>
      <c r="H136" s="33"/>
      <c r="I136" s="33"/>
      <c r="J136" s="32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5"/>
      <c r="H137" s="33"/>
      <c r="I137" s="33"/>
      <c r="J137" s="32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5"/>
      <c r="H138" s="33"/>
      <c r="I138" s="33"/>
      <c r="J138" s="32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5"/>
      <c r="H139" s="33"/>
      <c r="I139" s="33"/>
      <c r="J139" s="32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5"/>
      <c r="H140" s="33"/>
      <c r="I140" s="33"/>
      <c r="J140" s="32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5"/>
      <c r="H141" s="33"/>
      <c r="I141" s="33"/>
      <c r="J141" s="32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5"/>
      <c r="H142" s="33"/>
      <c r="I142" s="33"/>
      <c r="J142" s="32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5"/>
      <c r="H143" s="33"/>
      <c r="I143" s="33"/>
      <c r="J143" s="32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5"/>
      <c r="H144" s="33"/>
      <c r="I144" s="33"/>
      <c r="J144" s="32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5"/>
      <c r="H145" s="33"/>
      <c r="I145" s="33"/>
      <c r="J145" s="32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5"/>
      <c r="H146" s="33"/>
      <c r="I146" s="33"/>
      <c r="J146" s="32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5"/>
      <c r="H147" s="33"/>
      <c r="I147" s="33"/>
      <c r="J147" s="32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5"/>
      <c r="H148" s="33"/>
      <c r="I148" s="33"/>
      <c r="J148" s="32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5"/>
      <c r="H149" s="33"/>
      <c r="I149" s="33"/>
      <c r="J149" s="32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5"/>
      <c r="H150" s="33"/>
      <c r="I150" s="33"/>
      <c r="J150" s="32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5"/>
      <c r="H151" s="33"/>
      <c r="I151" s="33"/>
      <c r="J151" s="32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5"/>
      <c r="H152" s="33"/>
      <c r="I152" s="33"/>
      <c r="J152" s="32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5"/>
      <c r="H153" s="33"/>
      <c r="I153" s="33"/>
      <c r="J153" s="32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5"/>
      <c r="H154" s="33"/>
      <c r="I154" s="33"/>
      <c r="J154" s="32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5"/>
      <c r="H155" s="33"/>
      <c r="I155" s="33"/>
      <c r="J155" s="32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5"/>
      <c r="H156" s="33"/>
      <c r="I156" s="33"/>
      <c r="J156" s="32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5"/>
      <c r="H157" s="33"/>
      <c r="I157" s="33"/>
      <c r="J157" s="32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5"/>
      <c r="H158" s="33"/>
      <c r="I158" s="33"/>
      <c r="J158" s="32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5"/>
      <c r="H159" s="33"/>
      <c r="I159" s="33"/>
      <c r="J159" s="32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5"/>
      <c r="H160" s="33"/>
      <c r="I160" s="33"/>
      <c r="J160" s="32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5"/>
      <c r="H161" s="33"/>
      <c r="I161" s="33"/>
      <c r="J161" s="32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5"/>
      <c r="H162" s="33"/>
      <c r="I162" s="33"/>
      <c r="J162" s="32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5"/>
      <c r="H163" s="33"/>
      <c r="I163" s="33"/>
      <c r="J163" s="32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5"/>
      <c r="H164" s="33"/>
      <c r="I164" s="33"/>
      <c r="J164" s="32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5"/>
      <c r="H165" s="33"/>
      <c r="I165" s="33"/>
      <c r="J165" s="32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5"/>
      <c r="H166" s="33"/>
      <c r="I166" s="33"/>
      <c r="J166" s="32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5"/>
      <c r="H167" s="33"/>
      <c r="I167" s="33"/>
      <c r="J167" s="32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5"/>
      <c r="H168" s="33"/>
      <c r="I168" s="33"/>
      <c r="J168" s="32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5"/>
      <c r="H169" s="33"/>
      <c r="I169" s="33"/>
      <c r="J169" s="32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5"/>
      <c r="H170" s="33"/>
      <c r="I170" s="33"/>
      <c r="J170" s="32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5"/>
      <c r="H171" s="33"/>
      <c r="I171" s="33"/>
      <c r="J171" s="32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5"/>
      <c r="H172" s="33"/>
      <c r="I172" s="33"/>
      <c r="J172" s="32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5"/>
      <c r="H173" s="33"/>
      <c r="I173" s="33"/>
      <c r="J173" s="32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5"/>
      <c r="H174" s="33"/>
      <c r="I174" s="33"/>
      <c r="J174" s="32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5"/>
      <c r="H175" s="33"/>
      <c r="I175" s="33"/>
      <c r="J175" s="32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5"/>
      <c r="H176" s="33"/>
      <c r="I176" s="33"/>
      <c r="J176" s="32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5"/>
      <c r="H177" s="33"/>
      <c r="I177" s="33"/>
      <c r="J177" s="32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5"/>
      <c r="H178" s="33"/>
      <c r="I178" s="33"/>
      <c r="J178" s="32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5"/>
      <c r="H179" s="33"/>
      <c r="I179" s="33"/>
      <c r="J179" s="32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5"/>
      <c r="H180" s="33"/>
      <c r="I180" s="33"/>
      <c r="J180" s="32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5"/>
      <c r="H181" s="33"/>
      <c r="I181" s="33"/>
      <c r="J181" s="32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5"/>
      <c r="H182" s="33"/>
      <c r="I182" s="33"/>
      <c r="J182" s="32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5"/>
      <c r="H183" s="33"/>
      <c r="I183" s="33"/>
      <c r="J183" s="32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5"/>
      <c r="H184" s="33"/>
      <c r="I184" s="33"/>
      <c r="J184" s="32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5"/>
      <c r="H185" s="33"/>
      <c r="I185" s="33"/>
      <c r="J185" s="32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5"/>
      <c r="H186" s="33"/>
      <c r="I186" s="33"/>
      <c r="J186" s="32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5"/>
      <c r="H187" s="33"/>
      <c r="I187" s="33"/>
      <c r="J187" s="32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5"/>
      <c r="H188" s="33"/>
      <c r="I188" s="33"/>
      <c r="J188" s="32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5"/>
      <c r="H189" s="33"/>
      <c r="I189" s="33"/>
      <c r="J189" s="32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5"/>
      <c r="H190" s="33"/>
      <c r="I190" s="33"/>
      <c r="J190" s="32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5"/>
      <c r="H191" s="33"/>
      <c r="I191" s="33"/>
      <c r="J191" s="32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5"/>
      <c r="H192" s="33"/>
      <c r="I192" s="33"/>
      <c r="J192" s="32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5"/>
      <c r="H193" s="33"/>
      <c r="I193" s="33"/>
      <c r="J193" s="32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5"/>
      <c r="H194" s="33"/>
      <c r="I194" s="33"/>
      <c r="J194" s="32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5"/>
      <c r="H195" s="33"/>
      <c r="I195" s="33"/>
      <c r="J195" s="32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5"/>
      <c r="H196" s="33"/>
      <c r="I196" s="33"/>
      <c r="J196" s="32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5"/>
      <c r="H197" s="33"/>
      <c r="I197" s="33"/>
      <c r="J197" s="32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5"/>
      <c r="H198" s="33"/>
      <c r="I198" s="33"/>
      <c r="J198" s="32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5"/>
      <c r="H199" s="33"/>
      <c r="I199" s="33"/>
      <c r="J199" s="32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5"/>
      <c r="H200" s="33"/>
      <c r="I200" s="33"/>
      <c r="J200" s="32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5"/>
      <c r="H201" s="33"/>
      <c r="I201" s="33"/>
      <c r="J201" s="32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5"/>
      <c r="H202" s="33"/>
      <c r="I202" s="33"/>
      <c r="J202" s="32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5"/>
      <c r="H203" s="33"/>
      <c r="I203" s="33"/>
      <c r="J203" s="32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5"/>
      <c r="H204" s="33"/>
      <c r="I204" s="33"/>
      <c r="J204" s="32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5"/>
      <c r="H205" s="33"/>
      <c r="I205" s="33"/>
      <c r="J205" s="32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5"/>
      <c r="H206" s="33"/>
      <c r="I206" s="33"/>
      <c r="J206" s="32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5"/>
      <c r="H207" s="33"/>
      <c r="I207" s="33"/>
      <c r="J207" s="32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5"/>
      <c r="H208" s="33"/>
      <c r="I208" s="33"/>
      <c r="J208" s="32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5"/>
      <c r="H209" s="33"/>
      <c r="I209" s="33"/>
      <c r="J209" s="32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5"/>
      <c r="H210" s="33"/>
      <c r="I210" s="33"/>
      <c r="J210" s="32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5"/>
      <c r="H211" s="33"/>
      <c r="I211" s="33"/>
      <c r="J211" s="32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5"/>
      <c r="H212" s="33"/>
      <c r="I212" s="33"/>
      <c r="J212" s="32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5"/>
      <c r="H213" s="33"/>
      <c r="I213" s="33"/>
      <c r="J213" s="32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5"/>
      <c r="H214" s="33"/>
      <c r="I214" s="33"/>
      <c r="J214" s="32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5"/>
      <c r="H215" s="33"/>
      <c r="I215" s="33"/>
      <c r="J215" s="32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5"/>
      <c r="H216" s="33"/>
      <c r="I216" s="33"/>
      <c r="J216" s="32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5"/>
      <c r="H217" s="33"/>
      <c r="I217" s="33"/>
      <c r="J217" s="32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5"/>
      <c r="H218" s="33"/>
      <c r="I218" s="33"/>
      <c r="J218" s="32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5"/>
      <c r="H219" s="33"/>
      <c r="I219" s="33"/>
      <c r="J219" s="32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5"/>
      <c r="H220" s="33"/>
      <c r="I220" s="33"/>
      <c r="J220" s="32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5"/>
      <c r="H221" s="33"/>
      <c r="I221" s="33"/>
      <c r="J221" s="32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5"/>
      <c r="H222" s="33"/>
      <c r="I222" s="33"/>
      <c r="J222" s="32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5"/>
      <c r="H223" s="33"/>
      <c r="I223" s="33"/>
      <c r="J223" s="32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5"/>
      <c r="H224" s="33"/>
      <c r="I224" s="33"/>
      <c r="J224" s="32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5"/>
      <c r="H225" s="33"/>
      <c r="I225" s="33"/>
      <c r="J225" s="32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5"/>
      <c r="H226" s="33"/>
      <c r="I226" s="33"/>
      <c r="J226" s="32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5"/>
      <c r="H227" s="33"/>
      <c r="I227" s="33"/>
      <c r="J227" s="32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5"/>
      <c r="H228" s="33"/>
      <c r="I228" s="33"/>
      <c r="J228" s="32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5"/>
      <c r="H229" s="33"/>
      <c r="I229" s="33"/>
      <c r="J229" s="32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5"/>
      <c r="H230" s="33"/>
      <c r="I230" s="33"/>
      <c r="J230" s="32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5"/>
      <c r="H231" s="33"/>
      <c r="I231" s="33"/>
      <c r="J231" s="32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5"/>
      <c r="H232" s="33"/>
      <c r="I232" s="33"/>
      <c r="J232" s="32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5"/>
      <c r="H233" s="33"/>
      <c r="I233" s="33"/>
      <c r="J233" s="32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5"/>
      <c r="H234" s="33"/>
      <c r="I234" s="33"/>
      <c r="J234" s="32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5"/>
      <c r="H235" s="33"/>
      <c r="I235" s="33"/>
      <c r="J235" s="32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5"/>
      <c r="H236" s="33"/>
      <c r="I236" s="33"/>
      <c r="J236" s="32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5"/>
      <c r="H237" s="33"/>
      <c r="I237" s="33"/>
      <c r="J237" s="32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5"/>
      <c r="H238" s="33"/>
      <c r="I238" s="33"/>
      <c r="J238" s="32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5"/>
      <c r="H239" s="33"/>
      <c r="I239" s="33"/>
      <c r="J239" s="32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5"/>
      <c r="H240" s="33"/>
      <c r="I240" s="33"/>
      <c r="J240" s="32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5"/>
      <c r="H241" s="33"/>
      <c r="I241" s="33"/>
      <c r="J241" s="32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5"/>
      <c r="H242" s="33"/>
      <c r="I242" s="33"/>
      <c r="J242" s="32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5"/>
      <c r="H243" s="33"/>
      <c r="I243" s="33"/>
      <c r="J243" s="32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5"/>
      <c r="H244" s="33"/>
      <c r="I244" s="33"/>
      <c r="J244" s="32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5"/>
      <c r="H245" s="33"/>
      <c r="I245" s="33"/>
      <c r="J245" s="32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5"/>
      <c r="H246" s="33"/>
      <c r="I246" s="33"/>
      <c r="J246" s="32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5"/>
      <c r="H247" s="33"/>
      <c r="I247" s="33"/>
      <c r="J247" s="32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5"/>
      <c r="H248" s="33"/>
      <c r="I248" s="33"/>
      <c r="J248" s="32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5"/>
      <c r="H249" s="33"/>
      <c r="I249" s="33"/>
      <c r="J249" s="32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5"/>
      <c r="H250" s="33"/>
      <c r="I250" s="33"/>
      <c r="J250" s="32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5"/>
      <c r="H251" s="33"/>
      <c r="I251" s="33"/>
      <c r="J251" s="32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5"/>
      <c r="H252" s="33"/>
      <c r="I252" s="33"/>
      <c r="J252" s="32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5"/>
      <c r="H253" s="33"/>
      <c r="I253" s="33"/>
      <c r="J253" s="32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5"/>
      <c r="H254" s="33"/>
      <c r="I254" s="33"/>
      <c r="J254" s="32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5"/>
      <c r="H255" s="33"/>
      <c r="I255" s="33"/>
      <c r="J255" s="32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5"/>
      <c r="H256" s="33"/>
      <c r="I256" s="33"/>
      <c r="J256" s="32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5"/>
      <c r="H257" s="33"/>
      <c r="I257" s="33"/>
      <c r="J257" s="32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5"/>
      <c r="H258" s="33"/>
      <c r="I258" s="33"/>
      <c r="J258" s="32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5"/>
      <c r="H259" s="33"/>
      <c r="I259" s="33"/>
      <c r="J259" s="32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5"/>
      <c r="H260" s="33"/>
      <c r="I260" s="33"/>
      <c r="J260" s="32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5"/>
      <c r="H261" s="33"/>
      <c r="I261" s="33"/>
      <c r="J261" s="32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5"/>
      <c r="H262" s="33"/>
      <c r="I262" s="33"/>
      <c r="J262" s="32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5"/>
      <c r="H263" s="33"/>
      <c r="I263" s="33"/>
      <c r="J263" s="32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5"/>
      <c r="H264" s="33"/>
      <c r="I264" s="33"/>
      <c r="J264" s="32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5"/>
      <c r="H265" s="33"/>
      <c r="I265" s="33"/>
      <c r="J265" s="32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5"/>
      <c r="H266" s="33"/>
      <c r="I266" s="33"/>
      <c r="J266" s="32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5"/>
      <c r="H267" s="33"/>
      <c r="I267" s="33"/>
      <c r="J267" s="32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5"/>
      <c r="H268" s="33"/>
      <c r="I268" s="33"/>
      <c r="J268" s="32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5"/>
      <c r="H269" s="33"/>
      <c r="I269" s="33"/>
      <c r="J269" s="32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5"/>
      <c r="H270" s="33"/>
      <c r="I270" s="33"/>
      <c r="J270" s="32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5"/>
      <c r="H271" s="33"/>
      <c r="I271" s="33"/>
      <c r="J271" s="32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5"/>
      <c r="H272" s="33"/>
      <c r="I272" s="33"/>
      <c r="J272" s="32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5"/>
      <c r="H273" s="33"/>
      <c r="I273" s="33"/>
      <c r="J273" s="32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5"/>
      <c r="H274" s="33"/>
      <c r="I274" s="33"/>
      <c r="J274" s="32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5"/>
      <c r="H275" s="33"/>
      <c r="I275" s="33"/>
      <c r="J275" s="32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5"/>
      <c r="H276" s="33"/>
      <c r="I276" s="33"/>
      <c r="J276" s="32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5"/>
      <c r="H277" s="33"/>
      <c r="I277" s="33"/>
      <c r="J277" s="32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5"/>
      <c r="H278" s="33"/>
      <c r="I278" s="33"/>
      <c r="J278" s="32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5"/>
      <c r="H279" s="33"/>
      <c r="I279" s="33"/>
      <c r="J279" s="32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5"/>
      <c r="H280" s="33"/>
      <c r="I280" s="33"/>
      <c r="J280" s="32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5"/>
      <c r="H281" s="33"/>
      <c r="I281" s="33"/>
      <c r="J281" s="32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5"/>
      <c r="H282" s="33"/>
      <c r="I282" s="33"/>
      <c r="J282" s="32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5"/>
      <c r="H283" s="33"/>
      <c r="I283" s="33"/>
      <c r="J283" s="32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5"/>
      <c r="H284" s="33"/>
      <c r="I284" s="33"/>
      <c r="J284" s="32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5"/>
      <c r="H285" s="33"/>
      <c r="I285" s="33"/>
      <c r="J285" s="32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5"/>
      <c r="H286" s="33"/>
      <c r="I286" s="33"/>
      <c r="J286" s="32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5"/>
      <c r="H287" s="33"/>
      <c r="I287" s="33"/>
      <c r="J287" s="32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5"/>
      <c r="H288" s="33"/>
      <c r="I288" s="33"/>
      <c r="J288" s="32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5"/>
      <c r="H289" s="33"/>
      <c r="I289" s="33"/>
      <c r="J289" s="32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5"/>
      <c r="H290" s="33"/>
      <c r="I290" s="33"/>
      <c r="J290" s="32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5"/>
      <c r="H291" s="33"/>
      <c r="I291" s="33"/>
      <c r="J291" s="32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5"/>
      <c r="H292" s="33"/>
      <c r="I292" s="33"/>
      <c r="J292" s="32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5"/>
      <c r="H293" s="33"/>
      <c r="I293" s="33"/>
      <c r="J293" s="32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5"/>
      <c r="H294" s="33"/>
      <c r="I294" s="33"/>
      <c r="J294" s="32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5"/>
      <c r="H295" s="33"/>
      <c r="I295" s="33"/>
      <c r="J295" s="32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5"/>
      <c r="H296" s="33"/>
      <c r="I296" s="33"/>
      <c r="J296" s="32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5"/>
      <c r="H297" s="33"/>
      <c r="I297" s="33"/>
      <c r="J297" s="32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5"/>
      <c r="H298" s="33"/>
      <c r="I298" s="33"/>
      <c r="J298" s="32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5"/>
      <c r="H299" s="33"/>
      <c r="I299" s="33"/>
      <c r="J299" s="32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5"/>
      <c r="H300" s="33"/>
      <c r="I300" s="33"/>
      <c r="J300" s="32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5"/>
      <c r="H301" s="33"/>
      <c r="I301" s="33"/>
      <c r="J301" s="32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5"/>
      <c r="H302" s="33"/>
      <c r="I302" s="33"/>
      <c r="J302" s="32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5"/>
      <c r="H303" s="33"/>
      <c r="I303" s="33"/>
      <c r="J303" s="32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5"/>
      <c r="H304" s="33"/>
      <c r="I304" s="33"/>
      <c r="J304" s="32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5"/>
      <c r="H305" s="33"/>
      <c r="I305" s="33"/>
      <c r="J305" s="32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5"/>
      <c r="H306" s="33"/>
      <c r="I306" s="33"/>
      <c r="J306" s="32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5"/>
      <c r="H307" s="33"/>
      <c r="I307" s="33"/>
      <c r="J307" s="32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5"/>
      <c r="H308" s="33"/>
      <c r="I308" s="33"/>
      <c r="J308" s="32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5"/>
      <c r="H309" s="33"/>
      <c r="I309" s="33"/>
      <c r="J309" s="32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5"/>
      <c r="H310" s="33"/>
      <c r="I310" s="33"/>
      <c r="J310" s="32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5"/>
      <c r="H311" s="33"/>
      <c r="I311" s="33"/>
      <c r="J311" s="32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5"/>
      <c r="H312" s="33"/>
      <c r="I312" s="33"/>
      <c r="J312" s="32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5"/>
      <c r="H313" s="33"/>
      <c r="I313" s="33"/>
      <c r="J313" s="32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5"/>
      <c r="H314" s="33"/>
      <c r="I314" s="33"/>
      <c r="J314" s="32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5"/>
      <c r="H315" s="33"/>
      <c r="I315" s="33"/>
      <c r="J315" s="32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5"/>
      <c r="H316" s="33"/>
      <c r="I316" s="33"/>
      <c r="J316" s="32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5"/>
      <c r="H317" s="33"/>
      <c r="I317" s="33"/>
      <c r="J317" s="32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5"/>
      <c r="H318" s="33"/>
      <c r="I318" s="33"/>
      <c r="J318" s="32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5"/>
      <c r="H319" s="33"/>
      <c r="I319" s="33"/>
      <c r="J319" s="32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5"/>
      <c r="H320" s="33"/>
      <c r="I320" s="33"/>
      <c r="J320" s="32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5"/>
      <c r="H321" s="33"/>
      <c r="I321" s="33"/>
      <c r="J321" s="32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5"/>
      <c r="H322" s="33"/>
      <c r="I322" s="33"/>
      <c r="J322" s="32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5"/>
      <c r="H323" s="33"/>
      <c r="I323" s="33"/>
      <c r="J323" s="32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5"/>
      <c r="H324" s="33"/>
      <c r="I324" s="33"/>
      <c r="J324" s="32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5"/>
      <c r="H325" s="33"/>
      <c r="I325" s="33"/>
      <c r="J325" s="32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5"/>
      <c r="H326" s="33"/>
      <c r="I326" s="33"/>
      <c r="J326" s="32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5"/>
      <c r="H327" s="33"/>
      <c r="I327" s="33"/>
      <c r="J327" s="32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5"/>
      <c r="H328" s="33"/>
      <c r="I328" s="33"/>
      <c r="J328" s="32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5"/>
      <c r="H329" s="33"/>
      <c r="I329" s="33"/>
      <c r="J329" s="32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5"/>
      <c r="H330" s="33"/>
      <c r="I330" s="33"/>
      <c r="J330" s="32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5"/>
      <c r="H331" s="33"/>
      <c r="I331" s="33"/>
      <c r="J331" s="32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5"/>
      <c r="H332" s="33"/>
      <c r="I332" s="33"/>
      <c r="J332" s="32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5"/>
      <c r="H333" s="33"/>
      <c r="I333" s="33"/>
      <c r="J333" s="32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5"/>
      <c r="H334" s="33"/>
      <c r="I334" s="33"/>
      <c r="J334" s="32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5"/>
      <c r="H335" s="33"/>
      <c r="I335" s="33"/>
      <c r="J335" s="32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5"/>
      <c r="H336" s="33"/>
      <c r="I336" s="33"/>
      <c r="J336" s="32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5"/>
      <c r="H337" s="33"/>
      <c r="I337" s="33"/>
      <c r="J337" s="32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5"/>
      <c r="H338" s="33"/>
      <c r="I338" s="33"/>
      <c r="J338" s="32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5"/>
      <c r="H339" s="33"/>
      <c r="I339" s="33"/>
      <c r="J339" s="32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5"/>
      <c r="H340" s="33"/>
      <c r="I340" s="33"/>
      <c r="J340" s="32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5"/>
      <c r="H341" s="33"/>
      <c r="I341" s="33"/>
      <c r="J341" s="32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5"/>
      <c r="H342" s="33"/>
      <c r="I342" s="33"/>
      <c r="J342" s="32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5"/>
      <c r="H343" s="33"/>
      <c r="I343" s="33"/>
      <c r="J343" s="32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5"/>
      <c r="H344" s="33"/>
      <c r="I344" s="33"/>
      <c r="J344" s="32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5"/>
      <c r="H345" s="33"/>
      <c r="I345" s="33"/>
      <c r="J345" s="32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5"/>
      <c r="H346" s="33"/>
      <c r="I346" s="33"/>
      <c r="J346" s="32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5"/>
      <c r="H347" s="33"/>
      <c r="I347" s="33"/>
      <c r="J347" s="32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5"/>
      <c r="H348" s="33"/>
      <c r="I348" s="33"/>
      <c r="J348" s="32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5"/>
      <c r="H349" s="33"/>
      <c r="I349" s="33"/>
      <c r="J349" s="32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5"/>
      <c r="H350" s="33"/>
      <c r="I350" s="33"/>
      <c r="J350" s="32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5"/>
      <c r="H351" s="33"/>
      <c r="I351" s="33"/>
      <c r="J351" s="32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5"/>
      <c r="H352" s="33"/>
      <c r="I352" s="33"/>
      <c r="J352" s="32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5"/>
      <c r="H353" s="33"/>
      <c r="I353" s="33"/>
      <c r="J353" s="32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5"/>
      <c r="H354" s="33"/>
      <c r="I354" s="33"/>
      <c r="J354" s="32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5"/>
      <c r="H355" s="33"/>
      <c r="I355" s="33"/>
      <c r="J355" s="32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5"/>
      <c r="H356" s="33"/>
      <c r="I356" s="33"/>
      <c r="J356" s="32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5"/>
      <c r="H357" s="33"/>
      <c r="I357" s="33"/>
      <c r="J357" s="32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5"/>
      <c r="H358" s="33"/>
      <c r="I358" s="33"/>
      <c r="J358" s="32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5"/>
      <c r="H359" s="33"/>
      <c r="I359" s="33"/>
      <c r="J359" s="32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5"/>
      <c r="H360" s="33"/>
      <c r="I360" s="33"/>
      <c r="J360" s="32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5"/>
      <c r="H361" s="33"/>
      <c r="I361" s="33"/>
      <c r="J361" s="32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5"/>
      <c r="H362" s="33"/>
      <c r="I362" s="33"/>
      <c r="J362" s="32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5"/>
      <c r="H363" s="33"/>
      <c r="I363" s="33"/>
      <c r="J363" s="32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5"/>
      <c r="H364" s="33"/>
      <c r="I364" s="33"/>
      <c r="J364" s="32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5"/>
      <c r="H365" s="33"/>
      <c r="I365" s="33"/>
      <c r="J365" s="32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5"/>
      <c r="H366" s="33"/>
      <c r="I366" s="33"/>
      <c r="J366" s="32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5"/>
      <c r="H367" s="33"/>
      <c r="I367" s="33"/>
      <c r="J367" s="32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5"/>
      <c r="H368" s="33"/>
      <c r="I368" s="33"/>
      <c r="J368" s="32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5"/>
      <c r="H369" s="33"/>
      <c r="I369" s="33"/>
      <c r="J369" s="32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5"/>
      <c r="H370" s="33"/>
      <c r="I370" s="33"/>
      <c r="J370" s="32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5"/>
      <c r="H371" s="33"/>
      <c r="I371" s="33"/>
      <c r="J371" s="32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5"/>
      <c r="H372" s="33"/>
      <c r="I372" s="33"/>
      <c r="J372" s="32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5"/>
      <c r="H373" s="33"/>
      <c r="I373" s="33"/>
      <c r="J373" s="32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5"/>
      <c r="H374" s="33"/>
      <c r="I374" s="33"/>
      <c r="J374" s="32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5"/>
      <c r="H375" s="33"/>
      <c r="I375" s="33"/>
      <c r="J375" s="32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5"/>
      <c r="H376" s="33"/>
      <c r="I376" s="33"/>
      <c r="J376" s="32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5"/>
      <c r="H377" s="33"/>
      <c r="I377" s="33"/>
      <c r="J377" s="32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5"/>
      <c r="H378" s="33"/>
      <c r="I378" s="33"/>
      <c r="J378" s="32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5"/>
      <c r="H379" s="33"/>
      <c r="I379" s="33"/>
      <c r="J379" s="32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5"/>
      <c r="H380" s="33"/>
      <c r="I380" s="33"/>
      <c r="J380" s="32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5"/>
      <c r="H381" s="33"/>
      <c r="I381" s="33"/>
      <c r="J381" s="32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5"/>
      <c r="H382" s="33"/>
      <c r="I382" s="33"/>
      <c r="J382" s="32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5"/>
      <c r="H383" s="33"/>
      <c r="I383" s="33"/>
      <c r="J383" s="32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5"/>
      <c r="H384" s="33"/>
      <c r="I384" s="33"/>
      <c r="J384" s="32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5"/>
      <c r="H385" s="33"/>
      <c r="I385" s="33"/>
      <c r="J385" s="32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5"/>
      <c r="H386" s="33"/>
      <c r="I386" s="33"/>
      <c r="J386" s="32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5"/>
      <c r="H387" s="33"/>
      <c r="I387" s="33"/>
      <c r="J387" s="32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5"/>
      <c r="H388" s="33"/>
      <c r="I388" s="33"/>
      <c r="J388" s="32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5"/>
      <c r="H389" s="33"/>
      <c r="I389" s="33"/>
      <c r="J389" s="32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5"/>
      <c r="H390" s="33"/>
      <c r="I390" s="33"/>
      <c r="J390" s="32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5"/>
      <c r="H391" s="33"/>
      <c r="I391" s="33"/>
      <c r="J391" s="32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5"/>
      <c r="H392" s="33"/>
      <c r="I392" s="33"/>
      <c r="J392" s="32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5"/>
      <c r="H393" s="33"/>
      <c r="I393" s="33"/>
      <c r="J393" s="32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5"/>
      <c r="H394" s="33"/>
      <c r="I394" s="33"/>
      <c r="J394" s="32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5"/>
      <c r="H395" s="33"/>
      <c r="I395" s="33"/>
      <c r="J395" s="32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5"/>
      <c r="H396" s="33"/>
      <c r="I396" s="33"/>
      <c r="J396" s="32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5"/>
      <c r="H397" s="33"/>
      <c r="I397" s="33"/>
      <c r="J397" s="32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5"/>
      <c r="H398" s="33"/>
      <c r="I398" s="33"/>
      <c r="J398" s="32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5"/>
      <c r="H399" s="33"/>
      <c r="I399" s="33"/>
      <c r="J399" s="32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5"/>
      <c r="H400" s="33"/>
      <c r="I400" s="33"/>
      <c r="J400" s="32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5"/>
      <c r="H401" s="33"/>
      <c r="I401" s="33"/>
      <c r="J401" s="32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5"/>
      <c r="H402" s="33"/>
      <c r="I402" s="33"/>
      <c r="J402" s="32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5"/>
      <c r="H403" s="33"/>
      <c r="I403" s="33"/>
      <c r="J403" s="32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5"/>
      <c r="H404" s="33"/>
      <c r="I404" s="33"/>
      <c r="J404" s="32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5"/>
      <c r="H405" s="33"/>
      <c r="I405" s="33"/>
      <c r="J405" s="32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5"/>
      <c r="H406" s="33"/>
      <c r="I406" s="33"/>
      <c r="J406" s="32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5"/>
      <c r="H407" s="33"/>
      <c r="I407" s="33"/>
      <c r="J407" s="32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5"/>
      <c r="H408" s="33"/>
      <c r="I408" s="33"/>
      <c r="J408" s="32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5"/>
      <c r="H409" s="33"/>
      <c r="I409" s="33"/>
      <c r="J409" s="32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5"/>
      <c r="H410" s="33"/>
      <c r="I410" s="33"/>
      <c r="J410" s="32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5"/>
      <c r="H411" s="33"/>
      <c r="I411" s="33"/>
      <c r="J411" s="32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5"/>
      <c r="H412" s="33"/>
      <c r="I412" s="33"/>
      <c r="J412" s="32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5"/>
      <c r="H413" s="33"/>
      <c r="I413" s="33"/>
      <c r="J413" s="32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5"/>
      <c r="H414" s="33"/>
      <c r="I414" s="33"/>
      <c r="J414" s="32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5"/>
      <c r="H415" s="33"/>
      <c r="I415" s="33"/>
      <c r="J415" s="32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5"/>
      <c r="H416" s="33"/>
      <c r="I416" s="33"/>
      <c r="J416" s="32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5"/>
      <c r="H417" s="33"/>
      <c r="I417" s="33"/>
      <c r="J417" s="32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5"/>
      <c r="H418" s="33"/>
      <c r="I418" s="33"/>
      <c r="J418" s="32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5"/>
      <c r="H419" s="33"/>
      <c r="I419" s="33"/>
      <c r="J419" s="32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5"/>
      <c r="H420" s="33"/>
      <c r="I420" s="33"/>
      <c r="J420" s="32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5"/>
      <c r="H421" s="33"/>
      <c r="I421" s="33"/>
      <c r="J421" s="32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5"/>
      <c r="H422" s="33"/>
      <c r="I422" s="33"/>
      <c r="J422" s="32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5"/>
      <c r="H423" s="33"/>
      <c r="I423" s="33"/>
      <c r="J423" s="32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5"/>
      <c r="H424" s="33"/>
      <c r="I424" s="33"/>
      <c r="J424" s="32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5"/>
      <c r="H425" s="33"/>
      <c r="I425" s="33"/>
      <c r="J425" s="32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5"/>
      <c r="H426" s="33"/>
      <c r="I426" s="33"/>
      <c r="J426" s="32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5"/>
      <c r="H427" s="33"/>
      <c r="I427" s="33"/>
      <c r="J427" s="32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5"/>
      <c r="H428" s="33"/>
      <c r="I428" s="33"/>
      <c r="J428" s="32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5"/>
      <c r="H429" s="33"/>
      <c r="I429" s="33"/>
      <c r="J429" s="32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5"/>
      <c r="H430" s="33"/>
      <c r="I430" s="33"/>
      <c r="J430" s="32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5"/>
      <c r="H431" s="33"/>
      <c r="I431" s="33"/>
      <c r="J431" s="32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5"/>
      <c r="H432" s="33"/>
      <c r="I432" s="33"/>
      <c r="J432" s="32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5"/>
      <c r="H433" s="33"/>
      <c r="I433" s="33"/>
      <c r="J433" s="32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5"/>
      <c r="H434" s="33"/>
      <c r="I434" s="33"/>
      <c r="J434" s="32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5"/>
      <c r="H435" s="33"/>
      <c r="I435" s="33"/>
      <c r="J435" s="32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5"/>
      <c r="H436" s="33"/>
      <c r="I436" s="33"/>
      <c r="J436" s="32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5"/>
      <c r="H437" s="33"/>
      <c r="I437" s="33"/>
      <c r="J437" s="32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5"/>
      <c r="H438" s="33"/>
      <c r="I438" s="33"/>
      <c r="J438" s="32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5"/>
      <c r="H439" s="33"/>
      <c r="I439" s="33"/>
      <c r="J439" s="32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5"/>
      <c r="H440" s="33"/>
      <c r="I440" s="33"/>
      <c r="J440" s="32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5"/>
      <c r="H441" s="33"/>
      <c r="I441" s="33"/>
      <c r="J441" s="32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5"/>
      <c r="H442" s="33"/>
      <c r="I442" s="33"/>
      <c r="J442" s="32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5"/>
      <c r="H443" s="33"/>
      <c r="I443" s="33"/>
      <c r="J443" s="32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5"/>
      <c r="H444" s="33"/>
      <c r="I444" s="33"/>
      <c r="J444" s="32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5"/>
      <c r="H445" s="33"/>
      <c r="I445" s="33"/>
      <c r="J445" s="32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5"/>
      <c r="H446" s="33"/>
      <c r="I446" s="33"/>
      <c r="J446" s="32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5"/>
      <c r="H447" s="33"/>
      <c r="I447" s="33"/>
      <c r="J447" s="32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5"/>
      <c r="H448" s="33"/>
      <c r="I448" s="33"/>
      <c r="J448" s="32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5"/>
      <c r="H449" s="33"/>
      <c r="I449" s="33"/>
      <c r="J449" s="32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5"/>
      <c r="H450" s="33"/>
      <c r="I450" s="33"/>
      <c r="J450" s="32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5"/>
      <c r="H451" s="33"/>
      <c r="I451" s="33"/>
      <c r="J451" s="32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5"/>
      <c r="H452" s="33"/>
      <c r="I452" s="33"/>
      <c r="J452" s="32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5"/>
      <c r="H453" s="33"/>
      <c r="I453" s="33"/>
      <c r="J453" s="32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5"/>
      <c r="H454" s="33"/>
      <c r="I454" s="33"/>
      <c r="J454" s="32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5"/>
      <c r="H455" s="33"/>
      <c r="I455" s="33"/>
      <c r="J455" s="32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5"/>
      <c r="H456" s="33"/>
      <c r="I456" s="33"/>
      <c r="J456" s="32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5"/>
      <c r="H457" s="33"/>
      <c r="I457" s="33"/>
      <c r="J457" s="32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5"/>
      <c r="H458" s="33"/>
      <c r="I458" s="33"/>
      <c r="J458" s="32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5"/>
      <c r="H459" s="33"/>
      <c r="I459" s="33"/>
      <c r="J459" s="32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5"/>
      <c r="H460" s="33"/>
      <c r="I460" s="33"/>
      <c r="J460" s="32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5"/>
      <c r="H461" s="33"/>
      <c r="I461" s="33"/>
      <c r="J461" s="32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5"/>
      <c r="H462" s="33"/>
      <c r="I462" s="33"/>
      <c r="J462" s="32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5"/>
      <c r="H463" s="33"/>
      <c r="I463" s="33"/>
      <c r="J463" s="32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5"/>
      <c r="H464" s="33"/>
      <c r="I464" s="33"/>
      <c r="J464" s="32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5"/>
      <c r="H465" s="33"/>
      <c r="I465" s="33"/>
      <c r="J465" s="32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5"/>
      <c r="H466" s="33"/>
      <c r="I466" s="33"/>
      <c r="J466" s="32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5"/>
      <c r="H467" s="33"/>
      <c r="I467" s="33"/>
      <c r="J467" s="32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5"/>
      <c r="H468" s="33"/>
      <c r="I468" s="33"/>
      <c r="J468" s="32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5"/>
      <c r="H469" s="33"/>
      <c r="I469" s="33"/>
      <c r="J469" s="32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5"/>
      <c r="H470" s="33"/>
      <c r="I470" s="33"/>
      <c r="J470" s="32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5"/>
      <c r="H471" s="33"/>
      <c r="I471" s="33"/>
      <c r="J471" s="32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5"/>
      <c r="H472" s="33"/>
      <c r="I472" s="33"/>
      <c r="J472" s="32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5"/>
      <c r="H473" s="33"/>
      <c r="I473" s="33"/>
      <c r="J473" s="32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5"/>
      <c r="H474" s="33"/>
      <c r="I474" s="33"/>
      <c r="J474" s="32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5"/>
      <c r="H475" s="33"/>
      <c r="I475" s="33"/>
      <c r="J475" s="32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5"/>
      <c r="H476" s="33"/>
      <c r="I476" s="33"/>
      <c r="J476" s="32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5"/>
      <c r="H477" s="33"/>
      <c r="I477" s="33"/>
      <c r="J477" s="32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5"/>
      <c r="H478" s="33"/>
      <c r="I478" s="33"/>
      <c r="J478" s="32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5"/>
      <c r="H479" s="33"/>
      <c r="I479" s="33"/>
      <c r="J479" s="32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5"/>
      <c r="H480" s="33"/>
      <c r="I480" s="33"/>
      <c r="J480" s="32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5"/>
      <c r="H481" s="33"/>
      <c r="I481" s="33"/>
      <c r="J481" s="32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5"/>
      <c r="H482" s="33"/>
      <c r="I482" s="33"/>
      <c r="J482" s="32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5"/>
      <c r="H483" s="33"/>
      <c r="I483" s="33"/>
      <c r="J483" s="32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5"/>
      <c r="H484" s="33"/>
      <c r="I484" s="33"/>
      <c r="J484" s="32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5"/>
      <c r="H485" s="33"/>
      <c r="I485" s="33"/>
      <c r="J485" s="32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5"/>
      <c r="H486" s="33"/>
      <c r="I486" s="33"/>
      <c r="J486" s="32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5"/>
      <c r="H487" s="33"/>
      <c r="I487" s="33"/>
      <c r="J487" s="32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5"/>
      <c r="H488" s="33"/>
      <c r="I488" s="33"/>
      <c r="J488" s="32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5"/>
      <c r="H489" s="33"/>
      <c r="I489" s="33"/>
      <c r="J489" s="32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5"/>
      <c r="H490" s="33"/>
      <c r="I490" s="33"/>
      <c r="J490" s="32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5"/>
      <c r="H491" s="33"/>
      <c r="I491" s="33"/>
      <c r="J491" s="32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5"/>
      <c r="H492" s="33"/>
      <c r="I492" s="33"/>
      <c r="J492" s="32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5"/>
      <c r="H493" s="33"/>
      <c r="I493" s="33"/>
      <c r="J493" s="32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5"/>
      <c r="H494" s="33"/>
      <c r="I494" s="33"/>
      <c r="J494" s="32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5"/>
      <c r="H495" s="33"/>
      <c r="I495" s="33"/>
      <c r="J495" s="32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5"/>
      <c r="H496" s="33"/>
      <c r="I496" s="33"/>
      <c r="J496" s="32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5"/>
      <c r="H497" s="33"/>
      <c r="I497" s="33"/>
      <c r="J497" s="32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5"/>
      <c r="H498" s="33"/>
      <c r="I498" s="33"/>
      <c r="J498" s="32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5"/>
      <c r="H499" s="33"/>
      <c r="I499" s="33"/>
      <c r="J499" s="32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5"/>
      <c r="H500" s="33"/>
      <c r="I500" s="33"/>
      <c r="J500" s="32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5"/>
      <c r="H501" s="33"/>
      <c r="I501" s="33"/>
      <c r="J501" s="32"/>
    </row>
  </sheetData>
  <autoFilter ref="A1:J501"/>
  <conditionalFormatting sqref="F2:F501">
    <cfRule type="expression" priority="2" aboveAverage="0" equalAverage="0" bottom="0" percent="0" rank="0" text="" dxfId="16">
      <formula>OR(F2="Done",F2="Closed",F2="Complete",F2="Paid")</formula>
    </cfRule>
  </conditionalFormatting>
  <dataValidations count="3">
    <dataValidation allowBlank="true" error="Enter a valid date (e.g. 31-Dec-2026)." errorStyle="stop" errorTitle="Invalid date" operator="greaterThan" showDropDown="false" showErrorMessage="false" showInputMessage="false" sqref="G2:G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lst_DocStatus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32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17" t="s">
        <v>110</v>
      </c>
      <c r="B1" s="17" t="s">
        <v>232</v>
      </c>
      <c r="C1" s="17" t="s">
        <v>327</v>
      </c>
      <c r="D1" s="17" t="s">
        <v>193</v>
      </c>
      <c r="E1" s="17" t="s">
        <v>214</v>
      </c>
      <c r="F1" s="17" t="s">
        <v>328</v>
      </c>
      <c r="G1" s="17" t="s">
        <v>329</v>
      </c>
      <c r="H1" s="17" t="s">
        <v>111</v>
      </c>
      <c r="I1" s="17" t="s">
        <v>233</v>
      </c>
      <c r="J1" s="17" t="s">
        <v>330</v>
      </c>
    </row>
    <row r="2" customFormat="false" ht="15" hidden="false" customHeight="false" outlineLevel="0" collapsed="false">
      <c r="A2" s="32"/>
      <c r="B2" s="32"/>
      <c r="C2" s="32"/>
      <c r="D2" s="32"/>
      <c r="E2" s="33"/>
      <c r="F2" s="33"/>
      <c r="G2" s="35"/>
      <c r="H2" s="32"/>
      <c r="I2" s="35"/>
      <c r="J2" s="32"/>
    </row>
    <row r="3" customFormat="false" ht="15" hidden="false" customHeight="false" outlineLevel="0" collapsed="false">
      <c r="A3" s="32"/>
      <c r="B3" s="32"/>
      <c r="C3" s="32"/>
      <c r="D3" s="32"/>
      <c r="E3" s="33"/>
      <c r="F3" s="33"/>
      <c r="G3" s="35"/>
      <c r="H3" s="32"/>
      <c r="I3" s="35"/>
      <c r="J3" s="32"/>
    </row>
    <row r="4" customFormat="false" ht="15" hidden="false" customHeight="false" outlineLevel="0" collapsed="false">
      <c r="A4" s="32"/>
      <c r="B4" s="32"/>
      <c r="C4" s="32"/>
      <c r="D4" s="32"/>
      <c r="E4" s="33"/>
      <c r="F4" s="33"/>
      <c r="G4" s="35"/>
      <c r="H4" s="32"/>
      <c r="I4" s="35"/>
      <c r="J4" s="32"/>
    </row>
    <row r="5" customFormat="false" ht="15" hidden="false" customHeight="false" outlineLevel="0" collapsed="false">
      <c r="A5" s="32"/>
      <c r="B5" s="32"/>
      <c r="C5" s="32"/>
      <c r="D5" s="32"/>
      <c r="E5" s="33"/>
      <c r="F5" s="33"/>
      <c r="G5" s="35"/>
      <c r="H5" s="32"/>
      <c r="I5" s="35"/>
      <c r="J5" s="32"/>
    </row>
    <row r="6" customFormat="false" ht="15" hidden="false" customHeight="false" outlineLevel="0" collapsed="false">
      <c r="A6" s="32"/>
      <c r="B6" s="32"/>
      <c r="C6" s="32"/>
      <c r="D6" s="32"/>
      <c r="E6" s="33"/>
      <c r="F6" s="33"/>
      <c r="G6" s="35"/>
      <c r="H6" s="32"/>
      <c r="I6" s="35"/>
      <c r="J6" s="32"/>
    </row>
    <row r="7" customFormat="false" ht="15" hidden="false" customHeight="false" outlineLevel="0" collapsed="false">
      <c r="A7" s="32"/>
      <c r="B7" s="32"/>
      <c r="C7" s="32"/>
      <c r="D7" s="32"/>
      <c r="E7" s="33"/>
      <c r="F7" s="33"/>
      <c r="G7" s="35"/>
      <c r="H7" s="32"/>
      <c r="I7" s="35"/>
      <c r="J7" s="32"/>
    </row>
    <row r="8" customFormat="false" ht="15" hidden="false" customHeight="false" outlineLevel="0" collapsed="false">
      <c r="A8" s="32"/>
      <c r="B8" s="32"/>
      <c r="C8" s="32"/>
      <c r="D8" s="32"/>
      <c r="E8" s="33"/>
      <c r="F8" s="33"/>
      <c r="G8" s="35"/>
      <c r="H8" s="32"/>
      <c r="I8" s="35"/>
      <c r="J8" s="32"/>
    </row>
    <row r="9" customFormat="false" ht="15" hidden="false" customHeight="false" outlineLevel="0" collapsed="false">
      <c r="A9" s="32"/>
      <c r="B9" s="32"/>
      <c r="C9" s="32"/>
      <c r="D9" s="32"/>
      <c r="E9" s="33"/>
      <c r="F9" s="33"/>
      <c r="G9" s="35"/>
      <c r="H9" s="32"/>
      <c r="I9" s="35"/>
      <c r="J9" s="32"/>
    </row>
    <row r="10" customFormat="false" ht="15" hidden="false" customHeight="false" outlineLevel="0" collapsed="false">
      <c r="A10" s="32"/>
      <c r="B10" s="32"/>
      <c r="C10" s="32"/>
      <c r="D10" s="32"/>
      <c r="E10" s="33"/>
      <c r="F10" s="33"/>
      <c r="G10" s="35"/>
      <c r="H10" s="32"/>
      <c r="I10" s="35"/>
      <c r="J10" s="32"/>
    </row>
    <row r="11" customFormat="false" ht="15" hidden="false" customHeight="false" outlineLevel="0" collapsed="false">
      <c r="A11" s="32"/>
      <c r="B11" s="32"/>
      <c r="C11" s="32"/>
      <c r="D11" s="32"/>
      <c r="E11" s="33"/>
      <c r="F11" s="33"/>
      <c r="G11" s="35"/>
      <c r="H11" s="32"/>
      <c r="I11" s="35"/>
      <c r="J11" s="32"/>
    </row>
    <row r="12" customFormat="false" ht="15" hidden="false" customHeight="false" outlineLevel="0" collapsed="false">
      <c r="A12" s="32"/>
      <c r="B12" s="32"/>
      <c r="C12" s="32"/>
      <c r="D12" s="32"/>
      <c r="E12" s="33"/>
      <c r="F12" s="33"/>
      <c r="G12" s="35"/>
      <c r="H12" s="32"/>
      <c r="I12" s="35"/>
      <c r="J12" s="32"/>
    </row>
    <row r="13" customFormat="false" ht="15" hidden="false" customHeight="false" outlineLevel="0" collapsed="false">
      <c r="A13" s="32"/>
      <c r="B13" s="32"/>
      <c r="C13" s="32"/>
      <c r="D13" s="32"/>
      <c r="E13" s="33"/>
      <c r="F13" s="33"/>
      <c r="G13" s="35"/>
      <c r="H13" s="32"/>
      <c r="I13" s="35"/>
      <c r="J13" s="32"/>
    </row>
    <row r="14" customFormat="false" ht="15" hidden="false" customHeight="false" outlineLevel="0" collapsed="false">
      <c r="A14" s="32"/>
      <c r="B14" s="32"/>
      <c r="C14" s="32"/>
      <c r="D14" s="32"/>
      <c r="E14" s="33"/>
      <c r="F14" s="33"/>
      <c r="G14" s="35"/>
      <c r="H14" s="32"/>
      <c r="I14" s="35"/>
      <c r="J14" s="32"/>
    </row>
    <row r="15" customFormat="false" ht="15" hidden="false" customHeight="false" outlineLevel="0" collapsed="false">
      <c r="A15" s="32"/>
      <c r="B15" s="32"/>
      <c r="C15" s="32"/>
      <c r="D15" s="32"/>
      <c r="E15" s="33"/>
      <c r="F15" s="33"/>
      <c r="G15" s="35"/>
      <c r="H15" s="32"/>
      <c r="I15" s="35"/>
      <c r="J15" s="32"/>
    </row>
    <row r="16" customFormat="false" ht="15" hidden="false" customHeight="false" outlineLevel="0" collapsed="false">
      <c r="A16" s="32"/>
      <c r="B16" s="32"/>
      <c r="C16" s="32"/>
      <c r="D16" s="32"/>
      <c r="E16" s="33"/>
      <c r="F16" s="33"/>
      <c r="G16" s="35"/>
      <c r="H16" s="32"/>
      <c r="I16" s="35"/>
      <c r="J16" s="32"/>
    </row>
    <row r="17" customFormat="false" ht="15" hidden="false" customHeight="false" outlineLevel="0" collapsed="false">
      <c r="A17" s="32"/>
      <c r="B17" s="32"/>
      <c r="C17" s="32"/>
      <c r="D17" s="32"/>
      <c r="E17" s="33"/>
      <c r="F17" s="33"/>
      <c r="G17" s="35"/>
      <c r="H17" s="32"/>
      <c r="I17" s="35"/>
      <c r="J17" s="32"/>
    </row>
    <row r="18" customFormat="false" ht="15" hidden="false" customHeight="false" outlineLevel="0" collapsed="false">
      <c r="A18" s="32"/>
      <c r="B18" s="32"/>
      <c r="C18" s="32"/>
      <c r="D18" s="32"/>
      <c r="E18" s="33"/>
      <c r="F18" s="33"/>
      <c r="G18" s="35"/>
      <c r="H18" s="32"/>
      <c r="I18" s="35"/>
      <c r="J18" s="32"/>
    </row>
    <row r="19" customFormat="false" ht="15" hidden="false" customHeight="false" outlineLevel="0" collapsed="false">
      <c r="A19" s="32"/>
      <c r="B19" s="32"/>
      <c r="C19" s="32"/>
      <c r="D19" s="32"/>
      <c r="E19" s="33"/>
      <c r="F19" s="33"/>
      <c r="G19" s="35"/>
      <c r="H19" s="32"/>
      <c r="I19" s="35"/>
      <c r="J19" s="32"/>
    </row>
    <row r="20" customFormat="false" ht="15" hidden="false" customHeight="false" outlineLevel="0" collapsed="false">
      <c r="A20" s="32"/>
      <c r="B20" s="32"/>
      <c r="C20" s="32"/>
      <c r="D20" s="32"/>
      <c r="E20" s="33"/>
      <c r="F20" s="33"/>
      <c r="G20" s="35"/>
      <c r="H20" s="32"/>
      <c r="I20" s="35"/>
      <c r="J20" s="32"/>
    </row>
    <row r="21" customFormat="false" ht="15" hidden="false" customHeight="false" outlineLevel="0" collapsed="false">
      <c r="A21" s="32"/>
      <c r="B21" s="32"/>
      <c r="C21" s="32"/>
      <c r="D21" s="32"/>
      <c r="E21" s="33"/>
      <c r="F21" s="33"/>
      <c r="G21" s="35"/>
      <c r="H21" s="32"/>
      <c r="I21" s="35"/>
      <c r="J21" s="32"/>
    </row>
    <row r="22" customFormat="false" ht="15" hidden="false" customHeight="false" outlineLevel="0" collapsed="false">
      <c r="A22" s="32"/>
      <c r="B22" s="32"/>
      <c r="C22" s="32"/>
      <c r="D22" s="32"/>
      <c r="E22" s="33"/>
      <c r="F22" s="33"/>
      <c r="G22" s="35"/>
      <c r="H22" s="32"/>
      <c r="I22" s="35"/>
      <c r="J22" s="32"/>
    </row>
    <row r="23" customFormat="false" ht="15" hidden="false" customHeight="false" outlineLevel="0" collapsed="false">
      <c r="A23" s="32"/>
      <c r="B23" s="32"/>
      <c r="C23" s="32"/>
      <c r="D23" s="32"/>
      <c r="E23" s="33"/>
      <c r="F23" s="33"/>
      <c r="G23" s="35"/>
      <c r="H23" s="32"/>
      <c r="I23" s="35"/>
      <c r="J23" s="32"/>
    </row>
    <row r="24" customFormat="false" ht="15" hidden="false" customHeight="false" outlineLevel="0" collapsed="false">
      <c r="A24" s="32"/>
      <c r="B24" s="32"/>
      <c r="C24" s="32"/>
      <c r="D24" s="32"/>
      <c r="E24" s="33"/>
      <c r="F24" s="33"/>
      <c r="G24" s="35"/>
      <c r="H24" s="32"/>
      <c r="I24" s="35"/>
      <c r="J24" s="32"/>
    </row>
    <row r="25" customFormat="false" ht="15" hidden="false" customHeight="false" outlineLevel="0" collapsed="false">
      <c r="A25" s="32"/>
      <c r="B25" s="32"/>
      <c r="C25" s="32"/>
      <c r="D25" s="32"/>
      <c r="E25" s="33"/>
      <c r="F25" s="33"/>
      <c r="G25" s="35"/>
      <c r="H25" s="32"/>
      <c r="I25" s="35"/>
      <c r="J25" s="32"/>
    </row>
    <row r="26" customFormat="false" ht="15" hidden="false" customHeight="false" outlineLevel="0" collapsed="false">
      <c r="A26" s="32"/>
      <c r="B26" s="32"/>
      <c r="C26" s="32"/>
      <c r="D26" s="32"/>
      <c r="E26" s="33"/>
      <c r="F26" s="33"/>
      <c r="G26" s="35"/>
      <c r="H26" s="32"/>
      <c r="I26" s="35"/>
      <c r="J26" s="32"/>
    </row>
    <row r="27" customFormat="false" ht="15" hidden="false" customHeight="false" outlineLevel="0" collapsed="false">
      <c r="A27" s="32"/>
      <c r="B27" s="32"/>
      <c r="C27" s="32"/>
      <c r="D27" s="32"/>
      <c r="E27" s="33"/>
      <c r="F27" s="33"/>
      <c r="G27" s="35"/>
      <c r="H27" s="32"/>
      <c r="I27" s="35"/>
      <c r="J27" s="32"/>
    </row>
    <row r="28" customFormat="false" ht="15" hidden="false" customHeight="false" outlineLevel="0" collapsed="false">
      <c r="A28" s="32"/>
      <c r="B28" s="32"/>
      <c r="C28" s="32"/>
      <c r="D28" s="32"/>
      <c r="E28" s="33"/>
      <c r="F28" s="33"/>
      <c r="G28" s="35"/>
      <c r="H28" s="32"/>
      <c r="I28" s="35"/>
      <c r="J28" s="32"/>
    </row>
    <row r="29" customFormat="false" ht="15" hidden="false" customHeight="false" outlineLevel="0" collapsed="false">
      <c r="A29" s="32"/>
      <c r="B29" s="32"/>
      <c r="C29" s="32"/>
      <c r="D29" s="32"/>
      <c r="E29" s="33"/>
      <c r="F29" s="33"/>
      <c r="G29" s="35"/>
      <c r="H29" s="32"/>
      <c r="I29" s="35"/>
      <c r="J29" s="32"/>
    </row>
    <row r="30" customFormat="false" ht="15" hidden="false" customHeight="false" outlineLevel="0" collapsed="false">
      <c r="A30" s="32"/>
      <c r="B30" s="32"/>
      <c r="C30" s="32"/>
      <c r="D30" s="32"/>
      <c r="E30" s="33"/>
      <c r="F30" s="33"/>
      <c r="G30" s="35"/>
      <c r="H30" s="32"/>
      <c r="I30" s="35"/>
      <c r="J30" s="32"/>
    </row>
    <row r="31" customFormat="false" ht="15" hidden="false" customHeight="false" outlineLevel="0" collapsed="false">
      <c r="A31" s="32"/>
      <c r="B31" s="32"/>
      <c r="C31" s="32"/>
      <c r="D31" s="32"/>
      <c r="E31" s="33"/>
      <c r="F31" s="33"/>
      <c r="G31" s="35"/>
      <c r="H31" s="32"/>
      <c r="I31" s="35"/>
      <c r="J31" s="32"/>
    </row>
    <row r="32" customFormat="false" ht="15" hidden="false" customHeight="false" outlineLevel="0" collapsed="false">
      <c r="A32" s="32"/>
      <c r="B32" s="32"/>
      <c r="C32" s="32"/>
      <c r="D32" s="32"/>
      <c r="E32" s="33"/>
      <c r="F32" s="33"/>
      <c r="G32" s="35"/>
      <c r="H32" s="32"/>
      <c r="I32" s="35"/>
      <c r="J32" s="32"/>
    </row>
    <row r="33" customFormat="false" ht="15" hidden="false" customHeight="false" outlineLevel="0" collapsed="false">
      <c r="A33" s="32"/>
      <c r="B33" s="32"/>
      <c r="C33" s="32"/>
      <c r="D33" s="32"/>
      <c r="E33" s="33"/>
      <c r="F33" s="33"/>
      <c r="G33" s="35"/>
      <c r="H33" s="32"/>
      <c r="I33" s="35"/>
      <c r="J33" s="32"/>
    </row>
    <row r="34" customFormat="false" ht="15" hidden="false" customHeight="false" outlineLevel="0" collapsed="false">
      <c r="A34" s="32"/>
      <c r="B34" s="32"/>
      <c r="C34" s="32"/>
      <c r="D34" s="32"/>
      <c r="E34" s="33"/>
      <c r="F34" s="33"/>
      <c r="G34" s="35"/>
      <c r="H34" s="32"/>
      <c r="I34" s="35"/>
      <c r="J34" s="32"/>
    </row>
    <row r="35" customFormat="false" ht="15" hidden="false" customHeight="false" outlineLevel="0" collapsed="false">
      <c r="A35" s="32"/>
      <c r="B35" s="32"/>
      <c r="C35" s="32"/>
      <c r="D35" s="32"/>
      <c r="E35" s="33"/>
      <c r="F35" s="33"/>
      <c r="G35" s="35"/>
      <c r="H35" s="32"/>
      <c r="I35" s="35"/>
      <c r="J35" s="32"/>
    </row>
    <row r="36" customFormat="false" ht="15" hidden="false" customHeight="false" outlineLevel="0" collapsed="false">
      <c r="A36" s="32"/>
      <c r="B36" s="32"/>
      <c r="C36" s="32"/>
      <c r="D36" s="32"/>
      <c r="E36" s="33"/>
      <c r="F36" s="33"/>
      <c r="G36" s="35"/>
      <c r="H36" s="32"/>
      <c r="I36" s="35"/>
      <c r="J36" s="32"/>
    </row>
    <row r="37" customFormat="false" ht="15" hidden="false" customHeight="false" outlineLevel="0" collapsed="false">
      <c r="A37" s="32"/>
      <c r="B37" s="32"/>
      <c r="C37" s="32"/>
      <c r="D37" s="32"/>
      <c r="E37" s="33"/>
      <c r="F37" s="33"/>
      <c r="G37" s="35"/>
      <c r="H37" s="32"/>
      <c r="I37" s="35"/>
      <c r="J37" s="32"/>
    </row>
    <row r="38" customFormat="false" ht="15" hidden="false" customHeight="false" outlineLevel="0" collapsed="false">
      <c r="A38" s="32"/>
      <c r="B38" s="32"/>
      <c r="C38" s="32"/>
      <c r="D38" s="32"/>
      <c r="E38" s="33"/>
      <c r="F38" s="33"/>
      <c r="G38" s="35"/>
      <c r="H38" s="32"/>
      <c r="I38" s="35"/>
      <c r="J38" s="32"/>
    </row>
    <row r="39" customFormat="false" ht="15" hidden="false" customHeight="false" outlineLevel="0" collapsed="false">
      <c r="A39" s="32"/>
      <c r="B39" s="32"/>
      <c r="C39" s="32"/>
      <c r="D39" s="32"/>
      <c r="E39" s="33"/>
      <c r="F39" s="33"/>
      <c r="G39" s="35"/>
      <c r="H39" s="32"/>
      <c r="I39" s="35"/>
      <c r="J39" s="32"/>
    </row>
    <row r="40" customFormat="false" ht="15" hidden="false" customHeight="false" outlineLevel="0" collapsed="false">
      <c r="A40" s="32"/>
      <c r="B40" s="32"/>
      <c r="C40" s="32"/>
      <c r="D40" s="32"/>
      <c r="E40" s="33"/>
      <c r="F40" s="33"/>
      <c r="G40" s="35"/>
      <c r="H40" s="32"/>
      <c r="I40" s="35"/>
      <c r="J40" s="32"/>
    </row>
    <row r="41" customFormat="false" ht="15" hidden="false" customHeight="false" outlineLevel="0" collapsed="false">
      <c r="A41" s="32"/>
      <c r="B41" s="32"/>
      <c r="C41" s="32"/>
      <c r="D41" s="32"/>
      <c r="E41" s="33"/>
      <c r="F41" s="33"/>
      <c r="G41" s="35"/>
      <c r="H41" s="32"/>
      <c r="I41" s="35"/>
      <c r="J41" s="32"/>
    </row>
    <row r="42" customFormat="false" ht="15" hidden="false" customHeight="false" outlineLevel="0" collapsed="false">
      <c r="A42" s="32"/>
      <c r="B42" s="32"/>
      <c r="C42" s="32"/>
      <c r="D42" s="32"/>
      <c r="E42" s="33"/>
      <c r="F42" s="33"/>
      <c r="G42" s="35"/>
      <c r="H42" s="32"/>
      <c r="I42" s="35"/>
      <c r="J42" s="32"/>
    </row>
    <row r="43" customFormat="false" ht="15" hidden="false" customHeight="false" outlineLevel="0" collapsed="false">
      <c r="A43" s="32"/>
      <c r="B43" s="32"/>
      <c r="C43" s="32"/>
      <c r="D43" s="32"/>
      <c r="E43" s="33"/>
      <c r="F43" s="33"/>
      <c r="G43" s="35"/>
      <c r="H43" s="32"/>
      <c r="I43" s="35"/>
      <c r="J43" s="32"/>
    </row>
    <row r="44" customFormat="false" ht="15" hidden="false" customHeight="false" outlineLevel="0" collapsed="false">
      <c r="A44" s="32"/>
      <c r="B44" s="32"/>
      <c r="C44" s="32"/>
      <c r="D44" s="32"/>
      <c r="E44" s="33"/>
      <c r="F44" s="33"/>
      <c r="G44" s="35"/>
      <c r="H44" s="32"/>
      <c r="I44" s="35"/>
      <c r="J44" s="32"/>
    </row>
    <row r="45" customFormat="false" ht="15" hidden="false" customHeight="false" outlineLevel="0" collapsed="false">
      <c r="A45" s="32"/>
      <c r="B45" s="32"/>
      <c r="C45" s="32"/>
      <c r="D45" s="32"/>
      <c r="E45" s="33"/>
      <c r="F45" s="33"/>
      <c r="G45" s="35"/>
      <c r="H45" s="32"/>
      <c r="I45" s="35"/>
      <c r="J45" s="32"/>
    </row>
    <row r="46" customFormat="false" ht="15" hidden="false" customHeight="false" outlineLevel="0" collapsed="false">
      <c r="A46" s="32"/>
      <c r="B46" s="32"/>
      <c r="C46" s="32"/>
      <c r="D46" s="32"/>
      <c r="E46" s="33"/>
      <c r="F46" s="33"/>
      <c r="G46" s="35"/>
      <c r="H46" s="32"/>
      <c r="I46" s="35"/>
      <c r="J46" s="32"/>
    </row>
    <row r="47" customFormat="false" ht="15" hidden="false" customHeight="false" outlineLevel="0" collapsed="false">
      <c r="A47" s="32"/>
      <c r="B47" s="32"/>
      <c r="C47" s="32"/>
      <c r="D47" s="32"/>
      <c r="E47" s="33"/>
      <c r="F47" s="33"/>
      <c r="G47" s="35"/>
      <c r="H47" s="32"/>
      <c r="I47" s="35"/>
      <c r="J47" s="32"/>
    </row>
    <row r="48" customFormat="false" ht="15" hidden="false" customHeight="false" outlineLevel="0" collapsed="false">
      <c r="A48" s="32"/>
      <c r="B48" s="32"/>
      <c r="C48" s="32"/>
      <c r="D48" s="32"/>
      <c r="E48" s="33"/>
      <c r="F48" s="33"/>
      <c r="G48" s="35"/>
      <c r="H48" s="32"/>
      <c r="I48" s="35"/>
      <c r="J48" s="32"/>
    </row>
    <row r="49" customFormat="false" ht="15" hidden="false" customHeight="false" outlineLevel="0" collapsed="false">
      <c r="A49" s="32"/>
      <c r="B49" s="32"/>
      <c r="C49" s="32"/>
      <c r="D49" s="32"/>
      <c r="E49" s="33"/>
      <c r="F49" s="33"/>
      <c r="G49" s="35"/>
      <c r="H49" s="32"/>
      <c r="I49" s="35"/>
      <c r="J49" s="32"/>
    </row>
    <row r="50" customFormat="false" ht="15" hidden="false" customHeight="false" outlineLevel="0" collapsed="false">
      <c r="A50" s="32"/>
      <c r="B50" s="32"/>
      <c r="C50" s="32"/>
      <c r="D50" s="32"/>
      <c r="E50" s="33"/>
      <c r="F50" s="33"/>
      <c r="G50" s="35"/>
      <c r="H50" s="32"/>
      <c r="I50" s="35"/>
      <c r="J50" s="32"/>
    </row>
    <row r="51" customFormat="false" ht="15" hidden="false" customHeight="false" outlineLevel="0" collapsed="false">
      <c r="A51" s="32"/>
      <c r="B51" s="32"/>
      <c r="C51" s="32"/>
      <c r="D51" s="32"/>
      <c r="E51" s="33"/>
      <c r="F51" s="33"/>
      <c r="G51" s="35"/>
      <c r="H51" s="32"/>
      <c r="I51" s="35"/>
      <c r="J51" s="32"/>
    </row>
    <row r="52" customFormat="false" ht="15" hidden="false" customHeight="false" outlineLevel="0" collapsed="false">
      <c r="A52" s="32"/>
      <c r="B52" s="32"/>
      <c r="C52" s="32"/>
      <c r="D52" s="32"/>
      <c r="E52" s="33"/>
      <c r="F52" s="33"/>
      <c r="G52" s="35"/>
      <c r="H52" s="32"/>
      <c r="I52" s="35"/>
      <c r="J52" s="32"/>
    </row>
    <row r="53" customFormat="false" ht="15" hidden="false" customHeight="false" outlineLevel="0" collapsed="false">
      <c r="A53" s="32"/>
      <c r="B53" s="32"/>
      <c r="C53" s="32"/>
      <c r="D53" s="32"/>
      <c r="E53" s="33"/>
      <c r="F53" s="33"/>
      <c r="G53" s="35"/>
      <c r="H53" s="32"/>
      <c r="I53" s="35"/>
      <c r="J53" s="32"/>
    </row>
    <row r="54" customFormat="false" ht="15" hidden="false" customHeight="false" outlineLevel="0" collapsed="false">
      <c r="A54" s="32"/>
      <c r="B54" s="32"/>
      <c r="C54" s="32"/>
      <c r="D54" s="32"/>
      <c r="E54" s="33"/>
      <c r="F54" s="33"/>
      <c r="G54" s="35"/>
      <c r="H54" s="32"/>
      <c r="I54" s="35"/>
      <c r="J54" s="32"/>
    </row>
    <row r="55" customFormat="false" ht="15" hidden="false" customHeight="false" outlineLevel="0" collapsed="false">
      <c r="A55" s="32"/>
      <c r="B55" s="32"/>
      <c r="C55" s="32"/>
      <c r="D55" s="32"/>
      <c r="E55" s="33"/>
      <c r="F55" s="33"/>
      <c r="G55" s="35"/>
      <c r="H55" s="32"/>
      <c r="I55" s="35"/>
      <c r="J55" s="32"/>
    </row>
    <row r="56" customFormat="false" ht="15" hidden="false" customHeight="false" outlineLevel="0" collapsed="false">
      <c r="A56" s="32"/>
      <c r="B56" s="32"/>
      <c r="C56" s="32"/>
      <c r="D56" s="32"/>
      <c r="E56" s="33"/>
      <c r="F56" s="33"/>
      <c r="G56" s="35"/>
      <c r="H56" s="32"/>
      <c r="I56" s="35"/>
      <c r="J56" s="32"/>
    </row>
    <row r="57" customFormat="false" ht="15" hidden="false" customHeight="false" outlineLevel="0" collapsed="false">
      <c r="A57" s="32"/>
      <c r="B57" s="32"/>
      <c r="C57" s="32"/>
      <c r="D57" s="32"/>
      <c r="E57" s="33"/>
      <c r="F57" s="33"/>
      <c r="G57" s="35"/>
      <c r="H57" s="32"/>
      <c r="I57" s="35"/>
      <c r="J57" s="32"/>
    </row>
    <row r="58" customFormat="false" ht="15" hidden="false" customHeight="false" outlineLevel="0" collapsed="false">
      <c r="A58" s="32"/>
      <c r="B58" s="32"/>
      <c r="C58" s="32"/>
      <c r="D58" s="32"/>
      <c r="E58" s="33"/>
      <c r="F58" s="33"/>
      <c r="G58" s="35"/>
      <c r="H58" s="32"/>
      <c r="I58" s="35"/>
      <c r="J58" s="32"/>
    </row>
    <row r="59" customFormat="false" ht="15" hidden="false" customHeight="false" outlineLevel="0" collapsed="false">
      <c r="A59" s="32"/>
      <c r="B59" s="32"/>
      <c r="C59" s="32"/>
      <c r="D59" s="32"/>
      <c r="E59" s="33"/>
      <c r="F59" s="33"/>
      <c r="G59" s="35"/>
      <c r="H59" s="32"/>
      <c r="I59" s="35"/>
      <c r="J59" s="32"/>
    </row>
    <row r="60" customFormat="false" ht="15" hidden="false" customHeight="false" outlineLevel="0" collapsed="false">
      <c r="A60" s="32"/>
      <c r="B60" s="32"/>
      <c r="C60" s="32"/>
      <c r="D60" s="32"/>
      <c r="E60" s="33"/>
      <c r="F60" s="33"/>
      <c r="G60" s="35"/>
      <c r="H60" s="32"/>
      <c r="I60" s="35"/>
      <c r="J60" s="32"/>
    </row>
    <row r="61" customFormat="false" ht="15" hidden="false" customHeight="false" outlineLevel="0" collapsed="false">
      <c r="A61" s="32"/>
      <c r="B61" s="32"/>
      <c r="C61" s="32"/>
      <c r="D61" s="32"/>
      <c r="E61" s="33"/>
      <c r="F61" s="33"/>
      <c r="G61" s="35"/>
      <c r="H61" s="32"/>
      <c r="I61" s="35"/>
      <c r="J61" s="32"/>
    </row>
    <row r="62" customFormat="false" ht="15" hidden="false" customHeight="false" outlineLevel="0" collapsed="false">
      <c r="A62" s="32"/>
      <c r="B62" s="32"/>
      <c r="C62" s="32"/>
      <c r="D62" s="32"/>
      <c r="E62" s="33"/>
      <c r="F62" s="33"/>
      <c r="G62" s="35"/>
      <c r="H62" s="32"/>
      <c r="I62" s="35"/>
      <c r="J62" s="32"/>
    </row>
    <row r="63" customFormat="false" ht="15" hidden="false" customHeight="false" outlineLevel="0" collapsed="false">
      <c r="A63" s="32"/>
      <c r="B63" s="32"/>
      <c r="C63" s="32"/>
      <c r="D63" s="32"/>
      <c r="E63" s="33"/>
      <c r="F63" s="33"/>
      <c r="G63" s="35"/>
      <c r="H63" s="32"/>
      <c r="I63" s="35"/>
      <c r="J63" s="32"/>
    </row>
    <row r="64" customFormat="false" ht="15" hidden="false" customHeight="false" outlineLevel="0" collapsed="false">
      <c r="A64" s="32"/>
      <c r="B64" s="32"/>
      <c r="C64" s="32"/>
      <c r="D64" s="32"/>
      <c r="E64" s="33"/>
      <c r="F64" s="33"/>
      <c r="G64" s="35"/>
      <c r="H64" s="32"/>
      <c r="I64" s="35"/>
      <c r="J64" s="32"/>
    </row>
    <row r="65" customFormat="false" ht="15" hidden="false" customHeight="false" outlineLevel="0" collapsed="false">
      <c r="A65" s="32"/>
      <c r="B65" s="32"/>
      <c r="C65" s="32"/>
      <c r="D65" s="32"/>
      <c r="E65" s="33"/>
      <c r="F65" s="33"/>
      <c r="G65" s="35"/>
      <c r="H65" s="32"/>
      <c r="I65" s="35"/>
      <c r="J65" s="32"/>
    </row>
    <row r="66" customFormat="false" ht="15" hidden="false" customHeight="false" outlineLevel="0" collapsed="false">
      <c r="A66" s="32"/>
      <c r="B66" s="32"/>
      <c r="C66" s="32"/>
      <c r="D66" s="32"/>
      <c r="E66" s="33"/>
      <c r="F66" s="33"/>
      <c r="G66" s="35"/>
      <c r="H66" s="32"/>
      <c r="I66" s="35"/>
      <c r="J66" s="32"/>
    </row>
    <row r="67" customFormat="false" ht="15" hidden="false" customHeight="false" outlineLevel="0" collapsed="false">
      <c r="A67" s="32"/>
      <c r="B67" s="32"/>
      <c r="C67" s="32"/>
      <c r="D67" s="32"/>
      <c r="E67" s="33"/>
      <c r="F67" s="33"/>
      <c r="G67" s="35"/>
      <c r="H67" s="32"/>
      <c r="I67" s="35"/>
      <c r="J67" s="32"/>
    </row>
    <row r="68" customFormat="false" ht="15" hidden="false" customHeight="false" outlineLevel="0" collapsed="false">
      <c r="A68" s="32"/>
      <c r="B68" s="32"/>
      <c r="C68" s="32"/>
      <c r="D68" s="32"/>
      <c r="E68" s="33"/>
      <c r="F68" s="33"/>
      <c r="G68" s="35"/>
      <c r="H68" s="32"/>
      <c r="I68" s="35"/>
      <c r="J68" s="32"/>
    </row>
    <row r="69" customFormat="false" ht="15" hidden="false" customHeight="false" outlineLevel="0" collapsed="false">
      <c r="A69" s="32"/>
      <c r="B69" s="32"/>
      <c r="C69" s="32"/>
      <c r="D69" s="32"/>
      <c r="E69" s="33"/>
      <c r="F69" s="33"/>
      <c r="G69" s="35"/>
      <c r="H69" s="32"/>
      <c r="I69" s="35"/>
      <c r="J69" s="32"/>
    </row>
    <row r="70" customFormat="false" ht="15" hidden="false" customHeight="false" outlineLevel="0" collapsed="false">
      <c r="A70" s="32"/>
      <c r="B70" s="32"/>
      <c r="C70" s="32"/>
      <c r="D70" s="32"/>
      <c r="E70" s="33"/>
      <c r="F70" s="33"/>
      <c r="G70" s="35"/>
      <c r="H70" s="32"/>
      <c r="I70" s="35"/>
      <c r="J70" s="32"/>
    </row>
    <row r="71" customFormat="false" ht="15" hidden="false" customHeight="false" outlineLevel="0" collapsed="false">
      <c r="A71" s="32"/>
      <c r="B71" s="32"/>
      <c r="C71" s="32"/>
      <c r="D71" s="32"/>
      <c r="E71" s="33"/>
      <c r="F71" s="33"/>
      <c r="G71" s="35"/>
      <c r="H71" s="32"/>
      <c r="I71" s="35"/>
      <c r="J71" s="32"/>
    </row>
    <row r="72" customFormat="false" ht="15" hidden="false" customHeight="false" outlineLevel="0" collapsed="false">
      <c r="A72" s="32"/>
      <c r="B72" s="32"/>
      <c r="C72" s="32"/>
      <c r="D72" s="32"/>
      <c r="E72" s="33"/>
      <c r="F72" s="33"/>
      <c r="G72" s="35"/>
      <c r="H72" s="32"/>
      <c r="I72" s="35"/>
      <c r="J72" s="32"/>
    </row>
    <row r="73" customFormat="false" ht="15" hidden="false" customHeight="false" outlineLevel="0" collapsed="false">
      <c r="A73" s="32"/>
      <c r="B73" s="32"/>
      <c r="C73" s="32"/>
      <c r="D73" s="32"/>
      <c r="E73" s="33"/>
      <c r="F73" s="33"/>
      <c r="G73" s="35"/>
      <c r="H73" s="32"/>
      <c r="I73" s="35"/>
      <c r="J73" s="32"/>
    </row>
    <row r="74" customFormat="false" ht="15" hidden="false" customHeight="false" outlineLevel="0" collapsed="false">
      <c r="A74" s="32"/>
      <c r="B74" s="32"/>
      <c r="C74" s="32"/>
      <c r="D74" s="32"/>
      <c r="E74" s="33"/>
      <c r="F74" s="33"/>
      <c r="G74" s="35"/>
      <c r="H74" s="32"/>
      <c r="I74" s="35"/>
      <c r="J74" s="32"/>
    </row>
    <row r="75" customFormat="false" ht="15" hidden="false" customHeight="false" outlineLevel="0" collapsed="false">
      <c r="A75" s="32"/>
      <c r="B75" s="32"/>
      <c r="C75" s="32"/>
      <c r="D75" s="32"/>
      <c r="E75" s="33"/>
      <c r="F75" s="33"/>
      <c r="G75" s="35"/>
      <c r="H75" s="32"/>
      <c r="I75" s="35"/>
      <c r="J75" s="32"/>
    </row>
    <row r="76" customFormat="false" ht="15" hidden="false" customHeight="false" outlineLevel="0" collapsed="false">
      <c r="A76" s="32"/>
      <c r="B76" s="32"/>
      <c r="C76" s="32"/>
      <c r="D76" s="32"/>
      <c r="E76" s="33"/>
      <c r="F76" s="33"/>
      <c r="G76" s="35"/>
      <c r="H76" s="32"/>
      <c r="I76" s="35"/>
      <c r="J76" s="32"/>
    </row>
    <row r="77" customFormat="false" ht="15" hidden="false" customHeight="false" outlineLevel="0" collapsed="false">
      <c r="A77" s="32"/>
      <c r="B77" s="32"/>
      <c r="C77" s="32"/>
      <c r="D77" s="32"/>
      <c r="E77" s="33"/>
      <c r="F77" s="33"/>
      <c r="G77" s="35"/>
      <c r="H77" s="32"/>
      <c r="I77" s="35"/>
      <c r="J77" s="32"/>
    </row>
    <row r="78" customFormat="false" ht="15" hidden="false" customHeight="false" outlineLevel="0" collapsed="false">
      <c r="A78" s="32"/>
      <c r="B78" s="32"/>
      <c r="C78" s="32"/>
      <c r="D78" s="32"/>
      <c r="E78" s="33"/>
      <c r="F78" s="33"/>
      <c r="G78" s="35"/>
      <c r="H78" s="32"/>
      <c r="I78" s="35"/>
      <c r="J78" s="32"/>
    </row>
    <row r="79" customFormat="false" ht="15" hidden="false" customHeight="false" outlineLevel="0" collapsed="false">
      <c r="A79" s="32"/>
      <c r="B79" s="32"/>
      <c r="C79" s="32"/>
      <c r="D79" s="32"/>
      <c r="E79" s="33"/>
      <c r="F79" s="33"/>
      <c r="G79" s="35"/>
      <c r="H79" s="32"/>
      <c r="I79" s="35"/>
      <c r="J79" s="32"/>
    </row>
    <row r="80" customFormat="false" ht="15" hidden="false" customHeight="false" outlineLevel="0" collapsed="false">
      <c r="A80" s="32"/>
      <c r="B80" s="32"/>
      <c r="C80" s="32"/>
      <c r="D80" s="32"/>
      <c r="E80" s="33"/>
      <c r="F80" s="33"/>
      <c r="G80" s="35"/>
      <c r="H80" s="32"/>
      <c r="I80" s="35"/>
      <c r="J80" s="32"/>
    </row>
    <row r="81" customFormat="false" ht="15" hidden="false" customHeight="false" outlineLevel="0" collapsed="false">
      <c r="A81" s="32"/>
      <c r="B81" s="32"/>
      <c r="C81" s="32"/>
      <c r="D81" s="32"/>
      <c r="E81" s="33"/>
      <c r="F81" s="33"/>
      <c r="G81" s="35"/>
      <c r="H81" s="32"/>
      <c r="I81" s="35"/>
      <c r="J81" s="32"/>
    </row>
    <row r="82" customFormat="false" ht="15" hidden="false" customHeight="false" outlineLevel="0" collapsed="false">
      <c r="A82" s="32"/>
      <c r="B82" s="32"/>
      <c r="C82" s="32"/>
      <c r="D82" s="32"/>
      <c r="E82" s="33"/>
      <c r="F82" s="33"/>
      <c r="G82" s="35"/>
      <c r="H82" s="32"/>
      <c r="I82" s="35"/>
      <c r="J82" s="32"/>
    </row>
    <row r="83" customFormat="false" ht="15" hidden="false" customHeight="false" outlineLevel="0" collapsed="false">
      <c r="A83" s="32"/>
      <c r="B83" s="32"/>
      <c r="C83" s="32"/>
      <c r="D83" s="32"/>
      <c r="E83" s="33"/>
      <c r="F83" s="33"/>
      <c r="G83" s="35"/>
      <c r="H83" s="32"/>
      <c r="I83" s="35"/>
      <c r="J83" s="32"/>
    </row>
    <row r="84" customFormat="false" ht="15" hidden="false" customHeight="false" outlineLevel="0" collapsed="false">
      <c r="A84" s="32"/>
      <c r="B84" s="32"/>
      <c r="C84" s="32"/>
      <c r="D84" s="32"/>
      <c r="E84" s="33"/>
      <c r="F84" s="33"/>
      <c r="G84" s="35"/>
      <c r="H84" s="32"/>
      <c r="I84" s="35"/>
      <c r="J84" s="32"/>
    </row>
    <row r="85" customFormat="false" ht="15" hidden="false" customHeight="false" outlineLevel="0" collapsed="false">
      <c r="A85" s="32"/>
      <c r="B85" s="32"/>
      <c r="C85" s="32"/>
      <c r="D85" s="32"/>
      <c r="E85" s="33"/>
      <c r="F85" s="33"/>
      <c r="G85" s="35"/>
      <c r="H85" s="32"/>
      <c r="I85" s="35"/>
      <c r="J85" s="32"/>
    </row>
    <row r="86" customFormat="false" ht="15" hidden="false" customHeight="false" outlineLevel="0" collapsed="false">
      <c r="A86" s="32"/>
      <c r="B86" s="32"/>
      <c r="C86" s="32"/>
      <c r="D86" s="32"/>
      <c r="E86" s="33"/>
      <c r="F86" s="33"/>
      <c r="G86" s="35"/>
      <c r="H86" s="32"/>
      <c r="I86" s="35"/>
      <c r="J86" s="32"/>
    </row>
    <row r="87" customFormat="false" ht="15" hidden="false" customHeight="false" outlineLevel="0" collapsed="false">
      <c r="A87" s="32"/>
      <c r="B87" s="32"/>
      <c r="C87" s="32"/>
      <c r="D87" s="32"/>
      <c r="E87" s="33"/>
      <c r="F87" s="33"/>
      <c r="G87" s="35"/>
      <c r="H87" s="32"/>
      <c r="I87" s="35"/>
      <c r="J87" s="32"/>
    </row>
    <row r="88" customFormat="false" ht="15" hidden="false" customHeight="false" outlineLevel="0" collapsed="false">
      <c r="A88" s="32"/>
      <c r="B88" s="32"/>
      <c r="C88" s="32"/>
      <c r="D88" s="32"/>
      <c r="E88" s="33"/>
      <c r="F88" s="33"/>
      <c r="G88" s="35"/>
      <c r="H88" s="32"/>
      <c r="I88" s="35"/>
      <c r="J88" s="32"/>
    </row>
    <row r="89" customFormat="false" ht="15" hidden="false" customHeight="false" outlineLevel="0" collapsed="false">
      <c r="A89" s="32"/>
      <c r="B89" s="32"/>
      <c r="C89" s="32"/>
      <c r="D89" s="32"/>
      <c r="E89" s="33"/>
      <c r="F89" s="33"/>
      <c r="G89" s="35"/>
      <c r="H89" s="32"/>
      <c r="I89" s="35"/>
      <c r="J89" s="32"/>
    </row>
    <row r="90" customFormat="false" ht="15" hidden="false" customHeight="false" outlineLevel="0" collapsed="false">
      <c r="A90" s="32"/>
      <c r="B90" s="32"/>
      <c r="C90" s="32"/>
      <c r="D90" s="32"/>
      <c r="E90" s="33"/>
      <c r="F90" s="33"/>
      <c r="G90" s="35"/>
      <c r="H90" s="32"/>
      <c r="I90" s="35"/>
      <c r="J90" s="32"/>
    </row>
    <row r="91" customFormat="false" ht="15" hidden="false" customHeight="false" outlineLevel="0" collapsed="false">
      <c r="A91" s="32"/>
      <c r="B91" s="32"/>
      <c r="C91" s="32"/>
      <c r="D91" s="32"/>
      <c r="E91" s="33"/>
      <c r="F91" s="33"/>
      <c r="G91" s="35"/>
      <c r="H91" s="32"/>
      <c r="I91" s="35"/>
      <c r="J91" s="32"/>
    </row>
    <row r="92" customFormat="false" ht="15" hidden="false" customHeight="false" outlineLevel="0" collapsed="false">
      <c r="A92" s="32"/>
      <c r="B92" s="32"/>
      <c r="C92" s="32"/>
      <c r="D92" s="32"/>
      <c r="E92" s="33"/>
      <c r="F92" s="33"/>
      <c r="G92" s="35"/>
      <c r="H92" s="32"/>
      <c r="I92" s="35"/>
      <c r="J92" s="32"/>
    </row>
    <row r="93" customFormat="false" ht="15" hidden="false" customHeight="false" outlineLevel="0" collapsed="false">
      <c r="A93" s="32"/>
      <c r="B93" s="32"/>
      <c r="C93" s="32"/>
      <c r="D93" s="32"/>
      <c r="E93" s="33"/>
      <c r="F93" s="33"/>
      <c r="G93" s="35"/>
      <c r="H93" s="32"/>
      <c r="I93" s="35"/>
      <c r="J93" s="32"/>
    </row>
    <row r="94" customFormat="false" ht="15" hidden="false" customHeight="false" outlineLevel="0" collapsed="false">
      <c r="A94" s="32"/>
      <c r="B94" s="32"/>
      <c r="C94" s="32"/>
      <c r="D94" s="32"/>
      <c r="E94" s="33"/>
      <c r="F94" s="33"/>
      <c r="G94" s="35"/>
      <c r="H94" s="32"/>
      <c r="I94" s="35"/>
      <c r="J94" s="32"/>
    </row>
    <row r="95" customFormat="false" ht="15" hidden="false" customHeight="false" outlineLevel="0" collapsed="false">
      <c r="A95" s="32"/>
      <c r="B95" s="32"/>
      <c r="C95" s="32"/>
      <c r="D95" s="32"/>
      <c r="E95" s="33"/>
      <c r="F95" s="33"/>
      <c r="G95" s="35"/>
      <c r="H95" s="32"/>
      <c r="I95" s="35"/>
      <c r="J95" s="32"/>
    </row>
    <row r="96" customFormat="false" ht="15" hidden="false" customHeight="false" outlineLevel="0" collapsed="false">
      <c r="A96" s="32"/>
      <c r="B96" s="32"/>
      <c r="C96" s="32"/>
      <c r="D96" s="32"/>
      <c r="E96" s="33"/>
      <c r="F96" s="33"/>
      <c r="G96" s="35"/>
      <c r="H96" s="32"/>
      <c r="I96" s="35"/>
      <c r="J96" s="32"/>
    </row>
    <row r="97" customFormat="false" ht="15" hidden="false" customHeight="false" outlineLevel="0" collapsed="false">
      <c r="A97" s="32"/>
      <c r="B97" s="32"/>
      <c r="C97" s="32"/>
      <c r="D97" s="32"/>
      <c r="E97" s="33"/>
      <c r="F97" s="33"/>
      <c r="G97" s="35"/>
      <c r="H97" s="32"/>
      <c r="I97" s="35"/>
      <c r="J97" s="32"/>
    </row>
    <row r="98" customFormat="false" ht="15" hidden="false" customHeight="false" outlineLevel="0" collapsed="false">
      <c r="A98" s="32"/>
      <c r="B98" s="32"/>
      <c r="C98" s="32"/>
      <c r="D98" s="32"/>
      <c r="E98" s="33"/>
      <c r="F98" s="33"/>
      <c r="G98" s="35"/>
      <c r="H98" s="32"/>
      <c r="I98" s="35"/>
      <c r="J98" s="32"/>
    </row>
    <row r="99" customFormat="false" ht="15" hidden="false" customHeight="false" outlineLevel="0" collapsed="false">
      <c r="A99" s="32"/>
      <c r="B99" s="32"/>
      <c r="C99" s="32"/>
      <c r="D99" s="32"/>
      <c r="E99" s="33"/>
      <c r="F99" s="33"/>
      <c r="G99" s="35"/>
      <c r="H99" s="32"/>
      <c r="I99" s="35"/>
      <c r="J99" s="32"/>
    </row>
    <row r="100" customFormat="false" ht="15" hidden="false" customHeight="false" outlineLevel="0" collapsed="false">
      <c r="A100" s="32"/>
      <c r="B100" s="32"/>
      <c r="C100" s="32"/>
      <c r="D100" s="32"/>
      <c r="E100" s="33"/>
      <c r="F100" s="33"/>
      <c r="G100" s="35"/>
      <c r="H100" s="32"/>
      <c r="I100" s="35"/>
      <c r="J100" s="32"/>
    </row>
    <row r="101" customFormat="false" ht="15" hidden="false" customHeight="false" outlineLevel="0" collapsed="false">
      <c r="A101" s="32"/>
      <c r="B101" s="32"/>
      <c r="C101" s="32"/>
      <c r="D101" s="32"/>
      <c r="E101" s="33"/>
      <c r="F101" s="33"/>
      <c r="G101" s="35"/>
      <c r="H101" s="32"/>
      <c r="I101" s="35"/>
      <c r="J101" s="32"/>
    </row>
    <row r="102" customFormat="false" ht="15" hidden="false" customHeight="false" outlineLevel="0" collapsed="false">
      <c r="A102" s="32"/>
      <c r="B102" s="32"/>
      <c r="C102" s="32"/>
      <c r="D102" s="32"/>
      <c r="E102" s="33"/>
      <c r="F102" s="33"/>
      <c r="G102" s="35"/>
      <c r="H102" s="32"/>
      <c r="I102" s="35"/>
      <c r="J102" s="32"/>
    </row>
    <row r="103" customFormat="false" ht="15" hidden="false" customHeight="false" outlineLevel="0" collapsed="false">
      <c r="A103" s="32"/>
      <c r="B103" s="32"/>
      <c r="C103" s="32"/>
      <c r="D103" s="32"/>
      <c r="E103" s="33"/>
      <c r="F103" s="33"/>
      <c r="G103" s="35"/>
      <c r="H103" s="32"/>
      <c r="I103" s="35"/>
      <c r="J103" s="32"/>
    </row>
    <row r="104" customFormat="false" ht="15" hidden="false" customHeight="false" outlineLevel="0" collapsed="false">
      <c r="A104" s="32"/>
      <c r="B104" s="32"/>
      <c r="C104" s="32"/>
      <c r="D104" s="32"/>
      <c r="E104" s="33"/>
      <c r="F104" s="33"/>
      <c r="G104" s="35"/>
      <c r="H104" s="32"/>
      <c r="I104" s="35"/>
      <c r="J104" s="32"/>
    </row>
    <row r="105" customFormat="false" ht="15" hidden="false" customHeight="false" outlineLevel="0" collapsed="false">
      <c r="A105" s="32"/>
      <c r="B105" s="32"/>
      <c r="C105" s="32"/>
      <c r="D105" s="32"/>
      <c r="E105" s="33"/>
      <c r="F105" s="33"/>
      <c r="G105" s="35"/>
      <c r="H105" s="32"/>
      <c r="I105" s="35"/>
      <c r="J105" s="32"/>
    </row>
    <row r="106" customFormat="false" ht="15" hidden="false" customHeight="false" outlineLevel="0" collapsed="false">
      <c r="A106" s="32"/>
      <c r="B106" s="32"/>
      <c r="C106" s="32"/>
      <c r="D106" s="32"/>
      <c r="E106" s="33"/>
      <c r="F106" s="33"/>
      <c r="G106" s="35"/>
      <c r="H106" s="32"/>
      <c r="I106" s="35"/>
      <c r="J106" s="32"/>
    </row>
    <row r="107" customFormat="false" ht="15" hidden="false" customHeight="false" outlineLevel="0" collapsed="false">
      <c r="A107" s="32"/>
      <c r="B107" s="32"/>
      <c r="C107" s="32"/>
      <c r="D107" s="32"/>
      <c r="E107" s="33"/>
      <c r="F107" s="33"/>
      <c r="G107" s="35"/>
      <c r="H107" s="32"/>
      <c r="I107" s="35"/>
      <c r="J107" s="32"/>
    </row>
    <row r="108" customFormat="false" ht="15" hidden="false" customHeight="false" outlineLevel="0" collapsed="false">
      <c r="A108" s="32"/>
      <c r="B108" s="32"/>
      <c r="C108" s="32"/>
      <c r="D108" s="32"/>
      <c r="E108" s="33"/>
      <c r="F108" s="33"/>
      <c r="G108" s="35"/>
      <c r="H108" s="32"/>
      <c r="I108" s="35"/>
      <c r="J108" s="32"/>
    </row>
    <row r="109" customFormat="false" ht="15" hidden="false" customHeight="false" outlineLevel="0" collapsed="false">
      <c r="A109" s="32"/>
      <c r="B109" s="32"/>
      <c r="C109" s="32"/>
      <c r="D109" s="32"/>
      <c r="E109" s="33"/>
      <c r="F109" s="33"/>
      <c r="G109" s="35"/>
      <c r="H109" s="32"/>
      <c r="I109" s="35"/>
      <c r="J109" s="32"/>
    </row>
    <row r="110" customFormat="false" ht="15" hidden="false" customHeight="false" outlineLevel="0" collapsed="false">
      <c r="A110" s="32"/>
      <c r="B110" s="32"/>
      <c r="C110" s="32"/>
      <c r="D110" s="32"/>
      <c r="E110" s="33"/>
      <c r="F110" s="33"/>
      <c r="G110" s="35"/>
      <c r="H110" s="32"/>
      <c r="I110" s="35"/>
      <c r="J110" s="32"/>
    </row>
    <row r="111" customFormat="false" ht="15" hidden="false" customHeight="false" outlineLevel="0" collapsed="false">
      <c r="A111" s="32"/>
      <c r="B111" s="32"/>
      <c r="C111" s="32"/>
      <c r="D111" s="32"/>
      <c r="E111" s="33"/>
      <c r="F111" s="33"/>
      <c r="G111" s="35"/>
      <c r="H111" s="32"/>
      <c r="I111" s="35"/>
      <c r="J111" s="32"/>
    </row>
    <row r="112" customFormat="false" ht="15" hidden="false" customHeight="false" outlineLevel="0" collapsed="false">
      <c r="A112" s="32"/>
      <c r="B112" s="32"/>
      <c r="C112" s="32"/>
      <c r="D112" s="32"/>
      <c r="E112" s="33"/>
      <c r="F112" s="33"/>
      <c r="G112" s="35"/>
      <c r="H112" s="32"/>
      <c r="I112" s="35"/>
      <c r="J112" s="32"/>
    </row>
    <row r="113" customFormat="false" ht="15" hidden="false" customHeight="false" outlineLevel="0" collapsed="false">
      <c r="A113" s="32"/>
      <c r="B113" s="32"/>
      <c r="C113" s="32"/>
      <c r="D113" s="32"/>
      <c r="E113" s="33"/>
      <c r="F113" s="33"/>
      <c r="G113" s="35"/>
      <c r="H113" s="32"/>
      <c r="I113" s="35"/>
      <c r="J113" s="32"/>
    </row>
    <row r="114" customFormat="false" ht="15" hidden="false" customHeight="false" outlineLevel="0" collapsed="false">
      <c r="A114" s="32"/>
      <c r="B114" s="32"/>
      <c r="C114" s="32"/>
      <c r="D114" s="32"/>
      <c r="E114" s="33"/>
      <c r="F114" s="33"/>
      <c r="G114" s="35"/>
      <c r="H114" s="32"/>
      <c r="I114" s="35"/>
      <c r="J114" s="32"/>
    </row>
    <row r="115" customFormat="false" ht="15" hidden="false" customHeight="false" outlineLevel="0" collapsed="false">
      <c r="A115" s="32"/>
      <c r="B115" s="32"/>
      <c r="C115" s="32"/>
      <c r="D115" s="32"/>
      <c r="E115" s="33"/>
      <c r="F115" s="33"/>
      <c r="G115" s="35"/>
      <c r="H115" s="32"/>
      <c r="I115" s="35"/>
      <c r="J115" s="32"/>
    </row>
    <row r="116" customFormat="false" ht="15" hidden="false" customHeight="false" outlineLevel="0" collapsed="false">
      <c r="A116" s="32"/>
      <c r="B116" s="32"/>
      <c r="C116" s="32"/>
      <c r="D116" s="32"/>
      <c r="E116" s="33"/>
      <c r="F116" s="33"/>
      <c r="G116" s="35"/>
      <c r="H116" s="32"/>
      <c r="I116" s="35"/>
      <c r="J116" s="32"/>
    </row>
    <row r="117" customFormat="false" ht="15" hidden="false" customHeight="false" outlineLevel="0" collapsed="false">
      <c r="A117" s="32"/>
      <c r="B117" s="32"/>
      <c r="C117" s="32"/>
      <c r="D117" s="32"/>
      <c r="E117" s="33"/>
      <c r="F117" s="33"/>
      <c r="G117" s="35"/>
      <c r="H117" s="32"/>
      <c r="I117" s="35"/>
      <c r="J117" s="32"/>
    </row>
    <row r="118" customFormat="false" ht="15" hidden="false" customHeight="false" outlineLevel="0" collapsed="false">
      <c r="A118" s="32"/>
      <c r="B118" s="32"/>
      <c r="C118" s="32"/>
      <c r="D118" s="32"/>
      <c r="E118" s="33"/>
      <c r="F118" s="33"/>
      <c r="G118" s="35"/>
      <c r="H118" s="32"/>
      <c r="I118" s="35"/>
      <c r="J118" s="32"/>
    </row>
    <row r="119" customFormat="false" ht="15" hidden="false" customHeight="false" outlineLevel="0" collapsed="false">
      <c r="A119" s="32"/>
      <c r="B119" s="32"/>
      <c r="C119" s="32"/>
      <c r="D119" s="32"/>
      <c r="E119" s="33"/>
      <c r="F119" s="33"/>
      <c r="G119" s="35"/>
      <c r="H119" s="32"/>
      <c r="I119" s="35"/>
      <c r="J119" s="32"/>
    </row>
    <row r="120" customFormat="false" ht="15" hidden="false" customHeight="false" outlineLevel="0" collapsed="false">
      <c r="A120" s="32"/>
      <c r="B120" s="32"/>
      <c r="C120" s="32"/>
      <c r="D120" s="32"/>
      <c r="E120" s="33"/>
      <c r="F120" s="33"/>
      <c r="G120" s="35"/>
      <c r="H120" s="32"/>
      <c r="I120" s="35"/>
      <c r="J120" s="32"/>
    </row>
    <row r="121" customFormat="false" ht="15" hidden="false" customHeight="false" outlineLevel="0" collapsed="false">
      <c r="A121" s="32"/>
      <c r="B121" s="32"/>
      <c r="C121" s="32"/>
      <c r="D121" s="32"/>
      <c r="E121" s="33"/>
      <c r="F121" s="33"/>
      <c r="G121" s="35"/>
      <c r="H121" s="32"/>
      <c r="I121" s="35"/>
      <c r="J121" s="32"/>
    </row>
    <row r="122" customFormat="false" ht="15" hidden="false" customHeight="false" outlineLevel="0" collapsed="false">
      <c r="A122" s="32"/>
      <c r="B122" s="32"/>
      <c r="C122" s="32"/>
      <c r="D122" s="32"/>
      <c r="E122" s="33"/>
      <c r="F122" s="33"/>
      <c r="G122" s="35"/>
      <c r="H122" s="32"/>
      <c r="I122" s="35"/>
      <c r="J122" s="32"/>
    </row>
    <row r="123" customFormat="false" ht="15" hidden="false" customHeight="false" outlineLevel="0" collapsed="false">
      <c r="A123" s="32"/>
      <c r="B123" s="32"/>
      <c r="C123" s="32"/>
      <c r="D123" s="32"/>
      <c r="E123" s="33"/>
      <c r="F123" s="33"/>
      <c r="G123" s="35"/>
      <c r="H123" s="32"/>
      <c r="I123" s="35"/>
      <c r="J123" s="32"/>
    </row>
    <row r="124" customFormat="false" ht="15" hidden="false" customHeight="false" outlineLevel="0" collapsed="false">
      <c r="A124" s="32"/>
      <c r="B124" s="32"/>
      <c r="C124" s="32"/>
      <c r="D124" s="32"/>
      <c r="E124" s="33"/>
      <c r="F124" s="33"/>
      <c r="G124" s="35"/>
      <c r="H124" s="32"/>
      <c r="I124" s="35"/>
      <c r="J124" s="32"/>
    </row>
    <row r="125" customFormat="false" ht="15" hidden="false" customHeight="false" outlineLevel="0" collapsed="false">
      <c r="A125" s="32"/>
      <c r="B125" s="32"/>
      <c r="C125" s="32"/>
      <c r="D125" s="32"/>
      <c r="E125" s="33"/>
      <c r="F125" s="33"/>
      <c r="G125" s="35"/>
      <c r="H125" s="32"/>
      <c r="I125" s="35"/>
      <c r="J125" s="32"/>
    </row>
    <row r="126" customFormat="false" ht="15" hidden="false" customHeight="false" outlineLevel="0" collapsed="false">
      <c r="A126" s="32"/>
      <c r="B126" s="32"/>
      <c r="C126" s="32"/>
      <c r="D126" s="32"/>
      <c r="E126" s="33"/>
      <c r="F126" s="33"/>
      <c r="G126" s="35"/>
      <c r="H126" s="32"/>
      <c r="I126" s="35"/>
      <c r="J126" s="32"/>
    </row>
    <row r="127" customFormat="false" ht="15" hidden="false" customHeight="false" outlineLevel="0" collapsed="false">
      <c r="A127" s="32"/>
      <c r="B127" s="32"/>
      <c r="C127" s="32"/>
      <c r="D127" s="32"/>
      <c r="E127" s="33"/>
      <c r="F127" s="33"/>
      <c r="G127" s="35"/>
      <c r="H127" s="32"/>
      <c r="I127" s="35"/>
      <c r="J127" s="32"/>
    </row>
    <row r="128" customFormat="false" ht="15" hidden="false" customHeight="false" outlineLevel="0" collapsed="false">
      <c r="A128" s="32"/>
      <c r="B128" s="32"/>
      <c r="C128" s="32"/>
      <c r="D128" s="32"/>
      <c r="E128" s="33"/>
      <c r="F128" s="33"/>
      <c r="G128" s="35"/>
      <c r="H128" s="32"/>
      <c r="I128" s="35"/>
      <c r="J128" s="32"/>
    </row>
    <row r="129" customFormat="false" ht="15" hidden="false" customHeight="false" outlineLevel="0" collapsed="false">
      <c r="A129" s="32"/>
      <c r="B129" s="32"/>
      <c r="C129" s="32"/>
      <c r="D129" s="32"/>
      <c r="E129" s="33"/>
      <c r="F129" s="33"/>
      <c r="G129" s="35"/>
      <c r="H129" s="32"/>
      <c r="I129" s="35"/>
      <c r="J129" s="32"/>
    </row>
    <row r="130" customFormat="false" ht="15" hidden="false" customHeight="false" outlineLevel="0" collapsed="false">
      <c r="A130" s="32"/>
      <c r="B130" s="32"/>
      <c r="C130" s="32"/>
      <c r="D130" s="32"/>
      <c r="E130" s="33"/>
      <c r="F130" s="33"/>
      <c r="G130" s="35"/>
      <c r="H130" s="32"/>
      <c r="I130" s="35"/>
      <c r="J130" s="32"/>
    </row>
    <row r="131" customFormat="false" ht="15" hidden="false" customHeight="false" outlineLevel="0" collapsed="false">
      <c r="A131" s="32"/>
      <c r="B131" s="32"/>
      <c r="C131" s="32"/>
      <c r="D131" s="32"/>
      <c r="E131" s="33"/>
      <c r="F131" s="33"/>
      <c r="G131" s="35"/>
      <c r="H131" s="32"/>
      <c r="I131" s="35"/>
      <c r="J131" s="32"/>
    </row>
    <row r="132" customFormat="false" ht="15" hidden="false" customHeight="false" outlineLevel="0" collapsed="false">
      <c r="A132" s="32"/>
      <c r="B132" s="32"/>
      <c r="C132" s="32"/>
      <c r="D132" s="32"/>
      <c r="E132" s="33"/>
      <c r="F132" s="33"/>
      <c r="G132" s="35"/>
      <c r="H132" s="32"/>
      <c r="I132" s="35"/>
      <c r="J132" s="32"/>
    </row>
    <row r="133" customFormat="false" ht="15" hidden="false" customHeight="false" outlineLevel="0" collapsed="false">
      <c r="A133" s="32"/>
      <c r="B133" s="32"/>
      <c r="C133" s="32"/>
      <c r="D133" s="32"/>
      <c r="E133" s="33"/>
      <c r="F133" s="33"/>
      <c r="G133" s="35"/>
      <c r="H133" s="32"/>
      <c r="I133" s="35"/>
      <c r="J133" s="32"/>
    </row>
    <row r="134" customFormat="false" ht="15" hidden="false" customHeight="false" outlineLevel="0" collapsed="false">
      <c r="A134" s="32"/>
      <c r="B134" s="32"/>
      <c r="C134" s="32"/>
      <c r="D134" s="32"/>
      <c r="E134" s="33"/>
      <c r="F134" s="33"/>
      <c r="G134" s="35"/>
      <c r="H134" s="32"/>
      <c r="I134" s="35"/>
      <c r="J134" s="32"/>
    </row>
    <row r="135" customFormat="false" ht="15" hidden="false" customHeight="false" outlineLevel="0" collapsed="false">
      <c r="A135" s="32"/>
      <c r="B135" s="32"/>
      <c r="C135" s="32"/>
      <c r="D135" s="32"/>
      <c r="E135" s="33"/>
      <c r="F135" s="33"/>
      <c r="G135" s="35"/>
      <c r="H135" s="32"/>
      <c r="I135" s="35"/>
      <c r="J135" s="32"/>
    </row>
    <row r="136" customFormat="false" ht="15" hidden="false" customHeight="false" outlineLevel="0" collapsed="false">
      <c r="A136" s="32"/>
      <c r="B136" s="32"/>
      <c r="C136" s="32"/>
      <c r="D136" s="32"/>
      <c r="E136" s="33"/>
      <c r="F136" s="33"/>
      <c r="G136" s="35"/>
      <c r="H136" s="32"/>
      <c r="I136" s="35"/>
      <c r="J136" s="32"/>
    </row>
    <row r="137" customFormat="false" ht="15" hidden="false" customHeight="false" outlineLevel="0" collapsed="false">
      <c r="A137" s="32"/>
      <c r="B137" s="32"/>
      <c r="C137" s="32"/>
      <c r="D137" s="32"/>
      <c r="E137" s="33"/>
      <c r="F137" s="33"/>
      <c r="G137" s="35"/>
      <c r="H137" s="32"/>
      <c r="I137" s="35"/>
      <c r="J137" s="32"/>
    </row>
    <row r="138" customFormat="false" ht="15" hidden="false" customHeight="false" outlineLevel="0" collapsed="false">
      <c r="A138" s="32"/>
      <c r="B138" s="32"/>
      <c r="C138" s="32"/>
      <c r="D138" s="32"/>
      <c r="E138" s="33"/>
      <c r="F138" s="33"/>
      <c r="G138" s="35"/>
      <c r="H138" s="32"/>
      <c r="I138" s="35"/>
      <c r="J138" s="32"/>
    </row>
    <row r="139" customFormat="false" ht="15" hidden="false" customHeight="false" outlineLevel="0" collapsed="false">
      <c r="A139" s="32"/>
      <c r="B139" s="32"/>
      <c r="C139" s="32"/>
      <c r="D139" s="32"/>
      <c r="E139" s="33"/>
      <c r="F139" s="33"/>
      <c r="G139" s="35"/>
      <c r="H139" s="32"/>
      <c r="I139" s="35"/>
      <c r="J139" s="32"/>
    </row>
    <row r="140" customFormat="false" ht="15" hidden="false" customHeight="false" outlineLevel="0" collapsed="false">
      <c r="A140" s="32"/>
      <c r="B140" s="32"/>
      <c r="C140" s="32"/>
      <c r="D140" s="32"/>
      <c r="E140" s="33"/>
      <c r="F140" s="33"/>
      <c r="G140" s="35"/>
      <c r="H140" s="32"/>
      <c r="I140" s="35"/>
      <c r="J140" s="32"/>
    </row>
    <row r="141" customFormat="false" ht="15" hidden="false" customHeight="false" outlineLevel="0" collapsed="false">
      <c r="A141" s="32"/>
      <c r="B141" s="32"/>
      <c r="C141" s="32"/>
      <c r="D141" s="32"/>
      <c r="E141" s="33"/>
      <c r="F141" s="33"/>
      <c r="G141" s="35"/>
      <c r="H141" s="32"/>
      <c r="I141" s="35"/>
      <c r="J141" s="32"/>
    </row>
    <row r="142" customFormat="false" ht="15" hidden="false" customHeight="false" outlineLevel="0" collapsed="false">
      <c r="A142" s="32"/>
      <c r="B142" s="32"/>
      <c r="C142" s="32"/>
      <c r="D142" s="32"/>
      <c r="E142" s="33"/>
      <c r="F142" s="33"/>
      <c r="G142" s="35"/>
      <c r="H142" s="32"/>
      <c r="I142" s="35"/>
      <c r="J142" s="32"/>
    </row>
    <row r="143" customFormat="false" ht="15" hidden="false" customHeight="false" outlineLevel="0" collapsed="false">
      <c r="A143" s="32"/>
      <c r="B143" s="32"/>
      <c r="C143" s="32"/>
      <c r="D143" s="32"/>
      <c r="E143" s="33"/>
      <c r="F143" s="33"/>
      <c r="G143" s="35"/>
      <c r="H143" s="32"/>
      <c r="I143" s="35"/>
      <c r="J143" s="32"/>
    </row>
    <row r="144" customFormat="false" ht="15" hidden="false" customHeight="false" outlineLevel="0" collapsed="false">
      <c r="A144" s="32"/>
      <c r="B144" s="32"/>
      <c r="C144" s="32"/>
      <c r="D144" s="32"/>
      <c r="E144" s="33"/>
      <c r="F144" s="33"/>
      <c r="G144" s="35"/>
      <c r="H144" s="32"/>
      <c r="I144" s="35"/>
      <c r="J144" s="32"/>
    </row>
    <row r="145" customFormat="false" ht="15" hidden="false" customHeight="false" outlineLevel="0" collapsed="false">
      <c r="A145" s="32"/>
      <c r="B145" s="32"/>
      <c r="C145" s="32"/>
      <c r="D145" s="32"/>
      <c r="E145" s="33"/>
      <c r="F145" s="33"/>
      <c r="G145" s="35"/>
      <c r="H145" s="32"/>
      <c r="I145" s="35"/>
      <c r="J145" s="32"/>
    </row>
    <row r="146" customFormat="false" ht="15" hidden="false" customHeight="false" outlineLevel="0" collapsed="false">
      <c r="A146" s="32"/>
      <c r="B146" s="32"/>
      <c r="C146" s="32"/>
      <c r="D146" s="32"/>
      <c r="E146" s="33"/>
      <c r="F146" s="33"/>
      <c r="G146" s="35"/>
      <c r="H146" s="32"/>
      <c r="I146" s="35"/>
      <c r="J146" s="32"/>
    </row>
    <row r="147" customFormat="false" ht="15" hidden="false" customHeight="false" outlineLevel="0" collapsed="false">
      <c r="A147" s="32"/>
      <c r="B147" s="32"/>
      <c r="C147" s="32"/>
      <c r="D147" s="32"/>
      <c r="E147" s="33"/>
      <c r="F147" s="33"/>
      <c r="G147" s="35"/>
      <c r="H147" s="32"/>
      <c r="I147" s="35"/>
      <c r="J147" s="32"/>
    </row>
    <row r="148" customFormat="false" ht="15" hidden="false" customHeight="false" outlineLevel="0" collapsed="false">
      <c r="A148" s="32"/>
      <c r="B148" s="32"/>
      <c r="C148" s="32"/>
      <c r="D148" s="32"/>
      <c r="E148" s="33"/>
      <c r="F148" s="33"/>
      <c r="G148" s="35"/>
      <c r="H148" s="32"/>
      <c r="I148" s="35"/>
      <c r="J148" s="32"/>
    </row>
    <row r="149" customFormat="false" ht="15" hidden="false" customHeight="false" outlineLevel="0" collapsed="false">
      <c r="A149" s="32"/>
      <c r="B149" s="32"/>
      <c r="C149" s="32"/>
      <c r="D149" s="32"/>
      <c r="E149" s="33"/>
      <c r="F149" s="33"/>
      <c r="G149" s="35"/>
      <c r="H149" s="32"/>
      <c r="I149" s="35"/>
      <c r="J149" s="32"/>
    </row>
    <row r="150" customFormat="false" ht="15" hidden="false" customHeight="false" outlineLevel="0" collapsed="false">
      <c r="A150" s="32"/>
      <c r="B150" s="32"/>
      <c r="C150" s="32"/>
      <c r="D150" s="32"/>
      <c r="E150" s="33"/>
      <c r="F150" s="33"/>
      <c r="G150" s="35"/>
      <c r="H150" s="32"/>
      <c r="I150" s="35"/>
      <c r="J150" s="32"/>
    </row>
    <row r="151" customFormat="false" ht="15" hidden="false" customHeight="false" outlineLevel="0" collapsed="false">
      <c r="A151" s="32"/>
      <c r="B151" s="32"/>
      <c r="C151" s="32"/>
      <c r="D151" s="32"/>
      <c r="E151" s="33"/>
      <c r="F151" s="33"/>
      <c r="G151" s="35"/>
      <c r="H151" s="32"/>
      <c r="I151" s="35"/>
      <c r="J151" s="32"/>
    </row>
    <row r="152" customFormat="false" ht="15" hidden="false" customHeight="false" outlineLevel="0" collapsed="false">
      <c r="A152" s="32"/>
      <c r="B152" s="32"/>
      <c r="C152" s="32"/>
      <c r="D152" s="32"/>
      <c r="E152" s="33"/>
      <c r="F152" s="33"/>
      <c r="G152" s="35"/>
      <c r="H152" s="32"/>
      <c r="I152" s="35"/>
      <c r="J152" s="32"/>
    </row>
    <row r="153" customFormat="false" ht="15" hidden="false" customHeight="false" outlineLevel="0" collapsed="false">
      <c r="A153" s="32"/>
      <c r="B153" s="32"/>
      <c r="C153" s="32"/>
      <c r="D153" s="32"/>
      <c r="E153" s="33"/>
      <c r="F153" s="33"/>
      <c r="G153" s="35"/>
      <c r="H153" s="32"/>
      <c r="I153" s="35"/>
      <c r="J153" s="32"/>
    </row>
    <row r="154" customFormat="false" ht="15" hidden="false" customHeight="false" outlineLevel="0" collapsed="false">
      <c r="A154" s="32"/>
      <c r="B154" s="32"/>
      <c r="C154" s="32"/>
      <c r="D154" s="32"/>
      <c r="E154" s="33"/>
      <c r="F154" s="33"/>
      <c r="G154" s="35"/>
      <c r="H154" s="32"/>
      <c r="I154" s="35"/>
      <c r="J154" s="32"/>
    </row>
    <row r="155" customFormat="false" ht="15" hidden="false" customHeight="false" outlineLevel="0" collapsed="false">
      <c r="A155" s="32"/>
      <c r="B155" s="32"/>
      <c r="C155" s="32"/>
      <c r="D155" s="32"/>
      <c r="E155" s="33"/>
      <c r="F155" s="33"/>
      <c r="G155" s="35"/>
      <c r="H155" s="32"/>
      <c r="I155" s="35"/>
      <c r="J155" s="32"/>
    </row>
    <row r="156" customFormat="false" ht="15" hidden="false" customHeight="false" outlineLevel="0" collapsed="false">
      <c r="A156" s="32"/>
      <c r="B156" s="32"/>
      <c r="C156" s="32"/>
      <c r="D156" s="32"/>
      <c r="E156" s="33"/>
      <c r="F156" s="33"/>
      <c r="G156" s="35"/>
      <c r="H156" s="32"/>
      <c r="I156" s="35"/>
      <c r="J156" s="32"/>
    </row>
    <row r="157" customFormat="false" ht="15" hidden="false" customHeight="false" outlineLevel="0" collapsed="false">
      <c r="A157" s="32"/>
      <c r="B157" s="32"/>
      <c r="C157" s="32"/>
      <c r="D157" s="32"/>
      <c r="E157" s="33"/>
      <c r="F157" s="33"/>
      <c r="G157" s="35"/>
      <c r="H157" s="32"/>
      <c r="I157" s="35"/>
      <c r="J157" s="32"/>
    </row>
    <row r="158" customFormat="false" ht="15" hidden="false" customHeight="false" outlineLevel="0" collapsed="false">
      <c r="A158" s="32"/>
      <c r="B158" s="32"/>
      <c r="C158" s="32"/>
      <c r="D158" s="32"/>
      <c r="E158" s="33"/>
      <c r="F158" s="33"/>
      <c r="G158" s="35"/>
      <c r="H158" s="32"/>
      <c r="I158" s="35"/>
      <c r="J158" s="32"/>
    </row>
    <row r="159" customFormat="false" ht="15" hidden="false" customHeight="false" outlineLevel="0" collapsed="false">
      <c r="A159" s="32"/>
      <c r="B159" s="32"/>
      <c r="C159" s="32"/>
      <c r="D159" s="32"/>
      <c r="E159" s="33"/>
      <c r="F159" s="33"/>
      <c r="G159" s="35"/>
      <c r="H159" s="32"/>
      <c r="I159" s="35"/>
      <c r="J159" s="32"/>
    </row>
    <row r="160" customFormat="false" ht="15" hidden="false" customHeight="false" outlineLevel="0" collapsed="false">
      <c r="A160" s="32"/>
      <c r="B160" s="32"/>
      <c r="C160" s="32"/>
      <c r="D160" s="32"/>
      <c r="E160" s="33"/>
      <c r="F160" s="33"/>
      <c r="G160" s="35"/>
      <c r="H160" s="32"/>
      <c r="I160" s="35"/>
      <c r="J160" s="32"/>
    </row>
    <row r="161" customFormat="false" ht="15" hidden="false" customHeight="false" outlineLevel="0" collapsed="false">
      <c r="A161" s="32"/>
      <c r="B161" s="32"/>
      <c r="C161" s="32"/>
      <c r="D161" s="32"/>
      <c r="E161" s="33"/>
      <c r="F161" s="33"/>
      <c r="G161" s="35"/>
      <c r="H161" s="32"/>
      <c r="I161" s="35"/>
      <c r="J161" s="32"/>
    </row>
    <row r="162" customFormat="false" ht="15" hidden="false" customHeight="false" outlineLevel="0" collapsed="false">
      <c r="A162" s="32"/>
      <c r="B162" s="32"/>
      <c r="C162" s="32"/>
      <c r="D162" s="32"/>
      <c r="E162" s="33"/>
      <c r="F162" s="33"/>
      <c r="G162" s="35"/>
      <c r="H162" s="32"/>
      <c r="I162" s="35"/>
      <c r="J162" s="32"/>
    </row>
    <row r="163" customFormat="false" ht="15" hidden="false" customHeight="false" outlineLevel="0" collapsed="false">
      <c r="A163" s="32"/>
      <c r="B163" s="32"/>
      <c r="C163" s="32"/>
      <c r="D163" s="32"/>
      <c r="E163" s="33"/>
      <c r="F163" s="33"/>
      <c r="G163" s="35"/>
      <c r="H163" s="32"/>
      <c r="I163" s="35"/>
      <c r="J163" s="32"/>
    </row>
    <row r="164" customFormat="false" ht="15" hidden="false" customHeight="false" outlineLevel="0" collapsed="false">
      <c r="A164" s="32"/>
      <c r="B164" s="32"/>
      <c r="C164" s="32"/>
      <c r="D164" s="32"/>
      <c r="E164" s="33"/>
      <c r="F164" s="33"/>
      <c r="G164" s="35"/>
      <c r="H164" s="32"/>
      <c r="I164" s="35"/>
      <c r="J164" s="32"/>
    </row>
    <row r="165" customFormat="false" ht="15" hidden="false" customHeight="false" outlineLevel="0" collapsed="false">
      <c r="A165" s="32"/>
      <c r="B165" s="32"/>
      <c r="C165" s="32"/>
      <c r="D165" s="32"/>
      <c r="E165" s="33"/>
      <c r="F165" s="33"/>
      <c r="G165" s="35"/>
      <c r="H165" s="32"/>
      <c r="I165" s="35"/>
      <c r="J165" s="32"/>
    </row>
    <row r="166" customFormat="false" ht="15" hidden="false" customHeight="false" outlineLevel="0" collapsed="false">
      <c r="A166" s="32"/>
      <c r="B166" s="32"/>
      <c r="C166" s="32"/>
      <c r="D166" s="32"/>
      <c r="E166" s="33"/>
      <c r="F166" s="33"/>
      <c r="G166" s="35"/>
      <c r="H166" s="32"/>
      <c r="I166" s="35"/>
      <c r="J166" s="32"/>
    </row>
    <row r="167" customFormat="false" ht="15" hidden="false" customHeight="false" outlineLevel="0" collapsed="false">
      <c r="A167" s="32"/>
      <c r="B167" s="32"/>
      <c r="C167" s="32"/>
      <c r="D167" s="32"/>
      <c r="E167" s="33"/>
      <c r="F167" s="33"/>
      <c r="G167" s="35"/>
      <c r="H167" s="32"/>
      <c r="I167" s="35"/>
      <c r="J167" s="32"/>
    </row>
    <row r="168" customFormat="false" ht="15" hidden="false" customHeight="false" outlineLevel="0" collapsed="false">
      <c r="A168" s="32"/>
      <c r="B168" s="32"/>
      <c r="C168" s="32"/>
      <c r="D168" s="32"/>
      <c r="E168" s="33"/>
      <c r="F168" s="33"/>
      <c r="G168" s="35"/>
      <c r="H168" s="32"/>
      <c r="I168" s="35"/>
      <c r="J168" s="32"/>
    </row>
    <row r="169" customFormat="false" ht="15" hidden="false" customHeight="false" outlineLevel="0" collapsed="false">
      <c r="A169" s="32"/>
      <c r="B169" s="32"/>
      <c r="C169" s="32"/>
      <c r="D169" s="32"/>
      <c r="E169" s="33"/>
      <c r="F169" s="33"/>
      <c r="G169" s="35"/>
      <c r="H169" s="32"/>
      <c r="I169" s="35"/>
      <c r="J169" s="32"/>
    </row>
    <row r="170" customFormat="false" ht="15" hidden="false" customHeight="false" outlineLevel="0" collapsed="false">
      <c r="A170" s="32"/>
      <c r="B170" s="32"/>
      <c r="C170" s="32"/>
      <c r="D170" s="32"/>
      <c r="E170" s="33"/>
      <c r="F170" s="33"/>
      <c r="G170" s="35"/>
      <c r="H170" s="32"/>
      <c r="I170" s="35"/>
      <c r="J170" s="32"/>
    </row>
    <row r="171" customFormat="false" ht="15" hidden="false" customHeight="false" outlineLevel="0" collapsed="false">
      <c r="A171" s="32"/>
      <c r="B171" s="32"/>
      <c r="C171" s="32"/>
      <c r="D171" s="32"/>
      <c r="E171" s="33"/>
      <c r="F171" s="33"/>
      <c r="G171" s="35"/>
      <c r="H171" s="32"/>
      <c r="I171" s="35"/>
      <c r="J171" s="32"/>
    </row>
    <row r="172" customFormat="false" ht="15" hidden="false" customHeight="false" outlineLevel="0" collapsed="false">
      <c r="A172" s="32"/>
      <c r="B172" s="32"/>
      <c r="C172" s="32"/>
      <c r="D172" s="32"/>
      <c r="E172" s="33"/>
      <c r="F172" s="33"/>
      <c r="G172" s="35"/>
      <c r="H172" s="32"/>
      <c r="I172" s="35"/>
      <c r="J172" s="32"/>
    </row>
    <row r="173" customFormat="false" ht="15" hidden="false" customHeight="false" outlineLevel="0" collapsed="false">
      <c r="A173" s="32"/>
      <c r="B173" s="32"/>
      <c r="C173" s="32"/>
      <c r="D173" s="32"/>
      <c r="E173" s="33"/>
      <c r="F173" s="33"/>
      <c r="G173" s="35"/>
      <c r="H173" s="32"/>
      <c r="I173" s="35"/>
      <c r="J173" s="32"/>
    </row>
    <row r="174" customFormat="false" ht="15" hidden="false" customHeight="false" outlineLevel="0" collapsed="false">
      <c r="A174" s="32"/>
      <c r="B174" s="32"/>
      <c r="C174" s="32"/>
      <c r="D174" s="32"/>
      <c r="E174" s="33"/>
      <c r="F174" s="33"/>
      <c r="G174" s="35"/>
      <c r="H174" s="32"/>
      <c r="I174" s="35"/>
      <c r="J174" s="32"/>
    </row>
    <row r="175" customFormat="false" ht="15" hidden="false" customHeight="false" outlineLevel="0" collapsed="false">
      <c r="A175" s="32"/>
      <c r="B175" s="32"/>
      <c r="C175" s="32"/>
      <c r="D175" s="32"/>
      <c r="E175" s="33"/>
      <c r="F175" s="33"/>
      <c r="G175" s="35"/>
      <c r="H175" s="32"/>
      <c r="I175" s="35"/>
      <c r="J175" s="32"/>
    </row>
    <row r="176" customFormat="false" ht="15" hidden="false" customHeight="false" outlineLevel="0" collapsed="false">
      <c r="A176" s="32"/>
      <c r="B176" s="32"/>
      <c r="C176" s="32"/>
      <c r="D176" s="32"/>
      <c r="E176" s="33"/>
      <c r="F176" s="33"/>
      <c r="G176" s="35"/>
      <c r="H176" s="32"/>
      <c r="I176" s="35"/>
      <c r="J176" s="32"/>
    </row>
    <row r="177" customFormat="false" ht="15" hidden="false" customHeight="false" outlineLevel="0" collapsed="false">
      <c r="A177" s="32"/>
      <c r="B177" s="32"/>
      <c r="C177" s="32"/>
      <c r="D177" s="32"/>
      <c r="E177" s="33"/>
      <c r="F177" s="33"/>
      <c r="G177" s="35"/>
      <c r="H177" s="32"/>
      <c r="I177" s="35"/>
      <c r="J177" s="32"/>
    </row>
    <row r="178" customFormat="false" ht="15" hidden="false" customHeight="false" outlineLevel="0" collapsed="false">
      <c r="A178" s="32"/>
      <c r="B178" s="32"/>
      <c r="C178" s="32"/>
      <c r="D178" s="32"/>
      <c r="E178" s="33"/>
      <c r="F178" s="33"/>
      <c r="G178" s="35"/>
      <c r="H178" s="32"/>
      <c r="I178" s="35"/>
      <c r="J178" s="32"/>
    </row>
    <row r="179" customFormat="false" ht="15" hidden="false" customHeight="false" outlineLevel="0" collapsed="false">
      <c r="A179" s="32"/>
      <c r="B179" s="32"/>
      <c r="C179" s="32"/>
      <c r="D179" s="32"/>
      <c r="E179" s="33"/>
      <c r="F179" s="33"/>
      <c r="G179" s="35"/>
      <c r="H179" s="32"/>
      <c r="I179" s="35"/>
      <c r="J179" s="32"/>
    </row>
    <row r="180" customFormat="false" ht="15" hidden="false" customHeight="false" outlineLevel="0" collapsed="false">
      <c r="A180" s="32"/>
      <c r="B180" s="32"/>
      <c r="C180" s="32"/>
      <c r="D180" s="32"/>
      <c r="E180" s="33"/>
      <c r="F180" s="33"/>
      <c r="G180" s="35"/>
      <c r="H180" s="32"/>
      <c r="I180" s="35"/>
      <c r="J180" s="32"/>
    </row>
    <row r="181" customFormat="false" ht="15" hidden="false" customHeight="false" outlineLevel="0" collapsed="false">
      <c r="A181" s="32"/>
      <c r="B181" s="32"/>
      <c r="C181" s="32"/>
      <c r="D181" s="32"/>
      <c r="E181" s="33"/>
      <c r="F181" s="33"/>
      <c r="G181" s="35"/>
      <c r="H181" s="32"/>
      <c r="I181" s="35"/>
      <c r="J181" s="32"/>
    </row>
    <row r="182" customFormat="false" ht="15" hidden="false" customHeight="false" outlineLevel="0" collapsed="false">
      <c r="A182" s="32"/>
      <c r="B182" s="32"/>
      <c r="C182" s="32"/>
      <c r="D182" s="32"/>
      <c r="E182" s="33"/>
      <c r="F182" s="33"/>
      <c r="G182" s="35"/>
      <c r="H182" s="32"/>
      <c r="I182" s="35"/>
      <c r="J182" s="32"/>
    </row>
    <row r="183" customFormat="false" ht="15" hidden="false" customHeight="false" outlineLevel="0" collapsed="false">
      <c r="A183" s="32"/>
      <c r="B183" s="32"/>
      <c r="C183" s="32"/>
      <c r="D183" s="32"/>
      <c r="E183" s="33"/>
      <c r="F183" s="33"/>
      <c r="G183" s="35"/>
      <c r="H183" s="32"/>
      <c r="I183" s="35"/>
      <c r="J183" s="32"/>
    </row>
    <row r="184" customFormat="false" ht="15" hidden="false" customHeight="false" outlineLevel="0" collapsed="false">
      <c r="A184" s="32"/>
      <c r="B184" s="32"/>
      <c r="C184" s="32"/>
      <c r="D184" s="32"/>
      <c r="E184" s="33"/>
      <c r="F184" s="33"/>
      <c r="G184" s="35"/>
      <c r="H184" s="32"/>
      <c r="I184" s="35"/>
      <c r="J184" s="32"/>
    </row>
    <row r="185" customFormat="false" ht="15" hidden="false" customHeight="false" outlineLevel="0" collapsed="false">
      <c r="A185" s="32"/>
      <c r="B185" s="32"/>
      <c r="C185" s="32"/>
      <c r="D185" s="32"/>
      <c r="E185" s="33"/>
      <c r="F185" s="33"/>
      <c r="G185" s="35"/>
      <c r="H185" s="32"/>
      <c r="I185" s="35"/>
      <c r="J185" s="32"/>
    </row>
    <row r="186" customFormat="false" ht="15" hidden="false" customHeight="false" outlineLevel="0" collapsed="false">
      <c r="A186" s="32"/>
      <c r="B186" s="32"/>
      <c r="C186" s="32"/>
      <c r="D186" s="32"/>
      <c r="E186" s="33"/>
      <c r="F186" s="33"/>
      <c r="G186" s="35"/>
      <c r="H186" s="32"/>
      <c r="I186" s="35"/>
      <c r="J186" s="32"/>
    </row>
    <row r="187" customFormat="false" ht="15" hidden="false" customHeight="false" outlineLevel="0" collapsed="false">
      <c r="A187" s="32"/>
      <c r="B187" s="32"/>
      <c r="C187" s="32"/>
      <c r="D187" s="32"/>
      <c r="E187" s="33"/>
      <c r="F187" s="33"/>
      <c r="G187" s="35"/>
      <c r="H187" s="32"/>
      <c r="I187" s="35"/>
      <c r="J187" s="32"/>
    </row>
    <row r="188" customFormat="false" ht="15" hidden="false" customHeight="false" outlineLevel="0" collapsed="false">
      <c r="A188" s="32"/>
      <c r="B188" s="32"/>
      <c r="C188" s="32"/>
      <c r="D188" s="32"/>
      <c r="E188" s="33"/>
      <c r="F188" s="33"/>
      <c r="G188" s="35"/>
      <c r="H188" s="32"/>
      <c r="I188" s="35"/>
      <c r="J188" s="32"/>
    </row>
    <row r="189" customFormat="false" ht="15" hidden="false" customHeight="false" outlineLevel="0" collapsed="false">
      <c r="A189" s="32"/>
      <c r="B189" s="32"/>
      <c r="C189" s="32"/>
      <c r="D189" s="32"/>
      <c r="E189" s="33"/>
      <c r="F189" s="33"/>
      <c r="G189" s="35"/>
      <c r="H189" s="32"/>
      <c r="I189" s="35"/>
      <c r="J189" s="32"/>
    </row>
    <row r="190" customFormat="false" ht="15" hidden="false" customHeight="false" outlineLevel="0" collapsed="false">
      <c r="A190" s="32"/>
      <c r="B190" s="32"/>
      <c r="C190" s="32"/>
      <c r="D190" s="32"/>
      <c r="E190" s="33"/>
      <c r="F190" s="33"/>
      <c r="G190" s="35"/>
      <c r="H190" s="32"/>
      <c r="I190" s="35"/>
      <c r="J190" s="32"/>
    </row>
    <row r="191" customFormat="false" ht="15" hidden="false" customHeight="false" outlineLevel="0" collapsed="false">
      <c r="A191" s="32"/>
      <c r="B191" s="32"/>
      <c r="C191" s="32"/>
      <c r="D191" s="32"/>
      <c r="E191" s="33"/>
      <c r="F191" s="33"/>
      <c r="G191" s="35"/>
      <c r="H191" s="32"/>
      <c r="I191" s="35"/>
      <c r="J191" s="32"/>
    </row>
    <row r="192" customFormat="false" ht="15" hidden="false" customHeight="false" outlineLevel="0" collapsed="false">
      <c r="A192" s="32"/>
      <c r="B192" s="32"/>
      <c r="C192" s="32"/>
      <c r="D192" s="32"/>
      <c r="E192" s="33"/>
      <c r="F192" s="33"/>
      <c r="G192" s="35"/>
      <c r="H192" s="32"/>
      <c r="I192" s="35"/>
      <c r="J192" s="32"/>
    </row>
    <row r="193" customFormat="false" ht="15" hidden="false" customHeight="false" outlineLevel="0" collapsed="false">
      <c r="A193" s="32"/>
      <c r="B193" s="32"/>
      <c r="C193" s="32"/>
      <c r="D193" s="32"/>
      <c r="E193" s="33"/>
      <c r="F193" s="33"/>
      <c r="G193" s="35"/>
      <c r="H193" s="32"/>
      <c r="I193" s="35"/>
      <c r="J193" s="32"/>
    </row>
    <row r="194" customFormat="false" ht="15" hidden="false" customHeight="false" outlineLevel="0" collapsed="false">
      <c r="A194" s="32"/>
      <c r="B194" s="32"/>
      <c r="C194" s="32"/>
      <c r="D194" s="32"/>
      <c r="E194" s="33"/>
      <c r="F194" s="33"/>
      <c r="G194" s="35"/>
      <c r="H194" s="32"/>
      <c r="I194" s="35"/>
      <c r="J194" s="32"/>
    </row>
    <row r="195" customFormat="false" ht="15" hidden="false" customHeight="false" outlineLevel="0" collapsed="false">
      <c r="A195" s="32"/>
      <c r="B195" s="32"/>
      <c r="C195" s="32"/>
      <c r="D195" s="32"/>
      <c r="E195" s="33"/>
      <c r="F195" s="33"/>
      <c r="G195" s="35"/>
      <c r="H195" s="32"/>
      <c r="I195" s="35"/>
      <c r="J195" s="32"/>
    </row>
    <row r="196" customFormat="false" ht="15" hidden="false" customHeight="false" outlineLevel="0" collapsed="false">
      <c r="A196" s="32"/>
      <c r="B196" s="32"/>
      <c r="C196" s="32"/>
      <c r="D196" s="32"/>
      <c r="E196" s="33"/>
      <c r="F196" s="33"/>
      <c r="G196" s="35"/>
      <c r="H196" s="32"/>
      <c r="I196" s="35"/>
      <c r="J196" s="32"/>
    </row>
    <row r="197" customFormat="false" ht="15" hidden="false" customHeight="false" outlineLevel="0" collapsed="false">
      <c r="A197" s="32"/>
      <c r="B197" s="32"/>
      <c r="C197" s="32"/>
      <c r="D197" s="32"/>
      <c r="E197" s="33"/>
      <c r="F197" s="33"/>
      <c r="G197" s="35"/>
      <c r="H197" s="32"/>
      <c r="I197" s="35"/>
      <c r="J197" s="32"/>
    </row>
    <row r="198" customFormat="false" ht="15" hidden="false" customHeight="false" outlineLevel="0" collapsed="false">
      <c r="A198" s="32"/>
      <c r="B198" s="32"/>
      <c r="C198" s="32"/>
      <c r="D198" s="32"/>
      <c r="E198" s="33"/>
      <c r="F198" s="33"/>
      <c r="G198" s="35"/>
      <c r="H198" s="32"/>
      <c r="I198" s="35"/>
      <c r="J198" s="32"/>
    </row>
    <row r="199" customFormat="false" ht="15" hidden="false" customHeight="false" outlineLevel="0" collapsed="false">
      <c r="A199" s="32"/>
      <c r="B199" s="32"/>
      <c r="C199" s="32"/>
      <c r="D199" s="32"/>
      <c r="E199" s="33"/>
      <c r="F199" s="33"/>
      <c r="G199" s="35"/>
      <c r="H199" s="32"/>
      <c r="I199" s="35"/>
      <c r="J199" s="32"/>
    </row>
    <row r="200" customFormat="false" ht="15" hidden="false" customHeight="false" outlineLevel="0" collapsed="false">
      <c r="A200" s="32"/>
      <c r="B200" s="32"/>
      <c r="C200" s="32"/>
      <c r="D200" s="32"/>
      <c r="E200" s="33"/>
      <c r="F200" s="33"/>
      <c r="G200" s="35"/>
      <c r="H200" s="32"/>
      <c r="I200" s="35"/>
      <c r="J200" s="32"/>
    </row>
    <row r="201" customFormat="false" ht="15" hidden="false" customHeight="false" outlineLevel="0" collapsed="false">
      <c r="A201" s="32"/>
      <c r="B201" s="32"/>
      <c r="C201" s="32"/>
      <c r="D201" s="32"/>
      <c r="E201" s="33"/>
      <c r="F201" s="33"/>
      <c r="G201" s="35"/>
      <c r="H201" s="32"/>
      <c r="I201" s="35"/>
      <c r="J201" s="32"/>
    </row>
    <row r="202" customFormat="false" ht="15" hidden="false" customHeight="false" outlineLevel="0" collapsed="false">
      <c r="A202" s="32"/>
      <c r="B202" s="32"/>
      <c r="C202" s="32"/>
      <c r="D202" s="32"/>
      <c r="E202" s="33"/>
      <c r="F202" s="33"/>
      <c r="G202" s="35"/>
      <c r="H202" s="32"/>
      <c r="I202" s="35"/>
      <c r="J202" s="32"/>
    </row>
    <row r="203" customFormat="false" ht="15" hidden="false" customHeight="false" outlineLevel="0" collapsed="false">
      <c r="A203" s="32"/>
      <c r="B203" s="32"/>
      <c r="C203" s="32"/>
      <c r="D203" s="32"/>
      <c r="E203" s="33"/>
      <c r="F203" s="33"/>
      <c r="G203" s="35"/>
      <c r="H203" s="32"/>
      <c r="I203" s="35"/>
      <c r="J203" s="32"/>
    </row>
    <row r="204" customFormat="false" ht="15" hidden="false" customHeight="false" outlineLevel="0" collapsed="false">
      <c r="A204" s="32"/>
      <c r="B204" s="32"/>
      <c r="C204" s="32"/>
      <c r="D204" s="32"/>
      <c r="E204" s="33"/>
      <c r="F204" s="33"/>
      <c r="G204" s="35"/>
      <c r="H204" s="32"/>
      <c r="I204" s="35"/>
      <c r="J204" s="32"/>
    </row>
    <row r="205" customFormat="false" ht="15" hidden="false" customHeight="false" outlineLevel="0" collapsed="false">
      <c r="A205" s="32"/>
      <c r="B205" s="32"/>
      <c r="C205" s="32"/>
      <c r="D205" s="32"/>
      <c r="E205" s="33"/>
      <c r="F205" s="33"/>
      <c r="G205" s="35"/>
      <c r="H205" s="32"/>
      <c r="I205" s="35"/>
      <c r="J205" s="32"/>
    </row>
    <row r="206" customFormat="false" ht="15" hidden="false" customHeight="false" outlineLevel="0" collapsed="false">
      <c r="A206" s="32"/>
      <c r="B206" s="32"/>
      <c r="C206" s="32"/>
      <c r="D206" s="32"/>
      <c r="E206" s="33"/>
      <c r="F206" s="33"/>
      <c r="G206" s="35"/>
      <c r="H206" s="32"/>
      <c r="I206" s="35"/>
      <c r="J206" s="32"/>
    </row>
    <row r="207" customFormat="false" ht="15" hidden="false" customHeight="false" outlineLevel="0" collapsed="false">
      <c r="A207" s="32"/>
      <c r="B207" s="32"/>
      <c r="C207" s="32"/>
      <c r="D207" s="32"/>
      <c r="E207" s="33"/>
      <c r="F207" s="33"/>
      <c r="G207" s="35"/>
      <c r="H207" s="32"/>
      <c r="I207" s="35"/>
      <c r="J207" s="32"/>
    </row>
    <row r="208" customFormat="false" ht="15" hidden="false" customHeight="false" outlineLevel="0" collapsed="false">
      <c r="A208" s="32"/>
      <c r="B208" s="32"/>
      <c r="C208" s="32"/>
      <c r="D208" s="32"/>
      <c r="E208" s="33"/>
      <c r="F208" s="33"/>
      <c r="G208" s="35"/>
      <c r="H208" s="32"/>
      <c r="I208" s="35"/>
      <c r="J208" s="32"/>
    </row>
    <row r="209" customFormat="false" ht="15" hidden="false" customHeight="false" outlineLevel="0" collapsed="false">
      <c r="A209" s="32"/>
      <c r="B209" s="32"/>
      <c r="C209" s="32"/>
      <c r="D209" s="32"/>
      <c r="E209" s="33"/>
      <c r="F209" s="33"/>
      <c r="G209" s="35"/>
      <c r="H209" s="32"/>
      <c r="I209" s="35"/>
      <c r="J209" s="32"/>
    </row>
    <row r="210" customFormat="false" ht="15" hidden="false" customHeight="false" outlineLevel="0" collapsed="false">
      <c r="A210" s="32"/>
      <c r="B210" s="32"/>
      <c r="C210" s="32"/>
      <c r="D210" s="32"/>
      <c r="E210" s="33"/>
      <c r="F210" s="33"/>
      <c r="G210" s="35"/>
      <c r="H210" s="32"/>
      <c r="I210" s="35"/>
      <c r="J210" s="32"/>
    </row>
    <row r="211" customFormat="false" ht="15" hidden="false" customHeight="false" outlineLevel="0" collapsed="false">
      <c r="A211" s="32"/>
      <c r="B211" s="32"/>
      <c r="C211" s="32"/>
      <c r="D211" s="32"/>
      <c r="E211" s="33"/>
      <c r="F211" s="33"/>
      <c r="G211" s="35"/>
      <c r="H211" s="32"/>
      <c r="I211" s="35"/>
      <c r="J211" s="32"/>
    </row>
    <row r="212" customFormat="false" ht="15" hidden="false" customHeight="false" outlineLevel="0" collapsed="false">
      <c r="A212" s="32"/>
      <c r="B212" s="32"/>
      <c r="C212" s="32"/>
      <c r="D212" s="32"/>
      <c r="E212" s="33"/>
      <c r="F212" s="33"/>
      <c r="G212" s="35"/>
      <c r="H212" s="32"/>
      <c r="I212" s="35"/>
      <c r="J212" s="32"/>
    </row>
    <row r="213" customFormat="false" ht="15" hidden="false" customHeight="false" outlineLevel="0" collapsed="false">
      <c r="A213" s="32"/>
      <c r="B213" s="32"/>
      <c r="C213" s="32"/>
      <c r="D213" s="32"/>
      <c r="E213" s="33"/>
      <c r="F213" s="33"/>
      <c r="G213" s="35"/>
      <c r="H213" s="32"/>
      <c r="I213" s="35"/>
      <c r="J213" s="32"/>
    </row>
    <row r="214" customFormat="false" ht="15" hidden="false" customHeight="false" outlineLevel="0" collapsed="false">
      <c r="A214" s="32"/>
      <c r="B214" s="32"/>
      <c r="C214" s="32"/>
      <c r="D214" s="32"/>
      <c r="E214" s="33"/>
      <c r="F214" s="33"/>
      <c r="G214" s="35"/>
      <c r="H214" s="32"/>
      <c r="I214" s="35"/>
      <c r="J214" s="32"/>
    </row>
    <row r="215" customFormat="false" ht="15" hidden="false" customHeight="false" outlineLevel="0" collapsed="false">
      <c r="A215" s="32"/>
      <c r="B215" s="32"/>
      <c r="C215" s="32"/>
      <c r="D215" s="32"/>
      <c r="E215" s="33"/>
      <c r="F215" s="33"/>
      <c r="G215" s="35"/>
      <c r="H215" s="32"/>
      <c r="I215" s="35"/>
      <c r="J215" s="32"/>
    </row>
    <row r="216" customFormat="false" ht="15" hidden="false" customHeight="false" outlineLevel="0" collapsed="false">
      <c r="A216" s="32"/>
      <c r="B216" s="32"/>
      <c r="C216" s="32"/>
      <c r="D216" s="32"/>
      <c r="E216" s="33"/>
      <c r="F216" s="33"/>
      <c r="G216" s="35"/>
      <c r="H216" s="32"/>
      <c r="I216" s="35"/>
      <c r="J216" s="32"/>
    </row>
    <row r="217" customFormat="false" ht="15" hidden="false" customHeight="false" outlineLevel="0" collapsed="false">
      <c r="A217" s="32"/>
      <c r="B217" s="32"/>
      <c r="C217" s="32"/>
      <c r="D217" s="32"/>
      <c r="E217" s="33"/>
      <c r="F217" s="33"/>
      <c r="G217" s="35"/>
      <c r="H217" s="32"/>
      <c r="I217" s="35"/>
      <c r="J217" s="32"/>
    </row>
    <row r="218" customFormat="false" ht="15" hidden="false" customHeight="false" outlineLevel="0" collapsed="false">
      <c r="A218" s="32"/>
      <c r="B218" s="32"/>
      <c r="C218" s="32"/>
      <c r="D218" s="32"/>
      <c r="E218" s="33"/>
      <c r="F218" s="33"/>
      <c r="G218" s="35"/>
      <c r="H218" s="32"/>
      <c r="I218" s="35"/>
      <c r="J218" s="32"/>
    </row>
    <row r="219" customFormat="false" ht="15" hidden="false" customHeight="false" outlineLevel="0" collapsed="false">
      <c r="A219" s="32"/>
      <c r="B219" s="32"/>
      <c r="C219" s="32"/>
      <c r="D219" s="32"/>
      <c r="E219" s="33"/>
      <c r="F219" s="33"/>
      <c r="G219" s="35"/>
      <c r="H219" s="32"/>
      <c r="I219" s="35"/>
      <c r="J219" s="32"/>
    </row>
    <row r="220" customFormat="false" ht="15" hidden="false" customHeight="false" outlineLevel="0" collapsed="false">
      <c r="A220" s="32"/>
      <c r="B220" s="32"/>
      <c r="C220" s="32"/>
      <c r="D220" s="32"/>
      <c r="E220" s="33"/>
      <c r="F220" s="33"/>
      <c r="G220" s="35"/>
      <c r="H220" s="32"/>
      <c r="I220" s="35"/>
      <c r="J220" s="32"/>
    </row>
    <row r="221" customFormat="false" ht="15" hidden="false" customHeight="false" outlineLevel="0" collapsed="false">
      <c r="A221" s="32"/>
      <c r="B221" s="32"/>
      <c r="C221" s="32"/>
      <c r="D221" s="32"/>
      <c r="E221" s="33"/>
      <c r="F221" s="33"/>
      <c r="G221" s="35"/>
      <c r="H221" s="32"/>
      <c r="I221" s="35"/>
      <c r="J221" s="32"/>
    </row>
    <row r="222" customFormat="false" ht="15" hidden="false" customHeight="false" outlineLevel="0" collapsed="false">
      <c r="A222" s="32"/>
      <c r="B222" s="32"/>
      <c r="C222" s="32"/>
      <c r="D222" s="32"/>
      <c r="E222" s="33"/>
      <c r="F222" s="33"/>
      <c r="G222" s="35"/>
      <c r="H222" s="32"/>
      <c r="I222" s="35"/>
      <c r="J222" s="32"/>
    </row>
    <row r="223" customFormat="false" ht="15" hidden="false" customHeight="false" outlineLevel="0" collapsed="false">
      <c r="A223" s="32"/>
      <c r="B223" s="32"/>
      <c r="C223" s="32"/>
      <c r="D223" s="32"/>
      <c r="E223" s="33"/>
      <c r="F223" s="33"/>
      <c r="G223" s="35"/>
      <c r="H223" s="32"/>
      <c r="I223" s="35"/>
      <c r="J223" s="32"/>
    </row>
    <row r="224" customFormat="false" ht="15" hidden="false" customHeight="false" outlineLevel="0" collapsed="false">
      <c r="A224" s="32"/>
      <c r="B224" s="32"/>
      <c r="C224" s="32"/>
      <c r="D224" s="32"/>
      <c r="E224" s="33"/>
      <c r="F224" s="33"/>
      <c r="G224" s="35"/>
      <c r="H224" s="32"/>
      <c r="I224" s="35"/>
      <c r="J224" s="32"/>
    </row>
    <row r="225" customFormat="false" ht="15" hidden="false" customHeight="false" outlineLevel="0" collapsed="false">
      <c r="A225" s="32"/>
      <c r="B225" s="32"/>
      <c r="C225" s="32"/>
      <c r="D225" s="32"/>
      <c r="E225" s="33"/>
      <c r="F225" s="33"/>
      <c r="G225" s="35"/>
      <c r="H225" s="32"/>
      <c r="I225" s="35"/>
      <c r="J225" s="32"/>
    </row>
    <row r="226" customFormat="false" ht="15" hidden="false" customHeight="false" outlineLevel="0" collapsed="false">
      <c r="A226" s="32"/>
      <c r="B226" s="32"/>
      <c r="C226" s="32"/>
      <c r="D226" s="32"/>
      <c r="E226" s="33"/>
      <c r="F226" s="33"/>
      <c r="G226" s="35"/>
      <c r="H226" s="32"/>
      <c r="I226" s="35"/>
      <c r="J226" s="32"/>
    </row>
    <row r="227" customFormat="false" ht="15" hidden="false" customHeight="false" outlineLevel="0" collapsed="false">
      <c r="A227" s="32"/>
      <c r="B227" s="32"/>
      <c r="C227" s="32"/>
      <c r="D227" s="32"/>
      <c r="E227" s="33"/>
      <c r="F227" s="33"/>
      <c r="G227" s="35"/>
      <c r="H227" s="32"/>
      <c r="I227" s="35"/>
      <c r="J227" s="32"/>
    </row>
    <row r="228" customFormat="false" ht="15" hidden="false" customHeight="false" outlineLevel="0" collapsed="false">
      <c r="A228" s="32"/>
      <c r="B228" s="32"/>
      <c r="C228" s="32"/>
      <c r="D228" s="32"/>
      <c r="E228" s="33"/>
      <c r="F228" s="33"/>
      <c r="G228" s="35"/>
      <c r="H228" s="32"/>
      <c r="I228" s="35"/>
      <c r="J228" s="32"/>
    </row>
    <row r="229" customFormat="false" ht="15" hidden="false" customHeight="false" outlineLevel="0" collapsed="false">
      <c r="A229" s="32"/>
      <c r="B229" s="32"/>
      <c r="C229" s="32"/>
      <c r="D229" s="32"/>
      <c r="E229" s="33"/>
      <c r="F229" s="33"/>
      <c r="G229" s="35"/>
      <c r="H229" s="32"/>
      <c r="I229" s="35"/>
      <c r="J229" s="32"/>
    </row>
    <row r="230" customFormat="false" ht="15" hidden="false" customHeight="false" outlineLevel="0" collapsed="false">
      <c r="A230" s="32"/>
      <c r="B230" s="32"/>
      <c r="C230" s="32"/>
      <c r="D230" s="32"/>
      <c r="E230" s="33"/>
      <c r="F230" s="33"/>
      <c r="G230" s="35"/>
      <c r="H230" s="32"/>
      <c r="I230" s="35"/>
      <c r="J230" s="32"/>
    </row>
    <row r="231" customFormat="false" ht="15" hidden="false" customHeight="false" outlineLevel="0" collapsed="false">
      <c r="A231" s="32"/>
      <c r="B231" s="32"/>
      <c r="C231" s="32"/>
      <c r="D231" s="32"/>
      <c r="E231" s="33"/>
      <c r="F231" s="33"/>
      <c r="G231" s="35"/>
      <c r="H231" s="32"/>
      <c r="I231" s="35"/>
      <c r="J231" s="32"/>
    </row>
    <row r="232" customFormat="false" ht="15" hidden="false" customHeight="false" outlineLevel="0" collapsed="false">
      <c r="A232" s="32"/>
      <c r="B232" s="32"/>
      <c r="C232" s="32"/>
      <c r="D232" s="32"/>
      <c r="E232" s="33"/>
      <c r="F232" s="33"/>
      <c r="G232" s="35"/>
      <c r="H232" s="32"/>
      <c r="I232" s="35"/>
      <c r="J232" s="32"/>
    </row>
    <row r="233" customFormat="false" ht="15" hidden="false" customHeight="false" outlineLevel="0" collapsed="false">
      <c r="A233" s="32"/>
      <c r="B233" s="32"/>
      <c r="C233" s="32"/>
      <c r="D233" s="32"/>
      <c r="E233" s="33"/>
      <c r="F233" s="33"/>
      <c r="G233" s="35"/>
      <c r="H233" s="32"/>
      <c r="I233" s="35"/>
      <c r="J233" s="32"/>
    </row>
    <row r="234" customFormat="false" ht="15" hidden="false" customHeight="false" outlineLevel="0" collapsed="false">
      <c r="A234" s="32"/>
      <c r="B234" s="32"/>
      <c r="C234" s="32"/>
      <c r="D234" s="32"/>
      <c r="E234" s="33"/>
      <c r="F234" s="33"/>
      <c r="G234" s="35"/>
      <c r="H234" s="32"/>
      <c r="I234" s="35"/>
      <c r="J234" s="32"/>
    </row>
    <row r="235" customFormat="false" ht="15" hidden="false" customHeight="false" outlineLevel="0" collapsed="false">
      <c r="A235" s="32"/>
      <c r="B235" s="32"/>
      <c r="C235" s="32"/>
      <c r="D235" s="32"/>
      <c r="E235" s="33"/>
      <c r="F235" s="33"/>
      <c r="G235" s="35"/>
      <c r="H235" s="32"/>
      <c r="I235" s="35"/>
      <c r="J235" s="32"/>
    </row>
    <row r="236" customFormat="false" ht="15" hidden="false" customHeight="false" outlineLevel="0" collapsed="false">
      <c r="A236" s="32"/>
      <c r="B236" s="32"/>
      <c r="C236" s="32"/>
      <c r="D236" s="32"/>
      <c r="E236" s="33"/>
      <c r="F236" s="33"/>
      <c r="G236" s="35"/>
      <c r="H236" s="32"/>
      <c r="I236" s="35"/>
      <c r="J236" s="32"/>
    </row>
    <row r="237" customFormat="false" ht="15" hidden="false" customHeight="false" outlineLevel="0" collapsed="false">
      <c r="A237" s="32"/>
      <c r="B237" s="32"/>
      <c r="C237" s="32"/>
      <c r="D237" s="32"/>
      <c r="E237" s="33"/>
      <c r="F237" s="33"/>
      <c r="G237" s="35"/>
      <c r="H237" s="32"/>
      <c r="I237" s="35"/>
      <c r="J237" s="32"/>
    </row>
    <row r="238" customFormat="false" ht="15" hidden="false" customHeight="false" outlineLevel="0" collapsed="false">
      <c r="A238" s="32"/>
      <c r="B238" s="32"/>
      <c r="C238" s="32"/>
      <c r="D238" s="32"/>
      <c r="E238" s="33"/>
      <c r="F238" s="33"/>
      <c r="G238" s="35"/>
      <c r="H238" s="32"/>
      <c r="I238" s="35"/>
      <c r="J238" s="32"/>
    </row>
    <row r="239" customFormat="false" ht="15" hidden="false" customHeight="false" outlineLevel="0" collapsed="false">
      <c r="A239" s="32"/>
      <c r="B239" s="32"/>
      <c r="C239" s="32"/>
      <c r="D239" s="32"/>
      <c r="E239" s="33"/>
      <c r="F239" s="33"/>
      <c r="G239" s="35"/>
      <c r="H239" s="32"/>
      <c r="I239" s="35"/>
      <c r="J239" s="32"/>
    </row>
    <row r="240" customFormat="false" ht="15" hidden="false" customHeight="false" outlineLevel="0" collapsed="false">
      <c r="A240" s="32"/>
      <c r="B240" s="32"/>
      <c r="C240" s="32"/>
      <c r="D240" s="32"/>
      <c r="E240" s="33"/>
      <c r="F240" s="33"/>
      <c r="G240" s="35"/>
      <c r="H240" s="32"/>
      <c r="I240" s="35"/>
      <c r="J240" s="32"/>
    </row>
    <row r="241" customFormat="false" ht="15" hidden="false" customHeight="false" outlineLevel="0" collapsed="false">
      <c r="A241" s="32"/>
      <c r="B241" s="32"/>
      <c r="C241" s="32"/>
      <c r="D241" s="32"/>
      <c r="E241" s="33"/>
      <c r="F241" s="33"/>
      <c r="G241" s="35"/>
      <c r="H241" s="32"/>
      <c r="I241" s="35"/>
      <c r="J241" s="32"/>
    </row>
    <row r="242" customFormat="false" ht="15" hidden="false" customHeight="false" outlineLevel="0" collapsed="false">
      <c r="A242" s="32"/>
      <c r="B242" s="32"/>
      <c r="C242" s="32"/>
      <c r="D242" s="32"/>
      <c r="E242" s="33"/>
      <c r="F242" s="33"/>
      <c r="G242" s="35"/>
      <c r="H242" s="32"/>
      <c r="I242" s="35"/>
      <c r="J242" s="32"/>
    </row>
    <row r="243" customFormat="false" ht="15" hidden="false" customHeight="false" outlineLevel="0" collapsed="false">
      <c r="A243" s="32"/>
      <c r="B243" s="32"/>
      <c r="C243" s="32"/>
      <c r="D243" s="32"/>
      <c r="E243" s="33"/>
      <c r="F243" s="33"/>
      <c r="G243" s="35"/>
      <c r="H243" s="32"/>
      <c r="I243" s="35"/>
      <c r="J243" s="32"/>
    </row>
    <row r="244" customFormat="false" ht="15" hidden="false" customHeight="false" outlineLevel="0" collapsed="false">
      <c r="A244" s="32"/>
      <c r="B244" s="32"/>
      <c r="C244" s="32"/>
      <c r="D244" s="32"/>
      <c r="E244" s="33"/>
      <c r="F244" s="33"/>
      <c r="G244" s="35"/>
      <c r="H244" s="32"/>
      <c r="I244" s="35"/>
      <c r="J244" s="32"/>
    </row>
    <row r="245" customFormat="false" ht="15" hidden="false" customHeight="false" outlineLevel="0" collapsed="false">
      <c r="A245" s="32"/>
      <c r="B245" s="32"/>
      <c r="C245" s="32"/>
      <c r="D245" s="32"/>
      <c r="E245" s="33"/>
      <c r="F245" s="33"/>
      <c r="G245" s="35"/>
      <c r="H245" s="32"/>
      <c r="I245" s="35"/>
      <c r="J245" s="32"/>
    </row>
    <row r="246" customFormat="false" ht="15" hidden="false" customHeight="false" outlineLevel="0" collapsed="false">
      <c r="A246" s="32"/>
      <c r="B246" s="32"/>
      <c r="C246" s="32"/>
      <c r="D246" s="32"/>
      <c r="E246" s="33"/>
      <c r="F246" s="33"/>
      <c r="G246" s="35"/>
      <c r="H246" s="32"/>
      <c r="I246" s="35"/>
      <c r="J246" s="32"/>
    </row>
    <row r="247" customFormat="false" ht="15" hidden="false" customHeight="false" outlineLevel="0" collapsed="false">
      <c r="A247" s="32"/>
      <c r="B247" s="32"/>
      <c r="C247" s="32"/>
      <c r="D247" s="32"/>
      <c r="E247" s="33"/>
      <c r="F247" s="33"/>
      <c r="G247" s="35"/>
      <c r="H247" s="32"/>
      <c r="I247" s="35"/>
      <c r="J247" s="32"/>
    </row>
    <row r="248" customFormat="false" ht="15" hidden="false" customHeight="false" outlineLevel="0" collapsed="false">
      <c r="A248" s="32"/>
      <c r="B248" s="32"/>
      <c r="C248" s="32"/>
      <c r="D248" s="32"/>
      <c r="E248" s="33"/>
      <c r="F248" s="33"/>
      <c r="G248" s="35"/>
      <c r="H248" s="32"/>
      <c r="I248" s="35"/>
      <c r="J248" s="32"/>
    </row>
    <row r="249" customFormat="false" ht="15" hidden="false" customHeight="false" outlineLevel="0" collapsed="false">
      <c r="A249" s="32"/>
      <c r="B249" s="32"/>
      <c r="C249" s="32"/>
      <c r="D249" s="32"/>
      <c r="E249" s="33"/>
      <c r="F249" s="33"/>
      <c r="G249" s="35"/>
      <c r="H249" s="32"/>
      <c r="I249" s="35"/>
      <c r="J249" s="32"/>
    </row>
    <row r="250" customFormat="false" ht="15" hidden="false" customHeight="false" outlineLevel="0" collapsed="false">
      <c r="A250" s="32"/>
      <c r="B250" s="32"/>
      <c r="C250" s="32"/>
      <c r="D250" s="32"/>
      <c r="E250" s="33"/>
      <c r="F250" s="33"/>
      <c r="G250" s="35"/>
      <c r="H250" s="32"/>
      <c r="I250" s="35"/>
      <c r="J250" s="32"/>
    </row>
    <row r="251" customFormat="false" ht="15" hidden="false" customHeight="false" outlineLevel="0" collapsed="false">
      <c r="A251" s="32"/>
      <c r="B251" s="32"/>
      <c r="C251" s="32"/>
      <c r="D251" s="32"/>
      <c r="E251" s="33"/>
      <c r="F251" s="33"/>
      <c r="G251" s="35"/>
      <c r="H251" s="32"/>
      <c r="I251" s="35"/>
      <c r="J251" s="32"/>
    </row>
    <row r="252" customFormat="false" ht="15" hidden="false" customHeight="false" outlineLevel="0" collapsed="false">
      <c r="A252" s="32"/>
      <c r="B252" s="32"/>
      <c r="C252" s="32"/>
      <c r="D252" s="32"/>
      <c r="E252" s="33"/>
      <c r="F252" s="33"/>
      <c r="G252" s="35"/>
      <c r="H252" s="32"/>
      <c r="I252" s="35"/>
      <c r="J252" s="32"/>
    </row>
    <row r="253" customFormat="false" ht="15" hidden="false" customHeight="false" outlineLevel="0" collapsed="false">
      <c r="A253" s="32"/>
      <c r="B253" s="32"/>
      <c r="C253" s="32"/>
      <c r="D253" s="32"/>
      <c r="E253" s="33"/>
      <c r="F253" s="33"/>
      <c r="G253" s="35"/>
      <c r="H253" s="32"/>
      <c r="I253" s="35"/>
      <c r="J253" s="32"/>
    </row>
    <row r="254" customFormat="false" ht="15" hidden="false" customHeight="false" outlineLevel="0" collapsed="false">
      <c r="A254" s="32"/>
      <c r="B254" s="32"/>
      <c r="C254" s="32"/>
      <c r="D254" s="32"/>
      <c r="E254" s="33"/>
      <c r="F254" s="33"/>
      <c r="G254" s="35"/>
      <c r="H254" s="32"/>
      <c r="I254" s="35"/>
      <c r="J254" s="32"/>
    </row>
    <row r="255" customFormat="false" ht="15" hidden="false" customHeight="false" outlineLevel="0" collapsed="false">
      <c r="A255" s="32"/>
      <c r="B255" s="32"/>
      <c r="C255" s="32"/>
      <c r="D255" s="32"/>
      <c r="E255" s="33"/>
      <c r="F255" s="33"/>
      <c r="G255" s="35"/>
      <c r="H255" s="32"/>
      <c r="I255" s="35"/>
      <c r="J255" s="32"/>
    </row>
    <row r="256" customFormat="false" ht="15" hidden="false" customHeight="false" outlineLevel="0" collapsed="false">
      <c r="A256" s="32"/>
      <c r="B256" s="32"/>
      <c r="C256" s="32"/>
      <c r="D256" s="32"/>
      <c r="E256" s="33"/>
      <c r="F256" s="33"/>
      <c r="G256" s="35"/>
      <c r="H256" s="32"/>
      <c r="I256" s="35"/>
      <c r="J256" s="32"/>
    </row>
    <row r="257" customFormat="false" ht="15" hidden="false" customHeight="false" outlineLevel="0" collapsed="false">
      <c r="A257" s="32"/>
      <c r="B257" s="32"/>
      <c r="C257" s="32"/>
      <c r="D257" s="32"/>
      <c r="E257" s="33"/>
      <c r="F257" s="33"/>
      <c r="G257" s="35"/>
      <c r="H257" s="32"/>
      <c r="I257" s="35"/>
      <c r="J257" s="32"/>
    </row>
    <row r="258" customFormat="false" ht="15" hidden="false" customHeight="false" outlineLevel="0" collapsed="false">
      <c r="A258" s="32"/>
      <c r="B258" s="32"/>
      <c r="C258" s="32"/>
      <c r="D258" s="32"/>
      <c r="E258" s="33"/>
      <c r="F258" s="33"/>
      <c r="G258" s="35"/>
      <c r="H258" s="32"/>
      <c r="I258" s="35"/>
      <c r="J258" s="32"/>
    </row>
    <row r="259" customFormat="false" ht="15" hidden="false" customHeight="false" outlineLevel="0" collapsed="false">
      <c r="A259" s="32"/>
      <c r="B259" s="32"/>
      <c r="C259" s="32"/>
      <c r="D259" s="32"/>
      <c r="E259" s="33"/>
      <c r="F259" s="33"/>
      <c r="G259" s="35"/>
      <c r="H259" s="32"/>
      <c r="I259" s="35"/>
      <c r="J259" s="32"/>
    </row>
    <row r="260" customFormat="false" ht="15" hidden="false" customHeight="false" outlineLevel="0" collapsed="false">
      <c r="A260" s="32"/>
      <c r="B260" s="32"/>
      <c r="C260" s="32"/>
      <c r="D260" s="32"/>
      <c r="E260" s="33"/>
      <c r="F260" s="33"/>
      <c r="G260" s="35"/>
      <c r="H260" s="32"/>
      <c r="I260" s="35"/>
      <c r="J260" s="32"/>
    </row>
    <row r="261" customFormat="false" ht="15" hidden="false" customHeight="false" outlineLevel="0" collapsed="false">
      <c r="A261" s="32"/>
      <c r="B261" s="32"/>
      <c r="C261" s="32"/>
      <c r="D261" s="32"/>
      <c r="E261" s="33"/>
      <c r="F261" s="33"/>
      <c r="G261" s="35"/>
      <c r="H261" s="32"/>
      <c r="I261" s="35"/>
      <c r="J261" s="32"/>
    </row>
    <row r="262" customFormat="false" ht="15" hidden="false" customHeight="false" outlineLevel="0" collapsed="false">
      <c r="A262" s="32"/>
      <c r="B262" s="32"/>
      <c r="C262" s="32"/>
      <c r="D262" s="32"/>
      <c r="E262" s="33"/>
      <c r="F262" s="33"/>
      <c r="G262" s="35"/>
      <c r="H262" s="32"/>
      <c r="I262" s="35"/>
      <c r="J262" s="32"/>
    </row>
    <row r="263" customFormat="false" ht="15" hidden="false" customHeight="false" outlineLevel="0" collapsed="false">
      <c r="A263" s="32"/>
      <c r="B263" s="32"/>
      <c r="C263" s="32"/>
      <c r="D263" s="32"/>
      <c r="E263" s="33"/>
      <c r="F263" s="33"/>
      <c r="G263" s="35"/>
      <c r="H263" s="32"/>
      <c r="I263" s="35"/>
      <c r="J263" s="32"/>
    </row>
    <row r="264" customFormat="false" ht="15" hidden="false" customHeight="false" outlineLevel="0" collapsed="false">
      <c r="A264" s="32"/>
      <c r="B264" s="32"/>
      <c r="C264" s="32"/>
      <c r="D264" s="32"/>
      <c r="E264" s="33"/>
      <c r="F264" s="33"/>
      <c r="G264" s="35"/>
      <c r="H264" s="32"/>
      <c r="I264" s="35"/>
      <c r="J264" s="32"/>
    </row>
    <row r="265" customFormat="false" ht="15" hidden="false" customHeight="false" outlineLevel="0" collapsed="false">
      <c r="A265" s="32"/>
      <c r="B265" s="32"/>
      <c r="C265" s="32"/>
      <c r="D265" s="32"/>
      <c r="E265" s="33"/>
      <c r="F265" s="33"/>
      <c r="G265" s="35"/>
      <c r="H265" s="32"/>
      <c r="I265" s="35"/>
      <c r="J265" s="32"/>
    </row>
    <row r="266" customFormat="false" ht="15" hidden="false" customHeight="false" outlineLevel="0" collapsed="false">
      <c r="A266" s="32"/>
      <c r="B266" s="32"/>
      <c r="C266" s="32"/>
      <c r="D266" s="32"/>
      <c r="E266" s="33"/>
      <c r="F266" s="33"/>
      <c r="G266" s="35"/>
      <c r="H266" s="32"/>
      <c r="I266" s="35"/>
      <c r="J266" s="32"/>
    </row>
    <row r="267" customFormat="false" ht="15" hidden="false" customHeight="false" outlineLevel="0" collapsed="false">
      <c r="A267" s="32"/>
      <c r="B267" s="32"/>
      <c r="C267" s="32"/>
      <c r="D267" s="32"/>
      <c r="E267" s="33"/>
      <c r="F267" s="33"/>
      <c r="G267" s="35"/>
      <c r="H267" s="32"/>
      <c r="I267" s="35"/>
      <c r="J267" s="32"/>
    </row>
    <row r="268" customFormat="false" ht="15" hidden="false" customHeight="false" outlineLevel="0" collapsed="false">
      <c r="A268" s="32"/>
      <c r="B268" s="32"/>
      <c r="C268" s="32"/>
      <c r="D268" s="32"/>
      <c r="E268" s="33"/>
      <c r="F268" s="33"/>
      <c r="G268" s="35"/>
      <c r="H268" s="32"/>
      <c r="I268" s="35"/>
      <c r="J268" s="32"/>
    </row>
    <row r="269" customFormat="false" ht="15" hidden="false" customHeight="false" outlineLevel="0" collapsed="false">
      <c r="A269" s="32"/>
      <c r="B269" s="32"/>
      <c r="C269" s="32"/>
      <c r="D269" s="32"/>
      <c r="E269" s="33"/>
      <c r="F269" s="33"/>
      <c r="G269" s="35"/>
      <c r="H269" s="32"/>
      <c r="I269" s="35"/>
      <c r="J269" s="32"/>
    </row>
    <row r="270" customFormat="false" ht="15" hidden="false" customHeight="false" outlineLevel="0" collapsed="false">
      <c r="A270" s="32"/>
      <c r="B270" s="32"/>
      <c r="C270" s="32"/>
      <c r="D270" s="32"/>
      <c r="E270" s="33"/>
      <c r="F270" s="33"/>
      <c r="G270" s="35"/>
      <c r="H270" s="32"/>
      <c r="I270" s="35"/>
      <c r="J270" s="32"/>
    </row>
    <row r="271" customFormat="false" ht="15" hidden="false" customHeight="false" outlineLevel="0" collapsed="false">
      <c r="A271" s="32"/>
      <c r="B271" s="32"/>
      <c r="C271" s="32"/>
      <c r="D271" s="32"/>
      <c r="E271" s="33"/>
      <c r="F271" s="33"/>
      <c r="G271" s="35"/>
      <c r="H271" s="32"/>
      <c r="I271" s="35"/>
      <c r="J271" s="32"/>
    </row>
    <row r="272" customFormat="false" ht="15" hidden="false" customHeight="false" outlineLevel="0" collapsed="false">
      <c r="A272" s="32"/>
      <c r="B272" s="32"/>
      <c r="C272" s="32"/>
      <c r="D272" s="32"/>
      <c r="E272" s="33"/>
      <c r="F272" s="33"/>
      <c r="G272" s="35"/>
      <c r="H272" s="32"/>
      <c r="I272" s="35"/>
      <c r="J272" s="32"/>
    </row>
    <row r="273" customFormat="false" ht="15" hidden="false" customHeight="false" outlineLevel="0" collapsed="false">
      <c r="A273" s="32"/>
      <c r="B273" s="32"/>
      <c r="C273" s="32"/>
      <c r="D273" s="32"/>
      <c r="E273" s="33"/>
      <c r="F273" s="33"/>
      <c r="G273" s="35"/>
      <c r="H273" s="32"/>
      <c r="I273" s="35"/>
      <c r="J273" s="32"/>
    </row>
    <row r="274" customFormat="false" ht="15" hidden="false" customHeight="false" outlineLevel="0" collapsed="false">
      <c r="A274" s="32"/>
      <c r="B274" s="32"/>
      <c r="C274" s="32"/>
      <c r="D274" s="32"/>
      <c r="E274" s="33"/>
      <c r="F274" s="33"/>
      <c r="G274" s="35"/>
      <c r="H274" s="32"/>
      <c r="I274" s="35"/>
      <c r="J274" s="32"/>
    </row>
    <row r="275" customFormat="false" ht="15" hidden="false" customHeight="false" outlineLevel="0" collapsed="false">
      <c r="A275" s="32"/>
      <c r="B275" s="32"/>
      <c r="C275" s="32"/>
      <c r="D275" s="32"/>
      <c r="E275" s="33"/>
      <c r="F275" s="33"/>
      <c r="G275" s="35"/>
      <c r="H275" s="32"/>
      <c r="I275" s="35"/>
      <c r="J275" s="32"/>
    </row>
    <row r="276" customFormat="false" ht="15" hidden="false" customHeight="false" outlineLevel="0" collapsed="false">
      <c r="A276" s="32"/>
      <c r="B276" s="32"/>
      <c r="C276" s="32"/>
      <c r="D276" s="32"/>
      <c r="E276" s="33"/>
      <c r="F276" s="33"/>
      <c r="G276" s="35"/>
      <c r="H276" s="32"/>
      <c r="I276" s="35"/>
      <c r="J276" s="32"/>
    </row>
    <row r="277" customFormat="false" ht="15" hidden="false" customHeight="false" outlineLevel="0" collapsed="false">
      <c r="A277" s="32"/>
      <c r="B277" s="32"/>
      <c r="C277" s="32"/>
      <c r="D277" s="32"/>
      <c r="E277" s="33"/>
      <c r="F277" s="33"/>
      <c r="G277" s="35"/>
      <c r="H277" s="32"/>
      <c r="I277" s="35"/>
      <c r="J277" s="32"/>
    </row>
    <row r="278" customFormat="false" ht="15" hidden="false" customHeight="false" outlineLevel="0" collapsed="false">
      <c r="A278" s="32"/>
      <c r="B278" s="32"/>
      <c r="C278" s="32"/>
      <c r="D278" s="32"/>
      <c r="E278" s="33"/>
      <c r="F278" s="33"/>
      <c r="G278" s="35"/>
      <c r="H278" s="32"/>
      <c r="I278" s="35"/>
      <c r="J278" s="32"/>
    </row>
    <row r="279" customFormat="false" ht="15" hidden="false" customHeight="false" outlineLevel="0" collapsed="false">
      <c r="A279" s="32"/>
      <c r="B279" s="32"/>
      <c r="C279" s="32"/>
      <c r="D279" s="32"/>
      <c r="E279" s="33"/>
      <c r="F279" s="33"/>
      <c r="G279" s="35"/>
      <c r="H279" s="32"/>
      <c r="I279" s="35"/>
      <c r="J279" s="32"/>
    </row>
    <row r="280" customFormat="false" ht="15" hidden="false" customHeight="false" outlineLevel="0" collapsed="false">
      <c r="A280" s="32"/>
      <c r="B280" s="32"/>
      <c r="C280" s="32"/>
      <c r="D280" s="32"/>
      <c r="E280" s="33"/>
      <c r="F280" s="33"/>
      <c r="G280" s="35"/>
      <c r="H280" s="32"/>
      <c r="I280" s="35"/>
      <c r="J280" s="32"/>
    </row>
    <row r="281" customFormat="false" ht="15" hidden="false" customHeight="false" outlineLevel="0" collapsed="false">
      <c r="A281" s="32"/>
      <c r="B281" s="32"/>
      <c r="C281" s="32"/>
      <c r="D281" s="32"/>
      <c r="E281" s="33"/>
      <c r="F281" s="33"/>
      <c r="G281" s="35"/>
      <c r="H281" s="32"/>
      <c r="I281" s="35"/>
      <c r="J281" s="32"/>
    </row>
    <row r="282" customFormat="false" ht="15" hidden="false" customHeight="false" outlineLevel="0" collapsed="false">
      <c r="A282" s="32"/>
      <c r="B282" s="32"/>
      <c r="C282" s="32"/>
      <c r="D282" s="32"/>
      <c r="E282" s="33"/>
      <c r="F282" s="33"/>
      <c r="G282" s="35"/>
      <c r="H282" s="32"/>
      <c r="I282" s="35"/>
      <c r="J282" s="32"/>
    </row>
    <row r="283" customFormat="false" ht="15" hidden="false" customHeight="false" outlineLevel="0" collapsed="false">
      <c r="A283" s="32"/>
      <c r="B283" s="32"/>
      <c r="C283" s="32"/>
      <c r="D283" s="32"/>
      <c r="E283" s="33"/>
      <c r="F283" s="33"/>
      <c r="G283" s="35"/>
      <c r="H283" s="32"/>
      <c r="I283" s="35"/>
      <c r="J283" s="32"/>
    </row>
    <row r="284" customFormat="false" ht="15" hidden="false" customHeight="false" outlineLevel="0" collapsed="false">
      <c r="A284" s="32"/>
      <c r="B284" s="32"/>
      <c r="C284" s="32"/>
      <c r="D284" s="32"/>
      <c r="E284" s="33"/>
      <c r="F284" s="33"/>
      <c r="G284" s="35"/>
      <c r="H284" s="32"/>
      <c r="I284" s="35"/>
      <c r="J284" s="32"/>
    </row>
    <row r="285" customFormat="false" ht="15" hidden="false" customHeight="false" outlineLevel="0" collapsed="false">
      <c r="A285" s="32"/>
      <c r="B285" s="32"/>
      <c r="C285" s="32"/>
      <c r="D285" s="32"/>
      <c r="E285" s="33"/>
      <c r="F285" s="33"/>
      <c r="G285" s="35"/>
      <c r="H285" s="32"/>
      <c r="I285" s="35"/>
      <c r="J285" s="32"/>
    </row>
    <row r="286" customFormat="false" ht="15" hidden="false" customHeight="false" outlineLevel="0" collapsed="false">
      <c r="A286" s="32"/>
      <c r="B286" s="32"/>
      <c r="C286" s="32"/>
      <c r="D286" s="32"/>
      <c r="E286" s="33"/>
      <c r="F286" s="33"/>
      <c r="G286" s="35"/>
      <c r="H286" s="32"/>
      <c r="I286" s="35"/>
      <c r="J286" s="32"/>
    </row>
    <row r="287" customFormat="false" ht="15" hidden="false" customHeight="false" outlineLevel="0" collapsed="false">
      <c r="A287" s="32"/>
      <c r="B287" s="32"/>
      <c r="C287" s="32"/>
      <c r="D287" s="32"/>
      <c r="E287" s="33"/>
      <c r="F287" s="33"/>
      <c r="G287" s="35"/>
      <c r="H287" s="32"/>
      <c r="I287" s="35"/>
      <c r="J287" s="32"/>
    </row>
    <row r="288" customFormat="false" ht="15" hidden="false" customHeight="false" outlineLevel="0" collapsed="false">
      <c r="A288" s="32"/>
      <c r="B288" s="32"/>
      <c r="C288" s="32"/>
      <c r="D288" s="32"/>
      <c r="E288" s="33"/>
      <c r="F288" s="33"/>
      <c r="G288" s="35"/>
      <c r="H288" s="32"/>
      <c r="I288" s="35"/>
      <c r="J288" s="32"/>
    </row>
    <row r="289" customFormat="false" ht="15" hidden="false" customHeight="false" outlineLevel="0" collapsed="false">
      <c r="A289" s="32"/>
      <c r="B289" s="32"/>
      <c r="C289" s="32"/>
      <c r="D289" s="32"/>
      <c r="E289" s="33"/>
      <c r="F289" s="33"/>
      <c r="G289" s="35"/>
      <c r="H289" s="32"/>
      <c r="I289" s="35"/>
      <c r="J289" s="32"/>
    </row>
    <row r="290" customFormat="false" ht="15" hidden="false" customHeight="false" outlineLevel="0" collapsed="false">
      <c r="A290" s="32"/>
      <c r="B290" s="32"/>
      <c r="C290" s="32"/>
      <c r="D290" s="32"/>
      <c r="E290" s="33"/>
      <c r="F290" s="33"/>
      <c r="G290" s="35"/>
      <c r="H290" s="32"/>
      <c r="I290" s="35"/>
      <c r="J290" s="32"/>
    </row>
    <row r="291" customFormat="false" ht="15" hidden="false" customHeight="false" outlineLevel="0" collapsed="false">
      <c r="A291" s="32"/>
      <c r="B291" s="32"/>
      <c r="C291" s="32"/>
      <c r="D291" s="32"/>
      <c r="E291" s="33"/>
      <c r="F291" s="33"/>
      <c r="G291" s="35"/>
      <c r="H291" s="32"/>
      <c r="I291" s="35"/>
      <c r="J291" s="32"/>
    </row>
    <row r="292" customFormat="false" ht="15" hidden="false" customHeight="false" outlineLevel="0" collapsed="false">
      <c r="A292" s="32"/>
      <c r="B292" s="32"/>
      <c r="C292" s="32"/>
      <c r="D292" s="32"/>
      <c r="E292" s="33"/>
      <c r="F292" s="33"/>
      <c r="G292" s="35"/>
      <c r="H292" s="32"/>
      <c r="I292" s="35"/>
      <c r="J292" s="32"/>
    </row>
    <row r="293" customFormat="false" ht="15" hidden="false" customHeight="false" outlineLevel="0" collapsed="false">
      <c r="A293" s="32"/>
      <c r="B293" s="32"/>
      <c r="C293" s="32"/>
      <c r="D293" s="32"/>
      <c r="E293" s="33"/>
      <c r="F293" s="33"/>
      <c r="G293" s="35"/>
      <c r="H293" s="32"/>
      <c r="I293" s="35"/>
      <c r="J293" s="32"/>
    </row>
    <row r="294" customFormat="false" ht="15" hidden="false" customHeight="false" outlineLevel="0" collapsed="false">
      <c r="A294" s="32"/>
      <c r="B294" s="32"/>
      <c r="C294" s="32"/>
      <c r="D294" s="32"/>
      <c r="E294" s="33"/>
      <c r="F294" s="33"/>
      <c r="G294" s="35"/>
      <c r="H294" s="32"/>
      <c r="I294" s="35"/>
      <c r="J294" s="32"/>
    </row>
    <row r="295" customFormat="false" ht="15" hidden="false" customHeight="false" outlineLevel="0" collapsed="false">
      <c r="A295" s="32"/>
      <c r="B295" s="32"/>
      <c r="C295" s="32"/>
      <c r="D295" s="32"/>
      <c r="E295" s="33"/>
      <c r="F295" s="33"/>
      <c r="G295" s="35"/>
      <c r="H295" s="32"/>
      <c r="I295" s="35"/>
      <c r="J295" s="32"/>
    </row>
    <row r="296" customFormat="false" ht="15" hidden="false" customHeight="false" outlineLevel="0" collapsed="false">
      <c r="A296" s="32"/>
      <c r="B296" s="32"/>
      <c r="C296" s="32"/>
      <c r="D296" s="32"/>
      <c r="E296" s="33"/>
      <c r="F296" s="33"/>
      <c r="G296" s="35"/>
      <c r="H296" s="32"/>
      <c r="I296" s="35"/>
      <c r="J296" s="32"/>
    </row>
    <row r="297" customFormat="false" ht="15" hidden="false" customHeight="false" outlineLevel="0" collapsed="false">
      <c r="A297" s="32"/>
      <c r="B297" s="32"/>
      <c r="C297" s="32"/>
      <c r="D297" s="32"/>
      <c r="E297" s="33"/>
      <c r="F297" s="33"/>
      <c r="G297" s="35"/>
      <c r="H297" s="32"/>
      <c r="I297" s="35"/>
      <c r="J297" s="32"/>
    </row>
    <row r="298" customFormat="false" ht="15" hidden="false" customHeight="false" outlineLevel="0" collapsed="false">
      <c r="A298" s="32"/>
      <c r="B298" s="32"/>
      <c r="C298" s="32"/>
      <c r="D298" s="32"/>
      <c r="E298" s="33"/>
      <c r="F298" s="33"/>
      <c r="G298" s="35"/>
      <c r="H298" s="32"/>
      <c r="I298" s="35"/>
      <c r="J298" s="32"/>
    </row>
    <row r="299" customFormat="false" ht="15" hidden="false" customHeight="false" outlineLevel="0" collapsed="false">
      <c r="A299" s="32"/>
      <c r="B299" s="32"/>
      <c r="C299" s="32"/>
      <c r="D299" s="32"/>
      <c r="E299" s="33"/>
      <c r="F299" s="33"/>
      <c r="G299" s="35"/>
      <c r="H299" s="32"/>
      <c r="I299" s="35"/>
      <c r="J299" s="32"/>
    </row>
    <row r="300" customFormat="false" ht="15" hidden="false" customHeight="false" outlineLevel="0" collapsed="false">
      <c r="A300" s="32"/>
      <c r="B300" s="32"/>
      <c r="C300" s="32"/>
      <c r="D300" s="32"/>
      <c r="E300" s="33"/>
      <c r="F300" s="33"/>
      <c r="G300" s="35"/>
      <c r="H300" s="32"/>
      <c r="I300" s="35"/>
      <c r="J300" s="32"/>
    </row>
    <row r="301" customFormat="false" ht="15" hidden="false" customHeight="false" outlineLevel="0" collapsed="false">
      <c r="A301" s="32"/>
      <c r="B301" s="32"/>
      <c r="C301" s="32"/>
      <c r="D301" s="32"/>
      <c r="E301" s="33"/>
      <c r="F301" s="33"/>
      <c r="G301" s="35"/>
      <c r="H301" s="32"/>
      <c r="I301" s="35"/>
      <c r="J301" s="32"/>
    </row>
    <row r="302" customFormat="false" ht="15" hidden="false" customHeight="false" outlineLevel="0" collapsed="false">
      <c r="A302" s="32"/>
      <c r="B302" s="32"/>
      <c r="C302" s="32"/>
      <c r="D302" s="32"/>
      <c r="E302" s="33"/>
      <c r="F302" s="33"/>
      <c r="G302" s="35"/>
      <c r="H302" s="32"/>
      <c r="I302" s="35"/>
      <c r="J302" s="32"/>
    </row>
    <row r="303" customFormat="false" ht="15" hidden="false" customHeight="false" outlineLevel="0" collapsed="false">
      <c r="A303" s="32"/>
      <c r="B303" s="32"/>
      <c r="C303" s="32"/>
      <c r="D303" s="32"/>
      <c r="E303" s="33"/>
      <c r="F303" s="33"/>
      <c r="G303" s="35"/>
      <c r="H303" s="32"/>
      <c r="I303" s="35"/>
      <c r="J303" s="32"/>
    </row>
    <row r="304" customFormat="false" ht="15" hidden="false" customHeight="false" outlineLevel="0" collapsed="false">
      <c r="A304" s="32"/>
      <c r="B304" s="32"/>
      <c r="C304" s="32"/>
      <c r="D304" s="32"/>
      <c r="E304" s="33"/>
      <c r="F304" s="33"/>
      <c r="G304" s="35"/>
      <c r="H304" s="32"/>
      <c r="I304" s="35"/>
      <c r="J304" s="32"/>
    </row>
    <row r="305" customFormat="false" ht="15" hidden="false" customHeight="false" outlineLevel="0" collapsed="false">
      <c r="A305" s="32"/>
      <c r="B305" s="32"/>
      <c r="C305" s="32"/>
      <c r="D305" s="32"/>
      <c r="E305" s="33"/>
      <c r="F305" s="33"/>
      <c r="G305" s="35"/>
      <c r="H305" s="32"/>
      <c r="I305" s="35"/>
      <c r="J305" s="32"/>
    </row>
    <row r="306" customFormat="false" ht="15" hidden="false" customHeight="false" outlineLevel="0" collapsed="false">
      <c r="A306" s="32"/>
      <c r="B306" s="32"/>
      <c r="C306" s="32"/>
      <c r="D306" s="32"/>
      <c r="E306" s="33"/>
      <c r="F306" s="33"/>
      <c r="G306" s="35"/>
      <c r="H306" s="32"/>
      <c r="I306" s="35"/>
      <c r="J306" s="32"/>
    </row>
    <row r="307" customFormat="false" ht="15" hidden="false" customHeight="false" outlineLevel="0" collapsed="false">
      <c r="A307" s="32"/>
      <c r="B307" s="32"/>
      <c r="C307" s="32"/>
      <c r="D307" s="32"/>
      <c r="E307" s="33"/>
      <c r="F307" s="33"/>
      <c r="G307" s="35"/>
      <c r="H307" s="32"/>
      <c r="I307" s="35"/>
      <c r="J307" s="32"/>
    </row>
    <row r="308" customFormat="false" ht="15" hidden="false" customHeight="false" outlineLevel="0" collapsed="false">
      <c r="A308" s="32"/>
      <c r="B308" s="32"/>
      <c r="C308" s="32"/>
      <c r="D308" s="32"/>
      <c r="E308" s="33"/>
      <c r="F308" s="33"/>
      <c r="G308" s="35"/>
      <c r="H308" s="32"/>
      <c r="I308" s="35"/>
      <c r="J308" s="32"/>
    </row>
    <row r="309" customFormat="false" ht="15" hidden="false" customHeight="false" outlineLevel="0" collapsed="false">
      <c r="A309" s="32"/>
      <c r="B309" s="32"/>
      <c r="C309" s="32"/>
      <c r="D309" s="32"/>
      <c r="E309" s="33"/>
      <c r="F309" s="33"/>
      <c r="G309" s="35"/>
      <c r="H309" s="32"/>
      <c r="I309" s="35"/>
      <c r="J309" s="32"/>
    </row>
    <row r="310" customFormat="false" ht="15" hidden="false" customHeight="false" outlineLevel="0" collapsed="false">
      <c r="A310" s="32"/>
      <c r="B310" s="32"/>
      <c r="C310" s="32"/>
      <c r="D310" s="32"/>
      <c r="E310" s="33"/>
      <c r="F310" s="33"/>
      <c r="G310" s="35"/>
      <c r="H310" s="32"/>
      <c r="I310" s="35"/>
      <c r="J310" s="32"/>
    </row>
    <row r="311" customFormat="false" ht="15" hidden="false" customHeight="false" outlineLevel="0" collapsed="false">
      <c r="A311" s="32"/>
      <c r="B311" s="32"/>
      <c r="C311" s="32"/>
      <c r="D311" s="32"/>
      <c r="E311" s="33"/>
      <c r="F311" s="33"/>
      <c r="G311" s="35"/>
      <c r="H311" s="32"/>
      <c r="I311" s="35"/>
      <c r="J311" s="32"/>
    </row>
    <row r="312" customFormat="false" ht="15" hidden="false" customHeight="false" outlineLevel="0" collapsed="false">
      <c r="A312" s="32"/>
      <c r="B312" s="32"/>
      <c r="C312" s="32"/>
      <c r="D312" s="32"/>
      <c r="E312" s="33"/>
      <c r="F312" s="33"/>
      <c r="G312" s="35"/>
      <c r="H312" s="32"/>
      <c r="I312" s="35"/>
      <c r="J312" s="32"/>
    </row>
    <row r="313" customFormat="false" ht="15" hidden="false" customHeight="false" outlineLevel="0" collapsed="false">
      <c r="A313" s="32"/>
      <c r="B313" s="32"/>
      <c r="C313" s="32"/>
      <c r="D313" s="32"/>
      <c r="E313" s="33"/>
      <c r="F313" s="33"/>
      <c r="G313" s="35"/>
      <c r="H313" s="32"/>
      <c r="I313" s="35"/>
      <c r="J313" s="32"/>
    </row>
    <row r="314" customFormat="false" ht="15" hidden="false" customHeight="false" outlineLevel="0" collapsed="false">
      <c r="A314" s="32"/>
      <c r="B314" s="32"/>
      <c r="C314" s="32"/>
      <c r="D314" s="32"/>
      <c r="E314" s="33"/>
      <c r="F314" s="33"/>
      <c r="G314" s="35"/>
      <c r="H314" s="32"/>
      <c r="I314" s="35"/>
      <c r="J314" s="32"/>
    </row>
    <row r="315" customFormat="false" ht="15" hidden="false" customHeight="false" outlineLevel="0" collapsed="false">
      <c r="A315" s="32"/>
      <c r="B315" s="32"/>
      <c r="C315" s="32"/>
      <c r="D315" s="32"/>
      <c r="E315" s="33"/>
      <c r="F315" s="33"/>
      <c r="G315" s="35"/>
      <c r="H315" s="32"/>
      <c r="I315" s="35"/>
      <c r="J315" s="32"/>
    </row>
    <row r="316" customFormat="false" ht="15" hidden="false" customHeight="false" outlineLevel="0" collapsed="false">
      <c r="A316" s="32"/>
      <c r="B316" s="32"/>
      <c r="C316" s="32"/>
      <c r="D316" s="32"/>
      <c r="E316" s="33"/>
      <c r="F316" s="33"/>
      <c r="G316" s="35"/>
      <c r="H316" s="32"/>
      <c r="I316" s="35"/>
      <c r="J316" s="32"/>
    </row>
    <row r="317" customFormat="false" ht="15" hidden="false" customHeight="false" outlineLevel="0" collapsed="false">
      <c r="A317" s="32"/>
      <c r="B317" s="32"/>
      <c r="C317" s="32"/>
      <c r="D317" s="32"/>
      <c r="E317" s="33"/>
      <c r="F317" s="33"/>
      <c r="G317" s="35"/>
      <c r="H317" s="32"/>
      <c r="I317" s="35"/>
      <c r="J317" s="32"/>
    </row>
    <row r="318" customFormat="false" ht="15" hidden="false" customHeight="false" outlineLevel="0" collapsed="false">
      <c r="A318" s="32"/>
      <c r="B318" s="32"/>
      <c r="C318" s="32"/>
      <c r="D318" s="32"/>
      <c r="E318" s="33"/>
      <c r="F318" s="33"/>
      <c r="G318" s="35"/>
      <c r="H318" s="32"/>
      <c r="I318" s="35"/>
      <c r="J318" s="32"/>
    </row>
    <row r="319" customFormat="false" ht="15" hidden="false" customHeight="false" outlineLevel="0" collapsed="false">
      <c r="A319" s="32"/>
      <c r="B319" s="32"/>
      <c r="C319" s="32"/>
      <c r="D319" s="32"/>
      <c r="E319" s="33"/>
      <c r="F319" s="33"/>
      <c r="G319" s="35"/>
      <c r="H319" s="32"/>
      <c r="I319" s="35"/>
      <c r="J319" s="32"/>
    </row>
    <row r="320" customFormat="false" ht="15" hidden="false" customHeight="false" outlineLevel="0" collapsed="false">
      <c r="A320" s="32"/>
      <c r="B320" s="32"/>
      <c r="C320" s="32"/>
      <c r="D320" s="32"/>
      <c r="E320" s="33"/>
      <c r="F320" s="33"/>
      <c r="G320" s="35"/>
      <c r="H320" s="32"/>
      <c r="I320" s="35"/>
      <c r="J320" s="32"/>
    </row>
    <row r="321" customFormat="false" ht="15" hidden="false" customHeight="false" outlineLevel="0" collapsed="false">
      <c r="A321" s="32"/>
      <c r="B321" s="32"/>
      <c r="C321" s="32"/>
      <c r="D321" s="32"/>
      <c r="E321" s="33"/>
      <c r="F321" s="33"/>
      <c r="G321" s="35"/>
      <c r="H321" s="32"/>
      <c r="I321" s="35"/>
      <c r="J321" s="32"/>
    </row>
    <row r="322" customFormat="false" ht="15" hidden="false" customHeight="false" outlineLevel="0" collapsed="false">
      <c r="A322" s="32"/>
      <c r="B322" s="32"/>
      <c r="C322" s="32"/>
      <c r="D322" s="32"/>
      <c r="E322" s="33"/>
      <c r="F322" s="33"/>
      <c r="G322" s="35"/>
      <c r="H322" s="32"/>
      <c r="I322" s="35"/>
      <c r="J322" s="32"/>
    </row>
    <row r="323" customFormat="false" ht="15" hidden="false" customHeight="false" outlineLevel="0" collapsed="false">
      <c r="A323" s="32"/>
      <c r="B323" s="32"/>
      <c r="C323" s="32"/>
      <c r="D323" s="32"/>
      <c r="E323" s="33"/>
      <c r="F323" s="33"/>
      <c r="G323" s="35"/>
      <c r="H323" s="32"/>
      <c r="I323" s="35"/>
      <c r="J323" s="32"/>
    </row>
    <row r="324" customFormat="false" ht="15" hidden="false" customHeight="false" outlineLevel="0" collapsed="false">
      <c r="A324" s="32"/>
      <c r="B324" s="32"/>
      <c r="C324" s="32"/>
      <c r="D324" s="32"/>
      <c r="E324" s="33"/>
      <c r="F324" s="33"/>
      <c r="G324" s="35"/>
      <c r="H324" s="32"/>
      <c r="I324" s="35"/>
      <c r="J324" s="32"/>
    </row>
    <row r="325" customFormat="false" ht="15" hidden="false" customHeight="false" outlineLevel="0" collapsed="false">
      <c r="A325" s="32"/>
      <c r="B325" s="32"/>
      <c r="C325" s="32"/>
      <c r="D325" s="32"/>
      <c r="E325" s="33"/>
      <c r="F325" s="33"/>
      <c r="G325" s="35"/>
      <c r="H325" s="32"/>
      <c r="I325" s="35"/>
      <c r="J325" s="32"/>
    </row>
    <row r="326" customFormat="false" ht="15" hidden="false" customHeight="false" outlineLevel="0" collapsed="false">
      <c r="A326" s="32"/>
      <c r="B326" s="32"/>
      <c r="C326" s="32"/>
      <c r="D326" s="32"/>
      <c r="E326" s="33"/>
      <c r="F326" s="33"/>
      <c r="G326" s="35"/>
      <c r="H326" s="32"/>
      <c r="I326" s="35"/>
      <c r="J326" s="32"/>
    </row>
    <row r="327" customFormat="false" ht="15" hidden="false" customHeight="false" outlineLevel="0" collapsed="false">
      <c r="A327" s="32"/>
      <c r="B327" s="32"/>
      <c r="C327" s="32"/>
      <c r="D327" s="32"/>
      <c r="E327" s="33"/>
      <c r="F327" s="33"/>
      <c r="G327" s="35"/>
      <c r="H327" s="32"/>
      <c r="I327" s="35"/>
      <c r="J327" s="32"/>
    </row>
    <row r="328" customFormat="false" ht="15" hidden="false" customHeight="false" outlineLevel="0" collapsed="false">
      <c r="A328" s="32"/>
      <c r="B328" s="32"/>
      <c r="C328" s="32"/>
      <c r="D328" s="32"/>
      <c r="E328" s="33"/>
      <c r="F328" s="33"/>
      <c r="G328" s="35"/>
      <c r="H328" s="32"/>
      <c r="I328" s="35"/>
      <c r="J328" s="32"/>
    </row>
    <row r="329" customFormat="false" ht="15" hidden="false" customHeight="false" outlineLevel="0" collapsed="false">
      <c r="A329" s="32"/>
      <c r="B329" s="32"/>
      <c r="C329" s="32"/>
      <c r="D329" s="32"/>
      <c r="E329" s="33"/>
      <c r="F329" s="33"/>
      <c r="G329" s="35"/>
      <c r="H329" s="32"/>
      <c r="I329" s="35"/>
      <c r="J329" s="32"/>
    </row>
    <row r="330" customFormat="false" ht="15" hidden="false" customHeight="false" outlineLevel="0" collapsed="false">
      <c r="A330" s="32"/>
      <c r="B330" s="32"/>
      <c r="C330" s="32"/>
      <c r="D330" s="32"/>
      <c r="E330" s="33"/>
      <c r="F330" s="33"/>
      <c r="G330" s="35"/>
      <c r="H330" s="32"/>
      <c r="I330" s="35"/>
      <c r="J330" s="32"/>
    </row>
    <row r="331" customFormat="false" ht="15" hidden="false" customHeight="false" outlineLevel="0" collapsed="false">
      <c r="A331" s="32"/>
      <c r="B331" s="32"/>
      <c r="C331" s="32"/>
      <c r="D331" s="32"/>
      <c r="E331" s="33"/>
      <c r="F331" s="33"/>
      <c r="G331" s="35"/>
      <c r="H331" s="32"/>
      <c r="I331" s="35"/>
      <c r="J331" s="32"/>
    </row>
    <row r="332" customFormat="false" ht="15" hidden="false" customHeight="false" outlineLevel="0" collapsed="false">
      <c r="A332" s="32"/>
      <c r="B332" s="32"/>
      <c r="C332" s="32"/>
      <c r="D332" s="32"/>
      <c r="E332" s="33"/>
      <c r="F332" s="33"/>
      <c r="G332" s="35"/>
      <c r="H332" s="32"/>
      <c r="I332" s="35"/>
      <c r="J332" s="32"/>
    </row>
    <row r="333" customFormat="false" ht="15" hidden="false" customHeight="false" outlineLevel="0" collapsed="false">
      <c r="A333" s="32"/>
      <c r="B333" s="32"/>
      <c r="C333" s="32"/>
      <c r="D333" s="32"/>
      <c r="E333" s="33"/>
      <c r="F333" s="33"/>
      <c r="G333" s="35"/>
      <c r="H333" s="32"/>
      <c r="I333" s="35"/>
      <c r="J333" s="32"/>
    </row>
    <row r="334" customFormat="false" ht="15" hidden="false" customHeight="false" outlineLevel="0" collapsed="false">
      <c r="A334" s="32"/>
      <c r="B334" s="32"/>
      <c r="C334" s="32"/>
      <c r="D334" s="32"/>
      <c r="E334" s="33"/>
      <c r="F334" s="33"/>
      <c r="G334" s="35"/>
      <c r="H334" s="32"/>
      <c r="I334" s="35"/>
      <c r="J334" s="32"/>
    </row>
    <row r="335" customFormat="false" ht="15" hidden="false" customHeight="false" outlineLevel="0" collapsed="false">
      <c r="A335" s="32"/>
      <c r="B335" s="32"/>
      <c r="C335" s="32"/>
      <c r="D335" s="32"/>
      <c r="E335" s="33"/>
      <c r="F335" s="33"/>
      <c r="G335" s="35"/>
      <c r="H335" s="32"/>
      <c r="I335" s="35"/>
      <c r="J335" s="32"/>
    </row>
    <row r="336" customFormat="false" ht="15" hidden="false" customHeight="false" outlineLevel="0" collapsed="false">
      <c r="A336" s="32"/>
      <c r="B336" s="32"/>
      <c r="C336" s="32"/>
      <c r="D336" s="32"/>
      <c r="E336" s="33"/>
      <c r="F336" s="33"/>
      <c r="G336" s="35"/>
      <c r="H336" s="32"/>
      <c r="I336" s="35"/>
      <c r="J336" s="32"/>
    </row>
    <row r="337" customFormat="false" ht="15" hidden="false" customHeight="false" outlineLevel="0" collapsed="false">
      <c r="A337" s="32"/>
      <c r="B337" s="32"/>
      <c r="C337" s="32"/>
      <c r="D337" s="32"/>
      <c r="E337" s="33"/>
      <c r="F337" s="33"/>
      <c r="G337" s="35"/>
      <c r="H337" s="32"/>
      <c r="I337" s="35"/>
      <c r="J337" s="32"/>
    </row>
    <row r="338" customFormat="false" ht="15" hidden="false" customHeight="false" outlineLevel="0" collapsed="false">
      <c r="A338" s="32"/>
      <c r="B338" s="32"/>
      <c r="C338" s="32"/>
      <c r="D338" s="32"/>
      <c r="E338" s="33"/>
      <c r="F338" s="33"/>
      <c r="G338" s="35"/>
      <c r="H338" s="32"/>
      <c r="I338" s="35"/>
      <c r="J338" s="32"/>
    </row>
    <row r="339" customFormat="false" ht="15" hidden="false" customHeight="false" outlineLevel="0" collapsed="false">
      <c r="A339" s="32"/>
      <c r="B339" s="32"/>
      <c r="C339" s="32"/>
      <c r="D339" s="32"/>
      <c r="E339" s="33"/>
      <c r="F339" s="33"/>
      <c r="G339" s="35"/>
      <c r="H339" s="32"/>
      <c r="I339" s="35"/>
      <c r="J339" s="32"/>
    </row>
    <row r="340" customFormat="false" ht="15" hidden="false" customHeight="false" outlineLevel="0" collapsed="false">
      <c r="A340" s="32"/>
      <c r="B340" s="32"/>
      <c r="C340" s="32"/>
      <c r="D340" s="32"/>
      <c r="E340" s="33"/>
      <c r="F340" s="33"/>
      <c r="G340" s="35"/>
      <c r="H340" s="32"/>
      <c r="I340" s="35"/>
      <c r="J340" s="32"/>
    </row>
    <row r="341" customFormat="false" ht="15" hidden="false" customHeight="false" outlineLevel="0" collapsed="false">
      <c r="A341" s="32"/>
      <c r="B341" s="32"/>
      <c r="C341" s="32"/>
      <c r="D341" s="32"/>
      <c r="E341" s="33"/>
      <c r="F341" s="33"/>
      <c r="G341" s="35"/>
      <c r="H341" s="32"/>
      <c r="I341" s="35"/>
      <c r="J341" s="32"/>
    </row>
    <row r="342" customFormat="false" ht="15" hidden="false" customHeight="false" outlineLevel="0" collapsed="false">
      <c r="A342" s="32"/>
      <c r="B342" s="32"/>
      <c r="C342" s="32"/>
      <c r="D342" s="32"/>
      <c r="E342" s="33"/>
      <c r="F342" s="33"/>
      <c r="G342" s="35"/>
      <c r="H342" s="32"/>
      <c r="I342" s="35"/>
      <c r="J342" s="32"/>
    </row>
    <row r="343" customFormat="false" ht="15" hidden="false" customHeight="false" outlineLevel="0" collapsed="false">
      <c r="A343" s="32"/>
      <c r="B343" s="32"/>
      <c r="C343" s="32"/>
      <c r="D343" s="32"/>
      <c r="E343" s="33"/>
      <c r="F343" s="33"/>
      <c r="G343" s="35"/>
      <c r="H343" s="32"/>
      <c r="I343" s="35"/>
      <c r="J343" s="32"/>
    </row>
    <row r="344" customFormat="false" ht="15" hidden="false" customHeight="false" outlineLevel="0" collapsed="false">
      <c r="A344" s="32"/>
      <c r="B344" s="32"/>
      <c r="C344" s="32"/>
      <c r="D344" s="32"/>
      <c r="E344" s="33"/>
      <c r="F344" s="33"/>
      <c r="G344" s="35"/>
      <c r="H344" s="32"/>
      <c r="I344" s="35"/>
      <c r="J344" s="32"/>
    </row>
    <row r="345" customFormat="false" ht="15" hidden="false" customHeight="false" outlineLevel="0" collapsed="false">
      <c r="A345" s="32"/>
      <c r="B345" s="32"/>
      <c r="C345" s="32"/>
      <c r="D345" s="32"/>
      <c r="E345" s="33"/>
      <c r="F345" s="33"/>
      <c r="G345" s="35"/>
      <c r="H345" s="32"/>
      <c r="I345" s="35"/>
      <c r="J345" s="32"/>
    </row>
    <row r="346" customFormat="false" ht="15" hidden="false" customHeight="false" outlineLevel="0" collapsed="false">
      <c r="A346" s="32"/>
      <c r="B346" s="32"/>
      <c r="C346" s="32"/>
      <c r="D346" s="32"/>
      <c r="E346" s="33"/>
      <c r="F346" s="33"/>
      <c r="G346" s="35"/>
      <c r="H346" s="32"/>
      <c r="I346" s="35"/>
      <c r="J346" s="32"/>
    </row>
    <row r="347" customFormat="false" ht="15" hidden="false" customHeight="false" outlineLevel="0" collapsed="false">
      <c r="A347" s="32"/>
      <c r="B347" s="32"/>
      <c r="C347" s="32"/>
      <c r="D347" s="32"/>
      <c r="E347" s="33"/>
      <c r="F347" s="33"/>
      <c r="G347" s="35"/>
      <c r="H347" s="32"/>
      <c r="I347" s="35"/>
      <c r="J347" s="32"/>
    </row>
    <row r="348" customFormat="false" ht="15" hidden="false" customHeight="false" outlineLevel="0" collapsed="false">
      <c r="A348" s="32"/>
      <c r="B348" s="32"/>
      <c r="C348" s="32"/>
      <c r="D348" s="32"/>
      <c r="E348" s="33"/>
      <c r="F348" s="33"/>
      <c r="G348" s="35"/>
      <c r="H348" s="32"/>
      <c r="I348" s="35"/>
      <c r="J348" s="32"/>
    </row>
    <row r="349" customFormat="false" ht="15" hidden="false" customHeight="false" outlineLevel="0" collapsed="false">
      <c r="A349" s="32"/>
      <c r="B349" s="32"/>
      <c r="C349" s="32"/>
      <c r="D349" s="32"/>
      <c r="E349" s="33"/>
      <c r="F349" s="33"/>
      <c r="G349" s="35"/>
      <c r="H349" s="32"/>
      <c r="I349" s="35"/>
      <c r="J349" s="32"/>
    </row>
    <row r="350" customFormat="false" ht="15" hidden="false" customHeight="false" outlineLevel="0" collapsed="false">
      <c r="A350" s="32"/>
      <c r="B350" s="32"/>
      <c r="C350" s="32"/>
      <c r="D350" s="32"/>
      <c r="E350" s="33"/>
      <c r="F350" s="33"/>
      <c r="G350" s="35"/>
      <c r="H350" s="32"/>
      <c r="I350" s="35"/>
      <c r="J350" s="32"/>
    </row>
    <row r="351" customFormat="false" ht="15" hidden="false" customHeight="false" outlineLevel="0" collapsed="false">
      <c r="A351" s="32"/>
      <c r="B351" s="32"/>
      <c r="C351" s="32"/>
      <c r="D351" s="32"/>
      <c r="E351" s="33"/>
      <c r="F351" s="33"/>
      <c r="G351" s="35"/>
      <c r="H351" s="32"/>
      <c r="I351" s="35"/>
      <c r="J351" s="32"/>
    </row>
    <row r="352" customFormat="false" ht="15" hidden="false" customHeight="false" outlineLevel="0" collapsed="false">
      <c r="A352" s="32"/>
      <c r="B352" s="32"/>
      <c r="C352" s="32"/>
      <c r="D352" s="32"/>
      <c r="E352" s="33"/>
      <c r="F352" s="33"/>
      <c r="G352" s="35"/>
      <c r="H352" s="32"/>
      <c r="I352" s="35"/>
      <c r="J352" s="32"/>
    </row>
    <row r="353" customFormat="false" ht="15" hidden="false" customHeight="false" outlineLevel="0" collapsed="false">
      <c r="A353" s="32"/>
      <c r="B353" s="32"/>
      <c r="C353" s="32"/>
      <c r="D353" s="32"/>
      <c r="E353" s="33"/>
      <c r="F353" s="33"/>
      <c r="G353" s="35"/>
      <c r="H353" s="32"/>
      <c r="I353" s="35"/>
      <c r="J353" s="32"/>
    </row>
    <row r="354" customFormat="false" ht="15" hidden="false" customHeight="false" outlineLevel="0" collapsed="false">
      <c r="A354" s="32"/>
      <c r="B354" s="32"/>
      <c r="C354" s="32"/>
      <c r="D354" s="32"/>
      <c r="E354" s="33"/>
      <c r="F354" s="33"/>
      <c r="G354" s="35"/>
      <c r="H354" s="32"/>
      <c r="I354" s="35"/>
      <c r="J354" s="32"/>
    </row>
    <row r="355" customFormat="false" ht="15" hidden="false" customHeight="false" outlineLevel="0" collapsed="false">
      <c r="A355" s="32"/>
      <c r="B355" s="32"/>
      <c r="C355" s="32"/>
      <c r="D355" s="32"/>
      <c r="E355" s="33"/>
      <c r="F355" s="33"/>
      <c r="G355" s="35"/>
      <c r="H355" s="32"/>
      <c r="I355" s="35"/>
      <c r="J355" s="32"/>
    </row>
    <row r="356" customFormat="false" ht="15" hidden="false" customHeight="false" outlineLevel="0" collapsed="false">
      <c r="A356" s="32"/>
      <c r="B356" s="32"/>
      <c r="C356" s="32"/>
      <c r="D356" s="32"/>
      <c r="E356" s="33"/>
      <c r="F356" s="33"/>
      <c r="G356" s="35"/>
      <c r="H356" s="32"/>
      <c r="I356" s="35"/>
      <c r="J356" s="32"/>
    </row>
    <row r="357" customFormat="false" ht="15" hidden="false" customHeight="false" outlineLevel="0" collapsed="false">
      <c r="A357" s="32"/>
      <c r="B357" s="32"/>
      <c r="C357" s="32"/>
      <c r="D357" s="32"/>
      <c r="E357" s="33"/>
      <c r="F357" s="33"/>
      <c r="G357" s="35"/>
      <c r="H357" s="32"/>
      <c r="I357" s="35"/>
      <c r="J357" s="32"/>
    </row>
    <row r="358" customFormat="false" ht="15" hidden="false" customHeight="false" outlineLevel="0" collapsed="false">
      <c r="A358" s="32"/>
      <c r="B358" s="32"/>
      <c r="C358" s="32"/>
      <c r="D358" s="32"/>
      <c r="E358" s="33"/>
      <c r="F358" s="33"/>
      <c r="G358" s="35"/>
      <c r="H358" s="32"/>
      <c r="I358" s="35"/>
      <c r="J358" s="32"/>
    </row>
    <row r="359" customFormat="false" ht="15" hidden="false" customHeight="false" outlineLevel="0" collapsed="false">
      <c r="A359" s="32"/>
      <c r="B359" s="32"/>
      <c r="C359" s="32"/>
      <c r="D359" s="32"/>
      <c r="E359" s="33"/>
      <c r="F359" s="33"/>
      <c r="G359" s="35"/>
      <c r="H359" s="32"/>
      <c r="I359" s="35"/>
      <c r="J359" s="32"/>
    </row>
    <row r="360" customFormat="false" ht="15" hidden="false" customHeight="false" outlineLevel="0" collapsed="false">
      <c r="A360" s="32"/>
      <c r="B360" s="32"/>
      <c r="C360" s="32"/>
      <c r="D360" s="32"/>
      <c r="E360" s="33"/>
      <c r="F360" s="33"/>
      <c r="G360" s="35"/>
      <c r="H360" s="32"/>
      <c r="I360" s="35"/>
      <c r="J360" s="32"/>
    </row>
    <row r="361" customFormat="false" ht="15" hidden="false" customHeight="false" outlineLevel="0" collapsed="false">
      <c r="A361" s="32"/>
      <c r="B361" s="32"/>
      <c r="C361" s="32"/>
      <c r="D361" s="32"/>
      <c r="E361" s="33"/>
      <c r="F361" s="33"/>
      <c r="G361" s="35"/>
      <c r="H361" s="32"/>
      <c r="I361" s="35"/>
      <c r="J361" s="32"/>
    </row>
    <row r="362" customFormat="false" ht="15" hidden="false" customHeight="false" outlineLevel="0" collapsed="false">
      <c r="A362" s="32"/>
      <c r="B362" s="32"/>
      <c r="C362" s="32"/>
      <c r="D362" s="32"/>
      <c r="E362" s="33"/>
      <c r="F362" s="33"/>
      <c r="G362" s="35"/>
      <c r="H362" s="32"/>
      <c r="I362" s="35"/>
      <c r="J362" s="32"/>
    </row>
    <row r="363" customFormat="false" ht="15" hidden="false" customHeight="false" outlineLevel="0" collapsed="false">
      <c r="A363" s="32"/>
      <c r="B363" s="32"/>
      <c r="C363" s="32"/>
      <c r="D363" s="32"/>
      <c r="E363" s="33"/>
      <c r="F363" s="33"/>
      <c r="G363" s="35"/>
      <c r="H363" s="32"/>
      <c r="I363" s="35"/>
      <c r="J363" s="32"/>
    </row>
    <row r="364" customFormat="false" ht="15" hidden="false" customHeight="false" outlineLevel="0" collapsed="false">
      <c r="A364" s="32"/>
      <c r="B364" s="32"/>
      <c r="C364" s="32"/>
      <c r="D364" s="32"/>
      <c r="E364" s="33"/>
      <c r="F364" s="33"/>
      <c r="G364" s="35"/>
      <c r="H364" s="32"/>
      <c r="I364" s="35"/>
      <c r="J364" s="32"/>
    </row>
    <row r="365" customFormat="false" ht="15" hidden="false" customHeight="false" outlineLevel="0" collapsed="false">
      <c r="A365" s="32"/>
      <c r="B365" s="32"/>
      <c r="C365" s="32"/>
      <c r="D365" s="32"/>
      <c r="E365" s="33"/>
      <c r="F365" s="33"/>
      <c r="G365" s="35"/>
      <c r="H365" s="32"/>
      <c r="I365" s="35"/>
      <c r="J365" s="32"/>
    </row>
    <row r="366" customFormat="false" ht="15" hidden="false" customHeight="false" outlineLevel="0" collapsed="false">
      <c r="A366" s="32"/>
      <c r="B366" s="32"/>
      <c r="C366" s="32"/>
      <c r="D366" s="32"/>
      <c r="E366" s="33"/>
      <c r="F366" s="33"/>
      <c r="G366" s="35"/>
      <c r="H366" s="32"/>
      <c r="I366" s="35"/>
      <c r="J366" s="32"/>
    </row>
    <row r="367" customFormat="false" ht="15" hidden="false" customHeight="false" outlineLevel="0" collapsed="false">
      <c r="A367" s="32"/>
      <c r="B367" s="32"/>
      <c r="C367" s="32"/>
      <c r="D367" s="32"/>
      <c r="E367" s="33"/>
      <c r="F367" s="33"/>
      <c r="G367" s="35"/>
      <c r="H367" s="32"/>
      <c r="I367" s="35"/>
      <c r="J367" s="32"/>
    </row>
    <row r="368" customFormat="false" ht="15" hidden="false" customHeight="false" outlineLevel="0" collapsed="false">
      <c r="A368" s="32"/>
      <c r="B368" s="32"/>
      <c r="C368" s="32"/>
      <c r="D368" s="32"/>
      <c r="E368" s="33"/>
      <c r="F368" s="33"/>
      <c r="G368" s="35"/>
      <c r="H368" s="32"/>
      <c r="I368" s="35"/>
      <c r="J368" s="32"/>
    </row>
    <row r="369" customFormat="false" ht="15" hidden="false" customHeight="false" outlineLevel="0" collapsed="false">
      <c r="A369" s="32"/>
      <c r="B369" s="32"/>
      <c r="C369" s="32"/>
      <c r="D369" s="32"/>
      <c r="E369" s="33"/>
      <c r="F369" s="33"/>
      <c r="G369" s="35"/>
      <c r="H369" s="32"/>
      <c r="I369" s="35"/>
      <c r="J369" s="32"/>
    </row>
    <row r="370" customFormat="false" ht="15" hidden="false" customHeight="false" outlineLevel="0" collapsed="false">
      <c r="A370" s="32"/>
      <c r="B370" s="32"/>
      <c r="C370" s="32"/>
      <c r="D370" s="32"/>
      <c r="E370" s="33"/>
      <c r="F370" s="33"/>
      <c r="G370" s="35"/>
      <c r="H370" s="32"/>
      <c r="I370" s="35"/>
      <c r="J370" s="32"/>
    </row>
    <row r="371" customFormat="false" ht="15" hidden="false" customHeight="false" outlineLevel="0" collapsed="false">
      <c r="A371" s="32"/>
      <c r="B371" s="32"/>
      <c r="C371" s="32"/>
      <c r="D371" s="32"/>
      <c r="E371" s="33"/>
      <c r="F371" s="33"/>
      <c r="G371" s="35"/>
      <c r="H371" s="32"/>
      <c r="I371" s="35"/>
      <c r="J371" s="32"/>
    </row>
    <row r="372" customFormat="false" ht="15" hidden="false" customHeight="false" outlineLevel="0" collapsed="false">
      <c r="A372" s="32"/>
      <c r="B372" s="32"/>
      <c r="C372" s="32"/>
      <c r="D372" s="32"/>
      <c r="E372" s="33"/>
      <c r="F372" s="33"/>
      <c r="G372" s="35"/>
      <c r="H372" s="32"/>
      <c r="I372" s="35"/>
      <c r="J372" s="32"/>
    </row>
    <row r="373" customFormat="false" ht="15" hidden="false" customHeight="false" outlineLevel="0" collapsed="false">
      <c r="A373" s="32"/>
      <c r="B373" s="32"/>
      <c r="C373" s="32"/>
      <c r="D373" s="32"/>
      <c r="E373" s="33"/>
      <c r="F373" s="33"/>
      <c r="G373" s="35"/>
      <c r="H373" s="32"/>
      <c r="I373" s="35"/>
      <c r="J373" s="32"/>
    </row>
    <row r="374" customFormat="false" ht="15" hidden="false" customHeight="false" outlineLevel="0" collapsed="false">
      <c r="A374" s="32"/>
      <c r="B374" s="32"/>
      <c r="C374" s="32"/>
      <c r="D374" s="32"/>
      <c r="E374" s="33"/>
      <c r="F374" s="33"/>
      <c r="G374" s="35"/>
      <c r="H374" s="32"/>
      <c r="I374" s="35"/>
      <c r="J374" s="32"/>
    </row>
    <row r="375" customFormat="false" ht="15" hidden="false" customHeight="false" outlineLevel="0" collapsed="false">
      <c r="A375" s="32"/>
      <c r="B375" s="32"/>
      <c r="C375" s="32"/>
      <c r="D375" s="32"/>
      <c r="E375" s="33"/>
      <c r="F375" s="33"/>
      <c r="G375" s="35"/>
      <c r="H375" s="32"/>
      <c r="I375" s="35"/>
      <c r="J375" s="32"/>
    </row>
    <row r="376" customFormat="false" ht="15" hidden="false" customHeight="false" outlineLevel="0" collapsed="false">
      <c r="A376" s="32"/>
      <c r="B376" s="32"/>
      <c r="C376" s="32"/>
      <c r="D376" s="32"/>
      <c r="E376" s="33"/>
      <c r="F376" s="33"/>
      <c r="G376" s="35"/>
      <c r="H376" s="32"/>
      <c r="I376" s="35"/>
      <c r="J376" s="32"/>
    </row>
    <row r="377" customFormat="false" ht="15" hidden="false" customHeight="false" outlineLevel="0" collapsed="false">
      <c r="A377" s="32"/>
      <c r="B377" s="32"/>
      <c r="C377" s="32"/>
      <c r="D377" s="32"/>
      <c r="E377" s="33"/>
      <c r="F377" s="33"/>
      <c r="G377" s="35"/>
      <c r="H377" s="32"/>
      <c r="I377" s="35"/>
      <c r="J377" s="32"/>
    </row>
    <row r="378" customFormat="false" ht="15" hidden="false" customHeight="false" outlineLevel="0" collapsed="false">
      <c r="A378" s="32"/>
      <c r="B378" s="32"/>
      <c r="C378" s="32"/>
      <c r="D378" s="32"/>
      <c r="E378" s="33"/>
      <c r="F378" s="33"/>
      <c r="G378" s="35"/>
      <c r="H378" s="32"/>
      <c r="I378" s="35"/>
      <c r="J378" s="32"/>
    </row>
    <row r="379" customFormat="false" ht="15" hidden="false" customHeight="false" outlineLevel="0" collapsed="false">
      <c r="A379" s="32"/>
      <c r="B379" s="32"/>
      <c r="C379" s="32"/>
      <c r="D379" s="32"/>
      <c r="E379" s="33"/>
      <c r="F379" s="33"/>
      <c r="G379" s="35"/>
      <c r="H379" s="32"/>
      <c r="I379" s="35"/>
      <c r="J379" s="32"/>
    </row>
    <row r="380" customFormat="false" ht="15" hidden="false" customHeight="false" outlineLevel="0" collapsed="false">
      <c r="A380" s="32"/>
      <c r="B380" s="32"/>
      <c r="C380" s="32"/>
      <c r="D380" s="32"/>
      <c r="E380" s="33"/>
      <c r="F380" s="33"/>
      <c r="G380" s="35"/>
      <c r="H380" s="32"/>
      <c r="I380" s="35"/>
      <c r="J380" s="32"/>
    </row>
    <row r="381" customFormat="false" ht="15" hidden="false" customHeight="false" outlineLevel="0" collapsed="false">
      <c r="A381" s="32"/>
      <c r="B381" s="32"/>
      <c r="C381" s="32"/>
      <c r="D381" s="32"/>
      <c r="E381" s="33"/>
      <c r="F381" s="33"/>
      <c r="G381" s="35"/>
      <c r="H381" s="32"/>
      <c r="I381" s="35"/>
      <c r="J381" s="32"/>
    </row>
    <row r="382" customFormat="false" ht="15" hidden="false" customHeight="false" outlineLevel="0" collapsed="false">
      <c r="A382" s="32"/>
      <c r="B382" s="32"/>
      <c r="C382" s="32"/>
      <c r="D382" s="32"/>
      <c r="E382" s="33"/>
      <c r="F382" s="33"/>
      <c r="G382" s="35"/>
      <c r="H382" s="32"/>
      <c r="I382" s="35"/>
      <c r="J382" s="32"/>
    </row>
    <row r="383" customFormat="false" ht="15" hidden="false" customHeight="false" outlineLevel="0" collapsed="false">
      <c r="A383" s="32"/>
      <c r="B383" s="32"/>
      <c r="C383" s="32"/>
      <c r="D383" s="32"/>
      <c r="E383" s="33"/>
      <c r="F383" s="33"/>
      <c r="G383" s="35"/>
      <c r="H383" s="32"/>
      <c r="I383" s="35"/>
      <c r="J383" s="32"/>
    </row>
    <row r="384" customFormat="false" ht="15" hidden="false" customHeight="false" outlineLevel="0" collapsed="false">
      <c r="A384" s="32"/>
      <c r="B384" s="32"/>
      <c r="C384" s="32"/>
      <c r="D384" s="32"/>
      <c r="E384" s="33"/>
      <c r="F384" s="33"/>
      <c r="G384" s="35"/>
      <c r="H384" s="32"/>
      <c r="I384" s="35"/>
      <c r="J384" s="32"/>
    </row>
    <row r="385" customFormat="false" ht="15" hidden="false" customHeight="false" outlineLevel="0" collapsed="false">
      <c r="A385" s="32"/>
      <c r="B385" s="32"/>
      <c r="C385" s="32"/>
      <c r="D385" s="32"/>
      <c r="E385" s="33"/>
      <c r="F385" s="33"/>
      <c r="G385" s="35"/>
      <c r="H385" s="32"/>
      <c r="I385" s="35"/>
      <c r="J385" s="32"/>
    </row>
    <row r="386" customFormat="false" ht="15" hidden="false" customHeight="false" outlineLevel="0" collapsed="false">
      <c r="A386" s="32"/>
      <c r="B386" s="32"/>
      <c r="C386" s="32"/>
      <c r="D386" s="32"/>
      <c r="E386" s="33"/>
      <c r="F386" s="33"/>
      <c r="G386" s="35"/>
      <c r="H386" s="32"/>
      <c r="I386" s="35"/>
      <c r="J386" s="32"/>
    </row>
    <row r="387" customFormat="false" ht="15" hidden="false" customHeight="false" outlineLevel="0" collapsed="false">
      <c r="A387" s="32"/>
      <c r="B387" s="32"/>
      <c r="C387" s="32"/>
      <c r="D387" s="32"/>
      <c r="E387" s="33"/>
      <c r="F387" s="33"/>
      <c r="G387" s="35"/>
      <c r="H387" s="32"/>
      <c r="I387" s="35"/>
      <c r="J387" s="32"/>
    </row>
    <row r="388" customFormat="false" ht="15" hidden="false" customHeight="false" outlineLevel="0" collapsed="false">
      <c r="A388" s="32"/>
      <c r="B388" s="32"/>
      <c r="C388" s="32"/>
      <c r="D388" s="32"/>
      <c r="E388" s="33"/>
      <c r="F388" s="33"/>
      <c r="G388" s="35"/>
      <c r="H388" s="32"/>
      <c r="I388" s="35"/>
      <c r="J388" s="32"/>
    </row>
    <row r="389" customFormat="false" ht="15" hidden="false" customHeight="false" outlineLevel="0" collapsed="false">
      <c r="A389" s="32"/>
      <c r="B389" s="32"/>
      <c r="C389" s="32"/>
      <c r="D389" s="32"/>
      <c r="E389" s="33"/>
      <c r="F389" s="33"/>
      <c r="G389" s="35"/>
      <c r="H389" s="32"/>
      <c r="I389" s="35"/>
      <c r="J389" s="32"/>
    </row>
    <row r="390" customFormat="false" ht="15" hidden="false" customHeight="false" outlineLevel="0" collapsed="false">
      <c r="A390" s="32"/>
      <c r="B390" s="32"/>
      <c r="C390" s="32"/>
      <c r="D390" s="32"/>
      <c r="E390" s="33"/>
      <c r="F390" s="33"/>
      <c r="G390" s="35"/>
      <c r="H390" s="32"/>
      <c r="I390" s="35"/>
      <c r="J390" s="32"/>
    </row>
    <row r="391" customFormat="false" ht="15" hidden="false" customHeight="false" outlineLevel="0" collapsed="false">
      <c r="A391" s="32"/>
      <c r="B391" s="32"/>
      <c r="C391" s="32"/>
      <c r="D391" s="32"/>
      <c r="E391" s="33"/>
      <c r="F391" s="33"/>
      <c r="G391" s="35"/>
      <c r="H391" s="32"/>
      <c r="I391" s="35"/>
      <c r="J391" s="32"/>
    </row>
    <row r="392" customFormat="false" ht="15" hidden="false" customHeight="false" outlineLevel="0" collapsed="false">
      <c r="A392" s="32"/>
      <c r="B392" s="32"/>
      <c r="C392" s="32"/>
      <c r="D392" s="32"/>
      <c r="E392" s="33"/>
      <c r="F392" s="33"/>
      <c r="G392" s="35"/>
      <c r="H392" s="32"/>
      <c r="I392" s="35"/>
      <c r="J392" s="32"/>
    </row>
    <row r="393" customFormat="false" ht="15" hidden="false" customHeight="false" outlineLevel="0" collapsed="false">
      <c r="A393" s="32"/>
      <c r="B393" s="32"/>
      <c r="C393" s="32"/>
      <c r="D393" s="32"/>
      <c r="E393" s="33"/>
      <c r="F393" s="33"/>
      <c r="G393" s="35"/>
      <c r="H393" s="32"/>
      <c r="I393" s="35"/>
      <c r="J393" s="32"/>
    </row>
    <row r="394" customFormat="false" ht="15" hidden="false" customHeight="false" outlineLevel="0" collapsed="false">
      <c r="A394" s="32"/>
      <c r="B394" s="32"/>
      <c r="C394" s="32"/>
      <c r="D394" s="32"/>
      <c r="E394" s="33"/>
      <c r="F394" s="33"/>
      <c r="G394" s="35"/>
      <c r="H394" s="32"/>
      <c r="I394" s="35"/>
      <c r="J394" s="32"/>
    </row>
    <row r="395" customFormat="false" ht="15" hidden="false" customHeight="false" outlineLevel="0" collapsed="false">
      <c r="A395" s="32"/>
      <c r="B395" s="32"/>
      <c r="C395" s="32"/>
      <c r="D395" s="32"/>
      <c r="E395" s="33"/>
      <c r="F395" s="33"/>
      <c r="G395" s="35"/>
      <c r="H395" s="32"/>
      <c r="I395" s="35"/>
      <c r="J395" s="32"/>
    </row>
    <row r="396" customFormat="false" ht="15" hidden="false" customHeight="false" outlineLevel="0" collapsed="false">
      <c r="A396" s="32"/>
      <c r="B396" s="32"/>
      <c r="C396" s="32"/>
      <c r="D396" s="32"/>
      <c r="E396" s="33"/>
      <c r="F396" s="33"/>
      <c r="G396" s="35"/>
      <c r="H396" s="32"/>
      <c r="I396" s="35"/>
      <c r="J396" s="32"/>
    </row>
    <row r="397" customFormat="false" ht="15" hidden="false" customHeight="false" outlineLevel="0" collapsed="false">
      <c r="A397" s="32"/>
      <c r="B397" s="32"/>
      <c r="C397" s="32"/>
      <c r="D397" s="32"/>
      <c r="E397" s="33"/>
      <c r="F397" s="33"/>
      <c r="G397" s="35"/>
      <c r="H397" s="32"/>
      <c r="I397" s="35"/>
      <c r="J397" s="32"/>
    </row>
    <row r="398" customFormat="false" ht="15" hidden="false" customHeight="false" outlineLevel="0" collapsed="false">
      <c r="A398" s="32"/>
      <c r="B398" s="32"/>
      <c r="C398" s="32"/>
      <c r="D398" s="32"/>
      <c r="E398" s="33"/>
      <c r="F398" s="33"/>
      <c r="G398" s="35"/>
      <c r="H398" s="32"/>
      <c r="I398" s="35"/>
      <c r="J398" s="32"/>
    </row>
    <row r="399" customFormat="false" ht="15" hidden="false" customHeight="false" outlineLevel="0" collapsed="false">
      <c r="A399" s="32"/>
      <c r="B399" s="32"/>
      <c r="C399" s="32"/>
      <c r="D399" s="32"/>
      <c r="E399" s="33"/>
      <c r="F399" s="33"/>
      <c r="G399" s="35"/>
      <c r="H399" s="32"/>
      <c r="I399" s="35"/>
      <c r="J399" s="32"/>
    </row>
    <row r="400" customFormat="false" ht="15" hidden="false" customHeight="false" outlineLevel="0" collapsed="false">
      <c r="A400" s="32"/>
      <c r="B400" s="32"/>
      <c r="C400" s="32"/>
      <c r="D400" s="32"/>
      <c r="E400" s="33"/>
      <c r="F400" s="33"/>
      <c r="G400" s="35"/>
      <c r="H400" s="32"/>
      <c r="I400" s="35"/>
      <c r="J400" s="32"/>
    </row>
    <row r="401" customFormat="false" ht="15" hidden="false" customHeight="false" outlineLevel="0" collapsed="false">
      <c r="A401" s="32"/>
      <c r="B401" s="32"/>
      <c r="C401" s="32"/>
      <c r="D401" s="32"/>
      <c r="E401" s="33"/>
      <c r="F401" s="33"/>
      <c r="G401" s="35"/>
      <c r="H401" s="32"/>
      <c r="I401" s="35"/>
      <c r="J401" s="32"/>
    </row>
    <row r="402" customFormat="false" ht="15" hidden="false" customHeight="false" outlineLevel="0" collapsed="false">
      <c r="A402" s="32"/>
      <c r="B402" s="32"/>
      <c r="C402" s="32"/>
      <c r="D402" s="32"/>
      <c r="E402" s="33"/>
      <c r="F402" s="33"/>
      <c r="G402" s="35"/>
      <c r="H402" s="32"/>
      <c r="I402" s="35"/>
      <c r="J402" s="32"/>
    </row>
    <row r="403" customFormat="false" ht="15" hidden="false" customHeight="false" outlineLevel="0" collapsed="false">
      <c r="A403" s="32"/>
      <c r="B403" s="32"/>
      <c r="C403" s="32"/>
      <c r="D403" s="32"/>
      <c r="E403" s="33"/>
      <c r="F403" s="33"/>
      <c r="G403" s="35"/>
      <c r="H403" s="32"/>
      <c r="I403" s="35"/>
      <c r="J403" s="32"/>
    </row>
    <row r="404" customFormat="false" ht="15" hidden="false" customHeight="false" outlineLevel="0" collapsed="false">
      <c r="A404" s="32"/>
      <c r="B404" s="32"/>
      <c r="C404" s="32"/>
      <c r="D404" s="32"/>
      <c r="E404" s="33"/>
      <c r="F404" s="33"/>
      <c r="G404" s="35"/>
      <c r="H404" s="32"/>
      <c r="I404" s="35"/>
      <c r="J404" s="32"/>
    </row>
    <row r="405" customFormat="false" ht="15" hidden="false" customHeight="false" outlineLevel="0" collapsed="false">
      <c r="A405" s="32"/>
      <c r="B405" s="32"/>
      <c r="C405" s="32"/>
      <c r="D405" s="32"/>
      <c r="E405" s="33"/>
      <c r="F405" s="33"/>
      <c r="G405" s="35"/>
      <c r="H405" s="32"/>
      <c r="I405" s="35"/>
      <c r="J405" s="32"/>
    </row>
    <row r="406" customFormat="false" ht="15" hidden="false" customHeight="false" outlineLevel="0" collapsed="false">
      <c r="A406" s="32"/>
      <c r="B406" s="32"/>
      <c r="C406" s="32"/>
      <c r="D406" s="32"/>
      <c r="E406" s="33"/>
      <c r="F406" s="33"/>
      <c r="G406" s="35"/>
      <c r="H406" s="32"/>
      <c r="I406" s="35"/>
      <c r="J406" s="32"/>
    </row>
    <row r="407" customFormat="false" ht="15" hidden="false" customHeight="false" outlineLevel="0" collapsed="false">
      <c r="A407" s="32"/>
      <c r="B407" s="32"/>
      <c r="C407" s="32"/>
      <c r="D407" s="32"/>
      <c r="E407" s="33"/>
      <c r="F407" s="33"/>
      <c r="G407" s="35"/>
      <c r="H407" s="32"/>
      <c r="I407" s="35"/>
      <c r="J407" s="32"/>
    </row>
    <row r="408" customFormat="false" ht="15" hidden="false" customHeight="false" outlineLevel="0" collapsed="false">
      <c r="A408" s="32"/>
      <c r="B408" s="32"/>
      <c r="C408" s="32"/>
      <c r="D408" s="32"/>
      <c r="E408" s="33"/>
      <c r="F408" s="33"/>
      <c r="G408" s="35"/>
      <c r="H408" s="32"/>
      <c r="I408" s="35"/>
      <c r="J408" s="32"/>
    </row>
    <row r="409" customFormat="false" ht="15" hidden="false" customHeight="false" outlineLevel="0" collapsed="false">
      <c r="A409" s="32"/>
      <c r="B409" s="32"/>
      <c r="C409" s="32"/>
      <c r="D409" s="32"/>
      <c r="E409" s="33"/>
      <c r="F409" s="33"/>
      <c r="G409" s="35"/>
      <c r="H409" s="32"/>
      <c r="I409" s="35"/>
      <c r="J409" s="32"/>
    </row>
    <row r="410" customFormat="false" ht="15" hidden="false" customHeight="false" outlineLevel="0" collapsed="false">
      <c r="A410" s="32"/>
      <c r="B410" s="32"/>
      <c r="C410" s="32"/>
      <c r="D410" s="32"/>
      <c r="E410" s="33"/>
      <c r="F410" s="33"/>
      <c r="G410" s="35"/>
      <c r="H410" s="32"/>
      <c r="I410" s="35"/>
      <c r="J410" s="32"/>
    </row>
    <row r="411" customFormat="false" ht="15" hidden="false" customHeight="false" outlineLevel="0" collapsed="false">
      <c r="A411" s="32"/>
      <c r="B411" s="32"/>
      <c r="C411" s="32"/>
      <c r="D411" s="32"/>
      <c r="E411" s="33"/>
      <c r="F411" s="33"/>
      <c r="G411" s="35"/>
      <c r="H411" s="32"/>
      <c r="I411" s="35"/>
      <c r="J411" s="32"/>
    </row>
    <row r="412" customFormat="false" ht="15" hidden="false" customHeight="false" outlineLevel="0" collapsed="false">
      <c r="A412" s="32"/>
      <c r="B412" s="32"/>
      <c r="C412" s="32"/>
      <c r="D412" s="32"/>
      <c r="E412" s="33"/>
      <c r="F412" s="33"/>
      <c r="G412" s="35"/>
      <c r="H412" s="32"/>
      <c r="I412" s="35"/>
      <c r="J412" s="32"/>
    </row>
    <row r="413" customFormat="false" ht="15" hidden="false" customHeight="false" outlineLevel="0" collapsed="false">
      <c r="A413" s="32"/>
      <c r="B413" s="32"/>
      <c r="C413" s="32"/>
      <c r="D413" s="32"/>
      <c r="E413" s="33"/>
      <c r="F413" s="33"/>
      <c r="G413" s="35"/>
      <c r="H413" s="32"/>
      <c r="I413" s="35"/>
      <c r="J413" s="32"/>
    </row>
    <row r="414" customFormat="false" ht="15" hidden="false" customHeight="false" outlineLevel="0" collapsed="false">
      <c r="A414" s="32"/>
      <c r="B414" s="32"/>
      <c r="C414" s="32"/>
      <c r="D414" s="32"/>
      <c r="E414" s="33"/>
      <c r="F414" s="33"/>
      <c r="G414" s="35"/>
      <c r="H414" s="32"/>
      <c r="I414" s="35"/>
      <c r="J414" s="32"/>
    </row>
    <row r="415" customFormat="false" ht="15" hidden="false" customHeight="false" outlineLevel="0" collapsed="false">
      <c r="A415" s="32"/>
      <c r="B415" s="32"/>
      <c r="C415" s="32"/>
      <c r="D415" s="32"/>
      <c r="E415" s="33"/>
      <c r="F415" s="33"/>
      <c r="G415" s="35"/>
      <c r="H415" s="32"/>
      <c r="I415" s="35"/>
      <c r="J415" s="32"/>
    </row>
    <row r="416" customFormat="false" ht="15" hidden="false" customHeight="false" outlineLevel="0" collapsed="false">
      <c r="A416" s="32"/>
      <c r="B416" s="32"/>
      <c r="C416" s="32"/>
      <c r="D416" s="32"/>
      <c r="E416" s="33"/>
      <c r="F416" s="33"/>
      <c r="G416" s="35"/>
      <c r="H416" s="32"/>
      <c r="I416" s="35"/>
      <c r="J416" s="32"/>
    </row>
    <row r="417" customFormat="false" ht="15" hidden="false" customHeight="false" outlineLevel="0" collapsed="false">
      <c r="A417" s="32"/>
      <c r="B417" s="32"/>
      <c r="C417" s="32"/>
      <c r="D417" s="32"/>
      <c r="E417" s="33"/>
      <c r="F417" s="33"/>
      <c r="G417" s="35"/>
      <c r="H417" s="32"/>
      <c r="I417" s="35"/>
      <c r="J417" s="32"/>
    </row>
    <row r="418" customFormat="false" ht="15" hidden="false" customHeight="false" outlineLevel="0" collapsed="false">
      <c r="A418" s="32"/>
      <c r="B418" s="32"/>
      <c r="C418" s="32"/>
      <c r="D418" s="32"/>
      <c r="E418" s="33"/>
      <c r="F418" s="33"/>
      <c r="G418" s="35"/>
      <c r="H418" s="32"/>
      <c r="I418" s="35"/>
      <c r="J418" s="32"/>
    </row>
    <row r="419" customFormat="false" ht="15" hidden="false" customHeight="false" outlineLevel="0" collapsed="false">
      <c r="A419" s="32"/>
      <c r="B419" s="32"/>
      <c r="C419" s="32"/>
      <c r="D419" s="32"/>
      <c r="E419" s="33"/>
      <c r="F419" s="33"/>
      <c r="G419" s="35"/>
      <c r="H419" s="32"/>
      <c r="I419" s="35"/>
      <c r="J419" s="32"/>
    </row>
    <row r="420" customFormat="false" ht="15" hidden="false" customHeight="false" outlineLevel="0" collapsed="false">
      <c r="A420" s="32"/>
      <c r="B420" s="32"/>
      <c r="C420" s="32"/>
      <c r="D420" s="32"/>
      <c r="E420" s="33"/>
      <c r="F420" s="33"/>
      <c r="G420" s="35"/>
      <c r="H420" s="32"/>
      <c r="I420" s="35"/>
      <c r="J420" s="32"/>
    </row>
    <row r="421" customFormat="false" ht="15" hidden="false" customHeight="false" outlineLevel="0" collapsed="false">
      <c r="A421" s="32"/>
      <c r="B421" s="32"/>
      <c r="C421" s="32"/>
      <c r="D421" s="32"/>
      <c r="E421" s="33"/>
      <c r="F421" s="33"/>
      <c r="G421" s="35"/>
      <c r="H421" s="32"/>
      <c r="I421" s="35"/>
      <c r="J421" s="32"/>
    </row>
    <row r="422" customFormat="false" ht="15" hidden="false" customHeight="false" outlineLevel="0" collapsed="false">
      <c r="A422" s="32"/>
      <c r="B422" s="32"/>
      <c r="C422" s="32"/>
      <c r="D422" s="32"/>
      <c r="E422" s="33"/>
      <c r="F422" s="33"/>
      <c r="G422" s="35"/>
      <c r="H422" s="32"/>
      <c r="I422" s="35"/>
      <c r="J422" s="32"/>
    </row>
    <row r="423" customFormat="false" ht="15" hidden="false" customHeight="false" outlineLevel="0" collapsed="false">
      <c r="A423" s="32"/>
      <c r="B423" s="32"/>
      <c r="C423" s="32"/>
      <c r="D423" s="32"/>
      <c r="E423" s="33"/>
      <c r="F423" s="33"/>
      <c r="G423" s="35"/>
      <c r="H423" s="32"/>
      <c r="I423" s="35"/>
      <c r="J423" s="32"/>
    </row>
    <row r="424" customFormat="false" ht="15" hidden="false" customHeight="false" outlineLevel="0" collapsed="false">
      <c r="A424" s="32"/>
      <c r="B424" s="32"/>
      <c r="C424" s="32"/>
      <c r="D424" s="32"/>
      <c r="E424" s="33"/>
      <c r="F424" s="33"/>
      <c r="G424" s="35"/>
      <c r="H424" s="32"/>
      <c r="I424" s="35"/>
      <c r="J424" s="32"/>
    </row>
    <row r="425" customFormat="false" ht="15" hidden="false" customHeight="false" outlineLevel="0" collapsed="false">
      <c r="A425" s="32"/>
      <c r="B425" s="32"/>
      <c r="C425" s="32"/>
      <c r="D425" s="32"/>
      <c r="E425" s="33"/>
      <c r="F425" s="33"/>
      <c r="G425" s="35"/>
      <c r="H425" s="32"/>
      <c r="I425" s="35"/>
      <c r="J425" s="32"/>
    </row>
    <row r="426" customFormat="false" ht="15" hidden="false" customHeight="false" outlineLevel="0" collapsed="false">
      <c r="A426" s="32"/>
      <c r="B426" s="32"/>
      <c r="C426" s="32"/>
      <c r="D426" s="32"/>
      <c r="E426" s="33"/>
      <c r="F426" s="33"/>
      <c r="G426" s="35"/>
      <c r="H426" s="32"/>
      <c r="I426" s="35"/>
      <c r="J426" s="32"/>
    </row>
    <row r="427" customFormat="false" ht="15" hidden="false" customHeight="false" outlineLevel="0" collapsed="false">
      <c r="A427" s="32"/>
      <c r="B427" s="32"/>
      <c r="C427" s="32"/>
      <c r="D427" s="32"/>
      <c r="E427" s="33"/>
      <c r="F427" s="33"/>
      <c r="G427" s="35"/>
      <c r="H427" s="32"/>
      <c r="I427" s="35"/>
      <c r="J427" s="32"/>
    </row>
    <row r="428" customFormat="false" ht="15" hidden="false" customHeight="false" outlineLevel="0" collapsed="false">
      <c r="A428" s="32"/>
      <c r="B428" s="32"/>
      <c r="C428" s="32"/>
      <c r="D428" s="32"/>
      <c r="E428" s="33"/>
      <c r="F428" s="33"/>
      <c r="G428" s="35"/>
      <c r="H428" s="32"/>
      <c r="I428" s="35"/>
      <c r="J428" s="32"/>
    </row>
    <row r="429" customFormat="false" ht="15" hidden="false" customHeight="false" outlineLevel="0" collapsed="false">
      <c r="A429" s="32"/>
      <c r="B429" s="32"/>
      <c r="C429" s="32"/>
      <c r="D429" s="32"/>
      <c r="E429" s="33"/>
      <c r="F429" s="33"/>
      <c r="G429" s="35"/>
      <c r="H429" s="32"/>
      <c r="I429" s="35"/>
      <c r="J429" s="32"/>
    </row>
    <row r="430" customFormat="false" ht="15" hidden="false" customHeight="false" outlineLevel="0" collapsed="false">
      <c r="A430" s="32"/>
      <c r="B430" s="32"/>
      <c r="C430" s="32"/>
      <c r="D430" s="32"/>
      <c r="E430" s="33"/>
      <c r="F430" s="33"/>
      <c r="G430" s="35"/>
      <c r="H430" s="32"/>
      <c r="I430" s="35"/>
      <c r="J430" s="32"/>
    </row>
    <row r="431" customFormat="false" ht="15" hidden="false" customHeight="false" outlineLevel="0" collapsed="false">
      <c r="A431" s="32"/>
      <c r="B431" s="32"/>
      <c r="C431" s="32"/>
      <c r="D431" s="32"/>
      <c r="E431" s="33"/>
      <c r="F431" s="33"/>
      <c r="G431" s="35"/>
      <c r="H431" s="32"/>
      <c r="I431" s="35"/>
      <c r="J431" s="32"/>
    </row>
    <row r="432" customFormat="false" ht="15" hidden="false" customHeight="false" outlineLevel="0" collapsed="false">
      <c r="A432" s="32"/>
      <c r="B432" s="32"/>
      <c r="C432" s="32"/>
      <c r="D432" s="32"/>
      <c r="E432" s="33"/>
      <c r="F432" s="33"/>
      <c r="G432" s="35"/>
      <c r="H432" s="32"/>
      <c r="I432" s="35"/>
      <c r="J432" s="32"/>
    </row>
    <row r="433" customFormat="false" ht="15" hidden="false" customHeight="false" outlineLevel="0" collapsed="false">
      <c r="A433" s="32"/>
      <c r="B433" s="32"/>
      <c r="C433" s="32"/>
      <c r="D433" s="32"/>
      <c r="E433" s="33"/>
      <c r="F433" s="33"/>
      <c r="G433" s="35"/>
      <c r="H433" s="32"/>
      <c r="I433" s="35"/>
      <c r="J433" s="32"/>
    </row>
    <row r="434" customFormat="false" ht="15" hidden="false" customHeight="false" outlineLevel="0" collapsed="false">
      <c r="A434" s="32"/>
      <c r="B434" s="32"/>
      <c r="C434" s="32"/>
      <c r="D434" s="32"/>
      <c r="E434" s="33"/>
      <c r="F434" s="33"/>
      <c r="G434" s="35"/>
      <c r="H434" s="32"/>
      <c r="I434" s="35"/>
      <c r="J434" s="32"/>
    </row>
    <row r="435" customFormat="false" ht="15" hidden="false" customHeight="false" outlineLevel="0" collapsed="false">
      <c r="A435" s="32"/>
      <c r="B435" s="32"/>
      <c r="C435" s="32"/>
      <c r="D435" s="32"/>
      <c r="E435" s="33"/>
      <c r="F435" s="33"/>
      <c r="G435" s="35"/>
      <c r="H435" s="32"/>
      <c r="I435" s="35"/>
      <c r="J435" s="32"/>
    </row>
    <row r="436" customFormat="false" ht="15" hidden="false" customHeight="false" outlineLevel="0" collapsed="false">
      <c r="A436" s="32"/>
      <c r="B436" s="32"/>
      <c r="C436" s="32"/>
      <c r="D436" s="32"/>
      <c r="E436" s="33"/>
      <c r="F436" s="33"/>
      <c r="G436" s="35"/>
      <c r="H436" s="32"/>
      <c r="I436" s="35"/>
      <c r="J436" s="32"/>
    </row>
    <row r="437" customFormat="false" ht="15" hidden="false" customHeight="false" outlineLevel="0" collapsed="false">
      <c r="A437" s="32"/>
      <c r="B437" s="32"/>
      <c r="C437" s="32"/>
      <c r="D437" s="32"/>
      <c r="E437" s="33"/>
      <c r="F437" s="33"/>
      <c r="G437" s="35"/>
      <c r="H437" s="32"/>
      <c r="I437" s="35"/>
      <c r="J437" s="32"/>
    </row>
    <row r="438" customFormat="false" ht="15" hidden="false" customHeight="false" outlineLevel="0" collapsed="false">
      <c r="A438" s="32"/>
      <c r="B438" s="32"/>
      <c r="C438" s="32"/>
      <c r="D438" s="32"/>
      <c r="E438" s="33"/>
      <c r="F438" s="33"/>
      <c r="G438" s="35"/>
      <c r="H438" s="32"/>
      <c r="I438" s="35"/>
      <c r="J438" s="32"/>
    </row>
    <row r="439" customFormat="false" ht="15" hidden="false" customHeight="false" outlineLevel="0" collapsed="false">
      <c r="A439" s="32"/>
      <c r="B439" s="32"/>
      <c r="C439" s="32"/>
      <c r="D439" s="32"/>
      <c r="E439" s="33"/>
      <c r="F439" s="33"/>
      <c r="G439" s="35"/>
      <c r="H439" s="32"/>
      <c r="I439" s="35"/>
      <c r="J439" s="32"/>
    </row>
    <row r="440" customFormat="false" ht="15" hidden="false" customHeight="false" outlineLevel="0" collapsed="false">
      <c r="A440" s="32"/>
      <c r="B440" s="32"/>
      <c r="C440" s="32"/>
      <c r="D440" s="32"/>
      <c r="E440" s="33"/>
      <c r="F440" s="33"/>
      <c r="G440" s="35"/>
      <c r="H440" s="32"/>
      <c r="I440" s="35"/>
      <c r="J440" s="32"/>
    </row>
    <row r="441" customFormat="false" ht="15" hidden="false" customHeight="false" outlineLevel="0" collapsed="false">
      <c r="A441" s="32"/>
      <c r="B441" s="32"/>
      <c r="C441" s="32"/>
      <c r="D441" s="32"/>
      <c r="E441" s="33"/>
      <c r="F441" s="33"/>
      <c r="G441" s="35"/>
      <c r="H441" s="32"/>
      <c r="I441" s="35"/>
      <c r="J441" s="32"/>
    </row>
    <row r="442" customFormat="false" ht="15" hidden="false" customHeight="false" outlineLevel="0" collapsed="false">
      <c r="A442" s="32"/>
      <c r="B442" s="32"/>
      <c r="C442" s="32"/>
      <c r="D442" s="32"/>
      <c r="E442" s="33"/>
      <c r="F442" s="33"/>
      <c r="G442" s="35"/>
      <c r="H442" s="32"/>
      <c r="I442" s="35"/>
      <c r="J442" s="32"/>
    </row>
    <row r="443" customFormat="false" ht="15" hidden="false" customHeight="false" outlineLevel="0" collapsed="false">
      <c r="A443" s="32"/>
      <c r="B443" s="32"/>
      <c r="C443" s="32"/>
      <c r="D443" s="32"/>
      <c r="E443" s="33"/>
      <c r="F443" s="33"/>
      <c r="G443" s="35"/>
      <c r="H443" s="32"/>
      <c r="I443" s="35"/>
      <c r="J443" s="32"/>
    </row>
    <row r="444" customFormat="false" ht="15" hidden="false" customHeight="false" outlineLevel="0" collapsed="false">
      <c r="A444" s="32"/>
      <c r="B444" s="32"/>
      <c r="C444" s="32"/>
      <c r="D444" s="32"/>
      <c r="E444" s="33"/>
      <c r="F444" s="33"/>
      <c r="G444" s="35"/>
      <c r="H444" s="32"/>
      <c r="I444" s="35"/>
      <c r="J444" s="32"/>
    </row>
    <row r="445" customFormat="false" ht="15" hidden="false" customHeight="false" outlineLevel="0" collapsed="false">
      <c r="A445" s="32"/>
      <c r="B445" s="32"/>
      <c r="C445" s="32"/>
      <c r="D445" s="32"/>
      <c r="E445" s="33"/>
      <c r="F445" s="33"/>
      <c r="G445" s="35"/>
      <c r="H445" s="32"/>
      <c r="I445" s="35"/>
      <c r="J445" s="32"/>
    </row>
    <row r="446" customFormat="false" ht="15" hidden="false" customHeight="false" outlineLevel="0" collapsed="false">
      <c r="A446" s="32"/>
      <c r="B446" s="32"/>
      <c r="C446" s="32"/>
      <c r="D446" s="32"/>
      <c r="E446" s="33"/>
      <c r="F446" s="33"/>
      <c r="G446" s="35"/>
      <c r="H446" s="32"/>
      <c r="I446" s="35"/>
      <c r="J446" s="32"/>
    </row>
    <row r="447" customFormat="false" ht="15" hidden="false" customHeight="false" outlineLevel="0" collapsed="false">
      <c r="A447" s="32"/>
      <c r="B447" s="32"/>
      <c r="C447" s="32"/>
      <c r="D447" s="32"/>
      <c r="E447" s="33"/>
      <c r="F447" s="33"/>
      <c r="G447" s="35"/>
      <c r="H447" s="32"/>
      <c r="I447" s="35"/>
      <c r="J447" s="32"/>
    </row>
    <row r="448" customFormat="false" ht="15" hidden="false" customHeight="false" outlineLevel="0" collapsed="false">
      <c r="A448" s="32"/>
      <c r="B448" s="32"/>
      <c r="C448" s="32"/>
      <c r="D448" s="32"/>
      <c r="E448" s="33"/>
      <c r="F448" s="33"/>
      <c r="G448" s="35"/>
      <c r="H448" s="32"/>
      <c r="I448" s="35"/>
      <c r="J448" s="32"/>
    </row>
    <row r="449" customFormat="false" ht="15" hidden="false" customHeight="false" outlineLevel="0" collapsed="false">
      <c r="A449" s="32"/>
      <c r="B449" s="32"/>
      <c r="C449" s="32"/>
      <c r="D449" s="32"/>
      <c r="E449" s="33"/>
      <c r="F449" s="33"/>
      <c r="G449" s="35"/>
      <c r="H449" s="32"/>
      <c r="I449" s="35"/>
      <c r="J449" s="32"/>
    </row>
    <row r="450" customFormat="false" ht="15" hidden="false" customHeight="false" outlineLevel="0" collapsed="false">
      <c r="A450" s="32"/>
      <c r="B450" s="32"/>
      <c r="C450" s="32"/>
      <c r="D450" s="32"/>
      <c r="E450" s="33"/>
      <c r="F450" s="33"/>
      <c r="G450" s="35"/>
      <c r="H450" s="32"/>
      <c r="I450" s="35"/>
      <c r="J450" s="32"/>
    </row>
    <row r="451" customFormat="false" ht="15" hidden="false" customHeight="false" outlineLevel="0" collapsed="false">
      <c r="A451" s="32"/>
      <c r="B451" s="32"/>
      <c r="C451" s="32"/>
      <c r="D451" s="32"/>
      <c r="E451" s="33"/>
      <c r="F451" s="33"/>
      <c r="G451" s="35"/>
      <c r="H451" s="32"/>
      <c r="I451" s="35"/>
      <c r="J451" s="32"/>
    </row>
    <row r="452" customFormat="false" ht="15" hidden="false" customHeight="false" outlineLevel="0" collapsed="false">
      <c r="A452" s="32"/>
      <c r="B452" s="32"/>
      <c r="C452" s="32"/>
      <c r="D452" s="32"/>
      <c r="E452" s="33"/>
      <c r="F452" s="33"/>
      <c r="G452" s="35"/>
      <c r="H452" s="32"/>
      <c r="I452" s="35"/>
      <c r="J452" s="32"/>
    </row>
    <row r="453" customFormat="false" ht="15" hidden="false" customHeight="false" outlineLevel="0" collapsed="false">
      <c r="A453" s="32"/>
      <c r="B453" s="32"/>
      <c r="C453" s="32"/>
      <c r="D453" s="32"/>
      <c r="E453" s="33"/>
      <c r="F453" s="33"/>
      <c r="G453" s="35"/>
      <c r="H453" s="32"/>
      <c r="I453" s="35"/>
      <c r="J453" s="32"/>
    </row>
    <row r="454" customFormat="false" ht="15" hidden="false" customHeight="false" outlineLevel="0" collapsed="false">
      <c r="A454" s="32"/>
      <c r="B454" s="32"/>
      <c r="C454" s="32"/>
      <c r="D454" s="32"/>
      <c r="E454" s="33"/>
      <c r="F454" s="33"/>
      <c r="G454" s="35"/>
      <c r="H454" s="32"/>
      <c r="I454" s="35"/>
      <c r="J454" s="32"/>
    </row>
    <row r="455" customFormat="false" ht="15" hidden="false" customHeight="false" outlineLevel="0" collapsed="false">
      <c r="A455" s="32"/>
      <c r="B455" s="32"/>
      <c r="C455" s="32"/>
      <c r="D455" s="32"/>
      <c r="E455" s="33"/>
      <c r="F455" s="33"/>
      <c r="G455" s="35"/>
      <c r="H455" s="32"/>
      <c r="I455" s="35"/>
      <c r="J455" s="32"/>
    </row>
    <row r="456" customFormat="false" ht="15" hidden="false" customHeight="false" outlineLevel="0" collapsed="false">
      <c r="A456" s="32"/>
      <c r="B456" s="32"/>
      <c r="C456" s="32"/>
      <c r="D456" s="32"/>
      <c r="E456" s="33"/>
      <c r="F456" s="33"/>
      <c r="G456" s="35"/>
      <c r="H456" s="32"/>
      <c r="I456" s="35"/>
      <c r="J456" s="32"/>
    </row>
    <row r="457" customFormat="false" ht="15" hidden="false" customHeight="false" outlineLevel="0" collapsed="false">
      <c r="A457" s="32"/>
      <c r="B457" s="32"/>
      <c r="C457" s="32"/>
      <c r="D457" s="32"/>
      <c r="E457" s="33"/>
      <c r="F457" s="33"/>
      <c r="G457" s="35"/>
      <c r="H457" s="32"/>
      <c r="I457" s="35"/>
      <c r="J457" s="32"/>
    </row>
    <row r="458" customFormat="false" ht="15" hidden="false" customHeight="false" outlineLevel="0" collapsed="false">
      <c r="A458" s="32"/>
      <c r="B458" s="32"/>
      <c r="C458" s="32"/>
      <c r="D458" s="32"/>
      <c r="E458" s="33"/>
      <c r="F458" s="33"/>
      <c r="G458" s="35"/>
      <c r="H458" s="32"/>
      <c r="I458" s="35"/>
      <c r="J458" s="32"/>
    </row>
    <row r="459" customFormat="false" ht="15" hidden="false" customHeight="false" outlineLevel="0" collapsed="false">
      <c r="A459" s="32"/>
      <c r="B459" s="32"/>
      <c r="C459" s="32"/>
      <c r="D459" s="32"/>
      <c r="E459" s="33"/>
      <c r="F459" s="33"/>
      <c r="G459" s="35"/>
      <c r="H459" s="32"/>
      <c r="I459" s="35"/>
      <c r="J459" s="32"/>
    </row>
    <row r="460" customFormat="false" ht="15" hidden="false" customHeight="false" outlineLevel="0" collapsed="false">
      <c r="A460" s="32"/>
      <c r="B460" s="32"/>
      <c r="C460" s="32"/>
      <c r="D460" s="32"/>
      <c r="E460" s="33"/>
      <c r="F460" s="33"/>
      <c r="G460" s="35"/>
      <c r="H460" s="32"/>
      <c r="I460" s="35"/>
      <c r="J460" s="32"/>
    </row>
    <row r="461" customFormat="false" ht="15" hidden="false" customHeight="false" outlineLevel="0" collapsed="false">
      <c r="A461" s="32"/>
      <c r="B461" s="32"/>
      <c r="C461" s="32"/>
      <c r="D461" s="32"/>
      <c r="E461" s="33"/>
      <c r="F461" s="33"/>
      <c r="G461" s="35"/>
      <c r="H461" s="32"/>
      <c r="I461" s="35"/>
      <c r="J461" s="32"/>
    </row>
    <row r="462" customFormat="false" ht="15" hidden="false" customHeight="false" outlineLevel="0" collapsed="false">
      <c r="A462" s="32"/>
      <c r="B462" s="32"/>
      <c r="C462" s="32"/>
      <c r="D462" s="32"/>
      <c r="E462" s="33"/>
      <c r="F462" s="33"/>
      <c r="G462" s="35"/>
      <c r="H462" s="32"/>
      <c r="I462" s="35"/>
      <c r="J462" s="32"/>
    </row>
    <row r="463" customFormat="false" ht="15" hidden="false" customHeight="false" outlineLevel="0" collapsed="false">
      <c r="A463" s="32"/>
      <c r="B463" s="32"/>
      <c r="C463" s="32"/>
      <c r="D463" s="32"/>
      <c r="E463" s="33"/>
      <c r="F463" s="33"/>
      <c r="G463" s="35"/>
      <c r="H463" s="32"/>
      <c r="I463" s="35"/>
      <c r="J463" s="32"/>
    </row>
    <row r="464" customFormat="false" ht="15" hidden="false" customHeight="false" outlineLevel="0" collapsed="false">
      <c r="A464" s="32"/>
      <c r="B464" s="32"/>
      <c r="C464" s="32"/>
      <c r="D464" s="32"/>
      <c r="E464" s="33"/>
      <c r="F464" s="33"/>
      <c r="G464" s="35"/>
      <c r="H464" s="32"/>
      <c r="I464" s="35"/>
      <c r="J464" s="32"/>
    </row>
    <row r="465" customFormat="false" ht="15" hidden="false" customHeight="false" outlineLevel="0" collapsed="false">
      <c r="A465" s="32"/>
      <c r="B465" s="32"/>
      <c r="C465" s="32"/>
      <c r="D465" s="32"/>
      <c r="E465" s="33"/>
      <c r="F465" s="33"/>
      <c r="G465" s="35"/>
      <c r="H465" s="32"/>
      <c r="I465" s="35"/>
      <c r="J465" s="32"/>
    </row>
    <row r="466" customFormat="false" ht="15" hidden="false" customHeight="false" outlineLevel="0" collapsed="false">
      <c r="A466" s="32"/>
      <c r="B466" s="32"/>
      <c r="C466" s="32"/>
      <c r="D466" s="32"/>
      <c r="E466" s="33"/>
      <c r="F466" s="33"/>
      <c r="G466" s="35"/>
      <c r="H466" s="32"/>
      <c r="I466" s="35"/>
      <c r="J466" s="32"/>
    </row>
    <row r="467" customFormat="false" ht="15" hidden="false" customHeight="false" outlineLevel="0" collapsed="false">
      <c r="A467" s="32"/>
      <c r="B467" s="32"/>
      <c r="C467" s="32"/>
      <c r="D467" s="32"/>
      <c r="E467" s="33"/>
      <c r="F467" s="33"/>
      <c r="G467" s="35"/>
      <c r="H467" s="32"/>
      <c r="I467" s="35"/>
      <c r="J467" s="32"/>
    </row>
    <row r="468" customFormat="false" ht="15" hidden="false" customHeight="false" outlineLevel="0" collapsed="false">
      <c r="A468" s="32"/>
      <c r="B468" s="32"/>
      <c r="C468" s="32"/>
      <c r="D468" s="32"/>
      <c r="E468" s="33"/>
      <c r="F468" s="33"/>
      <c r="G468" s="35"/>
      <c r="H468" s="32"/>
      <c r="I468" s="35"/>
      <c r="J468" s="32"/>
    </row>
    <row r="469" customFormat="false" ht="15" hidden="false" customHeight="false" outlineLevel="0" collapsed="false">
      <c r="A469" s="32"/>
      <c r="B469" s="32"/>
      <c r="C469" s="32"/>
      <c r="D469" s="32"/>
      <c r="E469" s="33"/>
      <c r="F469" s="33"/>
      <c r="G469" s="35"/>
      <c r="H469" s="32"/>
      <c r="I469" s="35"/>
      <c r="J469" s="32"/>
    </row>
    <row r="470" customFormat="false" ht="15" hidden="false" customHeight="false" outlineLevel="0" collapsed="false">
      <c r="A470" s="32"/>
      <c r="B470" s="32"/>
      <c r="C470" s="32"/>
      <c r="D470" s="32"/>
      <c r="E470" s="33"/>
      <c r="F470" s="33"/>
      <c r="G470" s="35"/>
      <c r="H470" s="32"/>
      <c r="I470" s="35"/>
      <c r="J470" s="32"/>
    </row>
    <row r="471" customFormat="false" ht="15" hidden="false" customHeight="false" outlineLevel="0" collapsed="false">
      <c r="A471" s="32"/>
      <c r="B471" s="32"/>
      <c r="C471" s="32"/>
      <c r="D471" s="32"/>
      <c r="E471" s="33"/>
      <c r="F471" s="33"/>
      <c r="G471" s="35"/>
      <c r="H471" s="32"/>
      <c r="I471" s="35"/>
      <c r="J471" s="32"/>
    </row>
    <row r="472" customFormat="false" ht="15" hidden="false" customHeight="false" outlineLevel="0" collapsed="false">
      <c r="A472" s="32"/>
      <c r="B472" s="32"/>
      <c r="C472" s="32"/>
      <c r="D472" s="32"/>
      <c r="E472" s="33"/>
      <c r="F472" s="33"/>
      <c r="G472" s="35"/>
      <c r="H472" s="32"/>
      <c r="I472" s="35"/>
      <c r="J472" s="32"/>
    </row>
    <row r="473" customFormat="false" ht="15" hidden="false" customHeight="false" outlineLevel="0" collapsed="false">
      <c r="A473" s="32"/>
      <c r="B473" s="32"/>
      <c r="C473" s="32"/>
      <c r="D473" s="32"/>
      <c r="E473" s="33"/>
      <c r="F473" s="33"/>
      <c r="G473" s="35"/>
      <c r="H473" s="32"/>
      <c r="I473" s="35"/>
      <c r="J473" s="32"/>
    </row>
    <row r="474" customFormat="false" ht="15" hidden="false" customHeight="false" outlineLevel="0" collapsed="false">
      <c r="A474" s="32"/>
      <c r="B474" s="32"/>
      <c r="C474" s="32"/>
      <c r="D474" s="32"/>
      <c r="E474" s="33"/>
      <c r="F474" s="33"/>
      <c r="G474" s="35"/>
      <c r="H474" s="32"/>
      <c r="I474" s="35"/>
      <c r="J474" s="32"/>
    </row>
    <row r="475" customFormat="false" ht="15" hidden="false" customHeight="false" outlineLevel="0" collapsed="false">
      <c r="A475" s="32"/>
      <c r="B475" s="32"/>
      <c r="C475" s="32"/>
      <c r="D475" s="32"/>
      <c r="E475" s="33"/>
      <c r="F475" s="33"/>
      <c r="G475" s="35"/>
      <c r="H475" s="32"/>
      <c r="I475" s="35"/>
      <c r="J475" s="32"/>
    </row>
    <row r="476" customFormat="false" ht="15" hidden="false" customHeight="false" outlineLevel="0" collapsed="false">
      <c r="A476" s="32"/>
      <c r="B476" s="32"/>
      <c r="C476" s="32"/>
      <c r="D476" s="32"/>
      <c r="E476" s="33"/>
      <c r="F476" s="33"/>
      <c r="G476" s="35"/>
      <c r="H476" s="32"/>
      <c r="I476" s="35"/>
      <c r="J476" s="32"/>
    </row>
    <row r="477" customFormat="false" ht="15" hidden="false" customHeight="false" outlineLevel="0" collapsed="false">
      <c r="A477" s="32"/>
      <c r="B477" s="32"/>
      <c r="C477" s="32"/>
      <c r="D477" s="32"/>
      <c r="E477" s="33"/>
      <c r="F477" s="33"/>
      <c r="G477" s="35"/>
      <c r="H477" s="32"/>
      <c r="I477" s="35"/>
      <c r="J477" s="32"/>
    </row>
    <row r="478" customFormat="false" ht="15" hidden="false" customHeight="false" outlineLevel="0" collapsed="false">
      <c r="A478" s="32"/>
      <c r="B478" s="32"/>
      <c r="C478" s="32"/>
      <c r="D478" s="32"/>
      <c r="E478" s="33"/>
      <c r="F478" s="33"/>
      <c r="G478" s="35"/>
      <c r="H478" s="32"/>
      <c r="I478" s="35"/>
      <c r="J478" s="32"/>
    </row>
    <row r="479" customFormat="false" ht="15" hidden="false" customHeight="false" outlineLevel="0" collapsed="false">
      <c r="A479" s="32"/>
      <c r="B479" s="32"/>
      <c r="C479" s="32"/>
      <c r="D479" s="32"/>
      <c r="E479" s="33"/>
      <c r="F479" s="33"/>
      <c r="G479" s="35"/>
      <c r="H479" s="32"/>
      <c r="I479" s="35"/>
      <c r="J479" s="32"/>
    </row>
    <row r="480" customFormat="false" ht="15" hidden="false" customHeight="false" outlineLevel="0" collapsed="false">
      <c r="A480" s="32"/>
      <c r="B480" s="32"/>
      <c r="C480" s="32"/>
      <c r="D480" s="32"/>
      <c r="E480" s="33"/>
      <c r="F480" s="33"/>
      <c r="G480" s="35"/>
      <c r="H480" s="32"/>
      <c r="I480" s="35"/>
      <c r="J480" s="32"/>
    </row>
    <row r="481" customFormat="false" ht="15" hidden="false" customHeight="false" outlineLevel="0" collapsed="false">
      <c r="A481" s="32"/>
      <c r="B481" s="32"/>
      <c r="C481" s="32"/>
      <c r="D481" s="32"/>
      <c r="E481" s="33"/>
      <c r="F481" s="33"/>
      <c r="G481" s="35"/>
      <c r="H481" s="32"/>
      <c r="I481" s="35"/>
      <c r="J481" s="32"/>
    </row>
    <row r="482" customFormat="false" ht="15" hidden="false" customHeight="false" outlineLevel="0" collapsed="false">
      <c r="A482" s="32"/>
      <c r="B482" s="32"/>
      <c r="C482" s="32"/>
      <c r="D482" s="32"/>
      <c r="E482" s="33"/>
      <c r="F482" s="33"/>
      <c r="G482" s="35"/>
      <c r="H482" s="32"/>
      <c r="I482" s="35"/>
      <c r="J482" s="32"/>
    </row>
    <row r="483" customFormat="false" ht="15" hidden="false" customHeight="false" outlineLevel="0" collapsed="false">
      <c r="A483" s="32"/>
      <c r="B483" s="32"/>
      <c r="C483" s="32"/>
      <c r="D483" s="32"/>
      <c r="E483" s="33"/>
      <c r="F483" s="33"/>
      <c r="G483" s="35"/>
      <c r="H483" s="32"/>
      <c r="I483" s="35"/>
      <c r="J483" s="32"/>
    </row>
    <row r="484" customFormat="false" ht="15" hidden="false" customHeight="false" outlineLevel="0" collapsed="false">
      <c r="A484" s="32"/>
      <c r="B484" s="32"/>
      <c r="C484" s="32"/>
      <c r="D484" s="32"/>
      <c r="E484" s="33"/>
      <c r="F484" s="33"/>
      <c r="G484" s="35"/>
      <c r="H484" s="32"/>
      <c r="I484" s="35"/>
      <c r="J484" s="32"/>
    </row>
    <row r="485" customFormat="false" ht="15" hidden="false" customHeight="false" outlineLevel="0" collapsed="false">
      <c r="A485" s="32"/>
      <c r="B485" s="32"/>
      <c r="C485" s="32"/>
      <c r="D485" s="32"/>
      <c r="E485" s="33"/>
      <c r="F485" s="33"/>
      <c r="G485" s="35"/>
      <c r="H485" s="32"/>
      <c r="I485" s="35"/>
      <c r="J485" s="32"/>
    </row>
    <row r="486" customFormat="false" ht="15" hidden="false" customHeight="false" outlineLevel="0" collapsed="false">
      <c r="A486" s="32"/>
      <c r="B486" s="32"/>
      <c r="C486" s="32"/>
      <c r="D486" s="32"/>
      <c r="E486" s="33"/>
      <c r="F486" s="33"/>
      <c r="G486" s="35"/>
      <c r="H486" s="32"/>
      <c r="I486" s="35"/>
      <c r="J486" s="32"/>
    </row>
    <row r="487" customFormat="false" ht="15" hidden="false" customHeight="false" outlineLevel="0" collapsed="false">
      <c r="A487" s="32"/>
      <c r="B487" s="32"/>
      <c r="C487" s="32"/>
      <c r="D487" s="32"/>
      <c r="E487" s="33"/>
      <c r="F487" s="33"/>
      <c r="G487" s="35"/>
      <c r="H487" s="32"/>
      <c r="I487" s="35"/>
      <c r="J487" s="32"/>
    </row>
    <row r="488" customFormat="false" ht="15" hidden="false" customHeight="false" outlineLevel="0" collapsed="false">
      <c r="A488" s="32"/>
      <c r="B488" s="32"/>
      <c r="C488" s="32"/>
      <c r="D488" s="32"/>
      <c r="E488" s="33"/>
      <c r="F488" s="33"/>
      <c r="G488" s="35"/>
      <c r="H488" s="32"/>
      <c r="I488" s="35"/>
      <c r="J488" s="32"/>
    </row>
    <row r="489" customFormat="false" ht="15" hidden="false" customHeight="false" outlineLevel="0" collapsed="false">
      <c r="A489" s="32"/>
      <c r="B489" s="32"/>
      <c r="C489" s="32"/>
      <c r="D489" s="32"/>
      <c r="E489" s="33"/>
      <c r="F489" s="33"/>
      <c r="G489" s="35"/>
      <c r="H489" s="32"/>
      <c r="I489" s="35"/>
      <c r="J489" s="32"/>
    </row>
    <row r="490" customFormat="false" ht="15" hidden="false" customHeight="false" outlineLevel="0" collapsed="false">
      <c r="A490" s="32"/>
      <c r="B490" s="32"/>
      <c r="C490" s="32"/>
      <c r="D490" s="32"/>
      <c r="E490" s="33"/>
      <c r="F490" s="33"/>
      <c r="G490" s="35"/>
      <c r="H490" s="32"/>
      <c r="I490" s="35"/>
      <c r="J490" s="32"/>
    </row>
    <row r="491" customFormat="false" ht="15" hidden="false" customHeight="false" outlineLevel="0" collapsed="false">
      <c r="A491" s="32"/>
      <c r="B491" s="32"/>
      <c r="C491" s="32"/>
      <c r="D491" s="32"/>
      <c r="E491" s="33"/>
      <c r="F491" s="33"/>
      <c r="G491" s="35"/>
      <c r="H491" s="32"/>
      <c r="I491" s="35"/>
      <c r="J491" s="32"/>
    </row>
    <row r="492" customFormat="false" ht="15" hidden="false" customHeight="false" outlineLevel="0" collapsed="false">
      <c r="A492" s="32"/>
      <c r="B492" s="32"/>
      <c r="C492" s="32"/>
      <c r="D492" s="32"/>
      <c r="E492" s="33"/>
      <c r="F492" s="33"/>
      <c r="G492" s="35"/>
      <c r="H492" s="32"/>
      <c r="I492" s="35"/>
      <c r="J492" s="32"/>
    </row>
    <row r="493" customFormat="false" ht="15" hidden="false" customHeight="false" outlineLevel="0" collapsed="false">
      <c r="A493" s="32"/>
      <c r="B493" s="32"/>
      <c r="C493" s="32"/>
      <c r="D493" s="32"/>
      <c r="E493" s="33"/>
      <c r="F493" s="33"/>
      <c r="G493" s="35"/>
      <c r="H493" s="32"/>
      <c r="I493" s="35"/>
      <c r="J493" s="32"/>
    </row>
    <row r="494" customFormat="false" ht="15" hidden="false" customHeight="false" outlineLevel="0" collapsed="false">
      <c r="A494" s="32"/>
      <c r="B494" s="32"/>
      <c r="C494" s="32"/>
      <c r="D494" s="32"/>
      <c r="E494" s="33"/>
      <c r="F494" s="33"/>
      <c r="G494" s="35"/>
      <c r="H494" s="32"/>
      <c r="I494" s="35"/>
      <c r="J494" s="32"/>
    </row>
    <row r="495" customFormat="false" ht="15" hidden="false" customHeight="false" outlineLevel="0" collapsed="false">
      <c r="A495" s="32"/>
      <c r="B495" s="32"/>
      <c r="C495" s="32"/>
      <c r="D495" s="32"/>
      <c r="E495" s="33"/>
      <c r="F495" s="33"/>
      <c r="G495" s="35"/>
      <c r="H495" s="32"/>
      <c r="I495" s="35"/>
      <c r="J495" s="32"/>
    </row>
    <row r="496" customFormat="false" ht="15" hidden="false" customHeight="false" outlineLevel="0" collapsed="false">
      <c r="A496" s="32"/>
      <c r="B496" s="32"/>
      <c r="C496" s="32"/>
      <c r="D496" s="32"/>
      <c r="E496" s="33"/>
      <c r="F496" s="33"/>
      <c r="G496" s="35"/>
      <c r="H496" s="32"/>
      <c r="I496" s="35"/>
      <c r="J496" s="32"/>
    </row>
    <row r="497" customFormat="false" ht="15" hidden="false" customHeight="false" outlineLevel="0" collapsed="false">
      <c r="A497" s="32"/>
      <c r="B497" s="32"/>
      <c r="C497" s="32"/>
      <c r="D497" s="32"/>
      <c r="E497" s="33"/>
      <c r="F497" s="33"/>
      <c r="G497" s="35"/>
      <c r="H497" s="32"/>
      <c r="I497" s="35"/>
      <c r="J497" s="32"/>
    </row>
    <row r="498" customFormat="false" ht="15" hidden="false" customHeight="false" outlineLevel="0" collapsed="false">
      <c r="A498" s="32"/>
      <c r="B498" s="32"/>
      <c r="C498" s="32"/>
      <c r="D498" s="32"/>
      <c r="E498" s="33"/>
      <c r="F498" s="33"/>
      <c r="G498" s="35"/>
      <c r="H498" s="32"/>
      <c r="I498" s="35"/>
      <c r="J498" s="32"/>
    </row>
    <row r="499" customFormat="false" ht="15" hidden="false" customHeight="false" outlineLevel="0" collapsed="false">
      <c r="A499" s="32"/>
      <c r="B499" s="32"/>
      <c r="C499" s="32"/>
      <c r="D499" s="32"/>
      <c r="E499" s="33"/>
      <c r="F499" s="33"/>
      <c r="G499" s="35"/>
      <c r="H499" s="32"/>
      <c r="I499" s="35"/>
      <c r="J499" s="32"/>
    </row>
    <row r="500" customFormat="false" ht="15" hidden="false" customHeight="false" outlineLevel="0" collapsed="false">
      <c r="A500" s="32"/>
      <c r="B500" s="32"/>
      <c r="C500" s="32"/>
      <c r="D500" s="32"/>
      <c r="E500" s="33"/>
      <c r="F500" s="33"/>
      <c r="G500" s="35"/>
      <c r="H500" s="32"/>
      <c r="I500" s="35"/>
      <c r="J500" s="32"/>
    </row>
    <row r="501" customFormat="false" ht="15" hidden="false" customHeight="false" outlineLevel="0" collapsed="false">
      <c r="A501" s="32"/>
      <c r="B501" s="32"/>
      <c r="C501" s="32"/>
      <c r="D501" s="32"/>
      <c r="E501" s="33"/>
      <c r="F501" s="33"/>
      <c r="G501" s="35"/>
      <c r="H501" s="32"/>
      <c r="I501" s="35"/>
      <c r="J501" s="32"/>
    </row>
  </sheetData>
  <autoFilter ref="A1:J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G2:G501 I2:I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lst_SqeCategory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lst_SqeSeverity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lst_SqeStatus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4"/>
  </cols>
  <sheetData>
    <row r="1" customFormat="false" ht="33.75" hidden="false" customHeight="true" outlineLevel="0" collapsed="false">
      <c r="A1" s="17" t="s">
        <v>110</v>
      </c>
      <c r="B1" s="17" t="s">
        <v>331</v>
      </c>
      <c r="C1" s="17" t="s">
        <v>332</v>
      </c>
      <c r="D1" s="17" t="s">
        <v>168</v>
      </c>
      <c r="E1" s="17" t="s">
        <v>333</v>
      </c>
      <c r="F1" s="17" t="s">
        <v>160</v>
      </c>
      <c r="G1" s="17" t="s">
        <v>334</v>
      </c>
      <c r="H1" s="17" t="s">
        <v>328</v>
      </c>
      <c r="I1" s="17" t="s">
        <v>111</v>
      </c>
      <c r="J1" s="17" t="s">
        <v>233</v>
      </c>
      <c r="K1" s="17" t="s">
        <v>235</v>
      </c>
    </row>
    <row r="2" customFormat="false" ht="15" hidden="false" customHeight="false" outlineLevel="0" collapsed="false">
      <c r="A2" s="32"/>
      <c r="B2" s="35"/>
      <c r="C2" s="32"/>
      <c r="D2" s="32"/>
      <c r="E2" s="32"/>
      <c r="F2" s="41"/>
      <c r="G2" s="33"/>
      <c r="H2" s="33"/>
      <c r="I2" s="32"/>
      <c r="J2" s="35"/>
      <c r="K2" s="33"/>
    </row>
    <row r="3" customFormat="false" ht="15" hidden="false" customHeight="false" outlineLevel="0" collapsed="false">
      <c r="A3" s="32"/>
      <c r="B3" s="35"/>
      <c r="C3" s="32"/>
      <c r="D3" s="32"/>
      <c r="E3" s="32"/>
      <c r="F3" s="41"/>
      <c r="G3" s="33"/>
      <c r="H3" s="33"/>
      <c r="I3" s="32"/>
      <c r="J3" s="35"/>
      <c r="K3" s="33"/>
    </row>
    <row r="4" customFormat="false" ht="15" hidden="false" customHeight="false" outlineLevel="0" collapsed="false">
      <c r="A4" s="32"/>
      <c r="B4" s="35"/>
      <c r="C4" s="32"/>
      <c r="D4" s="32"/>
      <c r="E4" s="32"/>
      <c r="F4" s="41"/>
      <c r="G4" s="33"/>
      <c r="H4" s="33"/>
      <c r="I4" s="32"/>
      <c r="J4" s="35"/>
      <c r="K4" s="33"/>
    </row>
    <row r="5" customFormat="false" ht="15" hidden="false" customHeight="false" outlineLevel="0" collapsed="false">
      <c r="A5" s="32"/>
      <c r="B5" s="35"/>
      <c r="C5" s="32"/>
      <c r="D5" s="32"/>
      <c r="E5" s="32"/>
      <c r="F5" s="41"/>
      <c r="G5" s="33"/>
      <c r="H5" s="33"/>
      <c r="I5" s="32"/>
      <c r="J5" s="35"/>
      <c r="K5" s="33"/>
    </row>
    <row r="6" customFormat="false" ht="15" hidden="false" customHeight="false" outlineLevel="0" collapsed="false">
      <c r="A6" s="32"/>
      <c r="B6" s="35"/>
      <c r="C6" s="32"/>
      <c r="D6" s="32"/>
      <c r="E6" s="32"/>
      <c r="F6" s="41"/>
      <c r="G6" s="33"/>
      <c r="H6" s="33"/>
      <c r="I6" s="32"/>
      <c r="J6" s="35"/>
      <c r="K6" s="33"/>
    </row>
    <row r="7" customFormat="false" ht="15" hidden="false" customHeight="false" outlineLevel="0" collapsed="false">
      <c r="A7" s="32"/>
      <c r="B7" s="35"/>
      <c r="C7" s="32"/>
      <c r="D7" s="32"/>
      <c r="E7" s="32"/>
      <c r="F7" s="41"/>
      <c r="G7" s="33"/>
      <c r="H7" s="33"/>
      <c r="I7" s="32"/>
      <c r="J7" s="35"/>
      <c r="K7" s="33"/>
    </row>
    <row r="8" customFormat="false" ht="15" hidden="false" customHeight="false" outlineLevel="0" collapsed="false">
      <c r="A8" s="32"/>
      <c r="B8" s="35"/>
      <c r="C8" s="32"/>
      <c r="D8" s="32"/>
      <c r="E8" s="32"/>
      <c r="F8" s="41"/>
      <c r="G8" s="33"/>
      <c r="H8" s="33"/>
      <c r="I8" s="32"/>
      <c r="J8" s="35"/>
      <c r="K8" s="33"/>
    </row>
    <row r="9" customFormat="false" ht="15" hidden="false" customHeight="false" outlineLevel="0" collapsed="false">
      <c r="A9" s="32"/>
      <c r="B9" s="35"/>
      <c r="C9" s="32"/>
      <c r="D9" s="32"/>
      <c r="E9" s="32"/>
      <c r="F9" s="41"/>
      <c r="G9" s="33"/>
      <c r="H9" s="33"/>
      <c r="I9" s="32"/>
      <c r="J9" s="35"/>
      <c r="K9" s="33"/>
    </row>
    <row r="10" customFormat="false" ht="15" hidden="false" customHeight="false" outlineLevel="0" collapsed="false">
      <c r="A10" s="32"/>
      <c r="B10" s="35"/>
      <c r="C10" s="32"/>
      <c r="D10" s="32"/>
      <c r="E10" s="32"/>
      <c r="F10" s="41"/>
      <c r="G10" s="33"/>
      <c r="H10" s="33"/>
      <c r="I10" s="32"/>
      <c r="J10" s="35"/>
      <c r="K10" s="33"/>
    </row>
    <row r="11" customFormat="false" ht="15" hidden="false" customHeight="false" outlineLevel="0" collapsed="false">
      <c r="A11" s="32"/>
      <c r="B11" s="35"/>
      <c r="C11" s="32"/>
      <c r="D11" s="32"/>
      <c r="E11" s="32"/>
      <c r="F11" s="41"/>
      <c r="G11" s="33"/>
      <c r="H11" s="33"/>
      <c r="I11" s="32"/>
      <c r="J11" s="35"/>
      <c r="K11" s="33"/>
    </row>
    <row r="12" customFormat="false" ht="15" hidden="false" customHeight="false" outlineLevel="0" collapsed="false">
      <c r="A12" s="32"/>
      <c r="B12" s="35"/>
      <c r="C12" s="32"/>
      <c r="D12" s="32"/>
      <c r="E12" s="32"/>
      <c r="F12" s="41"/>
      <c r="G12" s="33"/>
      <c r="H12" s="33"/>
      <c r="I12" s="32"/>
      <c r="J12" s="35"/>
      <c r="K12" s="33"/>
    </row>
    <row r="13" customFormat="false" ht="15" hidden="false" customHeight="false" outlineLevel="0" collapsed="false">
      <c r="A13" s="32"/>
      <c r="B13" s="35"/>
      <c r="C13" s="32"/>
      <c r="D13" s="32"/>
      <c r="E13" s="32"/>
      <c r="F13" s="41"/>
      <c r="G13" s="33"/>
      <c r="H13" s="33"/>
      <c r="I13" s="32"/>
      <c r="J13" s="35"/>
      <c r="K13" s="33"/>
    </row>
    <row r="14" customFormat="false" ht="15" hidden="false" customHeight="false" outlineLevel="0" collapsed="false">
      <c r="A14" s="32"/>
      <c r="B14" s="35"/>
      <c r="C14" s="32"/>
      <c r="D14" s="32"/>
      <c r="E14" s="32"/>
      <c r="F14" s="41"/>
      <c r="G14" s="33"/>
      <c r="H14" s="33"/>
      <c r="I14" s="32"/>
      <c r="J14" s="35"/>
      <c r="K14" s="33"/>
    </row>
    <row r="15" customFormat="false" ht="15" hidden="false" customHeight="false" outlineLevel="0" collapsed="false">
      <c r="A15" s="32"/>
      <c r="B15" s="35"/>
      <c r="C15" s="32"/>
      <c r="D15" s="32"/>
      <c r="E15" s="32"/>
      <c r="F15" s="41"/>
      <c r="G15" s="33"/>
      <c r="H15" s="33"/>
      <c r="I15" s="32"/>
      <c r="J15" s="35"/>
      <c r="K15" s="33"/>
    </row>
    <row r="16" customFormat="false" ht="15" hidden="false" customHeight="false" outlineLevel="0" collapsed="false">
      <c r="A16" s="32"/>
      <c r="B16" s="35"/>
      <c r="C16" s="32"/>
      <c r="D16" s="32"/>
      <c r="E16" s="32"/>
      <c r="F16" s="41"/>
      <c r="G16" s="33"/>
      <c r="H16" s="33"/>
      <c r="I16" s="32"/>
      <c r="J16" s="35"/>
      <c r="K16" s="33"/>
    </row>
    <row r="17" customFormat="false" ht="15" hidden="false" customHeight="false" outlineLevel="0" collapsed="false">
      <c r="A17" s="32"/>
      <c r="B17" s="35"/>
      <c r="C17" s="32"/>
      <c r="D17" s="32"/>
      <c r="E17" s="32"/>
      <c r="F17" s="41"/>
      <c r="G17" s="33"/>
      <c r="H17" s="33"/>
      <c r="I17" s="32"/>
      <c r="J17" s="35"/>
      <c r="K17" s="33"/>
    </row>
    <row r="18" customFormat="false" ht="15" hidden="false" customHeight="false" outlineLevel="0" collapsed="false">
      <c r="A18" s="32"/>
      <c r="B18" s="35"/>
      <c r="C18" s="32"/>
      <c r="D18" s="32"/>
      <c r="E18" s="32"/>
      <c r="F18" s="41"/>
      <c r="G18" s="33"/>
      <c r="H18" s="33"/>
      <c r="I18" s="32"/>
      <c r="J18" s="35"/>
      <c r="K18" s="33"/>
    </row>
    <row r="19" customFormat="false" ht="15" hidden="false" customHeight="false" outlineLevel="0" collapsed="false">
      <c r="A19" s="32"/>
      <c r="B19" s="35"/>
      <c r="C19" s="32"/>
      <c r="D19" s="32"/>
      <c r="E19" s="32"/>
      <c r="F19" s="41"/>
      <c r="G19" s="33"/>
      <c r="H19" s="33"/>
      <c r="I19" s="32"/>
      <c r="J19" s="35"/>
      <c r="K19" s="33"/>
    </row>
    <row r="20" customFormat="false" ht="15" hidden="false" customHeight="false" outlineLevel="0" collapsed="false">
      <c r="A20" s="32"/>
      <c r="B20" s="35"/>
      <c r="C20" s="32"/>
      <c r="D20" s="32"/>
      <c r="E20" s="32"/>
      <c r="F20" s="41"/>
      <c r="G20" s="33"/>
      <c r="H20" s="33"/>
      <c r="I20" s="32"/>
      <c r="J20" s="35"/>
      <c r="K20" s="33"/>
    </row>
    <row r="21" customFormat="false" ht="15" hidden="false" customHeight="false" outlineLevel="0" collapsed="false">
      <c r="A21" s="32"/>
      <c r="B21" s="35"/>
      <c r="C21" s="32"/>
      <c r="D21" s="32"/>
      <c r="E21" s="32"/>
      <c r="F21" s="41"/>
      <c r="G21" s="33"/>
      <c r="H21" s="33"/>
      <c r="I21" s="32"/>
      <c r="J21" s="35"/>
      <c r="K21" s="33"/>
    </row>
    <row r="22" customFormat="false" ht="15" hidden="false" customHeight="false" outlineLevel="0" collapsed="false">
      <c r="A22" s="32"/>
      <c r="B22" s="35"/>
      <c r="C22" s="32"/>
      <c r="D22" s="32"/>
      <c r="E22" s="32"/>
      <c r="F22" s="41"/>
      <c r="G22" s="33"/>
      <c r="H22" s="33"/>
      <c r="I22" s="32"/>
      <c r="J22" s="35"/>
      <c r="K22" s="33"/>
    </row>
    <row r="23" customFormat="false" ht="15" hidden="false" customHeight="false" outlineLevel="0" collapsed="false">
      <c r="A23" s="32"/>
      <c r="B23" s="35"/>
      <c r="C23" s="32"/>
      <c r="D23" s="32"/>
      <c r="E23" s="32"/>
      <c r="F23" s="41"/>
      <c r="G23" s="33"/>
      <c r="H23" s="33"/>
      <c r="I23" s="32"/>
      <c r="J23" s="35"/>
      <c r="K23" s="33"/>
    </row>
    <row r="24" customFormat="false" ht="15" hidden="false" customHeight="false" outlineLevel="0" collapsed="false">
      <c r="A24" s="32"/>
      <c r="B24" s="35"/>
      <c r="C24" s="32"/>
      <c r="D24" s="32"/>
      <c r="E24" s="32"/>
      <c r="F24" s="41"/>
      <c r="G24" s="33"/>
      <c r="H24" s="33"/>
      <c r="I24" s="32"/>
      <c r="J24" s="35"/>
      <c r="K24" s="33"/>
    </row>
    <row r="25" customFormat="false" ht="15" hidden="false" customHeight="false" outlineLevel="0" collapsed="false">
      <c r="A25" s="32"/>
      <c r="B25" s="35"/>
      <c r="C25" s="32"/>
      <c r="D25" s="32"/>
      <c r="E25" s="32"/>
      <c r="F25" s="41"/>
      <c r="G25" s="33"/>
      <c r="H25" s="33"/>
      <c r="I25" s="32"/>
      <c r="J25" s="35"/>
      <c r="K25" s="33"/>
    </row>
    <row r="26" customFormat="false" ht="15" hidden="false" customHeight="false" outlineLevel="0" collapsed="false">
      <c r="A26" s="32"/>
      <c r="B26" s="35"/>
      <c r="C26" s="32"/>
      <c r="D26" s="32"/>
      <c r="E26" s="32"/>
      <c r="F26" s="41"/>
      <c r="G26" s="33"/>
      <c r="H26" s="33"/>
      <c r="I26" s="32"/>
      <c r="J26" s="35"/>
      <c r="K26" s="33"/>
    </row>
    <row r="27" customFormat="false" ht="15" hidden="false" customHeight="false" outlineLevel="0" collapsed="false">
      <c r="A27" s="32"/>
      <c r="B27" s="35"/>
      <c r="C27" s="32"/>
      <c r="D27" s="32"/>
      <c r="E27" s="32"/>
      <c r="F27" s="41"/>
      <c r="G27" s="33"/>
      <c r="H27" s="33"/>
      <c r="I27" s="32"/>
      <c r="J27" s="35"/>
      <c r="K27" s="33"/>
    </row>
    <row r="28" customFormat="false" ht="15" hidden="false" customHeight="false" outlineLevel="0" collapsed="false">
      <c r="A28" s="32"/>
      <c r="B28" s="35"/>
      <c r="C28" s="32"/>
      <c r="D28" s="32"/>
      <c r="E28" s="32"/>
      <c r="F28" s="41"/>
      <c r="G28" s="33"/>
      <c r="H28" s="33"/>
      <c r="I28" s="32"/>
      <c r="J28" s="35"/>
      <c r="K28" s="33"/>
    </row>
    <row r="29" customFormat="false" ht="15" hidden="false" customHeight="false" outlineLevel="0" collapsed="false">
      <c r="A29" s="32"/>
      <c r="B29" s="35"/>
      <c r="C29" s="32"/>
      <c r="D29" s="32"/>
      <c r="E29" s="32"/>
      <c r="F29" s="41"/>
      <c r="G29" s="33"/>
      <c r="H29" s="33"/>
      <c r="I29" s="32"/>
      <c r="J29" s="35"/>
      <c r="K29" s="33"/>
    </row>
    <row r="30" customFormat="false" ht="15" hidden="false" customHeight="false" outlineLevel="0" collapsed="false">
      <c r="A30" s="32"/>
      <c r="B30" s="35"/>
      <c r="C30" s="32"/>
      <c r="D30" s="32"/>
      <c r="E30" s="32"/>
      <c r="F30" s="41"/>
      <c r="G30" s="33"/>
      <c r="H30" s="33"/>
      <c r="I30" s="32"/>
      <c r="J30" s="35"/>
      <c r="K30" s="33"/>
    </row>
    <row r="31" customFormat="false" ht="15" hidden="false" customHeight="false" outlineLevel="0" collapsed="false">
      <c r="A31" s="32"/>
      <c r="B31" s="35"/>
      <c r="C31" s="32"/>
      <c r="D31" s="32"/>
      <c r="E31" s="32"/>
      <c r="F31" s="41"/>
      <c r="G31" s="33"/>
      <c r="H31" s="33"/>
      <c r="I31" s="32"/>
      <c r="J31" s="35"/>
      <c r="K31" s="33"/>
    </row>
    <row r="32" customFormat="false" ht="15" hidden="false" customHeight="false" outlineLevel="0" collapsed="false">
      <c r="A32" s="32"/>
      <c r="B32" s="35"/>
      <c r="C32" s="32"/>
      <c r="D32" s="32"/>
      <c r="E32" s="32"/>
      <c r="F32" s="41"/>
      <c r="G32" s="33"/>
      <c r="H32" s="33"/>
      <c r="I32" s="32"/>
      <c r="J32" s="35"/>
      <c r="K32" s="33"/>
    </row>
    <row r="33" customFormat="false" ht="15" hidden="false" customHeight="false" outlineLevel="0" collapsed="false">
      <c r="A33" s="32"/>
      <c r="B33" s="35"/>
      <c r="C33" s="32"/>
      <c r="D33" s="32"/>
      <c r="E33" s="32"/>
      <c r="F33" s="41"/>
      <c r="G33" s="33"/>
      <c r="H33" s="33"/>
      <c r="I33" s="32"/>
      <c r="J33" s="35"/>
      <c r="K33" s="33"/>
    </row>
    <row r="34" customFormat="false" ht="15" hidden="false" customHeight="false" outlineLevel="0" collapsed="false">
      <c r="A34" s="32"/>
      <c r="B34" s="35"/>
      <c r="C34" s="32"/>
      <c r="D34" s="32"/>
      <c r="E34" s="32"/>
      <c r="F34" s="41"/>
      <c r="G34" s="33"/>
      <c r="H34" s="33"/>
      <c r="I34" s="32"/>
      <c r="J34" s="35"/>
      <c r="K34" s="33"/>
    </row>
    <row r="35" customFormat="false" ht="15" hidden="false" customHeight="false" outlineLevel="0" collapsed="false">
      <c r="A35" s="32"/>
      <c r="B35" s="35"/>
      <c r="C35" s="32"/>
      <c r="D35" s="32"/>
      <c r="E35" s="32"/>
      <c r="F35" s="41"/>
      <c r="G35" s="33"/>
      <c r="H35" s="33"/>
      <c r="I35" s="32"/>
      <c r="J35" s="35"/>
      <c r="K35" s="33"/>
    </row>
    <row r="36" customFormat="false" ht="15" hidden="false" customHeight="false" outlineLevel="0" collapsed="false">
      <c r="A36" s="32"/>
      <c r="B36" s="35"/>
      <c r="C36" s="32"/>
      <c r="D36" s="32"/>
      <c r="E36" s="32"/>
      <c r="F36" s="41"/>
      <c r="G36" s="33"/>
      <c r="H36" s="33"/>
      <c r="I36" s="32"/>
      <c r="J36" s="35"/>
      <c r="K36" s="33"/>
    </row>
    <row r="37" customFormat="false" ht="15" hidden="false" customHeight="false" outlineLevel="0" collapsed="false">
      <c r="A37" s="32"/>
      <c r="B37" s="35"/>
      <c r="C37" s="32"/>
      <c r="D37" s="32"/>
      <c r="E37" s="32"/>
      <c r="F37" s="41"/>
      <c r="G37" s="33"/>
      <c r="H37" s="33"/>
      <c r="I37" s="32"/>
      <c r="J37" s="35"/>
      <c r="K37" s="33"/>
    </row>
    <row r="38" customFormat="false" ht="15" hidden="false" customHeight="false" outlineLevel="0" collapsed="false">
      <c r="A38" s="32"/>
      <c r="B38" s="35"/>
      <c r="C38" s="32"/>
      <c r="D38" s="32"/>
      <c r="E38" s="32"/>
      <c r="F38" s="41"/>
      <c r="G38" s="33"/>
      <c r="H38" s="33"/>
      <c r="I38" s="32"/>
      <c r="J38" s="35"/>
      <c r="K38" s="33"/>
    </row>
    <row r="39" customFormat="false" ht="15" hidden="false" customHeight="false" outlineLevel="0" collapsed="false">
      <c r="A39" s="32"/>
      <c r="B39" s="35"/>
      <c r="C39" s="32"/>
      <c r="D39" s="32"/>
      <c r="E39" s="32"/>
      <c r="F39" s="41"/>
      <c r="G39" s="33"/>
      <c r="H39" s="33"/>
      <c r="I39" s="32"/>
      <c r="J39" s="35"/>
      <c r="K39" s="33"/>
    </row>
    <row r="40" customFormat="false" ht="15" hidden="false" customHeight="false" outlineLevel="0" collapsed="false">
      <c r="A40" s="32"/>
      <c r="B40" s="35"/>
      <c r="C40" s="32"/>
      <c r="D40" s="32"/>
      <c r="E40" s="32"/>
      <c r="F40" s="41"/>
      <c r="G40" s="33"/>
      <c r="H40" s="33"/>
      <c r="I40" s="32"/>
      <c r="J40" s="35"/>
      <c r="K40" s="33"/>
    </row>
    <row r="41" customFormat="false" ht="15" hidden="false" customHeight="false" outlineLevel="0" collapsed="false">
      <c r="A41" s="32"/>
      <c r="B41" s="35"/>
      <c r="C41" s="32"/>
      <c r="D41" s="32"/>
      <c r="E41" s="32"/>
      <c r="F41" s="41"/>
      <c r="G41" s="33"/>
      <c r="H41" s="33"/>
      <c r="I41" s="32"/>
      <c r="J41" s="35"/>
      <c r="K41" s="33"/>
    </row>
    <row r="42" customFormat="false" ht="15" hidden="false" customHeight="false" outlineLevel="0" collapsed="false">
      <c r="A42" s="32"/>
      <c r="B42" s="35"/>
      <c r="C42" s="32"/>
      <c r="D42" s="32"/>
      <c r="E42" s="32"/>
      <c r="F42" s="41"/>
      <c r="G42" s="33"/>
      <c r="H42" s="33"/>
      <c r="I42" s="32"/>
      <c r="J42" s="35"/>
      <c r="K42" s="33"/>
    </row>
    <row r="43" customFormat="false" ht="15" hidden="false" customHeight="false" outlineLevel="0" collapsed="false">
      <c r="A43" s="32"/>
      <c r="B43" s="35"/>
      <c r="C43" s="32"/>
      <c r="D43" s="32"/>
      <c r="E43" s="32"/>
      <c r="F43" s="41"/>
      <c r="G43" s="33"/>
      <c r="H43" s="33"/>
      <c r="I43" s="32"/>
      <c r="J43" s="35"/>
      <c r="K43" s="33"/>
    </row>
    <row r="44" customFormat="false" ht="15" hidden="false" customHeight="false" outlineLevel="0" collapsed="false">
      <c r="A44" s="32"/>
      <c r="B44" s="35"/>
      <c r="C44" s="32"/>
      <c r="D44" s="32"/>
      <c r="E44" s="32"/>
      <c r="F44" s="41"/>
      <c r="G44" s="33"/>
      <c r="H44" s="33"/>
      <c r="I44" s="32"/>
      <c r="J44" s="35"/>
      <c r="K44" s="33"/>
    </row>
    <row r="45" customFormat="false" ht="15" hidden="false" customHeight="false" outlineLevel="0" collapsed="false">
      <c r="A45" s="32"/>
      <c r="B45" s="35"/>
      <c r="C45" s="32"/>
      <c r="D45" s="32"/>
      <c r="E45" s="32"/>
      <c r="F45" s="41"/>
      <c r="G45" s="33"/>
      <c r="H45" s="33"/>
      <c r="I45" s="32"/>
      <c r="J45" s="35"/>
      <c r="K45" s="33"/>
    </row>
    <row r="46" customFormat="false" ht="15" hidden="false" customHeight="false" outlineLevel="0" collapsed="false">
      <c r="A46" s="32"/>
      <c r="B46" s="35"/>
      <c r="C46" s="32"/>
      <c r="D46" s="32"/>
      <c r="E46" s="32"/>
      <c r="F46" s="41"/>
      <c r="G46" s="33"/>
      <c r="H46" s="33"/>
      <c r="I46" s="32"/>
      <c r="J46" s="35"/>
      <c r="K46" s="33"/>
    </row>
    <row r="47" customFormat="false" ht="15" hidden="false" customHeight="false" outlineLevel="0" collapsed="false">
      <c r="A47" s="32"/>
      <c r="B47" s="35"/>
      <c r="C47" s="32"/>
      <c r="D47" s="32"/>
      <c r="E47" s="32"/>
      <c r="F47" s="41"/>
      <c r="G47" s="33"/>
      <c r="H47" s="33"/>
      <c r="I47" s="32"/>
      <c r="J47" s="35"/>
      <c r="K47" s="33"/>
    </row>
    <row r="48" customFormat="false" ht="15" hidden="false" customHeight="false" outlineLevel="0" collapsed="false">
      <c r="A48" s="32"/>
      <c r="B48" s="35"/>
      <c r="C48" s="32"/>
      <c r="D48" s="32"/>
      <c r="E48" s="32"/>
      <c r="F48" s="41"/>
      <c r="G48" s="33"/>
      <c r="H48" s="33"/>
      <c r="I48" s="32"/>
      <c r="J48" s="35"/>
      <c r="K48" s="33"/>
    </row>
    <row r="49" customFormat="false" ht="15" hidden="false" customHeight="false" outlineLevel="0" collapsed="false">
      <c r="A49" s="32"/>
      <c r="B49" s="35"/>
      <c r="C49" s="32"/>
      <c r="D49" s="32"/>
      <c r="E49" s="32"/>
      <c r="F49" s="41"/>
      <c r="G49" s="33"/>
      <c r="H49" s="33"/>
      <c r="I49" s="32"/>
      <c r="J49" s="35"/>
      <c r="K49" s="33"/>
    </row>
    <row r="50" customFormat="false" ht="15" hidden="false" customHeight="false" outlineLevel="0" collapsed="false">
      <c r="A50" s="32"/>
      <c r="B50" s="35"/>
      <c r="C50" s="32"/>
      <c r="D50" s="32"/>
      <c r="E50" s="32"/>
      <c r="F50" s="41"/>
      <c r="G50" s="33"/>
      <c r="H50" s="33"/>
      <c r="I50" s="32"/>
      <c r="J50" s="35"/>
      <c r="K50" s="33"/>
    </row>
    <row r="51" customFormat="false" ht="15" hidden="false" customHeight="false" outlineLevel="0" collapsed="false">
      <c r="A51" s="32"/>
      <c r="B51" s="35"/>
      <c r="C51" s="32"/>
      <c r="D51" s="32"/>
      <c r="E51" s="32"/>
      <c r="F51" s="41"/>
      <c r="G51" s="33"/>
      <c r="H51" s="33"/>
      <c r="I51" s="32"/>
      <c r="J51" s="35"/>
      <c r="K51" s="33"/>
    </row>
    <row r="52" customFormat="false" ht="15" hidden="false" customHeight="false" outlineLevel="0" collapsed="false">
      <c r="A52" s="32"/>
      <c r="B52" s="35"/>
      <c r="C52" s="32"/>
      <c r="D52" s="32"/>
      <c r="E52" s="32"/>
      <c r="F52" s="41"/>
      <c r="G52" s="33"/>
      <c r="H52" s="33"/>
      <c r="I52" s="32"/>
      <c r="J52" s="35"/>
      <c r="K52" s="33"/>
    </row>
    <row r="53" customFormat="false" ht="15" hidden="false" customHeight="false" outlineLevel="0" collapsed="false">
      <c r="A53" s="32"/>
      <c r="B53" s="35"/>
      <c r="C53" s="32"/>
      <c r="D53" s="32"/>
      <c r="E53" s="32"/>
      <c r="F53" s="41"/>
      <c r="G53" s="33"/>
      <c r="H53" s="33"/>
      <c r="I53" s="32"/>
      <c r="J53" s="35"/>
      <c r="K53" s="33"/>
    </row>
    <row r="54" customFormat="false" ht="15" hidden="false" customHeight="false" outlineLevel="0" collapsed="false">
      <c r="A54" s="32"/>
      <c r="B54" s="35"/>
      <c r="C54" s="32"/>
      <c r="D54" s="32"/>
      <c r="E54" s="32"/>
      <c r="F54" s="41"/>
      <c r="G54" s="33"/>
      <c r="H54" s="33"/>
      <c r="I54" s="32"/>
      <c r="J54" s="35"/>
      <c r="K54" s="33"/>
    </row>
    <row r="55" customFormat="false" ht="15" hidden="false" customHeight="false" outlineLevel="0" collapsed="false">
      <c r="A55" s="32"/>
      <c r="B55" s="35"/>
      <c r="C55" s="32"/>
      <c r="D55" s="32"/>
      <c r="E55" s="32"/>
      <c r="F55" s="41"/>
      <c r="G55" s="33"/>
      <c r="H55" s="33"/>
      <c r="I55" s="32"/>
      <c r="J55" s="35"/>
      <c r="K55" s="33"/>
    </row>
    <row r="56" customFormat="false" ht="15" hidden="false" customHeight="false" outlineLevel="0" collapsed="false">
      <c r="A56" s="32"/>
      <c r="B56" s="35"/>
      <c r="C56" s="32"/>
      <c r="D56" s="32"/>
      <c r="E56" s="32"/>
      <c r="F56" s="41"/>
      <c r="G56" s="33"/>
      <c r="H56" s="33"/>
      <c r="I56" s="32"/>
      <c r="J56" s="35"/>
      <c r="K56" s="33"/>
    </row>
    <row r="57" customFormat="false" ht="15" hidden="false" customHeight="false" outlineLevel="0" collapsed="false">
      <c r="A57" s="32"/>
      <c r="B57" s="35"/>
      <c r="C57" s="32"/>
      <c r="D57" s="32"/>
      <c r="E57" s="32"/>
      <c r="F57" s="41"/>
      <c r="G57" s="33"/>
      <c r="H57" s="33"/>
      <c r="I57" s="32"/>
      <c r="J57" s="35"/>
      <c r="K57" s="33"/>
    </row>
    <row r="58" customFormat="false" ht="15" hidden="false" customHeight="false" outlineLevel="0" collapsed="false">
      <c r="A58" s="32"/>
      <c r="B58" s="35"/>
      <c r="C58" s="32"/>
      <c r="D58" s="32"/>
      <c r="E58" s="32"/>
      <c r="F58" s="41"/>
      <c r="G58" s="33"/>
      <c r="H58" s="33"/>
      <c r="I58" s="32"/>
      <c r="J58" s="35"/>
      <c r="K58" s="33"/>
    </row>
    <row r="59" customFormat="false" ht="15" hidden="false" customHeight="false" outlineLevel="0" collapsed="false">
      <c r="A59" s="32"/>
      <c r="B59" s="35"/>
      <c r="C59" s="32"/>
      <c r="D59" s="32"/>
      <c r="E59" s="32"/>
      <c r="F59" s="41"/>
      <c r="G59" s="33"/>
      <c r="H59" s="33"/>
      <c r="I59" s="32"/>
      <c r="J59" s="35"/>
      <c r="K59" s="33"/>
    </row>
    <row r="60" customFormat="false" ht="15" hidden="false" customHeight="false" outlineLevel="0" collapsed="false">
      <c r="A60" s="32"/>
      <c r="B60" s="35"/>
      <c r="C60" s="32"/>
      <c r="D60" s="32"/>
      <c r="E60" s="32"/>
      <c r="F60" s="41"/>
      <c r="G60" s="33"/>
      <c r="H60" s="33"/>
      <c r="I60" s="32"/>
      <c r="J60" s="35"/>
      <c r="K60" s="33"/>
    </row>
    <row r="61" customFormat="false" ht="15" hidden="false" customHeight="false" outlineLevel="0" collapsed="false">
      <c r="A61" s="32"/>
      <c r="B61" s="35"/>
      <c r="C61" s="32"/>
      <c r="D61" s="32"/>
      <c r="E61" s="32"/>
      <c r="F61" s="41"/>
      <c r="G61" s="33"/>
      <c r="H61" s="33"/>
      <c r="I61" s="32"/>
      <c r="J61" s="35"/>
      <c r="K61" s="33"/>
    </row>
    <row r="62" customFormat="false" ht="15" hidden="false" customHeight="false" outlineLevel="0" collapsed="false">
      <c r="A62" s="32"/>
      <c r="B62" s="35"/>
      <c r="C62" s="32"/>
      <c r="D62" s="32"/>
      <c r="E62" s="32"/>
      <c r="F62" s="41"/>
      <c r="G62" s="33"/>
      <c r="H62" s="33"/>
      <c r="I62" s="32"/>
      <c r="J62" s="35"/>
      <c r="K62" s="33"/>
    </row>
    <row r="63" customFormat="false" ht="15" hidden="false" customHeight="false" outlineLevel="0" collapsed="false">
      <c r="A63" s="32"/>
      <c r="B63" s="35"/>
      <c r="C63" s="32"/>
      <c r="D63" s="32"/>
      <c r="E63" s="32"/>
      <c r="F63" s="41"/>
      <c r="G63" s="33"/>
      <c r="H63" s="33"/>
      <c r="I63" s="32"/>
      <c r="J63" s="35"/>
      <c r="K63" s="33"/>
    </row>
    <row r="64" customFormat="false" ht="15" hidden="false" customHeight="false" outlineLevel="0" collapsed="false">
      <c r="A64" s="32"/>
      <c r="B64" s="35"/>
      <c r="C64" s="32"/>
      <c r="D64" s="32"/>
      <c r="E64" s="32"/>
      <c r="F64" s="41"/>
      <c r="G64" s="33"/>
      <c r="H64" s="33"/>
      <c r="I64" s="32"/>
      <c r="J64" s="35"/>
      <c r="K64" s="33"/>
    </row>
    <row r="65" customFormat="false" ht="15" hidden="false" customHeight="false" outlineLevel="0" collapsed="false">
      <c r="A65" s="32"/>
      <c r="B65" s="35"/>
      <c r="C65" s="32"/>
      <c r="D65" s="32"/>
      <c r="E65" s="32"/>
      <c r="F65" s="41"/>
      <c r="G65" s="33"/>
      <c r="H65" s="33"/>
      <c r="I65" s="32"/>
      <c r="J65" s="35"/>
      <c r="K65" s="33"/>
    </row>
    <row r="66" customFormat="false" ht="15" hidden="false" customHeight="false" outlineLevel="0" collapsed="false">
      <c r="A66" s="32"/>
      <c r="B66" s="35"/>
      <c r="C66" s="32"/>
      <c r="D66" s="32"/>
      <c r="E66" s="32"/>
      <c r="F66" s="41"/>
      <c r="G66" s="33"/>
      <c r="H66" s="33"/>
      <c r="I66" s="32"/>
      <c r="J66" s="35"/>
      <c r="K66" s="33"/>
    </row>
    <row r="67" customFormat="false" ht="15" hidden="false" customHeight="false" outlineLevel="0" collapsed="false">
      <c r="A67" s="32"/>
      <c r="B67" s="35"/>
      <c r="C67" s="32"/>
      <c r="D67" s="32"/>
      <c r="E67" s="32"/>
      <c r="F67" s="41"/>
      <c r="G67" s="33"/>
      <c r="H67" s="33"/>
      <c r="I67" s="32"/>
      <c r="J67" s="35"/>
      <c r="K67" s="33"/>
    </row>
    <row r="68" customFormat="false" ht="15" hidden="false" customHeight="false" outlineLevel="0" collapsed="false">
      <c r="A68" s="32"/>
      <c r="B68" s="35"/>
      <c r="C68" s="32"/>
      <c r="D68" s="32"/>
      <c r="E68" s="32"/>
      <c r="F68" s="41"/>
      <c r="G68" s="33"/>
      <c r="H68" s="33"/>
      <c r="I68" s="32"/>
      <c r="J68" s="35"/>
      <c r="K68" s="33"/>
    </row>
    <row r="69" customFormat="false" ht="15" hidden="false" customHeight="false" outlineLevel="0" collapsed="false">
      <c r="A69" s="32"/>
      <c r="B69" s="35"/>
      <c r="C69" s="32"/>
      <c r="D69" s="32"/>
      <c r="E69" s="32"/>
      <c r="F69" s="41"/>
      <c r="G69" s="33"/>
      <c r="H69" s="33"/>
      <c r="I69" s="32"/>
      <c r="J69" s="35"/>
      <c r="K69" s="33"/>
    </row>
    <row r="70" customFormat="false" ht="15" hidden="false" customHeight="false" outlineLevel="0" collapsed="false">
      <c r="A70" s="32"/>
      <c r="B70" s="35"/>
      <c r="C70" s="32"/>
      <c r="D70" s="32"/>
      <c r="E70" s="32"/>
      <c r="F70" s="41"/>
      <c r="G70" s="33"/>
      <c r="H70" s="33"/>
      <c r="I70" s="32"/>
      <c r="J70" s="35"/>
      <c r="K70" s="33"/>
    </row>
    <row r="71" customFormat="false" ht="15" hidden="false" customHeight="false" outlineLevel="0" collapsed="false">
      <c r="A71" s="32"/>
      <c r="B71" s="35"/>
      <c r="C71" s="32"/>
      <c r="D71" s="32"/>
      <c r="E71" s="32"/>
      <c r="F71" s="41"/>
      <c r="G71" s="33"/>
      <c r="H71" s="33"/>
      <c r="I71" s="32"/>
      <c r="J71" s="35"/>
      <c r="K71" s="33"/>
    </row>
    <row r="72" customFormat="false" ht="15" hidden="false" customHeight="false" outlineLevel="0" collapsed="false">
      <c r="A72" s="32"/>
      <c r="B72" s="35"/>
      <c r="C72" s="32"/>
      <c r="D72" s="32"/>
      <c r="E72" s="32"/>
      <c r="F72" s="41"/>
      <c r="G72" s="33"/>
      <c r="H72" s="33"/>
      <c r="I72" s="32"/>
      <c r="J72" s="35"/>
      <c r="K72" s="33"/>
    </row>
    <row r="73" customFormat="false" ht="15" hidden="false" customHeight="false" outlineLevel="0" collapsed="false">
      <c r="A73" s="32"/>
      <c r="B73" s="35"/>
      <c r="C73" s="32"/>
      <c r="D73" s="32"/>
      <c r="E73" s="32"/>
      <c r="F73" s="41"/>
      <c r="G73" s="33"/>
      <c r="H73" s="33"/>
      <c r="I73" s="32"/>
      <c r="J73" s="35"/>
      <c r="K73" s="33"/>
    </row>
    <row r="74" customFormat="false" ht="15" hidden="false" customHeight="false" outlineLevel="0" collapsed="false">
      <c r="A74" s="32"/>
      <c r="B74" s="35"/>
      <c r="C74" s="32"/>
      <c r="D74" s="32"/>
      <c r="E74" s="32"/>
      <c r="F74" s="41"/>
      <c r="G74" s="33"/>
      <c r="H74" s="33"/>
      <c r="I74" s="32"/>
      <c r="J74" s="35"/>
      <c r="K74" s="33"/>
    </row>
    <row r="75" customFormat="false" ht="15" hidden="false" customHeight="false" outlineLevel="0" collapsed="false">
      <c r="A75" s="32"/>
      <c r="B75" s="35"/>
      <c r="C75" s="32"/>
      <c r="D75" s="32"/>
      <c r="E75" s="32"/>
      <c r="F75" s="41"/>
      <c r="G75" s="33"/>
      <c r="H75" s="33"/>
      <c r="I75" s="32"/>
      <c r="J75" s="35"/>
      <c r="K75" s="33"/>
    </row>
    <row r="76" customFormat="false" ht="15" hidden="false" customHeight="false" outlineLevel="0" collapsed="false">
      <c r="A76" s="32"/>
      <c r="B76" s="35"/>
      <c r="C76" s="32"/>
      <c r="D76" s="32"/>
      <c r="E76" s="32"/>
      <c r="F76" s="41"/>
      <c r="G76" s="33"/>
      <c r="H76" s="33"/>
      <c r="I76" s="32"/>
      <c r="J76" s="35"/>
      <c r="K76" s="33"/>
    </row>
    <row r="77" customFormat="false" ht="15" hidden="false" customHeight="false" outlineLevel="0" collapsed="false">
      <c r="A77" s="32"/>
      <c r="B77" s="35"/>
      <c r="C77" s="32"/>
      <c r="D77" s="32"/>
      <c r="E77" s="32"/>
      <c r="F77" s="41"/>
      <c r="G77" s="33"/>
      <c r="H77" s="33"/>
      <c r="I77" s="32"/>
      <c r="J77" s="35"/>
      <c r="K77" s="33"/>
    </row>
    <row r="78" customFormat="false" ht="15" hidden="false" customHeight="false" outlineLevel="0" collapsed="false">
      <c r="A78" s="32"/>
      <c r="B78" s="35"/>
      <c r="C78" s="32"/>
      <c r="D78" s="32"/>
      <c r="E78" s="32"/>
      <c r="F78" s="41"/>
      <c r="G78" s="33"/>
      <c r="H78" s="33"/>
      <c r="I78" s="32"/>
      <c r="J78" s="35"/>
      <c r="K78" s="33"/>
    </row>
    <row r="79" customFormat="false" ht="15" hidden="false" customHeight="false" outlineLevel="0" collapsed="false">
      <c r="A79" s="32"/>
      <c r="B79" s="35"/>
      <c r="C79" s="32"/>
      <c r="D79" s="32"/>
      <c r="E79" s="32"/>
      <c r="F79" s="41"/>
      <c r="G79" s="33"/>
      <c r="H79" s="33"/>
      <c r="I79" s="32"/>
      <c r="J79" s="35"/>
      <c r="K79" s="33"/>
    </row>
    <row r="80" customFormat="false" ht="15" hidden="false" customHeight="false" outlineLevel="0" collapsed="false">
      <c r="A80" s="32"/>
      <c r="B80" s="35"/>
      <c r="C80" s="32"/>
      <c r="D80" s="32"/>
      <c r="E80" s="32"/>
      <c r="F80" s="41"/>
      <c r="G80" s="33"/>
      <c r="H80" s="33"/>
      <c r="I80" s="32"/>
      <c r="J80" s="35"/>
      <c r="K80" s="33"/>
    </row>
    <row r="81" customFormat="false" ht="15" hidden="false" customHeight="false" outlineLevel="0" collapsed="false">
      <c r="A81" s="32"/>
      <c r="B81" s="35"/>
      <c r="C81" s="32"/>
      <c r="D81" s="32"/>
      <c r="E81" s="32"/>
      <c r="F81" s="41"/>
      <c r="G81" s="33"/>
      <c r="H81" s="33"/>
      <c r="I81" s="32"/>
      <c r="J81" s="35"/>
      <c r="K81" s="33"/>
    </row>
    <row r="82" customFormat="false" ht="15" hidden="false" customHeight="false" outlineLevel="0" collapsed="false">
      <c r="A82" s="32"/>
      <c r="B82" s="35"/>
      <c r="C82" s="32"/>
      <c r="D82" s="32"/>
      <c r="E82" s="32"/>
      <c r="F82" s="41"/>
      <c r="G82" s="33"/>
      <c r="H82" s="33"/>
      <c r="I82" s="32"/>
      <c r="J82" s="35"/>
      <c r="K82" s="33"/>
    </row>
    <row r="83" customFormat="false" ht="15" hidden="false" customHeight="false" outlineLevel="0" collapsed="false">
      <c r="A83" s="32"/>
      <c r="B83" s="35"/>
      <c r="C83" s="32"/>
      <c r="D83" s="32"/>
      <c r="E83" s="32"/>
      <c r="F83" s="41"/>
      <c r="G83" s="33"/>
      <c r="H83" s="33"/>
      <c r="I83" s="32"/>
      <c r="J83" s="35"/>
      <c r="K83" s="33"/>
    </row>
    <row r="84" customFormat="false" ht="15" hidden="false" customHeight="false" outlineLevel="0" collapsed="false">
      <c r="A84" s="32"/>
      <c r="B84" s="35"/>
      <c r="C84" s="32"/>
      <c r="D84" s="32"/>
      <c r="E84" s="32"/>
      <c r="F84" s="41"/>
      <c r="G84" s="33"/>
      <c r="H84" s="33"/>
      <c r="I84" s="32"/>
      <c r="J84" s="35"/>
      <c r="K84" s="33"/>
    </row>
    <row r="85" customFormat="false" ht="15" hidden="false" customHeight="false" outlineLevel="0" collapsed="false">
      <c r="A85" s="32"/>
      <c r="B85" s="35"/>
      <c r="C85" s="32"/>
      <c r="D85" s="32"/>
      <c r="E85" s="32"/>
      <c r="F85" s="41"/>
      <c r="G85" s="33"/>
      <c r="H85" s="33"/>
      <c r="I85" s="32"/>
      <c r="J85" s="35"/>
      <c r="K85" s="33"/>
    </row>
    <row r="86" customFormat="false" ht="15" hidden="false" customHeight="false" outlineLevel="0" collapsed="false">
      <c r="A86" s="32"/>
      <c r="B86" s="35"/>
      <c r="C86" s="32"/>
      <c r="D86" s="32"/>
      <c r="E86" s="32"/>
      <c r="F86" s="41"/>
      <c r="G86" s="33"/>
      <c r="H86" s="33"/>
      <c r="I86" s="32"/>
      <c r="J86" s="35"/>
      <c r="K86" s="33"/>
    </row>
    <row r="87" customFormat="false" ht="15" hidden="false" customHeight="false" outlineLevel="0" collapsed="false">
      <c r="A87" s="32"/>
      <c r="B87" s="35"/>
      <c r="C87" s="32"/>
      <c r="D87" s="32"/>
      <c r="E87" s="32"/>
      <c r="F87" s="41"/>
      <c r="G87" s="33"/>
      <c r="H87" s="33"/>
      <c r="I87" s="32"/>
      <c r="J87" s="35"/>
      <c r="K87" s="33"/>
    </row>
    <row r="88" customFormat="false" ht="15" hidden="false" customHeight="false" outlineLevel="0" collapsed="false">
      <c r="A88" s="32"/>
      <c r="B88" s="35"/>
      <c r="C88" s="32"/>
      <c r="D88" s="32"/>
      <c r="E88" s="32"/>
      <c r="F88" s="41"/>
      <c r="G88" s="33"/>
      <c r="H88" s="33"/>
      <c r="I88" s="32"/>
      <c r="J88" s="35"/>
      <c r="K88" s="33"/>
    </row>
    <row r="89" customFormat="false" ht="15" hidden="false" customHeight="false" outlineLevel="0" collapsed="false">
      <c r="A89" s="32"/>
      <c r="B89" s="35"/>
      <c r="C89" s="32"/>
      <c r="D89" s="32"/>
      <c r="E89" s="32"/>
      <c r="F89" s="41"/>
      <c r="G89" s="33"/>
      <c r="H89" s="33"/>
      <c r="I89" s="32"/>
      <c r="J89" s="35"/>
      <c r="K89" s="33"/>
    </row>
    <row r="90" customFormat="false" ht="15" hidden="false" customHeight="false" outlineLevel="0" collapsed="false">
      <c r="A90" s="32"/>
      <c r="B90" s="35"/>
      <c r="C90" s="32"/>
      <c r="D90" s="32"/>
      <c r="E90" s="32"/>
      <c r="F90" s="41"/>
      <c r="G90" s="33"/>
      <c r="H90" s="33"/>
      <c r="I90" s="32"/>
      <c r="J90" s="35"/>
      <c r="K90" s="33"/>
    </row>
    <row r="91" customFormat="false" ht="15" hidden="false" customHeight="false" outlineLevel="0" collapsed="false">
      <c r="A91" s="32"/>
      <c r="B91" s="35"/>
      <c r="C91" s="32"/>
      <c r="D91" s="32"/>
      <c r="E91" s="32"/>
      <c r="F91" s="41"/>
      <c r="G91" s="33"/>
      <c r="H91" s="33"/>
      <c r="I91" s="32"/>
      <c r="J91" s="35"/>
      <c r="K91" s="33"/>
    </row>
    <row r="92" customFormat="false" ht="15" hidden="false" customHeight="false" outlineLevel="0" collapsed="false">
      <c r="A92" s="32"/>
      <c r="B92" s="35"/>
      <c r="C92" s="32"/>
      <c r="D92" s="32"/>
      <c r="E92" s="32"/>
      <c r="F92" s="41"/>
      <c r="G92" s="33"/>
      <c r="H92" s="33"/>
      <c r="I92" s="32"/>
      <c r="J92" s="35"/>
      <c r="K92" s="33"/>
    </row>
    <row r="93" customFormat="false" ht="15" hidden="false" customHeight="false" outlineLevel="0" collapsed="false">
      <c r="A93" s="32"/>
      <c r="B93" s="35"/>
      <c r="C93" s="32"/>
      <c r="D93" s="32"/>
      <c r="E93" s="32"/>
      <c r="F93" s="41"/>
      <c r="G93" s="33"/>
      <c r="H93" s="33"/>
      <c r="I93" s="32"/>
      <c r="J93" s="35"/>
      <c r="K93" s="33"/>
    </row>
    <row r="94" customFormat="false" ht="15" hidden="false" customHeight="false" outlineLevel="0" collapsed="false">
      <c r="A94" s="32"/>
      <c r="B94" s="35"/>
      <c r="C94" s="32"/>
      <c r="D94" s="32"/>
      <c r="E94" s="32"/>
      <c r="F94" s="41"/>
      <c r="G94" s="33"/>
      <c r="H94" s="33"/>
      <c r="I94" s="32"/>
      <c r="J94" s="35"/>
      <c r="K94" s="33"/>
    </row>
    <row r="95" customFormat="false" ht="15" hidden="false" customHeight="false" outlineLevel="0" collapsed="false">
      <c r="A95" s="32"/>
      <c r="B95" s="35"/>
      <c r="C95" s="32"/>
      <c r="D95" s="32"/>
      <c r="E95" s="32"/>
      <c r="F95" s="41"/>
      <c r="G95" s="33"/>
      <c r="H95" s="33"/>
      <c r="I95" s="32"/>
      <c r="J95" s="35"/>
      <c r="K95" s="33"/>
    </row>
    <row r="96" customFormat="false" ht="15" hidden="false" customHeight="false" outlineLevel="0" collapsed="false">
      <c r="A96" s="32"/>
      <c r="B96" s="35"/>
      <c r="C96" s="32"/>
      <c r="D96" s="32"/>
      <c r="E96" s="32"/>
      <c r="F96" s="41"/>
      <c r="G96" s="33"/>
      <c r="H96" s="33"/>
      <c r="I96" s="32"/>
      <c r="J96" s="35"/>
      <c r="K96" s="33"/>
    </row>
    <row r="97" customFormat="false" ht="15" hidden="false" customHeight="false" outlineLevel="0" collapsed="false">
      <c r="A97" s="32"/>
      <c r="B97" s="35"/>
      <c r="C97" s="32"/>
      <c r="D97" s="32"/>
      <c r="E97" s="32"/>
      <c r="F97" s="41"/>
      <c r="G97" s="33"/>
      <c r="H97" s="33"/>
      <c r="I97" s="32"/>
      <c r="J97" s="35"/>
      <c r="K97" s="33"/>
    </row>
    <row r="98" customFormat="false" ht="15" hidden="false" customHeight="false" outlineLevel="0" collapsed="false">
      <c r="A98" s="32"/>
      <c r="B98" s="35"/>
      <c r="C98" s="32"/>
      <c r="D98" s="32"/>
      <c r="E98" s="32"/>
      <c r="F98" s="41"/>
      <c r="G98" s="33"/>
      <c r="H98" s="33"/>
      <c r="I98" s="32"/>
      <c r="J98" s="35"/>
      <c r="K98" s="33"/>
    </row>
    <row r="99" customFormat="false" ht="15" hidden="false" customHeight="false" outlineLevel="0" collapsed="false">
      <c r="A99" s="32"/>
      <c r="B99" s="35"/>
      <c r="C99" s="32"/>
      <c r="D99" s="32"/>
      <c r="E99" s="32"/>
      <c r="F99" s="41"/>
      <c r="G99" s="33"/>
      <c r="H99" s="33"/>
      <c r="I99" s="32"/>
      <c r="J99" s="35"/>
      <c r="K99" s="33"/>
    </row>
    <row r="100" customFormat="false" ht="15" hidden="false" customHeight="false" outlineLevel="0" collapsed="false">
      <c r="A100" s="32"/>
      <c r="B100" s="35"/>
      <c r="C100" s="32"/>
      <c r="D100" s="32"/>
      <c r="E100" s="32"/>
      <c r="F100" s="41"/>
      <c r="G100" s="33"/>
      <c r="H100" s="33"/>
      <c r="I100" s="32"/>
      <c r="J100" s="35"/>
      <c r="K100" s="33"/>
    </row>
    <row r="101" customFormat="false" ht="15" hidden="false" customHeight="false" outlineLevel="0" collapsed="false">
      <c r="A101" s="32"/>
      <c r="B101" s="35"/>
      <c r="C101" s="32"/>
      <c r="D101" s="32"/>
      <c r="E101" s="32"/>
      <c r="F101" s="41"/>
      <c r="G101" s="33"/>
      <c r="H101" s="33"/>
      <c r="I101" s="32"/>
      <c r="J101" s="35"/>
      <c r="K101" s="33"/>
    </row>
    <row r="102" customFormat="false" ht="15" hidden="false" customHeight="false" outlineLevel="0" collapsed="false">
      <c r="A102" s="32"/>
      <c r="B102" s="35"/>
      <c r="C102" s="32"/>
      <c r="D102" s="32"/>
      <c r="E102" s="32"/>
      <c r="F102" s="41"/>
      <c r="G102" s="33"/>
      <c r="H102" s="33"/>
      <c r="I102" s="32"/>
      <c r="J102" s="35"/>
      <c r="K102" s="33"/>
    </row>
    <row r="103" customFormat="false" ht="15" hidden="false" customHeight="false" outlineLevel="0" collapsed="false">
      <c r="A103" s="32"/>
      <c r="B103" s="35"/>
      <c r="C103" s="32"/>
      <c r="D103" s="32"/>
      <c r="E103" s="32"/>
      <c r="F103" s="41"/>
      <c r="G103" s="33"/>
      <c r="H103" s="33"/>
      <c r="I103" s="32"/>
      <c r="J103" s="35"/>
      <c r="K103" s="33"/>
    </row>
    <row r="104" customFormat="false" ht="15" hidden="false" customHeight="false" outlineLevel="0" collapsed="false">
      <c r="A104" s="32"/>
      <c r="B104" s="35"/>
      <c r="C104" s="32"/>
      <c r="D104" s="32"/>
      <c r="E104" s="32"/>
      <c r="F104" s="41"/>
      <c r="G104" s="33"/>
      <c r="H104" s="33"/>
      <c r="I104" s="32"/>
      <c r="J104" s="35"/>
      <c r="K104" s="33"/>
    </row>
    <row r="105" customFormat="false" ht="15" hidden="false" customHeight="false" outlineLevel="0" collapsed="false">
      <c r="A105" s="32"/>
      <c r="B105" s="35"/>
      <c r="C105" s="32"/>
      <c r="D105" s="32"/>
      <c r="E105" s="32"/>
      <c r="F105" s="41"/>
      <c r="G105" s="33"/>
      <c r="H105" s="33"/>
      <c r="I105" s="32"/>
      <c r="J105" s="35"/>
      <c r="K105" s="33"/>
    </row>
    <row r="106" customFormat="false" ht="15" hidden="false" customHeight="false" outlineLevel="0" collapsed="false">
      <c r="A106" s="32"/>
      <c r="B106" s="35"/>
      <c r="C106" s="32"/>
      <c r="D106" s="32"/>
      <c r="E106" s="32"/>
      <c r="F106" s="41"/>
      <c r="G106" s="33"/>
      <c r="H106" s="33"/>
      <c r="I106" s="32"/>
      <c r="J106" s="35"/>
      <c r="K106" s="33"/>
    </row>
    <row r="107" customFormat="false" ht="15" hidden="false" customHeight="false" outlineLevel="0" collapsed="false">
      <c r="A107" s="32"/>
      <c r="B107" s="35"/>
      <c r="C107" s="32"/>
      <c r="D107" s="32"/>
      <c r="E107" s="32"/>
      <c r="F107" s="41"/>
      <c r="G107" s="33"/>
      <c r="H107" s="33"/>
      <c r="I107" s="32"/>
      <c r="J107" s="35"/>
      <c r="K107" s="33"/>
    </row>
    <row r="108" customFormat="false" ht="15" hidden="false" customHeight="false" outlineLevel="0" collapsed="false">
      <c r="A108" s="32"/>
      <c r="B108" s="35"/>
      <c r="C108" s="32"/>
      <c r="D108" s="32"/>
      <c r="E108" s="32"/>
      <c r="F108" s="41"/>
      <c r="G108" s="33"/>
      <c r="H108" s="33"/>
      <c r="I108" s="32"/>
      <c r="J108" s="35"/>
      <c r="K108" s="33"/>
    </row>
    <row r="109" customFormat="false" ht="15" hidden="false" customHeight="false" outlineLevel="0" collapsed="false">
      <c r="A109" s="32"/>
      <c r="B109" s="35"/>
      <c r="C109" s="32"/>
      <c r="D109" s="32"/>
      <c r="E109" s="32"/>
      <c r="F109" s="41"/>
      <c r="G109" s="33"/>
      <c r="H109" s="33"/>
      <c r="I109" s="32"/>
      <c r="J109" s="35"/>
      <c r="K109" s="33"/>
    </row>
    <row r="110" customFormat="false" ht="15" hidden="false" customHeight="false" outlineLevel="0" collapsed="false">
      <c r="A110" s="32"/>
      <c r="B110" s="35"/>
      <c r="C110" s="32"/>
      <c r="D110" s="32"/>
      <c r="E110" s="32"/>
      <c r="F110" s="41"/>
      <c r="G110" s="33"/>
      <c r="H110" s="33"/>
      <c r="I110" s="32"/>
      <c r="J110" s="35"/>
      <c r="K110" s="33"/>
    </row>
    <row r="111" customFormat="false" ht="15" hidden="false" customHeight="false" outlineLevel="0" collapsed="false">
      <c r="A111" s="32"/>
      <c r="B111" s="35"/>
      <c r="C111" s="32"/>
      <c r="D111" s="32"/>
      <c r="E111" s="32"/>
      <c r="F111" s="41"/>
      <c r="G111" s="33"/>
      <c r="H111" s="33"/>
      <c r="I111" s="32"/>
      <c r="J111" s="35"/>
      <c r="K111" s="33"/>
    </row>
    <row r="112" customFormat="false" ht="15" hidden="false" customHeight="false" outlineLevel="0" collapsed="false">
      <c r="A112" s="32"/>
      <c r="B112" s="35"/>
      <c r="C112" s="32"/>
      <c r="D112" s="32"/>
      <c r="E112" s="32"/>
      <c r="F112" s="41"/>
      <c r="G112" s="33"/>
      <c r="H112" s="33"/>
      <c r="I112" s="32"/>
      <c r="J112" s="35"/>
      <c r="K112" s="33"/>
    </row>
    <row r="113" customFormat="false" ht="15" hidden="false" customHeight="false" outlineLevel="0" collapsed="false">
      <c r="A113" s="32"/>
      <c r="B113" s="35"/>
      <c r="C113" s="32"/>
      <c r="D113" s="32"/>
      <c r="E113" s="32"/>
      <c r="F113" s="41"/>
      <c r="G113" s="33"/>
      <c r="H113" s="33"/>
      <c r="I113" s="32"/>
      <c r="J113" s="35"/>
      <c r="K113" s="33"/>
    </row>
    <row r="114" customFormat="false" ht="15" hidden="false" customHeight="false" outlineLevel="0" collapsed="false">
      <c r="A114" s="32"/>
      <c r="B114" s="35"/>
      <c r="C114" s="32"/>
      <c r="D114" s="32"/>
      <c r="E114" s="32"/>
      <c r="F114" s="41"/>
      <c r="G114" s="33"/>
      <c r="H114" s="33"/>
      <c r="I114" s="32"/>
      <c r="J114" s="35"/>
      <c r="K114" s="33"/>
    </row>
    <row r="115" customFormat="false" ht="15" hidden="false" customHeight="false" outlineLevel="0" collapsed="false">
      <c r="A115" s="32"/>
      <c r="B115" s="35"/>
      <c r="C115" s="32"/>
      <c r="D115" s="32"/>
      <c r="E115" s="32"/>
      <c r="F115" s="41"/>
      <c r="G115" s="33"/>
      <c r="H115" s="33"/>
      <c r="I115" s="32"/>
      <c r="J115" s="35"/>
      <c r="K115" s="33"/>
    </row>
    <row r="116" customFormat="false" ht="15" hidden="false" customHeight="false" outlineLevel="0" collapsed="false">
      <c r="A116" s="32"/>
      <c r="B116" s="35"/>
      <c r="C116" s="32"/>
      <c r="D116" s="32"/>
      <c r="E116" s="32"/>
      <c r="F116" s="41"/>
      <c r="G116" s="33"/>
      <c r="H116" s="33"/>
      <c r="I116" s="32"/>
      <c r="J116" s="35"/>
      <c r="K116" s="33"/>
    </row>
    <row r="117" customFormat="false" ht="15" hidden="false" customHeight="false" outlineLevel="0" collapsed="false">
      <c r="A117" s="32"/>
      <c r="B117" s="35"/>
      <c r="C117" s="32"/>
      <c r="D117" s="32"/>
      <c r="E117" s="32"/>
      <c r="F117" s="41"/>
      <c r="G117" s="33"/>
      <c r="H117" s="33"/>
      <c r="I117" s="32"/>
      <c r="J117" s="35"/>
      <c r="K117" s="33"/>
    </row>
    <row r="118" customFormat="false" ht="15" hidden="false" customHeight="false" outlineLevel="0" collapsed="false">
      <c r="A118" s="32"/>
      <c r="B118" s="35"/>
      <c r="C118" s="32"/>
      <c r="D118" s="32"/>
      <c r="E118" s="32"/>
      <c r="F118" s="41"/>
      <c r="G118" s="33"/>
      <c r="H118" s="33"/>
      <c r="I118" s="32"/>
      <c r="J118" s="35"/>
      <c r="K118" s="33"/>
    </row>
    <row r="119" customFormat="false" ht="15" hidden="false" customHeight="false" outlineLevel="0" collapsed="false">
      <c r="A119" s="32"/>
      <c r="B119" s="35"/>
      <c r="C119" s="32"/>
      <c r="D119" s="32"/>
      <c r="E119" s="32"/>
      <c r="F119" s="41"/>
      <c r="G119" s="33"/>
      <c r="H119" s="33"/>
      <c r="I119" s="32"/>
      <c r="J119" s="35"/>
      <c r="K119" s="33"/>
    </row>
    <row r="120" customFormat="false" ht="15" hidden="false" customHeight="false" outlineLevel="0" collapsed="false">
      <c r="A120" s="32"/>
      <c r="B120" s="35"/>
      <c r="C120" s="32"/>
      <c r="D120" s="32"/>
      <c r="E120" s="32"/>
      <c r="F120" s="41"/>
      <c r="G120" s="33"/>
      <c r="H120" s="33"/>
      <c r="I120" s="32"/>
      <c r="J120" s="35"/>
      <c r="K120" s="33"/>
    </row>
    <row r="121" customFormat="false" ht="15" hidden="false" customHeight="false" outlineLevel="0" collapsed="false">
      <c r="A121" s="32"/>
      <c r="B121" s="35"/>
      <c r="C121" s="32"/>
      <c r="D121" s="32"/>
      <c r="E121" s="32"/>
      <c r="F121" s="41"/>
      <c r="G121" s="33"/>
      <c r="H121" s="33"/>
      <c r="I121" s="32"/>
      <c r="J121" s="35"/>
      <c r="K121" s="33"/>
    </row>
    <row r="122" customFormat="false" ht="15" hidden="false" customHeight="false" outlineLevel="0" collapsed="false">
      <c r="A122" s="32"/>
      <c r="B122" s="35"/>
      <c r="C122" s="32"/>
      <c r="D122" s="32"/>
      <c r="E122" s="32"/>
      <c r="F122" s="41"/>
      <c r="G122" s="33"/>
      <c r="H122" s="33"/>
      <c r="I122" s="32"/>
      <c r="J122" s="35"/>
      <c r="K122" s="33"/>
    </row>
    <row r="123" customFormat="false" ht="15" hidden="false" customHeight="false" outlineLevel="0" collapsed="false">
      <c r="A123" s="32"/>
      <c r="B123" s="35"/>
      <c r="C123" s="32"/>
      <c r="D123" s="32"/>
      <c r="E123" s="32"/>
      <c r="F123" s="41"/>
      <c r="G123" s="33"/>
      <c r="H123" s="33"/>
      <c r="I123" s="32"/>
      <c r="J123" s="35"/>
      <c r="K123" s="33"/>
    </row>
    <row r="124" customFormat="false" ht="15" hidden="false" customHeight="false" outlineLevel="0" collapsed="false">
      <c r="A124" s="32"/>
      <c r="B124" s="35"/>
      <c r="C124" s="32"/>
      <c r="D124" s="32"/>
      <c r="E124" s="32"/>
      <c r="F124" s="41"/>
      <c r="G124" s="33"/>
      <c r="H124" s="33"/>
      <c r="I124" s="32"/>
      <c r="J124" s="35"/>
      <c r="K124" s="33"/>
    </row>
    <row r="125" customFormat="false" ht="15" hidden="false" customHeight="false" outlineLevel="0" collapsed="false">
      <c r="A125" s="32"/>
      <c r="B125" s="35"/>
      <c r="C125" s="32"/>
      <c r="D125" s="32"/>
      <c r="E125" s="32"/>
      <c r="F125" s="41"/>
      <c r="G125" s="33"/>
      <c r="H125" s="33"/>
      <c r="I125" s="32"/>
      <c r="J125" s="35"/>
      <c r="K125" s="33"/>
    </row>
    <row r="126" customFormat="false" ht="15" hidden="false" customHeight="false" outlineLevel="0" collapsed="false">
      <c r="A126" s="32"/>
      <c r="B126" s="35"/>
      <c r="C126" s="32"/>
      <c r="D126" s="32"/>
      <c r="E126" s="32"/>
      <c r="F126" s="41"/>
      <c r="G126" s="33"/>
      <c r="H126" s="33"/>
      <c r="I126" s="32"/>
      <c r="J126" s="35"/>
      <c r="K126" s="33"/>
    </row>
    <row r="127" customFormat="false" ht="15" hidden="false" customHeight="false" outlineLevel="0" collapsed="false">
      <c r="A127" s="32"/>
      <c r="B127" s="35"/>
      <c r="C127" s="32"/>
      <c r="D127" s="32"/>
      <c r="E127" s="32"/>
      <c r="F127" s="41"/>
      <c r="G127" s="33"/>
      <c r="H127" s="33"/>
      <c r="I127" s="32"/>
      <c r="J127" s="35"/>
      <c r="K127" s="33"/>
    </row>
    <row r="128" customFormat="false" ht="15" hidden="false" customHeight="false" outlineLevel="0" collapsed="false">
      <c r="A128" s="32"/>
      <c r="B128" s="35"/>
      <c r="C128" s="32"/>
      <c r="D128" s="32"/>
      <c r="E128" s="32"/>
      <c r="F128" s="41"/>
      <c r="G128" s="33"/>
      <c r="H128" s="33"/>
      <c r="I128" s="32"/>
      <c r="J128" s="35"/>
      <c r="K128" s="33"/>
    </row>
    <row r="129" customFormat="false" ht="15" hidden="false" customHeight="false" outlineLevel="0" collapsed="false">
      <c r="A129" s="32"/>
      <c r="B129" s="35"/>
      <c r="C129" s="32"/>
      <c r="D129" s="32"/>
      <c r="E129" s="32"/>
      <c r="F129" s="41"/>
      <c r="G129" s="33"/>
      <c r="H129" s="33"/>
      <c r="I129" s="32"/>
      <c r="J129" s="35"/>
      <c r="K129" s="33"/>
    </row>
    <row r="130" customFormat="false" ht="15" hidden="false" customHeight="false" outlineLevel="0" collapsed="false">
      <c r="A130" s="32"/>
      <c r="B130" s="35"/>
      <c r="C130" s="32"/>
      <c r="D130" s="32"/>
      <c r="E130" s="32"/>
      <c r="F130" s="41"/>
      <c r="G130" s="33"/>
      <c r="H130" s="33"/>
      <c r="I130" s="32"/>
      <c r="J130" s="35"/>
      <c r="K130" s="33"/>
    </row>
    <row r="131" customFormat="false" ht="15" hidden="false" customHeight="false" outlineLevel="0" collapsed="false">
      <c r="A131" s="32"/>
      <c r="B131" s="35"/>
      <c r="C131" s="32"/>
      <c r="D131" s="32"/>
      <c r="E131" s="32"/>
      <c r="F131" s="41"/>
      <c r="G131" s="33"/>
      <c r="H131" s="33"/>
      <c r="I131" s="32"/>
      <c r="J131" s="35"/>
      <c r="K131" s="33"/>
    </row>
    <row r="132" customFormat="false" ht="15" hidden="false" customHeight="false" outlineLevel="0" collapsed="false">
      <c r="A132" s="32"/>
      <c r="B132" s="35"/>
      <c r="C132" s="32"/>
      <c r="D132" s="32"/>
      <c r="E132" s="32"/>
      <c r="F132" s="41"/>
      <c r="G132" s="33"/>
      <c r="H132" s="33"/>
      <c r="I132" s="32"/>
      <c r="J132" s="35"/>
      <c r="K132" s="33"/>
    </row>
    <row r="133" customFormat="false" ht="15" hidden="false" customHeight="false" outlineLevel="0" collapsed="false">
      <c r="A133" s="32"/>
      <c r="B133" s="35"/>
      <c r="C133" s="32"/>
      <c r="D133" s="32"/>
      <c r="E133" s="32"/>
      <c r="F133" s="41"/>
      <c r="G133" s="33"/>
      <c r="H133" s="33"/>
      <c r="I133" s="32"/>
      <c r="J133" s="35"/>
      <c r="K133" s="33"/>
    </row>
    <row r="134" customFormat="false" ht="15" hidden="false" customHeight="false" outlineLevel="0" collapsed="false">
      <c r="A134" s="32"/>
      <c r="B134" s="35"/>
      <c r="C134" s="32"/>
      <c r="D134" s="32"/>
      <c r="E134" s="32"/>
      <c r="F134" s="41"/>
      <c r="G134" s="33"/>
      <c r="H134" s="33"/>
      <c r="I134" s="32"/>
      <c r="J134" s="35"/>
      <c r="K134" s="33"/>
    </row>
    <row r="135" customFormat="false" ht="15" hidden="false" customHeight="false" outlineLevel="0" collapsed="false">
      <c r="A135" s="32"/>
      <c r="B135" s="35"/>
      <c r="C135" s="32"/>
      <c r="D135" s="32"/>
      <c r="E135" s="32"/>
      <c r="F135" s="41"/>
      <c r="G135" s="33"/>
      <c r="H135" s="33"/>
      <c r="I135" s="32"/>
      <c r="J135" s="35"/>
      <c r="K135" s="33"/>
    </row>
    <row r="136" customFormat="false" ht="15" hidden="false" customHeight="false" outlineLevel="0" collapsed="false">
      <c r="A136" s="32"/>
      <c r="B136" s="35"/>
      <c r="C136" s="32"/>
      <c r="D136" s="32"/>
      <c r="E136" s="32"/>
      <c r="F136" s="41"/>
      <c r="G136" s="33"/>
      <c r="H136" s="33"/>
      <c r="I136" s="32"/>
      <c r="J136" s="35"/>
      <c r="K136" s="33"/>
    </row>
    <row r="137" customFormat="false" ht="15" hidden="false" customHeight="false" outlineLevel="0" collapsed="false">
      <c r="A137" s="32"/>
      <c r="B137" s="35"/>
      <c r="C137" s="32"/>
      <c r="D137" s="32"/>
      <c r="E137" s="32"/>
      <c r="F137" s="41"/>
      <c r="G137" s="33"/>
      <c r="H137" s="33"/>
      <c r="I137" s="32"/>
      <c r="J137" s="35"/>
      <c r="K137" s="33"/>
    </row>
    <row r="138" customFormat="false" ht="15" hidden="false" customHeight="false" outlineLevel="0" collapsed="false">
      <c r="A138" s="32"/>
      <c r="B138" s="35"/>
      <c r="C138" s="32"/>
      <c r="D138" s="32"/>
      <c r="E138" s="32"/>
      <c r="F138" s="41"/>
      <c r="G138" s="33"/>
      <c r="H138" s="33"/>
      <c r="I138" s="32"/>
      <c r="J138" s="35"/>
      <c r="K138" s="33"/>
    </row>
    <row r="139" customFormat="false" ht="15" hidden="false" customHeight="false" outlineLevel="0" collapsed="false">
      <c r="A139" s="32"/>
      <c r="B139" s="35"/>
      <c r="C139" s="32"/>
      <c r="D139" s="32"/>
      <c r="E139" s="32"/>
      <c r="F139" s="41"/>
      <c r="G139" s="33"/>
      <c r="H139" s="33"/>
      <c r="I139" s="32"/>
      <c r="J139" s="35"/>
      <c r="K139" s="33"/>
    </row>
    <row r="140" customFormat="false" ht="15" hidden="false" customHeight="false" outlineLevel="0" collapsed="false">
      <c r="A140" s="32"/>
      <c r="B140" s="35"/>
      <c r="C140" s="32"/>
      <c r="D140" s="32"/>
      <c r="E140" s="32"/>
      <c r="F140" s="41"/>
      <c r="G140" s="33"/>
      <c r="H140" s="33"/>
      <c r="I140" s="32"/>
      <c r="J140" s="35"/>
      <c r="K140" s="33"/>
    </row>
    <row r="141" customFormat="false" ht="15" hidden="false" customHeight="false" outlineLevel="0" collapsed="false">
      <c r="A141" s="32"/>
      <c r="B141" s="35"/>
      <c r="C141" s="32"/>
      <c r="D141" s="32"/>
      <c r="E141" s="32"/>
      <c r="F141" s="41"/>
      <c r="G141" s="33"/>
      <c r="H141" s="33"/>
      <c r="I141" s="32"/>
      <c r="J141" s="35"/>
      <c r="K141" s="33"/>
    </row>
    <row r="142" customFormat="false" ht="15" hidden="false" customHeight="false" outlineLevel="0" collapsed="false">
      <c r="A142" s="32"/>
      <c r="B142" s="35"/>
      <c r="C142" s="32"/>
      <c r="D142" s="32"/>
      <c r="E142" s="32"/>
      <c r="F142" s="41"/>
      <c r="G142" s="33"/>
      <c r="H142" s="33"/>
      <c r="I142" s="32"/>
      <c r="J142" s="35"/>
      <c r="K142" s="33"/>
    </row>
    <row r="143" customFormat="false" ht="15" hidden="false" customHeight="false" outlineLevel="0" collapsed="false">
      <c r="A143" s="32"/>
      <c r="B143" s="35"/>
      <c r="C143" s="32"/>
      <c r="D143" s="32"/>
      <c r="E143" s="32"/>
      <c r="F143" s="41"/>
      <c r="G143" s="33"/>
      <c r="H143" s="33"/>
      <c r="I143" s="32"/>
      <c r="J143" s="35"/>
      <c r="K143" s="33"/>
    </row>
    <row r="144" customFormat="false" ht="15" hidden="false" customHeight="false" outlineLevel="0" collapsed="false">
      <c r="A144" s="32"/>
      <c r="B144" s="35"/>
      <c r="C144" s="32"/>
      <c r="D144" s="32"/>
      <c r="E144" s="32"/>
      <c r="F144" s="41"/>
      <c r="G144" s="33"/>
      <c r="H144" s="33"/>
      <c r="I144" s="32"/>
      <c r="J144" s="35"/>
      <c r="K144" s="33"/>
    </row>
    <row r="145" customFormat="false" ht="15" hidden="false" customHeight="false" outlineLevel="0" collapsed="false">
      <c r="A145" s="32"/>
      <c r="B145" s="35"/>
      <c r="C145" s="32"/>
      <c r="D145" s="32"/>
      <c r="E145" s="32"/>
      <c r="F145" s="41"/>
      <c r="G145" s="33"/>
      <c r="H145" s="33"/>
      <c r="I145" s="32"/>
      <c r="J145" s="35"/>
      <c r="K145" s="33"/>
    </row>
    <row r="146" customFormat="false" ht="15" hidden="false" customHeight="false" outlineLevel="0" collapsed="false">
      <c r="A146" s="32"/>
      <c r="B146" s="35"/>
      <c r="C146" s="32"/>
      <c r="D146" s="32"/>
      <c r="E146" s="32"/>
      <c r="F146" s="41"/>
      <c r="G146" s="33"/>
      <c r="H146" s="33"/>
      <c r="I146" s="32"/>
      <c r="J146" s="35"/>
      <c r="K146" s="33"/>
    </row>
    <row r="147" customFormat="false" ht="15" hidden="false" customHeight="false" outlineLevel="0" collapsed="false">
      <c r="A147" s="32"/>
      <c r="B147" s="35"/>
      <c r="C147" s="32"/>
      <c r="D147" s="32"/>
      <c r="E147" s="32"/>
      <c r="F147" s="41"/>
      <c r="G147" s="33"/>
      <c r="H147" s="33"/>
      <c r="I147" s="32"/>
      <c r="J147" s="35"/>
      <c r="K147" s="33"/>
    </row>
    <row r="148" customFormat="false" ht="15" hidden="false" customHeight="false" outlineLevel="0" collapsed="false">
      <c r="A148" s="32"/>
      <c r="B148" s="35"/>
      <c r="C148" s="32"/>
      <c r="D148" s="32"/>
      <c r="E148" s="32"/>
      <c r="F148" s="41"/>
      <c r="G148" s="33"/>
      <c r="H148" s="33"/>
      <c r="I148" s="32"/>
      <c r="J148" s="35"/>
      <c r="K148" s="33"/>
    </row>
    <row r="149" customFormat="false" ht="15" hidden="false" customHeight="false" outlineLevel="0" collapsed="false">
      <c r="A149" s="32"/>
      <c r="B149" s="35"/>
      <c r="C149" s="32"/>
      <c r="D149" s="32"/>
      <c r="E149" s="32"/>
      <c r="F149" s="41"/>
      <c r="G149" s="33"/>
      <c r="H149" s="33"/>
      <c r="I149" s="32"/>
      <c r="J149" s="35"/>
      <c r="K149" s="33"/>
    </row>
    <row r="150" customFormat="false" ht="15" hidden="false" customHeight="false" outlineLevel="0" collapsed="false">
      <c r="A150" s="32"/>
      <c r="B150" s="35"/>
      <c r="C150" s="32"/>
      <c r="D150" s="32"/>
      <c r="E150" s="32"/>
      <c r="F150" s="41"/>
      <c r="G150" s="33"/>
      <c r="H150" s="33"/>
      <c r="I150" s="32"/>
      <c r="J150" s="35"/>
      <c r="K150" s="33"/>
    </row>
    <row r="151" customFormat="false" ht="15" hidden="false" customHeight="false" outlineLevel="0" collapsed="false">
      <c r="A151" s="32"/>
      <c r="B151" s="35"/>
      <c r="C151" s="32"/>
      <c r="D151" s="32"/>
      <c r="E151" s="32"/>
      <c r="F151" s="41"/>
      <c r="G151" s="33"/>
      <c r="H151" s="33"/>
      <c r="I151" s="32"/>
      <c r="J151" s="35"/>
      <c r="K151" s="33"/>
    </row>
    <row r="152" customFormat="false" ht="15" hidden="false" customHeight="false" outlineLevel="0" collapsed="false">
      <c r="A152" s="32"/>
      <c r="B152" s="35"/>
      <c r="C152" s="32"/>
      <c r="D152" s="32"/>
      <c r="E152" s="32"/>
      <c r="F152" s="41"/>
      <c r="G152" s="33"/>
      <c r="H152" s="33"/>
      <c r="I152" s="32"/>
      <c r="J152" s="35"/>
      <c r="K152" s="33"/>
    </row>
    <row r="153" customFormat="false" ht="15" hidden="false" customHeight="false" outlineLevel="0" collapsed="false">
      <c r="A153" s="32"/>
      <c r="B153" s="35"/>
      <c r="C153" s="32"/>
      <c r="D153" s="32"/>
      <c r="E153" s="32"/>
      <c r="F153" s="41"/>
      <c r="G153" s="33"/>
      <c r="H153" s="33"/>
      <c r="I153" s="32"/>
      <c r="J153" s="35"/>
      <c r="K153" s="33"/>
    </row>
    <row r="154" customFormat="false" ht="15" hidden="false" customHeight="false" outlineLevel="0" collapsed="false">
      <c r="A154" s="32"/>
      <c r="B154" s="35"/>
      <c r="C154" s="32"/>
      <c r="D154" s="32"/>
      <c r="E154" s="32"/>
      <c r="F154" s="41"/>
      <c r="G154" s="33"/>
      <c r="H154" s="33"/>
      <c r="I154" s="32"/>
      <c r="J154" s="35"/>
      <c r="K154" s="33"/>
    </row>
    <row r="155" customFormat="false" ht="15" hidden="false" customHeight="false" outlineLevel="0" collapsed="false">
      <c r="A155" s="32"/>
      <c r="B155" s="35"/>
      <c r="C155" s="32"/>
      <c r="D155" s="32"/>
      <c r="E155" s="32"/>
      <c r="F155" s="41"/>
      <c r="G155" s="33"/>
      <c r="H155" s="33"/>
      <c r="I155" s="32"/>
      <c r="J155" s="35"/>
      <c r="K155" s="33"/>
    </row>
    <row r="156" customFormat="false" ht="15" hidden="false" customHeight="false" outlineLevel="0" collapsed="false">
      <c r="A156" s="32"/>
      <c r="B156" s="35"/>
      <c r="C156" s="32"/>
      <c r="D156" s="32"/>
      <c r="E156" s="32"/>
      <c r="F156" s="41"/>
      <c r="G156" s="33"/>
      <c r="H156" s="33"/>
      <c r="I156" s="32"/>
      <c r="J156" s="35"/>
      <c r="K156" s="33"/>
    </row>
    <row r="157" customFormat="false" ht="15" hidden="false" customHeight="false" outlineLevel="0" collapsed="false">
      <c r="A157" s="32"/>
      <c r="B157" s="35"/>
      <c r="C157" s="32"/>
      <c r="D157" s="32"/>
      <c r="E157" s="32"/>
      <c r="F157" s="41"/>
      <c r="G157" s="33"/>
      <c r="H157" s="33"/>
      <c r="I157" s="32"/>
      <c r="J157" s="35"/>
      <c r="K157" s="33"/>
    </row>
    <row r="158" customFormat="false" ht="15" hidden="false" customHeight="false" outlineLevel="0" collapsed="false">
      <c r="A158" s="32"/>
      <c r="B158" s="35"/>
      <c r="C158" s="32"/>
      <c r="D158" s="32"/>
      <c r="E158" s="32"/>
      <c r="F158" s="41"/>
      <c r="G158" s="33"/>
      <c r="H158" s="33"/>
      <c r="I158" s="32"/>
      <c r="J158" s="35"/>
      <c r="K158" s="33"/>
    </row>
    <row r="159" customFormat="false" ht="15" hidden="false" customHeight="false" outlineLevel="0" collapsed="false">
      <c r="A159" s="32"/>
      <c r="B159" s="35"/>
      <c r="C159" s="32"/>
      <c r="D159" s="32"/>
      <c r="E159" s="32"/>
      <c r="F159" s="41"/>
      <c r="G159" s="33"/>
      <c r="H159" s="33"/>
      <c r="I159" s="32"/>
      <c r="J159" s="35"/>
      <c r="K159" s="33"/>
    </row>
    <row r="160" customFormat="false" ht="15" hidden="false" customHeight="false" outlineLevel="0" collapsed="false">
      <c r="A160" s="32"/>
      <c r="B160" s="35"/>
      <c r="C160" s="32"/>
      <c r="D160" s="32"/>
      <c r="E160" s="32"/>
      <c r="F160" s="41"/>
      <c r="G160" s="33"/>
      <c r="H160" s="33"/>
      <c r="I160" s="32"/>
      <c r="J160" s="35"/>
      <c r="K160" s="33"/>
    </row>
    <row r="161" customFormat="false" ht="15" hidden="false" customHeight="false" outlineLevel="0" collapsed="false">
      <c r="A161" s="32"/>
      <c r="B161" s="35"/>
      <c r="C161" s="32"/>
      <c r="D161" s="32"/>
      <c r="E161" s="32"/>
      <c r="F161" s="41"/>
      <c r="G161" s="33"/>
      <c r="H161" s="33"/>
      <c r="I161" s="32"/>
      <c r="J161" s="35"/>
      <c r="K161" s="33"/>
    </row>
    <row r="162" customFormat="false" ht="15" hidden="false" customHeight="false" outlineLevel="0" collapsed="false">
      <c r="A162" s="32"/>
      <c r="B162" s="35"/>
      <c r="C162" s="32"/>
      <c r="D162" s="32"/>
      <c r="E162" s="32"/>
      <c r="F162" s="41"/>
      <c r="G162" s="33"/>
      <c r="H162" s="33"/>
      <c r="I162" s="32"/>
      <c r="J162" s="35"/>
      <c r="K162" s="33"/>
    </row>
    <row r="163" customFormat="false" ht="15" hidden="false" customHeight="false" outlineLevel="0" collapsed="false">
      <c r="A163" s="32"/>
      <c r="B163" s="35"/>
      <c r="C163" s="32"/>
      <c r="D163" s="32"/>
      <c r="E163" s="32"/>
      <c r="F163" s="41"/>
      <c r="G163" s="33"/>
      <c r="H163" s="33"/>
      <c r="I163" s="32"/>
      <c r="J163" s="35"/>
      <c r="K163" s="33"/>
    </row>
    <row r="164" customFormat="false" ht="15" hidden="false" customHeight="false" outlineLevel="0" collapsed="false">
      <c r="A164" s="32"/>
      <c r="B164" s="35"/>
      <c r="C164" s="32"/>
      <c r="D164" s="32"/>
      <c r="E164" s="32"/>
      <c r="F164" s="41"/>
      <c r="G164" s="33"/>
      <c r="H164" s="33"/>
      <c r="I164" s="32"/>
      <c r="J164" s="35"/>
      <c r="K164" s="33"/>
    </row>
    <row r="165" customFormat="false" ht="15" hidden="false" customHeight="false" outlineLevel="0" collapsed="false">
      <c r="A165" s="32"/>
      <c r="B165" s="35"/>
      <c r="C165" s="32"/>
      <c r="D165" s="32"/>
      <c r="E165" s="32"/>
      <c r="F165" s="41"/>
      <c r="G165" s="33"/>
      <c r="H165" s="33"/>
      <c r="I165" s="32"/>
      <c r="J165" s="35"/>
      <c r="K165" s="33"/>
    </row>
    <row r="166" customFormat="false" ht="15" hidden="false" customHeight="false" outlineLevel="0" collapsed="false">
      <c r="A166" s="32"/>
      <c r="B166" s="35"/>
      <c r="C166" s="32"/>
      <c r="D166" s="32"/>
      <c r="E166" s="32"/>
      <c r="F166" s="41"/>
      <c r="G166" s="33"/>
      <c r="H166" s="33"/>
      <c r="I166" s="32"/>
      <c r="J166" s="35"/>
      <c r="K166" s="33"/>
    </row>
    <row r="167" customFormat="false" ht="15" hidden="false" customHeight="false" outlineLevel="0" collapsed="false">
      <c r="A167" s="32"/>
      <c r="B167" s="35"/>
      <c r="C167" s="32"/>
      <c r="D167" s="32"/>
      <c r="E167" s="32"/>
      <c r="F167" s="41"/>
      <c r="G167" s="33"/>
      <c r="H167" s="33"/>
      <c r="I167" s="32"/>
      <c r="J167" s="35"/>
      <c r="K167" s="33"/>
    </row>
    <row r="168" customFormat="false" ht="15" hidden="false" customHeight="false" outlineLevel="0" collapsed="false">
      <c r="A168" s="32"/>
      <c r="B168" s="35"/>
      <c r="C168" s="32"/>
      <c r="D168" s="32"/>
      <c r="E168" s="32"/>
      <c r="F168" s="41"/>
      <c r="G168" s="33"/>
      <c r="H168" s="33"/>
      <c r="I168" s="32"/>
      <c r="J168" s="35"/>
      <c r="K168" s="33"/>
    </row>
    <row r="169" customFormat="false" ht="15" hidden="false" customHeight="false" outlineLevel="0" collapsed="false">
      <c r="A169" s="32"/>
      <c r="B169" s="35"/>
      <c r="C169" s="32"/>
      <c r="D169" s="32"/>
      <c r="E169" s="32"/>
      <c r="F169" s="41"/>
      <c r="G169" s="33"/>
      <c r="H169" s="33"/>
      <c r="I169" s="32"/>
      <c r="J169" s="35"/>
      <c r="K169" s="33"/>
    </row>
    <row r="170" customFormat="false" ht="15" hidden="false" customHeight="false" outlineLevel="0" collapsed="false">
      <c r="A170" s="32"/>
      <c r="B170" s="35"/>
      <c r="C170" s="32"/>
      <c r="D170" s="32"/>
      <c r="E170" s="32"/>
      <c r="F170" s="41"/>
      <c r="G170" s="33"/>
      <c r="H170" s="33"/>
      <c r="I170" s="32"/>
      <c r="J170" s="35"/>
      <c r="K170" s="33"/>
    </row>
    <row r="171" customFormat="false" ht="15" hidden="false" customHeight="false" outlineLevel="0" collapsed="false">
      <c r="A171" s="32"/>
      <c r="B171" s="35"/>
      <c r="C171" s="32"/>
      <c r="D171" s="32"/>
      <c r="E171" s="32"/>
      <c r="F171" s="41"/>
      <c r="G171" s="33"/>
      <c r="H171" s="33"/>
      <c r="I171" s="32"/>
      <c r="J171" s="35"/>
      <c r="K171" s="33"/>
    </row>
    <row r="172" customFormat="false" ht="15" hidden="false" customHeight="false" outlineLevel="0" collapsed="false">
      <c r="A172" s="32"/>
      <c r="B172" s="35"/>
      <c r="C172" s="32"/>
      <c r="D172" s="32"/>
      <c r="E172" s="32"/>
      <c r="F172" s="41"/>
      <c r="G172" s="33"/>
      <c r="H172" s="33"/>
      <c r="I172" s="32"/>
      <c r="J172" s="35"/>
      <c r="K172" s="33"/>
    </row>
    <row r="173" customFormat="false" ht="15" hidden="false" customHeight="false" outlineLevel="0" collapsed="false">
      <c r="A173" s="32"/>
      <c r="B173" s="35"/>
      <c r="C173" s="32"/>
      <c r="D173" s="32"/>
      <c r="E173" s="32"/>
      <c r="F173" s="41"/>
      <c r="G173" s="33"/>
      <c r="H173" s="33"/>
      <c r="I173" s="32"/>
      <c r="J173" s="35"/>
      <c r="K173" s="33"/>
    </row>
    <row r="174" customFormat="false" ht="15" hidden="false" customHeight="false" outlineLevel="0" collapsed="false">
      <c r="A174" s="32"/>
      <c r="B174" s="35"/>
      <c r="C174" s="32"/>
      <c r="D174" s="32"/>
      <c r="E174" s="32"/>
      <c r="F174" s="41"/>
      <c r="G174" s="33"/>
      <c r="H174" s="33"/>
      <c r="I174" s="32"/>
      <c r="J174" s="35"/>
      <c r="K174" s="33"/>
    </row>
    <row r="175" customFormat="false" ht="15" hidden="false" customHeight="false" outlineLevel="0" collapsed="false">
      <c r="A175" s="32"/>
      <c r="B175" s="35"/>
      <c r="C175" s="32"/>
      <c r="D175" s="32"/>
      <c r="E175" s="32"/>
      <c r="F175" s="41"/>
      <c r="G175" s="33"/>
      <c r="H175" s="33"/>
      <c r="I175" s="32"/>
      <c r="J175" s="35"/>
      <c r="K175" s="33"/>
    </row>
    <row r="176" customFormat="false" ht="15" hidden="false" customHeight="false" outlineLevel="0" collapsed="false">
      <c r="A176" s="32"/>
      <c r="B176" s="35"/>
      <c r="C176" s="32"/>
      <c r="D176" s="32"/>
      <c r="E176" s="32"/>
      <c r="F176" s="41"/>
      <c r="G176" s="33"/>
      <c r="H176" s="33"/>
      <c r="I176" s="32"/>
      <c r="J176" s="35"/>
      <c r="K176" s="33"/>
    </row>
    <row r="177" customFormat="false" ht="15" hidden="false" customHeight="false" outlineLevel="0" collapsed="false">
      <c r="A177" s="32"/>
      <c r="B177" s="35"/>
      <c r="C177" s="32"/>
      <c r="D177" s="32"/>
      <c r="E177" s="32"/>
      <c r="F177" s="41"/>
      <c r="G177" s="33"/>
      <c r="H177" s="33"/>
      <c r="I177" s="32"/>
      <c r="J177" s="35"/>
      <c r="K177" s="33"/>
    </row>
    <row r="178" customFormat="false" ht="15" hidden="false" customHeight="false" outlineLevel="0" collapsed="false">
      <c r="A178" s="32"/>
      <c r="B178" s="35"/>
      <c r="C178" s="32"/>
      <c r="D178" s="32"/>
      <c r="E178" s="32"/>
      <c r="F178" s="41"/>
      <c r="G178" s="33"/>
      <c r="H178" s="33"/>
      <c r="I178" s="32"/>
      <c r="J178" s="35"/>
      <c r="K178" s="33"/>
    </row>
    <row r="179" customFormat="false" ht="15" hidden="false" customHeight="false" outlineLevel="0" collapsed="false">
      <c r="A179" s="32"/>
      <c r="B179" s="35"/>
      <c r="C179" s="32"/>
      <c r="D179" s="32"/>
      <c r="E179" s="32"/>
      <c r="F179" s="41"/>
      <c r="G179" s="33"/>
      <c r="H179" s="33"/>
      <c r="I179" s="32"/>
      <c r="J179" s="35"/>
      <c r="K179" s="33"/>
    </row>
    <row r="180" customFormat="false" ht="15" hidden="false" customHeight="false" outlineLevel="0" collapsed="false">
      <c r="A180" s="32"/>
      <c r="B180" s="35"/>
      <c r="C180" s="32"/>
      <c r="D180" s="32"/>
      <c r="E180" s="32"/>
      <c r="F180" s="41"/>
      <c r="G180" s="33"/>
      <c r="H180" s="33"/>
      <c r="I180" s="32"/>
      <c r="J180" s="35"/>
      <c r="K180" s="33"/>
    </row>
    <row r="181" customFormat="false" ht="15" hidden="false" customHeight="false" outlineLevel="0" collapsed="false">
      <c r="A181" s="32"/>
      <c r="B181" s="35"/>
      <c r="C181" s="32"/>
      <c r="D181" s="32"/>
      <c r="E181" s="32"/>
      <c r="F181" s="41"/>
      <c r="G181" s="33"/>
      <c r="H181" s="33"/>
      <c r="I181" s="32"/>
      <c r="J181" s="35"/>
      <c r="K181" s="33"/>
    </row>
    <row r="182" customFormat="false" ht="15" hidden="false" customHeight="false" outlineLevel="0" collapsed="false">
      <c r="A182" s="32"/>
      <c r="B182" s="35"/>
      <c r="C182" s="32"/>
      <c r="D182" s="32"/>
      <c r="E182" s="32"/>
      <c r="F182" s="41"/>
      <c r="G182" s="33"/>
      <c r="H182" s="33"/>
      <c r="I182" s="32"/>
      <c r="J182" s="35"/>
      <c r="K182" s="33"/>
    </row>
    <row r="183" customFormat="false" ht="15" hidden="false" customHeight="false" outlineLevel="0" collapsed="false">
      <c r="A183" s="32"/>
      <c r="B183" s="35"/>
      <c r="C183" s="32"/>
      <c r="D183" s="32"/>
      <c r="E183" s="32"/>
      <c r="F183" s="41"/>
      <c r="G183" s="33"/>
      <c r="H183" s="33"/>
      <c r="I183" s="32"/>
      <c r="J183" s="35"/>
      <c r="K183" s="33"/>
    </row>
    <row r="184" customFormat="false" ht="15" hidden="false" customHeight="false" outlineLevel="0" collapsed="false">
      <c r="A184" s="32"/>
      <c r="B184" s="35"/>
      <c r="C184" s="32"/>
      <c r="D184" s="32"/>
      <c r="E184" s="32"/>
      <c r="F184" s="41"/>
      <c r="G184" s="33"/>
      <c r="H184" s="33"/>
      <c r="I184" s="32"/>
      <c r="J184" s="35"/>
      <c r="K184" s="33"/>
    </row>
    <row r="185" customFormat="false" ht="15" hidden="false" customHeight="false" outlineLevel="0" collapsed="false">
      <c r="A185" s="32"/>
      <c r="B185" s="35"/>
      <c r="C185" s="32"/>
      <c r="D185" s="32"/>
      <c r="E185" s="32"/>
      <c r="F185" s="41"/>
      <c r="G185" s="33"/>
      <c r="H185" s="33"/>
      <c r="I185" s="32"/>
      <c r="J185" s="35"/>
      <c r="K185" s="33"/>
    </row>
    <row r="186" customFormat="false" ht="15" hidden="false" customHeight="false" outlineLevel="0" collapsed="false">
      <c r="A186" s="32"/>
      <c r="B186" s="35"/>
      <c r="C186" s="32"/>
      <c r="D186" s="32"/>
      <c r="E186" s="32"/>
      <c r="F186" s="41"/>
      <c r="G186" s="33"/>
      <c r="H186" s="33"/>
      <c r="I186" s="32"/>
      <c r="J186" s="35"/>
      <c r="K186" s="33"/>
    </row>
    <row r="187" customFormat="false" ht="15" hidden="false" customHeight="false" outlineLevel="0" collapsed="false">
      <c r="A187" s="32"/>
      <c r="B187" s="35"/>
      <c r="C187" s="32"/>
      <c r="D187" s="32"/>
      <c r="E187" s="32"/>
      <c r="F187" s="41"/>
      <c r="G187" s="33"/>
      <c r="H187" s="33"/>
      <c r="I187" s="32"/>
      <c r="J187" s="35"/>
      <c r="K187" s="33"/>
    </row>
    <row r="188" customFormat="false" ht="15" hidden="false" customHeight="false" outlineLevel="0" collapsed="false">
      <c r="A188" s="32"/>
      <c r="B188" s="35"/>
      <c r="C188" s="32"/>
      <c r="D188" s="32"/>
      <c r="E188" s="32"/>
      <c r="F188" s="41"/>
      <c r="G188" s="33"/>
      <c r="H188" s="33"/>
      <c r="I188" s="32"/>
      <c r="J188" s="35"/>
      <c r="K188" s="33"/>
    </row>
    <row r="189" customFormat="false" ht="15" hidden="false" customHeight="false" outlineLevel="0" collapsed="false">
      <c r="A189" s="32"/>
      <c r="B189" s="35"/>
      <c r="C189" s="32"/>
      <c r="D189" s="32"/>
      <c r="E189" s="32"/>
      <c r="F189" s="41"/>
      <c r="G189" s="33"/>
      <c r="H189" s="33"/>
      <c r="I189" s="32"/>
      <c r="J189" s="35"/>
      <c r="K189" s="33"/>
    </row>
    <row r="190" customFormat="false" ht="15" hidden="false" customHeight="false" outlineLevel="0" collapsed="false">
      <c r="A190" s="32"/>
      <c r="B190" s="35"/>
      <c r="C190" s="32"/>
      <c r="D190" s="32"/>
      <c r="E190" s="32"/>
      <c r="F190" s="41"/>
      <c r="G190" s="33"/>
      <c r="H190" s="33"/>
      <c r="I190" s="32"/>
      <c r="J190" s="35"/>
      <c r="K190" s="33"/>
    </row>
    <row r="191" customFormat="false" ht="15" hidden="false" customHeight="false" outlineLevel="0" collapsed="false">
      <c r="A191" s="32"/>
      <c r="B191" s="35"/>
      <c r="C191" s="32"/>
      <c r="D191" s="32"/>
      <c r="E191" s="32"/>
      <c r="F191" s="41"/>
      <c r="G191" s="33"/>
      <c r="H191" s="33"/>
      <c r="I191" s="32"/>
      <c r="J191" s="35"/>
      <c r="K191" s="33"/>
    </row>
    <row r="192" customFormat="false" ht="15" hidden="false" customHeight="false" outlineLevel="0" collapsed="false">
      <c r="A192" s="32"/>
      <c r="B192" s="35"/>
      <c r="C192" s="32"/>
      <c r="D192" s="32"/>
      <c r="E192" s="32"/>
      <c r="F192" s="41"/>
      <c r="G192" s="33"/>
      <c r="H192" s="33"/>
      <c r="I192" s="32"/>
      <c r="J192" s="35"/>
      <c r="K192" s="33"/>
    </row>
    <row r="193" customFormat="false" ht="15" hidden="false" customHeight="false" outlineLevel="0" collapsed="false">
      <c r="A193" s="32"/>
      <c r="B193" s="35"/>
      <c r="C193" s="32"/>
      <c r="D193" s="32"/>
      <c r="E193" s="32"/>
      <c r="F193" s="41"/>
      <c r="G193" s="33"/>
      <c r="H193" s="33"/>
      <c r="I193" s="32"/>
      <c r="J193" s="35"/>
      <c r="K193" s="33"/>
    </row>
    <row r="194" customFormat="false" ht="15" hidden="false" customHeight="false" outlineLevel="0" collapsed="false">
      <c r="A194" s="32"/>
      <c r="B194" s="35"/>
      <c r="C194" s="32"/>
      <c r="D194" s="32"/>
      <c r="E194" s="32"/>
      <c r="F194" s="41"/>
      <c r="G194" s="33"/>
      <c r="H194" s="33"/>
      <c r="I194" s="32"/>
      <c r="J194" s="35"/>
      <c r="K194" s="33"/>
    </row>
    <row r="195" customFormat="false" ht="15" hidden="false" customHeight="false" outlineLevel="0" collapsed="false">
      <c r="A195" s="32"/>
      <c r="B195" s="35"/>
      <c r="C195" s="32"/>
      <c r="D195" s="32"/>
      <c r="E195" s="32"/>
      <c r="F195" s="41"/>
      <c r="G195" s="33"/>
      <c r="H195" s="33"/>
      <c r="I195" s="32"/>
      <c r="J195" s="35"/>
      <c r="K195" s="33"/>
    </row>
    <row r="196" customFormat="false" ht="15" hidden="false" customHeight="false" outlineLevel="0" collapsed="false">
      <c r="A196" s="32"/>
      <c r="B196" s="35"/>
      <c r="C196" s="32"/>
      <c r="D196" s="32"/>
      <c r="E196" s="32"/>
      <c r="F196" s="41"/>
      <c r="G196" s="33"/>
      <c r="H196" s="33"/>
      <c r="I196" s="32"/>
      <c r="J196" s="35"/>
      <c r="K196" s="33"/>
    </row>
    <row r="197" customFormat="false" ht="15" hidden="false" customHeight="false" outlineLevel="0" collapsed="false">
      <c r="A197" s="32"/>
      <c r="B197" s="35"/>
      <c r="C197" s="32"/>
      <c r="D197" s="32"/>
      <c r="E197" s="32"/>
      <c r="F197" s="41"/>
      <c r="G197" s="33"/>
      <c r="H197" s="33"/>
      <c r="I197" s="32"/>
      <c r="J197" s="35"/>
      <c r="K197" s="33"/>
    </row>
    <row r="198" customFormat="false" ht="15" hidden="false" customHeight="false" outlineLevel="0" collapsed="false">
      <c r="A198" s="32"/>
      <c r="B198" s="35"/>
      <c r="C198" s="32"/>
      <c r="D198" s="32"/>
      <c r="E198" s="32"/>
      <c r="F198" s="41"/>
      <c r="G198" s="33"/>
      <c r="H198" s="33"/>
      <c r="I198" s="32"/>
      <c r="J198" s="35"/>
      <c r="K198" s="33"/>
    </row>
    <row r="199" customFormat="false" ht="15" hidden="false" customHeight="false" outlineLevel="0" collapsed="false">
      <c r="A199" s="32"/>
      <c r="B199" s="35"/>
      <c r="C199" s="32"/>
      <c r="D199" s="32"/>
      <c r="E199" s="32"/>
      <c r="F199" s="41"/>
      <c r="G199" s="33"/>
      <c r="H199" s="33"/>
      <c r="I199" s="32"/>
      <c r="J199" s="35"/>
      <c r="K199" s="33"/>
    </row>
    <row r="200" customFormat="false" ht="15" hidden="false" customHeight="false" outlineLevel="0" collapsed="false">
      <c r="A200" s="32"/>
      <c r="B200" s="35"/>
      <c r="C200" s="32"/>
      <c r="D200" s="32"/>
      <c r="E200" s="32"/>
      <c r="F200" s="41"/>
      <c r="G200" s="33"/>
      <c r="H200" s="33"/>
      <c r="I200" s="32"/>
      <c r="J200" s="35"/>
      <c r="K200" s="33"/>
    </row>
    <row r="201" customFormat="false" ht="15" hidden="false" customHeight="false" outlineLevel="0" collapsed="false">
      <c r="A201" s="32"/>
      <c r="B201" s="35"/>
      <c r="C201" s="32"/>
      <c r="D201" s="32"/>
      <c r="E201" s="32"/>
      <c r="F201" s="41"/>
      <c r="G201" s="33"/>
      <c r="H201" s="33"/>
      <c r="I201" s="32"/>
      <c r="J201" s="35"/>
      <c r="K201" s="33"/>
    </row>
    <row r="202" customFormat="false" ht="15" hidden="false" customHeight="false" outlineLevel="0" collapsed="false">
      <c r="A202" s="32"/>
      <c r="B202" s="35"/>
      <c r="C202" s="32"/>
      <c r="D202" s="32"/>
      <c r="E202" s="32"/>
      <c r="F202" s="41"/>
      <c r="G202" s="33"/>
      <c r="H202" s="33"/>
      <c r="I202" s="32"/>
      <c r="J202" s="35"/>
      <c r="K202" s="33"/>
    </row>
    <row r="203" customFormat="false" ht="15" hidden="false" customHeight="false" outlineLevel="0" collapsed="false">
      <c r="A203" s="32"/>
      <c r="B203" s="35"/>
      <c r="C203" s="32"/>
      <c r="D203" s="32"/>
      <c r="E203" s="32"/>
      <c r="F203" s="41"/>
      <c r="G203" s="33"/>
      <c r="H203" s="33"/>
      <c r="I203" s="32"/>
      <c r="J203" s="35"/>
      <c r="K203" s="33"/>
    </row>
    <row r="204" customFormat="false" ht="15" hidden="false" customHeight="false" outlineLevel="0" collapsed="false">
      <c r="A204" s="32"/>
      <c r="B204" s="35"/>
      <c r="C204" s="32"/>
      <c r="D204" s="32"/>
      <c r="E204" s="32"/>
      <c r="F204" s="41"/>
      <c r="G204" s="33"/>
      <c r="H204" s="33"/>
      <c r="I204" s="32"/>
      <c r="J204" s="35"/>
      <c r="K204" s="33"/>
    </row>
    <row r="205" customFormat="false" ht="15" hidden="false" customHeight="false" outlineLevel="0" collapsed="false">
      <c r="A205" s="32"/>
      <c r="B205" s="35"/>
      <c r="C205" s="32"/>
      <c r="D205" s="32"/>
      <c r="E205" s="32"/>
      <c r="F205" s="41"/>
      <c r="G205" s="33"/>
      <c r="H205" s="33"/>
      <c r="I205" s="32"/>
      <c r="J205" s="35"/>
      <c r="K205" s="33"/>
    </row>
    <row r="206" customFormat="false" ht="15" hidden="false" customHeight="false" outlineLevel="0" collapsed="false">
      <c r="A206" s="32"/>
      <c r="B206" s="35"/>
      <c r="C206" s="32"/>
      <c r="D206" s="32"/>
      <c r="E206" s="32"/>
      <c r="F206" s="41"/>
      <c r="G206" s="33"/>
      <c r="H206" s="33"/>
      <c r="I206" s="32"/>
      <c r="J206" s="35"/>
      <c r="K206" s="33"/>
    </row>
    <row r="207" customFormat="false" ht="15" hidden="false" customHeight="false" outlineLevel="0" collapsed="false">
      <c r="A207" s="32"/>
      <c r="B207" s="35"/>
      <c r="C207" s="32"/>
      <c r="D207" s="32"/>
      <c r="E207" s="32"/>
      <c r="F207" s="41"/>
      <c r="G207" s="33"/>
      <c r="H207" s="33"/>
      <c r="I207" s="32"/>
      <c r="J207" s="35"/>
      <c r="K207" s="33"/>
    </row>
    <row r="208" customFormat="false" ht="15" hidden="false" customHeight="false" outlineLevel="0" collapsed="false">
      <c r="A208" s="32"/>
      <c r="B208" s="35"/>
      <c r="C208" s="32"/>
      <c r="D208" s="32"/>
      <c r="E208" s="32"/>
      <c r="F208" s="41"/>
      <c r="G208" s="33"/>
      <c r="H208" s="33"/>
      <c r="I208" s="32"/>
      <c r="J208" s="35"/>
      <c r="K208" s="33"/>
    </row>
    <row r="209" customFormat="false" ht="15" hidden="false" customHeight="false" outlineLevel="0" collapsed="false">
      <c r="A209" s="32"/>
      <c r="B209" s="35"/>
      <c r="C209" s="32"/>
      <c r="D209" s="32"/>
      <c r="E209" s="32"/>
      <c r="F209" s="41"/>
      <c r="G209" s="33"/>
      <c r="H209" s="33"/>
      <c r="I209" s="32"/>
      <c r="J209" s="35"/>
      <c r="K209" s="33"/>
    </row>
    <row r="210" customFormat="false" ht="15" hidden="false" customHeight="false" outlineLevel="0" collapsed="false">
      <c r="A210" s="32"/>
      <c r="B210" s="35"/>
      <c r="C210" s="32"/>
      <c r="D210" s="32"/>
      <c r="E210" s="32"/>
      <c r="F210" s="41"/>
      <c r="G210" s="33"/>
      <c r="H210" s="33"/>
      <c r="I210" s="32"/>
      <c r="J210" s="35"/>
      <c r="K210" s="33"/>
    </row>
    <row r="211" customFormat="false" ht="15" hidden="false" customHeight="false" outlineLevel="0" collapsed="false">
      <c r="A211" s="32"/>
      <c r="B211" s="35"/>
      <c r="C211" s="32"/>
      <c r="D211" s="32"/>
      <c r="E211" s="32"/>
      <c r="F211" s="41"/>
      <c r="G211" s="33"/>
      <c r="H211" s="33"/>
      <c r="I211" s="32"/>
      <c r="J211" s="35"/>
      <c r="K211" s="33"/>
    </row>
    <row r="212" customFormat="false" ht="15" hidden="false" customHeight="false" outlineLevel="0" collapsed="false">
      <c r="A212" s="32"/>
      <c r="B212" s="35"/>
      <c r="C212" s="32"/>
      <c r="D212" s="32"/>
      <c r="E212" s="32"/>
      <c r="F212" s="41"/>
      <c r="G212" s="33"/>
      <c r="H212" s="33"/>
      <c r="I212" s="32"/>
      <c r="J212" s="35"/>
      <c r="K212" s="33"/>
    </row>
    <row r="213" customFormat="false" ht="15" hidden="false" customHeight="false" outlineLevel="0" collapsed="false">
      <c r="A213" s="32"/>
      <c r="B213" s="35"/>
      <c r="C213" s="32"/>
      <c r="D213" s="32"/>
      <c r="E213" s="32"/>
      <c r="F213" s="41"/>
      <c r="G213" s="33"/>
      <c r="H213" s="33"/>
      <c r="I213" s="32"/>
      <c r="J213" s="35"/>
      <c r="K213" s="33"/>
    </row>
    <row r="214" customFormat="false" ht="15" hidden="false" customHeight="false" outlineLevel="0" collapsed="false">
      <c r="A214" s="32"/>
      <c r="B214" s="35"/>
      <c r="C214" s="32"/>
      <c r="D214" s="32"/>
      <c r="E214" s="32"/>
      <c r="F214" s="41"/>
      <c r="G214" s="33"/>
      <c r="H214" s="33"/>
      <c r="I214" s="32"/>
      <c r="J214" s="35"/>
      <c r="K214" s="33"/>
    </row>
    <row r="215" customFormat="false" ht="15" hidden="false" customHeight="false" outlineLevel="0" collapsed="false">
      <c r="A215" s="32"/>
      <c r="B215" s="35"/>
      <c r="C215" s="32"/>
      <c r="D215" s="32"/>
      <c r="E215" s="32"/>
      <c r="F215" s="41"/>
      <c r="G215" s="33"/>
      <c r="H215" s="33"/>
      <c r="I215" s="32"/>
      <c r="J215" s="35"/>
      <c r="K215" s="33"/>
    </row>
    <row r="216" customFormat="false" ht="15" hidden="false" customHeight="false" outlineLevel="0" collapsed="false">
      <c r="A216" s="32"/>
      <c r="B216" s="35"/>
      <c r="C216" s="32"/>
      <c r="D216" s="32"/>
      <c r="E216" s="32"/>
      <c r="F216" s="41"/>
      <c r="G216" s="33"/>
      <c r="H216" s="33"/>
      <c r="I216" s="32"/>
      <c r="J216" s="35"/>
      <c r="K216" s="33"/>
    </row>
    <row r="217" customFormat="false" ht="15" hidden="false" customHeight="false" outlineLevel="0" collapsed="false">
      <c r="A217" s="32"/>
      <c r="B217" s="35"/>
      <c r="C217" s="32"/>
      <c r="D217" s="32"/>
      <c r="E217" s="32"/>
      <c r="F217" s="41"/>
      <c r="G217" s="33"/>
      <c r="H217" s="33"/>
      <c r="I217" s="32"/>
      <c r="J217" s="35"/>
      <c r="K217" s="33"/>
    </row>
    <row r="218" customFormat="false" ht="15" hidden="false" customHeight="false" outlineLevel="0" collapsed="false">
      <c r="A218" s="32"/>
      <c r="B218" s="35"/>
      <c r="C218" s="32"/>
      <c r="D218" s="32"/>
      <c r="E218" s="32"/>
      <c r="F218" s="41"/>
      <c r="G218" s="33"/>
      <c r="H218" s="33"/>
      <c r="I218" s="32"/>
      <c r="J218" s="35"/>
      <c r="K218" s="33"/>
    </row>
    <row r="219" customFormat="false" ht="15" hidden="false" customHeight="false" outlineLevel="0" collapsed="false">
      <c r="A219" s="32"/>
      <c r="B219" s="35"/>
      <c r="C219" s="32"/>
      <c r="D219" s="32"/>
      <c r="E219" s="32"/>
      <c r="F219" s="41"/>
      <c r="G219" s="33"/>
      <c r="H219" s="33"/>
      <c r="I219" s="32"/>
      <c r="J219" s="35"/>
      <c r="K219" s="33"/>
    </row>
    <row r="220" customFormat="false" ht="15" hidden="false" customHeight="false" outlineLevel="0" collapsed="false">
      <c r="A220" s="32"/>
      <c r="B220" s="35"/>
      <c r="C220" s="32"/>
      <c r="D220" s="32"/>
      <c r="E220" s="32"/>
      <c r="F220" s="41"/>
      <c r="G220" s="33"/>
      <c r="H220" s="33"/>
      <c r="I220" s="32"/>
      <c r="J220" s="35"/>
      <c r="K220" s="33"/>
    </row>
    <row r="221" customFormat="false" ht="15" hidden="false" customHeight="false" outlineLevel="0" collapsed="false">
      <c r="A221" s="32"/>
      <c r="B221" s="35"/>
      <c r="C221" s="32"/>
      <c r="D221" s="32"/>
      <c r="E221" s="32"/>
      <c r="F221" s="41"/>
      <c r="G221" s="33"/>
      <c r="H221" s="33"/>
      <c r="I221" s="32"/>
      <c r="J221" s="35"/>
      <c r="K221" s="33"/>
    </row>
    <row r="222" customFormat="false" ht="15" hidden="false" customHeight="false" outlineLevel="0" collapsed="false">
      <c r="A222" s="32"/>
      <c r="B222" s="35"/>
      <c r="C222" s="32"/>
      <c r="D222" s="32"/>
      <c r="E222" s="32"/>
      <c r="F222" s="41"/>
      <c r="G222" s="33"/>
      <c r="H222" s="33"/>
      <c r="I222" s="32"/>
      <c r="J222" s="35"/>
      <c r="K222" s="33"/>
    </row>
    <row r="223" customFormat="false" ht="15" hidden="false" customHeight="false" outlineLevel="0" collapsed="false">
      <c r="A223" s="32"/>
      <c r="B223" s="35"/>
      <c r="C223" s="32"/>
      <c r="D223" s="32"/>
      <c r="E223" s="32"/>
      <c r="F223" s="41"/>
      <c r="G223" s="33"/>
      <c r="H223" s="33"/>
      <c r="I223" s="32"/>
      <c r="J223" s="35"/>
      <c r="K223" s="33"/>
    </row>
    <row r="224" customFormat="false" ht="15" hidden="false" customHeight="false" outlineLevel="0" collapsed="false">
      <c r="A224" s="32"/>
      <c r="B224" s="35"/>
      <c r="C224" s="32"/>
      <c r="D224" s="32"/>
      <c r="E224" s="32"/>
      <c r="F224" s="41"/>
      <c r="G224" s="33"/>
      <c r="H224" s="33"/>
      <c r="I224" s="32"/>
      <c r="J224" s="35"/>
      <c r="K224" s="33"/>
    </row>
    <row r="225" customFormat="false" ht="15" hidden="false" customHeight="false" outlineLevel="0" collapsed="false">
      <c r="A225" s="32"/>
      <c r="B225" s="35"/>
      <c r="C225" s="32"/>
      <c r="D225" s="32"/>
      <c r="E225" s="32"/>
      <c r="F225" s="41"/>
      <c r="G225" s="33"/>
      <c r="H225" s="33"/>
      <c r="I225" s="32"/>
      <c r="J225" s="35"/>
      <c r="K225" s="33"/>
    </row>
    <row r="226" customFormat="false" ht="15" hidden="false" customHeight="false" outlineLevel="0" collapsed="false">
      <c r="A226" s="32"/>
      <c r="B226" s="35"/>
      <c r="C226" s="32"/>
      <c r="D226" s="32"/>
      <c r="E226" s="32"/>
      <c r="F226" s="41"/>
      <c r="G226" s="33"/>
      <c r="H226" s="33"/>
      <c r="I226" s="32"/>
      <c r="J226" s="35"/>
      <c r="K226" s="33"/>
    </row>
    <row r="227" customFormat="false" ht="15" hidden="false" customHeight="false" outlineLevel="0" collapsed="false">
      <c r="A227" s="32"/>
      <c r="B227" s="35"/>
      <c r="C227" s="32"/>
      <c r="D227" s="32"/>
      <c r="E227" s="32"/>
      <c r="F227" s="41"/>
      <c r="G227" s="33"/>
      <c r="H227" s="33"/>
      <c r="I227" s="32"/>
      <c r="J227" s="35"/>
      <c r="K227" s="33"/>
    </row>
    <row r="228" customFormat="false" ht="15" hidden="false" customHeight="false" outlineLevel="0" collapsed="false">
      <c r="A228" s="32"/>
      <c r="B228" s="35"/>
      <c r="C228" s="32"/>
      <c r="D228" s="32"/>
      <c r="E228" s="32"/>
      <c r="F228" s="41"/>
      <c r="G228" s="33"/>
      <c r="H228" s="33"/>
      <c r="I228" s="32"/>
      <c r="J228" s="35"/>
      <c r="K228" s="33"/>
    </row>
    <row r="229" customFormat="false" ht="15" hidden="false" customHeight="false" outlineLevel="0" collapsed="false">
      <c r="A229" s="32"/>
      <c r="B229" s="35"/>
      <c r="C229" s="32"/>
      <c r="D229" s="32"/>
      <c r="E229" s="32"/>
      <c r="F229" s="41"/>
      <c r="G229" s="33"/>
      <c r="H229" s="33"/>
      <c r="I229" s="32"/>
      <c r="J229" s="35"/>
      <c r="K229" s="33"/>
    </row>
    <row r="230" customFormat="false" ht="15" hidden="false" customHeight="false" outlineLevel="0" collapsed="false">
      <c r="A230" s="32"/>
      <c r="B230" s="35"/>
      <c r="C230" s="32"/>
      <c r="D230" s="32"/>
      <c r="E230" s="32"/>
      <c r="F230" s="41"/>
      <c r="G230" s="33"/>
      <c r="H230" s="33"/>
      <c r="I230" s="32"/>
      <c r="J230" s="35"/>
      <c r="K230" s="33"/>
    </row>
    <row r="231" customFormat="false" ht="15" hidden="false" customHeight="false" outlineLevel="0" collapsed="false">
      <c r="A231" s="32"/>
      <c r="B231" s="35"/>
      <c r="C231" s="32"/>
      <c r="D231" s="32"/>
      <c r="E231" s="32"/>
      <c r="F231" s="41"/>
      <c r="G231" s="33"/>
      <c r="H231" s="33"/>
      <c r="I231" s="32"/>
      <c r="J231" s="35"/>
      <c r="K231" s="33"/>
    </row>
    <row r="232" customFormat="false" ht="15" hidden="false" customHeight="false" outlineLevel="0" collapsed="false">
      <c r="A232" s="32"/>
      <c r="B232" s="35"/>
      <c r="C232" s="32"/>
      <c r="D232" s="32"/>
      <c r="E232" s="32"/>
      <c r="F232" s="41"/>
      <c r="G232" s="33"/>
      <c r="H232" s="33"/>
      <c r="I232" s="32"/>
      <c r="J232" s="35"/>
      <c r="K232" s="33"/>
    </row>
    <row r="233" customFormat="false" ht="15" hidden="false" customHeight="false" outlineLevel="0" collapsed="false">
      <c r="A233" s="32"/>
      <c r="B233" s="35"/>
      <c r="C233" s="32"/>
      <c r="D233" s="32"/>
      <c r="E233" s="32"/>
      <c r="F233" s="41"/>
      <c r="G233" s="33"/>
      <c r="H233" s="33"/>
      <c r="I233" s="32"/>
      <c r="J233" s="35"/>
      <c r="K233" s="33"/>
    </row>
    <row r="234" customFormat="false" ht="15" hidden="false" customHeight="false" outlineLevel="0" collapsed="false">
      <c r="A234" s="32"/>
      <c r="B234" s="35"/>
      <c r="C234" s="32"/>
      <c r="D234" s="32"/>
      <c r="E234" s="32"/>
      <c r="F234" s="41"/>
      <c r="G234" s="33"/>
      <c r="H234" s="33"/>
      <c r="I234" s="32"/>
      <c r="J234" s="35"/>
      <c r="K234" s="33"/>
    </row>
    <row r="235" customFormat="false" ht="15" hidden="false" customHeight="false" outlineLevel="0" collapsed="false">
      <c r="A235" s="32"/>
      <c r="B235" s="35"/>
      <c r="C235" s="32"/>
      <c r="D235" s="32"/>
      <c r="E235" s="32"/>
      <c r="F235" s="41"/>
      <c r="G235" s="33"/>
      <c r="H235" s="33"/>
      <c r="I235" s="32"/>
      <c r="J235" s="35"/>
      <c r="K235" s="33"/>
    </row>
    <row r="236" customFormat="false" ht="15" hidden="false" customHeight="false" outlineLevel="0" collapsed="false">
      <c r="A236" s="32"/>
      <c r="B236" s="35"/>
      <c r="C236" s="32"/>
      <c r="D236" s="32"/>
      <c r="E236" s="32"/>
      <c r="F236" s="41"/>
      <c r="G236" s="33"/>
      <c r="H236" s="33"/>
      <c r="I236" s="32"/>
      <c r="J236" s="35"/>
      <c r="K236" s="33"/>
    </row>
    <row r="237" customFormat="false" ht="15" hidden="false" customHeight="false" outlineLevel="0" collapsed="false">
      <c r="A237" s="32"/>
      <c r="B237" s="35"/>
      <c r="C237" s="32"/>
      <c r="D237" s="32"/>
      <c r="E237" s="32"/>
      <c r="F237" s="41"/>
      <c r="G237" s="33"/>
      <c r="H237" s="33"/>
      <c r="I237" s="32"/>
      <c r="J237" s="35"/>
      <c r="K237" s="33"/>
    </row>
    <row r="238" customFormat="false" ht="15" hidden="false" customHeight="false" outlineLevel="0" collapsed="false">
      <c r="A238" s="32"/>
      <c r="B238" s="35"/>
      <c r="C238" s="32"/>
      <c r="D238" s="32"/>
      <c r="E238" s="32"/>
      <c r="F238" s="41"/>
      <c r="G238" s="33"/>
      <c r="H238" s="33"/>
      <c r="I238" s="32"/>
      <c r="J238" s="35"/>
      <c r="K238" s="33"/>
    </row>
    <row r="239" customFormat="false" ht="15" hidden="false" customHeight="false" outlineLevel="0" collapsed="false">
      <c r="A239" s="32"/>
      <c r="B239" s="35"/>
      <c r="C239" s="32"/>
      <c r="D239" s="32"/>
      <c r="E239" s="32"/>
      <c r="F239" s="41"/>
      <c r="G239" s="33"/>
      <c r="H239" s="33"/>
      <c r="I239" s="32"/>
      <c r="J239" s="35"/>
      <c r="K239" s="33"/>
    </row>
    <row r="240" customFormat="false" ht="15" hidden="false" customHeight="false" outlineLevel="0" collapsed="false">
      <c r="A240" s="32"/>
      <c r="B240" s="35"/>
      <c r="C240" s="32"/>
      <c r="D240" s="32"/>
      <c r="E240" s="32"/>
      <c r="F240" s="41"/>
      <c r="G240" s="33"/>
      <c r="H240" s="33"/>
      <c r="I240" s="32"/>
      <c r="J240" s="35"/>
      <c r="K240" s="33"/>
    </row>
    <row r="241" customFormat="false" ht="15" hidden="false" customHeight="false" outlineLevel="0" collapsed="false">
      <c r="A241" s="32"/>
      <c r="B241" s="35"/>
      <c r="C241" s="32"/>
      <c r="D241" s="32"/>
      <c r="E241" s="32"/>
      <c r="F241" s="41"/>
      <c r="G241" s="33"/>
      <c r="H241" s="33"/>
      <c r="I241" s="32"/>
      <c r="J241" s="35"/>
      <c r="K241" s="33"/>
    </row>
    <row r="242" customFormat="false" ht="15" hidden="false" customHeight="false" outlineLevel="0" collapsed="false">
      <c r="A242" s="32"/>
      <c r="B242" s="35"/>
      <c r="C242" s="32"/>
      <c r="D242" s="32"/>
      <c r="E242" s="32"/>
      <c r="F242" s="41"/>
      <c r="G242" s="33"/>
      <c r="H242" s="33"/>
      <c r="I242" s="32"/>
      <c r="J242" s="35"/>
      <c r="K242" s="33"/>
    </row>
    <row r="243" customFormat="false" ht="15" hidden="false" customHeight="false" outlineLevel="0" collapsed="false">
      <c r="A243" s="32"/>
      <c r="B243" s="35"/>
      <c r="C243" s="32"/>
      <c r="D243" s="32"/>
      <c r="E243" s="32"/>
      <c r="F243" s="41"/>
      <c r="G243" s="33"/>
      <c r="H243" s="33"/>
      <c r="I243" s="32"/>
      <c r="J243" s="35"/>
      <c r="K243" s="33"/>
    </row>
    <row r="244" customFormat="false" ht="15" hidden="false" customHeight="false" outlineLevel="0" collapsed="false">
      <c r="A244" s="32"/>
      <c r="B244" s="35"/>
      <c r="C244" s="32"/>
      <c r="D244" s="32"/>
      <c r="E244" s="32"/>
      <c r="F244" s="41"/>
      <c r="G244" s="33"/>
      <c r="H244" s="33"/>
      <c r="I244" s="32"/>
      <c r="J244" s="35"/>
      <c r="K244" s="33"/>
    </row>
    <row r="245" customFormat="false" ht="15" hidden="false" customHeight="false" outlineLevel="0" collapsed="false">
      <c r="A245" s="32"/>
      <c r="B245" s="35"/>
      <c r="C245" s="32"/>
      <c r="D245" s="32"/>
      <c r="E245" s="32"/>
      <c r="F245" s="41"/>
      <c r="G245" s="33"/>
      <c r="H245" s="33"/>
      <c r="I245" s="32"/>
      <c r="J245" s="35"/>
      <c r="K245" s="33"/>
    </row>
    <row r="246" customFormat="false" ht="15" hidden="false" customHeight="false" outlineLevel="0" collapsed="false">
      <c r="A246" s="32"/>
      <c r="B246" s="35"/>
      <c r="C246" s="32"/>
      <c r="D246" s="32"/>
      <c r="E246" s="32"/>
      <c r="F246" s="41"/>
      <c r="G246" s="33"/>
      <c r="H246" s="33"/>
      <c r="I246" s="32"/>
      <c r="J246" s="35"/>
      <c r="K246" s="33"/>
    </row>
    <row r="247" customFormat="false" ht="15" hidden="false" customHeight="false" outlineLevel="0" collapsed="false">
      <c r="A247" s="32"/>
      <c r="B247" s="35"/>
      <c r="C247" s="32"/>
      <c r="D247" s="32"/>
      <c r="E247" s="32"/>
      <c r="F247" s="41"/>
      <c r="G247" s="33"/>
      <c r="H247" s="33"/>
      <c r="I247" s="32"/>
      <c r="J247" s="35"/>
      <c r="K247" s="33"/>
    </row>
    <row r="248" customFormat="false" ht="15" hidden="false" customHeight="false" outlineLevel="0" collapsed="false">
      <c r="A248" s="32"/>
      <c r="B248" s="35"/>
      <c r="C248" s="32"/>
      <c r="D248" s="32"/>
      <c r="E248" s="32"/>
      <c r="F248" s="41"/>
      <c r="G248" s="33"/>
      <c r="H248" s="33"/>
      <c r="I248" s="32"/>
      <c r="J248" s="35"/>
      <c r="K248" s="33"/>
    </row>
    <row r="249" customFormat="false" ht="15" hidden="false" customHeight="false" outlineLevel="0" collapsed="false">
      <c r="A249" s="32"/>
      <c r="B249" s="35"/>
      <c r="C249" s="32"/>
      <c r="D249" s="32"/>
      <c r="E249" s="32"/>
      <c r="F249" s="41"/>
      <c r="G249" s="33"/>
      <c r="H249" s="33"/>
      <c r="I249" s="32"/>
      <c r="J249" s="35"/>
      <c r="K249" s="33"/>
    </row>
    <row r="250" customFormat="false" ht="15" hidden="false" customHeight="false" outlineLevel="0" collapsed="false">
      <c r="A250" s="32"/>
      <c r="B250" s="35"/>
      <c r="C250" s="32"/>
      <c r="D250" s="32"/>
      <c r="E250" s="32"/>
      <c r="F250" s="41"/>
      <c r="G250" s="33"/>
      <c r="H250" s="33"/>
      <c r="I250" s="32"/>
      <c r="J250" s="35"/>
      <c r="K250" s="33"/>
    </row>
    <row r="251" customFormat="false" ht="15" hidden="false" customHeight="false" outlineLevel="0" collapsed="false">
      <c r="A251" s="32"/>
      <c r="B251" s="35"/>
      <c r="C251" s="32"/>
      <c r="D251" s="32"/>
      <c r="E251" s="32"/>
      <c r="F251" s="41"/>
      <c r="G251" s="33"/>
      <c r="H251" s="33"/>
      <c r="I251" s="32"/>
      <c r="J251" s="35"/>
      <c r="K251" s="33"/>
    </row>
    <row r="252" customFormat="false" ht="15" hidden="false" customHeight="false" outlineLevel="0" collapsed="false">
      <c r="A252" s="32"/>
      <c r="B252" s="35"/>
      <c r="C252" s="32"/>
      <c r="D252" s="32"/>
      <c r="E252" s="32"/>
      <c r="F252" s="41"/>
      <c r="G252" s="33"/>
      <c r="H252" s="33"/>
      <c r="I252" s="32"/>
      <c r="J252" s="35"/>
      <c r="K252" s="33"/>
    </row>
    <row r="253" customFormat="false" ht="15" hidden="false" customHeight="false" outlineLevel="0" collapsed="false">
      <c r="A253" s="32"/>
      <c r="B253" s="35"/>
      <c r="C253" s="32"/>
      <c r="D253" s="32"/>
      <c r="E253" s="32"/>
      <c r="F253" s="41"/>
      <c r="G253" s="33"/>
      <c r="H253" s="33"/>
      <c r="I253" s="32"/>
      <c r="J253" s="35"/>
      <c r="K253" s="33"/>
    </row>
    <row r="254" customFormat="false" ht="15" hidden="false" customHeight="false" outlineLevel="0" collapsed="false">
      <c r="A254" s="32"/>
      <c r="B254" s="35"/>
      <c r="C254" s="32"/>
      <c r="D254" s="32"/>
      <c r="E254" s="32"/>
      <c r="F254" s="41"/>
      <c r="G254" s="33"/>
      <c r="H254" s="33"/>
      <c r="I254" s="32"/>
      <c r="J254" s="35"/>
      <c r="K254" s="33"/>
    </row>
    <row r="255" customFormat="false" ht="15" hidden="false" customHeight="false" outlineLevel="0" collapsed="false">
      <c r="A255" s="32"/>
      <c r="B255" s="35"/>
      <c r="C255" s="32"/>
      <c r="D255" s="32"/>
      <c r="E255" s="32"/>
      <c r="F255" s="41"/>
      <c r="G255" s="33"/>
      <c r="H255" s="33"/>
      <c r="I255" s="32"/>
      <c r="J255" s="35"/>
      <c r="K255" s="33"/>
    </row>
    <row r="256" customFormat="false" ht="15" hidden="false" customHeight="false" outlineLevel="0" collapsed="false">
      <c r="A256" s="32"/>
      <c r="B256" s="35"/>
      <c r="C256" s="32"/>
      <c r="D256" s="32"/>
      <c r="E256" s="32"/>
      <c r="F256" s="41"/>
      <c r="G256" s="33"/>
      <c r="H256" s="33"/>
      <c r="I256" s="32"/>
      <c r="J256" s="35"/>
      <c r="K256" s="33"/>
    </row>
    <row r="257" customFormat="false" ht="15" hidden="false" customHeight="false" outlineLevel="0" collapsed="false">
      <c r="A257" s="32"/>
      <c r="B257" s="35"/>
      <c r="C257" s="32"/>
      <c r="D257" s="32"/>
      <c r="E257" s="32"/>
      <c r="F257" s="41"/>
      <c r="G257" s="33"/>
      <c r="H257" s="33"/>
      <c r="I257" s="32"/>
      <c r="J257" s="35"/>
      <c r="K257" s="33"/>
    </row>
    <row r="258" customFormat="false" ht="15" hidden="false" customHeight="false" outlineLevel="0" collapsed="false">
      <c r="A258" s="32"/>
      <c r="B258" s="35"/>
      <c r="C258" s="32"/>
      <c r="D258" s="32"/>
      <c r="E258" s="32"/>
      <c r="F258" s="41"/>
      <c r="G258" s="33"/>
      <c r="H258" s="33"/>
      <c r="I258" s="32"/>
      <c r="J258" s="35"/>
      <c r="K258" s="33"/>
    </row>
    <row r="259" customFormat="false" ht="15" hidden="false" customHeight="false" outlineLevel="0" collapsed="false">
      <c r="A259" s="32"/>
      <c r="B259" s="35"/>
      <c r="C259" s="32"/>
      <c r="D259" s="32"/>
      <c r="E259" s="32"/>
      <c r="F259" s="41"/>
      <c r="G259" s="33"/>
      <c r="H259" s="33"/>
      <c r="I259" s="32"/>
      <c r="J259" s="35"/>
      <c r="K259" s="33"/>
    </row>
    <row r="260" customFormat="false" ht="15" hidden="false" customHeight="false" outlineLevel="0" collapsed="false">
      <c r="A260" s="32"/>
      <c r="B260" s="35"/>
      <c r="C260" s="32"/>
      <c r="D260" s="32"/>
      <c r="E260" s="32"/>
      <c r="F260" s="41"/>
      <c r="G260" s="33"/>
      <c r="H260" s="33"/>
      <c r="I260" s="32"/>
      <c r="J260" s="35"/>
      <c r="K260" s="33"/>
    </row>
    <row r="261" customFormat="false" ht="15" hidden="false" customHeight="false" outlineLevel="0" collapsed="false">
      <c r="A261" s="32"/>
      <c r="B261" s="35"/>
      <c r="C261" s="32"/>
      <c r="D261" s="32"/>
      <c r="E261" s="32"/>
      <c r="F261" s="41"/>
      <c r="G261" s="33"/>
      <c r="H261" s="33"/>
      <c r="I261" s="32"/>
      <c r="J261" s="35"/>
      <c r="K261" s="33"/>
    </row>
    <row r="262" customFormat="false" ht="15" hidden="false" customHeight="false" outlineLevel="0" collapsed="false">
      <c r="A262" s="32"/>
      <c r="B262" s="35"/>
      <c r="C262" s="32"/>
      <c r="D262" s="32"/>
      <c r="E262" s="32"/>
      <c r="F262" s="41"/>
      <c r="G262" s="33"/>
      <c r="H262" s="33"/>
      <c r="I262" s="32"/>
      <c r="J262" s="35"/>
      <c r="K262" s="33"/>
    </row>
    <row r="263" customFormat="false" ht="15" hidden="false" customHeight="false" outlineLevel="0" collapsed="false">
      <c r="A263" s="32"/>
      <c r="B263" s="35"/>
      <c r="C263" s="32"/>
      <c r="D263" s="32"/>
      <c r="E263" s="32"/>
      <c r="F263" s="41"/>
      <c r="G263" s="33"/>
      <c r="H263" s="33"/>
      <c r="I263" s="32"/>
      <c r="J263" s="35"/>
      <c r="K263" s="33"/>
    </row>
    <row r="264" customFormat="false" ht="15" hidden="false" customHeight="false" outlineLevel="0" collapsed="false">
      <c r="A264" s="32"/>
      <c r="B264" s="35"/>
      <c r="C264" s="32"/>
      <c r="D264" s="32"/>
      <c r="E264" s="32"/>
      <c r="F264" s="41"/>
      <c r="G264" s="33"/>
      <c r="H264" s="33"/>
      <c r="I264" s="32"/>
      <c r="J264" s="35"/>
      <c r="K264" s="33"/>
    </row>
    <row r="265" customFormat="false" ht="15" hidden="false" customHeight="false" outlineLevel="0" collapsed="false">
      <c r="A265" s="32"/>
      <c r="B265" s="35"/>
      <c r="C265" s="32"/>
      <c r="D265" s="32"/>
      <c r="E265" s="32"/>
      <c r="F265" s="41"/>
      <c r="G265" s="33"/>
      <c r="H265" s="33"/>
      <c r="I265" s="32"/>
      <c r="J265" s="35"/>
      <c r="K265" s="33"/>
    </row>
    <row r="266" customFormat="false" ht="15" hidden="false" customHeight="false" outlineLevel="0" collapsed="false">
      <c r="A266" s="32"/>
      <c r="B266" s="35"/>
      <c r="C266" s="32"/>
      <c r="D266" s="32"/>
      <c r="E266" s="32"/>
      <c r="F266" s="41"/>
      <c r="G266" s="33"/>
      <c r="H266" s="33"/>
      <c r="I266" s="32"/>
      <c r="J266" s="35"/>
      <c r="K266" s="33"/>
    </row>
    <row r="267" customFormat="false" ht="15" hidden="false" customHeight="false" outlineLevel="0" collapsed="false">
      <c r="A267" s="32"/>
      <c r="B267" s="35"/>
      <c r="C267" s="32"/>
      <c r="D267" s="32"/>
      <c r="E267" s="32"/>
      <c r="F267" s="41"/>
      <c r="G267" s="33"/>
      <c r="H267" s="33"/>
      <c r="I267" s="32"/>
      <c r="J267" s="35"/>
      <c r="K267" s="33"/>
    </row>
    <row r="268" customFormat="false" ht="15" hidden="false" customHeight="false" outlineLevel="0" collapsed="false">
      <c r="A268" s="32"/>
      <c r="B268" s="35"/>
      <c r="C268" s="32"/>
      <c r="D268" s="32"/>
      <c r="E268" s="32"/>
      <c r="F268" s="41"/>
      <c r="G268" s="33"/>
      <c r="H268" s="33"/>
      <c r="I268" s="32"/>
      <c r="J268" s="35"/>
      <c r="K268" s="33"/>
    </row>
    <row r="269" customFormat="false" ht="15" hidden="false" customHeight="false" outlineLevel="0" collapsed="false">
      <c r="A269" s="32"/>
      <c r="B269" s="35"/>
      <c r="C269" s="32"/>
      <c r="D269" s="32"/>
      <c r="E269" s="32"/>
      <c r="F269" s="41"/>
      <c r="G269" s="33"/>
      <c r="H269" s="33"/>
      <c r="I269" s="32"/>
      <c r="J269" s="35"/>
      <c r="K269" s="33"/>
    </row>
    <row r="270" customFormat="false" ht="15" hidden="false" customHeight="false" outlineLevel="0" collapsed="false">
      <c r="A270" s="32"/>
      <c r="B270" s="35"/>
      <c r="C270" s="32"/>
      <c r="D270" s="32"/>
      <c r="E270" s="32"/>
      <c r="F270" s="41"/>
      <c r="G270" s="33"/>
      <c r="H270" s="33"/>
      <c r="I270" s="32"/>
      <c r="J270" s="35"/>
      <c r="K270" s="33"/>
    </row>
    <row r="271" customFormat="false" ht="15" hidden="false" customHeight="false" outlineLevel="0" collapsed="false">
      <c r="A271" s="32"/>
      <c r="B271" s="35"/>
      <c r="C271" s="32"/>
      <c r="D271" s="32"/>
      <c r="E271" s="32"/>
      <c r="F271" s="41"/>
      <c r="G271" s="33"/>
      <c r="H271" s="33"/>
      <c r="I271" s="32"/>
      <c r="J271" s="35"/>
      <c r="K271" s="33"/>
    </row>
    <row r="272" customFormat="false" ht="15" hidden="false" customHeight="false" outlineLevel="0" collapsed="false">
      <c r="A272" s="32"/>
      <c r="B272" s="35"/>
      <c r="C272" s="32"/>
      <c r="D272" s="32"/>
      <c r="E272" s="32"/>
      <c r="F272" s="41"/>
      <c r="G272" s="33"/>
      <c r="H272" s="33"/>
      <c r="I272" s="32"/>
      <c r="J272" s="35"/>
      <c r="K272" s="33"/>
    </row>
    <row r="273" customFormat="false" ht="15" hidden="false" customHeight="false" outlineLevel="0" collapsed="false">
      <c r="A273" s="32"/>
      <c r="B273" s="35"/>
      <c r="C273" s="32"/>
      <c r="D273" s="32"/>
      <c r="E273" s="32"/>
      <c r="F273" s="41"/>
      <c r="G273" s="33"/>
      <c r="H273" s="33"/>
      <c r="I273" s="32"/>
      <c r="J273" s="35"/>
      <c r="K273" s="33"/>
    </row>
    <row r="274" customFormat="false" ht="15" hidden="false" customHeight="false" outlineLevel="0" collapsed="false">
      <c r="A274" s="32"/>
      <c r="B274" s="35"/>
      <c r="C274" s="32"/>
      <c r="D274" s="32"/>
      <c r="E274" s="32"/>
      <c r="F274" s="41"/>
      <c r="G274" s="33"/>
      <c r="H274" s="33"/>
      <c r="I274" s="32"/>
      <c r="J274" s="35"/>
      <c r="K274" s="33"/>
    </row>
    <row r="275" customFormat="false" ht="15" hidden="false" customHeight="false" outlineLevel="0" collapsed="false">
      <c r="A275" s="32"/>
      <c r="B275" s="35"/>
      <c r="C275" s="32"/>
      <c r="D275" s="32"/>
      <c r="E275" s="32"/>
      <c r="F275" s="41"/>
      <c r="G275" s="33"/>
      <c r="H275" s="33"/>
      <c r="I275" s="32"/>
      <c r="J275" s="35"/>
      <c r="K275" s="33"/>
    </row>
    <row r="276" customFormat="false" ht="15" hidden="false" customHeight="false" outlineLevel="0" collapsed="false">
      <c r="A276" s="32"/>
      <c r="B276" s="35"/>
      <c r="C276" s="32"/>
      <c r="D276" s="32"/>
      <c r="E276" s="32"/>
      <c r="F276" s="41"/>
      <c r="G276" s="33"/>
      <c r="H276" s="33"/>
      <c r="I276" s="32"/>
      <c r="J276" s="35"/>
      <c r="K276" s="33"/>
    </row>
    <row r="277" customFormat="false" ht="15" hidden="false" customHeight="false" outlineLevel="0" collapsed="false">
      <c r="A277" s="32"/>
      <c r="B277" s="35"/>
      <c r="C277" s="32"/>
      <c r="D277" s="32"/>
      <c r="E277" s="32"/>
      <c r="F277" s="41"/>
      <c r="G277" s="33"/>
      <c r="H277" s="33"/>
      <c r="I277" s="32"/>
      <c r="J277" s="35"/>
      <c r="K277" s="33"/>
    </row>
    <row r="278" customFormat="false" ht="15" hidden="false" customHeight="false" outlineLevel="0" collapsed="false">
      <c r="A278" s="32"/>
      <c r="B278" s="35"/>
      <c r="C278" s="32"/>
      <c r="D278" s="32"/>
      <c r="E278" s="32"/>
      <c r="F278" s="41"/>
      <c r="G278" s="33"/>
      <c r="H278" s="33"/>
      <c r="I278" s="32"/>
      <c r="J278" s="35"/>
      <c r="K278" s="33"/>
    </row>
    <row r="279" customFormat="false" ht="15" hidden="false" customHeight="false" outlineLevel="0" collapsed="false">
      <c r="A279" s="32"/>
      <c r="B279" s="35"/>
      <c r="C279" s="32"/>
      <c r="D279" s="32"/>
      <c r="E279" s="32"/>
      <c r="F279" s="41"/>
      <c r="G279" s="33"/>
      <c r="H279" s="33"/>
      <c r="I279" s="32"/>
      <c r="J279" s="35"/>
      <c r="K279" s="33"/>
    </row>
    <row r="280" customFormat="false" ht="15" hidden="false" customHeight="false" outlineLevel="0" collapsed="false">
      <c r="A280" s="32"/>
      <c r="B280" s="35"/>
      <c r="C280" s="32"/>
      <c r="D280" s="32"/>
      <c r="E280" s="32"/>
      <c r="F280" s="41"/>
      <c r="G280" s="33"/>
      <c r="H280" s="33"/>
      <c r="I280" s="32"/>
      <c r="J280" s="35"/>
      <c r="K280" s="33"/>
    </row>
    <row r="281" customFormat="false" ht="15" hidden="false" customHeight="false" outlineLevel="0" collapsed="false">
      <c r="A281" s="32"/>
      <c r="B281" s="35"/>
      <c r="C281" s="32"/>
      <c r="D281" s="32"/>
      <c r="E281" s="32"/>
      <c r="F281" s="41"/>
      <c r="G281" s="33"/>
      <c r="H281" s="33"/>
      <c r="I281" s="32"/>
      <c r="J281" s="35"/>
      <c r="K281" s="33"/>
    </row>
    <row r="282" customFormat="false" ht="15" hidden="false" customHeight="false" outlineLevel="0" collapsed="false">
      <c r="A282" s="32"/>
      <c r="B282" s="35"/>
      <c r="C282" s="32"/>
      <c r="D282" s="32"/>
      <c r="E282" s="32"/>
      <c r="F282" s="41"/>
      <c r="G282" s="33"/>
      <c r="H282" s="33"/>
      <c r="I282" s="32"/>
      <c r="J282" s="35"/>
      <c r="K282" s="33"/>
    </row>
    <row r="283" customFormat="false" ht="15" hidden="false" customHeight="false" outlineLevel="0" collapsed="false">
      <c r="A283" s="32"/>
      <c r="B283" s="35"/>
      <c r="C283" s="32"/>
      <c r="D283" s="32"/>
      <c r="E283" s="32"/>
      <c r="F283" s="41"/>
      <c r="G283" s="33"/>
      <c r="H283" s="33"/>
      <c r="I283" s="32"/>
      <c r="J283" s="35"/>
      <c r="K283" s="33"/>
    </row>
    <row r="284" customFormat="false" ht="15" hidden="false" customHeight="false" outlineLevel="0" collapsed="false">
      <c r="A284" s="32"/>
      <c r="B284" s="35"/>
      <c r="C284" s="32"/>
      <c r="D284" s="32"/>
      <c r="E284" s="32"/>
      <c r="F284" s="41"/>
      <c r="G284" s="33"/>
      <c r="H284" s="33"/>
      <c r="I284" s="32"/>
      <c r="J284" s="35"/>
      <c r="K284" s="33"/>
    </row>
    <row r="285" customFormat="false" ht="15" hidden="false" customHeight="false" outlineLevel="0" collapsed="false">
      <c r="A285" s="32"/>
      <c r="B285" s="35"/>
      <c r="C285" s="32"/>
      <c r="D285" s="32"/>
      <c r="E285" s="32"/>
      <c r="F285" s="41"/>
      <c r="G285" s="33"/>
      <c r="H285" s="33"/>
      <c r="I285" s="32"/>
      <c r="J285" s="35"/>
      <c r="K285" s="33"/>
    </row>
    <row r="286" customFormat="false" ht="15" hidden="false" customHeight="false" outlineLevel="0" collapsed="false">
      <c r="A286" s="32"/>
      <c r="B286" s="35"/>
      <c r="C286" s="32"/>
      <c r="D286" s="32"/>
      <c r="E286" s="32"/>
      <c r="F286" s="41"/>
      <c r="G286" s="33"/>
      <c r="H286" s="33"/>
      <c r="I286" s="32"/>
      <c r="J286" s="35"/>
      <c r="K286" s="33"/>
    </row>
    <row r="287" customFormat="false" ht="15" hidden="false" customHeight="false" outlineLevel="0" collapsed="false">
      <c r="A287" s="32"/>
      <c r="B287" s="35"/>
      <c r="C287" s="32"/>
      <c r="D287" s="32"/>
      <c r="E287" s="32"/>
      <c r="F287" s="41"/>
      <c r="G287" s="33"/>
      <c r="H287" s="33"/>
      <c r="I287" s="32"/>
      <c r="J287" s="35"/>
      <c r="K287" s="33"/>
    </row>
    <row r="288" customFormat="false" ht="15" hidden="false" customHeight="false" outlineLevel="0" collapsed="false">
      <c r="A288" s="32"/>
      <c r="B288" s="35"/>
      <c r="C288" s="32"/>
      <c r="D288" s="32"/>
      <c r="E288" s="32"/>
      <c r="F288" s="41"/>
      <c r="G288" s="33"/>
      <c r="H288" s="33"/>
      <c r="I288" s="32"/>
      <c r="J288" s="35"/>
      <c r="K288" s="33"/>
    </row>
    <row r="289" customFormat="false" ht="15" hidden="false" customHeight="false" outlineLevel="0" collapsed="false">
      <c r="A289" s="32"/>
      <c r="B289" s="35"/>
      <c r="C289" s="32"/>
      <c r="D289" s="32"/>
      <c r="E289" s="32"/>
      <c r="F289" s="41"/>
      <c r="G289" s="33"/>
      <c r="H289" s="33"/>
      <c r="I289" s="32"/>
      <c r="J289" s="35"/>
      <c r="K289" s="33"/>
    </row>
    <row r="290" customFormat="false" ht="15" hidden="false" customHeight="false" outlineLevel="0" collapsed="false">
      <c r="A290" s="32"/>
      <c r="B290" s="35"/>
      <c r="C290" s="32"/>
      <c r="D290" s="32"/>
      <c r="E290" s="32"/>
      <c r="F290" s="41"/>
      <c r="G290" s="33"/>
      <c r="H290" s="33"/>
      <c r="I290" s="32"/>
      <c r="J290" s="35"/>
      <c r="K290" s="33"/>
    </row>
    <row r="291" customFormat="false" ht="15" hidden="false" customHeight="false" outlineLevel="0" collapsed="false">
      <c r="A291" s="32"/>
      <c r="B291" s="35"/>
      <c r="C291" s="32"/>
      <c r="D291" s="32"/>
      <c r="E291" s="32"/>
      <c r="F291" s="41"/>
      <c r="G291" s="33"/>
      <c r="H291" s="33"/>
      <c r="I291" s="32"/>
      <c r="J291" s="35"/>
      <c r="K291" s="33"/>
    </row>
    <row r="292" customFormat="false" ht="15" hidden="false" customHeight="false" outlineLevel="0" collapsed="false">
      <c r="A292" s="32"/>
      <c r="B292" s="35"/>
      <c r="C292" s="32"/>
      <c r="D292" s="32"/>
      <c r="E292" s="32"/>
      <c r="F292" s="41"/>
      <c r="G292" s="33"/>
      <c r="H292" s="33"/>
      <c r="I292" s="32"/>
      <c r="J292" s="35"/>
      <c r="K292" s="33"/>
    </row>
    <row r="293" customFormat="false" ht="15" hidden="false" customHeight="false" outlineLevel="0" collapsed="false">
      <c r="A293" s="32"/>
      <c r="B293" s="35"/>
      <c r="C293" s="32"/>
      <c r="D293" s="32"/>
      <c r="E293" s="32"/>
      <c r="F293" s="41"/>
      <c r="G293" s="33"/>
      <c r="H293" s="33"/>
      <c r="I293" s="32"/>
      <c r="J293" s="35"/>
      <c r="K293" s="33"/>
    </row>
    <row r="294" customFormat="false" ht="15" hidden="false" customHeight="false" outlineLevel="0" collapsed="false">
      <c r="A294" s="32"/>
      <c r="B294" s="35"/>
      <c r="C294" s="32"/>
      <c r="D294" s="32"/>
      <c r="E294" s="32"/>
      <c r="F294" s="41"/>
      <c r="G294" s="33"/>
      <c r="H294" s="33"/>
      <c r="I294" s="32"/>
      <c r="J294" s="35"/>
      <c r="K294" s="33"/>
    </row>
    <row r="295" customFormat="false" ht="15" hidden="false" customHeight="false" outlineLevel="0" collapsed="false">
      <c r="A295" s="32"/>
      <c r="B295" s="35"/>
      <c r="C295" s="32"/>
      <c r="D295" s="32"/>
      <c r="E295" s="32"/>
      <c r="F295" s="41"/>
      <c r="G295" s="33"/>
      <c r="H295" s="33"/>
      <c r="I295" s="32"/>
      <c r="J295" s="35"/>
      <c r="K295" s="33"/>
    </row>
    <row r="296" customFormat="false" ht="15" hidden="false" customHeight="false" outlineLevel="0" collapsed="false">
      <c r="A296" s="32"/>
      <c r="B296" s="35"/>
      <c r="C296" s="32"/>
      <c r="D296" s="32"/>
      <c r="E296" s="32"/>
      <c r="F296" s="41"/>
      <c r="G296" s="33"/>
      <c r="H296" s="33"/>
      <c r="I296" s="32"/>
      <c r="J296" s="35"/>
      <c r="K296" s="33"/>
    </row>
    <row r="297" customFormat="false" ht="15" hidden="false" customHeight="false" outlineLevel="0" collapsed="false">
      <c r="A297" s="32"/>
      <c r="B297" s="35"/>
      <c r="C297" s="32"/>
      <c r="D297" s="32"/>
      <c r="E297" s="32"/>
      <c r="F297" s="41"/>
      <c r="G297" s="33"/>
      <c r="H297" s="33"/>
      <c r="I297" s="32"/>
      <c r="J297" s="35"/>
      <c r="K297" s="33"/>
    </row>
    <row r="298" customFormat="false" ht="15" hidden="false" customHeight="false" outlineLevel="0" collapsed="false">
      <c r="A298" s="32"/>
      <c r="B298" s="35"/>
      <c r="C298" s="32"/>
      <c r="D298" s="32"/>
      <c r="E298" s="32"/>
      <c r="F298" s="41"/>
      <c r="G298" s="33"/>
      <c r="H298" s="33"/>
      <c r="I298" s="32"/>
      <c r="J298" s="35"/>
      <c r="K298" s="33"/>
    </row>
    <row r="299" customFormat="false" ht="15" hidden="false" customHeight="false" outlineLevel="0" collapsed="false">
      <c r="A299" s="32"/>
      <c r="B299" s="35"/>
      <c r="C299" s="32"/>
      <c r="D299" s="32"/>
      <c r="E299" s="32"/>
      <c r="F299" s="41"/>
      <c r="G299" s="33"/>
      <c r="H299" s="33"/>
      <c r="I299" s="32"/>
      <c r="J299" s="35"/>
      <c r="K299" s="33"/>
    </row>
    <row r="300" customFormat="false" ht="15" hidden="false" customHeight="false" outlineLevel="0" collapsed="false">
      <c r="A300" s="32"/>
      <c r="B300" s="35"/>
      <c r="C300" s="32"/>
      <c r="D300" s="32"/>
      <c r="E300" s="32"/>
      <c r="F300" s="41"/>
      <c r="G300" s="33"/>
      <c r="H300" s="33"/>
      <c r="I300" s="32"/>
      <c r="J300" s="35"/>
      <c r="K300" s="33"/>
    </row>
    <row r="301" customFormat="false" ht="15" hidden="false" customHeight="false" outlineLevel="0" collapsed="false">
      <c r="A301" s="32"/>
      <c r="B301" s="35"/>
      <c r="C301" s="32"/>
      <c r="D301" s="32"/>
      <c r="E301" s="32"/>
      <c r="F301" s="41"/>
      <c r="G301" s="33"/>
      <c r="H301" s="33"/>
      <c r="I301" s="32"/>
      <c r="J301" s="35"/>
      <c r="K301" s="33"/>
    </row>
    <row r="302" customFormat="false" ht="15" hidden="false" customHeight="false" outlineLevel="0" collapsed="false">
      <c r="A302" s="32"/>
      <c r="B302" s="35"/>
      <c r="C302" s="32"/>
      <c r="D302" s="32"/>
      <c r="E302" s="32"/>
      <c r="F302" s="41"/>
      <c r="G302" s="33"/>
      <c r="H302" s="33"/>
      <c r="I302" s="32"/>
      <c r="J302" s="35"/>
      <c r="K302" s="33"/>
    </row>
    <row r="303" customFormat="false" ht="15" hidden="false" customHeight="false" outlineLevel="0" collapsed="false">
      <c r="A303" s="32"/>
      <c r="B303" s="35"/>
      <c r="C303" s="32"/>
      <c r="D303" s="32"/>
      <c r="E303" s="32"/>
      <c r="F303" s="41"/>
      <c r="G303" s="33"/>
      <c r="H303" s="33"/>
      <c r="I303" s="32"/>
      <c r="J303" s="35"/>
      <c r="K303" s="33"/>
    </row>
    <row r="304" customFormat="false" ht="15" hidden="false" customHeight="false" outlineLevel="0" collapsed="false">
      <c r="A304" s="32"/>
      <c r="B304" s="35"/>
      <c r="C304" s="32"/>
      <c r="D304" s="32"/>
      <c r="E304" s="32"/>
      <c r="F304" s="41"/>
      <c r="G304" s="33"/>
      <c r="H304" s="33"/>
      <c r="I304" s="32"/>
      <c r="J304" s="35"/>
      <c r="K304" s="33"/>
    </row>
    <row r="305" customFormat="false" ht="15" hidden="false" customHeight="false" outlineLevel="0" collapsed="false">
      <c r="A305" s="32"/>
      <c r="B305" s="35"/>
      <c r="C305" s="32"/>
      <c r="D305" s="32"/>
      <c r="E305" s="32"/>
      <c r="F305" s="41"/>
      <c r="G305" s="33"/>
      <c r="H305" s="33"/>
      <c r="I305" s="32"/>
      <c r="J305" s="35"/>
      <c r="K305" s="33"/>
    </row>
    <row r="306" customFormat="false" ht="15" hidden="false" customHeight="false" outlineLevel="0" collapsed="false">
      <c r="A306" s="32"/>
      <c r="B306" s="35"/>
      <c r="C306" s="32"/>
      <c r="D306" s="32"/>
      <c r="E306" s="32"/>
      <c r="F306" s="41"/>
      <c r="G306" s="33"/>
      <c r="H306" s="33"/>
      <c r="I306" s="32"/>
      <c r="J306" s="35"/>
      <c r="K306" s="33"/>
    </row>
    <row r="307" customFormat="false" ht="15" hidden="false" customHeight="false" outlineLevel="0" collapsed="false">
      <c r="A307" s="32"/>
      <c r="B307" s="35"/>
      <c r="C307" s="32"/>
      <c r="D307" s="32"/>
      <c r="E307" s="32"/>
      <c r="F307" s="41"/>
      <c r="G307" s="33"/>
      <c r="H307" s="33"/>
      <c r="I307" s="32"/>
      <c r="J307" s="35"/>
      <c r="K307" s="33"/>
    </row>
    <row r="308" customFormat="false" ht="15" hidden="false" customHeight="false" outlineLevel="0" collapsed="false">
      <c r="A308" s="32"/>
      <c r="B308" s="35"/>
      <c r="C308" s="32"/>
      <c r="D308" s="32"/>
      <c r="E308" s="32"/>
      <c r="F308" s="41"/>
      <c r="G308" s="33"/>
      <c r="H308" s="33"/>
      <c r="I308" s="32"/>
      <c r="J308" s="35"/>
      <c r="K308" s="33"/>
    </row>
    <row r="309" customFormat="false" ht="15" hidden="false" customHeight="false" outlineLevel="0" collapsed="false">
      <c r="A309" s="32"/>
      <c r="B309" s="35"/>
      <c r="C309" s="32"/>
      <c r="D309" s="32"/>
      <c r="E309" s="32"/>
      <c r="F309" s="41"/>
      <c r="G309" s="33"/>
      <c r="H309" s="33"/>
      <c r="I309" s="32"/>
      <c r="J309" s="35"/>
      <c r="K309" s="33"/>
    </row>
    <row r="310" customFormat="false" ht="15" hidden="false" customHeight="false" outlineLevel="0" collapsed="false">
      <c r="A310" s="32"/>
      <c r="B310" s="35"/>
      <c r="C310" s="32"/>
      <c r="D310" s="32"/>
      <c r="E310" s="32"/>
      <c r="F310" s="41"/>
      <c r="G310" s="33"/>
      <c r="H310" s="33"/>
      <c r="I310" s="32"/>
      <c r="J310" s="35"/>
      <c r="K310" s="33"/>
    </row>
    <row r="311" customFormat="false" ht="15" hidden="false" customHeight="false" outlineLevel="0" collapsed="false">
      <c r="A311" s="32"/>
      <c r="B311" s="35"/>
      <c r="C311" s="32"/>
      <c r="D311" s="32"/>
      <c r="E311" s="32"/>
      <c r="F311" s="41"/>
      <c r="G311" s="33"/>
      <c r="H311" s="33"/>
      <c r="I311" s="32"/>
      <c r="J311" s="35"/>
      <c r="K311" s="33"/>
    </row>
    <row r="312" customFormat="false" ht="15" hidden="false" customHeight="false" outlineLevel="0" collapsed="false">
      <c r="A312" s="32"/>
      <c r="B312" s="35"/>
      <c r="C312" s="32"/>
      <c r="D312" s="32"/>
      <c r="E312" s="32"/>
      <c r="F312" s="41"/>
      <c r="G312" s="33"/>
      <c r="H312" s="33"/>
      <c r="I312" s="32"/>
      <c r="J312" s="35"/>
      <c r="K312" s="33"/>
    </row>
    <row r="313" customFormat="false" ht="15" hidden="false" customHeight="false" outlineLevel="0" collapsed="false">
      <c r="A313" s="32"/>
      <c r="B313" s="35"/>
      <c r="C313" s="32"/>
      <c r="D313" s="32"/>
      <c r="E313" s="32"/>
      <c r="F313" s="41"/>
      <c r="G313" s="33"/>
      <c r="H313" s="33"/>
      <c r="I313" s="32"/>
      <c r="J313" s="35"/>
      <c r="K313" s="33"/>
    </row>
    <row r="314" customFormat="false" ht="15" hidden="false" customHeight="false" outlineLevel="0" collapsed="false">
      <c r="A314" s="32"/>
      <c r="B314" s="35"/>
      <c r="C314" s="32"/>
      <c r="D314" s="32"/>
      <c r="E314" s="32"/>
      <c r="F314" s="41"/>
      <c r="G314" s="33"/>
      <c r="H314" s="33"/>
      <c r="I314" s="32"/>
      <c r="J314" s="35"/>
      <c r="K314" s="33"/>
    </row>
    <row r="315" customFormat="false" ht="15" hidden="false" customHeight="false" outlineLevel="0" collapsed="false">
      <c r="A315" s="32"/>
      <c r="B315" s="35"/>
      <c r="C315" s="32"/>
      <c r="D315" s="32"/>
      <c r="E315" s="32"/>
      <c r="F315" s="41"/>
      <c r="G315" s="33"/>
      <c r="H315" s="33"/>
      <c r="I315" s="32"/>
      <c r="J315" s="35"/>
      <c r="K315" s="33"/>
    </row>
    <row r="316" customFormat="false" ht="15" hidden="false" customHeight="false" outlineLevel="0" collapsed="false">
      <c r="A316" s="32"/>
      <c r="B316" s="35"/>
      <c r="C316" s="32"/>
      <c r="D316" s="32"/>
      <c r="E316" s="32"/>
      <c r="F316" s="41"/>
      <c r="G316" s="33"/>
      <c r="H316" s="33"/>
      <c r="I316" s="32"/>
      <c r="J316" s="35"/>
      <c r="K316" s="33"/>
    </row>
    <row r="317" customFormat="false" ht="15" hidden="false" customHeight="false" outlineLevel="0" collapsed="false">
      <c r="A317" s="32"/>
      <c r="B317" s="35"/>
      <c r="C317" s="32"/>
      <c r="D317" s="32"/>
      <c r="E317" s="32"/>
      <c r="F317" s="41"/>
      <c r="G317" s="33"/>
      <c r="H317" s="33"/>
      <c r="I317" s="32"/>
      <c r="J317" s="35"/>
      <c r="K317" s="33"/>
    </row>
    <row r="318" customFormat="false" ht="15" hidden="false" customHeight="false" outlineLevel="0" collapsed="false">
      <c r="A318" s="32"/>
      <c r="B318" s="35"/>
      <c r="C318" s="32"/>
      <c r="D318" s="32"/>
      <c r="E318" s="32"/>
      <c r="F318" s="41"/>
      <c r="G318" s="33"/>
      <c r="H318" s="33"/>
      <c r="I318" s="32"/>
      <c r="J318" s="35"/>
      <c r="K318" s="33"/>
    </row>
    <row r="319" customFormat="false" ht="15" hidden="false" customHeight="false" outlineLevel="0" collapsed="false">
      <c r="A319" s="32"/>
      <c r="B319" s="35"/>
      <c r="C319" s="32"/>
      <c r="D319" s="32"/>
      <c r="E319" s="32"/>
      <c r="F319" s="41"/>
      <c r="G319" s="33"/>
      <c r="H319" s="33"/>
      <c r="I319" s="32"/>
      <c r="J319" s="35"/>
      <c r="K319" s="33"/>
    </row>
    <row r="320" customFormat="false" ht="15" hidden="false" customHeight="false" outlineLevel="0" collapsed="false">
      <c r="A320" s="32"/>
      <c r="B320" s="35"/>
      <c r="C320" s="32"/>
      <c r="D320" s="32"/>
      <c r="E320" s="32"/>
      <c r="F320" s="41"/>
      <c r="G320" s="33"/>
      <c r="H320" s="33"/>
      <c r="I320" s="32"/>
      <c r="J320" s="35"/>
      <c r="K320" s="33"/>
    </row>
    <row r="321" customFormat="false" ht="15" hidden="false" customHeight="false" outlineLevel="0" collapsed="false">
      <c r="A321" s="32"/>
      <c r="B321" s="35"/>
      <c r="C321" s="32"/>
      <c r="D321" s="32"/>
      <c r="E321" s="32"/>
      <c r="F321" s="41"/>
      <c r="G321" s="33"/>
      <c r="H321" s="33"/>
      <c r="I321" s="32"/>
      <c r="J321" s="35"/>
      <c r="K321" s="33"/>
    </row>
    <row r="322" customFormat="false" ht="15" hidden="false" customHeight="false" outlineLevel="0" collapsed="false">
      <c r="A322" s="32"/>
      <c r="B322" s="35"/>
      <c r="C322" s="32"/>
      <c r="D322" s="32"/>
      <c r="E322" s="32"/>
      <c r="F322" s="41"/>
      <c r="G322" s="33"/>
      <c r="H322" s="33"/>
      <c r="I322" s="32"/>
      <c r="J322" s="35"/>
      <c r="K322" s="33"/>
    </row>
    <row r="323" customFormat="false" ht="15" hidden="false" customHeight="false" outlineLevel="0" collapsed="false">
      <c r="A323" s="32"/>
      <c r="B323" s="35"/>
      <c r="C323" s="32"/>
      <c r="D323" s="32"/>
      <c r="E323" s="32"/>
      <c r="F323" s="41"/>
      <c r="G323" s="33"/>
      <c r="H323" s="33"/>
      <c r="I323" s="32"/>
      <c r="J323" s="35"/>
      <c r="K323" s="33"/>
    </row>
    <row r="324" customFormat="false" ht="15" hidden="false" customHeight="false" outlineLevel="0" collapsed="false">
      <c r="A324" s="32"/>
      <c r="B324" s="35"/>
      <c r="C324" s="32"/>
      <c r="D324" s="32"/>
      <c r="E324" s="32"/>
      <c r="F324" s="41"/>
      <c r="G324" s="33"/>
      <c r="H324" s="33"/>
      <c r="I324" s="32"/>
      <c r="J324" s="35"/>
      <c r="K324" s="33"/>
    </row>
    <row r="325" customFormat="false" ht="15" hidden="false" customHeight="false" outlineLevel="0" collapsed="false">
      <c r="A325" s="32"/>
      <c r="B325" s="35"/>
      <c r="C325" s="32"/>
      <c r="D325" s="32"/>
      <c r="E325" s="32"/>
      <c r="F325" s="41"/>
      <c r="G325" s="33"/>
      <c r="H325" s="33"/>
      <c r="I325" s="32"/>
      <c r="J325" s="35"/>
      <c r="K325" s="33"/>
    </row>
    <row r="326" customFormat="false" ht="15" hidden="false" customHeight="false" outlineLevel="0" collapsed="false">
      <c r="A326" s="32"/>
      <c r="B326" s="35"/>
      <c r="C326" s="32"/>
      <c r="D326" s="32"/>
      <c r="E326" s="32"/>
      <c r="F326" s="41"/>
      <c r="G326" s="33"/>
      <c r="H326" s="33"/>
      <c r="I326" s="32"/>
      <c r="J326" s="35"/>
      <c r="K326" s="33"/>
    </row>
    <row r="327" customFormat="false" ht="15" hidden="false" customHeight="false" outlineLevel="0" collapsed="false">
      <c r="A327" s="32"/>
      <c r="B327" s="35"/>
      <c r="C327" s="32"/>
      <c r="D327" s="32"/>
      <c r="E327" s="32"/>
      <c r="F327" s="41"/>
      <c r="G327" s="33"/>
      <c r="H327" s="33"/>
      <c r="I327" s="32"/>
      <c r="J327" s="35"/>
      <c r="K327" s="33"/>
    </row>
    <row r="328" customFormat="false" ht="15" hidden="false" customHeight="false" outlineLevel="0" collapsed="false">
      <c r="A328" s="32"/>
      <c r="B328" s="35"/>
      <c r="C328" s="32"/>
      <c r="D328" s="32"/>
      <c r="E328" s="32"/>
      <c r="F328" s="41"/>
      <c r="G328" s="33"/>
      <c r="H328" s="33"/>
      <c r="I328" s="32"/>
      <c r="J328" s="35"/>
      <c r="K328" s="33"/>
    </row>
    <row r="329" customFormat="false" ht="15" hidden="false" customHeight="false" outlineLevel="0" collapsed="false">
      <c r="A329" s="32"/>
      <c r="B329" s="35"/>
      <c r="C329" s="32"/>
      <c r="D329" s="32"/>
      <c r="E329" s="32"/>
      <c r="F329" s="41"/>
      <c r="G329" s="33"/>
      <c r="H329" s="33"/>
      <c r="I329" s="32"/>
      <c r="J329" s="35"/>
      <c r="K329" s="33"/>
    </row>
    <row r="330" customFormat="false" ht="15" hidden="false" customHeight="false" outlineLevel="0" collapsed="false">
      <c r="A330" s="32"/>
      <c r="B330" s="35"/>
      <c r="C330" s="32"/>
      <c r="D330" s="32"/>
      <c r="E330" s="32"/>
      <c r="F330" s="41"/>
      <c r="G330" s="33"/>
      <c r="H330" s="33"/>
      <c r="I330" s="32"/>
      <c r="J330" s="35"/>
      <c r="K330" s="33"/>
    </row>
    <row r="331" customFormat="false" ht="15" hidden="false" customHeight="false" outlineLevel="0" collapsed="false">
      <c r="A331" s="32"/>
      <c r="B331" s="35"/>
      <c r="C331" s="32"/>
      <c r="D331" s="32"/>
      <c r="E331" s="32"/>
      <c r="F331" s="41"/>
      <c r="G331" s="33"/>
      <c r="H331" s="33"/>
      <c r="I331" s="32"/>
      <c r="J331" s="35"/>
      <c r="K331" s="33"/>
    </row>
    <row r="332" customFormat="false" ht="15" hidden="false" customHeight="false" outlineLevel="0" collapsed="false">
      <c r="A332" s="32"/>
      <c r="B332" s="35"/>
      <c r="C332" s="32"/>
      <c r="D332" s="32"/>
      <c r="E332" s="32"/>
      <c r="F332" s="41"/>
      <c r="G332" s="33"/>
      <c r="H332" s="33"/>
      <c r="I332" s="32"/>
      <c r="J332" s="35"/>
      <c r="K332" s="33"/>
    </row>
    <row r="333" customFormat="false" ht="15" hidden="false" customHeight="false" outlineLevel="0" collapsed="false">
      <c r="A333" s="32"/>
      <c r="B333" s="35"/>
      <c r="C333" s="32"/>
      <c r="D333" s="32"/>
      <c r="E333" s="32"/>
      <c r="F333" s="41"/>
      <c r="G333" s="33"/>
      <c r="H333" s="33"/>
      <c r="I333" s="32"/>
      <c r="J333" s="35"/>
      <c r="K333" s="33"/>
    </row>
    <row r="334" customFormat="false" ht="15" hidden="false" customHeight="false" outlineLevel="0" collapsed="false">
      <c r="A334" s="32"/>
      <c r="B334" s="35"/>
      <c r="C334" s="32"/>
      <c r="D334" s="32"/>
      <c r="E334" s="32"/>
      <c r="F334" s="41"/>
      <c r="G334" s="33"/>
      <c r="H334" s="33"/>
      <c r="I334" s="32"/>
      <c r="J334" s="35"/>
      <c r="K334" s="33"/>
    </row>
    <row r="335" customFormat="false" ht="15" hidden="false" customHeight="false" outlineLevel="0" collapsed="false">
      <c r="A335" s="32"/>
      <c r="B335" s="35"/>
      <c r="C335" s="32"/>
      <c r="D335" s="32"/>
      <c r="E335" s="32"/>
      <c r="F335" s="41"/>
      <c r="G335" s="33"/>
      <c r="H335" s="33"/>
      <c r="I335" s="32"/>
      <c r="J335" s="35"/>
      <c r="K335" s="33"/>
    </row>
    <row r="336" customFormat="false" ht="15" hidden="false" customHeight="false" outlineLevel="0" collapsed="false">
      <c r="A336" s="32"/>
      <c r="B336" s="35"/>
      <c r="C336" s="32"/>
      <c r="D336" s="32"/>
      <c r="E336" s="32"/>
      <c r="F336" s="41"/>
      <c r="G336" s="33"/>
      <c r="H336" s="33"/>
      <c r="I336" s="32"/>
      <c r="J336" s="35"/>
      <c r="K336" s="33"/>
    </row>
    <row r="337" customFormat="false" ht="15" hidden="false" customHeight="false" outlineLevel="0" collapsed="false">
      <c r="A337" s="32"/>
      <c r="B337" s="35"/>
      <c r="C337" s="32"/>
      <c r="D337" s="32"/>
      <c r="E337" s="32"/>
      <c r="F337" s="41"/>
      <c r="G337" s="33"/>
      <c r="H337" s="33"/>
      <c r="I337" s="32"/>
      <c r="J337" s="35"/>
      <c r="K337" s="33"/>
    </row>
    <row r="338" customFormat="false" ht="15" hidden="false" customHeight="false" outlineLevel="0" collapsed="false">
      <c r="A338" s="32"/>
      <c r="B338" s="35"/>
      <c r="C338" s="32"/>
      <c r="D338" s="32"/>
      <c r="E338" s="32"/>
      <c r="F338" s="41"/>
      <c r="G338" s="33"/>
      <c r="H338" s="33"/>
      <c r="I338" s="32"/>
      <c r="J338" s="35"/>
      <c r="K338" s="33"/>
    </row>
    <row r="339" customFormat="false" ht="15" hidden="false" customHeight="false" outlineLevel="0" collapsed="false">
      <c r="A339" s="32"/>
      <c r="B339" s="35"/>
      <c r="C339" s="32"/>
      <c r="D339" s="32"/>
      <c r="E339" s="32"/>
      <c r="F339" s="41"/>
      <c r="G339" s="33"/>
      <c r="H339" s="33"/>
      <c r="I339" s="32"/>
      <c r="J339" s="35"/>
      <c r="K339" s="33"/>
    </row>
    <row r="340" customFormat="false" ht="15" hidden="false" customHeight="false" outlineLevel="0" collapsed="false">
      <c r="A340" s="32"/>
      <c r="B340" s="35"/>
      <c r="C340" s="32"/>
      <c r="D340" s="32"/>
      <c r="E340" s="32"/>
      <c r="F340" s="41"/>
      <c r="G340" s="33"/>
      <c r="H340" s="33"/>
      <c r="I340" s="32"/>
      <c r="J340" s="35"/>
      <c r="K340" s="33"/>
    </row>
    <row r="341" customFormat="false" ht="15" hidden="false" customHeight="false" outlineLevel="0" collapsed="false">
      <c r="A341" s="32"/>
      <c r="B341" s="35"/>
      <c r="C341" s="32"/>
      <c r="D341" s="32"/>
      <c r="E341" s="32"/>
      <c r="F341" s="41"/>
      <c r="G341" s="33"/>
      <c r="H341" s="33"/>
      <c r="I341" s="32"/>
      <c r="J341" s="35"/>
      <c r="K341" s="33"/>
    </row>
    <row r="342" customFormat="false" ht="15" hidden="false" customHeight="false" outlineLevel="0" collapsed="false">
      <c r="A342" s="32"/>
      <c r="B342" s="35"/>
      <c r="C342" s="32"/>
      <c r="D342" s="32"/>
      <c r="E342" s="32"/>
      <c r="F342" s="41"/>
      <c r="G342" s="33"/>
      <c r="H342" s="33"/>
      <c r="I342" s="32"/>
      <c r="J342" s="35"/>
      <c r="K342" s="33"/>
    </row>
    <row r="343" customFormat="false" ht="15" hidden="false" customHeight="false" outlineLevel="0" collapsed="false">
      <c r="A343" s="32"/>
      <c r="B343" s="35"/>
      <c r="C343" s="32"/>
      <c r="D343" s="32"/>
      <c r="E343" s="32"/>
      <c r="F343" s="41"/>
      <c r="G343" s="33"/>
      <c r="H343" s="33"/>
      <c r="I343" s="32"/>
      <c r="J343" s="35"/>
      <c r="K343" s="33"/>
    </row>
    <row r="344" customFormat="false" ht="15" hidden="false" customHeight="false" outlineLevel="0" collapsed="false">
      <c r="A344" s="32"/>
      <c r="B344" s="35"/>
      <c r="C344" s="32"/>
      <c r="D344" s="32"/>
      <c r="E344" s="32"/>
      <c r="F344" s="41"/>
      <c r="G344" s="33"/>
      <c r="H344" s="33"/>
      <c r="I344" s="32"/>
      <c r="J344" s="35"/>
      <c r="K344" s="33"/>
    </row>
    <row r="345" customFormat="false" ht="15" hidden="false" customHeight="false" outlineLevel="0" collapsed="false">
      <c r="A345" s="32"/>
      <c r="B345" s="35"/>
      <c r="C345" s="32"/>
      <c r="D345" s="32"/>
      <c r="E345" s="32"/>
      <c r="F345" s="41"/>
      <c r="G345" s="33"/>
      <c r="H345" s="33"/>
      <c r="I345" s="32"/>
      <c r="J345" s="35"/>
      <c r="K345" s="33"/>
    </row>
    <row r="346" customFormat="false" ht="15" hidden="false" customHeight="false" outlineLevel="0" collapsed="false">
      <c r="A346" s="32"/>
      <c r="B346" s="35"/>
      <c r="C346" s="32"/>
      <c r="D346" s="32"/>
      <c r="E346" s="32"/>
      <c r="F346" s="41"/>
      <c r="G346" s="33"/>
      <c r="H346" s="33"/>
      <c r="I346" s="32"/>
      <c r="J346" s="35"/>
      <c r="K346" s="33"/>
    </row>
    <row r="347" customFormat="false" ht="15" hidden="false" customHeight="false" outlineLevel="0" collapsed="false">
      <c r="A347" s="32"/>
      <c r="B347" s="35"/>
      <c r="C347" s="32"/>
      <c r="D347" s="32"/>
      <c r="E347" s="32"/>
      <c r="F347" s="41"/>
      <c r="G347" s="33"/>
      <c r="H347" s="33"/>
      <c r="I347" s="32"/>
      <c r="J347" s="35"/>
      <c r="K347" s="33"/>
    </row>
    <row r="348" customFormat="false" ht="15" hidden="false" customHeight="false" outlineLevel="0" collapsed="false">
      <c r="A348" s="32"/>
      <c r="B348" s="35"/>
      <c r="C348" s="32"/>
      <c r="D348" s="32"/>
      <c r="E348" s="32"/>
      <c r="F348" s="41"/>
      <c r="G348" s="33"/>
      <c r="H348" s="33"/>
      <c r="I348" s="32"/>
      <c r="J348" s="35"/>
      <c r="K348" s="33"/>
    </row>
    <row r="349" customFormat="false" ht="15" hidden="false" customHeight="false" outlineLevel="0" collapsed="false">
      <c r="A349" s="32"/>
      <c r="B349" s="35"/>
      <c r="C349" s="32"/>
      <c r="D349" s="32"/>
      <c r="E349" s="32"/>
      <c r="F349" s="41"/>
      <c r="G349" s="33"/>
      <c r="H349" s="33"/>
      <c r="I349" s="32"/>
      <c r="J349" s="35"/>
      <c r="K349" s="33"/>
    </row>
    <row r="350" customFormat="false" ht="15" hidden="false" customHeight="false" outlineLevel="0" collapsed="false">
      <c r="A350" s="32"/>
      <c r="B350" s="35"/>
      <c r="C350" s="32"/>
      <c r="D350" s="32"/>
      <c r="E350" s="32"/>
      <c r="F350" s="41"/>
      <c r="G350" s="33"/>
      <c r="H350" s="33"/>
      <c r="I350" s="32"/>
      <c r="J350" s="35"/>
      <c r="K350" s="33"/>
    </row>
    <row r="351" customFormat="false" ht="15" hidden="false" customHeight="false" outlineLevel="0" collapsed="false">
      <c r="A351" s="32"/>
      <c r="B351" s="35"/>
      <c r="C351" s="32"/>
      <c r="D351" s="32"/>
      <c r="E351" s="32"/>
      <c r="F351" s="41"/>
      <c r="G351" s="33"/>
      <c r="H351" s="33"/>
      <c r="I351" s="32"/>
      <c r="J351" s="35"/>
      <c r="K351" s="33"/>
    </row>
    <row r="352" customFormat="false" ht="15" hidden="false" customHeight="false" outlineLevel="0" collapsed="false">
      <c r="A352" s="32"/>
      <c r="B352" s="35"/>
      <c r="C352" s="32"/>
      <c r="D352" s="32"/>
      <c r="E352" s="32"/>
      <c r="F352" s="41"/>
      <c r="G352" s="33"/>
      <c r="H352" s="33"/>
      <c r="I352" s="32"/>
      <c r="J352" s="35"/>
      <c r="K352" s="33"/>
    </row>
    <row r="353" customFormat="false" ht="15" hidden="false" customHeight="false" outlineLevel="0" collapsed="false">
      <c r="A353" s="32"/>
      <c r="B353" s="35"/>
      <c r="C353" s="32"/>
      <c r="D353" s="32"/>
      <c r="E353" s="32"/>
      <c r="F353" s="41"/>
      <c r="G353" s="33"/>
      <c r="H353" s="33"/>
      <c r="I353" s="32"/>
      <c r="J353" s="35"/>
      <c r="K353" s="33"/>
    </row>
    <row r="354" customFormat="false" ht="15" hidden="false" customHeight="false" outlineLevel="0" collapsed="false">
      <c r="A354" s="32"/>
      <c r="B354" s="35"/>
      <c r="C354" s="32"/>
      <c r="D354" s="32"/>
      <c r="E354" s="32"/>
      <c r="F354" s="41"/>
      <c r="G354" s="33"/>
      <c r="H354" s="33"/>
      <c r="I354" s="32"/>
      <c r="J354" s="35"/>
      <c r="K354" s="33"/>
    </row>
    <row r="355" customFormat="false" ht="15" hidden="false" customHeight="false" outlineLevel="0" collapsed="false">
      <c r="A355" s="32"/>
      <c r="B355" s="35"/>
      <c r="C355" s="32"/>
      <c r="D355" s="32"/>
      <c r="E355" s="32"/>
      <c r="F355" s="41"/>
      <c r="G355" s="33"/>
      <c r="H355" s="33"/>
      <c r="I355" s="32"/>
      <c r="J355" s="35"/>
      <c r="K355" s="33"/>
    </row>
    <row r="356" customFormat="false" ht="15" hidden="false" customHeight="false" outlineLevel="0" collapsed="false">
      <c r="A356" s="32"/>
      <c r="B356" s="35"/>
      <c r="C356" s="32"/>
      <c r="D356" s="32"/>
      <c r="E356" s="32"/>
      <c r="F356" s="41"/>
      <c r="G356" s="33"/>
      <c r="H356" s="33"/>
      <c r="I356" s="32"/>
      <c r="J356" s="35"/>
      <c r="K356" s="33"/>
    </row>
    <row r="357" customFormat="false" ht="15" hidden="false" customHeight="false" outlineLevel="0" collapsed="false">
      <c r="A357" s="32"/>
      <c r="B357" s="35"/>
      <c r="C357" s="32"/>
      <c r="D357" s="32"/>
      <c r="E357" s="32"/>
      <c r="F357" s="41"/>
      <c r="G357" s="33"/>
      <c r="H357" s="33"/>
      <c r="I357" s="32"/>
      <c r="J357" s="35"/>
      <c r="K357" s="33"/>
    </row>
    <row r="358" customFormat="false" ht="15" hidden="false" customHeight="false" outlineLevel="0" collapsed="false">
      <c r="A358" s="32"/>
      <c r="B358" s="35"/>
      <c r="C358" s="32"/>
      <c r="D358" s="32"/>
      <c r="E358" s="32"/>
      <c r="F358" s="41"/>
      <c r="G358" s="33"/>
      <c r="H358" s="33"/>
      <c r="I358" s="32"/>
      <c r="J358" s="35"/>
      <c r="K358" s="33"/>
    </row>
    <row r="359" customFormat="false" ht="15" hidden="false" customHeight="false" outlineLevel="0" collapsed="false">
      <c r="A359" s="32"/>
      <c r="B359" s="35"/>
      <c r="C359" s="32"/>
      <c r="D359" s="32"/>
      <c r="E359" s="32"/>
      <c r="F359" s="41"/>
      <c r="G359" s="33"/>
      <c r="H359" s="33"/>
      <c r="I359" s="32"/>
      <c r="J359" s="35"/>
      <c r="K359" s="33"/>
    </row>
    <row r="360" customFormat="false" ht="15" hidden="false" customHeight="false" outlineLevel="0" collapsed="false">
      <c r="A360" s="32"/>
      <c r="B360" s="35"/>
      <c r="C360" s="32"/>
      <c r="D360" s="32"/>
      <c r="E360" s="32"/>
      <c r="F360" s="41"/>
      <c r="G360" s="33"/>
      <c r="H360" s="33"/>
      <c r="I360" s="32"/>
      <c r="J360" s="35"/>
      <c r="K360" s="33"/>
    </row>
    <row r="361" customFormat="false" ht="15" hidden="false" customHeight="false" outlineLevel="0" collapsed="false">
      <c r="A361" s="32"/>
      <c r="B361" s="35"/>
      <c r="C361" s="32"/>
      <c r="D361" s="32"/>
      <c r="E361" s="32"/>
      <c r="F361" s="41"/>
      <c r="G361" s="33"/>
      <c r="H361" s="33"/>
      <c r="I361" s="32"/>
      <c r="J361" s="35"/>
      <c r="K361" s="33"/>
    </row>
    <row r="362" customFormat="false" ht="15" hidden="false" customHeight="false" outlineLevel="0" collapsed="false">
      <c r="A362" s="32"/>
      <c r="B362" s="35"/>
      <c r="C362" s="32"/>
      <c r="D362" s="32"/>
      <c r="E362" s="32"/>
      <c r="F362" s="41"/>
      <c r="G362" s="33"/>
      <c r="H362" s="33"/>
      <c r="I362" s="32"/>
      <c r="J362" s="35"/>
      <c r="K362" s="33"/>
    </row>
    <row r="363" customFormat="false" ht="15" hidden="false" customHeight="false" outlineLevel="0" collapsed="false">
      <c r="A363" s="32"/>
      <c r="B363" s="35"/>
      <c r="C363" s="32"/>
      <c r="D363" s="32"/>
      <c r="E363" s="32"/>
      <c r="F363" s="41"/>
      <c r="G363" s="33"/>
      <c r="H363" s="33"/>
      <c r="I363" s="32"/>
      <c r="J363" s="35"/>
      <c r="K363" s="33"/>
    </row>
    <row r="364" customFormat="false" ht="15" hidden="false" customHeight="false" outlineLevel="0" collapsed="false">
      <c r="A364" s="32"/>
      <c r="B364" s="35"/>
      <c r="C364" s="32"/>
      <c r="D364" s="32"/>
      <c r="E364" s="32"/>
      <c r="F364" s="41"/>
      <c r="G364" s="33"/>
      <c r="H364" s="33"/>
      <c r="I364" s="32"/>
      <c r="J364" s="35"/>
      <c r="K364" s="33"/>
    </row>
    <row r="365" customFormat="false" ht="15" hidden="false" customHeight="false" outlineLevel="0" collapsed="false">
      <c r="A365" s="32"/>
      <c r="B365" s="35"/>
      <c r="C365" s="32"/>
      <c r="D365" s="32"/>
      <c r="E365" s="32"/>
      <c r="F365" s="41"/>
      <c r="G365" s="33"/>
      <c r="H365" s="33"/>
      <c r="I365" s="32"/>
      <c r="J365" s="35"/>
      <c r="K365" s="33"/>
    </row>
    <row r="366" customFormat="false" ht="15" hidden="false" customHeight="false" outlineLevel="0" collapsed="false">
      <c r="A366" s="32"/>
      <c r="B366" s="35"/>
      <c r="C366" s="32"/>
      <c r="D366" s="32"/>
      <c r="E366" s="32"/>
      <c r="F366" s="41"/>
      <c r="G366" s="33"/>
      <c r="H366" s="33"/>
      <c r="I366" s="32"/>
      <c r="J366" s="35"/>
      <c r="K366" s="33"/>
    </row>
    <row r="367" customFormat="false" ht="15" hidden="false" customHeight="false" outlineLevel="0" collapsed="false">
      <c r="A367" s="32"/>
      <c r="B367" s="35"/>
      <c r="C367" s="32"/>
      <c r="D367" s="32"/>
      <c r="E367" s="32"/>
      <c r="F367" s="41"/>
      <c r="G367" s="33"/>
      <c r="H367" s="33"/>
      <c r="I367" s="32"/>
      <c r="J367" s="35"/>
      <c r="K367" s="33"/>
    </row>
    <row r="368" customFormat="false" ht="15" hidden="false" customHeight="false" outlineLevel="0" collapsed="false">
      <c r="A368" s="32"/>
      <c r="B368" s="35"/>
      <c r="C368" s="32"/>
      <c r="D368" s="32"/>
      <c r="E368" s="32"/>
      <c r="F368" s="41"/>
      <c r="G368" s="33"/>
      <c r="H368" s="33"/>
      <c r="I368" s="32"/>
      <c r="J368" s="35"/>
      <c r="K368" s="33"/>
    </row>
    <row r="369" customFormat="false" ht="15" hidden="false" customHeight="false" outlineLevel="0" collapsed="false">
      <c r="A369" s="32"/>
      <c r="B369" s="35"/>
      <c r="C369" s="32"/>
      <c r="D369" s="32"/>
      <c r="E369" s="32"/>
      <c r="F369" s="41"/>
      <c r="G369" s="33"/>
      <c r="H369" s="33"/>
      <c r="I369" s="32"/>
      <c r="J369" s="35"/>
      <c r="K369" s="33"/>
    </row>
    <row r="370" customFormat="false" ht="15" hidden="false" customHeight="false" outlineLevel="0" collapsed="false">
      <c r="A370" s="32"/>
      <c r="B370" s="35"/>
      <c r="C370" s="32"/>
      <c r="D370" s="32"/>
      <c r="E370" s="32"/>
      <c r="F370" s="41"/>
      <c r="G370" s="33"/>
      <c r="H370" s="33"/>
      <c r="I370" s="32"/>
      <c r="J370" s="35"/>
      <c r="K370" s="33"/>
    </row>
    <row r="371" customFormat="false" ht="15" hidden="false" customHeight="false" outlineLevel="0" collapsed="false">
      <c r="A371" s="32"/>
      <c r="B371" s="35"/>
      <c r="C371" s="32"/>
      <c r="D371" s="32"/>
      <c r="E371" s="32"/>
      <c r="F371" s="41"/>
      <c r="G371" s="33"/>
      <c r="H371" s="33"/>
      <c r="I371" s="32"/>
      <c r="J371" s="35"/>
      <c r="K371" s="33"/>
    </row>
    <row r="372" customFormat="false" ht="15" hidden="false" customHeight="false" outlineLevel="0" collapsed="false">
      <c r="A372" s="32"/>
      <c r="B372" s="35"/>
      <c r="C372" s="32"/>
      <c r="D372" s="32"/>
      <c r="E372" s="32"/>
      <c r="F372" s="41"/>
      <c r="G372" s="33"/>
      <c r="H372" s="33"/>
      <c r="I372" s="32"/>
      <c r="J372" s="35"/>
      <c r="K372" s="33"/>
    </row>
    <row r="373" customFormat="false" ht="15" hidden="false" customHeight="false" outlineLevel="0" collapsed="false">
      <c r="A373" s="32"/>
      <c r="B373" s="35"/>
      <c r="C373" s="32"/>
      <c r="D373" s="32"/>
      <c r="E373" s="32"/>
      <c r="F373" s="41"/>
      <c r="G373" s="33"/>
      <c r="H373" s="33"/>
      <c r="I373" s="32"/>
      <c r="J373" s="35"/>
      <c r="K373" s="33"/>
    </row>
    <row r="374" customFormat="false" ht="15" hidden="false" customHeight="false" outlineLevel="0" collapsed="false">
      <c r="A374" s="32"/>
      <c r="B374" s="35"/>
      <c r="C374" s="32"/>
      <c r="D374" s="32"/>
      <c r="E374" s="32"/>
      <c r="F374" s="41"/>
      <c r="G374" s="33"/>
      <c r="H374" s="33"/>
      <c r="I374" s="32"/>
      <c r="J374" s="35"/>
      <c r="K374" s="33"/>
    </row>
    <row r="375" customFormat="false" ht="15" hidden="false" customHeight="false" outlineLevel="0" collapsed="false">
      <c r="A375" s="32"/>
      <c r="B375" s="35"/>
      <c r="C375" s="32"/>
      <c r="D375" s="32"/>
      <c r="E375" s="32"/>
      <c r="F375" s="41"/>
      <c r="G375" s="33"/>
      <c r="H375" s="33"/>
      <c r="I375" s="32"/>
      <c r="J375" s="35"/>
      <c r="K375" s="33"/>
    </row>
    <row r="376" customFormat="false" ht="15" hidden="false" customHeight="false" outlineLevel="0" collapsed="false">
      <c r="A376" s="32"/>
      <c r="B376" s="35"/>
      <c r="C376" s="32"/>
      <c r="D376" s="32"/>
      <c r="E376" s="32"/>
      <c r="F376" s="41"/>
      <c r="G376" s="33"/>
      <c r="H376" s="33"/>
      <c r="I376" s="32"/>
      <c r="J376" s="35"/>
      <c r="K376" s="33"/>
    </row>
    <row r="377" customFormat="false" ht="15" hidden="false" customHeight="false" outlineLevel="0" collapsed="false">
      <c r="A377" s="32"/>
      <c r="B377" s="35"/>
      <c r="C377" s="32"/>
      <c r="D377" s="32"/>
      <c r="E377" s="32"/>
      <c r="F377" s="41"/>
      <c r="G377" s="33"/>
      <c r="H377" s="33"/>
      <c r="I377" s="32"/>
      <c r="J377" s="35"/>
      <c r="K377" s="33"/>
    </row>
    <row r="378" customFormat="false" ht="15" hidden="false" customHeight="false" outlineLevel="0" collapsed="false">
      <c r="A378" s="32"/>
      <c r="B378" s="35"/>
      <c r="C378" s="32"/>
      <c r="D378" s="32"/>
      <c r="E378" s="32"/>
      <c r="F378" s="41"/>
      <c r="G378" s="33"/>
      <c r="H378" s="33"/>
      <c r="I378" s="32"/>
      <c r="J378" s="35"/>
      <c r="K378" s="33"/>
    </row>
    <row r="379" customFormat="false" ht="15" hidden="false" customHeight="false" outlineLevel="0" collapsed="false">
      <c r="A379" s="32"/>
      <c r="B379" s="35"/>
      <c r="C379" s="32"/>
      <c r="D379" s="32"/>
      <c r="E379" s="32"/>
      <c r="F379" s="41"/>
      <c r="G379" s="33"/>
      <c r="H379" s="33"/>
      <c r="I379" s="32"/>
      <c r="J379" s="35"/>
      <c r="K379" s="33"/>
    </row>
    <row r="380" customFormat="false" ht="15" hidden="false" customHeight="false" outlineLevel="0" collapsed="false">
      <c r="A380" s="32"/>
      <c r="B380" s="35"/>
      <c r="C380" s="32"/>
      <c r="D380" s="32"/>
      <c r="E380" s="32"/>
      <c r="F380" s="41"/>
      <c r="G380" s="33"/>
      <c r="H380" s="33"/>
      <c r="I380" s="32"/>
      <c r="J380" s="35"/>
      <c r="K380" s="33"/>
    </row>
    <row r="381" customFormat="false" ht="15" hidden="false" customHeight="false" outlineLevel="0" collapsed="false">
      <c r="A381" s="32"/>
      <c r="B381" s="35"/>
      <c r="C381" s="32"/>
      <c r="D381" s="32"/>
      <c r="E381" s="32"/>
      <c r="F381" s="41"/>
      <c r="G381" s="33"/>
      <c r="H381" s="33"/>
      <c r="I381" s="32"/>
      <c r="J381" s="35"/>
      <c r="K381" s="33"/>
    </row>
    <row r="382" customFormat="false" ht="15" hidden="false" customHeight="false" outlineLevel="0" collapsed="false">
      <c r="A382" s="32"/>
      <c r="B382" s="35"/>
      <c r="C382" s="32"/>
      <c r="D382" s="32"/>
      <c r="E382" s="32"/>
      <c r="F382" s="41"/>
      <c r="G382" s="33"/>
      <c r="H382" s="33"/>
      <c r="I382" s="32"/>
      <c r="J382" s="35"/>
      <c r="K382" s="33"/>
    </row>
    <row r="383" customFormat="false" ht="15" hidden="false" customHeight="false" outlineLevel="0" collapsed="false">
      <c r="A383" s="32"/>
      <c r="B383" s="35"/>
      <c r="C383" s="32"/>
      <c r="D383" s="32"/>
      <c r="E383" s="32"/>
      <c r="F383" s="41"/>
      <c r="G383" s="33"/>
      <c r="H383" s="33"/>
      <c r="I383" s="32"/>
      <c r="J383" s="35"/>
      <c r="K383" s="33"/>
    </row>
    <row r="384" customFormat="false" ht="15" hidden="false" customHeight="false" outlineLevel="0" collapsed="false">
      <c r="A384" s="32"/>
      <c r="B384" s="35"/>
      <c r="C384" s="32"/>
      <c r="D384" s="32"/>
      <c r="E384" s="32"/>
      <c r="F384" s="41"/>
      <c r="G384" s="33"/>
      <c r="H384" s="33"/>
      <c r="I384" s="32"/>
      <c r="J384" s="35"/>
      <c r="K384" s="33"/>
    </row>
    <row r="385" customFormat="false" ht="15" hidden="false" customHeight="false" outlineLevel="0" collapsed="false">
      <c r="A385" s="32"/>
      <c r="B385" s="35"/>
      <c r="C385" s="32"/>
      <c r="D385" s="32"/>
      <c r="E385" s="32"/>
      <c r="F385" s="41"/>
      <c r="G385" s="33"/>
      <c r="H385" s="33"/>
      <c r="I385" s="32"/>
      <c r="J385" s="35"/>
      <c r="K385" s="33"/>
    </row>
    <row r="386" customFormat="false" ht="15" hidden="false" customHeight="false" outlineLevel="0" collapsed="false">
      <c r="A386" s="32"/>
      <c r="B386" s="35"/>
      <c r="C386" s="32"/>
      <c r="D386" s="32"/>
      <c r="E386" s="32"/>
      <c r="F386" s="41"/>
      <c r="G386" s="33"/>
      <c r="H386" s="33"/>
      <c r="I386" s="32"/>
      <c r="J386" s="35"/>
      <c r="K386" s="33"/>
    </row>
    <row r="387" customFormat="false" ht="15" hidden="false" customHeight="false" outlineLevel="0" collapsed="false">
      <c r="A387" s="32"/>
      <c r="B387" s="35"/>
      <c r="C387" s="32"/>
      <c r="D387" s="32"/>
      <c r="E387" s="32"/>
      <c r="F387" s="41"/>
      <c r="G387" s="33"/>
      <c r="H387" s="33"/>
      <c r="I387" s="32"/>
      <c r="J387" s="35"/>
      <c r="K387" s="33"/>
    </row>
    <row r="388" customFormat="false" ht="15" hidden="false" customHeight="false" outlineLevel="0" collapsed="false">
      <c r="A388" s="32"/>
      <c r="B388" s="35"/>
      <c r="C388" s="32"/>
      <c r="D388" s="32"/>
      <c r="E388" s="32"/>
      <c r="F388" s="41"/>
      <c r="G388" s="33"/>
      <c r="H388" s="33"/>
      <c r="I388" s="32"/>
      <c r="J388" s="35"/>
      <c r="K388" s="33"/>
    </row>
    <row r="389" customFormat="false" ht="15" hidden="false" customHeight="false" outlineLevel="0" collapsed="false">
      <c r="A389" s="32"/>
      <c r="B389" s="35"/>
      <c r="C389" s="32"/>
      <c r="D389" s="32"/>
      <c r="E389" s="32"/>
      <c r="F389" s="41"/>
      <c r="G389" s="33"/>
      <c r="H389" s="33"/>
      <c r="I389" s="32"/>
      <c r="J389" s="35"/>
      <c r="K389" s="33"/>
    </row>
    <row r="390" customFormat="false" ht="15" hidden="false" customHeight="false" outlineLevel="0" collapsed="false">
      <c r="A390" s="32"/>
      <c r="B390" s="35"/>
      <c r="C390" s="32"/>
      <c r="D390" s="32"/>
      <c r="E390" s="32"/>
      <c r="F390" s="41"/>
      <c r="G390" s="33"/>
      <c r="H390" s="33"/>
      <c r="I390" s="32"/>
      <c r="J390" s="35"/>
      <c r="K390" s="33"/>
    </row>
    <row r="391" customFormat="false" ht="15" hidden="false" customHeight="false" outlineLevel="0" collapsed="false">
      <c r="A391" s="32"/>
      <c r="B391" s="35"/>
      <c r="C391" s="32"/>
      <c r="D391" s="32"/>
      <c r="E391" s="32"/>
      <c r="F391" s="41"/>
      <c r="G391" s="33"/>
      <c r="H391" s="33"/>
      <c r="I391" s="32"/>
      <c r="J391" s="35"/>
      <c r="K391" s="33"/>
    </row>
    <row r="392" customFormat="false" ht="15" hidden="false" customHeight="false" outlineLevel="0" collapsed="false">
      <c r="A392" s="32"/>
      <c r="B392" s="35"/>
      <c r="C392" s="32"/>
      <c r="D392" s="32"/>
      <c r="E392" s="32"/>
      <c r="F392" s="41"/>
      <c r="G392" s="33"/>
      <c r="H392" s="33"/>
      <c r="I392" s="32"/>
      <c r="J392" s="35"/>
      <c r="K392" s="33"/>
    </row>
    <row r="393" customFormat="false" ht="15" hidden="false" customHeight="false" outlineLevel="0" collapsed="false">
      <c r="A393" s="32"/>
      <c r="B393" s="35"/>
      <c r="C393" s="32"/>
      <c r="D393" s="32"/>
      <c r="E393" s="32"/>
      <c r="F393" s="41"/>
      <c r="G393" s="33"/>
      <c r="H393" s="33"/>
      <c r="I393" s="32"/>
      <c r="J393" s="35"/>
      <c r="K393" s="33"/>
    </row>
    <row r="394" customFormat="false" ht="15" hidden="false" customHeight="false" outlineLevel="0" collapsed="false">
      <c r="A394" s="32"/>
      <c r="B394" s="35"/>
      <c r="C394" s="32"/>
      <c r="D394" s="32"/>
      <c r="E394" s="32"/>
      <c r="F394" s="41"/>
      <c r="G394" s="33"/>
      <c r="H394" s="33"/>
      <c r="I394" s="32"/>
      <c r="J394" s="35"/>
      <c r="K394" s="33"/>
    </row>
    <row r="395" customFormat="false" ht="15" hidden="false" customHeight="false" outlineLevel="0" collapsed="false">
      <c r="A395" s="32"/>
      <c r="B395" s="35"/>
      <c r="C395" s="32"/>
      <c r="D395" s="32"/>
      <c r="E395" s="32"/>
      <c r="F395" s="41"/>
      <c r="G395" s="33"/>
      <c r="H395" s="33"/>
      <c r="I395" s="32"/>
      <c r="J395" s="35"/>
      <c r="K395" s="33"/>
    </row>
    <row r="396" customFormat="false" ht="15" hidden="false" customHeight="false" outlineLevel="0" collapsed="false">
      <c r="A396" s="32"/>
      <c r="B396" s="35"/>
      <c r="C396" s="32"/>
      <c r="D396" s="32"/>
      <c r="E396" s="32"/>
      <c r="F396" s="41"/>
      <c r="G396" s="33"/>
      <c r="H396" s="33"/>
      <c r="I396" s="32"/>
      <c r="J396" s="35"/>
      <c r="K396" s="33"/>
    </row>
    <row r="397" customFormat="false" ht="15" hidden="false" customHeight="false" outlineLevel="0" collapsed="false">
      <c r="A397" s="32"/>
      <c r="B397" s="35"/>
      <c r="C397" s="32"/>
      <c r="D397" s="32"/>
      <c r="E397" s="32"/>
      <c r="F397" s="41"/>
      <c r="G397" s="33"/>
      <c r="H397" s="33"/>
      <c r="I397" s="32"/>
      <c r="J397" s="35"/>
      <c r="K397" s="33"/>
    </row>
    <row r="398" customFormat="false" ht="15" hidden="false" customHeight="false" outlineLevel="0" collapsed="false">
      <c r="A398" s="32"/>
      <c r="B398" s="35"/>
      <c r="C398" s="32"/>
      <c r="D398" s="32"/>
      <c r="E398" s="32"/>
      <c r="F398" s="41"/>
      <c r="G398" s="33"/>
      <c r="H398" s="33"/>
      <c r="I398" s="32"/>
      <c r="J398" s="35"/>
      <c r="K398" s="33"/>
    </row>
    <row r="399" customFormat="false" ht="15" hidden="false" customHeight="false" outlineLevel="0" collapsed="false">
      <c r="A399" s="32"/>
      <c r="B399" s="35"/>
      <c r="C399" s="32"/>
      <c r="D399" s="32"/>
      <c r="E399" s="32"/>
      <c r="F399" s="41"/>
      <c r="G399" s="33"/>
      <c r="H399" s="33"/>
      <c r="I399" s="32"/>
      <c r="J399" s="35"/>
      <c r="K399" s="33"/>
    </row>
    <row r="400" customFormat="false" ht="15" hidden="false" customHeight="false" outlineLevel="0" collapsed="false">
      <c r="A400" s="32"/>
      <c r="B400" s="35"/>
      <c r="C400" s="32"/>
      <c r="D400" s="32"/>
      <c r="E400" s="32"/>
      <c r="F400" s="41"/>
      <c r="G400" s="33"/>
      <c r="H400" s="33"/>
      <c r="I400" s="32"/>
      <c r="J400" s="35"/>
      <c r="K400" s="33"/>
    </row>
    <row r="401" customFormat="false" ht="15" hidden="false" customHeight="false" outlineLevel="0" collapsed="false">
      <c r="A401" s="32"/>
      <c r="B401" s="35"/>
      <c r="C401" s="32"/>
      <c r="D401" s="32"/>
      <c r="E401" s="32"/>
      <c r="F401" s="41"/>
      <c r="G401" s="33"/>
      <c r="H401" s="33"/>
      <c r="I401" s="32"/>
      <c r="J401" s="35"/>
      <c r="K401" s="33"/>
    </row>
    <row r="402" customFormat="false" ht="15" hidden="false" customHeight="false" outlineLevel="0" collapsed="false">
      <c r="A402" s="32"/>
      <c r="B402" s="35"/>
      <c r="C402" s="32"/>
      <c r="D402" s="32"/>
      <c r="E402" s="32"/>
      <c r="F402" s="41"/>
      <c r="G402" s="33"/>
      <c r="H402" s="33"/>
      <c r="I402" s="32"/>
      <c r="J402" s="35"/>
      <c r="K402" s="33"/>
    </row>
    <row r="403" customFormat="false" ht="15" hidden="false" customHeight="false" outlineLevel="0" collapsed="false">
      <c r="A403" s="32"/>
      <c r="B403" s="35"/>
      <c r="C403" s="32"/>
      <c r="D403" s="32"/>
      <c r="E403" s="32"/>
      <c r="F403" s="41"/>
      <c r="G403" s="33"/>
      <c r="H403" s="33"/>
      <c r="I403" s="32"/>
      <c r="J403" s="35"/>
      <c r="K403" s="33"/>
    </row>
    <row r="404" customFormat="false" ht="15" hidden="false" customHeight="false" outlineLevel="0" collapsed="false">
      <c r="A404" s="32"/>
      <c r="B404" s="35"/>
      <c r="C404" s="32"/>
      <c r="D404" s="32"/>
      <c r="E404" s="32"/>
      <c r="F404" s="41"/>
      <c r="G404" s="33"/>
      <c r="H404" s="33"/>
      <c r="I404" s="32"/>
      <c r="J404" s="35"/>
      <c r="K404" s="33"/>
    </row>
    <row r="405" customFormat="false" ht="15" hidden="false" customHeight="false" outlineLevel="0" collapsed="false">
      <c r="A405" s="32"/>
      <c r="B405" s="35"/>
      <c r="C405" s="32"/>
      <c r="D405" s="32"/>
      <c r="E405" s="32"/>
      <c r="F405" s="41"/>
      <c r="G405" s="33"/>
      <c r="H405" s="33"/>
      <c r="I405" s="32"/>
      <c r="J405" s="35"/>
      <c r="K405" s="33"/>
    </row>
    <row r="406" customFormat="false" ht="15" hidden="false" customHeight="false" outlineLevel="0" collapsed="false">
      <c r="A406" s="32"/>
      <c r="B406" s="35"/>
      <c r="C406" s="32"/>
      <c r="D406" s="32"/>
      <c r="E406" s="32"/>
      <c r="F406" s="41"/>
      <c r="G406" s="33"/>
      <c r="H406" s="33"/>
      <c r="I406" s="32"/>
      <c r="J406" s="35"/>
      <c r="K406" s="33"/>
    </row>
    <row r="407" customFormat="false" ht="15" hidden="false" customHeight="false" outlineLevel="0" collapsed="false">
      <c r="A407" s="32"/>
      <c r="B407" s="35"/>
      <c r="C407" s="32"/>
      <c r="D407" s="32"/>
      <c r="E407" s="32"/>
      <c r="F407" s="41"/>
      <c r="G407" s="33"/>
      <c r="H407" s="33"/>
      <c r="I407" s="32"/>
      <c r="J407" s="35"/>
      <c r="K407" s="33"/>
    </row>
    <row r="408" customFormat="false" ht="15" hidden="false" customHeight="false" outlineLevel="0" collapsed="false">
      <c r="A408" s="32"/>
      <c r="B408" s="35"/>
      <c r="C408" s="32"/>
      <c r="D408" s="32"/>
      <c r="E408" s="32"/>
      <c r="F408" s="41"/>
      <c r="G408" s="33"/>
      <c r="H408" s="33"/>
      <c r="I408" s="32"/>
      <c r="J408" s="35"/>
      <c r="K408" s="33"/>
    </row>
    <row r="409" customFormat="false" ht="15" hidden="false" customHeight="false" outlineLevel="0" collapsed="false">
      <c r="A409" s="32"/>
      <c r="B409" s="35"/>
      <c r="C409" s="32"/>
      <c r="D409" s="32"/>
      <c r="E409" s="32"/>
      <c r="F409" s="41"/>
      <c r="G409" s="33"/>
      <c r="H409" s="33"/>
      <c r="I409" s="32"/>
      <c r="J409" s="35"/>
      <c r="K409" s="33"/>
    </row>
    <row r="410" customFormat="false" ht="15" hidden="false" customHeight="false" outlineLevel="0" collapsed="false">
      <c r="A410" s="32"/>
      <c r="B410" s="35"/>
      <c r="C410" s="32"/>
      <c r="D410" s="32"/>
      <c r="E410" s="32"/>
      <c r="F410" s="41"/>
      <c r="G410" s="33"/>
      <c r="H410" s="33"/>
      <c r="I410" s="32"/>
      <c r="J410" s="35"/>
      <c r="K410" s="33"/>
    </row>
    <row r="411" customFormat="false" ht="15" hidden="false" customHeight="false" outlineLevel="0" collapsed="false">
      <c r="A411" s="32"/>
      <c r="B411" s="35"/>
      <c r="C411" s="32"/>
      <c r="D411" s="32"/>
      <c r="E411" s="32"/>
      <c r="F411" s="41"/>
      <c r="G411" s="33"/>
      <c r="H411" s="33"/>
      <c r="I411" s="32"/>
      <c r="J411" s="35"/>
      <c r="K411" s="33"/>
    </row>
    <row r="412" customFormat="false" ht="15" hidden="false" customHeight="false" outlineLevel="0" collapsed="false">
      <c r="A412" s="32"/>
      <c r="B412" s="35"/>
      <c r="C412" s="32"/>
      <c r="D412" s="32"/>
      <c r="E412" s="32"/>
      <c r="F412" s="41"/>
      <c r="G412" s="33"/>
      <c r="H412" s="33"/>
      <c r="I412" s="32"/>
      <c r="J412" s="35"/>
      <c r="K412" s="33"/>
    </row>
    <row r="413" customFormat="false" ht="15" hidden="false" customHeight="false" outlineLevel="0" collapsed="false">
      <c r="A413" s="32"/>
      <c r="B413" s="35"/>
      <c r="C413" s="32"/>
      <c r="D413" s="32"/>
      <c r="E413" s="32"/>
      <c r="F413" s="41"/>
      <c r="G413" s="33"/>
      <c r="H413" s="33"/>
      <c r="I413" s="32"/>
      <c r="J413" s="35"/>
      <c r="K413" s="33"/>
    </row>
    <row r="414" customFormat="false" ht="15" hidden="false" customHeight="false" outlineLevel="0" collapsed="false">
      <c r="A414" s="32"/>
      <c r="B414" s="35"/>
      <c r="C414" s="32"/>
      <c r="D414" s="32"/>
      <c r="E414" s="32"/>
      <c r="F414" s="41"/>
      <c r="G414" s="33"/>
      <c r="H414" s="33"/>
      <c r="I414" s="32"/>
      <c r="J414" s="35"/>
      <c r="K414" s="33"/>
    </row>
    <row r="415" customFormat="false" ht="15" hidden="false" customHeight="false" outlineLevel="0" collapsed="false">
      <c r="A415" s="32"/>
      <c r="B415" s="35"/>
      <c r="C415" s="32"/>
      <c r="D415" s="32"/>
      <c r="E415" s="32"/>
      <c r="F415" s="41"/>
      <c r="G415" s="33"/>
      <c r="H415" s="33"/>
      <c r="I415" s="32"/>
      <c r="J415" s="35"/>
      <c r="K415" s="33"/>
    </row>
    <row r="416" customFormat="false" ht="15" hidden="false" customHeight="false" outlineLevel="0" collapsed="false">
      <c r="A416" s="32"/>
      <c r="B416" s="35"/>
      <c r="C416" s="32"/>
      <c r="D416" s="32"/>
      <c r="E416" s="32"/>
      <c r="F416" s="41"/>
      <c r="G416" s="33"/>
      <c r="H416" s="33"/>
      <c r="I416" s="32"/>
      <c r="J416" s="35"/>
      <c r="K416" s="33"/>
    </row>
    <row r="417" customFormat="false" ht="15" hidden="false" customHeight="false" outlineLevel="0" collapsed="false">
      <c r="A417" s="32"/>
      <c r="B417" s="35"/>
      <c r="C417" s="32"/>
      <c r="D417" s="32"/>
      <c r="E417" s="32"/>
      <c r="F417" s="41"/>
      <c r="G417" s="33"/>
      <c r="H417" s="33"/>
      <c r="I417" s="32"/>
      <c r="J417" s="35"/>
      <c r="K417" s="33"/>
    </row>
    <row r="418" customFormat="false" ht="15" hidden="false" customHeight="false" outlineLevel="0" collapsed="false">
      <c r="A418" s="32"/>
      <c r="B418" s="35"/>
      <c r="C418" s="32"/>
      <c r="D418" s="32"/>
      <c r="E418" s="32"/>
      <c r="F418" s="41"/>
      <c r="G418" s="33"/>
      <c r="H418" s="33"/>
      <c r="I418" s="32"/>
      <c r="J418" s="35"/>
      <c r="K418" s="33"/>
    </row>
    <row r="419" customFormat="false" ht="15" hidden="false" customHeight="false" outlineLevel="0" collapsed="false">
      <c r="A419" s="32"/>
      <c r="B419" s="35"/>
      <c r="C419" s="32"/>
      <c r="D419" s="32"/>
      <c r="E419" s="32"/>
      <c r="F419" s="41"/>
      <c r="G419" s="33"/>
      <c r="H419" s="33"/>
      <c r="I419" s="32"/>
      <c r="J419" s="35"/>
      <c r="K419" s="33"/>
    </row>
    <row r="420" customFormat="false" ht="15" hidden="false" customHeight="false" outlineLevel="0" collapsed="false">
      <c r="A420" s="32"/>
      <c r="B420" s="35"/>
      <c r="C420" s="32"/>
      <c r="D420" s="32"/>
      <c r="E420" s="32"/>
      <c r="F420" s="41"/>
      <c r="G420" s="33"/>
      <c r="H420" s="33"/>
      <c r="I420" s="32"/>
      <c r="J420" s="35"/>
      <c r="K420" s="33"/>
    </row>
    <row r="421" customFormat="false" ht="15" hidden="false" customHeight="false" outlineLevel="0" collapsed="false">
      <c r="A421" s="32"/>
      <c r="B421" s="35"/>
      <c r="C421" s="32"/>
      <c r="D421" s="32"/>
      <c r="E421" s="32"/>
      <c r="F421" s="41"/>
      <c r="G421" s="33"/>
      <c r="H421" s="33"/>
      <c r="I421" s="32"/>
      <c r="J421" s="35"/>
      <c r="K421" s="33"/>
    </row>
    <row r="422" customFormat="false" ht="15" hidden="false" customHeight="false" outlineLevel="0" collapsed="false">
      <c r="A422" s="32"/>
      <c r="B422" s="35"/>
      <c r="C422" s="32"/>
      <c r="D422" s="32"/>
      <c r="E422" s="32"/>
      <c r="F422" s="41"/>
      <c r="G422" s="33"/>
      <c r="H422" s="33"/>
      <c r="I422" s="32"/>
      <c r="J422" s="35"/>
      <c r="K422" s="33"/>
    </row>
    <row r="423" customFormat="false" ht="15" hidden="false" customHeight="false" outlineLevel="0" collapsed="false">
      <c r="A423" s="32"/>
      <c r="B423" s="35"/>
      <c r="C423" s="32"/>
      <c r="D423" s="32"/>
      <c r="E423" s="32"/>
      <c r="F423" s="41"/>
      <c r="G423" s="33"/>
      <c r="H423" s="33"/>
      <c r="I423" s="32"/>
      <c r="J423" s="35"/>
      <c r="K423" s="33"/>
    </row>
    <row r="424" customFormat="false" ht="15" hidden="false" customHeight="false" outlineLevel="0" collapsed="false">
      <c r="A424" s="32"/>
      <c r="B424" s="35"/>
      <c r="C424" s="32"/>
      <c r="D424" s="32"/>
      <c r="E424" s="32"/>
      <c r="F424" s="41"/>
      <c r="G424" s="33"/>
      <c r="H424" s="33"/>
      <c r="I424" s="32"/>
      <c r="J424" s="35"/>
      <c r="K424" s="33"/>
    </row>
    <row r="425" customFormat="false" ht="15" hidden="false" customHeight="false" outlineLevel="0" collapsed="false">
      <c r="A425" s="32"/>
      <c r="B425" s="35"/>
      <c r="C425" s="32"/>
      <c r="D425" s="32"/>
      <c r="E425" s="32"/>
      <c r="F425" s="41"/>
      <c r="G425" s="33"/>
      <c r="H425" s="33"/>
      <c r="I425" s="32"/>
      <c r="J425" s="35"/>
      <c r="K425" s="33"/>
    </row>
    <row r="426" customFormat="false" ht="15" hidden="false" customHeight="false" outlineLevel="0" collapsed="false">
      <c r="A426" s="32"/>
      <c r="B426" s="35"/>
      <c r="C426" s="32"/>
      <c r="D426" s="32"/>
      <c r="E426" s="32"/>
      <c r="F426" s="41"/>
      <c r="G426" s="33"/>
      <c r="H426" s="33"/>
      <c r="I426" s="32"/>
      <c r="J426" s="35"/>
      <c r="K426" s="33"/>
    </row>
    <row r="427" customFormat="false" ht="15" hidden="false" customHeight="false" outlineLevel="0" collapsed="false">
      <c r="A427" s="32"/>
      <c r="B427" s="35"/>
      <c r="C427" s="32"/>
      <c r="D427" s="32"/>
      <c r="E427" s="32"/>
      <c r="F427" s="41"/>
      <c r="G427" s="33"/>
      <c r="H427" s="33"/>
      <c r="I427" s="32"/>
      <c r="J427" s="35"/>
      <c r="K427" s="33"/>
    </row>
    <row r="428" customFormat="false" ht="15" hidden="false" customHeight="false" outlineLevel="0" collapsed="false">
      <c r="A428" s="32"/>
      <c r="B428" s="35"/>
      <c r="C428" s="32"/>
      <c r="D428" s="32"/>
      <c r="E428" s="32"/>
      <c r="F428" s="41"/>
      <c r="G428" s="33"/>
      <c r="H428" s="33"/>
      <c r="I428" s="32"/>
      <c r="J428" s="35"/>
      <c r="K428" s="33"/>
    </row>
    <row r="429" customFormat="false" ht="15" hidden="false" customHeight="false" outlineLevel="0" collapsed="false">
      <c r="A429" s="32"/>
      <c r="B429" s="35"/>
      <c r="C429" s="32"/>
      <c r="D429" s="32"/>
      <c r="E429" s="32"/>
      <c r="F429" s="41"/>
      <c r="G429" s="33"/>
      <c r="H429" s="33"/>
      <c r="I429" s="32"/>
      <c r="J429" s="35"/>
      <c r="K429" s="33"/>
    </row>
    <row r="430" customFormat="false" ht="15" hidden="false" customHeight="false" outlineLevel="0" collapsed="false">
      <c r="A430" s="32"/>
      <c r="B430" s="35"/>
      <c r="C430" s="32"/>
      <c r="D430" s="32"/>
      <c r="E430" s="32"/>
      <c r="F430" s="41"/>
      <c r="G430" s="33"/>
      <c r="H430" s="33"/>
      <c r="I430" s="32"/>
      <c r="J430" s="35"/>
      <c r="K430" s="33"/>
    </row>
    <row r="431" customFormat="false" ht="15" hidden="false" customHeight="false" outlineLevel="0" collapsed="false">
      <c r="A431" s="32"/>
      <c r="B431" s="35"/>
      <c r="C431" s="32"/>
      <c r="D431" s="32"/>
      <c r="E431" s="32"/>
      <c r="F431" s="41"/>
      <c r="G431" s="33"/>
      <c r="H431" s="33"/>
      <c r="I431" s="32"/>
      <c r="J431" s="35"/>
      <c r="K431" s="33"/>
    </row>
    <row r="432" customFormat="false" ht="15" hidden="false" customHeight="false" outlineLevel="0" collapsed="false">
      <c r="A432" s="32"/>
      <c r="B432" s="35"/>
      <c r="C432" s="32"/>
      <c r="D432" s="32"/>
      <c r="E432" s="32"/>
      <c r="F432" s="41"/>
      <c r="G432" s="33"/>
      <c r="H432" s="33"/>
      <c r="I432" s="32"/>
      <c r="J432" s="35"/>
      <c r="K432" s="33"/>
    </row>
    <row r="433" customFormat="false" ht="15" hidden="false" customHeight="false" outlineLevel="0" collapsed="false">
      <c r="A433" s="32"/>
      <c r="B433" s="35"/>
      <c r="C433" s="32"/>
      <c r="D433" s="32"/>
      <c r="E433" s="32"/>
      <c r="F433" s="41"/>
      <c r="G433" s="33"/>
      <c r="H433" s="33"/>
      <c r="I433" s="32"/>
      <c r="J433" s="35"/>
      <c r="K433" s="33"/>
    </row>
    <row r="434" customFormat="false" ht="15" hidden="false" customHeight="false" outlineLevel="0" collapsed="false">
      <c r="A434" s="32"/>
      <c r="B434" s="35"/>
      <c r="C434" s="32"/>
      <c r="D434" s="32"/>
      <c r="E434" s="32"/>
      <c r="F434" s="41"/>
      <c r="G434" s="33"/>
      <c r="H434" s="33"/>
      <c r="I434" s="32"/>
      <c r="J434" s="35"/>
      <c r="K434" s="33"/>
    </row>
    <row r="435" customFormat="false" ht="15" hidden="false" customHeight="false" outlineLevel="0" collapsed="false">
      <c r="A435" s="32"/>
      <c r="B435" s="35"/>
      <c r="C435" s="32"/>
      <c r="D435" s="32"/>
      <c r="E435" s="32"/>
      <c r="F435" s="41"/>
      <c r="G435" s="33"/>
      <c r="H435" s="33"/>
      <c r="I435" s="32"/>
      <c r="J435" s="35"/>
      <c r="K435" s="33"/>
    </row>
    <row r="436" customFormat="false" ht="15" hidden="false" customHeight="false" outlineLevel="0" collapsed="false">
      <c r="A436" s="32"/>
      <c r="B436" s="35"/>
      <c r="C436" s="32"/>
      <c r="D436" s="32"/>
      <c r="E436" s="32"/>
      <c r="F436" s="41"/>
      <c r="G436" s="33"/>
      <c r="H436" s="33"/>
      <c r="I436" s="32"/>
      <c r="J436" s="35"/>
      <c r="K436" s="33"/>
    </row>
    <row r="437" customFormat="false" ht="15" hidden="false" customHeight="false" outlineLevel="0" collapsed="false">
      <c r="A437" s="32"/>
      <c r="B437" s="35"/>
      <c r="C437" s="32"/>
      <c r="D437" s="32"/>
      <c r="E437" s="32"/>
      <c r="F437" s="41"/>
      <c r="G437" s="33"/>
      <c r="H437" s="33"/>
      <c r="I437" s="32"/>
      <c r="J437" s="35"/>
      <c r="K437" s="33"/>
    </row>
    <row r="438" customFormat="false" ht="15" hidden="false" customHeight="false" outlineLevel="0" collapsed="false">
      <c r="A438" s="32"/>
      <c r="B438" s="35"/>
      <c r="C438" s="32"/>
      <c r="D438" s="32"/>
      <c r="E438" s="32"/>
      <c r="F438" s="41"/>
      <c r="G438" s="33"/>
      <c r="H438" s="33"/>
      <c r="I438" s="32"/>
      <c r="J438" s="35"/>
      <c r="K438" s="33"/>
    </row>
    <row r="439" customFormat="false" ht="15" hidden="false" customHeight="false" outlineLevel="0" collapsed="false">
      <c r="A439" s="32"/>
      <c r="B439" s="35"/>
      <c r="C439" s="32"/>
      <c r="D439" s="32"/>
      <c r="E439" s="32"/>
      <c r="F439" s="41"/>
      <c r="G439" s="33"/>
      <c r="H439" s="33"/>
      <c r="I439" s="32"/>
      <c r="J439" s="35"/>
      <c r="K439" s="33"/>
    </row>
    <row r="440" customFormat="false" ht="15" hidden="false" customHeight="false" outlineLevel="0" collapsed="false">
      <c r="A440" s="32"/>
      <c r="B440" s="35"/>
      <c r="C440" s="32"/>
      <c r="D440" s="32"/>
      <c r="E440" s="32"/>
      <c r="F440" s="41"/>
      <c r="G440" s="33"/>
      <c r="H440" s="33"/>
      <c r="I440" s="32"/>
      <c r="J440" s="35"/>
      <c r="K440" s="33"/>
    </row>
    <row r="441" customFormat="false" ht="15" hidden="false" customHeight="false" outlineLevel="0" collapsed="false">
      <c r="A441" s="32"/>
      <c r="B441" s="35"/>
      <c r="C441" s="32"/>
      <c r="D441" s="32"/>
      <c r="E441" s="32"/>
      <c r="F441" s="41"/>
      <c r="G441" s="33"/>
      <c r="H441" s="33"/>
      <c r="I441" s="32"/>
      <c r="J441" s="35"/>
      <c r="K441" s="33"/>
    </row>
    <row r="442" customFormat="false" ht="15" hidden="false" customHeight="false" outlineLevel="0" collapsed="false">
      <c r="A442" s="32"/>
      <c r="B442" s="35"/>
      <c r="C442" s="32"/>
      <c r="D442" s="32"/>
      <c r="E442" s="32"/>
      <c r="F442" s="41"/>
      <c r="G442" s="33"/>
      <c r="H442" s="33"/>
      <c r="I442" s="32"/>
      <c r="J442" s="35"/>
      <c r="K442" s="33"/>
    </row>
    <row r="443" customFormat="false" ht="15" hidden="false" customHeight="false" outlineLevel="0" collapsed="false">
      <c r="A443" s="32"/>
      <c r="B443" s="35"/>
      <c r="C443" s="32"/>
      <c r="D443" s="32"/>
      <c r="E443" s="32"/>
      <c r="F443" s="41"/>
      <c r="G443" s="33"/>
      <c r="H443" s="33"/>
      <c r="I443" s="32"/>
      <c r="J443" s="35"/>
      <c r="K443" s="33"/>
    </row>
    <row r="444" customFormat="false" ht="15" hidden="false" customHeight="false" outlineLevel="0" collapsed="false">
      <c r="A444" s="32"/>
      <c r="B444" s="35"/>
      <c r="C444" s="32"/>
      <c r="D444" s="32"/>
      <c r="E444" s="32"/>
      <c r="F444" s="41"/>
      <c r="G444" s="33"/>
      <c r="H444" s="33"/>
      <c r="I444" s="32"/>
      <c r="J444" s="35"/>
      <c r="K444" s="33"/>
    </row>
    <row r="445" customFormat="false" ht="15" hidden="false" customHeight="false" outlineLevel="0" collapsed="false">
      <c r="A445" s="32"/>
      <c r="B445" s="35"/>
      <c r="C445" s="32"/>
      <c r="D445" s="32"/>
      <c r="E445" s="32"/>
      <c r="F445" s="41"/>
      <c r="G445" s="33"/>
      <c r="H445" s="33"/>
      <c r="I445" s="32"/>
      <c r="J445" s="35"/>
      <c r="K445" s="33"/>
    </row>
    <row r="446" customFormat="false" ht="15" hidden="false" customHeight="false" outlineLevel="0" collapsed="false">
      <c r="A446" s="32"/>
      <c r="B446" s="35"/>
      <c r="C446" s="32"/>
      <c r="D446" s="32"/>
      <c r="E446" s="32"/>
      <c r="F446" s="41"/>
      <c r="G446" s="33"/>
      <c r="H446" s="33"/>
      <c r="I446" s="32"/>
      <c r="J446" s="35"/>
      <c r="K446" s="33"/>
    </row>
    <row r="447" customFormat="false" ht="15" hidden="false" customHeight="false" outlineLevel="0" collapsed="false">
      <c r="A447" s="32"/>
      <c r="B447" s="35"/>
      <c r="C447" s="32"/>
      <c r="D447" s="32"/>
      <c r="E447" s="32"/>
      <c r="F447" s="41"/>
      <c r="G447" s="33"/>
      <c r="H447" s="33"/>
      <c r="I447" s="32"/>
      <c r="J447" s="35"/>
      <c r="K447" s="33"/>
    </row>
    <row r="448" customFormat="false" ht="15" hidden="false" customHeight="false" outlineLevel="0" collapsed="false">
      <c r="A448" s="32"/>
      <c r="B448" s="35"/>
      <c r="C448" s="32"/>
      <c r="D448" s="32"/>
      <c r="E448" s="32"/>
      <c r="F448" s="41"/>
      <c r="G448" s="33"/>
      <c r="H448" s="33"/>
      <c r="I448" s="32"/>
      <c r="J448" s="35"/>
      <c r="K448" s="33"/>
    </row>
    <row r="449" customFormat="false" ht="15" hidden="false" customHeight="false" outlineLevel="0" collapsed="false">
      <c r="A449" s="32"/>
      <c r="B449" s="35"/>
      <c r="C449" s="32"/>
      <c r="D449" s="32"/>
      <c r="E449" s="32"/>
      <c r="F449" s="41"/>
      <c r="G449" s="33"/>
      <c r="H449" s="33"/>
      <c r="I449" s="32"/>
      <c r="J449" s="35"/>
      <c r="K449" s="33"/>
    </row>
    <row r="450" customFormat="false" ht="15" hidden="false" customHeight="false" outlineLevel="0" collapsed="false">
      <c r="A450" s="32"/>
      <c r="B450" s="35"/>
      <c r="C450" s="32"/>
      <c r="D450" s="32"/>
      <c r="E450" s="32"/>
      <c r="F450" s="41"/>
      <c r="G450" s="33"/>
      <c r="H450" s="33"/>
      <c r="I450" s="32"/>
      <c r="J450" s="35"/>
      <c r="K450" s="33"/>
    </row>
    <row r="451" customFormat="false" ht="15" hidden="false" customHeight="false" outlineLevel="0" collapsed="false">
      <c r="A451" s="32"/>
      <c r="B451" s="35"/>
      <c r="C451" s="32"/>
      <c r="D451" s="32"/>
      <c r="E451" s="32"/>
      <c r="F451" s="41"/>
      <c r="G451" s="33"/>
      <c r="H451" s="33"/>
      <c r="I451" s="32"/>
      <c r="J451" s="35"/>
      <c r="K451" s="33"/>
    </row>
    <row r="452" customFormat="false" ht="15" hidden="false" customHeight="false" outlineLevel="0" collapsed="false">
      <c r="A452" s="32"/>
      <c r="B452" s="35"/>
      <c r="C452" s="32"/>
      <c r="D452" s="32"/>
      <c r="E452" s="32"/>
      <c r="F452" s="41"/>
      <c r="G452" s="33"/>
      <c r="H452" s="33"/>
      <c r="I452" s="32"/>
      <c r="J452" s="35"/>
      <c r="K452" s="33"/>
    </row>
    <row r="453" customFormat="false" ht="15" hidden="false" customHeight="false" outlineLevel="0" collapsed="false">
      <c r="A453" s="32"/>
      <c r="B453" s="35"/>
      <c r="C453" s="32"/>
      <c r="D453" s="32"/>
      <c r="E453" s="32"/>
      <c r="F453" s="41"/>
      <c r="G453" s="33"/>
      <c r="H453" s="33"/>
      <c r="I453" s="32"/>
      <c r="J453" s="35"/>
      <c r="K453" s="33"/>
    </row>
    <row r="454" customFormat="false" ht="15" hidden="false" customHeight="false" outlineLevel="0" collapsed="false">
      <c r="A454" s="32"/>
      <c r="B454" s="35"/>
      <c r="C454" s="32"/>
      <c r="D454" s="32"/>
      <c r="E454" s="32"/>
      <c r="F454" s="41"/>
      <c r="G454" s="33"/>
      <c r="H454" s="33"/>
      <c r="I454" s="32"/>
      <c r="J454" s="35"/>
      <c r="K454" s="33"/>
    </row>
    <row r="455" customFormat="false" ht="15" hidden="false" customHeight="false" outlineLevel="0" collapsed="false">
      <c r="A455" s="32"/>
      <c r="B455" s="35"/>
      <c r="C455" s="32"/>
      <c r="D455" s="32"/>
      <c r="E455" s="32"/>
      <c r="F455" s="41"/>
      <c r="G455" s="33"/>
      <c r="H455" s="33"/>
      <c r="I455" s="32"/>
      <c r="J455" s="35"/>
      <c r="K455" s="33"/>
    </row>
    <row r="456" customFormat="false" ht="15" hidden="false" customHeight="false" outlineLevel="0" collapsed="false">
      <c r="A456" s="32"/>
      <c r="B456" s="35"/>
      <c r="C456" s="32"/>
      <c r="D456" s="32"/>
      <c r="E456" s="32"/>
      <c r="F456" s="41"/>
      <c r="G456" s="33"/>
      <c r="H456" s="33"/>
      <c r="I456" s="32"/>
      <c r="J456" s="35"/>
      <c r="K456" s="33"/>
    </row>
    <row r="457" customFormat="false" ht="15" hidden="false" customHeight="false" outlineLevel="0" collapsed="false">
      <c r="A457" s="32"/>
      <c r="B457" s="35"/>
      <c r="C457" s="32"/>
      <c r="D457" s="32"/>
      <c r="E457" s="32"/>
      <c r="F457" s="41"/>
      <c r="G457" s="33"/>
      <c r="H457" s="33"/>
      <c r="I457" s="32"/>
      <c r="J457" s="35"/>
      <c r="K457" s="33"/>
    </row>
    <row r="458" customFormat="false" ht="15" hidden="false" customHeight="false" outlineLevel="0" collapsed="false">
      <c r="A458" s="32"/>
      <c r="B458" s="35"/>
      <c r="C458" s="32"/>
      <c r="D458" s="32"/>
      <c r="E458" s="32"/>
      <c r="F458" s="41"/>
      <c r="G458" s="33"/>
      <c r="H458" s="33"/>
      <c r="I458" s="32"/>
      <c r="J458" s="35"/>
      <c r="K458" s="33"/>
    </row>
    <row r="459" customFormat="false" ht="15" hidden="false" customHeight="false" outlineLevel="0" collapsed="false">
      <c r="A459" s="32"/>
      <c r="B459" s="35"/>
      <c r="C459" s="32"/>
      <c r="D459" s="32"/>
      <c r="E459" s="32"/>
      <c r="F459" s="41"/>
      <c r="G459" s="33"/>
      <c r="H459" s="33"/>
      <c r="I459" s="32"/>
      <c r="J459" s="35"/>
      <c r="K459" s="33"/>
    </row>
    <row r="460" customFormat="false" ht="15" hidden="false" customHeight="false" outlineLevel="0" collapsed="false">
      <c r="A460" s="32"/>
      <c r="B460" s="35"/>
      <c r="C460" s="32"/>
      <c r="D460" s="32"/>
      <c r="E460" s="32"/>
      <c r="F460" s="41"/>
      <c r="G460" s="33"/>
      <c r="H460" s="33"/>
      <c r="I460" s="32"/>
      <c r="J460" s="35"/>
      <c r="K460" s="33"/>
    </row>
    <row r="461" customFormat="false" ht="15" hidden="false" customHeight="false" outlineLevel="0" collapsed="false">
      <c r="A461" s="32"/>
      <c r="B461" s="35"/>
      <c r="C461" s="32"/>
      <c r="D461" s="32"/>
      <c r="E461" s="32"/>
      <c r="F461" s="41"/>
      <c r="G461" s="33"/>
      <c r="H461" s="33"/>
      <c r="I461" s="32"/>
      <c r="J461" s="35"/>
      <c r="K461" s="33"/>
    </row>
    <row r="462" customFormat="false" ht="15" hidden="false" customHeight="false" outlineLevel="0" collapsed="false">
      <c r="A462" s="32"/>
      <c r="B462" s="35"/>
      <c r="C462" s="32"/>
      <c r="D462" s="32"/>
      <c r="E462" s="32"/>
      <c r="F462" s="41"/>
      <c r="G462" s="33"/>
      <c r="H462" s="33"/>
      <c r="I462" s="32"/>
      <c r="J462" s="35"/>
      <c r="K462" s="33"/>
    </row>
    <row r="463" customFormat="false" ht="15" hidden="false" customHeight="false" outlineLevel="0" collapsed="false">
      <c r="A463" s="32"/>
      <c r="B463" s="35"/>
      <c r="C463" s="32"/>
      <c r="D463" s="32"/>
      <c r="E463" s="32"/>
      <c r="F463" s="41"/>
      <c r="G463" s="33"/>
      <c r="H463" s="33"/>
      <c r="I463" s="32"/>
      <c r="J463" s="35"/>
      <c r="K463" s="33"/>
    </row>
    <row r="464" customFormat="false" ht="15" hidden="false" customHeight="false" outlineLevel="0" collapsed="false">
      <c r="A464" s="32"/>
      <c r="B464" s="35"/>
      <c r="C464" s="32"/>
      <c r="D464" s="32"/>
      <c r="E464" s="32"/>
      <c r="F464" s="41"/>
      <c r="G464" s="33"/>
      <c r="H464" s="33"/>
      <c r="I464" s="32"/>
      <c r="J464" s="35"/>
      <c r="K464" s="33"/>
    </row>
    <row r="465" customFormat="false" ht="15" hidden="false" customHeight="false" outlineLevel="0" collapsed="false">
      <c r="A465" s="32"/>
      <c r="B465" s="35"/>
      <c r="C465" s="32"/>
      <c r="D465" s="32"/>
      <c r="E465" s="32"/>
      <c r="F465" s="41"/>
      <c r="G465" s="33"/>
      <c r="H465" s="33"/>
      <c r="I465" s="32"/>
      <c r="J465" s="35"/>
      <c r="K465" s="33"/>
    </row>
    <row r="466" customFormat="false" ht="15" hidden="false" customHeight="false" outlineLevel="0" collapsed="false">
      <c r="A466" s="32"/>
      <c r="B466" s="35"/>
      <c r="C466" s="32"/>
      <c r="D466" s="32"/>
      <c r="E466" s="32"/>
      <c r="F466" s="41"/>
      <c r="G466" s="33"/>
      <c r="H466" s="33"/>
      <c r="I466" s="32"/>
      <c r="J466" s="35"/>
      <c r="K466" s="33"/>
    </row>
    <row r="467" customFormat="false" ht="15" hidden="false" customHeight="false" outlineLevel="0" collapsed="false">
      <c r="A467" s="32"/>
      <c r="B467" s="35"/>
      <c r="C467" s="32"/>
      <c r="D467" s="32"/>
      <c r="E467" s="32"/>
      <c r="F467" s="41"/>
      <c r="G467" s="33"/>
      <c r="H467" s="33"/>
      <c r="I467" s="32"/>
      <c r="J467" s="35"/>
      <c r="K467" s="33"/>
    </row>
    <row r="468" customFormat="false" ht="15" hidden="false" customHeight="false" outlineLevel="0" collapsed="false">
      <c r="A468" s="32"/>
      <c r="B468" s="35"/>
      <c r="C468" s="32"/>
      <c r="D468" s="32"/>
      <c r="E468" s="32"/>
      <c r="F468" s="41"/>
      <c r="G468" s="33"/>
      <c r="H468" s="33"/>
      <c r="I468" s="32"/>
      <c r="J468" s="35"/>
      <c r="K468" s="33"/>
    </row>
    <row r="469" customFormat="false" ht="15" hidden="false" customHeight="false" outlineLevel="0" collapsed="false">
      <c r="A469" s="32"/>
      <c r="B469" s="35"/>
      <c r="C469" s="32"/>
      <c r="D469" s="32"/>
      <c r="E469" s="32"/>
      <c r="F469" s="41"/>
      <c r="G469" s="33"/>
      <c r="H469" s="33"/>
      <c r="I469" s="32"/>
      <c r="J469" s="35"/>
      <c r="K469" s="33"/>
    </row>
    <row r="470" customFormat="false" ht="15" hidden="false" customHeight="false" outlineLevel="0" collapsed="false">
      <c r="A470" s="32"/>
      <c r="B470" s="35"/>
      <c r="C470" s="32"/>
      <c r="D470" s="32"/>
      <c r="E470" s="32"/>
      <c r="F470" s="41"/>
      <c r="G470" s="33"/>
      <c r="H470" s="33"/>
      <c r="I470" s="32"/>
      <c r="J470" s="35"/>
      <c r="K470" s="33"/>
    </row>
    <row r="471" customFormat="false" ht="15" hidden="false" customHeight="false" outlineLevel="0" collapsed="false">
      <c r="A471" s="32"/>
      <c r="B471" s="35"/>
      <c r="C471" s="32"/>
      <c r="D471" s="32"/>
      <c r="E471" s="32"/>
      <c r="F471" s="41"/>
      <c r="G471" s="33"/>
      <c r="H471" s="33"/>
      <c r="I471" s="32"/>
      <c r="J471" s="35"/>
      <c r="K471" s="33"/>
    </row>
    <row r="472" customFormat="false" ht="15" hidden="false" customHeight="false" outlineLevel="0" collapsed="false">
      <c r="A472" s="32"/>
      <c r="B472" s="35"/>
      <c r="C472" s="32"/>
      <c r="D472" s="32"/>
      <c r="E472" s="32"/>
      <c r="F472" s="41"/>
      <c r="G472" s="33"/>
      <c r="H472" s="33"/>
      <c r="I472" s="32"/>
      <c r="J472" s="35"/>
      <c r="K472" s="33"/>
    </row>
    <row r="473" customFormat="false" ht="15" hidden="false" customHeight="false" outlineLevel="0" collapsed="false">
      <c r="A473" s="32"/>
      <c r="B473" s="35"/>
      <c r="C473" s="32"/>
      <c r="D473" s="32"/>
      <c r="E473" s="32"/>
      <c r="F473" s="41"/>
      <c r="G473" s="33"/>
      <c r="H473" s="33"/>
      <c r="I473" s="32"/>
      <c r="J473" s="35"/>
      <c r="K473" s="33"/>
    </row>
    <row r="474" customFormat="false" ht="15" hidden="false" customHeight="false" outlineLevel="0" collapsed="false">
      <c r="A474" s="32"/>
      <c r="B474" s="35"/>
      <c r="C474" s="32"/>
      <c r="D474" s="32"/>
      <c r="E474" s="32"/>
      <c r="F474" s="41"/>
      <c r="G474" s="33"/>
      <c r="H474" s="33"/>
      <c r="I474" s="32"/>
      <c r="J474" s="35"/>
      <c r="K474" s="33"/>
    </row>
    <row r="475" customFormat="false" ht="15" hidden="false" customHeight="false" outlineLevel="0" collapsed="false">
      <c r="A475" s="32"/>
      <c r="B475" s="35"/>
      <c r="C475" s="32"/>
      <c r="D475" s="32"/>
      <c r="E475" s="32"/>
      <c r="F475" s="41"/>
      <c r="G475" s="33"/>
      <c r="H475" s="33"/>
      <c r="I475" s="32"/>
      <c r="J475" s="35"/>
      <c r="K475" s="33"/>
    </row>
    <row r="476" customFormat="false" ht="15" hidden="false" customHeight="false" outlineLevel="0" collapsed="false">
      <c r="A476" s="32"/>
      <c r="B476" s="35"/>
      <c r="C476" s="32"/>
      <c r="D476" s="32"/>
      <c r="E476" s="32"/>
      <c r="F476" s="41"/>
      <c r="G476" s="33"/>
      <c r="H476" s="33"/>
      <c r="I476" s="32"/>
      <c r="J476" s="35"/>
      <c r="K476" s="33"/>
    </row>
    <row r="477" customFormat="false" ht="15" hidden="false" customHeight="false" outlineLevel="0" collapsed="false">
      <c r="A477" s="32"/>
      <c r="B477" s="35"/>
      <c r="C477" s="32"/>
      <c r="D477" s="32"/>
      <c r="E477" s="32"/>
      <c r="F477" s="41"/>
      <c r="G477" s="33"/>
      <c r="H477" s="33"/>
      <c r="I477" s="32"/>
      <c r="J477" s="35"/>
      <c r="K477" s="33"/>
    </row>
    <row r="478" customFormat="false" ht="15" hidden="false" customHeight="false" outlineLevel="0" collapsed="false">
      <c r="A478" s="32"/>
      <c r="B478" s="35"/>
      <c r="C478" s="32"/>
      <c r="D478" s="32"/>
      <c r="E478" s="32"/>
      <c r="F478" s="41"/>
      <c r="G478" s="33"/>
      <c r="H478" s="33"/>
      <c r="I478" s="32"/>
      <c r="J478" s="35"/>
      <c r="K478" s="33"/>
    </row>
    <row r="479" customFormat="false" ht="15" hidden="false" customHeight="false" outlineLevel="0" collapsed="false">
      <c r="A479" s="32"/>
      <c r="B479" s="35"/>
      <c r="C479" s="32"/>
      <c r="D479" s="32"/>
      <c r="E479" s="32"/>
      <c r="F479" s="41"/>
      <c r="G479" s="33"/>
      <c r="H479" s="33"/>
      <c r="I479" s="32"/>
      <c r="J479" s="35"/>
      <c r="K479" s="33"/>
    </row>
    <row r="480" customFormat="false" ht="15" hidden="false" customHeight="false" outlineLevel="0" collapsed="false">
      <c r="A480" s="32"/>
      <c r="B480" s="35"/>
      <c r="C480" s="32"/>
      <c r="D480" s="32"/>
      <c r="E480" s="32"/>
      <c r="F480" s="41"/>
      <c r="G480" s="33"/>
      <c r="H480" s="33"/>
      <c r="I480" s="32"/>
      <c r="J480" s="35"/>
      <c r="K480" s="33"/>
    </row>
    <row r="481" customFormat="false" ht="15" hidden="false" customHeight="false" outlineLevel="0" collapsed="false">
      <c r="A481" s="32"/>
      <c r="B481" s="35"/>
      <c r="C481" s="32"/>
      <c r="D481" s="32"/>
      <c r="E481" s="32"/>
      <c r="F481" s="41"/>
      <c r="G481" s="33"/>
      <c r="H481" s="33"/>
      <c r="I481" s="32"/>
      <c r="J481" s="35"/>
      <c r="K481" s="33"/>
    </row>
    <row r="482" customFormat="false" ht="15" hidden="false" customHeight="false" outlineLevel="0" collapsed="false">
      <c r="A482" s="32"/>
      <c r="B482" s="35"/>
      <c r="C482" s="32"/>
      <c r="D482" s="32"/>
      <c r="E482" s="32"/>
      <c r="F482" s="41"/>
      <c r="G482" s="33"/>
      <c r="H482" s="33"/>
      <c r="I482" s="32"/>
      <c r="J482" s="35"/>
      <c r="K482" s="33"/>
    </row>
    <row r="483" customFormat="false" ht="15" hidden="false" customHeight="false" outlineLevel="0" collapsed="false">
      <c r="A483" s="32"/>
      <c r="B483" s="35"/>
      <c r="C483" s="32"/>
      <c r="D483" s="32"/>
      <c r="E483" s="32"/>
      <c r="F483" s="41"/>
      <c r="G483" s="33"/>
      <c r="H483" s="33"/>
      <c r="I483" s="32"/>
      <c r="J483" s="35"/>
      <c r="K483" s="33"/>
    </row>
    <row r="484" customFormat="false" ht="15" hidden="false" customHeight="false" outlineLevel="0" collapsed="false">
      <c r="A484" s="32"/>
      <c r="B484" s="35"/>
      <c r="C484" s="32"/>
      <c r="D484" s="32"/>
      <c r="E484" s="32"/>
      <c r="F484" s="41"/>
      <c r="G484" s="33"/>
      <c r="H484" s="33"/>
      <c r="I484" s="32"/>
      <c r="J484" s="35"/>
      <c r="K484" s="33"/>
    </row>
    <row r="485" customFormat="false" ht="15" hidden="false" customHeight="false" outlineLevel="0" collapsed="false">
      <c r="A485" s="32"/>
      <c r="B485" s="35"/>
      <c r="C485" s="32"/>
      <c r="D485" s="32"/>
      <c r="E485" s="32"/>
      <c r="F485" s="41"/>
      <c r="G485" s="33"/>
      <c r="H485" s="33"/>
      <c r="I485" s="32"/>
      <c r="J485" s="35"/>
      <c r="K485" s="33"/>
    </row>
    <row r="486" customFormat="false" ht="15" hidden="false" customHeight="false" outlineLevel="0" collapsed="false">
      <c r="A486" s="32"/>
      <c r="B486" s="35"/>
      <c r="C486" s="32"/>
      <c r="D486" s="32"/>
      <c r="E486" s="32"/>
      <c r="F486" s="41"/>
      <c r="G486" s="33"/>
      <c r="H486" s="33"/>
      <c r="I486" s="32"/>
      <c r="J486" s="35"/>
      <c r="K486" s="33"/>
    </row>
    <row r="487" customFormat="false" ht="15" hidden="false" customHeight="false" outlineLevel="0" collapsed="false">
      <c r="A487" s="32"/>
      <c r="B487" s="35"/>
      <c r="C487" s="32"/>
      <c r="D487" s="32"/>
      <c r="E487" s="32"/>
      <c r="F487" s="41"/>
      <c r="G487" s="33"/>
      <c r="H487" s="33"/>
      <c r="I487" s="32"/>
      <c r="J487" s="35"/>
      <c r="K487" s="33"/>
    </row>
    <row r="488" customFormat="false" ht="15" hidden="false" customHeight="false" outlineLevel="0" collapsed="false">
      <c r="A488" s="32"/>
      <c r="B488" s="35"/>
      <c r="C488" s="32"/>
      <c r="D488" s="32"/>
      <c r="E488" s="32"/>
      <c r="F488" s="41"/>
      <c r="G488" s="33"/>
      <c r="H488" s="33"/>
      <c r="I488" s="32"/>
      <c r="J488" s="35"/>
      <c r="K488" s="33"/>
    </row>
    <row r="489" customFormat="false" ht="15" hidden="false" customHeight="false" outlineLevel="0" collapsed="false">
      <c r="A489" s="32"/>
      <c r="B489" s="35"/>
      <c r="C489" s="32"/>
      <c r="D489" s="32"/>
      <c r="E489" s="32"/>
      <c r="F489" s="41"/>
      <c r="G489" s="33"/>
      <c r="H489" s="33"/>
      <c r="I489" s="32"/>
      <c r="J489" s="35"/>
      <c r="K489" s="33"/>
    </row>
    <row r="490" customFormat="false" ht="15" hidden="false" customHeight="false" outlineLevel="0" collapsed="false">
      <c r="A490" s="32"/>
      <c r="B490" s="35"/>
      <c r="C490" s="32"/>
      <c r="D490" s="32"/>
      <c r="E490" s="32"/>
      <c r="F490" s="41"/>
      <c r="G490" s="33"/>
      <c r="H490" s="33"/>
      <c r="I490" s="32"/>
      <c r="J490" s="35"/>
      <c r="K490" s="33"/>
    </row>
    <row r="491" customFormat="false" ht="15" hidden="false" customHeight="false" outlineLevel="0" collapsed="false">
      <c r="A491" s="32"/>
      <c r="B491" s="35"/>
      <c r="C491" s="32"/>
      <c r="D491" s="32"/>
      <c r="E491" s="32"/>
      <c r="F491" s="41"/>
      <c r="G491" s="33"/>
      <c r="H491" s="33"/>
      <c r="I491" s="32"/>
      <c r="J491" s="35"/>
      <c r="K491" s="33"/>
    </row>
    <row r="492" customFormat="false" ht="15" hidden="false" customHeight="false" outlineLevel="0" collapsed="false">
      <c r="A492" s="32"/>
      <c r="B492" s="35"/>
      <c r="C492" s="32"/>
      <c r="D492" s="32"/>
      <c r="E492" s="32"/>
      <c r="F492" s="41"/>
      <c r="G492" s="33"/>
      <c r="H492" s="33"/>
      <c r="I492" s="32"/>
      <c r="J492" s="35"/>
      <c r="K492" s="33"/>
    </row>
    <row r="493" customFormat="false" ht="15" hidden="false" customHeight="false" outlineLevel="0" collapsed="false">
      <c r="A493" s="32"/>
      <c r="B493" s="35"/>
      <c r="C493" s="32"/>
      <c r="D493" s="32"/>
      <c r="E493" s="32"/>
      <c r="F493" s="41"/>
      <c r="G493" s="33"/>
      <c r="H493" s="33"/>
      <c r="I493" s="32"/>
      <c r="J493" s="35"/>
      <c r="K493" s="33"/>
    </row>
    <row r="494" customFormat="false" ht="15" hidden="false" customHeight="false" outlineLevel="0" collapsed="false">
      <c r="A494" s="32"/>
      <c r="B494" s="35"/>
      <c r="C494" s="32"/>
      <c r="D494" s="32"/>
      <c r="E494" s="32"/>
      <c r="F494" s="41"/>
      <c r="G494" s="33"/>
      <c r="H494" s="33"/>
      <c r="I494" s="32"/>
      <c r="J494" s="35"/>
      <c r="K494" s="33"/>
    </row>
    <row r="495" customFormat="false" ht="15" hidden="false" customHeight="false" outlineLevel="0" collapsed="false">
      <c r="A495" s="32"/>
      <c r="B495" s="35"/>
      <c r="C495" s="32"/>
      <c r="D495" s="32"/>
      <c r="E495" s="32"/>
      <c r="F495" s="41"/>
      <c r="G495" s="33"/>
      <c r="H495" s="33"/>
      <c r="I495" s="32"/>
      <c r="J495" s="35"/>
      <c r="K495" s="33"/>
    </row>
    <row r="496" customFormat="false" ht="15" hidden="false" customHeight="false" outlineLevel="0" collapsed="false">
      <c r="A496" s="32"/>
      <c r="B496" s="35"/>
      <c r="C496" s="32"/>
      <c r="D496" s="32"/>
      <c r="E496" s="32"/>
      <c r="F496" s="41"/>
      <c r="G496" s="33"/>
      <c r="H496" s="33"/>
      <c r="I496" s="32"/>
      <c r="J496" s="35"/>
      <c r="K496" s="33"/>
    </row>
    <row r="497" customFormat="false" ht="15" hidden="false" customHeight="false" outlineLevel="0" collapsed="false">
      <c r="A497" s="32"/>
      <c r="B497" s="35"/>
      <c r="C497" s="32"/>
      <c r="D497" s="32"/>
      <c r="E497" s="32"/>
      <c r="F497" s="41"/>
      <c r="G497" s="33"/>
      <c r="H497" s="33"/>
      <c r="I497" s="32"/>
      <c r="J497" s="35"/>
      <c r="K497" s="33"/>
    </row>
    <row r="498" customFormat="false" ht="15" hidden="false" customHeight="false" outlineLevel="0" collapsed="false">
      <c r="A498" s="32"/>
      <c r="B498" s="35"/>
      <c r="C498" s="32"/>
      <c r="D498" s="32"/>
      <c r="E498" s="32"/>
      <c r="F498" s="41"/>
      <c r="G498" s="33"/>
      <c r="H498" s="33"/>
      <c r="I498" s="32"/>
      <c r="J498" s="35"/>
      <c r="K498" s="33"/>
    </row>
    <row r="499" customFormat="false" ht="15" hidden="false" customHeight="false" outlineLevel="0" collapsed="false">
      <c r="A499" s="32"/>
      <c r="B499" s="35"/>
      <c r="C499" s="32"/>
      <c r="D499" s="32"/>
      <c r="E499" s="32"/>
      <c r="F499" s="41"/>
      <c r="G499" s="33"/>
      <c r="H499" s="33"/>
      <c r="I499" s="32"/>
      <c r="J499" s="35"/>
      <c r="K499" s="33"/>
    </row>
    <row r="500" customFormat="false" ht="15" hidden="false" customHeight="false" outlineLevel="0" collapsed="false">
      <c r="A500" s="32"/>
      <c r="B500" s="35"/>
      <c r="C500" s="32"/>
      <c r="D500" s="32"/>
      <c r="E500" s="32"/>
      <c r="F500" s="41"/>
      <c r="G500" s="33"/>
      <c r="H500" s="33"/>
      <c r="I500" s="32"/>
      <c r="J500" s="35"/>
      <c r="K500" s="33"/>
    </row>
    <row r="501" customFormat="false" ht="15" hidden="false" customHeight="false" outlineLevel="0" collapsed="false">
      <c r="A501" s="32"/>
      <c r="B501" s="35"/>
      <c r="C501" s="32"/>
      <c r="D501" s="32"/>
      <c r="E501" s="32"/>
      <c r="F501" s="41"/>
      <c r="G501" s="33"/>
      <c r="H501" s="33"/>
      <c r="I501" s="32"/>
      <c r="J501" s="35"/>
      <c r="K501" s="33"/>
    </row>
  </sheetData>
  <autoFilter ref="A1:K501"/>
  <conditionalFormatting sqref="I2:I501">
    <cfRule type="expression" priority="2" aboveAverage="0" equalAverage="0" bottom="0" percent="0" rank="0" text="" dxfId="16">
      <formula>OR(I2="Done",I2="Closed",I2="Complete",I2="Paid")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B2:B501 J2:J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F2:F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lst_SafetyInspStatus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7" t="s">
        <v>110</v>
      </c>
      <c r="B1" s="17" t="s">
        <v>335</v>
      </c>
      <c r="C1" s="17" t="s">
        <v>168</v>
      </c>
      <c r="D1" s="17" t="s">
        <v>336</v>
      </c>
      <c r="E1" s="17" t="s">
        <v>337</v>
      </c>
      <c r="F1" s="17" t="s">
        <v>338</v>
      </c>
      <c r="G1" s="17" t="s">
        <v>339</v>
      </c>
      <c r="H1" s="17" t="s">
        <v>340</v>
      </c>
      <c r="I1" s="17" t="s">
        <v>328</v>
      </c>
      <c r="J1" s="17" t="s">
        <v>235</v>
      </c>
      <c r="K1" s="31" t="s">
        <v>341</v>
      </c>
    </row>
    <row r="2" customFormat="false" ht="15" hidden="false" customHeight="false" outlineLevel="0" collapsed="false">
      <c r="A2" s="32"/>
      <c r="B2" s="32"/>
      <c r="C2" s="32"/>
      <c r="D2" s="35"/>
      <c r="E2" s="43"/>
      <c r="F2" s="32"/>
      <c r="G2" s="43"/>
      <c r="H2" s="32"/>
      <c r="I2" s="33"/>
      <c r="J2" s="33"/>
      <c r="K2" s="37" t="str">
        <f aca="false">IF(OR(B2="",G2=""),"",IF(H2="Min",IF(E2&lt;G2,"Exceedance","OK"),IF(E2&gt;G2,"Exceedance","OK")))</f>
        <v/>
      </c>
    </row>
    <row r="3" customFormat="false" ht="15" hidden="false" customHeight="false" outlineLevel="0" collapsed="false">
      <c r="A3" s="32"/>
      <c r="B3" s="32"/>
      <c r="C3" s="32"/>
      <c r="D3" s="35"/>
      <c r="E3" s="43"/>
      <c r="F3" s="32"/>
      <c r="G3" s="43"/>
      <c r="H3" s="32"/>
      <c r="I3" s="33"/>
      <c r="J3" s="33"/>
      <c r="K3" s="37" t="str">
        <f aca="false">IF(OR(B3="",G3=""),"",IF(H3="Min",IF(E3&lt;G3,"Exceedance","OK"),IF(E3&gt;G3,"Exceedance","OK")))</f>
        <v/>
      </c>
    </row>
    <row r="4" customFormat="false" ht="15" hidden="false" customHeight="false" outlineLevel="0" collapsed="false">
      <c r="A4" s="32"/>
      <c r="B4" s="32"/>
      <c r="C4" s="32"/>
      <c r="D4" s="35"/>
      <c r="E4" s="43"/>
      <c r="F4" s="32"/>
      <c r="G4" s="43"/>
      <c r="H4" s="32"/>
      <c r="I4" s="33"/>
      <c r="J4" s="33"/>
      <c r="K4" s="37" t="str">
        <f aca="false">IF(OR(B4="",G4=""),"",IF(H4="Min",IF(E4&lt;G4,"Exceedance","OK"),IF(E4&gt;G4,"Exceedance","OK")))</f>
        <v/>
      </c>
    </row>
    <row r="5" customFormat="false" ht="15" hidden="false" customHeight="false" outlineLevel="0" collapsed="false">
      <c r="A5" s="32"/>
      <c r="B5" s="32"/>
      <c r="C5" s="32"/>
      <c r="D5" s="35"/>
      <c r="E5" s="43"/>
      <c r="F5" s="32"/>
      <c r="G5" s="43"/>
      <c r="H5" s="32"/>
      <c r="I5" s="33"/>
      <c r="J5" s="33"/>
      <c r="K5" s="37" t="str">
        <f aca="false">IF(OR(B5="",G5=""),"",IF(H5="Min",IF(E5&lt;G5,"Exceedance","OK"),IF(E5&gt;G5,"Exceedance","OK")))</f>
        <v/>
      </c>
    </row>
    <row r="6" customFormat="false" ht="15" hidden="false" customHeight="false" outlineLevel="0" collapsed="false">
      <c r="A6" s="32"/>
      <c r="B6" s="32"/>
      <c r="C6" s="32"/>
      <c r="D6" s="35"/>
      <c r="E6" s="43"/>
      <c r="F6" s="32"/>
      <c r="G6" s="43"/>
      <c r="H6" s="32"/>
      <c r="I6" s="33"/>
      <c r="J6" s="33"/>
      <c r="K6" s="37" t="str">
        <f aca="false">IF(OR(B6="",G6=""),"",IF(H6="Min",IF(E6&lt;G6,"Exceedance","OK"),IF(E6&gt;G6,"Exceedance","OK")))</f>
        <v/>
      </c>
    </row>
    <row r="7" customFormat="false" ht="15" hidden="false" customHeight="false" outlineLevel="0" collapsed="false">
      <c r="A7" s="32"/>
      <c r="B7" s="32"/>
      <c r="C7" s="32"/>
      <c r="D7" s="35"/>
      <c r="E7" s="43"/>
      <c r="F7" s="32"/>
      <c r="G7" s="43"/>
      <c r="H7" s="32"/>
      <c r="I7" s="33"/>
      <c r="J7" s="33"/>
      <c r="K7" s="37" t="str">
        <f aca="false">IF(OR(B7="",G7=""),"",IF(H7="Min",IF(E7&lt;G7,"Exceedance","OK"),IF(E7&gt;G7,"Exceedance","OK")))</f>
        <v/>
      </c>
    </row>
    <row r="8" customFormat="false" ht="15" hidden="false" customHeight="false" outlineLevel="0" collapsed="false">
      <c r="A8" s="32"/>
      <c r="B8" s="32"/>
      <c r="C8" s="32"/>
      <c r="D8" s="35"/>
      <c r="E8" s="43"/>
      <c r="F8" s="32"/>
      <c r="G8" s="43"/>
      <c r="H8" s="32"/>
      <c r="I8" s="33"/>
      <c r="J8" s="33"/>
      <c r="K8" s="37" t="str">
        <f aca="false">IF(OR(B8="",G8=""),"",IF(H8="Min",IF(E8&lt;G8,"Exceedance","OK"),IF(E8&gt;G8,"Exceedance","OK")))</f>
        <v/>
      </c>
    </row>
    <row r="9" customFormat="false" ht="15" hidden="false" customHeight="false" outlineLevel="0" collapsed="false">
      <c r="A9" s="32"/>
      <c r="B9" s="32"/>
      <c r="C9" s="32"/>
      <c r="D9" s="35"/>
      <c r="E9" s="43"/>
      <c r="F9" s="32"/>
      <c r="G9" s="43"/>
      <c r="H9" s="32"/>
      <c r="I9" s="33"/>
      <c r="J9" s="33"/>
      <c r="K9" s="37" t="str">
        <f aca="false">IF(OR(B9="",G9=""),"",IF(H9="Min",IF(E9&lt;G9,"Exceedance","OK"),IF(E9&gt;G9,"Exceedance","OK")))</f>
        <v/>
      </c>
    </row>
    <row r="10" customFormat="false" ht="15" hidden="false" customHeight="false" outlineLevel="0" collapsed="false">
      <c r="A10" s="32"/>
      <c r="B10" s="32"/>
      <c r="C10" s="32"/>
      <c r="D10" s="35"/>
      <c r="E10" s="43"/>
      <c r="F10" s="32"/>
      <c r="G10" s="43"/>
      <c r="H10" s="32"/>
      <c r="I10" s="33"/>
      <c r="J10" s="33"/>
      <c r="K10" s="37" t="str">
        <f aca="false">IF(OR(B10="",G10=""),"",IF(H10="Min",IF(E10&lt;G10,"Exceedance","OK"),IF(E10&gt;G10,"Exceedance","OK")))</f>
        <v/>
      </c>
    </row>
    <row r="11" customFormat="false" ht="15" hidden="false" customHeight="false" outlineLevel="0" collapsed="false">
      <c r="A11" s="32"/>
      <c r="B11" s="32"/>
      <c r="C11" s="32"/>
      <c r="D11" s="35"/>
      <c r="E11" s="43"/>
      <c r="F11" s="32"/>
      <c r="G11" s="43"/>
      <c r="H11" s="32"/>
      <c r="I11" s="33"/>
      <c r="J11" s="33"/>
      <c r="K11" s="37" t="str">
        <f aca="false">IF(OR(B11="",G11=""),"",IF(H11="Min",IF(E11&lt;G11,"Exceedance","OK"),IF(E11&gt;G11,"Exceedance","OK")))</f>
        <v/>
      </c>
    </row>
    <row r="12" customFormat="false" ht="15" hidden="false" customHeight="false" outlineLevel="0" collapsed="false">
      <c r="A12" s="32"/>
      <c r="B12" s="32"/>
      <c r="C12" s="32"/>
      <c r="D12" s="35"/>
      <c r="E12" s="43"/>
      <c r="F12" s="32"/>
      <c r="G12" s="43"/>
      <c r="H12" s="32"/>
      <c r="I12" s="33"/>
      <c r="J12" s="33"/>
      <c r="K12" s="37" t="str">
        <f aca="false">IF(OR(B12="",G12=""),"",IF(H12="Min",IF(E12&lt;G12,"Exceedance","OK"),IF(E12&gt;G12,"Exceedance","OK")))</f>
        <v/>
      </c>
    </row>
    <row r="13" customFormat="false" ht="15" hidden="false" customHeight="false" outlineLevel="0" collapsed="false">
      <c r="A13" s="32"/>
      <c r="B13" s="32"/>
      <c r="C13" s="32"/>
      <c r="D13" s="35"/>
      <c r="E13" s="43"/>
      <c r="F13" s="32"/>
      <c r="G13" s="43"/>
      <c r="H13" s="32"/>
      <c r="I13" s="33"/>
      <c r="J13" s="33"/>
      <c r="K13" s="37" t="str">
        <f aca="false">IF(OR(B13="",G13=""),"",IF(H13="Min",IF(E13&lt;G13,"Exceedance","OK"),IF(E13&gt;G13,"Exceedance","OK")))</f>
        <v/>
      </c>
    </row>
    <row r="14" customFormat="false" ht="15" hidden="false" customHeight="false" outlineLevel="0" collapsed="false">
      <c r="A14" s="32"/>
      <c r="B14" s="32"/>
      <c r="C14" s="32"/>
      <c r="D14" s="35"/>
      <c r="E14" s="43"/>
      <c r="F14" s="32"/>
      <c r="G14" s="43"/>
      <c r="H14" s="32"/>
      <c r="I14" s="33"/>
      <c r="J14" s="33"/>
      <c r="K14" s="37" t="str">
        <f aca="false">IF(OR(B14="",G14=""),"",IF(H14="Min",IF(E14&lt;G14,"Exceedance","OK"),IF(E14&gt;G14,"Exceedance","OK")))</f>
        <v/>
      </c>
    </row>
    <row r="15" customFormat="false" ht="15" hidden="false" customHeight="false" outlineLevel="0" collapsed="false">
      <c r="A15" s="32"/>
      <c r="B15" s="32"/>
      <c r="C15" s="32"/>
      <c r="D15" s="35"/>
      <c r="E15" s="43"/>
      <c r="F15" s="32"/>
      <c r="G15" s="43"/>
      <c r="H15" s="32"/>
      <c r="I15" s="33"/>
      <c r="J15" s="33"/>
      <c r="K15" s="37" t="str">
        <f aca="false">IF(OR(B15="",G15=""),"",IF(H15="Min",IF(E15&lt;G15,"Exceedance","OK"),IF(E15&gt;G15,"Exceedance","OK")))</f>
        <v/>
      </c>
    </row>
    <row r="16" customFormat="false" ht="15" hidden="false" customHeight="false" outlineLevel="0" collapsed="false">
      <c r="A16" s="32"/>
      <c r="B16" s="32"/>
      <c r="C16" s="32"/>
      <c r="D16" s="35"/>
      <c r="E16" s="43"/>
      <c r="F16" s="32"/>
      <c r="G16" s="43"/>
      <c r="H16" s="32"/>
      <c r="I16" s="33"/>
      <c r="J16" s="33"/>
      <c r="K16" s="37" t="str">
        <f aca="false">IF(OR(B16="",G16=""),"",IF(H16="Min",IF(E16&lt;G16,"Exceedance","OK"),IF(E16&gt;G16,"Exceedance","OK")))</f>
        <v/>
      </c>
    </row>
    <row r="17" customFormat="false" ht="15" hidden="false" customHeight="false" outlineLevel="0" collapsed="false">
      <c r="A17" s="32"/>
      <c r="B17" s="32"/>
      <c r="C17" s="32"/>
      <c r="D17" s="35"/>
      <c r="E17" s="43"/>
      <c r="F17" s="32"/>
      <c r="G17" s="43"/>
      <c r="H17" s="32"/>
      <c r="I17" s="33"/>
      <c r="J17" s="33"/>
      <c r="K17" s="37" t="str">
        <f aca="false">IF(OR(B17="",G17=""),"",IF(H17="Min",IF(E17&lt;G17,"Exceedance","OK"),IF(E17&gt;G17,"Exceedance","OK")))</f>
        <v/>
      </c>
    </row>
    <row r="18" customFormat="false" ht="15" hidden="false" customHeight="false" outlineLevel="0" collapsed="false">
      <c r="A18" s="32"/>
      <c r="B18" s="32"/>
      <c r="C18" s="32"/>
      <c r="D18" s="35"/>
      <c r="E18" s="43"/>
      <c r="F18" s="32"/>
      <c r="G18" s="43"/>
      <c r="H18" s="32"/>
      <c r="I18" s="33"/>
      <c r="J18" s="33"/>
      <c r="K18" s="37" t="str">
        <f aca="false">IF(OR(B18="",G18=""),"",IF(H18="Min",IF(E18&lt;G18,"Exceedance","OK"),IF(E18&gt;G18,"Exceedance","OK")))</f>
        <v/>
      </c>
    </row>
    <row r="19" customFormat="false" ht="15" hidden="false" customHeight="false" outlineLevel="0" collapsed="false">
      <c r="A19" s="32"/>
      <c r="B19" s="32"/>
      <c r="C19" s="32"/>
      <c r="D19" s="35"/>
      <c r="E19" s="43"/>
      <c r="F19" s="32"/>
      <c r="G19" s="43"/>
      <c r="H19" s="32"/>
      <c r="I19" s="33"/>
      <c r="J19" s="33"/>
      <c r="K19" s="37" t="str">
        <f aca="false">IF(OR(B19="",G19=""),"",IF(H19="Min",IF(E19&lt;G19,"Exceedance","OK"),IF(E19&gt;G19,"Exceedance","OK")))</f>
        <v/>
      </c>
    </row>
    <row r="20" customFormat="false" ht="15" hidden="false" customHeight="false" outlineLevel="0" collapsed="false">
      <c r="A20" s="32"/>
      <c r="B20" s="32"/>
      <c r="C20" s="32"/>
      <c r="D20" s="35"/>
      <c r="E20" s="43"/>
      <c r="F20" s="32"/>
      <c r="G20" s="43"/>
      <c r="H20" s="32"/>
      <c r="I20" s="33"/>
      <c r="J20" s="33"/>
      <c r="K20" s="37" t="str">
        <f aca="false">IF(OR(B20="",G20=""),"",IF(H20="Min",IF(E20&lt;G20,"Exceedance","OK"),IF(E20&gt;G20,"Exceedance","OK")))</f>
        <v/>
      </c>
    </row>
    <row r="21" customFormat="false" ht="15" hidden="false" customHeight="false" outlineLevel="0" collapsed="false">
      <c r="A21" s="32"/>
      <c r="B21" s="32"/>
      <c r="C21" s="32"/>
      <c r="D21" s="35"/>
      <c r="E21" s="43"/>
      <c r="F21" s="32"/>
      <c r="G21" s="43"/>
      <c r="H21" s="32"/>
      <c r="I21" s="33"/>
      <c r="J21" s="33"/>
      <c r="K21" s="37" t="str">
        <f aca="false">IF(OR(B21="",G21=""),"",IF(H21="Min",IF(E21&lt;G21,"Exceedance","OK"),IF(E21&gt;G21,"Exceedance","OK")))</f>
        <v/>
      </c>
    </row>
    <row r="22" customFormat="false" ht="15" hidden="false" customHeight="false" outlineLevel="0" collapsed="false">
      <c r="A22" s="32"/>
      <c r="B22" s="32"/>
      <c r="C22" s="32"/>
      <c r="D22" s="35"/>
      <c r="E22" s="43"/>
      <c r="F22" s="32"/>
      <c r="G22" s="43"/>
      <c r="H22" s="32"/>
      <c r="I22" s="33"/>
      <c r="J22" s="33"/>
      <c r="K22" s="37" t="str">
        <f aca="false">IF(OR(B22="",G22=""),"",IF(H22="Min",IF(E22&lt;G22,"Exceedance","OK"),IF(E22&gt;G22,"Exceedance","OK")))</f>
        <v/>
      </c>
    </row>
    <row r="23" customFormat="false" ht="15" hidden="false" customHeight="false" outlineLevel="0" collapsed="false">
      <c r="A23" s="32"/>
      <c r="B23" s="32"/>
      <c r="C23" s="32"/>
      <c r="D23" s="35"/>
      <c r="E23" s="43"/>
      <c r="F23" s="32"/>
      <c r="G23" s="43"/>
      <c r="H23" s="32"/>
      <c r="I23" s="33"/>
      <c r="J23" s="33"/>
      <c r="K23" s="37" t="str">
        <f aca="false">IF(OR(B23="",G23=""),"",IF(H23="Min",IF(E23&lt;G23,"Exceedance","OK"),IF(E23&gt;G23,"Exceedance","OK")))</f>
        <v/>
      </c>
    </row>
    <row r="24" customFormat="false" ht="15" hidden="false" customHeight="false" outlineLevel="0" collapsed="false">
      <c r="A24" s="32"/>
      <c r="B24" s="32"/>
      <c r="C24" s="32"/>
      <c r="D24" s="35"/>
      <c r="E24" s="43"/>
      <c r="F24" s="32"/>
      <c r="G24" s="43"/>
      <c r="H24" s="32"/>
      <c r="I24" s="33"/>
      <c r="J24" s="33"/>
      <c r="K24" s="37" t="str">
        <f aca="false">IF(OR(B24="",G24=""),"",IF(H24="Min",IF(E24&lt;G24,"Exceedance","OK"),IF(E24&gt;G24,"Exceedance","OK")))</f>
        <v/>
      </c>
    </row>
    <row r="25" customFormat="false" ht="15" hidden="false" customHeight="false" outlineLevel="0" collapsed="false">
      <c r="A25" s="32"/>
      <c r="B25" s="32"/>
      <c r="C25" s="32"/>
      <c r="D25" s="35"/>
      <c r="E25" s="43"/>
      <c r="F25" s="32"/>
      <c r="G25" s="43"/>
      <c r="H25" s="32"/>
      <c r="I25" s="33"/>
      <c r="J25" s="33"/>
      <c r="K25" s="37" t="str">
        <f aca="false">IF(OR(B25="",G25=""),"",IF(H25="Min",IF(E25&lt;G25,"Exceedance","OK"),IF(E25&gt;G25,"Exceedance","OK")))</f>
        <v/>
      </c>
    </row>
    <row r="26" customFormat="false" ht="15" hidden="false" customHeight="false" outlineLevel="0" collapsed="false">
      <c r="A26" s="32"/>
      <c r="B26" s="32"/>
      <c r="C26" s="32"/>
      <c r="D26" s="35"/>
      <c r="E26" s="43"/>
      <c r="F26" s="32"/>
      <c r="G26" s="43"/>
      <c r="H26" s="32"/>
      <c r="I26" s="33"/>
      <c r="J26" s="33"/>
      <c r="K26" s="37" t="str">
        <f aca="false">IF(OR(B26="",G26=""),"",IF(H26="Min",IF(E26&lt;G26,"Exceedance","OK"),IF(E26&gt;G26,"Exceedance","OK")))</f>
        <v/>
      </c>
    </row>
    <row r="27" customFormat="false" ht="15" hidden="false" customHeight="false" outlineLevel="0" collapsed="false">
      <c r="A27" s="32"/>
      <c r="B27" s="32"/>
      <c r="C27" s="32"/>
      <c r="D27" s="35"/>
      <c r="E27" s="43"/>
      <c r="F27" s="32"/>
      <c r="G27" s="43"/>
      <c r="H27" s="32"/>
      <c r="I27" s="33"/>
      <c r="J27" s="33"/>
      <c r="K27" s="37" t="str">
        <f aca="false">IF(OR(B27="",G27=""),"",IF(H27="Min",IF(E27&lt;G27,"Exceedance","OK"),IF(E27&gt;G27,"Exceedance","OK")))</f>
        <v/>
      </c>
    </row>
    <row r="28" customFormat="false" ht="15" hidden="false" customHeight="false" outlineLevel="0" collapsed="false">
      <c r="A28" s="32"/>
      <c r="B28" s="32"/>
      <c r="C28" s="32"/>
      <c r="D28" s="35"/>
      <c r="E28" s="43"/>
      <c r="F28" s="32"/>
      <c r="G28" s="43"/>
      <c r="H28" s="32"/>
      <c r="I28" s="33"/>
      <c r="J28" s="33"/>
      <c r="K28" s="37" t="str">
        <f aca="false">IF(OR(B28="",G28=""),"",IF(H28="Min",IF(E28&lt;G28,"Exceedance","OK"),IF(E28&gt;G28,"Exceedance","OK")))</f>
        <v/>
      </c>
    </row>
    <row r="29" customFormat="false" ht="15" hidden="false" customHeight="false" outlineLevel="0" collapsed="false">
      <c r="A29" s="32"/>
      <c r="B29" s="32"/>
      <c r="C29" s="32"/>
      <c r="D29" s="35"/>
      <c r="E29" s="43"/>
      <c r="F29" s="32"/>
      <c r="G29" s="43"/>
      <c r="H29" s="32"/>
      <c r="I29" s="33"/>
      <c r="J29" s="33"/>
      <c r="K29" s="37" t="str">
        <f aca="false">IF(OR(B29="",G29=""),"",IF(H29="Min",IF(E29&lt;G29,"Exceedance","OK"),IF(E29&gt;G29,"Exceedance","OK")))</f>
        <v/>
      </c>
    </row>
    <row r="30" customFormat="false" ht="15" hidden="false" customHeight="false" outlineLevel="0" collapsed="false">
      <c r="A30" s="32"/>
      <c r="B30" s="32"/>
      <c r="C30" s="32"/>
      <c r="D30" s="35"/>
      <c r="E30" s="43"/>
      <c r="F30" s="32"/>
      <c r="G30" s="43"/>
      <c r="H30" s="32"/>
      <c r="I30" s="33"/>
      <c r="J30" s="33"/>
      <c r="K30" s="37" t="str">
        <f aca="false">IF(OR(B30="",G30=""),"",IF(H30="Min",IF(E30&lt;G30,"Exceedance","OK"),IF(E30&gt;G30,"Exceedance","OK")))</f>
        <v/>
      </c>
    </row>
    <row r="31" customFormat="false" ht="15" hidden="false" customHeight="false" outlineLevel="0" collapsed="false">
      <c r="A31" s="32"/>
      <c r="B31" s="32"/>
      <c r="C31" s="32"/>
      <c r="D31" s="35"/>
      <c r="E31" s="43"/>
      <c r="F31" s="32"/>
      <c r="G31" s="43"/>
      <c r="H31" s="32"/>
      <c r="I31" s="33"/>
      <c r="J31" s="33"/>
      <c r="K31" s="37" t="str">
        <f aca="false">IF(OR(B31="",G31=""),"",IF(H31="Min",IF(E31&lt;G31,"Exceedance","OK"),IF(E31&gt;G31,"Exceedance","OK")))</f>
        <v/>
      </c>
    </row>
    <row r="32" customFormat="false" ht="15" hidden="false" customHeight="false" outlineLevel="0" collapsed="false">
      <c r="A32" s="32"/>
      <c r="B32" s="32"/>
      <c r="C32" s="32"/>
      <c r="D32" s="35"/>
      <c r="E32" s="43"/>
      <c r="F32" s="32"/>
      <c r="G32" s="43"/>
      <c r="H32" s="32"/>
      <c r="I32" s="33"/>
      <c r="J32" s="33"/>
      <c r="K32" s="37" t="str">
        <f aca="false">IF(OR(B32="",G32=""),"",IF(H32="Min",IF(E32&lt;G32,"Exceedance","OK"),IF(E32&gt;G32,"Exceedance","OK")))</f>
        <v/>
      </c>
    </row>
    <row r="33" customFormat="false" ht="15" hidden="false" customHeight="false" outlineLevel="0" collapsed="false">
      <c r="A33" s="32"/>
      <c r="B33" s="32"/>
      <c r="C33" s="32"/>
      <c r="D33" s="35"/>
      <c r="E33" s="43"/>
      <c r="F33" s="32"/>
      <c r="G33" s="43"/>
      <c r="H33" s="32"/>
      <c r="I33" s="33"/>
      <c r="J33" s="33"/>
      <c r="K33" s="37" t="str">
        <f aca="false">IF(OR(B33="",G33=""),"",IF(H33="Min",IF(E33&lt;G33,"Exceedance","OK"),IF(E33&gt;G33,"Exceedance","OK")))</f>
        <v/>
      </c>
    </row>
    <row r="34" customFormat="false" ht="15" hidden="false" customHeight="false" outlineLevel="0" collapsed="false">
      <c r="A34" s="32"/>
      <c r="B34" s="32"/>
      <c r="C34" s="32"/>
      <c r="D34" s="35"/>
      <c r="E34" s="43"/>
      <c r="F34" s="32"/>
      <c r="G34" s="43"/>
      <c r="H34" s="32"/>
      <c r="I34" s="33"/>
      <c r="J34" s="33"/>
      <c r="K34" s="37" t="str">
        <f aca="false">IF(OR(B34="",G34=""),"",IF(H34="Min",IF(E34&lt;G34,"Exceedance","OK"),IF(E34&gt;G34,"Exceedance","OK")))</f>
        <v/>
      </c>
    </row>
    <row r="35" customFormat="false" ht="15" hidden="false" customHeight="false" outlineLevel="0" collapsed="false">
      <c r="A35" s="32"/>
      <c r="B35" s="32"/>
      <c r="C35" s="32"/>
      <c r="D35" s="35"/>
      <c r="E35" s="43"/>
      <c r="F35" s="32"/>
      <c r="G35" s="43"/>
      <c r="H35" s="32"/>
      <c r="I35" s="33"/>
      <c r="J35" s="33"/>
      <c r="K35" s="37" t="str">
        <f aca="false">IF(OR(B35="",G35=""),"",IF(H35="Min",IF(E35&lt;G35,"Exceedance","OK"),IF(E35&gt;G35,"Exceedance","OK")))</f>
        <v/>
      </c>
    </row>
    <row r="36" customFormat="false" ht="15" hidden="false" customHeight="false" outlineLevel="0" collapsed="false">
      <c r="A36" s="32"/>
      <c r="B36" s="32"/>
      <c r="C36" s="32"/>
      <c r="D36" s="35"/>
      <c r="E36" s="43"/>
      <c r="F36" s="32"/>
      <c r="G36" s="43"/>
      <c r="H36" s="32"/>
      <c r="I36" s="33"/>
      <c r="J36" s="33"/>
      <c r="K36" s="37" t="str">
        <f aca="false">IF(OR(B36="",G36=""),"",IF(H36="Min",IF(E36&lt;G36,"Exceedance","OK"),IF(E36&gt;G36,"Exceedance","OK")))</f>
        <v/>
      </c>
    </row>
    <row r="37" customFormat="false" ht="15" hidden="false" customHeight="false" outlineLevel="0" collapsed="false">
      <c r="A37" s="32"/>
      <c r="B37" s="32"/>
      <c r="C37" s="32"/>
      <c r="D37" s="35"/>
      <c r="E37" s="43"/>
      <c r="F37" s="32"/>
      <c r="G37" s="43"/>
      <c r="H37" s="32"/>
      <c r="I37" s="33"/>
      <c r="J37" s="33"/>
      <c r="K37" s="37" t="str">
        <f aca="false">IF(OR(B37="",G37=""),"",IF(H37="Min",IF(E37&lt;G37,"Exceedance","OK"),IF(E37&gt;G37,"Exceedance","OK")))</f>
        <v/>
      </c>
    </row>
    <row r="38" customFormat="false" ht="15" hidden="false" customHeight="false" outlineLevel="0" collapsed="false">
      <c r="A38" s="32"/>
      <c r="B38" s="32"/>
      <c r="C38" s="32"/>
      <c r="D38" s="35"/>
      <c r="E38" s="43"/>
      <c r="F38" s="32"/>
      <c r="G38" s="43"/>
      <c r="H38" s="32"/>
      <c r="I38" s="33"/>
      <c r="J38" s="33"/>
      <c r="K38" s="37" t="str">
        <f aca="false">IF(OR(B38="",G38=""),"",IF(H38="Min",IF(E38&lt;G38,"Exceedance","OK"),IF(E38&gt;G38,"Exceedance","OK")))</f>
        <v/>
      </c>
    </row>
    <row r="39" customFormat="false" ht="15" hidden="false" customHeight="false" outlineLevel="0" collapsed="false">
      <c r="A39" s="32"/>
      <c r="B39" s="32"/>
      <c r="C39" s="32"/>
      <c r="D39" s="35"/>
      <c r="E39" s="43"/>
      <c r="F39" s="32"/>
      <c r="G39" s="43"/>
      <c r="H39" s="32"/>
      <c r="I39" s="33"/>
      <c r="J39" s="33"/>
      <c r="K39" s="37" t="str">
        <f aca="false">IF(OR(B39="",G39=""),"",IF(H39="Min",IF(E39&lt;G39,"Exceedance","OK"),IF(E39&gt;G39,"Exceedance","OK")))</f>
        <v/>
      </c>
    </row>
    <row r="40" customFormat="false" ht="15" hidden="false" customHeight="false" outlineLevel="0" collapsed="false">
      <c r="A40" s="32"/>
      <c r="B40" s="32"/>
      <c r="C40" s="32"/>
      <c r="D40" s="35"/>
      <c r="E40" s="43"/>
      <c r="F40" s="32"/>
      <c r="G40" s="43"/>
      <c r="H40" s="32"/>
      <c r="I40" s="33"/>
      <c r="J40" s="33"/>
      <c r="K40" s="37" t="str">
        <f aca="false">IF(OR(B40="",G40=""),"",IF(H40="Min",IF(E40&lt;G40,"Exceedance","OK"),IF(E40&gt;G40,"Exceedance","OK")))</f>
        <v/>
      </c>
    </row>
    <row r="41" customFormat="false" ht="15" hidden="false" customHeight="false" outlineLevel="0" collapsed="false">
      <c r="A41" s="32"/>
      <c r="B41" s="32"/>
      <c r="C41" s="32"/>
      <c r="D41" s="35"/>
      <c r="E41" s="43"/>
      <c r="F41" s="32"/>
      <c r="G41" s="43"/>
      <c r="H41" s="32"/>
      <c r="I41" s="33"/>
      <c r="J41" s="33"/>
      <c r="K41" s="37" t="str">
        <f aca="false">IF(OR(B41="",G41=""),"",IF(H41="Min",IF(E41&lt;G41,"Exceedance","OK"),IF(E41&gt;G41,"Exceedance","OK")))</f>
        <v/>
      </c>
    </row>
    <row r="42" customFormat="false" ht="15" hidden="false" customHeight="false" outlineLevel="0" collapsed="false">
      <c r="A42" s="32"/>
      <c r="B42" s="32"/>
      <c r="C42" s="32"/>
      <c r="D42" s="35"/>
      <c r="E42" s="43"/>
      <c r="F42" s="32"/>
      <c r="G42" s="43"/>
      <c r="H42" s="32"/>
      <c r="I42" s="33"/>
      <c r="J42" s="33"/>
      <c r="K42" s="37" t="str">
        <f aca="false">IF(OR(B42="",G42=""),"",IF(H42="Min",IF(E42&lt;G42,"Exceedance","OK"),IF(E42&gt;G42,"Exceedance","OK")))</f>
        <v/>
      </c>
    </row>
    <row r="43" customFormat="false" ht="15" hidden="false" customHeight="false" outlineLevel="0" collapsed="false">
      <c r="A43" s="32"/>
      <c r="B43" s="32"/>
      <c r="C43" s="32"/>
      <c r="D43" s="35"/>
      <c r="E43" s="43"/>
      <c r="F43" s="32"/>
      <c r="G43" s="43"/>
      <c r="H43" s="32"/>
      <c r="I43" s="33"/>
      <c r="J43" s="33"/>
      <c r="K43" s="37" t="str">
        <f aca="false">IF(OR(B43="",G43=""),"",IF(H43="Min",IF(E43&lt;G43,"Exceedance","OK"),IF(E43&gt;G43,"Exceedance","OK")))</f>
        <v/>
      </c>
    </row>
    <row r="44" customFormat="false" ht="15" hidden="false" customHeight="false" outlineLevel="0" collapsed="false">
      <c r="A44" s="32"/>
      <c r="B44" s="32"/>
      <c r="C44" s="32"/>
      <c r="D44" s="35"/>
      <c r="E44" s="43"/>
      <c r="F44" s="32"/>
      <c r="G44" s="43"/>
      <c r="H44" s="32"/>
      <c r="I44" s="33"/>
      <c r="J44" s="33"/>
      <c r="K44" s="37" t="str">
        <f aca="false">IF(OR(B44="",G44=""),"",IF(H44="Min",IF(E44&lt;G44,"Exceedance","OK"),IF(E44&gt;G44,"Exceedance","OK")))</f>
        <v/>
      </c>
    </row>
    <row r="45" customFormat="false" ht="15" hidden="false" customHeight="false" outlineLevel="0" collapsed="false">
      <c r="A45" s="32"/>
      <c r="B45" s="32"/>
      <c r="C45" s="32"/>
      <c r="D45" s="35"/>
      <c r="E45" s="43"/>
      <c r="F45" s="32"/>
      <c r="G45" s="43"/>
      <c r="H45" s="32"/>
      <c r="I45" s="33"/>
      <c r="J45" s="33"/>
      <c r="K45" s="37" t="str">
        <f aca="false">IF(OR(B45="",G45=""),"",IF(H45="Min",IF(E45&lt;G45,"Exceedance","OK"),IF(E45&gt;G45,"Exceedance","OK")))</f>
        <v/>
      </c>
    </row>
    <row r="46" customFormat="false" ht="15" hidden="false" customHeight="false" outlineLevel="0" collapsed="false">
      <c r="A46" s="32"/>
      <c r="B46" s="32"/>
      <c r="C46" s="32"/>
      <c r="D46" s="35"/>
      <c r="E46" s="43"/>
      <c r="F46" s="32"/>
      <c r="G46" s="43"/>
      <c r="H46" s="32"/>
      <c r="I46" s="33"/>
      <c r="J46" s="33"/>
      <c r="K46" s="37" t="str">
        <f aca="false">IF(OR(B46="",G46=""),"",IF(H46="Min",IF(E46&lt;G46,"Exceedance","OK"),IF(E46&gt;G46,"Exceedance","OK")))</f>
        <v/>
      </c>
    </row>
    <row r="47" customFormat="false" ht="15" hidden="false" customHeight="false" outlineLevel="0" collapsed="false">
      <c r="A47" s="32"/>
      <c r="B47" s="32"/>
      <c r="C47" s="32"/>
      <c r="D47" s="35"/>
      <c r="E47" s="43"/>
      <c r="F47" s="32"/>
      <c r="G47" s="43"/>
      <c r="H47" s="32"/>
      <c r="I47" s="33"/>
      <c r="J47" s="33"/>
      <c r="K47" s="37" t="str">
        <f aca="false">IF(OR(B47="",G47=""),"",IF(H47="Min",IF(E47&lt;G47,"Exceedance","OK"),IF(E47&gt;G47,"Exceedance","OK")))</f>
        <v/>
      </c>
    </row>
    <row r="48" customFormat="false" ht="15" hidden="false" customHeight="false" outlineLevel="0" collapsed="false">
      <c r="A48" s="32"/>
      <c r="B48" s="32"/>
      <c r="C48" s="32"/>
      <c r="D48" s="35"/>
      <c r="E48" s="43"/>
      <c r="F48" s="32"/>
      <c r="G48" s="43"/>
      <c r="H48" s="32"/>
      <c r="I48" s="33"/>
      <c r="J48" s="33"/>
      <c r="K48" s="37" t="str">
        <f aca="false">IF(OR(B48="",G48=""),"",IF(H48="Min",IF(E48&lt;G48,"Exceedance","OK"),IF(E48&gt;G48,"Exceedance","OK")))</f>
        <v/>
      </c>
    </row>
    <row r="49" customFormat="false" ht="15" hidden="false" customHeight="false" outlineLevel="0" collapsed="false">
      <c r="A49" s="32"/>
      <c r="B49" s="32"/>
      <c r="C49" s="32"/>
      <c r="D49" s="35"/>
      <c r="E49" s="43"/>
      <c r="F49" s="32"/>
      <c r="G49" s="43"/>
      <c r="H49" s="32"/>
      <c r="I49" s="33"/>
      <c r="J49" s="33"/>
      <c r="K49" s="37" t="str">
        <f aca="false">IF(OR(B49="",G49=""),"",IF(H49="Min",IF(E49&lt;G49,"Exceedance","OK"),IF(E49&gt;G49,"Exceedance","OK")))</f>
        <v/>
      </c>
    </row>
    <row r="50" customFormat="false" ht="15" hidden="false" customHeight="false" outlineLevel="0" collapsed="false">
      <c r="A50" s="32"/>
      <c r="B50" s="32"/>
      <c r="C50" s="32"/>
      <c r="D50" s="35"/>
      <c r="E50" s="43"/>
      <c r="F50" s="32"/>
      <c r="G50" s="43"/>
      <c r="H50" s="32"/>
      <c r="I50" s="33"/>
      <c r="J50" s="33"/>
      <c r="K50" s="37" t="str">
        <f aca="false">IF(OR(B50="",G50=""),"",IF(H50="Min",IF(E50&lt;G50,"Exceedance","OK"),IF(E50&gt;G50,"Exceedance","OK")))</f>
        <v/>
      </c>
    </row>
    <row r="51" customFormat="false" ht="15" hidden="false" customHeight="false" outlineLevel="0" collapsed="false">
      <c r="A51" s="32"/>
      <c r="B51" s="32"/>
      <c r="C51" s="32"/>
      <c r="D51" s="35"/>
      <c r="E51" s="43"/>
      <c r="F51" s="32"/>
      <c r="G51" s="43"/>
      <c r="H51" s="32"/>
      <c r="I51" s="33"/>
      <c r="J51" s="33"/>
      <c r="K51" s="37" t="str">
        <f aca="false">IF(OR(B51="",G51=""),"",IF(H51="Min",IF(E51&lt;G51,"Exceedance","OK"),IF(E51&gt;G51,"Exceedance","OK")))</f>
        <v/>
      </c>
    </row>
    <row r="52" customFormat="false" ht="15" hidden="false" customHeight="false" outlineLevel="0" collapsed="false">
      <c r="A52" s="32"/>
      <c r="B52" s="32"/>
      <c r="C52" s="32"/>
      <c r="D52" s="35"/>
      <c r="E52" s="43"/>
      <c r="F52" s="32"/>
      <c r="G52" s="43"/>
      <c r="H52" s="32"/>
      <c r="I52" s="33"/>
      <c r="J52" s="33"/>
      <c r="K52" s="37" t="str">
        <f aca="false">IF(OR(B52="",G52=""),"",IF(H52="Min",IF(E52&lt;G52,"Exceedance","OK"),IF(E52&gt;G52,"Exceedance","OK")))</f>
        <v/>
      </c>
    </row>
    <row r="53" customFormat="false" ht="15" hidden="false" customHeight="false" outlineLevel="0" collapsed="false">
      <c r="A53" s="32"/>
      <c r="B53" s="32"/>
      <c r="C53" s="32"/>
      <c r="D53" s="35"/>
      <c r="E53" s="43"/>
      <c r="F53" s="32"/>
      <c r="G53" s="43"/>
      <c r="H53" s="32"/>
      <c r="I53" s="33"/>
      <c r="J53" s="33"/>
      <c r="K53" s="37" t="str">
        <f aca="false">IF(OR(B53="",G53=""),"",IF(H53="Min",IF(E53&lt;G53,"Exceedance","OK"),IF(E53&gt;G53,"Exceedance","OK")))</f>
        <v/>
      </c>
    </row>
    <row r="54" customFormat="false" ht="15" hidden="false" customHeight="false" outlineLevel="0" collapsed="false">
      <c r="A54" s="32"/>
      <c r="B54" s="32"/>
      <c r="C54" s="32"/>
      <c r="D54" s="35"/>
      <c r="E54" s="43"/>
      <c r="F54" s="32"/>
      <c r="G54" s="43"/>
      <c r="H54" s="32"/>
      <c r="I54" s="33"/>
      <c r="J54" s="33"/>
      <c r="K54" s="37" t="str">
        <f aca="false">IF(OR(B54="",G54=""),"",IF(H54="Min",IF(E54&lt;G54,"Exceedance","OK"),IF(E54&gt;G54,"Exceedance","OK")))</f>
        <v/>
      </c>
    </row>
    <row r="55" customFormat="false" ht="15" hidden="false" customHeight="false" outlineLevel="0" collapsed="false">
      <c r="A55" s="32"/>
      <c r="B55" s="32"/>
      <c r="C55" s="32"/>
      <c r="D55" s="35"/>
      <c r="E55" s="43"/>
      <c r="F55" s="32"/>
      <c r="G55" s="43"/>
      <c r="H55" s="32"/>
      <c r="I55" s="33"/>
      <c r="J55" s="33"/>
      <c r="K55" s="37" t="str">
        <f aca="false">IF(OR(B55="",G55=""),"",IF(H55="Min",IF(E55&lt;G55,"Exceedance","OK"),IF(E55&gt;G55,"Exceedance","OK")))</f>
        <v/>
      </c>
    </row>
    <row r="56" customFormat="false" ht="15" hidden="false" customHeight="false" outlineLevel="0" collapsed="false">
      <c r="A56" s="32"/>
      <c r="B56" s="32"/>
      <c r="C56" s="32"/>
      <c r="D56" s="35"/>
      <c r="E56" s="43"/>
      <c r="F56" s="32"/>
      <c r="G56" s="43"/>
      <c r="H56" s="32"/>
      <c r="I56" s="33"/>
      <c r="J56" s="33"/>
      <c r="K56" s="37" t="str">
        <f aca="false">IF(OR(B56="",G56=""),"",IF(H56="Min",IF(E56&lt;G56,"Exceedance","OK"),IF(E56&gt;G56,"Exceedance","OK")))</f>
        <v/>
      </c>
    </row>
    <row r="57" customFormat="false" ht="15" hidden="false" customHeight="false" outlineLevel="0" collapsed="false">
      <c r="A57" s="32"/>
      <c r="B57" s="32"/>
      <c r="C57" s="32"/>
      <c r="D57" s="35"/>
      <c r="E57" s="43"/>
      <c r="F57" s="32"/>
      <c r="G57" s="43"/>
      <c r="H57" s="32"/>
      <c r="I57" s="33"/>
      <c r="J57" s="33"/>
      <c r="K57" s="37" t="str">
        <f aca="false">IF(OR(B57="",G57=""),"",IF(H57="Min",IF(E57&lt;G57,"Exceedance","OK"),IF(E57&gt;G57,"Exceedance","OK")))</f>
        <v/>
      </c>
    </row>
    <row r="58" customFormat="false" ht="15" hidden="false" customHeight="false" outlineLevel="0" collapsed="false">
      <c r="A58" s="32"/>
      <c r="B58" s="32"/>
      <c r="C58" s="32"/>
      <c r="D58" s="35"/>
      <c r="E58" s="43"/>
      <c r="F58" s="32"/>
      <c r="G58" s="43"/>
      <c r="H58" s="32"/>
      <c r="I58" s="33"/>
      <c r="J58" s="33"/>
      <c r="K58" s="37" t="str">
        <f aca="false">IF(OR(B58="",G58=""),"",IF(H58="Min",IF(E58&lt;G58,"Exceedance","OK"),IF(E58&gt;G58,"Exceedance","OK")))</f>
        <v/>
      </c>
    </row>
    <row r="59" customFormat="false" ht="15" hidden="false" customHeight="false" outlineLevel="0" collapsed="false">
      <c r="A59" s="32"/>
      <c r="B59" s="32"/>
      <c r="C59" s="32"/>
      <c r="D59" s="35"/>
      <c r="E59" s="43"/>
      <c r="F59" s="32"/>
      <c r="G59" s="43"/>
      <c r="H59" s="32"/>
      <c r="I59" s="33"/>
      <c r="J59" s="33"/>
      <c r="K59" s="37" t="str">
        <f aca="false">IF(OR(B59="",G59=""),"",IF(H59="Min",IF(E59&lt;G59,"Exceedance","OK"),IF(E59&gt;G59,"Exceedance","OK")))</f>
        <v/>
      </c>
    </row>
    <row r="60" customFormat="false" ht="15" hidden="false" customHeight="false" outlineLevel="0" collapsed="false">
      <c r="A60" s="32"/>
      <c r="B60" s="32"/>
      <c r="C60" s="32"/>
      <c r="D60" s="35"/>
      <c r="E60" s="43"/>
      <c r="F60" s="32"/>
      <c r="G60" s="43"/>
      <c r="H60" s="32"/>
      <c r="I60" s="33"/>
      <c r="J60" s="33"/>
      <c r="K60" s="37" t="str">
        <f aca="false">IF(OR(B60="",G60=""),"",IF(H60="Min",IF(E60&lt;G60,"Exceedance","OK"),IF(E60&gt;G60,"Exceedance","OK")))</f>
        <v/>
      </c>
    </row>
    <row r="61" customFormat="false" ht="15" hidden="false" customHeight="false" outlineLevel="0" collapsed="false">
      <c r="A61" s="32"/>
      <c r="B61" s="32"/>
      <c r="C61" s="32"/>
      <c r="D61" s="35"/>
      <c r="E61" s="43"/>
      <c r="F61" s="32"/>
      <c r="G61" s="43"/>
      <c r="H61" s="32"/>
      <c r="I61" s="33"/>
      <c r="J61" s="33"/>
      <c r="K61" s="37" t="str">
        <f aca="false">IF(OR(B61="",G61=""),"",IF(H61="Min",IF(E61&lt;G61,"Exceedance","OK"),IF(E61&gt;G61,"Exceedance","OK")))</f>
        <v/>
      </c>
    </row>
    <row r="62" customFormat="false" ht="15" hidden="false" customHeight="false" outlineLevel="0" collapsed="false">
      <c r="A62" s="32"/>
      <c r="B62" s="32"/>
      <c r="C62" s="32"/>
      <c r="D62" s="35"/>
      <c r="E62" s="43"/>
      <c r="F62" s="32"/>
      <c r="G62" s="43"/>
      <c r="H62" s="32"/>
      <c r="I62" s="33"/>
      <c r="J62" s="33"/>
      <c r="K62" s="37" t="str">
        <f aca="false">IF(OR(B62="",G62=""),"",IF(H62="Min",IF(E62&lt;G62,"Exceedance","OK"),IF(E62&gt;G62,"Exceedance","OK")))</f>
        <v/>
      </c>
    </row>
    <row r="63" customFormat="false" ht="15" hidden="false" customHeight="false" outlineLevel="0" collapsed="false">
      <c r="A63" s="32"/>
      <c r="B63" s="32"/>
      <c r="C63" s="32"/>
      <c r="D63" s="35"/>
      <c r="E63" s="43"/>
      <c r="F63" s="32"/>
      <c r="G63" s="43"/>
      <c r="H63" s="32"/>
      <c r="I63" s="33"/>
      <c r="J63" s="33"/>
      <c r="K63" s="37" t="str">
        <f aca="false">IF(OR(B63="",G63=""),"",IF(H63="Min",IF(E63&lt;G63,"Exceedance","OK"),IF(E63&gt;G63,"Exceedance","OK")))</f>
        <v/>
      </c>
    </row>
    <row r="64" customFormat="false" ht="15" hidden="false" customHeight="false" outlineLevel="0" collapsed="false">
      <c r="A64" s="32"/>
      <c r="B64" s="32"/>
      <c r="C64" s="32"/>
      <c r="D64" s="35"/>
      <c r="E64" s="43"/>
      <c r="F64" s="32"/>
      <c r="G64" s="43"/>
      <c r="H64" s="32"/>
      <c r="I64" s="33"/>
      <c r="J64" s="33"/>
      <c r="K64" s="37" t="str">
        <f aca="false">IF(OR(B64="",G64=""),"",IF(H64="Min",IF(E64&lt;G64,"Exceedance","OK"),IF(E64&gt;G64,"Exceedance","OK")))</f>
        <v/>
      </c>
    </row>
    <row r="65" customFormat="false" ht="15" hidden="false" customHeight="false" outlineLevel="0" collapsed="false">
      <c r="A65" s="32"/>
      <c r="B65" s="32"/>
      <c r="C65" s="32"/>
      <c r="D65" s="35"/>
      <c r="E65" s="43"/>
      <c r="F65" s="32"/>
      <c r="G65" s="43"/>
      <c r="H65" s="32"/>
      <c r="I65" s="33"/>
      <c r="J65" s="33"/>
      <c r="K65" s="37" t="str">
        <f aca="false">IF(OR(B65="",G65=""),"",IF(H65="Min",IF(E65&lt;G65,"Exceedance","OK"),IF(E65&gt;G65,"Exceedance","OK")))</f>
        <v/>
      </c>
    </row>
    <row r="66" customFormat="false" ht="15" hidden="false" customHeight="false" outlineLevel="0" collapsed="false">
      <c r="A66" s="32"/>
      <c r="B66" s="32"/>
      <c r="C66" s="32"/>
      <c r="D66" s="35"/>
      <c r="E66" s="43"/>
      <c r="F66" s="32"/>
      <c r="G66" s="43"/>
      <c r="H66" s="32"/>
      <c r="I66" s="33"/>
      <c r="J66" s="33"/>
      <c r="K66" s="37" t="str">
        <f aca="false">IF(OR(B66="",G66=""),"",IF(H66="Min",IF(E66&lt;G66,"Exceedance","OK"),IF(E66&gt;G66,"Exceedance","OK")))</f>
        <v/>
      </c>
    </row>
    <row r="67" customFormat="false" ht="15" hidden="false" customHeight="false" outlineLevel="0" collapsed="false">
      <c r="A67" s="32"/>
      <c r="B67" s="32"/>
      <c r="C67" s="32"/>
      <c r="D67" s="35"/>
      <c r="E67" s="43"/>
      <c r="F67" s="32"/>
      <c r="G67" s="43"/>
      <c r="H67" s="32"/>
      <c r="I67" s="33"/>
      <c r="J67" s="33"/>
      <c r="K67" s="37" t="str">
        <f aca="false">IF(OR(B67="",G67=""),"",IF(H67="Min",IF(E67&lt;G67,"Exceedance","OK"),IF(E67&gt;G67,"Exceedance","OK")))</f>
        <v/>
      </c>
    </row>
    <row r="68" customFormat="false" ht="15" hidden="false" customHeight="false" outlineLevel="0" collapsed="false">
      <c r="A68" s="32"/>
      <c r="B68" s="32"/>
      <c r="C68" s="32"/>
      <c r="D68" s="35"/>
      <c r="E68" s="43"/>
      <c r="F68" s="32"/>
      <c r="G68" s="43"/>
      <c r="H68" s="32"/>
      <c r="I68" s="33"/>
      <c r="J68" s="33"/>
      <c r="K68" s="37" t="str">
        <f aca="false">IF(OR(B68="",G68=""),"",IF(H68="Min",IF(E68&lt;G68,"Exceedance","OK"),IF(E68&gt;G68,"Exceedance","OK")))</f>
        <v/>
      </c>
    </row>
    <row r="69" customFormat="false" ht="15" hidden="false" customHeight="false" outlineLevel="0" collapsed="false">
      <c r="A69" s="32"/>
      <c r="B69" s="32"/>
      <c r="C69" s="32"/>
      <c r="D69" s="35"/>
      <c r="E69" s="43"/>
      <c r="F69" s="32"/>
      <c r="G69" s="43"/>
      <c r="H69" s="32"/>
      <c r="I69" s="33"/>
      <c r="J69" s="33"/>
      <c r="K69" s="37" t="str">
        <f aca="false">IF(OR(B69="",G69=""),"",IF(H69="Min",IF(E69&lt;G69,"Exceedance","OK"),IF(E69&gt;G69,"Exceedance","OK")))</f>
        <v/>
      </c>
    </row>
    <row r="70" customFormat="false" ht="15" hidden="false" customHeight="false" outlineLevel="0" collapsed="false">
      <c r="A70" s="32"/>
      <c r="B70" s="32"/>
      <c r="C70" s="32"/>
      <c r="D70" s="35"/>
      <c r="E70" s="43"/>
      <c r="F70" s="32"/>
      <c r="G70" s="43"/>
      <c r="H70" s="32"/>
      <c r="I70" s="33"/>
      <c r="J70" s="33"/>
      <c r="K70" s="37" t="str">
        <f aca="false">IF(OR(B70="",G70=""),"",IF(H70="Min",IF(E70&lt;G70,"Exceedance","OK"),IF(E70&gt;G70,"Exceedance","OK")))</f>
        <v/>
      </c>
    </row>
    <row r="71" customFormat="false" ht="15" hidden="false" customHeight="false" outlineLevel="0" collapsed="false">
      <c r="A71" s="32"/>
      <c r="B71" s="32"/>
      <c r="C71" s="32"/>
      <c r="D71" s="35"/>
      <c r="E71" s="43"/>
      <c r="F71" s="32"/>
      <c r="G71" s="43"/>
      <c r="H71" s="32"/>
      <c r="I71" s="33"/>
      <c r="J71" s="33"/>
      <c r="K71" s="37" t="str">
        <f aca="false">IF(OR(B71="",G71=""),"",IF(H71="Min",IF(E71&lt;G71,"Exceedance","OK"),IF(E71&gt;G71,"Exceedance","OK")))</f>
        <v/>
      </c>
    </row>
    <row r="72" customFormat="false" ht="15" hidden="false" customHeight="false" outlineLevel="0" collapsed="false">
      <c r="A72" s="32"/>
      <c r="B72" s="32"/>
      <c r="C72" s="32"/>
      <c r="D72" s="35"/>
      <c r="E72" s="43"/>
      <c r="F72" s="32"/>
      <c r="G72" s="43"/>
      <c r="H72" s="32"/>
      <c r="I72" s="33"/>
      <c r="J72" s="33"/>
      <c r="K72" s="37" t="str">
        <f aca="false">IF(OR(B72="",G72=""),"",IF(H72="Min",IF(E72&lt;G72,"Exceedance","OK"),IF(E72&gt;G72,"Exceedance","OK")))</f>
        <v/>
      </c>
    </row>
    <row r="73" customFormat="false" ht="15" hidden="false" customHeight="false" outlineLevel="0" collapsed="false">
      <c r="A73" s="32"/>
      <c r="B73" s="32"/>
      <c r="C73" s="32"/>
      <c r="D73" s="35"/>
      <c r="E73" s="43"/>
      <c r="F73" s="32"/>
      <c r="G73" s="43"/>
      <c r="H73" s="32"/>
      <c r="I73" s="33"/>
      <c r="J73" s="33"/>
      <c r="K73" s="37" t="str">
        <f aca="false">IF(OR(B73="",G73=""),"",IF(H73="Min",IF(E73&lt;G73,"Exceedance","OK"),IF(E73&gt;G73,"Exceedance","OK")))</f>
        <v/>
      </c>
    </row>
    <row r="74" customFormat="false" ht="15" hidden="false" customHeight="false" outlineLevel="0" collapsed="false">
      <c r="A74" s="32"/>
      <c r="B74" s="32"/>
      <c r="C74" s="32"/>
      <c r="D74" s="35"/>
      <c r="E74" s="43"/>
      <c r="F74" s="32"/>
      <c r="G74" s="43"/>
      <c r="H74" s="32"/>
      <c r="I74" s="33"/>
      <c r="J74" s="33"/>
      <c r="K74" s="37" t="str">
        <f aca="false">IF(OR(B74="",G74=""),"",IF(H74="Min",IF(E74&lt;G74,"Exceedance","OK"),IF(E74&gt;G74,"Exceedance","OK")))</f>
        <v/>
      </c>
    </row>
    <row r="75" customFormat="false" ht="15" hidden="false" customHeight="false" outlineLevel="0" collapsed="false">
      <c r="A75" s="32"/>
      <c r="B75" s="32"/>
      <c r="C75" s="32"/>
      <c r="D75" s="35"/>
      <c r="E75" s="43"/>
      <c r="F75" s="32"/>
      <c r="G75" s="43"/>
      <c r="H75" s="32"/>
      <c r="I75" s="33"/>
      <c r="J75" s="33"/>
      <c r="K75" s="37" t="str">
        <f aca="false">IF(OR(B75="",G75=""),"",IF(H75="Min",IF(E75&lt;G75,"Exceedance","OK"),IF(E75&gt;G75,"Exceedance","OK")))</f>
        <v/>
      </c>
    </row>
    <row r="76" customFormat="false" ht="15" hidden="false" customHeight="false" outlineLevel="0" collapsed="false">
      <c r="A76" s="32"/>
      <c r="B76" s="32"/>
      <c r="C76" s="32"/>
      <c r="D76" s="35"/>
      <c r="E76" s="43"/>
      <c r="F76" s="32"/>
      <c r="G76" s="43"/>
      <c r="H76" s="32"/>
      <c r="I76" s="33"/>
      <c r="J76" s="33"/>
      <c r="K76" s="37" t="str">
        <f aca="false">IF(OR(B76="",G76=""),"",IF(H76="Min",IF(E76&lt;G76,"Exceedance","OK"),IF(E76&gt;G76,"Exceedance","OK")))</f>
        <v/>
      </c>
    </row>
    <row r="77" customFormat="false" ht="15" hidden="false" customHeight="false" outlineLevel="0" collapsed="false">
      <c r="A77" s="32"/>
      <c r="B77" s="32"/>
      <c r="C77" s="32"/>
      <c r="D77" s="35"/>
      <c r="E77" s="43"/>
      <c r="F77" s="32"/>
      <c r="G77" s="43"/>
      <c r="H77" s="32"/>
      <c r="I77" s="33"/>
      <c r="J77" s="33"/>
      <c r="K77" s="37" t="str">
        <f aca="false">IF(OR(B77="",G77=""),"",IF(H77="Min",IF(E77&lt;G77,"Exceedance","OK"),IF(E77&gt;G77,"Exceedance","OK")))</f>
        <v/>
      </c>
    </row>
    <row r="78" customFormat="false" ht="15" hidden="false" customHeight="false" outlineLevel="0" collapsed="false">
      <c r="A78" s="32"/>
      <c r="B78" s="32"/>
      <c r="C78" s="32"/>
      <c r="D78" s="35"/>
      <c r="E78" s="43"/>
      <c r="F78" s="32"/>
      <c r="G78" s="43"/>
      <c r="H78" s="32"/>
      <c r="I78" s="33"/>
      <c r="J78" s="33"/>
      <c r="K78" s="37" t="str">
        <f aca="false">IF(OR(B78="",G78=""),"",IF(H78="Min",IF(E78&lt;G78,"Exceedance","OK"),IF(E78&gt;G78,"Exceedance","OK")))</f>
        <v/>
      </c>
    </row>
    <row r="79" customFormat="false" ht="15" hidden="false" customHeight="false" outlineLevel="0" collapsed="false">
      <c r="A79" s="32"/>
      <c r="B79" s="32"/>
      <c r="C79" s="32"/>
      <c r="D79" s="35"/>
      <c r="E79" s="43"/>
      <c r="F79" s="32"/>
      <c r="G79" s="43"/>
      <c r="H79" s="32"/>
      <c r="I79" s="33"/>
      <c r="J79" s="33"/>
      <c r="K79" s="37" t="str">
        <f aca="false">IF(OR(B79="",G79=""),"",IF(H79="Min",IF(E79&lt;G79,"Exceedance","OK"),IF(E79&gt;G79,"Exceedance","OK")))</f>
        <v/>
      </c>
    </row>
    <row r="80" customFormat="false" ht="15" hidden="false" customHeight="false" outlineLevel="0" collapsed="false">
      <c r="A80" s="32"/>
      <c r="B80" s="32"/>
      <c r="C80" s="32"/>
      <c r="D80" s="35"/>
      <c r="E80" s="43"/>
      <c r="F80" s="32"/>
      <c r="G80" s="43"/>
      <c r="H80" s="32"/>
      <c r="I80" s="33"/>
      <c r="J80" s="33"/>
      <c r="K80" s="37" t="str">
        <f aca="false">IF(OR(B80="",G80=""),"",IF(H80="Min",IF(E80&lt;G80,"Exceedance","OK"),IF(E80&gt;G80,"Exceedance","OK")))</f>
        <v/>
      </c>
    </row>
    <row r="81" customFormat="false" ht="15" hidden="false" customHeight="false" outlineLevel="0" collapsed="false">
      <c r="A81" s="32"/>
      <c r="B81" s="32"/>
      <c r="C81" s="32"/>
      <c r="D81" s="35"/>
      <c r="E81" s="43"/>
      <c r="F81" s="32"/>
      <c r="G81" s="43"/>
      <c r="H81" s="32"/>
      <c r="I81" s="33"/>
      <c r="J81" s="33"/>
      <c r="K81" s="37" t="str">
        <f aca="false">IF(OR(B81="",G81=""),"",IF(H81="Min",IF(E81&lt;G81,"Exceedance","OK"),IF(E81&gt;G81,"Exceedance","OK")))</f>
        <v/>
      </c>
    </row>
    <row r="82" customFormat="false" ht="15" hidden="false" customHeight="false" outlineLevel="0" collapsed="false">
      <c r="A82" s="32"/>
      <c r="B82" s="32"/>
      <c r="C82" s="32"/>
      <c r="D82" s="35"/>
      <c r="E82" s="43"/>
      <c r="F82" s="32"/>
      <c r="G82" s="43"/>
      <c r="H82" s="32"/>
      <c r="I82" s="33"/>
      <c r="J82" s="33"/>
      <c r="K82" s="37" t="str">
        <f aca="false">IF(OR(B82="",G82=""),"",IF(H82="Min",IF(E82&lt;G82,"Exceedance","OK"),IF(E82&gt;G82,"Exceedance","OK")))</f>
        <v/>
      </c>
    </row>
    <row r="83" customFormat="false" ht="15" hidden="false" customHeight="false" outlineLevel="0" collapsed="false">
      <c r="A83" s="32"/>
      <c r="B83" s="32"/>
      <c r="C83" s="32"/>
      <c r="D83" s="35"/>
      <c r="E83" s="43"/>
      <c r="F83" s="32"/>
      <c r="G83" s="43"/>
      <c r="H83" s="32"/>
      <c r="I83" s="33"/>
      <c r="J83" s="33"/>
      <c r="K83" s="37" t="str">
        <f aca="false">IF(OR(B83="",G83=""),"",IF(H83="Min",IF(E83&lt;G83,"Exceedance","OK"),IF(E83&gt;G83,"Exceedance","OK")))</f>
        <v/>
      </c>
    </row>
    <row r="84" customFormat="false" ht="15" hidden="false" customHeight="false" outlineLevel="0" collapsed="false">
      <c r="A84" s="32"/>
      <c r="B84" s="32"/>
      <c r="C84" s="32"/>
      <c r="D84" s="35"/>
      <c r="E84" s="43"/>
      <c r="F84" s="32"/>
      <c r="G84" s="43"/>
      <c r="H84" s="32"/>
      <c r="I84" s="33"/>
      <c r="J84" s="33"/>
      <c r="K84" s="37" t="str">
        <f aca="false">IF(OR(B84="",G84=""),"",IF(H84="Min",IF(E84&lt;G84,"Exceedance","OK"),IF(E84&gt;G84,"Exceedance","OK")))</f>
        <v/>
      </c>
    </row>
    <row r="85" customFormat="false" ht="15" hidden="false" customHeight="false" outlineLevel="0" collapsed="false">
      <c r="A85" s="32"/>
      <c r="B85" s="32"/>
      <c r="C85" s="32"/>
      <c r="D85" s="35"/>
      <c r="E85" s="43"/>
      <c r="F85" s="32"/>
      <c r="G85" s="43"/>
      <c r="H85" s="32"/>
      <c r="I85" s="33"/>
      <c r="J85" s="33"/>
      <c r="K85" s="37" t="str">
        <f aca="false">IF(OR(B85="",G85=""),"",IF(H85="Min",IF(E85&lt;G85,"Exceedance","OK"),IF(E85&gt;G85,"Exceedance","OK")))</f>
        <v/>
      </c>
    </row>
    <row r="86" customFormat="false" ht="15" hidden="false" customHeight="false" outlineLevel="0" collapsed="false">
      <c r="A86" s="32"/>
      <c r="B86" s="32"/>
      <c r="C86" s="32"/>
      <c r="D86" s="35"/>
      <c r="E86" s="43"/>
      <c r="F86" s="32"/>
      <c r="G86" s="43"/>
      <c r="H86" s="32"/>
      <c r="I86" s="33"/>
      <c r="J86" s="33"/>
      <c r="K86" s="37" t="str">
        <f aca="false">IF(OR(B86="",G86=""),"",IF(H86="Min",IF(E86&lt;G86,"Exceedance","OK"),IF(E86&gt;G86,"Exceedance","OK")))</f>
        <v/>
      </c>
    </row>
    <row r="87" customFormat="false" ht="15" hidden="false" customHeight="false" outlineLevel="0" collapsed="false">
      <c r="A87" s="32"/>
      <c r="B87" s="32"/>
      <c r="C87" s="32"/>
      <c r="D87" s="35"/>
      <c r="E87" s="43"/>
      <c r="F87" s="32"/>
      <c r="G87" s="43"/>
      <c r="H87" s="32"/>
      <c r="I87" s="33"/>
      <c r="J87" s="33"/>
      <c r="K87" s="37" t="str">
        <f aca="false">IF(OR(B87="",G87=""),"",IF(H87="Min",IF(E87&lt;G87,"Exceedance","OK"),IF(E87&gt;G87,"Exceedance","OK")))</f>
        <v/>
      </c>
    </row>
    <row r="88" customFormat="false" ht="15" hidden="false" customHeight="false" outlineLevel="0" collapsed="false">
      <c r="A88" s="32"/>
      <c r="B88" s="32"/>
      <c r="C88" s="32"/>
      <c r="D88" s="35"/>
      <c r="E88" s="43"/>
      <c r="F88" s="32"/>
      <c r="G88" s="43"/>
      <c r="H88" s="32"/>
      <c r="I88" s="33"/>
      <c r="J88" s="33"/>
      <c r="K88" s="37" t="str">
        <f aca="false">IF(OR(B88="",G88=""),"",IF(H88="Min",IF(E88&lt;G88,"Exceedance","OK"),IF(E88&gt;G88,"Exceedance","OK")))</f>
        <v/>
      </c>
    </row>
    <row r="89" customFormat="false" ht="15" hidden="false" customHeight="false" outlineLevel="0" collapsed="false">
      <c r="A89" s="32"/>
      <c r="B89" s="32"/>
      <c r="C89" s="32"/>
      <c r="D89" s="35"/>
      <c r="E89" s="43"/>
      <c r="F89" s="32"/>
      <c r="G89" s="43"/>
      <c r="H89" s="32"/>
      <c r="I89" s="33"/>
      <c r="J89" s="33"/>
      <c r="K89" s="37" t="str">
        <f aca="false">IF(OR(B89="",G89=""),"",IF(H89="Min",IF(E89&lt;G89,"Exceedance","OK"),IF(E89&gt;G89,"Exceedance","OK")))</f>
        <v/>
      </c>
    </row>
    <row r="90" customFormat="false" ht="15" hidden="false" customHeight="false" outlineLevel="0" collapsed="false">
      <c r="A90" s="32"/>
      <c r="B90" s="32"/>
      <c r="C90" s="32"/>
      <c r="D90" s="35"/>
      <c r="E90" s="43"/>
      <c r="F90" s="32"/>
      <c r="G90" s="43"/>
      <c r="H90" s="32"/>
      <c r="I90" s="33"/>
      <c r="J90" s="33"/>
      <c r="K90" s="37" t="str">
        <f aca="false">IF(OR(B90="",G90=""),"",IF(H90="Min",IF(E90&lt;G90,"Exceedance","OK"),IF(E90&gt;G90,"Exceedance","OK")))</f>
        <v/>
      </c>
    </row>
    <row r="91" customFormat="false" ht="15" hidden="false" customHeight="false" outlineLevel="0" collapsed="false">
      <c r="A91" s="32"/>
      <c r="B91" s="32"/>
      <c r="C91" s="32"/>
      <c r="D91" s="35"/>
      <c r="E91" s="43"/>
      <c r="F91" s="32"/>
      <c r="G91" s="43"/>
      <c r="H91" s="32"/>
      <c r="I91" s="33"/>
      <c r="J91" s="33"/>
      <c r="K91" s="37" t="str">
        <f aca="false">IF(OR(B91="",G91=""),"",IF(H91="Min",IF(E91&lt;G91,"Exceedance","OK"),IF(E91&gt;G91,"Exceedance","OK")))</f>
        <v/>
      </c>
    </row>
    <row r="92" customFormat="false" ht="15" hidden="false" customHeight="false" outlineLevel="0" collapsed="false">
      <c r="A92" s="32"/>
      <c r="B92" s="32"/>
      <c r="C92" s="32"/>
      <c r="D92" s="35"/>
      <c r="E92" s="43"/>
      <c r="F92" s="32"/>
      <c r="G92" s="43"/>
      <c r="H92" s="32"/>
      <c r="I92" s="33"/>
      <c r="J92" s="33"/>
      <c r="K92" s="37" t="str">
        <f aca="false">IF(OR(B92="",G92=""),"",IF(H92="Min",IF(E92&lt;G92,"Exceedance","OK"),IF(E92&gt;G92,"Exceedance","OK")))</f>
        <v/>
      </c>
    </row>
    <row r="93" customFormat="false" ht="15" hidden="false" customHeight="false" outlineLevel="0" collapsed="false">
      <c r="A93" s="32"/>
      <c r="B93" s="32"/>
      <c r="C93" s="32"/>
      <c r="D93" s="35"/>
      <c r="E93" s="43"/>
      <c r="F93" s="32"/>
      <c r="G93" s="43"/>
      <c r="H93" s="32"/>
      <c r="I93" s="33"/>
      <c r="J93" s="33"/>
      <c r="K93" s="37" t="str">
        <f aca="false">IF(OR(B93="",G93=""),"",IF(H93="Min",IF(E93&lt;G93,"Exceedance","OK"),IF(E93&gt;G93,"Exceedance","OK")))</f>
        <v/>
      </c>
    </row>
    <row r="94" customFormat="false" ht="15" hidden="false" customHeight="false" outlineLevel="0" collapsed="false">
      <c r="A94" s="32"/>
      <c r="B94" s="32"/>
      <c r="C94" s="32"/>
      <c r="D94" s="35"/>
      <c r="E94" s="43"/>
      <c r="F94" s="32"/>
      <c r="G94" s="43"/>
      <c r="H94" s="32"/>
      <c r="I94" s="33"/>
      <c r="J94" s="33"/>
      <c r="K94" s="37" t="str">
        <f aca="false">IF(OR(B94="",G94=""),"",IF(H94="Min",IF(E94&lt;G94,"Exceedance","OK"),IF(E94&gt;G94,"Exceedance","OK")))</f>
        <v/>
      </c>
    </row>
    <row r="95" customFormat="false" ht="15" hidden="false" customHeight="false" outlineLevel="0" collapsed="false">
      <c r="A95" s="32"/>
      <c r="B95" s="32"/>
      <c r="C95" s="32"/>
      <c r="D95" s="35"/>
      <c r="E95" s="43"/>
      <c r="F95" s="32"/>
      <c r="G95" s="43"/>
      <c r="H95" s="32"/>
      <c r="I95" s="33"/>
      <c r="J95" s="33"/>
      <c r="K95" s="37" t="str">
        <f aca="false">IF(OR(B95="",G95=""),"",IF(H95="Min",IF(E95&lt;G95,"Exceedance","OK"),IF(E95&gt;G95,"Exceedance","OK")))</f>
        <v/>
      </c>
    </row>
    <row r="96" customFormat="false" ht="15" hidden="false" customHeight="false" outlineLevel="0" collapsed="false">
      <c r="A96" s="32"/>
      <c r="B96" s="32"/>
      <c r="C96" s="32"/>
      <c r="D96" s="35"/>
      <c r="E96" s="43"/>
      <c r="F96" s="32"/>
      <c r="G96" s="43"/>
      <c r="H96" s="32"/>
      <c r="I96" s="33"/>
      <c r="J96" s="33"/>
      <c r="K96" s="37" t="str">
        <f aca="false">IF(OR(B96="",G96=""),"",IF(H96="Min",IF(E96&lt;G96,"Exceedance","OK"),IF(E96&gt;G96,"Exceedance","OK")))</f>
        <v/>
      </c>
    </row>
    <row r="97" customFormat="false" ht="15" hidden="false" customHeight="false" outlineLevel="0" collapsed="false">
      <c r="A97" s="32"/>
      <c r="B97" s="32"/>
      <c r="C97" s="32"/>
      <c r="D97" s="35"/>
      <c r="E97" s="43"/>
      <c r="F97" s="32"/>
      <c r="G97" s="43"/>
      <c r="H97" s="32"/>
      <c r="I97" s="33"/>
      <c r="J97" s="33"/>
      <c r="K97" s="37" t="str">
        <f aca="false">IF(OR(B97="",G97=""),"",IF(H97="Min",IF(E97&lt;G97,"Exceedance","OK"),IF(E97&gt;G97,"Exceedance","OK")))</f>
        <v/>
      </c>
    </row>
    <row r="98" customFormat="false" ht="15" hidden="false" customHeight="false" outlineLevel="0" collapsed="false">
      <c r="A98" s="32"/>
      <c r="B98" s="32"/>
      <c r="C98" s="32"/>
      <c r="D98" s="35"/>
      <c r="E98" s="43"/>
      <c r="F98" s="32"/>
      <c r="G98" s="43"/>
      <c r="H98" s="32"/>
      <c r="I98" s="33"/>
      <c r="J98" s="33"/>
      <c r="K98" s="37" t="str">
        <f aca="false">IF(OR(B98="",G98=""),"",IF(H98="Min",IF(E98&lt;G98,"Exceedance","OK"),IF(E98&gt;G98,"Exceedance","OK")))</f>
        <v/>
      </c>
    </row>
    <row r="99" customFormat="false" ht="15" hidden="false" customHeight="false" outlineLevel="0" collapsed="false">
      <c r="A99" s="32"/>
      <c r="B99" s="32"/>
      <c r="C99" s="32"/>
      <c r="D99" s="35"/>
      <c r="E99" s="43"/>
      <c r="F99" s="32"/>
      <c r="G99" s="43"/>
      <c r="H99" s="32"/>
      <c r="I99" s="33"/>
      <c r="J99" s="33"/>
      <c r="K99" s="37" t="str">
        <f aca="false">IF(OR(B99="",G99=""),"",IF(H99="Min",IF(E99&lt;G99,"Exceedance","OK"),IF(E99&gt;G99,"Exceedance","OK")))</f>
        <v/>
      </c>
    </row>
    <row r="100" customFormat="false" ht="15" hidden="false" customHeight="false" outlineLevel="0" collapsed="false">
      <c r="A100" s="32"/>
      <c r="B100" s="32"/>
      <c r="C100" s="32"/>
      <c r="D100" s="35"/>
      <c r="E100" s="43"/>
      <c r="F100" s="32"/>
      <c r="G100" s="43"/>
      <c r="H100" s="32"/>
      <c r="I100" s="33"/>
      <c r="J100" s="33"/>
      <c r="K100" s="37" t="str">
        <f aca="false">IF(OR(B100="",G100=""),"",IF(H100="Min",IF(E100&lt;G100,"Exceedance","OK"),IF(E100&gt;G100,"Exceedance","OK")))</f>
        <v/>
      </c>
    </row>
    <row r="101" customFormat="false" ht="15" hidden="false" customHeight="false" outlineLevel="0" collapsed="false">
      <c r="A101" s="32"/>
      <c r="B101" s="32"/>
      <c r="C101" s="32"/>
      <c r="D101" s="35"/>
      <c r="E101" s="43"/>
      <c r="F101" s="32"/>
      <c r="G101" s="43"/>
      <c r="H101" s="32"/>
      <c r="I101" s="33"/>
      <c r="J101" s="33"/>
      <c r="K101" s="37" t="str">
        <f aca="false">IF(OR(B101="",G101=""),"",IF(H101="Min",IF(E101&lt;G101,"Exceedance","OK"),IF(E101&gt;G101,"Exceedance","OK")))</f>
        <v/>
      </c>
    </row>
    <row r="102" customFormat="false" ht="15" hidden="false" customHeight="false" outlineLevel="0" collapsed="false">
      <c r="A102" s="32"/>
      <c r="B102" s="32"/>
      <c r="C102" s="32"/>
      <c r="D102" s="35"/>
      <c r="E102" s="43"/>
      <c r="F102" s="32"/>
      <c r="G102" s="43"/>
      <c r="H102" s="32"/>
      <c r="I102" s="33"/>
      <c r="J102" s="33"/>
      <c r="K102" s="37" t="str">
        <f aca="false">IF(OR(B102="",G102=""),"",IF(H102="Min",IF(E102&lt;G102,"Exceedance","OK"),IF(E102&gt;G102,"Exceedance","OK")))</f>
        <v/>
      </c>
    </row>
    <row r="103" customFormat="false" ht="15" hidden="false" customHeight="false" outlineLevel="0" collapsed="false">
      <c r="A103" s="32"/>
      <c r="B103" s="32"/>
      <c r="C103" s="32"/>
      <c r="D103" s="35"/>
      <c r="E103" s="43"/>
      <c r="F103" s="32"/>
      <c r="G103" s="43"/>
      <c r="H103" s="32"/>
      <c r="I103" s="33"/>
      <c r="J103" s="33"/>
      <c r="K103" s="37" t="str">
        <f aca="false">IF(OR(B103="",G103=""),"",IF(H103="Min",IF(E103&lt;G103,"Exceedance","OK"),IF(E103&gt;G103,"Exceedance","OK")))</f>
        <v/>
      </c>
    </row>
    <row r="104" customFormat="false" ht="15" hidden="false" customHeight="false" outlineLevel="0" collapsed="false">
      <c r="A104" s="32"/>
      <c r="B104" s="32"/>
      <c r="C104" s="32"/>
      <c r="D104" s="35"/>
      <c r="E104" s="43"/>
      <c r="F104" s="32"/>
      <c r="G104" s="43"/>
      <c r="H104" s="32"/>
      <c r="I104" s="33"/>
      <c r="J104" s="33"/>
      <c r="K104" s="37" t="str">
        <f aca="false">IF(OR(B104="",G104=""),"",IF(H104="Min",IF(E104&lt;G104,"Exceedance","OK"),IF(E104&gt;G104,"Exceedance","OK")))</f>
        <v/>
      </c>
    </row>
    <row r="105" customFormat="false" ht="15" hidden="false" customHeight="false" outlineLevel="0" collapsed="false">
      <c r="A105" s="32"/>
      <c r="B105" s="32"/>
      <c r="C105" s="32"/>
      <c r="D105" s="35"/>
      <c r="E105" s="43"/>
      <c r="F105" s="32"/>
      <c r="G105" s="43"/>
      <c r="H105" s="32"/>
      <c r="I105" s="33"/>
      <c r="J105" s="33"/>
      <c r="K105" s="37" t="str">
        <f aca="false">IF(OR(B105="",G105=""),"",IF(H105="Min",IF(E105&lt;G105,"Exceedance","OK"),IF(E105&gt;G105,"Exceedance","OK")))</f>
        <v/>
      </c>
    </row>
    <row r="106" customFormat="false" ht="15" hidden="false" customHeight="false" outlineLevel="0" collapsed="false">
      <c r="A106" s="32"/>
      <c r="B106" s="32"/>
      <c r="C106" s="32"/>
      <c r="D106" s="35"/>
      <c r="E106" s="43"/>
      <c r="F106" s="32"/>
      <c r="G106" s="43"/>
      <c r="H106" s="32"/>
      <c r="I106" s="33"/>
      <c r="J106" s="33"/>
      <c r="K106" s="37" t="str">
        <f aca="false">IF(OR(B106="",G106=""),"",IF(H106="Min",IF(E106&lt;G106,"Exceedance","OK"),IF(E106&gt;G106,"Exceedance","OK")))</f>
        <v/>
      </c>
    </row>
    <row r="107" customFormat="false" ht="15" hidden="false" customHeight="false" outlineLevel="0" collapsed="false">
      <c r="A107" s="32"/>
      <c r="B107" s="32"/>
      <c r="C107" s="32"/>
      <c r="D107" s="35"/>
      <c r="E107" s="43"/>
      <c r="F107" s="32"/>
      <c r="G107" s="43"/>
      <c r="H107" s="32"/>
      <c r="I107" s="33"/>
      <c r="J107" s="33"/>
      <c r="K107" s="37" t="str">
        <f aca="false">IF(OR(B107="",G107=""),"",IF(H107="Min",IF(E107&lt;G107,"Exceedance","OK"),IF(E107&gt;G107,"Exceedance","OK")))</f>
        <v/>
      </c>
    </row>
    <row r="108" customFormat="false" ht="15" hidden="false" customHeight="false" outlineLevel="0" collapsed="false">
      <c r="A108" s="32"/>
      <c r="B108" s="32"/>
      <c r="C108" s="32"/>
      <c r="D108" s="35"/>
      <c r="E108" s="43"/>
      <c r="F108" s="32"/>
      <c r="G108" s="43"/>
      <c r="H108" s="32"/>
      <c r="I108" s="33"/>
      <c r="J108" s="33"/>
      <c r="K108" s="37" t="str">
        <f aca="false">IF(OR(B108="",G108=""),"",IF(H108="Min",IF(E108&lt;G108,"Exceedance","OK"),IF(E108&gt;G108,"Exceedance","OK")))</f>
        <v/>
      </c>
    </row>
    <row r="109" customFormat="false" ht="15" hidden="false" customHeight="false" outlineLevel="0" collapsed="false">
      <c r="A109" s="32"/>
      <c r="B109" s="32"/>
      <c r="C109" s="32"/>
      <c r="D109" s="35"/>
      <c r="E109" s="43"/>
      <c r="F109" s="32"/>
      <c r="G109" s="43"/>
      <c r="H109" s="32"/>
      <c r="I109" s="33"/>
      <c r="J109" s="33"/>
      <c r="K109" s="37" t="str">
        <f aca="false">IF(OR(B109="",G109=""),"",IF(H109="Min",IF(E109&lt;G109,"Exceedance","OK"),IF(E109&gt;G109,"Exceedance","OK")))</f>
        <v/>
      </c>
    </row>
    <row r="110" customFormat="false" ht="15" hidden="false" customHeight="false" outlineLevel="0" collapsed="false">
      <c r="A110" s="32"/>
      <c r="B110" s="32"/>
      <c r="C110" s="32"/>
      <c r="D110" s="35"/>
      <c r="E110" s="43"/>
      <c r="F110" s="32"/>
      <c r="G110" s="43"/>
      <c r="H110" s="32"/>
      <c r="I110" s="33"/>
      <c r="J110" s="33"/>
      <c r="K110" s="37" t="str">
        <f aca="false">IF(OR(B110="",G110=""),"",IF(H110="Min",IF(E110&lt;G110,"Exceedance","OK"),IF(E110&gt;G110,"Exceedance","OK")))</f>
        <v/>
      </c>
    </row>
    <row r="111" customFormat="false" ht="15" hidden="false" customHeight="false" outlineLevel="0" collapsed="false">
      <c r="A111" s="32"/>
      <c r="B111" s="32"/>
      <c r="C111" s="32"/>
      <c r="D111" s="35"/>
      <c r="E111" s="43"/>
      <c r="F111" s="32"/>
      <c r="G111" s="43"/>
      <c r="H111" s="32"/>
      <c r="I111" s="33"/>
      <c r="J111" s="33"/>
      <c r="K111" s="37" t="str">
        <f aca="false">IF(OR(B111="",G111=""),"",IF(H111="Min",IF(E111&lt;G111,"Exceedance","OK"),IF(E111&gt;G111,"Exceedance","OK")))</f>
        <v/>
      </c>
    </row>
    <row r="112" customFormat="false" ht="15" hidden="false" customHeight="false" outlineLevel="0" collapsed="false">
      <c r="A112" s="32"/>
      <c r="B112" s="32"/>
      <c r="C112" s="32"/>
      <c r="D112" s="35"/>
      <c r="E112" s="43"/>
      <c r="F112" s="32"/>
      <c r="G112" s="43"/>
      <c r="H112" s="32"/>
      <c r="I112" s="33"/>
      <c r="J112" s="33"/>
      <c r="K112" s="37" t="str">
        <f aca="false">IF(OR(B112="",G112=""),"",IF(H112="Min",IF(E112&lt;G112,"Exceedance","OK"),IF(E112&gt;G112,"Exceedance","OK")))</f>
        <v/>
      </c>
    </row>
    <row r="113" customFormat="false" ht="15" hidden="false" customHeight="false" outlineLevel="0" collapsed="false">
      <c r="A113" s="32"/>
      <c r="B113" s="32"/>
      <c r="C113" s="32"/>
      <c r="D113" s="35"/>
      <c r="E113" s="43"/>
      <c r="F113" s="32"/>
      <c r="G113" s="43"/>
      <c r="H113" s="32"/>
      <c r="I113" s="33"/>
      <c r="J113" s="33"/>
      <c r="K113" s="37" t="str">
        <f aca="false">IF(OR(B113="",G113=""),"",IF(H113="Min",IF(E113&lt;G113,"Exceedance","OK"),IF(E113&gt;G113,"Exceedance","OK")))</f>
        <v/>
      </c>
    </row>
    <row r="114" customFormat="false" ht="15" hidden="false" customHeight="false" outlineLevel="0" collapsed="false">
      <c r="A114" s="32"/>
      <c r="B114" s="32"/>
      <c r="C114" s="32"/>
      <c r="D114" s="35"/>
      <c r="E114" s="43"/>
      <c r="F114" s="32"/>
      <c r="G114" s="43"/>
      <c r="H114" s="32"/>
      <c r="I114" s="33"/>
      <c r="J114" s="33"/>
      <c r="K114" s="37" t="str">
        <f aca="false">IF(OR(B114="",G114=""),"",IF(H114="Min",IF(E114&lt;G114,"Exceedance","OK"),IF(E114&gt;G114,"Exceedance","OK")))</f>
        <v/>
      </c>
    </row>
    <row r="115" customFormat="false" ht="15" hidden="false" customHeight="false" outlineLevel="0" collapsed="false">
      <c r="A115" s="32"/>
      <c r="B115" s="32"/>
      <c r="C115" s="32"/>
      <c r="D115" s="35"/>
      <c r="E115" s="43"/>
      <c r="F115" s="32"/>
      <c r="G115" s="43"/>
      <c r="H115" s="32"/>
      <c r="I115" s="33"/>
      <c r="J115" s="33"/>
      <c r="K115" s="37" t="str">
        <f aca="false">IF(OR(B115="",G115=""),"",IF(H115="Min",IF(E115&lt;G115,"Exceedance","OK"),IF(E115&gt;G115,"Exceedance","OK")))</f>
        <v/>
      </c>
    </row>
    <row r="116" customFormat="false" ht="15" hidden="false" customHeight="false" outlineLevel="0" collapsed="false">
      <c r="A116" s="32"/>
      <c r="B116" s="32"/>
      <c r="C116" s="32"/>
      <c r="D116" s="35"/>
      <c r="E116" s="43"/>
      <c r="F116" s="32"/>
      <c r="G116" s="43"/>
      <c r="H116" s="32"/>
      <c r="I116" s="33"/>
      <c r="J116" s="33"/>
      <c r="K116" s="37" t="str">
        <f aca="false">IF(OR(B116="",G116=""),"",IF(H116="Min",IF(E116&lt;G116,"Exceedance","OK"),IF(E116&gt;G116,"Exceedance","OK")))</f>
        <v/>
      </c>
    </row>
    <row r="117" customFormat="false" ht="15" hidden="false" customHeight="false" outlineLevel="0" collapsed="false">
      <c r="A117" s="32"/>
      <c r="B117" s="32"/>
      <c r="C117" s="32"/>
      <c r="D117" s="35"/>
      <c r="E117" s="43"/>
      <c r="F117" s="32"/>
      <c r="G117" s="43"/>
      <c r="H117" s="32"/>
      <c r="I117" s="33"/>
      <c r="J117" s="33"/>
      <c r="K117" s="37" t="str">
        <f aca="false">IF(OR(B117="",G117=""),"",IF(H117="Min",IF(E117&lt;G117,"Exceedance","OK"),IF(E117&gt;G117,"Exceedance","OK")))</f>
        <v/>
      </c>
    </row>
    <row r="118" customFormat="false" ht="15" hidden="false" customHeight="false" outlineLevel="0" collapsed="false">
      <c r="A118" s="32"/>
      <c r="B118" s="32"/>
      <c r="C118" s="32"/>
      <c r="D118" s="35"/>
      <c r="E118" s="43"/>
      <c r="F118" s="32"/>
      <c r="G118" s="43"/>
      <c r="H118" s="32"/>
      <c r="I118" s="33"/>
      <c r="J118" s="33"/>
      <c r="K118" s="37" t="str">
        <f aca="false">IF(OR(B118="",G118=""),"",IF(H118="Min",IF(E118&lt;G118,"Exceedance","OK"),IF(E118&gt;G118,"Exceedance","OK")))</f>
        <v/>
      </c>
    </row>
    <row r="119" customFormat="false" ht="15" hidden="false" customHeight="false" outlineLevel="0" collapsed="false">
      <c r="A119" s="32"/>
      <c r="B119" s="32"/>
      <c r="C119" s="32"/>
      <c r="D119" s="35"/>
      <c r="E119" s="43"/>
      <c r="F119" s="32"/>
      <c r="G119" s="43"/>
      <c r="H119" s="32"/>
      <c r="I119" s="33"/>
      <c r="J119" s="33"/>
      <c r="K119" s="37" t="str">
        <f aca="false">IF(OR(B119="",G119=""),"",IF(H119="Min",IF(E119&lt;G119,"Exceedance","OK"),IF(E119&gt;G119,"Exceedance","OK")))</f>
        <v/>
      </c>
    </row>
    <row r="120" customFormat="false" ht="15" hidden="false" customHeight="false" outlineLevel="0" collapsed="false">
      <c r="A120" s="32"/>
      <c r="B120" s="32"/>
      <c r="C120" s="32"/>
      <c r="D120" s="35"/>
      <c r="E120" s="43"/>
      <c r="F120" s="32"/>
      <c r="G120" s="43"/>
      <c r="H120" s="32"/>
      <c r="I120" s="33"/>
      <c r="J120" s="33"/>
      <c r="K120" s="37" t="str">
        <f aca="false">IF(OR(B120="",G120=""),"",IF(H120="Min",IF(E120&lt;G120,"Exceedance","OK"),IF(E120&gt;G120,"Exceedance","OK")))</f>
        <v/>
      </c>
    </row>
    <row r="121" customFormat="false" ht="15" hidden="false" customHeight="false" outlineLevel="0" collapsed="false">
      <c r="A121" s="32"/>
      <c r="B121" s="32"/>
      <c r="C121" s="32"/>
      <c r="D121" s="35"/>
      <c r="E121" s="43"/>
      <c r="F121" s="32"/>
      <c r="G121" s="43"/>
      <c r="H121" s="32"/>
      <c r="I121" s="33"/>
      <c r="J121" s="33"/>
      <c r="K121" s="37" t="str">
        <f aca="false">IF(OR(B121="",G121=""),"",IF(H121="Min",IF(E121&lt;G121,"Exceedance","OK"),IF(E121&gt;G121,"Exceedance","OK")))</f>
        <v/>
      </c>
    </row>
    <row r="122" customFormat="false" ht="15" hidden="false" customHeight="false" outlineLevel="0" collapsed="false">
      <c r="A122" s="32"/>
      <c r="B122" s="32"/>
      <c r="C122" s="32"/>
      <c r="D122" s="35"/>
      <c r="E122" s="43"/>
      <c r="F122" s="32"/>
      <c r="G122" s="43"/>
      <c r="H122" s="32"/>
      <c r="I122" s="33"/>
      <c r="J122" s="33"/>
      <c r="K122" s="37" t="str">
        <f aca="false">IF(OR(B122="",G122=""),"",IF(H122="Min",IF(E122&lt;G122,"Exceedance","OK"),IF(E122&gt;G122,"Exceedance","OK")))</f>
        <v/>
      </c>
    </row>
    <row r="123" customFormat="false" ht="15" hidden="false" customHeight="false" outlineLevel="0" collapsed="false">
      <c r="A123" s="32"/>
      <c r="B123" s="32"/>
      <c r="C123" s="32"/>
      <c r="D123" s="35"/>
      <c r="E123" s="43"/>
      <c r="F123" s="32"/>
      <c r="G123" s="43"/>
      <c r="H123" s="32"/>
      <c r="I123" s="33"/>
      <c r="J123" s="33"/>
      <c r="K123" s="37" t="str">
        <f aca="false">IF(OR(B123="",G123=""),"",IF(H123="Min",IF(E123&lt;G123,"Exceedance","OK"),IF(E123&gt;G123,"Exceedance","OK")))</f>
        <v/>
      </c>
    </row>
    <row r="124" customFormat="false" ht="15" hidden="false" customHeight="false" outlineLevel="0" collapsed="false">
      <c r="A124" s="32"/>
      <c r="B124" s="32"/>
      <c r="C124" s="32"/>
      <c r="D124" s="35"/>
      <c r="E124" s="43"/>
      <c r="F124" s="32"/>
      <c r="G124" s="43"/>
      <c r="H124" s="32"/>
      <c r="I124" s="33"/>
      <c r="J124" s="33"/>
      <c r="K124" s="37" t="str">
        <f aca="false">IF(OR(B124="",G124=""),"",IF(H124="Min",IF(E124&lt;G124,"Exceedance","OK"),IF(E124&gt;G124,"Exceedance","OK")))</f>
        <v/>
      </c>
    </row>
    <row r="125" customFormat="false" ht="15" hidden="false" customHeight="false" outlineLevel="0" collapsed="false">
      <c r="A125" s="32"/>
      <c r="B125" s="32"/>
      <c r="C125" s="32"/>
      <c r="D125" s="35"/>
      <c r="E125" s="43"/>
      <c r="F125" s="32"/>
      <c r="G125" s="43"/>
      <c r="H125" s="32"/>
      <c r="I125" s="33"/>
      <c r="J125" s="33"/>
      <c r="K125" s="37" t="str">
        <f aca="false">IF(OR(B125="",G125=""),"",IF(H125="Min",IF(E125&lt;G125,"Exceedance","OK"),IF(E125&gt;G125,"Exceedance","OK")))</f>
        <v/>
      </c>
    </row>
    <row r="126" customFormat="false" ht="15" hidden="false" customHeight="false" outlineLevel="0" collapsed="false">
      <c r="A126" s="32"/>
      <c r="B126" s="32"/>
      <c r="C126" s="32"/>
      <c r="D126" s="35"/>
      <c r="E126" s="43"/>
      <c r="F126" s="32"/>
      <c r="G126" s="43"/>
      <c r="H126" s="32"/>
      <c r="I126" s="33"/>
      <c r="J126" s="33"/>
      <c r="K126" s="37" t="str">
        <f aca="false">IF(OR(B126="",G126=""),"",IF(H126="Min",IF(E126&lt;G126,"Exceedance","OK"),IF(E126&gt;G126,"Exceedance","OK")))</f>
        <v/>
      </c>
    </row>
    <row r="127" customFormat="false" ht="15" hidden="false" customHeight="false" outlineLevel="0" collapsed="false">
      <c r="A127" s="32"/>
      <c r="B127" s="32"/>
      <c r="C127" s="32"/>
      <c r="D127" s="35"/>
      <c r="E127" s="43"/>
      <c r="F127" s="32"/>
      <c r="G127" s="43"/>
      <c r="H127" s="32"/>
      <c r="I127" s="33"/>
      <c r="J127" s="33"/>
      <c r="K127" s="37" t="str">
        <f aca="false">IF(OR(B127="",G127=""),"",IF(H127="Min",IF(E127&lt;G127,"Exceedance","OK"),IF(E127&gt;G127,"Exceedance","OK")))</f>
        <v/>
      </c>
    </row>
    <row r="128" customFormat="false" ht="15" hidden="false" customHeight="false" outlineLevel="0" collapsed="false">
      <c r="A128" s="32"/>
      <c r="B128" s="32"/>
      <c r="C128" s="32"/>
      <c r="D128" s="35"/>
      <c r="E128" s="43"/>
      <c r="F128" s="32"/>
      <c r="G128" s="43"/>
      <c r="H128" s="32"/>
      <c r="I128" s="33"/>
      <c r="J128" s="33"/>
      <c r="K128" s="37" t="str">
        <f aca="false">IF(OR(B128="",G128=""),"",IF(H128="Min",IF(E128&lt;G128,"Exceedance","OK"),IF(E128&gt;G128,"Exceedance","OK")))</f>
        <v/>
      </c>
    </row>
    <row r="129" customFormat="false" ht="15" hidden="false" customHeight="false" outlineLevel="0" collapsed="false">
      <c r="A129" s="32"/>
      <c r="B129" s="32"/>
      <c r="C129" s="32"/>
      <c r="D129" s="35"/>
      <c r="E129" s="43"/>
      <c r="F129" s="32"/>
      <c r="G129" s="43"/>
      <c r="H129" s="32"/>
      <c r="I129" s="33"/>
      <c r="J129" s="33"/>
      <c r="K129" s="37" t="str">
        <f aca="false">IF(OR(B129="",G129=""),"",IF(H129="Min",IF(E129&lt;G129,"Exceedance","OK"),IF(E129&gt;G129,"Exceedance","OK")))</f>
        <v/>
      </c>
    </row>
    <row r="130" customFormat="false" ht="15" hidden="false" customHeight="false" outlineLevel="0" collapsed="false">
      <c r="A130" s="32"/>
      <c r="B130" s="32"/>
      <c r="C130" s="32"/>
      <c r="D130" s="35"/>
      <c r="E130" s="43"/>
      <c r="F130" s="32"/>
      <c r="G130" s="43"/>
      <c r="H130" s="32"/>
      <c r="I130" s="33"/>
      <c r="J130" s="33"/>
      <c r="K130" s="37" t="str">
        <f aca="false">IF(OR(B130="",G130=""),"",IF(H130="Min",IF(E130&lt;G130,"Exceedance","OK"),IF(E130&gt;G130,"Exceedance","OK")))</f>
        <v/>
      </c>
    </row>
    <row r="131" customFormat="false" ht="15" hidden="false" customHeight="false" outlineLevel="0" collapsed="false">
      <c r="A131" s="32"/>
      <c r="B131" s="32"/>
      <c r="C131" s="32"/>
      <c r="D131" s="35"/>
      <c r="E131" s="43"/>
      <c r="F131" s="32"/>
      <c r="G131" s="43"/>
      <c r="H131" s="32"/>
      <c r="I131" s="33"/>
      <c r="J131" s="33"/>
      <c r="K131" s="37" t="str">
        <f aca="false">IF(OR(B131="",G131=""),"",IF(H131="Min",IF(E131&lt;G131,"Exceedance","OK"),IF(E131&gt;G131,"Exceedance","OK")))</f>
        <v/>
      </c>
    </row>
    <row r="132" customFormat="false" ht="15" hidden="false" customHeight="false" outlineLevel="0" collapsed="false">
      <c r="A132" s="32"/>
      <c r="B132" s="32"/>
      <c r="C132" s="32"/>
      <c r="D132" s="35"/>
      <c r="E132" s="43"/>
      <c r="F132" s="32"/>
      <c r="G132" s="43"/>
      <c r="H132" s="32"/>
      <c r="I132" s="33"/>
      <c r="J132" s="33"/>
      <c r="K132" s="37" t="str">
        <f aca="false">IF(OR(B132="",G132=""),"",IF(H132="Min",IF(E132&lt;G132,"Exceedance","OK"),IF(E132&gt;G132,"Exceedance","OK")))</f>
        <v/>
      </c>
    </row>
    <row r="133" customFormat="false" ht="15" hidden="false" customHeight="false" outlineLevel="0" collapsed="false">
      <c r="A133" s="32"/>
      <c r="B133" s="32"/>
      <c r="C133" s="32"/>
      <c r="D133" s="35"/>
      <c r="E133" s="43"/>
      <c r="F133" s="32"/>
      <c r="G133" s="43"/>
      <c r="H133" s="32"/>
      <c r="I133" s="33"/>
      <c r="J133" s="33"/>
      <c r="K133" s="37" t="str">
        <f aca="false">IF(OR(B133="",G133=""),"",IF(H133="Min",IF(E133&lt;G133,"Exceedance","OK"),IF(E133&gt;G133,"Exceedance","OK")))</f>
        <v/>
      </c>
    </row>
    <row r="134" customFormat="false" ht="15" hidden="false" customHeight="false" outlineLevel="0" collapsed="false">
      <c r="A134" s="32"/>
      <c r="B134" s="32"/>
      <c r="C134" s="32"/>
      <c r="D134" s="35"/>
      <c r="E134" s="43"/>
      <c r="F134" s="32"/>
      <c r="G134" s="43"/>
      <c r="H134" s="32"/>
      <c r="I134" s="33"/>
      <c r="J134" s="33"/>
      <c r="K134" s="37" t="str">
        <f aca="false">IF(OR(B134="",G134=""),"",IF(H134="Min",IF(E134&lt;G134,"Exceedance","OK"),IF(E134&gt;G134,"Exceedance","OK")))</f>
        <v/>
      </c>
    </row>
    <row r="135" customFormat="false" ht="15" hidden="false" customHeight="false" outlineLevel="0" collapsed="false">
      <c r="A135" s="32"/>
      <c r="B135" s="32"/>
      <c r="C135" s="32"/>
      <c r="D135" s="35"/>
      <c r="E135" s="43"/>
      <c r="F135" s="32"/>
      <c r="G135" s="43"/>
      <c r="H135" s="32"/>
      <c r="I135" s="33"/>
      <c r="J135" s="33"/>
      <c r="K135" s="37" t="str">
        <f aca="false">IF(OR(B135="",G135=""),"",IF(H135="Min",IF(E135&lt;G135,"Exceedance","OK"),IF(E135&gt;G135,"Exceedance","OK")))</f>
        <v/>
      </c>
    </row>
    <row r="136" customFormat="false" ht="15" hidden="false" customHeight="false" outlineLevel="0" collapsed="false">
      <c r="A136" s="32"/>
      <c r="B136" s="32"/>
      <c r="C136" s="32"/>
      <c r="D136" s="35"/>
      <c r="E136" s="43"/>
      <c r="F136" s="32"/>
      <c r="G136" s="43"/>
      <c r="H136" s="32"/>
      <c r="I136" s="33"/>
      <c r="J136" s="33"/>
      <c r="K136" s="37" t="str">
        <f aca="false">IF(OR(B136="",G136=""),"",IF(H136="Min",IF(E136&lt;G136,"Exceedance","OK"),IF(E136&gt;G136,"Exceedance","OK")))</f>
        <v/>
      </c>
    </row>
    <row r="137" customFormat="false" ht="15" hidden="false" customHeight="false" outlineLevel="0" collapsed="false">
      <c r="A137" s="32"/>
      <c r="B137" s="32"/>
      <c r="C137" s="32"/>
      <c r="D137" s="35"/>
      <c r="E137" s="43"/>
      <c r="F137" s="32"/>
      <c r="G137" s="43"/>
      <c r="H137" s="32"/>
      <c r="I137" s="33"/>
      <c r="J137" s="33"/>
      <c r="K137" s="37" t="str">
        <f aca="false">IF(OR(B137="",G137=""),"",IF(H137="Min",IF(E137&lt;G137,"Exceedance","OK"),IF(E137&gt;G137,"Exceedance","OK")))</f>
        <v/>
      </c>
    </row>
    <row r="138" customFormat="false" ht="15" hidden="false" customHeight="false" outlineLevel="0" collapsed="false">
      <c r="A138" s="32"/>
      <c r="B138" s="32"/>
      <c r="C138" s="32"/>
      <c r="D138" s="35"/>
      <c r="E138" s="43"/>
      <c r="F138" s="32"/>
      <c r="G138" s="43"/>
      <c r="H138" s="32"/>
      <c r="I138" s="33"/>
      <c r="J138" s="33"/>
      <c r="K138" s="37" t="str">
        <f aca="false">IF(OR(B138="",G138=""),"",IF(H138="Min",IF(E138&lt;G138,"Exceedance","OK"),IF(E138&gt;G138,"Exceedance","OK")))</f>
        <v/>
      </c>
    </row>
    <row r="139" customFormat="false" ht="15" hidden="false" customHeight="false" outlineLevel="0" collapsed="false">
      <c r="A139" s="32"/>
      <c r="B139" s="32"/>
      <c r="C139" s="32"/>
      <c r="D139" s="35"/>
      <c r="E139" s="43"/>
      <c r="F139" s="32"/>
      <c r="G139" s="43"/>
      <c r="H139" s="32"/>
      <c r="I139" s="33"/>
      <c r="J139" s="33"/>
      <c r="K139" s="37" t="str">
        <f aca="false">IF(OR(B139="",G139=""),"",IF(H139="Min",IF(E139&lt;G139,"Exceedance","OK"),IF(E139&gt;G139,"Exceedance","OK")))</f>
        <v/>
      </c>
    </row>
    <row r="140" customFormat="false" ht="15" hidden="false" customHeight="false" outlineLevel="0" collapsed="false">
      <c r="A140" s="32"/>
      <c r="B140" s="32"/>
      <c r="C140" s="32"/>
      <c r="D140" s="35"/>
      <c r="E140" s="43"/>
      <c r="F140" s="32"/>
      <c r="G140" s="43"/>
      <c r="H140" s="32"/>
      <c r="I140" s="33"/>
      <c r="J140" s="33"/>
      <c r="K140" s="37" t="str">
        <f aca="false">IF(OR(B140="",G140=""),"",IF(H140="Min",IF(E140&lt;G140,"Exceedance","OK"),IF(E140&gt;G140,"Exceedance","OK")))</f>
        <v/>
      </c>
    </row>
    <row r="141" customFormat="false" ht="15" hidden="false" customHeight="false" outlineLevel="0" collapsed="false">
      <c r="A141" s="32"/>
      <c r="B141" s="32"/>
      <c r="C141" s="32"/>
      <c r="D141" s="35"/>
      <c r="E141" s="43"/>
      <c r="F141" s="32"/>
      <c r="G141" s="43"/>
      <c r="H141" s="32"/>
      <c r="I141" s="33"/>
      <c r="J141" s="33"/>
      <c r="K141" s="37" t="str">
        <f aca="false">IF(OR(B141="",G141=""),"",IF(H141="Min",IF(E141&lt;G141,"Exceedance","OK"),IF(E141&gt;G141,"Exceedance","OK")))</f>
        <v/>
      </c>
    </row>
    <row r="142" customFormat="false" ht="15" hidden="false" customHeight="false" outlineLevel="0" collapsed="false">
      <c r="A142" s="32"/>
      <c r="B142" s="32"/>
      <c r="C142" s="32"/>
      <c r="D142" s="35"/>
      <c r="E142" s="43"/>
      <c r="F142" s="32"/>
      <c r="G142" s="43"/>
      <c r="H142" s="32"/>
      <c r="I142" s="33"/>
      <c r="J142" s="33"/>
      <c r="K142" s="37" t="str">
        <f aca="false">IF(OR(B142="",G142=""),"",IF(H142="Min",IF(E142&lt;G142,"Exceedance","OK"),IF(E142&gt;G142,"Exceedance","OK")))</f>
        <v/>
      </c>
    </row>
    <row r="143" customFormat="false" ht="15" hidden="false" customHeight="false" outlineLevel="0" collapsed="false">
      <c r="A143" s="32"/>
      <c r="B143" s="32"/>
      <c r="C143" s="32"/>
      <c r="D143" s="35"/>
      <c r="E143" s="43"/>
      <c r="F143" s="32"/>
      <c r="G143" s="43"/>
      <c r="H143" s="32"/>
      <c r="I143" s="33"/>
      <c r="J143" s="33"/>
      <c r="K143" s="37" t="str">
        <f aca="false">IF(OR(B143="",G143=""),"",IF(H143="Min",IF(E143&lt;G143,"Exceedance","OK"),IF(E143&gt;G143,"Exceedance","OK")))</f>
        <v/>
      </c>
    </row>
    <row r="144" customFormat="false" ht="15" hidden="false" customHeight="false" outlineLevel="0" collapsed="false">
      <c r="A144" s="32"/>
      <c r="B144" s="32"/>
      <c r="C144" s="32"/>
      <c r="D144" s="35"/>
      <c r="E144" s="43"/>
      <c r="F144" s="32"/>
      <c r="G144" s="43"/>
      <c r="H144" s="32"/>
      <c r="I144" s="33"/>
      <c r="J144" s="33"/>
      <c r="K144" s="37" t="str">
        <f aca="false">IF(OR(B144="",G144=""),"",IF(H144="Min",IF(E144&lt;G144,"Exceedance","OK"),IF(E144&gt;G144,"Exceedance","OK")))</f>
        <v/>
      </c>
    </row>
    <row r="145" customFormat="false" ht="15" hidden="false" customHeight="false" outlineLevel="0" collapsed="false">
      <c r="A145" s="32"/>
      <c r="B145" s="32"/>
      <c r="C145" s="32"/>
      <c r="D145" s="35"/>
      <c r="E145" s="43"/>
      <c r="F145" s="32"/>
      <c r="G145" s="43"/>
      <c r="H145" s="32"/>
      <c r="I145" s="33"/>
      <c r="J145" s="33"/>
      <c r="K145" s="37" t="str">
        <f aca="false">IF(OR(B145="",G145=""),"",IF(H145="Min",IF(E145&lt;G145,"Exceedance","OK"),IF(E145&gt;G145,"Exceedance","OK")))</f>
        <v/>
      </c>
    </row>
    <row r="146" customFormat="false" ht="15" hidden="false" customHeight="false" outlineLevel="0" collapsed="false">
      <c r="A146" s="32"/>
      <c r="B146" s="32"/>
      <c r="C146" s="32"/>
      <c r="D146" s="35"/>
      <c r="E146" s="43"/>
      <c r="F146" s="32"/>
      <c r="G146" s="43"/>
      <c r="H146" s="32"/>
      <c r="I146" s="33"/>
      <c r="J146" s="33"/>
      <c r="K146" s="37" t="str">
        <f aca="false">IF(OR(B146="",G146=""),"",IF(H146="Min",IF(E146&lt;G146,"Exceedance","OK"),IF(E146&gt;G146,"Exceedance","OK")))</f>
        <v/>
      </c>
    </row>
    <row r="147" customFormat="false" ht="15" hidden="false" customHeight="false" outlineLevel="0" collapsed="false">
      <c r="A147" s="32"/>
      <c r="B147" s="32"/>
      <c r="C147" s="32"/>
      <c r="D147" s="35"/>
      <c r="E147" s="43"/>
      <c r="F147" s="32"/>
      <c r="G147" s="43"/>
      <c r="H147" s="32"/>
      <c r="I147" s="33"/>
      <c r="J147" s="33"/>
      <c r="K147" s="37" t="str">
        <f aca="false">IF(OR(B147="",G147=""),"",IF(H147="Min",IF(E147&lt;G147,"Exceedance","OK"),IF(E147&gt;G147,"Exceedance","OK")))</f>
        <v/>
      </c>
    </row>
    <row r="148" customFormat="false" ht="15" hidden="false" customHeight="false" outlineLevel="0" collapsed="false">
      <c r="A148" s="32"/>
      <c r="B148" s="32"/>
      <c r="C148" s="32"/>
      <c r="D148" s="35"/>
      <c r="E148" s="43"/>
      <c r="F148" s="32"/>
      <c r="G148" s="43"/>
      <c r="H148" s="32"/>
      <c r="I148" s="33"/>
      <c r="J148" s="33"/>
      <c r="K148" s="37" t="str">
        <f aca="false">IF(OR(B148="",G148=""),"",IF(H148="Min",IF(E148&lt;G148,"Exceedance","OK"),IF(E148&gt;G148,"Exceedance","OK")))</f>
        <v/>
      </c>
    </row>
    <row r="149" customFormat="false" ht="15" hidden="false" customHeight="false" outlineLevel="0" collapsed="false">
      <c r="A149" s="32"/>
      <c r="B149" s="32"/>
      <c r="C149" s="32"/>
      <c r="D149" s="35"/>
      <c r="E149" s="43"/>
      <c r="F149" s="32"/>
      <c r="G149" s="43"/>
      <c r="H149" s="32"/>
      <c r="I149" s="33"/>
      <c r="J149" s="33"/>
      <c r="K149" s="37" t="str">
        <f aca="false">IF(OR(B149="",G149=""),"",IF(H149="Min",IF(E149&lt;G149,"Exceedance","OK"),IF(E149&gt;G149,"Exceedance","OK")))</f>
        <v/>
      </c>
    </row>
    <row r="150" customFormat="false" ht="15" hidden="false" customHeight="false" outlineLevel="0" collapsed="false">
      <c r="A150" s="32"/>
      <c r="B150" s="32"/>
      <c r="C150" s="32"/>
      <c r="D150" s="35"/>
      <c r="E150" s="43"/>
      <c r="F150" s="32"/>
      <c r="G150" s="43"/>
      <c r="H150" s="32"/>
      <c r="I150" s="33"/>
      <c r="J150" s="33"/>
      <c r="K150" s="37" t="str">
        <f aca="false">IF(OR(B150="",G150=""),"",IF(H150="Min",IF(E150&lt;G150,"Exceedance","OK"),IF(E150&gt;G150,"Exceedance","OK")))</f>
        <v/>
      </c>
    </row>
    <row r="151" customFormat="false" ht="15" hidden="false" customHeight="false" outlineLevel="0" collapsed="false">
      <c r="A151" s="32"/>
      <c r="B151" s="32"/>
      <c r="C151" s="32"/>
      <c r="D151" s="35"/>
      <c r="E151" s="43"/>
      <c r="F151" s="32"/>
      <c r="G151" s="43"/>
      <c r="H151" s="32"/>
      <c r="I151" s="33"/>
      <c r="J151" s="33"/>
      <c r="K151" s="37" t="str">
        <f aca="false">IF(OR(B151="",G151=""),"",IF(H151="Min",IF(E151&lt;G151,"Exceedance","OK"),IF(E151&gt;G151,"Exceedance","OK")))</f>
        <v/>
      </c>
    </row>
    <row r="152" customFormat="false" ht="15" hidden="false" customHeight="false" outlineLevel="0" collapsed="false">
      <c r="A152" s="32"/>
      <c r="B152" s="32"/>
      <c r="C152" s="32"/>
      <c r="D152" s="35"/>
      <c r="E152" s="43"/>
      <c r="F152" s="32"/>
      <c r="G152" s="43"/>
      <c r="H152" s="32"/>
      <c r="I152" s="33"/>
      <c r="J152" s="33"/>
      <c r="K152" s="37" t="str">
        <f aca="false">IF(OR(B152="",G152=""),"",IF(H152="Min",IF(E152&lt;G152,"Exceedance","OK"),IF(E152&gt;G152,"Exceedance","OK")))</f>
        <v/>
      </c>
    </row>
    <row r="153" customFormat="false" ht="15" hidden="false" customHeight="false" outlineLevel="0" collapsed="false">
      <c r="A153" s="32"/>
      <c r="B153" s="32"/>
      <c r="C153" s="32"/>
      <c r="D153" s="35"/>
      <c r="E153" s="43"/>
      <c r="F153" s="32"/>
      <c r="G153" s="43"/>
      <c r="H153" s="32"/>
      <c r="I153" s="33"/>
      <c r="J153" s="33"/>
      <c r="K153" s="37" t="str">
        <f aca="false">IF(OR(B153="",G153=""),"",IF(H153="Min",IF(E153&lt;G153,"Exceedance","OK"),IF(E153&gt;G153,"Exceedance","OK")))</f>
        <v/>
      </c>
    </row>
    <row r="154" customFormat="false" ht="15" hidden="false" customHeight="false" 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     <c r="J154" s="33"/>
      <c r="K154" s="37" t="str">
        <f aca="false">IF(OR(B154="",G154=""),"",IF(H154="Min",IF(E154&lt;G154,"Exceedance","OK"),IF(E154&gt;G154,"Exceedance","OK")))</f>
        <v/>
      </c>
    </row>
    <row r="155" customFormat="false" ht="15" hidden="false" customHeight="false" outlineLevel="0" collapsed="false">
      <c r="A155" s="32"/>
      <c r="B155" s="32"/>
      <c r="C155" s="32"/>
      <c r="D155" s="35"/>
      <c r="E155" s="43"/>
      <c r="F155" s="32"/>
      <c r="G155" s="43"/>
      <c r="H155" s="32"/>
      <c r="I155" s="33"/>
      <c r="J155" s="33"/>
      <c r="K155" s="37" t="str">
        <f aca="false">IF(OR(B155="",G155=""),"",IF(H155="Min",IF(E155&lt;G155,"Exceedance","OK"),IF(E155&gt;G155,"Exceedance","OK")))</f>
        <v/>
      </c>
    </row>
    <row r="156" customFormat="false" ht="15" hidden="false" customHeight="false" outlineLevel="0" collapsed="false">
      <c r="A156" s="32"/>
      <c r="B156" s="32"/>
      <c r="C156" s="32"/>
      <c r="D156" s="35"/>
      <c r="E156" s="43"/>
      <c r="F156" s="32"/>
      <c r="G156" s="43"/>
      <c r="H156" s="32"/>
      <c r="I156" s="33"/>
      <c r="J156" s="33"/>
      <c r="K156" s="37" t="str">
        <f aca="false">IF(OR(B156="",G156=""),"",IF(H156="Min",IF(E156&lt;G156,"Exceedance","OK"),IF(E156&gt;G156,"Exceedance","OK")))</f>
        <v/>
      </c>
    </row>
    <row r="157" customFormat="false" ht="15" hidden="false" customHeight="false" outlineLevel="0" collapsed="false">
      <c r="A157" s="32"/>
      <c r="B157" s="32"/>
      <c r="C157" s="32"/>
      <c r="D157" s="35"/>
      <c r="E157" s="43"/>
      <c r="F157" s="32"/>
      <c r="G157" s="43"/>
      <c r="H157" s="32"/>
      <c r="I157" s="33"/>
      <c r="J157" s="33"/>
      <c r="K157" s="37" t="str">
        <f aca="false">IF(OR(B157="",G157=""),"",IF(H157="Min",IF(E157&lt;G157,"Exceedance","OK"),IF(E157&gt;G157,"Exceedance","OK")))</f>
        <v/>
      </c>
    </row>
    <row r="158" customFormat="false" ht="15" hidden="false" customHeight="false" outlineLevel="0" collapsed="false">
      <c r="A158" s="32"/>
      <c r="B158" s="32"/>
      <c r="C158" s="32"/>
      <c r="D158" s="35"/>
      <c r="E158" s="43"/>
      <c r="F158" s="32"/>
      <c r="G158" s="43"/>
      <c r="H158" s="32"/>
      <c r="I158" s="33"/>
      <c r="J158" s="33"/>
      <c r="K158" s="37" t="str">
        <f aca="false">IF(OR(B158="",G158=""),"",IF(H158="Min",IF(E158&lt;G158,"Exceedance","OK"),IF(E158&gt;G158,"Exceedance","OK")))</f>
        <v/>
      </c>
    </row>
    <row r="159" customFormat="false" ht="15" hidden="false" customHeight="false" outlineLevel="0" collapsed="false">
      <c r="A159" s="32"/>
      <c r="B159" s="32"/>
      <c r="C159" s="32"/>
      <c r="D159" s="35"/>
      <c r="E159" s="43"/>
      <c r="F159" s="32"/>
      <c r="G159" s="43"/>
      <c r="H159" s="32"/>
      <c r="I159" s="33"/>
      <c r="J159" s="33"/>
      <c r="K159" s="37" t="str">
        <f aca="false">IF(OR(B159="",G159=""),"",IF(H159="Min",IF(E159&lt;G159,"Exceedance","OK"),IF(E159&gt;G159,"Exceedance","OK")))</f>
        <v/>
      </c>
    </row>
    <row r="160" customFormat="false" ht="15" hidden="false" customHeight="false" outlineLevel="0" collapsed="false">
      <c r="A160" s="32"/>
      <c r="B160" s="32"/>
      <c r="C160" s="32"/>
      <c r="D160" s="35"/>
      <c r="E160" s="43"/>
      <c r="F160" s="32"/>
      <c r="G160" s="43"/>
      <c r="H160" s="32"/>
      <c r="I160" s="33"/>
      <c r="J160" s="33"/>
      <c r="K160" s="37" t="str">
        <f aca="false">IF(OR(B160="",G160=""),"",IF(H160="Min",IF(E160&lt;G160,"Exceedance","OK"),IF(E160&gt;G160,"Exceedance","OK")))</f>
        <v/>
      </c>
    </row>
    <row r="161" customFormat="false" ht="15" hidden="false" customHeight="false" outlineLevel="0" collapsed="false">
      <c r="A161" s="32"/>
      <c r="B161" s="32"/>
      <c r="C161" s="32"/>
      <c r="D161" s="35"/>
      <c r="E161" s="43"/>
      <c r="F161" s="32"/>
      <c r="G161" s="43"/>
      <c r="H161" s="32"/>
      <c r="I161" s="33"/>
      <c r="J161" s="33"/>
      <c r="K161" s="37" t="str">
        <f aca="false">IF(OR(B161="",G161=""),"",IF(H161="Min",IF(E161&lt;G161,"Exceedance","OK"),IF(E161&gt;G161,"Exceedance","OK")))</f>
        <v/>
      </c>
    </row>
    <row r="162" customFormat="false" ht="15" hidden="false" customHeight="false" outlineLevel="0" collapsed="false">
      <c r="A162" s="32"/>
      <c r="B162" s="32"/>
      <c r="C162" s="32"/>
      <c r="D162" s="35"/>
      <c r="E162" s="43"/>
      <c r="F162" s="32"/>
      <c r="G162" s="43"/>
      <c r="H162" s="32"/>
      <c r="I162" s="33"/>
      <c r="J162" s="33"/>
      <c r="K162" s="37" t="str">
        <f aca="false">IF(OR(B162="",G162=""),"",IF(H162="Min",IF(E162&lt;G162,"Exceedance","OK"),IF(E162&gt;G162,"Exceedance","OK")))</f>
        <v/>
      </c>
    </row>
    <row r="163" customFormat="false" ht="15" hidden="false" customHeight="false" outlineLevel="0" collapsed="false">
      <c r="A163" s="32"/>
      <c r="B163" s="32"/>
      <c r="C163" s="32"/>
      <c r="D163" s="35"/>
      <c r="E163" s="43"/>
      <c r="F163" s="32"/>
      <c r="G163" s="43"/>
      <c r="H163" s="32"/>
      <c r="I163" s="33"/>
      <c r="J163" s="33"/>
      <c r="K163" s="37" t="str">
        <f aca="false">IF(OR(B163="",G163=""),"",IF(H163="Min",IF(E163&lt;G163,"Exceedance","OK"),IF(E163&gt;G163,"Exceedance","OK")))</f>
        <v/>
      </c>
    </row>
    <row r="164" customFormat="false" ht="15" hidden="false" customHeight="false" outlineLevel="0" collapsed="false">
      <c r="A164" s="32"/>
      <c r="B164" s="32"/>
      <c r="C164" s="32"/>
      <c r="D164" s="35"/>
      <c r="E164" s="43"/>
      <c r="F164" s="32"/>
      <c r="G164" s="43"/>
      <c r="H164" s="32"/>
      <c r="I164" s="33"/>
      <c r="J164" s="33"/>
      <c r="K164" s="37" t="str">
        <f aca="false">IF(OR(B164="",G164=""),"",IF(H164="Min",IF(E164&lt;G164,"Exceedance","OK"),IF(E164&gt;G164,"Exceedance","OK")))</f>
        <v/>
      </c>
    </row>
    <row r="165" customFormat="false" ht="15" hidden="false" customHeight="false" outlineLevel="0" collapsed="false">
      <c r="A165" s="32"/>
      <c r="B165" s="32"/>
      <c r="C165" s="32"/>
      <c r="D165" s="35"/>
      <c r="E165" s="43"/>
      <c r="F165" s="32"/>
      <c r="G165" s="43"/>
      <c r="H165" s="32"/>
      <c r="I165" s="33"/>
      <c r="J165" s="33"/>
      <c r="K165" s="37" t="str">
        <f aca="false">IF(OR(B165="",G165=""),"",IF(H165="Min",IF(E165&lt;G165,"Exceedance","OK"),IF(E165&gt;G165,"Exceedance","OK")))</f>
        <v/>
      </c>
    </row>
    <row r="166" customFormat="false" ht="15" hidden="false" customHeight="false" outlineLevel="0" collapsed="false">
      <c r="A166" s="32"/>
      <c r="B166" s="32"/>
      <c r="C166" s="32"/>
      <c r="D166" s="35"/>
      <c r="E166" s="43"/>
      <c r="F166" s="32"/>
      <c r="G166" s="43"/>
      <c r="H166" s="32"/>
      <c r="I166" s="33"/>
      <c r="J166" s="33"/>
      <c r="K166" s="37" t="str">
        <f aca="false">IF(OR(B166="",G166=""),"",IF(H166="Min",IF(E166&lt;G166,"Exceedance","OK"),IF(E166&gt;G166,"Exceedance","OK")))</f>
        <v/>
      </c>
    </row>
    <row r="167" customFormat="false" ht="15" hidden="false" customHeight="false" outlineLevel="0" collapsed="false">
      <c r="A167" s="32"/>
      <c r="B167" s="32"/>
      <c r="C167" s="32"/>
      <c r="D167" s="35"/>
      <c r="E167" s="43"/>
      <c r="F167" s="32"/>
      <c r="G167" s="43"/>
      <c r="H167" s="32"/>
      <c r="I167" s="33"/>
      <c r="J167" s="33"/>
      <c r="K167" s="37" t="str">
        <f aca="false">IF(OR(B167="",G167=""),"",IF(H167="Min",IF(E167&lt;G167,"Exceedance","OK"),IF(E167&gt;G167,"Exceedance","OK")))</f>
        <v/>
      </c>
    </row>
    <row r="168" customFormat="false" ht="15" hidden="false" customHeight="false" outlineLevel="0" collapsed="false">
      <c r="A168" s="32"/>
      <c r="B168" s="32"/>
      <c r="C168" s="32"/>
      <c r="D168" s="35"/>
      <c r="E168" s="43"/>
      <c r="F168" s="32"/>
      <c r="G168" s="43"/>
      <c r="H168" s="32"/>
      <c r="I168" s="33"/>
      <c r="J168" s="33"/>
      <c r="K168" s="37" t="str">
        <f aca="false">IF(OR(B168="",G168=""),"",IF(H168="Min",IF(E168&lt;G168,"Exceedance","OK"),IF(E168&gt;G168,"Exceedance","OK")))</f>
        <v/>
      </c>
    </row>
    <row r="169" customFormat="false" ht="15" hidden="false" customHeight="false" outlineLevel="0" collapsed="false">
      <c r="A169" s="32"/>
      <c r="B169" s="32"/>
      <c r="C169" s="32"/>
      <c r="D169" s="35"/>
      <c r="E169" s="43"/>
      <c r="F169" s="32"/>
      <c r="G169" s="43"/>
      <c r="H169" s="32"/>
      <c r="I169" s="33"/>
      <c r="J169" s="33"/>
      <c r="K169" s="37" t="str">
        <f aca="false">IF(OR(B169="",G169=""),"",IF(H169="Min",IF(E169&lt;G169,"Exceedance","OK"),IF(E169&gt;G169,"Exceedance","OK")))</f>
        <v/>
      </c>
    </row>
    <row r="170" customFormat="false" ht="15" hidden="false" customHeight="false" outlineLevel="0" collapsed="false">
      <c r="A170" s="32"/>
      <c r="B170" s="32"/>
      <c r="C170" s="32"/>
      <c r="D170" s="35"/>
      <c r="E170" s="43"/>
      <c r="F170" s="32"/>
      <c r="G170" s="43"/>
      <c r="H170" s="32"/>
      <c r="I170" s="33"/>
      <c r="J170" s="33"/>
      <c r="K170" s="37" t="str">
        <f aca="false">IF(OR(B170="",G170=""),"",IF(H170="Min",IF(E170&lt;G170,"Exceedance","OK"),IF(E170&gt;G170,"Exceedance","OK")))</f>
        <v/>
      </c>
    </row>
    <row r="171" customFormat="false" ht="15" hidden="false" customHeight="false" outlineLevel="0" collapsed="false">
      <c r="A171" s="32"/>
      <c r="B171" s="32"/>
      <c r="C171" s="32"/>
      <c r="D171" s="35"/>
      <c r="E171" s="43"/>
      <c r="F171" s="32"/>
      <c r="G171" s="43"/>
      <c r="H171" s="32"/>
      <c r="I171" s="33"/>
      <c r="J171" s="33"/>
      <c r="K171" s="37" t="str">
        <f aca="false">IF(OR(B171="",G171=""),"",IF(H171="Min",IF(E171&lt;G171,"Exceedance","OK"),IF(E171&gt;G171,"Exceedance","OK")))</f>
        <v/>
      </c>
    </row>
    <row r="172" customFormat="false" ht="15" hidden="false" customHeight="false" outlineLevel="0" collapsed="false">
      <c r="A172" s="32"/>
      <c r="B172" s="32"/>
      <c r="C172" s="32"/>
      <c r="D172" s="35"/>
      <c r="E172" s="43"/>
      <c r="F172" s="32"/>
      <c r="G172" s="43"/>
      <c r="H172" s="32"/>
      <c r="I172" s="33"/>
      <c r="J172" s="33"/>
      <c r="K172" s="37" t="str">
        <f aca="false">IF(OR(B172="",G172=""),"",IF(H172="Min",IF(E172&lt;G172,"Exceedance","OK"),IF(E172&gt;G172,"Exceedance","OK")))</f>
        <v/>
      </c>
    </row>
    <row r="173" customFormat="false" ht="15" hidden="false" customHeight="false" outlineLevel="0" collapsed="false">
      <c r="A173" s="32"/>
      <c r="B173" s="32"/>
      <c r="C173" s="32"/>
      <c r="D173" s="35"/>
      <c r="E173" s="43"/>
      <c r="F173" s="32"/>
      <c r="G173" s="43"/>
      <c r="H173" s="32"/>
      <c r="I173" s="33"/>
      <c r="J173" s="33"/>
      <c r="K173" s="37" t="str">
        <f aca="false">IF(OR(B173="",G173=""),"",IF(H173="Min",IF(E173&lt;G173,"Exceedance","OK"),IF(E173&gt;G173,"Exceedance","OK")))</f>
        <v/>
      </c>
    </row>
    <row r="174" customFormat="false" ht="15" hidden="false" customHeight="false" outlineLevel="0" collapsed="false">
      <c r="A174" s="32"/>
      <c r="B174" s="32"/>
      <c r="C174" s="32"/>
      <c r="D174" s="35"/>
      <c r="E174" s="43"/>
      <c r="F174" s="32"/>
      <c r="G174" s="43"/>
      <c r="H174" s="32"/>
      <c r="I174" s="33"/>
      <c r="J174" s="33"/>
      <c r="K174" s="37" t="str">
        <f aca="false">IF(OR(B174="",G174=""),"",IF(H174="Min",IF(E174&lt;G174,"Exceedance","OK"),IF(E174&gt;G174,"Exceedance","OK")))</f>
        <v/>
      </c>
    </row>
    <row r="175" customFormat="false" ht="15" hidden="false" customHeight="false" outlineLevel="0" collapsed="false">
      <c r="A175" s="32"/>
      <c r="B175" s="32"/>
      <c r="C175" s="32"/>
      <c r="D175" s="35"/>
      <c r="E175" s="43"/>
      <c r="F175" s="32"/>
      <c r="G175" s="43"/>
      <c r="H175" s="32"/>
      <c r="I175" s="33"/>
      <c r="J175" s="33"/>
      <c r="K175" s="37" t="str">
        <f aca="false">IF(OR(B175="",G175=""),"",IF(H175="Min",IF(E175&lt;G175,"Exceedance","OK"),IF(E175&gt;G175,"Exceedance","OK")))</f>
        <v/>
      </c>
    </row>
    <row r="176" customFormat="false" ht="15" hidden="false" customHeight="false" outlineLevel="0" collapsed="false">
      <c r="A176" s="32"/>
      <c r="B176" s="32"/>
      <c r="C176" s="32"/>
      <c r="D176" s="35"/>
      <c r="E176" s="43"/>
      <c r="F176" s="32"/>
      <c r="G176" s="43"/>
      <c r="H176" s="32"/>
      <c r="I176" s="33"/>
      <c r="J176" s="33"/>
      <c r="K176" s="37" t="str">
        <f aca="false">IF(OR(B176="",G176=""),"",IF(H176="Min",IF(E176&lt;G176,"Exceedance","OK"),IF(E176&gt;G176,"Exceedance","OK")))</f>
        <v/>
      </c>
    </row>
    <row r="177" customFormat="false" ht="15" hidden="false" customHeight="false" outlineLevel="0" collapsed="false">
      <c r="A177" s="32"/>
      <c r="B177" s="32"/>
      <c r="C177" s="32"/>
      <c r="D177" s="35"/>
      <c r="E177" s="43"/>
      <c r="F177" s="32"/>
      <c r="G177" s="43"/>
      <c r="H177" s="32"/>
      <c r="I177" s="33"/>
      <c r="J177" s="33"/>
      <c r="K177" s="37" t="str">
        <f aca="false">IF(OR(B177="",G177=""),"",IF(H177="Min",IF(E177&lt;G177,"Exceedance","OK"),IF(E177&gt;G177,"Exceedance","OK")))</f>
        <v/>
      </c>
    </row>
    <row r="178" customFormat="false" ht="15" hidden="false" customHeight="false" outlineLevel="0" collapsed="false">
      <c r="A178" s="32"/>
      <c r="B178" s="32"/>
      <c r="C178" s="32"/>
      <c r="D178" s="35"/>
      <c r="E178" s="43"/>
      <c r="F178" s="32"/>
      <c r="G178" s="43"/>
      <c r="H178" s="32"/>
      <c r="I178" s="33"/>
      <c r="J178" s="33"/>
      <c r="K178" s="37" t="str">
        <f aca="false">IF(OR(B178="",G178=""),"",IF(H178="Min",IF(E178&lt;G178,"Exceedance","OK"),IF(E178&gt;G178,"Exceedance","OK")))</f>
        <v/>
      </c>
    </row>
    <row r="179" customFormat="false" ht="15" hidden="false" customHeight="false" outlineLevel="0" collapsed="false">
      <c r="A179" s="32"/>
      <c r="B179" s="32"/>
      <c r="C179" s="32"/>
      <c r="D179" s="35"/>
      <c r="E179" s="43"/>
      <c r="F179" s="32"/>
      <c r="G179" s="43"/>
      <c r="H179" s="32"/>
      <c r="I179" s="33"/>
      <c r="J179" s="33"/>
      <c r="K179" s="37" t="str">
        <f aca="false">IF(OR(B179="",G179=""),"",IF(H179="Min",IF(E179&lt;G179,"Exceedance","OK"),IF(E179&gt;G179,"Exceedance","OK")))</f>
        <v/>
      </c>
    </row>
    <row r="180" customFormat="false" ht="15" hidden="false" customHeight="false" outlineLevel="0" collapsed="false">
      <c r="A180" s="32"/>
      <c r="B180" s="32"/>
      <c r="C180" s="32"/>
      <c r="D180" s="35"/>
      <c r="E180" s="43"/>
      <c r="F180" s="32"/>
      <c r="G180" s="43"/>
      <c r="H180" s="32"/>
      <c r="I180" s="33"/>
      <c r="J180" s="33"/>
      <c r="K180" s="37" t="str">
        <f aca="false">IF(OR(B180="",G180=""),"",IF(H180="Min",IF(E180&lt;G180,"Exceedance","OK"),IF(E180&gt;G180,"Exceedance","OK")))</f>
        <v/>
      </c>
    </row>
    <row r="181" customFormat="false" ht="15" hidden="false" customHeight="false" outlineLevel="0" collapsed="false">
      <c r="A181" s="32"/>
      <c r="B181" s="32"/>
      <c r="C181" s="32"/>
      <c r="D181" s="35"/>
      <c r="E181" s="43"/>
      <c r="F181" s="32"/>
      <c r="G181" s="43"/>
      <c r="H181" s="32"/>
      <c r="I181" s="33"/>
      <c r="J181" s="33"/>
      <c r="K181" s="37" t="str">
        <f aca="false">IF(OR(B181="",G181=""),"",IF(H181="Min",IF(E181&lt;G181,"Exceedance","OK"),IF(E181&gt;G181,"Exceedance","OK")))</f>
        <v/>
      </c>
    </row>
    <row r="182" customFormat="false" ht="15" hidden="false" customHeight="false" outlineLevel="0" collapsed="false">
      <c r="A182" s="32"/>
      <c r="B182" s="32"/>
      <c r="C182" s="32"/>
      <c r="D182" s="35"/>
      <c r="E182" s="43"/>
      <c r="F182" s="32"/>
      <c r="G182" s="43"/>
      <c r="H182" s="32"/>
      <c r="I182" s="33"/>
      <c r="J182" s="33"/>
      <c r="K182" s="37" t="str">
        <f aca="false">IF(OR(B182="",G182=""),"",IF(H182="Min",IF(E182&lt;G182,"Exceedance","OK"),IF(E182&gt;G182,"Exceedance","OK")))</f>
        <v/>
      </c>
    </row>
    <row r="183" customFormat="false" ht="15" hidden="false" customHeight="false" outlineLevel="0" collapsed="false">
      <c r="A183" s="32"/>
      <c r="B183" s="32"/>
      <c r="C183" s="32"/>
      <c r="D183" s="35"/>
      <c r="E183" s="43"/>
      <c r="F183" s="32"/>
      <c r="G183" s="43"/>
      <c r="H183" s="32"/>
      <c r="I183" s="33"/>
      <c r="J183" s="33"/>
      <c r="K183" s="37" t="str">
        <f aca="false">IF(OR(B183="",G183=""),"",IF(H183="Min",IF(E183&lt;G183,"Exceedance","OK"),IF(E183&gt;G183,"Exceedance","OK")))</f>
        <v/>
      </c>
    </row>
    <row r="184" customFormat="false" ht="15" hidden="false" customHeight="false" outlineLevel="0" collapsed="false">
      <c r="A184" s="32"/>
      <c r="B184" s="32"/>
      <c r="C184" s="32"/>
      <c r="D184" s="35"/>
      <c r="E184" s="43"/>
      <c r="F184" s="32"/>
      <c r="G184" s="43"/>
      <c r="H184" s="32"/>
      <c r="I184" s="33"/>
      <c r="J184" s="33"/>
      <c r="K184" s="37" t="str">
        <f aca="false">IF(OR(B184="",G184=""),"",IF(H184="Min",IF(E184&lt;G184,"Exceedance","OK"),IF(E184&gt;G184,"Exceedance","OK")))</f>
        <v/>
      </c>
    </row>
    <row r="185" customFormat="false" ht="15" hidden="false" customHeight="false" outlineLevel="0" collapsed="false">
      <c r="A185" s="32"/>
      <c r="B185" s="32"/>
      <c r="C185" s="32"/>
      <c r="D185" s="35"/>
      <c r="E185" s="43"/>
      <c r="F185" s="32"/>
      <c r="G185" s="43"/>
      <c r="H185" s="32"/>
      <c r="I185" s="33"/>
      <c r="J185" s="33"/>
      <c r="K185" s="37" t="str">
        <f aca="false">IF(OR(B185="",G185=""),"",IF(H185="Min",IF(E185&lt;G185,"Exceedance","OK"),IF(E185&gt;G185,"Exceedance","OK")))</f>
        <v/>
      </c>
    </row>
    <row r="186" customFormat="false" ht="15" hidden="false" customHeight="false" outlineLevel="0" collapsed="false">
      <c r="A186" s="32"/>
      <c r="B186" s="32"/>
      <c r="C186" s="32"/>
      <c r="D186" s="35"/>
      <c r="E186" s="43"/>
      <c r="F186" s="32"/>
      <c r="G186" s="43"/>
      <c r="H186" s="32"/>
      <c r="I186" s="33"/>
      <c r="J186" s="33"/>
      <c r="K186" s="37" t="str">
        <f aca="false">IF(OR(B186="",G186=""),"",IF(H186="Min",IF(E186&lt;G186,"Exceedance","OK"),IF(E186&gt;G186,"Exceedance","OK")))</f>
        <v/>
      </c>
    </row>
    <row r="187" customFormat="false" ht="15" hidden="false" customHeight="false" outlineLevel="0" collapsed="false">
      <c r="A187" s="32"/>
      <c r="B187" s="32"/>
      <c r="C187" s="32"/>
      <c r="D187" s="35"/>
      <c r="E187" s="43"/>
      <c r="F187" s="32"/>
      <c r="G187" s="43"/>
      <c r="H187" s="32"/>
      <c r="I187" s="33"/>
      <c r="J187" s="33"/>
      <c r="K187" s="37" t="str">
        <f aca="false">IF(OR(B187="",G187=""),"",IF(H187="Min",IF(E187&lt;G187,"Exceedance","OK"),IF(E187&gt;G187,"Exceedance","OK")))</f>
        <v/>
      </c>
    </row>
    <row r="188" customFormat="false" ht="15" hidden="false" customHeight="false" outlineLevel="0" collapsed="false">
      <c r="A188" s="32"/>
      <c r="B188" s="32"/>
      <c r="C188" s="32"/>
      <c r="D188" s="35"/>
      <c r="E188" s="43"/>
      <c r="F188" s="32"/>
      <c r="G188" s="43"/>
      <c r="H188" s="32"/>
      <c r="I188" s="33"/>
      <c r="J188" s="33"/>
      <c r="K188" s="37" t="str">
        <f aca="false">IF(OR(B188="",G188=""),"",IF(H188="Min",IF(E188&lt;G188,"Exceedance","OK"),IF(E188&gt;G188,"Exceedance","OK")))</f>
        <v/>
      </c>
    </row>
    <row r="189" customFormat="false" ht="15" hidden="false" customHeight="false" outlineLevel="0" collapsed="false">
      <c r="A189" s="32"/>
      <c r="B189" s="32"/>
      <c r="C189" s="32"/>
      <c r="D189" s="35"/>
      <c r="E189" s="43"/>
      <c r="F189" s="32"/>
      <c r="G189" s="43"/>
      <c r="H189" s="32"/>
      <c r="I189" s="33"/>
      <c r="J189" s="33"/>
      <c r="K189" s="37" t="str">
        <f aca="false">IF(OR(B189="",G189=""),"",IF(H189="Min",IF(E189&lt;G189,"Exceedance","OK"),IF(E189&gt;G189,"Exceedance","OK")))</f>
        <v/>
      </c>
    </row>
    <row r="190" customFormat="false" ht="15" hidden="false" customHeight="false" outlineLevel="0" collapsed="false">
      <c r="A190" s="32"/>
      <c r="B190" s="32"/>
      <c r="C190" s="32"/>
      <c r="D190" s="35"/>
      <c r="E190" s="43"/>
      <c r="F190" s="32"/>
      <c r="G190" s="43"/>
      <c r="H190" s="32"/>
      <c r="I190" s="33"/>
      <c r="J190" s="33"/>
      <c r="K190" s="37" t="str">
        <f aca="false">IF(OR(B190="",G190=""),"",IF(H190="Min",IF(E190&lt;G190,"Exceedance","OK"),IF(E190&gt;G190,"Exceedance","OK")))</f>
        <v/>
      </c>
    </row>
    <row r="191" customFormat="false" ht="15" hidden="false" customHeight="false" outlineLevel="0" collapsed="false">
      <c r="A191" s="32"/>
      <c r="B191" s="32"/>
      <c r="C191" s="32"/>
      <c r="D191" s="35"/>
      <c r="E191" s="43"/>
      <c r="F191" s="32"/>
      <c r="G191" s="43"/>
      <c r="H191" s="32"/>
      <c r="I191" s="33"/>
      <c r="J191" s="33"/>
      <c r="K191" s="37" t="str">
        <f aca="false">IF(OR(B191="",G191=""),"",IF(H191="Min",IF(E191&lt;G191,"Exceedance","OK"),IF(E191&gt;G191,"Exceedance","OK")))</f>
        <v/>
      </c>
    </row>
    <row r="192" customFormat="false" ht="15" hidden="false" customHeight="false" outlineLevel="0" collapsed="false">
      <c r="A192" s="32"/>
      <c r="B192" s="32"/>
      <c r="C192" s="32"/>
      <c r="D192" s="35"/>
      <c r="E192" s="43"/>
      <c r="F192" s="32"/>
      <c r="G192" s="43"/>
      <c r="H192" s="32"/>
      <c r="I192" s="33"/>
      <c r="J192" s="33"/>
      <c r="K192" s="37" t="str">
        <f aca="false">IF(OR(B192="",G192=""),"",IF(H192="Min",IF(E192&lt;G192,"Exceedance","OK"),IF(E192&gt;G192,"Exceedance","OK")))</f>
        <v/>
      </c>
    </row>
    <row r="193" customFormat="false" ht="15" hidden="false" customHeight="false" outlineLevel="0" collapsed="false">
      <c r="A193" s="32"/>
      <c r="B193" s="32"/>
      <c r="C193" s="32"/>
      <c r="D193" s="35"/>
      <c r="E193" s="43"/>
      <c r="F193" s="32"/>
      <c r="G193" s="43"/>
      <c r="H193" s="32"/>
      <c r="I193" s="33"/>
      <c r="J193" s="33"/>
      <c r="K193" s="37" t="str">
        <f aca="false">IF(OR(B193="",G193=""),"",IF(H193="Min",IF(E193&lt;G193,"Exceedance","OK"),IF(E193&gt;G193,"Exceedance","OK")))</f>
        <v/>
      </c>
    </row>
    <row r="194" customFormat="false" ht="15" hidden="false" customHeight="false" outlineLevel="0" collapsed="false">
      <c r="A194" s="32"/>
      <c r="B194" s="32"/>
      <c r="C194" s="32"/>
      <c r="D194" s="35"/>
      <c r="E194" s="43"/>
      <c r="F194" s="32"/>
      <c r="G194" s="43"/>
      <c r="H194" s="32"/>
      <c r="I194" s="33"/>
      <c r="J194" s="33"/>
      <c r="K194" s="37" t="str">
        <f aca="false">IF(OR(B194="",G194=""),"",IF(H194="Min",IF(E194&lt;G194,"Exceedance","OK"),IF(E194&gt;G194,"Exceedance","OK")))</f>
        <v/>
      </c>
    </row>
    <row r="195" customFormat="false" ht="15" hidden="false" customHeight="false" outlineLevel="0" collapsed="false">
      <c r="A195" s="32"/>
      <c r="B195" s="32"/>
      <c r="C195" s="32"/>
      <c r="D195" s="35"/>
      <c r="E195" s="43"/>
      <c r="F195" s="32"/>
      <c r="G195" s="43"/>
      <c r="H195" s="32"/>
      <c r="I195" s="33"/>
      <c r="J195" s="33"/>
      <c r="K195" s="37" t="str">
        <f aca="false">IF(OR(B195="",G195=""),"",IF(H195="Min",IF(E195&lt;G195,"Exceedance","OK"),IF(E195&gt;G195,"Exceedance","OK")))</f>
        <v/>
      </c>
    </row>
    <row r="196" customFormat="false" ht="15" hidden="false" customHeight="false" outlineLevel="0" collapsed="false">
      <c r="A196" s="32"/>
      <c r="B196" s="32"/>
      <c r="C196" s="32"/>
      <c r="D196" s="35"/>
      <c r="E196" s="43"/>
      <c r="F196" s="32"/>
      <c r="G196" s="43"/>
      <c r="H196" s="32"/>
      <c r="I196" s="33"/>
      <c r="J196" s="33"/>
      <c r="K196" s="37" t="str">
        <f aca="false">IF(OR(B196="",G196=""),"",IF(H196="Min",IF(E196&lt;G196,"Exceedance","OK"),IF(E196&gt;G196,"Exceedance","OK")))</f>
        <v/>
      </c>
    </row>
    <row r="197" customFormat="false" ht="15" hidden="false" customHeight="false" outlineLevel="0" collapsed="false">
      <c r="A197" s="32"/>
      <c r="B197" s="32"/>
      <c r="C197" s="32"/>
      <c r="D197" s="35"/>
      <c r="E197" s="43"/>
      <c r="F197" s="32"/>
      <c r="G197" s="43"/>
      <c r="H197" s="32"/>
      <c r="I197" s="33"/>
      <c r="J197" s="33"/>
      <c r="K197" s="37" t="str">
        <f aca="false">IF(OR(B197="",G197=""),"",IF(H197="Min",IF(E197&lt;G197,"Exceedance","OK"),IF(E197&gt;G197,"Exceedance","OK")))</f>
        <v/>
      </c>
    </row>
    <row r="198" customFormat="false" ht="15" hidden="false" customHeight="false" outlineLevel="0" collapsed="false">
      <c r="A198" s="32"/>
      <c r="B198" s="32"/>
      <c r="C198" s="32"/>
      <c r="D198" s="35"/>
      <c r="E198" s="43"/>
      <c r="F198" s="32"/>
      <c r="G198" s="43"/>
      <c r="H198" s="32"/>
      <c r="I198" s="33"/>
      <c r="J198" s="33"/>
      <c r="K198" s="37" t="str">
        <f aca="false">IF(OR(B198="",G198=""),"",IF(H198="Min",IF(E198&lt;G198,"Exceedance","OK"),IF(E198&gt;G198,"Exceedance","OK")))</f>
        <v/>
      </c>
    </row>
    <row r="199" customFormat="false" ht="15" hidden="false" customHeight="false" outlineLevel="0" collapsed="false">
      <c r="A199" s="32"/>
      <c r="B199" s="32"/>
      <c r="C199" s="32"/>
      <c r="D199" s="35"/>
      <c r="E199" s="43"/>
      <c r="F199" s="32"/>
      <c r="G199" s="43"/>
      <c r="H199" s="32"/>
      <c r="I199" s="33"/>
      <c r="J199" s="33"/>
      <c r="K199" s="37" t="str">
        <f aca="false">IF(OR(B199="",G199=""),"",IF(H199="Min",IF(E199&lt;G199,"Exceedance","OK"),IF(E199&gt;G199,"Exceedance","OK")))</f>
        <v/>
      </c>
    </row>
    <row r="200" customFormat="false" ht="15" hidden="false" customHeight="false" outlineLevel="0" collapsed="false">
      <c r="A200" s="32"/>
      <c r="B200" s="32"/>
      <c r="C200" s="32"/>
      <c r="D200" s="35"/>
      <c r="E200" s="43"/>
      <c r="F200" s="32"/>
      <c r="G200" s="43"/>
      <c r="H200" s="32"/>
      <c r="I200" s="33"/>
      <c r="J200" s="33"/>
      <c r="K200" s="37" t="str">
        <f aca="false">IF(OR(B200="",G200=""),"",IF(H200="Min",IF(E200&lt;G200,"Exceedance","OK"),IF(E200&gt;G200,"Exceedance","OK")))</f>
        <v/>
      </c>
    </row>
    <row r="201" customFormat="false" ht="15" hidden="false" customHeight="false" outlineLevel="0" collapsed="false">
      <c r="A201" s="32"/>
      <c r="B201" s="32"/>
      <c r="C201" s="32"/>
      <c r="D201" s="35"/>
      <c r="E201" s="43"/>
      <c r="F201" s="32"/>
      <c r="G201" s="43"/>
      <c r="H201" s="32"/>
      <c r="I201" s="33"/>
      <c r="J201" s="33"/>
      <c r="K201" s="37" t="str">
        <f aca="false">IF(OR(B201="",G201=""),"",IF(H201="Min",IF(E201&lt;G201,"Exceedance","OK"),IF(E201&gt;G201,"Exceedance","OK")))</f>
        <v/>
      </c>
    </row>
    <row r="202" customFormat="false" ht="15" hidden="false" customHeight="false" outlineLevel="0" collapsed="false">
      <c r="A202" s="32"/>
      <c r="B202" s="32"/>
      <c r="C202" s="32"/>
      <c r="D202" s="35"/>
      <c r="E202" s="43"/>
      <c r="F202" s="32"/>
      <c r="G202" s="43"/>
      <c r="H202" s="32"/>
      <c r="I202" s="33"/>
      <c r="J202" s="33"/>
      <c r="K202" s="37" t="str">
        <f aca="false">IF(OR(B202="",G202=""),"",IF(H202="Min",IF(E202&lt;G202,"Exceedance","OK"),IF(E202&gt;G202,"Exceedance","OK")))</f>
        <v/>
      </c>
    </row>
    <row r="203" customFormat="false" ht="15" hidden="false" customHeight="false" outlineLevel="0" collapsed="false">
      <c r="A203" s="32"/>
      <c r="B203" s="32"/>
      <c r="C203" s="32"/>
      <c r="D203" s="35"/>
      <c r="E203" s="43"/>
      <c r="F203" s="32"/>
      <c r="G203" s="43"/>
      <c r="H203" s="32"/>
      <c r="I203" s="33"/>
      <c r="J203" s="33"/>
      <c r="K203" s="37" t="str">
        <f aca="false">IF(OR(B203="",G203=""),"",IF(H203="Min",IF(E203&lt;G203,"Exceedance","OK"),IF(E203&gt;G203,"Exceedance","OK")))</f>
        <v/>
      </c>
    </row>
    <row r="204" customFormat="false" ht="15" hidden="false" customHeight="false" outlineLevel="0" collapsed="false">
      <c r="A204" s="32"/>
      <c r="B204" s="32"/>
      <c r="C204" s="32"/>
      <c r="D204" s="35"/>
      <c r="E204" s="43"/>
      <c r="F204" s="32"/>
      <c r="G204" s="43"/>
      <c r="H204" s="32"/>
      <c r="I204" s="33"/>
      <c r="J204" s="33"/>
      <c r="K204" s="37" t="str">
        <f aca="false">IF(OR(B204="",G204=""),"",IF(H204="Min",IF(E204&lt;G204,"Exceedance","OK"),IF(E204&gt;G204,"Exceedance","OK")))</f>
        <v/>
      </c>
    </row>
    <row r="205" customFormat="false" ht="15" hidden="false" customHeight="false" outlineLevel="0" collapsed="false">
      <c r="A205" s="32"/>
      <c r="B205" s="32"/>
      <c r="C205" s="32"/>
      <c r="D205" s="35"/>
      <c r="E205" s="43"/>
      <c r="F205" s="32"/>
      <c r="G205" s="43"/>
      <c r="H205" s="32"/>
      <c r="I205" s="33"/>
      <c r="J205" s="33"/>
      <c r="K205" s="37" t="str">
        <f aca="false">IF(OR(B205="",G205=""),"",IF(H205="Min",IF(E205&lt;G205,"Exceedance","OK"),IF(E205&gt;G205,"Exceedance","OK")))</f>
        <v/>
      </c>
    </row>
    <row r="206" customFormat="false" ht="15" hidden="false" customHeight="false" outlineLevel="0" collapsed="false">
      <c r="A206" s="32"/>
      <c r="B206" s="32"/>
      <c r="C206" s="32"/>
      <c r="D206" s="35"/>
      <c r="E206" s="43"/>
      <c r="F206" s="32"/>
      <c r="G206" s="43"/>
      <c r="H206" s="32"/>
      <c r="I206" s="33"/>
      <c r="J206" s="33"/>
      <c r="K206" s="37" t="str">
        <f aca="false">IF(OR(B206="",G206=""),"",IF(H206="Min",IF(E206&lt;G206,"Exceedance","OK"),IF(E206&gt;G206,"Exceedance","OK")))</f>
        <v/>
      </c>
    </row>
    <row r="207" customFormat="false" ht="15" hidden="false" customHeight="false" outlineLevel="0" collapsed="false">
      <c r="A207" s="32"/>
      <c r="B207" s="32"/>
      <c r="C207" s="32"/>
      <c r="D207" s="35"/>
      <c r="E207" s="43"/>
      <c r="F207" s="32"/>
      <c r="G207" s="43"/>
      <c r="H207" s="32"/>
      <c r="I207" s="33"/>
      <c r="J207" s="33"/>
      <c r="K207" s="37" t="str">
        <f aca="false">IF(OR(B207="",G207=""),"",IF(H207="Min",IF(E207&lt;G207,"Exceedance","OK"),IF(E207&gt;G207,"Exceedance","OK")))</f>
        <v/>
      </c>
    </row>
    <row r="208" customFormat="false" ht="15" hidden="false" customHeight="false" outlineLevel="0" collapsed="false">
      <c r="A208" s="32"/>
      <c r="B208" s="32"/>
      <c r="C208" s="32"/>
      <c r="D208" s="35"/>
      <c r="E208" s="43"/>
      <c r="F208" s="32"/>
      <c r="G208" s="43"/>
      <c r="H208" s="32"/>
      <c r="I208" s="33"/>
      <c r="J208" s="33"/>
      <c r="K208" s="37" t="str">
        <f aca="false">IF(OR(B208="",G208=""),"",IF(H208="Min",IF(E208&lt;G208,"Exceedance","OK"),IF(E208&gt;G208,"Exceedance","OK")))</f>
        <v/>
      </c>
    </row>
    <row r="209" customFormat="false" ht="15" hidden="false" customHeight="false" outlineLevel="0" collapsed="false">
      <c r="A209" s="32"/>
      <c r="B209" s="32"/>
      <c r="C209" s="32"/>
      <c r="D209" s="35"/>
      <c r="E209" s="43"/>
      <c r="F209" s="32"/>
      <c r="G209" s="43"/>
      <c r="H209" s="32"/>
      <c r="I209" s="33"/>
      <c r="J209" s="33"/>
      <c r="K209" s="37" t="str">
        <f aca="false">IF(OR(B209="",G209=""),"",IF(H209="Min",IF(E209&lt;G209,"Exceedance","OK"),IF(E209&gt;G209,"Exceedance","OK")))</f>
        <v/>
      </c>
    </row>
    <row r="210" customFormat="false" ht="15" hidden="false" customHeight="false" outlineLevel="0" collapsed="false">
      <c r="A210" s="32"/>
      <c r="B210" s="32"/>
      <c r="C210" s="32"/>
      <c r="D210" s="35"/>
      <c r="E210" s="43"/>
      <c r="F210" s="32"/>
      <c r="G210" s="43"/>
      <c r="H210" s="32"/>
      <c r="I210" s="33"/>
      <c r="J210" s="33"/>
      <c r="K210" s="37" t="str">
        <f aca="false">IF(OR(B210="",G210=""),"",IF(H210="Min",IF(E210&lt;G210,"Exceedance","OK"),IF(E210&gt;G210,"Exceedance","OK")))</f>
        <v/>
      </c>
    </row>
    <row r="211" customFormat="false" ht="15" hidden="false" customHeight="false" outlineLevel="0" collapsed="false">
      <c r="A211" s="32"/>
      <c r="B211" s="32"/>
      <c r="C211" s="32"/>
      <c r="D211" s="35"/>
      <c r="E211" s="43"/>
      <c r="F211" s="32"/>
      <c r="G211" s="43"/>
      <c r="H211" s="32"/>
      <c r="I211" s="33"/>
      <c r="J211" s="33"/>
      <c r="K211" s="37" t="str">
        <f aca="false">IF(OR(B211="",G211=""),"",IF(H211="Min",IF(E211&lt;G211,"Exceedance","OK"),IF(E211&gt;G211,"Exceedance","OK")))</f>
        <v/>
      </c>
    </row>
    <row r="212" customFormat="false" ht="15" hidden="false" customHeight="false" outlineLevel="0" collapsed="false">
      <c r="A212" s="32"/>
      <c r="B212" s="32"/>
      <c r="C212" s="32"/>
      <c r="D212" s="35"/>
      <c r="E212" s="43"/>
      <c r="F212" s="32"/>
      <c r="G212" s="43"/>
      <c r="H212" s="32"/>
      <c r="I212" s="33"/>
      <c r="J212" s="33"/>
      <c r="K212" s="37" t="str">
        <f aca="false">IF(OR(B212="",G212=""),"",IF(H212="Min",IF(E212&lt;G212,"Exceedance","OK"),IF(E212&gt;G212,"Exceedance","OK")))</f>
        <v/>
      </c>
    </row>
    <row r="213" customFormat="false" ht="15" hidden="false" customHeight="false" outlineLevel="0" collapsed="false">
      <c r="A213" s="32"/>
      <c r="B213" s="32"/>
      <c r="C213" s="32"/>
      <c r="D213" s="35"/>
      <c r="E213" s="43"/>
      <c r="F213" s="32"/>
      <c r="G213" s="43"/>
      <c r="H213" s="32"/>
      <c r="I213" s="33"/>
      <c r="J213" s="33"/>
      <c r="K213" s="37" t="str">
        <f aca="false">IF(OR(B213="",G213=""),"",IF(H213="Min",IF(E213&lt;G213,"Exceedance","OK"),IF(E213&gt;G213,"Exceedance","OK")))</f>
        <v/>
      </c>
    </row>
    <row r="214" customFormat="false" ht="15" hidden="false" customHeight="false" outlineLevel="0" collapsed="false">
      <c r="A214" s="32"/>
      <c r="B214" s="32"/>
      <c r="C214" s="32"/>
      <c r="D214" s="35"/>
      <c r="E214" s="43"/>
      <c r="F214" s="32"/>
      <c r="G214" s="43"/>
      <c r="H214" s="32"/>
      <c r="I214" s="33"/>
      <c r="J214" s="33"/>
      <c r="K214" s="37" t="str">
        <f aca="false">IF(OR(B214="",G214=""),"",IF(H214="Min",IF(E214&lt;G214,"Exceedance","OK"),IF(E214&gt;G214,"Exceedance","OK")))</f>
        <v/>
      </c>
    </row>
    <row r="215" customFormat="false" ht="15" hidden="false" customHeight="false" outlineLevel="0" collapsed="false">
      <c r="A215" s="32"/>
      <c r="B215" s="32"/>
      <c r="C215" s="32"/>
      <c r="D215" s="35"/>
      <c r="E215" s="43"/>
      <c r="F215" s="32"/>
      <c r="G215" s="43"/>
      <c r="H215" s="32"/>
      <c r="I215" s="33"/>
      <c r="J215" s="33"/>
      <c r="K215" s="37" t="str">
        <f aca="false">IF(OR(B215="",G215=""),"",IF(H215="Min",IF(E215&lt;G215,"Exceedance","OK"),IF(E215&gt;G215,"Exceedance","OK")))</f>
        <v/>
      </c>
    </row>
    <row r="216" customFormat="false" ht="15" hidden="false" customHeight="false" outlineLevel="0" collapsed="false">
      <c r="A216" s="32"/>
      <c r="B216" s="32"/>
      <c r="C216" s="32"/>
      <c r="D216" s="35"/>
      <c r="E216" s="43"/>
      <c r="F216" s="32"/>
      <c r="G216" s="43"/>
      <c r="H216" s="32"/>
      <c r="I216" s="33"/>
      <c r="J216" s="33"/>
      <c r="K216" s="37" t="str">
        <f aca="false">IF(OR(B216="",G216=""),"",IF(H216="Min",IF(E216&lt;G216,"Exceedance","OK"),IF(E216&gt;G216,"Exceedance","OK")))</f>
        <v/>
      </c>
    </row>
    <row r="217" customFormat="false" ht="15" hidden="false" customHeight="false" outlineLevel="0" collapsed="false">
      <c r="A217" s="32"/>
      <c r="B217" s="32"/>
      <c r="C217" s="32"/>
      <c r="D217" s="35"/>
      <c r="E217" s="43"/>
      <c r="F217" s="32"/>
      <c r="G217" s="43"/>
      <c r="H217" s="32"/>
      <c r="I217" s="33"/>
      <c r="J217" s="33"/>
      <c r="K217" s="37" t="str">
        <f aca="false">IF(OR(B217="",G217=""),"",IF(H217="Min",IF(E217&lt;G217,"Exceedance","OK"),IF(E217&gt;G217,"Exceedance","OK")))</f>
        <v/>
      </c>
    </row>
    <row r="218" customFormat="false" ht="15" hidden="false" customHeight="false" outlineLevel="0" collapsed="false">
      <c r="A218" s="32"/>
      <c r="B218" s="32"/>
      <c r="C218" s="32"/>
      <c r="D218" s="35"/>
      <c r="E218" s="43"/>
      <c r="F218" s="32"/>
      <c r="G218" s="43"/>
      <c r="H218" s="32"/>
      <c r="I218" s="33"/>
      <c r="J218" s="33"/>
      <c r="K218" s="37" t="str">
        <f aca="false">IF(OR(B218="",G218=""),"",IF(H218="Min",IF(E218&lt;G218,"Exceedance","OK"),IF(E218&gt;G218,"Exceedance","OK")))</f>
        <v/>
      </c>
    </row>
    <row r="219" customFormat="false" ht="15" hidden="false" customHeight="false" outlineLevel="0" collapsed="false">
      <c r="A219" s="32"/>
      <c r="B219" s="32"/>
      <c r="C219" s="32"/>
      <c r="D219" s="35"/>
      <c r="E219" s="43"/>
      <c r="F219" s="32"/>
      <c r="G219" s="43"/>
      <c r="H219" s="32"/>
      <c r="I219" s="33"/>
      <c r="J219" s="33"/>
      <c r="K219" s="37" t="str">
        <f aca="false">IF(OR(B219="",G219=""),"",IF(H219="Min",IF(E219&lt;G219,"Exceedance","OK"),IF(E219&gt;G219,"Exceedance","OK")))</f>
        <v/>
      </c>
    </row>
    <row r="220" customFormat="false" ht="15" hidden="false" customHeight="false" outlineLevel="0" collapsed="false">
      <c r="A220" s="32"/>
      <c r="B220" s="32"/>
      <c r="C220" s="32"/>
      <c r="D220" s="35"/>
      <c r="E220" s="43"/>
      <c r="F220" s="32"/>
      <c r="G220" s="43"/>
      <c r="H220" s="32"/>
      <c r="I220" s="33"/>
      <c r="J220" s="33"/>
      <c r="K220" s="37" t="str">
        <f aca="false">IF(OR(B220="",G220=""),"",IF(H220="Min",IF(E220&lt;G220,"Exceedance","OK"),IF(E220&gt;G220,"Exceedance","OK")))</f>
        <v/>
      </c>
    </row>
    <row r="221" customFormat="false" ht="15" hidden="false" customHeight="false" outlineLevel="0" collapsed="false">
      <c r="A221" s="32"/>
      <c r="B221" s="32"/>
      <c r="C221" s="32"/>
      <c r="D221" s="35"/>
      <c r="E221" s="43"/>
      <c r="F221" s="32"/>
      <c r="G221" s="43"/>
      <c r="H221" s="32"/>
      <c r="I221" s="33"/>
      <c r="J221" s="33"/>
      <c r="K221" s="37" t="str">
        <f aca="false">IF(OR(B221="",G221=""),"",IF(H221="Min",IF(E221&lt;G221,"Exceedance","OK"),IF(E221&gt;G221,"Exceedance","OK")))</f>
        <v/>
      </c>
    </row>
    <row r="222" customFormat="false" ht="15" hidden="false" customHeight="false" outlineLevel="0" collapsed="false">
      <c r="A222" s="32"/>
      <c r="B222" s="32"/>
      <c r="C222" s="32"/>
      <c r="D222" s="35"/>
      <c r="E222" s="43"/>
      <c r="F222" s="32"/>
      <c r="G222" s="43"/>
      <c r="H222" s="32"/>
      <c r="I222" s="33"/>
      <c r="J222" s="33"/>
      <c r="K222" s="37" t="str">
        <f aca="false">IF(OR(B222="",G222=""),"",IF(H222="Min",IF(E222&lt;G222,"Exceedance","OK"),IF(E222&gt;G222,"Exceedance","OK")))</f>
        <v/>
      </c>
    </row>
    <row r="223" customFormat="false" ht="15" hidden="false" customHeight="false" outlineLevel="0" collapsed="false">
      <c r="A223" s="32"/>
      <c r="B223" s="32"/>
      <c r="C223" s="32"/>
      <c r="D223" s="35"/>
      <c r="E223" s="43"/>
      <c r="F223" s="32"/>
      <c r="G223" s="43"/>
      <c r="H223" s="32"/>
      <c r="I223" s="33"/>
      <c r="J223" s="33"/>
      <c r="K223" s="37" t="str">
        <f aca="false">IF(OR(B223="",G223=""),"",IF(H223="Min",IF(E223&lt;G223,"Exceedance","OK"),IF(E223&gt;G223,"Exceedance","OK")))</f>
        <v/>
      </c>
    </row>
    <row r="224" customFormat="false" ht="15" hidden="false" customHeight="false" outlineLevel="0" collapsed="false">
      <c r="A224" s="32"/>
      <c r="B224" s="32"/>
      <c r="C224" s="32"/>
      <c r="D224" s="35"/>
      <c r="E224" s="43"/>
      <c r="F224" s="32"/>
      <c r="G224" s="43"/>
      <c r="H224" s="32"/>
      <c r="I224" s="33"/>
      <c r="J224" s="33"/>
      <c r="K224" s="37" t="str">
        <f aca="false">IF(OR(B224="",G224=""),"",IF(H224="Min",IF(E224&lt;G224,"Exceedance","OK"),IF(E224&gt;G224,"Exceedance","OK")))</f>
        <v/>
      </c>
    </row>
    <row r="225" customFormat="false" ht="15" hidden="false" customHeight="false" outlineLevel="0" collapsed="false">
      <c r="A225" s="32"/>
      <c r="B225" s="32"/>
      <c r="C225" s="32"/>
      <c r="D225" s="35"/>
      <c r="E225" s="43"/>
      <c r="F225" s="32"/>
      <c r="G225" s="43"/>
      <c r="H225" s="32"/>
      <c r="I225" s="33"/>
      <c r="J225" s="33"/>
      <c r="K225" s="37" t="str">
        <f aca="false">IF(OR(B225="",G225=""),"",IF(H225="Min",IF(E225&lt;G225,"Exceedance","OK"),IF(E225&gt;G225,"Exceedance","OK")))</f>
        <v/>
      </c>
    </row>
    <row r="226" customFormat="false" ht="15" hidden="false" customHeight="false" outlineLevel="0" collapsed="false">
      <c r="A226" s="32"/>
      <c r="B226" s="32"/>
      <c r="C226" s="32"/>
      <c r="D226" s="35"/>
      <c r="E226" s="43"/>
      <c r="F226" s="32"/>
      <c r="G226" s="43"/>
      <c r="H226" s="32"/>
      <c r="I226" s="33"/>
      <c r="J226" s="33"/>
      <c r="K226" s="37" t="str">
        <f aca="false">IF(OR(B226="",G226=""),"",IF(H226="Min",IF(E226&lt;G226,"Exceedance","OK"),IF(E226&gt;G226,"Exceedance","OK")))</f>
        <v/>
      </c>
    </row>
    <row r="227" customFormat="false" ht="15" hidden="false" customHeight="false" outlineLevel="0" collapsed="false">
      <c r="A227" s="32"/>
      <c r="B227" s="32"/>
      <c r="C227" s="32"/>
      <c r="D227" s="35"/>
      <c r="E227" s="43"/>
      <c r="F227" s="32"/>
      <c r="G227" s="43"/>
      <c r="H227" s="32"/>
      <c r="I227" s="33"/>
      <c r="J227" s="33"/>
      <c r="K227" s="37" t="str">
        <f aca="false">IF(OR(B227="",G227=""),"",IF(H227="Min",IF(E227&lt;G227,"Exceedance","OK"),IF(E227&gt;G227,"Exceedance","OK")))</f>
        <v/>
      </c>
    </row>
    <row r="228" customFormat="false" ht="15" hidden="false" customHeight="false" outlineLevel="0" collapsed="false">
      <c r="A228" s="32"/>
      <c r="B228" s="32"/>
      <c r="C228" s="32"/>
      <c r="D228" s="35"/>
      <c r="E228" s="43"/>
      <c r="F228" s="32"/>
      <c r="G228" s="43"/>
      <c r="H228" s="32"/>
      <c r="I228" s="33"/>
      <c r="J228" s="33"/>
      <c r="K228" s="37" t="str">
        <f aca="false">IF(OR(B228="",G228=""),"",IF(H228="Min",IF(E228&lt;G228,"Exceedance","OK"),IF(E228&gt;G228,"Exceedance","OK")))</f>
        <v/>
      </c>
    </row>
    <row r="229" customFormat="false" ht="15" hidden="false" customHeight="false" outlineLevel="0" collapsed="false">
      <c r="A229" s="32"/>
      <c r="B229" s="32"/>
      <c r="C229" s="32"/>
      <c r="D229" s="35"/>
      <c r="E229" s="43"/>
      <c r="F229" s="32"/>
      <c r="G229" s="43"/>
      <c r="H229" s="32"/>
      <c r="I229" s="33"/>
      <c r="J229" s="33"/>
      <c r="K229" s="37" t="str">
        <f aca="false">IF(OR(B229="",G229=""),"",IF(H229="Min",IF(E229&lt;G229,"Exceedance","OK"),IF(E229&gt;G229,"Exceedance","OK")))</f>
        <v/>
      </c>
    </row>
    <row r="230" customFormat="false" ht="15" hidden="false" customHeight="false" outlineLevel="0" collapsed="false">
      <c r="A230" s="32"/>
      <c r="B230" s="32"/>
      <c r="C230" s="32"/>
      <c r="D230" s="35"/>
      <c r="E230" s="43"/>
      <c r="F230" s="32"/>
      <c r="G230" s="43"/>
      <c r="H230" s="32"/>
      <c r="I230" s="33"/>
      <c r="J230" s="33"/>
      <c r="K230" s="37" t="str">
        <f aca="false">IF(OR(B230="",G230=""),"",IF(H230="Min",IF(E230&lt;G230,"Exceedance","OK"),IF(E230&gt;G230,"Exceedance","OK")))</f>
        <v/>
      </c>
    </row>
    <row r="231" customFormat="false" ht="15" hidden="false" customHeight="false" outlineLevel="0" collapsed="false">
      <c r="A231" s="32"/>
      <c r="B231" s="32"/>
      <c r="C231" s="32"/>
      <c r="D231" s="35"/>
      <c r="E231" s="43"/>
      <c r="F231" s="32"/>
      <c r="G231" s="43"/>
      <c r="H231" s="32"/>
      <c r="I231" s="33"/>
      <c r="J231" s="33"/>
      <c r="K231" s="37" t="str">
        <f aca="false">IF(OR(B231="",G231=""),"",IF(H231="Min",IF(E231&lt;G231,"Exceedance","OK"),IF(E231&gt;G231,"Exceedance","OK")))</f>
        <v/>
      </c>
    </row>
    <row r="232" customFormat="false" ht="15" hidden="false" customHeight="false" outlineLevel="0" collapsed="false">
      <c r="A232" s="32"/>
      <c r="B232" s="32"/>
      <c r="C232" s="32"/>
      <c r="D232" s="35"/>
      <c r="E232" s="43"/>
      <c r="F232" s="32"/>
      <c r="G232" s="43"/>
      <c r="H232" s="32"/>
      <c r="I232" s="33"/>
      <c r="J232" s="33"/>
      <c r="K232" s="37" t="str">
        <f aca="false">IF(OR(B232="",G232=""),"",IF(H232="Min",IF(E232&lt;G232,"Exceedance","OK"),IF(E232&gt;G232,"Exceedance","OK")))</f>
        <v/>
      </c>
    </row>
    <row r="233" customFormat="false" ht="15" hidden="false" customHeight="false" outlineLevel="0" collapsed="false">
      <c r="A233" s="32"/>
      <c r="B233" s="32"/>
      <c r="C233" s="32"/>
      <c r="D233" s="35"/>
      <c r="E233" s="43"/>
      <c r="F233" s="32"/>
      <c r="G233" s="43"/>
      <c r="H233" s="32"/>
      <c r="I233" s="33"/>
      <c r="J233" s="33"/>
      <c r="K233" s="37" t="str">
        <f aca="false">IF(OR(B233="",G233=""),"",IF(H233="Min",IF(E233&lt;G233,"Exceedance","OK"),IF(E233&gt;G233,"Exceedance","OK")))</f>
        <v/>
      </c>
    </row>
    <row r="234" customFormat="false" ht="15" hidden="false" customHeight="false" outlineLevel="0" collapsed="false">
      <c r="A234" s="32"/>
      <c r="B234" s="32"/>
      <c r="C234" s="32"/>
      <c r="D234" s="35"/>
      <c r="E234" s="43"/>
      <c r="F234" s="32"/>
      <c r="G234" s="43"/>
      <c r="H234" s="32"/>
      <c r="I234" s="33"/>
      <c r="J234" s="33"/>
      <c r="K234" s="37" t="str">
        <f aca="false">IF(OR(B234="",G234=""),"",IF(H234="Min",IF(E234&lt;G234,"Exceedance","OK"),IF(E234&gt;G234,"Exceedance","OK")))</f>
        <v/>
      </c>
    </row>
    <row r="235" customFormat="false" ht="15" hidden="false" customHeight="false" outlineLevel="0" collapsed="false">
      <c r="A235" s="32"/>
      <c r="B235" s="32"/>
      <c r="C235" s="32"/>
      <c r="D235" s="35"/>
      <c r="E235" s="43"/>
      <c r="F235" s="32"/>
      <c r="G235" s="43"/>
      <c r="H235" s="32"/>
      <c r="I235" s="33"/>
      <c r="J235" s="33"/>
      <c r="K235" s="37" t="str">
        <f aca="false">IF(OR(B235="",G235=""),"",IF(H235="Min",IF(E235&lt;G235,"Exceedance","OK"),IF(E235&gt;G235,"Exceedance","OK")))</f>
        <v/>
      </c>
    </row>
    <row r="236" customFormat="false" ht="15" hidden="false" customHeight="false" outlineLevel="0" collapsed="false">
      <c r="A236" s="32"/>
      <c r="B236" s="32"/>
      <c r="C236" s="32"/>
      <c r="D236" s="35"/>
      <c r="E236" s="43"/>
      <c r="F236" s="32"/>
      <c r="G236" s="43"/>
      <c r="H236" s="32"/>
      <c r="I236" s="33"/>
      <c r="J236" s="33"/>
      <c r="K236" s="37" t="str">
        <f aca="false">IF(OR(B236="",G236=""),"",IF(H236="Min",IF(E236&lt;G236,"Exceedance","OK"),IF(E236&gt;G236,"Exceedance","OK")))</f>
        <v/>
      </c>
    </row>
    <row r="237" customFormat="false" ht="15" hidden="false" customHeight="false" outlineLevel="0" collapsed="false">
      <c r="A237" s="32"/>
      <c r="B237" s="32"/>
      <c r="C237" s="32"/>
      <c r="D237" s="35"/>
      <c r="E237" s="43"/>
      <c r="F237" s="32"/>
      <c r="G237" s="43"/>
      <c r="H237" s="32"/>
      <c r="I237" s="33"/>
      <c r="J237" s="33"/>
      <c r="K237" s="37" t="str">
        <f aca="false">IF(OR(B237="",G237=""),"",IF(H237="Min",IF(E237&lt;G237,"Exceedance","OK"),IF(E237&gt;G237,"Exceedance","OK")))</f>
        <v/>
      </c>
    </row>
    <row r="238" customFormat="false" ht="15" hidden="false" customHeight="false" outlineLevel="0" collapsed="false">
      <c r="A238" s="32"/>
      <c r="B238" s="32"/>
      <c r="C238" s="32"/>
      <c r="D238" s="35"/>
      <c r="E238" s="43"/>
      <c r="F238" s="32"/>
      <c r="G238" s="43"/>
      <c r="H238" s="32"/>
      <c r="I238" s="33"/>
      <c r="J238" s="33"/>
      <c r="K238" s="37" t="str">
        <f aca="false">IF(OR(B238="",G238=""),"",IF(H238="Min",IF(E238&lt;G238,"Exceedance","OK"),IF(E238&gt;G238,"Exceedance","OK")))</f>
        <v/>
      </c>
    </row>
    <row r="239" customFormat="false" ht="15" hidden="false" customHeight="false" outlineLevel="0" collapsed="false">
      <c r="A239" s="32"/>
      <c r="B239" s="32"/>
      <c r="C239" s="32"/>
      <c r="D239" s="35"/>
      <c r="E239" s="43"/>
      <c r="F239" s="32"/>
      <c r="G239" s="43"/>
      <c r="H239" s="32"/>
      <c r="I239" s="33"/>
      <c r="J239" s="33"/>
      <c r="K239" s="37" t="str">
        <f aca="false">IF(OR(B239="",G239=""),"",IF(H239="Min",IF(E239&lt;G239,"Exceedance","OK"),IF(E239&gt;G239,"Exceedance","OK")))</f>
        <v/>
      </c>
    </row>
    <row r="240" customFormat="false" ht="15" hidden="false" customHeight="false" outlineLevel="0" collapsed="false">
      <c r="A240" s="32"/>
      <c r="B240" s="32"/>
      <c r="C240" s="32"/>
      <c r="D240" s="35"/>
      <c r="E240" s="43"/>
      <c r="F240" s="32"/>
      <c r="G240" s="43"/>
      <c r="H240" s="32"/>
      <c r="I240" s="33"/>
      <c r="J240" s="33"/>
      <c r="K240" s="37" t="str">
        <f aca="false">IF(OR(B240="",G240=""),"",IF(H240="Min",IF(E240&lt;G240,"Exceedance","OK"),IF(E240&gt;G240,"Exceedance","OK")))</f>
        <v/>
      </c>
    </row>
    <row r="241" customFormat="false" ht="15" hidden="false" customHeight="false" outlineLevel="0" collapsed="false">
      <c r="A241" s="32"/>
      <c r="B241" s="32"/>
      <c r="C241" s="32"/>
      <c r="D241" s="35"/>
      <c r="E241" s="43"/>
      <c r="F241" s="32"/>
      <c r="G241" s="43"/>
      <c r="H241" s="32"/>
      <c r="I241" s="33"/>
      <c r="J241" s="33"/>
      <c r="K241" s="37" t="str">
        <f aca="false">IF(OR(B241="",G241=""),"",IF(H241="Min",IF(E241&lt;G241,"Exceedance","OK"),IF(E241&gt;G241,"Exceedance","OK")))</f>
        <v/>
      </c>
    </row>
    <row r="242" customFormat="false" ht="15" hidden="false" customHeight="false" outlineLevel="0" collapsed="false">
      <c r="A242" s="32"/>
      <c r="B242" s="32"/>
      <c r="C242" s="32"/>
      <c r="D242" s="35"/>
      <c r="E242" s="43"/>
      <c r="F242" s="32"/>
      <c r="G242" s="43"/>
      <c r="H242" s="32"/>
      <c r="I242" s="33"/>
      <c r="J242" s="33"/>
      <c r="K242" s="37" t="str">
        <f aca="false">IF(OR(B242="",G242=""),"",IF(H242="Min",IF(E242&lt;G242,"Exceedance","OK"),IF(E242&gt;G242,"Exceedance","OK")))</f>
        <v/>
      </c>
    </row>
    <row r="243" customFormat="false" ht="15" hidden="false" customHeight="false" outlineLevel="0" collapsed="false">
      <c r="A243" s="32"/>
      <c r="B243" s="32"/>
      <c r="C243" s="32"/>
      <c r="D243" s="35"/>
      <c r="E243" s="43"/>
      <c r="F243" s="32"/>
      <c r="G243" s="43"/>
      <c r="H243" s="32"/>
      <c r="I243" s="33"/>
      <c r="J243" s="33"/>
      <c r="K243" s="37" t="str">
        <f aca="false">IF(OR(B243="",G243=""),"",IF(H243="Min",IF(E243&lt;G243,"Exceedance","OK"),IF(E243&gt;G243,"Exceedance","OK")))</f>
        <v/>
      </c>
    </row>
    <row r="244" customFormat="false" ht="15" hidden="false" customHeight="false" outlineLevel="0" collapsed="false">
      <c r="A244" s="32"/>
      <c r="B244" s="32"/>
      <c r="C244" s="32"/>
      <c r="D244" s="35"/>
      <c r="E244" s="43"/>
      <c r="F244" s="32"/>
      <c r="G244" s="43"/>
      <c r="H244" s="32"/>
      <c r="I244" s="33"/>
      <c r="J244" s="33"/>
      <c r="K244" s="37" t="str">
        <f aca="false">IF(OR(B244="",G244=""),"",IF(H244="Min",IF(E244&lt;G244,"Exceedance","OK"),IF(E244&gt;G244,"Exceedance","OK")))</f>
        <v/>
      </c>
    </row>
    <row r="245" customFormat="false" ht="15" hidden="false" customHeight="false" outlineLevel="0" collapsed="false">
      <c r="A245" s="32"/>
      <c r="B245" s="32"/>
      <c r="C245" s="32"/>
      <c r="D245" s="35"/>
      <c r="E245" s="43"/>
      <c r="F245" s="32"/>
      <c r="G245" s="43"/>
      <c r="H245" s="32"/>
      <c r="I245" s="33"/>
      <c r="J245" s="33"/>
      <c r="K245" s="37" t="str">
        <f aca="false">IF(OR(B245="",G245=""),"",IF(H245="Min",IF(E245&lt;G245,"Exceedance","OK"),IF(E245&gt;G245,"Exceedance","OK")))</f>
        <v/>
      </c>
    </row>
    <row r="246" customFormat="false" ht="15" hidden="false" customHeight="false" outlineLevel="0" collapsed="false">
      <c r="A246" s="32"/>
      <c r="B246" s="32"/>
      <c r="C246" s="32"/>
      <c r="D246" s="35"/>
      <c r="E246" s="43"/>
      <c r="F246" s="32"/>
      <c r="G246" s="43"/>
      <c r="H246" s="32"/>
      <c r="I246" s="33"/>
      <c r="J246" s="33"/>
      <c r="K246" s="37" t="str">
        <f aca="false">IF(OR(B246="",G246=""),"",IF(H246="Min",IF(E246&lt;G246,"Exceedance","OK"),IF(E246&gt;G246,"Exceedance","OK")))</f>
        <v/>
      </c>
    </row>
    <row r="247" customFormat="false" ht="15" hidden="false" customHeight="false" outlineLevel="0" collapsed="false">
      <c r="A247" s="32"/>
      <c r="B247" s="32"/>
      <c r="C247" s="32"/>
      <c r="D247" s="35"/>
      <c r="E247" s="43"/>
      <c r="F247" s="32"/>
      <c r="G247" s="43"/>
      <c r="H247" s="32"/>
      <c r="I247" s="33"/>
      <c r="J247" s="33"/>
      <c r="K247" s="37" t="str">
        <f aca="false">IF(OR(B247="",G247=""),"",IF(H247="Min",IF(E247&lt;G247,"Exceedance","OK"),IF(E247&gt;G247,"Exceedance","OK")))</f>
        <v/>
      </c>
    </row>
    <row r="248" customFormat="false" ht="15" hidden="false" customHeight="false" outlineLevel="0" collapsed="false">
      <c r="A248" s="32"/>
      <c r="B248" s="32"/>
      <c r="C248" s="32"/>
      <c r="D248" s="35"/>
      <c r="E248" s="43"/>
      <c r="F248" s="32"/>
      <c r="G248" s="43"/>
      <c r="H248" s="32"/>
      <c r="I248" s="33"/>
      <c r="J248" s="33"/>
      <c r="K248" s="37" t="str">
        <f aca="false">IF(OR(B248="",G248=""),"",IF(H248="Min",IF(E248&lt;G248,"Exceedance","OK"),IF(E248&gt;G248,"Exceedance","OK")))</f>
        <v/>
      </c>
    </row>
    <row r="249" customFormat="false" ht="15" hidden="false" customHeight="false" outlineLevel="0" collapsed="false">
      <c r="A249" s="32"/>
      <c r="B249" s="32"/>
      <c r="C249" s="32"/>
      <c r="D249" s="35"/>
      <c r="E249" s="43"/>
      <c r="F249" s="32"/>
      <c r="G249" s="43"/>
      <c r="H249" s="32"/>
      <c r="I249" s="33"/>
      <c r="J249" s="33"/>
      <c r="K249" s="37" t="str">
        <f aca="false">IF(OR(B249="",G249=""),"",IF(H249="Min",IF(E249&lt;G249,"Exceedance","OK"),IF(E249&gt;G249,"Exceedance","OK")))</f>
        <v/>
      </c>
    </row>
    <row r="250" customFormat="false" ht="15" hidden="false" customHeight="false" outlineLevel="0" collapsed="false">
      <c r="A250" s="32"/>
      <c r="B250" s="32"/>
      <c r="C250" s="32"/>
      <c r="D250" s="35"/>
      <c r="E250" s="43"/>
      <c r="F250" s="32"/>
      <c r="G250" s="43"/>
      <c r="H250" s="32"/>
      <c r="I250" s="33"/>
      <c r="J250" s="33"/>
      <c r="K250" s="37" t="str">
        <f aca="false">IF(OR(B250="",G250=""),"",IF(H250="Min",IF(E250&lt;G250,"Exceedance","OK"),IF(E250&gt;G250,"Exceedance","OK")))</f>
        <v/>
      </c>
    </row>
    <row r="251" customFormat="false" ht="15" hidden="false" customHeight="false" outlineLevel="0" collapsed="false">
      <c r="A251" s="32"/>
      <c r="B251" s="32"/>
      <c r="C251" s="32"/>
      <c r="D251" s="35"/>
      <c r="E251" s="43"/>
      <c r="F251" s="32"/>
      <c r="G251" s="43"/>
      <c r="H251" s="32"/>
      <c r="I251" s="33"/>
      <c r="J251" s="33"/>
      <c r="K251" s="37" t="str">
        <f aca="false">IF(OR(B251="",G251=""),"",IF(H251="Min",IF(E251&lt;G251,"Exceedance","OK"),IF(E251&gt;G251,"Exceedance","OK")))</f>
        <v/>
      </c>
    </row>
    <row r="252" customFormat="false" ht="15" hidden="false" customHeight="false" outlineLevel="0" collapsed="false">
      <c r="A252" s="32"/>
      <c r="B252" s="32"/>
      <c r="C252" s="32"/>
      <c r="D252" s="35"/>
      <c r="E252" s="43"/>
      <c r="F252" s="32"/>
      <c r="G252" s="43"/>
      <c r="H252" s="32"/>
      <c r="I252" s="33"/>
      <c r="J252" s="33"/>
      <c r="K252" s="37" t="str">
        <f aca="false">IF(OR(B252="",G252=""),"",IF(H252="Min",IF(E252&lt;G252,"Exceedance","OK"),IF(E252&gt;G252,"Exceedance","OK")))</f>
        <v/>
      </c>
    </row>
    <row r="253" customFormat="false" ht="15" hidden="false" customHeight="false" outlineLevel="0" collapsed="false">
      <c r="A253" s="32"/>
      <c r="B253" s="32"/>
      <c r="C253" s="32"/>
      <c r="D253" s="35"/>
      <c r="E253" s="43"/>
      <c r="F253" s="32"/>
      <c r="G253" s="43"/>
      <c r="H253" s="32"/>
      <c r="I253" s="33"/>
      <c r="J253" s="33"/>
      <c r="K253" s="37" t="str">
        <f aca="false">IF(OR(B253="",G253=""),"",IF(H253="Min",IF(E253&lt;G253,"Exceedance","OK"),IF(E253&gt;G253,"Exceedance","OK")))</f>
        <v/>
      </c>
    </row>
    <row r="254" customFormat="false" ht="15" hidden="false" customHeight="false" outlineLevel="0" collapsed="false">
      <c r="A254" s="32"/>
      <c r="B254" s="32"/>
      <c r="C254" s="32"/>
      <c r="D254" s="35"/>
      <c r="E254" s="43"/>
      <c r="F254" s="32"/>
      <c r="G254" s="43"/>
      <c r="H254" s="32"/>
      <c r="I254" s="33"/>
      <c r="J254" s="33"/>
      <c r="K254" s="37" t="str">
        <f aca="false">IF(OR(B254="",G254=""),"",IF(H254="Min",IF(E254&lt;G254,"Exceedance","OK"),IF(E254&gt;G254,"Exceedance","OK")))</f>
        <v/>
      </c>
    </row>
    <row r="255" customFormat="false" ht="15" hidden="false" customHeight="false" outlineLevel="0" collapsed="false">
      <c r="A255" s="32"/>
      <c r="B255" s="32"/>
      <c r="C255" s="32"/>
      <c r="D255" s="35"/>
      <c r="E255" s="43"/>
      <c r="F255" s="32"/>
      <c r="G255" s="43"/>
      <c r="H255" s="32"/>
      <c r="I255" s="33"/>
      <c r="J255" s="33"/>
      <c r="K255" s="37" t="str">
        <f aca="false">IF(OR(B255="",G255=""),"",IF(H255="Min",IF(E255&lt;G255,"Exceedance","OK"),IF(E255&gt;G255,"Exceedance","OK")))</f>
        <v/>
      </c>
    </row>
    <row r="256" customFormat="false" ht="15" hidden="false" customHeight="false" outlineLevel="0" collapsed="false">
      <c r="A256" s="32"/>
      <c r="B256" s="32"/>
      <c r="C256" s="32"/>
      <c r="D256" s="35"/>
      <c r="E256" s="43"/>
      <c r="F256" s="32"/>
      <c r="G256" s="43"/>
      <c r="H256" s="32"/>
      <c r="I256" s="33"/>
      <c r="J256" s="33"/>
      <c r="K256" s="37" t="str">
        <f aca="false">IF(OR(B256="",G256=""),"",IF(H256="Min",IF(E256&lt;G256,"Exceedance","OK"),IF(E256&gt;G256,"Exceedance","OK")))</f>
        <v/>
      </c>
    </row>
    <row r="257" customFormat="false" ht="15" hidden="false" customHeight="false" outlineLevel="0" collapsed="false">
      <c r="A257" s="32"/>
      <c r="B257" s="32"/>
      <c r="C257" s="32"/>
      <c r="D257" s="35"/>
      <c r="E257" s="43"/>
      <c r="F257" s="32"/>
      <c r="G257" s="43"/>
      <c r="H257" s="32"/>
      <c r="I257" s="33"/>
      <c r="J257" s="33"/>
      <c r="K257" s="37" t="str">
        <f aca="false">IF(OR(B257="",G257=""),"",IF(H257="Min",IF(E257&lt;G257,"Exceedance","OK"),IF(E257&gt;G257,"Exceedance","OK")))</f>
        <v/>
      </c>
    </row>
    <row r="258" customFormat="false" ht="15" hidden="false" customHeight="false" outlineLevel="0" collapsed="false">
      <c r="A258" s="32"/>
      <c r="B258" s="32"/>
      <c r="C258" s="32"/>
      <c r="D258" s="35"/>
      <c r="E258" s="43"/>
      <c r="F258" s="32"/>
      <c r="G258" s="43"/>
      <c r="H258" s="32"/>
      <c r="I258" s="33"/>
      <c r="J258" s="33"/>
      <c r="K258" s="37" t="str">
        <f aca="false">IF(OR(B258="",G258=""),"",IF(H258="Min",IF(E258&lt;G258,"Exceedance","OK"),IF(E258&gt;G258,"Exceedance","OK")))</f>
        <v/>
      </c>
    </row>
    <row r="259" customFormat="false" ht="15" hidden="false" customHeight="false" outlineLevel="0" collapsed="false">
      <c r="A259" s="32"/>
      <c r="B259" s="32"/>
      <c r="C259" s="32"/>
      <c r="D259" s="35"/>
      <c r="E259" s="43"/>
      <c r="F259" s="32"/>
      <c r="G259" s="43"/>
      <c r="H259" s="32"/>
      <c r="I259" s="33"/>
      <c r="J259" s="33"/>
      <c r="K259" s="37" t="str">
        <f aca="false">IF(OR(B259="",G259=""),"",IF(H259="Min",IF(E259&lt;G259,"Exceedance","OK"),IF(E259&gt;G259,"Exceedance","OK")))</f>
        <v/>
      </c>
    </row>
    <row r="260" customFormat="false" ht="15" hidden="false" customHeight="false" outlineLevel="0" collapsed="false">
      <c r="A260" s="32"/>
      <c r="B260" s="32"/>
      <c r="C260" s="32"/>
      <c r="D260" s="35"/>
      <c r="E260" s="43"/>
      <c r="F260" s="32"/>
      <c r="G260" s="43"/>
      <c r="H260" s="32"/>
      <c r="I260" s="33"/>
      <c r="J260" s="33"/>
      <c r="K260" s="37" t="str">
        <f aca="false">IF(OR(B260="",G260=""),"",IF(H260="Min",IF(E260&lt;G260,"Exceedance","OK"),IF(E260&gt;G260,"Exceedance","OK")))</f>
        <v/>
      </c>
    </row>
    <row r="261" customFormat="false" ht="15" hidden="false" customHeight="false" outlineLevel="0" collapsed="false">
      <c r="A261" s="32"/>
      <c r="B261" s="32"/>
      <c r="C261" s="32"/>
      <c r="D261" s="35"/>
      <c r="E261" s="43"/>
      <c r="F261" s="32"/>
      <c r="G261" s="43"/>
      <c r="H261" s="32"/>
      <c r="I261" s="33"/>
      <c r="J261" s="33"/>
      <c r="K261" s="37" t="str">
        <f aca="false">IF(OR(B261="",G261=""),"",IF(H261="Min",IF(E261&lt;G261,"Exceedance","OK"),IF(E261&gt;G261,"Exceedance","OK")))</f>
        <v/>
      </c>
    </row>
    <row r="262" customFormat="false" ht="15" hidden="false" customHeight="false" outlineLevel="0" collapsed="false">
      <c r="A262" s="32"/>
      <c r="B262" s="32"/>
      <c r="C262" s="32"/>
      <c r="D262" s="35"/>
      <c r="E262" s="43"/>
      <c r="F262" s="32"/>
      <c r="G262" s="43"/>
      <c r="H262" s="32"/>
      <c r="I262" s="33"/>
      <c r="J262" s="33"/>
      <c r="K262" s="37" t="str">
        <f aca="false">IF(OR(B262="",G262=""),"",IF(H262="Min",IF(E262&lt;G262,"Exceedance","OK"),IF(E262&gt;G262,"Exceedance","OK")))</f>
        <v/>
      </c>
    </row>
    <row r="263" customFormat="false" ht="15" hidden="false" customHeight="false" outlineLevel="0" collapsed="false">
      <c r="A263" s="32"/>
      <c r="B263" s="32"/>
      <c r="C263" s="32"/>
      <c r="D263" s="35"/>
      <c r="E263" s="43"/>
      <c r="F263" s="32"/>
      <c r="G263" s="43"/>
      <c r="H263" s="32"/>
      <c r="I263" s="33"/>
      <c r="J263" s="33"/>
      <c r="K263" s="37" t="str">
        <f aca="false">IF(OR(B263="",G263=""),"",IF(H263="Min",IF(E263&lt;G263,"Exceedance","OK"),IF(E263&gt;G263,"Exceedance","OK")))</f>
        <v/>
      </c>
    </row>
    <row r="264" customFormat="false" ht="15" hidden="false" customHeight="false" outlineLevel="0" collapsed="false">
      <c r="A264" s="32"/>
      <c r="B264" s="32"/>
      <c r="C264" s="32"/>
      <c r="D264" s="35"/>
      <c r="E264" s="43"/>
      <c r="F264" s="32"/>
      <c r="G264" s="43"/>
      <c r="H264" s="32"/>
      <c r="I264" s="33"/>
      <c r="J264" s="33"/>
      <c r="K264" s="37" t="str">
        <f aca="false">IF(OR(B264="",G264=""),"",IF(H264="Min",IF(E264&lt;G264,"Exceedance","OK"),IF(E264&gt;G264,"Exceedance","OK")))</f>
        <v/>
      </c>
    </row>
    <row r="265" customFormat="false" ht="15" hidden="false" customHeight="false" outlineLevel="0" collapsed="false">
      <c r="A265" s="32"/>
      <c r="B265" s="32"/>
      <c r="C265" s="32"/>
      <c r="D265" s="35"/>
      <c r="E265" s="43"/>
      <c r="F265" s="32"/>
      <c r="G265" s="43"/>
      <c r="H265" s="32"/>
      <c r="I265" s="33"/>
      <c r="J265" s="33"/>
      <c r="K265" s="37" t="str">
        <f aca="false">IF(OR(B265="",G265=""),"",IF(H265="Min",IF(E265&lt;G265,"Exceedance","OK"),IF(E265&gt;G265,"Exceedance","OK")))</f>
        <v/>
      </c>
    </row>
    <row r="266" customFormat="false" ht="15" hidden="false" customHeight="false" outlineLevel="0" collapsed="false">
      <c r="A266" s="32"/>
      <c r="B266" s="32"/>
      <c r="C266" s="32"/>
      <c r="D266" s="35"/>
      <c r="E266" s="43"/>
      <c r="F266" s="32"/>
      <c r="G266" s="43"/>
      <c r="H266" s="32"/>
      <c r="I266" s="33"/>
      <c r="J266" s="33"/>
      <c r="K266" s="37" t="str">
        <f aca="false">IF(OR(B266="",G266=""),"",IF(H266="Min",IF(E266&lt;G266,"Exceedance","OK"),IF(E266&gt;G266,"Exceedance","OK")))</f>
        <v/>
      </c>
    </row>
    <row r="267" customFormat="false" ht="15" hidden="false" customHeight="false" outlineLevel="0" collapsed="false">
      <c r="A267" s="32"/>
      <c r="B267" s="32"/>
      <c r="C267" s="32"/>
      <c r="D267" s="35"/>
      <c r="E267" s="43"/>
      <c r="F267" s="32"/>
      <c r="G267" s="43"/>
      <c r="H267" s="32"/>
      <c r="I267" s="33"/>
      <c r="J267" s="33"/>
      <c r="K267" s="37" t="str">
        <f aca="false">IF(OR(B267="",G267=""),"",IF(H267="Min",IF(E267&lt;G267,"Exceedance","OK"),IF(E267&gt;G267,"Exceedance","OK")))</f>
        <v/>
      </c>
    </row>
    <row r="268" customFormat="false" ht="15" hidden="false" customHeight="false" outlineLevel="0" collapsed="false">
      <c r="A268" s="32"/>
      <c r="B268" s="32"/>
      <c r="C268" s="32"/>
      <c r="D268" s="35"/>
      <c r="E268" s="43"/>
      <c r="F268" s="32"/>
      <c r="G268" s="43"/>
      <c r="H268" s="32"/>
      <c r="I268" s="33"/>
      <c r="J268" s="33"/>
      <c r="K268" s="37" t="str">
        <f aca="false">IF(OR(B268="",G268=""),"",IF(H268="Min",IF(E268&lt;G268,"Exceedance","OK"),IF(E268&gt;G268,"Exceedance","OK")))</f>
        <v/>
      </c>
    </row>
    <row r="269" customFormat="false" ht="15" hidden="false" customHeight="false" outlineLevel="0" collapsed="false">
      <c r="A269" s="32"/>
      <c r="B269" s="32"/>
      <c r="C269" s="32"/>
      <c r="D269" s="35"/>
      <c r="E269" s="43"/>
      <c r="F269" s="32"/>
      <c r="G269" s="43"/>
      <c r="H269" s="32"/>
      <c r="I269" s="33"/>
      <c r="J269" s="33"/>
      <c r="K269" s="37" t="str">
        <f aca="false">IF(OR(B269="",G269=""),"",IF(H269="Min",IF(E269&lt;G269,"Exceedance","OK"),IF(E269&gt;G269,"Exceedance","OK")))</f>
        <v/>
      </c>
    </row>
    <row r="270" customFormat="false" ht="15" hidden="false" customHeight="false" outlineLevel="0" collapsed="false">
      <c r="A270" s="32"/>
      <c r="B270" s="32"/>
      <c r="C270" s="32"/>
      <c r="D270" s="35"/>
      <c r="E270" s="43"/>
      <c r="F270" s="32"/>
      <c r="G270" s="43"/>
      <c r="H270" s="32"/>
      <c r="I270" s="33"/>
      <c r="J270" s="33"/>
      <c r="K270" s="37" t="str">
        <f aca="false">IF(OR(B270="",G270=""),"",IF(H270="Min",IF(E270&lt;G270,"Exceedance","OK"),IF(E270&gt;G270,"Exceedance","OK")))</f>
        <v/>
      </c>
    </row>
    <row r="271" customFormat="false" ht="15" hidden="false" customHeight="false" outlineLevel="0" collapsed="false">
      <c r="A271" s="32"/>
      <c r="B271" s="32"/>
      <c r="C271" s="32"/>
      <c r="D271" s="35"/>
      <c r="E271" s="43"/>
      <c r="F271" s="32"/>
      <c r="G271" s="43"/>
      <c r="H271" s="32"/>
      <c r="I271" s="33"/>
      <c r="J271" s="33"/>
      <c r="K271" s="37" t="str">
        <f aca="false">IF(OR(B271="",G271=""),"",IF(H271="Min",IF(E271&lt;G271,"Exceedance","OK"),IF(E271&gt;G271,"Exceedance","OK")))</f>
        <v/>
      </c>
    </row>
    <row r="272" customFormat="false" ht="15" hidden="false" customHeight="false" outlineLevel="0" collapsed="false">
      <c r="A272" s="32"/>
      <c r="B272" s="32"/>
      <c r="C272" s="32"/>
      <c r="D272" s="35"/>
      <c r="E272" s="43"/>
      <c r="F272" s="32"/>
      <c r="G272" s="43"/>
      <c r="H272" s="32"/>
      <c r="I272" s="33"/>
      <c r="J272" s="33"/>
      <c r="K272" s="37" t="str">
        <f aca="false">IF(OR(B272="",G272=""),"",IF(H272="Min",IF(E272&lt;G272,"Exceedance","OK"),IF(E272&gt;G272,"Exceedance","OK")))</f>
        <v/>
      </c>
    </row>
    <row r="273" customFormat="false" ht="15" hidden="false" customHeight="false" outlineLevel="0" collapsed="false">
      <c r="A273" s="32"/>
      <c r="B273" s="32"/>
      <c r="C273" s="32"/>
      <c r="D273" s="35"/>
      <c r="E273" s="43"/>
      <c r="F273" s="32"/>
      <c r="G273" s="43"/>
      <c r="H273" s="32"/>
      <c r="I273" s="33"/>
      <c r="J273" s="33"/>
      <c r="K273" s="37" t="str">
        <f aca="false">IF(OR(B273="",G273=""),"",IF(H273="Min",IF(E273&lt;G273,"Exceedance","OK"),IF(E273&gt;G273,"Exceedance","OK")))</f>
        <v/>
      </c>
    </row>
    <row r="274" customFormat="false" ht="15" hidden="false" customHeight="false" outlineLevel="0" collapsed="false">
      <c r="A274" s="32"/>
      <c r="B274" s="32"/>
      <c r="C274" s="32"/>
      <c r="D274" s="35"/>
      <c r="E274" s="43"/>
      <c r="F274" s="32"/>
      <c r="G274" s="43"/>
      <c r="H274" s="32"/>
      <c r="I274" s="33"/>
      <c r="J274" s="33"/>
      <c r="K274" s="37" t="str">
        <f aca="false">IF(OR(B274="",G274=""),"",IF(H274="Min",IF(E274&lt;G274,"Exceedance","OK"),IF(E274&gt;G274,"Exceedance","OK")))</f>
        <v/>
      </c>
    </row>
    <row r="275" customFormat="false" ht="15" hidden="false" customHeight="false" outlineLevel="0" collapsed="false">
      <c r="A275" s="32"/>
      <c r="B275" s="32"/>
      <c r="C275" s="32"/>
      <c r="D275" s="35"/>
      <c r="E275" s="43"/>
      <c r="F275" s="32"/>
      <c r="G275" s="43"/>
      <c r="H275" s="32"/>
      <c r="I275" s="33"/>
      <c r="J275" s="33"/>
      <c r="K275" s="37" t="str">
        <f aca="false">IF(OR(B275="",G275=""),"",IF(H275="Min",IF(E275&lt;G275,"Exceedance","OK"),IF(E275&gt;G275,"Exceedance","OK")))</f>
        <v/>
      </c>
    </row>
    <row r="276" customFormat="false" ht="15" hidden="false" customHeight="false" outlineLevel="0" collapsed="false">
      <c r="A276" s="32"/>
      <c r="B276" s="32"/>
      <c r="C276" s="32"/>
      <c r="D276" s="35"/>
      <c r="E276" s="43"/>
      <c r="F276" s="32"/>
      <c r="G276" s="43"/>
      <c r="H276" s="32"/>
      <c r="I276" s="33"/>
      <c r="J276" s="33"/>
      <c r="K276" s="37" t="str">
        <f aca="false">IF(OR(B276="",G276=""),"",IF(H276="Min",IF(E276&lt;G276,"Exceedance","OK"),IF(E276&gt;G276,"Exceedance","OK")))</f>
        <v/>
      </c>
    </row>
    <row r="277" customFormat="false" ht="15" hidden="false" customHeight="false" outlineLevel="0" collapsed="false">
      <c r="A277" s="32"/>
      <c r="B277" s="32"/>
      <c r="C277" s="32"/>
      <c r="D277" s="35"/>
      <c r="E277" s="43"/>
      <c r="F277" s="32"/>
      <c r="G277" s="43"/>
      <c r="H277" s="32"/>
      <c r="I277" s="33"/>
      <c r="J277" s="33"/>
      <c r="K277" s="37" t="str">
        <f aca="false">IF(OR(B277="",G277=""),"",IF(H277="Min",IF(E277&lt;G277,"Exceedance","OK"),IF(E277&gt;G277,"Exceedance","OK")))</f>
        <v/>
      </c>
    </row>
    <row r="278" customFormat="false" ht="15" hidden="false" customHeight="false" outlineLevel="0" collapsed="false">
      <c r="A278" s="32"/>
      <c r="B278" s="32"/>
      <c r="C278" s="32"/>
      <c r="D278" s="35"/>
      <c r="E278" s="43"/>
      <c r="F278" s="32"/>
      <c r="G278" s="43"/>
      <c r="H278" s="32"/>
      <c r="I278" s="33"/>
      <c r="J278" s="33"/>
      <c r="K278" s="37" t="str">
        <f aca="false">IF(OR(B278="",G278=""),"",IF(H278="Min",IF(E278&lt;G278,"Exceedance","OK"),IF(E278&gt;G278,"Exceedance","OK")))</f>
        <v/>
      </c>
    </row>
    <row r="279" customFormat="false" ht="15" hidden="false" customHeight="false" outlineLevel="0" collapsed="false">
      <c r="A279" s="32"/>
      <c r="B279" s="32"/>
      <c r="C279" s="32"/>
      <c r="D279" s="35"/>
      <c r="E279" s="43"/>
      <c r="F279" s="32"/>
      <c r="G279" s="43"/>
      <c r="H279" s="32"/>
      <c r="I279" s="33"/>
      <c r="J279" s="33"/>
      <c r="K279" s="37" t="str">
        <f aca="false">IF(OR(B279="",G279=""),"",IF(H279="Min",IF(E279&lt;G279,"Exceedance","OK"),IF(E279&gt;G279,"Exceedance","OK")))</f>
        <v/>
      </c>
    </row>
    <row r="280" customFormat="false" ht="15" hidden="false" customHeight="false" outlineLevel="0" collapsed="false">
      <c r="A280" s="32"/>
      <c r="B280" s="32"/>
      <c r="C280" s="32"/>
      <c r="D280" s="35"/>
      <c r="E280" s="43"/>
      <c r="F280" s="32"/>
      <c r="G280" s="43"/>
      <c r="H280" s="32"/>
      <c r="I280" s="33"/>
      <c r="J280" s="33"/>
      <c r="K280" s="37" t="str">
        <f aca="false">IF(OR(B280="",G280=""),"",IF(H280="Min",IF(E280&lt;G280,"Exceedance","OK"),IF(E280&gt;G280,"Exceedance","OK")))</f>
        <v/>
      </c>
    </row>
    <row r="281" customFormat="false" ht="15" hidden="false" customHeight="false" outlineLevel="0" collapsed="false">
      <c r="A281" s="32"/>
      <c r="B281" s="32"/>
      <c r="C281" s="32"/>
      <c r="D281" s="35"/>
      <c r="E281" s="43"/>
      <c r="F281" s="32"/>
      <c r="G281" s="43"/>
      <c r="H281" s="32"/>
      <c r="I281" s="33"/>
      <c r="J281" s="33"/>
      <c r="K281" s="37" t="str">
        <f aca="false">IF(OR(B281="",G281=""),"",IF(H281="Min",IF(E281&lt;G281,"Exceedance","OK"),IF(E281&gt;G281,"Exceedance","OK")))</f>
        <v/>
      </c>
    </row>
    <row r="282" customFormat="false" ht="15" hidden="false" customHeight="false" outlineLevel="0" collapsed="false">
      <c r="A282" s="32"/>
      <c r="B282" s="32"/>
      <c r="C282" s="32"/>
      <c r="D282" s="35"/>
      <c r="E282" s="43"/>
      <c r="F282" s="32"/>
      <c r="G282" s="43"/>
      <c r="H282" s="32"/>
      <c r="I282" s="33"/>
      <c r="J282" s="33"/>
      <c r="K282" s="37" t="str">
        <f aca="false">IF(OR(B282="",G282=""),"",IF(H282="Min",IF(E282&lt;G282,"Exceedance","OK"),IF(E282&gt;G282,"Exceedance","OK")))</f>
        <v/>
      </c>
    </row>
    <row r="283" customFormat="false" ht="15" hidden="false" customHeight="false" outlineLevel="0" collapsed="false">
      <c r="A283" s="32"/>
      <c r="B283" s="32"/>
      <c r="C283" s="32"/>
      <c r="D283" s="35"/>
      <c r="E283" s="43"/>
      <c r="F283" s="32"/>
      <c r="G283" s="43"/>
      <c r="H283" s="32"/>
      <c r="I283" s="33"/>
      <c r="J283" s="33"/>
      <c r="K283" s="37" t="str">
        <f aca="false">IF(OR(B283="",G283=""),"",IF(H283="Min",IF(E283&lt;G283,"Exceedance","OK"),IF(E283&gt;G283,"Exceedance","OK")))</f>
        <v/>
      </c>
    </row>
    <row r="284" customFormat="false" ht="15" hidden="false" customHeight="false" outlineLevel="0" collapsed="false">
      <c r="A284" s="32"/>
      <c r="B284" s="32"/>
      <c r="C284" s="32"/>
      <c r="D284" s="35"/>
      <c r="E284" s="43"/>
      <c r="F284" s="32"/>
      <c r="G284" s="43"/>
      <c r="H284" s="32"/>
      <c r="I284" s="33"/>
      <c r="J284" s="33"/>
      <c r="K284" s="37" t="str">
        <f aca="false">IF(OR(B284="",G284=""),"",IF(H284="Min",IF(E284&lt;G284,"Exceedance","OK"),IF(E284&gt;G284,"Exceedance","OK")))</f>
        <v/>
      </c>
    </row>
    <row r="285" customFormat="false" ht="15" hidden="false" customHeight="false" outlineLevel="0" collapsed="false">
      <c r="A285" s="32"/>
      <c r="B285" s="32"/>
      <c r="C285" s="32"/>
      <c r="D285" s="35"/>
      <c r="E285" s="43"/>
      <c r="F285" s="32"/>
      <c r="G285" s="43"/>
      <c r="H285" s="32"/>
      <c r="I285" s="33"/>
      <c r="J285" s="33"/>
      <c r="K285" s="37" t="str">
        <f aca="false">IF(OR(B285="",G285=""),"",IF(H285="Min",IF(E285&lt;G285,"Exceedance","OK"),IF(E285&gt;G285,"Exceedance","OK")))</f>
        <v/>
      </c>
    </row>
    <row r="286" customFormat="false" ht="15" hidden="false" customHeight="false" outlineLevel="0" collapsed="false">
      <c r="A286" s="32"/>
      <c r="B286" s="32"/>
      <c r="C286" s="32"/>
      <c r="D286" s="35"/>
      <c r="E286" s="43"/>
      <c r="F286" s="32"/>
      <c r="G286" s="43"/>
      <c r="H286" s="32"/>
      <c r="I286" s="33"/>
      <c r="J286" s="33"/>
      <c r="K286" s="37" t="str">
        <f aca="false">IF(OR(B286="",G286=""),"",IF(H286="Min",IF(E286&lt;G286,"Exceedance","OK"),IF(E286&gt;G286,"Exceedance","OK")))</f>
        <v/>
      </c>
    </row>
    <row r="287" customFormat="false" ht="15" hidden="false" customHeight="false" outlineLevel="0" collapsed="false">
      <c r="A287" s="32"/>
      <c r="B287" s="32"/>
      <c r="C287" s="32"/>
      <c r="D287" s="35"/>
      <c r="E287" s="43"/>
      <c r="F287" s="32"/>
      <c r="G287" s="43"/>
      <c r="H287" s="32"/>
      <c r="I287" s="33"/>
      <c r="J287" s="33"/>
      <c r="K287" s="37" t="str">
        <f aca="false">IF(OR(B287="",G287=""),"",IF(H287="Min",IF(E287&lt;G287,"Exceedance","OK"),IF(E287&gt;G287,"Exceedance","OK")))</f>
        <v/>
      </c>
    </row>
    <row r="288" customFormat="false" ht="15" hidden="false" customHeight="false" outlineLevel="0" collapsed="false">
      <c r="A288" s="32"/>
      <c r="B288" s="32"/>
      <c r="C288" s="32"/>
      <c r="D288" s="35"/>
      <c r="E288" s="43"/>
      <c r="F288" s="32"/>
      <c r="G288" s="43"/>
      <c r="H288" s="32"/>
      <c r="I288" s="33"/>
      <c r="J288" s="33"/>
      <c r="K288" s="37" t="str">
        <f aca="false">IF(OR(B288="",G288=""),"",IF(H288="Min",IF(E288&lt;G288,"Exceedance","OK"),IF(E288&gt;G288,"Exceedance","OK")))</f>
        <v/>
      </c>
    </row>
    <row r="289" customFormat="false" ht="15" hidden="false" customHeight="false" outlineLevel="0" collapsed="false">
      <c r="A289" s="32"/>
      <c r="B289" s="32"/>
      <c r="C289" s="32"/>
      <c r="D289" s="35"/>
      <c r="E289" s="43"/>
      <c r="F289" s="32"/>
      <c r="G289" s="43"/>
      <c r="H289" s="32"/>
      <c r="I289" s="33"/>
      <c r="J289" s="33"/>
      <c r="K289" s="37" t="str">
        <f aca="false">IF(OR(B289="",G289=""),"",IF(H289="Min",IF(E289&lt;G289,"Exceedance","OK"),IF(E289&gt;G289,"Exceedance","OK")))</f>
        <v/>
      </c>
    </row>
    <row r="290" customFormat="false" ht="15" hidden="false" customHeight="false" outlineLevel="0" collapsed="false">
      <c r="A290" s="32"/>
      <c r="B290" s="32"/>
      <c r="C290" s="32"/>
      <c r="D290" s="35"/>
      <c r="E290" s="43"/>
      <c r="F290" s="32"/>
      <c r="G290" s="43"/>
      <c r="H290" s="32"/>
      <c r="I290" s="33"/>
      <c r="J290" s="33"/>
      <c r="K290" s="37" t="str">
        <f aca="false">IF(OR(B290="",G290=""),"",IF(H290="Min",IF(E290&lt;G290,"Exceedance","OK"),IF(E290&gt;G290,"Exceedance","OK")))</f>
        <v/>
      </c>
    </row>
    <row r="291" customFormat="false" ht="15" hidden="false" customHeight="false" outlineLevel="0" collapsed="false">
      <c r="A291" s="32"/>
      <c r="B291" s="32"/>
      <c r="C291" s="32"/>
      <c r="D291" s="35"/>
      <c r="E291" s="43"/>
      <c r="F291" s="32"/>
      <c r="G291" s="43"/>
      <c r="H291" s="32"/>
      <c r="I291" s="33"/>
      <c r="J291" s="33"/>
      <c r="K291" s="37" t="str">
        <f aca="false">IF(OR(B291="",G291=""),"",IF(H291="Min",IF(E291&lt;G291,"Exceedance","OK"),IF(E291&gt;G291,"Exceedance","OK")))</f>
        <v/>
      </c>
    </row>
    <row r="292" customFormat="false" ht="15" hidden="false" customHeight="false" outlineLevel="0" collapsed="false">
      <c r="A292" s="32"/>
      <c r="B292" s="32"/>
      <c r="C292" s="32"/>
      <c r="D292" s="35"/>
      <c r="E292" s="43"/>
      <c r="F292" s="32"/>
      <c r="G292" s="43"/>
      <c r="H292" s="32"/>
      <c r="I292" s="33"/>
      <c r="J292" s="33"/>
      <c r="K292" s="37" t="str">
        <f aca="false">IF(OR(B292="",G292=""),"",IF(H292="Min",IF(E292&lt;G292,"Exceedance","OK"),IF(E292&gt;G292,"Exceedance","OK")))</f>
        <v/>
      </c>
    </row>
    <row r="293" customFormat="false" ht="15" hidden="false" customHeight="false" outlineLevel="0" collapsed="false">
      <c r="A293" s="32"/>
      <c r="B293" s="32"/>
      <c r="C293" s="32"/>
      <c r="D293" s="35"/>
      <c r="E293" s="43"/>
      <c r="F293" s="32"/>
      <c r="G293" s="43"/>
      <c r="H293" s="32"/>
      <c r="I293" s="33"/>
      <c r="J293" s="33"/>
      <c r="K293" s="37" t="str">
        <f aca="false">IF(OR(B293="",G293=""),"",IF(H293="Min",IF(E293&lt;G293,"Exceedance","OK"),IF(E293&gt;G293,"Exceedance","OK")))</f>
        <v/>
      </c>
    </row>
    <row r="294" customFormat="false" ht="15" hidden="false" customHeight="false" outlineLevel="0" collapsed="false">
      <c r="A294" s="32"/>
      <c r="B294" s="32"/>
      <c r="C294" s="32"/>
      <c r="D294" s="35"/>
      <c r="E294" s="43"/>
      <c r="F294" s="32"/>
      <c r="G294" s="43"/>
      <c r="H294" s="32"/>
      <c r="I294" s="33"/>
      <c r="J294" s="33"/>
      <c r="K294" s="37" t="str">
        <f aca="false">IF(OR(B294="",G294=""),"",IF(H294="Min",IF(E294&lt;G294,"Exceedance","OK"),IF(E294&gt;G294,"Exceedance","OK")))</f>
        <v/>
      </c>
    </row>
    <row r="295" customFormat="false" ht="15" hidden="false" customHeight="false" outlineLevel="0" collapsed="false">
      <c r="A295" s="32"/>
      <c r="B295" s="32"/>
      <c r="C295" s="32"/>
      <c r="D295" s="35"/>
      <c r="E295" s="43"/>
      <c r="F295" s="32"/>
      <c r="G295" s="43"/>
      <c r="H295" s="32"/>
      <c r="I295" s="33"/>
      <c r="J295" s="33"/>
      <c r="K295" s="37" t="str">
        <f aca="false">IF(OR(B295="",G295=""),"",IF(H295="Min",IF(E295&lt;G295,"Exceedance","OK"),IF(E295&gt;G295,"Exceedance","OK")))</f>
        <v/>
      </c>
    </row>
    <row r="296" customFormat="false" ht="15" hidden="false" customHeight="false" outlineLevel="0" collapsed="false">
      <c r="A296" s="32"/>
      <c r="B296" s="32"/>
      <c r="C296" s="32"/>
      <c r="D296" s="35"/>
      <c r="E296" s="43"/>
      <c r="F296" s="32"/>
      <c r="G296" s="43"/>
      <c r="H296" s="32"/>
      <c r="I296" s="33"/>
      <c r="J296" s="33"/>
      <c r="K296" s="37" t="str">
        <f aca="false">IF(OR(B296="",G296=""),"",IF(H296="Min",IF(E296&lt;G296,"Exceedance","OK"),IF(E296&gt;G296,"Exceedance","OK")))</f>
        <v/>
      </c>
    </row>
    <row r="297" customFormat="false" ht="15" hidden="false" customHeight="false" outlineLevel="0" collapsed="false">
      <c r="A297" s="32"/>
      <c r="B297" s="32"/>
      <c r="C297" s="32"/>
      <c r="D297" s="35"/>
      <c r="E297" s="43"/>
      <c r="F297" s="32"/>
      <c r="G297" s="43"/>
      <c r="H297" s="32"/>
      <c r="I297" s="33"/>
      <c r="J297" s="33"/>
      <c r="K297" s="37" t="str">
        <f aca="false">IF(OR(B297="",G297=""),"",IF(H297="Min",IF(E297&lt;G297,"Exceedance","OK"),IF(E297&gt;G297,"Exceedance","OK")))</f>
        <v/>
      </c>
    </row>
    <row r="298" customFormat="false" ht="15" hidden="false" customHeight="false" outlineLevel="0" collapsed="false">
      <c r="A298" s="32"/>
      <c r="B298" s="32"/>
      <c r="C298" s="32"/>
      <c r="D298" s="35"/>
      <c r="E298" s="43"/>
      <c r="F298" s="32"/>
      <c r="G298" s="43"/>
      <c r="H298" s="32"/>
      <c r="I298" s="33"/>
      <c r="J298" s="33"/>
      <c r="K298" s="37" t="str">
        <f aca="false">IF(OR(B298="",G298=""),"",IF(H298="Min",IF(E298&lt;G298,"Exceedance","OK"),IF(E298&gt;G298,"Exceedance","OK")))</f>
        <v/>
      </c>
    </row>
    <row r="299" customFormat="false" ht="15" hidden="false" customHeight="false" outlineLevel="0" collapsed="false">
      <c r="A299" s="32"/>
      <c r="B299" s="32"/>
      <c r="C299" s="32"/>
      <c r="D299" s="35"/>
      <c r="E299" s="43"/>
      <c r="F299" s="32"/>
      <c r="G299" s="43"/>
      <c r="H299" s="32"/>
      <c r="I299" s="33"/>
      <c r="J299" s="33"/>
      <c r="K299" s="37" t="str">
        <f aca="false">IF(OR(B299="",G299=""),"",IF(H299="Min",IF(E299&lt;G299,"Exceedance","OK"),IF(E299&gt;G299,"Exceedance","OK")))</f>
        <v/>
      </c>
    </row>
    <row r="300" customFormat="false" ht="15" hidden="false" customHeight="false" outlineLevel="0" collapsed="false">
      <c r="A300" s="32"/>
      <c r="B300" s="32"/>
      <c r="C300" s="32"/>
      <c r="D300" s="35"/>
      <c r="E300" s="43"/>
      <c r="F300" s="32"/>
      <c r="G300" s="43"/>
      <c r="H300" s="32"/>
      <c r="I300" s="33"/>
      <c r="J300" s="33"/>
      <c r="K300" s="37" t="str">
        <f aca="false">IF(OR(B300="",G300=""),"",IF(H300="Min",IF(E300&lt;G300,"Exceedance","OK"),IF(E300&gt;G300,"Exceedance","OK")))</f>
        <v/>
      </c>
    </row>
    <row r="301" customFormat="false" ht="15" hidden="false" customHeight="false" outlineLevel="0" collapsed="false">
      <c r="A301" s="32"/>
      <c r="B301" s="32"/>
      <c r="C301" s="32"/>
      <c r="D301" s="35"/>
      <c r="E301" s="43"/>
      <c r="F301" s="32"/>
      <c r="G301" s="43"/>
      <c r="H301" s="32"/>
      <c r="I301" s="33"/>
      <c r="J301" s="33"/>
      <c r="K301" s="37" t="str">
        <f aca="false">IF(OR(B301="",G301=""),"",IF(H301="Min",IF(E301&lt;G301,"Exceedance","OK"),IF(E301&gt;G301,"Exceedance","OK")))</f>
        <v/>
      </c>
    </row>
    <row r="302" customFormat="false" ht="15" hidden="false" customHeight="false" outlineLevel="0" collapsed="false">
      <c r="A302" s="32"/>
      <c r="B302" s="32"/>
      <c r="C302" s="32"/>
      <c r="D302" s="35"/>
      <c r="E302" s="43"/>
      <c r="F302" s="32"/>
      <c r="G302" s="43"/>
      <c r="H302" s="32"/>
      <c r="I302" s="33"/>
      <c r="J302" s="33"/>
      <c r="K302" s="37" t="str">
        <f aca="false">IF(OR(B302="",G302=""),"",IF(H302="Min",IF(E302&lt;G302,"Exceedance","OK"),IF(E302&gt;G302,"Exceedance","OK")))</f>
        <v/>
      </c>
    </row>
    <row r="303" customFormat="false" ht="15" hidden="false" customHeight="false" outlineLevel="0" collapsed="false">
      <c r="A303" s="32"/>
      <c r="B303" s="32"/>
      <c r="C303" s="32"/>
      <c r="D303" s="35"/>
      <c r="E303" s="43"/>
      <c r="F303" s="32"/>
      <c r="G303" s="43"/>
      <c r="H303" s="32"/>
      <c r="I303" s="33"/>
      <c r="J303" s="33"/>
      <c r="K303" s="37" t="str">
        <f aca="false">IF(OR(B303="",G303=""),"",IF(H303="Min",IF(E303&lt;G303,"Exceedance","OK"),IF(E303&gt;G303,"Exceedance","OK")))</f>
        <v/>
      </c>
    </row>
    <row r="304" customFormat="false" ht="15" hidden="false" customHeight="false" outlineLevel="0" collapsed="false">
      <c r="A304" s="32"/>
      <c r="B304" s="32"/>
      <c r="C304" s="32"/>
      <c r="D304" s="35"/>
      <c r="E304" s="43"/>
      <c r="F304" s="32"/>
      <c r="G304" s="43"/>
      <c r="H304" s="32"/>
      <c r="I304" s="33"/>
      <c r="J304" s="33"/>
      <c r="K304" s="37" t="str">
        <f aca="false">IF(OR(B304="",G304=""),"",IF(H304="Min",IF(E304&lt;G304,"Exceedance","OK"),IF(E304&gt;G304,"Exceedance","OK")))</f>
        <v/>
      </c>
    </row>
    <row r="305" customFormat="false" ht="15" hidden="false" customHeight="false" outlineLevel="0" collapsed="false">
      <c r="A305" s="32"/>
      <c r="B305" s="32"/>
      <c r="C305" s="32"/>
      <c r="D305" s="35"/>
      <c r="E305" s="43"/>
      <c r="F305" s="32"/>
      <c r="G305" s="43"/>
      <c r="H305" s="32"/>
      <c r="I305" s="33"/>
      <c r="J305" s="33"/>
      <c r="K305" s="37" t="str">
        <f aca="false">IF(OR(B305="",G305=""),"",IF(H305="Min",IF(E305&lt;G305,"Exceedance","OK"),IF(E305&gt;G305,"Exceedance","OK")))</f>
        <v/>
      </c>
    </row>
    <row r="306" customFormat="false" ht="15" hidden="false" customHeight="false" outlineLevel="0" collapsed="false">
      <c r="A306" s="32"/>
      <c r="B306" s="32"/>
      <c r="C306" s="32"/>
      <c r="D306" s="35"/>
      <c r="E306" s="43"/>
      <c r="F306" s="32"/>
      <c r="G306" s="43"/>
      <c r="H306" s="32"/>
      <c r="I306" s="33"/>
      <c r="J306" s="33"/>
      <c r="K306" s="37" t="str">
        <f aca="false">IF(OR(B306="",G306=""),"",IF(H306="Min",IF(E306&lt;G306,"Exceedance","OK"),IF(E306&gt;G306,"Exceedance","OK")))</f>
        <v/>
      </c>
    </row>
    <row r="307" customFormat="false" ht="15" hidden="false" customHeight="false" outlineLevel="0" collapsed="false">
      <c r="A307" s="32"/>
      <c r="B307" s="32"/>
      <c r="C307" s="32"/>
      <c r="D307" s="35"/>
      <c r="E307" s="43"/>
      <c r="F307" s="32"/>
      <c r="G307" s="43"/>
      <c r="H307" s="32"/>
      <c r="I307" s="33"/>
      <c r="J307" s="33"/>
      <c r="K307" s="37" t="str">
        <f aca="false">IF(OR(B307="",G307=""),"",IF(H307="Min",IF(E307&lt;G307,"Exceedance","OK"),IF(E307&gt;G307,"Exceedance","OK")))</f>
        <v/>
      </c>
    </row>
    <row r="308" customFormat="false" ht="15" hidden="false" customHeight="false" outlineLevel="0" collapsed="false">
      <c r="A308" s="32"/>
      <c r="B308" s="32"/>
      <c r="C308" s="32"/>
      <c r="D308" s="35"/>
      <c r="E308" s="43"/>
      <c r="F308" s="32"/>
      <c r="G308" s="43"/>
      <c r="H308" s="32"/>
      <c r="I308" s="33"/>
      <c r="J308" s="33"/>
      <c r="K308" s="37" t="str">
        <f aca="false">IF(OR(B308="",G308=""),"",IF(H308="Min",IF(E308&lt;G308,"Exceedance","OK"),IF(E308&gt;G308,"Exceedance","OK")))</f>
        <v/>
      </c>
    </row>
    <row r="309" customFormat="false" ht="15" hidden="false" customHeight="false" outlineLevel="0" collapsed="false">
      <c r="A309" s="32"/>
      <c r="B309" s="32"/>
      <c r="C309" s="32"/>
      <c r="D309" s="35"/>
      <c r="E309" s="43"/>
      <c r="F309" s="32"/>
      <c r="G309" s="43"/>
      <c r="H309" s="32"/>
      <c r="I309" s="33"/>
      <c r="J309" s="33"/>
      <c r="K309" s="37" t="str">
        <f aca="false">IF(OR(B309="",G309=""),"",IF(H309="Min",IF(E309&lt;G309,"Exceedance","OK"),IF(E309&gt;G309,"Exceedance","OK")))</f>
        <v/>
      </c>
    </row>
    <row r="310" customFormat="false" ht="15" hidden="false" customHeight="false" outlineLevel="0" collapsed="false">
      <c r="A310" s="32"/>
      <c r="B310" s="32"/>
      <c r="C310" s="32"/>
      <c r="D310" s="35"/>
      <c r="E310" s="43"/>
      <c r="F310" s="32"/>
      <c r="G310" s="43"/>
      <c r="H310" s="32"/>
      <c r="I310" s="33"/>
      <c r="J310" s="33"/>
      <c r="K310" s="37" t="str">
        <f aca="false">IF(OR(B310="",G310=""),"",IF(H310="Min",IF(E310&lt;G310,"Exceedance","OK"),IF(E310&gt;G310,"Exceedance","OK")))</f>
        <v/>
      </c>
    </row>
    <row r="311" customFormat="false" ht="15" hidden="false" customHeight="false" outlineLevel="0" collapsed="false">
      <c r="A311" s="32"/>
      <c r="B311" s="32"/>
      <c r="C311" s="32"/>
      <c r="D311" s="35"/>
      <c r="E311" s="43"/>
      <c r="F311" s="32"/>
      <c r="G311" s="43"/>
      <c r="H311" s="32"/>
      <c r="I311" s="33"/>
      <c r="J311" s="33"/>
      <c r="K311" s="37" t="str">
        <f aca="false">IF(OR(B311="",G311=""),"",IF(H311="Min",IF(E311&lt;G311,"Exceedance","OK"),IF(E311&gt;G311,"Exceedance","OK")))</f>
        <v/>
      </c>
    </row>
    <row r="312" customFormat="false" ht="15" hidden="false" customHeight="false" outlineLevel="0" collapsed="false">
      <c r="A312" s="32"/>
      <c r="B312" s="32"/>
      <c r="C312" s="32"/>
      <c r="D312" s="35"/>
      <c r="E312" s="43"/>
      <c r="F312" s="32"/>
      <c r="G312" s="43"/>
      <c r="H312" s="32"/>
      <c r="I312" s="33"/>
      <c r="J312" s="33"/>
      <c r="K312" s="37" t="str">
        <f aca="false">IF(OR(B312="",G312=""),"",IF(H312="Min",IF(E312&lt;G312,"Exceedance","OK"),IF(E312&gt;G312,"Exceedance","OK")))</f>
        <v/>
      </c>
    </row>
    <row r="313" customFormat="false" ht="15" hidden="false" customHeight="false" outlineLevel="0" collapsed="false">
      <c r="A313" s="32"/>
      <c r="B313" s="32"/>
      <c r="C313" s="32"/>
      <c r="D313" s="35"/>
      <c r="E313" s="43"/>
      <c r="F313" s="32"/>
      <c r="G313" s="43"/>
      <c r="H313" s="32"/>
      <c r="I313" s="33"/>
      <c r="J313" s="33"/>
      <c r="K313" s="37" t="str">
        <f aca="false">IF(OR(B313="",G313=""),"",IF(H313="Min",IF(E313&lt;G313,"Exceedance","OK"),IF(E313&gt;G313,"Exceedance","OK")))</f>
        <v/>
      </c>
    </row>
    <row r="314" customFormat="false" ht="15" hidden="false" customHeight="false" outlineLevel="0" collapsed="false">
      <c r="A314" s="32"/>
      <c r="B314" s="32"/>
      <c r="C314" s="32"/>
      <c r="D314" s="35"/>
      <c r="E314" s="43"/>
      <c r="F314" s="32"/>
      <c r="G314" s="43"/>
      <c r="H314" s="32"/>
      <c r="I314" s="33"/>
      <c r="J314" s="33"/>
      <c r="K314" s="37" t="str">
        <f aca="false">IF(OR(B314="",G314=""),"",IF(H314="Min",IF(E314&lt;G314,"Exceedance","OK"),IF(E314&gt;G314,"Exceedance","OK")))</f>
        <v/>
      </c>
    </row>
    <row r="315" customFormat="false" ht="15" hidden="false" customHeight="false" outlineLevel="0" collapsed="false">
      <c r="A315" s="32"/>
      <c r="B315" s="32"/>
      <c r="C315" s="32"/>
      <c r="D315" s="35"/>
      <c r="E315" s="43"/>
      <c r="F315" s="32"/>
      <c r="G315" s="43"/>
      <c r="H315" s="32"/>
      <c r="I315" s="33"/>
      <c r="J315" s="33"/>
      <c r="K315" s="37" t="str">
        <f aca="false">IF(OR(B315="",G315=""),"",IF(H315="Min",IF(E315&lt;G315,"Exceedance","OK"),IF(E315&gt;G315,"Exceedance","OK")))</f>
        <v/>
      </c>
    </row>
    <row r="316" customFormat="false" ht="15" hidden="false" customHeight="false" outlineLevel="0" collapsed="false">
      <c r="A316" s="32"/>
      <c r="B316" s="32"/>
      <c r="C316" s="32"/>
      <c r="D316" s="35"/>
      <c r="E316" s="43"/>
      <c r="F316" s="32"/>
      <c r="G316" s="43"/>
      <c r="H316" s="32"/>
      <c r="I316" s="33"/>
      <c r="J316" s="33"/>
      <c r="K316" s="37" t="str">
        <f aca="false">IF(OR(B316="",G316=""),"",IF(H316="Min",IF(E316&lt;G316,"Exceedance","OK"),IF(E316&gt;G316,"Exceedance","OK")))</f>
        <v/>
      </c>
    </row>
    <row r="317" customFormat="false" ht="15" hidden="false" customHeight="false" outlineLevel="0" collapsed="false">
      <c r="A317" s="32"/>
      <c r="B317" s="32"/>
      <c r="C317" s="32"/>
      <c r="D317" s="35"/>
      <c r="E317" s="43"/>
      <c r="F317" s="32"/>
      <c r="G317" s="43"/>
      <c r="H317" s="32"/>
      <c r="I317" s="33"/>
      <c r="J317" s="33"/>
      <c r="K317" s="37" t="str">
        <f aca="false">IF(OR(B317="",G317=""),"",IF(H317="Min",IF(E317&lt;G317,"Exceedance","OK"),IF(E317&gt;G317,"Exceedance","OK")))</f>
        <v/>
      </c>
    </row>
    <row r="318" customFormat="false" ht="15" hidden="false" customHeight="false" outlineLevel="0" collapsed="false">
      <c r="A318" s="32"/>
      <c r="B318" s="32"/>
      <c r="C318" s="32"/>
      <c r="D318" s="35"/>
      <c r="E318" s="43"/>
      <c r="F318" s="32"/>
      <c r="G318" s="43"/>
      <c r="H318" s="32"/>
      <c r="I318" s="33"/>
      <c r="J318" s="33"/>
      <c r="K318" s="37" t="str">
        <f aca="false">IF(OR(B318="",G318=""),"",IF(H318="Min",IF(E318&lt;G318,"Exceedance","OK"),IF(E318&gt;G318,"Exceedance","OK")))</f>
        <v/>
      </c>
    </row>
    <row r="319" customFormat="false" ht="15" hidden="false" customHeight="false" outlineLevel="0" collapsed="false">
      <c r="A319" s="32"/>
      <c r="B319" s="32"/>
      <c r="C319" s="32"/>
      <c r="D319" s="35"/>
      <c r="E319" s="43"/>
      <c r="F319" s="32"/>
      <c r="G319" s="43"/>
      <c r="H319" s="32"/>
      <c r="I319" s="33"/>
      <c r="J319" s="33"/>
      <c r="K319" s="37" t="str">
        <f aca="false">IF(OR(B319="",G319=""),"",IF(H319="Min",IF(E319&lt;G319,"Exceedance","OK"),IF(E319&gt;G319,"Exceedance","OK")))</f>
        <v/>
      </c>
    </row>
    <row r="320" customFormat="false" ht="15" hidden="false" customHeight="false" outlineLevel="0" collapsed="false">
      <c r="A320" s="32"/>
      <c r="B320" s="32"/>
      <c r="C320" s="32"/>
      <c r="D320" s="35"/>
      <c r="E320" s="43"/>
      <c r="F320" s="32"/>
      <c r="G320" s="43"/>
      <c r="H320" s="32"/>
      <c r="I320" s="33"/>
      <c r="J320" s="33"/>
      <c r="K320" s="37" t="str">
        <f aca="false">IF(OR(B320="",G320=""),"",IF(H320="Min",IF(E320&lt;G320,"Exceedance","OK"),IF(E320&gt;G320,"Exceedance","OK")))</f>
        <v/>
      </c>
    </row>
    <row r="321" customFormat="false" ht="15" hidden="false" customHeight="false" outlineLevel="0" collapsed="false">
      <c r="A321" s="32"/>
      <c r="B321" s="32"/>
      <c r="C321" s="32"/>
      <c r="D321" s="35"/>
      <c r="E321" s="43"/>
      <c r="F321" s="32"/>
      <c r="G321" s="43"/>
      <c r="H321" s="32"/>
      <c r="I321" s="33"/>
      <c r="J321" s="33"/>
      <c r="K321" s="37" t="str">
        <f aca="false">IF(OR(B321="",G321=""),"",IF(H321="Min",IF(E321&lt;G321,"Exceedance","OK"),IF(E321&gt;G321,"Exceedance","OK")))</f>
        <v/>
      </c>
    </row>
    <row r="322" customFormat="false" ht="15" hidden="false" customHeight="false" outlineLevel="0" collapsed="false">
      <c r="A322" s="32"/>
      <c r="B322" s="32"/>
      <c r="C322" s="32"/>
      <c r="D322" s="35"/>
      <c r="E322" s="43"/>
      <c r="F322" s="32"/>
      <c r="G322" s="43"/>
      <c r="H322" s="32"/>
      <c r="I322" s="33"/>
      <c r="J322" s="33"/>
      <c r="K322" s="37" t="str">
        <f aca="false">IF(OR(B322="",G322=""),"",IF(H322="Min",IF(E322&lt;G322,"Exceedance","OK"),IF(E322&gt;G322,"Exceedance","OK")))</f>
        <v/>
      </c>
    </row>
    <row r="323" customFormat="false" ht="15" hidden="false" customHeight="false" outlineLevel="0" collapsed="false">
      <c r="A323" s="32"/>
      <c r="B323" s="32"/>
      <c r="C323" s="32"/>
      <c r="D323" s="35"/>
      <c r="E323" s="43"/>
      <c r="F323" s="32"/>
      <c r="G323" s="43"/>
      <c r="H323" s="32"/>
      <c r="I323" s="33"/>
      <c r="J323" s="33"/>
      <c r="K323" s="37" t="str">
        <f aca="false">IF(OR(B323="",G323=""),"",IF(H323="Min",IF(E323&lt;G323,"Exceedance","OK"),IF(E323&gt;G323,"Exceedance","OK")))</f>
        <v/>
      </c>
    </row>
    <row r="324" customFormat="false" ht="15" hidden="false" customHeight="false" outlineLevel="0" collapsed="false">
      <c r="A324" s="32"/>
      <c r="B324" s="32"/>
      <c r="C324" s="32"/>
      <c r="D324" s="35"/>
      <c r="E324" s="43"/>
      <c r="F324" s="32"/>
      <c r="G324" s="43"/>
      <c r="H324" s="32"/>
      <c r="I324" s="33"/>
      <c r="J324" s="33"/>
      <c r="K324" s="37" t="str">
        <f aca="false">IF(OR(B324="",G324=""),"",IF(H324="Min",IF(E324&lt;G324,"Exceedance","OK"),IF(E324&gt;G324,"Exceedance","OK")))</f>
        <v/>
      </c>
    </row>
    <row r="325" customFormat="false" ht="15" hidden="false" customHeight="false" outlineLevel="0" collapsed="false">
      <c r="A325" s="32"/>
      <c r="B325" s="32"/>
      <c r="C325" s="32"/>
      <c r="D325" s="35"/>
      <c r="E325" s="43"/>
      <c r="F325" s="32"/>
      <c r="G325" s="43"/>
      <c r="H325" s="32"/>
      <c r="I325" s="33"/>
      <c r="J325" s="33"/>
      <c r="K325" s="37" t="str">
        <f aca="false">IF(OR(B325="",G325=""),"",IF(H325="Min",IF(E325&lt;G325,"Exceedance","OK"),IF(E325&gt;G325,"Exceedance","OK")))</f>
        <v/>
      </c>
    </row>
    <row r="326" customFormat="false" ht="15" hidden="false" customHeight="false" outlineLevel="0" collapsed="false">
      <c r="A326" s="32"/>
      <c r="B326" s="32"/>
      <c r="C326" s="32"/>
      <c r="D326" s="35"/>
      <c r="E326" s="43"/>
      <c r="F326" s="32"/>
      <c r="G326" s="43"/>
      <c r="H326" s="32"/>
      <c r="I326" s="33"/>
      <c r="J326" s="33"/>
      <c r="K326" s="37" t="str">
        <f aca="false">IF(OR(B326="",G326=""),"",IF(H326="Min",IF(E326&lt;G326,"Exceedance","OK"),IF(E326&gt;G326,"Exceedance","OK")))</f>
        <v/>
      </c>
    </row>
    <row r="327" customFormat="false" ht="15" hidden="false" customHeight="false" outlineLevel="0" collapsed="false">
      <c r="A327" s="32"/>
      <c r="B327" s="32"/>
      <c r="C327" s="32"/>
      <c r="D327" s="35"/>
      <c r="E327" s="43"/>
      <c r="F327" s="32"/>
      <c r="G327" s="43"/>
      <c r="H327" s="32"/>
      <c r="I327" s="33"/>
      <c r="J327" s="33"/>
      <c r="K327" s="37" t="str">
        <f aca="false">IF(OR(B327="",G327=""),"",IF(H327="Min",IF(E327&lt;G327,"Exceedance","OK"),IF(E327&gt;G327,"Exceedance","OK")))</f>
        <v/>
      </c>
    </row>
    <row r="328" customFormat="false" ht="15" hidden="false" customHeight="false" outlineLevel="0" collapsed="false">
      <c r="A328" s="32"/>
      <c r="B328" s="32"/>
      <c r="C328" s="32"/>
      <c r="D328" s="35"/>
      <c r="E328" s="43"/>
      <c r="F328" s="32"/>
      <c r="G328" s="43"/>
      <c r="H328" s="32"/>
      <c r="I328" s="33"/>
      <c r="J328" s="33"/>
      <c r="K328" s="37" t="str">
        <f aca="false">IF(OR(B328="",G328=""),"",IF(H328="Min",IF(E328&lt;G328,"Exceedance","OK"),IF(E328&gt;G328,"Exceedance","OK")))</f>
        <v/>
      </c>
    </row>
    <row r="329" customFormat="false" ht="15" hidden="false" customHeight="false" outlineLevel="0" collapsed="false">
      <c r="A329" s="32"/>
      <c r="B329" s="32"/>
      <c r="C329" s="32"/>
      <c r="D329" s="35"/>
      <c r="E329" s="43"/>
      <c r="F329" s="32"/>
      <c r="G329" s="43"/>
      <c r="H329" s="32"/>
      <c r="I329" s="33"/>
      <c r="J329" s="33"/>
      <c r="K329" s="37" t="str">
        <f aca="false">IF(OR(B329="",G329=""),"",IF(H329="Min",IF(E329&lt;G329,"Exceedance","OK"),IF(E329&gt;G329,"Exceedance","OK")))</f>
        <v/>
      </c>
    </row>
    <row r="330" customFormat="false" ht="15" hidden="false" customHeight="false" outlineLevel="0" collapsed="false">
      <c r="A330" s="32"/>
      <c r="B330" s="32"/>
      <c r="C330" s="32"/>
      <c r="D330" s="35"/>
      <c r="E330" s="43"/>
      <c r="F330" s="32"/>
      <c r="G330" s="43"/>
      <c r="H330" s="32"/>
      <c r="I330" s="33"/>
      <c r="J330" s="33"/>
      <c r="K330" s="37" t="str">
        <f aca="false">IF(OR(B330="",G330=""),"",IF(H330="Min",IF(E330&lt;G330,"Exceedance","OK"),IF(E330&gt;G330,"Exceedance","OK")))</f>
        <v/>
      </c>
    </row>
    <row r="331" customFormat="false" ht="15" hidden="false" customHeight="false" outlineLevel="0" collapsed="false">
      <c r="A331" s="32"/>
      <c r="B331" s="32"/>
      <c r="C331" s="32"/>
      <c r="D331" s="35"/>
      <c r="E331" s="43"/>
      <c r="F331" s="32"/>
      <c r="G331" s="43"/>
      <c r="H331" s="32"/>
      <c r="I331" s="33"/>
      <c r="J331" s="33"/>
      <c r="K331" s="37" t="str">
        <f aca="false">IF(OR(B331="",G331=""),"",IF(H331="Min",IF(E331&lt;G331,"Exceedance","OK"),IF(E331&gt;G331,"Exceedance","OK")))</f>
        <v/>
      </c>
    </row>
    <row r="332" customFormat="false" ht="15" hidden="false" customHeight="false" outlineLevel="0" collapsed="false">
      <c r="A332" s="32"/>
      <c r="B332" s="32"/>
      <c r="C332" s="32"/>
      <c r="D332" s="35"/>
      <c r="E332" s="43"/>
      <c r="F332" s="32"/>
      <c r="G332" s="43"/>
      <c r="H332" s="32"/>
      <c r="I332" s="33"/>
      <c r="J332" s="33"/>
      <c r="K332" s="37" t="str">
        <f aca="false">IF(OR(B332="",G332=""),"",IF(H332="Min",IF(E332&lt;G332,"Exceedance","OK"),IF(E332&gt;G332,"Exceedance","OK")))</f>
        <v/>
      </c>
    </row>
    <row r="333" customFormat="false" ht="15" hidden="false" customHeight="false" outlineLevel="0" collapsed="false">
      <c r="A333" s="32"/>
      <c r="B333" s="32"/>
      <c r="C333" s="32"/>
      <c r="D333" s="35"/>
      <c r="E333" s="43"/>
      <c r="F333" s="32"/>
      <c r="G333" s="43"/>
      <c r="H333" s="32"/>
      <c r="I333" s="33"/>
      <c r="J333" s="33"/>
      <c r="K333" s="37" t="str">
        <f aca="false">IF(OR(B333="",G333=""),"",IF(H333="Min",IF(E333&lt;G333,"Exceedance","OK"),IF(E333&gt;G333,"Exceedance","OK")))</f>
        <v/>
      </c>
    </row>
    <row r="334" customFormat="false" ht="15" hidden="false" customHeight="false" outlineLevel="0" collapsed="false">
      <c r="A334" s="32"/>
      <c r="B334" s="32"/>
      <c r="C334" s="32"/>
      <c r="D334" s="35"/>
      <c r="E334" s="43"/>
      <c r="F334" s="32"/>
      <c r="G334" s="43"/>
      <c r="H334" s="32"/>
      <c r="I334" s="33"/>
      <c r="J334" s="33"/>
      <c r="K334" s="37" t="str">
        <f aca="false">IF(OR(B334="",G334=""),"",IF(H334="Min",IF(E334&lt;G334,"Exceedance","OK"),IF(E334&gt;G334,"Exceedance","OK")))</f>
        <v/>
      </c>
    </row>
    <row r="335" customFormat="false" ht="15" hidden="false" customHeight="false" outlineLevel="0" collapsed="false">
      <c r="A335" s="32"/>
      <c r="B335" s="32"/>
      <c r="C335" s="32"/>
      <c r="D335" s="35"/>
      <c r="E335" s="43"/>
      <c r="F335" s="32"/>
      <c r="G335" s="43"/>
      <c r="H335" s="32"/>
      <c r="I335" s="33"/>
      <c r="J335" s="33"/>
      <c r="K335" s="37" t="str">
        <f aca="false">IF(OR(B335="",G335=""),"",IF(H335="Min",IF(E335&lt;G335,"Exceedance","OK"),IF(E335&gt;G335,"Exceedance","OK")))</f>
        <v/>
      </c>
    </row>
    <row r="336" customFormat="false" ht="15" hidden="false" customHeight="false" outlineLevel="0" collapsed="false">
      <c r="A336" s="32"/>
      <c r="B336" s="32"/>
      <c r="C336" s="32"/>
      <c r="D336" s="35"/>
      <c r="E336" s="43"/>
      <c r="F336" s="32"/>
      <c r="G336" s="43"/>
      <c r="H336" s="32"/>
      <c r="I336" s="33"/>
      <c r="J336" s="33"/>
      <c r="K336" s="37" t="str">
        <f aca="false">IF(OR(B336="",G336=""),"",IF(H336="Min",IF(E336&lt;G336,"Exceedance","OK"),IF(E336&gt;G336,"Exceedance","OK")))</f>
        <v/>
      </c>
    </row>
    <row r="337" customFormat="false" ht="15" hidden="false" customHeight="false" outlineLevel="0" collapsed="false">
      <c r="A337" s="32"/>
      <c r="B337" s="32"/>
      <c r="C337" s="32"/>
      <c r="D337" s="35"/>
      <c r="E337" s="43"/>
      <c r="F337" s="32"/>
      <c r="G337" s="43"/>
      <c r="H337" s="32"/>
      <c r="I337" s="33"/>
      <c r="J337" s="33"/>
      <c r="K337" s="37" t="str">
        <f aca="false">IF(OR(B337="",G337=""),"",IF(H337="Min",IF(E337&lt;G337,"Exceedance","OK"),IF(E337&gt;G337,"Exceedance","OK")))</f>
        <v/>
      </c>
    </row>
    <row r="338" customFormat="false" ht="15" hidden="false" customHeight="false" outlineLevel="0" collapsed="false">
      <c r="A338" s="32"/>
      <c r="B338" s="32"/>
      <c r="C338" s="32"/>
      <c r="D338" s="35"/>
      <c r="E338" s="43"/>
      <c r="F338" s="32"/>
      <c r="G338" s="43"/>
      <c r="H338" s="32"/>
      <c r="I338" s="33"/>
      <c r="J338" s="33"/>
      <c r="K338" s="37" t="str">
        <f aca="false">IF(OR(B338="",G338=""),"",IF(H338="Min",IF(E338&lt;G338,"Exceedance","OK"),IF(E338&gt;G338,"Exceedance","OK")))</f>
        <v/>
      </c>
    </row>
    <row r="339" customFormat="false" ht="15" hidden="false" customHeight="false" outlineLevel="0" collapsed="false">
      <c r="A339" s="32"/>
      <c r="B339" s="32"/>
      <c r="C339" s="32"/>
      <c r="D339" s="35"/>
      <c r="E339" s="43"/>
      <c r="F339" s="32"/>
      <c r="G339" s="43"/>
      <c r="H339" s="32"/>
      <c r="I339" s="33"/>
      <c r="J339" s="33"/>
      <c r="K339" s="37" t="str">
        <f aca="false">IF(OR(B339="",G339=""),"",IF(H339="Min",IF(E339&lt;G339,"Exceedance","OK"),IF(E339&gt;G339,"Exceedance","OK")))</f>
        <v/>
      </c>
    </row>
    <row r="340" customFormat="false" ht="15" hidden="false" customHeight="false" outlineLevel="0" collapsed="false">
      <c r="A340" s="32"/>
      <c r="B340" s="32"/>
      <c r="C340" s="32"/>
      <c r="D340" s="35"/>
      <c r="E340" s="43"/>
      <c r="F340" s="32"/>
      <c r="G340" s="43"/>
      <c r="H340" s="32"/>
      <c r="I340" s="33"/>
      <c r="J340" s="33"/>
      <c r="K340" s="37" t="str">
        <f aca="false">IF(OR(B340="",G340=""),"",IF(H340="Min",IF(E340&lt;G340,"Exceedance","OK"),IF(E340&gt;G340,"Exceedance","OK")))</f>
        <v/>
      </c>
    </row>
    <row r="341" customFormat="false" ht="15" hidden="false" customHeight="false" outlineLevel="0" collapsed="false">
      <c r="A341" s="32"/>
      <c r="B341" s="32"/>
      <c r="C341" s="32"/>
      <c r="D341" s="35"/>
      <c r="E341" s="43"/>
      <c r="F341" s="32"/>
      <c r="G341" s="43"/>
      <c r="H341" s="32"/>
      <c r="I341" s="33"/>
      <c r="J341" s="33"/>
      <c r="K341" s="37" t="str">
        <f aca="false">IF(OR(B341="",G341=""),"",IF(H341="Min",IF(E341&lt;G341,"Exceedance","OK"),IF(E341&gt;G341,"Exceedance","OK")))</f>
        <v/>
      </c>
    </row>
    <row r="342" customFormat="false" ht="15" hidden="false" customHeight="false" outlineLevel="0" collapsed="false">
      <c r="A342" s="32"/>
      <c r="B342" s="32"/>
      <c r="C342" s="32"/>
      <c r="D342" s="35"/>
      <c r="E342" s="43"/>
      <c r="F342" s="32"/>
      <c r="G342" s="43"/>
      <c r="H342" s="32"/>
      <c r="I342" s="33"/>
      <c r="J342" s="33"/>
      <c r="K342" s="37" t="str">
        <f aca="false">IF(OR(B342="",G342=""),"",IF(H342="Min",IF(E342&lt;G342,"Exceedance","OK"),IF(E342&gt;G342,"Exceedance","OK")))</f>
        <v/>
      </c>
    </row>
    <row r="343" customFormat="false" ht="15" hidden="false" customHeight="false" outlineLevel="0" collapsed="false">
      <c r="A343" s="32"/>
      <c r="B343" s="32"/>
      <c r="C343" s="32"/>
      <c r="D343" s="35"/>
      <c r="E343" s="43"/>
      <c r="F343" s="32"/>
      <c r="G343" s="43"/>
      <c r="H343" s="32"/>
      <c r="I343" s="33"/>
      <c r="J343" s="33"/>
      <c r="K343" s="37" t="str">
        <f aca="false">IF(OR(B343="",G343=""),"",IF(H343="Min",IF(E343&lt;G343,"Exceedance","OK"),IF(E343&gt;G343,"Exceedance","OK")))</f>
        <v/>
      </c>
    </row>
    <row r="344" customFormat="false" ht="15" hidden="false" customHeight="false" outlineLevel="0" collapsed="false">
      <c r="A344" s="32"/>
      <c r="B344" s="32"/>
      <c r="C344" s="32"/>
      <c r="D344" s="35"/>
      <c r="E344" s="43"/>
      <c r="F344" s="32"/>
      <c r="G344" s="43"/>
      <c r="H344" s="32"/>
      <c r="I344" s="33"/>
      <c r="J344" s="33"/>
      <c r="K344" s="37" t="str">
        <f aca="false">IF(OR(B344="",G344=""),"",IF(H344="Min",IF(E344&lt;G344,"Exceedance","OK"),IF(E344&gt;G344,"Exceedance","OK")))</f>
        <v/>
      </c>
    </row>
    <row r="345" customFormat="false" ht="15" hidden="false" customHeight="false" outlineLevel="0" collapsed="false">
      <c r="A345" s="32"/>
      <c r="B345" s="32"/>
      <c r="C345" s="32"/>
      <c r="D345" s="35"/>
      <c r="E345" s="43"/>
      <c r="F345" s="32"/>
      <c r="G345" s="43"/>
      <c r="H345" s="32"/>
      <c r="I345" s="33"/>
      <c r="J345" s="33"/>
      <c r="K345" s="37" t="str">
        <f aca="false">IF(OR(B345="",G345=""),"",IF(H345="Min",IF(E345&lt;G345,"Exceedance","OK"),IF(E345&gt;G345,"Exceedance","OK")))</f>
        <v/>
      </c>
    </row>
    <row r="346" customFormat="false" ht="15" hidden="false" customHeight="false" outlineLevel="0" collapsed="false">
      <c r="A346" s="32"/>
      <c r="B346" s="32"/>
      <c r="C346" s="32"/>
      <c r="D346" s="35"/>
      <c r="E346" s="43"/>
      <c r="F346" s="32"/>
      <c r="G346" s="43"/>
      <c r="H346" s="32"/>
      <c r="I346" s="33"/>
      <c r="J346" s="33"/>
      <c r="K346" s="37" t="str">
        <f aca="false">IF(OR(B346="",G346=""),"",IF(H346="Min",IF(E346&lt;G346,"Exceedance","OK"),IF(E346&gt;G346,"Exceedance","OK")))</f>
        <v/>
      </c>
    </row>
    <row r="347" customFormat="false" ht="15" hidden="false" customHeight="false" outlineLevel="0" collapsed="false">
      <c r="A347" s="32"/>
      <c r="B347" s="32"/>
      <c r="C347" s="32"/>
      <c r="D347" s="35"/>
      <c r="E347" s="43"/>
      <c r="F347" s="32"/>
      <c r="G347" s="43"/>
      <c r="H347" s="32"/>
      <c r="I347" s="33"/>
      <c r="J347" s="33"/>
      <c r="K347" s="37" t="str">
        <f aca="false">IF(OR(B347="",G347=""),"",IF(H347="Min",IF(E347&lt;G347,"Exceedance","OK"),IF(E347&gt;G347,"Exceedance","OK")))</f>
        <v/>
      </c>
    </row>
    <row r="348" customFormat="false" ht="15" hidden="false" customHeight="false" outlineLevel="0" collapsed="false">
      <c r="A348" s="32"/>
      <c r="B348" s="32"/>
      <c r="C348" s="32"/>
      <c r="D348" s="35"/>
      <c r="E348" s="43"/>
      <c r="F348" s="32"/>
      <c r="G348" s="43"/>
      <c r="H348" s="32"/>
      <c r="I348" s="33"/>
      <c r="J348" s="33"/>
      <c r="K348" s="37" t="str">
        <f aca="false">IF(OR(B348="",G348=""),"",IF(H348="Min",IF(E348&lt;G348,"Exceedance","OK"),IF(E348&gt;G348,"Exceedance","OK")))</f>
        <v/>
      </c>
    </row>
    <row r="349" customFormat="false" ht="15" hidden="false" customHeight="false" outlineLevel="0" collapsed="false">
      <c r="A349" s="32"/>
      <c r="B349" s="32"/>
      <c r="C349" s="32"/>
      <c r="D349" s="35"/>
      <c r="E349" s="43"/>
      <c r="F349" s="32"/>
      <c r="G349" s="43"/>
      <c r="H349" s="32"/>
      <c r="I349" s="33"/>
      <c r="J349" s="33"/>
      <c r="K349" s="37" t="str">
        <f aca="false">IF(OR(B349="",G349=""),"",IF(H349="Min",IF(E349&lt;G349,"Exceedance","OK"),IF(E349&gt;G349,"Exceedance","OK")))</f>
        <v/>
      </c>
    </row>
    <row r="350" customFormat="false" ht="15" hidden="false" customHeight="false" outlineLevel="0" collapsed="false">
      <c r="A350" s="32"/>
      <c r="B350" s="32"/>
      <c r="C350" s="32"/>
      <c r="D350" s="35"/>
      <c r="E350" s="43"/>
      <c r="F350" s="32"/>
      <c r="G350" s="43"/>
      <c r="H350" s="32"/>
      <c r="I350" s="33"/>
      <c r="J350" s="33"/>
      <c r="K350" s="37" t="str">
        <f aca="false">IF(OR(B350="",G350=""),"",IF(H350="Min",IF(E350&lt;G350,"Exceedance","OK"),IF(E350&gt;G350,"Exceedance","OK")))</f>
        <v/>
      </c>
    </row>
    <row r="351" customFormat="false" ht="15" hidden="false" customHeight="false" outlineLevel="0" collapsed="false">
      <c r="A351" s="32"/>
      <c r="B351" s="32"/>
      <c r="C351" s="32"/>
      <c r="D351" s="35"/>
      <c r="E351" s="43"/>
      <c r="F351" s="32"/>
      <c r="G351" s="43"/>
      <c r="H351" s="32"/>
      <c r="I351" s="33"/>
      <c r="J351" s="33"/>
      <c r="K351" s="37" t="str">
        <f aca="false">IF(OR(B351="",G351=""),"",IF(H351="Min",IF(E351&lt;G351,"Exceedance","OK"),IF(E351&gt;G351,"Exceedance","OK")))</f>
        <v/>
      </c>
    </row>
    <row r="352" customFormat="false" ht="15" hidden="false" customHeight="false" outlineLevel="0" collapsed="false">
      <c r="A352" s="32"/>
      <c r="B352" s="32"/>
      <c r="C352" s="32"/>
      <c r="D352" s="35"/>
      <c r="E352" s="43"/>
      <c r="F352" s="32"/>
      <c r="G352" s="43"/>
      <c r="H352" s="32"/>
      <c r="I352" s="33"/>
      <c r="J352" s="33"/>
      <c r="K352" s="37" t="str">
        <f aca="false">IF(OR(B352="",G352=""),"",IF(H352="Min",IF(E352&lt;G352,"Exceedance","OK"),IF(E352&gt;G352,"Exceedance","OK")))</f>
        <v/>
      </c>
    </row>
    <row r="353" customFormat="false" ht="15" hidden="false" customHeight="false" outlineLevel="0" collapsed="false">
      <c r="A353" s="32"/>
      <c r="B353" s="32"/>
      <c r="C353" s="32"/>
      <c r="D353" s="35"/>
      <c r="E353" s="43"/>
      <c r="F353" s="32"/>
      <c r="G353" s="43"/>
      <c r="H353" s="32"/>
      <c r="I353" s="33"/>
      <c r="J353" s="33"/>
      <c r="K353" s="37" t="str">
        <f aca="false">IF(OR(B353="",G353=""),"",IF(H353="Min",IF(E353&lt;G353,"Exceedance","OK"),IF(E353&gt;G353,"Exceedance","OK")))</f>
        <v/>
      </c>
    </row>
    <row r="354" customFormat="false" ht="15" hidden="false" customHeight="false" outlineLevel="0" collapsed="false">
      <c r="A354" s="32"/>
      <c r="B354" s="32"/>
      <c r="C354" s="32"/>
      <c r="D354" s="35"/>
      <c r="E354" s="43"/>
      <c r="F354" s="32"/>
      <c r="G354" s="43"/>
      <c r="H354" s="32"/>
      <c r="I354" s="33"/>
      <c r="J354" s="33"/>
      <c r="K354" s="37" t="str">
        <f aca="false">IF(OR(B354="",G354=""),"",IF(H354="Min",IF(E354&lt;G354,"Exceedance","OK"),IF(E354&gt;G354,"Exceedance","OK")))</f>
        <v/>
      </c>
    </row>
    <row r="355" customFormat="false" ht="15" hidden="false" customHeight="false" outlineLevel="0" collapsed="false">
      <c r="A355" s="32"/>
      <c r="B355" s="32"/>
      <c r="C355" s="32"/>
      <c r="D355" s="35"/>
      <c r="E355" s="43"/>
      <c r="F355" s="32"/>
      <c r="G355" s="43"/>
      <c r="H355" s="32"/>
      <c r="I355" s="33"/>
      <c r="J355" s="33"/>
      <c r="K355" s="37" t="str">
        <f aca="false">IF(OR(B355="",G355=""),"",IF(H355="Min",IF(E355&lt;G355,"Exceedance","OK"),IF(E355&gt;G355,"Exceedance","OK")))</f>
        <v/>
      </c>
    </row>
    <row r="356" customFormat="false" ht="15" hidden="false" customHeight="false" outlineLevel="0" collapsed="false">
      <c r="A356" s="32"/>
      <c r="B356" s="32"/>
      <c r="C356" s="32"/>
      <c r="D356" s="35"/>
      <c r="E356" s="43"/>
      <c r="F356" s="32"/>
      <c r="G356" s="43"/>
      <c r="H356" s="32"/>
      <c r="I356" s="33"/>
      <c r="J356" s="33"/>
      <c r="K356" s="37" t="str">
        <f aca="false">IF(OR(B356="",G356=""),"",IF(H356="Min",IF(E356&lt;G356,"Exceedance","OK"),IF(E356&gt;G356,"Exceedance","OK")))</f>
        <v/>
      </c>
    </row>
    <row r="357" customFormat="false" ht="15" hidden="false" customHeight="false" outlineLevel="0" collapsed="false">
      <c r="A357" s="32"/>
      <c r="B357" s="32"/>
      <c r="C357" s="32"/>
      <c r="D357" s="35"/>
      <c r="E357" s="43"/>
      <c r="F357" s="32"/>
      <c r="G357" s="43"/>
      <c r="H357" s="32"/>
      <c r="I357" s="33"/>
      <c r="J357" s="33"/>
      <c r="K357" s="37" t="str">
        <f aca="false">IF(OR(B357="",G357=""),"",IF(H357="Min",IF(E357&lt;G357,"Exceedance","OK"),IF(E357&gt;G357,"Exceedance","OK")))</f>
        <v/>
      </c>
    </row>
    <row r="358" customFormat="false" ht="15" hidden="false" customHeight="false" outlineLevel="0" collapsed="false">
      <c r="A358" s="32"/>
      <c r="B358" s="32"/>
      <c r="C358" s="32"/>
      <c r="D358" s="35"/>
      <c r="E358" s="43"/>
      <c r="F358" s="32"/>
      <c r="G358" s="43"/>
      <c r="H358" s="32"/>
      <c r="I358" s="33"/>
      <c r="J358" s="33"/>
      <c r="K358" s="37" t="str">
        <f aca="false">IF(OR(B358="",G358=""),"",IF(H358="Min",IF(E358&lt;G358,"Exceedance","OK"),IF(E358&gt;G358,"Exceedance","OK")))</f>
        <v/>
      </c>
    </row>
    <row r="359" customFormat="false" ht="15" hidden="false" customHeight="false" outlineLevel="0" collapsed="false">
      <c r="A359" s="32"/>
      <c r="B359" s="32"/>
      <c r="C359" s="32"/>
      <c r="D359" s="35"/>
      <c r="E359" s="43"/>
      <c r="F359" s="32"/>
      <c r="G359" s="43"/>
      <c r="H359" s="32"/>
      <c r="I359" s="33"/>
      <c r="J359" s="33"/>
      <c r="K359" s="37" t="str">
        <f aca="false">IF(OR(B359="",G359=""),"",IF(H359="Min",IF(E359&lt;G359,"Exceedance","OK"),IF(E359&gt;G359,"Exceedance","OK")))</f>
        <v/>
      </c>
    </row>
    <row r="360" customFormat="false" ht="15" hidden="false" customHeight="false" outlineLevel="0" collapsed="false">
      <c r="A360" s="32"/>
      <c r="B360" s="32"/>
      <c r="C360" s="32"/>
      <c r="D360" s="35"/>
      <c r="E360" s="43"/>
      <c r="F360" s="32"/>
      <c r="G360" s="43"/>
      <c r="H360" s="32"/>
      <c r="I360" s="33"/>
      <c r="J360" s="33"/>
      <c r="K360" s="37" t="str">
        <f aca="false">IF(OR(B360="",G360=""),"",IF(H360="Min",IF(E360&lt;G360,"Exceedance","OK"),IF(E360&gt;G360,"Exceedance","OK")))</f>
        <v/>
      </c>
    </row>
    <row r="361" customFormat="false" ht="15" hidden="false" customHeight="false" outlineLevel="0" collapsed="false">
      <c r="A361" s="32"/>
      <c r="B361" s="32"/>
      <c r="C361" s="32"/>
      <c r="D361" s="35"/>
      <c r="E361" s="43"/>
      <c r="F361" s="32"/>
      <c r="G361" s="43"/>
      <c r="H361" s="32"/>
      <c r="I361" s="33"/>
      <c r="J361" s="33"/>
      <c r="K361" s="37" t="str">
        <f aca="false">IF(OR(B361="",G361=""),"",IF(H361="Min",IF(E361&lt;G361,"Exceedance","OK"),IF(E361&gt;G361,"Exceedance","OK")))</f>
        <v/>
      </c>
    </row>
    <row r="362" customFormat="false" ht="15" hidden="false" customHeight="false" outlineLevel="0" collapsed="false">
      <c r="A362" s="32"/>
      <c r="B362" s="32"/>
      <c r="C362" s="32"/>
      <c r="D362" s="35"/>
      <c r="E362" s="43"/>
      <c r="F362" s="32"/>
      <c r="G362" s="43"/>
      <c r="H362" s="32"/>
      <c r="I362" s="33"/>
      <c r="J362" s="33"/>
      <c r="K362" s="37" t="str">
        <f aca="false">IF(OR(B362="",G362=""),"",IF(H362="Min",IF(E362&lt;G362,"Exceedance","OK"),IF(E362&gt;G362,"Exceedance","OK")))</f>
        <v/>
      </c>
    </row>
    <row r="363" customFormat="false" ht="15" hidden="false" customHeight="false" outlineLevel="0" collapsed="false">
      <c r="A363" s="32"/>
      <c r="B363" s="32"/>
      <c r="C363" s="32"/>
      <c r="D363" s="35"/>
      <c r="E363" s="43"/>
      <c r="F363" s="32"/>
      <c r="G363" s="43"/>
      <c r="H363" s="32"/>
      <c r="I363" s="33"/>
      <c r="J363" s="33"/>
      <c r="K363" s="37" t="str">
        <f aca="false">IF(OR(B363="",G363=""),"",IF(H363="Min",IF(E363&lt;G363,"Exceedance","OK"),IF(E363&gt;G363,"Exceedance","OK")))</f>
        <v/>
      </c>
    </row>
    <row r="364" customFormat="false" ht="15" hidden="false" customHeight="false" outlineLevel="0" collapsed="false">
      <c r="A364" s="32"/>
      <c r="B364" s="32"/>
      <c r="C364" s="32"/>
      <c r="D364" s="35"/>
      <c r="E364" s="43"/>
      <c r="F364" s="32"/>
      <c r="G364" s="43"/>
      <c r="H364" s="32"/>
      <c r="I364" s="33"/>
      <c r="J364" s="33"/>
      <c r="K364" s="37" t="str">
        <f aca="false">IF(OR(B364="",G364=""),"",IF(H364="Min",IF(E364&lt;G364,"Exceedance","OK"),IF(E364&gt;G364,"Exceedance","OK")))</f>
        <v/>
      </c>
    </row>
    <row r="365" customFormat="false" ht="15" hidden="false" customHeight="false" outlineLevel="0" collapsed="false">
      <c r="A365" s="32"/>
      <c r="B365" s="32"/>
      <c r="C365" s="32"/>
      <c r="D365" s="35"/>
      <c r="E365" s="43"/>
      <c r="F365" s="32"/>
      <c r="G365" s="43"/>
      <c r="H365" s="32"/>
      <c r="I365" s="33"/>
      <c r="J365" s="33"/>
      <c r="K365" s="37" t="str">
        <f aca="false">IF(OR(B365="",G365=""),"",IF(H365="Min",IF(E365&lt;G365,"Exceedance","OK"),IF(E365&gt;G365,"Exceedance","OK")))</f>
        <v/>
      </c>
    </row>
    <row r="366" customFormat="false" ht="15" hidden="false" customHeight="false" outlineLevel="0" collapsed="false">
      <c r="A366" s="32"/>
      <c r="B366" s="32"/>
      <c r="C366" s="32"/>
      <c r="D366" s="35"/>
      <c r="E366" s="43"/>
      <c r="F366" s="32"/>
      <c r="G366" s="43"/>
      <c r="H366" s="32"/>
      <c r="I366" s="33"/>
      <c r="J366" s="33"/>
      <c r="K366" s="37" t="str">
        <f aca="false">IF(OR(B366="",G366=""),"",IF(H366="Min",IF(E366&lt;G366,"Exceedance","OK"),IF(E366&gt;G366,"Exceedance","OK")))</f>
        <v/>
      </c>
    </row>
    <row r="367" customFormat="false" ht="15" hidden="false" customHeight="false" outlineLevel="0" collapsed="false">
      <c r="A367" s="32"/>
      <c r="B367" s="32"/>
      <c r="C367" s="32"/>
      <c r="D367" s="35"/>
      <c r="E367" s="43"/>
      <c r="F367" s="32"/>
      <c r="G367" s="43"/>
      <c r="H367" s="32"/>
      <c r="I367" s="33"/>
      <c r="J367" s="33"/>
      <c r="K367" s="37" t="str">
        <f aca="false">IF(OR(B367="",G367=""),"",IF(H367="Min",IF(E367&lt;G367,"Exceedance","OK"),IF(E367&gt;G367,"Exceedance","OK")))</f>
        <v/>
      </c>
    </row>
    <row r="368" customFormat="false" ht="15" hidden="false" customHeight="false" outlineLevel="0" collapsed="false">
      <c r="A368" s="32"/>
      <c r="B368" s="32"/>
      <c r="C368" s="32"/>
      <c r="D368" s="35"/>
      <c r="E368" s="43"/>
      <c r="F368" s="32"/>
      <c r="G368" s="43"/>
      <c r="H368" s="32"/>
      <c r="I368" s="33"/>
      <c r="J368" s="33"/>
      <c r="K368" s="37" t="str">
        <f aca="false">IF(OR(B368="",G368=""),"",IF(H368="Min",IF(E368&lt;G368,"Exceedance","OK"),IF(E368&gt;G368,"Exceedance","OK")))</f>
        <v/>
      </c>
    </row>
    <row r="369" customFormat="false" ht="15" hidden="false" customHeight="false" outlineLevel="0" collapsed="false">
      <c r="A369" s="32"/>
      <c r="B369" s="32"/>
      <c r="C369" s="32"/>
      <c r="D369" s="35"/>
      <c r="E369" s="43"/>
      <c r="F369" s="32"/>
      <c r="G369" s="43"/>
      <c r="H369" s="32"/>
      <c r="I369" s="33"/>
      <c r="J369" s="33"/>
      <c r="K369" s="37" t="str">
        <f aca="false">IF(OR(B369="",G369=""),"",IF(H369="Min",IF(E369&lt;G369,"Exceedance","OK"),IF(E369&gt;G369,"Exceedance","OK")))</f>
        <v/>
      </c>
    </row>
    <row r="370" customFormat="false" ht="15" hidden="false" customHeight="false" outlineLevel="0" collapsed="false">
      <c r="A370" s="32"/>
      <c r="B370" s="32"/>
      <c r="C370" s="32"/>
      <c r="D370" s="35"/>
      <c r="E370" s="43"/>
      <c r="F370" s="32"/>
      <c r="G370" s="43"/>
      <c r="H370" s="32"/>
      <c r="I370" s="33"/>
      <c r="J370" s="33"/>
      <c r="K370" s="37" t="str">
        <f aca="false">IF(OR(B370="",G370=""),"",IF(H370="Min",IF(E370&lt;G370,"Exceedance","OK"),IF(E370&gt;G370,"Exceedance","OK")))</f>
        <v/>
      </c>
    </row>
    <row r="371" customFormat="false" ht="15" hidden="false" customHeight="false" outlineLevel="0" collapsed="false">
      <c r="A371" s="32"/>
      <c r="B371" s="32"/>
      <c r="C371" s="32"/>
      <c r="D371" s="35"/>
      <c r="E371" s="43"/>
      <c r="F371" s="32"/>
      <c r="G371" s="43"/>
      <c r="H371" s="32"/>
      <c r="I371" s="33"/>
      <c r="J371" s="33"/>
      <c r="K371" s="37" t="str">
        <f aca="false">IF(OR(B371="",G371=""),"",IF(H371="Min",IF(E371&lt;G371,"Exceedance","OK"),IF(E371&gt;G371,"Exceedance","OK")))</f>
        <v/>
      </c>
    </row>
    <row r="372" customFormat="false" ht="15" hidden="false" customHeight="false" outlineLevel="0" collapsed="false">
      <c r="A372" s="32"/>
      <c r="B372" s="32"/>
      <c r="C372" s="32"/>
      <c r="D372" s="35"/>
      <c r="E372" s="43"/>
      <c r="F372" s="32"/>
      <c r="G372" s="43"/>
      <c r="H372" s="32"/>
      <c r="I372" s="33"/>
      <c r="J372" s="33"/>
      <c r="K372" s="37" t="str">
        <f aca="false">IF(OR(B372="",G372=""),"",IF(H372="Min",IF(E372&lt;G372,"Exceedance","OK"),IF(E372&gt;G372,"Exceedance","OK")))</f>
        <v/>
      </c>
    </row>
    <row r="373" customFormat="false" ht="15" hidden="false" customHeight="false" outlineLevel="0" collapsed="false">
      <c r="A373" s="32"/>
      <c r="B373" s="32"/>
      <c r="C373" s="32"/>
      <c r="D373" s="35"/>
      <c r="E373" s="43"/>
      <c r="F373" s="32"/>
      <c r="G373" s="43"/>
      <c r="H373" s="32"/>
      <c r="I373" s="33"/>
      <c r="J373" s="33"/>
      <c r="K373" s="37" t="str">
        <f aca="false">IF(OR(B373="",G373=""),"",IF(H373="Min",IF(E373&lt;G373,"Exceedance","OK"),IF(E373&gt;G373,"Exceedance","OK")))</f>
        <v/>
      </c>
    </row>
    <row r="374" customFormat="false" ht="15" hidden="false" customHeight="false" outlineLevel="0" collapsed="false">
      <c r="A374" s="32"/>
      <c r="B374" s="32"/>
      <c r="C374" s="32"/>
      <c r="D374" s="35"/>
      <c r="E374" s="43"/>
      <c r="F374" s="32"/>
      <c r="G374" s="43"/>
      <c r="H374" s="32"/>
      <c r="I374" s="33"/>
      <c r="J374" s="33"/>
      <c r="K374" s="37" t="str">
        <f aca="false">IF(OR(B374="",G374=""),"",IF(H374="Min",IF(E374&lt;G374,"Exceedance","OK"),IF(E374&gt;G374,"Exceedance","OK")))</f>
        <v/>
      </c>
    </row>
    <row r="375" customFormat="false" ht="15" hidden="false" customHeight="false" outlineLevel="0" collapsed="false">
      <c r="A375" s="32"/>
      <c r="B375" s="32"/>
      <c r="C375" s="32"/>
      <c r="D375" s="35"/>
      <c r="E375" s="43"/>
      <c r="F375" s="32"/>
      <c r="G375" s="43"/>
      <c r="H375" s="32"/>
      <c r="I375" s="33"/>
      <c r="J375" s="33"/>
      <c r="K375" s="37" t="str">
        <f aca="false">IF(OR(B375="",G375=""),"",IF(H375="Min",IF(E375&lt;G375,"Exceedance","OK"),IF(E375&gt;G375,"Exceedance","OK")))</f>
        <v/>
      </c>
    </row>
    <row r="376" customFormat="false" ht="15" hidden="false" customHeight="false" outlineLevel="0" collapsed="false">
      <c r="A376" s="32"/>
      <c r="B376" s="32"/>
      <c r="C376" s="32"/>
      <c r="D376" s="35"/>
      <c r="E376" s="43"/>
      <c r="F376" s="32"/>
      <c r="G376" s="43"/>
      <c r="H376" s="32"/>
      <c r="I376" s="33"/>
      <c r="J376" s="33"/>
      <c r="K376" s="37" t="str">
        <f aca="false">IF(OR(B376="",G376=""),"",IF(H376="Min",IF(E376&lt;G376,"Exceedance","OK"),IF(E376&gt;G376,"Exceedance","OK")))</f>
        <v/>
      </c>
    </row>
    <row r="377" customFormat="false" ht="15" hidden="false" customHeight="false" outlineLevel="0" collapsed="false">
      <c r="A377" s="32"/>
      <c r="B377" s="32"/>
      <c r="C377" s="32"/>
      <c r="D377" s="35"/>
      <c r="E377" s="43"/>
      <c r="F377" s="32"/>
      <c r="G377" s="43"/>
      <c r="H377" s="32"/>
      <c r="I377" s="33"/>
      <c r="J377" s="33"/>
      <c r="K377" s="37" t="str">
        <f aca="false">IF(OR(B377="",G377=""),"",IF(H377="Min",IF(E377&lt;G377,"Exceedance","OK"),IF(E377&gt;G377,"Exceedance","OK")))</f>
        <v/>
      </c>
    </row>
    <row r="378" customFormat="false" ht="15" hidden="false" customHeight="false" outlineLevel="0" collapsed="false">
      <c r="A378" s="32"/>
      <c r="B378" s="32"/>
      <c r="C378" s="32"/>
      <c r="D378" s="35"/>
      <c r="E378" s="43"/>
      <c r="F378" s="32"/>
      <c r="G378" s="43"/>
      <c r="H378" s="32"/>
      <c r="I378" s="33"/>
      <c r="J378" s="33"/>
      <c r="K378" s="37" t="str">
        <f aca="false">IF(OR(B378="",G378=""),"",IF(H378="Min",IF(E378&lt;G378,"Exceedance","OK"),IF(E378&gt;G378,"Exceedance","OK")))</f>
        <v/>
      </c>
    </row>
    <row r="379" customFormat="false" ht="15" hidden="false" customHeight="false" outlineLevel="0" collapsed="false">
      <c r="A379" s="32"/>
      <c r="B379" s="32"/>
      <c r="C379" s="32"/>
      <c r="D379" s="35"/>
      <c r="E379" s="43"/>
      <c r="F379" s="32"/>
      <c r="G379" s="43"/>
      <c r="H379" s="32"/>
      <c r="I379" s="33"/>
      <c r="J379" s="33"/>
      <c r="K379" s="37" t="str">
        <f aca="false">IF(OR(B379="",G379=""),"",IF(H379="Min",IF(E379&lt;G379,"Exceedance","OK"),IF(E379&gt;G379,"Exceedance","OK")))</f>
        <v/>
      </c>
    </row>
    <row r="380" customFormat="false" ht="15" hidden="false" customHeight="false" outlineLevel="0" collapsed="false">
      <c r="A380" s="32"/>
      <c r="B380" s="32"/>
      <c r="C380" s="32"/>
      <c r="D380" s="35"/>
      <c r="E380" s="43"/>
      <c r="F380" s="32"/>
      <c r="G380" s="43"/>
      <c r="H380" s="32"/>
      <c r="I380" s="33"/>
      <c r="J380" s="33"/>
      <c r="K380" s="37" t="str">
        <f aca="false">IF(OR(B380="",G380=""),"",IF(H380="Min",IF(E380&lt;G380,"Exceedance","OK"),IF(E380&gt;G380,"Exceedance","OK")))</f>
        <v/>
      </c>
    </row>
    <row r="381" customFormat="false" ht="15" hidden="false" customHeight="false" outlineLevel="0" collapsed="false">
      <c r="A381" s="32"/>
      <c r="B381" s="32"/>
      <c r="C381" s="32"/>
      <c r="D381" s="35"/>
      <c r="E381" s="43"/>
      <c r="F381" s="32"/>
      <c r="G381" s="43"/>
      <c r="H381" s="32"/>
      <c r="I381" s="33"/>
      <c r="J381" s="33"/>
      <c r="K381" s="37" t="str">
        <f aca="false">IF(OR(B381="",G381=""),"",IF(H381="Min",IF(E381&lt;G381,"Exceedance","OK"),IF(E381&gt;G381,"Exceedance","OK")))</f>
        <v/>
      </c>
    </row>
    <row r="382" customFormat="false" ht="15" hidden="false" customHeight="false" outlineLevel="0" collapsed="false">
      <c r="A382" s="32"/>
      <c r="B382" s="32"/>
      <c r="C382" s="32"/>
      <c r="D382" s="35"/>
      <c r="E382" s="43"/>
      <c r="F382" s="32"/>
      <c r="G382" s="43"/>
      <c r="H382" s="32"/>
      <c r="I382" s="33"/>
      <c r="J382" s="33"/>
      <c r="K382" s="37" t="str">
        <f aca="false">IF(OR(B382="",G382=""),"",IF(H382="Min",IF(E382&lt;G382,"Exceedance","OK"),IF(E382&gt;G382,"Exceedance","OK")))</f>
        <v/>
      </c>
    </row>
    <row r="383" customFormat="false" ht="15" hidden="false" customHeight="false" outlineLevel="0" collapsed="false">
      <c r="A383" s="32"/>
      <c r="B383" s="32"/>
      <c r="C383" s="32"/>
      <c r="D383" s="35"/>
      <c r="E383" s="43"/>
      <c r="F383" s="32"/>
      <c r="G383" s="43"/>
      <c r="H383" s="32"/>
      <c r="I383" s="33"/>
      <c r="J383" s="33"/>
      <c r="K383" s="37" t="str">
        <f aca="false">IF(OR(B383="",G383=""),"",IF(H383="Min",IF(E383&lt;G383,"Exceedance","OK"),IF(E383&gt;G383,"Exceedance","OK")))</f>
        <v/>
      </c>
    </row>
    <row r="384" customFormat="false" ht="15" hidden="false" customHeight="false" outlineLevel="0" collapsed="false">
      <c r="A384" s="32"/>
      <c r="B384" s="32"/>
      <c r="C384" s="32"/>
      <c r="D384" s="35"/>
      <c r="E384" s="43"/>
      <c r="F384" s="32"/>
      <c r="G384" s="43"/>
      <c r="H384" s="32"/>
      <c r="I384" s="33"/>
      <c r="J384" s="33"/>
      <c r="K384" s="37" t="str">
        <f aca="false">IF(OR(B384="",G384=""),"",IF(H384="Min",IF(E384&lt;G384,"Exceedance","OK"),IF(E384&gt;G384,"Exceedance","OK")))</f>
        <v/>
      </c>
    </row>
    <row r="385" customFormat="false" ht="15" hidden="false" customHeight="false" outlineLevel="0" collapsed="false">
      <c r="A385" s="32"/>
      <c r="B385" s="32"/>
      <c r="C385" s="32"/>
      <c r="D385" s="35"/>
      <c r="E385" s="43"/>
      <c r="F385" s="32"/>
      <c r="G385" s="43"/>
      <c r="H385" s="32"/>
      <c r="I385" s="33"/>
      <c r="J385" s="33"/>
      <c r="K385" s="37" t="str">
        <f aca="false">IF(OR(B385="",G385=""),"",IF(H385="Min",IF(E385&lt;G385,"Exceedance","OK"),IF(E385&gt;G385,"Exceedance","OK")))</f>
        <v/>
      </c>
    </row>
    <row r="386" customFormat="false" ht="15" hidden="false" customHeight="false" outlineLevel="0" collapsed="false">
      <c r="A386" s="32"/>
      <c r="B386" s="32"/>
      <c r="C386" s="32"/>
      <c r="D386" s="35"/>
      <c r="E386" s="43"/>
      <c r="F386" s="32"/>
      <c r="G386" s="43"/>
      <c r="H386" s="32"/>
      <c r="I386" s="33"/>
      <c r="J386" s="33"/>
      <c r="K386" s="37" t="str">
        <f aca="false">IF(OR(B386="",G386=""),"",IF(H386="Min",IF(E386&lt;G386,"Exceedance","OK"),IF(E386&gt;G386,"Exceedance","OK")))</f>
        <v/>
      </c>
    </row>
    <row r="387" customFormat="false" ht="15" hidden="false" customHeight="false" outlineLevel="0" collapsed="false">
      <c r="A387" s="32"/>
      <c r="B387" s="32"/>
      <c r="C387" s="32"/>
      <c r="D387" s="35"/>
      <c r="E387" s="43"/>
      <c r="F387" s="32"/>
      <c r="G387" s="43"/>
      <c r="H387" s="32"/>
      <c r="I387" s="33"/>
      <c r="J387" s="33"/>
      <c r="K387" s="37" t="str">
        <f aca="false">IF(OR(B387="",G387=""),"",IF(H387="Min",IF(E387&lt;G387,"Exceedance","OK"),IF(E387&gt;G387,"Exceedance","OK")))</f>
        <v/>
      </c>
    </row>
    <row r="388" customFormat="false" ht="15" hidden="false" customHeight="false" outlineLevel="0" collapsed="false">
      <c r="A388" s="32"/>
      <c r="B388" s="32"/>
      <c r="C388" s="32"/>
      <c r="D388" s="35"/>
      <c r="E388" s="43"/>
      <c r="F388" s="32"/>
      <c r="G388" s="43"/>
      <c r="H388" s="32"/>
      <c r="I388" s="33"/>
      <c r="J388" s="33"/>
      <c r="K388" s="37" t="str">
        <f aca="false">IF(OR(B388="",G388=""),"",IF(H388="Min",IF(E388&lt;G388,"Exceedance","OK"),IF(E388&gt;G388,"Exceedance","OK")))</f>
        <v/>
      </c>
    </row>
    <row r="389" customFormat="false" ht="15" hidden="false" customHeight="false" outlineLevel="0" collapsed="false">
      <c r="A389" s="32"/>
      <c r="B389" s="32"/>
      <c r="C389" s="32"/>
      <c r="D389" s="35"/>
      <c r="E389" s="43"/>
      <c r="F389" s="32"/>
      <c r="G389" s="43"/>
      <c r="H389" s="32"/>
      <c r="I389" s="33"/>
      <c r="J389" s="33"/>
      <c r="K389" s="37" t="str">
        <f aca="false">IF(OR(B389="",G389=""),"",IF(H389="Min",IF(E389&lt;G389,"Exceedance","OK"),IF(E389&gt;G389,"Exceedance","OK")))</f>
        <v/>
      </c>
    </row>
    <row r="390" customFormat="false" ht="15" hidden="false" customHeight="false" outlineLevel="0" collapsed="false">
      <c r="A390" s="32"/>
      <c r="B390" s="32"/>
      <c r="C390" s="32"/>
      <c r="D390" s="35"/>
      <c r="E390" s="43"/>
      <c r="F390" s="32"/>
      <c r="G390" s="43"/>
      <c r="H390" s="32"/>
      <c r="I390" s="33"/>
      <c r="J390" s="33"/>
      <c r="K390" s="37" t="str">
        <f aca="false">IF(OR(B390="",G390=""),"",IF(H390="Min",IF(E390&lt;G390,"Exceedance","OK"),IF(E390&gt;G390,"Exceedance","OK")))</f>
        <v/>
      </c>
    </row>
    <row r="391" customFormat="false" ht="15" hidden="false" customHeight="false" outlineLevel="0" collapsed="false">
      <c r="A391" s="32"/>
      <c r="B391" s="32"/>
      <c r="C391" s="32"/>
      <c r="D391" s="35"/>
      <c r="E391" s="43"/>
      <c r="F391" s="32"/>
      <c r="G391" s="43"/>
      <c r="H391" s="32"/>
      <c r="I391" s="33"/>
      <c r="J391" s="33"/>
      <c r="K391" s="37" t="str">
        <f aca="false">IF(OR(B391="",G391=""),"",IF(H391="Min",IF(E391&lt;G391,"Exceedance","OK"),IF(E391&gt;G391,"Exceedance","OK")))</f>
        <v/>
      </c>
    </row>
    <row r="392" customFormat="false" ht="15" hidden="false" customHeight="false" outlineLevel="0" collapsed="false">
      <c r="A392" s="32"/>
      <c r="B392" s="32"/>
      <c r="C392" s="32"/>
      <c r="D392" s="35"/>
      <c r="E392" s="43"/>
      <c r="F392" s="32"/>
      <c r="G392" s="43"/>
      <c r="H392" s="32"/>
      <c r="I392" s="33"/>
      <c r="J392" s="33"/>
      <c r="K392" s="37" t="str">
        <f aca="false">IF(OR(B392="",G392=""),"",IF(H392="Min",IF(E392&lt;G392,"Exceedance","OK"),IF(E392&gt;G392,"Exceedance","OK")))</f>
        <v/>
      </c>
    </row>
    <row r="393" customFormat="false" ht="15" hidden="false" customHeight="false" outlineLevel="0" collapsed="false">
      <c r="A393" s="32"/>
      <c r="B393" s="32"/>
      <c r="C393" s="32"/>
      <c r="D393" s="35"/>
      <c r="E393" s="43"/>
      <c r="F393" s="32"/>
      <c r="G393" s="43"/>
      <c r="H393" s="32"/>
      <c r="I393" s="33"/>
      <c r="J393" s="33"/>
      <c r="K393" s="37" t="str">
        <f aca="false">IF(OR(B393="",G393=""),"",IF(H393="Min",IF(E393&lt;G393,"Exceedance","OK"),IF(E393&gt;G393,"Exceedance","OK")))</f>
        <v/>
      </c>
    </row>
    <row r="394" customFormat="false" ht="15" hidden="false" customHeight="false" outlineLevel="0" collapsed="false">
      <c r="A394" s="32"/>
      <c r="B394" s="32"/>
      <c r="C394" s="32"/>
      <c r="D394" s="35"/>
      <c r="E394" s="43"/>
      <c r="F394" s="32"/>
      <c r="G394" s="43"/>
      <c r="H394" s="32"/>
      <c r="I394" s="33"/>
      <c r="J394" s="33"/>
      <c r="K394" s="37" t="str">
        <f aca="false">IF(OR(B394="",G394=""),"",IF(H394="Min",IF(E394&lt;G394,"Exceedance","OK"),IF(E394&gt;G394,"Exceedance","OK")))</f>
        <v/>
      </c>
    </row>
    <row r="395" customFormat="false" ht="15" hidden="false" customHeight="false" outlineLevel="0" collapsed="false">
      <c r="A395" s="32"/>
      <c r="B395" s="32"/>
      <c r="C395" s="32"/>
      <c r="D395" s="35"/>
      <c r="E395" s="43"/>
      <c r="F395" s="32"/>
      <c r="G395" s="43"/>
      <c r="H395" s="32"/>
      <c r="I395" s="33"/>
      <c r="J395" s="33"/>
      <c r="K395" s="37" t="str">
        <f aca="false">IF(OR(B395="",G395=""),"",IF(H395="Min",IF(E395&lt;G395,"Exceedance","OK"),IF(E395&gt;G395,"Exceedance","OK")))</f>
        <v/>
      </c>
    </row>
    <row r="396" customFormat="false" ht="15" hidden="false" customHeight="false" outlineLevel="0" collapsed="false">
      <c r="A396" s="32"/>
      <c r="B396" s="32"/>
      <c r="C396" s="32"/>
      <c r="D396" s="35"/>
      <c r="E396" s="43"/>
      <c r="F396" s="32"/>
      <c r="G396" s="43"/>
      <c r="H396" s="32"/>
      <c r="I396" s="33"/>
      <c r="J396" s="33"/>
      <c r="K396" s="37" t="str">
        <f aca="false">IF(OR(B396="",G396=""),"",IF(H396="Min",IF(E396&lt;G396,"Exceedance","OK"),IF(E396&gt;G396,"Exceedance","OK")))</f>
        <v/>
      </c>
    </row>
    <row r="397" customFormat="false" ht="15" hidden="false" customHeight="false" outlineLevel="0" collapsed="false">
      <c r="A397" s="32"/>
      <c r="B397" s="32"/>
      <c r="C397" s="32"/>
      <c r="D397" s="35"/>
      <c r="E397" s="43"/>
      <c r="F397" s="32"/>
      <c r="G397" s="43"/>
      <c r="H397" s="32"/>
      <c r="I397" s="33"/>
      <c r="J397" s="33"/>
      <c r="K397" s="37" t="str">
        <f aca="false">IF(OR(B397="",G397=""),"",IF(H397="Min",IF(E397&lt;G397,"Exceedance","OK"),IF(E397&gt;G397,"Exceedance","OK")))</f>
        <v/>
      </c>
    </row>
    <row r="398" customFormat="false" ht="15" hidden="false" customHeight="false" outlineLevel="0" collapsed="false">
      <c r="A398" s="32"/>
      <c r="B398" s="32"/>
      <c r="C398" s="32"/>
      <c r="D398" s="35"/>
      <c r="E398" s="43"/>
      <c r="F398" s="32"/>
      <c r="G398" s="43"/>
      <c r="H398" s="32"/>
      <c r="I398" s="33"/>
      <c r="J398" s="33"/>
      <c r="K398" s="37" t="str">
        <f aca="false">IF(OR(B398="",G398=""),"",IF(H398="Min",IF(E398&lt;G398,"Exceedance","OK"),IF(E398&gt;G398,"Exceedance","OK")))</f>
        <v/>
      </c>
    </row>
    <row r="399" customFormat="false" ht="15" hidden="false" customHeight="false" outlineLevel="0" collapsed="false">
      <c r="A399" s="32"/>
      <c r="B399" s="32"/>
      <c r="C399" s="32"/>
      <c r="D399" s="35"/>
      <c r="E399" s="43"/>
      <c r="F399" s="32"/>
      <c r="G399" s="43"/>
      <c r="H399" s="32"/>
      <c r="I399" s="33"/>
      <c r="J399" s="33"/>
      <c r="K399" s="37" t="str">
        <f aca="false">IF(OR(B399="",G399=""),"",IF(H399="Min",IF(E399&lt;G399,"Exceedance","OK"),IF(E399&gt;G399,"Exceedance","OK")))</f>
        <v/>
      </c>
    </row>
    <row r="400" customFormat="false" ht="15" hidden="false" customHeight="false" outlineLevel="0" collapsed="false">
      <c r="A400" s="32"/>
      <c r="B400" s="32"/>
      <c r="C400" s="32"/>
      <c r="D400" s="35"/>
      <c r="E400" s="43"/>
      <c r="F400" s="32"/>
      <c r="G400" s="43"/>
      <c r="H400" s="32"/>
      <c r="I400" s="33"/>
      <c r="J400" s="33"/>
      <c r="K400" s="37" t="str">
        <f aca="false">IF(OR(B400="",G400=""),"",IF(H400="Min",IF(E400&lt;G400,"Exceedance","OK"),IF(E400&gt;G400,"Exceedance","OK")))</f>
        <v/>
      </c>
    </row>
    <row r="401" customFormat="false" ht="15" hidden="false" customHeight="false" outlineLevel="0" collapsed="false">
      <c r="A401" s="32"/>
      <c r="B401" s="32"/>
      <c r="C401" s="32"/>
      <c r="D401" s="35"/>
      <c r="E401" s="43"/>
      <c r="F401" s="32"/>
      <c r="G401" s="43"/>
      <c r="H401" s="32"/>
      <c r="I401" s="33"/>
      <c r="J401" s="33"/>
      <c r="K401" s="37" t="str">
        <f aca="false">IF(OR(B401="",G401=""),"",IF(H401="Min",IF(E401&lt;G401,"Exceedance","OK"),IF(E401&gt;G401,"Exceedance","OK")))</f>
        <v/>
      </c>
    </row>
    <row r="402" customFormat="false" ht="15" hidden="false" customHeight="false" outlineLevel="0" collapsed="false">
      <c r="A402" s="32"/>
      <c r="B402" s="32"/>
      <c r="C402" s="32"/>
      <c r="D402" s="35"/>
      <c r="E402" s="43"/>
      <c r="F402" s="32"/>
      <c r="G402" s="43"/>
      <c r="H402" s="32"/>
      <c r="I402" s="33"/>
      <c r="J402" s="33"/>
      <c r="K402" s="37" t="str">
        <f aca="false">IF(OR(B402="",G402=""),"",IF(H402="Min",IF(E402&lt;G402,"Exceedance","OK"),IF(E402&gt;G402,"Exceedance","OK")))</f>
        <v/>
      </c>
    </row>
    <row r="403" customFormat="false" ht="15" hidden="false" customHeight="false" outlineLevel="0" collapsed="false">
      <c r="A403" s="32"/>
      <c r="B403" s="32"/>
      <c r="C403" s="32"/>
      <c r="D403" s="35"/>
      <c r="E403" s="43"/>
      <c r="F403" s="32"/>
      <c r="G403" s="43"/>
      <c r="H403" s="32"/>
      <c r="I403" s="33"/>
      <c r="J403" s="33"/>
      <c r="K403" s="37" t="str">
        <f aca="false">IF(OR(B403="",G403=""),"",IF(H403="Min",IF(E403&lt;G403,"Exceedance","OK"),IF(E403&gt;G403,"Exceedance","OK")))</f>
        <v/>
      </c>
    </row>
    <row r="404" customFormat="false" ht="15" hidden="false" customHeight="false" outlineLevel="0" collapsed="false">
      <c r="A404" s="32"/>
      <c r="B404" s="32"/>
      <c r="C404" s="32"/>
      <c r="D404" s="35"/>
      <c r="E404" s="43"/>
      <c r="F404" s="32"/>
      <c r="G404" s="43"/>
      <c r="H404" s="32"/>
      <c r="I404" s="33"/>
      <c r="J404" s="33"/>
      <c r="K404" s="37" t="str">
        <f aca="false">IF(OR(B404="",G404=""),"",IF(H404="Min",IF(E404&lt;G404,"Exceedance","OK"),IF(E404&gt;G404,"Exceedance","OK")))</f>
        <v/>
      </c>
    </row>
    <row r="405" customFormat="false" ht="15" hidden="false" customHeight="false" outlineLevel="0" collapsed="false">
      <c r="A405" s="32"/>
      <c r="B405" s="32"/>
      <c r="C405" s="32"/>
      <c r="D405" s="35"/>
      <c r="E405" s="43"/>
      <c r="F405" s="32"/>
      <c r="G405" s="43"/>
      <c r="H405" s="32"/>
      <c r="I405" s="33"/>
      <c r="J405" s="33"/>
      <c r="K405" s="37" t="str">
        <f aca="false">IF(OR(B405="",G405=""),"",IF(H405="Min",IF(E405&lt;G405,"Exceedance","OK"),IF(E405&gt;G405,"Exceedance","OK")))</f>
        <v/>
      </c>
    </row>
    <row r="406" customFormat="false" ht="15" hidden="false" customHeight="false" outlineLevel="0" collapsed="false">
      <c r="A406" s="32"/>
      <c r="B406" s="32"/>
      <c r="C406" s="32"/>
      <c r="D406" s="35"/>
      <c r="E406" s="43"/>
      <c r="F406" s="32"/>
      <c r="G406" s="43"/>
      <c r="H406" s="32"/>
      <c r="I406" s="33"/>
      <c r="J406" s="33"/>
      <c r="K406" s="37" t="str">
        <f aca="false">IF(OR(B406="",G406=""),"",IF(H406="Min",IF(E406&lt;G406,"Exceedance","OK"),IF(E406&gt;G406,"Exceedance","OK")))</f>
        <v/>
      </c>
    </row>
    <row r="407" customFormat="false" ht="15" hidden="false" customHeight="false" outlineLevel="0" collapsed="false">
      <c r="A407" s="32"/>
      <c r="B407" s="32"/>
      <c r="C407" s="32"/>
      <c r="D407" s="35"/>
      <c r="E407" s="43"/>
      <c r="F407" s="32"/>
      <c r="G407" s="43"/>
      <c r="H407" s="32"/>
      <c r="I407" s="33"/>
      <c r="J407" s="33"/>
      <c r="K407" s="37" t="str">
        <f aca="false">IF(OR(B407="",G407=""),"",IF(H407="Min",IF(E407&lt;G407,"Exceedance","OK"),IF(E407&gt;G407,"Exceedance","OK")))</f>
        <v/>
      </c>
    </row>
    <row r="408" customFormat="false" ht="15" hidden="false" customHeight="false" outlineLevel="0" collapsed="false">
      <c r="A408" s="32"/>
      <c r="B408" s="32"/>
      <c r="C408" s="32"/>
      <c r="D408" s="35"/>
      <c r="E408" s="43"/>
      <c r="F408" s="32"/>
      <c r="G408" s="43"/>
      <c r="H408" s="32"/>
      <c r="I408" s="33"/>
      <c r="J408" s="33"/>
      <c r="K408" s="37" t="str">
        <f aca="false">IF(OR(B408="",G408=""),"",IF(H408="Min",IF(E408&lt;G408,"Exceedance","OK"),IF(E408&gt;G408,"Exceedance","OK")))</f>
        <v/>
      </c>
    </row>
    <row r="409" customFormat="false" ht="15" hidden="false" customHeight="false" outlineLevel="0" collapsed="false">
      <c r="A409" s="32"/>
      <c r="B409" s="32"/>
      <c r="C409" s="32"/>
      <c r="D409" s="35"/>
      <c r="E409" s="43"/>
      <c r="F409" s="32"/>
      <c r="G409" s="43"/>
      <c r="H409" s="32"/>
      <c r="I409" s="33"/>
      <c r="J409" s="33"/>
      <c r="K409" s="37" t="str">
        <f aca="false">IF(OR(B409="",G409=""),"",IF(H409="Min",IF(E409&lt;G409,"Exceedance","OK"),IF(E409&gt;G409,"Exceedance","OK")))</f>
        <v/>
      </c>
    </row>
    <row r="410" customFormat="false" ht="15" hidden="false" customHeight="false" outlineLevel="0" collapsed="false">
      <c r="A410" s="32"/>
      <c r="B410" s="32"/>
      <c r="C410" s="32"/>
      <c r="D410" s="35"/>
      <c r="E410" s="43"/>
      <c r="F410" s="32"/>
      <c r="G410" s="43"/>
      <c r="H410" s="32"/>
      <c r="I410" s="33"/>
      <c r="J410" s="33"/>
      <c r="K410" s="37" t="str">
        <f aca="false">IF(OR(B410="",G410=""),"",IF(H410="Min",IF(E410&lt;G410,"Exceedance","OK"),IF(E410&gt;G410,"Exceedance","OK")))</f>
        <v/>
      </c>
    </row>
    <row r="411" customFormat="false" ht="15" hidden="false" customHeight="false" outlineLevel="0" collapsed="false">
      <c r="A411" s="32"/>
      <c r="B411" s="32"/>
      <c r="C411" s="32"/>
      <c r="D411" s="35"/>
      <c r="E411" s="43"/>
      <c r="F411" s="32"/>
      <c r="G411" s="43"/>
      <c r="H411" s="32"/>
      <c r="I411" s="33"/>
      <c r="J411" s="33"/>
      <c r="K411" s="37" t="str">
        <f aca="false">IF(OR(B411="",G411=""),"",IF(H411="Min",IF(E411&lt;G411,"Exceedance","OK"),IF(E411&gt;G411,"Exceedance","OK")))</f>
        <v/>
      </c>
    </row>
    <row r="412" customFormat="false" ht="15" hidden="false" customHeight="false" outlineLevel="0" collapsed="false">
      <c r="A412" s="32"/>
      <c r="B412" s="32"/>
      <c r="C412" s="32"/>
      <c r="D412" s="35"/>
      <c r="E412" s="43"/>
      <c r="F412" s="32"/>
      <c r="G412" s="43"/>
      <c r="H412" s="32"/>
      <c r="I412" s="33"/>
      <c r="J412" s="33"/>
      <c r="K412" s="37" t="str">
        <f aca="false">IF(OR(B412="",G412=""),"",IF(H412="Min",IF(E412&lt;G412,"Exceedance","OK"),IF(E412&gt;G412,"Exceedance","OK")))</f>
        <v/>
      </c>
    </row>
    <row r="413" customFormat="false" ht="15" hidden="false" customHeight="false" outlineLevel="0" collapsed="false">
      <c r="A413" s="32"/>
      <c r="B413" s="32"/>
      <c r="C413" s="32"/>
      <c r="D413" s="35"/>
      <c r="E413" s="43"/>
      <c r="F413" s="32"/>
      <c r="G413" s="43"/>
      <c r="H413" s="32"/>
      <c r="I413" s="33"/>
      <c r="J413" s="33"/>
      <c r="K413" s="37" t="str">
        <f aca="false">IF(OR(B413="",G413=""),"",IF(H413="Min",IF(E413&lt;G413,"Exceedance","OK"),IF(E413&gt;G413,"Exceedance","OK")))</f>
        <v/>
      </c>
    </row>
    <row r="414" customFormat="false" ht="15" hidden="false" customHeight="false" outlineLevel="0" collapsed="false">
      <c r="A414" s="32"/>
      <c r="B414" s="32"/>
      <c r="C414" s="32"/>
      <c r="D414" s="35"/>
      <c r="E414" s="43"/>
      <c r="F414" s="32"/>
      <c r="G414" s="43"/>
      <c r="H414" s="32"/>
      <c r="I414" s="33"/>
      <c r="J414" s="33"/>
      <c r="K414" s="37" t="str">
        <f aca="false">IF(OR(B414="",G414=""),"",IF(H414="Min",IF(E414&lt;G414,"Exceedance","OK"),IF(E414&gt;G414,"Exceedance","OK")))</f>
        <v/>
      </c>
    </row>
    <row r="415" customFormat="false" ht="15" hidden="false" customHeight="false" outlineLevel="0" collapsed="false">
      <c r="A415" s="32"/>
      <c r="B415" s="32"/>
      <c r="C415" s="32"/>
      <c r="D415" s="35"/>
      <c r="E415" s="43"/>
      <c r="F415" s="32"/>
      <c r="G415" s="43"/>
      <c r="H415" s="32"/>
      <c r="I415" s="33"/>
      <c r="J415" s="33"/>
      <c r="K415" s="37" t="str">
        <f aca="false">IF(OR(B415="",G415=""),"",IF(H415="Min",IF(E415&lt;G415,"Exceedance","OK"),IF(E415&gt;G415,"Exceedance","OK")))</f>
        <v/>
      </c>
    </row>
    <row r="416" customFormat="false" ht="15" hidden="false" customHeight="false" outlineLevel="0" collapsed="false">
      <c r="A416" s="32"/>
      <c r="B416" s="32"/>
      <c r="C416" s="32"/>
      <c r="D416" s="35"/>
      <c r="E416" s="43"/>
      <c r="F416" s="32"/>
      <c r="G416" s="43"/>
      <c r="H416" s="32"/>
      <c r="I416" s="33"/>
      <c r="J416" s="33"/>
      <c r="K416" s="37" t="str">
        <f aca="false">IF(OR(B416="",G416=""),"",IF(H416="Min",IF(E416&lt;G416,"Exceedance","OK"),IF(E416&gt;G416,"Exceedance","OK")))</f>
        <v/>
      </c>
    </row>
    <row r="417" customFormat="false" ht="15" hidden="false" customHeight="false" outlineLevel="0" collapsed="false">
      <c r="A417" s="32"/>
      <c r="B417" s="32"/>
      <c r="C417" s="32"/>
      <c r="D417" s="35"/>
      <c r="E417" s="43"/>
      <c r="F417" s="32"/>
      <c r="G417" s="43"/>
      <c r="H417" s="32"/>
      <c r="I417" s="33"/>
      <c r="J417" s="33"/>
      <c r="K417" s="37" t="str">
        <f aca="false">IF(OR(B417="",G417=""),"",IF(H417="Min",IF(E417&lt;G417,"Exceedance","OK"),IF(E417&gt;G417,"Exceedance","OK")))</f>
        <v/>
      </c>
    </row>
    <row r="418" customFormat="false" ht="15" hidden="false" customHeight="false" outlineLevel="0" collapsed="false">
      <c r="A418" s="32"/>
      <c r="B418" s="32"/>
      <c r="C418" s="32"/>
      <c r="D418" s="35"/>
      <c r="E418" s="43"/>
      <c r="F418" s="32"/>
      <c r="G418" s="43"/>
      <c r="H418" s="32"/>
      <c r="I418" s="33"/>
      <c r="J418" s="33"/>
      <c r="K418" s="37" t="str">
        <f aca="false">IF(OR(B418="",G418=""),"",IF(H418="Min",IF(E418&lt;G418,"Exceedance","OK"),IF(E418&gt;G418,"Exceedance","OK")))</f>
        <v/>
      </c>
    </row>
    <row r="419" customFormat="false" ht="15" hidden="false" customHeight="false" outlineLevel="0" collapsed="false">
      <c r="A419" s="32"/>
      <c r="B419" s="32"/>
      <c r="C419" s="32"/>
      <c r="D419" s="35"/>
      <c r="E419" s="43"/>
      <c r="F419" s="32"/>
      <c r="G419" s="43"/>
      <c r="H419" s="32"/>
      <c r="I419" s="33"/>
      <c r="J419" s="33"/>
      <c r="K419" s="37" t="str">
        <f aca="false">IF(OR(B419="",G419=""),"",IF(H419="Min",IF(E419&lt;G419,"Exceedance","OK"),IF(E419&gt;G419,"Exceedance","OK")))</f>
        <v/>
      </c>
    </row>
    <row r="420" customFormat="false" ht="15" hidden="false" customHeight="false" outlineLevel="0" collapsed="false">
      <c r="A420" s="32"/>
      <c r="B420" s="32"/>
      <c r="C420" s="32"/>
      <c r="D420" s="35"/>
      <c r="E420" s="43"/>
      <c r="F420" s="32"/>
      <c r="G420" s="43"/>
      <c r="H420" s="32"/>
      <c r="I420" s="33"/>
      <c r="J420" s="33"/>
      <c r="K420" s="37" t="str">
        <f aca="false">IF(OR(B420="",G420=""),"",IF(H420="Min",IF(E420&lt;G420,"Exceedance","OK"),IF(E420&gt;G420,"Exceedance","OK")))</f>
        <v/>
      </c>
    </row>
    <row r="421" customFormat="false" ht="15" hidden="false" customHeight="false" outlineLevel="0" collapsed="false">
      <c r="A421" s="32"/>
      <c r="B421" s="32"/>
      <c r="C421" s="32"/>
      <c r="D421" s="35"/>
      <c r="E421" s="43"/>
      <c r="F421" s="32"/>
      <c r="G421" s="43"/>
      <c r="H421" s="32"/>
      <c r="I421" s="33"/>
      <c r="J421" s="33"/>
      <c r="K421" s="37" t="str">
        <f aca="false">IF(OR(B421="",G421=""),"",IF(H421="Min",IF(E421&lt;G421,"Exceedance","OK"),IF(E421&gt;G421,"Exceedance","OK")))</f>
        <v/>
      </c>
    </row>
    <row r="422" customFormat="false" ht="15" hidden="false" customHeight="false" outlineLevel="0" collapsed="false">
      <c r="A422" s="32"/>
      <c r="B422" s="32"/>
      <c r="C422" s="32"/>
      <c r="D422" s="35"/>
      <c r="E422" s="43"/>
      <c r="F422" s="32"/>
      <c r="G422" s="43"/>
      <c r="H422" s="32"/>
      <c r="I422" s="33"/>
      <c r="J422" s="33"/>
      <c r="K422" s="37" t="str">
        <f aca="false">IF(OR(B422="",G422=""),"",IF(H422="Min",IF(E422&lt;G422,"Exceedance","OK"),IF(E422&gt;G422,"Exceedance","OK")))</f>
        <v/>
      </c>
    </row>
    <row r="423" customFormat="false" ht="15" hidden="false" customHeight="false" outlineLevel="0" collapsed="false">
      <c r="A423" s="32"/>
      <c r="B423" s="32"/>
      <c r="C423" s="32"/>
      <c r="D423" s="35"/>
      <c r="E423" s="43"/>
      <c r="F423" s="32"/>
      <c r="G423" s="43"/>
      <c r="H423" s="32"/>
      <c r="I423" s="33"/>
      <c r="J423" s="33"/>
      <c r="K423" s="37" t="str">
        <f aca="false">IF(OR(B423="",G423=""),"",IF(H423="Min",IF(E423&lt;G423,"Exceedance","OK"),IF(E423&gt;G423,"Exceedance","OK")))</f>
        <v/>
      </c>
    </row>
    <row r="424" customFormat="false" ht="15" hidden="false" customHeight="false" outlineLevel="0" collapsed="false">
      <c r="A424" s="32"/>
      <c r="B424" s="32"/>
      <c r="C424" s="32"/>
      <c r="D424" s="35"/>
      <c r="E424" s="43"/>
      <c r="F424" s="32"/>
      <c r="G424" s="43"/>
      <c r="H424" s="32"/>
      <c r="I424" s="33"/>
      <c r="J424" s="33"/>
      <c r="K424" s="37" t="str">
        <f aca="false">IF(OR(B424="",G424=""),"",IF(H424="Min",IF(E424&lt;G424,"Exceedance","OK"),IF(E424&gt;G424,"Exceedance","OK")))</f>
        <v/>
      </c>
    </row>
    <row r="425" customFormat="false" ht="15" hidden="false" customHeight="false" outlineLevel="0" collapsed="false">
      <c r="A425" s="32"/>
      <c r="B425" s="32"/>
      <c r="C425" s="32"/>
      <c r="D425" s="35"/>
      <c r="E425" s="43"/>
      <c r="F425" s="32"/>
      <c r="G425" s="43"/>
      <c r="H425" s="32"/>
      <c r="I425" s="33"/>
      <c r="J425" s="33"/>
      <c r="K425" s="37" t="str">
        <f aca="false">IF(OR(B425="",G425=""),"",IF(H425="Min",IF(E425&lt;G425,"Exceedance","OK"),IF(E425&gt;G425,"Exceedance","OK")))</f>
        <v/>
      </c>
    </row>
    <row r="426" customFormat="false" ht="15" hidden="false" customHeight="false" outlineLevel="0" collapsed="false">
      <c r="A426" s="32"/>
      <c r="B426" s="32"/>
      <c r="C426" s="32"/>
      <c r="D426" s="35"/>
      <c r="E426" s="43"/>
      <c r="F426" s="32"/>
      <c r="G426" s="43"/>
      <c r="H426" s="32"/>
      <c r="I426" s="33"/>
      <c r="J426" s="33"/>
      <c r="K426" s="37" t="str">
        <f aca="false">IF(OR(B426="",G426=""),"",IF(H426="Min",IF(E426&lt;G426,"Exceedance","OK"),IF(E426&gt;G426,"Exceedance","OK")))</f>
        <v/>
      </c>
    </row>
    <row r="427" customFormat="false" ht="15" hidden="false" customHeight="false" outlineLevel="0" collapsed="false">
      <c r="A427" s="32"/>
      <c r="B427" s="32"/>
      <c r="C427" s="32"/>
      <c r="D427" s="35"/>
      <c r="E427" s="43"/>
      <c r="F427" s="32"/>
      <c r="G427" s="43"/>
      <c r="H427" s="32"/>
      <c r="I427" s="33"/>
      <c r="J427" s="33"/>
      <c r="K427" s="37" t="str">
        <f aca="false">IF(OR(B427="",G427=""),"",IF(H427="Min",IF(E427&lt;G427,"Exceedance","OK"),IF(E427&gt;G427,"Exceedance","OK")))</f>
        <v/>
      </c>
    </row>
    <row r="428" customFormat="false" ht="15" hidden="false" customHeight="false" outlineLevel="0" collapsed="false">
      <c r="A428" s="32"/>
      <c r="B428" s="32"/>
      <c r="C428" s="32"/>
      <c r="D428" s="35"/>
      <c r="E428" s="43"/>
      <c r="F428" s="32"/>
      <c r="G428" s="43"/>
      <c r="H428" s="32"/>
      <c r="I428" s="33"/>
      <c r="J428" s="33"/>
      <c r="K428" s="37" t="str">
        <f aca="false">IF(OR(B428="",G428=""),"",IF(H428="Min",IF(E428&lt;G428,"Exceedance","OK"),IF(E428&gt;G428,"Exceedance","OK")))</f>
        <v/>
      </c>
    </row>
    <row r="429" customFormat="false" ht="15" hidden="false" customHeight="false" outlineLevel="0" collapsed="false">
      <c r="A429" s="32"/>
      <c r="B429" s="32"/>
      <c r="C429" s="32"/>
      <c r="D429" s="35"/>
      <c r="E429" s="43"/>
      <c r="F429" s="32"/>
      <c r="G429" s="43"/>
      <c r="H429" s="32"/>
      <c r="I429" s="33"/>
      <c r="J429" s="33"/>
      <c r="K429" s="37" t="str">
        <f aca="false">IF(OR(B429="",G429=""),"",IF(H429="Min",IF(E429&lt;G429,"Exceedance","OK"),IF(E429&gt;G429,"Exceedance","OK")))</f>
        <v/>
      </c>
    </row>
    <row r="430" customFormat="false" ht="15" hidden="false" customHeight="false" outlineLevel="0" collapsed="false">
      <c r="A430" s="32"/>
      <c r="B430" s="32"/>
      <c r="C430" s="32"/>
      <c r="D430" s="35"/>
      <c r="E430" s="43"/>
      <c r="F430" s="32"/>
      <c r="G430" s="43"/>
      <c r="H430" s="32"/>
      <c r="I430" s="33"/>
      <c r="J430" s="33"/>
      <c r="K430" s="37" t="str">
        <f aca="false">IF(OR(B430="",G430=""),"",IF(H430="Min",IF(E430&lt;G430,"Exceedance","OK"),IF(E430&gt;G430,"Exceedance","OK")))</f>
        <v/>
      </c>
    </row>
    <row r="431" customFormat="false" ht="15" hidden="false" customHeight="false" outlineLevel="0" collapsed="false">
      <c r="A431" s="32"/>
      <c r="B431" s="32"/>
      <c r="C431" s="32"/>
      <c r="D431" s="35"/>
      <c r="E431" s="43"/>
      <c r="F431" s="32"/>
      <c r="G431" s="43"/>
      <c r="H431" s="32"/>
      <c r="I431" s="33"/>
      <c r="J431" s="33"/>
      <c r="K431" s="37" t="str">
        <f aca="false">IF(OR(B431="",G431=""),"",IF(H431="Min",IF(E431&lt;G431,"Exceedance","OK"),IF(E431&gt;G431,"Exceedance","OK")))</f>
        <v/>
      </c>
    </row>
    <row r="432" customFormat="false" ht="15" hidden="false" customHeight="false" outlineLevel="0" collapsed="false">
      <c r="A432" s="32"/>
      <c r="B432" s="32"/>
      <c r="C432" s="32"/>
      <c r="D432" s="35"/>
      <c r="E432" s="43"/>
      <c r="F432" s="32"/>
      <c r="G432" s="43"/>
      <c r="H432" s="32"/>
      <c r="I432" s="33"/>
      <c r="J432" s="33"/>
      <c r="K432" s="37" t="str">
        <f aca="false">IF(OR(B432="",G432=""),"",IF(H432="Min",IF(E432&lt;G432,"Exceedance","OK"),IF(E432&gt;G432,"Exceedance","OK")))</f>
        <v/>
      </c>
    </row>
    <row r="433" customFormat="false" ht="15" hidden="false" customHeight="false" outlineLevel="0" collapsed="false">
      <c r="A433" s="32"/>
      <c r="B433" s="32"/>
      <c r="C433" s="32"/>
      <c r="D433" s="35"/>
      <c r="E433" s="43"/>
      <c r="F433" s="32"/>
      <c r="G433" s="43"/>
      <c r="H433" s="32"/>
      <c r="I433" s="33"/>
      <c r="J433" s="33"/>
      <c r="K433" s="37" t="str">
        <f aca="false">IF(OR(B433="",G433=""),"",IF(H433="Min",IF(E433&lt;G433,"Exceedance","OK"),IF(E433&gt;G433,"Exceedance","OK")))</f>
        <v/>
      </c>
    </row>
    <row r="434" customFormat="false" ht="15" hidden="false" customHeight="false" outlineLevel="0" collapsed="false">
      <c r="A434" s="32"/>
      <c r="B434" s="32"/>
      <c r="C434" s="32"/>
      <c r="D434" s="35"/>
      <c r="E434" s="43"/>
      <c r="F434" s="32"/>
      <c r="G434" s="43"/>
      <c r="H434" s="32"/>
      <c r="I434" s="33"/>
      <c r="J434" s="33"/>
      <c r="K434" s="37" t="str">
        <f aca="false">IF(OR(B434="",G434=""),"",IF(H434="Min",IF(E434&lt;G434,"Exceedance","OK"),IF(E434&gt;G434,"Exceedance","OK")))</f>
        <v/>
      </c>
    </row>
    <row r="435" customFormat="false" ht="15" hidden="false" customHeight="false" outlineLevel="0" collapsed="false">
      <c r="A435" s="32"/>
      <c r="B435" s="32"/>
      <c r="C435" s="32"/>
      <c r="D435" s="35"/>
      <c r="E435" s="43"/>
      <c r="F435" s="32"/>
      <c r="G435" s="43"/>
      <c r="H435" s="32"/>
      <c r="I435" s="33"/>
      <c r="J435" s="33"/>
      <c r="K435" s="37" t="str">
        <f aca="false">IF(OR(B435="",G435=""),"",IF(H435="Min",IF(E435&lt;G435,"Exceedance","OK"),IF(E435&gt;G435,"Exceedance","OK")))</f>
        <v/>
      </c>
    </row>
    <row r="436" customFormat="false" ht="15" hidden="false" customHeight="false" outlineLevel="0" collapsed="false">
      <c r="A436" s="32"/>
      <c r="B436" s="32"/>
      <c r="C436" s="32"/>
      <c r="D436" s="35"/>
      <c r="E436" s="43"/>
      <c r="F436" s="32"/>
      <c r="G436" s="43"/>
      <c r="H436" s="32"/>
      <c r="I436" s="33"/>
      <c r="J436" s="33"/>
      <c r="K436" s="37" t="str">
        <f aca="false">IF(OR(B436="",G436=""),"",IF(H436="Min",IF(E436&lt;G436,"Exceedance","OK"),IF(E436&gt;G436,"Exceedance","OK")))</f>
        <v/>
      </c>
    </row>
    <row r="437" customFormat="false" ht="15" hidden="false" customHeight="false" outlineLevel="0" collapsed="false">
      <c r="A437" s="32"/>
      <c r="B437" s="32"/>
      <c r="C437" s="32"/>
      <c r="D437" s="35"/>
      <c r="E437" s="43"/>
      <c r="F437" s="32"/>
      <c r="G437" s="43"/>
      <c r="H437" s="32"/>
      <c r="I437" s="33"/>
      <c r="J437" s="33"/>
      <c r="K437" s="37" t="str">
        <f aca="false">IF(OR(B437="",G437=""),"",IF(H437="Min",IF(E437&lt;G437,"Exceedance","OK"),IF(E437&gt;G437,"Exceedance","OK")))</f>
        <v/>
      </c>
    </row>
    <row r="438" customFormat="false" ht="15" hidden="false" customHeight="false" outlineLevel="0" collapsed="false">
      <c r="A438" s="32"/>
      <c r="B438" s="32"/>
      <c r="C438" s="32"/>
      <c r="D438" s="35"/>
      <c r="E438" s="43"/>
      <c r="F438" s="32"/>
      <c r="G438" s="43"/>
      <c r="H438" s="32"/>
      <c r="I438" s="33"/>
      <c r="J438" s="33"/>
      <c r="K438" s="37" t="str">
        <f aca="false">IF(OR(B438="",G438=""),"",IF(H438="Min",IF(E438&lt;G438,"Exceedance","OK"),IF(E438&gt;G438,"Exceedance","OK")))</f>
        <v/>
      </c>
    </row>
    <row r="439" customFormat="false" ht="15" hidden="false" customHeight="false" outlineLevel="0" collapsed="false">
      <c r="A439" s="32"/>
      <c r="B439" s="32"/>
      <c r="C439" s="32"/>
      <c r="D439" s="35"/>
      <c r="E439" s="43"/>
      <c r="F439" s="32"/>
      <c r="G439" s="43"/>
      <c r="H439" s="32"/>
      <c r="I439" s="33"/>
      <c r="J439" s="33"/>
      <c r="K439" s="37" t="str">
        <f aca="false">IF(OR(B439="",G439=""),"",IF(H439="Min",IF(E439&lt;G439,"Exceedance","OK"),IF(E439&gt;G439,"Exceedance","OK")))</f>
        <v/>
      </c>
    </row>
    <row r="440" customFormat="false" ht="15" hidden="false" customHeight="false" outlineLevel="0" collapsed="false">
      <c r="A440" s="32"/>
      <c r="B440" s="32"/>
      <c r="C440" s="32"/>
      <c r="D440" s="35"/>
      <c r="E440" s="43"/>
      <c r="F440" s="32"/>
      <c r="G440" s="43"/>
      <c r="H440" s="32"/>
      <c r="I440" s="33"/>
      <c r="J440" s="33"/>
      <c r="K440" s="37" t="str">
        <f aca="false">IF(OR(B440="",G440=""),"",IF(H440="Min",IF(E440&lt;G440,"Exceedance","OK"),IF(E440&gt;G440,"Exceedance","OK")))</f>
        <v/>
      </c>
    </row>
    <row r="441" customFormat="false" ht="15" hidden="false" customHeight="false" outlineLevel="0" collapsed="false">
      <c r="A441" s="32"/>
      <c r="B441" s="32"/>
      <c r="C441" s="32"/>
      <c r="D441" s="35"/>
      <c r="E441" s="43"/>
      <c r="F441" s="32"/>
      <c r="G441" s="43"/>
      <c r="H441" s="32"/>
      <c r="I441" s="33"/>
      <c r="J441" s="33"/>
      <c r="K441" s="37" t="str">
        <f aca="false">IF(OR(B441="",G441=""),"",IF(H441="Min",IF(E441&lt;G441,"Exceedance","OK"),IF(E441&gt;G441,"Exceedance","OK")))</f>
        <v/>
      </c>
    </row>
    <row r="442" customFormat="false" ht="15" hidden="false" customHeight="false" outlineLevel="0" collapsed="false">
      <c r="A442" s="32"/>
      <c r="B442" s="32"/>
      <c r="C442" s="32"/>
      <c r="D442" s="35"/>
      <c r="E442" s="43"/>
      <c r="F442" s="32"/>
      <c r="G442" s="43"/>
      <c r="H442" s="32"/>
      <c r="I442" s="33"/>
      <c r="J442" s="33"/>
      <c r="K442" s="37" t="str">
        <f aca="false">IF(OR(B442="",G442=""),"",IF(H442="Min",IF(E442&lt;G442,"Exceedance","OK"),IF(E442&gt;G442,"Exceedance","OK")))</f>
        <v/>
      </c>
    </row>
    <row r="443" customFormat="false" ht="15" hidden="false" customHeight="false" outlineLevel="0" collapsed="false">
      <c r="A443" s="32"/>
      <c r="B443" s="32"/>
      <c r="C443" s="32"/>
      <c r="D443" s="35"/>
      <c r="E443" s="43"/>
      <c r="F443" s="32"/>
      <c r="G443" s="43"/>
      <c r="H443" s="32"/>
      <c r="I443" s="33"/>
      <c r="J443" s="33"/>
      <c r="K443" s="37" t="str">
        <f aca="false">IF(OR(B443="",G443=""),"",IF(H443="Min",IF(E443&lt;G443,"Exceedance","OK"),IF(E443&gt;G443,"Exceedance","OK")))</f>
        <v/>
      </c>
    </row>
    <row r="444" customFormat="false" ht="15" hidden="false" customHeight="false" outlineLevel="0" collapsed="false">
      <c r="A444" s="32"/>
      <c r="B444" s="32"/>
      <c r="C444" s="32"/>
      <c r="D444" s="35"/>
      <c r="E444" s="43"/>
      <c r="F444" s="32"/>
      <c r="G444" s="43"/>
      <c r="H444" s="32"/>
      <c r="I444" s="33"/>
      <c r="J444" s="33"/>
      <c r="K444" s="37" t="str">
        <f aca="false">IF(OR(B444="",G444=""),"",IF(H444="Min",IF(E444&lt;G444,"Exceedance","OK"),IF(E444&gt;G444,"Exceedance","OK")))</f>
        <v/>
      </c>
    </row>
    <row r="445" customFormat="false" ht="15" hidden="false" customHeight="false" outlineLevel="0" collapsed="false">
      <c r="A445" s="32"/>
      <c r="B445" s="32"/>
      <c r="C445" s="32"/>
      <c r="D445" s="35"/>
      <c r="E445" s="43"/>
      <c r="F445" s="32"/>
      <c r="G445" s="43"/>
      <c r="H445" s="32"/>
      <c r="I445" s="33"/>
      <c r="J445" s="33"/>
      <c r="K445" s="37" t="str">
        <f aca="false">IF(OR(B445="",G445=""),"",IF(H445="Min",IF(E445&lt;G445,"Exceedance","OK"),IF(E445&gt;G445,"Exceedance","OK")))</f>
        <v/>
      </c>
    </row>
    <row r="446" customFormat="false" ht="15" hidden="false" customHeight="false" outlineLevel="0" collapsed="false">
      <c r="A446" s="32"/>
      <c r="B446" s="32"/>
      <c r="C446" s="32"/>
      <c r="D446" s="35"/>
      <c r="E446" s="43"/>
      <c r="F446" s="32"/>
      <c r="G446" s="43"/>
      <c r="H446" s="32"/>
      <c r="I446" s="33"/>
      <c r="J446" s="33"/>
      <c r="K446" s="37" t="str">
        <f aca="false">IF(OR(B446="",G446=""),"",IF(H446="Min",IF(E446&lt;G446,"Exceedance","OK"),IF(E446&gt;G446,"Exceedance","OK")))</f>
        <v/>
      </c>
    </row>
    <row r="447" customFormat="false" ht="15" hidden="false" customHeight="false" outlineLevel="0" collapsed="false">
      <c r="A447" s="32"/>
      <c r="B447" s="32"/>
      <c r="C447" s="32"/>
      <c r="D447" s="35"/>
      <c r="E447" s="43"/>
      <c r="F447" s="32"/>
      <c r="G447" s="43"/>
      <c r="H447" s="32"/>
      <c r="I447" s="33"/>
      <c r="J447" s="33"/>
      <c r="K447" s="37" t="str">
        <f aca="false">IF(OR(B447="",G447=""),"",IF(H447="Min",IF(E447&lt;G447,"Exceedance","OK"),IF(E447&gt;G447,"Exceedance","OK")))</f>
        <v/>
      </c>
    </row>
    <row r="448" customFormat="false" ht="15" hidden="false" customHeight="false" outlineLevel="0" collapsed="false">
      <c r="A448" s="32"/>
      <c r="B448" s="32"/>
      <c r="C448" s="32"/>
      <c r="D448" s="35"/>
      <c r="E448" s="43"/>
      <c r="F448" s="32"/>
      <c r="G448" s="43"/>
      <c r="H448" s="32"/>
      <c r="I448" s="33"/>
      <c r="J448" s="33"/>
      <c r="K448" s="37" t="str">
        <f aca="false">IF(OR(B448="",G448=""),"",IF(H448="Min",IF(E448&lt;G448,"Exceedance","OK"),IF(E448&gt;G448,"Exceedance","OK")))</f>
        <v/>
      </c>
    </row>
    <row r="449" customFormat="false" ht="15" hidden="false" customHeight="false" outlineLevel="0" collapsed="false">
      <c r="A449" s="32"/>
      <c r="B449" s="32"/>
      <c r="C449" s="32"/>
      <c r="D449" s="35"/>
      <c r="E449" s="43"/>
      <c r="F449" s="32"/>
      <c r="G449" s="43"/>
      <c r="H449" s="32"/>
      <c r="I449" s="33"/>
      <c r="J449" s="33"/>
      <c r="K449" s="37" t="str">
        <f aca="false">IF(OR(B449="",G449=""),"",IF(H449="Min",IF(E449&lt;G449,"Exceedance","OK"),IF(E449&gt;G449,"Exceedance","OK")))</f>
        <v/>
      </c>
    </row>
    <row r="450" customFormat="false" ht="15" hidden="false" customHeight="false" outlineLevel="0" collapsed="false">
      <c r="A450" s="32"/>
      <c r="B450" s="32"/>
      <c r="C450" s="32"/>
      <c r="D450" s="35"/>
      <c r="E450" s="43"/>
      <c r="F450" s="32"/>
      <c r="G450" s="43"/>
      <c r="H450" s="32"/>
      <c r="I450" s="33"/>
      <c r="J450" s="33"/>
      <c r="K450" s="37" t="str">
        <f aca="false">IF(OR(B450="",G450=""),"",IF(H450="Min",IF(E450&lt;G450,"Exceedance","OK"),IF(E450&gt;G450,"Exceedance","OK")))</f>
        <v/>
      </c>
    </row>
    <row r="451" customFormat="false" ht="15" hidden="false" customHeight="false" outlineLevel="0" collapsed="false">
      <c r="A451" s="32"/>
      <c r="B451" s="32"/>
      <c r="C451" s="32"/>
      <c r="D451" s="35"/>
      <c r="E451" s="43"/>
      <c r="F451" s="32"/>
      <c r="G451" s="43"/>
      <c r="H451" s="32"/>
      <c r="I451" s="33"/>
      <c r="J451" s="33"/>
      <c r="K451" s="37" t="str">
        <f aca="false">IF(OR(B451="",G451=""),"",IF(H451="Min",IF(E451&lt;G451,"Exceedance","OK"),IF(E451&gt;G451,"Exceedance","OK")))</f>
        <v/>
      </c>
    </row>
    <row r="452" customFormat="false" ht="15" hidden="false" customHeight="false" outlineLevel="0" collapsed="false">
      <c r="A452" s="32"/>
      <c r="B452" s="32"/>
      <c r="C452" s="32"/>
      <c r="D452" s="35"/>
      <c r="E452" s="43"/>
      <c r="F452" s="32"/>
      <c r="G452" s="43"/>
      <c r="H452" s="32"/>
      <c r="I452" s="33"/>
      <c r="J452" s="33"/>
      <c r="K452" s="37" t="str">
        <f aca="false">IF(OR(B452="",G452=""),"",IF(H452="Min",IF(E452&lt;G452,"Exceedance","OK"),IF(E452&gt;G452,"Exceedance","OK")))</f>
        <v/>
      </c>
    </row>
    <row r="453" customFormat="false" ht="15" hidden="false" customHeight="false" outlineLevel="0" collapsed="false">
      <c r="A453" s="32"/>
      <c r="B453" s="32"/>
      <c r="C453" s="32"/>
      <c r="D453" s="35"/>
      <c r="E453" s="43"/>
      <c r="F453" s="32"/>
      <c r="G453" s="43"/>
      <c r="H453" s="32"/>
      <c r="I453" s="33"/>
      <c r="J453" s="33"/>
      <c r="K453" s="37" t="str">
        <f aca="false">IF(OR(B453="",G453=""),"",IF(H453="Min",IF(E453&lt;G453,"Exceedance","OK"),IF(E453&gt;G453,"Exceedance","OK")))</f>
        <v/>
      </c>
    </row>
    <row r="454" customFormat="false" ht="15" hidden="false" customHeight="false" outlineLevel="0" collapsed="false">
      <c r="A454" s="32"/>
      <c r="B454" s="32"/>
      <c r="C454" s="32"/>
      <c r="D454" s="35"/>
      <c r="E454" s="43"/>
      <c r="F454" s="32"/>
      <c r="G454" s="43"/>
      <c r="H454" s="32"/>
      <c r="I454" s="33"/>
      <c r="J454" s="33"/>
      <c r="K454" s="37" t="str">
        <f aca="false">IF(OR(B454="",G454=""),"",IF(H454="Min",IF(E454&lt;G454,"Exceedance","OK"),IF(E454&gt;G454,"Exceedance","OK")))</f>
        <v/>
      </c>
    </row>
    <row r="455" customFormat="false" ht="15" hidden="false" customHeight="false" outlineLevel="0" collapsed="false">
      <c r="A455" s="32"/>
      <c r="B455" s="32"/>
      <c r="C455" s="32"/>
      <c r="D455" s="35"/>
      <c r="E455" s="43"/>
      <c r="F455" s="32"/>
      <c r="G455" s="43"/>
      <c r="H455" s="32"/>
      <c r="I455" s="33"/>
      <c r="J455" s="33"/>
      <c r="K455" s="37" t="str">
        <f aca="false">IF(OR(B455="",G455=""),"",IF(H455="Min",IF(E455&lt;G455,"Exceedance","OK"),IF(E455&gt;G455,"Exceedance","OK")))</f>
        <v/>
      </c>
    </row>
    <row r="456" customFormat="false" ht="15" hidden="false" customHeight="false" outlineLevel="0" collapsed="false">
      <c r="A456" s="32"/>
      <c r="B456" s="32"/>
      <c r="C456" s="32"/>
      <c r="D456" s="35"/>
      <c r="E456" s="43"/>
      <c r="F456" s="32"/>
      <c r="G456" s="43"/>
      <c r="H456" s="32"/>
      <c r="I456" s="33"/>
      <c r="J456" s="33"/>
      <c r="K456" s="37" t="str">
        <f aca="false">IF(OR(B456="",G456=""),"",IF(H456="Min",IF(E456&lt;G456,"Exceedance","OK"),IF(E456&gt;G456,"Exceedance","OK")))</f>
        <v/>
      </c>
    </row>
    <row r="457" customFormat="false" ht="15" hidden="false" customHeight="false" outlineLevel="0" collapsed="false">
      <c r="A457" s="32"/>
      <c r="B457" s="32"/>
      <c r="C457" s="32"/>
      <c r="D457" s="35"/>
      <c r="E457" s="43"/>
      <c r="F457" s="32"/>
      <c r="G457" s="43"/>
      <c r="H457" s="32"/>
      <c r="I457" s="33"/>
      <c r="J457" s="33"/>
      <c r="K457" s="37" t="str">
        <f aca="false">IF(OR(B457="",G457=""),"",IF(H457="Min",IF(E457&lt;G457,"Exceedance","OK"),IF(E457&gt;G457,"Exceedance","OK")))</f>
        <v/>
      </c>
    </row>
    <row r="458" customFormat="false" ht="15" hidden="false" customHeight="false" outlineLevel="0" collapsed="false">
      <c r="A458" s="32"/>
      <c r="B458" s="32"/>
      <c r="C458" s="32"/>
      <c r="D458" s="35"/>
      <c r="E458" s="43"/>
      <c r="F458" s="32"/>
      <c r="G458" s="43"/>
      <c r="H458" s="32"/>
      <c r="I458" s="33"/>
      <c r="J458" s="33"/>
      <c r="K458" s="37" t="str">
        <f aca="false">IF(OR(B458="",G458=""),"",IF(H458="Min",IF(E458&lt;G458,"Exceedance","OK"),IF(E458&gt;G458,"Exceedance","OK")))</f>
        <v/>
      </c>
    </row>
    <row r="459" customFormat="false" ht="15" hidden="false" customHeight="false" outlineLevel="0" collapsed="false">
      <c r="A459" s="32"/>
      <c r="B459" s="32"/>
      <c r="C459" s="32"/>
      <c r="D459" s="35"/>
      <c r="E459" s="43"/>
      <c r="F459" s="32"/>
      <c r="G459" s="43"/>
      <c r="H459" s="32"/>
      <c r="I459" s="33"/>
      <c r="J459" s="33"/>
      <c r="K459" s="37" t="str">
        <f aca="false">IF(OR(B459="",G459=""),"",IF(H459="Min",IF(E459&lt;G459,"Exceedance","OK"),IF(E459&gt;G459,"Exceedance","OK")))</f>
        <v/>
      </c>
    </row>
    <row r="460" customFormat="false" ht="15" hidden="false" customHeight="false" outlineLevel="0" collapsed="false">
      <c r="A460" s="32"/>
      <c r="B460" s="32"/>
      <c r="C460" s="32"/>
      <c r="D460" s="35"/>
      <c r="E460" s="43"/>
      <c r="F460" s="32"/>
      <c r="G460" s="43"/>
      <c r="H460" s="32"/>
      <c r="I460" s="33"/>
      <c r="J460" s="33"/>
      <c r="K460" s="37" t="str">
        <f aca="false">IF(OR(B460="",G460=""),"",IF(H460="Min",IF(E460&lt;G460,"Exceedance","OK"),IF(E460&gt;G460,"Exceedance","OK")))</f>
        <v/>
      </c>
    </row>
    <row r="461" customFormat="false" ht="15" hidden="false" customHeight="false" outlineLevel="0" collapsed="false">
      <c r="A461" s="32"/>
      <c r="B461" s="32"/>
      <c r="C461" s="32"/>
      <c r="D461" s="35"/>
      <c r="E461" s="43"/>
      <c r="F461" s="32"/>
      <c r="G461" s="43"/>
      <c r="H461" s="32"/>
      <c r="I461" s="33"/>
      <c r="J461" s="33"/>
      <c r="K461" s="37" t="str">
        <f aca="false">IF(OR(B461="",G461=""),"",IF(H461="Min",IF(E461&lt;G461,"Exceedance","OK"),IF(E461&gt;G461,"Exceedance","OK")))</f>
        <v/>
      </c>
    </row>
    <row r="462" customFormat="false" ht="15" hidden="false" customHeight="false" outlineLevel="0" collapsed="false">
      <c r="A462" s="32"/>
      <c r="B462" s="32"/>
      <c r="C462" s="32"/>
      <c r="D462" s="35"/>
      <c r="E462" s="43"/>
      <c r="F462" s="32"/>
      <c r="G462" s="43"/>
      <c r="H462" s="32"/>
      <c r="I462" s="33"/>
      <c r="J462" s="33"/>
      <c r="K462" s="37" t="str">
        <f aca="false">IF(OR(B462="",G462=""),"",IF(H462="Min",IF(E462&lt;G462,"Exceedance","OK"),IF(E462&gt;G462,"Exceedance","OK")))</f>
        <v/>
      </c>
    </row>
    <row r="463" customFormat="false" ht="15" hidden="false" customHeight="false" outlineLevel="0" collapsed="false">
      <c r="A463" s="32"/>
      <c r="B463" s="32"/>
      <c r="C463" s="32"/>
      <c r="D463" s="35"/>
      <c r="E463" s="43"/>
      <c r="F463" s="32"/>
      <c r="G463" s="43"/>
      <c r="H463" s="32"/>
      <c r="I463" s="33"/>
      <c r="J463" s="33"/>
      <c r="K463" s="37" t="str">
        <f aca="false">IF(OR(B463="",G463=""),"",IF(H463="Min",IF(E463&lt;G463,"Exceedance","OK"),IF(E463&gt;G463,"Exceedance","OK")))</f>
        <v/>
      </c>
    </row>
    <row r="464" customFormat="false" ht="15" hidden="false" customHeight="false" outlineLevel="0" collapsed="false">
      <c r="A464" s="32"/>
      <c r="B464" s="32"/>
      <c r="C464" s="32"/>
      <c r="D464" s="35"/>
      <c r="E464" s="43"/>
      <c r="F464" s="32"/>
      <c r="G464" s="43"/>
      <c r="H464" s="32"/>
      <c r="I464" s="33"/>
      <c r="J464" s="33"/>
      <c r="K464" s="37" t="str">
        <f aca="false">IF(OR(B464="",G464=""),"",IF(H464="Min",IF(E464&lt;G464,"Exceedance","OK"),IF(E464&gt;G464,"Exceedance","OK")))</f>
        <v/>
      </c>
    </row>
    <row r="465" customFormat="false" ht="15" hidden="false" customHeight="false" outlineLevel="0" collapsed="false">
      <c r="A465" s="32"/>
      <c r="B465" s="32"/>
      <c r="C465" s="32"/>
      <c r="D465" s="35"/>
      <c r="E465" s="43"/>
      <c r="F465" s="32"/>
      <c r="G465" s="43"/>
      <c r="H465" s="32"/>
      <c r="I465" s="33"/>
      <c r="J465" s="33"/>
      <c r="K465" s="37" t="str">
        <f aca="false">IF(OR(B465="",G465=""),"",IF(H465="Min",IF(E465&lt;G465,"Exceedance","OK"),IF(E465&gt;G465,"Exceedance","OK")))</f>
        <v/>
      </c>
    </row>
    <row r="466" customFormat="false" ht="15" hidden="false" customHeight="false" outlineLevel="0" collapsed="false">
      <c r="A466" s="32"/>
      <c r="B466" s="32"/>
      <c r="C466" s="32"/>
      <c r="D466" s="35"/>
      <c r="E466" s="43"/>
      <c r="F466" s="32"/>
      <c r="G466" s="43"/>
      <c r="H466" s="32"/>
      <c r="I466" s="33"/>
      <c r="J466" s="33"/>
      <c r="K466" s="37" t="str">
        <f aca="false">IF(OR(B466="",G466=""),"",IF(H466="Min",IF(E466&lt;G466,"Exceedance","OK"),IF(E466&gt;G466,"Exceedance","OK")))</f>
        <v/>
      </c>
    </row>
    <row r="467" customFormat="false" ht="15" hidden="false" customHeight="false" outlineLevel="0" collapsed="false">
      <c r="A467" s="32"/>
      <c r="B467" s="32"/>
      <c r="C467" s="32"/>
      <c r="D467" s="35"/>
      <c r="E467" s="43"/>
      <c r="F467" s="32"/>
      <c r="G467" s="43"/>
      <c r="H467" s="32"/>
      <c r="I467" s="33"/>
      <c r="J467" s="33"/>
      <c r="K467" s="37" t="str">
        <f aca="false">IF(OR(B467="",G467=""),"",IF(H467="Min",IF(E467&lt;G467,"Exceedance","OK"),IF(E467&gt;G467,"Exceedance","OK")))</f>
        <v/>
      </c>
    </row>
    <row r="468" customFormat="false" ht="15" hidden="false" customHeight="false" outlineLevel="0" collapsed="false">
      <c r="A468" s="32"/>
      <c r="B468" s="32"/>
      <c r="C468" s="32"/>
      <c r="D468" s="35"/>
      <c r="E468" s="43"/>
      <c r="F468" s="32"/>
      <c r="G468" s="43"/>
      <c r="H468" s="32"/>
      <c r="I468" s="33"/>
      <c r="J468" s="33"/>
      <c r="K468" s="37" t="str">
        <f aca="false">IF(OR(B468="",G468=""),"",IF(H468="Min",IF(E468&lt;G468,"Exceedance","OK"),IF(E468&gt;G468,"Exceedance","OK")))</f>
        <v/>
      </c>
    </row>
    <row r="469" customFormat="false" ht="15" hidden="false" customHeight="false" outlineLevel="0" collapsed="false">
      <c r="A469" s="32"/>
      <c r="B469" s="32"/>
      <c r="C469" s="32"/>
      <c r="D469" s="35"/>
      <c r="E469" s="43"/>
      <c r="F469" s="32"/>
      <c r="G469" s="43"/>
      <c r="H469" s="32"/>
      <c r="I469" s="33"/>
      <c r="J469" s="33"/>
      <c r="K469" s="37" t="str">
        <f aca="false">IF(OR(B469="",G469=""),"",IF(H469="Min",IF(E469&lt;G469,"Exceedance","OK"),IF(E469&gt;G469,"Exceedance","OK")))</f>
        <v/>
      </c>
    </row>
    <row r="470" customFormat="false" ht="15" hidden="false" customHeight="false" outlineLevel="0" collapsed="false">
      <c r="A470" s="32"/>
      <c r="B470" s="32"/>
      <c r="C470" s="32"/>
      <c r="D470" s="35"/>
      <c r="E470" s="43"/>
      <c r="F470" s="32"/>
      <c r="G470" s="43"/>
      <c r="H470" s="32"/>
      <c r="I470" s="33"/>
      <c r="J470" s="33"/>
      <c r="K470" s="37" t="str">
        <f aca="false">IF(OR(B470="",G470=""),"",IF(H470="Min",IF(E470&lt;G470,"Exceedance","OK"),IF(E470&gt;G470,"Exceedance","OK")))</f>
        <v/>
      </c>
    </row>
    <row r="471" customFormat="false" ht="15" hidden="false" customHeight="false" outlineLevel="0" collapsed="false">
      <c r="A471" s="32"/>
      <c r="B471" s="32"/>
      <c r="C471" s="32"/>
      <c r="D471" s="35"/>
      <c r="E471" s="43"/>
      <c r="F471" s="32"/>
      <c r="G471" s="43"/>
      <c r="H471" s="32"/>
      <c r="I471" s="33"/>
      <c r="J471" s="33"/>
      <c r="K471" s="37" t="str">
        <f aca="false">IF(OR(B471="",G471=""),"",IF(H471="Min",IF(E471&lt;G471,"Exceedance","OK"),IF(E471&gt;G471,"Exceedance","OK")))</f>
        <v/>
      </c>
    </row>
    <row r="472" customFormat="false" ht="15" hidden="false" customHeight="false" outlineLevel="0" collapsed="false">
      <c r="A472" s="32"/>
      <c r="B472" s="32"/>
      <c r="C472" s="32"/>
      <c r="D472" s="35"/>
      <c r="E472" s="43"/>
      <c r="F472" s="32"/>
      <c r="G472" s="43"/>
      <c r="H472" s="32"/>
      <c r="I472" s="33"/>
      <c r="J472" s="33"/>
      <c r="K472" s="37" t="str">
        <f aca="false">IF(OR(B472="",G472=""),"",IF(H472="Min",IF(E472&lt;G472,"Exceedance","OK"),IF(E472&gt;G472,"Exceedance","OK")))</f>
        <v/>
      </c>
    </row>
    <row r="473" customFormat="false" ht="15" hidden="false" customHeight="false" outlineLevel="0" collapsed="false">
      <c r="A473" s="32"/>
      <c r="B473" s="32"/>
      <c r="C473" s="32"/>
      <c r="D473" s="35"/>
      <c r="E473" s="43"/>
      <c r="F473" s="32"/>
      <c r="G473" s="43"/>
      <c r="H473" s="32"/>
      <c r="I473" s="33"/>
      <c r="J473" s="33"/>
      <c r="K473" s="37" t="str">
        <f aca="false">IF(OR(B473="",G473=""),"",IF(H473="Min",IF(E473&lt;G473,"Exceedance","OK"),IF(E473&gt;G473,"Exceedance","OK")))</f>
        <v/>
      </c>
    </row>
    <row r="474" customFormat="false" ht="15" hidden="false" customHeight="false" outlineLevel="0" collapsed="false">
      <c r="A474" s="32"/>
      <c r="B474" s="32"/>
      <c r="C474" s="32"/>
      <c r="D474" s="35"/>
      <c r="E474" s="43"/>
      <c r="F474" s="32"/>
      <c r="G474" s="43"/>
      <c r="H474" s="32"/>
      <c r="I474" s="33"/>
      <c r="J474" s="33"/>
      <c r="K474" s="37" t="str">
        <f aca="false">IF(OR(B474="",G474=""),"",IF(H474="Min",IF(E474&lt;G474,"Exceedance","OK"),IF(E474&gt;G474,"Exceedance","OK")))</f>
        <v/>
      </c>
    </row>
    <row r="475" customFormat="false" ht="15" hidden="false" customHeight="false" outlineLevel="0" collapsed="false">
      <c r="A475" s="32"/>
      <c r="B475" s="32"/>
      <c r="C475" s="32"/>
      <c r="D475" s="35"/>
      <c r="E475" s="43"/>
      <c r="F475" s="32"/>
      <c r="G475" s="43"/>
      <c r="H475" s="32"/>
      <c r="I475" s="33"/>
      <c r="J475" s="33"/>
      <c r="K475" s="37" t="str">
        <f aca="false">IF(OR(B475="",G475=""),"",IF(H475="Min",IF(E475&lt;G475,"Exceedance","OK"),IF(E475&gt;G475,"Exceedance","OK")))</f>
        <v/>
      </c>
    </row>
    <row r="476" customFormat="false" ht="15" hidden="false" customHeight="false" outlineLevel="0" collapsed="false">
      <c r="A476" s="32"/>
      <c r="B476" s="32"/>
      <c r="C476" s="32"/>
      <c r="D476" s="35"/>
      <c r="E476" s="43"/>
      <c r="F476" s="32"/>
      <c r="G476" s="43"/>
      <c r="H476" s="32"/>
      <c r="I476" s="33"/>
      <c r="J476" s="33"/>
      <c r="K476" s="37" t="str">
        <f aca="false">IF(OR(B476="",G476=""),"",IF(H476="Min",IF(E476&lt;G476,"Exceedance","OK"),IF(E476&gt;G476,"Exceedance","OK")))</f>
        <v/>
      </c>
    </row>
    <row r="477" customFormat="false" ht="15" hidden="false" customHeight="false" outlineLevel="0" collapsed="false">
      <c r="A477" s="32"/>
      <c r="B477" s="32"/>
      <c r="C477" s="32"/>
      <c r="D477" s="35"/>
      <c r="E477" s="43"/>
      <c r="F477" s="32"/>
      <c r="G477" s="43"/>
      <c r="H477" s="32"/>
      <c r="I477" s="33"/>
      <c r="J477" s="33"/>
      <c r="K477" s="37" t="str">
        <f aca="false">IF(OR(B477="",G477=""),"",IF(H477="Min",IF(E477&lt;G477,"Exceedance","OK"),IF(E477&gt;G477,"Exceedance","OK")))</f>
        <v/>
      </c>
    </row>
    <row r="478" customFormat="false" ht="15" hidden="false" customHeight="false" outlineLevel="0" collapsed="false">
      <c r="A478" s="32"/>
      <c r="B478" s="32"/>
      <c r="C478" s="32"/>
      <c r="D478" s="35"/>
      <c r="E478" s="43"/>
      <c r="F478" s="32"/>
      <c r="G478" s="43"/>
      <c r="H478" s="32"/>
      <c r="I478" s="33"/>
      <c r="J478" s="33"/>
      <c r="K478" s="37" t="str">
        <f aca="false">IF(OR(B478="",G478=""),"",IF(H478="Min",IF(E478&lt;G478,"Exceedance","OK"),IF(E478&gt;G478,"Exceedance","OK")))</f>
        <v/>
      </c>
    </row>
    <row r="479" customFormat="false" ht="15" hidden="false" customHeight="false" outlineLevel="0" collapsed="false">
      <c r="A479" s="32"/>
      <c r="B479" s="32"/>
      <c r="C479" s="32"/>
      <c r="D479" s="35"/>
      <c r="E479" s="43"/>
      <c r="F479" s="32"/>
      <c r="G479" s="43"/>
      <c r="H479" s="32"/>
      <c r="I479" s="33"/>
      <c r="J479" s="33"/>
      <c r="K479" s="37" t="str">
        <f aca="false">IF(OR(B479="",G479=""),"",IF(H479="Min",IF(E479&lt;G479,"Exceedance","OK"),IF(E479&gt;G479,"Exceedance","OK")))</f>
        <v/>
      </c>
    </row>
    <row r="480" customFormat="false" ht="15" hidden="false" customHeight="false" outlineLevel="0" collapsed="false">
      <c r="A480" s="32"/>
      <c r="B480" s="32"/>
      <c r="C480" s="32"/>
      <c r="D480" s="35"/>
      <c r="E480" s="43"/>
      <c r="F480" s="32"/>
      <c r="G480" s="43"/>
      <c r="H480" s="32"/>
      <c r="I480" s="33"/>
      <c r="J480" s="33"/>
      <c r="K480" s="37" t="str">
        <f aca="false">IF(OR(B480="",G480=""),"",IF(H480="Min",IF(E480&lt;G480,"Exceedance","OK"),IF(E480&gt;G480,"Exceedance","OK")))</f>
        <v/>
      </c>
    </row>
    <row r="481" customFormat="false" ht="15" hidden="false" customHeight="false" outlineLevel="0" collapsed="false">
      <c r="A481" s="32"/>
      <c r="B481" s="32"/>
      <c r="C481" s="32"/>
      <c r="D481" s="35"/>
      <c r="E481" s="43"/>
      <c r="F481" s="32"/>
      <c r="G481" s="43"/>
      <c r="H481" s="32"/>
      <c r="I481" s="33"/>
      <c r="J481" s="33"/>
      <c r="K481" s="37" t="str">
        <f aca="false">IF(OR(B481="",G481=""),"",IF(H481="Min",IF(E481&lt;G481,"Exceedance","OK"),IF(E481&gt;G481,"Exceedance","OK")))</f>
        <v/>
      </c>
    </row>
    <row r="482" customFormat="false" ht="15" hidden="false" customHeight="false" outlineLevel="0" collapsed="false">
      <c r="A482" s="32"/>
      <c r="B482" s="32"/>
      <c r="C482" s="32"/>
      <c r="D482" s="35"/>
      <c r="E482" s="43"/>
      <c r="F482" s="32"/>
      <c r="G482" s="43"/>
      <c r="H482" s="32"/>
      <c r="I482" s="33"/>
      <c r="J482" s="33"/>
      <c r="K482" s="37" t="str">
        <f aca="false">IF(OR(B482="",G482=""),"",IF(H482="Min",IF(E482&lt;G482,"Exceedance","OK"),IF(E482&gt;G482,"Exceedance","OK")))</f>
        <v/>
      </c>
    </row>
    <row r="483" customFormat="false" ht="15" hidden="false" customHeight="false" outlineLevel="0" collapsed="false">
      <c r="A483" s="32"/>
      <c r="B483" s="32"/>
      <c r="C483" s="32"/>
      <c r="D483" s="35"/>
      <c r="E483" s="43"/>
      <c r="F483" s="32"/>
      <c r="G483" s="43"/>
      <c r="H483" s="32"/>
      <c r="I483" s="33"/>
      <c r="J483" s="33"/>
      <c r="K483" s="37" t="str">
        <f aca="false">IF(OR(B483="",G483=""),"",IF(H483="Min",IF(E483&lt;G483,"Exceedance","OK"),IF(E483&gt;G483,"Exceedance","OK")))</f>
        <v/>
      </c>
    </row>
    <row r="484" customFormat="false" ht="15" hidden="false" customHeight="false" outlineLevel="0" collapsed="false">
      <c r="A484" s="32"/>
      <c r="B484" s="32"/>
      <c r="C484" s="32"/>
      <c r="D484" s="35"/>
      <c r="E484" s="43"/>
      <c r="F484" s="32"/>
      <c r="G484" s="43"/>
      <c r="H484" s="32"/>
      <c r="I484" s="33"/>
      <c r="J484" s="33"/>
      <c r="K484" s="37" t="str">
        <f aca="false">IF(OR(B484="",G484=""),"",IF(H484="Min",IF(E484&lt;G484,"Exceedance","OK"),IF(E484&gt;G484,"Exceedance","OK")))</f>
        <v/>
      </c>
    </row>
    <row r="485" customFormat="false" ht="15" hidden="false" customHeight="false" outlineLevel="0" collapsed="false">
      <c r="A485" s="32"/>
      <c r="B485" s="32"/>
      <c r="C485" s="32"/>
      <c r="D485" s="35"/>
      <c r="E485" s="43"/>
      <c r="F485" s="32"/>
      <c r="G485" s="43"/>
      <c r="H485" s="32"/>
      <c r="I485" s="33"/>
      <c r="J485" s="33"/>
      <c r="K485" s="37" t="str">
        <f aca="false">IF(OR(B485="",G485=""),"",IF(H485="Min",IF(E485&lt;G485,"Exceedance","OK"),IF(E485&gt;G485,"Exceedance","OK")))</f>
        <v/>
      </c>
    </row>
    <row r="486" customFormat="false" ht="15" hidden="false" customHeight="false" outlineLevel="0" collapsed="false">
      <c r="A486" s="32"/>
      <c r="B486" s="32"/>
      <c r="C486" s="32"/>
      <c r="D486" s="35"/>
      <c r="E486" s="43"/>
      <c r="F486" s="32"/>
      <c r="G486" s="43"/>
      <c r="H486" s="32"/>
      <c r="I486" s="33"/>
      <c r="J486" s="33"/>
      <c r="K486" s="37" t="str">
        <f aca="false">IF(OR(B486="",G486=""),"",IF(H486="Min",IF(E486&lt;G486,"Exceedance","OK"),IF(E486&gt;G486,"Exceedance","OK")))</f>
        <v/>
      </c>
    </row>
    <row r="487" customFormat="false" ht="15" hidden="false" customHeight="false" outlineLevel="0" collapsed="false">
      <c r="A487" s="32"/>
      <c r="B487" s="32"/>
      <c r="C487" s="32"/>
      <c r="D487" s="35"/>
      <c r="E487" s="43"/>
      <c r="F487" s="32"/>
      <c r="G487" s="43"/>
      <c r="H487" s="32"/>
      <c r="I487" s="33"/>
      <c r="J487" s="33"/>
      <c r="K487" s="37" t="str">
        <f aca="false">IF(OR(B487="",G487=""),"",IF(H487="Min",IF(E487&lt;G487,"Exceedance","OK"),IF(E487&gt;G487,"Exceedance","OK")))</f>
        <v/>
      </c>
    </row>
    <row r="488" customFormat="false" ht="15" hidden="false" customHeight="false" outlineLevel="0" collapsed="false">
      <c r="A488" s="32"/>
      <c r="B488" s="32"/>
      <c r="C488" s="32"/>
      <c r="D488" s="35"/>
      <c r="E488" s="43"/>
      <c r="F488" s="32"/>
      <c r="G488" s="43"/>
      <c r="H488" s="32"/>
      <c r="I488" s="33"/>
      <c r="J488" s="33"/>
      <c r="K488" s="37" t="str">
        <f aca="false">IF(OR(B488="",G488=""),"",IF(H488="Min",IF(E488&lt;G488,"Exceedance","OK"),IF(E488&gt;G488,"Exceedance","OK")))</f>
        <v/>
      </c>
    </row>
    <row r="489" customFormat="false" ht="15" hidden="false" customHeight="false" outlineLevel="0" collapsed="false">
      <c r="A489" s="32"/>
      <c r="B489" s="32"/>
      <c r="C489" s="32"/>
      <c r="D489" s="35"/>
      <c r="E489" s="43"/>
      <c r="F489" s="32"/>
      <c r="G489" s="43"/>
      <c r="H489" s="32"/>
      <c r="I489" s="33"/>
      <c r="J489" s="33"/>
      <c r="K489" s="37" t="str">
        <f aca="false">IF(OR(B489="",G489=""),"",IF(H489="Min",IF(E489&lt;G489,"Exceedance","OK"),IF(E489&gt;G489,"Exceedance","OK")))</f>
        <v/>
      </c>
    </row>
    <row r="490" customFormat="false" ht="15" hidden="false" customHeight="false" outlineLevel="0" collapsed="false">
      <c r="A490" s="32"/>
      <c r="B490" s="32"/>
      <c r="C490" s="32"/>
      <c r="D490" s="35"/>
      <c r="E490" s="43"/>
      <c r="F490" s="32"/>
      <c r="G490" s="43"/>
      <c r="H490" s="32"/>
      <c r="I490" s="33"/>
      <c r="J490" s="33"/>
      <c r="K490" s="37" t="str">
        <f aca="false">IF(OR(B490="",G490=""),"",IF(H490="Min",IF(E490&lt;G490,"Exceedance","OK"),IF(E490&gt;G490,"Exceedance","OK")))</f>
        <v/>
      </c>
    </row>
    <row r="491" customFormat="false" ht="15" hidden="false" customHeight="false" outlineLevel="0" collapsed="false">
      <c r="A491" s="32"/>
      <c r="B491" s="32"/>
      <c r="C491" s="32"/>
      <c r="D491" s="35"/>
      <c r="E491" s="43"/>
      <c r="F491" s="32"/>
      <c r="G491" s="43"/>
      <c r="H491" s="32"/>
      <c r="I491" s="33"/>
      <c r="J491" s="33"/>
      <c r="K491" s="37" t="str">
        <f aca="false">IF(OR(B491="",G491=""),"",IF(H491="Min",IF(E491&lt;G491,"Exceedance","OK"),IF(E491&gt;G491,"Exceedance","OK")))</f>
        <v/>
      </c>
    </row>
    <row r="492" customFormat="false" ht="15" hidden="false" customHeight="false" outlineLevel="0" collapsed="false">
      <c r="A492" s="32"/>
      <c r="B492" s="32"/>
      <c r="C492" s="32"/>
      <c r="D492" s="35"/>
      <c r="E492" s="43"/>
      <c r="F492" s="32"/>
      <c r="G492" s="43"/>
      <c r="H492" s="32"/>
      <c r="I492" s="33"/>
      <c r="J492" s="33"/>
      <c r="K492" s="37" t="str">
        <f aca="false">IF(OR(B492="",G492=""),"",IF(H492="Min",IF(E492&lt;G492,"Exceedance","OK"),IF(E492&gt;G492,"Exceedance","OK")))</f>
        <v/>
      </c>
    </row>
    <row r="493" customFormat="false" ht="15" hidden="false" customHeight="false" outlineLevel="0" collapsed="false">
      <c r="A493" s="32"/>
      <c r="B493" s="32"/>
      <c r="C493" s="32"/>
      <c r="D493" s="35"/>
      <c r="E493" s="43"/>
      <c r="F493" s="32"/>
      <c r="G493" s="43"/>
      <c r="H493" s="32"/>
      <c r="I493" s="33"/>
      <c r="J493" s="33"/>
      <c r="K493" s="37" t="str">
        <f aca="false">IF(OR(B493="",G493=""),"",IF(H493="Min",IF(E493&lt;G493,"Exceedance","OK"),IF(E493&gt;G493,"Exceedance","OK")))</f>
        <v/>
      </c>
    </row>
    <row r="494" customFormat="false" ht="15" hidden="false" customHeight="false" outlineLevel="0" collapsed="false">
      <c r="A494" s="32"/>
      <c r="B494" s="32"/>
      <c r="C494" s="32"/>
      <c r="D494" s="35"/>
      <c r="E494" s="43"/>
      <c r="F494" s="32"/>
      <c r="G494" s="43"/>
      <c r="H494" s="32"/>
      <c r="I494" s="33"/>
      <c r="J494" s="33"/>
      <c r="K494" s="37" t="str">
        <f aca="false">IF(OR(B494="",G494=""),"",IF(H494="Min",IF(E494&lt;G494,"Exceedance","OK"),IF(E494&gt;G494,"Exceedance","OK")))</f>
        <v/>
      </c>
    </row>
    <row r="495" customFormat="false" ht="15" hidden="false" customHeight="false" outlineLevel="0" collapsed="false">
      <c r="A495" s="32"/>
      <c r="B495" s="32"/>
      <c r="C495" s="32"/>
      <c r="D495" s="35"/>
      <c r="E495" s="43"/>
      <c r="F495" s="32"/>
      <c r="G495" s="43"/>
      <c r="H495" s="32"/>
      <c r="I495" s="33"/>
      <c r="J495" s="33"/>
      <c r="K495" s="37" t="str">
        <f aca="false">IF(OR(B495="",G495=""),"",IF(H495="Min",IF(E495&lt;G495,"Exceedance","OK"),IF(E495&gt;G495,"Exceedance","OK")))</f>
        <v/>
      </c>
    </row>
    <row r="496" customFormat="false" ht="15" hidden="false" customHeight="false" outlineLevel="0" collapsed="false">
      <c r="A496" s="32"/>
      <c r="B496" s="32"/>
      <c r="C496" s="32"/>
      <c r="D496" s="35"/>
      <c r="E496" s="43"/>
      <c r="F496" s="32"/>
      <c r="G496" s="43"/>
      <c r="H496" s="32"/>
      <c r="I496" s="33"/>
      <c r="J496" s="33"/>
      <c r="K496" s="37" t="str">
        <f aca="false">IF(OR(B496="",G496=""),"",IF(H496="Min",IF(E496&lt;G496,"Exceedance","OK"),IF(E496&gt;G496,"Exceedance","OK")))</f>
        <v/>
      </c>
    </row>
    <row r="497" customFormat="false" ht="15" hidden="false" customHeight="false" outlineLevel="0" collapsed="false">
      <c r="A497" s="32"/>
      <c r="B497" s="32"/>
      <c r="C497" s="32"/>
      <c r="D497" s="35"/>
      <c r="E497" s="43"/>
      <c r="F497" s="32"/>
      <c r="G497" s="43"/>
      <c r="H497" s="32"/>
      <c r="I497" s="33"/>
      <c r="J497" s="33"/>
      <c r="K497" s="37" t="str">
        <f aca="false">IF(OR(B497="",G497=""),"",IF(H497="Min",IF(E497&lt;G497,"Exceedance","OK"),IF(E497&gt;G497,"Exceedance","OK")))</f>
        <v/>
      </c>
    </row>
    <row r="498" customFormat="false" ht="15" hidden="false" customHeight="false" outlineLevel="0" collapsed="false">
      <c r="A498" s="32"/>
      <c r="B498" s="32"/>
      <c r="C498" s="32"/>
      <c r="D498" s="35"/>
      <c r="E498" s="43"/>
      <c r="F498" s="32"/>
      <c r="G498" s="43"/>
      <c r="H498" s="32"/>
      <c r="I498" s="33"/>
      <c r="J498" s="33"/>
      <c r="K498" s="37" t="str">
        <f aca="false">IF(OR(B498="",G498=""),"",IF(H498="Min",IF(E498&lt;G498,"Exceedance","OK"),IF(E498&gt;G498,"Exceedance","OK")))</f>
        <v/>
      </c>
    </row>
    <row r="499" customFormat="false" ht="15" hidden="false" customHeight="false" outlineLevel="0" collapsed="false">
      <c r="A499" s="32"/>
      <c r="B499" s="32"/>
      <c r="C499" s="32"/>
      <c r="D499" s="35"/>
      <c r="E499" s="43"/>
      <c r="F499" s="32"/>
      <c r="G499" s="43"/>
      <c r="H499" s="32"/>
      <c r="I499" s="33"/>
      <c r="J499" s="33"/>
      <c r="K499" s="37" t="str">
        <f aca="false">IF(OR(B499="",G499=""),"",IF(H499="Min",IF(E499&lt;G499,"Exceedance","OK"),IF(E499&gt;G499,"Exceedance","OK")))</f>
        <v/>
      </c>
    </row>
    <row r="500" customFormat="false" ht="15" hidden="false" customHeight="false" outlineLevel="0" collapsed="false">
      <c r="A500" s="32"/>
      <c r="B500" s="32"/>
      <c r="C500" s="32"/>
      <c r="D500" s="35"/>
      <c r="E500" s="43"/>
      <c r="F500" s="32"/>
      <c r="G500" s="43"/>
      <c r="H500" s="32"/>
      <c r="I500" s="33"/>
      <c r="J500" s="33"/>
      <c r="K500" s="37" t="str">
        <f aca="false">IF(OR(B500="",G500=""),"",IF(H500="Min",IF(E500&lt;G500,"Exceedance","OK"),IF(E500&gt;G500,"Exceedance","OK")))</f>
        <v/>
      </c>
    </row>
    <row r="501" customFormat="false" ht="15" hidden="false" customHeight="false" outlineLevel="0" collapsed="false">
      <c r="A501" s="32"/>
      <c r="B501" s="32"/>
      <c r="C501" s="32"/>
      <c r="D501" s="35"/>
      <c r="E501" s="43"/>
      <c r="F501" s="32"/>
      <c r="G501" s="43"/>
      <c r="H501" s="32"/>
      <c r="I501" s="33"/>
      <c r="J501" s="33"/>
      <c r="K501" s="37" t="str">
        <f aca="false">IF(OR(B501="",G501=""),"",IF(H501="Min",IF(E501&lt;G501,"Exceedance","OK"),IF(E501&gt;G501,"Exceedance","OK")))</f>
        <v/>
      </c>
    </row>
  </sheetData>
  <autoFilter ref="A1:K501"/>
  <conditionalFormatting sqref="K2:K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5">
    <dataValidation allowBlank="true" error="Enter a valid date (e.g. 31-Dec-2026)." errorStyle="stop" errorTitle="Invalid date" operator="greaterThan" showDropDown="false" showErrorMessage="false" showInputMessage="false" sqref="D2:D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Enter a number." errorStyle="stop" errorTitle="Invalid number" operator="between" showDropDown="false" showErrorMessage="false" showInputMessage="false" sqref="E2:E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G2:G501" type="decimal">
      <formula1>-1000000000</formula1>
      <formula2>1000000000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lst_LimitType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34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7" t="s">
        <v>110</v>
      </c>
      <c r="B1" s="17" t="s">
        <v>342</v>
      </c>
      <c r="C1" s="17" t="s">
        <v>168</v>
      </c>
      <c r="D1" s="17" t="s">
        <v>343</v>
      </c>
      <c r="E1" s="17" t="s">
        <v>235</v>
      </c>
      <c r="F1" s="17" t="s">
        <v>344</v>
      </c>
      <c r="G1" s="17" t="s">
        <v>345</v>
      </c>
    </row>
    <row r="2" customFormat="false" ht="15" hidden="false" customHeight="false" outlineLevel="0" collapsed="false">
      <c r="A2" s="32"/>
      <c r="B2" s="35"/>
      <c r="C2" s="32"/>
      <c r="D2" s="32"/>
      <c r="E2" s="33"/>
      <c r="F2" s="33"/>
      <c r="G2" s="32"/>
    </row>
    <row r="3" customFormat="false" ht="15" hidden="false" customHeight="false" outlineLevel="0" collapsed="false">
      <c r="A3" s="32"/>
      <c r="B3" s="35"/>
      <c r="C3" s="32"/>
      <c r="D3" s="32"/>
      <c r="E3" s="33"/>
      <c r="F3" s="33"/>
      <c r="G3" s="32"/>
    </row>
    <row r="4" customFormat="false" ht="15" hidden="false" customHeight="false" outlineLevel="0" collapsed="false">
      <c r="A4" s="32"/>
      <c r="B4" s="35"/>
      <c r="C4" s="32"/>
      <c r="D4" s="32"/>
      <c r="E4" s="33"/>
      <c r="F4" s="33"/>
      <c r="G4" s="32"/>
    </row>
    <row r="5" customFormat="false" ht="15" hidden="false" customHeight="false" outlineLevel="0" collapsed="false">
      <c r="A5" s="32"/>
      <c r="B5" s="35"/>
      <c r="C5" s="32"/>
      <c r="D5" s="32"/>
      <c r="E5" s="33"/>
      <c r="F5" s="33"/>
      <c r="G5" s="32"/>
    </row>
    <row r="6" customFormat="false" ht="15" hidden="false" customHeight="false" outlineLevel="0" collapsed="false">
      <c r="A6" s="32"/>
      <c r="B6" s="35"/>
      <c r="C6" s="32"/>
      <c r="D6" s="32"/>
      <c r="E6" s="33"/>
      <c r="F6" s="33"/>
      <c r="G6" s="32"/>
    </row>
    <row r="7" customFormat="false" ht="15" hidden="false" customHeight="false" outlineLevel="0" collapsed="false">
      <c r="A7" s="32"/>
      <c r="B7" s="35"/>
      <c r="C7" s="32"/>
      <c r="D7" s="32"/>
      <c r="E7" s="33"/>
      <c r="F7" s="33"/>
      <c r="G7" s="32"/>
    </row>
    <row r="8" customFormat="false" ht="15" hidden="false" customHeight="false" outlineLevel="0" collapsed="false">
      <c r="A8" s="32"/>
      <c r="B8" s="35"/>
      <c r="C8" s="32"/>
      <c r="D8" s="32"/>
      <c r="E8" s="33"/>
      <c r="F8" s="33"/>
      <c r="G8" s="32"/>
    </row>
    <row r="9" customFormat="false" ht="15" hidden="false" customHeight="false" outlineLevel="0" collapsed="false">
      <c r="A9" s="32"/>
      <c r="B9" s="35"/>
      <c r="C9" s="32"/>
      <c r="D9" s="32"/>
      <c r="E9" s="33"/>
      <c r="F9" s="33"/>
      <c r="G9" s="32"/>
    </row>
    <row r="10" customFormat="false" ht="15" hidden="false" customHeight="false" outlineLevel="0" collapsed="false">
      <c r="A10" s="32"/>
      <c r="B10" s="35"/>
      <c r="C10" s="32"/>
      <c r="D10" s="32"/>
      <c r="E10" s="33"/>
      <c r="F10" s="33"/>
      <c r="G10" s="32"/>
    </row>
    <row r="11" customFormat="false" ht="15" hidden="false" customHeight="false" outlineLevel="0" collapsed="false">
      <c r="A11" s="32"/>
      <c r="B11" s="35"/>
      <c r="C11" s="32"/>
      <c r="D11" s="32"/>
      <c r="E11" s="33"/>
      <c r="F11" s="33"/>
      <c r="G11" s="32"/>
    </row>
    <row r="12" customFormat="false" ht="15" hidden="false" customHeight="false" outlineLevel="0" collapsed="false">
      <c r="A12" s="32"/>
      <c r="B12" s="35"/>
      <c r="C12" s="32"/>
      <c r="D12" s="32"/>
      <c r="E12" s="33"/>
      <c r="F12" s="33"/>
      <c r="G12" s="32"/>
    </row>
    <row r="13" customFormat="false" ht="15" hidden="false" customHeight="false" outlineLevel="0" collapsed="false">
      <c r="A13" s="32"/>
      <c r="B13" s="35"/>
      <c r="C13" s="32"/>
      <c r="D13" s="32"/>
      <c r="E13" s="33"/>
      <c r="F13" s="33"/>
      <c r="G13" s="32"/>
    </row>
    <row r="14" customFormat="false" ht="15" hidden="false" customHeight="false" outlineLevel="0" collapsed="false">
      <c r="A14" s="32"/>
      <c r="B14" s="35"/>
      <c r="C14" s="32"/>
      <c r="D14" s="32"/>
      <c r="E14" s="33"/>
      <c r="F14" s="33"/>
      <c r="G14" s="32"/>
    </row>
    <row r="15" customFormat="false" ht="15" hidden="false" customHeight="false" outlineLevel="0" collapsed="false">
      <c r="A15" s="32"/>
      <c r="B15" s="35"/>
      <c r="C15" s="32"/>
      <c r="D15" s="32"/>
      <c r="E15" s="33"/>
      <c r="F15" s="33"/>
      <c r="G15" s="32"/>
    </row>
    <row r="16" customFormat="false" ht="15" hidden="false" customHeight="false" outlineLevel="0" collapsed="false">
      <c r="A16" s="32"/>
      <c r="B16" s="35"/>
      <c r="C16" s="32"/>
      <c r="D16" s="32"/>
      <c r="E16" s="33"/>
      <c r="F16" s="33"/>
      <c r="G16" s="32"/>
    </row>
    <row r="17" customFormat="false" ht="15" hidden="false" customHeight="false" outlineLevel="0" collapsed="false">
      <c r="A17" s="32"/>
      <c r="B17" s="35"/>
      <c r="C17" s="32"/>
      <c r="D17" s="32"/>
      <c r="E17" s="33"/>
      <c r="F17" s="33"/>
      <c r="G17" s="32"/>
    </row>
    <row r="18" customFormat="false" ht="15" hidden="false" customHeight="false" outlineLevel="0" collapsed="false">
      <c r="A18" s="32"/>
      <c r="B18" s="35"/>
      <c r="C18" s="32"/>
      <c r="D18" s="32"/>
      <c r="E18" s="33"/>
      <c r="F18" s="33"/>
      <c r="G18" s="32"/>
    </row>
    <row r="19" customFormat="false" ht="15" hidden="false" customHeight="false" outlineLevel="0" collapsed="false">
      <c r="A19" s="32"/>
      <c r="B19" s="35"/>
      <c r="C19" s="32"/>
      <c r="D19" s="32"/>
      <c r="E19" s="33"/>
      <c r="F19" s="33"/>
      <c r="G19" s="32"/>
    </row>
    <row r="20" customFormat="false" ht="15" hidden="false" customHeight="false" outlineLevel="0" collapsed="false">
      <c r="A20" s="32"/>
      <c r="B20" s="35"/>
      <c r="C20" s="32"/>
      <c r="D20" s="32"/>
      <c r="E20" s="33"/>
      <c r="F20" s="33"/>
      <c r="G20" s="32"/>
    </row>
    <row r="21" customFormat="false" ht="15" hidden="false" customHeight="false" outlineLevel="0" collapsed="false">
      <c r="A21" s="32"/>
      <c r="B21" s="35"/>
      <c r="C21" s="32"/>
      <c r="D21" s="32"/>
      <c r="E21" s="33"/>
      <c r="F21" s="33"/>
      <c r="G21" s="32"/>
    </row>
    <row r="22" customFormat="false" ht="15" hidden="false" customHeight="false" outlineLevel="0" collapsed="false">
      <c r="A22" s="32"/>
      <c r="B22" s="35"/>
      <c r="C22" s="32"/>
      <c r="D22" s="32"/>
      <c r="E22" s="33"/>
      <c r="F22" s="33"/>
      <c r="G22" s="32"/>
    </row>
    <row r="23" customFormat="false" ht="15" hidden="false" customHeight="false" outlineLevel="0" collapsed="false">
      <c r="A23" s="32"/>
      <c r="B23" s="35"/>
      <c r="C23" s="32"/>
      <c r="D23" s="32"/>
      <c r="E23" s="33"/>
      <c r="F23" s="33"/>
      <c r="G23" s="32"/>
    </row>
    <row r="24" customFormat="false" ht="15" hidden="false" customHeight="false" outlineLevel="0" collapsed="false">
      <c r="A24" s="32"/>
      <c r="B24" s="35"/>
      <c r="C24" s="32"/>
      <c r="D24" s="32"/>
      <c r="E24" s="33"/>
      <c r="F24" s="33"/>
      <c r="G24" s="32"/>
    </row>
    <row r="25" customFormat="false" ht="15" hidden="false" customHeight="false" outlineLevel="0" collapsed="false">
      <c r="A25" s="32"/>
      <c r="B25" s="35"/>
      <c r="C25" s="32"/>
      <c r="D25" s="32"/>
      <c r="E25" s="33"/>
      <c r="F25" s="33"/>
      <c r="G25" s="32"/>
    </row>
    <row r="26" customFormat="false" ht="15" hidden="false" customHeight="false" outlineLevel="0" collapsed="false">
      <c r="A26" s="32"/>
      <c r="B26" s="35"/>
      <c r="C26" s="32"/>
      <c r="D26" s="32"/>
      <c r="E26" s="33"/>
      <c r="F26" s="33"/>
      <c r="G26" s="32"/>
    </row>
    <row r="27" customFormat="false" ht="15" hidden="false" customHeight="false" outlineLevel="0" collapsed="false">
      <c r="A27" s="32"/>
      <c r="B27" s="35"/>
      <c r="C27" s="32"/>
      <c r="D27" s="32"/>
      <c r="E27" s="33"/>
      <c r="F27" s="33"/>
      <c r="G27" s="32"/>
    </row>
    <row r="28" customFormat="false" ht="15" hidden="false" customHeight="false" outlineLevel="0" collapsed="false">
      <c r="A28" s="32"/>
      <c r="B28" s="35"/>
      <c r="C28" s="32"/>
      <c r="D28" s="32"/>
      <c r="E28" s="33"/>
      <c r="F28" s="33"/>
      <c r="G28" s="32"/>
    </row>
    <row r="29" customFormat="false" ht="15" hidden="false" customHeight="false" outlineLevel="0" collapsed="false">
      <c r="A29" s="32"/>
      <c r="B29" s="35"/>
      <c r="C29" s="32"/>
      <c r="D29" s="32"/>
      <c r="E29" s="33"/>
      <c r="F29" s="33"/>
      <c r="G29" s="32"/>
    </row>
    <row r="30" customFormat="false" ht="15" hidden="false" customHeight="false" outlineLevel="0" collapsed="false">
      <c r="A30" s="32"/>
      <c r="B30" s="35"/>
      <c r="C30" s="32"/>
      <c r="D30" s="32"/>
      <c r="E30" s="33"/>
      <c r="F30" s="33"/>
      <c r="G30" s="32"/>
    </row>
    <row r="31" customFormat="false" ht="15" hidden="false" customHeight="false" outlineLevel="0" collapsed="false">
      <c r="A31" s="32"/>
      <c r="B31" s="35"/>
      <c r="C31" s="32"/>
      <c r="D31" s="32"/>
      <c r="E31" s="33"/>
      <c r="F31" s="33"/>
      <c r="G31" s="32"/>
    </row>
    <row r="32" customFormat="false" ht="15" hidden="false" customHeight="false" outlineLevel="0" collapsed="false">
      <c r="A32" s="32"/>
      <c r="B32" s="35"/>
      <c r="C32" s="32"/>
      <c r="D32" s="32"/>
      <c r="E32" s="33"/>
      <c r="F32" s="33"/>
      <c r="G32" s="32"/>
    </row>
    <row r="33" customFormat="false" ht="15" hidden="false" customHeight="false" outlineLevel="0" collapsed="false">
      <c r="A33" s="32"/>
      <c r="B33" s="35"/>
      <c r="C33" s="32"/>
      <c r="D33" s="32"/>
      <c r="E33" s="33"/>
      <c r="F33" s="33"/>
      <c r="G33" s="32"/>
    </row>
    <row r="34" customFormat="false" ht="15" hidden="false" customHeight="false" outlineLevel="0" collapsed="false">
      <c r="A34" s="32"/>
      <c r="B34" s="35"/>
      <c r="C34" s="32"/>
      <c r="D34" s="32"/>
      <c r="E34" s="33"/>
      <c r="F34" s="33"/>
      <c r="G34" s="32"/>
    </row>
    <row r="35" customFormat="false" ht="15" hidden="false" customHeight="false" outlineLevel="0" collapsed="false">
      <c r="A35" s="32"/>
      <c r="B35" s="35"/>
      <c r="C35" s="32"/>
      <c r="D35" s="32"/>
      <c r="E35" s="33"/>
      <c r="F35" s="33"/>
      <c r="G35" s="32"/>
    </row>
    <row r="36" customFormat="false" ht="15" hidden="false" customHeight="false" outlineLevel="0" collapsed="false">
      <c r="A36" s="32"/>
      <c r="B36" s="35"/>
      <c r="C36" s="32"/>
      <c r="D36" s="32"/>
      <c r="E36" s="33"/>
      <c r="F36" s="33"/>
      <c r="G36" s="32"/>
    </row>
    <row r="37" customFormat="false" ht="15" hidden="false" customHeight="false" outlineLevel="0" collapsed="false">
      <c r="A37" s="32"/>
      <c r="B37" s="35"/>
      <c r="C37" s="32"/>
      <c r="D37" s="32"/>
      <c r="E37" s="33"/>
      <c r="F37" s="33"/>
      <c r="G37" s="32"/>
    </row>
    <row r="38" customFormat="false" ht="15" hidden="false" customHeight="false" outlineLevel="0" collapsed="false">
      <c r="A38" s="32"/>
      <c r="B38" s="35"/>
      <c r="C38" s="32"/>
      <c r="D38" s="32"/>
      <c r="E38" s="33"/>
      <c r="F38" s="33"/>
      <c r="G38" s="32"/>
    </row>
    <row r="39" customFormat="false" ht="15" hidden="false" customHeight="false" outlineLevel="0" collapsed="false">
      <c r="A39" s="32"/>
      <c r="B39" s="35"/>
      <c r="C39" s="32"/>
      <c r="D39" s="32"/>
      <c r="E39" s="33"/>
      <c r="F39" s="33"/>
      <c r="G39" s="32"/>
    </row>
    <row r="40" customFormat="false" ht="15" hidden="false" customHeight="false" outlineLevel="0" collapsed="false">
      <c r="A40" s="32"/>
      <c r="B40" s="35"/>
      <c r="C40" s="32"/>
      <c r="D40" s="32"/>
      <c r="E40" s="33"/>
      <c r="F40" s="33"/>
      <c r="G40" s="32"/>
    </row>
    <row r="41" customFormat="false" ht="15" hidden="false" customHeight="false" outlineLevel="0" collapsed="false">
      <c r="A41" s="32"/>
      <c r="B41" s="35"/>
      <c r="C41" s="32"/>
      <c r="D41" s="32"/>
      <c r="E41" s="33"/>
      <c r="F41" s="33"/>
      <c r="G41" s="32"/>
    </row>
    <row r="42" customFormat="false" ht="15" hidden="false" customHeight="false" outlineLevel="0" collapsed="false">
      <c r="A42" s="32"/>
      <c r="B42" s="35"/>
      <c r="C42" s="32"/>
      <c r="D42" s="32"/>
      <c r="E42" s="33"/>
      <c r="F42" s="33"/>
      <c r="G42" s="32"/>
    </row>
    <row r="43" customFormat="false" ht="15" hidden="false" customHeight="false" outlineLevel="0" collapsed="false">
      <c r="A43" s="32"/>
      <c r="B43" s="35"/>
      <c r="C43" s="32"/>
      <c r="D43" s="32"/>
      <c r="E43" s="33"/>
      <c r="F43" s="33"/>
      <c r="G43" s="32"/>
    </row>
    <row r="44" customFormat="false" ht="15" hidden="false" customHeight="false" outlineLevel="0" collapsed="false">
      <c r="A44" s="32"/>
      <c r="B44" s="35"/>
      <c r="C44" s="32"/>
      <c r="D44" s="32"/>
      <c r="E44" s="33"/>
      <c r="F44" s="33"/>
      <c r="G44" s="32"/>
    </row>
    <row r="45" customFormat="false" ht="15" hidden="false" customHeight="false" outlineLevel="0" collapsed="false">
      <c r="A45" s="32"/>
      <c r="B45" s="35"/>
      <c r="C45" s="32"/>
      <c r="D45" s="32"/>
      <c r="E45" s="33"/>
      <c r="F45" s="33"/>
      <c r="G45" s="32"/>
    </row>
    <row r="46" customFormat="false" ht="15" hidden="false" customHeight="false" outlineLevel="0" collapsed="false">
      <c r="A46" s="32"/>
      <c r="B46" s="35"/>
      <c r="C46" s="32"/>
      <c r="D46" s="32"/>
      <c r="E46" s="33"/>
      <c r="F46" s="33"/>
      <c r="G46" s="32"/>
    </row>
    <row r="47" customFormat="false" ht="15" hidden="false" customHeight="false" outlineLevel="0" collapsed="false">
      <c r="A47" s="32"/>
      <c r="B47" s="35"/>
      <c r="C47" s="32"/>
      <c r="D47" s="32"/>
      <c r="E47" s="33"/>
      <c r="F47" s="33"/>
      <c r="G47" s="32"/>
    </row>
    <row r="48" customFormat="false" ht="15" hidden="false" customHeight="false" outlineLevel="0" collapsed="false">
      <c r="A48" s="32"/>
      <c r="B48" s="35"/>
      <c r="C48" s="32"/>
      <c r="D48" s="32"/>
      <c r="E48" s="33"/>
      <c r="F48" s="33"/>
      <c r="G48" s="32"/>
    </row>
    <row r="49" customFormat="false" ht="15" hidden="false" customHeight="false" outlineLevel="0" collapsed="false">
      <c r="A49" s="32"/>
      <c r="B49" s="35"/>
      <c r="C49" s="32"/>
      <c r="D49" s="32"/>
      <c r="E49" s="33"/>
      <c r="F49" s="33"/>
      <c r="G49" s="32"/>
    </row>
    <row r="50" customFormat="false" ht="15" hidden="false" customHeight="false" outlineLevel="0" collapsed="false">
      <c r="A50" s="32"/>
      <c r="B50" s="35"/>
      <c r="C50" s="32"/>
      <c r="D50" s="32"/>
      <c r="E50" s="33"/>
      <c r="F50" s="33"/>
      <c r="G50" s="32"/>
    </row>
    <row r="51" customFormat="false" ht="15" hidden="false" customHeight="false" outlineLevel="0" collapsed="false">
      <c r="A51" s="32"/>
      <c r="B51" s="35"/>
      <c r="C51" s="32"/>
      <c r="D51" s="32"/>
      <c r="E51" s="33"/>
      <c r="F51" s="33"/>
      <c r="G51" s="32"/>
    </row>
    <row r="52" customFormat="false" ht="15" hidden="false" customHeight="false" outlineLevel="0" collapsed="false">
      <c r="A52" s="32"/>
      <c r="B52" s="35"/>
      <c r="C52" s="32"/>
      <c r="D52" s="32"/>
      <c r="E52" s="33"/>
      <c r="F52" s="33"/>
      <c r="G52" s="32"/>
    </row>
    <row r="53" customFormat="false" ht="15" hidden="false" customHeight="false" outlineLevel="0" collapsed="false">
      <c r="A53" s="32"/>
      <c r="B53" s="35"/>
      <c r="C53" s="32"/>
      <c r="D53" s="32"/>
      <c r="E53" s="33"/>
      <c r="F53" s="33"/>
      <c r="G53" s="32"/>
    </row>
    <row r="54" customFormat="false" ht="15" hidden="false" customHeight="false" outlineLevel="0" collapsed="false">
      <c r="A54" s="32"/>
      <c r="B54" s="35"/>
      <c r="C54" s="32"/>
      <c r="D54" s="32"/>
      <c r="E54" s="33"/>
      <c r="F54" s="33"/>
      <c r="G54" s="32"/>
    </row>
    <row r="55" customFormat="false" ht="15" hidden="false" customHeight="false" outlineLevel="0" collapsed="false">
      <c r="A55" s="32"/>
      <c r="B55" s="35"/>
      <c r="C55" s="32"/>
      <c r="D55" s="32"/>
      <c r="E55" s="33"/>
      <c r="F55" s="33"/>
      <c r="G55" s="32"/>
    </row>
    <row r="56" customFormat="false" ht="15" hidden="false" customHeight="false" outlineLevel="0" collapsed="false">
      <c r="A56" s="32"/>
      <c r="B56" s="35"/>
      <c r="C56" s="32"/>
      <c r="D56" s="32"/>
      <c r="E56" s="33"/>
      <c r="F56" s="33"/>
      <c r="G56" s="32"/>
    </row>
    <row r="57" customFormat="false" ht="15" hidden="false" customHeight="false" outlineLevel="0" collapsed="false">
      <c r="A57" s="32"/>
      <c r="B57" s="35"/>
      <c r="C57" s="32"/>
      <c r="D57" s="32"/>
      <c r="E57" s="33"/>
      <c r="F57" s="33"/>
      <c r="G57" s="32"/>
    </row>
    <row r="58" customFormat="false" ht="15" hidden="false" customHeight="false" outlineLevel="0" collapsed="false">
      <c r="A58" s="32"/>
      <c r="B58" s="35"/>
      <c r="C58" s="32"/>
      <c r="D58" s="32"/>
      <c r="E58" s="33"/>
      <c r="F58" s="33"/>
      <c r="G58" s="32"/>
    </row>
    <row r="59" customFormat="false" ht="15" hidden="false" customHeight="false" outlineLevel="0" collapsed="false">
      <c r="A59" s="32"/>
      <c r="B59" s="35"/>
      <c r="C59" s="32"/>
      <c r="D59" s="32"/>
      <c r="E59" s="33"/>
      <c r="F59" s="33"/>
      <c r="G59" s="32"/>
    </row>
    <row r="60" customFormat="false" ht="15" hidden="false" customHeight="false" outlineLevel="0" collapsed="false">
      <c r="A60" s="32"/>
      <c r="B60" s="35"/>
      <c r="C60" s="32"/>
      <c r="D60" s="32"/>
      <c r="E60" s="33"/>
      <c r="F60" s="33"/>
      <c r="G60" s="32"/>
    </row>
    <row r="61" customFormat="false" ht="15" hidden="false" customHeight="false" outlineLevel="0" collapsed="false">
      <c r="A61" s="32"/>
      <c r="B61" s="35"/>
      <c r="C61" s="32"/>
      <c r="D61" s="32"/>
      <c r="E61" s="33"/>
      <c r="F61" s="33"/>
      <c r="G61" s="32"/>
    </row>
    <row r="62" customFormat="false" ht="15" hidden="false" customHeight="false" outlineLevel="0" collapsed="false">
      <c r="A62" s="32"/>
      <c r="B62" s="35"/>
      <c r="C62" s="32"/>
      <c r="D62" s="32"/>
      <c r="E62" s="33"/>
      <c r="F62" s="33"/>
      <c r="G62" s="32"/>
    </row>
    <row r="63" customFormat="false" ht="15" hidden="false" customHeight="false" outlineLevel="0" collapsed="false">
      <c r="A63" s="32"/>
      <c r="B63" s="35"/>
      <c r="C63" s="32"/>
      <c r="D63" s="32"/>
      <c r="E63" s="33"/>
      <c r="F63" s="33"/>
      <c r="G63" s="32"/>
    </row>
    <row r="64" customFormat="false" ht="15" hidden="false" customHeight="false" outlineLevel="0" collapsed="false">
      <c r="A64" s="32"/>
      <c r="B64" s="35"/>
      <c r="C64" s="32"/>
      <c r="D64" s="32"/>
      <c r="E64" s="33"/>
      <c r="F64" s="33"/>
      <c r="G64" s="32"/>
    </row>
    <row r="65" customFormat="false" ht="15" hidden="false" customHeight="false" outlineLevel="0" collapsed="false">
      <c r="A65" s="32"/>
      <c r="B65" s="35"/>
      <c r="C65" s="32"/>
      <c r="D65" s="32"/>
      <c r="E65" s="33"/>
      <c r="F65" s="33"/>
      <c r="G65" s="32"/>
    </row>
    <row r="66" customFormat="false" ht="15" hidden="false" customHeight="false" outlineLevel="0" collapsed="false">
      <c r="A66" s="32"/>
      <c r="B66" s="35"/>
      <c r="C66" s="32"/>
      <c r="D66" s="32"/>
      <c r="E66" s="33"/>
      <c r="F66" s="33"/>
      <c r="G66" s="32"/>
    </row>
    <row r="67" customFormat="false" ht="15" hidden="false" customHeight="false" outlineLevel="0" collapsed="false">
      <c r="A67" s="32"/>
      <c r="B67" s="35"/>
      <c r="C67" s="32"/>
      <c r="D67" s="32"/>
      <c r="E67" s="33"/>
      <c r="F67" s="33"/>
      <c r="G67" s="32"/>
    </row>
    <row r="68" customFormat="false" ht="15" hidden="false" customHeight="false" outlineLevel="0" collapsed="false">
      <c r="A68" s="32"/>
      <c r="B68" s="35"/>
      <c r="C68" s="32"/>
      <c r="D68" s="32"/>
      <c r="E68" s="33"/>
      <c r="F68" s="33"/>
      <c r="G68" s="32"/>
    </row>
    <row r="69" customFormat="false" ht="15" hidden="false" customHeight="false" outlineLevel="0" collapsed="false">
      <c r="A69" s="32"/>
      <c r="B69" s="35"/>
      <c r="C69" s="32"/>
      <c r="D69" s="32"/>
      <c r="E69" s="33"/>
      <c r="F69" s="33"/>
      <c r="G69" s="32"/>
    </row>
    <row r="70" customFormat="false" ht="15" hidden="false" customHeight="false" outlineLevel="0" collapsed="false">
      <c r="A70" s="32"/>
      <c r="B70" s="35"/>
      <c r="C70" s="32"/>
      <c r="D70" s="32"/>
      <c r="E70" s="33"/>
      <c r="F70" s="33"/>
      <c r="G70" s="32"/>
    </row>
    <row r="71" customFormat="false" ht="15" hidden="false" customHeight="false" outlineLevel="0" collapsed="false">
      <c r="A71" s="32"/>
      <c r="B71" s="35"/>
      <c r="C71" s="32"/>
      <c r="D71" s="32"/>
      <c r="E71" s="33"/>
      <c r="F71" s="33"/>
      <c r="G71" s="32"/>
    </row>
    <row r="72" customFormat="false" ht="15" hidden="false" customHeight="false" outlineLevel="0" collapsed="false">
      <c r="A72" s="32"/>
      <c r="B72" s="35"/>
      <c r="C72" s="32"/>
      <c r="D72" s="32"/>
      <c r="E72" s="33"/>
      <c r="F72" s="33"/>
      <c r="G72" s="32"/>
    </row>
    <row r="73" customFormat="false" ht="15" hidden="false" customHeight="false" outlineLevel="0" collapsed="false">
      <c r="A73" s="32"/>
      <c r="B73" s="35"/>
      <c r="C73" s="32"/>
      <c r="D73" s="32"/>
      <c r="E73" s="33"/>
      <c r="F73" s="33"/>
      <c r="G73" s="32"/>
    </row>
    <row r="74" customFormat="false" ht="15" hidden="false" customHeight="false" outlineLevel="0" collapsed="false">
      <c r="A74" s="32"/>
      <c r="B74" s="35"/>
      <c r="C74" s="32"/>
      <c r="D74" s="32"/>
      <c r="E74" s="33"/>
      <c r="F74" s="33"/>
      <c r="G74" s="32"/>
    </row>
    <row r="75" customFormat="false" ht="15" hidden="false" customHeight="false" outlineLevel="0" collapsed="false">
      <c r="A75" s="32"/>
      <c r="B75" s="35"/>
      <c r="C75" s="32"/>
      <c r="D75" s="32"/>
      <c r="E75" s="33"/>
      <c r="F75" s="33"/>
      <c r="G75" s="32"/>
    </row>
    <row r="76" customFormat="false" ht="15" hidden="false" customHeight="false" outlineLevel="0" collapsed="false">
      <c r="A76" s="32"/>
      <c r="B76" s="35"/>
      <c r="C76" s="32"/>
      <c r="D76" s="32"/>
      <c r="E76" s="33"/>
      <c r="F76" s="33"/>
      <c r="G76" s="32"/>
    </row>
    <row r="77" customFormat="false" ht="15" hidden="false" customHeight="false" outlineLevel="0" collapsed="false">
      <c r="A77" s="32"/>
      <c r="B77" s="35"/>
      <c r="C77" s="32"/>
      <c r="D77" s="32"/>
      <c r="E77" s="33"/>
      <c r="F77" s="33"/>
      <c r="G77" s="32"/>
    </row>
    <row r="78" customFormat="false" ht="15" hidden="false" customHeight="false" outlineLevel="0" collapsed="false">
      <c r="A78" s="32"/>
      <c r="B78" s="35"/>
      <c r="C78" s="32"/>
      <c r="D78" s="32"/>
      <c r="E78" s="33"/>
      <c r="F78" s="33"/>
      <c r="G78" s="32"/>
    </row>
    <row r="79" customFormat="false" ht="15" hidden="false" customHeight="false" outlineLevel="0" collapsed="false">
      <c r="A79" s="32"/>
      <c r="B79" s="35"/>
      <c r="C79" s="32"/>
      <c r="D79" s="32"/>
      <c r="E79" s="33"/>
      <c r="F79" s="33"/>
      <c r="G79" s="32"/>
    </row>
    <row r="80" customFormat="false" ht="15" hidden="false" customHeight="false" outlineLevel="0" collapsed="false">
      <c r="A80" s="32"/>
      <c r="B80" s="35"/>
      <c r="C80" s="32"/>
      <c r="D80" s="32"/>
      <c r="E80" s="33"/>
      <c r="F80" s="33"/>
      <c r="G80" s="32"/>
    </row>
    <row r="81" customFormat="false" ht="15" hidden="false" customHeight="false" outlineLevel="0" collapsed="false">
      <c r="A81" s="32"/>
      <c r="B81" s="35"/>
      <c r="C81" s="32"/>
      <c r="D81" s="32"/>
      <c r="E81" s="33"/>
      <c r="F81" s="33"/>
      <c r="G81" s="32"/>
    </row>
    <row r="82" customFormat="false" ht="15" hidden="false" customHeight="false" outlineLevel="0" collapsed="false">
      <c r="A82" s="32"/>
      <c r="B82" s="35"/>
      <c r="C82" s="32"/>
      <c r="D82" s="32"/>
      <c r="E82" s="33"/>
      <c r="F82" s="33"/>
      <c r="G82" s="32"/>
    </row>
    <row r="83" customFormat="false" ht="15" hidden="false" customHeight="false" outlineLevel="0" collapsed="false">
      <c r="A83" s="32"/>
      <c r="B83" s="35"/>
      <c r="C83" s="32"/>
      <c r="D83" s="32"/>
      <c r="E83" s="33"/>
      <c r="F83" s="33"/>
      <c r="G83" s="32"/>
    </row>
    <row r="84" customFormat="false" ht="15" hidden="false" customHeight="false" outlineLevel="0" collapsed="false">
      <c r="A84" s="32"/>
      <c r="B84" s="35"/>
      <c r="C84" s="32"/>
      <c r="D84" s="32"/>
      <c r="E84" s="33"/>
      <c r="F84" s="33"/>
      <c r="G84" s="32"/>
    </row>
    <row r="85" customFormat="false" ht="15" hidden="false" customHeight="false" outlineLevel="0" collapsed="false">
      <c r="A85" s="32"/>
      <c r="B85" s="35"/>
      <c r="C85" s="32"/>
      <c r="D85" s="32"/>
      <c r="E85" s="33"/>
      <c r="F85" s="33"/>
      <c r="G85" s="32"/>
    </row>
    <row r="86" customFormat="false" ht="15" hidden="false" customHeight="false" outlineLevel="0" collapsed="false">
      <c r="A86" s="32"/>
      <c r="B86" s="35"/>
      <c r="C86" s="32"/>
      <c r="D86" s="32"/>
      <c r="E86" s="33"/>
      <c r="F86" s="33"/>
      <c r="G86" s="32"/>
    </row>
    <row r="87" customFormat="false" ht="15" hidden="false" customHeight="false" outlineLevel="0" collapsed="false">
      <c r="A87" s="32"/>
      <c r="B87" s="35"/>
      <c r="C87" s="32"/>
      <c r="D87" s="32"/>
      <c r="E87" s="33"/>
      <c r="F87" s="33"/>
      <c r="G87" s="32"/>
    </row>
    <row r="88" customFormat="false" ht="15" hidden="false" customHeight="false" outlineLevel="0" collapsed="false">
      <c r="A88" s="32"/>
      <c r="B88" s="35"/>
      <c r="C88" s="32"/>
      <c r="D88" s="32"/>
      <c r="E88" s="33"/>
      <c r="F88" s="33"/>
      <c r="G88" s="32"/>
    </row>
    <row r="89" customFormat="false" ht="15" hidden="false" customHeight="false" outlineLevel="0" collapsed="false">
      <c r="A89" s="32"/>
      <c r="B89" s="35"/>
      <c r="C89" s="32"/>
      <c r="D89" s="32"/>
      <c r="E89" s="33"/>
      <c r="F89" s="33"/>
      <c r="G89" s="32"/>
    </row>
    <row r="90" customFormat="false" ht="15" hidden="false" customHeight="false" outlineLevel="0" collapsed="false">
      <c r="A90" s="32"/>
      <c r="B90" s="35"/>
      <c r="C90" s="32"/>
      <c r="D90" s="32"/>
      <c r="E90" s="33"/>
      <c r="F90" s="33"/>
      <c r="G90" s="32"/>
    </row>
    <row r="91" customFormat="false" ht="15" hidden="false" customHeight="false" outlineLevel="0" collapsed="false">
      <c r="A91" s="32"/>
      <c r="B91" s="35"/>
      <c r="C91" s="32"/>
      <c r="D91" s="32"/>
      <c r="E91" s="33"/>
      <c r="F91" s="33"/>
      <c r="G91" s="32"/>
    </row>
    <row r="92" customFormat="false" ht="15" hidden="false" customHeight="false" outlineLevel="0" collapsed="false">
      <c r="A92" s="32"/>
      <c r="B92" s="35"/>
      <c r="C92" s="32"/>
      <c r="D92" s="32"/>
      <c r="E92" s="33"/>
      <c r="F92" s="33"/>
      <c r="G92" s="32"/>
    </row>
    <row r="93" customFormat="false" ht="15" hidden="false" customHeight="false" outlineLevel="0" collapsed="false">
      <c r="A93" s="32"/>
      <c r="B93" s="35"/>
      <c r="C93" s="32"/>
      <c r="D93" s="32"/>
      <c r="E93" s="33"/>
      <c r="F93" s="33"/>
      <c r="G93" s="32"/>
    </row>
    <row r="94" customFormat="false" ht="15" hidden="false" customHeight="false" outlineLevel="0" collapsed="false">
      <c r="A94" s="32"/>
      <c r="B94" s="35"/>
      <c r="C94" s="32"/>
      <c r="D94" s="32"/>
      <c r="E94" s="33"/>
      <c r="F94" s="33"/>
      <c r="G94" s="32"/>
    </row>
    <row r="95" customFormat="false" ht="15" hidden="false" customHeight="false" outlineLevel="0" collapsed="false">
      <c r="A95" s="32"/>
      <c r="B95" s="35"/>
      <c r="C95" s="32"/>
      <c r="D95" s="32"/>
      <c r="E95" s="33"/>
      <c r="F95" s="33"/>
      <c r="G95" s="32"/>
    </row>
    <row r="96" customFormat="false" ht="15" hidden="false" customHeight="false" outlineLevel="0" collapsed="false">
      <c r="A96" s="32"/>
      <c r="B96" s="35"/>
      <c r="C96" s="32"/>
      <c r="D96" s="32"/>
      <c r="E96" s="33"/>
      <c r="F96" s="33"/>
      <c r="G96" s="32"/>
    </row>
    <row r="97" customFormat="false" ht="15" hidden="false" customHeight="false" outlineLevel="0" collapsed="false">
      <c r="A97" s="32"/>
      <c r="B97" s="35"/>
      <c r="C97" s="32"/>
      <c r="D97" s="32"/>
      <c r="E97" s="33"/>
      <c r="F97" s="33"/>
      <c r="G97" s="32"/>
    </row>
    <row r="98" customFormat="false" ht="15" hidden="false" customHeight="false" outlineLevel="0" collapsed="false">
      <c r="A98" s="32"/>
      <c r="B98" s="35"/>
      <c r="C98" s="32"/>
      <c r="D98" s="32"/>
      <c r="E98" s="33"/>
      <c r="F98" s="33"/>
      <c r="G98" s="32"/>
    </row>
    <row r="99" customFormat="false" ht="15" hidden="false" customHeight="false" outlineLevel="0" collapsed="false">
      <c r="A99" s="32"/>
      <c r="B99" s="35"/>
      <c r="C99" s="32"/>
      <c r="D99" s="32"/>
      <c r="E99" s="33"/>
      <c r="F99" s="33"/>
      <c r="G99" s="32"/>
    </row>
    <row r="100" customFormat="false" ht="15" hidden="false" customHeight="false" outlineLevel="0" collapsed="false">
      <c r="A100" s="32"/>
      <c r="B100" s="35"/>
      <c r="C100" s="32"/>
      <c r="D100" s="32"/>
      <c r="E100" s="33"/>
      <c r="F100" s="33"/>
      <c r="G100" s="32"/>
    </row>
    <row r="101" customFormat="false" ht="15" hidden="false" customHeight="false" outlineLevel="0" collapsed="false">
      <c r="A101" s="32"/>
      <c r="B101" s="35"/>
      <c r="C101" s="32"/>
      <c r="D101" s="32"/>
      <c r="E101" s="33"/>
      <c r="F101" s="33"/>
      <c r="G101" s="32"/>
    </row>
    <row r="102" customFormat="false" ht="15" hidden="false" customHeight="false" outlineLevel="0" collapsed="false">
      <c r="A102" s="32"/>
      <c r="B102" s="35"/>
      <c r="C102" s="32"/>
      <c r="D102" s="32"/>
      <c r="E102" s="33"/>
      <c r="F102" s="33"/>
      <c r="G102" s="32"/>
    </row>
    <row r="103" customFormat="false" ht="15" hidden="false" customHeight="false" outlineLevel="0" collapsed="false">
      <c r="A103" s="32"/>
      <c r="B103" s="35"/>
      <c r="C103" s="32"/>
      <c r="D103" s="32"/>
      <c r="E103" s="33"/>
      <c r="F103" s="33"/>
      <c r="G103" s="32"/>
    </row>
    <row r="104" customFormat="false" ht="15" hidden="false" customHeight="false" outlineLevel="0" collapsed="false">
      <c r="A104" s="32"/>
      <c r="B104" s="35"/>
      <c r="C104" s="32"/>
      <c r="D104" s="32"/>
      <c r="E104" s="33"/>
      <c r="F104" s="33"/>
      <c r="G104" s="32"/>
    </row>
    <row r="105" customFormat="false" ht="15" hidden="false" customHeight="false" outlineLevel="0" collapsed="false">
      <c r="A105" s="32"/>
      <c r="B105" s="35"/>
      <c r="C105" s="32"/>
      <c r="D105" s="32"/>
      <c r="E105" s="33"/>
      <c r="F105" s="33"/>
      <c r="G105" s="32"/>
    </row>
    <row r="106" customFormat="false" ht="15" hidden="false" customHeight="false" outlineLevel="0" collapsed="false">
      <c r="A106" s="32"/>
      <c r="B106" s="35"/>
      <c r="C106" s="32"/>
      <c r="D106" s="32"/>
      <c r="E106" s="33"/>
      <c r="F106" s="33"/>
      <c r="G106" s="32"/>
    </row>
    <row r="107" customFormat="false" ht="15" hidden="false" customHeight="false" outlineLevel="0" collapsed="false">
      <c r="A107" s="32"/>
      <c r="B107" s="35"/>
      <c r="C107" s="32"/>
      <c r="D107" s="32"/>
      <c r="E107" s="33"/>
      <c r="F107" s="33"/>
      <c r="G107" s="32"/>
    </row>
    <row r="108" customFormat="false" ht="15" hidden="false" customHeight="false" outlineLevel="0" collapsed="false">
      <c r="A108" s="32"/>
      <c r="B108" s="35"/>
      <c r="C108" s="32"/>
      <c r="D108" s="32"/>
      <c r="E108" s="33"/>
      <c r="F108" s="33"/>
      <c r="G108" s="32"/>
    </row>
    <row r="109" customFormat="false" ht="15" hidden="false" customHeight="false" outlineLevel="0" collapsed="false">
      <c r="A109" s="32"/>
      <c r="B109" s="35"/>
      <c r="C109" s="32"/>
      <c r="D109" s="32"/>
      <c r="E109" s="33"/>
      <c r="F109" s="33"/>
      <c r="G109" s="32"/>
    </row>
    <row r="110" customFormat="false" ht="15" hidden="false" customHeight="false" outlineLevel="0" collapsed="false">
      <c r="A110" s="32"/>
      <c r="B110" s="35"/>
      <c r="C110" s="32"/>
      <c r="D110" s="32"/>
      <c r="E110" s="33"/>
      <c r="F110" s="33"/>
      <c r="G110" s="32"/>
    </row>
    <row r="111" customFormat="false" ht="15" hidden="false" customHeight="false" outlineLevel="0" collapsed="false">
      <c r="A111" s="32"/>
      <c r="B111" s="35"/>
      <c r="C111" s="32"/>
      <c r="D111" s="32"/>
      <c r="E111" s="33"/>
      <c r="F111" s="33"/>
      <c r="G111" s="32"/>
    </row>
    <row r="112" customFormat="false" ht="15" hidden="false" customHeight="false" outlineLevel="0" collapsed="false">
      <c r="A112" s="32"/>
      <c r="B112" s="35"/>
      <c r="C112" s="32"/>
      <c r="D112" s="32"/>
      <c r="E112" s="33"/>
      <c r="F112" s="33"/>
      <c r="G112" s="32"/>
    </row>
    <row r="113" customFormat="false" ht="15" hidden="false" customHeight="false" outlineLevel="0" collapsed="false">
      <c r="A113" s="32"/>
      <c r="B113" s="35"/>
      <c r="C113" s="32"/>
      <c r="D113" s="32"/>
      <c r="E113" s="33"/>
      <c r="F113" s="33"/>
      <c r="G113" s="32"/>
    </row>
    <row r="114" customFormat="false" ht="15" hidden="false" customHeight="false" outlineLevel="0" collapsed="false">
      <c r="A114" s="32"/>
      <c r="B114" s="35"/>
      <c r="C114" s="32"/>
      <c r="D114" s="32"/>
      <c r="E114" s="33"/>
      <c r="F114" s="33"/>
      <c r="G114" s="32"/>
    </row>
    <row r="115" customFormat="false" ht="15" hidden="false" customHeight="false" outlineLevel="0" collapsed="false">
      <c r="A115" s="32"/>
      <c r="B115" s="35"/>
      <c r="C115" s="32"/>
      <c r="D115" s="32"/>
      <c r="E115" s="33"/>
      <c r="F115" s="33"/>
      <c r="G115" s="32"/>
    </row>
    <row r="116" customFormat="false" ht="15" hidden="false" customHeight="false" outlineLevel="0" collapsed="false">
      <c r="A116" s="32"/>
      <c r="B116" s="35"/>
      <c r="C116" s="32"/>
      <c r="D116" s="32"/>
      <c r="E116" s="33"/>
      <c r="F116" s="33"/>
      <c r="G116" s="32"/>
    </row>
    <row r="117" customFormat="false" ht="15" hidden="false" customHeight="false" outlineLevel="0" collapsed="false">
      <c r="A117" s="32"/>
      <c r="B117" s="35"/>
      <c r="C117" s="32"/>
      <c r="D117" s="32"/>
      <c r="E117" s="33"/>
      <c r="F117" s="33"/>
      <c r="G117" s="32"/>
    </row>
    <row r="118" customFormat="false" ht="15" hidden="false" customHeight="false" outlineLevel="0" collapsed="false">
      <c r="A118" s="32"/>
      <c r="B118" s="35"/>
      <c r="C118" s="32"/>
      <c r="D118" s="32"/>
      <c r="E118" s="33"/>
      <c r="F118" s="33"/>
      <c r="G118" s="32"/>
    </row>
    <row r="119" customFormat="false" ht="15" hidden="false" customHeight="false" outlineLevel="0" collapsed="false">
      <c r="A119" s="32"/>
      <c r="B119" s="35"/>
      <c r="C119" s="32"/>
      <c r="D119" s="32"/>
      <c r="E119" s="33"/>
      <c r="F119" s="33"/>
      <c r="G119" s="32"/>
    </row>
    <row r="120" customFormat="false" ht="15" hidden="false" customHeight="false" outlineLevel="0" collapsed="false">
      <c r="A120" s="32"/>
      <c r="B120" s="35"/>
      <c r="C120" s="32"/>
      <c r="D120" s="32"/>
      <c r="E120" s="33"/>
      <c r="F120" s="33"/>
      <c r="G120" s="32"/>
    </row>
    <row r="121" customFormat="false" ht="15" hidden="false" customHeight="false" outlineLevel="0" collapsed="false">
      <c r="A121" s="32"/>
      <c r="B121" s="35"/>
      <c r="C121" s="32"/>
      <c r="D121" s="32"/>
      <c r="E121" s="33"/>
      <c r="F121" s="33"/>
      <c r="G121" s="32"/>
    </row>
    <row r="122" customFormat="false" ht="15" hidden="false" customHeight="false" outlineLevel="0" collapsed="false">
      <c r="A122" s="32"/>
      <c r="B122" s="35"/>
      <c r="C122" s="32"/>
      <c r="D122" s="32"/>
      <c r="E122" s="33"/>
      <c r="F122" s="33"/>
      <c r="G122" s="32"/>
    </row>
    <row r="123" customFormat="false" ht="15" hidden="false" customHeight="false" outlineLevel="0" collapsed="false">
      <c r="A123" s="32"/>
      <c r="B123" s="35"/>
      <c r="C123" s="32"/>
      <c r="D123" s="32"/>
      <c r="E123" s="33"/>
      <c r="F123" s="33"/>
      <c r="G123" s="32"/>
    </row>
    <row r="124" customFormat="false" ht="15" hidden="false" customHeight="false" outlineLevel="0" collapsed="false">
      <c r="A124" s="32"/>
      <c r="B124" s="35"/>
      <c r="C124" s="32"/>
      <c r="D124" s="32"/>
      <c r="E124" s="33"/>
      <c r="F124" s="33"/>
      <c r="G124" s="32"/>
    </row>
    <row r="125" customFormat="false" ht="15" hidden="false" customHeight="false" outlineLevel="0" collapsed="false">
      <c r="A125" s="32"/>
      <c r="B125" s="35"/>
      <c r="C125" s="32"/>
      <c r="D125" s="32"/>
      <c r="E125" s="33"/>
      <c r="F125" s="33"/>
      <c r="G125" s="32"/>
    </row>
    <row r="126" customFormat="false" ht="15" hidden="false" customHeight="false" outlineLevel="0" collapsed="false">
      <c r="A126" s="32"/>
      <c r="B126" s="35"/>
      <c r="C126" s="32"/>
      <c r="D126" s="32"/>
      <c r="E126" s="33"/>
      <c r="F126" s="33"/>
      <c r="G126" s="32"/>
    </row>
    <row r="127" customFormat="false" ht="15" hidden="false" customHeight="false" outlineLevel="0" collapsed="false">
      <c r="A127" s="32"/>
      <c r="B127" s="35"/>
      <c r="C127" s="32"/>
      <c r="D127" s="32"/>
      <c r="E127" s="33"/>
      <c r="F127" s="33"/>
      <c r="G127" s="32"/>
    </row>
    <row r="128" customFormat="false" ht="15" hidden="false" customHeight="false" outlineLevel="0" collapsed="false">
      <c r="A128" s="32"/>
      <c r="B128" s="35"/>
      <c r="C128" s="32"/>
      <c r="D128" s="32"/>
      <c r="E128" s="33"/>
      <c r="F128" s="33"/>
      <c r="G128" s="32"/>
    </row>
    <row r="129" customFormat="false" ht="15" hidden="false" customHeight="false" outlineLevel="0" collapsed="false">
      <c r="A129" s="32"/>
      <c r="B129" s="35"/>
      <c r="C129" s="32"/>
      <c r="D129" s="32"/>
      <c r="E129" s="33"/>
      <c r="F129" s="33"/>
      <c r="G129" s="32"/>
    </row>
    <row r="130" customFormat="false" ht="15" hidden="false" customHeight="false" outlineLevel="0" collapsed="false">
      <c r="A130" s="32"/>
      <c r="B130" s="35"/>
      <c r="C130" s="32"/>
      <c r="D130" s="32"/>
      <c r="E130" s="33"/>
      <c r="F130" s="33"/>
      <c r="G130" s="32"/>
    </row>
    <row r="131" customFormat="false" ht="15" hidden="false" customHeight="false" outlineLevel="0" collapsed="false">
      <c r="A131" s="32"/>
      <c r="B131" s="35"/>
      <c r="C131" s="32"/>
      <c r="D131" s="32"/>
      <c r="E131" s="33"/>
      <c r="F131" s="33"/>
      <c r="G131" s="32"/>
    </row>
    <row r="132" customFormat="false" ht="15" hidden="false" customHeight="false" outlineLevel="0" collapsed="false">
      <c r="A132" s="32"/>
      <c r="B132" s="35"/>
      <c r="C132" s="32"/>
      <c r="D132" s="32"/>
      <c r="E132" s="33"/>
      <c r="F132" s="33"/>
      <c r="G132" s="32"/>
    </row>
    <row r="133" customFormat="false" ht="15" hidden="false" customHeight="false" outlineLevel="0" collapsed="false">
      <c r="A133" s="32"/>
      <c r="B133" s="35"/>
      <c r="C133" s="32"/>
      <c r="D133" s="32"/>
      <c r="E133" s="33"/>
      <c r="F133" s="33"/>
      <c r="G133" s="32"/>
    </row>
    <row r="134" customFormat="false" ht="15" hidden="false" customHeight="false" outlineLevel="0" collapsed="false">
      <c r="A134" s="32"/>
      <c r="B134" s="35"/>
      <c r="C134" s="32"/>
      <c r="D134" s="32"/>
      <c r="E134" s="33"/>
      <c r="F134" s="33"/>
      <c r="G134" s="32"/>
    </row>
    <row r="135" customFormat="false" ht="15" hidden="false" customHeight="false" outlineLevel="0" collapsed="false">
      <c r="A135" s="32"/>
      <c r="B135" s="35"/>
      <c r="C135" s="32"/>
      <c r="D135" s="32"/>
      <c r="E135" s="33"/>
      <c r="F135" s="33"/>
      <c r="G135" s="32"/>
    </row>
    <row r="136" customFormat="false" ht="15" hidden="false" customHeight="false" outlineLevel="0" collapsed="false">
      <c r="A136" s="32"/>
      <c r="B136" s="35"/>
      <c r="C136" s="32"/>
      <c r="D136" s="32"/>
      <c r="E136" s="33"/>
      <c r="F136" s="33"/>
      <c r="G136" s="32"/>
    </row>
    <row r="137" customFormat="false" ht="15" hidden="false" customHeight="false" outlineLevel="0" collapsed="false">
      <c r="A137" s="32"/>
      <c r="B137" s="35"/>
      <c r="C137" s="32"/>
      <c r="D137" s="32"/>
      <c r="E137" s="33"/>
      <c r="F137" s="33"/>
      <c r="G137" s="32"/>
    </row>
    <row r="138" customFormat="false" ht="15" hidden="false" customHeight="false" outlineLevel="0" collapsed="false">
      <c r="A138" s="32"/>
      <c r="B138" s="35"/>
      <c r="C138" s="32"/>
      <c r="D138" s="32"/>
      <c r="E138" s="33"/>
      <c r="F138" s="33"/>
      <c r="G138" s="32"/>
    </row>
    <row r="139" customFormat="false" ht="15" hidden="false" customHeight="false" outlineLevel="0" collapsed="false">
      <c r="A139" s="32"/>
      <c r="B139" s="35"/>
      <c r="C139" s="32"/>
      <c r="D139" s="32"/>
      <c r="E139" s="33"/>
      <c r="F139" s="33"/>
      <c r="G139" s="32"/>
    </row>
    <row r="140" customFormat="false" ht="15" hidden="false" customHeight="false" outlineLevel="0" collapsed="false">
      <c r="A140" s="32"/>
      <c r="B140" s="35"/>
      <c r="C140" s="32"/>
      <c r="D140" s="32"/>
      <c r="E140" s="33"/>
      <c r="F140" s="33"/>
      <c r="G140" s="32"/>
    </row>
    <row r="141" customFormat="false" ht="15" hidden="false" customHeight="false" outlineLevel="0" collapsed="false">
      <c r="A141" s="32"/>
      <c r="B141" s="35"/>
      <c r="C141" s="32"/>
      <c r="D141" s="32"/>
      <c r="E141" s="33"/>
      <c r="F141" s="33"/>
      <c r="G141" s="32"/>
    </row>
    <row r="142" customFormat="false" ht="15" hidden="false" customHeight="false" outlineLevel="0" collapsed="false">
      <c r="A142" s="32"/>
      <c r="B142" s="35"/>
      <c r="C142" s="32"/>
      <c r="D142" s="32"/>
      <c r="E142" s="33"/>
      <c r="F142" s="33"/>
      <c r="G142" s="32"/>
    </row>
    <row r="143" customFormat="false" ht="15" hidden="false" customHeight="false" outlineLevel="0" collapsed="false">
      <c r="A143" s="32"/>
      <c r="B143" s="35"/>
      <c r="C143" s="32"/>
      <c r="D143" s="32"/>
      <c r="E143" s="33"/>
      <c r="F143" s="33"/>
      <c r="G143" s="32"/>
    </row>
    <row r="144" customFormat="false" ht="15" hidden="false" customHeight="false" outlineLevel="0" collapsed="false">
      <c r="A144" s="32"/>
      <c r="B144" s="35"/>
      <c r="C144" s="32"/>
      <c r="D144" s="32"/>
      <c r="E144" s="33"/>
      <c r="F144" s="33"/>
      <c r="G144" s="32"/>
    </row>
    <row r="145" customFormat="false" ht="15" hidden="false" customHeight="false" outlineLevel="0" collapsed="false">
      <c r="A145" s="32"/>
      <c r="B145" s="35"/>
      <c r="C145" s="32"/>
      <c r="D145" s="32"/>
      <c r="E145" s="33"/>
      <c r="F145" s="33"/>
      <c r="G145" s="32"/>
    </row>
    <row r="146" customFormat="false" ht="15" hidden="false" customHeight="false" outlineLevel="0" collapsed="false">
      <c r="A146" s="32"/>
      <c r="B146" s="35"/>
      <c r="C146" s="32"/>
      <c r="D146" s="32"/>
      <c r="E146" s="33"/>
      <c r="F146" s="33"/>
      <c r="G146" s="32"/>
    </row>
    <row r="147" customFormat="false" ht="15" hidden="false" customHeight="false" outlineLevel="0" collapsed="false">
      <c r="A147" s="32"/>
      <c r="B147" s="35"/>
      <c r="C147" s="32"/>
      <c r="D147" s="32"/>
      <c r="E147" s="33"/>
      <c r="F147" s="33"/>
      <c r="G147" s="32"/>
    </row>
    <row r="148" customFormat="false" ht="15" hidden="false" customHeight="false" outlineLevel="0" collapsed="false">
      <c r="A148" s="32"/>
      <c r="B148" s="35"/>
      <c r="C148" s="32"/>
      <c r="D148" s="32"/>
      <c r="E148" s="33"/>
      <c r="F148" s="33"/>
      <c r="G148" s="32"/>
    </row>
    <row r="149" customFormat="false" ht="15" hidden="false" customHeight="false" outlineLevel="0" collapsed="false">
      <c r="A149" s="32"/>
      <c r="B149" s="35"/>
      <c r="C149" s="32"/>
      <c r="D149" s="32"/>
      <c r="E149" s="33"/>
      <c r="F149" s="33"/>
      <c r="G149" s="32"/>
    </row>
    <row r="150" customFormat="false" ht="15" hidden="false" customHeight="false" outlineLevel="0" collapsed="false">
      <c r="A150" s="32"/>
      <c r="B150" s="35"/>
      <c r="C150" s="32"/>
      <c r="D150" s="32"/>
      <c r="E150" s="33"/>
      <c r="F150" s="33"/>
      <c r="G150" s="32"/>
    </row>
    <row r="151" customFormat="false" ht="15" hidden="false" customHeight="false" outlineLevel="0" collapsed="false">
      <c r="A151" s="32"/>
      <c r="B151" s="35"/>
      <c r="C151" s="32"/>
      <c r="D151" s="32"/>
      <c r="E151" s="33"/>
      <c r="F151" s="33"/>
      <c r="G151" s="32"/>
    </row>
    <row r="152" customFormat="false" ht="15" hidden="false" customHeight="false" outlineLevel="0" collapsed="false">
      <c r="A152" s="32"/>
      <c r="B152" s="35"/>
      <c r="C152" s="32"/>
      <c r="D152" s="32"/>
      <c r="E152" s="33"/>
      <c r="F152" s="33"/>
      <c r="G152" s="32"/>
    </row>
    <row r="153" customFormat="false" ht="15" hidden="false" customHeight="false" outlineLevel="0" collapsed="false">
      <c r="A153" s="32"/>
      <c r="B153" s="35"/>
      <c r="C153" s="32"/>
      <c r="D153" s="32"/>
      <c r="E153" s="33"/>
      <c r="F153" s="33"/>
      <c r="G153" s="32"/>
    </row>
    <row r="154" customFormat="false" ht="15" hidden="false" customHeight="false" outlineLevel="0" collapsed="false">
      <c r="A154" s="32"/>
      <c r="B154" s="35"/>
      <c r="C154" s="32"/>
      <c r="D154" s="32"/>
      <c r="E154" s="33"/>
      <c r="F154" s="33"/>
      <c r="G154" s="32"/>
    </row>
    <row r="155" customFormat="false" ht="15" hidden="false" customHeight="false" outlineLevel="0" collapsed="false">
      <c r="A155" s="32"/>
      <c r="B155" s="35"/>
      <c r="C155" s="32"/>
      <c r="D155" s="32"/>
      <c r="E155" s="33"/>
      <c r="F155" s="33"/>
      <c r="G155" s="32"/>
    </row>
    <row r="156" customFormat="false" ht="15" hidden="false" customHeight="false" outlineLevel="0" collapsed="false">
      <c r="A156" s="32"/>
      <c r="B156" s="35"/>
      <c r="C156" s="32"/>
      <c r="D156" s="32"/>
      <c r="E156" s="33"/>
      <c r="F156" s="33"/>
      <c r="G156" s="32"/>
    </row>
    <row r="157" customFormat="false" ht="15" hidden="false" customHeight="false" outlineLevel="0" collapsed="false">
      <c r="A157" s="32"/>
      <c r="B157" s="35"/>
      <c r="C157" s="32"/>
      <c r="D157" s="32"/>
      <c r="E157" s="33"/>
      <c r="F157" s="33"/>
      <c r="G157" s="32"/>
    </row>
    <row r="158" customFormat="false" ht="15" hidden="false" customHeight="false" outlineLevel="0" collapsed="false">
      <c r="A158" s="32"/>
      <c r="B158" s="35"/>
      <c r="C158" s="32"/>
      <c r="D158" s="32"/>
      <c r="E158" s="33"/>
      <c r="F158" s="33"/>
      <c r="G158" s="32"/>
    </row>
    <row r="159" customFormat="false" ht="15" hidden="false" customHeight="false" outlineLevel="0" collapsed="false">
      <c r="A159" s="32"/>
      <c r="B159" s="35"/>
      <c r="C159" s="32"/>
      <c r="D159" s="32"/>
      <c r="E159" s="33"/>
      <c r="F159" s="33"/>
      <c r="G159" s="32"/>
    </row>
    <row r="160" customFormat="false" ht="15" hidden="false" customHeight="false" outlineLevel="0" collapsed="false">
      <c r="A160" s="32"/>
      <c r="B160" s="35"/>
      <c r="C160" s="32"/>
      <c r="D160" s="32"/>
      <c r="E160" s="33"/>
      <c r="F160" s="33"/>
      <c r="G160" s="32"/>
    </row>
    <row r="161" customFormat="false" ht="15" hidden="false" customHeight="false" outlineLevel="0" collapsed="false">
      <c r="A161" s="32"/>
      <c r="B161" s="35"/>
      <c r="C161" s="32"/>
      <c r="D161" s="32"/>
      <c r="E161" s="33"/>
      <c r="F161" s="33"/>
      <c r="G161" s="32"/>
    </row>
    <row r="162" customFormat="false" ht="15" hidden="false" customHeight="false" outlineLevel="0" collapsed="false">
      <c r="A162" s="32"/>
      <c r="B162" s="35"/>
      <c r="C162" s="32"/>
      <c r="D162" s="32"/>
      <c r="E162" s="33"/>
      <c r="F162" s="33"/>
      <c r="G162" s="32"/>
    </row>
    <row r="163" customFormat="false" ht="15" hidden="false" customHeight="false" outlineLevel="0" collapsed="false">
      <c r="A163" s="32"/>
      <c r="B163" s="35"/>
      <c r="C163" s="32"/>
      <c r="D163" s="32"/>
      <c r="E163" s="33"/>
      <c r="F163" s="33"/>
      <c r="G163" s="32"/>
    </row>
    <row r="164" customFormat="false" ht="15" hidden="false" customHeight="false" outlineLevel="0" collapsed="false">
      <c r="A164" s="32"/>
      <c r="B164" s="35"/>
      <c r="C164" s="32"/>
      <c r="D164" s="32"/>
      <c r="E164" s="33"/>
      <c r="F164" s="33"/>
      <c r="G164" s="32"/>
    </row>
    <row r="165" customFormat="false" ht="15" hidden="false" customHeight="false" outlineLevel="0" collapsed="false">
      <c r="A165" s="32"/>
      <c r="B165" s="35"/>
      <c r="C165" s="32"/>
      <c r="D165" s="32"/>
      <c r="E165" s="33"/>
      <c r="F165" s="33"/>
      <c r="G165" s="32"/>
    </row>
    <row r="166" customFormat="false" ht="15" hidden="false" customHeight="false" outlineLevel="0" collapsed="false">
      <c r="A166" s="32"/>
      <c r="B166" s="35"/>
      <c r="C166" s="32"/>
      <c r="D166" s="32"/>
      <c r="E166" s="33"/>
      <c r="F166" s="33"/>
      <c r="G166" s="32"/>
    </row>
    <row r="167" customFormat="false" ht="15" hidden="false" customHeight="false" outlineLevel="0" collapsed="false">
      <c r="A167" s="32"/>
      <c r="B167" s="35"/>
      <c r="C167" s="32"/>
      <c r="D167" s="32"/>
      <c r="E167" s="33"/>
      <c r="F167" s="33"/>
      <c r="G167" s="32"/>
    </row>
    <row r="168" customFormat="false" ht="15" hidden="false" customHeight="false" outlineLevel="0" collapsed="false">
      <c r="A168" s="32"/>
      <c r="B168" s="35"/>
      <c r="C168" s="32"/>
      <c r="D168" s="32"/>
      <c r="E168" s="33"/>
      <c r="F168" s="33"/>
      <c r="G168" s="32"/>
    </row>
    <row r="169" customFormat="false" ht="15" hidden="false" customHeight="false" outlineLevel="0" collapsed="false">
      <c r="A169" s="32"/>
      <c r="B169" s="35"/>
      <c r="C169" s="32"/>
      <c r="D169" s="32"/>
      <c r="E169" s="33"/>
      <c r="F169" s="33"/>
      <c r="G169" s="32"/>
    </row>
    <row r="170" customFormat="false" ht="15" hidden="false" customHeight="false" outlineLevel="0" collapsed="false">
      <c r="A170" s="32"/>
      <c r="B170" s="35"/>
      <c r="C170" s="32"/>
      <c r="D170" s="32"/>
      <c r="E170" s="33"/>
      <c r="F170" s="33"/>
      <c r="G170" s="32"/>
    </row>
    <row r="171" customFormat="false" ht="15" hidden="false" customHeight="false" outlineLevel="0" collapsed="false">
      <c r="A171" s="32"/>
      <c r="B171" s="35"/>
      <c r="C171" s="32"/>
      <c r="D171" s="32"/>
      <c r="E171" s="33"/>
      <c r="F171" s="33"/>
      <c r="G171" s="32"/>
    </row>
    <row r="172" customFormat="false" ht="15" hidden="false" customHeight="false" outlineLevel="0" collapsed="false">
      <c r="A172" s="32"/>
      <c r="B172" s="35"/>
      <c r="C172" s="32"/>
      <c r="D172" s="32"/>
      <c r="E172" s="33"/>
      <c r="F172" s="33"/>
      <c r="G172" s="32"/>
    </row>
    <row r="173" customFormat="false" ht="15" hidden="false" customHeight="false" outlineLevel="0" collapsed="false">
      <c r="A173" s="32"/>
      <c r="B173" s="35"/>
      <c r="C173" s="32"/>
      <c r="D173" s="32"/>
      <c r="E173" s="33"/>
      <c r="F173" s="33"/>
      <c r="G173" s="32"/>
    </row>
    <row r="174" customFormat="false" ht="15" hidden="false" customHeight="false" outlineLevel="0" collapsed="false">
      <c r="A174" s="32"/>
      <c r="B174" s="35"/>
      <c r="C174" s="32"/>
      <c r="D174" s="32"/>
      <c r="E174" s="33"/>
      <c r="F174" s="33"/>
      <c r="G174" s="32"/>
    </row>
    <row r="175" customFormat="false" ht="15" hidden="false" customHeight="false" outlineLevel="0" collapsed="false">
      <c r="A175" s="32"/>
      <c r="B175" s="35"/>
      <c r="C175" s="32"/>
      <c r="D175" s="32"/>
      <c r="E175" s="33"/>
      <c r="F175" s="33"/>
      <c r="G175" s="32"/>
    </row>
    <row r="176" customFormat="false" ht="15" hidden="false" customHeight="false" outlineLevel="0" collapsed="false">
      <c r="A176" s="32"/>
      <c r="B176" s="35"/>
      <c r="C176" s="32"/>
      <c r="D176" s="32"/>
      <c r="E176" s="33"/>
      <c r="F176" s="33"/>
      <c r="G176" s="32"/>
    </row>
    <row r="177" customFormat="false" ht="15" hidden="false" customHeight="false" outlineLevel="0" collapsed="false">
      <c r="A177" s="32"/>
      <c r="B177" s="35"/>
      <c r="C177" s="32"/>
      <c r="D177" s="32"/>
      <c r="E177" s="33"/>
      <c r="F177" s="33"/>
      <c r="G177" s="32"/>
    </row>
    <row r="178" customFormat="false" ht="15" hidden="false" customHeight="false" outlineLevel="0" collapsed="false">
      <c r="A178" s="32"/>
      <c r="B178" s="35"/>
      <c r="C178" s="32"/>
      <c r="D178" s="32"/>
      <c r="E178" s="33"/>
      <c r="F178" s="33"/>
      <c r="G178" s="32"/>
    </row>
    <row r="179" customFormat="false" ht="15" hidden="false" customHeight="false" outlineLevel="0" collapsed="false">
      <c r="A179" s="32"/>
      <c r="B179" s="35"/>
      <c r="C179" s="32"/>
      <c r="D179" s="32"/>
      <c r="E179" s="33"/>
      <c r="F179" s="33"/>
      <c r="G179" s="32"/>
    </row>
    <row r="180" customFormat="false" ht="15" hidden="false" customHeight="false" outlineLevel="0" collapsed="false">
      <c r="A180" s="32"/>
      <c r="B180" s="35"/>
      <c r="C180" s="32"/>
      <c r="D180" s="32"/>
      <c r="E180" s="33"/>
      <c r="F180" s="33"/>
      <c r="G180" s="32"/>
    </row>
    <row r="181" customFormat="false" ht="15" hidden="false" customHeight="false" outlineLevel="0" collapsed="false">
      <c r="A181" s="32"/>
      <c r="B181" s="35"/>
      <c r="C181" s="32"/>
      <c r="D181" s="32"/>
      <c r="E181" s="33"/>
      <c r="F181" s="33"/>
      <c r="G181" s="32"/>
    </row>
    <row r="182" customFormat="false" ht="15" hidden="false" customHeight="false" outlineLevel="0" collapsed="false">
      <c r="A182" s="32"/>
      <c r="B182" s="35"/>
      <c r="C182" s="32"/>
      <c r="D182" s="32"/>
      <c r="E182" s="33"/>
      <c r="F182" s="33"/>
      <c r="G182" s="32"/>
    </row>
    <row r="183" customFormat="false" ht="15" hidden="false" customHeight="false" outlineLevel="0" collapsed="false">
      <c r="A183" s="32"/>
      <c r="B183" s="35"/>
      <c r="C183" s="32"/>
      <c r="D183" s="32"/>
      <c r="E183" s="33"/>
      <c r="F183" s="33"/>
      <c r="G183" s="32"/>
    </row>
    <row r="184" customFormat="false" ht="15" hidden="false" customHeight="false" outlineLevel="0" collapsed="false">
      <c r="A184" s="32"/>
      <c r="B184" s="35"/>
      <c r="C184" s="32"/>
      <c r="D184" s="32"/>
      <c r="E184" s="33"/>
      <c r="F184" s="33"/>
      <c r="G184" s="32"/>
    </row>
    <row r="185" customFormat="false" ht="15" hidden="false" customHeight="false" outlineLevel="0" collapsed="false">
      <c r="A185" s="32"/>
      <c r="B185" s="35"/>
      <c r="C185" s="32"/>
      <c r="D185" s="32"/>
      <c r="E185" s="33"/>
      <c r="F185" s="33"/>
      <c r="G185" s="32"/>
    </row>
    <row r="186" customFormat="false" ht="15" hidden="false" customHeight="false" outlineLevel="0" collapsed="false">
      <c r="A186" s="32"/>
      <c r="B186" s="35"/>
      <c r="C186" s="32"/>
      <c r="D186" s="32"/>
      <c r="E186" s="33"/>
      <c r="F186" s="33"/>
      <c r="G186" s="32"/>
    </row>
    <row r="187" customFormat="false" ht="15" hidden="false" customHeight="false" outlineLevel="0" collapsed="false">
      <c r="A187" s="32"/>
      <c r="B187" s="35"/>
      <c r="C187" s="32"/>
      <c r="D187" s="32"/>
      <c r="E187" s="33"/>
      <c r="F187" s="33"/>
      <c r="G187" s="32"/>
    </row>
    <row r="188" customFormat="false" ht="15" hidden="false" customHeight="false" outlineLevel="0" collapsed="false">
      <c r="A188" s="32"/>
      <c r="B188" s="35"/>
      <c r="C188" s="32"/>
      <c r="D188" s="32"/>
      <c r="E188" s="33"/>
      <c r="F188" s="33"/>
      <c r="G188" s="32"/>
    </row>
    <row r="189" customFormat="false" ht="15" hidden="false" customHeight="false" outlineLevel="0" collapsed="false">
      <c r="A189" s="32"/>
      <c r="B189" s="35"/>
      <c r="C189" s="32"/>
      <c r="D189" s="32"/>
      <c r="E189" s="33"/>
      <c r="F189" s="33"/>
      <c r="G189" s="32"/>
    </row>
    <row r="190" customFormat="false" ht="15" hidden="false" customHeight="false" outlineLevel="0" collapsed="false">
      <c r="A190" s="32"/>
      <c r="B190" s="35"/>
      <c r="C190" s="32"/>
      <c r="D190" s="32"/>
      <c r="E190" s="33"/>
      <c r="F190" s="33"/>
      <c r="G190" s="32"/>
    </row>
    <row r="191" customFormat="false" ht="15" hidden="false" customHeight="false" outlineLevel="0" collapsed="false">
      <c r="A191" s="32"/>
      <c r="B191" s="35"/>
      <c r="C191" s="32"/>
      <c r="D191" s="32"/>
      <c r="E191" s="33"/>
      <c r="F191" s="33"/>
      <c r="G191" s="32"/>
    </row>
    <row r="192" customFormat="false" ht="15" hidden="false" customHeight="false" outlineLevel="0" collapsed="false">
      <c r="A192" s="32"/>
      <c r="B192" s="35"/>
      <c r="C192" s="32"/>
      <c r="D192" s="32"/>
      <c r="E192" s="33"/>
      <c r="F192" s="33"/>
      <c r="G192" s="32"/>
    </row>
    <row r="193" customFormat="false" ht="15" hidden="false" customHeight="false" outlineLevel="0" collapsed="false">
      <c r="A193" s="32"/>
      <c r="B193" s="35"/>
      <c r="C193" s="32"/>
      <c r="D193" s="32"/>
      <c r="E193" s="33"/>
      <c r="F193" s="33"/>
      <c r="G193" s="32"/>
    </row>
    <row r="194" customFormat="false" ht="15" hidden="false" customHeight="false" outlineLevel="0" collapsed="false">
      <c r="A194" s="32"/>
      <c r="B194" s="35"/>
      <c r="C194" s="32"/>
      <c r="D194" s="32"/>
      <c r="E194" s="33"/>
      <c r="F194" s="33"/>
      <c r="G194" s="32"/>
    </row>
    <row r="195" customFormat="false" ht="15" hidden="false" customHeight="false" outlineLevel="0" collapsed="false">
      <c r="A195" s="32"/>
      <c r="B195" s="35"/>
      <c r="C195" s="32"/>
      <c r="D195" s="32"/>
      <c r="E195" s="33"/>
      <c r="F195" s="33"/>
      <c r="G195" s="32"/>
    </row>
    <row r="196" customFormat="false" ht="15" hidden="false" customHeight="false" outlineLevel="0" collapsed="false">
      <c r="A196" s="32"/>
      <c r="B196" s="35"/>
      <c r="C196" s="32"/>
      <c r="D196" s="32"/>
      <c r="E196" s="33"/>
      <c r="F196" s="33"/>
      <c r="G196" s="32"/>
    </row>
    <row r="197" customFormat="false" ht="15" hidden="false" customHeight="false" outlineLevel="0" collapsed="false">
      <c r="A197" s="32"/>
      <c r="B197" s="35"/>
      <c r="C197" s="32"/>
      <c r="D197" s="32"/>
      <c r="E197" s="33"/>
      <c r="F197" s="33"/>
      <c r="G197" s="32"/>
    </row>
    <row r="198" customFormat="false" ht="15" hidden="false" customHeight="false" outlineLevel="0" collapsed="false">
      <c r="A198" s="32"/>
      <c r="B198" s="35"/>
      <c r="C198" s="32"/>
      <c r="D198" s="32"/>
      <c r="E198" s="33"/>
      <c r="F198" s="33"/>
      <c r="G198" s="32"/>
    </row>
    <row r="199" customFormat="false" ht="15" hidden="false" customHeight="false" outlineLevel="0" collapsed="false">
      <c r="A199" s="32"/>
      <c r="B199" s="35"/>
      <c r="C199" s="32"/>
      <c r="D199" s="32"/>
      <c r="E199" s="33"/>
      <c r="F199" s="33"/>
      <c r="G199" s="32"/>
    </row>
    <row r="200" customFormat="false" ht="15" hidden="false" customHeight="false" outlineLevel="0" collapsed="false">
      <c r="A200" s="32"/>
      <c r="B200" s="35"/>
      <c r="C200" s="32"/>
      <c r="D200" s="32"/>
      <c r="E200" s="33"/>
      <c r="F200" s="33"/>
      <c r="G200" s="32"/>
    </row>
    <row r="201" customFormat="false" ht="15" hidden="false" customHeight="false" outlineLevel="0" collapsed="false">
      <c r="A201" s="32"/>
      <c r="B201" s="35"/>
      <c r="C201" s="32"/>
      <c r="D201" s="32"/>
      <c r="E201" s="33"/>
      <c r="F201" s="33"/>
      <c r="G201" s="32"/>
    </row>
    <row r="202" customFormat="false" ht="15" hidden="false" customHeight="false" outlineLevel="0" collapsed="false">
      <c r="A202" s="32"/>
      <c r="B202" s="35"/>
      <c r="C202" s="32"/>
      <c r="D202" s="32"/>
      <c r="E202" s="33"/>
      <c r="F202" s="33"/>
      <c r="G202" s="32"/>
    </row>
    <row r="203" customFormat="false" ht="15" hidden="false" customHeight="false" outlineLevel="0" collapsed="false">
      <c r="A203" s="32"/>
      <c r="B203" s="35"/>
      <c r="C203" s="32"/>
      <c r="D203" s="32"/>
      <c r="E203" s="33"/>
      <c r="F203" s="33"/>
      <c r="G203" s="32"/>
    </row>
    <row r="204" customFormat="false" ht="15" hidden="false" customHeight="false" outlineLevel="0" collapsed="false">
      <c r="A204" s="32"/>
      <c r="B204" s="35"/>
      <c r="C204" s="32"/>
      <c r="D204" s="32"/>
      <c r="E204" s="33"/>
      <c r="F204" s="33"/>
      <c r="G204" s="32"/>
    </row>
    <row r="205" customFormat="false" ht="15" hidden="false" customHeight="false" outlineLevel="0" collapsed="false">
      <c r="A205" s="32"/>
      <c r="B205" s="35"/>
      <c r="C205" s="32"/>
      <c r="D205" s="32"/>
      <c r="E205" s="33"/>
      <c r="F205" s="33"/>
      <c r="G205" s="32"/>
    </row>
    <row r="206" customFormat="false" ht="15" hidden="false" customHeight="false" outlineLevel="0" collapsed="false">
      <c r="A206" s="32"/>
      <c r="B206" s="35"/>
      <c r="C206" s="32"/>
      <c r="D206" s="32"/>
      <c r="E206" s="33"/>
      <c r="F206" s="33"/>
      <c r="G206" s="32"/>
    </row>
    <row r="207" customFormat="false" ht="15" hidden="false" customHeight="false" outlineLevel="0" collapsed="false">
      <c r="A207" s="32"/>
      <c r="B207" s="35"/>
      <c r="C207" s="32"/>
      <c r="D207" s="32"/>
      <c r="E207" s="33"/>
      <c r="F207" s="33"/>
      <c r="G207" s="32"/>
    </row>
    <row r="208" customFormat="false" ht="15" hidden="false" customHeight="false" outlineLevel="0" collapsed="false">
      <c r="A208" s="32"/>
      <c r="B208" s="35"/>
      <c r="C208" s="32"/>
      <c r="D208" s="32"/>
      <c r="E208" s="33"/>
      <c r="F208" s="33"/>
      <c r="G208" s="32"/>
    </row>
    <row r="209" customFormat="false" ht="15" hidden="false" customHeight="false" outlineLevel="0" collapsed="false">
      <c r="A209" s="32"/>
      <c r="B209" s="35"/>
      <c r="C209" s="32"/>
      <c r="D209" s="32"/>
      <c r="E209" s="33"/>
      <c r="F209" s="33"/>
      <c r="G209" s="32"/>
    </row>
    <row r="210" customFormat="false" ht="15" hidden="false" customHeight="false" outlineLevel="0" collapsed="false">
      <c r="A210" s="32"/>
      <c r="B210" s="35"/>
      <c r="C210" s="32"/>
      <c r="D210" s="32"/>
      <c r="E210" s="33"/>
      <c r="F210" s="33"/>
      <c r="G210" s="32"/>
    </row>
    <row r="211" customFormat="false" ht="15" hidden="false" customHeight="false" outlineLevel="0" collapsed="false">
      <c r="A211" s="32"/>
      <c r="B211" s="35"/>
      <c r="C211" s="32"/>
      <c r="D211" s="32"/>
      <c r="E211" s="33"/>
      <c r="F211" s="33"/>
      <c r="G211" s="32"/>
    </row>
    <row r="212" customFormat="false" ht="15" hidden="false" customHeight="false" outlineLevel="0" collapsed="false">
      <c r="A212" s="32"/>
      <c r="B212" s="35"/>
      <c r="C212" s="32"/>
      <c r="D212" s="32"/>
      <c r="E212" s="33"/>
      <c r="F212" s="33"/>
      <c r="G212" s="32"/>
    </row>
    <row r="213" customFormat="false" ht="15" hidden="false" customHeight="false" outlineLevel="0" collapsed="false">
      <c r="A213" s="32"/>
      <c r="B213" s="35"/>
      <c r="C213" s="32"/>
      <c r="D213" s="32"/>
      <c r="E213" s="33"/>
      <c r="F213" s="33"/>
      <c r="G213" s="32"/>
    </row>
    <row r="214" customFormat="false" ht="15" hidden="false" customHeight="false" outlineLevel="0" collapsed="false">
      <c r="A214" s="32"/>
      <c r="B214" s="35"/>
      <c r="C214" s="32"/>
      <c r="D214" s="32"/>
      <c r="E214" s="33"/>
      <c r="F214" s="33"/>
      <c r="G214" s="32"/>
    </row>
    <row r="215" customFormat="false" ht="15" hidden="false" customHeight="false" outlineLevel="0" collapsed="false">
      <c r="A215" s="32"/>
      <c r="B215" s="35"/>
      <c r="C215" s="32"/>
      <c r="D215" s="32"/>
      <c r="E215" s="33"/>
      <c r="F215" s="33"/>
      <c r="G215" s="32"/>
    </row>
    <row r="216" customFormat="false" ht="15" hidden="false" customHeight="false" outlineLevel="0" collapsed="false">
      <c r="A216" s="32"/>
      <c r="B216" s="35"/>
      <c r="C216" s="32"/>
      <c r="D216" s="32"/>
      <c r="E216" s="33"/>
      <c r="F216" s="33"/>
      <c r="G216" s="32"/>
    </row>
    <row r="217" customFormat="false" ht="15" hidden="false" customHeight="false" outlineLevel="0" collapsed="false">
      <c r="A217" s="32"/>
      <c r="B217" s="35"/>
      <c r="C217" s="32"/>
      <c r="D217" s="32"/>
      <c r="E217" s="33"/>
      <c r="F217" s="33"/>
      <c r="G217" s="32"/>
    </row>
    <row r="218" customFormat="false" ht="15" hidden="false" customHeight="false" outlineLevel="0" collapsed="false">
      <c r="A218" s="32"/>
      <c r="B218" s="35"/>
      <c r="C218" s="32"/>
      <c r="D218" s="32"/>
      <c r="E218" s="33"/>
      <c r="F218" s="33"/>
      <c r="G218" s="32"/>
    </row>
    <row r="219" customFormat="false" ht="15" hidden="false" customHeight="false" outlineLevel="0" collapsed="false">
      <c r="A219" s="32"/>
      <c r="B219" s="35"/>
      <c r="C219" s="32"/>
      <c r="D219" s="32"/>
      <c r="E219" s="33"/>
      <c r="F219" s="33"/>
      <c r="G219" s="32"/>
    </row>
    <row r="220" customFormat="false" ht="15" hidden="false" customHeight="false" outlineLevel="0" collapsed="false">
      <c r="A220" s="32"/>
      <c r="B220" s="35"/>
      <c r="C220" s="32"/>
      <c r="D220" s="32"/>
      <c r="E220" s="33"/>
      <c r="F220" s="33"/>
      <c r="G220" s="32"/>
    </row>
    <row r="221" customFormat="false" ht="15" hidden="false" customHeight="false" outlineLevel="0" collapsed="false">
      <c r="A221" s="32"/>
      <c r="B221" s="35"/>
      <c r="C221" s="32"/>
      <c r="D221" s="32"/>
      <c r="E221" s="33"/>
      <c r="F221" s="33"/>
      <c r="G221" s="32"/>
    </row>
    <row r="222" customFormat="false" ht="15" hidden="false" customHeight="false" outlineLevel="0" collapsed="false">
      <c r="A222" s="32"/>
      <c r="B222" s="35"/>
      <c r="C222" s="32"/>
      <c r="D222" s="32"/>
      <c r="E222" s="33"/>
      <c r="F222" s="33"/>
      <c r="G222" s="32"/>
    </row>
    <row r="223" customFormat="false" ht="15" hidden="false" customHeight="false" outlineLevel="0" collapsed="false">
      <c r="A223" s="32"/>
      <c r="B223" s="35"/>
      <c r="C223" s="32"/>
      <c r="D223" s="32"/>
      <c r="E223" s="33"/>
      <c r="F223" s="33"/>
      <c r="G223" s="32"/>
    </row>
    <row r="224" customFormat="false" ht="15" hidden="false" customHeight="false" outlineLevel="0" collapsed="false">
      <c r="A224" s="32"/>
      <c r="B224" s="35"/>
      <c r="C224" s="32"/>
      <c r="D224" s="32"/>
      <c r="E224" s="33"/>
      <c r="F224" s="33"/>
      <c r="G224" s="32"/>
    </row>
    <row r="225" customFormat="false" ht="15" hidden="false" customHeight="false" outlineLevel="0" collapsed="false">
      <c r="A225" s="32"/>
      <c r="B225" s="35"/>
      <c r="C225" s="32"/>
      <c r="D225" s="32"/>
      <c r="E225" s="33"/>
      <c r="F225" s="33"/>
      <c r="G225" s="32"/>
    </row>
    <row r="226" customFormat="false" ht="15" hidden="false" customHeight="false" outlineLevel="0" collapsed="false">
      <c r="A226" s="32"/>
      <c r="B226" s="35"/>
      <c r="C226" s="32"/>
      <c r="D226" s="32"/>
      <c r="E226" s="33"/>
      <c r="F226" s="33"/>
      <c r="G226" s="32"/>
    </row>
    <row r="227" customFormat="false" ht="15" hidden="false" customHeight="false" outlineLevel="0" collapsed="false">
      <c r="A227" s="32"/>
      <c r="B227" s="35"/>
      <c r="C227" s="32"/>
      <c r="D227" s="32"/>
      <c r="E227" s="33"/>
      <c r="F227" s="33"/>
      <c r="G227" s="32"/>
    </row>
    <row r="228" customFormat="false" ht="15" hidden="false" customHeight="false" outlineLevel="0" collapsed="false">
      <c r="A228" s="32"/>
      <c r="B228" s="35"/>
      <c r="C228" s="32"/>
      <c r="D228" s="32"/>
      <c r="E228" s="33"/>
      <c r="F228" s="33"/>
      <c r="G228" s="32"/>
    </row>
    <row r="229" customFormat="false" ht="15" hidden="false" customHeight="false" outlineLevel="0" collapsed="false">
      <c r="A229" s="32"/>
      <c r="B229" s="35"/>
      <c r="C229" s="32"/>
      <c r="D229" s="32"/>
      <c r="E229" s="33"/>
      <c r="F229" s="33"/>
      <c r="G229" s="32"/>
    </row>
    <row r="230" customFormat="false" ht="15" hidden="false" customHeight="false" outlineLevel="0" collapsed="false">
      <c r="A230" s="32"/>
      <c r="B230" s="35"/>
      <c r="C230" s="32"/>
      <c r="D230" s="32"/>
      <c r="E230" s="33"/>
      <c r="F230" s="33"/>
      <c r="G230" s="32"/>
    </row>
    <row r="231" customFormat="false" ht="15" hidden="false" customHeight="false" outlineLevel="0" collapsed="false">
      <c r="A231" s="32"/>
      <c r="B231" s="35"/>
      <c r="C231" s="32"/>
      <c r="D231" s="32"/>
      <c r="E231" s="33"/>
      <c r="F231" s="33"/>
      <c r="G231" s="32"/>
    </row>
    <row r="232" customFormat="false" ht="15" hidden="false" customHeight="false" outlineLevel="0" collapsed="false">
      <c r="A232" s="32"/>
      <c r="B232" s="35"/>
      <c r="C232" s="32"/>
      <c r="D232" s="32"/>
      <c r="E232" s="33"/>
      <c r="F232" s="33"/>
      <c r="G232" s="32"/>
    </row>
    <row r="233" customFormat="false" ht="15" hidden="false" customHeight="false" outlineLevel="0" collapsed="false">
      <c r="A233" s="32"/>
      <c r="B233" s="35"/>
      <c r="C233" s="32"/>
      <c r="D233" s="32"/>
      <c r="E233" s="33"/>
      <c r="F233" s="33"/>
      <c r="G233" s="32"/>
    </row>
    <row r="234" customFormat="false" ht="15" hidden="false" customHeight="false" outlineLevel="0" collapsed="false">
      <c r="A234" s="32"/>
      <c r="B234" s="35"/>
      <c r="C234" s="32"/>
      <c r="D234" s="32"/>
      <c r="E234" s="33"/>
      <c r="F234" s="33"/>
      <c r="G234" s="32"/>
    </row>
    <row r="235" customFormat="false" ht="15" hidden="false" customHeight="false" outlineLevel="0" collapsed="false">
      <c r="A235" s="32"/>
      <c r="B235" s="35"/>
      <c r="C235" s="32"/>
      <c r="D235" s="32"/>
      <c r="E235" s="33"/>
      <c r="F235" s="33"/>
      <c r="G235" s="32"/>
    </row>
    <row r="236" customFormat="false" ht="15" hidden="false" customHeight="false" outlineLevel="0" collapsed="false">
      <c r="A236" s="32"/>
      <c r="B236" s="35"/>
      <c r="C236" s="32"/>
      <c r="D236" s="32"/>
      <c r="E236" s="33"/>
      <c r="F236" s="33"/>
      <c r="G236" s="32"/>
    </row>
    <row r="237" customFormat="false" ht="15" hidden="false" customHeight="false" outlineLevel="0" collapsed="false">
      <c r="A237" s="32"/>
      <c r="B237" s="35"/>
      <c r="C237" s="32"/>
      <c r="D237" s="32"/>
      <c r="E237" s="33"/>
      <c r="F237" s="33"/>
      <c r="G237" s="32"/>
    </row>
    <row r="238" customFormat="false" ht="15" hidden="false" customHeight="false" outlineLevel="0" collapsed="false">
      <c r="A238" s="32"/>
      <c r="B238" s="35"/>
      <c r="C238" s="32"/>
      <c r="D238" s="32"/>
      <c r="E238" s="33"/>
      <c r="F238" s="33"/>
      <c r="G238" s="32"/>
    </row>
    <row r="239" customFormat="false" ht="15" hidden="false" customHeight="false" outlineLevel="0" collapsed="false">
      <c r="A239" s="32"/>
      <c r="B239" s="35"/>
      <c r="C239" s="32"/>
      <c r="D239" s="32"/>
      <c r="E239" s="33"/>
      <c r="F239" s="33"/>
      <c r="G239" s="32"/>
    </row>
    <row r="240" customFormat="false" ht="15" hidden="false" customHeight="false" outlineLevel="0" collapsed="false">
      <c r="A240" s="32"/>
      <c r="B240" s="35"/>
      <c r="C240" s="32"/>
      <c r="D240" s="32"/>
      <c r="E240" s="33"/>
      <c r="F240" s="33"/>
      <c r="G240" s="32"/>
    </row>
    <row r="241" customFormat="false" ht="15" hidden="false" customHeight="false" outlineLevel="0" collapsed="false">
      <c r="A241" s="32"/>
      <c r="B241" s="35"/>
      <c r="C241" s="32"/>
      <c r="D241" s="32"/>
      <c r="E241" s="33"/>
      <c r="F241" s="33"/>
      <c r="G241" s="32"/>
    </row>
    <row r="242" customFormat="false" ht="15" hidden="false" customHeight="false" outlineLevel="0" collapsed="false">
      <c r="A242" s="32"/>
      <c r="B242" s="35"/>
      <c r="C242" s="32"/>
      <c r="D242" s="32"/>
      <c r="E242" s="33"/>
      <c r="F242" s="33"/>
      <c r="G242" s="32"/>
    </row>
    <row r="243" customFormat="false" ht="15" hidden="false" customHeight="false" outlineLevel="0" collapsed="false">
      <c r="A243" s="32"/>
      <c r="B243" s="35"/>
      <c r="C243" s="32"/>
      <c r="D243" s="32"/>
      <c r="E243" s="33"/>
      <c r="F243" s="33"/>
      <c r="G243" s="32"/>
    </row>
    <row r="244" customFormat="false" ht="15" hidden="false" customHeight="false" outlineLevel="0" collapsed="false">
      <c r="A244" s="32"/>
      <c r="B244" s="35"/>
      <c r="C244" s="32"/>
      <c r="D244" s="32"/>
      <c r="E244" s="33"/>
      <c r="F244" s="33"/>
      <c r="G244" s="32"/>
    </row>
    <row r="245" customFormat="false" ht="15" hidden="false" customHeight="false" outlineLevel="0" collapsed="false">
      <c r="A245" s="32"/>
      <c r="B245" s="35"/>
      <c r="C245" s="32"/>
      <c r="D245" s="32"/>
      <c r="E245" s="33"/>
      <c r="F245" s="33"/>
      <c r="G245" s="32"/>
    </row>
    <row r="246" customFormat="false" ht="15" hidden="false" customHeight="false" outlineLevel="0" collapsed="false">
      <c r="A246" s="32"/>
      <c r="B246" s="35"/>
      <c r="C246" s="32"/>
      <c r="D246" s="32"/>
      <c r="E246" s="33"/>
      <c r="F246" s="33"/>
      <c r="G246" s="32"/>
    </row>
    <row r="247" customFormat="false" ht="15" hidden="false" customHeight="false" outlineLevel="0" collapsed="false">
      <c r="A247" s="32"/>
      <c r="B247" s="35"/>
      <c r="C247" s="32"/>
      <c r="D247" s="32"/>
      <c r="E247" s="33"/>
      <c r="F247" s="33"/>
      <c r="G247" s="32"/>
    </row>
    <row r="248" customFormat="false" ht="15" hidden="false" customHeight="false" outlineLevel="0" collapsed="false">
      <c r="A248" s="32"/>
      <c r="B248" s="35"/>
      <c r="C248" s="32"/>
      <c r="D248" s="32"/>
      <c r="E248" s="33"/>
      <c r="F248" s="33"/>
      <c r="G248" s="32"/>
    </row>
    <row r="249" customFormat="false" ht="15" hidden="false" customHeight="false" outlineLevel="0" collapsed="false">
      <c r="A249" s="32"/>
      <c r="B249" s="35"/>
      <c r="C249" s="32"/>
      <c r="D249" s="32"/>
      <c r="E249" s="33"/>
      <c r="F249" s="33"/>
      <c r="G249" s="32"/>
    </row>
    <row r="250" customFormat="false" ht="15" hidden="false" customHeight="false" outlineLevel="0" collapsed="false">
      <c r="A250" s="32"/>
      <c r="B250" s="35"/>
      <c r="C250" s="32"/>
      <c r="D250" s="32"/>
      <c r="E250" s="33"/>
      <c r="F250" s="33"/>
      <c r="G250" s="32"/>
    </row>
    <row r="251" customFormat="false" ht="15" hidden="false" customHeight="false" outlineLevel="0" collapsed="false">
      <c r="A251" s="32"/>
      <c r="B251" s="35"/>
      <c r="C251" s="32"/>
      <c r="D251" s="32"/>
      <c r="E251" s="33"/>
      <c r="F251" s="33"/>
      <c r="G251" s="32"/>
    </row>
    <row r="252" customFormat="false" ht="15" hidden="false" customHeight="false" outlineLevel="0" collapsed="false">
      <c r="A252" s="32"/>
      <c r="B252" s="35"/>
      <c r="C252" s="32"/>
      <c r="D252" s="32"/>
      <c r="E252" s="33"/>
      <c r="F252" s="33"/>
      <c r="G252" s="32"/>
    </row>
    <row r="253" customFormat="false" ht="15" hidden="false" customHeight="false" outlineLevel="0" collapsed="false">
      <c r="A253" s="32"/>
      <c r="B253" s="35"/>
      <c r="C253" s="32"/>
      <c r="D253" s="32"/>
      <c r="E253" s="33"/>
      <c r="F253" s="33"/>
      <c r="G253" s="32"/>
    </row>
    <row r="254" customFormat="false" ht="15" hidden="false" customHeight="false" outlineLevel="0" collapsed="false">
      <c r="A254" s="32"/>
      <c r="B254" s="35"/>
      <c r="C254" s="32"/>
      <c r="D254" s="32"/>
      <c r="E254" s="33"/>
      <c r="F254" s="33"/>
      <c r="G254" s="32"/>
    </row>
    <row r="255" customFormat="false" ht="15" hidden="false" customHeight="false" outlineLevel="0" collapsed="false">
      <c r="A255" s="32"/>
      <c r="B255" s="35"/>
      <c r="C255" s="32"/>
      <c r="D255" s="32"/>
      <c r="E255" s="33"/>
      <c r="F255" s="33"/>
      <c r="G255" s="32"/>
    </row>
    <row r="256" customFormat="false" ht="15" hidden="false" customHeight="false" outlineLevel="0" collapsed="false">
      <c r="A256" s="32"/>
      <c r="B256" s="35"/>
      <c r="C256" s="32"/>
      <c r="D256" s="32"/>
      <c r="E256" s="33"/>
      <c r="F256" s="33"/>
      <c r="G256" s="32"/>
    </row>
    <row r="257" customFormat="false" ht="15" hidden="false" customHeight="false" outlineLevel="0" collapsed="false">
      <c r="A257" s="32"/>
      <c r="B257" s="35"/>
      <c r="C257" s="32"/>
      <c r="D257" s="32"/>
      <c r="E257" s="33"/>
      <c r="F257" s="33"/>
      <c r="G257" s="32"/>
    </row>
    <row r="258" customFormat="false" ht="15" hidden="false" customHeight="false" outlineLevel="0" collapsed="false">
      <c r="A258" s="32"/>
      <c r="B258" s="35"/>
      <c r="C258" s="32"/>
      <c r="D258" s="32"/>
      <c r="E258" s="33"/>
      <c r="F258" s="33"/>
      <c r="G258" s="32"/>
    </row>
    <row r="259" customFormat="false" ht="15" hidden="false" customHeight="false" outlineLevel="0" collapsed="false">
      <c r="A259" s="32"/>
      <c r="B259" s="35"/>
      <c r="C259" s="32"/>
      <c r="D259" s="32"/>
      <c r="E259" s="33"/>
      <c r="F259" s="33"/>
      <c r="G259" s="32"/>
    </row>
    <row r="260" customFormat="false" ht="15" hidden="false" customHeight="false" outlineLevel="0" collapsed="false">
      <c r="A260" s="32"/>
      <c r="B260" s="35"/>
      <c r="C260" s="32"/>
      <c r="D260" s="32"/>
      <c r="E260" s="33"/>
      <c r="F260" s="33"/>
      <c r="G260" s="32"/>
    </row>
    <row r="261" customFormat="false" ht="15" hidden="false" customHeight="false" outlineLevel="0" collapsed="false">
      <c r="A261" s="32"/>
      <c r="B261" s="35"/>
      <c r="C261" s="32"/>
      <c r="D261" s="32"/>
      <c r="E261" s="33"/>
      <c r="F261" s="33"/>
      <c r="G261" s="32"/>
    </row>
    <row r="262" customFormat="false" ht="15" hidden="false" customHeight="false" outlineLevel="0" collapsed="false">
      <c r="A262" s="32"/>
      <c r="B262" s="35"/>
      <c r="C262" s="32"/>
      <c r="D262" s="32"/>
      <c r="E262" s="33"/>
      <c r="F262" s="33"/>
      <c r="G262" s="32"/>
    </row>
    <row r="263" customFormat="false" ht="15" hidden="false" customHeight="false" outlineLevel="0" collapsed="false">
      <c r="A263" s="32"/>
      <c r="B263" s="35"/>
      <c r="C263" s="32"/>
      <c r="D263" s="32"/>
      <c r="E263" s="33"/>
      <c r="F263" s="33"/>
      <c r="G263" s="32"/>
    </row>
    <row r="264" customFormat="false" ht="15" hidden="false" customHeight="false" outlineLevel="0" collapsed="false">
      <c r="A264" s="32"/>
      <c r="B264" s="35"/>
      <c r="C264" s="32"/>
      <c r="D264" s="32"/>
      <c r="E264" s="33"/>
      <c r="F264" s="33"/>
      <c r="G264" s="32"/>
    </row>
    <row r="265" customFormat="false" ht="15" hidden="false" customHeight="false" outlineLevel="0" collapsed="false">
      <c r="A265" s="32"/>
      <c r="B265" s="35"/>
      <c r="C265" s="32"/>
      <c r="D265" s="32"/>
      <c r="E265" s="33"/>
      <c r="F265" s="33"/>
      <c r="G265" s="32"/>
    </row>
    <row r="266" customFormat="false" ht="15" hidden="false" customHeight="false" outlineLevel="0" collapsed="false">
      <c r="A266" s="32"/>
      <c r="B266" s="35"/>
      <c r="C266" s="32"/>
      <c r="D266" s="32"/>
      <c r="E266" s="33"/>
      <c r="F266" s="33"/>
      <c r="G266" s="32"/>
    </row>
    <row r="267" customFormat="false" ht="15" hidden="false" customHeight="false" outlineLevel="0" collapsed="false">
      <c r="A267" s="32"/>
      <c r="B267" s="35"/>
      <c r="C267" s="32"/>
      <c r="D267" s="32"/>
      <c r="E267" s="33"/>
      <c r="F267" s="33"/>
      <c r="G267" s="32"/>
    </row>
    <row r="268" customFormat="false" ht="15" hidden="false" customHeight="false" outlineLevel="0" collapsed="false">
      <c r="A268" s="32"/>
      <c r="B268" s="35"/>
      <c r="C268" s="32"/>
      <c r="D268" s="32"/>
      <c r="E268" s="33"/>
      <c r="F268" s="33"/>
      <c r="G268" s="32"/>
    </row>
    <row r="269" customFormat="false" ht="15" hidden="false" customHeight="false" outlineLevel="0" collapsed="false">
      <c r="A269" s="32"/>
      <c r="B269" s="35"/>
      <c r="C269" s="32"/>
      <c r="D269" s="32"/>
      <c r="E269" s="33"/>
      <c r="F269" s="33"/>
      <c r="G269" s="32"/>
    </row>
    <row r="270" customFormat="false" ht="15" hidden="false" customHeight="false" outlineLevel="0" collapsed="false">
      <c r="A270" s="32"/>
      <c r="B270" s="35"/>
      <c r="C270" s="32"/>
      <c r="D270" s="32"/>
      <c r="E270" s="33"/>
      <c r="F270" s="33"/>
      <c r="G270" s="32"/>
    </row>
    <row r="271" customFormat="false" ht="15" hidden="false" customHeight="false" outlineLevel="0" collapsed="false">
      <c r="A271" s="32"/>
      <c r="B271" s="35"/>
      <c r="C271" s="32"/>
      <c r="D271" s="32"/>
      <c r="E271" s="33"/>
      <c r="F271" s="33"/>
      <c r="G271" s="32"/>
    </row>
    <row r="272" customFormat="false" ht="15" hidden="false" customHeight="false" outlineLevel="0" collapsed="false">
      <c r="A272" s="32"/>
      <c r="B272" s="35"/>
      <c r="C272" s="32"/>
      <c r="D272" s="32"/>
      <c r="E272" s="33"/>
      <c r="F272" s="33"/>
      <c r="G272" s="32"/>
    </row>
    <row r="273" customFormat="false" ht="15" hidden="false" customHeight="false" outlineLevel="0" collapsed="false">
      <c r="A273" s="32"/>
      <c r="B273" s="35"/>
      <c r="C273" s="32"/>
      <c r="D273" s="32"/>
      <c r="E273" s="33"/>
      <c r="F273" s="33"/>
      <c r="G273" s="32"/>
    </row>
    <row r="274" customFormat="false" ht="15" hidden="false" customHeight="false" outlineLevel="0" collapsed="false">
      <c r="A274" s="32"/>
      <c r="B274" s="35"/>
      <c r="C274" s="32"/>
      <c r="D274" s="32"/>
      <c r="E274" s="33"/>
      <c r="F274" s="33"/>
      <c r="G274" s="32"/>
    </row>
    <row r="275" customFormat="false" ht="15" hidden="false" customHeight="false" outlineLevel="0" collapsed="false">
      <c r="A275" s="32"/>
      <c r="B275" s="35"/>
      <c r="C275" s="32"/>
      <c r="D275" s="32"/>
      <c r="E275" s="33"/>
      <c r="F275" s="33"/>
      <c r="G275" s="32"/>
    </row>
    <row r="276" customFormat="false" ht="15" hidden="false" customHeight="false" outlineLevel="0" collapsed="false">
      <c r="A276" s="32"/>
      <c r="B276" s="35"/>
      <c r="C276" s="32"/>
      <c r="D276" s="32"/>
      <c r="E276" s="33"/>
      <c r="F276" s="33"/>
      <c r="G276" s="32"/>
    </row>
    <row r="277" customFormat="false" ht="15" hidden="false" customHeight="false" outlineLevel="0" collapsed="false">
      <c r="A277" s="32"/>
      <c r="B277" s="35"/>
      <c r="C277" s="32"/>
      <c r="D277" s="32"/>
      <c r="E277" s="33"/>
      <c r="F277" s="33"/>
      <c r="G277" s="32"/>
    </row>
    <row r="278" customFormat="false" ht="15" hidden="false" customHeight="false" outlineLevel="0" collapsed="false">
      <c r="A278" s="32"/>
      <c r="B278" s="35"/>
      <c r="C278" s="32"/>
      <c r="D278" s="32"/>
      <c r="E278" s="33"/>
      <c r="F278" s="33"/>
      <c r="G278" s="32"/>
    </row>
    <row r="279" customFormat="false" ht="15" hidden="false" customHeight="false" outlineLevel="0" collapsed="false">
      <c r="A279" s="32"/>
      <c r="B279" s="35"/>
      <c r="C279" s="32"/>
      <c r="D279" s="32"/>
      <c r="E279" s="33"/>
      <c r="F279" s="33"/>
      <c r="G279" s="32"/>
    </row>
    <row r="280" customFormat="false" ht="15" hidden="false" customHeight="false" outlineLevel="0" collapsed="false">
      <c r="A280" s="32"/>
      <c r="B280" s="35"/>
      <c r="C280" s="32"/>
      <c r="D280" s="32"/>
      <c r="E280" s="33"/>
      <c r="F280" s="33"/>
      <c r="G280" s="32"/>
    </row>
    <row r="281" customFormat="false" ht="15" hidden="false" customHeight="false" outlineLevel="0" collapsed="false">
      <c r="A281" s="32"/>
      <c r="B281" s="35"/>
      <c r="C281" s="32"/>
      <c r="D281" s="32"/>
      <c r="E281" s="33"/>
      <c r="F281" s="33"/>
      <c r="G281" s="32"/>
    </row>
    <row r="282" customFormat="false" ht="15" hidden="false" customHeight="false" outlineLevel="0" collapsed="false">
      <c r="A282" s="32"/>
      <c r="B282" s="35"/>
      <c r="C282" s="32"/>
      <c r="D282" s="32"/>
      <c r="E282" s="33"/>
      <c r="F282" s="33"/>
      <c r="G282" s="32"/>
    </row>
    <row r="283" customFormat="false" ht="15" hidden="false" customHeight="false" outlineLevel="0" collapsed="false">
      <c r="A283" s="32"/>
      <c r="B283" s="35"/>
      <c r="C283" s="32"/>
      <c r="D283" s="32"/>
      <c r="E283" s="33"/>
      <c r="F283" s="33"/>
      <c r="G283" s="32"/>
    </row>
    <row r="284" customFormat="false" ht="15" hidden="false" customHeight="false" outlineLevel="0" collapsed="false">
      <c r="A284" s="32"/>
      <c r="B284" s="35"/>
      <c r="C284" s="32"/>
      <c r="D284" s="32"/>
      <c r="E284" s="33"/>
      <c r="F284" s="33"/>
      <c r="G284" s="32"/>
    </row>
    <row r="285" customFormat="false" ht="15" hidden="false" customHeight="false" outlineLevel="0" collapsed="false">
      <c r="A285" s="32"/>
      <c r="B285" s="35"/>
      <c r="C285" s="32"/>
      <c r="D285" s="32"/>
      <c r="E285" s="33"/>
      <c r="F285" s="33"/>
      <c r="G285" s="32"/>
    </row>
    <row r="286" customFormat="false" ht="15" hidden="false" customHeight="false" outlineLevel="0" collapsed="false">
      <c r="A286" s="32"/>
      <c r="B286" s="35"/>
      <c r="C286" s="32"/>
      <c r="D286" s="32"/>
      <c r="E286" s="33"/>
      <c r="F286" s="33"/>
      <c r="G286" s="32"/>
    </row>
    <row r="287" customFormat="false" ht="15" hidden="false" customHeight="false" outlineLevel="0" collapsed="false">
      <c r="A287" s="32"/>
      <c r="B287" s="35"/>
      <c r="C287" s="32"/>
      <c r="D287" s="32"/>
      <c r="E287" s="33"/>
      <c r="F287" s="33"/>
      <c r="G287" s="32"/>
    </row>
    <row r="288" customFormat="false" ht="15" hidden="false" customHeight="false" outlineLevel="0" collapsed="false">
      <c r="A288" s="32"/>
      <c r="B288" s="35"/>
      <c r="C288" s="32"/>
      <c r="D288" s="32"/>
      <c r="E288" s="33"/>
      <c r="F288" s="33"/>
      <c r="G288" s="32"/>
    </row>
    <row r="289" customFormat="false" ht="15" hidden="false" customHeight="false" outlineLevel="0" collapsed="false">
      <c r="A289" s="32"/>
      <c r="B289" s="35"/>
      <c r="C289" s="32"/>
      <c r="D289" s="32"/>
      <c r="E289" s="33"/>
      <c r="F289" s="33"/>
      <c r="G289" s="32"/>
    </row>
    <row r="290" customFormat="false" ht="15" hidden="false" customHeight="false" outlineLevel="0" collapsed="false">
      <c r="A290" s="32"/>
      <c r="B290" s="35"/>
      <c r="C290" s="32"/>
      <c r="D290" s="32"/>
      <c r="E290" s="33"/>
      <c r="F290" s="33"/>
      <c r="G290" s="32"/>
    </row>
    <row r="291" customFormat="false" ht="15" hidden="false" customHeight="false" outlineLevel="0" collapsed="false">
      <c r="A291" s="32"/>
      <c r="B291" s="35"/>
      <c r="C291" s="32"/>
      <c r="D291" s="32"/>
      <c r="E291" s="33"/>
      <c r="F291" s="33"/>
      <c r="G291" s="32"/>
    </row>
    <row r="292" customFormat="false" ht="15" hidden="false" customHeight="false" outlineLevel="0" collapsed="false">
      <c r="A292" s="32"/>
      <c r="B292" s="35"/>
      <c r="C292" s="32"/>
      <c r="D292" s="32"/>
      <c r="E292" s="33"/>
      <c r="F292" s="33"/>
      <c r="G292" s="32"/>
    </row>
    <row r="293" customFormat="false" ht="15" hidden="false" customHeight="false" outlineLevel="0" collapsed="false">
      <c r="A293" s="32"/>
      <c r="B293" s="35"/>
      <c r="C293" s="32"/>
      <c r="D293" s="32"/>
      <c r="E293" s="33"/>
      <c r="F293" s="33"/>
      <c r="G293" s="32"/>
    </row>
    <row r="294" customFormat="false" ht="15" hidden="false" customHeight="false" outlineLevel="0" collapsed="false">
      <c r="A294" s="32"/>
      <c r="B294" s="35"/>
      <c r="C294" s="32"/>
      <c r="D294" s="32"/>
      <c r="E294" s="33"/>
      <c r="F294" s="33"/>
      <c r="G294" s="32"/>
    </row>
    <row r="295" customFormat="false" ht="15" hidden="false" customHeight="false" outlineLevel="0" collapsed="false">
      <c r="A295" s="32"/>
      <c r="B295" s="35"/>
      <c r="C295" s="32"/>
      <c r="D295" s="32"/>
      <c r="E295" s="33"/>
      <c r="F295" s="33"/>
      <c r="G295" s="32"/>
    </row>
    <row r="296" customFormat="false" ht="15" hidden="false" customHeight="false" outlineLevel="0" collapsed="false">
      <c r="A296" s="32"/>
      <c r="B296" s="35"/>
      <c r="C296" s="32"/>
      <c r="D296" s="32"/>
      <c r="E296" s="33"/>
      <c r="F296" s="33"/>
      <c r="G296" s="32"/>
    </row>
    <row r="297" customFormat="false" ht="15" hidden="false" customHeight="false" outlineLevel="0" collapsed="false">
      <c r="A297" s="32"/>
      <c r="B297" s="35"/>
      <c r="C297" s="32"/>
      <c r="D297" s="32"/>
      <c r="E297" s="33"/>
      <c r="F297" s="33"/>
      <c r="G297" s="32"/>
    </row>
    <row r="298" customFormat="false" ht="15" hidden="false" customHeight="false" outlineLevel="0" collapsed="false">
      <c r="A298" s="32"/>
      <c r="B298" s="35"/>
      <c r="C298" s="32"/>
      <c r="D298" s="32"/>
      <c r="E298" s="33"/>
      <c r="F298" s="33"/>
      <c r="G298" s="32"/>
    </row>
    <row r="299" customFormat="false" ht="15" hidden="false" customHeight="false" outlineLevel="0" collapsed="false">
      <c r="A299" s="32"/>
      <c r="B299" s="35"/>
      <c r="C299" s="32"/>
      <c r="D299" s="32"/>
      <c r="E299" s="33"/>
      <c r="F299" s="33"/>
      <c r="G299" s="32"/>
    </row>
    <row r="300" customFormat="false" ht="15" hidden="false" customHeight="false" outlineLevel="0" collapsed="false">
      <c r="A300" s="32"/>
      <c r="B300" s="35"/>
      <c r="C300" s="32"/>
      <c r="D300" s="32"/>
      <c r="E300" s="33"/>
      <c r="F300" s="33"/>
      <c r="G300" s="32"/>
    </row>
    <row r="301" customFormat="false" ht="15" hidden="false" customHeight="false" outlineLevel="0" collapsed="false">
      <c r="A301" s="32"/>
      <c r="B301" s="35"/>
      <c r="C301" s="32"/>
      <c r="D301" s="32"/>
      <c r="E301" s="33"/>
      <c r="F301" s="33"/>
      <c r="G301" s="32"/>
    </row>
    <row r="302" customFormat="false" ht="15" hidden="false" customHeight="false" outlineLevel="0" collapsed="false">
      <c r="A302" s="32"/>
      <c r="B302" s="35"/>
      <c r="C302" s="32"/>
      <c r="D302" s="32"/>
      <c r="E302" s="33"/>
      <c r="F302" s="33"/>
      <c r="G302" s="32"/>
    </row>
    <row r="303" customFormat="false" ht="15" hidden="false" customHeight="false" outlineLevel="0" collapsed="false">
      <c r="A303" s="32"/>
      <c r="B303" s="35"/>
      <c r="C303" s="32"/>
      <c r="D303" s="32"/>
      <c r="E303" s="33"/>
      <c r="F303" s="33"/>
      <c r="G303" s="32"/>
    </row>
    <row r="304" customFormat="false" ht="15" hidden="false" customHeight="false" outlineLevel="0" collapsed="false">
      <c r="A304" s="32"/>
      <c r="B304" s="35"/>
      <c r="C304" s="32"/>
      <c r="D304" s="32"/>
      <c r="E304" s="33"/>
      <c r="F304" s="33"/>
      <c r="G304" s="32"/>
    </row>
    <row r="305" customFormat="false" ht="15" hidden="false" customHeight="false" outlineLevel="0" collapsed="false">
      <c r="A305" s="32"/>
      <c r="B305" s="35"/>
      <c r="C305" s="32"/>
      <c r="D305" s="32"/>
      <c r="E305" s="33"/>
      <c r="F305" s="33"/>
      <c r="G305" s="32"/>
    </row>
    <row r="306" customFormat="false" ht="15" hidden="false" customHeight="false" outlineLevel="0" collapsed="false">
      <c r="A306" s="32"/>
      <c r="B306" s="35"/>
      <c r="C306" s="32"/>
      <c r="D306" s="32"/>
      <c r="E306" s="33"/>
      <c r="F306" s="33"/>
      <c r="G306" s="32"/>
    </row>
    <row r="307" customFormat="false" ht="15" hidden="false" customHeight="false" outlineLevel="0" collapsed="false">
      <c r="A307" s="32"/>
      <c r="B307" s="35"/>
      <c r="C307" s="32"/>
      <c r="D307" s="32"/>
      <c r="E307" s="33"/>
      <c r="F307" s="33"/>
      <c r="G307" s="32"/>
    </row>
    <row r="308" customFormat="false" ht="15" hidden="false" customHeight="false" outlineLevel="0" collapsed="false">
      <c r="A308" s="32"/>
      <c r="B308" s="35"/>
      <c r="C308" s="32"/>
      <c r="D308" s="32"/>
      <c r="E308" s="33"/>
      <c r="F308" s="33"/>
      <c r="G308" s="32"/>
    </row>
    <row r="309" customFormat="false" ht="15" hidden="false" customHeight="false" outlineLevel="0" collapsed="false">
      <c r="A309" s="32"/>
      <c r="B309" s="35"/>
      <c r="C309" s="32"/>
      <c r="D309" s="32"/>
      <c r="E309" s="33"/>
      <c r="F309" s="33"/>
      <c r="G309" s="32"/>
    </row>
    <row r="310" customFormat="false" ht="15" hidden="false" customHeight="false" outlineLevel="0" collapsed="false">
      <c r="A310" s="32"/>
      <c r="B310" s="35"/>
      <c r="C310" s="32"/>
      <c r="D310" s="32"/>
      <c r="E310" s="33"/>
      <c r="F310" s="33"/>
      <c r="G310" s="32"/>
    </row>
    <row r="311" customFormat="false" ht="15" hidden="false" customHeight="false" outlineLevel="0" collapsed="false">
      <c r="A311" s="32"/>
      <c r="B311" s="35"/>
      <c r="C311" s="32"/>
      <c r="D311" s="32"/>
      <c r="E311" s="33"/>
      <c r="F311" s="33"/>
      <c r="G311" s="32"/>
    </row>
    <row r="312" customFormat="false" ht="15" hidden="false" customHeight="false" outlineLevel="0" collapsed="false">
      <c r="A312" s="32"/>
      <c r="B312" s="35"/>
      <c r="C312" s="32"/>
      <c r="D312" s="32"/>
      <c r="E312" s="33"/>
      <c r="F312" s="33"/>
      <c r="G312" s="32"/>
    </row>
    <row r="313" customFormat="false" ht="15" hidden="false" customHeight="false" outlineLevel="0" collapsed="false">
      <c r="A313" s="32"/>
      <c r="B313" s="35"/>
      <c r="C313" s="32"/>
      <c r="D313" s="32"/>
      <c r="E313" s="33"/>
      <c r="F313" s="33"/>
      <c r="G313" s="32"/>
    </row>
    <row r="314" customFormat="false" ht="15" hidden="false" customHeight="false" outlineLevel="0" collapsed="false">
      <c r="A314" s="32"/>
      <c r="B314" s="35"/>
      <c r="C314" s="32"/>
      <c r="D314" s="32"/>
      <c r="E314" s="33"/>
      <c r="F314" s="33"/>
      <c r="G314" s="32"/>
    </row>
    <row r="315" customFormat="false" ht="15" hidden="false" customHeight="false" outlineLevel="0" collapsed="false">
      <c r="A315" s="32"/>
      <c r="B315" s="35"/>
      <c r="C315" s="32"/>
      <c r="D315" s="32"/>
      <c r="E315" s="33"/>
      <c r="F315" s="33"/>
      <c r="G315" s="32"/>
    </row>
    <row r="316" customFormat="false" ht="15" hidden="false" customHeight="false" outlineLevel="0" collapsed="false">
      <c r="A316" s="32"/>
      <c r="B316" s="35"/>
      <c r="C316" s="32"/>
      <c r="D316" s="32"/>
      <c r="E316" s="33"/>
      <c r="F316" s="33"/>
      <c r="G316" s="32"/>
    </row>
    <row r="317" customFormat="false" ht="15" hidden="false" customHeight="false" outlineLevel="0" collapsed="false">
      <c r="A317" s="32"/>
      <c r="B317" s="35"/>
      <c r="C317" s="32"/>
      <c r="D317" s="32"/>
      <c r="E317" s="33"/>
      <c r="F317" s="33"/>
      <c r="G317" s="32"/>
    </row>
    <row r="318" customFormat="false" ht="15" hidden="false" customHeight="false" outlineLevel="0" collapsed="false">
      <c r="A318" s="32"/>
      <c r="B318" s="35"/>
      <c r="C318" s="32"/>
      <c r="D318" s="32"/>
      <c r="E318" s="33"/>
      <c r="F318" s="33"/>
      <c r="G318" s="32"/>
    </row>
    <row r="319" customFormat="false" ht="15" hidden="false" customHeight="false" outlineLevel="0" collapsed="false">
      <c r="A319" s="32"/>
      <c r="B319" s="35"/>
      <c r="C319" s="32"/>
      <c r="D319" s="32"/>
      <c r="E319" s="33"/>
      <c r="F319" s="33"/>
      <c r="G319" s="32"/>
    </row>
    <row r="320" customFormat="false" ht="15" hidden="false" customHeight="false" outlineLevel="0" collapsed="false">
      <c r="A320" s="32"/>
      <c r="B320" s="35"/>
      <c r="C320" s="32"/>
      <c r="D320" s="32"/>
      <c r="E320" s="33"/>
      <c r="F320" s="33"/>
      <c r="G320" s="32"/>
    </row>
    <row r="321" customFormat="false" ht="15" hidden="false" customHeight="false" outlineLevel="0" collapsed="false">
      <c r="A321" s="32"/>
      <c r="B321" s="35"/>
      <c r="C321" s="32"/>
      <c r="D321" s="32"/>
      <c r="E321" s="33"/>
      <c r="F321" s="33"/>
      <c r="G321" s="32"/>
    </row>
    <row r="322" customFormat="false" ht="15" hidden="false" customHeight="false" outlineLevel="0" collapsed="false">
      <c r="A322" s="32"/>
      <c r="B322" s="35"/>
      <c r="C322" s="32"/>
      <c r="D322" s="32"/>
      <c r="E322" s="33"/>
      <c r="F322" s="33"/>
      <c r="G322" s="32"/>
    </row>
    <row r="323" customFormat="false" ht="15" hidden="false" customHeight="false" outlineLevel="0" collapsed="false">
      <c r="A323" s="32"/>
      <c r="B323" s="35"/>
      <c r="C323" s="32"/>
      <c r="D323" s="32"/>
      <c r="E323" s="33"/>
      <c r="F323" s="33"/>
      <c r="G323" s="32"/>
    </row>
    <row r="324" customFormat="false" ht="15" hidden="false" customHeight="false" outlineLevel="0" collapsed="false">
      <c r="A324" s="32"/>
      <c r="B324" s="35"/>
      <c r="C324" s="32"/>
      <c r="D324" s="32"/>
      <c r="E324" s="33"/>
      <c r="F324" s="33"/>
      <c r="G324" s="32"/>
    </row>
    <row r="325" customFormat="false" ht="15" hidden="false" customHeight="false" outlineLevel="0" collapsed="false">
      <c r="A325" s="32"/>
      <c r="B325" s="35"/>
      <c r="C325" s="32"/>
      <c r="D325" s="32"/>
      <c r="E325" s="33"/>
      <c r="F325" s="33"/>
      <c r="G325" s="32"/>
    </row>
    <row r="326" customFormat="false" ht="15" hidden="false" customHeight="false" outlineLevel="0" collapsed="false">
      <c r="A326" s="32"/>
      <c r="B326" s="35"/>
      <c r="C326" s="32"/>
      <c r="D326" s="32"/>
      <c r="E326" s="33"/>
      <c r="F326" s="33"/>
      <c r="G326" s="32"/>
    </row>
    <row r="327" customFormat="false" ht="15" hidden="false" customHeight="false" outlineLevel="0" collapsed="false">
      <c r="A327" s="32"/>
      <c r="B327" s="35"/>
      <c r="C327" s="32"/>
      <c r="D327" s="32"/>
      <c r="E327" s="33"/>
      <c r="F327" s="33"/>
      <c r="G327" s="32"/>
    </row>
    <row r="328" customFormat="false" ht="15" hidden="false" customHeight="false" outlineLevel="0" collapsed="false">
      <c r="A328" s="32"/>
      <c r="B328" s="35"/>
      <c r="C328" s="32"/>
      <c r="D328" s="32"/>
      <c r="E328" s="33"/>
      <c r="F328" s="33"/>
      <c r="G328" s="32"/>
    </row>
    <row r="329" customFormat="false" ht="15" hidden="false" customHeight="false" outlineLevel="0" collapsed="false">
      <c r="A329" s="32"/>
      <c r="B329" s="35"/>
      <c r="C329" s="32"/>
      <c r="D329" s="32"/>
      <c r="E329" s="33"/>
      <c r="F329" s="33"/>
      <c r="G329" s="32"/>
    </row>
    <row r="330" customFormat="false" ht="15" hidden="false" customHeight="false" outlineLevel="0" collapsed="false">
      <c r="A330" s="32"/>
      <c r="B330" s="35"/>
      <c r="C330" s="32"/>
      <c r="D330" s="32"/>
      <c r="E330" s="33"/>
      <c r="F330" s="33"/>
      <c r="G330" s="32"/>
    </row>
    <row r="331" customFormat="false" ht="15" hidden="false" customHeight="false" outlineLevel="0" collapsed="false">
      <c r="A331" s="32"/>
      <c r="B331" s="35"/>
      <c r="C331" s="32"/>
      <c r="D331" s="32"/>
      <c r="E331" s="33"/>
      <c r="F331" s="33"/>
      <c r="G331" s="32"/>
    </row>
    <row r="332" customFormat="false" ht="15" hidden="false" customHeight="false" outlineLevel="0" collapsed="false">
      <c r="A332" s="32"/>
      <c r="B332" s="35"/>
      <c r="C332" s="32"/>
      <c r="D332" s="32"/>
      <c r="E332" s="33"/>
      <c r="F332" s="33"/>
      <c r="G332" s="32"/>
    </row>
    <row r="333" customFormat="false" ht="15" hidden="false" customHeight="false" outlineLevel="0" collapsed="false">
      <c r="A333" s="32"/>
      <c r="B333" s="35"/>
      <c r="C333" s="32"/>
      <c r="D333" s="32"/>
      <c r="E333" s="33"/>
      <c r="F333" s="33"/>
      <c r="G333" s="32"/>
    </row>
    <row r="334" customFormat="false" ht="15" hidden="false" customHeight="false" outlineLevel="0" collapsed="false">
      <c r="A334" s="32"/>
      <c r="B334" s="35"/>
      <c r="C334" s="32"/>
      <c r="D334" s="32"/>
      <c r="E334" s="33"/>
      <c r="F334" s="33"/>
      <c r="G334" s="32"/>
    </row>
    <row r="335" customFormat="false" ht="15" hidden="false" customHeight="false" outlineLevel="0" collapsed="false">
      <c r="A335" s="32"/>
      <c r="B335" s="35"/>
      <c r="C335" s="32"/>
      <c r="D335" s="32"/>
      <c r="E335" s="33"/>
      <c r="F335" s="33"/>
      <c r="G335" s="32"/>
    </row>
    <row r="336" customFormat="false" ht="15" hidden="false" customHeight="false" outlineLevel="0" collapsed="false">
      <c r="A336" s="32"/>
      <c r="B336" s="35"/>
      <c r="C336" s="32"/>
      <c r="D336" s="32"/>
      <c r="E336" s="33"/>
      <c r="F336" s="33"/>
      <c r="G336" s="32"/>
    </row>
    <row r="337" customFormat="false" ht="15" hidden="false" customHeight="false" outlineLevel="0" collapsed="false">
      <c r="A337" s="32"/>
      <c r="B337" s="35"/>
      <c r="C337" s="32"/>
      <c r="D337" s="32"/>
      <c r="E337" s="33"/>
      <c r="F337" s="33"/>
      <c r="G337" s="32"/>
    </row>
    <row r="338" customFormat="false" ht="15" hidden="false" customHeight="false" outlineLevel="0" collapsed="false">
      <c r="A338" s="32"/>
      <c r="B338" s="35"/>
      <c r="C338" s="32"/>
      <c r="D338" s="32"/>
      <c r="E338" s="33"/>
      <c r="F338" s="33"/>
      <c r="G338" s="32"/>
    </row>
    <row r="339" customFormat="false" ht="15" hidden="false" customHeight="false" outlineLevel="0" collapsed="false">
      <c r="A339" s="32"/>
      <c r="B339" s="35"/>
      <c r="C339" s="32"/>
      <c r="D339" s="32"/>
      <c r="E339" s="33"/>
      <c r="F339" s="33"/>
      <c r="G339" s="32"/>
    </row>
    <row r="340" customFormat="false" ht="15" hidden="false" customHeight="false" outlineLevel="0" collapsed="false">
      <c r="A340" s="32"/>
      <c r="B340" s="35"/>
      <c r="C340" s="32"/>
      <c r="D340" s="32"/>
      <c r="E340" s="33"/>
      <c r="F340" s="33"/>
      <c r="G340" s="32"/>
    </row>
    <row r="341" customFormat="false" ht="15" hidden="false" customHeight="false" outlineLevel="0" collapsed="false">
      <c r="A341" s="32"/>
      <c r="B341" s="35"/>
      <c r="C341" s="32"/>
      <c r="D341" s="32"/>
      <c r="E341" s="33"/>
      <c r="F341" s="33"/>
      <c r="G341" s="32"/>
    </row>
    <row r="342" customFormat="false" ht="15" hidden="false" customHeight="false" outlineLevel="0" collapsed="false">
      <c r="A342" s="32"/>
      <c r="B342" s="35"/>
      <c r="C342" s="32"/>
      <c r="D342" s="32"/>
      <c r="E342" s="33"/>
      <c r="F342" s="33"/>
      <c r="G342" s="32"/>
    </row>
    <row r="343" customFormat="false" ht="15" hidden="false" customHeight="false" outlineLevel="0" collapsed="false">
      <c r="A343" s="32"/>
      <c r="B343" s="35"/>
      <c r="C343" s="32"/>
      <c r="D343" s="32"/>
      <c r="E343" s="33"/>
      <c r="F343" s="33"/>
      <c r="G343" s="32"/>
    </row>
    <row r="344" customFormat="false" ht="15" hidden="false" customHeight="false" outlineLevel="0" collapsed="false">
      <c r="A344" s="32"/>
      <c r="B344" s="35"/>
      <c r="C344" s="32"/>
      <c r="D344" s="32"/>
      <c r="E344" s="33"/>
      <c r="F344" s="33"/>
      <c r="G344" s="32"/>
    </row>
    <row r="345" customFormat="false" ht="15" hidden="false" customHeight="false" outlineLevel="0" collapsed="false">
      <c r="A345" s="32"/>
      <c r="B345" s="35"/>
      <c r="C345" s="32"/>
      <c r="D345" s="32"/>
      <c r="E345" s="33"/>
      <c r="F345" s="33"/>
      <c r="G345" s="32"/>
    </row>
    <row r="346" customFormat="false" ht="15" hidden="false" customHeight="false" outlineLevel="0" collapsed="false">
      <c r="A346" s="32"/>
      <c r="B346" s="35"/>
      <c r="C346" s="32"/>
      <c r="D346" s="32"/>
      <c r="E346" s="33"/>
      <c r="F346" s="33"/>
      <c r="G346" s="32"/>
    </row>
    <row r="347" customFormat="false" ht="15" hidden="false" customHeight="false" outlineLevel="0" collapsed="false">
      <c r="A347" s="32"/>
      <c r="B347" s="35"/>
      <c r="C347" s="32"/>
      <c r="D347" s="32"/>
      <c r="E347" s="33"/>
      <c r="F347" s="33"/>
      <c r="G347" s="32"/>
    </row>
    <row r="348" customFormat="false" ht="15" hidden="false" customHeight="false" outlineLevel="0" collapsed="false">
      <c r="A348" s="32"/>
      <c r="B348" s="35"/>
      <c r="C348" s="32"/>
      <c r="D348" s="32"/>
      <c r="E348" s="33"/>
      <c r="F348" s="33"/>
      <c r="G348" s="32"/>
    </row>
    <row r="349" customFormat="false" ht="15" hidden="false" customHeight="false" outlineLevel="0" collapsed="false">
      <c r="A349" s="32"/>
      <c r="B349" s="35"/>
      <c r="C349" s="32"/>
      <c r="D349" s="32"/>
      <c r="E349" s="33"/>
      <c r="F349" s="33"/>
      <c r="G349" s="32"/>
    </row>
    <row r="350" customFormat="false" ht="15" hidden="false" customHeight="false" outlineLevel="0" collapsed="false">
      <c r="A350" s="32"/>
      <c r="B350" s="35"/>
      <c r="C350" s="32"/>
      <c r="D350" s="32"/>
      <c r="E350" s="33"/>
      <c r="F350" s="33"/>
      <c r="G350" s="32"/>
    </row>
    <row r="351" customFormat="false" ht="15" hidden="false" customHeight="false" outlineLevel="0" collapsed="false">
      <c r="A351" s="32"/>
      <c r="B351" s="35"/>
      <c r="C351" s="32"/>
      <c r="D351" s="32"/>
      <c r="E351" s="33"/>
      <c r="F351" s="33"/>
      <c r="G351" s="32"/>
    </row>
    <row r="352" customFormat="false" ht="15" hidden="false" customHeight="false" outlineLevel="0" collapsed="false">
      <c r="A352" s="32"/>
      <c r="B352" s="35"/>
      <c r="C352" s="32"/>
      <c r="D352" s="32"/>
      <c r="E352" s="33"/>
      <c r="F352" s="33"/>
      <c r="G352" s="32"/>
    </row>
    <row r="353" customFormat="false" ht="15" hidden="false" customHeight="false" outlineLevel="0" collapsed="false">
      <c r="A353" s="32"/>
      <c r="B353" s="35"/>
      <c r="C353" s="32"/>
      <c r="D353" s="32"/>
      <c r="E353" s="33"/>
      <c r="F353" s="33"/>
      <c r="G353" s="32"/>
    </row>
    <row r="354" customFormat="false" ht="15" hidden="false" customHeight="false" outlineLevel="0" collapsed="false">
      <c r="A354" s="32"/>
      <c r="B354" s="35"/>
      <c r="C354" s="32"/>
      <c r="D354" s="32"/>
      <c r="E354" s="33"/>
      <c r="F354" s="33"/>
      <c r="G354" s="32"/>
    </row>
    <row r="355" customFormat="false" ht="15" hidden="false" customHeight="false" outlineLevel="0" collapsed="false">
      <c r="A355" s="32"/>
      <c r="B355" s="35"/>
      <c r="C355" s="32"/>
      <c r="D355" s="32"/>
      <c r="E355" s="33"/>
      <c r="F355" s="33"/>
      <c r="G355" s="32"/>
    </row>
    <row r="356" customFormat="false" ht="15" hidden="false" customHeight="false" outlineLevel="0" collapsed="false">
      <c r="A356" s="32"/>
      <c r="B356" s="35"/>
      <c r="C356" s="32"/>
      <c r="D356" s="32"/>
      <c r="E356" s="33"/>
      <c r="F356" s="33"/>
      <c r="G356" s="32"/>
    </row>
    <row r="357" customFormat="false" ht="15" hidden="false" customHeight="false" outlineLevel="0" collapsed="false">
      <c r="A357" s="32"/>
      <c r="B357" s="35"/>
      <c r="C357" s="32"/>
      <c r="D357" s="32"/>
      <c r="E357" s="33"/>
      <c r="F357" s="33"/>
      <c r="G357" s="32"/>
    </row>
    <row r="358" customFormat="false" ht="15" hidden="false" customHeight="false" outlineLevel="0" collapsed="false">
      <c r="A358" s="32"/>
      <c r="B358" s="35"/>
      <c r="C358" s="32"/>
      <c r="D358" s="32"/>
      <c r="E358" s="33"/>
      <c r="F358" s="33"/>
      <c r="G358" s="32"/>
    </row>
    <row r="359" customFormat="false" ht="15" hidden="false" customHeight="false" outlineLevel="0" collapsed="false">
      <c r="A359" s="32"/>
      <c r="B359" s="35"/>
      <c r="C359" s="32"/>
      <c r="D359" s="32"/>
      <c r="E359" s="33"/>
      <c r="F359" s="33"/>
      <c r="G359" s="32"/>
    </row>
    <row r="360" customFormat="false" ht="15" hidden="false" customHeight="false" outlineLevel="0" collapsed="false">
      <c r="A360" s="32"/>
      <c r="B360" s="35"/>
      <c r="C360" s="32"/>
      <c r="D360" s="32"/>
      <c r="E360" s="33"/>
      <c r="F360" s="33"/>
      <c r="G360" s="32"/>
    </row>
    <row r="361" customFormat="false" ht="15" hidden="false" customHeight="false" outlineLevel="0" collapsed="false">
      <c r="A361" s="32"/>
      <c r="B361" s="35"/>
      <c r="C361" s="32"/>
      <c r="D361" s="32"/>
      <c r="E361" s="33"/>
      <c r="F361" s="33"/>
      <c r="G361" s="32"/>
    </row>
    <row r="362" customFormat="false" ht="15" hidden="false" customHeight="false" outlineLevel="0" collapsed="false">
      <c r="A362" s="32"/>
      <c r="B362" s="35"/>
      <c r="C362" s="32"/>
      <c r="D362" s="32"/>
      <c r="E362" s="33"/>
      <c r="F362" s="33"/>
      <c r="G362" s="32"/>
    </row>
    <row r="363" customFormat="false" ht="15" hidden="false" customHeight="false" outlineLevel="0" collapsed="false">
      <c r="A363" s="32"/>
      <c r="B363" s="35"/>
      <c r="C363" s="32"/>
      <c r="D363" s="32"/>
      <c r="E363" s="33"/>
      <c r="F363" s="33"/>
      <c r="G363" s="32"/>
    </row>
    <row r="364" customFormat="false" ht="15" hidden="false" customHeight="false" outlineLevel="0" collapsed="false">
      <c r="A364" s="32"/>
      <c r="B364" s="35"/>
      <c r="C364" s="32"/>
      <c r="D364" s="32"/>
      <c r="E364" s="33"/>
      <c r="F364" s="33"/>
      <c r="G364" s="32"/>
    </row>
    <row r="365" customFormat="false" ht="15" hidden="false" customHeight="false" outlineLevel="0" collapsed="false">
      <c r="A365" s="32"/>
      <c r="B365" s="35"/>
      <c r="C365" s="32"/>
      <c r="D365" s="32"/>
      <c r="E365" s="33"/>
      <c r="F365" s="33"/>
      <c r="G365" s="32"/>
    </row>
    <row r="366" customFormat="false" ht="15" hidden="false" customHeight="false" outlineLevel="0" collapsed="false">
      <c r="A366" s="32"/>
      <c r="B366" s="35"/>
      <c r="C366" s="32"/>
      <c r="D366" s="32"/>
      <c r="E366" s="33"/>
      <c r="F366" s="33"/>
      <c r="G366" s="32"/>
    </row>
    <row r="367" customFormat="false" ht="15" hidden="false" customHeight="false" outlineLevel="0" collapsed="false">
      <c r="A367" s="32"/>
      <c r="B367" s="35"/>
      <c r="C367" s="32"/>
      <c r="D367" s="32"/>
      <c r="E367" s="33"/>
      <c r="F367" s="33"/>
      <c r="G367" s="32"/>
    </row>
    <row r="368" customFormat="false" ht="15" hidden="false" customHeight="false" outlineLevel="0" collapsed="false">
      <c r="A368" s="32"/>
      <c r="B368" s="35"/>
      <c r="C368" s="32"/>
      <c r="D368" s="32"/>
      <c r="E368" s="33"/>
      <c r="F368" s="33"/>
      <c r="G368" s="32"/>
    </row>
    <row r="369" customFormat="false" ht="15" hidden="false" customHeight="false" outlineLevel="0" collapsed="false">
      <c r="A369" s="32"/>
      <c r="B369" s="35"/>
      <c r="C369" s="32"/>
      <c r="D369" s="32"/>
      <c r="E369" s="33"/>
      <c r="F369" s="33"/>
      <c r="G369" s="32"/>
    </row>
    <row r="370" customFormat="false" ht="15" hidden="false" customHeight="false" outlineLevel="0" collapsed="false">
      <c r="A370" s="32"/>
      <c r="B370" s="35"/>
      <c r="C370" s="32"/>
      <c r="D370" s="32"/>
      <c r="E370" s="33"/>
      <c r="F370" s="33"/>
      <c r="G370" s="32"/>
    </row>
    <row r="371" customFormat="false" ht="15" hidden="false" customHeight="false" outlineLevel="0" collapsed="false">
      <c r="A371" s="32"/>
      <c r="B371" s="35"/>
      <c r="C371" s="32"/>
      <c r="D371" s="32"/>
      <c r="E371" s="33"/>
      <c r="F371" s="33"/>
      <c r="G371" s="32"/>
    </row>
    <row r="372" customFormat="false" ht="15" hidden="false" customHeight="false" outlineLevel="0" collapsed="false">
      <c r="A372" s="32"/>
      <c r="B372" s="35"/>
      <c r="C372" s="32"/>
      <c r="D372" s="32"/>
      <c r="E372" s="33"/>
      <c r="F372" s="33"/>
      <c r="G372" s="32"/>
    </row>
    <row r="373" customFormat="false" ht="15" hidden="false" customHeight="false" outlineLevel="0" collapsed="false">
      <c r="A373" s="32"/>
      <c r="B373" s="35"/>
      <c r="C373" s="32"/>
      <c r="D373" s="32"/>
      <c r="E373" s="33"/>
      <c r="F373" s="33"/>
      <c r="G373" s="32"/>
    </row>
    <row r="374" customFormat="false" ht="15" hidden="false" customHeight="false" outlineLevel="0" collapsed="false">
      <c r="A374" s="32"/>
      <c r="B374" s="35"/>
      <c r="C374" s="32"/>
      <c r="D374" s="32"/>
      <c r="E374" s="33"/>
      <c r="F374" s="33"/>
      <c r="G374" s="32"/>
    </row>
    <row r="375" customFormat="false" ht="15" hidden="false" customHeight="false" outlineLevel="0" collapsed="false">
      <c r="A375" s="32"/>
      <c r="B375" s="35"/>
      <c r="C375" s="32"/>
      <c r="D375" s="32"/>
      <c r="E375" s="33"/>
      <c r="F375" s="33"/>
      <c r="G375" s="32"/>
    </row>
    <row r="376" customFormat="false" ht="15" hidden="false" customHeight="false" outlineLevel="0" collapsed="false">
      <c r="A376" s="32"/>
      <c r="B376" s="35"/>
      <c r="C376" s="32"/>
      <c r="D376" s="32"/>
      <c r="E376" s="33"/>
      <c r="F376" s="33"/>
      <c r="G376" s="32"/>
    </row>
    <row r="377" customFormat="false" ht="15" hidden="false" customHeight="false" outlineLevel="0" collapsed="false">
      <c r="A377" s="32"/>
      <c r="B377" s="35"/>
      <c r="C377" s="32"/>
      <c r="D377" s="32"/>
      <c r="E377" s="33"/>
      <c r="F377" s="33"/>
      <c r="G377" s="32"/>
    </row>
    <row r="378" customFormat="false" ht="15" hidden="false" customHeight="false" outlineLevel="0" collapsed="false">
      <c r="A378" s="32"/>
      <c r="B378" s="35"/>
      <c r="C378" s="32"/>
      <c r="D378" s="32"/>
      <c r="E378" s="33"/>
      <c r="F378" s="33"/>
      <c r="G378" s="32"/>
    </row>
    <row r="379" customFormat="false" ht="15" hidden="false" customHeight="false" outlineLevel="0" collapsed="false">
      <c r="A379" s="32"/>
      <c r="B379" s="35"/>
      <c r="C379" s="32"/>
      <c r="D379" s="32"/>
      <c r="E379" s="33"/>
      <c r="F379" s="33"/>
      <c r="G379" s="32"/>
    </row>
    <row r="380" customFormat="false" ht="15" hidden="false" customHeight="false" outlineLevel="0" collapsed="false">
      <c r="A380" s="32"/>
      <c r="B380" s="35"/>
      <c r="C380" s="32"/>
      <c r="D380" s="32"/>
      <c r="E380" s="33"/>
      <c r="F380" s="33"/>
      <c r="G380" s="32"/>
    </row>
    <row r="381" customFormat="false" ht="15" hidden="false" customHeight="false" outlineLevel="0" collapsed="false">
      <c r="A381" s="32"/>
      <c r="B381" s="35"/>
      <c r="C381" s="32"/>
      <c r="D381" s="32"/>
      <c r="E381" s="33"/>
      <c r="F381" s="33"/>
      <c r="G381" s="32"/>
    </row>
    <row r="382" customFormat="false" ht="15" hidden="false" customHeight="false" outlineLevel="0" collapsed="false">
      <c r="A382" s="32"/>
      <c r="B382" s="35"/>
      <c r="C382" s="32"/>
      <c r="D382" s="32"/>
      <c r="E382" s="33"/>
      <c r="F382" s="33"/>
      <c r="G382" s="32"/>
    </row>
    <row r="383" customFormat="false" ht="15" hidden="false" customHeight="false" outlineLevel="0" collapsed="false">
      <c r="A383" s="32"/>
      <c r="B383" s="35"/>
      <c r="C383" s="32"/>
      <c r="D383" s="32"/>
      <c r="E383" s="33"/>
      <c r="F383" s="33"/>
      <c r="G383" s="32"/>
    </row>
    <row r="384" customFormat="false" ht="15" hidden="false" customHeight="false" outlineLevel="0" collapsed="false">
      <c r="A384" s="32"/>
      <c r="B384" s="35"/>
      <c r="C384" s="32"/>
      <c r="D384" s="32"/>
      <c r="E384" s="33"/>
      <c r="F384" s="33"/>
      <c r="G384" s="32"/>
    </row>
    <row r="385" customFormat="false" ht="15" hidden="false" customHeight="false" outlineLevel="0" collapsed="false">
      <c r="A385" s="32"/>
      <c r="B385" s="35"/>
      <c r="C385" s="32"/>
      <c r="D385" s="32"/>
      <c r="E385" s="33"/>
      <c r="F385" s="33"/>
      <c r="G385" s="32"/>
    </row>
    <row r="386" customFormat="false" ht="15" hidden="false" customHeight="false" outlineLevel="0" collapsed="false">
      <c r="A386" s="32"/>
      <c r="B386" s="35"/>
      <c r="C386" s="32"/>
      <c r="D386" s="32"/>
      <c r="E386" s="33"/>
      <c r="F386" s="33"/>
      <c r="G386" s="32"/>
    </row>
    <row r="387" customFormat="false" ht="15" hidden="false" customHeight="false" outlineLevel="0" collapsed="false">
      <c r="A387" s="32"/>
      <c r="B387" s="35"/>
      <c r="C387" s="32"/>
      <c r="D387" s="32"/>
      <c r="E387" s="33"/>
      <c r="F387" s="33"/>
      <c r="G387" s="32"/>
    </row>
    <row r="388" customFormat="false" ht="15" hidden="false" customHeight="false" outlineLevel="0" collapsed="false">
      <c r="A388" s="32"/>
      <c r="B388" s="35"/>
      <c r="C388" s="32"/>
      <c r="D388" s="32"/>
      <c r="E388" s="33"/>
      <c r="F388" s="33"/>
      <c r="G388" s="32"/>
    </row>
    <row r="389" customFormat="false" ht="15" hidden="false" customHeight="false" outlineLevel="0" collapsed="false">
      <c r="A389" s="32"/>
      <c r="B389" s="35"/>
      <c r="C389" s="32"/>
      <c r="D389" s="32"/>
      <c r="E389" s="33"/>
      <c r="F389" s="33"/>
      <c r="G389" s="32"/>
    </row>
    <row r="390" customFormat="false" ht="15" hidden="false" customHeight="false" outlineLevel="0" collapsed="false">
      <c r="A390" s="32"/>
      <c r="B390" s="35"/>
      <c r="C390" s="32"/>
      <c r="D390" s="32"/>
      <c r="E390" s="33"/>
      <c r="F390" s="33"/>
      <c r="G390" s="32"/>
    </row>
    <row r="391" customFormat="false" ht="15" hidden="false" customHeight="false" outlineLevel="0" collapsed="false">
      <c r="A391" s="32"/>
      <c r="B391" s="35"/>
      <c r="C391" s="32"/>
      <c r="D391" s="32"/>
      <c r="E391" s="33"/>
      <c r="F391" s="33"/>
      <c r="G391" s="32"/>
    </row>
    <row r="392" customFormat="false" ht="15" hidden="false" customHeight="false" outlineLevel="0" collapsed="false">
      <c r="A392" s="32"/>
      <c r="B392" s="35"/>
      <c r="C392" s="32"/>
      <c r="D392" s="32"/>
      <c r="E392" s="33"/>
      <c r="F392" s="33"/>
      <c r="G392" s="32"/>
    </row>
    <row r="393" customFormat="false" ht="15" hidden="false" customHeight="false" outlineLevel="0" collapsed="false">
      <c r="A393" s="32"/>
      <c r="B393" s="35"/>
      <c r="C393" s="32"/>
      <c r="D393" s="32"/>
      <c r="E393" s="33"/>
      <c r="F393" s="33"/>
      <c r="G393" s="32"/>
    </row>
    <row r="394" customFormat="false" ht="15" hidden="false" customHeight="false" outlineLevel="0" collapsed="false">
      <c r="A394" s="32"/>
      <c r="B394" s="35"/>
      <c r="C394" s="32"/>
      <c r="D394" s="32"/>
      <c r="E394" s="33"/>
      <c r="F394" s="33"/>
      <c r="G394" s="32"/>
    </row>
    <row r="395" customFormat="false" ht="15" hidden="false" customHeight="false" outlineLevel="0" collapsed="false">
      <c r="A395" s="32"/>
      <c r="B395" s="35"/>
      <c r="C395" s="32"/>
      <c r="D395" s="32"/>
      <c r="E395" s="33"/>
      <c r="F395" s="33"/>
      <c r="G395" s="32"/>
    </row>
    <row r="396" customFormat="false" ht="15" hidden="false" customHeight="false" outlineLevel="0" collapsed="false">
      <c r="A396" s="32"/>
      <c r="B396" s="35"/>
      <c r="C396" s="32"/>
      <c r="D396" s="32"/>
      <c r="E396" s="33"/>
      <c r="F396" s="33"/>
      <c r="G396" s="32"/>
    </row>
    <row r="397" customFormat="false" ht="15" hidden="false" customHeight="false" outlineLevel="0" collapsed="false">
      <c r="A397" s="32"/>
      <c r="B397" s="35"/>
      <c r="C397" s="32"/>
      <c r="D397" s="32"/>
      <c r="E397" s="33"/>
      <c r="F397" s="33"/>
      <c r="G397" s="32"/>
    </row>
    <row r="398" customFormat="false" ht="15" hidden="false" customHeight="false" outlineLevel="0" collapsed="false">
      <c r="A398" s="32"/>
      <c r="B398" s="35"/>
      <c r="C398" s="32"/>
      <c r="D398" s="32"/>
      <c r="E398" s="33"/>
      <c r="F398" s="33"/>
      <c r="G398" s="32"/>
    </row>
    <row r="399" customFormat="false" ht="15" hidden="false" customHeight="false" outlineLevel="0" collapsed="false">
      <c r="A399" s="32"/>
      <c r="B399" s="35"/>
      <c r="C399" s="32"/>
      <c r="D399" s="32"/>
      <c r="E399" s="33"/>
      <c r="F399" s="33"/>
      <c r="G399" s="32"/>
    </row>
    <row r="400" customFormat="false" ht="15" hidden="false" customHeight="false" outlineLevel="0" collapsed="false">
      <c r="A400" s="32"/>
      <c r="B400" s="35"/>
      <c r="C400" s="32"/>
      <c r="D400" s="32"/>
      <c r="E400" s="33"/>
      <c r="F400" s="33"/>
      <c r="G400" s="32"/>
    </row>
    <row r="401" customFormat="false" ht="15" hidden="false" customHeight="false" outlineLevel="0" collapsed="false">
      <c r="A401" s="32"/>
      <c r="B401" s="35"/>
      <c r="C401" s="32"/>
      <c r="D401" s="32"/>
      <c r="E401" s="33"/>
      <c r="F401" s="33"/>
      <c r="G401" s="32"/>
    </row>
    <row r="402" customFormat="false" ht="15" hidden="false" customHeight="false" outlineLevel="0" collapsed="false">
      <c r="A402" s="32"/>
      <c r="B402" s="35"/>
      <c r="C402" s="32"/>
      <c r="D402" s="32"/>
      <c r="E402" s="33"/>
      <c r="F402" s="33"/>
      <c r="G402" s="32"/>
    </row>
    <row r="403" customFormat="false" ht="15" hidden="false" customHeight="false" outlineLevel="0" collapsed="false">
      <c r="A403" s="32"/>
      <c r="B403" s="35"/>
      <c r="C403" s="32"/>
      <c r="D403" s="32"/>
      <c r="E403" s="33"/>
      <c r="F403" s="33"/>
      <c r="G403" s="32"/>
    </row>
    <row r="404" customFormat="false" ht="15" hidden="false" customHeight="false" outlineLevel="0" collapsed="false">
      <c r="A404" s="32"/>
      <c r="B404" s="35"/>
      <c r="C404" s="32"/>
      <c r="D404" s="32"/>
      <c r="E404" s="33"/>
      <c r="F404" s="33"/>
      <c r="G404" s="32"/>
    </row>
    <row r="405" customFormat="false" ht="15" hidden="false" customHeight="false" outlineLevel="0" collapsed="false">
      <c r="A405" s="32"/>
      <c r="B405" s="35"/>
      <c r="C405" s="32"/>
      <c r="D405" s="32"/>
      <c r="E405" s="33"/>
      <c r="F405" s="33"/>
      <c r="G405" s="32"/>
    </row>
    <row r="406" customFormat="false" ht="15" hidden="false" customHeight="false" outlineLevel="0" collapsed="false">
      <c r="A406" s="32"/>
      <c r="B406" s="35"/>
      <c r="C406" s="32"/>
      <c r="D406" s="32"/>
      <c r="E406" s="33"/>
      <c r="F406" s="33"/>
      <c r="G406" s="32"/>
    </row>
    <row r="407" customFormat="false" ht="15" hidden="false" customHeight="false" outlineLevel="0" collapsed="false">
      <c r="A407" s="32"/>
      <c r="B407" s="35"/>
      <c r="C407" s="32"/>
      <c r="D407" s="32"/>
      <c r="E407" s="33"/>
      <c r="F407" s="33"/>
      <c r="G407" s="32"/>
    </row>
    <row r="408" customFormat="false" ht="15" hidden="false" customHeight="false" outlineLevel="0" collapsed="false">
      <c r="A408" s="32"/>
      <c r="B408" s="35"/>
      <c r="C408" s="32"/>
      <c r="D408" s="32"/>
      <c r="E408" s="33"/>
      <c r="F408" s="33"/>
      <c r="G408" s="32"/>
    </row>
    <row r="409" customFormat="false" ht="15" hidden="false" customHeight="false" outlineLevel="0" collapsed="false">
      <c r="A409" s="32"/>
      <c r="B409" s="35"/>
      <c r="C409" s="32"/>
      <c r="D409" s="32"/>
      <c r="E409" s="33"/>
      <c r="F409" s="33"/>
      <c r="G409" s="32"/>
    </row>
    <row r="410" customFormat="false" ht="15" hidden="false" customHeight="false" outlineLevel="0" collapsed="false">
      <c r="A410" s="32"/>
      <c r="B410" s="35"/>
      <c r="C410" s="32"/>
      <c r="D410" s="32"/>
      <c r="E410" s="33"/>
      <c r="F410" s="33"/>
      <c r="G410" s="32"/>
    </row>
    <row r="411" customFormat="false" ht="15" hidden="false" customHeight="false" outlineLevel="0" collapsed="false">
      <c r="A411" s="32"/>
      <c r="B411" s="35"/>
      <c r="C411" s="32"/>
      <c r="D411" s="32"/>
      <c r="E411" s="33"/>
      <c r="F411" s="33"/>
      <c r="G411" s="32"/>
    </row>
    <row r="412" customFormat="false" ht="15" hidden="false" customHeight="false" outlineLevel="0" collapsed="false">
      <c r="A412" s="32"/>
      <c r="B412" s="35"/>
      <c r="C412" s="32"/>
      <c r="D412" s="32"/>
      <c r="E412" s="33"/>
      <c r="F412" s="33"/>
      <c r="G412" s="32"/>
    </row>
    <row r="413" customFormat="false" ht="15" hidden="false" customHeight="false" outlineLevel="0" collapsed="false">
      <c r="A413" s="32"/>
      <c r="B413" s="35"/>
      <c r="C413" s="32"/>
      <c r="D413" s="32"/>
      <c r="E413" s="33"/>
      <c r="F413" s="33"/>
      <c r="G413" s="32"/>
    </row>
    <row r="414" customFormat="false" ht="15" hidden="false" customHeight="false" outlineLevel="0" collapsed="false">
      <c r="A414" s="32"/>
      <c r="B414" s="35"/>
      <c r="C414" s="32"/>
      <c r="D414" s="32"/>
      <c r="E414" s="33"/>
      <c r="F414" s="33"/>
      <c r="G414" s="32"/>
    </row>
    <row r="415" customFormat="false" ht="15" hidden="false" customHeight="false" outlineLevel="0" collapsed="false">
      <c r="A415" s="32"/>
      <c r="B415" s="35"/>
      <c r="C415" s="32"/>
      <c r="D415" s="32"/>
      <c r="E415" s="33"/>
      <c r="F415" s="33"/>
      <c r="G415" s="32"/>
    </row>
    <row r="416" customFormat="false" ht="15" hidden="false" customHeight="false" outlineLevel="0" collapsed="false">
      <c r="A416" s="32"/>
      <c r="B416" s="35"/>
      <c r="C416" s="32"/>
      <c r="D416" s="32"/>
      <c r="E416" s="33"/>
      <c r="F416" s="33"/>
      <c r="G416" s="32"/>
    </row>
    <row r="417" customFormat="false" ht="15" hidden="false" customHeight="false" outlineLevel="0" collapsed="false">
      <c r="A417" s="32"/>
      <c r="B417" s="35"/>
      <c r="C417" s="32"/>
      <c r="D417" s="32"/>
      <c r="E417" s="33"/>
      <c r="F417" s="33"/>
      <c r="G417" s="32"/>
    </row>
    <row r="418" customFormat="false" ht="15" hidden="false" customHeight="false" outlineLevel="0" collapsed="false">
      <c r="A418" s="32"/>
      <c r="B418" s="35"/>
      <c r="C418" s="32"/>
      <c r="D418" s="32"/>
      <c r="E418" s="33"/>
      <c r="F418" s="33"/>
      <c r="G418" s="32"/>
    </row>
    <row r="419" customFormat="false" ht="15" hidden="false" customHeight="false" outlineLevel="0" collapsed="false">
      <c r="A419" s="32"/>
      <c r="B419" s="35"/>
      <c r="C419" s="32"/>
      <c r="D419" s="32"/>
      <c r="E419" s="33"/>
      <c r="F419" s="33"/>
      <c r="G419" s="32"/>
    </row>
    <row r="420" customFormat="false" ht="15" hidden="false" customHeight="false" outlineLevel="0" collapsed="false">
      <c r="A420" s="32"/>
      <c r="B420" s="35"/>
      <c r="C420" s="32"/>
      <c r="D420" s="32"/>
      <c r="E420" s="33"/>
      <c r="F420" s="33"/>
      <c r="G420" s="32"/>
    </row>
    <row r="421" customFormat="false" ht="15" hidden="false" customHeight="false" outlineLevel="0" collapsed="false">
      <c r="A421" s="32"/>
      <c r="B421" s="35"/>
      <c r="C421" s="32"/>
      <c r="D421" s="32"/>
      <c r="E421" s="33"/>
      <c r="F421" s="33"/>
      <c r="G421" s="32"/>
    </row>
    <row r="422" customFormat="false" ht="15" hidden="false" customHeight="false" outlineLevel="0" collapsed="false">
      <c r="A422" s="32"/>
      <c r="B422" s="35"/>
      <c r="C422" s="32"/>
      <c r="D422" s="32"/>
      <c r="E422" s="33"/>
      <c r="F422" s="33"/>
      <c r="G422" s="32"/>
    </row>
    <row r="423" customFormat="false" ht="15" hidden="false" customHeight="false" outlineLevel="0" collapsed="false">
      <c r="A423" s="32"/>
      <c r="B423" s="35"/>
      <c r="C423" s="32"/>
      <c r="D423" s="32"/>
      <c r="E423" s="33"/>
      <c r="F423" s="33"/>
      <c r="G423" s="32"/>
    </row>
    <row r="424" customFormat="false" ht="15" hidden="false" customHeight="false" outlineLevel="0" collapsed="false">
      <c r="A424" s="32"/>
      <c r="B424" s="35"/>
      <c r="C424" s="32"/>
      <c r="D424" s="32"/>
      <c r="E424" s="33"/>
      <c r="F424" s="33"/>
      <c r="G424" s="32"/>
    </row>
    <row r="425" customFormat="false" ht="15" hidden="false" customHeight="false" outlineLevel="0" collapsed="false">
      <c r="A425" s="32"/>
      <c r="B425" s="35"/>
      <c r="C425" s="32"/>
      <c r="D425" s="32"/>
      <c r="E425" s="33"/>
      <c r="F425" s="33"/>
      <c r="G425" s="32"/>
    </row>
    <row r="426" customFormat="false" ht="15" hidden="false" customHeight="false" outlineLevel="0" collapsed="false">
      <c r="A426" s="32"/>
      <c r="B426" s="35"/>
      <c r="C426" s="32"/>
      <c r="D426" s="32"/>
      <c r="E426" s="33"/>
      <c r="F426" s="33"/>
      <c r="G426" s="32"/>
    </row>
    <row r="427" customFormat="false" ht="15" hidden="false" customHeight="false" outlineLevel="0" collapsed="false">
      <c r="A427" s="32"/>
      <c r="B427" s="35"/>
      <c r="C427" s="32"/>
      <c r="D427" s="32"/>
      <c r="E427" s="33"/>
      <c r="F427" s="33"/>
      <c r="G427" s="32"/>
    </row>
    <row r="428" customFormat="false" ht="15" hidden="false" customHeight="false" outlineLevel="0" collapsed="false">
      <c r="A428" s="32"/>
      <c r="B428" s="35"/>
      <c r="C428" s="32"/>
      <c r="D428" s="32"/>
      <c r="E428" s="33"/>
      <c r="F428" s="33"/>
      <c r="G428" s="32"/>
    </row>
    <row r="429" customFormat="false" ht="15" hidden="false" customHeight="false" outlineLevel="0" collapsed="false">
      <c r="A429" s="32"/>
      <c r="B429" s="35"/>
      <c r="C429" s="32"/>
      <c r="D429" s="32"/>
      <c r="E429" s="33"/>
      <c r="F429" s="33"/>
      <c r="G429" s="32"/>
    </row>
    <row r="430" customFormat="false" ht="15" hidden="false" customHeight="false" outlineLevel="0" collapsed="false">
      <c r="A430" s="32"/>
      <c r="B430" s="35"/>
      <c r="C430" s="32"/>
      <c r="D430" s="32"/>
      <c r="E430" s="33"/>
      <c r="F430" s="33"/>
      <c r="G430" s="32"/>
    </row>
    <row r="431" customFormat="false" ht="15" hidden="false" customHeight="false" outlineLevel="0" collapsed="false">
      <c r="A431" s="32"/>
      <c r="B431" s="35"/>
      <c r="C431" s="32"/>
      <c r="D431" s="32"/>
      <c r="E431" s="33"/>
      <c r="F431" s="33"/>
      <c r="G431" s="32"/>
    </row>
    <row r="432" customFormat="false" ht="15" hidden="false" customHeight="false" outlineLevel="0" collapsed="false">
      <c r="A432" s="32"/>
      <c r="B432" s="35"/>
      <c r="C432" s="32"/>
      <c r="D432" s="32"/>
      <c r="E432" s="33"/>
      <c r="F432" s="33"/>
      <c r="G432" s="32"/>
    </row>
    <row r="433" customFormat="false" ht="15" hidden="false" customHeight="false" outlineLevel="0" collapsed="false">
      <c r="A433" s="32"/>
      <c r="B433" s="35"/>
      <c r="C433" s="32"/>
      <c r="D433" s="32"/>
      <c r="E433" s="33"/>
      <c r="F433" s="33"/>
      <c r="G433" s="32"/>
    </row>
    <row r="434" customFormat="false" ht="15" hidden="false" customHeight="false" outlineLevel="0" collapsed="false">
      <c r="A434" s="32"/>
      <c r="B434" s="35"/>
      <c r="C434" s="32"/>
      <c r="D434" s="32"/>
      <c r="E434" s="33"/>
      <c r="F434" s="33"/>
      <c r="G434" s="32"/>
    </row>
    <row r="435" customFormat="false" ht="15" hidden="false" customHeight="false" outlineLevel="0" collapsed="false">
      <c r="A435" s="32"/>
      <c r="B435" s="35"/>
      <c r="C435" s="32"/>
      <c r="D435" s="32"/>
      <c r="E435" s="33"/>
      <c r="F435" s="33"/>
      <c r="G435" s="32"/>
    </row>
    <row r="436" customFormat="false" ht="15" hidden="false" customHeight="false" outlineLevel="0" collapsed="false">
      <c r="A436" s="32"/>
      <c r="B436" s="35"/>
      <c r="C436" s="32"/>
      <c r="D436" s="32"/>
      <c r="E436" s="33"/>
      <c r="F436" s="33"/>
      <c r="G436" s="32"/>
    </row>
    <row r="437" customFormat="false" ht="15" hidden="false" customHeight="false" outlineLevel="0" collapsed="false">
      <c r="A437" s="32"/>
      <c r="B437" s="35"/>
      <c r="C437" s="32"/>
      <c r="D437" s="32"/>
      <c r="E437" s="33"/>
      <c r="F437" s="33"/>
      <c r="G437" s="32"/>
    </row>
    <row r="438" customFormat="false" ht="15" hidden="false" customHeight="false" outlineLevel="0" collapsed="false">
      <c r="A438" s="32"/>
      <c r="B438" s="35"/>
      <c r="C438" s="32"/>
      <c r="D438" s="32"/>
      <c r="E438" s="33"/>
      <c r="F438" s="33"/>
      <c r="G438" s="32"/>
    </row>
    <row r="439" customFormat="false" ht="15" hidden="false" customHeight="false" outlineLevel="0" collapsed="false">
      <c r="A439" s="32"/>
      <c r="B439" s="35"/>
      <c r="C439" s="32"/>
      <c r="D439" s="32"/>
      <c r="E439" s="33"/>
      <c r="F439" s="33"/>
      <c r="G439" s="32"/>
    </row>
    <row r="440" customFormat="false" ht="15" hidden="false" customHeight="false" outlineLevel="0" collapsed="false">
      <c r="A440" s="32"/>
      <c r="B440" s="35"/>
      <c r="C440" s="32"/>
      <c r="D440" s="32"/>
      <c r="E440" s="33"/>
      <c r="F440" s="33"/>
      <c r="G440" s="32"/>
    </row>
    <row r="441" customFormat="false" ht="15" hidden="false" customHeight="false" outlineLevel="0" collapsed="false">
      <c r="A441" s="32"/>
      <c r="B441" s="35"/>
      <c r="C441" s="32"/>
      <c r="D441" s="32"/>
      <c r="E441" s="33"/>
      <c r="F441" s="33"/>
      <c r="G441" s="32"/>
    </row>
    <row r="442" customFormat="false" ht="15" hidden="false" customHeight="false" outlineLevel="0" collapsed="false">
      <c r="A442" s="32"/>
      <c r="B442" s="35"/>
      <c r="C442" s="32"/>
      <c r="D442" s="32"/>
      <c r="E442" s="33"/>
      <c r="F442" s="33"/>
      <c r="G442" s="32"/>
    </row>
    <row r="443" customFormat="false" ht="15" hidden="false" customHeight="false" outlineLevel="0" collapsed="false">
      <c r="A443" s="32"/>
      <c r="B443" s="35"/>
      <c r="C443" s="32"/>
      <c r="D443" s="32"/>
      <c r="E443" s="33"/>
      <c r="F443" s="33"/>
      <c r="G443" s="32"/>
    </row>
    <row r="444" customFormat="false" ht="15" hidden="false" customHeight="false" outlineLevel="0" collapsed="false">
      <c r="A444" s="32"/>
      <c r="B444" s="35"/>
      <c r="C444" s="32"/>
      <c r="D444" s="32"/>
      <c r="E444" s="33"/>
      <c r="F444" s="33"/>
      <c r="G444" s="32"/>
    </row>
    <row r="445" customFormat="false" ht="15" hidden="false" customHeight="false" outlineLevel="0" collapsed="false">
      <c r="A445" s="32"/>
      <c r="B445" s="35"/>
      <c r="C445" s="32"/>
      <c r="D445" s="32"/>
      <c r="E445" s="33"/>
      <c r="F445" s="33"/>
      <c r="G445" s="32"/>
    </row>
    <row r="446" customFormat="false" ht="15" hidden="false" customHeight="false" outlineLevel="0" collapsed="false">
      <c r="A446" s="32"/>
      <c r="B446" s="35"/>
      <c r="C446" s="32"/>
      <c r="D446" s="32"/>
      <c r="E446" s="33"/>
      <c r="F446" s="33"/>
      <c r="G446" s="32"/>
    </row>
    <row r="447" customFormat="false" ht="15" hidden="false" customHeight="false" outlineLevel="0" collapsed="false">
      <c r="A447" s="32"/>
      <c r="B447" s="35"/>
      <c r="C447" s="32"/>
      <c r="D447" s="32"/>
      <c r="E447" s="33"/>
      <c r="F447" s="33"/>
      <c r="G447" s="32"/>
    </row>
    <row r="448" customFormat="false" ht="15" hidden="false" customHeight="false" outlineLevel="0" collapsed="false">
      <c r="A448" s="32"/>
      <c r="B448" s="35"/>
      <c r="C448" s="32"/>
      <c r="D448" s="32"/>
      <c r="E448" s="33"/>
      <c r="F448" s="33"/>
      <c r="G448" s="32"/>
    </row>
    <row r="449" customFormat="false" ht="15" hidden="false" customHeight="false" outlineLevel="0" collapsed="false">
      <c r="A449" s="32"/>
      <c r="B449" s="35"/>
      <c r="C449" s="32"/>
      <c r="D449" s="32"/>
      <c r="E449" s="33"/>
      <c r="F449" s="33"/>
      <c r="G449" s="32"/>
    </row>
    <row r="450" customFormat="false" ht="15" hidden="false" customHeight="false" outlineLevel="0" collapsed="false">
      <c r="A450" s="32"/>
      <c r="B450" s="35"/>
      <c r="C450" s="32"/>
      <c r="D450" s="32"/>
      <c r="E450" s="33"/>
      <c r="F450" s="33"/>
      <c r="G450" s="32"/>
    </row>
    <row r="451" customFormat="false" ht="15" hidden="false" customHeight="false" outlineLevel="0" collapsed="false">
      <c r="A451" s="32"/>
      <c r="B451" s="35"/>
      <c r="C451" s="32"/>
      <c r="D451" s="32"/>
      <c r="E451" s="33"/>
      <c r="F451" s="33"/>
      <c r="G451" s="32"/>
    </row>
    <row r="452" customFormat="false" ht="15" hidden="false" customHeight="false" outlineLevel="0" collapsed="false">
      <c r="A452" s="32"/>
      <c r="B452" s="35"/>
      <c r="C452" s="32"/>
      <c r="D452" s="32"/>
      <c r="E452" s="33"/>
      <c r="F452" s="33"/>
      <c r="G452" s="32"/>
    </row>
    <row r="453" customFormat="false" ht="15" hidden="false" customHeight="false" outlineLevel="0" collapsed="false">
      <c r="A453" s="32"/>
      <c r="B453" s="35"/>
      <c r="C453" s="32"/>
      <c r="D453" s="32"/>
      <c r="E453" s="33"/>
      <c r="F453" s="33"/>
      <c r="G453" s="32"/>
    </row>
    <row r="454" customFormat="false" ht="15" hidden="false" customHeight="false" outlineLevel="0" collapsed="false">
      <c r="A454" s="32"/>
      <c r="B454" s="35"/>
      <c r="C454" s="32"/>
      <c r="D454" s="32"/>
      <c r="E454" s="33"/>
      <c r="F454" s="33"/>
      <c r="G454" s="32"/>
    </row>
    <row r="455" customFormat="false" ht="15" hidden="false" customHeight="false" outlineLevel="0" collapsed="false">
      <c r="A455" s="32"/>
      <c r="B455" s="35"/>
      <c r="C455" s="32"/>
      <c r="D455" s="32"/>
      <c r="E455" s="33"/>
      <c r="F455" s="33"/>
      <c r="G455" s="32"/>
    </row>
    <row r="456" customFormat="false" ht="15" hidden="false" customHeight="false" outlineLevel="0" collapsed="false">
      <c r="A456" s="32"/>
      <c r="B456" s="35"/>
      <c r="C456" s="32"/>
      <c r="D456" s="32"/>
      <c r="E456" s="33"/>
      <c r="F456" s="33"/>
      <c r="G456" s="32"/>
    </row>
    <row r="457" customFormat="false" ht="15" hidden="false" customHeight="false" outlineLevel="0" collapsed="false">
      <c r="A457" s="32"/>
      <c r="B457" s="35"/>
      <c r="C457" s="32"/>
      <c r="D457" s="32"/>
      <c r="E457" s="33"/>
      <c r="F457" s="33"/>
      <c r="G457" s="32"/>
    </row>
    <row r="458" customFormat="false" ht="15" hidden="false" customHeight="false" outlineLevel="0" collapsed="false">
      <c r="A458" s="32"/>
      <c r="B458" s="35"/>
      <c r="C458" s="32"/>
      <c r="D458" s="32"/>
      <c r="E458" s="33"/>
      <c r="F458" s="33"/>
      <c r="G458" s="32"/>
    </row>
    <row r="459" customFormat="false" ht="15" hidden="false" customHeight="false" outlineLevel="0" collapsed="false">
      <c r="A459" s="32"/>
      <c r="B459" s="35"/>
      <c r="C459" s="32"/>
      <c r="D459" s="32"/>
      <c r="E459" s="33"/>
      <c r="F459" s="33"/>
      <c r="G459" s="32"/>
    </row>
    <row r="460" customFormat="false" ht="15" hidden="false" customHeight="false" outlineLevel="0" collapsed="false">
      <c r="A460" s="32"/>
      <c r="B460" s="35"/>
      <c r="C460" s="32"/>
      <c r="D460" s="32"/>
      <c r="E460" s="33"/>
      <c r="F460" s="33"/>
      <c r="G460" s="32"/>
    </row>
    <row r="461" customFormat="false" ht="15" hidden="false" customHeight="false" outlineLevel="0" collapsed="false">
      <c r="A461" s="32"/>
      <c r="B461" s="35"/>
      <c r="C461" s="32"/>
      <c r="D461" s="32"/>
      <c r="E461" s="33"/>
      <c r="F461" s="33"/>
      <c r="G461" s="32"/>
    </row>
    <row r="462" customFormat="false" ht="15" hidden="false" customHeight="false" outlineLevel="0" collapsed="false">
      <c r="A462" s="32"/>
      <c r="B462" s="35"/>
      <c r="C462" s="32"/>
      <c r="D462" s="32"/>
      <c r="E462" s="33"/>
      <c r="F462" s="33"/>
      <c r="G462" s="32"/>
    </row>
    <row r="463" customFormat="false" ht="15" hidden="false" customHeight="false" outlineLevel="0" collapsed="false">
      <c r="A463" s="32"/>
      <c r="B463" s="35"/>
      <c r="C463" s="32"/>
      <c r="D463" s="32"/>
      <c r="E463" s="33"/>
      <c r="F463" s="33"/>
      <c r="G463" s="32"/>
    </row>
    <row r="464" customFormat="false" ht="15" hidden="false" customHeight="false" outlineLevel="0" collapsed="false">
      <c r="A464" s="32"/>
      <c r="B464" s="35"/>
      <c r="C464" s="32"/>
      <c r="D464" s="32"/>
      <c r="E464" s="33"/>
      <c r="F464" s="33"/>
      <c r="G464" s="32"/>
    </row>
    <row r="465" customFormat="false" ht="15" hidden="false" customHeight="false" outlineLevel="0" collapsed="false">
      <c r="A465" s="32"/>
      <c r="B465" s="35"/>
      <c r="C465" s="32"/>
      <c r="D465" s="32"/>
      <c r="E465" s="33"/>
      <c r="F465" s="33"/>
      <c r="G465" s="32"/>
    </row>
    <row r="466" customFormat="false" ht="15" hidden="false" customHeight="false" outlineLevel="0" collapsed="false">
      <c r="A466" s="32"/>
      <c r="B466" s="35"/>
      <c r="C466" s="32"/>
      <c r="D466" s="32"/>
      <c r="E466" s="33"/>
      <c r="F466" s="33"/>
      <c r="G466" s="32"/>
    </row>
    <row r="467" customFormat="false" ht="15" hidden="false" customHeight="false" outlineLevel="0" collapsed="false">
      <c r="A467" s="32"/>
      <c r="B467" s="35"/>
      <c r="C467" s="32"/>
      <c r="D467" s="32"/>
      <c r="E467" s="33"/>
      <c r="F467" s="33"/>
      <c r="G467" s="32"/>
    </row>
    <row r="468" customFormat="false" ht="15" hidden="false" customHeight="false" outlineLevel="0" collapsed="false">
      <c r="A468" s="32"/>
      <c r="B468" s="35"/>
      <c r="C468" s="32"/>
      <c r="D468" s="32"/>
      <c r="E468" s="33"/>
      <c r="F468" s="33"/>
      <c r="G468" s="32"/>
    </row>
    <row r="469" customFormat="false" ht="15" hidden="false" customHeight="false" outlineLevel="0" collapsed="false">
      <c r="A469" s="32"/>
      <c r="B469" s="35"/>
      <c r="C469" s="32"/>
      <c r="D469" s="32"/>
      <c r="E469" s="33"/>
      <c r="F469" s="33"/>
      <c r="G469" s="32"/>
    </row>
    <row r="470" customFormat="false" ht="15" hidden="false" customHeight="false" outlineLevel="0" collapsed="false">
      <c r="A470" s="32"/>
      <c r="B470" s="35"/>
      <c r="C470" s="32"/>
      <c r="D470" s="32"/>
      <c r="E470" s="33"/>
      <c r="F470" s="33"/>
      <c r="G470" s="32"/>
    </row>
    <row r="471" customFormat="false" ht="15" hidden="false" customHeight="false" outlineLevel="0" collapsed="false">
      <c r="A471" s="32"/>
      <c r="B471" s="35"/>
      <c r="C471" s="32"/>
      <c r="D471" s="32"/>
      <c r="E471" s="33"/>
      <c r="F471" s="33"/>
      <c r="G471" s="32"/>
    </row>
    <row r="472" customFormat="false" ht="15" hidden="false" customHeight="false" outlineLevel="0" collapsed="false">
      <c r="A472" s="32"/>
      <c r="B472" s="35"/>
      <c r="C472" s="32"/>
      <c r="D472" s="32"/>
      <c r="E472" s="33"/>
      <c r="F472" s="33"/>
      <c r="G472" s="32"/>
    </row>
    <row r="473" customFormat="false" ht="15" hidden="false" customHeight="false" outlineLevel="0" collapsed="false">
      <c r="A473" s="32"/>
      <c r="B473" s="35"/>
      <c r="C473" s="32"/>
      <c r="D473" s="32"/>
      <c r="E473" s="33"/>
      <c r="F473" s="33"/>
      <c r="G473" s="32"/>
    </row>
    <row r="474" customFormat="false" ht="15" hidden="false" customHeight="false" outlineLevel="0" collapsed="false">
      <c r="A474" s="32"/>
      <c r="B474" s="35"/>
      <c r="C474" s="32"/>
      <c r="D474" s="32"/>
      <c r="E474" s="33"/>
      <c r="F474" s="33"/>
      <c r="G474" s="32"/>
    </row>
    <row r="475" customFormat="false" ht="15" hidden="false" customHeight="false" outlineLevel="0" collapsed="false">
      <c r="A475" s="32"/>
      <c r="B475" s="35"/>
      <c r="C475" s="32"/>
      <c r="D475" s="32"/>
      <c r="E475" s="33"/>
      <c r="F475" s="33"/>
      <c r="G475" s="32"/>
    </row>
    <row r="476" customFormat="false" ht="15" hidden="false" customHeight="false" outlineLevel="0" collapsed="false">
      <c r="A476" s="32"/>
      <c r="B476" s="35"/>
      <c r="C476" s="32"/>
      <c r="D476" s="32"/>
      <c r="E476" s="33"/>
      <c r="F476" s="33"/>
      <c r="G476" s="32"/>
    </row>
    <row r="477" customFormat="false" ht="15" hidden="false" customHeight="false" outlineLevel="0" collapsed="false">
      <c r="A477" s="32"/>
      <c r="B477" s="35"/>
      <c r="C477" s="32"/>
      <c r="D477" s="32"/>
      <c r="E477" s="33"/>
      <c r="F477" s="33"/>
      <c r="G477" s="32"/>
    </row>
    <row r="478" customFormat="false" ht="15" hidden="false" customHeight="false" outlineLevel="0" collapsed="false">
      <c r="A478" s="32"/>
      <c r="B478" s="35"/>
      <c r="C478" s="32"/>
      <c r="D478" s="32"/>
      <c r="E478" s="33"/>
      <c r="F478" s="33"/>
      <c r="G478" s="32"/>
    </row>
    <row r="479" customFormat="false" ht="15" hidden="false" customHeight="false" outlineLevel="0" collapsed="false">
      <c r="A479" s="32"/>
      <c r="B479" s="35"/>
      <c r="C479" s="32"/>
      <c r="D479" s="32"/>
      <c r="E479" s="33"/>
      <c r="F479" s="33"/>
      <c r="G479" s="32"/>
    </row>
    <row r="480" customFormat="false" ht="15" hidden="false" customHeight="false" outlineLevel="0" collapsed="false">
      <c r="A480" s="32"/>
      <c r="B480" s="35"/>
      <c r="C480" s="32"/>
      <c r="D480" s="32"/>
      <c r="E480" s="33"/>
      <c r="F480" s="33"/>
      <c r="G480" s="32"/>
    </row>
    <row r="481" customFormat="false" ht="15" hidden="false" customHeight="false" outlineLevel="0" collapsed="false">
      <c r="A481" s="32"/>
      <c r="B481" s="35"/>
      <c r="C481" s="32"/>
      <c r="D481" s="32"/>
      <c r="E481" s="33"/>
      <c r="F481" s="33"/>
      <c r="G481" s="32"/>
    </row>
    <row r="482" customFormat="false" ht="15" hidden="false" customHeight="false" outlineLevel="0" collapsed="false">
      <c r="A482" s="32"/>
      <c r="B482" s="35"/>
      <c r="C482" s="32"/>
      <c r="D482" s="32"/>
      <c r="E482" s="33"/>
      <c r="F482" s="33"/>
      <c r="G482" s="32"/>
    </row>
    <row r="483" customFormat="false" ht="15" hidden="false" customHeight="false" outlineLevel="0" collapsed="false">
      <c r="A483" s="32"/>
      <c r="B483" s="35"/>
      <c r="C483" s="32"/>
      <c r="D483" s="32"/>
      <c r="E483" s="33"/>
      <c r="F483" s="33"/>
      <c r="G483" s="32"/>
    </row>
    <row r="484" customFormat="false" ht="15" hidden="false" customHeight="false" outlineLevel="0" collapsed="false">
      <c r="A484" s="32"/>
      <c r="B484" s="35"/>
      <c r="C484" s="32"/>
      <c r="D484" s="32"/>
      <c r="E484" s="33"/>
      <c r="F484" s="33"/>
      <c r="G484" s="32"/>
    </row>
    <row r="485" customFormat="false" ht="15" hidden="false" customHeight="false" outlineLevel="0" collapsed="false">
      <c r="A485" s="32"/>
      <c r="B485" s="35"/>
      <c r="C485" s="32"/>
      <c r="D485" s="32"/>
      <c r="E485" s="33"/>
      <c r="F485" s="33"/>
      <c r="G485" s="32"/>
    </row>
    <row r="486" customFormat="false" ht="15" hidden="false" customHeight="false" outlineLevel="0" collapsed="false">
      <c r="A486" s="32"/>
      <c r="B486" s="35"/>
      <c r="C486" s="32"/>
      <c r="D486" s="32"/>
      <c r="E486" s="33"/>
      <c r="F486" s="33"/>
      <c r="G486" s="32"/>
    </row>
    <row r="487" customFormat="false" ht="15" hidden="false" customHeight="false" outlineLevel="0" collapsed="false">
      <c r="A487" s="32"/>
      <c r="B487" s="35"/>
      <c r="C487" s="32"/>
      <c r="D487" s="32"/>
      <c r="E487" s="33"/>
      <c r="F487" s="33"/>
      <c r="G487" s="32"/>
    </row>
    <row r="488" customFormat="false" ht="15" hidden="false" customHeight="false" outlineLevel="0" collapsed="false">
      <c r="A488" s="32"/>
      <c r="B488" s="35"/>
      <c r="C488" s="32"/>
      <c r="D488" s="32"/>
      <c r="E488" s="33"/>
      <c r="F488" s="33"/>
      <c r="G488" s="32"/>
    </row>
    <row r="489" customFormat="false" ht="15" hidden="false" customHeight="false" outlineLevel="0" collapsed="false">
      <c r="A489" s="32"/>
      <c r="B489" s="35"/>
      <c r="C489" s="32"/>
      <c r="D489" s="32"/>
      <c r="E489" s="33"/>
      <c r="F489" s="33"/>
      <c r="G489" s="32"/>
    </row>
    <row r="490" customFormat="false" ht="15" hidden="false" customHeight="false" outlineLevel="0" collapsed="false">
      <c r="A490" s="32"/>
      <c r="B490" s="35"/>
      <c r="C490" s="32"/>
      <c r="D490" s="32"/>
      <c r="E490" s="33"/>
      <c r="F490" s="33"/>
      <c r="G490" s="32"/>
    </row>
    <row r="491" customFormat="false" ht="15" hidden="false" customHeight="false" outlineLevel="0" collapsed="false">
      <c r="A491" s="32"/>
      <c r="B491" s="35"/>
      <c r="C491" s="32"/>
      <c r="D491" s="32"/>
      <c r="E491" s="33"/>
      <c r="F491" s="33"/>
      <c r="G491" s="32"/>
    </row>
    <row r="492" customFormat="false" ht="15" hidden="false" customHeight="false" outlineLevel="0" collapsed="false">
      <c r="A492" s="32"/>
      <c r="B492" s="35"/>
      <c r="C492" s="32"/>
      <c r="D492" s="32"/>
      <c r="E492" s="33"/>
      <c r="F492" s="33"/>
      <c r="G492" s="32"/>
    </row>
    <row r="493" customFormat="false" ht="15" hidden="false" customHeight="false" outlineLevel="0" collapsed="false">
      <c r="A493" s="32"/>
      <c r="B493" s="35"/>
      <c r="C493" s="32"/>
      <c r="D493" s="32"/>
      <c r="E493" s="33"/>
      <c r="F493" s="33"/>
      <c r="G493" s="32"/>
    </row>
    <row r="494" customFormat="false" ht="15" hidden="false" customHeight="false" outlineLevel="0" collapsed="false">
      <c r="A494" s="32"/>
      <c r="B494" s="35"/>
      <c r="C494" s="32"/>
      <c r="D494" s="32"/>
      <c r="E494" s="33"/>
      <c r="F494" s="33"/>
      <c r="G494" s="32"/>
    </row>
    <row r="495" customFormat="false" ht="15" hidden="false" customHeight="false" outlineLevel="0" collapsed="false">
      <c r="A495" s="32"/>
      <c r="B495" s="35"/>
      <c r="C495" s="32"/>
      <c r="D495" s="32"/>
      <c r="E495" s="33"/>
      <c r="F495" s="33"/>
      <c r="G495" s="32"/>
    </row>
    <row r="496" customFormat="false" ht="15" hidden="false" customHeight="false" outlineLevel="0" collapsed="false">
      <c r="A496" s="32"/>
      <c r="B496" s="35"/>
      <c r="C496" s="32"/>
      <c r="D496" s="32"/>
      <c r="E496" s="33"/>
      <c r="F496" s="33"/>
      <c r="G496" s="32"/>
    </row>
    <row r="497" customFormat="false" ht="15" hidden="false" customHeight="false" outlineLevel="0" collapsed="false">
      <c r="A497" s="32"/>
      <c r="B497" s="35"/>
      <c r="C497" s="32"/>
      <c r="D497" s="32"/>
      <c r="E497" s="33"/>
      <c r="F497" s="33"/>
      <c r="G497" s="32"/>
    </row>
    <row r="498" customFormat="false" ht="15" hidden="false" customHeight="false" outlineLevel="0" collapsed="false">
      <c r="A498" s="32"/>
      <c r="B498" s="35"/>
      <c r="C498" s="32"/>
      <c r="D498" s="32"/>
      <c r="E498" s="33"/>
      <c r="F498" s="33"/>
      <c r="G498" s="32"/>
    </row>
    <row r="499" customFormat="false" ht="15" hidden="false" customHeight="false" outlineLevel="0" collapsed="false">
      <c r="A499" s="32"/>
      <c r="B499" s="35"/>
      <c r="C499" s="32"/>
      <c r="D499" s="32"/>
      <c r="E499" s="33"/>
      <c r="F499" s="33"/>
      <c r="G499" s="32"/>
    </row>
    <row r="500" customFormat="false" ht="15" hidden="false" customHeight="false" outlineLevel="0" collapsed="false">
      <c r="A500" s="32"/>
      <c r="B500" s="35"/>
      <c r="C500" s="32"/>
      <c r="D500" s="32"/>
      <c r="E500" s="33"/>
      <c r="F500" s="33"/>
      <c r="G500" s="32"/>
    </row>
    <row r="501" customFormat="false" ht="15" hidden="false" customHeight="false" outlineLevel="0" collapsed="false">
      <c r="A501" s="32"/>
      <c r="B501" s="35"/>
      <c r="C501" s="32"/>
      <c r="D501" s="32"/>
      <c r="E501" s="33"/>
      <c r="F501" s="33"/>
      <c r="G501" s="32"/>
    </row>
  </sheetData>
  <autoFilter ref="A1:G501"/>
  <dataValidations count="2">
    <dataValidation allowBlank="true" error="Enter a valid date (e.g. 31-Dec-2026)." errorStyle="stop" errorTitle="Invalid date" operator="greaterThan" showDropDown="false" showErrorMessage="false" showInputMessage="false" sqref="B2:B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7" t="s">
        <v>110</v>
      </c>
      <c r="B1" s="17" t="s">
        <v>346</v>
      </c>
      <c r="C1" s="17" t="s">
        <v>347</v>
      </c>
      <c r="D1" s="17" t="s">
        <v>348</v>
      </c>
      <c r="E1" s="17" t="s">
        <v>290</v>
      </c>
      <c r="F1" s="17" t="s">
        <v>304</v>
      </c>
      <c r="G1" s="17" t="s">
        <v>349</v>
      </c>
      <c r="H1" s="17" t="s">
        <v>235</v>
      </c>
      <c r="I1" s="31" t="s">
        <v>305</v>
      </c>
    </row>
    <row r="2" customFormat="false" ht="15" hidden="false" customHeight="false" outlineLevel="0" collapsed="false">
      <c r="A2" s="32"/>
      <c r="B2" s="32"/>
      <c r="C2" s="32"/>
      <c r="D2" s="32"/>
      <c r="E2" s="35"/>
      <c r="F2" s="35"/>
      <c r="G2" s="32"/>
      <c r="H2" s="33"/>
      <c r="I2" s="37" t="str">
        <f aca="true">IF(B2="","",IF(F2="","",IF(F2&lt;TODAY(),"Expired",IF(F2&lt;=TODAY()+60,"Expiring Soon","OK"))))</f>
        <v/>
      </c>
    </row>
    <row r="3" customFormat="false" ht="15" hidden="false" customHeight="false" outlineLevel="0" collapsed="false">
      <c r="A3" s="32"/>
      <c r="B3" s="32"/>
      <c r="C3" s="32"/>
      <c r="D3" s="32"/>
      <c r="E3" s="35"/>
      <c r="F3" s="35"/>
      <c r="G3" s="32"/>
      <c r="H3" s="33"/>
      <c r="I3" s="37" t="str">
        <f aca="true">IF(B3="","",IF(F3="","",IF(F3&lt;TODAY(),"Expired",IF(F3&lt;=TODAY()+60,"Expiring Soon","OK"))))</f>
        <v/>
      </c>
    </row>
    <row r="4" customFormat="false" ht="15" hidden="false" customHeight="false" outlineLevel="0" collapsed="false">
      <c r="A4" s="32"/>
      <c r="B4" s="32"/>
      <c r="C4" s="32"/>
      <c r="D4" s="32"/>
      <c r="E4" s="35"/>
      <c r="F4" s="35"/>
      <c r="G4" s="32"/>
      <c r="H4" s="33"/>
      <c r="I4" s="37" t="str">
        <f aca="true">IF(B4="","",IF(F4="","",IF(F4&lt;TODAY(),"Expired",IF(F4&lt;=TODAY()+60,"Expiring Soon","OK"))))</f>
        <v/>
      </c>
    </row>
    <row r="5" customFormat="false" ht="15" hidden="false" customHeight="false" outlineLevel="0" collapsed="false">
      <c r="A5" s="32"/>
      <c r="B5" s="32"/>
      <c r="C5" s="32"/>
      <c r="D5" s="32"/>
      <c r="E5" s="35"/>
      <c r="F5" s="35"/>
      <c r="G5" s="32"/>
      <c r="H5" s="33"/>
      <c r="I5" s="37" t="str">
        <f aca="true">IF(B5="","",IF(F5="","",IF(F5&lt;TODAY(),"Expired",IF(F5&lt;=TODAY()+60,"Expiring Soon","OK"))))</f>
        <v/>
      </c>
    </row>
    <row r="6" customFormat="false" ht="15" hidden="false" customHeight="false" outlineLevel="0" collapsed="false">
      <c r="A6" s="32"/>
      <c r="B6" s="32"/>
      <c r="C6" s="32"/>
      <c r="D6" s="32"/>
      <c r="E6" s="35"/>
      <c r="F6" s="35"/>
      <c r="G6" s="32"/>
      <c r="H6" s="33"/>
      <c r="I6" s="37" t="str">
        <f aca="true">IF(B6="","",IF(F6="","",IF(F6&lt;TODAY(),"Expired",IF(F6&lt;=TODAY()+60,"Expiring Soon","OK"))))</f>
        <v/>
      </c>
    </row>
    <row r="7" customFormat="false" ht="15" hidden="false" customHeight="false" outlineLevel="0" collapsed="false">
      <c r="A7" s="32"/>
      <c r="B7" s="32"/>
      <c r="C7" s="32"/>
      <c r="D7" s="32"/>
      <c r="E7" s="35"/>
      <c r="F7" s="35"/>
      <c r="G7" s="32"/>
      <c r="H7" s="33"/>
      <c r="I7" s="37" t="str">
        <f aca="true">IF(B7="","",IF(F7="","",IF(F7&lt;TODAY(),"Expired",IF(F7&lt;=TODAY()+60,"Expiring Soon","OK"))))</f>
        <v/>
      </c>
    </row>
    <row r="8" customFormat="false" ht="15" hidden="false" customHeight="false" outlineLevel="0" collapsed="false">
      <c r="A8" s="32"/>
      <c r="B8" s="32"/>
      <c r="C8" s="32"/>
      <c r="D8" s="32"/>
      <c r="E8" s="35"/>
      <c r="F8" s="35"/>
      <c r="G8" s="32"/>
      <c r="H8" s="33"/>
      <c r="I8" s="37" t="str">
        <f aca="true">IF(B8="","",IF(F8="","",IF(F8&lt;TODAY(),"Expired",IF(F8&lt;=TODAY()+60,"Expiring Soon","OK"))))</f>
        <v/>
      </c>
    </row>
    <row r="9" customFormat="false" ht="15" hidden="false" customHeight="false" outlineLevel="0" collapsed="false">
      <c r="A9" s="32"/>
      <c r="B9" s="32"/>
      <c r="C9" s="32"/>
      <c r="D9" s="32"/>
      <c r="E9" s="35"/>
      <c r="F9" s="35"/>
      <c r="G9" s="32"/>
      <c r="H9" s="33"/>
      <c r="I9" s="37" t="str">
        <f aca="true">IF(B9="","",IF(F9="","",IF(F9&lt;TODAY(),"Expired",IF(F9&lt;=TODAY()+60,"Expiring Soon","OK"))))</f>
        <v/>
      </c>
    </row>
    <row r="10" customFormat="false" ht="15" hidden="false" customHeight="false" outlineLevel="0" collapsed="false">
      <c r="A10" s="32"/>
      <c r="B10" s="32"/>
      <c r="C10" s="32"/>
      <c r="D10" s="32"/>
      <c r="E10" s="35"/>
      <c r="F10" s="35"/>
      <c r="G10" s="32"/>
      <c r="H10" s="33"/>
      <c r="I10" s="37" t="str">
        <f aca="true">IF(B10="","",IF(F10="","",IF(F10&lt;TODAY(),"Expired",IF(F10&lt;=TODAY()+60,"Expiring Soon","OK"))))</f>
        <v/>
      </c>
    </row>
    <row r="11" customFormat="false" ht="15" hidden="false" customHeight="false" outlineLevel="0" collapsed="false">
      <c r="A11" s="32"/>
      <c r="B11" s="32"/>
      <c r="C11" s="32"/>
      <c r="D11" s="32"/>
      <c r="E11" s="35"/>
      <c r="F11" s="35"/>
      <c r="G11" s="32"/>
      <c r="H11" s="33"/>
      <c r="I11" s="37" t="str">
        <f aca="true">IF(B11="","",IF(F11="","",IF(F11&lt;TODAY(),"Expired",IF(F11&lt;=TODAY()+60,"Expiring Soon","OK"))))</f>
        <v/>
      </c>
    </row>
    <row r="12" customFormat="false" ht="15" hidden="false" customHeight="false" outlineLevel="0" collapsed="false">
      <c r="A12" s="32"/>
      <c r="B12" s="32"/>
      <c r="C12" s="32"/>
      <c r="D12" s="32"/>
      <c r="E12" s="35"/>
      <c r="F12" s="35"/>
      <c r="G12" s="32"/>
      <c r="H12" s="33"/>
      <c r="I12" s="37" t="str">
        <f aca="true">IF(B12="","",IF(F12="","",IF(F12&lt;TODAY(),"Expired",IF(F12&lt;=TODAY()+60,"Expiring Soon","OK"))))</f>
        <v/>
      </c>
    </row>
    <row r="13" customFormat="false" ht="15" hidden="false" customHeight="false" outlineLevel="0" collapsed="false">
      <c r="A13" s="32"/>
      <c r="B13" s="32"/>
      <c r="C13" s="32"/>
      <c r="D13" s="32"/>
      <c r="E13" s="35"/>
      <c r="F13" s="35"/>
      <c r="G13" s="32"/>
      <c r="H13" s="33"/>
      <c r="I13" s="37" t="str">
        <f aca="true">IF(B13="","",IF(F13="","",IF(F13&lt;TODAY(),"Expired",IF(F13&lt;=TODAY()+60,"Expiring Soon","OK"))))</f>
        <v/>
      </c>
    </row>
    <row r="14" customFormat="false" ht="15" hidden="false" customHeight="false" outlineLevel="0" collapsed="false">
      <c r="A14" s="32"/>
      <c r="B14" s="32"/>
      <c r="C14" s="32"/>
      <c r="D14" s="32"/>
      <c r="E14" s="35"/>
      <c r="F14" s="35"/>
      <c r="G14" s="32"/>
      <c r="H14" s="33"/>
      <c r="I14" s="37" t="str">
        <f aca="true">IF(B14="","",IF(F14="","",IF(F14&lt;TODAY(),"Expired",IF(F14&lt;=TODAY()+60,"Expiring Soon","OK"))))</f>
        <v/>
      </c>
    </row>
    <row r="15" customFormat="false" ht="15" hidden="false" customHeight="false" outlineLevel="0" collapsed="false">
      <c r="A15" s="32"/>
      <c r="B15" s="32"/>
      <c r="C15" s="32"/>
      <c r="D15" s="32"/>
      <c r="E15" s="35"/>
      <c r="F15" s="35"/>
      <c r="G15" s="32"/>
      <c r="H15" s="33"/>
      <c r="I15" s="37" t="str">
        <f aca="true">IF(B15="","",IF(F15="","",IF(F15&lt;TODAY(),"Expired",IF(F15&lt;=TODAY()+60,"Expiring Soon","OK"))))</f>
        <v/>
      </c>
    </row>
    <row r="16" customFormat="false" ht="15" hidden="false" customHeight="false" outlineLevel="0" collapsed="false">
      <c r="A16" s="32"/>
      <c r="B16" s="32"/>
      <c r="C16" s="32"/>
      <c r="D16" s="32"/>
      <c r="E16" s="35"/>
      <c r="F16" s="35"/>
      <c r="G16" s="32"/>
      <c r="H16" s="33"/>
      <c r="I16" s="37" t="str">
        <f aca="true">IF(B16="","",IF(F16="","",IF(F16&lt;TODAY(),"Expired",IF(F16&lt;=TODAY()+60,"Expiring Soon","OK"))))</f>
        <v/>
      </c>
    </row>
    <row r="17" customFormat="false" ht="15" hidden="false" customHeight="false" outlineLevel="0" collapsed="false">
      <c r="A17" s="32"/>
      <c r="B17" s="32"/>
      <c r="C17" s="32"/>
      <c r="D17" s="32"/>
      <c r="E17" s="35"/>
      <c r="F17" s="35"/>
      <c r="G17" s="32"/>
      <c r="H17" s="33"/>
      <c r="I17" s="37" t="str">
        <f aca="true">IF(B17="","",IF(F17="","",IF(F17&lt;TODAY(),"Expired",IF(F17&lt;=TODAY()+60,"Expiring Soon","OK"))))</f>
        <v/>
      </c>
    </row>
    <row r="18" customFormat="false" ht="15" hidden="false" customHeight="false" outlineLevel="0" collapsed="false">
      <c r="A18" s="32"/>
      <c r="B18" s="32"/>
      <c r="C18" s="32"/>
      <c r="D18" s="32"/>
      <c r="E18" s="35"/>
      <c r="F18" s="35"/>
      <c r="G18" s="32"/>
      <c r="H18" s="33"/>
      <c r="I18" s="37" t="str">
        <f aca="true">IF(B18="","",IF(F18="","",IF(F18&lt;TODAY(),"Expired",IF(F18&lt;=TODAY()+60,"Expiring Soon","OK"))))</f>
        <v/>
      </c>
    </row>
    <row r="19" customFormat="false" ht="15" hidden="false" customHeight="false" outlineLevel="0" collapsed="false">
      <c r="A19" s="32"/>
      <c r="B19" s="32"/>
      <c r="C19" s="32"/>
      <c r="D19" s="32"/>
      <c r="E19" s="35"/>
      <c r="F19" s="35"/>
      <c r="G19" s="32"/>
      <c r="H19" s="33"/>
      <c r="I19" s="37" t="str">
        <f aca="true">IF(B19="","",IF(F19="","",IF(F19&lt;TODAY(),"Expired",IF(F19&lt;=TODAY()+60,"Expiring Soon","OK"))))</f>
        <v/>
      </c>
    </row>
    <row r="20" customFormat="false" ht="15" hidden="false" customHeight="false" outlineLevel="0" collapsed="false">
      <c r="A20" s="32"/>
      <c r="B20" s="32"/>
      <c r="C20" s="32"/>
      <c r="D20" s="32"/>
      <c r="E20" s="35"/>
      <c r="F20" s="35"/>
      <c r="G20" s="32"/>
      <c r="H20" s="33"/>
      <c r="I20" s="37" t="str">
        <f aca="true">IF(B20="","",IF(F20="","",IF(F20&lt;TODAY(),"Expired",IF(F20&lt;=TODAY()+60,"Expiring Soon","OK"))))</f>
        <v/>
      </c>
    </row>
    <row r="21" customFormat="false" ht="15" hidden="false" customHeight="false" outlineLevel="0" collapsed="false">
      <c r="A21" s="32"/>
      <c r="B21" s="32"/>
      <c r="C21" s="32"/>
      <c r="D21" s="32"/>
      <c r="E21" s="35"/>
      <c r="F21" s="35"/>
      <c r="G21" s="32"/>
      <c r="H21" s="33"/>
      <c r="I21" s="37" t="str">
        <f aca="true">IF(B21="","",IF(F21="","",IF(F21&lt;TODAY(),"Expired",IF(F21&lt;=TODAY()+60,"Expiring Soon","OK"))))</f>
        <v/>
      </c>
    </row>
    <row r="22" customFormat="false" ht="15" hidden="false" customHeight="false" outlineLevel="0" collapsed="false">
      <c r="A22" s="32"/>
      <c r="B22" s="32"/>
      <c r="C22" s="32"/>
      <c r="D22" s="32"/>
      <c r="E22" s="35"/>
      <c r="F22" s="35"/>
      <c r="G22" s="32"/>
      <c r="H22" s="33"/>
      <c r="I22" s="37" t="str">
        <f aca="true">IF(B22="","",IF(F22="","",IF(F22&lt;TODAY(),"Expired",IF(F22&lt;=TODAY()+60,"Expiring Soon","OK"))))</f>
        <v/>
      </c>
    </row>
    <row r="23" customFormat="false" ht="15" hidden="false" customHeight="false" outlineLevel="0" collapsed="false">
      <c r="A23" s="32"/>
      <c r="B23" s="32"/>
      <c r="C23" s="32"/>
      <c r="D23" s="32"/>
      <c r="E23" s="35"/>
      <c r="F23" s="35"/>
      <c r="G23" s="32"/>
      <c r="H23" s="33"/>
      <c r="I23" s="37" t="str">
        <f aca="true">IF(B23="","",IF(F23="","",IF(F23&lt;TODAY(),"Expired",IF(F23&lt;=TODAY()+60,"Expiring Soon","OK"))))</f>
        <v/>
      </c>
    </row>
    <row r="24" customFormat="false" ht="15" hidden="false" customHeight="false" outlineLevel="0" collapsed="false">
      <c r="A24" s="32"/>
      <c r="B24" s="32"/>
      <c r="C24" s="32"/>
      <c r="D24" s="32"/>
      <c r="E24" s="35"/>
      <c r="F24" s="35"/>
      <c r="G24" s="32"/>
      <c r="H24" s="33"/>
      <c r="I24" s="37" t="str">
        <f aca="true">IF(B24="","",IF(F24="","",IF(F24&lt;TODAY(),"Expired",IF(F24&lt;=TODAY()+60,"Expiring Soon","OK"))))</f>
        <v/>
      </c>
    </row>
    <row r="25" customFormat="false" ht="15" hidden="false" customHeight="false" outlineLevel="0" collapsed="false">
      <c r="A25" s="32"/>
      <c r="B25" s="32"/>
      <c r="C25" s="32"/>
      <c r="D25" s="32"/>
      <c r="E25" s="35"/>
      <c r="F25" s="35"/>
      <c r="G25" s="32"/>
      <c r="H25" s="33"/>
      <c r="I25" s="37" t="str">
        <f aca="true">IF(B25="","",IF(F25="","",IF(F25&lt;TODAY(),"Expired",IF(F25&lt;=TODAY()+60,"Expiring Soon","OK"))))</f>
        <v/>
      </c>
    </row>
    <row r="26" customFormat="false" ht="15" hidden="false" customHeight="false" outlineLevel="0" collapsed="false">
      <c r="A26" s="32"/>
      <c r="B26" s="32"/>
      <c r="C26" s="32"/>
      <c r="D26" s="32"/>
      <c r="E26" s="35"/>
      <c r="F26" s="35"/>
      <c r="G26" s="32"/>
      <c r="H26" s="33"/>
      <c r="I26" s="37" t="str">
        <f aca="true">IF(B26="","",IF(F26="","",IF(F26&lt;TODAY(),"Expired",IF(F26&lt;=TODAY()+60,"Expiring Soon","OK"))))</f>
        <v/>
      </c>
    </row>
    <row r="27" customFormat="false" ht="15" hidden="false" customHeight="false" outlineLevel="0" collapsed="false">
      <c r="A27" s="32"/>
      <c r="B27" s="32"/>
      <c r="C27" s="32"/>
      <c r="D27" s="32"/>
      <c r="E27" s="35"/>
      <c r="F27" s="35"/>
      <c r="G27" s="32"/>
      <c r="H27" s="33"/>
      <c r="I27" s="37" t="str">
        <f aca="true">IF(B27="","",IF(F27="","",IF(F27&lt;TODAY(),"Expired",IF(F27&lt;=TODAY()+60,"Expiring Soon","OK"))))</f>
        <v/>
      </c>
    </row>
    <row r="28" customFormat="false" ht="15" hidden="false" customHeight="false" outlineLevel="0" collapsed="false">
      <c r="A28" s="32"/>
      <c r="B28" s="32"/>
      <c r="C28" s="32"/>
      <c r="D28" s="32"/>
      <c r="E28" s="35"/>
      <c r="F28" s="35"/>
      <c r="G28" s="32"/>
      <c r="H28" s="33"/>
      <c r="I28" s="37" t="str">
        <f aca="true">IF(B28="","",IF(F28="","",IF(F28&lt;TODAY(),"Expired",IF(F28&lt;=TODAY()+60,"Expiring Soon","OK"))))</f>
        <v/>
      </c>
    </row>
    <row r="29" customFormat="false" ht="15" hidden="false" customHeight="false" outlineLevel="0" collapsed="false">
      <c r="A29" s="32"/>
      <c r="B29" s="32"/>
      <c r="C29" s="32"/>
      <c r="D29" s="32"/>
      <c r="E29" s="35"/>
      <c r="F29" s="35"/>
      <c r="G29" s="32"/>
      <c r="H29" s="33"/>
      <c r="I29" s="37" t="str">
        <f aca="true">IF(B29="","",IF(F29="","",IF(F29&lt;TODAY(),"Expired",IF(F29&lt;=TODAY()+60,"Expiring Soon","OK"))))</f>
        <v/>
      </c>
    </row>
    <row r="30" customFormat="false" ht="15" hidden="false" customHeight="false" outlineLevel="0" collapsed="false">
      <c r="A30" s="32"/>
      <c r="B30" s="32"/>
      <c r="C30" s="32"/>
      <c r="D30" s="32"/>
      <c r="E30" s="35"/>
      <c r="F30" s="35"/>
      <c r="G30" s="32"/>
      <c r="H30" s="33"/>
      <c r="I30" s="37" t="str">
        <f aca="true">IF(B30="","",IF(F30="","",IF(F30&lt;TODAY(),"Expired",IF(F30&lt;=TODAY()+60,"Expiring Soon","OK"))))</f>
        <v/>
      </c>
    </row>
    <row r="31" customFormat="false" ht="15" hidden="false" customHeight="false" outlineLevel="0" collapsed="false">
      <c r="A31" s="32"/>
      <c r="B31" s="32"/>
      <c r="C31" s="32"/>
      <c r="D31" s="32"/>
      <c r="E31" s="35"/>
      <c r="F31" s="35"/>
      <c r="G31" s="32"/>
      <c r="H31" s="33"/>
      <c r="I31" s="37" t="str">
        <f aca="true">IF(B31="","",IF(F31="","",IF(F31&lt;TODAY(),"Expired",IF(F31&lt;=TODAY()+60,"Expiring Soon","OK"))))</f>
        <v/>
      </c>
    </row>
    <row r="32" customFormat="false" ht="15" hidden="false" customHeight="false" outlineLevel="0" collapsed="false">
      <c r="A32" s="32"/>
      <c r="B32" s="32"/>
      <c r="C32" s="32"/>
      <c r="D32" s="32"/>
      <c r="E32" s="35"/>
      <c r="F32" s="35"/>
      <c r="G32" s="32"/>
      <c r="H32" s="33"/>
      <c r="I32" s="37" t="str">
        <f aca="true">IF(B32="","",IF(F32="","",IF(F32&lt;TODAY(),"Expired",IF(F32&lt;=TODAY()+60,"Expiring Soon","OK"))))</f>
        <v/>
      </c>
    </row>
    <row r="33" customFormat="false" ht="15" hidden="false" customHeight="false" outlineLevel="0" collapsed="false">
      <c r="A33" s="32"/>
      <c r="B33" s="32"/>
      <c r="C33" s="32"/>
      <c r="D33" s="32"/>
      <c r="E33" s="35"/>
      <c r="F33" s="35"/>
      <c r="G33" s="32"/>
      <c r="H33" s="33"/>
      <c r="I33" s="37" t="str">
        <f aca="true">IF(B33="","",IF(F33="","",IF(F33&lt;TODAY(),"Expired",IF(F33&lt;=TODAY()+60,"Expiring Soon","OK"))))</f>
        <v/>
      </c>
    </row>
    <row r="34" customFormat="false" ht="15" hidden="false" customHeight="false" outlineLevel="0" collapsed="false">
      <c r="A34" s="32"/>
      <c r="B34" s="32"/>
      <c r="C34" s="32"/>
      <c r="D34" s="32"/>
      <c r="E34" s="35"/>
      <c r="F34" s="35"/>
      <c r="G34" s="32"/>
      <c r="H34" s="33"/>
      <c r="I34" s="37" t="str">
        <f aca="true">IF(B34="","",IF(F34="","",IF(F34&lt;TODAY(),"Expired",IF(F34&lt;=TODAY()+60,"Expiring Soon","OK"))))</f>
        <v/>
      </c>
    </row>
    <row r="35" customFormat="false" ht="15" hidden="false" customHeight="false" outlineLevel="0" collapsed="false">
      <c r="A35" s="32"/>
      <c r="B35" s="32"/>
      <c r="C35" s="32"/>
      <c r="D35" s="32"/>
      <c r="E35" s="35"/>
      <c r="F35" s="35"/>
      <c r="G35" s="32"/>
      <c r="H35" s="33"/>
      <c r="I35" s="37" t="str">
        <f aca="true">IF(B35="","",IF(F35="","",IF(F35&lt;TODAY(),"Expired",IF(F35&lt;=TODAY()+60,"Expiring Soon","OK"))))</f>
        <v/>
      </c>
    </row>
    <row r="36" customFormat="false" ht="15" hidden="false" customHeight="false" outlineLevel="0" collapsed="false">
      <c r="A36" s="32"/>
      <c r="B36" s="32"/>
      <c r="C36" s="32"/>
      <c r="D36" s="32"/>
      <c r="E36" s="35"/>
      <c r="F36" s="35"/>
      <c r="G36" s="32"/>
      <c r="H36" s="33"/>
      <c r="I36" s="37" t="str">
        <f aca="true">IF(B36="","",IF(F36="","",IF(F36&lt;TODAY(),"Expired",IF(F36&lt;=TODAY()+60,"Expiring Soon","OK"))))</f>
        <v/>
      </c>
    </row>
    <row r="37" customFormat="false" ht="15" hidden="false" customHeight="false" outlineLevel="0" collapsed="false">
      <c r="A37" s="32"/>
      <c r="B37" s="32"/>
      <c r="C37" s="32"/>
      <c r="D37" s="32"/>
      <c r="E37" s="35"/>
      <c r="F37" s="35"/>
      <c r="G37" s="32"/>
      <c r="H37" s="33"/>
      <c r="I37" s="37" t="str">
        <f aca="true">IF(B37="","",IF(F37="","",IF(F37&lt;TODAY(),"Expired",IF(F37&lt;=TODAY()+60,"Expiring Soon","OK"))))</f>
        <v/>
      </c>
    </row>
    <row r="38" customFormat="false" ht="15" hidden="false" customHeight="false" outlineLevel="0" collapsed="false">
      <c r="A38" s="32"/>
      <c r="B38" s="32"/>
      <c r="C38" s="32"/>
      <c r="D38" s="32"/>
      <c r="E38" s="35"/>
      <c r="F38" s="35"/>
      <c r="G38" s="32"/>
      <c r="H38" s="33"/>
      <c r="I38" s="37" t="str">
        <f aca="true">IF(B38="","",IF(F38="","",IF(F38&lt;TODAY(),"Expired",IF(F38&lt;=TODAY()+60,"Expiring Soon","OK"))))</f>
        <v/>
      </c>
    </row>
    <row r="39" customFormat="false" ht="15" hidden="false" customHeight="false" outlineLevel="0" collapsed="false">
      <c r="A39" s="32"/>
      <c r="B39" s="32"/>
      <c r="C39" s="32"/>
      <c r="D39" s="32"/>
      <c r="E39" s="35"/>
      <c r="F39" s="35"/>
      <c r="G39" s="32"/>
      <c r="H39" s="33"/>
      <c r="I39" s="37" t="str">
        <f aca="true">IF(B39="","",IF(F39="","",IF(F39&lt;TODAY(),"Expired",IF(F39&lt;=TODAY()+60,"Expiring Soon","OK"))))</f>
        <v/>
      </c>
    </row>
    <row r="40" customFormat="false" ht="15" hidden="false" customHeight="false" outlineLevel="0" collapsed="false">
      <c r="A40" s="32"/>
      <c r="B40" s="32"/>
      <c r="C40" s="32"/>
      <c r="D40" s="32"/>
      <c r="E40" s="35"/>
      <c r="F40" s="35"/>
      <c r="G40" s="32"/>
      <c r="H40" s="33"/>
      <c r="I40" s="37" t="str">
        <f aca="true">IF(B40="","",IF(F40="","",IF(F40&lt;TODAY(),"Expired",IF(F40&lt;=TODAY()+60,"Expiring Soon","OK"))))</f>
        <v/>
      </c>
    </row>
    <row r="41" customFormat="false" ht="15" hidden="false" customHeight="false" outlineLevel="0" collapsed="false">
      <c r="A41" s="32"/>
      <c r="B41" s="32"/>
      <c r="C41" s="32"/>
      <c r="D41" s="32"/>
      <c r="E41" s="35"/>
      <c r="F41" s="35"/>
      <c r="G41" s="32"/>
      <c r="H41" s="33"/>
      <c r="I41" s="37" t="str">
        <f aca="true">IF(B41="","",IF(F41="","",IF(F41&lt;TODAY(),"Expired",IF(F41&lt;=TODAY()+60,"Expiring Soon","OK"))))</f>
        <v/>
      </c>
    </row>
    <row r="42" customFormat="false" ht="15" hidden="false" customHeight="false" outlineLevel="0" collapsed="false">
      <c r="A42" s="32"/>
      <c r="B42" s="32"/>
      <c r="C42" s="32"/>
      <c r="D42" s="32"/>
      <c r="E42" s="35"/>
      <c r="F42" s="35"/>
      <c r="G42" s="32"/>
      <c r="H42" s="33"/>
      <c r="I42" s="37" t="str">
        <f aca="true">IF(B42="","",IF(F42="","",IF(F42&lt;TODAY(),"Expired",IF(F42&lt;=TODAY()+60,"Expiring Soon","OK"))))</f>
        <v/>
      </c>
    </row>
    <row r="43" customFormat="false" ht="15" hidden="false" customHeight="false" outlineLevel="0" collapsed="false">
      <c r="A43" s="32"/>
      <c r="B43" s="32"/>
      <c r="C43" s="32"/>
      <c r="D43" s="32"/>
      <c r="E43" s="35"/>
      <c r="F43" s="35"/>
      <c r="G43" s="32"/>
      <c r="H43" s="33"/>
      <c r="I43" s="37" t="str">
        <f aca="true">IF(B43="","",IF(F43="","",IF(F43&lt;TODAY(),"Expired",IF(F43&lt;=TODAY()+60,"Expiring Soon","OK"))))</f>
        <v/>
      </c>
    </row>
    <row r="44" customFormat="false" ht="15" hidden="false" customHeight="false" outlineLevel="0" collapsed="false">
      <c r="A44" s="32"/>
      <c r="B44" s="32"/>
      <c r="C44" s="32"/>
      <c r="D44" s="32"/>
      <c r="E44" s="35"/>
      <c r="F44" s="35"/>
      <c r="G44" s="32"/>
      <c r="H44" s="33"/>
      <c r="I44" s="37" t="str">
        <f aca="true">IF(B44="","",IF(F44="","",IF(F44&lt;TODAY(),"Expired",IF(F44&lt;=TODAY()+60,"Expiring Soon","OK"))))</f>
        <v/>
      </c>
    </row>
    <row r="45" customFormat="false" ht="15" hidden="false" customHeight="false" outlineLevel="0" collapsed="false">
      <c r="A45" s="32"/>
      <c r="B45" s="32"/>
      <c r="C45" s="32"/>
      <c r="D45" s="32"/>
      <c r="E45" s="35"/>
      <c r="F45" s="35"/>
      <c r="G45" s="32"/>
      <c r="H45" s="33"/>
      <c r="I45" s="37" t="str">
        <f aca="true">IF(B45="","",IF(F45="","",IF(F45&lt;TODAY(),"Expired",IF(F45&lt;=TODAY()+60,"Expiring Soon","OK"))))</f>
        <v/>
      </c>
    </row>
    <row r="46" customFormat="false" ht="15" hidden="false" customHeight="false" outlineLevel="0" collapsed="false">
      <c r="A46" s="32"/>
      <c r="B46" s="32"/>
      <c r="C46" s="32"/>
      <c r="D46" s="32"/>
      <c r="E46" s="35"/>
      <c r="F46" s="35"/>
      <c r="G46" s="32"/>
      <c r="H46" s="33"/>
      <c r="I46" s="37" t="str">
        <f aca="true">IF(B46="","",IF(F46="","",IF(F46&lt;TODAY(),"Expired",IF(F46&lt;=TODAY()+60,"Expiring Soon","OK"))))</f>
        <v/>
      </c>
    </row>
    <row r="47" customFormat="false" ht="15" hidden="false" customHeight="false" outlineLevel="0" collapsed="false">
      <c r="A47" s="32"/>
      <c r="B47" s="32"/>
      <c r="C47" s="32"/>
      <c r="D47" s="32"/>
      <c r="E47" s="35"/>
      <c r="F47" s="35"/>
      <c r="G47" s="32"/>
      <c r="H47" s="33"/>
      <c r="I47" s="37" t="str">
        <f aca="true">IF(B47="","",IF(F47="","",IF(F47&lt;TODAY(),"Expired",IF(F47&lt;=TODAY()+60,"Expiring Soon","OK"))))</f>
        <v/>
      </c>
    </row>
    <row r="48" customFormat="false" ht="15" hidden="false" customHeight="false" outlineLevel="0" collapsed="false">
      <c r="A48" s="32"/>
      <c r="B48" s="32"/>
      <c r="C48" s="32"/>
      <c r="D48" s="32"/>
      <c r="E48" s="35"/>
      <c r="F48" s="35"/>
      <c r="G48" s="32"/>
      <c r="H48" s="33"/>
      <c r="I48" s="37" t="str">
        <f aca="true">IF(B48="","",IF(F48="","",IF(F48&lt;TODAY(),"Expired",IF(F48&lt;=TODAY()+60,"Expiring Soon","OK"))))</f>
        <v/>
      </c>
    </row>
    <row r="49" customFormat="false" ht="15" hidden="false" customHeight="false" outlineLevel="0" collapsed="false">
      <c r="A49" s="32"/>
      <c r="B49" s="32"/>
      <c r="C49" s="32"/>
      <c r="D49" s="32"/>
      <c r="E49" s="35"/>
      <c r="F49" s="35"/>
      <c r="G49" s="32"/>
      <c r="H49" s="33"/>
      <c r="I49" s="37" t="str">
        <f aca="true">IF(B49="","",IF(F49="","",IF(F49&lt;TODAY(),"Expired",IF(F49&lt;=TODAY()+60,"Expiring Soon","OK"))))</f>
        <v/>
      </c>
    </row>
    <row r="50" customFormat="false" ht="15" hidden="false" customHeight="false" outlineLevel="0" collapsed="false">
      <c r="A50" s="32"/>
      <c r="B50" s="32"/>
      <c r="C50" s="32"/>
      <c r="D50" s="32"/>
      <c r="E50" s="35"/>
      <c r="F50" s="35"/>
      <c r="G50" s="32"/>
      <c r="H50" s="33"/>
      <c r="I50" s="37" t="str">
        <f aca="true">IF(B50="","",IF(F50="","",IF(F50&lt;TODAY(),"Expired",IF(F50&lt;=TODAY()+60,"Expiring Soon","OK"))))</f>
        <v/>
      </c>
    </row>
    <row r="51" customFormat="false" ht="15" hidden="false" customHeight="false" outlineLevel="0" collapsed="false">
      <c r="A51" s="32"/>
      <c r="B51" s="32"/>
      <c r="C51" s="32"/>
      <c r="D51" s="32"/>
      <c r="E51" s="35"/>
      <c r="F51" s="35"/>
      <c r="G51" s="32"/>
      <c r="H51" s="33"/>
      <c r="I51" s="37" t="str">
        <f aca="true">IF(B51="","",IF(F51="","",IF(F51&lt;TODAY(),"Expired",IF(F51&lt;=TODAY()+60,"Expiring Soon","OK"))))</f>
        <v/>
      </c>
    </row>
    <row r="52" customFormat="false" ht="15" hidden="false" customHeight="false" outlineLevel="0" collapsed="false">
      <c r="A52" s="32"/>
      <c r="B52" s="32"/>
      <c r="C52" s="32"/>
      <c r="D52" s="32"/>
      <c r="E52" s="35"/>
      <c r="F52" s="35"/>
      <c r="G52" s="32"/>
      <c r="H52" s="33"/>
      <c r="I52" s="37" t="str">
        <f aca="true">IF(B52="","",IF(F52="","",IF(F52&lt;TODAY(),"Expired",IF(F52&lt;=TODAY()+60,"Expiring Soon","OK"))))</f>
        <v/>
      </c>
    </row>
    <row r="53" customFormat="false" ht="15" hidden="false" customHeight="false" outlineLevel="0" collapsed="false">
      <c r="A53" s="32"/>
      <c r="B53" s="32"/>
      <c r="C53" s="32"/>
      <c r="D53" s="32"/>
      <c r="E53" s="35"/>
      <c r="F53" s="35"/>
      <c r="G53" s="32"/>
      <c r="H53" s="33"/>
      <c r="I53" s="37" t="str">
        <f aca="true">IF(B53="","",IF(F53="","",IF(F53&lt;TODAY(),"Expired",IF(F53&lt;=TODAY()+60,"Expiring Soon","OK"))))</f>
        <v/>
      </c>
    </row>
    <row r="54" customFormat="false" ht="15" hidden="false" customHeight="false" outlineLevel="0" collapsed="false">
      <c r="A54" s="32"/>
      <c r="B54" s="32"/>
      <c r="C54" s="32"/>
      <c r="D54" s="32"/>
      <c r="E54" s="35"/>
      <c r="F54" s="35"/>
      <c r="G54" s="32"/>
      <c r="H54" s="33"/>
      <c r="I54" s="37" t="str">
        <f aca="true">IF(B54="","",IF(F54="","",IF(F54&lt;TODAY(),"Expired",IF(F54&lt;=TODAY()+60,"Expiring Soon","OK"))))</f>
        <v/>
      </c>
    </row>
    <row r="55" customFormat="false" ht="15" hidden="false" customHeight="false" outlineLevel="0" collapsed="false">
      <c r="A55" s="32"/>
      <c r="B55" s="32"/>
      <c r="C55" s="32"/>
      <c r="D55" s="32"/>
      <c r="E55" s="35"/>
      <c r="F55" s="35"/>
      <c r="G55" s="32"/>
      <c r="H55" s="33"/>
      <c r="I55" s="37" t="str">
        <f aca="true">IF(B55="","",IF(F55="","",IF(F55&lt;TODAY(),"Expired",IF(F55&lt;=TODAY()+60,"Expiring Soon","OK"))))</f>
        <v/>
      </c>
    </row>
    <row r="56" customFormat="false" ht="15" hidden="false" customHeight="false" outlineLevel="0" collapsed="false">
      <c r="A56" s="32"/>
      <c r="B56" s="32"/>
      <c r="C56" s="32"/>
      <c r="D56" s="32"/>
      <c r="E56" s="35"/>
      <c r="F56" s="35"/>
      <c r="G56" s="32"/>
      <c r="H56" s="33"/>
      <c r="I56" s="37" t="str">
        <f aca="true">IF(B56="","",IF(F56="","",IF(F56&lt;TODAY(),"Expired",IF(F56&lt;=TODAY()+60,"Expiring Soon","OK"))))</f>
        <v/>
      </c>
    </row>
    <row r="57" customFormat="false" ht="15" hidden="false" customHeight="false" outlineLevel="0" collapsed="false">
      <c r="A57" s="32"/>
      <c r="B57" s="32"/>
      <c r="C57" s="32"/>
      <c r="D57" s="32"/>
      <c r="E57" s="35"/>
      <c r="F57" s="35"/>
      <c r="G57" s="32"/>
      <c r="H57" s="33"/>
      <c r="I57" s="37" t="str">
        <f aca="true">IF(B57="","",IF(F57="","",IF(F57&lt;TODAY(),"Expired",IF(F57&lt;=TODAY()+60,"Expiring Soon","OK"))))</f>
        <v/>
      </c>
    </row>
    <row r="58" customFormat="false" ht="15" hidden="false" customHeight="false" outlineLevel="0" collapsed="false">
      <c r="A58" s="32"/>
      <c r="B58" s="32"/>
      <c r="C58" s="32"/>
      <c r="D58" s="32"/>
      <c r="E58" s="35"/>
      <c r="F58" s="35"/>
      <c r="G58" s="32"/>
      <c r="H58" s="33"/>
      <c r="I58" s="37" t="str">
        <f aca="true">IF(B58="","",IF(F58="","",IF(F58&lt;TODAY(),"Expired",IF(F58&lt;=TODAY()+60,"Expiring Soon","OK"))))</f>
        <v/>
      </c>
    </row>
    <row r="59" customFormat="false" ht="15" hidden="false" customHeight="false" outlineLevel="0" collapsed="false">
      <c r="A59" s="32"/>
      <c r="B59" s="32"/>
      <c r="C59" s="32"/>
      <c r="D59" s="32"/>
      <c r="E59" s="35"/>
      <c r="F59" s="35"/>
      <c r="G59" s="32"/>
      <c r="H59" s="33"/>
      <c r="I59" s="37" t="str">
        <f aca="true">IF(B59="","",IF(F59="","",IF(F59&lt;TODAY(),"Expired",IF(F59&lt;=TODAY()+60,"Expiring Soon","OK"))))</f>
        <v/>
      </c>
    </row>
    <row r="60" customFormat="false" ht="15" hidden="false" customHeight="false" outlineLevel="0" collapsed="false">
      <c r="A60" s="32"/>
      <c r="B60" s="32"/>
      <c r="C60" s="32"/>
      <c r="D60" s="32"/>
      <c r="E60" s="35"/>
      <c r="F60" s="35"/>
      <c r="G60" s="32"/>
      <c r="H60" s="33"/>
      <c r="I60" s="37" t="str">
        <f aca="true">IF(B60="","",IF(F60="","",IF(F60&lt;TODAY(),"Expired",IF(F60&lt;=TODAY()+60,"Expiring Soon","OK"))))</f>
        <v/>
      </c>
    </row>
    <row r="61" customFormat="false" ht="15" hidden="false" customHeight="false" outlineLevel="0" collapsed="false">
      <c r="A61" s="32"/>
      <c r="B61" s="32"/>
      <c r="C61" s="32"/>
      <c r="D61" s="32"/>
      <c r="E61" s="35"/>
      <c r="F61" s="35"/>
      <c r="G61" s="32"/>
      <c r="H61" s="33"/>
      <c r="I61" s="37" t="str">
        <f aca="true">IF(B61="","",IF(F61="","",IF(F61&lt;TODAY(),"Expired",IF(F61&lt;=TODAY()+60,"Expiring Soon","OK"))))</f>
        <v/>
      </c>
    </row>
    <row r="62" customFormat="false" ht="15" hidden="false" customHeight="false" outlineLevel="0" collapsed="false">
      <c r="A62" s="32"/>
      <c r="B62" s="32"/>
      <c r="C62" s="32"/>
      <c r="D62" s="32"/>
      <c r="E62" s="35"/>
      <c r="F62" s="35"/>
      <c r="G62" s="32"/>
      <c r="H62" s="33"/>
      <c r="I62" s="37" t="str">
        <f aca="true">IF(B62="","",IF(F62="","",IF(F62&lt;TODAY(),"Expired",IF(F62&lt;=TODAY()+60,"Expiring Soon","OK"))))</f>
        <v/>
      </c>
    </row>
    <row r="63" customFormat="false" ht="15" hidden="false" customHeight="false" outlineLevel="0" collapsed="false">
      <c r="A63" s="32"/>
      <c r="B63" s="32"/>
      <c r="C63" s="32"/>
      <c r="D63" s="32"/>
      <c r="E63" s="35"/>
      <c r="F63" s="35"/>
      <c r="G63" s="32"/>
      <c r="H63" s="33"/>
      <c r="I63" s="37" t="str">
        <f aca="true">IF(B63="","",IF(F63="","",IF(F63&lt;TODAY(),"Expired",IF(F63&lt;=TODAY()+60,"Expiring Soon","OK"))))</f>
        <v/>
      </c>
    </row>
    <row r="64" customFormat="false" ht="15" hidden="false" customHeight="false" outlineLevel="0" collapsed="false">
      <c r="A64" s="32"/>
      <c r="B64" s="32"/>
      <c r="C64" s="32"/>
      <c r="D64" s="32"/>
      <c r="E64" s="35"/>
      <c r="F64" s="35"/>
      <c r="G64" s="32"/>
      <c r="H64" s="33"/>
      <c r="I64" s="37" t="str">
        <f aca="true">IF(B64="","",IF(F64="","",IF(F64&lt;TODAY(),"Expired",IF(F64&lt;=TODAY()+60,"Expiring Soon","OK"))))</f>
        <v/>
      </c>
    </row>
    <row r="65" customFormat="false" ht="15" hidden="false" customHeight="false" outlineLevel="0" collapsed="false">
      <c r="A65" s="32"/>
      <c r="B65" s="32"/>
      <c r="C65" s="32"/>
      <c r="D65" s="32"/>
      <c r="E65" s="35"/>
      <c r="F65" s="35"/>
      <c r="G65" s="32"/>
      <c r="H65" s="33"/>
      <c r="I65" s="37" t="str">
        <f aca="true">IF(B65="","",IF(F65="","",IF(F65&lt;TODAY(),"Expired",IF(F65&lt;=TODAY()+60,"Expiring Soon","OK"))))</f>
        <v/>
      </c>
    </row>
    <row r="66" customFormat="false" ht="15" hidden="false" customHeight="false" outlineLevel="0" collapsed="false">
      <c r="A66" s="32"/>
      <c r="B66" s="32"/>
      <c r="C66" s="32"/>
      <c r="D66" s="32"/>
      <c r="E66" s="35"/>
      <c r="F66" s="35"/>
      <c r="G66" s="32"/>
      <c r="H66" s="33"/>
      <c r="I66" s="37" t="str">
        <f aca="true">IF(B66="","",IF(F66="","",IF(F66&lt;TODAY(),"Expired",IF(F66&lt;=TODAY()+60,"Expiring Soon","OK"))))</f>
        <v/>
      </c>
    </row>
    <row r="67" customFormat="false" ht="15" hidden="false" customHeight="false" outlineLevel="0" collapsed="false">
      <c r="A67" s="32"/>
      <c r="B67" s="32"/>
      <c r="C67" s="32"/>
      <c r="D67" s="32"/>
      <c r="E67" s="35"/>
      <c r="F67" s="35"/>
      <c r="G67" s="32"/>
      <c r="H67" s="33"/>
      <c r="I67" s="37" t="str">
        <f aca="true">IF(B67="","",IF(F67="","",IF(F67&lt;TODAY(),"Expired",IF(F67&lt;=TODAY()+60,"Expiring Soon","OK"))))</f>
        <v/>
      </c>
    </row>
    <row r="68" customFormat="false" ht="15" hidden="false" customHeight="false" outlineLevel="0" collapsed="false">
      <c r="A68" s="32"/>
      <c r="B68" s="32"/>
      <c r="C68" s="32"/>
      <c r="D68" s="32"/>
      <c r="E68" s="35"/>
      <c r="F68" s="35"/>
      <c r="G68" s="32"/>
      <c r="H68" s="33"/>
      <c r="I68" s="37" t="str">
        <f aca="true">IF(B68="","",IF(F68="","",IF(F68&lt;TODAY(),"Expired",IF(F68&lt;=TODAY()+60,"Expiring Soon","OK"))))</f>
        <v/>
      </c>
    </row>
    <row r="69" customFormat="false" ht="15" hidden="false" customHeight="false" outlineLevel="0" collapsed="false">
      <c r="A69" s="32"/>
      <c r="B69" s="32"/>
      <c r="C69" s="32"/>
      <c r="D69" s="32"/>
      <c r="E69" s="35"/>
      <c r="F69" s="35"/>
      <c r="G69" s="32"/>
      <c r="H69" s="33"/>
      <c r="I69" s="37" t="str">
        <f aca="true">IF(B69="","",IF(F69="","",IF(F69&lt;TODAY(),"Expired",IF(F69&lt;=TODAY()+60,"Expiring Soon","OK"))))</f>
        <v/>
      </c>
    </row>
    <row r="70" customFormat="false" ht="15" hidden="false" customHeight="false" outlineLevel="0" collapsed="false">
      <c r="A70" s="32"/>
      <c r="B70" s="32"/>
      <c r="C70" s="32"/>
      <c r="D70" s="32"/>
      <c r="E70" s="35"/>
      <c r="F70" s="35"/>
      <c r="G70" s="32"/>
      <c r="H70" s="33"/>
      <c r="I70" s="37" t="str">
        <f aca="true">IF(B70="","",IF(F70="","",IF(F70&lt;TODAY(),"Expired",IF(F70&lt;=TODAY()+60,"Expiring Soon","OK"))))</f>
        <v/>
      </c>
    </row>
    <row r="71" customFormat="false" ht="15" hidden="false" customHeight="false" outlineLevel="0" collapsed="false">
      <c r="A71" s="32"/>
      <c r="B71" s="32"/>
      <c r="C71" s="32"/>
      <c r="D71" s="32"/>
      <c r="E71" s="35"/>
      <c r="F71" s="35"/>
      <c r="G71" s="32"/>
      <c r="H71" s="33"/>
      <c r="I71" s="37" t="str">
        <f aca="true">IF(B71="","",IF(F71="","",IF(F71&lt;TODAY(),"Expired",IF(F71&lt;=TODAY()+60,"Expiring Soon","OK"))))</f>
        <v/>
      </c>
    </row>
    <row r="72" customFormat="false" ht="15" hidden="false" customHeight="false" outlineLevel="0" collapsed="false">
      <c r="A72" s="32"/>
      <c r="B72" s="32"/>
      <c r="C72" s="32"/>
      <c r="D72" s="32"/>
      <c r="E72" s="35"/>
      <c r="F72" s="35"/>
      <c r="G72" s="32"/>
      <c r="H72" s="33"/>
      <c r="I72" s="37" t="str">
        <f aca="true">IF(B72="","",IF(F72="","",IF(F72&lt;TODAY(),"Expired",IF(F72&lt;=TODAY()+60,"Expiring Soon","OK"))))</f>
        <v/>
      </c>
    </row>
    <row r="73" customFormat="false" ht="15" hidden="false" customHeight="false" outlineLevel="0" collapsed="false">
      <c r="A73" s="32"/>
      <c r="B73" s="32"/>
      <c r="C73" s="32"/>
      <c r="D73" s="32"/>
      <c r="E73" s="35"/>
      <c r="F73" s="35"/>
      <c r="G73" s="32"/>
      <c r="H73" s="33"/>
      <c r="I73" s="37" t="str">
        <f aca="true">IF(B73="","",IF(F73="","",IF(F73&lt;TODAY(),"Expired",IF(F73&lt;=TODAY()+60,"Expiring Soon","OK"))))</f>
        <v/>
      </c>
    </row>
    <row r="74" customFormat="false" ht="15" hidden="false" customHeight="false" outlineLevel="0" collapsed="false">
      <c r="A74" s="32"/>
      <c r="B74" s="32"/>
      <c r="C74" s="32"/>
      <c r="D74" s="32"/>
      <c r="E74" s="35"/>
      <c r="F74" s="35"/>
      <c r="G74" s="32"/>
      <c r="H74" s="33"/>
      <c r="I74" s="37" t="str">
        <f aca="true">IF(B74="","",IF(F74="","",IF(F74&lt;TODAY(),"Expired",IF(F74&lt;=TODAY()+60,"Expiring Soon","OK"))))</f>
        <v/>
      </c>
    </row>
    <row r="75" customFormat="false" ht="15" hidden="false" customHeight="false" outlineLevel="0" collapsed="false">
      <c r="A75" s="32"/>
      <c r="B75" s="32"/>
      <c r="C75" s="32"/>
      <c r="D75" s="32"/>
      <c r="E75" s="35"/>
      <c r="F75" s="35"/>
      <c r="G75" s="32"/>
      <c r="H75" s="33"/>
      <c r="I75" s="37" t="str">
        <f aca="true">IF(B75="","",IF(F75="","",IF(F75&lt;TODAY(),"Expired",IF(F75&lt;=TODAY()+60,"Expiring Soon","OK"))))</f>
        <v/>
      </c>
    </row>
    <row r="76" customFormat="false" ht="15" hidden="false" customHeight="false" outlineLevel="0" collapsed="false">
      <c r="A76" s="32"/>
      <c r="B76" s="32"/>
      <c r="C76" s="32"/>
      <c r="D76" s="32"/>
      <c r="E76" s="35"/>
      <c r="F76" s="35"/>
      <c r="G76" s="32"/>
      <c r="H76" s="33"/>
      <c r="I76" s="37" t="str">
        <f aca="true">IF(B76="","",IF(F76="","",IF(F76&lt;TODAY(),"Expired",IF(F76&lt;=TODAY()+60,"Expiring Soon","OK"))))</f>
        <v/>
      </c>
    </row>
    <row r="77" customFormat="false" ht="15" hidden="false" customHeight="false" outlineLevel="0" collapsed="false">
      <c r="A77" s="32"/>
      <c r="B77" s="32"/>
      <c r="C77" s="32"/>
      <c r="D77" s="32"/>
      <c r="E77" s="35"/>
      <c r="F77" s="35"/>
      <c r="G77" s="32"/>
      <c r="H77" s="33"/>
      <c r="I77" s="37" t="str">
        <f aca="true">IF(B77="","",IF(F77="","",IF(F77&lt;TODAY(),"Expired",IF(F77&lt;=TODAY()+60,"Expiring Soon","OK"))))</f>
        <v/>
      </c>
    </row>
    <row r="78" customFormat="false" ht="15" hidden="false" customHeight="false" outlineLevel="0" collapsed="false">
      <c r="A78" s="32"/>
      <c r="B78" s="32"/>
      <c r="C78" s="32"/>
      <c r="D78" s="32"/>
      <c r="E78" s="35"/>
      <c r="F78" s="35"/>
      <c r="G78" s="32"/>
      <c r="H78" s="33"/>
      <c r="I78" s="37" t="str">
        <f aca="true">IF(B78="","",IF(F78="","",IF(F78&lt;TODAY(),"Expired",IF(F78&lt;=TODAY()+60,"Expiring Soon","OK"))))</f>
        <v/>
      </c>
    </row>
    <row r="79" customFormat="false" ht="15" hidden="false" customHeight="false" outlineLevel="0" collapsed="false">
      <c r="A79" s="32"/>
      <c r="B79" s="32"/>
      <c r="C79" s="32"/>
      <c r="D79" s="32"/>
      <c r="E79" s="35"/>
      <c r="F79" s="35"/>
      <c r="G79" s="32"/>
      <c r="H79" s="33"/>
      <c r="I79" s="37" t="str">
        <f aca="true">IF(B79="","",IF(F79="","",IF(F79&lt;TODAY(),"Expired",IF(F79&lt;=TODAY()+60,"Expiring Soon","OK"))))</f>
        <v/>
      </c>
    </row>
    <row r="80" customFormat="false" ht="15" hidden="false" customHeight="false" outlineLevel="0" collapsed="false">
      <c r="A80" s="32"/>
      <c r="B80" s="32"/>
      <c r="C80" s="32"/>
      <c r="D80" s="32"/>
      <c r="E80" s="35"/>
      <c r="F80" s="35"/>
      <c r="G80" s="32"/>
      <c r="H80" s="33"/>
      <c r="I80" s="37" t="str">
        <f aca="true">IF(B80="","",IF(F80="","",IF(F80&lt;TODAY(),"Expired",IF(F80&lt;=TODAY()+60,"Expiring Soon","OK"))))</f>
        <v/>
      </c>
    </row>
    <row r="81" customFormat="false" ht="15" hidden="false" customHeight="false" outlineLevel="0" collapsed="false">
      <c r="A81" s="32"/>
      <c r="B81" s="32"/>
      <c r="C81" s="32"/>
      <c r="D81" s="32"/>
      <c r="E81" s="35"/>
      <c r="F81" s="35"/>
      <c r="G81" s="32"/>
      <c r="H81" s="33"/>
      <c r="I81" s="37" t="str">
        <f aca="true">IF(B81="","",IF(F81="","",IF(F81&lt;TODAY(),"Expired",IF(F81&lt;=TODAY()+60,"Expiring Soon","OK"))))</f>
        <v/>
      </c>
    </row>
    <row r="82" customFormat="false" ht="15" hidden="false" customHeight="false" outlineLevel="0" collapsed="false">
      <c r="A82" s="32"/>
      <c r="B82" s="32"/>
      <c r="C82" s="32"/>
      <c r="D82" s="32"/>
      <c r="E82" s="35"/>
      <c r="F82" s="35"/>
      <c r="G82" s="32"/>
      <c r="H82" s="33"/>
      <c r="I82" s="37" t="str">
        <f aca="true">IF(B82="","",IF(F82="","",IF(F82&lt;TODAY(),"Expired",IF(F82&lt;=TODAY()+60,"Expiring Soon","OK"))))</f>
        <v/>
      </c>
    </row>
    <row r="83" customFormat="false" ht="15" hidden="false" customHeight="false" outlineLevel="0" collapsed="false">
      <c r="A83" s="32"/>
      <c r="B83" s="32"/>
      <c r="C83" s="32"/>
      <c r="D83" s="32"/>
      <c r="E83" s="35"/>
      <c r="F83" s="35"/>
      <c r="G83" s="32"/>
      <c r="H83" s="33"/>
      <c r="I83" s="37" t="str">
        <f aca="true">IF(B83="","",IF(F83="","",IF(F83&lt;TODAY(),"Expired",IF(F83&lt;=TODAY()+60,"Expiring Soon","OK"))))</f>
        <v/>
      </c>
    </row>
    <row r="84" customFormat="false" ht="15" hidden="false" customHeight="false" outlineLevel="0" collapsed="false">
      <c r="A84" s="32"/>
      <c r="B84" s="32"/>
      <c r="C84" s="32"/>
      <c r="D84" s="32"/>
      <c r="E84" s="35"/>
      <c r="F84" s="35"/>
      <c r="G84" s="32"/>
      <c r="H84" s="33"/>
      <c r="I84" s="37" t="str">
        <f aca="true">IF(B84="","",IF(F84="","",IF(F84&lt;TODAY(),"Expired",IF(F84&lt;=TODAY()+60,"Expiring Soon","OK"))))</f>
        <v/>
      </c>
    </row>
    <row r="85" customFormat="false" ht="15" hidden="false" customHeight="false" outlineLevel="0" collapsed="false">
      <c r="A85" s="32"/>
      <c r="B85" s="32"/>
      <c r="C85" s="32"/>
      <c r="D85" s="32"/>
      <c r="E85" s="35"/>
      <c r="F85" s="35"/>
      <c r="G85" s="32"/>
      <c r="H85" s="33"/>
      <c r="I85" s="37" t="str">
        <f aca="true">IF(B85="","",IF(F85="","",IF(F85&lt;TODAY(),"Expired",IF(F85&lt;=TODAY()+60,"Expiring Soon","OK"))))</f>
        <v/>
      </c>
    </row>
    <row r="86" customFormat="false" ht="15" hidden="false" customHeight="false" outlineLevel="0" collapsed="false">
      <c r="A86" s="32"/>
      <c r="B86" s="32"/>
      <c r="C86" s="32"/>
      <c r="D86" s="32"/>
      <c r="E86" s="35"/>
      <c r="F86" s="35"/>
      <c r="G86" s="32"/>
      <c r="H86" s="33"/>
      <c r="I86" s="37" t="str">
        <f aca="true">IF(B86="","",IF(F86="","",IF(F86&lt;TODAY(),"Expired",IF(F86&lt;=TODAY()+60,"Expiring Soon","OK"))))</f>
        <v/>
      </c>
    </row>
    <row r="87" customFormat="false" ht="15" hidden="false" customHeight="false" outlineLevel="0" collapsed="false">
      <c r="A87" s="32"/>
      <c r="B87" s="32"/>
      <c r="C87" s="32"/>
      <c r="D87" s="32"/>
      <c r="E87" s="35"/>
      <c r="F87" s="35"/>
      <c r="G87" s="32"/>
      <c r="H87" s="33"/>
      <c r="I87" s="37" t="str">
        <f aca="true">IF(B87="","",IF(F87="","",IF(F87&lt;TODAY(),"Expired",IF(F87&lt;=TODAY()+60,"Expiring Soon","OK"))))</f>
        <v/>
      </c>
    </row>
    <row r="88" customFormat="false" ht="15" hidden="false" customHeight="false" outlineLevel="0" collapsed="false">
      <c r="A88" s="32"/>
      <c r="B88" s="32"/>
      <c r="C88" s="32"/>
      <c r="D88" s="32"/>
      <c r="E88" s="35"/>
      <c r="F88" s="35"/>
      <c r="G88" s="32"/>
      <c r="H88" s="33"/>
      <c r="I88" s="37" t="str">
        <f aca="true">IF(B88="","",IF(F88="","",IF(F88&lt;TODAY(),"Expired",IF(F88&lt;=TODAY()+60,"Expiring Soon","OK"))))</f>
        <v/>
      </c>
    </row>
    <row r="89" customFormat="false" ht="15" hidden="false" customHeight="false" outlineLevel="0" collapsed="false">
      <c r="A89" s="32"/>
      <c r="B89" s="32"/>
      <c r="C89" s="32"/>
      <c r="D89" s="32"/>
      <c r="E89" s="35"/>
      <c r="F89" s="35"/>
      <c r="G89" s="32"/>
      <c r="H89" s="33"/>
      <c r="I89" s="37" t="str">
        <f aca="true">IF(B89="","",IF(F89="","",IF(F89&lt;TODAY(),"Expired",IF(F89&lt;=TODAY()+60,"Expiring Soon","OK"))))</f>
        <v/>
      </c>
    </row>
    <row r="90" customFormat="false" ht="15" hidden="false" customHeight="false" outlineLevel="0" collapsed="false">
      <c r="A90" s="32"/>
      <c r="B90" s="32"/>
      <c r="C90" s="32"/>
      <c r="D90" s="32"/>
      <c r="E90" s="35"/>
      <c r="F90" s="35"/>
      <c r="G90" s="32"/>
      <c r="H90" s="33"/>
      <c r="I90" s="37" t="str">
        <f aca="true">IF(B90="","",IF(F90="","",IF(F90&lt;TODAY(),"Expired",IF(F90&lt;=TODAY()+60,"Expiring Soon","OK"))))</f>
        <v/>
      </c>
    </row>
    <row r="91" customFormat="false" ht="15" hidden="false" customHeight="false" outlineLevel="0" collapsed="false">
      <c r="A91" s="32"/>
      <c r="B91" s="32"/>
      <c r="C91" s="32"/>
      <c r="D91" s="32"/>
      <c r="E91" s="35"/>
      <c r="F91" s="35"/>
      <c r="G91" s="32"/>
      <c r="H91" s="33"/>
      <c r="I91" s="37" t="str">
        <f aca="true">IF(B91="","",IF(F91="","",IF(F91&lt;TODAY(),"Expired",IF(F91&lt;=TODAY()+60,"Expiring Soon","OK"))))</f>
        <v/>
      </c>
    </row>
    <row r="92" customFormat="false" ht="15" hidden="false" customHeight="false" outlineLevel="0" collapsed="false">
      <c r="A92" s="32"/>
      <c r="B92" s="32"/>
      <c r="C92" s="32"/>
      <c r="D92" s="32"/>
      <c r="E92" s="35"/>
      <c r="F92" s="35"/>
      <c r="G92" s="32"/>
      <c r="H92" s="33"/>
      <c r="I92" s="37" t="str">
        <f aca="true">IF(B92="","",IF(F92="","",IF(F92&lt;TODAY(),"Expired",IF(F92&lt;=TODAY()+60,"Expiring Soon","OK"))))</f>
        <v/>
      </c>
    </row>
    <row r="93" customFormat="false" ht="15" hidden="false" customHeight="false" outlineLevel="0" collapsed="false">
      <c r="A93" s="32"/>
      <c r="B93" s="32"/>
      <c r="C93" s="32"/>
      <c r="D93" s="32"/>
      <c r="E93" s="35"/>
      <c r="F93" s="35"/>
      <c r="G93" s="32"/>
      <c r="H93" s="33"/>
      <c r="I93" s="37" t="str">
        <f aca="true">IF(B93="","",IF(F93="","",IF(F93&lt;TODAY(),"Expired",IF(F93&lt;=TODAY()+60,"Expiring Soon","OK"))))</f>
        <v/>
      </c>
    </row>
    <row r="94" customFormat="false" ht="15" hidden="false" customHeight="false" outlineLevel="0" collapsed="false">
      <c r="A94" s="32"/>
      <c r="B94" s="32"/>
      <c r="C94" s="32"/>
      <c r="D94" s="32"/>
      <c r="E94" s="35"/>
      <c r="F94" s="35"/>
      <c r="G94" s="32"/>
      <c r="H94" s="33"/>
      <c r="I94" s="37" t="str">
        <f aca="true">IF(B94="","",IF(F94="","",IF(F94&lt;TODAY(),"Expired",IF(F94&lt;=TODAY()+60,"Expiring Soon","OK"))))</f>
        <v/>
      </c>
    </row>
    <row r="95" customFormat="false" ht="15" hidden="false" customHeight="false" outlineLevel="0" collapsed="false">
      <c r="A95" s="32"/>
      <c r="B95" s="32"/>
      <c r="C95" s="32"/>
      <c r="D95" s="32"/>
      <c r="E95" s="35"/>
      <c r="F95" s="35"/>
      <c r="G95" s="32"/>
      <c r="H95" s="33"/>
      <c r="I95" s="37" t="str">
        <f aca="true">IF(B95="","",IF(F95="","",IF(F95&lt;TODAY(),"Expired",IF(F95&lt;=TODAY()+60,"Expiring Soon","OK"))))</f>
        <v/>
      </c>
    </row>
    <row r="96" customFormat="false" ht="15" hidden="false" customHeight="false" outlineLevel="0" collapsed="false">
      <c r="A96" s="32"/>
      <c r="B96" s="32"/>
      <c r="C96" s="32"/>
      <c r="D96" s="32"/>
      <c r="E96" s="35"/>
      <c r="F96" s="35"/>
      <c r="G96" s="32"/>
      <c r="H96" s="33"/>
      <c r="I96" s="37" t="str">
        <f aca="true">IF(B96="","",IF(F96="","",IF(F96&lt;TODAY(),"Expired",IF(F96&lt;=TODAY()+60,"Expiring Soon","OK"))))</f>
        <v/>
      </c>
    </row>
    <row r="97" customFormat="false" ht="15" hidden="false" customHeight="false" outlineLevel="0" collapsed="false">
      <c r="A97" s="32"/>
      <c r="B97" s="32"/>
      <c r="C97" s="32"/>
      <c r="D97" s="32"/>
      <c r="E97" s="35"/>
      <c r="F97" s="35"/>
      <c r="G97" s="32"/>
      <c r="H97" s="33"/>
      <c r="I97" s="37" t="str">
        <f aca="true">IF(B97="","",IF(F97="","",IF(F97&lt;TODAY(),"Expired",IF(F97&lt;=TODAY()+60,"Expiring Soon","OK"))))</f>
        <v/>
      </c>
    </row>
    <row r="98" customFormat="false" ht="15" hidden="false" customHeight="false" outlineLevel="0" collapsed="false">
      <c r="A98" s="32"/>
      <c r="B98" s="32"/>
      <c r="C98" s="32"/>
      <c r="D98" s="32"/>
      <c r="E98" s="35"/>
      <c r="F98" s="35"/>
      <c r="G98" s="32"/>
      <c r="H98" s="33"/>
      <c r="I98" s="37" t="str">
        <f aca="true">IF(B98="","",IF(F98="","",IF(F98&lt;TODAY(),"Expired",IF(F98&lt;=TODAY()+60,"Expiring Soon","OK"))))</f>
        <v/>
      </c>
    </row>
    <row r="99" customFormat="false" ht="15" hidden="false" customHeight="false" outlineLevel="0" collapsed="false">
      <c r="A99" s="32"/>
      <c r="B99" s="32"/>
      <c r="C99" s="32"/>
      <c r="D99" s="32"/>
      <c r="E99" s="35"/>
      <c r="F99" s="35"/>
      <c r="G99" s="32"/>
      <c r="H99" s="33"/>
      <c r="I99" s="37" t="str">
        <f aca="true">IF(B99="","",IF(F99="","",IF(F99&lt;TODAY(),"Expired",IF(F99&lt;=TODAY()+60,"Expiring Soon","OK"))))</f>
        <v/>
      </c>
    </row>
    <row r="100" customFormat="false" ht="15" hidden="false" customHeight="false" outlineLevel="0" collapsed="false">
      <c r="A100" s="32"/>
      <c r="B100" s="32"/>
      <c r="C100" s="32"/>
      <c r="D100" s="32"/>
      <c r="E100" s="35"/>
      <c r="F100" s="35"/>
      <c r="G100" s="32"/>
      <c r="H100" s="33"/>
      <c r="I100" s="37" t="str">
        <f aca="true">IF(B100="","",IF(F100="","",IF(F100&lt;TODAY(),"Expired",IF(F100&lt;=TODAY()+60,"Expiring Soon","OK"))))</f>
        <v/>
      </c>
    </row>
    <row r="101" customFormat="false" ht="15" hidden="false" customHeight="false" outlineLevel="0" collapsed="false">
      <c r="A101" s="32"/>
      <c r="B101" s="32"/>
      <c r="C101" s="32"/>
      <c r="D101" s="32"/>
      <c r="E101" s="35"/>
      <c r="F101" s="35"/>
      <c r="G101" s="32"/>
      <c r="H101" s="33"/>
      <c r="I101" s="37" t="str">
        <f aca="true">IF(B101="","",IF(F101="","",IF(F101&lt;TODAY(),"Expired",IF(F101&lt;=TODAY()+60,"Expiring Soon","OK"))))</f>
        <v/>
      </c>
    </row>
    <row r="102" customFormat="false" ht="15" hidden="false" customHeight="false" outlineLevel="0" collapsed="false">
      <c r="A102" s="32"/>
      <c r="B102" s="32"/>
      <c r="C102" s="32"/>
      <c r="D102" s="32"/>
      <c r="E102" s="35"/>
      <c r="F102" s="35"/>
      <c r="G102" s="32"/>
      <c r="H102" s="33"/>
      <c r="I102" s="37" t="str">
        <f aca="true">IF(B102="","",IF(F102="","",IF(F102&lt;TODAY(),"Expired",IF(F102&lt;=TODAY()+60,"Expiring Soon","OK"))))</f>
        <v/>
      </c>
    </row>
    <row r="103" customFormat="false" ht="15" hidden="false" customHeight="false" outlineLevel="0" collapsed="false">
      <c r="A103" s="32"/>
      <c r="B103" s="32"/>
      <c r="C103" s="32"/>
      <c r="D103" s="32"/>
      <c r="E103" s="35"/>
      <c r="F103" s="35"/>
      <c r="G103" s="32"/>
      <c r="H103" s="33"/>
      <c r="I103" s="37" t="str">
        <f aca="true">IF(B103="","",IF(F103="","",IF(F103&lt;TODAY(),"Expired",IF(F103&lt;=TODAY()+60,"Expiring Soon","OK"))))</f>
        <v/>
      </c>
    </row>
    <row r="104" customFormat="false" ht="15" hidden="false" customHeight="false" outlineLevel="0" collapsed="false">
      <c r="A104" s="32"/>
      <c r="B104" s="32"/>
      <c r="C104" s="32"/>
      <c r="D104" s="32"/>
      <c r="E104" s="35"/>
      <c r="F104" s="35"/>
      <c r="G104" s="32"/>
      <c r="H104" s="33"/>
      <c r="I104" s="37" t="str">
        <f aca="true">IF(B104="","",IF(F104="","",IF(F104&lt;TODAY(),"Expired",IF(F104&lt;=TODAY()+60,"Expiring Soon","OK"))))</f>
        <v/>
      </c>
    </row>
    <row r="105" customFormat="false" ht="15" hidden="false" customHeight="false" outlineLevel="0" collapsed="false">
      <c r="A105" s="32"/>
      <c r="B105" s="32"/>
      <c r="C105" s="32"/>
      <c r="D105" s="32"/>
      <c r="E105" s="35"/>
      <c r="F105" s="35"/>
      <c r="G105" s="32"/>
      <c r="H105" s="33"/>
      <c r="I105" s="37" t="str">
        <f aca="true">IF(B105="","",IF(F105="","",IF(F105&lt;TODAY(),"Expired",IF(F105&lt;=TODAY()+60,"Expiring Soon","OK"))))</f>
        <v/>
      </c>
    </row>
    <row r="106" customFormat="false" ht="15" hidden="false" customHeight="false" outlineLevel="0" collapsed="false">
      <c r="A106" s="32"/>
      <c r="B106" s="32"/>
      <c r="C106" s="32"/>
      <c r="D106" s="32"/>
      <c r="E106" s="35"/>
      <c r="F106" s="35"/>
      <c r="G106" s="32"/>
      <c r="H106" s="33"/>
      <c r="I106" s="37" t="str">
        <f aca="true">IF(B106="","",IF(F106="","",IF(F106&lt;TODAY(),"Expired",IF(F106&lt;=TODAY()+60,"Expiring Soon","OK"))))</f>
        <v/>
      </c>
    </row>
    <row r="107" customFormat="false" ht="15" hidden="false" customHeight="false" outlineLevel="0" collapsed="false">
      <c r="A107" s="32"/>
      <c r="B107" s="32"/>
      <c r="C107" s="32"/>
      <c r="D107" s="32"/>
      <c r="E107" s="35"/>
      <c r="F107" s="35"/>
      <c r="G107" s="32"/>
      <c r="H107" s="33"/>
      <c r="I107" s="37" t="str">
        <f aca="true">IF(B107="","",IF(F107="","",IF(F107&lt;TODAY(),"Expired",IF(F107&lt;=TODAY()+60,"Expiring Soon","OK"))))</f>
        <v/>
      </c>
    </row>
    <row r="108" customFormat="false" ht="15" hidden="false" customHeight="false" outlineLevel="0" collapsed="false">
      <c r="A108" s="32"/>
      <c r="B108" s="32"/>
      <c r="C108" s="32"/>
      <c r="D108" s="32"/>
      <c r="E108" s="35"/>
      <c r="F108" s="35"/>
      <c r="G108" s="32"/>
      <c r="H108" s="33"/>
      <c r="I108" s="37" t="str">
        <f aca="true">IF(B108="","",IF(F108="","",IF(F108&lt;TODAY(),"Expired",IF(F108&lt;=TODAY()+60,"Expiring Soon","OK"))))</f>
        <v/>
      </c>
    </row>
    <row r="109" customFormat="false" ht="15" hidden="false" customHeight="false" outlineLevel="0" collapsed="false">
      <c r="A109" s="32"/>
      <c r="B109" s="32"/>
      <c r="C109" s="32"/>
      <c r="D109" s="32"/>
      <c r="E109" s="35"/>
      <c r="F109" s="35"/>
      <c r="G109" s="32"/>
      <c r="H109" s="33"/>
      <c r="I109" s="37" t="str">
        <f aca="true">IF(B109="","",IF(F109="","",IF(F109&lt;TODAY(),"Expired",IF(F109&lt;=TODAY()+60,"Expiring Soon","OK"))))</f>
        <v/>
      </c>
    </row>
    <row r="110" customFormat="false" ht="15" hidden="false" customHeight="false" outlineLevel="0" collapsed="false">
      <c r="A110" s="32"/>
      <c r="B110" s="32"/>
      <c r="C110" s="32"/>
      <c r="D110" s="32"/>
      <c r="E110" s="35"/>
      <c r="F110" s="35"/>
      <c r="G110" s="32"/>
      <c r="H110" s="33"/>
      <c r="I110" s="37" t="str">
        <f aca="true">IF(B110="","",IF(F110="","",IF(F110&lt;TODAY(),"Expired",IF(F110&lt;=TODAY()+60,"Expiring Soon","OK"))))</f>
        <v/>
      </c>
    </row>
    <row r="111" customFormat="false" ht="15" hidden="false" customHeight="false" outlineLevel="0" collapsed="false">
      <c r="A111" s="32"/>
      <c r="B111" s="32"/>
      <c r="C111" s="32"/>
      <c r="D111" s="32"/>
      <c r="E111" s="35"/>
      <c r="F111" s="35"/>
      <c r="G111" s="32"/>
      <c r="H111" s="33"/>
      <c r="I111" s="37" t="str">
        <f aca="true">IF(B111="","",IF(F111="","",IF(F111&lt;TODAY(),"Expired",IF(F111&lt;=TODAY()+60,"Expiring Soon","OK"))))</f>
        <v/>
      </c>
    </row>
    <row r="112" customFormat="false" ht="15" hidden="false" customHeight="false" outlineLevel="0" collapsed="false">
      <c r="A112" s="32"/>
      <c r="B112" s="32"/>
      <c r="C112" s="32"/>
      <c r="D112" s="32"/>
      <c r="E112" s="35"/>
      <c r="F112" s="35"/>
      <c r="G112" s="32"/>
      <c r="H112" s="33"/>
      <c r="I112" s="37" t="str">
        <f aca="true">IF(B112="","",IF(F112="","",IF(F112&lt;TODAY(),"Expired",IF(F112&lt;=TODAY()+60,"Expiring Soon","OK"))))</f>
        <v/>
      </c>
    </row>
    <row r="113" customFormat="false" ht="15" hidden="false" customHeight="false" outlineLevel="0" collapsed="false">
      <c r="A113" s="32"/>
      <c r="B113" s="32"/>
      <c r="C113" s="32"/>
      <c r="D113" s="32"/>
      <c r="E113" s="35"/>
      <c r="F113" s="35"/>
      <c r="G113" s="32"/>
      <c r="H113" s="33"/>
      <c r="I113" s="37" t="str">
        <f aca="true">IF(B113="","",IF(F113="","",IF(F113&lt;TODAY(),"Expired",IF(F113&lt;=TODAY()+60,"Expiring Soon","OK"))))</f>
        <v/>
      </c>
    </row>
    <row r="114" customFormat="false" ht="15" hidden="false" customHeight="false" outlineLevel="0" collapsed="false">
      <c r="A114" s="32"/>
      <c r="B114" s="32"/>
      <c r="C114" s="32"/>
      <c r="D114" s="32"/>
      <c r="E114" s="35"/>
      <c r="F114" s="35"/>
      <c r="G114" s="32"/>
      <c r="H114" s="33"/>
      <c r="I114" s="37" t="str">
        <f aca="true">IF(B114="","",IF(F114="","",IF(F114&lt;TODAY(),"Expired",IF(F114&lt;=TODAY()+60,"Expiring Soon","OK"))))</f>
        <v/>
      </c>
    </row>
    <row r="115" customFormat="false" ht="15" hidden="false" customHeight="false" outlineLevel="0" collapsed="false">
      <c r="A115" s="32"/>
      <c r="B115" s="32"/>
      <c r="C115" s="32"/>
      <c r="D115" s="32"/>
      <c r="E115" s="35"/>
      <c r="F115" s="35"/>
      <c r="G115" s="32"/>
      <c r="H115" s="33"/>
      <c r="I115" s="37" t="str">
        <f aca="true">IF(B115="","",IF(F115="","",IF(F115&lt;TODAY(),"Expired",IF(F115&lt;=TODAY()+60,"Expiring Soon","OK"))))</f>
        <v/>
      </c>
    </row>
    <row r="116" customFormat="false" ht="15" hidden="false" customHeight="false" outlineLevel="0" collapsed="false">
      <c r="A116" s="32"/>
      <c r="B116" s="32"/>
      <c r="C116" s="32"/>
      <c r="D116" s="32"/>
      <c r="E116" s="35"/>
      <c r="F116" s="35"/>
      <c r="G116" s="32"/>
      <c r="H116" s="33"/>
      <c r="I116" s="37" t="str">
        <f aca="true">IF(B116="","",IF(F116="","",IF(F116&lt;TODAY(),"Expired",IF(F116&lt;=TODAY()+60,"Expiring Soon","OK"))))</f>
        <v/>
      </c>
    </row>
    <row r="117" customFormat="false" ht="15" hidden="false" customHeight="false" outlineLevel="0" collapsed="false">
      <c r="A117" s="32"/>
      <c r="B117" s="32"/>
      <c r="C117" s="32"/>
      <c r="D117" s="32"/>
      <c r="E117" s="35"/>
      <c r="F117" s="35"/>
      <c r="G117" s="32"/>
      <c r="H117" s="33"/>
      <c r="I117" s="37" t="str">
        <f aca="true">IF(B117="","",IF(F117="","",IF(F117&lt;TODAY(),"Expired",IF(F117&lt;=TODAY()+60,"Expiring Soon","OK"))))</f>
        <v/>
      </c>
    </row>
    <row r="118" customFormat="false" ht="15" hidden="false" customHeight="false" outlineLevel="0" collapsed="false">
      <c r="A118" s="32"/>
      <c r="B118" s="32"/>
      <c r="C118" s="32"/>
      <c r="D118" s="32"/>
      <c r="E118" s="35"/>
      <c r="F118" s="35"/>
      <c r="G118" s="32"/>
      <c r="H118" s="33"/>
      <c r="I118" s="37" t="str">
        <f aca="true">IF(B118="","",IF(F118="","",IF(F118&lt;TODAY(),"Expired",IF(F118&lt;=TODAY()+60,"Expiring Soon","OK"))))</f>
        <v/>
      </c>
    </row>
    <row r="119" customFormat="false" ht="15" hidden="false" customHeight="false" outlineLevel="0" collapsed="false">
      <c r="A119" s="32"/>
      <c r="B119" s="32"/>
      <c r="C119" s="32"/>
      <c r="D119" s="32"/>
      <c r="E119" s="35"/>
      <c r="F119" s="35"/>
      <c r="G119" s="32"/>
      <c r="H119" s="33"/>
      <c r="I119" s="37" t="str">
        <f aca="true">IF(B119="","",IF(F119="","",IF(F119&lt;TODAY(),"Expired",IF(F119&lt;=TODAY()+60,"Expiring Soon","OK"))))</f>
        <v/>
      </c>
    </row>
    <row r="120" customFormat="false" ht="15" hidden="false" customHeight="false" outlineLevel="0" collapsed="false">
      <c r="A120" s="32"/>
      <c r="B120" s="32"/>
      <c r="C120" s="32"/>
      <c r="D120" s="32"/>
      <c r="E120" s="35"/>
      <c r="F120" s="35"/>
      <c r="G120" s="32"/>
      <c r="H120" s="33"/>
      <c r="I120" s="37" t="str">
        <f aca="true">IF(B120="","",IF(F120="","",IF(F120&lt;TODAY(),"Expired",IF(F120&lt;=TODAY()+60,"Expiring Soon","OK"))))</f>
        <v/>
      </c>
    </row>
    <row r="121" customFormat="false" ht="15" hidden="false" customHeight="false" outlineLevel="0" collapsed="false">
      <c r="A121" s="32"/>
      <c r="B121" s="32"/>
      <c r="C121" s="32"/>
      <c r="D121" s="32"/>
      <c r="E121" s="35"/>
      <c r="F121" s="35"/>
      <c r="G121" s="32"/>
      <c r="H121" s="33"/>
      <c r="I121" s="37" t="str">
        <f aca="true">IF(B121="","",IF(F121="","",IF(F121&lt;TODAY(),"Expired",IF(F121&lt;=TODAY()+60,"Expiring Soon","OK"))))</f>
        <v/>
      </c>
    </row>
    <row r="122" customFormat="false" ht="15" hidden="false" customHeight="false" outlineLevel="0" collapsed="false">
      <c r="A122" s="32"/>
      <c r="B122" s="32"/>
      <c r="C122" s="32"/>
      <c r="D122" s="32"/>
      <c r="E122" s="35"/>
      <c r="F122" s="35"/>
      <c r="G122" s="32"/>
      <c r="H122" s="33"/>
      <c r="I122" s="37" t="str">
        <f aca="true">IF(B122="","",IF(F122="","",IF(F122&lt;TODAY(),"Expired",IF(F122&lt;=TODAY()+60,"Expiring Soon","OK"))))</f>
        <v/>
      </c>
    </row>
    <row r="123" customFormat="false" ht="15" hidden="false" customHeight="false" outlineLevel="0" collapsed="false">
      <c r="A123" s="32"/>
      <c r="B123" s="32"/>
      <c r="C123" s="32"/>
      <c r="D123" s="32"/>
      <c r="E123" s="35"/>
      <c r="F123" s="35"/>
      <c r="G123" s="32"/>
      <c r="H123" s="33"/>
      <c r="I123" s="37" t="str">
        <f aca="true">IF(B123="","",IF(F123="","",IF(F123&lt;TODAY(),"Expired",IF(F123&lt;=TODAY()+60,"Expiring Soon","OK"))))</f>
        <v/>
      </c>
    </row>
    <row r="124" customFormat="false" ht="15" hidden="false" customHeight="false" outlineLevel="0" collapsed="false">
      <c r="A124" s="32"/>
      <c r="B124" s="32"/>
      <c r="C124" s="32"/>
      <c r="D124" s="32"/>
      <c r="E124" s="35"/>
      <c r="F124" s="35"/>
      <c r="G124" s="32"/>
      <c r="H124" s="33"/>
      <c r="I124" s="37" t="str">
        <f aca="true">IF(B124="","",IF(F124="","",IF(F124&lt;TODAY(),"Expired",IF(F124&lt;=TODAY()+60,"Expiring Soon","OK"))))</f>
        <v/>
      </c>
    </row>
    <row r="125" customFormat="false" ht="15" hidden="false" customHeight="false" outlineLevel="0" collapsed="false">
      <c r="A125" s="32"/>
      <c r="B125" s="32"/>
      <c r="C125" s="32"/>
      <c r="D125" s="32"/>
      <c r="E125" s="35"/>
      <c r="F125" s="35"/>
      <c r="G125" s="32"/>
      <c r="H125" s="33"/>
      <c r="I125" s="37" t="str">
        <f aca="true">IF(B125="","",IF(F125="","",IF(F125&lt;TODAY(),"Expired",IF(F125&lt;=TODAY()+60,"Expiring Soon","OK"))))</f>
        <v/>
      </c>
    </row>
    <row r="126" customFormat="false" ht="15" hidden="false" customHeight="false" outlineLevel="0" collapsed="false">
      <c r="A126" s="32"/>
      <c r="B126" s="32"/>
      <c r="C126" s="32"/>
      <c r="D126" s="32"/>
      <c r="E126" s="35"/>
      <c r="F126" s="35"/>
      <c r="G126" s="32"/>
      <c r="H126" s="33"/>
      <c r="I126" s="37" t="str">
        <f aca="true">IF(B126="","",IF(F126="","",IF(F126&lt;TODAY(),"Expired",IF(F126&lt;=TODAY()+60,"Expiring Soon","OK"))))</f>
        <v/>
      </c>
    </row>
    <row r="127" customFormat="false" ht="15" hidden="false" customHeight="false" outlineLevel="0" collapsed="false">
      <c r="A127" s="32"/>
      <c r="B127" s="32"/>
      <c r="C127" s="32"/>
      <c r="D127" s="32"/>
      <c r="E127" s="35"/>
      <c r="F127" s="35"/>
      <c r="G127" s="32"/>
      <c r="H127" s="33"/>
      <c r="I127" s="37" t="str">
        <f aca="true">IF(B127="","",IF(F127="","",IF(F127&lt;TODAY(),"Expired",IF(F127&lt;=TODAY()+60,"Expiring Soon","OK"))))</f>
        <v/>
      </c>
    </row>
    <row r="128" customFormat="false" ht="15" hidden="false" customHeight="false" outlineLevel="0" collapsed="false">
      <c r="A128" s="32"/>
      <c r="B128" s="32"/>
      <c r="C128" s="32"/>
      <c r="D128" s="32"/>
      <c r="E128" s="35"/>
      <c r="F128" s="35"/>
      <c r="G128" s="32"/>
      <c r="H128" s="33"/>
      <c r="I128" s="37" t="str">
        <f aca="true">IF(B128="","",IF(F128="","",IF(F128&lt;TODAY(),"Expired",IF(F128&lt;=TODAY()+60,"Expiring Soon","OK"))))</f>
        <v/>
      </c>
    </row>
    <row r="129" customFormat="false" ht="15" hidden="false" customHeight="false" outlineLevel="0" collapsed="false">
      <c r="A129" s="32"/>
      <c r="B129" s="32"/>
      <c r="C129" s="32"/>
      <c r="D129" s="32"/>
      <c r="E129" s="35"/>
      <c r="F129" s="35"/>
      <c r="G129" s="32"/>
      <c r="H129" s="33"/>
      <c r="I129" s="37" t="str">
        <f aca="true">IF(B129="","",IF(F129="","",IF(F129&lt;TODAY(),"Expired",IF(F129&lt;=TODAY()+60,"Expiring Soon","OK"))))</f>
        <v/>
      </c>
    </row>
    <row r="130" customFormat="false" ht="15" hidden="false" customHeight="false" outlineLevel="0" collapsed="false">
      <c r="A130" s="32"/>
      <c r="B130" s="32"/>
      <c r="C130" s="32"/>
      <c r="D130" s="32"/>
      <c r="E130" s="35"/>
      <c r="F130" s="35"/>
      <c r="G130" s="32"/>
      <c r="H130" s="33"/>
      <c r="I130" s="37" t="str">
        <f aca="true">IF(B130="","",IF(F130="","",IF(F130&lt;TODAY(),"Expired",IF(F130&lt;=TODAY()+60,"Expiring Soon","OK"))))</f>
        <v/>
      </c>
    </row>
    <row r="131" customFormat="false" ht="15" hidden="false" customHeight="false" outlineLevel="0" collapsed="false">
      <c r="A131" s="32"/>
      <c r="B131" s="32"/>
      <c r="C131" s="32"/>
      <c r="D131" s="32"/>
      <c r="E131" s="35"/>
      <c r="F131" s="35"/>
      <c r="G131" s="32"/>
      <c r="H131" s="33"/>
      <c r="I131" s="37" t="str">
        <f aca="true">IF(B131="","",IF(F131="","",IF(F131&lt;TODAY(),"Expired",IF(F131&lt;=TODAY()+60,"Expiring Soon","OK"))))</f>
        <v/>
      </c>
    </row>
    <row r="132" customFormat="false" ht="15" hidden="false" customHeight="false" outlineLevel="0" collapsed="false">
      <c r="A132" s="32"/>
      <c r="B132" s="32"/>
      <c r="C132" s="32"/>
      <c r="D132" s="32"/>
      <c r="E132" s="35"/>
      <c r="F132" s="35"/>
      <c r="G132" s="32"/>
      <c r="H132" s="33"/>
      <c r="I132" s="37" t="str">
        <f aca="true">IF(B132="","",IF(F132="","",IF(F132&lt;TODAY(),"Expired",IF(F132&lt;=TODAY()+60,"Expiring Soon","OK"))))</f>
        <v/>
      </c>
    </row>
    <row r="133" customFormat="false" ht="15" hidden="false" customHeight="false" outlineLevel="0" collapsed="false">
      <c r="A133" s="32"/>
      <c r="B133" s="32"/>
      <c r="C133" s="32"/>
      <c r="D133" s="32"/>
      <c r="E133" s="35"/>
      <c r="F133" s="35"/>
      <c r="G133" s="32"/>
      <c r="H133" s="33"/>
      <c r="I133" s="37" t="str">
        <f aca="true">IF(B133="","",IF(F133="","",IF(F133&lt;TODAY(),"Expired",IF(F133&lt;=TODAY()+60,"Expiring Soon","OK"))))</f>
        <v/>
      </c>
    </row>
    <row r="134" customFormat="false" ht="15" hidden="false" customHeight="false" outlineLevel="0" collapsed="false">
      <c r="A134" s="32"/>
      <c r="B134" s="32"/>
      <c r="C134" s="32"/>
      <c r="D134" s="32"/>
      <c r="E134" s="35"/>
      <c r="F134" s="35"/>
      <c r="G134" s="32"/>
      <c r="H134" s="33"/>
      <c r="I134" s="37" t="str">
        <f aca="true">IF(B134="","",IF(F134="","",IF(F134&lt;TODAY(),"Expired",IF(F134&lt;=TODAY()+60,"Expiring Soon","OK"))))</f>
        <v/>
      </c>
    </row>
    <row r="135" customFormat="false" ht="15" hidden="false" customHeight="false" outlineLevel="0" collapsed="false">
      <c r="A135" s="32"/>
      <c r="B135" s="32"/>
      <c r="C135" s="32"/>
      <c r="D135" s="32"/>
      <c r="E135" s="35"/>
      <c r="F135" s="35"/>
      <c r="G135" s="32"/>
      <c r="H135" s="33"/>
      <c r="I135" s="37" t="str">
        <f aca="true">IF(B135="","",IF(F135="","",IF(F135&lt;TODAY(),"Expired",IF(F135&lt;=TODAY()+60,"Expiring Soon","OK"))))</f>
        <v/>
      </c>
    </row>
    <row r="136" customFormat="false" ht="15" hidden="false" customHeight="false" outlineLevel="0" collapsed="false">
      <c r="A136" s="32"/>
      <c r="B136" s="32"/>
      <c r="C136" s="32"/>
      <c r="D136" s="32"/>
      <c r="E136" s="35"/>
      <c r="F136" s="35"/>
      <c r="G136" s="32"/>
      <c r="H136" s="33"/>
      <c r="I136" s="37" t="str">
        <f aca="true">IF(B136="","",IF(F136="","",IF(F136&lt;TODAY(),"Expired",IF(F136&lt;=TODAY()+60,"Expiring Soon","OK"))))</f>
        <v/>
      </c>
    </row>
    <row r="137" customFormat="false" ht="15" hidden="false" customHeight="false" outlineLevel="0" collapsed="false">
      <c r="A137" s="32"/>
      <c r="B137" s="32"/>
      <c r="C137" s="32"/>
      <c r="D137" s="32"/>
      <c r="E137" s="35"/>
      <c r="F137" s="35"/>
      <c r="G137" s="32"/>
      <c r="H137" s="33"/>
      <c r="I137" s="37" t="str">
        <f aca="true">IF(B137="","",IF(F137="","",IF(F137&lt;TODAY(),"Expired",IF(F137&lt;=TODAY()+60,"Expiring Soon","OK"))))</f>
        <v/>
      </c>
    </row>
    <row r="138" customFormat="false" ht="15" hidden="false" customHeight="false" outlineLevel="0" collapsed="false">
      <c r="A138" s="32"/>
      <c r="B138" s="32"/>
      <c r="C138" s="32"/>
      <c r="D138" s="32"/>
      <c r="E138" s="35"/>
      <c r="F138" s="35"/>
      <c r="G138" s="32"/>
      <c r="H138" s="33"/>
      <c r="I138" s="37" t="str">
        <f aca="true">IF(B138="","",IF(F138="","",IF(F138&lt;TODAY(),"Expired",IF(F138&lt;=TODAY()+60,"Expiring Soon","OK"))))</f>
        <v/>
      </c>
    </row>
    <row r="139" customFormat="false" ht="15" hidden="false" customHeight="false" outlineLevel="0" collapsed="false">
      <c r="A139" s="32"/>
      <c r="B139" s="32"/>
      <c r="C139" s="32"/>
      <c r="D139" s="32"/>
      <c r="E139" s="35"/>
      <c r="F139" s="35"/>
      <c r="G139" s="32"/>
      <c r="H139" s="33"/>
      <c r="I139" s="37" t="str">
        <f aca="true">IF(B139="","",IF(F139="","",IF(F139&lt;TODAY(),"Expired",IF(F139&lt;=TODAY()+60,"Expiring Soon","OK"))))</f>
        <v/>
      </c>
    </row>
    <row r="140" customFormat="false" ht="15" hidden="false" customHeight="false" outlineLevel="0" collapsed="false">
      <c r="A140" s="32"/>
      <c r="B140" s="32"/>
      <c r="C140" s="32"/>
      <c r="D140" s="32"/>
      <c r="E140" s="35"/>
      <c r="F140" s="35"/>
      <c r="G140" s="32"/>
      <c r="H140" s="33"/>
      <c r="I140" s="37" t="str">
        <f aca="true">IF(B140="","",IF(F140="","",IF(F140&lt;TODAY(),"Expired",IF(F140&lt;=TODAY()+60,"Expiring Soon","OK"))))</f>
        <v/>
      </c>
    </row>
    <row r="141" customFormat="false" ht="15" hidden="false" customHeight="false" outlineLevel="0" collapsed="false">
      <c r="A141" s="32"/>
      <c r="B141" s="32"/>
      <c r="C141" s="32"/>
      <c r="D141" s="32"/>
      <c r="E141" s="35"/>
      <c r="F141" s="35"/>
      <c r="G141" s="32"/>
      <c r="H141" s="33"/>
      <c r="I141" s="37" t="str">
        <f aca="true">IF(B141="","",IF(F141="","",IF(F141&lt;TODAY(),"Expired",IF(F141&lt;=TODAY()+60,"Expiring Soon","OK"))))</f>
        <v/>
      </c>
    </row>
    <row r="142" customFormat="false" ht="15" hidden="false" customHeight="false" outlineLevel="0" collapsed="false">
      <c r="A142" s="32"/>
      <c r="B142" s="32"/>
      <c r="C142" s="32"/>
      <c r="D142" s="32"/>
      <c r="E142" s="35"/>
      <c r="F142" s="35"/>
      <c r="G142" s="32"/>
      <c r="H142" s="33"/>
      <c r="I142" s="37" t="str">
        <f aca="true">IF(B142="","",IF(F142="","",IF(F142&lt;TODAY(),"Expired",IF(F142&lt;=TODAY()+60,"Expiring Soon","OK"))))</f>
        <v/>
      </c>
    </row>
    <row r="143" customFormat="false" ht="15" hidden="false" customHeight="false" outlineLevel="0" collapsed="false">
      <c r="A143" s="32"/>
      <c r="B143" s="32"/>
      <c r="C143" s="32"/>
      <c r="D143" s="32"/>
      <c r="E143" s="35"/>
      <c r="F143" s="35"/>
      <c r="G143" s="32"/>
      <c r="H143" s="33"/>
      <c r="I143" s="37" t="str">
        <f aca="true">IF(B143="","",IF(F143="","",IF(F143&lt;TODAY(),"Expired",IF(F143&lt;=TODAY()+60,"Expiring Soon","OK"))))</f>
        <v/>
      </c>
    </row>
    <row r="144" customFormat="false" ht="15" hidden="false" customHeight="false" outlineLevel="0" collapsed="false">
      <c r="A144" s="32"/>
      <c r="B144" s="32"/>
      <c r="C144" s="32"/>
      <c r="D144" s="32"/>
      <c r="E144" s="35"/>
      <c r="F144" s="35"/>
      <c r="G144" s="32"/>
      <c r="H144" s="33"/>
      <c r="I144" s="37" t="str">
        <f aca="true">IF(B144="","",IF(F144="","",IF(F144&lt;TODAY(),"Expired",IF(F144&lt;=TODAY()+60,"Expiring Soon","OK"))))</f>
        <v/>
      </c>
    </row>
    <row r="145" customFormat="false" ht="15" hidden="false" customHeight="false" outlineLevel="0" collapsed="false">
      <c r="A145" s="32"/>
      <c r="B145" s="32"/>
      <c r="C145" s="32"/>
      <c r="D145" s="32"/>
      <c r="E145" s="35"/>
      <c r="F145" s="35"/>
      <c r="G145" s="32"/>
      <c r="H145" s="33"/>
      <c r="I145" s="37" t="str">
        <f aca="true">IF(B145="","",IF(F145="","",IF(F145&lt;TODAY(),"Expired",IF(F145&lt;=TODAY()+60,"Expiring Soon","OK"))))</f>
        <v/>
      </c>
    </row>
    <row r="146" customFormat="false" ht="15" hidden="false" customHeight="false" outlineLevel="0" collapsed="false">
      <c r="A146" s="32"/>
      <c r="B146" s="32"/>
      <c r="C146" s="32"/>
      <c r="D146" s="32"/>
      <c r="E146" s="35"/>
      <c r="F146" s="35"/>
      <c r="G146" s="32"/>
      <c r="H146" s="33"/>
      <c r="I146" s="37" t="str">
        <f aca="true">IF(B146="","",IF(F146="","",IF(F146&lt;TODAY(),"Expired",IF(F146&lt;=TODAY()+60,"Expiring Soon","OK"))))</f>
        <v/>
      </c>
    </row>
    <row r="147" customFormat="false" ht="15" hidden="false" customHeight="false" outlineLevel="0" collapsed="false">
      <c r="A147" s="32"/>
      <c r="B147" s="32"/>
      <c r="C147" s="32"/>
      <c r="D147" s="32"/>
      <c r="E147" s="35"/>
      <c r="F147" s="35"/>
      <c r="G147" s="32"/>
      <c r="H147" s="33"/>
      <c r="I147" s="37" t="str">
        <f aca="true">IF(B147="","",IF(F147="","",IF(F147&lt;TODAY(),"Expired",IF(F147&lt;=TODAY()+60,"Expiring Soon","OK"))))</f>
        <v/>
      </c>
    </row>
    <row r="148" customFormat="false" ht="15" hidden="false" customHeight="false" outlineLevel="0" collapsed="false">
      <c r="A148" s="32"/>
      <c r="B148" s="32"/>
      <c r="C148" s="32"/>
      <c r="D148" s="32"/>
      <c r="E148" s="35"/>
      <c r="F148" s="35"/>
      <c r="G148" s="32"/>
      <c r="H148" s="33"/>
      <c r="I148" s="37" t="str">
        <f aca="true">IF(B148="","",IF(F148="","",IF(F148&lt;TODAY(),"Expired",IF(F148&lt;=TODAY()+60,"Expiring Soon","OK"))))</f>
        <v/>
      </c>
    </row>
    <row r="149" customFormat="false" ht="15" hidden="false" customHeight="false" outlineLevel="0" collapsed="false">
      <c r="A149" s="32"/>
      <c r="B149" s="32"/>
      <c r="C149" s="32"/>
      <c r="D149" s="32"/>
      <c r="E149" s="35"/>
      <c r="F149" s="35"/>
      <c r="G149" s="32"/>
      <c r="H149" s="33"/>
      <c r="I149" s="37" t="str">
        <f aca="true">IF(B149="","",IF(F149="","",IF(F149&lt;TODAY(),"Expired",IF(F149&lt;=TODAY()+60,"Expiring Soon","OK"))))</f>
        <v/>
      </c>
    </row>
    <row r="150" customFormat="false" ht="15" hidden="false" customHeight="false" outlineLevel="0" collapsed="false">
      <c r="A150" s="32"/>
      <c r="B150" s="32"/>
      <c r="C150" s="32"/>
      <c r="D150" s="32"/>
      <c r="E150" s="35"/>
      <c r="F150" s="35"/>
      <c r="G150" s="32"/>
      <c r="H150" s="33"/>
      <c r="I150" s="37" t="str">
        <f aca="true">IF(B150="","",IF(F150="","",IF(F150&lt;TODAY(),"Expired",IF(F150&lt;=TODAY()+60,"Expiring Soon","OK"))))</f>
        <v/>
      </c>
    </row>
    <row r="151" customFormat="false" ht="15" hidden="false" customHeight="false" outlineLevel="0" collapsed="false">
      <c r="A151" s="32"/>
      <c r="B151" s="32"/>
      <c r="C151" s="32"/>
      <c r="D151" s="32"/>
      <c r="E151" s="35"/>
      <c r="F151" s="35"/>
      <c r="G151" s="32"/>
      <c r="H151" s="33"/>
      <c r="I151" s="37" t="str">
        <f aca="true">IF(B151="","",IF(F151="","",IF(F151&lt;TODAY(),"Expired",IF(F151&lt;=TODAY()+60,"Expiring Soon","OK"))))</f>
        <v/>
      </c>
    </row>
    <row r="152" customFormat="false" ht="15" hidden="false" customHeight="false" outlineLevel="0" collapsed="false">
      <c r="A152" s="32"/>
      <c r="B152" s="32"/>
      <c r="C152" s="32"/>
      <c r="D152" s="32"/>
      <c r="E152" s="35"/>
      <c r="F152" s="35"/>
      <c r="G152" s="32"/>
      <c r="H152" s="33"/>
      <c r="I152" s="37" t="str">
        <f aca="true">IF(B152="","",IF(F152="","",IF(F152&lt;TODAY(),"Expired",IF(F152&lt;=TODAY()+60,"Expiring Soon","OK"))))</f>
        <v/>
      </c>
    </row>
    <row r="153" customFormat="false" ht="15" hidden="false" customHeight="false" outlineLevel="0" collapsed="false">
      <c r="A153" s="32"/>
      <c r="B153" s="32"/>
      <c r="C153" s="32"/>
      <c r="D153" s="32"/>
      <c r="E153" s="35"/>
      <c r="F153" s="35"/>
      <c r="G153" s="32"/>
      <c r="H153" s="33"/>
      <c r="I153" s="37" t="str">
        <f aca="true">IF(B153="","",IF(F153="","",IF(F153&lt;TODAY(),"Expired",IF(F153&lt;=TODAY()+60,"Expiring Soon","OK"))))</f>
        <v/>
      </c>
    </row>
    <row r="154" customFormat="false" ht="15" hidden="false" customHeight="false" outlineLevel="0" collapsed="false">
      <c r="A154" s="32"/>
      <c r="B154" s="32"/>
      <c r="C154" s="32"/>
      <c r="D154" s="32"/>
      <c r="E154" s="35"/>
      <c r="F154" s="35"/>
      <c r="G154" s="32"/>
      <c r="H154" s="33"/>
      <c r="I154" s="37" t="str">
        <f aca="true">IF(B154="","",IF(F154="","",IF(F154&lt;TODAY(),"Expired",IF(F154&lt;=TODAY()+60,"Expiring Soon","OK"))))</f>
        <v/>
      </c>
    </row>
    <row r="155" customFormat="false" ht="15" hidden="false" customHeight="false" outlineLevel="0" collapsed="false">
      <c r="A155" s="32"/>
      <c r="B155" s="32"/>
      <c r="C155" s="32"/>
      <c r="D155" s="32"/>
      <c r="E155" s="35"/>
      <c r="F155" s="35"/>
      <c r="G155" s="32"/>
      <c r="H155" s="33"/>
      <c r="I155" s="37" t="str">
        <f aca="true">IF(B155="","",IF(F155="","",IF(F155&lt;TODAY(),"Expired",IF(F155&lt;=TODAY()+60,"Expiring Soon","OK"))))</f>
        <v/>
      </c>
    </row>
    <row r="156" customFormat="false" ht="15" hidden="false" customHeight="false" outlineLevel="0" collapsed="false">
      <c r="A156" s="32"/>
      <c r="B156" s="32"/>
      <c r="C156" s="32"/>
      <c r="D156" s="32"/>
      <c r="E156" s="35"/>
      <c r="F156" s="35"/>
      <c r="G156" s="32"/>
      <c r="H156" s="33"/>
      <c r="I156" s="37" t="str">
        <f aca="true">IF(B156="","",IF(F156="","",IF(F156&lt;TODAY(),"Expired",IF(F156&lt;=TODAY()+60,"Expiring Soon","OK"))))</f>
        <v/>
      </c>
    </row>
    <row r="157" customFormat="false" ht="15" hidden="false" customHeight="false" outlineLevel="0" collapsed="false">
      <c r="A157" s="32"/>
      <c r="B157" s="32"/>
      <c r="C157" s="32"/>
      <c r="D157" s="32"/>
      <c r="E157" s="35"/>
      <c r="F157" s="35"/>
      <c r="G157" s="32"/>
      <c r="H157" s="33"/>
      <c r="I157" s="37" t="str">
        <f aca="true">IF(B157="","",IF(F157="","",IF(F157&lt;TODAY(),"Expired",IF(F157&lt;=TODAY()+60,"Expiring Soon","OK"))))</f>
        <v/>
      </c>
    </row>
    <row r="158" customFormat="false" ht="15" hidden="false" customHeight="false" outlineLevel="0" collapsed="false">
      <c r="A158" s="32"/>
      <c r="B158" s="32"/>
      <c r="C158" s="32"/>
      <c r="D158" s="32"/>
      <c r="E158" s="35"/>
      <c r="F158" s="35"/>
      <c r="G158" s="32"/>
      <c r="H158" s="33"/>
      <c r="I158" s="37" t="str">
        <f aca="true">IF(B158="","",IF(F158="","",IF(F158&lt;TODAY(),"Expired",IF(F158&lt;=TODAY()+60,"Expiring Soon","OK"))))</f>
        <v/>
      </c>
    </row>
    <row r="159" customFormat="false" ht="15" hidden="false" customHeight="false" outlineLevel="0" collapsed="false">
      <c r="A159" s="32"/>
      <c r="B159" s="32"/>
      <c r="C159" s="32"/>
      <c r="D159" s="32"/>
      <c r="E159" s="35"/>
      <c r="F159" s="35"/>
      <c r="G159" s="32"/>
      <c r="H159" s="33"/>
      <c r="I159" s="37" t="str">
        <f aca="true">IF(B159="","",IF(F159="","",IF(F159&lt;TODAY(),"Expired",IF(F159&lt;=TODAY()+60,"Expiring Soon","OK"))))</f>
        <v/>
      </c>
    </row>
    <row r="160" customFormat="false" ht="15" hidden="false" customHeight="false" outlineLevel="0" collapsed="false">
      <c r="A160" s="32"/>
      <c r="B160" s="32"/>
      <c r="C160" s="32"/>
      <c r="D160" s="32"/>
      <c r="E160" s="35"/>
      <c r="F160" s="35"/>
      <c r="G160" s="32"/>
      <c r="H160" s="33"/>
      <c r="I160" s="37" t="str">
        <f aca="true">IF(B160="","",IF(F160="","",IF(F160&lt;TODAY(),"Expired",IF(F160&lt;=TODAY()+60,"Expiring Soon","OK"))))</f>
        <v/>
      </c>
    </row>
    <row r="161" customFormat="false" ht="15" hidden="false" customHeight="false" outlineLevel="0" collapsed="false">
      <c r="A161" s="32"/>
      <c r="B161" s="32"/>
      <c r="C161" s="32"/>
      <c r="D161" s="32"/>
      <c r="E161" s="35"/>
      <c r="F161" s="35"/>
      <c r="G161" s="32"/>
      <c r="H161" s="33"/>
      <c r="I161" s="37" t="str">
        <f aca="true">IF(B161="","",IF(F161="","",IF(F161&lt;TODAY(),"Expired",IF(F161&lt;=TODAY()+60,"Expiring Soon","OK"))))</f>
        <v/>
      </c>
    </row>
    <row r="162" customFormat="false" ht="15" hidden="false" customHeight="false" outlineLevel="0" collapsed="false">
      <c r="A162" s="32"/>
      <c r="B162" s="32"/>
      <c r="C162" s="32"/>
      <c r="D162" s="32"/>
      <c r="E162" s="35"/>
      <c r="F162" s="35"/>
      <c r="G162" s="32"/>
      <c r="H162" s="33"/>
      <c r="I162" s="37" t="str">
        <f aca="true">IF(B162="","",IF(F162="","",IF(F162&lt;TODAY(),"Expired",IF(F162&lt;=TODAY()+60,"Expiring Soon","OK"))))</f>
        <v/>
      </c>
    </row>
    <row r="163" customFormat="false" ht="15" hidden="false" customHeight="false" outlineLevel="0" collapsed="false">
      <c r="A163" s="32"/>
      <c r="B163" s="32"/>
      <c r="C163" s="32"/>
      <c r="D163" s="32"/>
      <c r="E163" s="35"/>
      <c r="F163" s="35"/>
      <c r="G163" s="32"/>
      <c r="H163" s="33"/>
      <c r="I163" s="37" t="str">
        <f aca="true">IF(B163="","",IF(F163="","",IF(F163&lt;TODAY(),"Expired",IF(F163&lt;=TODAY()+60,"Expiring Soon","OK"))))</f>
        <v/>
      </c>
    </row>
    <row r="164" customFormat="false" ht="15" hidden="false" customHeight="false" outlineLevel="0" collapsed="false">
      <c r="A164" s="32"/>
      <c r="B164" s="32"/>
      <c r="C164" s="32"/>
      <c r="D164" s="32"/>
      <c r="E164" s="35"/>
      <c r="F164" s="35"/>
      <c r="G164" s="32"/>
      <c r="H164" s="33"/>
      <c r="I164" s="37" t="str">
        <f aca="true">IF(B164="","",IF(F164="","",IF(F164&lt;TODAY(),"Expired",IF(F164&lt;=TODAY()+60,"Expiring Soon","OK"))))</f>
        <v/>
      </c>
    </row>
    <row r="165" customFormat="false" ht="15" hidden="false" customHeight="false" outlineLevel="0" collapsed="false">
      <c r="A165" s="32"/>
      <c r="B165" s="32"/>
      <c r="C165" s="32"/>
      <c r="D165" s="32"/>
      <c r="E165" s="35"/>
      <c r="F165" s="35"/>
      <c r="G165" s="32"/>
      <c r="H165" s="33"/>
      <c r="I165" s="37" t="str">
        <f aca="true">IF(B165="","",IF(F165="","",IF(F165&lt;TODAY(),"Expired",IF(F165&lt;=TODAY()+60,"Expiring Soon","OK"))))</f>
        <v/>
      </c>
    </row>
    <row r="166" customFormat="false" ht="15" hidden="false" customHeight="false" outlineLevel="0" collapsed="false">
      <c r="A166" s="32"/>
      <c r="B166" s="32"/>
      <c r="C166" s="32"/>
      <c r="D166" s="32"/>
      <c r="E166" s="35"/>
      <c r="F166" s="35"/>
      <c r="G166" s="32"/>
      <c r="H166" s="33"/>
      <c r="I166" s="37" t="str">
        <f aca="true">IF(B166="","",IF(F166="","",IF(F166&lt;TODAY(),"Expired",IF(F166&lt;=TODAY()+60,"Expiring Soon","OK"))))</f>
        <v/>
      </c>
    </row>
    <row r="167" customFormat="false" ht="15" hidden="false" customHeight="false" outlineLevel="0" collapsed="false">
      <c r="A167" s="32"/>
      <c r="B167" s="32"/>
      <c r="C167" s="32"/>
      <c r="D167" s="32"/>
      <c r="E167" s="35"/>
      <c r="F167" s="35"/>
      <c r="G167" s="32"/>
      <c r="H167" s="33"/>
      <c r="I167" s="37" t="str">
        <f aca="true">IF(B167="","",IF(F167="","",IF(F167&lt;TODAY(),"Expired",IF(F167&lt;=TODAY()+60,"Expiring Soon","OK"))))</f>
        <v/>
      </c>
    </row>
    <row r="168" customFormat="false" ht="15" hidden="false" customHeight="false" outlineLevel="0" collapsed="false">
      <c r="A168" s="32"/>
      <c r="B168" s="32"/>
      <c r="C168" s="32"/>
      <c r="D168" s="32"/>
      <c r="E168" s="35"/>
      <c r="F168" s="35"/>
      <c r="G168" s="32"/>
      <c r="H168" s="33"/>
      <c r="I168" s="37" t="str">
        <f aca="true">IF(B168="","",IF(F168="","",IF(F168&lt;TODAY(),"Expired",IF(F168&lt;=TODAY()+60,"Expiring Soon","OK"))))</f>
        <v/>
      </c>
    </row>
    <row r="169" customFormat="false" ht="15" hidden="false" customHeight="false" outlineLevel="0" collapsed="false">
      <c r="A169" s="32"/>
      <c r="B169" s="32"/>
      <c r="C169" s="32"/>
      <c r="D169" s="32"/>
      <c r="E169" s="35"/>
      <c r="F169" s="35"/>
      <c r="G169" s="32"/>
      <c r="H169" s="33"/>
      <c r="I169" s="37" t="str">
        <f aca="true">IF(B169="","",IF(F169="","",IF(F169&lt;TODAY(),"Expired",IF(F169&lt;=TODAY()+60,"Expiring Soon","OK"))))</f>
        <v/>
      </c>
    </row>
    <row r="170" customFormat="false" ht="15" hidden="false" customHeight="false" outlineLevel="0" collapsed="false">
      <c r="A170" s="32"/>
      <c r="B170" s="32"/>
      <c r="C170" s="32"/>
      <c r="D170" s="32"/>
      <c r="E170" s="35"/>
      <c r="F170" s="35"/>
      <c r="G170" s="32"/>
      <c r="H170" s="33"/>
      <c r="I170" s="37" t="str">
        <f aca="true">IF(B170="","",IF(F170="","",IF(F170&lt;TODAY(),"Expired",IF(F170&lt;=TODAY()+60,"Expiring Soon","OK"))))</f>
        <v/>
      </c>
    </row>
    <row r="171" customFormat="false" ht="15" hidden="false" customHeight="false" outlineLevel="0" collapsed="false">
      <c r="A171" s="32"/>
      <c r="B171" s="32"/>
      <c r="C171" s="32"/>
      <c r="D171" s="32"/>
      <c r="E171" s="35"/>
      <c r="F171" s="35"/>
      <c r="G171" s="32"/>
      <c r="H171" s="33"/>
      <c r="I171" s="37" t="str">
        <f aca="true">IF(B171="","",IF(F171="","",IF(F171&lt;TODAY(),"Expired",IF(F171&lt;=TODAY()+60,"Expiring Soon","OK"))))</f>
        <v/>
      </c>
    </row>
    <row r="172" customFormat="false" ht="15" hidden="false" customHeight="false" outlineLevel="0" collapsed="false">
      <c r="A172" s="32"/>
      <c r="B172" s="32"/>
      <c r="C172" s="32"/>
      <c r="D172" s="32"/>
      <c r="E172" s="35"/>
      <c r="F172" s="35"/>
      <c r="G172" s="32"/>
      <c r="H172" s="33"/>
      <c r="I172" s="37" t="str">
        <f aca="true">IF(B172="","",IF(F172="","",IF(F172&lt;TODAY(),"Expired",IF(F172&lt;=TODAY()+60,"Expiring Soon","OK"))))</f>
        <v/>
      </c>
    </row>
    <row r="173" customFormat="false" ht="15" hidden="false" customHeight="false" outlineLevel="0" collapsed="false">
      <c r="A173" s="32"/>
      <c r="B173" s="32"/>
      <c r="C173" s="32"/>
      <c r="D173" s="32"/>
      <c r="E173" s="35"/>
      <c r="F173" s="35"/>
      <c r="G173" s="32"/>
      <c r="H173" s="33"/>
      <c r="I173" s="37" t="str">
        <f aca="true">IF(B173="","",IF(F173="","",IF(F173&lt;TODAY(),"Expired",IF(F173&lt;=TODAY()+60,"Expiring Soon","OK"))))</f>
        <v/>
      </c>
    </row>
    <row r="174" customFormat="false" ht="15" hidden="false" customHeight="false" outlineLevel="0" collapsed="false">
      <c r="A174" s="32"/>
      <c r="B174" s="32"/>
      <c r="C174" s="32"/>
      <c r="D174" s="32"/>
      <c r="E174" s="35"/>
      <c r="F174" s="35"/>
      <c r="G174" s="32"/>
      <c r="H174" s="33"/>
      <c r="I174" s="37" t="str">
        <f aca="true">IF(B174="","",IF(F174="","",IF(F174&lt;TODAY(),"Expired",IF(F174&lt;=TODAY()+60,"Expiring Soon","OK"))))</f>
        <v/>
      </c>
    </row>
    <row r="175" customFormat="false" ht="15" hidden="false" customHeight="false" outlineLevel="0" collapsed="false">
      <c r="A175" s="32"/>
      <c r="B175" s="32"/>
      <c r="C175" s="32"/>
      <c r="D175" s="32"/>
      <c r="E175" s="35"/>
      <c r="F175" s="35"/>
      <c r="G175" s="32"/>
      <c r="H175" s="33"/>
      <c r="I175" s="37" t="str">
        <f aca="true">IF(B175="","",IF(F175="","",IF(F175&lt;TODAY(),"Expired",IF(F175&lt;=TODAY()+60,"Expiring Soon","OK"))))</f>
        <v/>
      </c>
    </row>
    <row r="176" customFormat="false" ht="15" hidden="false" customHeight="false" outlineLevel="0" collapsed="false">
      <c r="A176" s="32"/>
      <c r="B176" s="32"/>
      <c r="C176" s="32"/>
      <c r="D176" s="32"/>
      <c r="E176" s="35"/>
      <c r="F176" s="35"/>
      <c r="G176" s="32"/>
      <c r="H176" s="33"/>
      <c r="I176" s="37" t="str">
        <f aca="true">IF(B176="","",IF(F176="","",IF(F176&lt;TODAY(),"Expired",IF(F176&lt;=TODAY()+60,"Expiring Soon","OK"))))</f>
        <v/>
      </c>
    </row>
    <row r="177" customFormat="false" ht="15" hidden="false" customHeight="false" outlineLevel="0" collapsed="false">
      <c r="A177" s="32"/>
      <c r="B177" s="32"/>
      <c r="C177" s="32"/>
      <c r="D177" s="32"/>
      <c r="E177" s="35"/>
      <c r="F177" s="35"/>
      <c r="G177" s="32"/>
      <c r="H177" s="33"/>
      <c r="I177" s="37" t="str">
        <f aca="true">IF(B177="","",IF(F177="","",IF(F177&lt;TODAY(),"Expired",IF(F177&lt;=TODAY()+60,"Expiring Soon","OK"))))</f>
        <v/>
      </c>
    </row>
    <row r="178" customFormat="false" ht="15" hidden="false" customHeight="false" outlineLevel="0" collapsed="false">
      <c r="A178" s="32"/>
      <c r="B178" s="32"/>
      <c r="C178" s="32"/>
      <c r="D178" s="32"/>
      <c r="E178" s="35"/>
      <c r="F178" s="35"/>
      <c r="G178" s="32"/>
      <c r="H178" s="33"/>
      <c r="I178" s="37" t="str">
        <f aca="true">IF(B178="","",IF(F178="","",IF(F178&lt;TODAY(),"Expired",IF(F178&lt;=TODAY()+60,"Expiring Soon","OK"))))</f>
        <v/>
      </c>
    </row>
    <row r="179" customFormat="false" ht="15" hidden="false" customHeight="false" outlineLevel="0" collapsed="false">
      <c r="A179" s="32"/>
      <c r="B179" s="32"/>
      <c r="C179" s="32"/>
      <c r="D179" s="32"/>
      <c r="E179" s="35"/>
      <c r="F179" s="35"/>
      <c r="G179" s="32"/>
      <c r="H179" s="33"/>
      <c r="I179" s="37" t="str">
        <f aca="true">IF(B179="","",IF(F179="","",IF(F179&lt;TODAY(),"Expired",IF(F179&lt;=TODAY()+60,"Expiring Soon","OK"))))</f>
        <v/>
      </c>
    </row>
    <row r="180" customFormat="false" ht="15" hidden="false" customHeight="false" outlineLevel="0" collapsed="false">
      <c r="A180" s="32"/>
      <c r="B180" s="32"/>
      <c r="C180" s="32"/>
      <c r="D180" s="32"/>
      <c r="E180" s="35"/>
      <c r="F180" s="35"/>
      <c r="G180" s="32"/>
      <c r="H180" s="33"/>
      <c r="I180" s="37" t="str">
        <f aca="true">IF(B180="","",IF(F180="","",IF(F180&lt;TODAY(),"Expired",IF(F180&lt;=TODAY()+60,"Expiring Soon","OK"))))</f>
        <v/>
      </c>
    </row>
    <row r="181" customFormat="false" ht="15" hidden="false" customHeight="false" outlineLevel="0" collapsed="false">
      <c r="A181" s="32"/>
      <c r="B181" s="32"/>
      <c r="C181" s="32"/>
      <c r="D181" s="32"/>
      <c r="E181" s="35"/>
      <c r="F181" s="35"/>
      <c r="G181" s="32"/>
      <c r="H181" s="33"/>
      <c r="I181" s="37" t="str">
        <f aca="true">IF(B181="","",IF(F181="","",IF(F181&lt;TODAY(),"Expired",IF(F181&lt;=TODAY()+60,"Expiring Soon","OK"))))</f>
        <v/>
      </c>
    </row>
    <row r="182" customFormat="false" ht="15" hidden="false" customHeight="false" outlineLevel="0" collapsed="false">
      <c r="A182" s="32"/>
      <c r="B182" s="32"/>
      <c r="C182" s="32"/>
      <c r="D182" s="32"/>
      <c r="E182" s="35"/>
      <c r="F182" s="35"/>
      <c r="G182" s="32"/>
      <c r="H182" s="33"/>
      <c r="I182" s="37" t="str">
        <f aca="true">IF(B182="","",IF(F182="","",IF(F182&lt;TODAY(),"Expired",IF(F182&lt;=TODAY()+60,"Expiring Soon","OK"))))</f>
        <v/>
      </c>
    </row>
    <row r="183" customFormat="false" ht="15" hidden="false" customHeight="false" outlineLevel="0" collapsed="false">
      <c r="A183" s="32"/>
      <c r="B183" s="32"/>
      <c r="C183" s="32"/>
      <c r="D183" s="32"/>
      <c r="E183" s="35"/>
      <c r="F183" s="35"/>
      <c r="G183" s="32"/>
      <c r="H183" s="33"/>
      <c r="I183" s="37" t="str">
        <f aca="true">IF(B183="","",IF(F183="","",IF(F183&lt;TODAY(),"Expired",IF(F183&lt;=TODAY()+60,"Expiring Soon","OK"))))</f>
        <v/>
      </c>
    </row>
    <row r="184" customFormat="false" ht="15" hidden="false" customHeight="false" outlineLevel="0" collapsed="false">
      <c r="A184" s="32"/>
      <c r="B184" s="32"/>
      <c r="C184" s="32"/>
      <c r="D184" s="32"/>
      <c r="E184" s="35"/>
      <c r="F184" s="35"/>
      <c r="G184" s="32"/>
      <c r="H184" s="33"/>
      <c r="I184" s="37" t="str">
        <f aca="true">IF(B184="","",IF(F184="","",IF(F184&lt;TODAY(),"Expired",IF(F184&lt;=TODAY()+60,"Expiring Soon","OK"))))</f>
        <v/>
      </c>
    </row>
    <row r="185" customFormat="false" ht="15" hidden="false" customHeight="false" outlineLevel="0" collapsed="false">
      <c r="A185" s="32"/>
      <c r="B185" s="32"/>
      <c r="C185" s="32"/>
      <c r="D185" s="32"/>
      <c r="E185" s="35"/>
      <c r="F185" s="35"/>
      <c r="G185" s="32"/>
      <c r="H185" s="33"/>
      <c r="I185" s="37" t="str">
        <f aca="true">IF(B185="","",IF(F185="","",IF(F185&lt;TODAY(),"Expired",IF(F185&lt;=TODAY()+60,"Expiring Soon","OK"))))</f>
        <v/>
      </c>
    </row>
    <row r="186" customFormat="false" ht="15" hidden="false" customHeight="false" outlineLevel="0" collapsed="false">
      <c r="A186" s="32"/>
      <c r="B186" s="32"/>
      <c r="C186" s="32"/>
      <c r="D186" s="32"/>
      <c r="E186" s="35"/>
      <c r="F186" s="35"/>
      <c r="G186" s="32"/>
      <c r="H186" s="33"/>
      <c r="I186" s="37" t="str">
        <f aca="true">IF(B186="","",IF(F186="","",IF(F186&lt;TODAY(),"Expired",IF(F186&lt;=TODAY()+60,"Expiring Soon","OK"))))</f>
        <v/>
      </c>
    </row>
    <row r="187" customFormat="false" ht="15" hidden="false" customHeight="false" outlineLevel="0" collapsed="false">
      <c r="A187" s="32"/>
      <c r="B187" s="32"/>
      <c r="C187" s="32"/>
      <c r="D187" s="32"/>
      <c r="E187" s="35"/>
      <c r="F187" s="35"/>
      <c r="G187" s="32"/>
      <c r="H187" s="33"/>
      <c r="I187" s="37" t="str">
        <f aca="true">IF(B187="","",IF(F187="","",IF(F187&lt;TODAY(),"Expired",IF(F187&lt;=TODAY()+60,"Expiring Soon","OK"))))</f>
        <v/>
      </c>
    </row>
    <row r="188" customFormat="false" ht="15" hidden="false" customHeight="false" outlineLevel="0" collapsed="false">
      <c r="A188" s="32"/>
      <c r="B188" s="32"/>
      <c r="C188" s="32"/>
      <c r="D188" s="32"/>
      <c r="E188" s="35"/>
      <c r="F188" s="35"/>
      <c r="G188" s="32"/>
      <c r="H188" s="33"/>
      <c r="I188" s="37" t="str">
        <f aca="true">IF(B188="","",IF(F188="","",IF(F188&lt;TODAY(),"Expired",IF(F188&lt;=TODAY()+60,"Expiring Soon","OK"))))</f>
        <v/>
      </c>
    </row>
    <row r="189" customFormat="false" ht="15" hidden="false" customHeight="false" outlineLevel="0" collapsed="false">
      <c r="A189" s="32"/>
      <c r="B189" s="32"/>
      <c r="C189" s="32"/>
      <c r="D189" s="32"/>
      <c r="E189" s="35"/>
      <c r="F189" s="35"/>
      <c r="G189" s="32"/>
      <c r="H189" s="33"/>
      <c r="I189" s="37" t="str">
        <f aca="true">IF(B189="","",IF(F189="","",IF(F189&lt;TODAY(),"Expired",IF(F189&lt;=TODAY()+60,"Expiring Soon","OK"))))</f>
        <v/>
      </c>
    </row>
    <row r="190" customFormat="false" ht="15" hidden="false" customHeight="false" outlineLevel="0" collapsed="false">
      <c r="A190" s="32"/>
      <c r="B190" s="32"/>
      <c r="C190" s="32"/>
      <c r="D190" s="32"/>
      <c r="E190" s="35"/>
      <c r="F190" s="35"/>
      <c r="G190" s="32"/>
      <c r="H190" s="33"/>
      <c r="I190" s="37" t="str">
        <f aca="true">IF(B190="","",IF(F190="","",IF(F190&lt;TODAY(),"Expired",IF(F190&lt;=TODAY()+60,"Expiring Soon","OK"))))</f>
        <v/>
      </c>
    </row>
    <row r="191" customFormat="false" ht="15" hidden="false" customHeight="false" outlineLevel="0" collapsed="false">
      <c r="A191" s="32"/>
      <c r="B191" s="32"/>
      <c r="C191" s="32"/>
      <c r="D191" s="32"/>
      <c r="E191" s="35"/>
      <c r="F191" s="35"/>
      <c r="G191" s="32"/>
      <c r="H191" s="33"/>
      <c r="I191" s="37" t="str">
        <f aca="true">IF(B191="","",IF(F191="","",IF(F191&lt;TODAY(),"Expired",IF(F191&lt;=TODAY()+60,"Expiring Soon","OK"))))</f>
        <v/>
      </c>
    </row>
    <row r="192" customFormat="false" ht="15" hidden="false" customHeight="false" outlineLevel="0" collapsed="false">
      <c r="A192" s="32"/>
      <c r="B192" s="32"/>
      <c r="C192" s="32"/>
      <c r="D192" s="32"/>
      <c r="E192" s="35"/>
      <c r="F192" s="35"/>
      <c r="G192" s="32"/>
      <c r="H192" s="33"/>
      <c r="I192" s="37" t="str">
        <f aca="true">IF(B192="","",IF(F192="","",IF(F192&lt;TODAY(),"Expired",IF(F192&lt;=TODAY()+60,"Expiring Soon","OK"))))</f>
        <v/>
      </c>
    </row>
    <row r="193" customFormat="false" ht="15" hidden="false" customHeight="false" outlineLevel="0" collapsed="false">
      <c r="A193" s="32"/>
      <c r="B193" s="32"/>
      <c r="C193" s="32"/>
      <c r="D193" s="32"/>
      <c r="E193" s="35"/>
      <c r="F193" s="35"/>
      <c r="G193" s="32"/>
      <c r="H193" s="33"/>
      <c r="I193" s="37" t="str">
        <f aca="true">IF(B193="","",IF(F193="","",IF(F193&lt;TODAY(),"Expired",IF(F193&lt;=TODAY()+60,"Expiring Soon","OK"))))</f>
        <v/>
      </c>
    </row>
    <row r="194" customFormat="false" ht="15" hidden="false" customHeight="false" outlineLevel="0" collapsed="false">
      <c r="A194" s="32"/>
      <c r="B194" s="32"/>
      <c r="C194" s="32"/>
      <c r="D194" s="32"/>
      <c r="E194" s="35"/>
      <c r="F194" s="35"/>
      <c r="G194" s="32"/>
      <c r="H194" s="33"/>
      <c r="I194" s="37" t="str">
        <f aca="true">IF(B194="","",IF(F194="","",IF(F194&lt;TODAY(),"Expired",IF(F194&lt;=TODAY()+60,"Expiring Soon","OK"))))</f>
        <v/>
      </c>
    </row>
    <row r="195" customFormat="false" ht="15" hidden="false" customHeight="false" outlineLevel="0" collapsed="false">
      <c r="A195" s="32"/>
      <c r="B195" s="32"/>
      <c r="C195" s="32"/>
      <c r="D195" s="32"/>
      <c r="E195" s="35"/>
      <c r="F195" s="35"/>
      <c r="G195" s="32"/>
      <c r="H195" s="33"/>
      <c r="I195" s="37" t="str">
        <f aca="true">IF(B195="","",IF(F195="","",IF(F195&lt;TODAY(),"Expired",IF(F195&lt;=TODAY()+60,"Expiring Soon","OK"))))</f>
        <v/>
      </c>
    </row>
    <row r="196" customFormat="false" ht="15" hidden="false" customHeight="false" outlineLevel="0" collapsed="false">
      <c r="A196" s="32"/>
      <c r="B196" s="32"/>
      <c r="C196" s="32"/>
      <c r="D196" s="32"/>
      <c r="E196" s="35"/>
      <c r="F196" s="35"/>
      <c r="G196" s="32"/>
      <c r="H196" s="33"/>
      <c r="I196" s="37" t="str">
        <f aca="true">IF(B196="","",IF(F196="","",IF(F196&lt;TODAY(),"Expired",IF(F196&lt;=TODAY()+60,"Expiring Soon","OK"))))</f>
        <v/>
      </c>
    </row>
    <row r="197" customFormat="false" ht="15" hidden="false" customHeight="false" outlineLevel="0" collapsed="false">
      <c r="A197" s="32"/>
      <c r="B197" s="32"/>
      <c r="C197" s="32"/>
      <c r="D197" s="32"/>
      <c r="E197" s="35"/>
      <c r="F197" s="35"/>
      <c r="G197" s="32"/>
      <c r="H197" s="33"/>
      <c r="I197" s="37" t="str">
        <f aca="true">IF(B197="","",IF(F197="","",IF(F197&lt;TODAY(),"Expired",IF(F197&lt;=TODAY()+60,"Expiring Soon","OK"))))</f>
        <v/>
      </c>
    </row>
    <row r="198" customFormat="false" ht="15" hidden="false" customHeight="false" outlineLevel="0" collapsed="false">
      <c r="A198" s="32"/>
      <c r="B198" s="32"/>
      <c r="C198" s="32"/>
      <c r="D198" s="32"/>
      <c r="E198" s="35"/>
      <c r="F198" s="35"/>
      <c r="G198" s="32"/>
      <c r="H198" s="33"/>
      <c r="I198" s="37" t="str">
        <f aca="true">IF(B198="","",IF(F198="","",IF(F198&lt;TODAY(),"Expired",IF(F198&lt;=TODAY()+60,"Expiring Soon","OK"))))</f>
        <v/>
      </c>
    </row>
    <row r="199" customFormat="false" ht="15" hidden="false" customHeight="false" outlineLevel="0" collapsed="false">
      <c r="A199" s="32"/>
      <c r="B199" s="32"/>
      <c r="C199" s="32"/>
      <c r="D199" s="32"/>
      <c r="E199" s="35"/>
      <c r="F199" s="35"/>
      <c r="G199" s="32"/>
      <c r="H199" s="33"/>
      <c r="I199" s="37" t="str">
        <f aca="true">IF(B199="","",IF(F199="","",IF(F199&lt;TODAY(),"Expired",IF(F199&lt;=TODAY()+60,"Expiring Soon","OK"))))</f>
        <v/>
      </c>
    </row>
    <row r="200" customFormat="false" ht="15" hidden="false" customHeight="false" outlineLevel="0" collapsed="false">
      <c r="A200" s="32"/>
      <c r="B200" s="32"/>
      <c r="C200" s="32"/>
      <c r="D200" s="32"/>
      <c r="E200" s="35"/>
      <c r="F200" s="35"/>
      <c r="G200" s="32"/>
      <c r="H200" s="33"/>
      <c r="I200" s="37" t="str">
        <f aca="true">IF(B200="","",IF(F200="","",IF(F200&lt;TODAY(),"Expired",IF(F200&lt;=TODAY()+60,"Expiring Soon","OK"))))</f>
        <v/>
      </c>
    </row>
    <row r="201" customFormat="false" ht="15" hidden="false" customHeight="false" outlineLevel="0" collapsed="false">
      <c r="A201" s="32"/>
      <c r="B201" s="32"/>
      <c r="C201" s="32"/>
      <c r="D201" s="32"/>
      <c r="E201" s="35"/>
      <c r="F201" s="35"/>
      <c r="G201" s="32"/>
      <c r="H201" s="33"/>
      <c r="I201" s="37" t="str">
        <f aca="true">IF(B201="","",IF(F201="","",IF(F201&lt;TODAY(),"Expired",IF(F201&lt;=TODAY()+60,"Expiring Soon","OK"))))</f>
        <v/>
      </c>
    </row>
    <row r="202" customFormat="false" ht="15" hidden="false" customHeight="false" outlineLevel="0" collapsed="false">
      <c r="A202" s="32"/>
      <c r="B202" s="32"/>
      <c r="C202" s="32"/>
      <c r="D202" s="32"/>
      <c r="E202" s="35"/>
      <c r="F202" s="35"/>
      <c r="G202" s="32"/>
      <c r="H202" s="33"/>
      <c r="I202" s="37" t="str">
        <f aca="true">IF(B202="","",IF(F202="","",IF(F202&lt;TODAY(),"Expired",IF(F202&lt;=TODAY()+60,"Expiring Soon","OK"))))</f>
        <v/>
      </c>
    </row>
    <row r="203" customFormat="false" ht="15" hidden="false" customHeight="false" outlineLevel="0" collapsed="false">
      <c r="A203" s="32"/>
      <c r="B203" s="32"/>
      <c r="C203" s="32"/>
      <c r="D203" s="32"/>
      <c r="E203" s="35"/>
      <c r="F203" s="35"/>
      <c r="G203" s="32"/>
      <c r="H203" s="33"/>
      <c r="I203" s="37" t="str">
        <f aca="true">IF(B203="","",IF(F203="","",IF(F203&lt;TODAY(),"Expired",IF(F203&lt;=TODAY()+60,"Expiring Soon","OK"))))</f>
        <v/>
      </c>
    </row>
    <row r="204" customFormat="false" ht="15" hidden="false" customHeight="false" outlineLevel="0" collapsed="false">
      <c r="A204" s="32"/>
      <c r="B204" s="32"/>
      <c r="C204" s="32"/>
      <c r="D204" s="32"/>
      <c r="E204" s="35"/>
      <c r="F204" s="35"/>
      <c r="G204" s="32"/>
      <c r="H204" s="33"/>
      <c r="I204" s="37" t="str">
        <f aca="true">IF(B204="","",IF(F204="","",IF(F204&lt;TODAY(),"Expired",IF(F204&lt;=TODAY()+60,"Expiring Soon","OK"))))</f>
        <v/>
      </c>
    </row>
    <row r="205" customFormat="false" ht="15" hidden="false" customHeight="false" outlineLevel="0" collapsed="false">
      <c r="A205" s="32"/>
      <c r="B205" s="32"/>
      <c r="C205" s="32"/>
      <c r="D205" s="32"/>
      <c r="E205" s="35"/>
      <c r="F205" s="35"/>
      <c r="G205" s="32"/>
      <c r="H205" s="33"/>
      <c r="I205" s="37" t="str">
        <f aca="true">IF(B205="","",IF(F205="","",IF(F205&lt;TODAY(),"Expired",IF(F205&lt;=TODAY()+60,"Expiring Soon","OK"))))</f>
        <v/>
      </c>
    </row>
    <row r="206" customFormat="false" ht="15" hidden="false" customHeight="false" outlineLevel="0" collapsed="false">
      <c r="A206" s="32"/>
      <c r="B206" s="32"/>
      <c r="C206" s="32"/>
      <c r="D206" s="32"/>
      <c r="E206" s="35"/>
      <c r="F206" s="35"/>
      <c r="G206" s="32"/>
      <c r="H206" s="33"/>
      <c r="I206" s="37" t="str">
        <f aca="true">IF(B206="","",IF(F206="","",IF(F206&lt;TODAY(),"Expired",IF(F206&lt;=TODAY()+60,"Expiring Soon","OK"))))</f>
        <v/>
      </c>
    </row>
    <row r="207" customFormat="false" ht="15" hidden="false" customHeight="false" outlineLevel="0" collapsed="false">
      <c r="A207" s="32"/>
      <c r="B207" s="32"/>
      <c r="C207" s="32"/>
      <c r="D207" s="32"/>
      <c r="E207" s="35"/>
      <c r="F207" s="35"/>
      <c r="G207" s="32"/>
      <c r="H207" s="33"/>
      <c r="I207" s="37" t="str">
        <f aca="true">IF(B207="","",IF(F207="","",IF(F207&lt;TODAY(),"Expired",IF(F207&lt;=TODAY()+60,"Expiring Soon","OK"))))</f>
        <v/>
      </c>
    </row>
    <row r="208" customFormat="false" ht="15" hidden="false" customHeight="false" outlineLevel="0" collapsed="false">
      <c r="A208" s="32"/>
      <c r="B208" s="32"/>
      <c r="C208" s="32"/>
      <c r="D208" s="32"/>
      <c r="E208" s="35"/>
      <c r="F208" s="35"/>
      <c r="G208" s="32"/>
      <c r="H208" s="33"/>
      <c r="I208" s="37" t="str">
        <f aca="true">IF(B208="","",IF(F208="","",IF(F208&lt;TODAY(),"Expired",IF(F208&lt;=TODAY()+60,"Expiring Soon","OK"))))</f>
        <v/>
      </c>
    </row>
    <row r="209" customFormat="false" ht="15" hidden="false" customHeight="false" outlineLevel="0" collapsed="false">
      <c r="A209" s="32"/>
      <c r="B209" s="32"/>
      <c r="C209" s="32"/>
      <c r="D209" s="32"/>
      <c r="E209" s="35"/>
      <c r="F209" s="35"/>
      <c r="G209" s="32"/>
      <c r="H209" s="33"/>
      <c r="I209" s="37" t="str">
        <f aca="true">IF(B209="","",IF(F209="","",IF(F209&lt;TODAY(),"Expired",IF(F209&lt;=TODAY()+60,"Expiring Soon","OK"))))</f>
        <v/>
      </c>
    </row>
    <row r="210" customFormat="false" ht="15" hidden="false" customHeight="false" outlineLevel="0" collapsed="false">
      <c r="A210" s="32"/>
      <c r="B210" s="32"/>
      <c r="C210" s="32"/>
      <c r="D210" s="32"/>
      <c r="E210" s="35"/>
      <c r="F210" s="35"/>
      <c r="G210" s="32"/>
      <c r="H210" s="33"/>
      <c r="I210" s="37" t="str">
        <f aca="true">IF(B210="","",IF(F210="","",IF(F210&lt;TODAY(),"Expired",IF(F210&lt;=TODAY()+60,"Expiring Soon","OK"))))</f>
        <v/>
      </c>
    </row>
    <row r="211" customFormat="false" ht="15" hidden="false" customHeight="false" outlineLevel="0" collapsed="false">
      <c r="A211" s="32"/>
      <c r="B211" s="32"/>
      <c r="C211" s="32"/>
      <c r="D211" s="32"/>
      <c r="E211" s="35"/>
      <c r="F211" s="35"/>
      <c r="G211" s="32"/>
      <c r="H211" s="33"/>
      <c r="I211" s="37" t="str">
        <f aca="true">IF(B211="","",IF(F211="","",IF(F211&lt;TODAY(),"Expired",IF(F211&lt;=TODAY()+60,"Expiring Soon","OK"))))</f>
        <v/>
      </c>
    </row>
    <row r="212" customFormat="false" ht="15" hidden="false" customHeight="false" outlineLevel="0" collapsed="false">
      <c r="A212" s="32"/>
      <c r="B212" s="32"/>
      <c r="C212" s="32"/>
      <c r="D212" s="32"/>
      <c r="E212" s="35"/>
      <c r="F212" s="35"/>
      <c r="G212" s="32"/>
      <c r="H212" s="33"/>
      <c r="I212" s="37" t="str">
        <f aca="true">IF(B212="","",IF(F212="","",IF(F212&lt;TODAY(),"Expired",IF(F212&lt;=TODAY()+60,"Expiring Soon","OK"))))</f>
        <v/>
      </c>
    </row>
    <row r="213" customFormat="false" ht="15" hidden="false" customHeight="false" outlineLevel="0" collapsed="false">
      <c r="A213" s="32"/>
      <c r="B213" s="32"/>
      <c r="C213" s="32"/>
      <c r="D213" s="32"/>
      <c r="E213" s="35"/>
      <c r="F213" s="35"/>
      <c r="G213" s="32"/>
      <c r="H213" s="33"/>
      <c r="I213" s="37" t="str">
        <f aca="true">IF(B213="","",IF(F213="","",IF(F213&lt;TODAY(),"Expired",IF(F213&lt;=TODAY()+60,"Expiring Soon","OK"))))</f>
        <v/>
      </c>
    </row>
    <row r="214" customFormat="false" ht="15" hidden="false" customHeight="false" outlineLevel="0" collapsed="false">
      <c r="A214" s="32"/>
      <c r="B214" s="32"/>
      <c r="C214" s="32"/>
      <c r="D214" s="32"/>
      <c r="E214" s="35"/>
      <c r="F214" s="35"/>
      <c r="G214" s="32"/>
      <c r="H214" s="33"/>
      <c r="I214" s="37" t="str">
        <f aca="true">IF(B214="","",IF(F214="","",IF(F214&lt;TODAY(),"Expired",IF(F214&lt;=TODAY()+60,"Expiring Soon","OK"))))</f>
        <v/>
      </c>
    </row>
    <row r="215" customFormat="false" ht="15" hidden="false" customHeight="false" outlineLevel="0" collapsed="false">
      <c r="A215" s="32"/>
      <c r="B215" s="32"/>
      <c r="C215" s="32"/>
      <c r="D215" s="32"/>
      <c r="E215" s="35"/>
      <c r="F215" s="35"/>
      <c r="G215" s="32"/>
      <c r="H215" s="33"/>
      <c r="I215" s="37" t="str">
        <f aca="true">IF(B215="","",IF(F215="","",IF(F215&lt;TODAY(),"Expired",IF(F215&lt;=TODAY()+60,"Expiring Soon","OK"))))</f>
        <v/>
      </c>
    </row>
    <row r="216" customFormat="false" ht="15" hidden="false" customHeight="false" outlineLevel="0" collapsed="false">
      <c r="A216" s="32"/>
      <c r="B216" s="32"/>
      <c r="C216" s="32"/>
      <c r="D216" s="32"/>
      <c r="E216" s="35"/>
      <c r="F216" s="35"/>
      <c r="G216" s="32"/>
      <c r="H216" s="33"/>
      <c r="I216" s="37" t="str">
        <f aca="true">IF(B216="","",IF(F216="","",IF(F216&lt;TODAY(),"Expired",IF(F216&lt;=TODAY()+60,"Expiring Soon","OK"))))</f>
        <v/>
      </c>
    </row>
    <row r="217" customFormat="false" ht="15" hidden="false" customHeight="false" outlineLevel="0" collapsed="false">
      <c r="A217" s="32"/>
      <c r="B217" s="32"/>
      <c r="C217" s="32"/>
      <c r="D217" s="32"/>
      <c r="E217" s="35"/>
      <c r="F217" s="35"/>
      <c r="G217" s="32"/>
      <c r="H217" s="33"/>
      <c r="I217" s="37" t="str">
        <f aca="true">IF(B217="","",IF(F217="","",IF(F217&lt;TODAY(),"Expired",IF(F217&lt;=TODAY()+60,"Expiring Soon","OK"))))</f>
        <v/>
      </c>
    </row>
    <row r="218" customFormat="false" ht="15" hidden="false" customHeight="false" outlineLevel="0" collapsed="false">
      <c r="A218" s="32"/>
      <c r="B218" s="32"/>
      <c r="C218" s="32"/>
      <c r="D218" s="32"/>
      <c r="E218" s="35"/>
      <c r="F218" s="35"/>
      <c r="G218" s="32"/>
      <c r="H218" s="33"/>
      <c r="I218" s="37" t="str">
        <f aca="true">IF(B218="","",IF(F218="","",IF(F218&lt;TODAY(),"Expired",IF(F218&lt;=TODAY()+60,"Expiring Soon","OK"))))</f>
        <v/>
      </c>
    </row>
    <row r="219" customFormat="false" ht="15" hidden="false" customHeight="false" outlineLevel="0" collapsed="false">
      <c r="A219" s="32"/>
      <c r="B219" s="32"/>
      <c r="C219" s="32"/>
      <c r="D219" s="32"/>
      <c r="E219" s="35"/>
      <c r="F219" s="35"/>
      <c r="G219" s="32"/>
      <c r="H219" s="33"/>
      <c r="I219" s="37" t="str">
        <f aca="true">IF(B219="","",IF(F219="","",IF(F219&lt;TODAY(),"Expired",IF(F219&lt;=TODAY()+60,"Expiring Soon","OK"))))</f>
        <v/>
      </c>
    </row>
    <row r="220" customFormat="false" ht="15" hidden="false" customHeight="false" outlineLevel="0" collapsed="false">
      <c r="A220" s="32"/>
      <c r="B220" s="32"/>
      <c r="C220" s="32"/>
      <c r="D220" s="32"/>
      <c r="E220" s="35"/>
      <c r="F220" s="35"/>
      <c r="G220" s="32"/>
      <c r="H220" s="33"/>
      <c r="I220" s="37" t="str">
        <f aca="true">IF(B220="","",IF(F220="","",IF(F220&lt;TODAY(),"Expired",IF(F220&lt;=TODAY()+60,"Expiring Soon","OK"))))</f>
        <v/>
      </c>
    </row>
    <row r="221" customFormat="false" ht="15" hidden="false" customHeight="false" outlineLevel="0" collapsed="false">
      <c r="A221" s="32"/>
      <c r="B221" s="32"/>
      <c r="C221" s="32"/>
      <c r="D221" s="32"/>
      <c r="E221" s="35"/>
      <c r="F221" s="35"/>
      <c r="G221" s="32"/>
      <c r="H221" s="33"/>
      <c r="I221" s="37" t="str">
        <f aca="true">IF(B221="","",IF(F221="","",IF(F221&lt;TODAY(),"Expired",IF(F221&lt;=TODAY()+60,"Expiring Soon","OK"))))</f>
        <v/>
      </c>
    </row>
    <row r="222" customFormat="false" ht="15" hidden="false" customHeight="false" outlineLevel="0" collapsed="false">
      <c r="A222" s="32"/>
      <c r="B222" s="32"/>
      <c r="C222" s="32"/>
      <c r="D222" s="32"/>
      <c r="E222" s="35"/>
      <c r="F222" s="35"/>
      <c r="G222" s="32"/>
      <c r="H222" s="33"/>
      <c r="I222" s="37" t="str">
        <f aca="true">IF(B222="","",IF(F222="","",IF(F222&lt;TODAY(),"Expired",IF(F222&lt;=TODAY()+60,"Expiring Soon","OK"))))</f>
        <v/>
      </c>
    </row>
    <row r="223" customFormat="false" ht="15" hidden="false" customHeight="false" outlineLevel="0" collapsed="false">
      <c r="A223" s="32"/>
      <c r="B223" s="32"/>
      <c r="C223" s="32"/>
      <c r="D223" s="32"/>
      <c r="E223" s="35"/>
      <c r="F223" s="35"/>
      <c r="G223" s="32"/>
      <c r="H223" s="33"/>
      <c r="I223" s="37" t="str">
        <f aca="true">IF(B223="","",IF(F223="","",IF(F223&lt;TODAY(),"Expired",IF(F223&lt;=TODAY()+60,"Expiring Soon","OK"))))</f>
        <v/>
      </c>
    </row>
    <row r="224" customFormat="false" ht="15" hidden="false" customHeight="false" outlineLevel="0" collapsed="false">
      <c r="A224" s="32"/>
      <c r="B224" s="32"/>
      <c r="C224" s="32"/>
      <c r="D224" s="32"/>
      <c r="E224" s="35"/>
      <c r="F224" s="35"/>
      <c r="G224" s="32"/>
      <c r="H224" s="33"/>
      <c r="I224" s="37" t="str">
        <f aca="true">IF(B224="","",IF(F224="","",IF(F224&lt;TODAY(),"Expired",IF(F224&lt;=TODAY()+60,"Expiring Soon","OK"))))</f>
        <v/>
      </c>
    </row>
    <row r="225" customFormat="false" ht="15" hidden="false" customHeight="false" outlineLevel="0" collapsed="false">
      <c r="A225" s="32"/>
      <c r="B225" s="32"/>
      <c r="C225" s="32"/>
      <c r="D225" s="32"/>
      <c r="E225" s="35"/>
      <c r="F225" s="35"/>
      <c r="G225" s="32"/>
      <c r="H225" s="33"/>
      <c r="I225" s="37" t="str">
        <f aca="true">IF(B225="","",IF(F225="","",IF(F225&lt;TODAY(),"Expired",IF(F225&lt;=TODAY()+60,"Expiring Soon","OK"))))</f>
        <v/>
      </c>
    </row>
    <row r="226" customFormat="false" ht="15" hidden="false" customHeight="false" outlineLevel="0" collapsed="false">
      <c r="A226" s="32"/>
      <c r="B226" s="32"/>
      <c r="C226" s="32"/>
      <c r="D226" s="32"/>
      <c r="E226" s="35"/>
      <c r="F226" s="35"/>
      <c r="G226" s="32"/>
      <c r="H226" s="33"/>
      <c r="I226" s="37" t="str">
        <f aca="true">IF(B226="","",IF(F226="","",IF(F226&lt;TODAY(),"Expired",IF(F226&lt;=TODAY()+60,"Expiring Soon","OK"))))</f>
        <v/>
      </c>
    </row>
    <row r="227" customFormat="false" ht="15" hidden="false" customHeight="false" outlineLevel="0" collapsed="false">
      <c r="A227" s="32"/>
      <c r="B227" s="32"/>
      <c r="C227" s="32"/>
      <c r="D227" s="32"/>
      <c r="E227" s="35"/>
      <c r="F227" s="35"/>
      <c r="G227" s="32"/>
      <c r="H227" s="33"/>
      <c r="I227" s="37" t="str">
        <f aca="true">IF(B227="","",IF(F227="","",IF(F227&lt;TODAY(),"Expired",IF(F227&lt;=TODAY()+60,"Expiring Soon","OK"))))</f>
        <v/>
      </c>
    </row>
    <row r="228" customFormat="false" ht="15" hidden="false" customHeight="false" outlineLevel="0" collapsed="false">
      <c r="A228" s="32"/>
      <c r="B228" s="32"/>
      <c r="C228" s="32"/>
      <c r="D228" s="32"/>
      <c r="E228" s="35"/>
      <c r="F228" s="35"/>
      <c r="G228" s="32"/>
      <c r="H228" s="33"/>
      <c r="I228" s="37" t="str">
        <f aca="true">IF(B228="","",IF(F228="","",IF(F228&lt;TODAY(),"Expired",IF(F228&lt;=TODAY()+60,"Expiring Soon","OK"))))</f>
        <v/>
      </c>
    </row>
    <row r="229" customFormat="false" ht="15" hidden="false" customHeight="false" outlineLevel="0" collapsed="false">
      <c r="A229" s="32"/>
      <c r="B229" s="32"/>
      <c r="C229" s="32"/>
      <c r="D229" s="32"/>
      <c r="E229" s="35"/>
      <c r="F229" s="35"/>
      <c r="G229" s="32"/>
      <c r="H229" s="33"/>
      <c r="I229" s="37" t="str">
        <f aca="true">IF(B229="","",IF(F229="","",IF(F229&lt;TODAY(),"Expired",IF(F229&lt;=TODAY()+60,"Expiring Soon","OK"))))</f>
        <v/>
      </c>
    </row>
    <row r="230" customFormat="false" ht="15" hidden="false" customHeight="false" outlineLevel="0" collapsed="false">
      <c r="A230" s="32"/>
      <c r="B230" s="32"/>
      <c r="C230" s="32"/>
      <c r="D230" s="32"/>
      <c r="E230" s="35"/>
      <c r="F230" s="35"/>
      <c r="G230" s="32"/>
      <c r="H230" s="33"/>
      <c r="I230" s="37" t="str">
        <f aca="true">IF(B230="","",IF(F230="","",IF(F230&lt;TODAY(),"Expired",IF(F230&lt;=TODAY()+60,"Expiring Soon","OK"))))</f>
        <v/>
      </c>
    </row>
    <row r="231" customFormat="false" ht="15" hidden="false" customHeight="false" outlineLevel="0" collapsed="false">
      <c r="A231" s="32"/>
      <c r="B231" s="32"/>
      <c r="C231" s="32"/>
      <c r="D231" s="32"/>
      <c r="E231" s="35"/>
      <c r="F231" s="35"/>
      <c r="G231" s="32"/>
      <c r="H231" s="33"/>
      <c r="I231" s="37" t="str">
        <f aca="true">IF(B231="","",IF(F231="","",IF(F231&lt;TODAY(),"Expired",IF(F231&lt;=TODAY()+60,"Expiring Soon","OK"))))</f>
        <v/>
      </c>
    </row>
    <row r="232" customFormat="false" ht="15" hidden="false" customHeight="false" outlineLevel="0" collapsed="false">
      <c r="A232" s="32"/>
      <c r="B232" s="32"/>
      <c r="C232" s="32"/>
      <c r="D232" s="32"/>
      <c r="E232" s="35"/>
      <c r="F232" s="35"/>
      <c r="G232" s="32"/>
      <c r="H232" s="33"/>
      <c r="I232" s="37" t="str">
        <f aca="true">IF(B232="","",IF(F232="","",IF(F232&lt;TODAY(),"Expired",IF(F232&lt;=TODAY()+60,"Expiring Soon","OK"))))</f>
        <v/>
      </c>
    </row>
    <row r="233" customFormat="false" ht="15" hidden="false" customHeight="false" outlineLevel="0" collapsed="false">
      <c r="A233" s="32"/>
      <c r="B233" s="32"/>
      <c r="C233" s="32"/>
      <c r="D233" s="32"/>
      <c r="E233" s="35"/>
      <c r="F233" s="35"/>
      <c r="G233" s="32"/>
      <c r="H233" s="33"/>
      <c r="I233" s="37" t="str">
        <f aca="true">IF(B233="","",IF(F233="","",IF(F233&lt;TODAY(),"Expired",IF(F233&lt;=TODAY()+60,"Expiring Soon","OK"))))</f>
        <v/>
      </c>
    </row>
    <row r="234" customFormat="false" ht="15" hidden="false" customHeight="false" outlineLevel="0" collapsed="false">
      <c r="A234" s="32"/>
      <c r="B234" s="32"/>
      <c r="C234" s="32"/>
      <c r="D234" s="32"/>
      <c r="E234" s="35"/>
      <c r="F234" s="35"/>
      <c r="G234" s="32"/>
      <c r="H234" s="33"/>
      <c r="I234" s="37" t="str">
        <f aca="true">IF(B234="","",IF(F234="","",IF(F234&lt;TODAY(),"Expired",IF(F234&lt;=TODAY()+60,"Expiring Soon","OK"))))</f>
        <v/>
      </c>
    </row>
    <row r="235" customFormat="false" ht="15" hidden="false" customHeight="false" outlineLevel="0" collapsed="false">
      <c r="A235" s="32"/>
      <c r="B235" s="32"/>
      <c r="C235" s="32"/>
      <c r="D235" s="32"/>
      <c r="E235" s="35"/>
      <c r="F235" s="35"/>
      <c r="G235" s="32"/>
      <c r="H235" s="33"/>
      <c r="I235" s="37" t="str">
        <f aca="true">IF(B235="","",IF(F235="","",IF(F235&lt;TODAY(),"Expired",IF(F235&lt;=TODAY()+60,"Expiring Soon","OK"))))</f>
        <v/>
      </c>
    </row>
    <row r="236" customFormat="false" ht="15" hidden="false" customHeight="false" outlineLevel="0" collapsed="false">
      <c r="A236" s="32"/>
      <c r="B236" s="32"/>
      <c r="C236" s="32"/>
      <c r="D236" s="32"/>
      <c r="E236" s="35"/>
      <c r="F236" s="35"/>
      <c r="G236" s="32"/>
      <c r="H236" s="33"/>
      <c r="I236" s="37" t="str">
        <f aca="true">IF(B236="","",IF(F236="","",IF(F236&lt;TODAY(),"Expired",IF(F236&lt;=TODAY()+60,"Expiring Soon","OK"))))</f>
        <v/>
      </c>
    </row>
    <row r="237" customFormat="false" ht="15" hidden="false" customHeight="false" outlineLevel="0" collapsed="false">
      <c r="A237" s="32"/>
      <c r="B237" s="32"/>
      <c r="C237" s="32"/>
      <c r="D237" s="32"/>
      <c r="E237" s="35"/>
      <c r="F237" s="35"/>
      <c r="G237" s="32"/>
      <c r="H237" s="33"/>
      <c r="I237" s="37" t="str">
        <f aca="true">IF(B237="","",IF(F237="","",IF(F237&lt;TODAY(),"Expired",IF(F237&lt;=TODAY()+60,"Expiring Soon","OK"))))</f>
        <v/>
      </c>
    </row>
    <row r="238" customFormat="false" ht="15" hidden="false" customHeight="false" outlineLevel="0" collapsed="false">
      <c r="A238" s="32"/>
      <c r="B238" s="32"/>
      <c r="C238" s="32"/>
      <c r="D238" s="32"/>
      <c r="E238" s="35"/>
      <c r="F238" s="35"/>
      <c r="G238" s="32"/>
      <c r="H238" s="33"/>
      <c r="I238" s="37" t="str">
        <f aca="true">IF(B238="","",IF(F238="","",IF(F238&lt;TODAY(),"Expired",IF(F238&lt;=TODAY()+60,"Expiring Soon","OK"))))</f>
        <v/>
      </c>
    </row>
    <row r="239" customFormat="false" ht="15" hidden="false" customHeight="false" outlineLevel="0" collapsed="false">
      <c r="A239" s="32"/>
      <c r="B239" s="32"/>
      <c r="C239" s="32"/>
      <c r="D239" s="32"/>
      <c r="E239" s="35"/>
      <c r="F239" s="35"/>
      <c r="G239" s="32"/>
      <c r="H239" s="33"/>
      <c r="I239" s="37" t="str">
        <f aca="true">IF(B239="","",IF(F239="","",IF(F239&lt;TODAY(),"Expired",IF(F239&lt;=TODAY()+60,"Expiring Soon","OK"))))</f>
        <v/>
      </c>
    </row>
    <row r="240" customFormat="false" ht="15" hidden="false" customHeight="false" outlineLevel="0" collapsed="false">
      <c r="A240" s="32"/>
      <c r="B240" s="32"/>
      <c r="C240" s="32"/>
      <c r="D240" s="32"/>
      <c r="E240" s="35"/>
      <c r="F240" s="35"/>
      <c r="G240" s="32"/>
      <c r="H240" s="33"/>
      <c r="I240" s="37" t="str">
        <f aca="true">IF(B240="","",IF(F240="","",IF(F240&lt;TODAY(),"Expired",IF(F240&lt;=TODAY()+60,"Expiring Soon","OK"))))</f>
        <v/>
      </c>
    </row>
    <row r="241" customFormat="false" ht="15" hidden="false" customHeight="false" outlineLevel="0" collapsed="false">
      <c r="A241" s="32"/>
      <c r="B241" s="32"/>
      <c r="C241" s="32"/>
      <c r="D241" s="32"/>
      <c r="E241" s="35"/>
      <c r="F241" s="35"/>
      <c r="G241" s="32"/>
      <c r="H241" s="33"/>
      <c r="I241" s="37" t="str">
        <f aca="true">IF(B241="","",IF(F241="","",IF(F241&lt;TODAY(),"Expired",IF(F241&lt;=TODAY()+60,"Expiring Soon","OK"))))</f>
        <v/>
      </c>
    </row>
    <row r="242" customFormat="false" ht="15" hidden="false" customHeight="false" outlineLevel="0" collapsed="false">
      <c r="A242" s="32"/>
      <c r="B242" s="32"/>
      <c r="C242" s="32"/>
      <c r="D242" s="32"/>
      <c r="E242" s="35"/>
      <c r="F242" s="35"/>
      <c r="G242" s="32"/>
      <c r="H242" s="33"/>
      <c r="I242" s="37" t="str">
        <f aca="true">IF(B242="","",IF(F242="","",IF(F242&lt;TODAY(),"Expired",IF(F242&lt;=TODAY()+60,"Expiring Soon","OK"))))</f>
        <v/>
      </c>
    </row>
    <row r="243" customFormat="false" ht="15" hidden="false" customHeight="false" outlineLevel="0" collapsed="false">
      <c r="A243" s="32"/>
      <c r="B243" s="32"/>
      <c r="C243" s="32"/>
      <c r="D243" s="32"/>
      <c r="E243" s="35"/>
      <c r="F243" s="35"/>
      <c r="G243" s="32"/>
      <c r="H243" s="33"/>
      <c r="I243" s="37" t="str">
        <f aca="true">IF(B243="","",IF(F243="","",IF(F243&lt;TODAY(),"Expired",IF(F243&lt;=TODAY()+60,"Expiring Soon","OK"))))</f>
        <v/>
      </c>
    </row>
    <row r="244" customFormat="false" ht="15" hidden="false" customHeight="false" outlineLevel="0" collapsed="false">
      <c r="A244" s="32"/>
      <c r="B244" s="32"/>
      <c r="C244" s="32"/>
      <c r="D244" s="32"/>
      <c r="E244" s="35"/>
      <c r="F244" s="35"/>
      <c r="G244" s="32"/>
      <c r="H244" s="33"/>
      <c r="I244" s="37" t="str">
        <f aca="true">IF(B244="","",IF(F244="","",IF(F244&lt;TODAY(),"Expired",IF(F244&lt;=TODAY()+60,"Expiring Soon","OK"))))</f>
        <v/>
      </c>
    </row>
    <row r="245" customFormat="false" ht="15" hidden="false" customHeight="false" outlineLevel="0" collapsed="false">
      <c r="A245" s="32"/>
      <c r="B245" s="32"/>
      <c r="C245" s="32"/>
      <c r="D245" s="32"/>
      <c r="E245" s="35"/>
      <c r="F245" s="35"/>
      <c r="G245" s="32"/>
      <c r="H245" s="33"/>
      <c r="I245" s="37" t="str">
        <f aca="true">IF(B245="","",IF(F245="","",IF(F245&lt;TODAY(),"Expired",IF(F245&lt;=TODAY()+60,"Expiring Soon","OK"))))</f>
        <v/>
      </c>
    </row>
    <row r="246" customFormat="false" ht="15" hidden="false" customHeight="false" outlineLevel="0" collapsed="false">
      <c r="A246" s="32"/>
      <c r="B246" s="32"/>
      <c r="C246" s="32"/>
      <c r="D246" s="32"/>
      <c r="E246" s="35"/>
      <c r="F246" s="35"/>
      <c r="G246" s="32"/>
      <c r="H246" s="33"/>
      <c r="I246" s="37" t="str">
        <f aca="true">IF(B246="","",IF(F246="","",IF(F246&lt;TODAY(),"Expired",IF(F246&lt;=TODAY()+60,"Expiring Soon","OK"))))</f>
        <v/>
      </c>
    </row>
    <row r="247" customFormat="false" ht="15" hidden="false" customHeight="false" outlineLevel="0" collapsed="false">
      <c r="A247" s="32"/>
      <c r="B247" s="32"/>
      <c r="C247" s="32"/>
      <c r="D247" s="32"/>
      <c r="E247" s="35"/>
      <c r="F247" s="35"/>
      <c r="G247" s="32"/>
      <c r="H247" s="33"/>
      <c r="I247" s="37" t="str">
        <f aca="true">IF(B247="","",IF(F247="","",IF(F247&lt;TODAY(),"Expired",IF(F247&lt;=TODAY()+60,"Expiring Soon","OK"))))</f>
        <v/>
      </c>
    </row>
    <row r="248" customFormat="false" ht="15" hidden="false" customHeight="false" outlineLevel="0" collapsed="false">
      <c r="A248" s="32"/>
      <c r="B248" s="32"/>
      <c r="C248" s="32"/>
      <c r="D248" s="32"/>
      <c r="E248" s="35"/>
      <c r="F248" s="35"/>
      <c r="G248" s="32"/>
      <c r="H248" s="33"/>
      <c r="I248" s="37" t="str">
        <f aca="true">IF(B248="","",IF(F248="","",IF(F248&lt;TODAY(),"Expired",IF(F248&lt;=TODAY()+60,"Expiring Soon","OK"))))</f>
        <v/>
      </c>
    </row>
    <row r="249" customFormat="false" ht="15" hidden="false" customHeight="false" outlineLevel="0" collapsed="false">
      <c r="A249" s="32"/>
      <c r="B249" s="32"/>
      <c r="C249" s="32"/>
      <c r="D249" s="32"/>
      <c r="E249" s="35"/>
      <c r="F249" s="35"/>
      <c r="G249" s="32"/>
      <c r="H249" s="33"/>
      <c r="I249" s="37" t="str">
        <f aca="true">IF(B249="","",IF(F249="","",IF(F249&lt;TODAY(),"Expired",IF(F249&lt;=TODAY()+60,"Expiring Soon","OK"))))</f>
        <v/>
      </c>
    </row>
    <row r="250" customFormat="false" ht="15" hidden="false" customHeight="false" outlineLevel="0" collapsed="false">
      <c r="A250" s="32"/>
      <c r="B250" s="32"/>
      <c r="C250" s="32"/>
      <c r="D250" s="32"/>
      <c r="E250" s="35"/>
      <c r="F250" s="35"/>
      <c r="G250" s="32"/>
      <c r="H250" s="33"/>
      <c r="I250" s="37" t="str">
        <f aca="true">IF(B250="","",IF(F250="","",IF(F250&lt;TODAY(),"Expired",IF(F250&lt;=TODAY()+60,"Expiring Soon","OK"))))</f>
        <v/>
      </c>
    </row>
    <row r="251" customFormat="false" ht="15" hidden="false" customHeight="false" outlineLevel="0" collapsed="false">
      <c r="A251" s="32"/>
      <c r="B251" s="32"/>
      <c r="C251" s="32"/>
      <c r="D251" s="32"/>
      <c r="E251" s="35"/>
      <c r="F251" s="35"/>
      <c r="G251" s="32"/>
      <c r="H251" s="33"/>
      <c r="I251" s="37" t="str">
        <f aca="true">IF(B251="","",IF(F251="","",IF(F251&lt;TODAY(),"Expired",IF(F251&lt;=TODAY()+60,"Expiring Soon","OK"))))</f>
        <v/>
      </c>
    </row>
    <row r="252" customFormat="false" ht="15" hidden="false" customHeight="false" outlineLevel="0" collapsed="false">
      <c r="A252" s="32"/>
      <c r="B252" s="32"/>
      <c r="C252" s="32"/>
      <c r="D252" s="32"/>
      <c r="E252" s="35"/>
      <c r="F252" s="35"/>
      <c r="G252" s="32"/>
      <c r="H252" s="33"/>
      <c r="I252" s="37" t="str">
        <f aca="true">IF(B252="","",IF(F252="","",IF(F252&lt;TODAY(),"Expired",IF(F252&lt;=TODAY()+60,"Expiring Soon","OK"))))</f>
        <v/>
      </c>
    </row>
    <row r="253" customFormat="false" ht="15" hidden="false" customHeight="false" outlineLevel="0" collapsed="false">
      <c r="A253" s="32"/>
      <c r="B253" s="32"/>
      <c r="C253" s="32"/>
      <c r="D253" s="32"/>
      <c r="E253" s="35"/>
      <c r="F253" s="35"/>
      <c r="G253" s="32"/>
      <c r="H253" s="33"/>
      <c r="I253" s="37" t="str">
        <f aca="true">IF(B253="","",IF(F253="","",IF(F253&lt;TODAY(),"Expired",IF(F253&lt;=TODAY()+60,"Expiring Soon","OK"))))</f>
        <v/>
      </c>
    </row>
    <row r="254" customFormat="false" ht="15" hidden="false" customHeight="false" outlineLevel="0" collapsed="false">
      <c r="A254" s="32"/>
      <c r="B254" s="32"/>
      <c r="C254" s="32"/>
      <c r="D254" s="32"/>
      <c r="E254" s="35"/>
      <c r="F254" s="35"/>
      <c r="G254" s="32"/>
      <c r="H254" s="33"/>
      <c r="I254" s="37" t="str">
        <f aca="true">IF(B254="","",IF(F254="","",IF(F254&lt;TODAY(),"Expired",IF(F254&lt;=TODAY()+60,"Expiring Soon","OK"))))</f>
        <v/>
      </c>
    </row>
    <row r="255" customFormat="false" ht="15" hidden="false" customHeight="false" outlineLevel="0" collapsed="false">
      <c r="A255" s="32"/>
      <c r="B255" s="32"/>
      <c r="C255" s="32"/>
      <c r="D255" s="32"/>
      <c r="E255" s="35"/>
      <c r="F255" s="35"/>
      <c r="G255" s="32"/>
      <c r="H255" s="33"/>
      <c r="I255" s="37" t="str">
        <f aca="true">IF(B255="","",IF(F255="","",IF(F255&lt;TODAY(),"Expired",IF(F255&lt;=TODAY()+60,"Expiring Soon","OK"))))</f>
        <v/>
      </c>
    </row>
    <row r="256" customFormat="false" ht="15" hidden="false" customHeight="false" outlineLevel="0" collapsed="false">
      <c r="A256" s="32"/>
      <c r="B256" s="32"/>
      <c r="C256" s="32"/>
      <c r="D256" s="32"/>
      <c r="E256" s="35"/>
      <c r="F256" s="35"/>
      <c r="G256" s="32"/>
      <c r="H256" s="33"/>
      <c r="I256" s="37" t="str">
        <f aca="true">IF(B256="","",IF(F256="","",IF(F256&lt;TODAY(),"Expired",IF(F256&lt;=TODAY()+60,"Expiring Soon","OK"))))</f>
        <v/>
      </c>
    </row>
    <row r="257" customFormat="false" ht="15" hidden="false" customHeight="false" outlineLevel="0" collapsed="false">
      <c r="A257" s="32"/>
      <c r="B257" s="32"/>
      <c r="C257" s="32"/>
      <c r="D257" s="32"/>
      <c r="E257" s="35"/>
      <c r="F257" s="35"/>
      <c r="G257" s="32"/>
      <c r="H257" s="33"/>
      <c r="I257" s="37" t="str">
        <f aca="true">IF(B257="","",IF(F257="","",IF(F257&lt;TODAY(),"Expired",IF(F257&lt;=TODAY()+60,"Expiring Soon","OK"))))</f>
        <v/>
      </c>
    </row>
    <row r="258" customFormat="false" ht="15" hidden="false" customHeight="false" outlineLevel="0" collapsed="false">
      <c r="A258" s="32"/>
      <c r="B258" s="32"/>
      <c r="C258" s="32"/>
      <c r="D258" s="32"/>
      <c r="E258" s="35"/>
      <c r="F258" s="35"/>
      <c r="G258" s="32"/>
      <c r="H258" s="33"/>
      <c r="I258" s="37" t="str">
        <f aca="true">IF(B258="","",IF(F258="","",IF(F258&lt;TODAY(),"Expired",IF(F258&lt;=TODAY()+60,"Expiring Soon","OK"))))</f>
        <v/>
      </c>
    </row>
    <row r="259" customFormat="false" ht="15" hidden="false" customHeight="false" outlineLevel="0" collapsed="false">
      <c r="A259" s="32"/>
      <c r="B259" s="32"/>
      <c r="C259" s="32"/>
      <c r="D259" s="32"/>
      <c r="E259" s="35"/>
      <c r="F259" s="35"/>
      <c r="G259" s="32"/>
      <c r="H259" s="33"/>
      <c r="I259" s="37" t="str">
        <f aca="true">IF(B259="","",IF(F259="","",IF(F259&lt;TODAY(),"Expired",IF(F259&lt;=TODAY()+60,"Expiring Soon","OK"))))</f>
        <v/>
      </c>
    </row>
    <row r="260" customFormat="false" ht="15" hidden="false" customHeight="false" outlineLevel="0" collapsed="false">
      <c r="A260" s="32"/>
      <c r="B260" s="32"/>
      <c r="C260" s="32"/>
      <c r="D260" s="32"/>
      <c r="E260" s="35"/>
      <c r="F260" s="35"/>
      <c r="G260" s="32"/>
      <c r="H260" s="33"/>
      <c r="I260" s="37" t="str">
        <f aca="true">IF(B260="","",IF(F260="","",IF(F260&lt;TODAY(),"Expired",IF(F260&lt;=TODAY()+60,"Expiring Soon","OK"))))</f>
        <v/>
      </c>
    </row>
    <row r="261" customFormat="false" ht="15" hidden="false" customHeight="false" outlineLevel="0" collapsed="false">
      <c r="A261" s="32"/>
      <c r="B261" s="32"/>
      <c r="C261" s="32"/>
      <c r="D261" s="32"/>
      <c r="E261" s="35"/>
      <c r="F261" s="35"/>
      <c r="G261" s="32"/>
      <c r="H261" s="33"/>
      <c r="I261" s="37" t="str">
        <f aca="true">IF(B261="","",IF(F261="","",IF(F261&lt;TODAY(),"Expired",IF(F261&lt;=TODAY()+60,"Expiring Soon","OK"))))</f>
        <v/>
      </c>
    </row>
    <row r="262" customFormat="false" ht="15" hidden="false" customHeight="false" outlineLevel="0" collapsed="false">
      <c r="A262" s="32"/>
      <c r="B262" s="32"/>
      <c r="C262" s="32"/>
      <c r="D262" s="32"/>
      <c r="E262" s="35"/>
      <c r="F262" s="35"/>
      <c r="G262" s="32"/>
      <c r="H262" s="33"/>
      <c r="I262" s="37" t="str">
        <f aca="true">IF(B262="","",IF(F262="","",IF(F262&lt;TODAY(),"Expired",IF(F262&lt;=TODAY()+60,"Expiring Soon","OK"))))</f>
        <v/>
      </c>
    </row>
    <row r="263" customFormat="false" ht="15" hidden="false" customHeight="false" outlineLevel="0" collapsed="false">
      <c r="A263" s="32"/>
      <c r="B263" s="32"/>
      <c r="C263" s="32"/>
      <c r="D263" s="32"/>
      <c r="E263" s="35"/>
      <c r="F263" s="35"/>
      <c r="G263" s="32"/>
      <c r="H263" s="33"/>
      <c r="I263" s="37" t="str">
        <f aca="true">IF(B263="","",IF(F263="","",IF(F263&lt;TODAY(),"Expired",IF(F263&lt;=TODAY()+60,"Expiring Soon","OK"))))</f>
        <v/>
      </c>
    </row>
    <row r="264" customFormat="false" ht="15" hidden="false" customHeight="false" outlineLevel="0" collapsed="false">
      <c r="A264" s="32"/>
      <c r="B264" s="32"/>
      <c r="C264" s="32"/>
      <c r="D264" s="32"/>
      <c r="E264" s="35"/>
      <c r="F264" s="35"/>
      <c r="G264" s="32"/>
      <c r="H264" s="33"/>
      <c r="I264" s="37" t="str">
        <f aca="true">IF(B264="","",IF(F264="","",IF(F264&lt;TODAY(),"Expired",IF(F264&lt;=TODAY()+60,"Expiring Soon","OK"))))</f>
        <v/>
      </c>
    </row>
    <row r="265" customFormat="false" ht="15" hidden="false" customHeight="false" outlineLevel="0" collapsed="false">
      <c r="A265" s="32"/>
      <c r="B265" s="32"/>
      <c r="C265" s="32"/>
      <c r="D265" s="32"/>
      <c r="E265" s="35"/>
      <c r="F265" s="35"/>
      <c r="G265" s="32"/>
      <c r="H265" s="33"/>
      <c r="I265" s="37" t="str">
        <f aca="true">IF(B265="","",IF(F265="","",IF(F265&lt;TODAY(),"Expired",IF(F265&lt;=TODAY()+60,"Expiring Soon","OK"))))</f>
        <v/>
      </c>
    </row>
    <row r="266" customFormat="false" ht="15" hidden="false" customHeight="false" outlineLevel="0" collapsed="false">
      <c r="A266" s="32"/>
      <c r="B266" s="32"/>
      <c r="C266" s="32"/>
      <c r="D266" s="32"/>
      <c r="E266" s="35"/>
      <c r="F266" s="35"/>
      <c r="G266" s="32"/>
      <c r="H266" s="33"/>
      <c r="I266" s="37" t="str">
        <f aca="true">IF(B266="","",IF(F266="","",IF(F266&lt;TODAY(),"Expired",IF(F266&lt;=TODAY()+60,"Expiring Soon","OK"))))</f>
        <v/>
      </c>
    </row>
    <row r="267" customFormat="false" ht="15" hidden="false" customHeight="false" outlineLevel="0" collapsed="false">
      <c r="A267" s="32"/>
      <c r="B267" s="32"/>
      <c r="C267" s="32"/>
      <c r="D267" s="32"/>
      <c r="E267" s="35"/>
      <c r="F267" s="35"/>
      <c r="G267" s="32"/>
      <c r="H267" s="33"/>
      <c r="I267" s="37" t="str">
        <f aca="true">IF(B267="","",IF(F267="","",IF(F267&lt;TODAY(),"Expired",IF(F267&lt;=TODAY()+60,"Expiring Soon","OK"))))</f>
        <v/>
      </c>
    </row>
    <row r="268" customFormat="false" ht="15" hidden="false" customHeight="false" outlineLevel="0" collapsed="false">
      <c r="A268" s="32"/>
      <c r="B268" s="32"/>
      <c r="C268" s="32"/>
      <c r="D268" s="32"/>
      <c r="E268" s="35"/>
      <c r="F268" s="35"/>
      <c r="G268" s="32"/>
      <c r="H268" s="33"/>
      <c r="I268" s="37" t="str">
        <f aca="true">IF(B268="","",IF(F268="","",IF(F268&lt;TODAY(),"Expired",IF(F268&lt;=TODAY()+60,"Expiring Soon","OK"))))</f>
        <v/>
      </c>
    </row>
    <row r="269" customFormat="false" ht="15" hidden="false" customHeight="false" outlineLevel="0" collapsed="false">
      <c r="A269" s="32"/>
      <c r="B269" s="32"/>
      <c r="C269" s="32"/>
      <c r="D269" s="32"/>
      <c r="E269" s="35"/>
      <c r="F269" s="35"/>
      <c r="G269" s="32"/>
      <c r="H269" s="33"/>
      <c r="I269" s="37" t="str">
        <f aca="true">IF(B269="","",IF(F269="","",IF(F269&lt;TODAY(),"Expired",IF(F269&lt;=TODAY()+60,"Expiring Soon","OK"))))</f>
        <v/>
      </c>
    </row>
    <row r="270" customFormat="false" ht="15" hidden="false" customHeight="false" outlineLevel="0" collapsed="false">
      <c r="A270" s="32"/>
      <c r="B270" s="32"/>
      <c r="C270" s="32"/>
      <c r="D270" s="32"/>
      <c r="E270" s="35"/>
      <c r="F270" s="35"/>
      <c r="G270" s="32"/>
      <c r="H270" s="33"/>
      <c r="I270" s="37" t="str">
        <f aca="true">IF(B270="","",IF(F270="","",IF(F270&lt;TODAY(),"Expired",IF(F270&lt;=TODAY()+60,"Expiring Soon","OK"))))</f>
        <v/>
      </c>
    </row>
    <row r="271" customFormat="false" ht="15" hidden="false" customHeight="false" outlineLevel="0" collapsed="false">
      <c r="A271" s="32"/>
      <c r="B271" s="32"/>
      <c r="C271" s="32"/>
      <c r="D271" s="32"/>
      <c r="E271" s="35"/>
      <c r="F271" s="35"/>
      <c r="G271" s="32"/>
      <c r="H271" s="33"/>
      <c r="I271" s="37" t="str">
        <f aca="true">IF(B271="","",IF(F271="","",IF(F271&lt;TODAY(),"Expired",IF(F271&lt;=TODAY()+60,"Expiring Soon","OK"))))</f>
        <v/>
      </c>
    </row>
    <row r="272" customFormat="false" ht="15" hidden="false" customHeight="false" outlineLevel="0" collapsed="false">
      <c r="A272" s="32"/>
      <c r="B272" s="32"/>
      <c r="C272" s="32"/>
      <c r="D272" s="32"/>
      <c r="E272" s="35"/>
      <c r="F272" s="35"/>
      <c r="G272" s="32"/>
      <c r="H272" s="33"/>
      <c r="I272" s="37" t="str">
        <f aca="true">IF(B272="","",IF(F272="","",IF(F272&lt;TODAY(),"Expired",IF(F272&lt;=TODAY()+60,"Expiring Soon","OK"))))</f>
        <v/>
      </c>
    </row>
    <row r="273" customFormat="false" ht="15" hidden="false" customHeight="false" outlineLevel="0" collapsed="false">
      <c r="A273" s="32"/>
      <c r="B273" s="32"/>
      <c r="C273" s="32"/>
      <c r="D273" s="32"/>
      <c r="E273" s="35"/>
      <c r="F273" s="35"/>
      <c r="G273" s="32"/>
      <c r="H273" s="33"/>
      <c r="I273" s="37" t="str">
        <f aca="true">IF(B273="","",IF(F273="","",IF(F273&lt;TODAY(),"Expired",IF(F273&lt;=TODAY()+60,"Expiring Soon","OK"))))</f>
        <v/>
      </c>
    </row>
    <row r="274" customFormat="false" ht="15" hidden="false" customHeight="false" outlineLevel="0" collapsed="false">
      <c r="A274" s="32"/>
      <c r="B274" s="32"/>
      <c r="C274" s="32"/>
      <c r="D274" s="32"/>
      <c r="E274" s="35"/>
      <c r="F274" s="35"/>
      <c r="G274" s="32"/>
      <c r="H274" s="33"/>
      <c r="I274" s="37" t="str">
        <f aca="true">IF(B274="","",IF(F274="","",IF(F274&lt;TODAY(),"Expired",IF(F274&lt;=TODAY()+60,"Expiring Soon","OK"))))</f>
        <v/>
      </c>
    </row>
    <row r="275" customFormat="false" ht="15" hidden="false" customHeight="false" outlineLevel="0" collapsed="false">
      <c r="A275" s="32"/>
      <c r="B275" s="32"/>
      <c r="C275" s="32"/>
      <c r="D275" s="32"/>
      <c r="E275" s="35"/>
      <c r="F275" s="35"/>
      <c r="G275" s="32"/>
      <c r="H275" s="33"/>
      <c r="I275" s="37" t="str">
        <f aca="true">IF(B275="","",IF(F275="","",IF(F275&lt;TODAY(),"Expired",IF(F275&lt;=TODAY()+60,"Expiring Soon","OK"))))</f>
        <v/>
      </c>
    </row>
    <row r="276" customFormat="false" ht="15" hidden="false" customHeight="false" outlineLevel="0" collapsed="false">
      <c r="A276" s="32"/>
      <c r="B276" s="32"/>
      <c r="C276" s="32"/>
      <c r="D276" s="32"/>
      <c r="E276" s="35"/>
      <c r="F276" s="35"/>
      <c r="G276" s="32"/>
      <c r="H276" s="33"/>
      <c r="I276" s="37" t="str">
        <f aca="true">IF(B276="","",IF(F276="","",IF(F276&lt;TODAY(),"Expired",IF(F276&lt;=TODAY()+60,"Expiring Soon","OK"))))</f>
        <v/>
      </c>
    </row>
    <row r="277" customFormat="false" ht="15" hidden="false" customHeight="false" outlineLevel="0" collapsed="false">
      <c r="A277" s="32"/>
      <c r="B277" s="32"/>
      <c r="C277" s="32"/>
      <c r="D277" s="32"/>
      <c r="E277" s="35"/>
      <c r="F277" s="35"/>
      <c r="G277" s="32"/>
      <c r="H277" s="33"/>
      <c r="I277" s="37" t="str">
        <f aca="true">IF(B277="","",IF(F277="","",IF(F277&lt;TODAY(),"Expired",IF(F277&lt;=TODAY()+60,"Expiring Soon","OK"))))</f>
        <v/>
      </c>
    </row>
    <row r="278" customFormat="false" ht="15" hidden="false" customHeight="false" outlineLevel="0" collapsed="false">
      <c r="A278" s="32"/>
      <c r="B278" s="32"/>
      <c r="C278" s="32"/>
      <c r="D278" s="32"/>
      <c r="E278" s="35"/>
      <c r="F278" s="35"/>
      <c r="G278" s="32"/>
      <c r="H278" s="33"/>
      <c r="I278" s="37" t="str">
        <f aca="true">IF(B278="","",IF(F278="","",IF(F278&lt;TODAY(),"Expired",IF(F278&lt;=TODAY()+60,"Expiring Soon","OK"))))</f>
        <v/>
      </c>
    </row>
    <row r="279" customFormat="false" ht="15" hidden="false" customHeight="false" outlineLevel="0" collapsed="false">
      <c r="A279" s="32"/>
      <c r="B279" s="32"/>
      <c r="C279" s="32"/>
      <c r="D279" s="32"/>
      <c r="E279" s="35"/>
      <c r="F279" s="35"/>
      <c r="G279" s="32"/>
      <c r="H279" s="33"/>
      <c r="I279" s="37" t="str">
        <f aca="true">IF(B279="","",IF(F279="","",IF(F279&lt;TODAY(),"Expired",IF(F279&lt;=TODAY()+60,"Expiring Soon","OK"))))</f>
        <v/>
      </c>
    </row>
    <row r="280" customFormat="false" ht="15" hidden="false" customHeight="false" outlineLevel="0" collapsed="false">
      <c r="A280" s="32"/>
      <c r="B280" s="32"/>
      <c r="C280" s="32"/>
      <c r="D280" s="32"/>
      <c r="E280" s="35"/>
      <c r="F280" s="35"/>
      <c r="G280" s="32"/>
      <c r="H280" s="33"/>
      <c r="I280" s="37" t="str">
        <f aca="true">IF(B280="","",IF(F280="","",IF(F280&lt;TODAY(),"Expired",IF(F280&lt;=TODAY()+60,"Expiring Soon","OK"))))</f>
        <v/>
      </c>
    </row>
    <row r="281" customFormat="false" ht="15" hidden="false" customHeight="false" outlineLevel="0" collapsed="false">
      <c r="A281" s="32"/>
      <c r="B281" s="32"/>
      <c r="C281" s="32"/>
      <c r="D281" s="32"/>
      <c r="E281" s="35"/>
      <c r="F281" s="35"/>
      <c r="G281" s="32"/>
      <c r="H281" s="33"/>
      <c r="I281" s="37" t="str">
        <f aca="true">IF(B281="","",IF(F281="","",IF(F281&lt;TODAY(),"Expired",IF(F281&lt;=TODAY()+60,"Expiring Soon","OK"))))</f>
        <v/>
      </c>
    </row>
    <row r="282" customFormat="false" ht="15" hidden="false" customHeight="false" outlineLevel="0" collapsed="false">
      <c r="A282" s="32"/>
      <c r="B282" s="32"/>
      <c r="C282" s="32"/>
      <c r="D282" s="32"/>
      <c r="E282" s="35"/>
      <c r="F282" s="35"/>
      <c r="G282" s="32"/>
      <c r="H282" s="33"/>
      <c r="I282" s="37" t="str">
        <f aca="true">IF(B282="","",IF(F282="","",IF(F282&lt;TODAY(),"Expired",IF(F282&lt;=TODAY()+60,"Expiring Soon","OK"))))</f>
        <v/>
      </c>
    </row>
    <row r="283" customFormat="false" ht="15" hidden="false" customHeight="false" outlineLevel="0" collapsed="false">
      <c r="A283" s="32"/>
      <c r="B283" s="32"/>
      <c r="C283" s="32"/>
      <c r="D283" s="32"/>
      <c r="E283" s="35"/>
      <c r="F283" s="35"/>
      <c r="G283" s="32"/>
      <c r="H283" s="33"/>
      <c r="I283" s="37" t="str">
        <f aca="true">IF(B283="","",IF(F283="","",IF(F283&lt;TODAY(),"Expired",IF(F283&lt;=TODAY()+60,"Expiring Soon","OK"))))</f>
        <v/>
      </c>
    </row>
    <row r="284" customFormat="false" ht="15" hidden="false" customHeight="false" outlineLevel="0" collapsed="false">
      <c r="A284" s="32"/>
      <c r="B284" s="32"/>
      <c r="C284" s="32"/>
      <c r="D284" s="32"/>
      <c r="E284" s="35"/>
      <c r="F284" s="35"/>
      <c r="G284" s="32"/>
      <c r="H284" s="33"/>
      <c r="I284" s="37" t="str">
        <f aca="true">IF(B284="","",IF(F284="","",IF(F284&lt;TODAY(),"Expired",IF(F284&lt;=TODAY()+60,"Expiring Soon","OK"))))</f>
        <v/>
      </c>
    </row>
    <row r="285" customFormat="false" ht="15" hidden="false" customHeight="false" outlineLevel="0" collapsed="false">
      <c r="A285" s="32"/>
      <c r="B285" s="32"/>
      <c r="C285" s="32"/>
      <c r="D285" s="32"/>
      <c r="E285" s="35"/>
      <c r="F285" s="35"/>
      <c r="G285" s="32"/>
      <c r="H285" s="33"/>
      <c r="I285" s="37" t="str">
        <f aca="true">IF(B285="","",IF(F285="","",IF(F285&lt;TODAY(),"Expired",IF(F285&lt;=TODAY()+60,"Expiring Soon","OK"))))</f>
        <v/>
      </c>
    </row>
    <row r="286" customFormat="false" ht="15" hidden="false" customHeight="false" outlineLevel="0" collapsed="false">
      <c r="A286" s="32"/>
      <c r="B286" s="32"/>
      <c r="C286" s="32"/>
      <c r="D286" s="32"/>
      <c r="E286" s="35"/>
      <c r="F286" s="35"/>
      <c r="G286" s="32"/>
      <c r="H286" s="33"/>
      <c r="I286" s="37" t="str">
        <f aca="true">IF(B286="","",IF(F286="","",IF(F286&lt;TODAY(),"Expired",IF(F286&lt;=TODAY()+60,"Expiring Soon","OK"))))</f>
        <v/>
      </c>
    </row>
    <row r="287" customFormat="false" ht="15" hidden="false" customHeight="false" outlineLevel="0" collapsed="false">
      <c r="A287" s="32"/>
      <c r="B287" s="32"/>
      <c r="C287" s="32"/>
      <c r="D287" s="32"/>
      <c r="E287" s="35"/>
      <c r="F287" s="35"/>
      <c r="G287" s="32"/>
      <c r="H287" s="33"/>
      <c r="I287" s="37" t="str">
        <f aca="true">IF(B287="","",IF(F287="","",IF(F287&lt;TODAY(),"Expired",IF(F287&lt;=TODAY()+60,"Expiring Soon","OK"))))</f>
        <v/>
      </c>
    </row>
    <row r="288" customFormat="false" ht="15" hidden="false" customHeight="false" outlineLevel="0" collapsed="false">
      <c r="A288" s="32"/>
      <c r="B288" s="32"/>
      <c r="C288" s="32"/>
      <c r="D288" s="32"/>
      <c r="E288" s="35"/>
      <c r="F288" s="35"/>
      <c r="G288" s="32"/>
      <c r="H288" s="33"/>
      <c r="I288" s="37" t="str">
        <f aca="true">IF(B288="","",IF(F288="","",IF(F288&lt;TODAY(),"Expired",IF(F288&lt;=TODAY()+60,"Expiring Soon","OK"))))</f>
        <v/>
      </c>
    </row>
    <row r="289" customFormat="false" ht="15" hidden="false" customHeight="false" outlineLevel="0" collapsed="false">
      <c r="A289" s="32"/>
      <c r="B289" s="32"/>
      <c r="C289" s="32"/>
      <c r="D289" s="32"/>
      <c r="E289" s="35"/>
      <c r="F289" s="35"/>
      <c r="G289" s="32"/>
      <c r="H289" s="33"/>
      <c r="I289" s="37" t="str">
        <f aca="true">IF(B289="","",IF(F289="","",IF(F289&lt;TODAY(),"Expired",IF(F289&lt;=TODAY()+60,"Expiring Soon","OK"))))</f>
        <v/>
      </c>
    </row>
    <row r="290" customFormat="false" ht="15" hidden="false" customHeight="false" outlineLevel="0" collapsed="false">
      <c r="A290" s="32"/>
      <c r="B290" s="32"/>
      <c r="C290" s="32"/>
      <c r="D290" s="32"/>
      <c r="E290" s="35"/>
      <c r="F290" s="35"/>
      <c r="G290" s="32"/>
      <c r="H290" s="33"/>
      <c r="I290" s="37" t="str">
        <f aca="true">IF(B290="","",IF(F290="","",IF(F290&lt;TODAY(),"Expired",IF(F290&lt;=TODAY()+60,"Expiring Soon","OK"))))</f>
        <v/>
      </c>
    </row>
    <row r="291" customFormat="false" ht="15" hidden="false" customHeight="false" outlineLevel="0" collapsed="false">
      <c r="A291" s="32"/>
      <c r="B291" s="32"/>
      <c r="C291" s="32"/>
      <c r="D291" s="32"/>
      <c r="E291" s="35"/>
      <c r="F291" s="35"/>
      <c r="G291" s="32"/>
      <c r="H291" s="33"/>
      <c r="I291" s="37" t="str">
        <f aca="true">IF(B291="","",IF(F291="","",IF(F291&lt;TODAY(),"Expired",IF(F291&lt;=TODAY()+60,"Expiring Soon","OK"))))</f>
        <v/>
      </c>
    </row>
    <row r="292" customFormat="false" ht="15" hidden="false" customHeight="false" outlineLevel="0" collapsed="false">
      <c r="A292" s="32"/>
      <c r="B292" s="32"/>
      <c r="C292" s="32"/>
      <c r="D292" s="32"/>
      <c r="E292" s="35"/>
      <c r="F292" s="35"/>
      <c r="G292" s="32"/>
      <c r="H292" s="33"/>
      <c r="I292" s="37" t="str">
        <f aca="true">IF(B292="","",IF(F292="","",IF(F292&lt;TODAY(),"Expired",IF(F292&lt;=TODAY()+60,"Expiring Soon","OK"))))</f>
        <v/>
      </c>
    </row>
    <row r="293" customFormat="false" ht="15" hidden="false" customHeight="false" outlineLevel="0" collapsed="false">
      <c r="A293" s="32"/>
      <c r="B293" s="32"/>
      <c r="C293" s="32"/>
      <c r="D293" s="32"/>
      <c r="E293" s="35"/>
      <c r="F293" s="35"/>
      <c r="G293" s="32"/>
      <c r="H293" s="33"/>
      <c r="I293" s="37" t="str">
        <f aca="true">IF(B293="","",IF(F293="","",IF(F293&lt;TODAY(),"Expired",IF(F293&lt;=TODAY()+60,"Expiring Soon","OK"))))</f>
        <v/>
      </c>
    </row>
    <row r="294" customFormat="false" ht="15" hidden="false" customHeight="false" outlineLevel="0" collapsed="false">
      <c r="A294" s="32"/>
      <c r="B294" s="32"/>
      <c r="C294" s="32"/>
      <c r="D294" s="32"/>
      <c r="E294" s="35"/>
      <c r="F294" s="35"/>
      <c r="G294" s="32"/>
      <c r="H294" s="33"/>
      <c r="I294" s="37" t="str">
        <f aca="true">IF(B294="","",IF(F294="","",IF(F294&lt;TODAY(),"Expired",IF(F294&lt;=TODAY()+60,"Expiring Soon","OK"))))</f>
        <v/>
      </c>
    </row>
    <row r="295" customFormat="false" ht="15" hidden="false" customHeight="false" outlineLevel="0" collapsed="false">
      <c r="A295" s="32"/>
      <c r="B295" s="32"/>
      <c r="C295" s="32"/>
      <c r="D295" s="32"/>
      <c r="E295" s="35"/>
      <c r="F295" s="35"/>
      <c r="G295" s="32"/>
      <c r="H295" s="33"/>
      <c r="I295" s="37" t="str">
        <f aca="true">IF(B295="","",IF(F295="","",IF(F295&lt;TODAY(),"Expired",IF(F295&lt;=TODAY()+60,"Expiring Soon","OK"))))</f>
        <v/>
      </c>
    </row>
    <row r="296" customFormat="false" ht="15" hidden="false" customHeight="false" outlineLevel="0" collapsed="false">
      <c r="A296" s="32"/>
      <c r="B296" s="32"/>
      <c r="C296" s="32"/>
      <c r="D296" s="32"/>
      <c r="E296" s="35"/>
      <c r="F296" s="35"/>
      <c r="G296" s="32"/>
      <c r="H296" s="33"/>
      <c r="I296" s="37" t="str">
        <f aca="true">IF(B296="","",IF(F296="","",IF(F296&lt;TODAY(),"Expired",IF(F296&lt;=TODAY()+60,"Expiring Soon","OK"))))</f>
        <v/>
      </c>
    </row>
    <row r="297" customFormat="false" ht="15" hidden="false" customHeight="false" outlineLevel="0" collapsed="false">
      <c r="A297" s="32"/>
      <c r="B297" s="32"/>
      <c r="C297" s="32"/>
      <c r="D297" s="32"/>
      <c r="E297" s="35"/>
      <c r="F297" s="35"/>
      <c r="G297" s="32"/>
      <c r="H297" s="33"/>
      <c r="I297" s="37" t="str">
        <f aca="true">IF(B297="","",IF(F297="","",IF(F297&lt;TODAY(),"Expired",IF(F297&lt;=TODAY()+60,"Expiring Soon","OK"))))</f>
        <v/>
      </c>
    </row>
    <row r="298" customFormat="false" ht="15" hidden="false" customHeight="false" outlineLevel="0" collapsed="false">
      <c r="A298" s="32"/>
      <c r="B298" s="32"/>
      <c r="C298" s="32"/>
      <c r="D298" s="32"/>
      <c r="E298" s="35"/>
      <c r="F298" s="35"/>
      <c r="G298" s="32"/>
      <c r="H298" s="33"/>
      <c r="I298" s="37" t="str">
        <f aca="true">IF(B298="","",IF(F298="","",IF(F298&lt;TODAY(),"Expired",IF(F298&lt;=TODAY()+60,"Expiring Soon","OK"))))</f>
        <v/>
      </c>
    </row>
    <row r="299" customFormat="false" ht="15" hidden="false" customHeight="false" outlineLevel="0" collapsed="false">
      <c r="A299" s="32"/>
      <c r="B299" s="32"/>
      <c r="C299" s="32"/>
      <c r="D299" s="32"/>
      <c r="E299" s="35"/>
      <c r="F299" s="35"/>
      <c r="G299" s="32"/>
      <c r="H299" s="33"/>
      <c r="I299" s="37" t="str">
        <f aca="true">IF(B299="","",IF(F299="","",IF(F299&lt;TODAY(),"Expired",IF(F299&lt;=TODAY()+60,"Expiring Soon","OK"))))</f>
        <v/>
      </c>
    </row>
    <row r="300" customFormat="false" ht="15" hidden="false" customHeight="false" outlineLevel="0" collapsed="false">
      <c r="A300" s="32"/>
      <c r="B300" s="32"/>
      <c r="C300" s="32"/>
      <c r="D300" s="32"/>
      <c r="E300" s="35"/>
      <c r="F300" s="35"/>
      <c r="G300" s="32"/>
      <c r="H300" s="33"/>
      <c r="I300" s="37" t="str">
        <f aca="true">IF(B300="","",IF(F300="","",IF(F300&lt;TODAY(),"Expired",IF(F300&lt;=TODAY()+60,"Expiring Soon","OK"))))</f>
        <v/>
      </c>
    </row>
    <row r="301" customFormat="false" ht="15" hidden="false" customHeight="false" outlineLevel="0" collapsed="false">
      <c r="A301" s="32"/>
      <c r="B301" s="32"/>
      <c r="C301" s="32"/>
      <c r="D301" s="32"/>
      <c r="E301" s="35"/>
      <c r="F301" s="35"/>
      <c r="G301" s="32"/>
      <c r="H301" s="33"/>
      <c r="I301" s="37" t="str">
        <f aca="true">IF(B301="","",IF(F301="","",IF(F301&lt;TODAY(),"Expired",IF(F301&lt;=TODAY()+60,"Expiring Soon","OK"))))</f>
        <v/>
      </c>
    </row>
    <row r="302" customFormat="false" ht="15" hidden="false" customHeight="false" outlineLevel="0" collapsed="false">
      <c r="A302" s="32"/>
      <c r="B302" s="32"/>
      <c r="C302" s="32"/>
      <c r="D302" s="32"/>
      <c r="E302" s="35"/>
      <c r="F302" s="35"/>
      <c r="G302" s="32"/>
      <c r="H302" s="33"/>
      <c r="I302" s="37" t="str">
        <f aca="true">IF(B302="","",IF(F302="","",IF(F302&lt;TODAY(),"Expired",IF(F302&lt;=TODAY()+60,"Expiring Soon","OK"))))</f>
        <v/>
      </c>
    </row>
    <row r="303" customFormat="false" ht="15" hidden="false" customHeight="false" outlineLevel="0" collapsed="false">
      <c r="A303" s="32"/>
      <c r="B303" s="32"/>
      <c r="C303" s="32"/>
      <c r="D303" s="32"/>
      <c r="E303" s="35"/>
      <c r="F303" s="35"/>
      <c r="G303" s="32"/>
      <c r="H303" s="33"/>
      <c r="I303" s="37" t="str">
        <f aca="true">IF(B303="","",IF(F303="","",IF(F303&lt;TODAY(),"Expired",IF(F303&lt;=TODAY()+60,"Expiring Soon","OK"))))</f>
        <v/>
      </c>
    </row>
    <row r="304" customFormat="false" ht="15" hidden="false" customHeight="false" outlineLevel="0" collapsed="false">
      <c r="A304" s="32"/>
      <c r="B304" s="32"/>
      <c r="C304" s="32"/>
      <c r="D304" s="32"/>
      <c r="E304" s="35"/>
      <c r="F304" s="35"/>
      <c r="G304" s="32"/>
      <c r="H304" s="33"/>
      <c r="I304" s="37" t="str">
        <f aca="true">IF(B304="","",IF(F304="","",IF(F304&lt;TODAY(),"Expired",IF(F304&lt;=TODAY()+60,"Expiring Soon","OK"))))</f>
        <v/>
      </c>
    </row>
    <row r="305" customFormat="false" ht="15" hidden="false" customHeight="false" outlineLevel="0" collapsed="false">
      <c r="A305" s="32"/>
      <c r="B305" s="32"/>
      <c r="C305" s="32"/>
      <c r="D305" s="32"/>
      <c r="E305" s="35"/>
      <c r="F305" s="35"/>
      <c r="G305" s="32"/>
      <c r="H305" s="33"/>
      <c r="I305" s="37" t="str">
        <f aca="true">IF(B305="","",IF(F305="","",IF(F305&lt;TODAY(),"Expired",IF(F305&lt;=TODAY()+60,"Expiring Soon","OK"))))</f>
        <v/>
      </c>
    </row>
    <row r="306" customFormat="false" ht="15" hidden="false" customHeight="false" outlineLevel="0" collapsed="false">
      <c r="A306" s="32"/>
      <c r="B306" s="32"/>
      <c r="C306" s="32"/>
      <c r="D306" s="32"/>
      <c r="E306" s="35"/>
      <c r="F306" s="35"/>
      <c r="G306" s="32"/>
      <c r="H306" s="33"/>
      <c r="I306" s="37" t="str">
        <f aca="true">IF(B306="","",IF(F306="","",IF(F306&lt;TODAY(),"Expired",IF(F306&lt;=TODAY()+60,"Expiring Soon","OK"))))</f>
        <v/>
      </c>
    </row>
    <row r="307" customFormat="false" ht="15" hidden="false" customHeight="false" outlineLevel="0" collapsed="false">
      <c r="A307" s="32"/>
      <c r="B307" s="32"/>
      <c r="C307" s="32"/>
      <c r="D307" s="32"/>
      <c r="E307" s="35"/>
      <c r="F307" s="35"/>
      <c r="G307" s="32"/>
      <c r="H307" s="33"/>
      <c r="I307" s="37" t="str">
        <f aca="true">IF(B307="","",IF(F307="","",IF(F307&lt;TODAY(),"Expired",IF(F307&lt;=TODAY()+60,"Expiring Soon","OK"))))</f>
        <v/>
      </c>
    </row>
    <row r="308" customFormat="false" ht="15" hidden="false" customHeight="false" outlineLevel="0" collapsed="false">
      <c r="A308" s="32"/>
      <c r="B308" s="32"/>
      <c r="C308" s="32"/>
      <c r="D308" s="32"/>
      <c r="E308" s="35"/>
      <c r="F308" s="35"/>
      <c r="G308" s="32"/>
      <c r="H308" s="33"/>
      <c r="I308" s="37" t="str">
        <f aca="true">IF(B308="","",IF(F308="","",IF(F308&lt;TODAY(),"Expired",IF(F308&lt;=TODAY()+60,"Expiring Soon","OK"))))</f>
        <v/>
      </c>
    </row>
    <row r="309" customFormat="false" ht="15" hidden="false" customHeight="false" outlineLevel="0" collapsed="false">
      <c r="A309" s="32"/>
      <c r="B309" s="32"/>
      <c r="C309" s="32"/>
      <c r="D309" s="32"/>
      <c r="E309" s="35"/>
      <c r="F309" s="35"/>
      <c r="G309" s="32"/>
      <c r="H309" s="33"/>
      <c r="I309" s="37" t="str">
        <f aca="true">IF(B309="","",IF(F309="","",IF(F309&lt;TODAY(),"Expired",IF(F309&lt;=TODAY()+60,"Expiring Soon","OK"))))</f>
        <v/>
      </c>
    </row>
    <row r="310" customFormat="false" ht="15" hidden="false" customHeight="false" outlineLevel="0" collapsed="false">
      <c r="A310" s="32"/>
      <c r="B310" s="32"/>
      <c r="C310" s="32"/>
      <c r="D310" s="32"/>
      <c r="E310" s="35"/>
      <c r="F310" s="35"/>
      <c r="G310" s="32"/>
      <c r="H310" s="33"/>
      <c r="I310" s="37" t="str">
        <f aca="true">IF(B310="","",IF(F310="","",IF(F310&lt;TODAY(),"Expired",IF(F310&lt;=TODAY()+60,"Expiring Soon","OK"))))</f>
        <v/>
      </c>
    </row>
    <row r="311" customFormat="false" ht="15" hidden="false" customHeight="false" outlineLevel="0" collapsed="false">
      <c r="A311" s="32"/>
      <c r="B311" s="32"/>
      <c r="C311" s="32"/>
      <c r="D311" s="32"/>
      <c r="E311" s="35"/>
      <c r="F311" s="35"/>
      <c r="G311" s="32"/>
      <c r="H311" s="33"/>
      <c r="I311" s="37" t="str">
        <f aca="true">IF(B311="","",IF(F311="","",IF(F311&lt;TODAY(),"Expired",IF(F311&lt;=TODAY()+60,"Expiring Soon","OK"))))</f>
        <v/>
      </c>
    </row>
    <row r="312" customFormat="false" ht="15" hidden="false" customHeight="false" outlineLevel="0" collapsed="false">
      <c r="A312" s="32"/>
      <c r="B312" s="32"/>
      <c r="C312" s="32"/>
      <c r="D312" s="32"/>
      <c r="E312" s="35"/>
      <c r="F312" s="35"/>
      <c r="G312" s="32"/>
      <c r="H312" s="33"/>
      <c r="I312" s="37" t="str">
        <f aca="true">IF(B312="","",IF(F312="","",IF(F312&lt;TODAY(),"Expired",IF(F312&lt;=TODAY()+60,"Expiring Soon","OK"))))</f>
        <v/>
      </c>
    </row>
    <row r="313" customFormat="false" ht="15" hidden="false" customHeight="false" outlineLevel="0" collapsed="false">
      <c r="A313" s="32"/>
      <c r="B313" s="32"/>
      <c r="C313" s="32"/>
      <c r="D313" s="32"/>
      <c r="E313" s="35"/>
      <c r="F313" s="35"/>
      <c r="G313" s="32"/>
      <c r="H313" s="33"/>
      <c r="I313" s="37" t="str">
        <f aca="true">IF(B313="","",IF(F313="","",IF(F313&lt;TODAY(),"Expired",IF(F313&lt;=TODAY()+60,"Expiring Soon","OK"))))</f>
        <v/>
      </c>
    </row>
    <row r="314" customFormat="false" ht="15" hidden="false" customHeight="false" outlineLevel="0" collapsed="false">
      <c r="A314" s="32"/>
      <c r="B314" s="32"/>
      <c r="C314" s="32"/>
      <c r="D314" s="32"/>
      <c r="E314" s="35"/>
      <c r="F314" s="35"/>
      <c r="G314" s="32"/>
      <c r="H314" s="33"/>
      <c r="I314" s="37" t="str">
        <f aca="true">IF(B314="","",IF(F314="","",IF(F314&lt;TODAY(),"Expired",IF(F314&lt;=TODAY()+60,"Expiring Soon","OK"))))</f>
        <v/>
      </c>
    </row>
    <row r="315" customFormat="false" ht="15" hidden="false" customHeight="false" outlineLevel="0" collapsed="false">
      <c r="A315" s="32"/>
      <c r="B315" s="32"/>
      <c r="C315" s="32"/>
      <c r="D315" s="32"/>
      <c r="E315" s="35"/>
      <c r="F315" s="35"/>
      <c r="G315" s="32"/>
      <c r="H315" s="33"/>
      <c r="I315" s="37" t="str">
        <f aca="true">IF(B315="","",IF(F315="","",IF(F315&lt;TODAY(),"Expired",IF(F315&lt;=TODAY()+60,"Expiring Soon","OK"))))</f>
        <v/>
      </c>
    </row>
    <row r="316" customFormat="false" ht="15" hidden="false" customHeight="false" outlineLevel="0" collapsed="false">
      <c r="A316" s="32"/>
      <c r="B316" s="32"/>
      <c r="C316" s="32"/>
      <c r="D316" s="32"/>
      <c r="E316" s="35"/>
      <c r="F316" s="35"/>
      <c r="G316" s="32"/>
      <c r="H316" s="33"/>
      <c r="I316" s="37" t="str">
        <f aca="true">IF(B316="","",IF(F316="","",IF(F316&lt;TODAY(),"Expired",IF(F316&lt;=TODAY()+60,"Expiring Soon","OK"))))</f>
        <v/>
      </c>
    </row>
    <row r="317" customFormat="false" ht="15" hidden="false" customHeight="false" outlineLevel="0" collapsed="false">
      <c r="A317" s="32"/>
      <c r="B317" s="32"/>
      <c r="C317" s="32"/>
      <c r="D317" s="32"/>
      <c r="E317" s="35"/>
      <c r="F317" s="35"/>
      <c r="G317" s="32"/>
      <c r="H317" s="33"/>
      <c r="I317" s="37" t="str">
        <f aca="true">IF(B317="","",IF(F317="","",IF(F317&lt;TODAY(),"Expired",IF(F317&lt;=TODAY()+60,"Expiring Soon","OK"))))</f>
        <v/>
      </c>
    </row>
    <row r="318" customFormat="false" ht="15" hidden="false" customHeight="false" outlineLevel="0" collapsed="false">
      <c r="A318" s="32"/>
      <c r="B318" s="32"/>
      <c r="C318" s="32"/>
      <c r="D318" s="32"/>
      <c r="E318" s="35"/>
      <c r="F318" s="35"/>
      <c r="G318" s="32"/>
      <c r="H318" s="33"/>
      <c r="I318" s="37" t="str">
        <f aca="true">IF(B318="","",IF(F318="","",IF(F318&lt;TODAY(),"Expired",IF(F318&lt;=TODAY()+60,"Expiring Soon","OK"))))</f>
        <v/>
      </c>
    </row>
    <row r="319" customFormat="false" ht="15" hidden="false" customHeight="false" outlineLevel="0" collapsed="false">
      <c r="A319" s="32"/>
      <c r="B319" s="32"/>
      <c r="C319" s="32"/>
      <c r="D319" s="32"/>
      <c r="E319" s="35"/>
      <c r="F319" s="35"/>
      <c r="G319" s="32"/>
      <c r="H319" s="33"/>
      <c r="I319" s="37" t="str">
        <f aca="true">IF(B319="","",IF(F319="","",IF(F319&lt;TODAY(),"Expired",IF(F319&lt;=TODAY()+60,"Expiring Soon","OK"))))</f>
        <v/>
      </c>
    </row>
    <row r="320" customFormat="false" ht="15" hidden="false" customHeight="false" outlineLevel="0" collapsed="false">
      <c r="A320" s="32"/>
      <c r="B320" s="32"/>
      <c r="C320" s="32"/>
      <c r="D320" s="32"/>
      <c r="E320" s="35"/>
      <c r="F320" s="35"/>
      <c r="G320" s="32"/>
      <c r="H320" s="33"/>
      <c r="I320" s="37" t="str">
        <f aca="true">IF(B320="","",IF(F320="","",IF(F320&lt;TODAY(),"Expired",IF(F320&lt;=TODAY()+60,"Expiring Soon","OK"))))</f>
        <v/>
      </c>
    </row>
    <row r="321" customFormat="false" ht="15" hidden="false" customHeight="false" outlineLevel="0" collapsed="false">
      <c r="A321" s="32"/>
      <c r="B321" s="32"/>
      <c r="C321" s="32"/>
      <c r="D321" s="32"/>
      <c r="E321" s="35"/>
      <c r="F321" s="35"/>
      <c r="G321" s="32"/>
      <c r="H321" s="33"/>
      <c r="I321" s="37" t="str">
        <f aca="true">IF(B321="","",IF(F321="","",IF(F321&lt;TODAY(),"Expired",IF(F321&lt;=TODAY()+60,"Expiring Soon","OK"))))</f>
        <v/>
      </c>
    </row>
    <row r="322" customFormat="false" ht="15" hidden="false" customHeight="false" outlineLevel="0" collapsed="false">
      <c r="A322" s="32"/>
      <c r="B322" s="32"/>
      <c r="C322" s="32"/>
      <c r="D322" s="32"/>
      <c r="E322" s="35"/>
      <c r="F322" s="35"/>
      <c r="G322" s="32"/>
      <c r="H322" s="33"/>
      <c r="I322" s="37" t="str">
        <f aca="true">IF(B322="","",IF(F322="","",IF(F322&lt;TODAY(),"Expired",IF(F322&lt;=TODAY()+60,"Expiring Soon","OK"))))</f>
        <v/>
      </c>
    </row>
    <row r="323" customFormat="false" ht="15" hidden="false" customHeight="false" outlineLevel="0" collapsed="false">
      <c r="A323" s="32"/>
      <c r="B323" s="32"/>
      <c r="C323" s="32"/>
      <c r="D323" s="32"/>
      <c r="E323" s="35"/>
      <c r="F323" s="35"/>
      <c r="G323" s="32"/>
      <c r="H323" s="33"/>
      <c r="I323" s="37" t="str">
        <f aca="true">IF(B323="","",IF(F323="","",IF(F323&lt;TODAY(),"Expired",IF(F323&lt;=TODAY()+60,"Expiring Soon","OK"))))</f>
        <v/>
      </c>
    </row>
    <row r="324" customFormat="false" ht="15" hidden="false" customHeight="false" outlineLevel="0" collapsed="false">
      <c r="A324" s="32"/>
      <c r="B324" s="32"/>
      <c r="C324" s="32"/>
      <c r="D324" s="32"/>
      <c r="E324" s="35"/>
      <c r="F324" s="35"/>
      <c r="G324" s="32"/>
      <c r="H324" s="33"/>
      <c r="I324" s="37" t="str">
        <f aca="true">IF(B324="","",IF(F324="","",IF(F324&lt;TODAY(),"Expired",IF(F324&lt;=TODAY()+60,"Expiring Soon","OK"))))</f>
        <v/>
      </c>
    </row>
    <row r="325" customFormat="false" ht="15" hidden="false" customHeight="false" outlineLevel="0" collapsed="false">
      <c r="A325" s="32"/>
      <c r="B325" s="32"/>
      <c r="C325" s="32"/>
      <c r="D325" s="32"/>
      <c r="E325" s="35"/>
      <c r="F325" s="35"/>
      <c r="G325" s="32"/>
      <c r="H325" s="33"/>
      <c r="I325" s="37" t="str">
        <f aca="true">IF(B325="","",IF(F325="","",IF(F325&lt;TODAY(),"Expired",IF(F325&lt;=TODAY()+60,"Expiring Soon","OK"))))</f>
        <v/>
      </c>
    </row>
    <row r="326" customFormat="false" ht="15" hidden="false" customHeight="false" outlineLevel="0" collapsed="false">
      <c r="A326" s="32"/>
      <c r="B326" s="32"/>
      <c r="C326" s="32"/>
      <c r="D326" s="32"/>
      <c r="E326" s="35"/>
      <c r="F326" s="35"/>
      <c r="G326" s="32"/>
      <c r="H326" s="33"/>
      <c r="I326" s="37" t="str">
        <f aca="true">IF(B326="","",IF(F326="","",IF(F326&lt;TODAY(),"Expired",IF(F326&lt;=TODAY()+60,"Expiring Soon","OK"))))</f>
        <v/>
      </c>
    </row>
    <row r="327" customFormat="false" ht="15" hidden="false" customHeight="false" outlineLevel="0" collapsed="false">
      <c r="A327" s="32"/>
      <c r="B327" s="32"/>
      <c r="C327" s="32"/>
      <c r="D327" s="32"/>
      <c r="E327" s="35"/>
      <c r="F327" s="35"/>
      <c r="G327" s="32"/>
      <c r="H327" s="33"/>
      <c r="I327" s="37" t="str">
        <f aca="true">IF(B327="","",IF(F327="","",IF(F327&lt;TODAY(),"Expired",IF(F327&lt;=TODAY()+60,"Expiring Soon","OK"))))</f>
        <v/>
      </c>
    </row>
    <row r="328" customFormat="false" ht="15" hidden="false" customHeight="false" outlineLevel="0" collapsed="false">
      <c r="A328" s="32"/>
      <c r="B328" s="32"/>
      <c r="C328" s="32"/>
      <c r="D328" s="32"/>
      <c r="E328" s="35"/>
      <c r="F328" s="35"/>
      <c r="G328" s="32"/>
      <c r="H328" s="33"/>
      <c r="I328" s="37" t="str">
        <f aca="true">IF(B328="","",IF(F328="","",IF(F328&lt;TODAY(),"Expired",IF(F328&lt;=TODAY()+60,"Expiring Soon","OK"))))</f>
        <v/>
      </c>
    </row>
    <row r="329" customFormat="false" ht="15" hidden="false" customHeight="false" outlineLevel="0" collapsed="false">
      <c r="A329" s="32"/>
      <c r="B329" s="32"/>
      <c r="C329" s="32"/>
      <c r="D329" s="32"/>
      <c r="E329" s="35"/>
      <c r="F329" s="35"/>
      <c r="G329" s="32"/>
      <c r="H329" s="33"/>
      <c r="I329" s="37" t="str">
        <f aca="true">IF(B329="","",IF(F329="","",IF(F329&lt;TODAY(),"Expired",IF(F329&lt;=TODAY()+60,"Expiring Soon","OK"))))</f>
        <v/>
      </c>
    </row>
    <row r="330" customFormat="false" ht="15" hidden="false" customHeight="false" outlineLevel="0" collapsed="false">
      <c r="A330" s="32"/>
      <c r="B330" s="32"/>
      <c r="C330" s="32"/>
      <c r="D330" s="32"/>
      <c r="E330" s="35"/>
      <c r="F330" s="35"/>
      <c r="G330" s="32"/>
      <c r="H330" s="33"/>
      <c r="I330" s="37" t="str">
        <f aca="true">IF(B330="","",IF(F330="","",IF(F330&lt;TODAY(),"Expired",IF(F330&lt;=TODAY()+60,"Expiring Soon","OK"))))</f>
        <v/>
      </c>
    </row>
    <row r="331" customFormat="false" ht="15" hidden="false" customHeight="false" outlineLevel="0" collapsed="false">
      <c r="A331" s="32"/>
      <c r="B331" s="32"/>
      <c r="C331" s="32"/>
      <c r="D331" s="32"/>
      <c r="E331" s="35"/>
      <c r="F331" s="35"/>
      <c r="G331" s="32"/>
      <c r="H331" s="33"/>
      <c r="I331" s="37" t="str">
        <f aca="true">IF(B331="","",IF(F331="","",IF(F331&lt;TODAY(),"Expired",IF(F331&lt;=TODAY()+60,"Expiring Soon","OK"))))</f>
        <v/>
      </c>
    </row>
    <row r="332" customFormat="false" ht="15" hidden="false" customHeight="false" outlineLevel="0" collapsed="false">
      <c r="A332" s="32"/>
      <c r="B332" s="32"/>
      <c r="C332" s="32"/>
      <c r="D332" s="32"/>
      <c r="E332" s="35"/>
      <c r="F332" s="35"/>
      <c r="G332" s="32"/>
      <c r="H332" s="33"/>
      <c r="I332" s="37" t="str">
        <f aca="true">IF(B332="","",IF(F332="","",IF(F332&lt;TODAY(),"Expired",IF(F332&lt;=TODAY()+60,"Expiring Soon","OK"))))</f>
        <v/>
      </c>
    </row>
    <row r="333" customFormat="false" ht="15" hidden="false" customHeight="false" outlineLevel="0" collapsed="false">
      <c r="A333" s="32"/>
      <c r="B333" s="32"/>
      <c r="C333" s="32"/>
      <c r="D333" s="32"/>
      <c r="E333" s="35"/>
      <c r="F333" s="35"/>
      <c r="G333" s="32"/>
      <c r="H333" s="33"/>
      <c r="I333" s="37" t="str">
        <f aca="true">IF(B333="","",IF(F333="","",IF(F333&lt;TODAY(),"Expired",IF(F333&lt;=TODAY()+60,"Expiring Soon","OK"))))</f>
        <v/>
      </c>
    </row>
    <row r="334" customFormat="false" ht="15" hidden="false" customHeight="false" outlineLevel="0" collapsed="false">
      <c r="A334" s="32"/>
      <c r="B334" s="32"/>
      <c r="C334" s="32"/>
      <c r="D334" s="32"/>
      <c r="E334" s="35"/>
      <c r="F334" s="35"/>
      <c r="G334" s="32"/>
      <c r="H334" s="33"/>
      <c r="I334" s="37" t="str">
        <f aca="true">IF(B334="","",IF(F334="","",IF(F334&lt;TODAY(),"Expired",IF(F334&lt;=TODAY()+60,"Expiring Soon","OK"))))</f>
        <v/>
      </c>
    </row>
    <row r="335" customFormat="false" ht="15" hidden="false" customHeight="false" outlineLevel="0" collapsed="false">
      <c r="A335" s="32"/>
      <c r="B335" s="32"/>
      <c r="C335" s="32"/>
      <c r="D335" s="32"/>
      <c r="E335" s="35"/>
      <c r="F335" s="35"/>
      <c r="G335" s="32"/>
      <c r="H335" s="33"/>
      <c r="I335" s="37" t="str">
        <f aca="true">IF(B335="","",IF(F335="","",IF(F335&lt;TODAY(),"Expired",IF(F335&lt;=TODAY()+60,"Expiring Soon","OK"))))</f>
        <v/>
      </c>
    </row>
    <row r="336" customFormat="false" ht="15" hidden="false" customHeight="false" outlineLevel="0" collapsed="false">
      <c r="A336" s="32"/>
      <c r="B336" s="32"/>
      <c r="C336" s="32"/>
      <c r="D336" s="32"/>
      <c r="E336" s="35"/>
      <c r="F336" s="35"/>
      <c r="G336" s="32"/>
      <c r="H336" s="33"/>
      <c r="I336" s="37" t="str">
        <f aca="true">IF(B336="","",IF(F336="","",IF(F336&lt;TODAY(),"Expired",IF(F336&lt;=TODAY()+60,"Expiring Soon","OK"))))</f>
        <v/>
      </c>
    </row>
    <row r="337" customFormat="false" ht="15" hidden="false" customHeight="false" outlineLevel="0" collapsed="false">
      <c r="A337" s="32"/>
      <c r="B337" s="32"/>
      <c r="C337" s="32"/>
      <c r="D337" s="32"/>
      <c r="E337" s="35"/>
      <c r="F337" s="35"/>
      <c r="G337" s="32"/>
      <c r="H337" s="33"/>
      <c r="I337" s="37" t="str">
        <f aca="true">IF(B337="","",IF(F337="","",IF(F337&lt;TODAY(),"Expired",IF(F337&lt;=TODAY()+60,"Expiring Soon","OK"))))</f>
        <v/>
      </c>
    </row>
    <row r="338" customFormat="false" ht="15" hidden="false" customHeight="false" outlineLevel="0" collapsed="false">
      <c r="A338" s="32"/>
      <c r="B338" s="32"/>
      <c r="C338" s="32"/>
      <c r="D338" s="32"/>
      <c r="E338" s="35"/>
      <c r="F338" s="35"/>
      <c r="G338" s="32"/>
      <c r="H338" s="33"/>
      <c r="I338" s="37" t="str">
        <f aca="true">IF(B338="","",IF(F338="","",IF(F338&lt;TODAY(),"Expired",IF(F338&lt;=TODAY()+60,"Expiring Soon","OK"))))</f>
        <v/>
      </c>
    </row>
    <row r="339" customFormat="false" ht="15" hidden="false" customHeight="false" outlineLevel="0" collapsed="false">
      <c r="A339" s="32"/>
      <c r="B339" s="32"/>
      <c r="C339" s="32"/>
      <c r="D339" s="32"/>
      <c r="E339" s="35"/>
      <c r="F339" s="35"/>
      <c r="G339" s="32"/>
      <c r="H339" s="33"/>
      <c r="I339" s="37" t="str">
        <f aca="true">IF(B339="","",IF(F339="","",IF(F339&lt;TODAY(),"Expired",IF(F339&lt;=TODAY()+60,"Expiring Soon","OK"))))</f>
        <v/>
      </c>
    </row>
    <row r="340" customFormat="false" ht="15" hidden="false" customHeight="false" outlineLevel="0" collapsed="false">
      <c r="A340" s="32"/>
      <c r="B340" s="32"/>
      <c r="C340" s="32"/>
      <c r="D340" s="32"/>
      <c r="E340" s="35"/>
      <c r="F340" s="35"/>
      <c r="G340" s="32"/>
      <c r="H340" s="33"/>
      <c r="I340" s="37" t="str">
        <f aca="true">IF(B340="","",IF(F340="","",IF(F340&lt;TODAY(),"Expired",IF(F340&lt;=TODAY()+60,"Expiring Soon","OK"))))</f>
        <v/>
      </c>
    </row>
    <row r="341" customFormat="false" ht="15" hidden="false" customHeight="false" outlineLevel="0" collapsed="false">
      <c r="A341" s="32"/>
      <c r="B341" s="32"/>
      <c r="C341" s="32"/>
      <c r="D341" s="32"/>
      <c r="E341" s="35"/>
      <c r="F341" s="35"/>
      <c r="G341" s="32"/>
      <c r="H341" s="33"/>
      <c r="I341" s="37" t="str">
        <f aca="true">IF(B341="","",IF(F341="","",IF(F341&lt;TODAY(),"Expired",IF(F341&lt;=TODAY()+60,"Expiring Soon","OK"))))</f>
        <v/>
      </c>
    </row>
    <row r="342" customFormat="false" ht="15" hidden="false" customHeight="false" outlineLevel="0" collapsed="false">
      <c r="A342" s="32"/>
      <c r="B342" s="32"/>
      <c r="C342" s="32"/>
      <c r="D342" s="32"/>
      <c r="E342" s="35"/>
      <c r="F342" s="35"/>
      <c r="G342" s="32"/>
      <c r="H342" s="33"/>
      <c r="I342" s="37" t="str">
        <f aca="true">IF(B342="","",IF(F342="","",IF(F342&lt;TODAY(),"Expired",IF(F342&lt;=TODAY()+60,"Expiring Soon","OK"))))</f>
        <v/>
      </c>
    </row>
    <row r="343" customFormat="false" ht="15" hidden="false" customHeight="false" outlineLevel="0" collapsed="false">
      <c r="A343" s="32"/>
      <c r="B343" s="32"/>
      <c r="C343" s="32"/>
      <c r="D343" s="32"/>
      <c r="E343" s="35"/>
      <c r="F343" s="35"/>
      <c r="G343" s="32"/>
      <c r="H343" s="33"/>
      <c r="I343" s="37" t="str">
        <f aca="true">IF(B343="","",IF(F343="","",IF(F343&lt;TODAY(),"Expired",IF(F343&lt;=TODAY()+60,"Expiring Soon","OK"))))</f>
        <v/>
      </c>
    </row>
    <row r="344" customFormat="false" ht="15" hidden="false" customHeight="false" outlineLevel="0" collapsed="false">
      <c r="A344" s="32"/>
      <c r="B344" s="32"/>
      <c r="C344" s="32"/>
      <c r="D344" s="32"/>
      <c r="E344" s="35"/>
      <c r="F344" s="35"/>
      <c r="G344" s="32"/>
      <c r="H344" s="33"/>
      <c r="I344" s="37" t="str">
        <f aca="true">IF(B344="","",IF(F344="","",IF(F344&lt;TODAY(),"Expired",IF(F344&lt;=TODAY()+60,"Expiring Soon","OK"))))</f>
        <v/>
      </c>
    </row>
    <row r="345" customFormat="false" ht="15" hidden="false" customHeight="false" outlineLevel="0" collapsed="false">
      <c r="A345" s="32"/>
      <c r="B345" s="32"/>
      <c r="C345" s="32"/>
      <c r="D345" s="32"/>
      <c r="E345" s="35"/>
      <c r="F345" s="35"/>
      <c r="G345" s="32"/>
      <c r="H345" s="33"/>
      <c r="I345" s="37" t="str">
        <f aca="true">IF(B345="","",IF(F345="","",IF(F345&lt;TODAY(),"Expired",IF(F345&lt;=TODAY()+60,"Expiring Soon","OK"))))</f>
        <v/>
      </c>
    </row>
    <row r="346" customFormat="false" ht="15" hidden="false" customHeight="false" outlineLevel="0" collapsed="false">
      <c r="A346" s="32"/>
      <c r="B346" s="32"/>
      <c r="C346" s="32"/>
      <c r="D346" s="32"/>
      <c r="E346" s="35"/>
      <c r="F346" s="35"/>
      <c r="G346" s="32"/>
      <c r="H346" s="33"/>
      <c r="I346" s="37" t="str">
        <f aca="true">IF(B346="","",IF(F346="","",IF(F346&lt;TODAY(),"Expired",IF(F346&lt;=TODAY()+60,"Expiring Soon","OK"))))</f>
        <v/>
      </c>
    </row>
    <row r="347" customFormat="false" ht="15" hidden="false" customHeight="false" outlineLevel="0" collapsed="false">
      <c r="A347" s="32"/>
      <c r="B347" s="32"/>
      <c r="C347" s="32"/>
      <c r="D347" s="32"/>
      <c r="E347" s="35"/>
      <c r="F347" s="35"/>
      <c r="G347" s="32"/>
      <c r="H347" s="33"/>
      <c r="I347" s="37" t="str">
        <f aca="true">IF(B347="","",IF(F347="","",IF(F347&lt;TODAY(),"Expired",IF(F347&lt;=TODAY()+60,"Expiring Soon","OK"))))</f>
        <v/>
      </c>
    </row>
    <row r="348" customFormat="false" ht="15" hidden="false" customHeight="false" outlineLevel="0" collapsed="false">
      <c r="A348" s="32"/>
      <c r="B348" s="32"/>
      <c r="C348" s="32"/>
      <c r="D348" s="32"/>
      <c r="E348" s="35"/>
      <c r="F348" s="35"/>
      <c r="G348" s="32"/>
      <c r="H348" s="33"/>
      <c r="I348" s="37" t="str">
        <f aca="true">IF(B348="","",IF(F348="","",IF(F348&lt;TODAY(),"Expired",IF(F348&lt;=TODAY()+60,"Expiring Soon","OK"))))</f>
        <v/>
      </c>
    </row>
    <row r="349" customFormat="false" ht="15" hidden="false" customHeight="false" outlineLevel="0" collapsed="false">
      <c r="A349" s="32"/>
      <c r="B349" s="32"/>
      <c r="C349" s="32"/>
      <c r="D349" s="32"/>
      <c r="E349" s="35"/>
      <c r="F349" s="35"/>
      <c r="G349" s="32"/>
      <c r="H349" s="33"/>
      <c r="I349" s="37" t="str">
        <f aca="true">IF(B349="","",IF(F349="","",IF(F349&lt;TODAY(),"Expired",IF(F349&lt;=TODAY()+60,"Expiring Soon","OK"))))</f>
        <v/>
      </c>
    </row>
    <row r="350" customFormat="false" ht="15" hidden="false" customHeight="false" outlineLevel="0" collapsed="false">
      <c r="A350" s="32"/>
      <c r="B350" s="32"/>
      <c r="C350" s="32"/>
      <c r="D350" s="32"/>
      <c r="E350" s="35"/>
      <c r="F350" s="35"/>
      <c r="G350" s="32"/>
      <c r="H350" s="33"/>
      <c r="I350" s="37" t="str">
        <f aca="true">IF(B350="","",IF(F350="","",IF(F350&lt;TODAY(),"Expired",IF(F350&lt;=TODAY()+60,"Expiring Soon","OK"))))</f>
        <v/>
      </c>
    </row>
    <row r="351" customFormat="false" ht="15" hidden="false" customHeight="false" outlineLevel="0" collapsed="false">
      <c r="A351" s="32"/>
      <c r="B351" s="32"/>
      <c r="C351" s="32"/>
      <c r="D351" s="32"/>
      <c r="E351" s="35"/>
      <c r="F351" s="35"/>
      <c r="G351" s="32"/>
      <c r="H351" s="33"/>
      <c r="I351" s="37" t="str">
        <f aca="true">IF(B351="","",IF(F351="","",IF(F351&lt;TODAY(),"Expired",IF(F351&lt;=TODAY()+60,"Expiring Soon","OK"))))</f>
        <v/>
      </c>
    </row>
    <row r="352" customFormat="false" ht="15" hidden="false" customHeight="false" outlineLevel="0" collapsed="false">
      <c r="A352" s="32"/>
      <c r="B352" s="32"/>
      <c r="C352" s="32"/>
      <c r="D352" s="32"/>
      <c r="E352" s="35"/>
      <c r="F352" s="35"/>
      <c r="G352" s="32"/>
      <c r="H352" s="33"/>
      <c r="I352" s="37" t="str">
        <f aca="true">IF(B352="","",IF(F352="","",IF(F352&lt;TODAY(),"Expired",IF(F352&lt;=TODAY()+60,"Expiring Soon","OK"))))</f>
        <v/>
      </c>
    </row>
    <row r="353" customFormat="false" ht="15" hidden="false" customHeight="false" outlineLevel="0" collapsed="false">
      <c r="A353" s="32"/>
      <c r="B353" s="32"/>
      <c r="C353" s="32"/>
      <c r="D353" s="32"/>
      <c r="E353" s="35"/>
      <c r="F353" s="35"/>
      <c r="G353" s="32"/>
      <c r="H353" s="33"/>
      <c r="I353" s="37" t="str">
        <f aca="true">IF(B353="","",IF(F353="","",IF(F353&lt;TODAY(),"Expired",IF(F353&lt;=TODAY()+60,"Expiring Soon","OK"))))</f>
        <v/>
      </c>
    </row>
    <row r="354" customFormat="false" ht="15" hidden="false" customHeight="false" outlineLevel="0" collapsed="false">
      <c r="A354" s="32"/>
      <c r="B354" s="32"/>
      <c r="C354" s="32"/>
      <c r="D354" s="32"/>
      <c r="E354" s="35"/>
      <c r="F354" s="35"/>
      <c r="G354" s="32"/>
      <c r="H354" s="33"/>
      <c r="I354" s="37" t="str">
        <f aca="true">IF(B354="","",IF(F354="","",IF(F354&lt;TODAY(),"Expired",IF(F354&lt;=TODAY()+60,"Expiring Soon","OK"))))</f>
        <v/>
      </c>
    </row>
    <row r="355" customFormat="false" ht="15" hidden="false" customHeight="false" outlineLevel="0" collapsed="false">
      <c r="A355" s="32"/>
      <c r="B355" s="32"/>
      <c r="C355" s="32"/>
      <c r="D355" s="32"/>
      <c r="E355" s="35"/>
      <c r="F355" s="35"/>
      <c r="G355" s="32"/>
      <c r="H355" s="33"/>
      <c r="I355" s="37" t="str">
        <f aca="true">IF(B355="","",IF(F355="","",IF(F355&lt;TODAY(),"Expired",IF(F355&lt;=TODAY()+60,"Expiring Soon","OK"))))</f>
        <v/>
      </c>
    </row>
    <row r="356" customFormat="false" ht="15" hidden="false" customHeight="false" outlineLevel="0" collapsed="false">
      <c r="A356" s="32"/>
      <c r="B356" s="32"/>
      <c r="C356" s="32"/>
      <c r="D356" s="32"/>
      <c r="E356" s="35"/>
      <c r="F356" s="35"/>
      <c r="G356" s="32"/>
      <c r="H356" s="33"/>
      <c r="I356" s="37" t="str">
        <f aca="true">IF(B356="","",IF(F356="","",IF(F356&lt;TODAY(),"Expired",IF(F356&lt;=TODAY()+60,"Expiring Soon","OK"))))</f>
        <v/>
      </c>
    </row>
    <row r="357" customFormat="false" ht="15" hidden="false" customHeight="false" outlineLevel="0" collapsed="false">
      <c r="A357" s="32"/>
      <c r="B357" s="32"/>
      <c r="C357" s="32"/>
      <c r="D357" s="32"/>
      <c r="E357" s="35"/>
      <c r="F357" s="35"/>
      <c r="G357" s="32"/>
      <c r="H357" s="33"/>
      <c r="I357" s="37" t="str">
        <f aca="true">IF(B357="","",IF(F357="","",IF(F357&lt;TODAY(),"Expired",IF(F357&lt;=TODAY()+60,"Expiring Soon","OK"))))</f>
        <v/>
      </c>
    </row>
    <row r="358" customFormat="false" ht="15" hidden="false" customHeight="false" outlineLevel="0" collapsed="false">
      <c r="A358" s="32"/>
      <c r="B358" s="32"/>
      <c r="C358" s="32"/>
      <c r="D358" s="32"/>
      <c r="E358" s="35"/>
      <c r="F358" s="35"/>
      <c r="G358" s="32"/>
      <c r="H358" s="33"/>
      <c r="I358" s="37" t="str">
        <f aca="true">IF(B358="","",IF(F358="","",IF(F358&lt;TODAY(),"Expired",IF(F358&lt;=TODAY()+60,"Expiring Soon","OK"))))</f>
        <v/>
      </c>
    </row>
    <row r="359" customFormat="false" ht="15" hidden="false" customHeight="false" outlineLevel="0" collapsed="false">
      <c r="A359" s="32"/>
      <c r="B359" s="32"/>
      <c r="C359" s="32"/>
      <c r="D359" s="32"/>
      <c r="E359" s="35"/>
      <c r="F359" s="35"/>
      <c r="G359" s="32"/>
      <c r="H359" s="33"/>
      <c r="I359" s="37" t="str">
        <f aca="true">IF(B359="","",IF(F359="","",IF(F359&lt;TODAY(),"Expired",IF(F359&lt;=TODAY()+60,"Expiring Soon","OK"))))</f>
        <v/>
      </c>
    </row>
    <row r="360" customFormat="false" ht="15" hidden="false" customHeight="false" outlineLevel="0" collapsed="false">
      <c r="A360" s="32"/>
      <c r="B360" s="32"/>
      <c r="C360" s="32"/>
      <c r="D360" s="32"/>
      <c r="E360" s="35"/>
      <c r="F360" s="35"/>
      <c r="G360" s="32"/>
      <c r="H360" s="33"/>
      <c r="I360" s="37" t="str">
        <f aca="true">IF(B360="","",IF(F360="","",IF(F360&lt;TODAY(),"Expired",IF(F360&lt;=TODAY()+60,"Expiring Soon","OK"))))</f>
        <v/>
      </c>
    </row>
    <row r="361" customFormat="false" ht="15" hidden="false" customHeight="false" outlineLevel="0" collapsed="false">
      <c r="A361" s="32"/>
      <c r="B361" s="32"/>
      <c r="C361" s="32"/>
      <c r="D361" s="32"/>
      <c r="E361" s="35"/>
      <c r="F361" s="35"/>
      <c r="G361" s="32"/>
      <c r="H361" s="33"/>
      <c r="I361" s="37" t="str">
        <f aca="true">IF(B361="","",IF(F361="","",IF(F361&lt;TODAY(),"Expired",IF(F361&lt;=TODAY()+60,"Expiring Soon","OK"))))</f>
        <v/>
      </c>
    </row>
    <row r="362" customFormat="false" ht="15" hidden="false" customHeight="false" outlineLevel="0" collapsed="false">
      <c r="A362" s="32"/>
      <c r="B362" s="32"/>
      <c r="C362" s="32"/>
      <c r="D362" s="32"/>
      <c r="E362" s="35"/>
      <c r="F362" s="35"/>
      <c r="G362" s="32"/>
      <c r="H362" s="33"/>
      <c r="I362" s="37" t="str">
        <f aca="true">IF(B362="","",IF(F362="","",IF(F362&lt;TODAY(),"Expired",IF(F362&lt;=TODAY()+60,"Expiring Soon","OK"))))</f>
        <v/>
      </c>
    </row>
    <row r="363" customFormat="false" ht="15" hidden="false" customHeight="false" outlineLevel="0" collapsed="false">
      <c r="A363" s="32"/>
      <c r="B363" s="32"/>
      <c r="C363" s="32"/>
      <c r="D363" s="32"/>
      <c r="E363" s="35"/>
      <c r="F363" s="35"/>
      <c r="G363" s="32"/>
      <c r="H363" s="33"/>
      <c r="I363" s="37" t="str">
        <f aca="true">IF(B363="","",IF(F363="","",IF(F363&lt;TODAY(),"Expired",IF(F363&lt;=TODAY()+60,"Expiring Soon","OK"))))</f>
        <v/>
      </c>
    </row>
    <row r="364" customFormat="false" ht="15" hidden="false" customHeight="false" outlineLevel="0" collapsed="false">
      <c r="A364" s="32"/>
      <c r="B364" s="32"/>
      <c r="C364" s="32"/>
      <c r="D364" s="32"/>
      <c r="E364" s="35"/>
      <c r="F364" s="35"/>
      <c r="G364" s="32"/>
      <c r="H364" s="33"/>
      <c r="I364" s="37" t="str">
        <f aca="true">IF(B364="","",IF(F364="","",IF(F364&lt;TODAY(),"Expired",IF(F364&lt;=TODAY()+60,"Expiring Soon","OK"))))</f>
        <v/>
      </c>
    </row>
    <row r="365" customFormat="false" ht="15" hidden="false" customHeight="false" outlineLevel="0" collapsed="false">
      <c r="A365" s="32"/>
      <c r="B365" s="32"/>
      <c r="C365" s="32"/>
      <c r="D365" s="32"/>
      <c r="E365" s="35"/>
      <c r="F365" s="35"/>
      <c r="G365" s="32"/>
      <c r="H365" s="33"/>
      <c r="I365" s="37" t="str">
        <f aca="true">IF(B365="","",IF(F365="","",IF(F365&lt;TODAY(),"Expired",IF(F365&lt;=TODAY()+60,"Expiring Soon","OK"))))</f>
        <v/>
      </c>
    </row>
    <row r="366" customFormat="false" ht="15" hidden="false" customHeight="false" outlineLevel="0" collapsed="false">
      <c r="A366" s="32"/>
      <c r="B366" s="32"/>
      <c r="C366" s="32"/>
      <c r="D366" s="32"/>
      <c r="E366" s="35"/>
      <c r="F366" s="35"/>
      <c r="G366" s="32"/>
      <c r="H366" s="33"/>
      <c r="I366" s="37" t="str">
        <f aca="true">IF(B366="","",IF(F366="","",IF(F366&lt;TODAY(),"Expired",IF(F366&lt;=TODAY()+60,"Expiring Soon","OK"))))</f>
        <v/>
      </c>
    </row>
    <row r="367" customFormat="false" ht="15" hidden="false" customHeight="false" outlineLevel="0" collapsed="false">
      <c r="A367" s="32"/>
      <c r="B367" s="32"/>
      <c r="C367" s="32"/>
      <c r="D367" s="32"/>
      <c r="E367" s="35"/>
      <c r="F367" s="35"/>
      <c r="G367" s="32"/>
      <c r="H367" s="33"/>
      <c r="I367" s="37" t="str">
        <f aca="true">IF(B367="","",IF(F367="","",IF(F367&lt;TODAY(),"Expired",IF(F367&lt;=TODAY()+60,"Expiring Soon","OK"))))</f>
        <v/>
      </c>
    </row>
    <row r="368" customFormat="false" ht="15" hidden="false" customHeight="false" outlineLevel="0" collapsed="false">
      <c r="A368" s="32"/>
      <c r="B368" s="32"/>
      <c r="C368" s="32"/>
      <c r="D368" s="32"/>
      <c r="E368" s="35"/>
      <c r="F368" s="35"/>
      <c r="G368" s="32"/>
      <c r="H368" s="33"/>
      <c r="I368" s="37" t="str">
        <f aca="true">IF(B368="","",IF(F368="","",IF(F368&lt;TODAY(),"Expired",IF(F368&lt;=TODAY()+60,"Expiring Soon","OK"))))</f>
        <v/>
      </c>
    </row>
    <row r="369" customFormat="false" ht="15" hidden="false" customHeight="false" outlineLevel="0" collapsed="false">
      <c r="A369" s="32"/>
      <c r="B369" s="32"/>
      <c r="C369" s="32"/>
      <c r="D369" s="32"/>
      <c r="E369" s="35"/>
      <c r="F369" s="35"/>
      <c r="G369" s="32"/>
      <c r="H369" s="33"/>
      <c r="I369" s="37" t="str">
        <f aca="true">IF(B369="","",IF(F369="","",IF(F369&lt;TODAY(),"Expired",IF(F369&lt;=TODAY()+60,"Expiring Soon","OK"))))</f>
        <v/>
      </c>
    </row>
    <row r="370" customFormat="false" ht="15" hidden="false" customHeight="false" outlineLevel="0" collapsed="false">
      <c r="A370" s="32"/>
      <c r="B370" s="32"/>
      <c r="C370" s="32"/>
      <c r="D370" s="32"/>
      <c r="E370" s="35"/>
      <c r="F370" s="35"/>
      <c r="G370" s="32"/>
      <c r="H370" s="33"/>
      <c r="I370" s="37" t="str">
        <f aca="true">IF(B370="","",IF(F370="","",IF(F370&lt;TODAY(),"Expired",IF(F370&lt;=TODAY()+60,"Expiring Soon","OK"))))</f>
        <v/>
      </c>
    </row>
    <row r="371" customFormat="false" ht="15" hidden="false" customHeight="false" outlineLevel="0" collapsed="false">
      <c r="A371" s="32"/>
      <c r="B371" s="32"/>
      <c r="C371" s="32"/>
      <c r="D371" s="32"/>
      <c r="E371" s="35"/>
      <c r="F371" s="35"/>
      <c r="G371" s="32"/>
      <c r="H371" s="33"/>
      <c r="I371" s="37" t="str">
        <f aca="true">IF(B371="","",IF(F371="","",IF(F371&lt;TODAY(),"Expired",IF(F371&lt;=TODAY()+60,"Expiring Soon","OK"))))</f>
        <v/>
      </c>
    </row>
    <row r="372" customFormat="false" ht="15" hidden="false" customHeight="false" outlineLevel="0" collapsed="false">
      <c r="A372" s="32"/>
      <c r="B372" s="32"/>
      <c r="C372" s="32"/>
      <c r="D372" s="32"/>
      <c r="E372" s="35"/>
      <c r="F372" s="35"/>
      <c r="G372" s="32"/>
      <c r="H372" s="33"/>
      <c r="I372" s="37" t="str">
        <f aca="true">IF(B372="","",IF(F372="","",IF(F372&lt;TODAY(),"Expired",IF(F372&lt;=TODAY()+60,"Expiring Soon","OK"))))</f>
        <v/>
      </c>
    </row>
    <row r="373" customFormat="false" ht="15" hidden="false" customHeight="false" outlineLevel="0" collapsed="false">
      <c r="A373" s="32"/>
      <c r="B373" s="32"/>
      <c r="C373" s="32"/>
      <c r="D373" s="32"/>
      <c r="E373" s="35"/>
      <c r="F373" s="35"/>
      <c r="G373" s="32"/>
      <c r="H373" s="33"/>
      <c r="I373" s="37" t="str">
        <f aca="true">IF(B373="","",IF(F373="","",IF(F373&lt;TODAY(),"Expired",IF(F373&lt;=TODAY()+60,"Expiring Soon","OK"))))</f>
        <v/>
      </c>
    </row>
    <row r="374" customFormat="false" ht="15" hidden="false" customHeight="false" outlineLevel="0" collapsed="false">
      <c r="A374" s="32"/>
      <c r="B374" s="32"/>
      <c r="C374" s="32"/>
      <c r="D374" s="32"/>
      <c r="E374" s="35"/>
      <c r="F374" s="35"/>
      <c r="G374" s="32"/>
      <c r="H374" s="33"/>
      <c r="I374" s="37" t="str">
        <f aca="true">IF(B374="","",IF(F374="","",IF(F374&lt;TODAY(),"Expired",IF(F374&lt;=TODAY()+60,"Expiring Soon","OK"))))</f>
        <v/>
      </c>
    </row>
    <row r="375" customFormat="false" ht="15" hidden="false" customHeight="false" outlineLevel="0" collapsed="false">
      <c r="A375" s="32"/>
      <c r="B375" s="32"/>
      <c r="C375" s="32"/>
      <c r="D375" s="32"/>
      <c r="E375" s="35"/>
      <c r="F375" s="35"/>
      <c r="G375" s="32"/>
      <c r="H375" s="33"/>
      <c r="I375" s="37" t="str">
        <f aca="true">IF(B375="","",IF(F375="","",IF(F375&lt;TODAY(),"Expired",IF(F375&lt;=TODAY()+60,"Expiring Soon","OK"))))</f>
        <v/>
      </c>
    </row>
    <row r="376" customFormat="false" ht="15" hidden="false" customHeight="false" outlineLevel="0" collapsed="false">
      <c r="A376" s="32"/>
      <c r="B376" s="32"/>
      <c r="C376" s="32"/>
      <c r="D376" s="32"/>
      <c r="E376" s="35"/>
      <c r="F376" s="35"/>
      <c r="G376" s="32"/>
      <c r="H376" s="33"/>
      <c r="I376" s="37" t="str">
        <f aca="true">IF(B376="","",IF(F376="","",IF(F376&lt;TODAY(),"Expired",IF(F376&lt;=TODAY()+60,"Expiring Soon","OK"))))</f>
        <v/>
      </c>
    </row>
    <row r="377" customFormat="false" ht="15" hidden="false" customHeight="false" outlineLevel="0" collapsed="false">
      <c r="A377" s="32"/>
      <c r="B377" s="32"/>
      <c r="C377" s="32"/>
      <c r="D377" s="32"/>
      <c r="E377" s="35"/>
      <c r="F377" s="35"/>
      <c r="G377" s="32"/>
      <c r="H377" s="33"/>
      <c r="I377" s="37" t="str">
        <f aca="true">IF(B377="","",IF(F377="","",IF(F377&lt;TODAY(),"Expired",IF(F377&lt;=TODAY()+60,"Expiring Soon","OK"))))</f>
        <v/>
      </c>
    </row>
    <row r="378" customFormat="false" ht="15" hidden="false" customHeight="false" outlineLevel="0" collapsed="false">
      <c r="A378" s="32"/>
      <c r="B378" s="32"/>
      <c r="C378" s="32"/>
      <c r="D378" s="32"/>
      <c r="E378" s="35"/>
      <c r="F378" s="35"/>
      <c r="G378" s="32"/>
      <c r="H378" s="33"/>
      <c r="I378" s="37" t="str">
        <f aca="true">IF(B378="","",IF(F378="","",IF(F378&lt;TODAY(),"Expired",IF(F378&lt;=TODAY()+60,"Expiring Soon","OK"))))</f>
        <v/>
      </c>
    </row>
    <row r="379" customFormat="false" ht="15" hidden="false" customHeight="false" outlineLevel="0" collapsed="false">
      <c r="A379" s="32"/>
      <c r="B379" s="32"/>
      <c r="C379" s="32"/>
      <c r="D379" s="32"/>
      <c r="E379" s="35"/>
      <c r="F379" s="35"/>
      <c r="G379" s="32"/>
      <c r="H379" s="33"/>
      <c r="I379" s="37" t="str">
        <f aca="true">IF(B379="","",IF(F379="","",IF(F379&lt;TODAY(),"Expired",IF(F379&lt;=TODAY()+60,"Expiring Soon","OK"))))</f>
        <v/>
      </c>
    </row>
    <row r="380" customFormat="false" ht="15" hidden="false" customHeight="false" outlineLevel="0" collapsed="false">
      <c r="A380" s="32"/>
      <c r="B380" s="32"/>
      <c r="C380" s="32"/>
      <c r="D380" s="32"/>
      <c r="E380" s="35"/>
      <c r="F380" s="35"/>
      <c r="G380" s="32"/>
      <c r="H380" s="33"/>
      <c r="I380" s="37" t="str">
        <f aca="true">IF(B380="","",IF(F380="","",IF(F380&lt;TODAY(),"Expired",IF(F380&lt;=TODAY()+60,"Expiring Soon","OK"))))</f>
        <v/>
      </c>
    </row>
    <row r="381" customFormat="false" ht="15" hidden="false" customHeight="false" outlineLevel="0" collapsed="false">
      <c r="A381" s="32"/>
      <c r="B381" s="32"/>
      <c r="C381" s="32"/>
      <c r="D381" s="32"/>
      <c r="E381" s="35"/>
      <c r="F381" s="35"/>
      <c r="G381" s="32"/>
      <c r="H381" s="33"/>
      <c r="I381" s="37" t="str">
        <f aca="true">IF(B381="","",IF(F381="","",IF(F381&lt;TODAY(),"Expired",IF(F381&lt;=TODAY()+60,"Expiring Soon","OK"))))</f>
        <v/>
      </c>
    </row>
    <row r="382" customFormat="false" ht="15" hidden="false" customHeight="false" outlineLevel="0" collapsed="false">
      <c r="A382" s="32"/>
      <c r="B382" s="32"/>
      <c r="C382" s="32"/>
      <c r="D382" s="32"/>
      <c r="E382" s="35"/>
      <c r="F382" s="35"/>
      <c r="G382" s="32"/>
      <c r="H382" s="33"/>
      <c r="I382" s="37" t="str">
        <f aca="true">IF(B382="","",IF(F382="","",IF(F382&lt;TODAY(),"Expired",IF(F382&lt;=TODAY()+60,"Expiring Soon","OK"))))</f>
        <v/>
      </c>
    </row>
    <row r="383" customFormat="false" ht="15" hidden="false" customHeight="false" outlineLevel="0" collapsed="false">
      <c r="A383" s="32"/>
      <c r="B383" s="32"/>
      <c r="C383" s="32"/>
      <c r="D383" s="32"/>
      <c r="E383" s="35"/>
      <c r="F383" s="35"/>
      <c r="G383" s="32"/>
      <c r="H383" s="33"/>
      <c r="I383" s="37" t="str">
        <f aca="true">IF(B383="","",IF(F383="","",IF(F383&lt;TODAY(),"Expired",IF(F383&lt;=TODAY()+60,"Expiring Soon","OK"))))</f>
        <v/>
      </c>
    </row>
    <row r="384" customFormat="false" ht="15" hidden="false" customHeight="false" outlineLevel="0" collapsed="false">
      <c r="A384" s="32"/>
      <c r="B384" s="32"/>
      <c r="C384" s="32"/>
      <c r="D384" s="32"/>
      <c r="E384" s="35"/>
      <c r="F384" s="35"/>
      <c r="G384" s="32"/>
      <c r="H384" s="33"/>
      <c r="I384" s="37" t="str">
        <f aca="true">IF(B384="","",IF(F384="","",IF(F384&lt;TODAY(),"Expired",IF(F384&lt;=TODAY()+60,"Expiring Soon","OK"))))</f>
        <v/>
      </c>
    </row>
    <row r="385" customFormat="false" ht="15" hidden="false" customHeight="false" outlineLevel="0" collapsed="false">
      <c r="A385" s="32"/>
      <c r="B385" s="32"/>
      <c r="C385" s="32"/>
      <c r="D385" s="32"/>
      <c r="E385" s="35"/>
      <c r="F385" s="35"/>
      <c r="G385" s="32"/>
      <c r="H385" s="33"/>
      <c r="I385" s="37" t="str">
        <f aca="true">IF(B385="","",IF(F385="","",IF(F385&lt;TODAY(),"Expired",IF(F385&lt;=TODAY()+60,"Expiring Soon","OK"))))</f>
        <v/>
      </c>
    </row>
    <row r="386" customFormat="false" ht="15" hidden="false" customHeight="false" outlineLevel="0" collapsed="false">
      <c r="A386" s="32"/>
      <c r="B386" s="32"/>
      <c r="C386" s="32"/>
      <c r="D386" s="32"/>
      <c r="E386" s="35"/>
      <c r="F386" s="35"/>
      <c r="G386" s="32"/>
      <c r="H386" s="33"/>
      <c r="I386" s="37" t="str">
        <f aca="true">IF(B386="","",IF(F386="","",IF(F386&lt;TODAY(),"Expired",IF(F386&lt;=TODAY()+60,"Expiring Soon","OK"))))</f>
        <v/>
      </c>
    </row>
    <row r="387" customFormat="false" ht="15" hidden="false" customHeight="false" outlineLevel="0" collapsed="false">
      <c r="A387" s="32"/>
      <c r="B387" s="32"/>
      <c r="C387" s="32"/>
      <c r="D387" s="32"/>
      <c r="E387" s="35"/>
      <c r="F387" s="35"/>
      <c r="G387" s="32"/>
      <c r="H387" s="33"/>
      <c r="I387" s="37" t="str">
        <f aca="true">IF(B387="","",IF(F387="","",IF(F387&lt;TODAY(),"Expired",IF(F387&lt;=TODAY()+60,"Expiring Soon","OK"))))</f>
        <v/>
      </c>
    </row>
    <row r="388" customFormat="false" ht="15" hidden="false" customHeight="false" outlineLevel="0" collapsed="false">
      <c r="A388" s="32"/>
      <c r="B388" s="32"/>
      <c r="C388" s="32"/>
      <c r="D388" s="32"/>
      <c r="E388" s="35"/>
      <c r="F388" s="35"/>
      <c r="G388" s="32"/>
      <c r="H388" s="33"/>
      <c r="I388" s="37" t="str">
        <f aca="true">IF(B388="","",IF(F388="","",IF(F388&lt;TODAY(),"Expired",IF(F388&lt;=TODAY()+60,"Expiring Soon","OK"))))</f>
        <v/>
      </c>
    </row>
    <row r="389" customFormat="false" ht="15" hidden="false" customHeight="false" outlineLevel="0" collapsed="false">
      <c r="A389" s="32"/>
      <c r="B389" s="32"/>
      <c r="C389" s="32"/>
      <c r="D389" s="32"/>
      <c r="E389" s="35"/>
      <c r="F389" s="35"/>
      <c r="G389" s="32"/>
      <c r="H389" s="33"/>
      <c r="I389" s="37" t="str">
        <f aca="true">IF(B389="","",IF(F389="","",IF(F389&lt;TODAY(),"Expired",IF(F389&lt;=TODAY()+60,"Expiring Soon","OK"))))</f>
        <v/>
      </c>
    </row>
    <row r="390" customFormat="false" ht="15" hidden="false" customHeight="false" outlineLevel="0" collapsed="false">
      <c r="A390" s="32"/>
      <c r="B390" s="32"/>
      <c r="C390" s="32"/>
      <c r="D390" s="32"/>
      <c r="E390" s="35"/>
      <c r="F390" s="35"/>
      <c r="G390" s="32"/>
      <c r="H390" s="33"/>
      <c r="I390" s="37" t="str">
        <f aca="true">IF(B390="","",IF(F390="","",IF(F390&lt;TODAY(),"Expired",IF(F390&lt;=TODAY()+60,"Expiring Soon","OK"))))</f>
        <v/>
      </c>
    </row>
    <row r="391" customFormat="false" ht="15" hidden="false" customHeight="false" outlineLevel="0" collapsed="false">
      <c r="A391" s="32"/>
      <c r="B391" s="32"/>
      <c r="C391" s="32"/>
      <c r="D391" s="32"/>
      <c r="E391" s="35"/>
      <c r="F391" s="35"/>
      <c r="G391" s="32"/>
      <c r="H391" s="33"/>
      <c r="I391" s="37" t="str">
        <f aca="true">IF(B391="","",IF(F391="","",IF(F391&lt;TODAY(),"Expired",IF(F391&lt;=TODAY()+60,"Expiring Soon","OK"))))</f>
        <v/>
      </c>
    </row>
    <row r="392" customFormat="false" ht="15" hidden="false" customHeight="false" outlineLevel="0" collapsed="false">
      <c r="A392" s="32"/>
      <c r="B392" s="32"/>
      <c r="C392" s="32"/>
      <c r="D392" s="32"/>
      <c r="E392" s="35"/>
      <c r="F392" s="35"/>
      <c r="G392" s="32"/>
      <c r="H392" s="33"/>
      <c r="I392" s="37" t="str">
        <f aca="true">IF(B392="","",IF(F392="","",IF(F392&lt;TODAY(),"Expired",IF(F392&lt;=TODAY()+60,"Expiring Soon","OK"))))</f>
        <v/>
      </c>
    </row>
    <row r="393" customFormat="false" ht="15" hidden="false" customHeight="false" outlineLevel="0" collapsed="false">
      <c r="A393" s="32"/>
      <c r="B393" s="32"/>
      <c r="C393" s="32"/>
      <c r="D393" s="32"/>
      <c r="E393" s="35"/>
      <c r="F393" s="35"/>
      <c r="G393" s="32"/>
      <c r="H393" s="33"/>
      <c r="I393" s="37" t="str">
        <f aca="true">IF(B393="","",IF(F393="","",IF(F393&lt;TODAY(),"Expired",IF(F393&lt;=TODAY()+60,"Expiring Soon","OK"))))</f>
        <v/>
      </c>
    </row>
    <row r="394" customFormat="false" ht="15" hidden="false" customHeight="false" outlineLevel="0" collapsed="false">
      <c r="A394" s="32"/>
      <c r="B394" s="32"/>
      <c r="C394" s="32"/>
      <c r="D394" s="32"/>
      <c r="E394" s="35"/>
      <c r="F394" s="35"/>
      <c r="G394" s="32"/>
      <c r="H394" s="33"/>
      <c r="I394" s="37" t="str">
        <f aca="true">IF(B394="","",IF(F394="","",IF(F394&lt;TODAY(),"Expired",IF(F394&lt;=TODAY()+60,"Expiring Soon","OK"))))</f>
        <v/>
      </c>
    </row>
    <row r="395" customFormat="false" ht="15" hidden="false" customHeight="false" outlineLevel="0" collapsed="false">
      <c r="A395" s="32"/>
      <c r="B395" s="32"/>
      <c r="C395" s="32"/>
      <c r="D395" s="32"/>
      <c r="E395" s="35"/>
      <c r="F395" s="35"/>
      <c r="G395" s="32"/>
      <c r="H395" s="33"/>
      <c r="I395" s="37" t="str">
        <f aca="true">IF(B395="","",IF(F395="","",IF(F395&lt;TODAY(),"Expired",IF(F395&lt;=TODAY()+60,"Expiring Soon","OK"))))</f>
        <v/>
      </c>
    </row>
    <row r="396" customFormat="false" ht="15" hidden="false" customHeight="false" outlineLevel="0" collapsed="false">
      <c r="A396" s="32"/>
      <c r="B396" s="32"/>
      <c r="C396" s="32"/>
      <c r="D396" s="32"/>
      <c r="E396" s="35"/>
      <c r="F396" s="35"/>
      <c r="G396" s="32"/>
      <c r="H396" s="33"/>
      <c r="I396" s="37" t="str">
        <f aca="true">IF(B396="","",IF(F396="","",IF(F396&lt;TODAY(),"Expired",IF(F396&lt;=TODAY()+60,"Expiring Soon","OK"))))</f>
        <v/>
      </c>
    </row>
    <row r="397" customFormat="false" ht="15" hidden="false" customHeight="false" outlineLevel="0" collapsed="false">
      <c r="A397" s="32"/>
      <c r="B397" s="32"/>
      <c r="C397" s="32"/>
      <c r="D397" s="32"/>
      <c r="E397" s="35"/>
      <c r="F397" s="35"/>
      <c r="G397" s="32"/>
      <c r="H397" s="33"/>
      <c r="I397" s="37" t="str">
        <f aca="true">IF(B397="","",IF(F397="","",IF(F397&lt;TODAY(),"Expired",IF(F397&lt;=TODAY()+60,"Expiring Soon","OK"))))</f>
        <v/>
      </c>
    </row>
    <row r="398" customFormat="false" ht="15" hidden="false" customHeight="false" outlineLevel="0" collapsed="false">
      <c r="A398" s="32"/>
      <c r="B398" s="32"/>
      <c r="C398" s="32"/>
      <c r="D398" s="32"/>
      <c r="E398" s="35"/>
      <c r="F398" s="35"/>
      <c r="G398" s="32"/>
      <c r="H398" s="33"/>
      <c r="I398" s="37" t="str">
        <f aca="true">IF(B398="","",IF(F398="","",IF(F398&lt;TODAY(),"Expired",IF(F398&lt;=TODAY()+60,"Expiring Soon","OK"))))</f>
        <v/>
      </c>
    </row>
    <row r="399" customFormat="false" ht="15" hidden="false" customHeight="false" outlineLevel="0" collapsed="false">
      <c r="A399" s="32"/>
      <c r="B399" s="32"/>
      <c r="C399" s="32"/>
      <c r="D399" s="32"/>
      <c r="E399" s="35"/>
      <c r="F399" s="35"/>
      <c r="G399" s="32"/>
      <c r="H399" s="33"/>
      <c r="I399" s="37" t="str">
        <f aca="true">IF(B399="","",IF(F399="","",IF(F399&lt;TODAY(),"Expired",IF(F399&lt;=TODAY()+60,"Expiring Soon","OK"))))</f>
        <v/>
      </c>
    </row>
    <row r="400" customFormat="false" ht="15" hidden="false" customHeight="false" outlineLevel="0" collapsed="false">
      <c r="A400" s="32"/>
      <c r="B400" s="32"/>
      <c r="C400" s="32"/>
      <c r="D400" s="32"/>
      <c r="E400" s="35"/>
      <c r="F400" s="35"/>
      <c r="G400" s="32"/>
      <c r="H400" s="33"/>
      <c r="I400" s="37" t="str">
        <f aca="true">IF(B400="","",IF(F400="","",IF(F400&lt;TODAY(),"Expired",IF(F400&lt;=TODAY()+60,"Expiring Soon","OK"))))</f>
        <v/>
      </c>
    </row>
    <row r="401" customFormat="false" ht="15" hidden="false" customHeight="false" outlineLevel="0" collapsed="false">
      <c r="A401" s="32"/>
      <c r="B401" s="32"/>
      <c r="C401" s="32"/>
      <c r="D401" s="32"/>
      <c r="E401" s="35"/>
      <c r="F401" s="35"/>
      <c r="G401" s="32"/>
      <c r="H401" s="33"/>
      <c r="I401" s="37" t="str">
        <f aca="true">IF(B401="","",IF(F401="","",IF(F401&lt;TODAY(),"Expired",IF(F401&lt;=TODAY()+60,"Expiring Soon","OK"))))</f>
        <v/>
      </c>
    </row>
    <row r="402" customFormat="false" ht="15" hidden="false" customHeight="false" outlineLevel="0" collapsed="false">
      <c r="A402" s="32"/>
      <c r="B402" s="32"/>
      <c r="C402" s="32"/>
      <c r="D402" s="32"/>
      <c r="E402" s="35"/>
      <c r="F402" s="35"/>
      <c r="G402" s="32"/>
      <c r="H402" s="33"/>
      <c r="I402" s="37" t="str">
        <f aca="true">IF(B402="","",IF(F402="","",IF(F402&lt;TODAY(),"Expired",IF(F402&lt;=TODAY()+60,"Expiring Soon","OK"))))</f>
        <v/>
      </c>
    </row>
    <row r="403" customFormat="false" ht="15" hidden="false" customHeight="false" outlineLevel="0" collapsed="false">
      <c r="A403" s="32"/>
      <c r="B403" s="32"/>
      <c r="C403" s="32"/>
      <c r="D403" s="32"/>
      <c r="E403" s="35"/>
      <c r="F403" s="35"/>
      <c r="G403" s="32"/>
      <c r="H403" s="33"/>
      <c r="I403" s="37" t="str">
        <f aca="true">IF(B403="","",IF(F403="","",IF(F403&lt;TODAY(),"Expired",IF(F403&lt;=TODAY()+60,"Expiring Soon","OK"))))</f>
        <v/>
      </c>
    </row>
    <row r="404" customFormat="false" ht="15" hidden="false" customHeight="false" outlineLevel="0" collapsed="false">
      <c r="A404" s="32"/>
      <c r="B404" s="32"/>
      <c r="C404" s="32"/>
      <c r="D404" s="32"/>
      <c r="E404" s="35"/>
      <c r="F404" s="35"/>
      <c r="G404" s="32"/>
      <c r="H404" s="33"/>
      <c r="I404" s="37" t="str">
        <f aca="true">IF(B404="","",IF(F404="","",IF(F404&lt;TODAY(),"Expired",IF(F404&lt;=TODAY()+60,"Expiring Soon","OK"))))</f>
        <v/>
      </c>
    </row>
    <row r="405" customFormat="false" ht="15" hidden="false" customHeight="false" outlineLevel="0" collapsed="false">
      <c r="A405" s="32"/>
      <c r="B405" s="32"/>
      <c r="C405" s="32"/>
      <c r="D405" s="32"/>
      <c r="E405" s="35"/>
      <c r="F405" s="35"/>
      <c r="G405" s="32"/>
      <c r="H405" s="33"/>
      <c r="I405" s="37" t="str">
        <f aca="true">IF(B405="","",IF(F405="","",IF(F405&lt;TODAY(),"Expired",IF(F405&lt;=TODAY()+60,"Expiring Soon","OK"))))</f>
        <v/>
      </c>
    </row>
    <row r="406" customFormat="false" ht="15" hidden="false" customHeight="false" outlineLevel="0" collapsed="false">
      <c r="A406" s="32"/>
      <c r="B406" s="32"/>
      <c r="C406" s="32"/>
      <c r="D406" s="32"/>
      <c r="E406" s="35"/>
      <c r="F406" s="35"/>
      <c r="G406" s="32"/>
      <c r="H406" s="33"/>
      <c r="I406" s="37" t="str">
        <f aca="true">IF(B406="","",IF(F406="","",IF(F406&lt;TODAY(),"Expired",IF(F406&lt;=TODAY()+60,"Expiring Soon","OK"))))</f>
        <v/>
      </c>
    </row>
    <row r="407" customFormat="false" ht="15" hidden="false" customHeight="false" outlineLevel="0" collapsed="false">
      <c r="A407" s="32"/>
      <c r="B407" s="32"/>
      <c r="C407" s="32"/>
      <c r="D407" s="32"/>
      <c r="E407" s="35"/>
      <c r="F407" s="35"/>
      <c r="G407" s="32"/>
      <c r="H407" s="33"/>
      <c r="I407" s="37" t="str">
        <f aca="true">IF(B407="","",IF(F407="","",IF(F407&lt;TODAY(),"Expired",IF(F407&lt;=TODAY()+60,"Expiring Soon","OK"))))</f>
        <v/>
      </c>
    </row>
    <row r="408" customFormat="false" ht="15" hidden="false" customHeight="false" outlineLevel="0" collapsed="false">
      <c r="A408" s="32"/>
      <c r="B408" s="32"/>
      <c r="C408" s="32"/>
      <c r="D408" s="32"/>
      <c r="E408" s="35"/>
      <c r="F408" s="35"/>
      <c r="G408" s="32"/>
      <c r="H408" s="33"/>
      <c r="I408" s="37" t="str">
        <f aca="true">IF(B408="","",IF(F408="","",IF(F408&lt;TODAY(),"Expired",IF(F408&lt;=TODAY()+60,"Expiring Soon","OK"))))</f>
        <v/>
      </c>
    </row>
    <row r="409" customFormat="false" ht="15" hidden="false" customHeight="false" outlineLevel="0" collapsed="false">
      <c r="A409" s="32"/>
      <c r="B409" s="32"/>
      <c r="C409" s="32"/>
      <c r="D409" s="32"/>
      <c r="E409" s="35"/>
      <c r="F409" s="35"/>
      <c r="G409" s="32"/>
      <c r="H409" s="33"/>
      <c r="I409" s="37" t="str">
        <f aca="true">IF(B409="","",IF(F409="","",IF(F409&lt;TODAY(),"Expired",IF(F409&lt;=TODAY()+60,"Expiring Soon","OK"))))</f>
        <v/>
      </c>
    </row>
    <row r="410" customFormat="false" ht="15" hidden="false" customHeight="false" outlineLevel="0" collapsed="false">
      <c r="A410" s="32"/>
      <c r="B410" s="32"/>
      <c r="C410" s="32"/>
      <c r="D410" s="32"/>
      <c r="E410" s="35"/>
      <c r="F410" s="35"/>
      <c r="G410" s="32"/>
      <c r="H410" s="33"/>
      <c r="I410" s="37" t="str">
        <f aca="true">IF(B410="","",IF(F410="","",IF(F410&lt;TODAY(),"Expired",IF(F410&lt;=TODAY()+60,"Expiring Soon","OK"))))</f>
        <v/>
      </c>
    </row>
    <row r="411" customFormat="false" ht="15" hidden="false" customHeight="false" outlineLevel="0" collapsed="false">
      <c r="A411" s="32"/>
      <c r="B411" s="32"/>
      <c r="C411" s="32"/>
      <c r="D411" s="32"/>
      <c r="E411" s="35"/>
      <c r="F411" s="35"/>
      <c r="G411" s="32"/>
      <c r="H411" s="33"/>
      <c r="I411" s="37" t="str">
        <f aca="true">IF(B411="","",IF(F411="","",IF(F411&lt;TODAY(),"Expired",IF(F411&lt;=TODAY()+60,"Expiring Soon","OK"))))</f>
        <v/>
      </c>
    </row>
    <row r="412" customFormat="false" ht="15" hidden="false" customHeight="false" outlineLevel="0" collapsed="false">
      <c r="A412" s="32"/>
      <c r="B412" s="32"/>
      <c r="C412" s="32"/>
      <c r="D412" s="32"/>
      <c r="E412" s="35"/>
      <c r="F412" s="35"/>
      <c r="G412" s="32"/>
      <c r="H412" s="33"/>
      <c r="I412" s="37" t="str">
        <f aca="true">IF(B412="","",IF(F412="","",IF(F412&lt;TODAY(),"Expired",IF(F412&lt;=TODAY()+60,"Expiring Soon","OK"))))</f>
        <v/>
      </c>
    </row>
    <row r="413" customFormat="false" ht="15" hidden="false" customHeight="false" outlineLevel="0" collapsed="false">
      <c r="A413" s="32"/>
      <c r="B413" s="32"/>
      <c r="C413" s="32"/>
      <c r="D413" s="32"/>
      <c r="E413" s="35"/>
      <c r="F413" s="35"/>
      <c r="G413" s="32"/>
      <c r="H413" s="33"/>
      <c r="I413" s="37" t="str">
        <f aca="true">IF(B413="","",IF(F413="","",IF(F413&lt;TODAY(),"Expired",IF(F413&lt;=TODAY()+60,"Expiring Soon","OK"))))</f>
        <v/>
      </c>
    </row>
    <row r="414" customFormat="false" ht="15" hidden="false" customHeight="false" outlineLevel="0" collapsed="false">
      <c r="A414" s="32"/>
      <c r="B414" s="32"/>
      <c r="C414" s="32"/>
      <c r="D414" s="32"/>
      <c r="E414" s="35"/>
      <c r="F414" s="35"/>
      <c r="G414" s="32"/>
      <c r="H414" s="33"/>
      <c r="I414" s="37" t="str">
        <f aca="true">IF(B414="","",IF(F414="","",IF(F414&lt;TODAY(),"Expired",IF(F414&lt;=TODAY()+60,"Expiring Soon","OK"))))</f>
        <v/>
      </c>
    </row>
    <row r="415" customFormat="false" ht="15" hidden="false" customHeight="false" outlineLevel="0" collapsed="false">
      <c r="A415" s="32"/>
      <c r="B415" s="32"/>
      <c r="C415" s="32"/>
      <c r="D415" s="32"/>
      <c r="E415" s="35"/>
      <c r="F415" s="35"/>
      <c r="G415" s="32"/>
      <c r="H415" s="33"/>
      <c r="I415" s="37" t="str">
        <f aca="true">IF(B415="","",IF(F415="","",IF(F415&lt;TODAY(),"Expired",IF(F415&lt;=TODAY()+60,"Expiring Soon","OK"))))</f>
        <v/>
      </c>
    </row>
    <row r="416" customFormat="false" ht="15" hidden="false" customHeight="false" outlineLevel="0" collapsed="false">
      <c r="A416" s="32"/>
      <c r="B416" s="32"/>
      <c r="C416" s="32"/>
      <c r="D416" s="32"/>
      <c r="E416" s="35"/>
      <c r="F416" s="35"/>
      <c r="G416" s="32"/>
      <c r="H416" s="33"/>
      <c r="I416" s="37" t="str">
        <f aca="true">IF(B416="","",IF(F416="","",IF(F416&lt;TODAY(),"Expired",IF(F416&lt;=TODAY()+60,"Expiring Soon","OK"))))</f>
        <v/>
      </c>
    </row>
    <row r="417" customFormat="false" ht="15" hidden="false" customHeight="false" outlineLevel="0" collapsed="false">
      <c r="A417" s="32"/>
      <c r="B417" s="32"/>
      <c r="C417" s="32"/>
      <c r="D417" s="32"/>
      <c r="E417" s="35"/>
      <c r="F417" s="35"/>
      <c r="G417" s="32"/>
      <c r="H417" s="33"/>
      <c r="I417" s="37" t="str">
        <f aca="true">IF(B417="","",IF(F417="","",IF(F417&lt;TODAY(),"Expired",IF(F417&lt;=TODAY()+60,"Expiring Soon","OK"))))</f>
        <v/>
      </c>
    </row>
    <row r="418" customFormat="false" ht="15" hidden="false" customHeight="false" outlineLevel="0" collapsed="false">
      <c r="A418" s="32"/>
      <c r="B418" s="32"/>
      <c r="C418" s="32"/>
      <c r="D418" s="32"/>
      <c r="E418" s="35"/>
      <c r="F418" s="35"/>
      <c r="G418" s="32"/>
      <c r="H418" s="33"/>
      <c r="I418" s="37" t="str">
        <f aca="true">IF(B418="","",IF(F418="","",IF(F418&lt;TODAY(),"Expired",IF(F418&lt;=TODAY()+60,"Expiring Soon","OK"))))</f>
        <v/>
      </c>
    </row>
    <row r="419" customFormat="false" ht="15" hidden="false" customHeight="false" outlineLevel="0" collapsed="false">
      <c r="A419" s="32"/>
      <c r="B419" s="32"/>
      <c r="C419" s="32"/>
      <c r="D419" s="32"/>
      <c r="E419" s="35"/>
      <c r="F419" s="35"/>
      <c r="G419" s="32"/>
      <c r="H419" s="33"/>
      <c r="I419" s="37" t="str">
        <f aca="true">IF(B419="","",IF(F419="","",IF(F419&lt;TODAY(),"Expired",IF(F419&lt;=TODAY()+60,"Expiring Soon","OK"))))</f>
        <v/>
      </c>
    </row>
    <row r="420" customFormat="false" ht="15" hidden="false" customHeight="false" outlineLevel="0" collapsed="false">
      <c r="A420" s="32"/>
      <c r="B420" s="32"/>
      <c r="C420" s="32"/>
      <c r="D420" s="32"/>
      <c r="E420" s="35"/>
      <c r="F420" s="35"/>
      <c r="G420" s="32"/>
      <c r="H420" s="33"/>
      <c r="I420" s="37" t="str">
        <f aca="true">IF(B420="","",IF(F420="","",IF(F420&lt;TODAY(),"Expired",IF(F420&lt;=TODAY()+60,"Expiring Soon","OK"))))</f>
        <v/>
      </c>
    </row>
    <row r="421" customFormat="false" ht="15" hidden="false" customHeight="false" outlineLevel="0" collapsed="false">
      <c r="A421" s="32"/>
      <c r="B421" s="32"/>
      <c r="C421" s="32"/>
      <c r="D421" s="32"/>
      <c r="E421" s="35"/>
      <c r="F421" s="35"/>
      <c r="G421" s="32"/>
      <c r="H421" s="33"/>
      <c r="I421" s="37" t="str">
        <f aca="true">IF(B421="","",IF(F421="","",IF(F421&lt;TODAY(),"Expired",IF(F421&lt;=TODAY()+60,"Expiring Soon","OK"))))</f>
        <v/>
      </c>
    </row>
    <row r="422" customFormat="false" ht="15" hidden="false" customHeight="false" outlineLevel="0" collapsed="false">
      <c r="A422" s="32"/>
      <c r="B422" s="32"/>
      <c r="C422" s="32"/>
      <c r="D422" s="32"/>
      <c r="E422" s="35"/>
      <c r="F422" s="35"/>
      <c r="G422" s="32"/>
      <c r="H422" s="33"/>
      <c r="I422" s="37" t="str">
        <f aca="true">IF(B422="","",IF(F422="","",IF(F422&lt;TODAY(),"Expired",IF(F422&lt;=TODAY()+60,"Expiring Soon","OK"))))</f>
        <v/>
      </c>
    </row>
    <row r="423" customFormat="false" ht="15" hidden="false" customHeight="false" outlineLevel="0" collapsed="false">
      <c r="A423" s="32"/>
      <c r="B423" s="32"/>
      <c r="C423" s="32"/>
      <c r="D423" s="32"/>
      <c r="E423" s="35"/>
      <c r="F423" s="35"/>
      <c r="G423" s="32"/>
      <c r="H423" s="33"/>
      <c r="I423" s="37" t="str">
        <f aca="true">IF(B423="","",IF(F423="","",IF(F423&lt;TODAY(),"Expired",IF(F423&lt;=TODAY()+60,"Expiring Soon","OK"))))</f>
        <v/>
      </c>
    </row>
    <row r="424" customFormat="false" ht="15" hidden="false" customHeight="false" outlineLevel="0" collapsed="false">
      <c r="A424" s="32"/>
      <c r="B424" s="32"/>
      <c r="C424" s="32"/>
      <c r="D424" s="32"/>
      <c r="E424" s="35"/>
      <c r="F424" s="35"/>
      <c r="G424" s="32"/>
      <c r="H424" s="33"/>
      <c r="I424" s="37" t="str">
        <f aca="true">IF(B424="","",IF(F424="","",IF(F424&lt;TODAY(),"Expired",IF(F424&lt;=TODAY()+60,"Expiring Soon","OK"))))</f>
        <v/>
      </c>
    </row>
    <row r="425" customFormat="false" ht="15" hidden="false" customHeight="false" outlineLevel="0" collapsed="false">
      <c r="A425" s="32"/>
      <c r="B425" s="32"/>
      <c r="C425" s="32"/>
      <c r="D425" s="32"/>
      <c r="E425" s="35"/>
      <c r="F425" s="35"/>
      <c r="G425" s="32"/>
      <c r="H425" s="33"/>
      <c r="I425" s="37" t="str">
        <f aca="true">IF(B425="","",IF(F425="","",IF(F425&lt;TODAY(),"Expired",IF(F425&lt;=TODAY()+60,"Expiring Soon","OK"))))</f>
        <v/>
      </c>
    </row>
    <row r="426" customFormat="false" ht="15" hidden="false" customHeight="false" outlineLevel="0" collapsed="false">
      <c r="A426" s="32"/>
      <c r="B426" s="32"/>
      <c r="C426" s="32"/>
      <c r="D426" s="32"/>
      <c r="E426" s="35"/>
      <c r="F426" s="35"/>
      <c r="G426" s="32"/>
      <c r="H426" s="33"/>
      <c r="I426" s="37" t="str">
        <f aca="true">IF(B426="","",IF(F426="","",IF(F426&lt;TODAY(),"Expired",IF(F426&lt;=TODAY()+60,"Expiring Soon","OK"))))</f>
        <v/>
      </c>
    </row>
    <row r="427" customFormat="false" ht="15" hidden="false" customHeight="false" outlineLevel="0" collapsed="false">
      <c r="A427" s="32"/>
      <c r="B427" s="32"/>
      <c r="C427" s="32"/>
      <c r="D427" s="32"/>
      <c r="E427" s="35"/>
      <c r="F427" s="35"/>
      <c r="G427" s="32"/>
      <c r="H427" s="33"/>
      <c r="I427" s="37" t="str">
        <f aca="true">IF(B427="","",IF(F427="","",IF(F427&lt;TODAY(),"Expired",IF(F427&lt;=TODAY()+60,"Expiring Soon","OK"))))</f>
        <v/>
      </c>
    </row>
    <row r="428" customFormat="false" ht="15" hidden="false" customHeight="false" outlineLevel="0" collapsed="false">
      <c r="A428" s="32"/>
      <c r="B428" s="32"/>
      <c r="C428" s="32"/>
      <c r="D428" s="32"/>
      <c r="E428" s="35"/>
      <c r="F428" s="35"/>
      <c r="G428" s="32"/>
      <c r="H428" s="33"/>
      <c r="I428" s="37" t="str">
        <f aca="true">IF(B428="","",IF(F428="","",IF(F428&lt;TODAY(),"Expired",IF(F428&lt;=TODAY()+60,"Expiring Soon","OK"))))</f>
        <v/>
      </c>
    </row>
    <row r="429" customFormat="false" ht="15" hidden="false" customHeight="false" outlineLevel="0" collapsed="false">
      <c r="A429" s="32"/>
      <c r="B429" s="32"/>
      <c r="C429" s="32"/>
      <c r="D429" s="32"/>
      <c r="E429" s="35"/>
      <c r="F429" s="35"/>
      <c r="G429" s="32"/>
      <c r="H429" s="33"/>
      <c r="I429" s="37" t="str">
        <f aca="true">IF(B429="","",IF(F429="","",IF(F429&lt;TODAY(),"Expired",IF(F429&lt;=TODAY()+60,"Expiring Soon","OK"))))</f>
        <v/>
      </c>
    </row>
    <row r="430" customFormat="false" ht="15" hidden="false" customHeight="false" outlineLevel="0" collapsed="false">
      <c r="A430" s="32"/>
      <c r="B430" s="32"/>
      <c r="C430" s="32"/>
      <c r="D430" s="32"/>
      <c r="E430" s="35"/>
      <c r="F430" s="35"/>
      <c r="G430" s="32"/>
      <c r="H430" s="33"/>
      <c r="I430" s="37" t="str">
        <f aca="true">IF(B430="","",IF(F430="","",IF(F430&lt;TODAY(),"Expired",IF(F430&lt;=TODAY()+60,"Expiring Soon","OK"))))</f>
        <v/>
      </c>
    </row>
    <row r="431" customFormat="false" ht="15" hidden="false" customHeight="false" outlineLevel="0" collapsed="false">
      <c r="A431" s="32"/>
      <c r="B431" s="32"/>
      <c r="C431" s="32"/>
      <c r="D431" s="32"/>
      <c r="E431" s="35"/>
      <c r="F431" s="35"/>
      <c r="G431" s="32"/>
      <c r="H431" s="33"/>
      <c r="I431" s="37" t="str">
        <f aca="true">IF(B431="","",IF(F431="","",IF(F431&lt;TODAY(),"Expired",IF(F431&lt;=TODAY()+60,"Expiring Soon","OK"))))</f>
        <v/>
      </c>
    </row>
    <row r="432" customFormat="false" ht="15" hidden="false" customHeight="false" outlineLevel="0" collapsed="false">
      <c r="A432" s="32"/>
      <c r="B432" s="32"/>
      <c r="C432" s="32"/>
      <c r="D432" s="32"/>
      <c r="E432" s="35"/>
      <c r="F432" s="35"/>
      <c r="G432" s="32"/>
      <c r="H432" s="33"/>
      <c r="I432" s="37" t="str">
        <f aca="true">IF(B432="","",IF(F432="","",IF(F432&lt;TODAY(),"Expired",IF(F432&lt;=TODAY()+60,"Expiring Soon","OK"))))</f>
        <v/>
      </c>
    </row>
    <row r="433" customFormat="false" ht="15" hidden="false" customHeight="false" outlineLevel="0" collapsed="false">
      <c r="A433" s="32"/>
      <c r="B433" s="32"/>
      <c r="C433" s="32"/>
      <c r="D433" s="32"/>
      <c r="E433" s="35"/>
      <c r="F433" s="35"/>
      <c r="G433" s="32"/>
      <c r="H433" s="33"/>
      <c r="I433" s="37" t="str">
        <f aca="true">IF(B433="","",IF(F433="","",IF(F433&lt;TODAY(),"Expired",IF(F433&lt;=TODAY()+60,"Expiring Soon","OK"))))</f>
        <v/>
      </c>
    </row>
    <row r="434" customFormat="false" ht="15" hidden="false" customHeight="false" outlineLevel="0" collapsed="false">
      <c r="A434" s="32"/>
      <c r="B434" s="32"/>
      <c r="C434" s="32"/>
      <c r="D434" s="32"/>
      <c r="E434" s="35"/>
      <c r="F434" s="35"/>
      <c r="G434" s="32"/>
      <c r="H434" s="33"/>
      <c r="I434" s="37" t="str">
        <f aca="true">IF(B434="","",IF(F434="","",IF(F434&lt;TODAY(),"Expired",IF(F434&lt;=TODAY()+60,"Expiring Soon","OK"))))</f>
        <v/>
      </c>
    </row>
    <row r="435" customFormat="false" ht="15" hidden="false" customHeight="false" outlineLevel="0" collapsed="false">
      <c r="A435" s="32"/>
      <c r="B435" s="32"/>
      <c r="C435" s="32"/>
      <c r="D435" s="32"/>
      <c r="E435" s="35"/>
      <c r="F435" s="35"/>
      <c r="G435" s="32"/>
      <c r="H435" s="33"/>
      <c r="I435" s="37" t="str">
        <f aca="true">IF(B435="","",IF(F435="","",IF(F435&lt;TODAY(),"Expired",IF(F435&lt;=TODAY()+60,"Expiring Soon","OK"))))</f>
        <v/>
      </c>
    </row>
    <row r="436" customFormat="false" ht="15" hidden="false" customHeight="false" outlineLevel="0" collapsed="false">
      <c r="A436" s="32"/>
      <c r="B436" s="32"/>
      <c r="C436" s="32"/>
      <c r="D436" s="32"/>
      <c r="E436" s="35"/>
      <c r="F436" s="35"/>
      <c r="G436" s="32"/>
      <c r="H436" s="33"/>
      <c r="I436" s="37" t="str">
        <f aca="true">IF(B436="","",IF(F436="","",IF(F436&lt;TODAY(),"Expired",IF(F436&lt;=TODAY()+60,"Expiring Soon","OK"))))</f>
        <v/>
      </c>
    </row>
    <row r="437" customFormat="false" ht="15" hidden="false" customHeight="false" outlineLevel="0" collapsed="false">
      <c r="A437" s="32"/>
      <c r="B437" s="32"/>
      <c r="C437" s="32"/>
      <c r="D437" s="32"/>
      <c r="E437" s="35"/>
      <c r="F437" s="35"/>
      <c r="G437" s="32"/>
      <c r="H437" s="33"/>
      <c r="I437" s="37" t="str">
        <f aca="true">IF(B437="","",IF(F437="","",IF(F437&lt;TODAY(),"Expired",IF(F437&lt;=TODAY()+60,"Expiring Soon","OK"))))</f>
        <v/>
      </c>
    </row>
    <row r="438" customFormat="false" ht="15" hidden="false" customHeight="false" outlineLevel="0" collapsed="false">
      <c r="A438" s="32"/>
      <c r="B438" s="32"/>
      <c r="C438" s="32"/>
      <c r="D438" s="32"/>
      <c r="E438" s="35"/>
      <c r="F438" s="35"/>
      <c r="G438" s="32"/>
      <c r="H438" s="33"/>
      <c r="I438" s="37" t="str">
        <f aca="true">IF(B438="","",IF(F438="","",IF(F438&lt;TODAY(),"Expired",IF(F438&lt;=TODAY()+60,"Expiring Soon","OK"))))</f>
        <v/>
      </c>
    </row>
    <row r="439" customFormat="false" ht="15" hidden="false" customHeight="false" outlineLevel="0" collapsed="false">
      <c r="A439" s="32"/>
      <c r="B439" s="32"/>
      <c r="C439" s="32"/>
      <c r="D439" s="32"/>
      <c r="E439" s="35"/>
      <c r="F439" s="35"/>
      <c r="G439" s="32"/>
      <c r="H439" s="33"/>
      <c r="I439" s="37" t="str">
        <f aca="true">IF(B439="","",IF(F439="","",IF(F439&lt;TODAY(),"Expired",IF(F439&lt;=TODAY()+60,"Expiring Soon","OK"))))</f>
        <v/>
      </c>
    </row>
    <row r="440" customFormat="false" ht="15" hidden="false" customHeight="false" outlineLevel="0" collapsed="false">
      <c r="A440" s="32"/>
      <c r="B440" s="32"/>
      <c r="C440" s="32"/>
      <c r="D440" s="32"/>
      <c r="E440" s="35"/>
      <c r="F440" s="35"/>
      <c r="G440" s="32"/>
      <c r="H440" s="33"/>
      <c r="I440" s="37" t="str">
        <f aca="true">IF(B440="","",IF(F440="","",IF(F440&lt;TODAY(),"Expired",IF(F440&lt;=TODAY()+60,"Expiring Soon","OK"))))</f>
        <v/>
      </c>
    </row>
    <row r="441" customFormat="false" ht="15" hidden="false" customHeight="false" outlineLevel="0" collapsed="false">
      <c r="A441" s="32"/>
      <c r="B441" s="32"/>
      <c r="C441" s="32"/>
      <c r="D441" s="32"/>
      <c r="E441" s="35"/>
      <c r="F441" s="35"/>
      <c r="G441" s="32"/>
      <c r="H441" s="33"/>
      <c r="I441" s="37" t="str">
        <f aca="true">IF(B441="","",IF(F441="","",IF(F441&lt;TODAY(),"Expired",IF(F441&lt;=TODAY()+60,"Expiring Soon","OK"))))</f>
        <v/>
      </c>
    </row>
    <row r="442" customFormat="false" ht="15" hidden="false" customHeight="false" outlineLevel="0" collapsed="false">
      <c r="A442" s="32"/>
      <c r="B442" s="32"/>
      <c r="C442" s="32"/>
      <c r="D442" s="32"/>
      <c r="E442" s="35"/>
      <c r="F442" s="35"/>
      <c r="G442" s="32"/>
      <c r="H442" s="33"/>
      <c r="I442" s="37" t="str">
        <f aca="true">IF(B442="","",IF(F442="","",IF(F442&lt;TODAY(),"Expired",IF(F442&lt;=TODAY()+60,"Expiring Soon","OK"))))</f>
        <v/>
      </c>
    </row>
    <row r="443" customFormat="false" ht="15" hidden="false" customHeight="false" outlineLevel="0" collapsed="false">
      <c r="A443" s="32"/>
      <c r="B443" s="32"/>
      <c r="C443" s="32"/>
      <c r="D443" s="32"/>
      <c r="E443" s="35"/>
      <c r="F443" s="35"/>
      <c r="G443" s="32"/>
      <c r="H443" s="33"/>
      <c r="I443" s="37" t="str">
        <f aca="true">IF(B443="","",IF(F443="","",IF(F443&lt;TODAY(),"Expired",IF(F443&lt;=TODAY()+60,"Expiring Soon","OK"))))</f>
        <v/>
      </c>
    </row>
    <row r="444" customFormat="false" ht="15" hidden="false" customHeight="false" outlineLevel="0" collapsed="false">
      <c r="A444" s="32"/>
      <c r="B444" s="32"/>
      <c r="C444" s="32"/>
      <c r="D444" s="32"/>
      <c r="E444" s="35"/>
      <c r="F444" s="35"/>
      <c r="G444" s="32"/>
      <c r="H444" s="33"/>
      <c r="I444" s="37" t="str">
        <f aca="true">IF(B444="","",IF(F444="","",IF(F444&lt;TODAY(),"Expired",IF(F444&lt;=TODAY()+60,"Expiring Soon","OK"))))</f>
        <v/>
      </c>
    </row>
    <row r="445" customFormat="false" ht="15" hidden="false" customHeight="false" outlineLevel="0" collapsed="false">
      <c r="A445" s="32"/>
      <c r="B445" s="32"/>
      <c r="C445" s="32"/>
      <c r="D445" s="32"/>
      <c r="E445" s="35"/>
      <c r="F445" s="35"/>
      <c r="G445" s="32"/>
      <c r="H445" s="33"/>
      <c r="I445" s="37" t="str">
        <f aca="true">IF(B445="","",IF(F445="","",IF(F445&lt;TODAY(),"Expired",IF(F445&lt;=TODAY()+60,"Expiring Soon","OK"))))</f>
        <v/>
      </c>
    </row>
    <row r="446" customFormat="false" ht="15" hidden="false" customHeight="false" outlineLevel="0" collapsed="false">
      <c r="A446" s="32"/>
      <c r="B446" s="32"/>
      <c r="C446" s="32"/>
      <c r="D446" s="32"/>
      <c r="E446" s="35"/>
      <c r="F446" s="35"/>
      <c r="G446" s="32"/>
      <c r="H446" s="33"/>
      <c r="I446" s="37" t="str">
        <f aca="true">IF(B446="","",IF(F446="","",IF(F446&lt;TODAY(),"Expired",IF(F446&lt;=TODAY()+60,"Expiring Soon","OK"))))</f>
        <v/>
      </c>
    </row>
    <row r="447" customFormat="false" ht="15" hidden="false" customHeight="false" outlineLevel="0" collapsed="false">
      <c r="A447" s="32"/>
      <c r="B447" s="32"/>
      <c r="C447" s="32"/>
      <c r="D447" s="32"/>
      <c r="E447" s="35"/>
      <c r="F447" s="35"/>
      <c r="G447" s="32"/>
      <c r="H447" s="33"/>
      <c r="I447" s="37" t="str">
        <f aca="true">IF(B447="","",IF(F447="","",IF(F447&lt;TODAY(),"Expired",IF(F447&lt;=TODAY()+60,"Expiring Soon","OK"))))</f>
        <v/>
      </c>
    </row>
    <row r="448" customFormat="false" ht="15" hidden="false" customHeight="false" outlineLevel="0" collapsed="false">
      <c r="A448" s="32"/>
      <c r="B448" s="32"/>
      <c r="C448" s="32"/>
      <c r="D448" s="32"/>
      <c r="E448" s="35"/>
      <c r="F448" s="35"/>
      <c r="G448" s="32"/>
      <c r="H448" s="33"/>
      <c r="I448" s="37" t="str">
        <f aca="true">IF(B448="","",IF(F448="","",IF(F448&lt;TODAY(),"Expired",IF(F448&lt;=TODAY()+60,"Expiring Soon","OK"))))</f>
        <v/>
      </c>
    </row>
    <row r="449" customFormat="false" ht="15" hidden="false" customHeight="false" outlineLevel="0" collapsed="false">
      <c r="A449" s="32"/>
      <c r="B449" s="32"/>
      <c r="C449" s="32"/>
      <c r="D449" s="32"/>
      <c r="E449" s="35"/>
      <c r="F449" s="35"/>
      <c r="G449" s="32"/>
      <c r="H449" s="33"/>
      <c r="I449" s="37" t="str">
        <f aca="true">IF(B449="","",IF(F449="","",IF(F449&lt;TODAY(),"Expired",IF(F449&lt;=TODAY()+60,"Expiring Soon","OK"))))</f>
        <v/>
      </c>
    </row>
    <row r="450" customFormat="false" ht="15" hidden="false" customHeight="false" outlineLevel="0" collapsed="false">
      <c r="A450" s="32"/>
      <c r="B450" s="32"/>
      <c r="C450" s="32"/>
      <c r="D450" s="32"/>
      <c r="E450" s="35"/>
      <c r="F450" s="35"/>
      <c r="G450" s="32"/>
      <c r="H450" s="33"/>
      <c r="I450" s="37" t="str">
        <f aca="true">IF(B450="","",IF(F450="","",IF(F450&lt;TODAY(),"Expired",IF(F450&lt;=TODAY()+60,"Expiring Soon","OK"))))</f>
        <v/>
      </c>
    </row>
    <row r="451" customFormat="false" ht="15" hidden="false" customHeight="false" outlineLevel="0" collapsed="false">
      <c r="A451" s="32"/>
      <c r="B451" s="32"/>
      <c r="C451" s="32"/>
      <c r="D451" s="32"/>
      <c r="E451" s="35"/>
      <c r="F451" s="35"/>
      <c r="G451" s="32"/>
      <c r="H451" s="33"/>
      <c r="I451" s="37" t="str">
        <f aca="true">IF(B451="","",IF(F451="","",IF(F451&lt;TODAY(),"Expired",IF(F451&lt;=TODAY()+60,"Expiring Soon","OK"))))</f>
        <v/>
      </c>
    </row>
    <row r="452" customFormat="false" ht="15" hidden="false" customHeight="false" outlineLevel="0" collapsed="false">
      <c r="A452" s="32"/>
      <c r="B452" s="32"/>
      <c r="C452" s="32"/>
      <c r="D452" s="32"/>
      <c r="E452" s="35"/>
      <c r="F452" s="35"/>
      <c r="G452" s="32"/>
      <c r="H452" s="33"/>
      <c r="I452" s="37" t="str">
        <f aca="true">IF(B452="","",IF(F452="","",IF(F452&lt;TODAY(),"Expired",IF(F452&lt;=TODAY()+60,"Expiring Soon","OK"))))</f>
        <v/>
      </c>
    </row>
    <row r="453" customFormat="false" ht="15" hidden="false" customHeight="false" outlineLevel="0" collapsed="false">
      <c r="A453" s="32"/>
      <c r="B453" s="32"/>
      <c r="C453" s="32"/>
      <c r="D453" s="32"/>
      <c r="E453" s="35"/>
      <c r="F453" s="35"/>
      <c r="G453" s="32"/>
      <c r="H453" s="33"/>
      <c r="I453" s="37" t="str">
        <f aca="true">IF(B453="","",IF(F453="","",IF(F453&lt;TODAY(),"Expired",IF(F453&lt;=TODAY()+60,"Expiring Soon","OK"))))</f>
        <v/>
      </c>
    </row>
    <row r="454" customFormat="false" ht="15" hidden="false" customHeight="false" outlineLevel="0" collapsed="false">
      <c r="A454" s="32"/>
      <c r="B454" s="32"/>
      <c r="C454" s="32"/>
      <c r="D454" s="32"/>
      <c r="E454" s="35"/>
      <c r="F454" s="35"/>
      <c r="G454" s="32"/>
      <c r="H454" s="33"/>
      <c r="I454" s="37" t="str">
        <f aca="true">IF(B454="","",IF(F454="","",IF(F454&lt;TODAY(),"Expired",IF(F454&lt;=TODAY()+60,"Expiring Soon","OK"))))</f>
        <v/>
      </c>
    </row>
    <row r="455" customFormat="false" ht="15" hidden="false" customHeight="false" outlineLevel="0" collapsed="false">
      <c r="A455" s="32"/>
      <c r="B455" s="32"/>
      <c r="C455" s="32"/>
      <c r="D455" s="32"/>
      <c r="E455" s="35"/>
      <c r="F455" s="35"/>
      <c r="G455" s="32"/>
      <c r="H455" s="33"/>
      <c r="I455" s="37" t="str">
        <f aca="true">IF(B455="","",IF(F455="","",IF(F455&lt;TODAY(),"Expired",IF(F455&lt;=TODAY()+60,"Expiring Soon","OK"))))</f>
        <v/>
      </c>
    </row>
    <row r="456" customFormat="false" ht="15" hidden="false" customHeight="false" outlineLevel="0" collapsed="false">
      <c r="A456" s="32"/>
      <c r="B456" s="32"/>
      <c r="C456" s="32"/>
      <c r="D456" s="32"/>
      <c r="E456" s="35"/>
      <c r="F456" s="35"/>
      <c r="G456" s="32"/>
      <c r="H456" s="33"/>
      <c r="I456" s="37" t="str">
        <f aca="true">IF(B456="","",IF(F456="","",IF(F456&lt;TODAY(),"Expired",IF(F456&lt;=TODAY()+60,"Expiring Soon","OK"))))</f>
        <v/>
      </c>
    </row>
    <row r="457" customFormat="false" ht="15" hidden="false" customHeight="false" outlineLevel="0" collapsed="false">
      <c r="A457" s="32"/>
      <c r="B457" s="32"/>
      <c r="C457" s="32"/>
      <c r="D457" s="32"/>
      <c r="E457" s="35"/>
      <c r="F457" s="35"/>
      <c r="G457" s="32"/>
      <c r="H457" s="33"/>
      <c r="I457" s="37" t="str">
        <f aca="true">IF(B457="","",IF(F457="","",IF(F457&lt;TODAY(),"Expired",IF(F457&lt;=TODAY()+60,"Expiring Soon","OK"))))</f>
        <v/>
      </c>
    </row>
    <row r="458" customFormat="false" ht="15" hidden="false" customHeight="false" outlineLevel="0" collapsed="false">
      <c r="A458" s="32"/>
      <c r="B458" s="32"/>
      <c r="C458" s="32"/>
      <c r="D458" s="32"/>
      <c r="E458" s="35"/>
      <c r="F458" s="35"/>
      <c r="G458" s="32"/>
      <c r="H458" s="33"/>
      <c r="I458" s="37" t="str">
        <f aca="true">IF(B458="","",IF(F458="","",IF(F458&lt;TODAY(),"Expired",IF(F458&lt;=TODAY()+60,"Expiring Soon","OK"))))</f>
        <v/>
      </c>
    </row>
    <row r="459" customFormat="false" ht="15" hidden="false" customHeight="false" outlineLevel="0" collapsed="false">
      <c r="A459" s="32"/>
      <c r="B459" s="32"/>
      <c r="C459" s="32"/>
      <c r="D459" s="32"/>
      <c r="E459" s="35"/>
      <c r="F459" s="35"/>
      <c r="G459" s="32"/>
      <c r="H459" s="33"/>
      <c r="I459" s="37" t="str">
        <f aca="true">IF(B459="","",IF(F459="","",IF(F459&lt;TODAY(),"Expired",IF(F459&lt;=TODAY()+60,"Expiring Soon","OK"))))</f>
        <v/>
      </c>
    </row>
    <row r="460" customFormat="false" ht="15" hidden="false" customHeight="false" outlineLevel="0" collapsed="false">
      <c r="A460" s="32"/>
      <c r="B460" s="32"/>
      <c r="C460" s="32"/>
      <c r="D460" s="32"/>
      <c r="E460" s="35"/>
      <c r="F460" s="35"/>
      <c r="G460" s="32"/>
      <c r="H460" s="33"/>
      <c r="I460" s="37" t="str">
        <f aca="true">IF(B460="","",IF(F460="","",IF(F460&lt;TODAY(),"Expired",IF(F460&lt;=TODAY()+60,"Expiring Soon","OK"))))</f>
        <v/>
      </c>
    </row>
    <row r="461" customFormat="false" ht="15" hidden="false" customHeight="false" outlineLevel="0" collapsed="false">
      <c r="A461" s="32"/>
      <c r="B461" s="32"/>
      <c r="C461" s="32"/>
      <c r="D461" s="32"/>
      <c r="E461" s="35"/>
      <c r="F461" s="35"/>
      <c r="G461" s="32"/>
      <c r="H461" s="33"/>
      <c r="I461" s="37" t="str">
        <f aca="true">IF(B461="","",IF(F461="","",IF(F461&lt;TODAY(),"Expired",IF(F461&lt;=TODAY()+60,"Expiring Soon","OK"))))</f>
        <v/>
      </c>
    </row>
    <row r="462" customFormat="false" ht="15" hidden="false" customHeight="false" outlineLevel="0" collapsed="false">
      <c r="A462" s="32"/>
      <c r="B462" s="32"/>
      <c r="C462" s="32"/>
      <c r="D462" s="32"/>
      <c r="E462" s="35"/>
      <c r="F462" s="35"/>
      <c r="G462" s="32"/>
      <c r="H462" s="33"/>
      <c r="I462" s="37" t="str">
        <f aca="true">IF(B462="","",IF(F462="","",IF(F462&lt;TODAY(),"Expired",IF(F462&lt;=TODAY()+60,"Expiring Soon","OK"))))</f>
        <v/>
      </c>
    </row>
    <row r="463" customFormat="false" ht="15" hidden="false" customHeight="false" outlineLevel="0" collapsed="false">
      <c r="A463" s="32"/>
      <c r="B463" s="32"/>
      <c r="C463" s="32"/>
      <c r="D463" s="32"/>
      <c r="E463" s="35"/>
      <c r="F463" s="35"/>
      <c r="G463" s="32"/>
      <c r="H463" s="33"/>
      <c r="I463" s="37" t="str">
        <f aca="true">IF(B463="","",IF(F463="","",IF(F463&lt;TODAY(),"Expired",IF(F463&lt;=TODAY()+60,"Expiring Soon","OK"))))</f>
        <v/>
      </c>
    </row>
    <row r="464" customFormat="false" ht="15" hidden="false" customHeight="false" outlineLevel="0" collapsed="false">
      <c r="A464" s="32"/>
      <c r="B464" s="32"/>
      <c r="C464" s="32"/>
      <c r="D464" s="32"/>
      <c r="E464" s="35"/>
      <c r="F464" s="35"/>
      <c r="G464" s="32"/>
      <c r="H464" s="33"/>
      <c r="I464" s="37" t="str">
        <f aca="true">IF(B464="","",IF(F464="","",IF(F464&lt;TODAY(),"Expired",IF(F464&lt;=TODAY()+60,"Expiring Soon","OK"))))</f>
        <v/>
      </c>
    </row>
    <row r="465" customFormat="false" ht="15" hidden="false" customHeight="false" outlineLevel="0" collapsed="false">
      <c r="A465" s="32"/>
      <c r="B465" s="32"/>
      <c r="C465" s="32"/>
      <c r="D465" s="32"/>
      <c r="E465" s="35"/>
      <c r="F465" s="35"/>
      <c r="G465" s="32"/>
      <c r="H465" s="33"/>
      <c r="I465" s="37" t="str">
        <f aca="true">IF(B465="","",IF(F465="","",IF(F465&lt;TODAY(),"Expired",IF(F465&lt;=TODAY()+60,"Expiring Soon","OK"))))</f>
        <v/>
      </c>
    </row>
    <row r="466" customFormat="false" ht="15" hidden="false" customHeight="false" outlineLevel="0" collapsed="false">
      <c r="A466" s="32"/>
      <c r="B466" s="32"/>
      <c r="C466" s="32"/>
      <c r="D466" s="32"/>
      <c r="E466" s="35"/>
      <c r="F466" s="35"/>
      <c r="G466" s="32"/>
      <c r="H466" s="33"/>
      <c r="I466" s="37" t="str">
        <f aca="true">IF(B466="","",IF(F466="","",IF(F466&lt;TODAY(),"Expired",IF(F466&lt;=TODAY()+60,"Expiring Soon","OK"))))</f>
        <v/>
      </c>
    </row>
    <row r="467" customFormat="false" ht="15" hidden="false" customHeight="false" outlineLevel="0" collapsed="false">
      <c r="A467" s="32"/>
      <c r="B467" s="32"/>
      <c r="C467" s="32"/>
      <c r="D467" s="32"/>
      <c r="E467" s="35"/>
      <c r="F467" s="35"/>
      <c r="G467" s="32"/>
      <c r="H467" s="33"/>
      <c r="I467" s="37" t="str">
        <f aca="true">IF(B467="","",IF(F467="","",IF(F467&lt;TODAY(),"Expired",IF(F467&lt;=TODAY()+60,"Expiring Soon","OK"))))</f>
        <v/>
      </c>
    </row>
    <row r="468" customFormat="false" ht="15" hidden="false" customHeight="false" outlineLevel="0" collapsed="false">
      <c r="A468" s="32"/>
      <c r="B468" s="32"/>
      <c r="C468" s="32"/>
      <c r="D468" s="32"/>
      <c r="E468" s="35"/>
      <c r="F468" s="35"/>
      <c r="G468" s="32"/>
      <c r="H468" s="33"/>
      <c r="I468" s="37" t="str">
        <f aca="true">IF(B468="","",IF(F468="","",IF(F468&lt;TODAY(),"Expired",IF(F468&lt;=TODAY()+60,"Expiring Soon","OK"))))</f>
        <v/>
      </c>
    </row>
    <row r="469" customFormat="false" ht="15" hidden="false" customHeight="false" outlineLevel="0" collapsed="false">
      <c r="A469" s="32"/>
      <c r="B469" s="32"/>
      <c r="C469" s="32"/>
      <c r="D469" s="32"/>
      <c r="E469" s="35"/>
      <c r="F469" s="35"/>
      <c r="G469" s="32"/>
      <c r="H469" s="33"/>
      <c r="I469" s="37" t="str">
        <f aca="true">IF(B469="","",IF(F469="","",IF(F469&lt;TODAY(),"Expired",IF(F469&lt;=TODAY()+60,"Expiring Soon","OK"))))</f>
        <v/>
      </c>
    </row>
    <row r="470" customFormat="false" ht="15" hidden="false" customHeight="false" outlineLevel="0" collapsed="false">
      <c r="A470" s="32"/>
      <c r="B470" s="32"/>
      <c r="C470" s="32"/>
      <c r="D470" s="32"/>
      <c r="E470" s="35"/>
      <c r="F470" s="35"/>
      <c r="G470" s="32"/>
      <c r="H470" s="33"/>
      <c r="I470" s="37" t="str">
        <f aca="true">IF(B470="","",IF(F470="","",IF(F470&lt;TODAY(),"Expired",IF(F470&lt;=TODAY()+60,"Expiring Soon","OK"))))</f>
        <v/>
      </c>
    </row>
    <row r="471" customFormat="false" ht="15" hidden="false" customHeight="false" outlineLevel="0" collapsed="false">
      <c r="A471" s="32"/>
      <c r="B471" s="32"/>
      <c r="C471" s="32"/>
      <c r="D471" s="32"/>
      <c r="E471" s="35"/>
      <c r="F471" s="35"/>
      <c r="G471" s="32"/>
      <c r="H471" s="33"/>
      <c r="I471" s="37" t="str">
        <f aca="true">IF(B471="","",IF(F471="","",IF(F471&lt;TODAY(),"Expired",IF(F471&lt;=TODAY()+60,"Expiring Soon","OK"))))</f>
        <v/>
      </c>
    </row>
    <row r="472" customFormat="false" ht="15" hidden="false" customHeight="false" outlineLevel="0" collapsed="false">
      <c r="A472" s="32"/>
      <c r="B472" s="32"/>
      <c r="C472" s="32"/>
      <c r="D472" s="32"/>
      <c r="E472" s="35"/>
      <c r="F472" s="35"/>
      <c r="G472" s="32"/>
      <c r="H472" s="33"/>
      <c r="I472" s="37" t="str">
        <f aca="true">IF(B472="","",IF(F472="","",IF(F472&lt;TODAY(),"Expired",IF(F472&lt;=TODAY()+60,"Expiring Soon","OK"))))</f>
        <v/>
      </c>
    </row>
    <row r="473" customFormat="false" ht="15" hidden="false" customHeight="false" outlineLevel="0" collapsed="false">
      <c r="A473" s="32"/>
      <c r="B473" s="32"/>
      <c r="C473" s="32"/>
      <c r="D473" s="32"/>
      <c r="E473" s="35"/>
      <c r="F473" s="35"/>
      <c r="G473" s="32"/>
      <c r="H473" s="33"/>
      <c r="I473" s="37" t="str">
        <f aca="true">IF(B473="","",IF(F473="","",IF(F473&lt;TODAY(),"Expired",IF(F473&lt;=TODAY()+60,"Expiring Soon","OK"))))</f>
        <v/>
      </c>
    </row>
    <row r="474" customFormat="false" ht="15" hidden="false" customHeight="false" outlineLevel="0" collapsed="false">
      <c r="A474" s="32"/>
      <c r="B474" s="32"/>
      <c r="C474" s="32"/>
      <c r="D474" s="32"/>
      <c r="E474" s="35"/>
      <c r="F474" s="35"/>
      <c r="G474" s="32"/>
      <c r="H474" s="33"/>
      <c r="I474" s="37" t="str">
        <f aca="true">IF(B474="","",IF(F474="","",IF(F474&lt;TODAY(),"Expired",IF(F474&lt;=TODAY()+60,"Expiring Soon","OK"))))</f>
        <v/>
      </c>
    </row>
    <row r="475" customFormat="false" ht="15" hidden="false" customHeight="false" outlineLevel="0" collapsed="false">
      <c r="A475" s="32"/>
      <c r="B475" s="32"/>
      <c r="C475" s="32"/>
      <c r="D475" s="32"/>
      <c r="E475" s="35"/>
      <c r="F475" s="35"/>
      <c r="G475" s="32"/>
      <c r="H475" s="33"/>
      <c r="I475" s="37" t="str">
        <f aca="true">IF(B475="","",IF(F475="","",IF(F475&lt;TODAY(),"Expired",IF(F475&lt;=TODAY()+60,"Expiring Soon","OK"))))</f>
        <v/>
      </c>
    </row>
    <row r="476" customFormat="false" ht="15" hidden="false" customHeight="false" outlineLevel="0" collapsed="false">
      <c r="A476" s="32"/>
      <c r="B476" s="32"/>
      <c r="C476" s="32"/>
      <c r="D476" s="32"/>
      <c r="E476" s="35"/>
      <c r="F476" s="35"/>
      <c r="G476" s="32"/>
      <c r="H476" s="33"/>
      <c r="I476" s="37" t="str">
        <f aca="true">IF(B476="","",IF(F476="","",IF(F476&lt;TODAY(),"Expired",IF(F476&lt;=TODAY()+60,"Expiring Soon","OK"))))</f>
        <v/>
      </c>
    </row>
    <row r="477" customFormat="false" ht="15" hidden="false" customHeight="false" outlineLevel="0" collapsed="false">
      <c r="A477" s="32"/>
      <c r="B477" s="32"/>
      <c r="C477" s="32"/>
      <c r="D477" s="32"/>
      <c r="E477" s="35"/>
      <c r="F477" s="35"/>
      <c r="G477" s="32"/>
      <c r="H477" s="33"/>
      <c r="I477" s="37" t="str">
        <f aca="true">IF(B477="","",IF(F477="","",IF(F477&lt;TODAY(),"Expired",IF(F477&lt;=TODAY()+60,"Expiring Soon","OK"))))</f>
        <v/>
      </c>
    </row>
    <row r="478" customFormat="false" ht="15" hidden="false" customHeight="false" outlineLevel="0" collapsed="false">
      <c r="A478" s="32"/>
      <c r="B478" s="32"/>
      <c r="C478" s="32"/>
      <c r="D478" s="32"/>
      <c r="E478" s="35"/>
      <c r="F478" s="35"/>
      <c r="G478" s="32"/>
      <c r="H478" s="33"/>
      <c r="I478" s="37" t="str">
        <f aca="true">IF(B478="","",IF(F478="","",IF(F478&lt;TODAY(),"Expired",IF(F478&lt;=TODAY()+60,"Expiring Soon","OK"))))</f>
        <v/>
      </c>
    </row>
    <row r="479" customFormat="false" ht="15" hidden="false" customHeight="false" outlineLevel="0" collapsed="false">
      <c r="A479" s="32"/>
      <c r="B479" s="32"/>
      <c r="C479" s="32"/>
      <c r="D479" s="32"/>
      <c r="E479" s="35"/>
      <c r="F479" s="35"/>
      <c r="G479" s="32"/>
      <c r="H479" s="33"/>
      <c r="I479" s="37" t="str">
        <f aca="true">IF(B479="","",IF(F479="","",IF(F479&lt;TODAY(),"Expired",IF(F479&lt;=TODAY()+60,"Expiring Soon","OK"))))</f>
        <v/>
      </c>
    </row>
    <row r="480" customFormat="false" ht="15" hidden="false" customHeight="false" outlineLevel="0" collapsed="false">
      <c r="A480" s="32"/>
      <c r="B480" s="32"/>
      <c r="C480" s="32"/>
      <c r="D480" s="32"/>
      <c r="E480" s="35"/>
      <c r="F480" s="35"/>
      <c r="G480" s="32"/>
      <c r="H480" s="33"/>
      <c r="I480" s="37" t="str">
        <f aca="true">IF(B480="","",IF(F480="","",IF(F480&lt;TODAY(),"Expired",IF(F480&lt;=TODAY()+60,"Expiring Soon","OK"))))</f>
        <v/>
      </c>
    </row>
    <row r="481" customFormat="false" ht="15" hidden="false" customHeight="false" outlineLevel="0" collapsed="false">
      <c r="A481" s="32"/>
      <c r="B481" s="32"/>
      <c r="C481" s="32"/>
      <c r="D481" s="32"/>
      <c r="E481" s="35"/>
      <c r="F481" s="35"/>
      <c r="G481" s="32"/>
      <c r="H481" s="33"/>
      <c r="I481" s="37" t="str">
        <f aca="true">IF(B481="","",IF(F481="","",IF(F481&lt;TODAY(),"Expired",IF(F481&lt;=TODAY()+60,"Expiring Soon","OK"))))</f>
        <v/>
      </c>
    </row>
    <row r="482" customFormat="false" ht="15" hidden="false" customHeight="false" outlineLevel="0" collapsed="false">
      <c r="A482" s="32"/>
      <c r="B482" s="32"/>
      <c r="C482" s="32"/>
      <c r="D482" s="32"/>
      <c r="E482" s="35"/>
      <c r="F482" s="35"/>
      <c r="G482" s="32"/>
      <c r="H482" s="33"/>
      <c r="I482" s="37" t="str">
        <f aca="true">IF(B482="","",IF(F482="","",IF(F482&lt;TODAY(),"Expired",IF(F482&lt;=TODAY()+60,"Expiring Soon","OK"))))</f>
        <v/>
      </c>
    </row>
    <row r="483" customFormat="false" ht="15" hidden="false" customHeight="false" outlineLevel="0" collapsed="false">
      <c r="A483" s="32"/>
      <c r="B483" s="32"/>
      <c r="C483" s="32"/>
      <c r="D483" s="32"/>
      <c r="E483" s="35"/>
      <c r="F483" s="35"/>
      <c r="G483" s="32"/>
      <c r="H483" s="33"/>
      <c r="I483" s="37" t="str">
        <f aca="true">IF(B483="","",IF(F483="","",IF(F483&lt;TODAY(),"Expired",IF(F483&lt;=TODAY()+60,"Expiring Soon","OK"))))</f>
        <v/>
      </c>
    </row>
    <row r="484" customFormat="false" ht="15" hidden="false" customHeight="false" outlineLevel="0" collapsed="false">
      <c r="A484" s="32"/>
      <c r="B484" s="32"/>
      <c r="C484" s="32"/>
      <c r="D484" s="32"/>
      <c r="E484" s="35"/>
      <c r="F484" s="35"/>
      <c r="G484" s="32"/>
      <c r="H484" s="33"/>
      <c r="I484" s="37" t="str">
        <f aca="true">IF(B484="","",IF(F484="","",IF(F484&lt;TODAY(),"Expired",IF(F484&lt;=TODAY()+60,"Expiring Soon","OK"))))</f>
        <v/>
      </c>
    </row>
    <row r="485" customFormat="false" ht="15" hidden="false" customHeight="false" outlineLevel="0" collapsed="false">
      <c r="A485" s="32"/>
      <c r="B485" s="32"/>
      <c r="C485" s="32"/>
      <c r="D485" s="32"/>
      <c r="E485" s="35"/>
      <c r="F485" s="35"/>
      <c r="G485" s="32"/>
      <c r="H485" s="33"/>
      <c r="I485" s="37" t="str">
        <f aca="true">IF(B485="","",IF(F485="","",IF(F485&lt;TODAY(),"Expired",IF(F485&lt;=TODAY()+60,"Expiring Soon","OK"))))</f>
        <v/>
      </c>
    </row>
    <row r="486" customFormat="false" ht="15" hidden="false" customHeight="false" outlineLevel="0" collapsed="false">
      <c r="A486" s="32"/>
      <c r="B486" s="32"/>
      <c r="C486" s="32"/>
      <c r="D486" s="32"/>
      <c r="E486" s="35"/>
      <c r="F486" s="35"/>
      <c r="G486" s="32"/>
      <c r="H486" s="33"/>
      <c r="I486" s="37" t="str">
        <f aca="true">IF(B486="","",IF(F486="","",IF(F486&lt;TODAY(),"Expired",IF(F486&lt;=TODAY()+60,"Expiring Soon","OK"))))</f>
        <v/>
      </c>
    </row>
    <row r="487" customFormat="false" ht="15" hidden="false" customHeight="false" outlineLevel="0" collapsed="false">
      <c r="A487" s="32"/>
      <c r="B487" s="32"/>
      <c r="C487" s="32"/>
      <c r="D487" s="32"/>
      <c r="E487" s="35"/>
      <c r="F487" s="35"/>
      <c r="G487" s="32"/>
      <c r="H487" s="33"/>
      <c r="I487" s="37" t="str">
        <f aca="true">IF(B487="","",IF(F487="","",IF(F487&lt;TODAY(),"Expired",IF(F487&lt;=TODAY()+60,"Expiring Soon","OK"))))</f>
        <v/>
      </c>
    </row>
    <row r="488" customFormat="false" ht="15" hidden="false" customHeight="false" outlineLevel="0" collapsed="false">
      <c r="A488" s="32"/>
      <c r="B488" s="32"/>
      <c r="C488" s="32"/>
      <c r="D488" s="32"/>
      <c r="E488" s="35"/>
      <c r="F488" s="35"/>
      <c r="G488" s="32"/>
      <c r="H488" s="33"/>
      <c r="I488" s="37" t="str">
        <f aca="true">IF(B488="","",IF(F488="","",IF(F488&lt;TODAY(),"Expired",IF(F488&lt;=TODAY()+60,"Expiring Soon","OK"))))</f>
        <v/>
      </c>
    </row>
    <row r="489" customFormat="false" ht="15" hidden="false" customHeight="false" outlineLevel="0" collapsed="false">
      <c r="A489" s="32"/>
      <c r="B489" s="32"/>
      <c r="C489" s="32"/>
      <c r="D489" s="32"/>
      <c r="E489" s="35"/>
      <c r="F489" s="35"/>
      <c r="G489" s="32"/>
      <c r="H489" s="33"/>
      <c r="I489" s="37" t="str">
        <f aca="true">IF(B489="","",IF(F489="","",IF(F489&lt;TODAY(),"Expired",IF(F489&lt;=TODAY()+60,"Expiring Soon","OK"))))</f>
        <v/>
      </c>
    </row>
    <row r="490" customFormat="false" ht="15" hidden="false" customHeight="false" outlineLevel="0" collapsed="false">
      <c r="A490" s="32"/>
      <c r="B490" s="32"/>
      <c r="C490" s="32"/>
      <c r="D490" s="32"/>
      <c r="E490" s="35"/>
      <c r="F490" s="35"/>
      <c r="G490" s="32"/>
      <c r="H490" s="33"/>
      <c r="I490" s="37" t="str">
        <f aca="true">IF(B490="","",IF(F490="","",IF(F490&lt;TODAY(),"Expired",IF(F490&lt;=TODAY()+60,"Expiring Soon","OK"))))</f>
        <v/>
      </c>
    </row>
    <row r="491" customFormat="false" ht="15" hidden="false" customHeight="false" outlineLevel="0" collapsed="false">
      <c r="A491" s="32"/>
      <c r="B491" s="32"/>
      <c r="C491" s="32"/>
      <c r="D491" s="32"/>
      <c r="E491" s="35"/>
      <c r="F491" s="35"/>
      <c r="G491" s="32"/>
      <c r="H491" s="33"/>
      <c r="I491" s="37" t="str">
        <f aca="true">IF(B491="","",IF(F491="","",IF(F491&lt;TODAY(),"Expired",IF(F491&lt;=TODAY()+60,"Expiring Soon","OK"))))</f>
        <v/>
      </c>
    </row>
    <row r="492" customFormat="false" ht="15" hidden="false" customHeight="false" outlineLevel="0" collapsed="false">
      <c r="A492" s="32"/>
      <c r="B492" s="32"/>
      <c r="C492" s="32"/>
      <c r="D492" s="32"/>
      <c r="E492" s="35"/>
      <c r="F492" s="35"/>
      <c r="G492" s="32"/>
      <c r="H492" s="33"/>
      <c r="I492" s="37" t="str">
        <f aca="true">IF(B492="","",IF(F492="","",IF(F492&lt;TODAY(),"Expired",IF(F492&lt;=TODAY()+60,"Expiring Soon","OK"))))</f>
        <v/>
      </c>
    </row>
    <row r="493" customFormat="false" ht="15" hidden="false" customHeight="false" outlineLevel="0" collapsed="false">
      <c r="A493" s="32"/>
      <c r="B493" s="32"/>
      <c r="C493" s="32"/>
      <c r="D493" s="32"/>
      <c r="E493" s="35"/>
      <c r="F493" s="35"/>
      <c r="G493" s="32"/>
      <c r="H493" s="33"/>
      <c r="I493" s="37" t="str">
        <f aca="true">IF(B493="","",IF(F493="","",IF(F493&lt;TODAY(),"Expired",IF(F493&lt;=TODAY()+60,"Expiring Soon","OK"))))</f>
        <v/>
      </c>
    </row>
    <row r="494" customFormat="false" ht="15" hidden="false" customHeight="false" outlineLevel="0" collapsed="false">
      <c r="A494" s="32"/>
      <c r="B494" s="32"/>
      <c r="C494" s="32"/>
      <c r="D494" s="32"/>
      <c r="E494" s="35"/>
      <c r="F494" s="35"/>
      <c r="G494" s="32"/>
      <c r="H494" s="33"/>
      <c r="I494" s="37" t="str">
        <f aca="true">IF(B494="","",IF(F494="","",IF(F494&lt;TODAY(),"Expired",IF(F494&lt;=TODAY()+60,"Expiring Soon","OK"))))</f>
        <v/>
      </c>
    </row>
    <row r="495" customFormat="false" ht="15" hidden="false" customHeight="false" outlineLevel="0" collapsed="false">
      <c r="A495" s="32"/>
      <c r="B495" s="32"/>
      <c r="C495" s="32"/>
      <c r="D495" s="32"/>
      <c r="E495" s="35"/>
      <c r="F495" s="35"/>
      <c r="G495" s="32"/>
      <c r="H495" s="33"/>
      <c r="I495" s="37" t="str">
        <f aca="true">IF(B495="","",IF(F495="","",IF(F495&lt;TODAY(),"Expired",IF(F495&lt;=TODAY()+60,"Expiring Soon","OK"))))</f>
        <v/>
      </c>
    </row>
    <row r="496" customFormat="false" ht="15" hidden="false" customHeight="false" outlineLevel="0" collapsed="false">
      <c r="A496" s="32"/>
      <c r="B496" s="32"/>
      <c r="C496" s="32"/>
      <c r="D496" s="32"/>
      <c r="E496" s="35"/>
      <c r="F496" s="35"/>
      <c r="G496" s="32"/>
      <c r="H496" s="33"/>
      <c r="I496" s="37" t="str">
        <f aca="true">IF(B496="","",IF(F496="","",IF(F496&lt;TODAY(),"Expired",IF(F496&lt;=TODAY()+60,"Expiring Soon","OK"))))</f>
        <v/>
      </c>
    </row>
    <row r="497" customFormat="false" ht="15" hidden="false" customHeight="false" outlineLevel="0" collapsed="false">
      <c r="A497" s="32"/>
      <c r="B497" s="32"/>
      <c r="C497" s="32"/>
      <c r="D497" s="32"/>
      <c r="E497" s="35"/>
      <c r="F497" s="35"/>
      <c r="G497" s="32"/>
      <c r="H497" s="33"/>
      <c r="I497" s="37" t="str">
        <f aca="true">IF(B497="","",IF(F497="","",IF(F497&lt;TODAY(),"Expired",IF(F497&lt;=TODAY()+60,"Expiring Soon","OK"))))</f>
        <v/>
      </c>
    </row>
    <row r="498" customFormat="false" ht="15" hidden="false" customHeight="false" outlineLevel="0" collapsed="false">
      <c r="A498" s="32"/>
      <c r="B498" s="32"/>
      <c r="C498" s="32"/>
      <c r="D498" s="32"/>
      <c r="E498" s="35"/>
      <c r="F498" s="35"/>
      <c r="G498" s="32"/>
      <c r="H498" s="33"/>
      <c r="I498" s="37" t="str">
        <f aca="true">IF(B498="","",IF(F498="","",IF(F498&lt;TODAY(),"Expired",IF(F498&lt;=TODAY()+60,"Expiring Soon","OK"))))</f>
        <v/>
      </c>
    </row>
    <row r="499" customFormat="false" ht="15" hidden="false" customHeight="false" outlineLevel="0" collapsed="false">
      <c r="A499" s="32"/>
      <c r="B499" s="32"/>
      <c r="C499" s="32"/>
      <c r="D499" s="32"/>
      <c r="E499" s="35"/>
      <c r="F499" s="35"/>
      <c r="G499" s="32"/>
      <c r="H499" s="33"/>
      <c r="I499" s="37" t="str">
        <f aca="true">IF(B499="","",IF(F499="","",IF(F499&lt;TODAY(),"Expired",IF(F499&lt;=TODAY()+60,"Expiring Soon","OK"))))</f>
        <v/>
      </c>
    </row>
    <row r="500" customFormat="false" ht="15" hidden="false" customHeight="false" outlineLevel="0" collapsed="false">
      <c r="A500" s="32"/>
      <c r="B500" s="32"/>
      <c r="C500" s="32"/>
      <c r="D500" s="32"/>
      <c r="E500" s="35"/>
      <c r="F500" s="35"/>
      <c r="G500" s="32"/>
      <c r="H500" s="33"/>
      <c r="I500" s="37" t="str">
        <f aca="true">IF(B500="","",IF(F500="","",IF(F500&lt;TODAY(),"Expired",IF(F500&lt;=TODAY()+60,"Expiring Soon","OK"))))</f>
        <v/>
      </c>
    </row>
    <row r="501" customFormat="false" ht="15" hidden="false" customHeight="false" outlineLevel="0" collapsed="false">
      <c r="A501" s="32"/>
      <c r="B501" s="32"/>
      <c r="C501" s="32"/>
      <c r="D501" s="32"/>
      <c r="E501" s="35"/>
      <c r="F501" s="35"/>
      <c r="G501" s="32"/>
      <c r="H501" s="33"/>
      <c r="I501" s="37" t="str">
        <f aca="true">IF(B501="","",IF(F501="","",IF(F501&lt;TODAY(),"Expired",IF(F501&lt;=TODAY()+60,"Expiring Soon","OK"))))</f>
        <v/>
      </c>
    </row>
  </sheetData>
  <autoFilter ref="A1:I501"/>
  <conditionalFormatting sqref="I2:I501">
    <cfRule type="cellIs" priority="2" operator="equal" aboveAverage="0" equalAverage="0" bottom="0" percent="0" rank="0" text="" dxfId="3">
      <formula>"Overdue"</formula>
    </cfRule>
    <cfRule type="cellIs" priority="3" operator="equal" aboveAverage="0" equalAverage="0" bottom="0" percent="0" rank="0" text="" dxfId="3">
      <formula>"Expired"</formula>
    </cfRule>
    <cfRule type="cellIs" priority="4" operator="equal" aboveAverage="0" equalAverage="0" bottom="0" percent="0" rank="0" text="" dxfId="3">
      <formula>"Exceedance"</formula>
    </cfRule>
    <cfRule type="cellIs" priority="5" operator="equal" aboveAverage="0" equalAverage="0" bottom="0" percent="0" rank="0" text="" dxfId="3">
      <formula>"Critical"</formula>
    </cfRule>
    <cfRule type="cellIs" priority="6" operator="equal" aboveAverage="0" equalAverage="0" bottom="0" percent="0" rank="0" text="" dxfId="2">
      <formula>"Due Soon"</formula>
    </cfRule>
    <cfRule type="cellIs" priority="7" operator="equal" aboveAverage="0" equalAverage="0" bottom="0" percent="0" rank="0" text="" dxfId="2">
      <formula>"Expiring Soon"</formula>
    </cfRule>
    <cfRule type="cellIs" priority="8" operator="equal" aboveAverage="0" equalAverage="0" bottom="0" percent="0" rank="0" text="" dxfId="2">
      <formula>"Due Today"</formula>
    </cfRule>
    <cfRule type="cellIs" priority="9" operator="equal" aboveAverage="0" equalAverage="0" bottom="0" percent="0" rank="0" text="" dxfId="2">
      <formula>"Due This Week"</formula>
    </cfRule>
    <cfRule type="cellIs" priority="10" operator="equal" aboveAverage="0" equalAverage="0" bottom="0" percent="0" rank="0" text="" dxfId="2">
      <formula>"High"</formula>
    </cfRule>
    <cfRule type="cellIs" priority="11" operator="equal" aboveAverage="0" equalAverage="0" bottom="0" percent="0" rank="0" text="" dxfId="5">
      <formula>"Done"</formula>
    </cfRule>
  </conditionalFormatting>
  <dataValidations count="2">
    <dataValidation allowBlank="true" error="Enter a valid date (e.g. 31-Dec-2026)." errorStyle="stop" errorTitle="Invalid date" operator="greaterThan" showDropDown="false" showErrorMessage="false" showInputMessage="false" sqref="E2:F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24"/>
  </cols>
  <sheetData>
    <row r="1" customFormat="false" ht="33.75" hidden="false" customHeight="true" outlineLevel="0" collapsed="false">
      <c r="A1" s="17" t="s">
        <v>110</v>
      </c>
      <c r="B1" s="17" t="s">
        <v>350</v>
      </c>
      <c r="C1" s="17" t="s">
        <v>351</v>
      </c>
      <c r="D1" s="17" t="s">
        <v>333</v>
      </c>
      <c r="E1" s="17" t="s">
        <v>315</v>
      </c>
      <c r="F1" s="17" t="s">
        <v>352</v>
      </c>
      <c r="G1" s="17" t="s">
        <v>235</v>
      </c>
    </row>
    <row r="2" customFormat="false" ht="15" hidden="false" customHeight="false" outlineLevel="0" collapsed="false">
      <c r="A2" s="32"/>
      <c r="B2" s="35"/>
      <c r="C2" s="32"/>
      <c r="D2" s="32"/>
      <c r="E2" s="33"/>
      <c r="F2" s="33"/>
      <c r="G2" s="33"/>
    </row>
    <row r="3" customFormat="false" ht="15" hidden="false" customHeight="false" outlineLevel="0" collapsed="false">
      <c r="A3" s="32"/>
      <c r="B3" s="35"/>
      <c r="C3" s="32"/>
      <c r="D3" s="32"/>
      <c r="E3" s="33"/>
      <c r="F3" s="33"/>
      <c r="G3" s="33"/>
    </row>
    <row r="4" customFormat="false" ht="15" hidden="false" customHeight="false" outlineLevel="0" collapsed="false">
      <c r="A4" s="32"/>
      <c r="B4" s="35"/>
      <c r="C4" s="32"/>
      <c r="D4" s="32"/>
      <c r="E4" s="33"/>
      <c r="F4" s="33"/>
      <c r="G4" s="33"/>
    </row>
    <row r="5" customFormat="false" ht="15" hidden="false" customHeight="false" outlineLevel="0" collapsed="false">
      <c r="A5" s="32"/>
      <c r="B5" s="35"/>
      <c r="C5" s="32"/>
      <c r="D5" s="32"/>
      <c r="E5" s="33"/>
      <c r="F5" s="33"/>
      <c r="G5" s="33"/>
    </row>
    <row r="6" customFormat="false" ht="15" hidden="false" customHeight="false" outlineLevel="0" collapsed="false">
      <c r="A6" s="32"/>
      <c r="B6" s="35"/>
      <c r="C6" s="32"/>
      <c r="D6" s="32"/>
      <c r="E6" s="33"/>
      <c r="F6" s="33"/>
      <c r="G6" s="33"/>
    </row>
    <row r="7" customFormat="false" ht="15" hidden="false" customHeight="false" outlineLevel="0" collapsed="false">
      <c r="A7" s="32"/>
      <c r="B7" s="35"/>
      <c r="C7" s="32"/>
      <c r="D7" s="32"/>
      <c r="E7" s="33"/>
      <c r="F7" s="33"/>
      <c r="G7" s="33"/>
    </row>
    <row r="8" customFormat="false" ht="15" hidden="false" customHeight="false" outlineLevel="0" collapsed="false">
      <c r="A8" s="32"/>
      <c r="B8" s="35"/>
      <c r="C8" s="32"/>
      <c r="D8" s="32"/>
      <c r="E8" s="33"/>
      <c r="F8" s="33"/>
      <c r="G8" s="33"/>
    </row>
    <row r="9" customFormat="false" ht="15" hidden="false" customHeight="false" outlineLevel="0" collapsed="false">
      <c r="A9" s="32"/>
      <c r="B9" s="35"/>
      <c r="C9" s="32"/>
      <c r="D9" s="32"/>
      <c r="E9" s="33"/>
      <c r="F9" s="33"/>
      <c r="G9" s="33"/>
    </row>
    <row r="10" customFormat="false" ht="15" hidden="false" customHeight="false" outlineLevel="0" collapsed="false">
      <c r="A10" s="32"/>
      <c r="B10" s="35"/>
      <c r="C10" s="32"/>
      <c r="D10" s="32"/>
      <c r="E10" s="33"/>
      <c r="F10" s="33"/>
      <c r="G10" s="33"/>
    </row>
    <row r="11" customFormat="false" ht="15" hidden="false" customHeight="false" outlineLevel="0" collapsed="false">
      <c r="A11" s="32"/>
      <c r="B11" s="35"/>
      <c r="C11" s="32"/>
      <c r="D11" s="32"/>
      <c r="E11" s="33"/>
      <c r="F11" s="33"/>
      <c r="G11" s="33"/>
    </row>
    <row r="12" customFormat="false" ht="15" hidden="false" customHeight="false" outlineLevel="0" collapsed="false">
      <c r="A12" s="32"/>
      <c r="B12" s="35"/>
      <c r="C12" s="32"/>
      <c r="D12" s="32"/>
      <c r="E12" s="33"/>
      <c r="F12" s="33"/>
      <c r="G12" s="33"/>
    </row>
    <row r="13" customFormat="false" ht="15" hidden="false" customHeight="false" outlineLevel="0" collapsed="false">
      <c r="A13" s="32"/>
      <c r="B13" s="35"/>
      <c r="C13" s="32"/>
      <c r="D13" s="32"/>
      <c r="E13" s="33"/>
      <c r="F13" s="33"/>
      <c r="G13" s="33"/>
    </row>
    <row r="14" customFormat="false" ht="15" hidden="false" customHeight="false" outlineLevel="0" collapsed="false">
      <c r="A14" s="32"/>
      <c r="B14" s="35"/>
      <c r="C14" s="32"/>
      <c r="D14" s="32"/>
      <c r="E14" s="33"/>
      <c r="F14" s="33"/>
      <c r="G14" s="33"/>
    </row>
    <row r="15" customFormat="false" ht="15" hidden="false" customHeight="false" outlineLevel="0" collapsed="false">
      <c r="A15" s="32"/>
      <c r="B15" s="35"/>
      <c r="C15" s="32"/>
      <c r="D15" s="32"/>
      <c r="E15" s="33"/>
      <c r="F15" s="33"/>
      <c r="G15" s="33"/>
    </row>
    <row r="16" customFormat="false" ht="15" hidden="false" customHeight="false" outlineLevel="0" collapsed="false">
      <c r="A16" s="32"/>
      <c r="B16" s="35"/>
      <c r="C16" s="32"/>
      <c r="D16" s="32"/>
      <c r="E16" s="33"/>
      <c r="F16" s="33"/>
      <c r="G16" s="33"/>
    </row>
    <row r="17" customFormat="false" ht="15" hidden="false" customHeight="false" outlineLevel="0" collapsed="false">
      <c r="A17" s="32"/>
      <c r="B17" s="35"/>
      <c r="C17" s="32"/>
      <c r="D17" s="32"/>
      <c r="E17" s="33"/>
      <c r="F17" s="33"/>
      <c r="G17" s="33"/>
    </row>
    <row r="18" customFormat="false" ht="15" hidden="false" customHeight="false" outlineLevel="0" collapsed="false">
      <c r="A18" s="32"/>
      <c r="B18" s="35"/>
      <c r="C18" s="32"/>
      <c r="D18" s="32"/>
      <c r="E18" s="33"/>
      <c r="F18" s="33"/>
      <c r="G18" s="33"/>
    </row>
    <row r="19" customFormat="false" ht="15" hidden="false" customHeight="false" outlineLevel="0" collapsed="false">
      <c r="A19" s="32"/>
      <c r="B19" s="35"/>
      <c r="C19" s="32"/>
      <c r="D19" s="32"/>
      <c r="E19" s="33"/>
      <c r="F19" s="33"/>
      <c r="G19" s="33"/>
    </row>
    <row r="20" customFormat="false" ht="15" hidden="false" customHeight="false" outlineLevel="0" collapsed="false">
      <c r="A20" s="32"/>
      <c r="B20" s="35"/>
      <c r="C20" s="32"/>
      <c r="D20" s="32"/>
      <c r="E20" s="33"/>
      <c r="F20" s="33"/>
      <c r="G20" s="33"/>
    </row>
    <row r="21" customFormat="false" ht="15" hidden="false" customHeight="false" outlineLevel="0" collapsed="false">
      <c r="A21" s="32"/>
      <c r="B21" s="35"/>
      <c r="C21" s="32"/>
      <c r="D21" s="32"/>
      <c r="E21" s="33"/>
      <c r="F21" s="33"/>
      <c r="G21" s="33"/>
    </row>
    <row r="22" customFormat="false" ht="15" hidden="false" customHeight="false" outlineLevel="0" collapsed="false">
      <c r="A22" s="32"/>
      <c r="B22" s="35"/>
      <c r="C22" s="32"/>
      <c r="D22" s="32"/>
      <c r="E22" s="33"/>
      <c r="F22" s="33"/>
      <c r="G22" s="33"/>
    </row>
    <row r="23" customFormat="false" ht="15" hidden="false" customHeight="false" outlineLevel="0" collapsed="false">
      <c r="A23" s="32"/>
      <c r="B23" s="35"/>
      <c r="C23" s="32"/>
      <c r="D23" s="32"/>
      <c r="E23" s="33"/>
      <c r="F23" s="33"/>
      <c r="G23" s="33"/>
    </row>
    <row r="24" customFormat="false" ht="15" hidden="false" customHeight="false" outlineLevel="0" collapsed="false">
      <c r="A24" s="32"/>
      <c r="B24" s="35"/>
      <c r="C24" s="32"/>
      <c r="D24" s="32"/>
      <c r="E24" s="33"/>
      <c r="F24" s="33"/>
      <c r="G24" s="33"/>
    </row>
    <row r="25" customFormat="false" ht="15" hidden="false" customHeight="false" outlineLevel="0" collapsed="false">
      <c r="A25" s="32"/>
      <c r="B25" s="35"/>
      <c r="C25" s="32"/>
      <c r="D25" s="32"/>
      <c r="E25" s="33"/>
      <c r="F25" s="33"/>
      <c r="G25" s="33"/>
    </row>
    <row r="26" customFormat="false" ht="15" hidden="false" customHeight="false" outlineLevel="0" collapsed="false">
      <c r="A26" s="32"/>
      <c r="B26" s="35"/>
      <c r="C26" s="32"/>
      <c r="D26" s="32"/>
      <c r="E26" s="33"/>
      <c r="F26" s="33"/>
      <c r="G26" s="33"/>
    </row>
    <row r="27" customFormat="false" ht="15" hidden="false" customHeight="false" outlineLevel="0" collapsed="false">
      <c r="A27" s="32"/>
      <c r="B27" s="35"/>
      <c r="C27" s="32"/>
      <c r="D27" s="32"/>
      <c r="E27" s="33"/>
      <c r="F27" s="33"/>
      <c r="G27" s="33"/>
    </row>
    <row r="28" customFormat="false" ht="15" hidden="false" customHeight="false" outlineLevel="0" collapsed="false">
      <c r="A28" s="32"/>
      <c r="B28" s="35"/>
      <c r="C28" s="32"/>
      <c r="D28" s="32"/>
      <c r="E28" s="33"/>
      <c r="F28" s="33"/>
      <c r="G28" s="33"/>
    </row>
    <row r="29" customFormat="false" ht="15" hidden="false" customHeight="false" outlineLevel="0" collapsed="false">
      <c r="A29" s="32"/>
      <c r="B29" s="35"/>
      <c r="C29" s="32"/>
      <c r="D29" s="32"/>
      <c r="E29" s="33"/>
      <c r="F29" s="33"/>
      <c r="G29" s="33"/>
    </row>
    <row r="30" customFormat="false" ht="15" hidden="false" customHeight="false" outlineLevel="0" collapsed="false">
      <c r="A30" s="32"/>
      <c r="B30" s="35"/>
      <c r="C30" s="32"/>
      <c r="D30" s="32"/>
      <c r="E30" s="33"/>
      <c r="F30" s="33"/>
      <c r="G30" s="33"/>
    </row>
    <row r="31" customFormat="false" ht="15" hidden="false" customHeight="false" outlineLevel="0" collapsed="false">
      <c r="A31" s="32"/>
      <c r="B31" s="35"/>
      <c r="C31" s="32"/>
      <c r="D31" s="32"/>
      <c r="E31" s="33"/>
      <c r="F31" s="33"/>
      <c r="G31" s="33"/>
    </row>
    <row r="32" customFormat="false" ht="15" hidden="false" customHeight="false" outlineLevel="0" collapsed="false">
      <c r="A32" s="32"/>
      <c r="B32" s="35"/>
      <c r="C32" s="32"/>
      <c r="D32" s="32"/>
      <c r="E32" s="33"/>
      <c r="F32" s="33"/>
      <c r="G32" s="33"/>
    </row>
    <row r="33" customFormat="false" ht="15" hidden="false" customHeight="false" outlineLevel="0" collapsed="false">
      <c r="A33" s="32"/>
      <c r="B33" s="35"/>
      <c r="C33" s="32"/>
      <c r="D33" s="32"/>
      <c r="E33" s="33"/>
      <c r="F33" s="33"/>
      <c r="G33" s="33"/>
    </row>
    <row r="34" customFormat="false" ht="15" hidden="false" customHeight="false" outlineLevel="0" collapsed="false">
      <c r="A34" s="32"/>
      <c r="B34" s="35"/>
      <c r="C34" s="32"/>
      <c r="D34" s="32"/>
      <c r="E34" s="33"/>
      <c r="F34" s="33"/>
      <c r="G34" s="33"/>
    </row>
    <row r="35" customFormat="false" ht="15" hidden="false" customHeight="false" outlineLevel="0" collapsed="false">
      <c r="A35" s="32"/>
      <c r="B35" s="35"/>
      <c r="C35" s="32"/>
      <c r="D35" s="32"/>
      <c r="E35" s="33"/>
      <c r="F35" s="33"/>
      <c r="G35" s="33"/>
    </row>
    <row r="36" customFormat="false" ht="15" hidden="false" customHeight="false" outlineLevel="0" collapsed="false">
      <c r="A36" s="32"/>
      <c r="B36" s="35"/>
      <c r="C36" s="32"/>
      <c r="D36" s="32"/>
      <c r="E36" s="33"/>
      <c r="F36" s="33"/>
      <c r="G36" s="33"/>
    </row>
    <row r="37" customFormat="false" ht="15" hidden="false" customHeight="false" outlineLevel="0" collapsed="false">
      <c r="A37" s="32"/>
      <c r="B37" s="35"/>
      <c r="C37" s="32"/>
      <c r="D37" s="32"/>
      <c r="E37" s="33"/>
      <c r="F37" s="33"/>
      <c r="G37" s="33"/>
    </row>
    <row r="38" customFormat="false" ht="15" hidden="false" customHeight="false" outlineLevel="0" collapsed="false">
      <c r="A38" s="32"/>
      <c r="B38" s="35"/>
      <c r="C38" s="32"/>
      <c r="D38" s="32"/>
      <c r="E38" s="33"/>
      <c r="F38" s="33"/>
      <c r="G38" s="33"/>
    </row>
    <row r="39" customFormat="false" ht="15" hidden="false" customHeight="false" outlineLevel="0" collapsed="false">
      <c r="A39" s="32"/>
      <c r="B39" s="35"/>
      <c r="C39" s="32"/>
      <c r="D39" s="32"/>
      <c r="E39" s="33"/>
      <c r="F39" s="33"/>
      <c r="G39" s="33"/>
    </row>
    <row r="40" customFormat="false" ht="15" hidden="false" customHeight="false" outlineLevel="0" collapsed="false">
      <c r="A40" s="32"/>
      <c r="B40" s="35"/>
      <c r="C40" s="32"/>
      <c r="D40" s="32"/>
      <c r="E40" s="33"/>
      <c r="F40" s="33"/>
      <c r="G40" s="33"/>
    </row>
    <row r="41" customFormat="false" ht="15" hidden="false" customHeight="false" outlineLevel="0" collapsed="false">
      <c r="A41" s="32"/>
      <c r="B41" s="35"/>
      <c r="C41" s="32"/>
      <c r="D41" s="32"/>
      <c r="E41" s="33"/>
      <c r="F41" s="33"/>
      <c r="G41" s="33"/>
    </row>
    <row r="42" customFormat="false" ht="15" hidden="false" customHeight="false" outlineLevel="0" collapsed="false">
      <c r="A42" s="32"/>
      <c r="B42" s="35"/>
      <c r="C42" s="32"/>
      <c r="D42" s="32"/>
      <c r="E42" s="33"/>
      <c r="F42" s="33"/>
      <c r="G42" s="33"/>
    </row>
    <row r="43" customFormat="false" ht="15" hidden="false" customHeight="false" outlineLevel="0" collapsed="false">
      <c r="A43" s="32"/>
      <c r="B43" s="35"/>
      <c r="C43" s="32"/>
      <c r="D43" s="32"/>
      <c r="E43" s="33"/>
      <c r="F43" s="33"/>
      <c r="G43" s="33"/>
    </row>
    <row r="44" customFormat="false" ht="15" hidden="false" customHeight="false" outlineLevel="0" collapsed="false">
      <c r="A44" s="32"/>
      <c r="B44" s="35"/>
      <c r="C44" s="32"/>
      <c r="D44" s="32"/>
      <c r="E44" s="33"/>
      <c r="F44" s="33"/>
      <c r="G44" s="33"/>
    </row>
    <row r="45" customFormat="false" ht="15" hidden="false" customHeight="false" outlineLevel="0" collapsed="false">
      <c r="A45" s="32"/>
      <c r="B45" s="35"/>
      <c r="C45" s="32"/>
      <c r="D45" s="32"/>
      <c r="E45" s="33"/>
      <c r="F45" s="33"/>
      <c r="G45" s="33"/>
    </row>
    <row r="46" customFormat="false" ht="15" hidden="false" customHeight="false" outlineLevel="0" collapsed="false">
      <c r="A46" s="32"/>
      <c r="B46" s="35"/>
      <c r="C46" s="32"/>
      <c r="D46" s="32"/>
      <c r="E46" s="33"/>
      <c r="F46" s="33"/>
      <c r="G46" s="33"/>
    </row>
    <row r="47" customFormat="false" ht="15" hidden="false" customHeight="false" outlineLevel="0" collapsed="false">
      <c r="A47" s="32"/>
      <c r="B47" s="35"/>
      <c r="C47" s="32"/>
      <c r="D47" s="32"/>
      <c r="E47" s="33"/>
      <c r="F47" s="33"/>
      <c r="G47" s="33"/>
    </row>
    <row r="48" customFormat="false" ht="15" hidden="false" customHeight="false" outlineLevel="0" collapsed="false">
      <c r="A48" s="32"/>
      <c r="B48" s="35"/>
      <c r="C48" s="32"/>
      <c r="D48" s="32"/>
      <c r="E48" s="33"/>
      <c r="F48" s="33"/>
      <c r="G48" s="33"/>
    </row>
    <row r="49" customFormat="false" ht="15" hidden="false" customHeight="false" outlineLevel="0" collapsed="false">
      <c r="A49" s="32"/>
      <c r="B49" s="35"/>
      <c r="C49" s="32"/>
      <c r="D49" s="32"/>
      <c r="E49" s="33"/>
      <c r="F49" s="33"/>
      <c r="G49" s="33"/>
    </row>
    <row r="50" customFormat="false" ht="15" hidden="false" customHeight="false" outlineLevel="0" collapsed="false">
      <c r="A50" s="32"/>
      <c r="B50" s="35"/>
      <c r="C50" s="32"/>
      <c r="D50" s="32"/>
      <c r="E50" s="33"/>
      <c r="F50" s="33"/>
      <c r="G50" s="33"/>
    </row>
    <row r="51" customFormat="false" ht="15" hidden="false" customHeight="false" outlineLevel="0" collapsed="false">
      <c r="A51" s="32"/>
      <c r="B51" s="35"/>
      <c r="C51" s="32"/>
      <c r="D51" s="32"/>
      <c r="E51" s="33"/>
      <c r="F51" s="33"/>
      <c r="G51" s="33"/>
    </row>
    <row r="52" customFormat="false" ht="15" hidden="false" customHeight="false" outlineLevel="0" collapsed="false">
      <c r="A52" s="32"/>
      <c r="B52" s="35"/>
      <c r="C52" s="32"/>
      <c r="D52" s="32"/>
      <c r="E52" s="33"/>
      <c r="F52" s="33"/>
      <c r="G52" s="33"/>
    </row>
    <row r="53" customFormat="false" ht="15" hidden="false" customHeight="false" outlineLevel="0" collapsed="false">
      <c r="A53" s="32"/>
      <c r="B53" s="35"/>
      <c r="C53" s="32"/>
      <c r="D53" s="32"/>
      <c r="E53" s="33"/>
      <c r="F53" s="33"/>
      <c r="G53" s="33"/>
    </row>
    <row r="54" customFormat="false" ht="15" hidden="false" customHeight="false" outlineLevel="0" collapsed="false">
      <c r="A54" s="32"/>
      <c r="B54" s="35"/>
      <c r="C54" s="32"/>
      <c r="D54" s="32"/>
      <c r="E54" s="33"/>
      <c r="F54" s="33"/>
      <c r="G54" s="33"/>
    </row>
    <row r="55" customFormat="false" ht="15" hidden="false" customHeight="false" outlineLevel="0" collapsed="false">
      <c r="A55" s="32"/>
      <c r="B55" s="35"/>
      <c r="C55" s="32"/>
      <c r="D55" s="32"/>
      <c r="E55" s="33"/>
      <c r="F55" s="33"/>
      <c r="G55" s="33"/>
    </row>
    <row r="56" customFormat="false" ht="15" hidden="false" customHeight="false" outlineLevel="0" collapsed="false">
      <c r="A56" s="32"/>
      <c r="B56" s="35"/>
      <c r="C56" s="32"/>
      <c r="D56" s="32"/>
      <c r="E56" s="33"/>
      <c r="F56" s="33"/>
      <c r="G56" s="33"/>
    </row>
    <row r="57" customFormat="false" ht="15" hidden="false" customHeight="false" outlineLevel="0" collapsed="false">
      <c r="A57" s="32"/>
      <c r="B57" s="35"/>
      <c r="C57" s="32"/>
      <c r="D57" s="32"/>
      <c r="E57" s="33"/>
      <c r="F57" s="33"/>
      <c r="G57" s="33"/>
    </row>
    <row r="58" customFormat="false" ht="15" hidden="false" customHeight="false" outlineLevel="0" collapsed="false">
      <c r="A58" s="32"/>
      <c r="B58" s="35"/>
      <c r="C58" s="32"/>
      <c r="D58" s="32"/>
      <c r="E58" s="33"/>
      <c r="F58" s="33"/>
      <c r="G58" s="33"/>
    </row>
    <row r="59" customFormat="false" ht="15" hidden="false" customHeight="false" outlineLevel="0" collapsed="false">
      <c r="A59" s="32"/>
      <c r="B59" s="35"/>
      <c r="C59" s="32"/>
      <c r="D59" s="32"/>
      <c r="E59" s="33"/>
      <c r="F59" s="33"/>
      <c r="G59" s="33"/>
    </row>
    <row r="60" customFormat="false" ht="15" hidden="false" customHeight="false" outlineLevel="0" collapsed="false">
      <c r="A60" s="32"/>
      <c r="B60" s="35"/>
      <c r="C60" s="32"/>
      <c r="D60" s="32"/>
      <c r="E60" s="33"/>
      <c r="F60" s="33"/>
      <c r="G60" s="33"/>
    </row>
    <row r="61" customFormat="false" ht="15" hidden="false" customHeight="false" outlineLevel="0" collapsed="false">
      <c r="A61" s="32"/>
      <c r="B61" s="35"/>
      <c r="C61" s="32"/>
      <c r="D61" s="32"/>
      <c r="E61" s="33"/>
      <c r="F61" s="33"/>
      <c r="G61" s="33"/>
    </row>
    <row r="62" customFormat="false" ht="15" hidden="false" customHeight="false" outlineLevel="0" collapsed="false">
      <c r="A62" s="32"/>
      <c r="B62" s="35"/>
      <c r="C62" s="32"/>
      <c r="D62" s="32"/>
      <c r="E62" s="33"/>
      <c r="F62" s="33"/>
      <c r="G62" s="33"/>
    </row>
    <row r="63" customFormat="false" ht="15" hidden="false" customHeight="false" outlineLevel="0" collapsed="false">
      <c r="A63" s="32"/>
      <c r="B63" s="35"/>
      <c r="C63" s="32"/>
      <c r="D63" s="32"/>
      <c r="E63" s="33"/>
      <c r="F63" s="33"/>
      <c r="G63" s="33"/>
    </row>
    <row r="64" customFormat="false" ht="15" hidden="false" customHeight="false" outlineLevel="0" collapsed="false">
      <c r="A64" s="32"/>
      <c r="B64" s="35"/>
      <c r="C64" s="32"/>
      <c r="D64" s="32"/>
      <c r="E64" s="33"/>
      <c r="F64" s="33"/>
      <c r="G64" s="33"/>
    </row>
    <row r="65" customFormat="false" ht="15" hidden="false" customHeight="false" outlineLevel="0" collapsed="false">
      <c r="A65" s="32"/>
      <c r="B65" s="35"/>
      <c r="C65" s="32"/>
      <c r="D65" s="32"/>
      <c r="E65" s="33"/>
      <c r="F65" s="33"/>
      <c r="G65" s="33"/>
    </row>
    <row r="66" customFormat="false" ht="15" hidden="false" customHeight="false" outlineLevel="0" collapsed="false">
      <c r="A66" s="32"/>
      <c r="B66" s="35"/>
      <c r="C66" s="32"/>
      <c r="D66" s="32"/>
      <c r="E66" s="33"/>
      <c r="F66" s="33"/>
      <c r="G66" s="33"/>
    </row>
    <row r="67" customFormat="false" ht="15" hidden="false" customHeight="false" outlineLevel="0" collapsed="false">
      <c r="A67" s="32"/>
      <c r="B67" s="35"/>
      <c r="C67" s="32"/>
      <c r="D67" s="32"/>
      <c r="E67" s="33"/>
      <c r="F67" s="33"/>
      <c r="G67" s="33"/>
    </row>
    <row r="68" customFormat="false" ht="15" hidden="false" customHeight="false" outlineLevel="0" collapsed="false">
      <c r="A68" s="32"/>
      <c r="B68" s="35"/>
      <c r="C68" s="32"/>
      <c r="D68" s="32"/>
      <c r="E68" s="33"/>
      <c r="F68" s="33"/>
      <c r="G68" s="33"/>
    </row>
    <row r="69" customFormat="false" ht="15" hidden="false" customHeight="false" outlineLevel="0" collapsed="false">
      <c r="A69" s="32"/>
      <c r="B69" s="35"/>
      <c r="C69" s="32"/>
      <c r="D69" s="32"/>
      <c r="E69" s="33"/>
      <c r="F69" s="33"/>
      <c r="G69" s="33"/>
    </row>
    <row r="70" customFormat="false" ht="15" hidden="false" customHeight="false" outlineLevel="0" collapsed="false">
      <c r="A70" s="32"/>
      <c r="B70" s="35"/>
      <c r="C70" s="32"/>
      <c r="D70" s="32"/>
      <c r="E70" s="33"/>
      <c r="F70" s="33"/>
      <c r="G70" s="33"/>
    </row>
    <row r="71" customFormat="false" ht="15" hidden="false" customHeight="false" outlineLevel="0" collapsed="false">
      <c r="A71" s="32"/>
      <c r="B71" s="35"/>
      <c r="C71" s="32"/>
      <c r="D71" s="32"/>
      <c r="E71" s="33"/>
      <c r="F71" s="33"/>
      <c r="G71" s="33"/>
    </row>
    <row r="72" customFormat="false" ht="15" hidden="false" customHeight="false" outlineLevel="0" collapsed="false">
      <c r="A72" s="32"/>
      <c r="B72" s="35"/>
      <c r="C72" s="32"/>
      <c r="D72" s="32"/>
      <c r="E72" s="33"/>
      <c r="F72" s="33"/>
      <c r="G72" s="33"/>
    </row>
    <row r="73" customFormat="false" ht="15" hidden="false" customHeight="false" outlineLevel="0" collapsed="false">
      <c r="A73" s="32"/>
      <c r="B73" s="35"/>
      <c r="C73" s="32"/>
      <c r="D73" s="32"/>
      <c r="E73" s="33"/>
      <c r="F73" s="33"/>
      <c r="G73" s="33"/>
    </row>
    <row r="74" customFormat="false" ht="15" hidden="false" customHeight="false" outlineLevel="0" collapsed="false">
      <c r="A74" s="32"/>
      <c r="B74" s="35"/>
      <c r="C74" s="32"/>
      <c r="D74" s="32"/>
      <c r="E74" s="33"/>
      <c r="F74" s="33"/>
      <c r="G74" s="33"/>
    </row>
    <row r="75" customFormat="false" ht="15" hidden="false" customHeight="false" outlineLevel="0" collapsed="false">
      <c r="A75" s="32"/>
      <c r="B75" s="35"/>
      <c r="C75" s="32"/>
      <c r="D75" s="32"/>
      <c r="E75" s="33"/>
      <c r="F75" s="33"/>
      <c r="G75" s="33"/>
    </row>
    <row r="76" customFormat="false" ht="15" hidden="false" customHeight="false" outlineLevel="0" collapsed="false">
      <c r="A76" s="32"/>
      <c r="B76" s="35"/>
      <c r="C76" s="32"/>
      <c r="D76" s="32"/>
      <c r="E76" s="33"/>
      <c r="F76" s="33"/>
      <c r="G76" s="33"/>
    </row>
    <row r="77" customFormat="false" ht="15" hidden="false" customHeight="false" outlineLevel="0" collapsed="false">
      <c r="A77" s="32"/>
      <c r="B77" s="35"/>
      <c r="C77" s="32"/>
      <c r="D77" s="32"/>
      <c r="E77" s="33"/>
      <c r="F77" s="33"/>
      <c r="G77" s="33"/>
    </row>
    <row r="78" customFormat="false" ht="15" hidden="false" customHeight="false" outlineLevel="0" collapsed="false">
      <c r="A78" s="32"/>
      <c r="B78" s="35"/>
      <c r="C78" s="32"/>
      <c r="D78" s="32"/>
      <c r="E78" s="33"/>
      <c r="F78" s="33"/>
      <c r="G78" s="33"/>
    </row>
    <row r="79" customFormat="false" ht="15" hidden="false" customHeight="false" outlineLevel="0" collapsed="false">
      <c r="A79" s="32"/>
      <c r="B79" s="35"/>
      <c r="C79" s="32"/>
      <c r="D79" s="32"/>
      <c r="E79" s="33"/>
      <c r="F79" s="33"/>
      <c r="G79" s="33"/>
    </row>
    <row r="80" customFormat="false" ht="15" hidden="false" customHeight="false" outlineLevel="0" collapsed="false">
      <c r="A80" s="32"/>
      <c r="B80" s="35"/>
      <c r="C80" s="32"/>
      <c r="D80" s="32"/>
      <c r="E80" s="33"/>
      <c r="F80" s="33"/>
      <c r="G80" s="33"/>
    </row>
    <row r="81" customFormat="false" ht="15" hidden="false" customHeight="false" outlineLevel="0" collapsed="false">
      <c r="A81" s="32"/>
      <c r="B81" s="35"/>
      <c r="C81" s="32"/>
      <c r="D81" s="32"/>
      <c r="E81" s="33"/>
      <c r="F81" s="33"/>
      <c r="G81" s="33"/>
    </row>
    <row r="82" customFormat="false" ht="15" hidden="false" customHeight="false" outlineLevel="0" collapsed="false">
      <c r="A82" s="32"/>
      <c r="B82" s="35"/>
      <c r="C82" s="32"/>
      <c r="D82" s="32"/>
      <c r="E82" s="33"/>
      <c r="F82" s="33"/>
      <c r="G82" s="33"/>
    </row>
    <row r="83" customFormat="false" ht="15" hidden="false" customHeight="false" outlineLevel="0" collapsed="false">
      <c r="A83" s="32"/>
      <c r="B83" s="35"/>
      <c r="C83" s="32"/>
      <c r="D83" s="32"/>
      <c r="E83" s="33"/>
      <c r="F83" s="33"/>
      <c r="G83" s="33"/>
    </row>
    <row r="84" customFormat="false" ht="15" hidden="false" customHeight="false" outlineLevel="0" collapsed="false">
      <c r="A84" s="32"/>
      <c r="B84" s="35"/>
      <c r="C84" s="32"/>
      <c r="D84" s="32"/>
      <c r="E84" s="33"/>
      <c r="F84" s="33"/>
      <c r="G84" s="33"/>
    </row>
    <row r="85" customFormat="false" ht="15" hidden="false" customHeight="false" outlineLevel="0" collapsed="false">
      <c r="A85" s="32"/>
      <c r="B85" s="35"/>
      <c r="C85" s="32"/>
      <c r="D85" s="32"/>
      <c r="E85" s="33"/>
      <c r="F85" s="33"/>
      <c r="G85" s="33"/>
    </row>
    <row r="86" customFormat="false" ht="15" hidden="false" customHeight="false" outlineLevel="0" collapsed="false">
      <c r="A86" s="32"/>
      <c r="B86" s="35"/>
      <c r="C86" s="32"/>
      <c r="D86" s="32"/>
      <c r="E86" s="33"/>
      <c r="F86" s="33"/>
      <c r="G86" s="33"/>
    </row>
    <row r="87" customFormat="false" ht="15" hidden="false" customHeight="false" outlineLevel="0" collapsed="false">
      <c r="A87" s="32"/>
      <c r="B87" s="35"/>
      <c r="C87" s="32"/>
      <c r="D87" s="32"/>
      <c r="E87" s="33"/>
      <c r="F87" s="33"/>
      <c r="G87" s="33"/>
    </row>
    <row r="88" customFormat="false" ht="15" hidden="false" customHeight="false" outlineLevel="0" collapsed="false">
      <c r="A88" s="32"/>
      <c r="B88" s="35"/>
      <c r="C88" s="32"/>
      <c r="D88" s="32"/>
      <c r="E88" s="33"/>
      <c r="F88" s="33"/>
      <c r="G88" s="33"/>
    </row>
    <row r="89" customFormat="false" ht="15" hidden="false" customHeight="false" outlineLevel="0" collapsed="false">
      <c r="A89" s="32"/>
      <c r="B89" s="35"/>
      <c r="C89" s="32"/>
      <c r="D89" s="32"/>
      <c r="E89" s="33"/>
      <c r="F89" s="33"/>
      <c r="G89" s="33"/>
    </row>
    <row r="90" customFormat="false" ht="15" hidden="false" customHeight="false" outlineLevel="0" collapsed="false">
      <c r="A90" s="32"/>
      <c r="B90" s="35"/>
      <c r="C90" s="32"/>
      <c r="D90" s="32"/>
      <c r="E90" s="33"/>
      <c r="F90" s="33"/>
      <c r="G90" s="33"/>
    </row>
    <row r="91" customFormat="false" ht="15" hidden="false" customHeight="false" outlineLevel="0" collapsed="false">
      <c r="A91" s="32"/>
      <c r="B91" s="35"/>
      <c r="C91" s="32"/>
      <c r="D91" s="32"/>
      <c r="E91" s="33"/>
      <c r="F91" s="33"/>
      <c r="G91" s="33"/>
    </row>
    <row r="92" customFormat="false" ht="15" hidden="false" customHeight="false" outlineLevel="0" collapsed="false">
      <c r="A92" s="32"/>
      <c r="B92" s="35"/>
      <c r="C92" s="32"/>
      <c r="D92" s="32"/>
      <c r="E92" s="33"/>
      <c r="F92" s="33"/>
      <c r="G92" s="33"/>
    </row>
    <row r="93" customFormat="false" ht="15" hidden="false" customHeight="false" outlineLevel="0" collapsed="false">
      <c r="A93" s="32"/>
      <c r="B93" s="35"/>
      <c r="C93" s="32"/>
      <c r="D93" s="32"/>
      <c r="E93" s="33"/>
      <c r="F93" s="33"/>
      <c r="G93" s="33"/>
    </row>
    <row r="94" customFormat="false" ht="15" hidden="false" customHeight="false" outlineLevel="0" collapsed="false">
      <c r="A94" s="32"/>
      <c r="B94" s="35"/>
      <c r="C94" s="32"/>
      <c r="D94" s="32"/>
      <c r="E94" s="33"/>
      <c r="F94" s="33"/>
      <c r="G94" s="33"/>
    </row>
    <row r="95" customFormat="false" ht="15" hidden="false" customHeight="false" outlineLevel="0" collapsed="false">
      <c r="A95" s="32"/>
      <c r="B95" s="35"/>
      <c r="C95" s="32"/>
      <c r="D95" s="32"/>
      <c r="E95" s="33"/>
      <c r="F95" s="33"/>
      <c r="G95" s="33"/>
    </row>
    <row r="96" customFormat="false" ht="15" hidden="false" customHeight="false" outlineLevel="0" collapsed="false">
      <c r="A96" s="32"/>
      <c r="B96" s="35"/>
      <c r="C96" s="32"/>
      <c r="D96" s="32"/>
      <c r="E96" s="33"/>
      <c r="F96" s="33"/>
      <c r="G96" s="33"/>
    </row>
    <row r="97" customFormat="false" ht="15" hidden="false" customHeight="false" outlineLevel="0" collapsed="false">
      <c r="A97" s="32"/>
      <c r="B97" s="35"/>
      <c r="C97" s="32"/>
      <c r="D97" s="32"/>
      <c r="E97" s="33"/>
      <c r="F97" s="33"/>
      <c r="G97" s="33"/>
    </row>
    <row r="98" customFormat="false" ht="15" hidden="false" customHeight="false" outlineLevel="0" collapsed="false">
      <c r="A98" s="32"/>
      <c r="B98" s="35"/>
      <c r="C98" s="32"/>
      <c r="D98" s="32"/>
      <c r="E98" s="33"/>
      <c r="F98" s="33"/>
      <c r="G98" s="33"/>
    </row>
    <row r="99" customFormat="false" ht="15" hidden="false" customHeight="false" outlineLevel="0" collapsed="false">
      <c r="A99" s="32"/>
      <c r="B99" s="35"/>
      <c r="C99" s="32"/>
      <c r="D99" s="32"/>
      <c r="E99" s="33"/>
      <c r="F99" s="33"/>
      <c r="G99" s="33"/>
    </row>
    <row r="100" customFormat="false" ht="15" hidden="false" customHeight="false" outlineLevel="0" collapsed="false">
      <c r="A100" s="32"/>
      <c r="B100" s="35"/>
      <c r="C100" s="32"/>
      <c r="D100" s="32"/>
      <c r="E100" s="33"/>
      <c r="F100" s="33"/>
      <c r="G100" s="33"/>
    </row>
    <row r="101" customFormat="false" ht="15" hidden="false" customHeight="false" outlineLevel="0" collapsed="false">
      <c r="A101" s="32"/>
      <c r="B101" s="35"/>
      <c r="C101" s="32"/>
      <c r="D101" s="32"/>
      <c r="E101" s="33"/>
      <c r="F101" s="33"/>
      <c r="G101" s="33"/>
    </row>
    <row r="102" customFormat="false" ht="15" hidden="false" customHeight="false" outlineLevel="0" collapsed="false">
      <c r="A102" s="32"/>
      <c r="B102" s="35"/>
      <c r="C102" s="32"/>
      <c r="D102" s="32"/>
      <c r="E102" s="33"/>
      <c r="F102" s="33"/>
      <c r="G102" s="33"/>
    </row>
    <row r="103" customFormat="false" ht="15" hidden="false" customHeight="false" outlineLevel="0" collapsed="false">
      <c r="A103" s="32"/>
      <c r="B103" s="35"/>
      <c r="C103" s="32"/>
      <c r="D103" s="32"/>
      <c r="E103" s="33"/>
      <c r="F103" s="33"/>
      <c r="G103" s="33"/>
    </row>
    <row r="104" customFormat="false" ht="15" hidden="false" customHeight="false" outlineLevel="0" collapsed="false">
      <c r="A104" s="32"/>
      <c r="B104" s="35"/>
      <c r="C104" s="32"/>
      <c r="D104" s="32"/>
      <c r="E104" s="33"/>
      <c r="F104" s="33"/>
      <c r="G104" s="33"/>
    </row>
    <row r="105" customFormat="false" ht="15" hidden="false" customHeight="false" outlineLevel="0" collapsed="false">
      <c r="A105" s="32"/>
      <c r="B105" s="35"/>
      <c r="C105" s="32"/>
      <c r="D105" s="32"/>
      <c r="E105" s="33"/>
      <c r="F105" s="33"/>
      <c r="G105" s="33"/>
    </row>
    <row r="106" customFormat="false" ht="15" hidden="false" customHeight="false" outlineLevel="0" collapsed="false">
      <c r="A106" s="32"/>
      <c r="B106" s="35"/>
      <c r="C106" s="32"/>
      <c r="D106" s="32"/>
      <c r="E106" s="33"/>
      <c r="F106" s="33"/>
      <c r="G106" s="33"/>
    </row>
    <row r="107" customFormat="false" ht="15" hidden="false" customHeight="false" outlineLevel="0" collapsed="false">
      <c r="A107" s="32"/>
      <c r="B107" s="35"/>
      <c r="C107" s="32"/>
      <c r="D107" s="32"/>
      <c r="E107" s="33"/>
      <c r="F107" s="33"/>
      <c r="G107" s="33"/>
    </row>
    <row r="108" customFormat="false" ht="15" hidden="false" customHeight="false" outlineLevel="0" collapsed="false">
      <c r="A108" s="32"/>
      <c r="B108" s="35"/>
      <c r="C108" s="32"/>
      <c r="D108" s="32"/>
      <c r="E108" s="33"/>
      <c r="F108" s="33"/>
      <c r="G108" s="33"/>
    </row>
    <row r="109" customFormat="false" ht="15" hidden="false" customHeight="false" outlineLevel="0" collapsed="false">
      <c r="A109" s="32"/>
      <c r="B109" s="35"/>
      <c r="C109" s="32"/>
      <c r="D109" s="32"/>
      <c r="E109" s="33"/>
      <c r="F109" s="33"/>
      <c r="G109" s="33"/>
    </row>
    <row r="110" customFormat="false" ht="15" hidden="false" customHeight="false" outlineLevel="0" collapsed="false">
      <c r="A110" s="32"/>
      <c r="B110" s="35"/>
      <c r="C110" s="32"/>
      <c r="D110" s="32"/>
      <c r="E110" s="33"/>
      <c r="F110" s="33"/>
      <c r="G110" s="33"/>
    </row>
    <row r="111" customFormat="false" ht="15" hidden="false" customHeight="false" outlineLevel="0" collapsed="false">
      <c r="A111" s="32"/>
      <c r="B111" s="35"/>
      <c r="C111" s="32"/>
      <c r="D111" s="32"/>
      <c r="E111" s="33"/>
      <c r="F111" s="33"/>
      <c r="G111" s="33"/>
    </row>
    <row r="112" customFormat="false" ht="15" hidden="false" customHeight="false" outlineLevel="0" collapsed="false">
      <c r="A112" s="32"/>
      <c r="B112" s="35"/>
      <c r="C112" s="32"/>
      <c r="D112" s="32"/>
      <c r="E112" s="33"/>
      <c r="F112" s="33"/>
      <c r="G112" s="33"/>
    </row>
    <row r="113" customFormat="false" ht="15" hidden="false" customHeight="false" outlineLevel="0" collapsed="false">
      <c r="A113" s="32"/>
      <c r="B113" s="35"/>
      <c r="C113" s="32"/>
      <c r="D113" s="32"/>
      <c r="E113" s="33"/>
      <c r="F113" s="33"/>
      <c r="G113" s="33"/>
    </row>
    <row r="114" customFormat="false" ht="15" hidden="false" customHeight="false" outlineLevel="0" collapsed="false">
      <c r="A114" s="32"/>
      <c r="B114" s="35"/>
      <c r="C114" s="32"/>
      <c r="D114" s="32"/>
      <c r="E114" s="33"/>
      <c r="F114" s="33"/>
      <c r="G114" s="33"/>
    </row>
    <row r="115" customFormat="false" ht="15" hidden="false" customHeight="false" outlineLevel="0" collapsed="false">
      <c r="A115" s="32"/>
      <c r="B115" s="35"/>
      <c r="C115" s="32"/>
      <c r="D115" s="32"/>
      <c r="E115" s="33"/>
      <c r="F115" s="33"/>
      <c r="G115" s="33"/>
    </row>
    <row r="116" customFormat="false" ht="15" hidden="false" customHeight="false" outlineLevel="0" collapsed="false">
      <c r="A116" s="32"/>
      <c r="B116" s="35"/>
      <c r="C116" s="32"/>
      <c r="D116" s="32"/>
      <c r="E116" s="33"/>
      <c r="F116" s="33"/>
      <c r="G116" s="33"/>
    </row>
    <row r="117" customFormat="false" ht="15" hidden="false" customHeight="false" outlineLevel="0" collapsed="false">
      <c r="A117" s="32"/>
      <c r="B117" s="35"/>
      <c r="C117" s="32"/>
      <c r="D117" s="32"/>
      <c r="E117" s="33"/>
      <c r="F117" s="33"/>
      <c r="G117" s="33"/>
    </row>
    <row r="118" customFormat="false" ht="15" hidden="false" customHeight="false" outlineLevel="0" collapsed="false">
      <c r="A118" s="32"/>
      <c r="B118" s="35"/>
      <c r="C118" s="32"/>
      <c r="D118" s="32"/>
      <c r="E118" s="33"/>
      <c r="F118" s="33"/>
      <c r="G118" s="33"/>
    </row>
    <row r="119" customFormat="false" ht="15" hidden="false" customHeight="false" outlineLevel="0" collapsed="false">
      <c r="A119" s="32"/>
      <c r="B119" s="35"/>
      <c r="C119" s="32"/>
      <c r="D119" s="32"/>
      <c r="E119" s="33"/>
      <c r="F119" s="33"/>
      <c r="G119" s="33"/>
    </row>
    <row r="120" customFormat="false" ht="15" hidden="false" customHeight="false" outlineLevel="0" collapsed="false">
      <c r="A120" s="32"/>
      <c r="B120" s="35"/>
      <c r="C120" s="32"/>
      <c r="D120" s="32"/>
      <c r="E120" s="33"/>
      <c r="F120" s="33"/>
      <c r="G120" s="33"/>
    </row>
    <row r="121" customFormat="false" ht="15" hidden="false" customHeight="false" outlineLevel="0" collapsed="false">
      <c r="A121" s="32"/>
      <c r="B121" s="35"/>
      <c r="C121" s="32"/>
      <c r="D121" s="32"/>
      <c r="E121" s="33"/>
      <c r="F121" s="33"/>
      <c r="G121" s="33"/>
    </row>
    <row r="122" customFormat="false" ht="15" hidden="false" customHeight="false" outlineLevel="0" collapsed="false">
      <c r="A122" s="32"/>
      <c r="B122" s="35"/>
      <c r="C122" s="32"/>
      <c r="D122" s="32"/>
      <c r="E122" s="33"/>
      <c r="F122" s="33"/>
      <c r="G122" s="33"/>
    </row>
    <row r="123" customFormat="false" ht="15" hidden="false" customHeight="false" outlineLevel="0" collapsed="false">
      <c r="A123" s="32"/>
      <c r="B123" s="35"/>
      <c r="C123" s="32"/>
      <c r="D123" s="32"/>
      <c r="E123" s="33"/>
      <c r="F123" s="33"/>
      <c r="G123" s="33"/>
    </row>
    <row r="124" customFormat="false" ht="15" hidden="false" customHeight="false" outlineLevel="0" collapsed="false">
      <c r="A124" s="32"/>
      <c r="B124" s="35"/>
      <c r="C124" s="32"/>
      <c r="D124" s="32"/>
      <c r="E124" s="33"/>
      <c r="F124" s="33"/>
      <c r="G124" s="33"/>
    </row>
    <row r="125" customFormat="false" ht="15" hidden="false" customHeight="false" outlineLevel="0" collapsed="false">
      <c r="A125" s="32"/>
      <c r="B125" s="35"/>
      <c r="C125" s="32"/>
      <c r="D125" s="32"/>
      <c r="E125" s="33"/>
      <c r="F125" s="33"/>
      <c r="G125" s="33"/>
    </row>
    <row r="126" customFormat="false" ht="15" hidden="false" customHeight="false" outlineLevel="0" collapsed="false">
      <c r="A126" s="32"/>
      <c r="B126" s="35"/>
      <c r="C126" s="32"/>
      <c r="D126" s="32"/>
      <c r="E126" s="33"/>
      <c r="F126" s="33"/>
      <c r="G126" s="33"/>
    </row>
    <row r="127" customFormat="false" ht="15" hidden="false" customHeight="false" outlineLevel="0" collapsed="false">
      <c r="A127" s="32"/>
      <c r="B127" s="35"/>
      <c r="C127" s="32"/>
      <c r="D127" s="32"/>
      <c r="E127" s="33"/>
      <c r="F127" s="33"/>
      <c r="G127" s="33"/>
    </row>
    <row r="128" customFormat="false" ht="15" hidden="false" customHeight="false" outlineLevel="0" collapsed="false">
      <c r="A128" s="32"/>
      <c r="B128" s="35"/>
      <c r="C128" s="32"/>
      <c r="D128" s="32"/>
      <c r="E128" s="33"/>
      <c r="F128" s="33"/>
      <c r="G128" s="33"/>
    </row>
    <row r="129" customFormat="false" ht="15" hidden="false" customHeight="false" outlineLevel="0" collapsed="false">
      <c r="A129" s="32"/>
      <c r="B129" s="35"/>
      <c r="C129" s="32"/>
      <c r="D129" s="32"/>
      <c r="E129" s="33"/>
      <c r="F129" s="33"/>
      <c r="G129" s="33"/>
    </row>
    <row r="130" customFormat="false" ht="15" hidden="false" customHeight="false" outlineLevel="0" collapsed="false">
      <c r="A130" s="32"/>
      <c r="B130" s="35"/>
      <c r="C130" s="32"/>
      <c r="D130" s="32"/>
      <c r="E130" s="33"/>
      <c r="F130" s="33"/>
      <c r="G130" s="33"/>
    </row>
    <row r="131" customFormat="false" ht="15" hidden="false" customHeight="false" outlineLevel="0" collapsed="false">
      <c r="A131" s="32"/>
      <c r="B131" s="35"/>
      <c r="C131" s="32"/>
      <c r="D131" s="32"/>
      <c r="E131" s="33"/>
      <c r="F131" s="33"/>
      <c r="G131" s="33"/>
    </row>
    <row r="132" customFormat="false" ht="15" hidden="false" customHeight="false" outlineLevel="0" collapsed="false">
      <c r="A132" s="32"/>
      <c r="B132" s="35"/>
      <c r="C132" s="32"/>
      <c r="D132" s="32"/>
      <c r="E132" s="33"/>
      <c r="F132" s="33"/>
      <c r="G132" s="33"/>
    </row>
    <row r="133" customFormat="false" ht="15" hidden="false" customHeight="false" outlineLevel="0" collapsed="false">
      <c r="A133" s="32"/>
      <c r="B133" s="35"/>
      <c r="C133" s="32"/>
      <c r="D133" s="32"/>
      <c r="E133" s="33"/>
      <c r="F133" s="33"/>
      <c r="G133" s="33"/>
    </row>
    <row r="134" customFormat="false" ht="15" hidden="false" customHeight="false" outlineLevel="0" collapsed="false">
      <c r="A134" s="32"/>
      <c r="B134" s="35"/>
      <c r="C134" s="32"/>
      <c r="D134" s="32"/>
      <c r="E134" s="33"/>
      <c r="F134" s="33"/>
      <c r="G134" s="33"/>
    </row>
    <row r="135" customFormat="false" ht="15" hidden="false" customHeight="false" outlineLevel="0" collapsed="false">
      <c r="A135" s="32"/>
      <c r="B135" s="35"/>
      <c r="C135" s="32"/>
      <c r="D135" s="32"/>
      <c r="E135" s="33"/>
      <c r="F135" s="33"/>
      <c r="G135" s="33"/>
    </row>
    <row r="136" customFormat="false" ht="15" hidden="false" customHeight="false" outlineLevel="0" collapsed="false">
      <c r="A136" s="32"/>
      <c r="B136" s="35"/>
      <c r="C136" s="32"/>
      <c r="D136" s="32"/>
      <c r="E136" s="33"/>
      <c r="F136" s="33"/>
      <c r="G136" s="33"/>
    </row>
    <row r="137" customFormat="false" ht="15" hidden="false" customHeight="false" outlineLevel="0" collapsed="false">
      <c r="A137" s="32"/>
      <c r="B137" s="35"/>
      <c r="C137" s="32"/>
      <c r="D137" s="32"/>
      <c r="E137" s="33"/>
      <c r="F137" s="33"/>
      <c r="G137" s="33"/>
    </row>
    <row r="138" customFormat="false" ht="15" hidden="false" customHeight="false" outlineLevel="0" collapsed="false">
      <c r="A138" s="32"/>
      <c r="B138" s="35"/>
      <c r="C138" s="32"/>
      <c r="D138" s="32"/>
      <c r="E138" s="33"/>
      <c r="F138" s="33"/>
      <c r="G138" s="33"/>
    </row>
    <row r="139" customFormat="false" ht="15" hidden="false" customHeight="false" outlineLevel="0" collapsed="false">
      <c r="A139" s="32"/>
      <c r="B139" s="35"/>
      <c r="C139" s="32"/>
      <c r="D139" s="32"/>
      <c r="E139" s="33"/>
      <c r="F139" s="33"/>
      <c r="G139" s="33"/>
    </row>
    <row r="140" customFormat="false" ht="15" hidden="false" customHeight="false" outlineLevel="0" collapsed="false">
      <c r="A140" s="32"/>
      <c r="B140" s="35"/>
      <c r="C140" s="32"/>
      <c r="D140" s="32"/>
      <c r="E140" s="33"/>
      <c r="F140" s="33"/>
      <c r="G140" s="33"/>
    </row>
    <row r="141" customFormat="false" ht="15" hidden="false" customHeight="false" outlineLevel="0" collapsed="false">
      <c r="A141" s="32"/>
      <c r="B141" s="35"/>
      <c r="C141" s="32"/>
      <c r="D141" s="32"/>
      <c r="E141" s="33"/>
      <c r="F141" s="33"/>
      <c r="G141" s="33"/>
    </row>
    <row r="142" customFormat="false" ht="15" hidden="false" customHeight="false" outlineLevel="0" collapsed="false">
      <c r="A142" s="32"/>
      <c r="B142" s="35"/>
      <c r="C142" s="32"/>
      <c r="D142" s="32"/>
      <c r="E142" s="33"/>
      <c r="F142" s="33"/>
      <c r="G142" s="33"/>
    </row>
    <row r="143" customFormat="false" ht="15" hidden="false" customHeight="false" outlineLevel="0" collapsed="false">
      <c r="A143" s="32"/>
      <c r="B143" s="35"/>
      <c r="C143" s="32"/>
      <c r="D143" s="32"/>
      <c r="E143" s="33"/>
      <c r="F143" s="33"/>
      <c r="G143" s="33"/>
    </row>
    <row r="144" customFormat="false" ht="15" hidden="false" customHeight="false" outlineLevel="0" collapsed="false">
      <c r="A144" s="32"/>
      <c r="B144" s="35"/>
      <c r="C144" s="32"/>
      <c r="D144" s="32"/>
      <c r="E144" s="33"/>
      <c r="F144" s="33"/>
      <c r="G144" s="33"/>
    </row>
    <row r="145" customFormat="false" ht="15" hidden="false" customHeight="false" outlineLevel="0" collapsed="false">
      <c r="A145" s="32"/>
      <c r="B145" s="35"/>
      <c r="C145" s="32"/>
      <c r="D145" s="32"/>
      <c r="E145" s="33"/>
      <c r="F145" s="33"/>
      <c r="G145" s="33"/>
    </row>
    <row r="146" customFormat="false" ht="15" hidden="false" customHeight="false" outlineLevel="0" collapsed="false">
      <c r="A146" s="32"/>
      <c r="B146" s="35"/>
      <c r="C146" s="32"/>
      <c r="D146" s="32"/>
      <c r="E146" s="33"/>
      <c r="F146" s="33"/>
      <c r="G146" s="33"/>
    </row>
    <row r="147" customFormat="false" ht="15" hidden="false" customHeight="false" outlineLevel="0" collapsed="false">
      <c r="A147" s="32"/>
      <c r="B147" s="35"/>
      <c r="C147" s="32"/>
      <c r="D147" s="32"/>
      <c r="E147" s="33"/>
      <c r="F147" s="33"/>
      <c r="G147" s="33"/>
    </row>
    <row r="148" customFormat="false" ht="15" hidden="false" customHeight="false" outlineLevel="0" collapsed="false">
      <c r="A148" s="32"/>
      <c r="B148" s="35"/>
      <c r="C148" s="32"/>
      <c r="D148" s="32"/>
      <c r="E148" s="33"/>
      <c r="F148" s="33"/>
      <c r="G148" s="33"/>
    </row>
    <row r="149" customFormat="false" ht="15" hidden="false" customHeight="false" outlineLevel="0" collapsed="false">
      <c r="A149" s="32"/>
      <c r="B149" s="35"/>
      <c r="C149" s="32"/>
      <c r="D149" s="32"/>
      <c r="E149" s="33"/>
      <c r="F149" s="33"/>
      <c r="G149" s="33"/>
    </row>
    <row r="150" customFormat="false" ht="15" hidden="false" customHeight="false" outlineLevel="0" collapsed="false">
      <c r="A150" s="32"/>
      <c r="B150" s="35"/>
      <c r="C150" s="32"/>
      <c r="D150" s="32"/>
      <c r="E150" s="33"/>
      <c r="F150" s="33"/>
      <c r="G150" s="33"/>
    </row>
    <row r="151" customFormat="false" ht="15" hidden="false" customHeight="false" outlineLevel="0" collapsed="false">
      <c r="A151" s="32"/>
      <c r="B151" s="35"/>
      <c r="C151" s="32"/>
      <c r="D151" s="32"/>
      <c r="E151" s="33"/>
      <c r="F151" s="33"/>
      <c r="G151" s="33"/>
    </row>
    <row r="152" customFormat="false" ht="15" hidden="false" customHeight="false" outlineLevel="0" collapsed="false">
      <c r="A152" s="32"/>
      <c r="B152" s="35"/>
      <c r="C152" s="32"/>
      <c r="D152" s="32"/>
      <c r="E152" s="33"/>
      <c r="F152" s="33"/>
      <c r="G152" s="33"/>
    </row>
    <row r="153" customFormat="false" ht="15" hidden="false" customHeight="false" outlineLevel="0" collapsed="false">
      <c r="A153" s="32"/>
      <c r="B153" s="35"/>
      <c r="C153" s="32"/>
      <c r="D153" s="32"/>
      <c r="E153" s="33"/>
      <c r="F153" s="33"/>
      <c r="G153" s="33"/>
    </row>
    <row r="154" customFormat="false" ht="15" hidden="false" customHeight="false" outlineLevel="0" collapsed="false">
      <c r="A154" s="32"/>
      <c r="B154" s="35"/>
      <c r="C154" s="32"/>
      <c r="D154" s="32"/>
      <c r="E154" s="33"/>
      <c r="F154" s="33"/>
      <c r="G154" s="33"/>
    </row>
    <row r="155" customFormat="false" ht="15" hidden="false" customHeight="false" outlineLevel="0" collapsed="false">
      <c r="A155" s="32"/>
      <c r="B155" s="35"/>
      <c r="C155" s="32"/>
      <c r="D155" s="32"/>
      <c r="E155" s="33"/>
      <c r="F155" s="33"/>
      <c r="G155" s="33"/>
    </row>
    <row r="156" customFormat="false" ht="15" hidden="false" customHeight="false" outlineLevel="0" collapsed="false">
      <c r="A156" s="32"/>
      <c r="B156" s="35"/>
      <c r="C156" s="32"/>
      <c r="D156" s="32"/>
      <c r="E156" s="33"/>
      <c r="F156" s="33"/>
      <c r="G156" s="33"/>
    </row>
    <row r="157" customFormat="false" ht="15" hidden="false" customHeight="false" outlineLevel="0" collapsed="false">
      <c r="A157" s="32"/>
      <c r="B157" s="35"/>
      <c r="C157" s="32"/>
      <c r="D157" s="32"/>
      <c r="E157" s="33"/>
      <c r="F157" s="33"/>
      <c r="G157" s="33"/>
    </row>
    <row r="158" customFormat="false" ht="15" hidden="false" customHeight="false" outlineLevel="0" collapsed="false">
      <c r="A158" s="32"/>
      <c r="B158" s="35"/>
      <c r="C158" s="32"/>
      <c r="D158" s="32"/>
      <c r="E158" s="33"/>
      <c r="F158" s="33"/>
      <c r="G158" s="33"/>
    </row>
    <row r="159" customFormat="false" ht="15" hidden="false" customHeight="false" outlineLevel="0" collapsed="false">
      <c r="A159" s="32"/>
      <c r="B159" s="35"/>
      <c r="C159" s="32"/>
      <c r="D159" s="32"/>
      <c r="E159" s="33"/>
      <c r="F159" s="33"/>
      <c r="G159" s="33"/>
    </row>
    <row r="160" customFormat="false" ht="15" hidden="false" customHeight="false" outlineLevel="0" collapsed="false">
      <c r="A160" s="32"/>
      <c r="B160" s="35"/>
      <c r="C160" s="32"/>
      <c r="D160" s="32"/>
      <c r="E160" s="33"/>
      <c r="F160" s="33"/>
      <c r="G160" s="33"/>
    </row>
    <row r="161" customFormat="false" ht="15" hidden="false" customHeight="false" outlineLevel="0" collapsed="false">
      <c r="A161" s="32"/>
      <c r="B161" s="35"/>
      <c r="C161" s="32"/>
      <c r="D161" s="32"/>
      <c r="E161" s="33"/>
      <c r="F161" s="33"/>
      <c r="G161" s="33"/>
    </row>
    <row r="162" customFormat="false" ht="15" hidden="false" customHeight="false" outlineLevel="0" collapsed="false">
      <c r="A162" s="32"/>
      <c r="B162" s="35"/>
      <c r="C162" s="32"/>
      <c r="D162" s="32"/>
      <c r="E162" s="33"/>
      <c r="F162" s="33"/>
      <c r="G162" s="33"/>
    </row>
    <row r="163" customFormat="false" ht="15" hidden="false" customHeight="false" outlineLevel="0" collapsed="false">
      <c r="A163" s="32"/>
      <c r="B163" s="35"/>
      <c r="C163" s="32"/>
      <c r="D163" s="32"/>
      <c r="E163" s="33"/>
      <c r="F163" s="33"/>
      <c r="G163" s="33"/>
    </row>
    <row r="164" customFormat="false" ht="15" hidden="false" customHeight="false" outlineLevel="0" collapsed="false">
      <c r="A164" s="32"/>
      <c r="B164" s="35"/>
      <c r="C164" s="32"/>
      <c r="D164" s="32"/>
      <c r="E164" s="33"/>
      <c r="F164" s="33"/>
      <c r="G164" s="33"/>
    </row>
    <row r="165" customFormat="false" ht="15" hidden="false" customHeight="false" outlineLevel="0" collapsed="false">
      <c r="A165" s="32"/>
      <c r="B165" s="35"/>
      <c r="C165" s="32"/>
      <c r="D165" s="32"/>
      <c r="E165" s="33"/>
      <c r="F165" s="33"/>
      <c r="G165" s="33"/>
    </row>
    <row r="166" customFormat="false" ht="15" hidden="false" customHeight="false" outlineLevel="0" collapsed="false">
      <c r="A166" s="32"/>
      <c r="B166" s="35"/>
      <c r="C166" s="32"/>
      <c r="D166" s="32"/>
      <c r="E166" s="33"/>
      <c r="F166" s="33"/>
      <c r="G166" s="33"/>
    </row>
    <row r="167" customFormat="false" ht="15" hidden="false" customHeight="false" outlineLevel="0" collapsed="false">
      <c r="A167" s="32"/>
      <c r="B167" s="35"/>
      <c r="C167" s="32"/>
      <c r="D167" s="32"/>
      <c r="E167" s="33"/>
      <c r="F167" s="33"/>
      <c r="G167" s="33"/>
    </row>
    <row r="168" customFormat="false" ht="15" hidden="false" customHeight="false" outlineLevel="0" collapsed="false">
      <c r="A168" s="32"/>
      <c r="B168" s="35"/>
      <c r="C168" s="32"/>
      <c r="D168" s="32"/>
      <c r="E168" s="33"/>
      <c r="F168" s="33"/>
      <c r="G168" s="33"/>
    </row>
    <row r="169" customFormat="false" ht="15" hidden="false" customHeight="false" outlineLevel="0" collapsed="false">
      <c r="A169" s="32"/>
      <c r="B169" s="35"/>
      <c r="C169" s="32"/>
      <c r="D169" s="32"/>
      <c r="E169" s="33"/>
      <c r="F169" s="33"/>
      <c r="G169" s="33"/>
    </row>
    <row r="170" customFormat="false" ht="15" hidden="false" customHeight="false" outlineLevel="0" collapsed="false">
      <c r="A170" s="32"/>
      <c r="B170" s="35"/>
      <c r="C170" s="32"/>
      <c r="D170" s="32"/>
      <c r="E170" s="33"/>
      <c r="F170" s="33"/>
      <c r="G170" s="33"/>
    </row>
    <row r="171" customFormat="false" ht="15" hidden="false" customHeight="false" outlineLevel="0" collapsed="false">
      <c r="A171" s="32"/>
      <c r="B171" s="35"/>
      <c r="C171" s="32"/>
      <c r="D171" s="32"/>
      <c r="E171" s="33"/>
      <c r="F171" s="33"/>
      <c r="G171" s="33"/>
    </row>
    <row r="172" customFormat="false" ht="15" hidden="false" customHeight="false" outlineLevel="0" collapsed="false">
      <c r="A172" s="32"/>
      <c r="B172" s="35"/>
      <c r="C172" s="32"/>
      <c r="D172" s="32"/>
      <c r="E172" s="33"/>
      <c r="F172" s="33"/>
      <c r="G172" s="33"/>
    </row>
    <row r="173" customFormat="false" ht="15" hidden="false" customHeight="false" outlineLevel="0" collapsed="false">
      <c r="A173" s="32"/>
      <c r="B173" s="35"/>
      <c r="C173" s="32"/>
      <c r="D173" s="32"/>
      <c r="E173" s="33"/>
      <c r="F173" s="33"/>
      <c r="G173" s="33"/>
    </row>
    <row r="174" customFormat="false" ht="15" hidden="false" customHeight="false" outlineLevel="0" collapsed="false">
      <c r="A174" s="32"/>
      <c r="B174" s="35"/>
      <c r="C174" s="32"/>
      <c r="D174" s="32"/>
      <c r="E174" s="33"/>
      <c r="F174" s="33"/>
      <c r="G174" s="33"/>
    </row>
    <row r="175" customFormat="false" ht="15" hidden="false" customHeight="false" outlineLevel="0" collapsed="false">
      <c r="A175" s="32"/>
      <c r="B175" s="35"/>
      <c r="C175" s="32"/>
      <c r="D175" s="32"/>
      <c r="E175" s="33"/>
      <c r="F175" s="33"/>
      <c r="G175" s="33"/>
    </row>
    <row r="176" customFormat="false" ht="15" hidden="false" customHeight="false" outlineLevel="0" collapsed="false">
      <c r="A176" s="32"/>
      <c r="B176" s="35"/>
      <c r="C176" s="32"/>
      <c r="D176" s="32"/>
      <c r="E176" s="33"/>
      <c r="F176" s="33"/>
      <c r="G176" s="33"/>
    </row>
    <row r="177" customFormat="false" ht="15" hidden="false" customHeight="false" outlineLevel="0" collapsed="false">
      <c r="A177" s="32"/>
      <c r="B177" s="35"/>
      <c r="C177" s="32"/>
      <c r="D177" s="32"/>
      <c r="E177" s="33"/>
      <c r="F177" s="33"/>
      <c r="G177" s="33"/>
    </row>
    <row r="178" customFormat="false" ht="15" hidden="false" customHeight="false" outlineLevel="0" collapsed="false">
      <c r="A178" s="32"/>
      <c r="B178" s="35"/>
      <c r="C178" s="32"/>
      <c r="D178" s="32"/>
      <c r="E178" s="33"/>
      <c r="F178" s="33"/>
      <c r="G178" s="33"/>
    </row>
    <row r="179" customFormat="false" ht="15" hidden="false" customHeight="false" outlineLevel="0" collapsed="false">
      <c r="A179" s="32"/>
      <c r="B179" s="35"/>
      <c r="C179" s="32"/>
      <c r="D179" s="32"/>
      <c r="E179" s="33"/>
      <c r="F179" s="33"/>
      <c r="G179" s="33"/>
    </row>
    <row r="180" customFormat="false" ht="15" hidden="false" customHeight="false" outlineLevel="0" collapsed="false">
      <c r="A180" s="32"/>
      <c r="B180" s="35"/>
      <c r="C180" s="32"/>
      <c r="D180" s="32"/>
      <c r="E180" s="33"/>
      <c r="F180" s="33"/>
      <c r="G180" s="33"/>
    </row>
    <row r="181" customFormat="false" ht="15" hidden="false" customHeight="false" outlineLevel="0" collapsed="false">
      <c r="A181" s="32"/>
      <c r="B181" s="35"/>
      <c r="C181" s="32"/>
      <c r="D181" s="32"/>
      <c r="E181" s="33"/>
      <c r="F181" s="33"/>
      <c r="G181" s="33"/>
    </row>
    <row r="182" customFormat="false" ht="15" hidden="false" customHeight="false" outlineLevel="0" collapsed="false">
      <c r="A182" s="32"/>
      <c r="B182" s="35"/>
      <c r="C182" s="32"/>
      <c r="D182" s="32"/>
      <c r="E182" s="33"/>
      <c r="F182" s="33"/>
      <c r="G182" s="33"/>
    </row>
    <row r="183" customFormat="false" ht="15" hidden="false" customHeight="false" outlineLevel="0" collapsed="false">
      <c r="A183" s="32"/>
      <c r="B183" s="35"/>
      <c r="C183" s="32"/>
      <c r="D183" s="32"/>
      <c r="E183" s="33"/>
      <c r="F183" s="33"/>
      <c r="G183" s="33"/>
    </row>
    <row r="184" customFormat="false" ht="15" hidden="false" customHeight="false" outlineLevel="0" collapsed="false">
      <c r="A184" s="32"/>
      <c r="B184" s="35"/>
      <c r="C184" s="32"/>
      <c r="D184" s="32"/>
      <c r="E184" s="33"/>
      <c r="F184" s="33"/>
      <c r="G184" s="33"/>
    </row>
    <row r="185" customFormat="false" ht="15" hidden="false" customHeight="false" outlineLevel="0" collapsed="false">
      <c r="A185" s="32"/>
      <c r="B185" s="35"/>
      <c r="C185" s="32"/>
      <c r="D185" s="32"/>
      <c r="E185" s="33"/>
      <c r="F185" s="33"/>
      <c r="G185" s="33"/>
    </row>
    <row r="186" customFormat="false" ht="15" hidden="false" customHeight="false" outlineLevel="0" collapsed="false">
      <c r="A186" s="32"/>
      <c r="B186" s="35"/>
      <c r="C186" s="32"/>
      <c r="D186" s="32"/>
      <c r="E186" s="33"/>
      <c r="F186" s="33"/>
      <c r="G186" s="33"/>
    </row>
    <row r="187" customFormat="false" ht="15" hidden="false" customHeight="false" outlineLevel="0" collapsed="false">
      <c r="A187" s="32"/>
      <c r="B187" s="35"/>
      <c r="C187" s="32"/>
      <c r="D187" s="32"/>
      <c r="E187" s="33"/>
      <c r="F187" s="33"/>
      <c r="G187" s="33"/>
    </row>
    <row r="188" customFormat="false" ht="15" hidden="false" customHeight="false" outlineLevel="0" collapsed="false">
      <c r="A188" s="32"/>
      <c r="B188" s="35"/>
      <c r="C188" s="32"/>
      <c r="D188" s="32"/>
      <c r="E188" s="33"/>
      <c r="F188" s="33"/>
      <c r="G188" s="33"/>
    </row>
    <row r="189" customFormat="false" ht="15" hidden="false" customHeight="false" outlineLevel="0" collapsed="false">
      <c r="A189" s="32"/>
      <c r="B189" s="35"/>
      <c r="C189" s="32"/>
      <c r="D189" s="32"/>
      <c r="E189" s="33"/>
      <c r="F189" s="33"/>
      <c r="G189" s="33"/>
    </row>
    <row r="190" customFormat="false" ht="15" hidden="false" customHeight="false" outlineLevel="0" collapsed="false">
      <c r="A190" s="32"/>
      <c r="B190" s="35"/>
      <c r="C190" s="32"/>
      <c r="D190" s="32"/>
      <c r="E190" s="33"/>
      <c r="F190" s="33"/>
      <c r="G190" s="33"/>
    </row>
    <row r="191" customFormat="false" ht="15" hidden="false" customHeight="false" outlineLevel="0" collapsed="false">
      <c r="A191" s="32"/>
      <c r="B191" s="35"/>
      <c r="C191" s="32"/>
      <c r="D191" s="32"/>
      <c r="E191" s="33"/>
      <c r="F191" s="33"/>
      <c r="G191" s="33"/>
    </row>
    <row r="192" customFormat="false" ht="15" hidden="false" customHeight="false" outlineLevel="0" collapsed="false">
      <c r="A192" s="32"/>
      <c r="B192" s="35"/>
      <c r="C192" s="32"/>
      <c r="D192" s="32"/>
      <c r="E192" s="33"/>
      <c r="F192" s="33"/>
      <c r="G192" s="33"/>
    </row>
    <row r="193" customFormat="false" ht="15" hidden="false" customHeight="false" outlineLevel="0" collapsed="false">
      <c r="A193" s="32"/>
      <c r="B193" s="35"/>
      <c r="C193" s="32"/>
      <c r="D193" s="32"/>
      <c r="E193" s="33"/>
      <c r="F193" s="33"/>
      <c r="G193" s="33"/>
    </row>
    <row r="194" customFormat="false" ht="15" hidden="false" customHeight="false" outlineLevel="0" collapsed="false">
      <c r="A194" s="32"/>
      <c r="B194" s="35"/>
      <c r="C194" s="32"/>
      <c r="D194" s="32"/>
      <c r="E194" s="33"/>
      <c r="F194" s="33"/>
      <c r="G194" s="33"/>
    </row>
    <row r="195" customFormat="false" ht="15" hidden="false" customHeight="false" outlineLevel="0" collapsed="false">
      <c r="A195" s="32"/>
      <c r="B195" s="35"/>
      <c r="C195" s="32"/>
      <c r="D195" s="32"/>
      <c r="E195" s="33"/>
      <c r="F195" s="33"/>
      <c r="G195" s="33"/>
    </row>
    <row r="196" customFormat="false" ht="15" hidden="false" customHeight="false" outlineLevel="0" collapsed="false">
      <c r="A196" s="32"/>
      <c r="B196" s="35"/>
      <c r="C196" s="32"/>
      <c r="D196" s="32"/>
      <c r="E196" s="33"/>
      <c r="F196" s="33"/>
      <c r="G196" s="33"/>
    </row>
    <row r="197" customFormat="false" ht="15" hidden="false" customHeight="false" outlineLevel="0" collapsed="false">
      <c r="A197" s="32"/>
      <c r="B197" s="35"/>
      <c r="C197" s="32"/>
      <c r="D197" s="32"/>
      <c r="E197" s="33"/>
      <c r="F197" s="33"/>
      <c r="G197" s="33"/>
    </row>
    <row r="198" customFormat="false" ht="15" hidden="false" customHeight="false" outlineLevel="0" collapsed="false">
      <c r="A198" s="32"/>
      <c r="B198" s="35"/>
      <c r="C198" s="32"/>
      <c r="D198" s="32"/>
      <c r="E198" s="33"/>
      <c r="F198" s="33"/>
      <c r="G198" s="33"/>
    </row>
    <row r="199" customFormat="false" ht="15" hidden="false" customHeight="false" outlineLevel="0" collapsed="false">
      <c r="A199" s="32"/>
      <c r="B199" s="35"/>
      <c r="C199" s="32"/>
      <c r="D199" s="32"/>
      <c r="E199" s="33"/>
      <c r="F199" s="33"/>
      <c r="G199" s="33"/>
    </row>
    <row r="200" customFormat="false" ht="15" hidden="false" customHeight="false" outlineLevel="0" collapsed="false">
      <c r="A200" s="32"/>
      <c r="B200" s="35"/>
      <c r="C200" s="32"/>
      <c r="D200" s="32"/>
      <c r="E200" s="33"/>
      <c r="F200" s="33"/>
      <c r="G200" s="33"/>
    </row>
    <row r="201" customFormat="false" ht="15" hidden="false" customHeight="false" outlineLevel="0" collapsed="false">
      <c r="A201" s="32"/>
      <c r="B201" s="35"/>
      <c r="C201" s="32"/>
      <c r="D201" s="32"/>
      <c r="E201" s="33"/>
      <c r="F201" s="33"/>
      <c r="G201" s="33"/>
    </row>
    <row r="202" customFormat="false" ht="15" hidden="false" customHeight="false" outlineLevel="0" collapsed="false">
      <c r="A202" s="32"/>
      <c r="B202" s="35"/>
      <c r="C202" s="32"/>
      <c r="D202" s="32"/>
      <c r="E202" s="33"/>
      <c r="F202" s="33"/>
      <c r="G202" s="33"/>
    </row>
    <row r="203" customFormat="false" ht="15" hidden="false" customHeight="false" outlineLevel="0" collapsed="false">
      <c r="A203" s="32"/>
      <c r="B203" s="35"/>
      <c r="C203" s="32"/>
      <c r="D203" s="32"/>
      <c r="E203" s="33"/>
      <c r="F203" s="33"/>
      <c r="G203" s="33"/>
    </row>
    <row r="204" customFormat="false" ht="15" hidden="false" customHeight="false" outlineLevel="0" collapsed="false">
      <c r="A204" s="32"/>
      <c r="B204" s="35"/>
      <c r="C204" s="32"/>
      <c r="D204" s="32"/>
      <c r="E204" s="33"/>
      <c r="F204" s="33"/>
      <c r="G204" s="33"/>
    </row>
    <row r="205" customFormat="false" ht="15" hidden="false" customHeight="false" outlineLevel="0" collapsed="false">
      <c r="A205" s="32"/>
      <c r="B205" s="35"/>
      <c r="C205" s="32"/>
      <c r="D205" s="32"/>
      <c r="E205" s="33"/>
      <c r="F205" s="33"/>
      <c r="G205" s="33"/>
    </row>
    <row r="206" customFormat="false" ht="15" hidden="false" customHeight="false" outlineLevel="0" collapsed="false">
      <c r="A206" s="32"/>
      <c r="B206" s="35"/>
      <c r="C206" s="32"/>
      <c r="D206" s="32"/>
      <c r="E206" s="33"/>
      <c r="F206" s="33"/>
      <c r="G206" s="33"/>
    </row>
    <row r="207" customFormat="false" ht="15" hidden="false" customHeight="false" outlineLevel="0" collapsed="false">
      <c r="A207" s="32"/>
      <c r="B207" s="35"/>
      <c r="C207" s="32"/>
      <c r="D207" s="32"/>
      <c r="E207" s="33"/>
      <c r="F207" s="33"/>
      <c r="G207" s="33"/>
    </row>
    <row r="208" customFormat="false" ht="15" hidden="false" customHeight="false" outlineLevel="0" collapsed="false">
      <c r="A208" s="32"/>
      <c r="B208" s="35"/>
      <c r="C208" s="32"/>
      <c r="D208" s="32"/>
      <c r="E208" s="33"/>
      <c r="F208" s="33"/>
      <c r="G208" s="33"/>
    </row>
    <row r="209" customFormat="false" ht="15" hidden="false" customHeight="false" outlineLevel="0" collapsed="false">
      <c r="A209" s="32"/>
      <c r="B209" s="35"/>
      <c r="C209" s="32"/>
      <c r="D209" s="32"/>
      <c r="E209" s="33"/>
      <c r="F209" s="33"/>
      <c r="G209" s="33"/>
    </row>
    <row r="210" customFormat="false" ht="15" hidden="false" customHeight="false" outlineLevel="0" collapsed="false">
      <c r="A210" s="32"/>
      <c r="B210" s="35"/>
      <c r="C210" s="32"/>
      <c r="D210" s="32"/>
      <c r="E210" s="33"/>
      <c r="F210" s="33"/>
      <c r="G210" s="33"/>
    </row>
    <row r="211" customFormat="false" ht="15" hidden="false" customHeight="false" outlineLevel="0" collapsed="false">
      <c r="A211" s="32"/>
      <c r="B211" s="35"/>
      <c r="C211" s="32"/>
      <c r="D211" s="32"/>
      <c r="E211" s="33"/>
      <c r="F211" s="33"/>
      <c r="G211" s="33"/>
    </row>
    <row r="212" customFormat="false" ht="15" hidden="false" customHeight="false" outlineLevel="0" collapsed="false">
      <c r="A212" s="32"/>
      <c r="B212" s="35"/>
      <c r="C212" s="32"/>
      <c r="D212" s="32"/>
      <c r="E212" s="33"/>
      <c r="F212" s="33"/>
      <c r="G212" s="33"/>
    </row>
    <row r="213" customFormat="false" ht="15" hidden="false" customHeight="false" outlineLevel="0" collapsed="false">
      <c r="A213" s="32"/>
      <c r="B213" s="35"/>
      <c r="C213" s="32"/>
      <c r="D213" s="32"/>
      <c r="E213" s="33"/>
      <c r="F213" s="33"/>
      <c r="G213" s="33"/>
    </row>
    <row r="214" customFormat="false" ht="15" hidden="false" customHeight="false" outlineLevel="0" collapsed="false">
      <c r="A214" s="32"/>
      <c r="B214" s="35"/>
      <c r="C214" s="32"/>
      <c r="D214" s="32"/>
      <c r="E214" s="33"/>
      <c r="F214" s="33"/>
      <c r="G214" s="33"/>
    </row>
    <row r="215" customFormat="false" ht="15" hidden="false" customHeight="false" outlineLevel="0" collapsed="false">
      <c r="A215" s="32"/>
      <c r="B215" s="35"/>
      <c r="C215" s="32"/>
      <c r="D215" s="32"/>
      <c r="E215" s="33"/>
      <c r="F215" s="33"/>
      <c r="G215" s="33"/>
    </row>
    <row r="216" customFormat="false" ht="15" hidden="false" customHeight="false" outlineLevel="0" collapsed="false">
      <c r="A216" s="32"/>
      <c r="B216" s="35"/>
      <c r="C216" s="32"/>
      <c r="D216" s="32"/>
      <c r="E216" s="33"/>
      <c r="F216" s="33"/>
      <c r="G216" s="33"/>
    </row>
    <row r="217" customFormat="false" ht="15" hidden="false" customHeight="false" outlineLevel="0" collapsed="false">
      <c r="A217" s="32"/>
      <c r="B217" s="35"/>
      <c r="C217" s="32"/>
      <c r="D217" s="32"/>
      <c r="E217" s="33"/>
      <c r="F217" s="33"/>
      <c r="G217" s="33"/>
    </row>
    <row r="218" customFormat="false" ht="15" hidden="false" customHeight="false" outlineLevel="0" collapsed="false">
      <c r="A218" s="32"/>
      <c r="B218" s="35"/>
      <c r="C218" s="32"/>
      <c r="D218" s="32"/>
      <c r="E218" s="33"/>
      <c r="F218" s="33"/>
      <c r="G218" s="33"/>
    </row>
    <row r="219" customFormat="false" ht="15" hidden="false" customHeight="false" outlineLevel="0" collapsed="false">
      <c r="A219" s="32"/>
      <c r="B219" s="35"/>
      <c r="C219" s="32"/>
      <c r="D219" s="32"/>
      <c r="E219" s="33"/>
      <c r="F219" s="33"/>
      <c r="G219" s="33"/>
    </row>
    <row r="220" customFormat="false" ht="15" hidden="false" customHeight="false" outlineLevel="0" collapsed="false">
      <c r="A220" s="32"/>
      <c r="B220" s="35"/>
      <c r="C220" s="32"/>
      <c r="D220" s="32"/>
      <c r="E220" s="33"/>
      <c r="F220" s="33"/>
      <c r="G220" s="33"/>
    </row>
    <row r="221" customFormat="false" ht="15" hidden="false" customHeight="false" outlineLevel="0" collapsed="false">
      <c r="A221" s="32"/>
      <c r="B221" s="35"/>
      <c r="C221" s="32"/>
      <c r="D221" s="32"/>
      <c r="E221" s="33"/>
      <c r="F221" s="33"/>
      <c r="G221" s="33"/>
    </row>
    <row r="222" customFormat="false" ht="15" hidden="false" customHeight="false" outlineLevel="0" collapsed="false">
      <c r="A222" s="32"/>
      <c r="B222" s="35"/>
      <c r="C222" s="32"/>
      <c r="D222" s="32"/>
      <c r="E222" s="33"/>
      <c r="F222" s="33"/>
      <c r="G222" s="33"/>
    </row>
    <row r="223" customFormat="false" ht="15" hidden="false" customHeight="false" outlineLevel="0" collapsed="false">
      <c r="A223" s="32"/>
      <c r="B223" s="35"/>
      <c r="C223" s="32"/>
      <c r="D223" s="32"/>
      <c r="E223" s="33"/>
      <c r="F223" s="33"/>
      <c r="G223" s="33"/>
    </row>
    <row r="224" customFormat="false" ht="15" hidden="false" customHeight="false" outlineLevel="0" collapsed="false">
      <c r="A224" s="32"/>
      <c r="B224" s="35"/>
      <c r="C224" s="32"/>
      <c r="D224" s="32"/>
      <c r="E224" s="33"/>
      <c r="F224" s="33"/>
      <c r="G224" s="33"/>
    </row>
    <row r="225" customFormat="false" ht="15" hidden="false" customHeight="false" outlineLevel="0" collapsed="false">
      <c r="A225" s="32"/>
      <c r="B225" s="35"/>
      <c r="C225" s="32"/>
      <c r="D225" s="32"/>
      <c r="E225" s="33"/>
      <c r="F225" s="33"/>
      <c r="G225" s="33"/>
    </row>
    <row r="226" customFormat="false" ht="15" hidden="false" customHeight="false" outlineLevel="0" collapsed="false">
      <c r="A226" s="32"/>
      <c r="B226" s="35"/>
      <c r="C226" s="32"/>
      <c r="D226" s="32"/>
      <c r="E226" s="33"/>
      <c r="F226" s="33"/>
      <c r="G226" s="33"/>
    </row>
    <row r="227" customFormat="false" ht="15" hidden="false" customHeight="false" outlineLevel="0" collapsed="false">
      <c r="A227" s="32"/>
      <c r="B227" s="35"/>
      <c r="C227" s="32"/>
      <c r="D227" s="32"/>
      <c r="E227" s="33"/>
      <c r="F227" s="33"/>
      <c r="G227" s="33"/>
    </row>
    <row r="228" customFormat="false" ht="15" hidden="false" customHeight="false" outlineLevel="0" collapsed="false">
      <c r="A228" s="32"/>
      <c r="B228" s="35"/>
      <c r="C228" s="32"/>
      <c r="D228" s="32"/>
      <c r="E228" s="33"/>
      <c r="F228" s="33"/>
      <c r="G228" s="33"/>
    </row>
    <row r="229" customFormat="false" ht="15" hidden="false" customHeight="false" outlineLevel="0" collapsed="false">
      <c r="A229" s="32"/>
      <c r="B229" s="35"/>
      <c r="C229" s="32"/>
      <c r="D229" s="32"/>
      <c r="E229" s="33"/>
      <c r="F229" s="33"/>
      <c r="G229" s="33"/>
    </row>
    <row r="230" customFormat="false" ht="15" hidden="false" customHeight="false" outlineLevel="0" collapsed="false">
      <c r="A230" s="32"/>
      <c r="B230" s="35"/>
      <c r="C230" s="32"/>
      <c r="D230" s="32"/>
      <c r="E230" s="33"/>
      <c r="F230" s="33"/>
      <c r="G230" s="33"/>
    </row>
    <row r="231" customFormat="false" ht="15" hidden="false" customHeight="false" outlineLevel="0" collapsed="false">
      <c r="A231" s="32"/>
      <c r="B231" s="35"/>
      <c r="C231" s="32"/>
      <c r="D231" s="32"/>
      <c r="E231" s="33"/>
      <c r="F231" s="33"/>
      <c r="G231" s="33"/>
    </row>
    <row r="232" customFormat="false" ht="15" hidden="false" customHeight="false" outlineLevel="0" collapsed="false">
      <c r="A232" s="32"/>
      <c r="B232" s="35"/>
      <c r="C232" s="32"/>
      <c r="D232" s="32"/>
      <c r="E232" s="33"/>
      <c r="F232" s="33"/>
      <c r="G232" s="33"/>
    </row>
    <row r="233" customFormat="false" ht="15" hidden="false" customHeight="false" outlineLevel="0" collapsed="false">
      <c r="A233" s="32"/>
      <c r="B233" s="35"/>
      <c r="C233" s="32"/>
      <c r="D233" s="32"/>
      <c r="E233" s="33"/>
      <c r="F233" s="33"/>
      <c r="G233" s="33"/>
    </row>
    <row r="234" customFormat="false" ht="15" hidden="false" customHeight="false" outlineLevel="0" collapsed="false">
      <c r="A234" s="32"/>
      <c r="B234" s="35"/>
      <c r="C234" s="32"/>
      <c r="D234" s="32"/>
      <c r="E234" s="33"/>
      <c r="F234" s="33"/>
      <c r="G234" s="33"/>
    </row>
    <row r="235" customFormat="false" ht="15" hidden="false" customHeight="false" outlineLevel="0" collapsed="false">
      <c r="A235" s="32"/>
      <c r="B235" s="35"/>
      <c r="C235" s="32"/>
      <c r="D235" s="32"/>
      <c r="E235" s="33"/>
      <c r="F235" s="33"/>
      <c r="G235" s="33"/>
    </row>
    <row r="236" customFormat="false" ht="15" hidden="false" customHeight="false" outlineLevel="0" collapsed="false">
      <c r="A236" s="32"/>
      <c r="B236" s="35"/>
      <c r="C236" s="32"/>
      <c r="D236" s="32"/>
      <c r="E236" s="33"/>
      <c r="F236" s="33"/>
      <c r="G236" s="33"/>
    </row>
    <row r="237" customFormat="false" ht="15" hidden="false" customHeight="false" outlineLevel="0" collapsed="false">
      <c r="A237" s="32"/>
      <c r="B237" s="35"/>
      <c r="C237" s="32"/>
      <c r="D237" s="32"/>
      <c r="E237" s="33"/>
      <c r="F237" s="33"/>
      <c r="G237" s="33"/>
    </row>
    <row r="238" customFormat="false" ht="15" hidden="false" customHeight="false" outlineLevel="0" collapsed="false">
      <c r="A238" s="32"/>
      <c r="B238" s="35"/>
      <c r="C238" s="32"/>
      <c r="D238" s="32"/>
      <c r="E238" s="33"/>
      <c r="F238" s="33"/>
      <c r="G238" s="33"/>
    </row>
    <row r="239" customFormat="false" ht="15" hidden="false" customHeight="false" outlineLevel="0" collapsed="false">
      <c r="A239" s="32"/>
      <c r="B239" s="35"/>
      <c r="C239" s="32"/>
      <c r="D239" s="32"/>
      <c r="E239" s="33"/>
      <c r="F239" s="33"/>
      <c r="G239" s="33"/>
    </row>
    <row r="240" customFormat="false" ht="15" hidden="false" customHeight="false" outlineLevel="0" collapsed="false">
      <c r="A240" s="32"/>
      <c r="B240" s="35"/>
      <c r="C240" s="32"/>
      <c r="D240" s="32"/>
      <c r="E240" s="33"/>
      <c r="F240" s="33"/>
      <c r="G240" s="33"/>
    </row>
    <row r="241" customFormat="false" ht="15" hidden="false" customHeight="false" outlineLevel="0" collapsed="false">
      <c r="A241" s="32"/>
      <c r="B241" s="35"/>
      <c r="C241" s="32"/>
      <c r="D241" s="32"/>
      <c r="E241" s="33"/>
      <c r="F241" s="33"/>
      <c r="G241" s="33"/>
    </row>
    <row r="242" customFormat="false" ht="15" hidden="false" customHeight="false" outlineLevel="0" collapsed="false">
      <c r="A242" s="32"/>
      <c r="B242" s="35"/>
      <c r="C242" s="32"/>
      <c r="D242" s="32"/>
      <c r="E242" s="33"/>
      <c r="F242" s="33"/>
      <c r="G242" s="33"/>
    </row>
    <row r="243" customFormat="false" ht="15" hidden="false" customHeight="false" outlineLevel="0" collapsed="false">
      <c r="A243" s="32"/>
      <c r="B243" s="35"/>
      <c r="C243" s="32"/>
      <c r="D243" s="32"/>
      <c r="E243" s="33"/>
      <c r="F243" s="33"/>
      <c r="G243" s="33"/>
    </row>
    <row r="244" customFormat="false" ht="15" hidden="false" customHeight="false" outlineLevel="0" collapsed="false">
      <c r="A244" s="32"/>
      <c r="B244" s="35"/>
      <c r="C244" s="32"/>
      <c r="D244" s="32"/>
      <c r="E244" s="33"/>
      <c r="F244" s="33"/>
      <c r="G244" s="33"/>
    </row>
    <row r="245" customFormat="false" ht="15" hidden="false" customHeight="false" outlineLevel="0" collapsed="false">
      <c r="A245" s="32"/>
      <c r="B245" s="35"/>
      <c r="C245" s="32"/>
      <c r="D245" s="32"/>
      <c r="E245" s="33"/>
      <c r="F245" s="33"/>
      <c r="G245" s="33"/>
    </row>
    <row r="246" customFormat="false" ht="15" hidden="false" customHeight="false" outlineLevel="0" collapsed="false">
      <c r="A246" s="32"/>
      <c r="B246" s="35"/>
      <c r="C246" s="32"/>
      <c r="D246" s="32"/>
      <c r="E246" s="33"/>
      <c r="F246" s="33"/>
      <c r="G246" s="33"/>
    </row>
    <row r="247" customFormat="false" ht="15" hidden="false" customHeight="false" outlineLevel="0" collapsed="false">
      <c r="A247" s="32"/>
      <c r="B247" s="35"/>
      <c r="C247" s="32"/>
      <c r="D247" s="32"/>
      <c r="E247" s="33"/>
      <c r="F247" s="33"/>
      <c r="G247" s="33"/>
    </row>
    <row r="248" customFormat="false" ht="15" hidden="false" customHeight="false" outlineLevel="0" collapsed="false">
      <c r="A248" s="32"/>
      <c r="B248" s="35"/>
      <c r="C248" s="32"/>
      <c r="D248" s="32"/>
      <c r="E248" s="33"/>
      <c r="F248" s="33"/>
      <c r="G248" s="33"/>
    </row>
    <row r="249" customFormat="false" ht="15" hidden="false" customHeight="false" outlineLevel="0" collapsed="false">
      <c r="A249" s="32"/>
      <c r="B249" s="35"/>
      <c r="C249" s="32"/>
      <c r="D249" s="32"/>
      <c r="E249" s="33"/>
      <c r="F249" s="33"/>
      <c r="G249" s="33"/>
    </row>
    <row r="250" customFormat="false" ht="15" hidden="false" customHeight="false" outlineLevel="0" collapsed="false">
      <c r="A250" s="32"/>
      <c r="B250" s="35"/>
      <c r="C250" s="32"/>
      <c r="D250" s="32"/>
      <c r="E250" s="33"/>
      <c r="F250" s="33"/>
      <c r="G250" s="33"/>
    </row>
    <row r="251" customFormat="false" ht="15" hidden="false" customHeight="false" outlineLevel="0" collapsed="false">
      <c r="A251" s="32"/>
      <c r="B251" s="35"/>
      <c r="C251" s="32"/>
      <c r="D251" s="32"/>
      <c r="E251" s="33"/>
      <c r="F251" s="33"/>
      <c r="G251" s="33"/>
    </row>
    <row r="252" customFormat="false" ht="15" hidden="false" customHeight="false" outlineLevel="0" collapsed="false">
      <c r="A252" s="32"/>
      <c r="B252" s="35"/>
      <c r="C252" s="32"/>
      <c r="D252" s="32"/>
      <c r="E252" s="33"/>
      <c r="F252" s="33"/>
      <c r="G252" s="33"/>
    </row>
    <row r="253" customFormat="false" ht="15" hidden="false" customHeight="false" outlineLevel="0" collapsed="false">
      <c r="A253" s="32"/>
      <c r="B253" s="35"/>
      <c r="C253" s="32"/>
      <c r="D253" s="32"/>
      <c r="E253" s="33"/>
      <c r="F253" s="33"/>
      <c r="G253" s="33"/>
    </row>
    <row r="254" customFormat="false" ht="15" hidden="false" customHeight="false" outlineLevel="0" collapsed="false">
      <c r="A254" s="32"/>
      <c r="B254" s="35"/>
      <c r="C254" s="32"/>
      <c r="D254" s="32"/>
      <c r="E254" s="33"/>
      <c r="F254" s="33"/>
      <c r="G254" s="33"/>
    </row>
    <row r="255" customFormat="false" ht="15" hidden="false" customHeight="false" outlineLevel="0" collapsed="false">
      <c r="A255" s="32"/>
      <c r="B255" s="35"/>
      <c r="C255" s="32"/>
      <c r="D255" s="32"/>
      <c r="E255" s="33"/>
      <c r="F255" s="33"/>
      <c r="G255" s="33"/>
    </row>
    <row r="256" customFormat="false" ht="15" hidden="false" customHeight="false" outlineLevel="0" collapsed="false">
      <c r="A256" s="32"/>
      <c r="B256" s="35"/>
      <c r="C256" s="32"/>
      <c r="D256" s="32"/>
      <c r="E256" s="33"/>
      <c r="F256" s="33"/>
      <c r="G256" s="33"/>
    </row>
    <row r="257" customFormat="false" ht="15" hidden="false" customHeight="false" outlineLevel="0" collapsed="false">
      <c r="A257" s="32"/>
      <c r="B257" s="35"/>
      <c r="C257" s="32"/>
      <c r="D257" s="32"/>
      <c r="E257" s="33"/>
      <c r="F257" s="33"/>
      <c r="G257" s="33"/>
    </row>
    <row r="258" customFormat="false" ht="15" hidden="false" customHeight="false" outlineLevel="0" collapsed="false">
      <c r="A258" s="32"/>
      <c r="B258" s="35"/>
      <c r="C258" s="32"/>
      <c r="D258" s="32"/>
      <c r="E258" s="33"/>
      <c r="F258" s="33"/>
      <c r="G258" s="33"/>
    </row>
    <row r="259" customFormat="false" ht="15" hidden="false" customHeight="false" outlineLevel="0" collapsed="false">
      <c r="A259" s="32"/>
      <c r="B259" s="35"/>
      <c r="C259" s="32"/>
      <c r="D259" s="32"/>
      <c r="E259" s="33"/>
      <c r="F259" s="33"/>
      <c r="G259" s="33"/>
    </row>
    <row r="260" customFormat="false" ht="15" hidden="false" customHeight="false" outlineLevel="0" collapsed="false">
      <c r="A260" s="32"/>
      <c r="B260" s="35"/>
      <c r="C260" s="32"/>
      <c r="D260" s="32"/>
      <c r="E260" s="33"/>
      <c r="F260" s="33"/>
      <c r="G260" s="33"/>
    </row>
    <row r="261" customFormat="false" ht="15" hidden="false" customHeight="false" outlineLevel="0" collapsed="false">
      <c r="A261" s="32"/>
      <c r="B261" s="35"/>
      <c r="C261" s="32"/>
      <c r="D261" s="32"/>
      <c r="E261" s="33"/>
      <c r="F261" s="33"/>
      <c r="G261" s="33"/>
    </row>
    <row r="262" customFormat="false" ht="15" hidden="false" customHeight="false" outlineLevel="0" collapsed="false">
      <c r="A262" s="32"/>
      <c r="B262" s="35"/>
      <c r="C262" s="32"/>
      <c r="D262" s="32"/>
      <c r="E262" s="33"/>
      <c r="F262" s="33"/>
      <c r="G262" s="33"/>
    </row>
    <row r="263" customFormat="false" ht="15" hidden="false" customHeight="false" outlineLevel="0" collapsed="false">
      <c r="A263" s="32"/>
      <c r="B263" s="35"/>
      <c r="C263" s="32"/>
      <c r="D263" s="32"/>
      <c r="E263" s="33"/>
      <c r="F263" s="33"/>
      <c r="G263" s="33"/>
    </row>
    <row r="264" customFormat="false" ht="15" hidden="false" customHeight="false" outlineLevel="0" collapsed="false">
      <c r="A264" s="32"/>
      <c r="B264" s="35"/>
      <c r="C264" s="32"/>
      <c r="D264" s="32"/>
      <c r="E264" s="33"/>
      <c r="F264" s="33"/>
      <c r="G264" s="33"/>
    </row>
    <row r="265" customFormat="false" ht="15" hidden="false" customHeight="false" outlineLevel="0" collapsed="false">
      <c r="A265" s="32"/>
      <c r="B265" s="35"/>
      <c r="C265" s="32"/>
      <c r="D265" s="32"/>
      <c r="E265" s="33"/>
      <c r="F265" s="33"/>
      <c r="G265" s="33"/>
    </row>
    <row r="266" customFormat="false" ht="15" hidden="false" customHeight="false" outlineLevel="0" collapsed="false">
      <c r="A266" s="32"/>
      <c r="B266" s="35"/>
      <c r="C266" s="32"/>
      <c r="D266" s="32"/>
      <c r="E266" s="33"/>
      <c r="F266" s="33"/>
      <c r="G266" s="33"/>
    </row>
    <row r="267" customFormat="false" ht="15" hidden="false" customHeight="false" outlineLevel="0" collapsed="false">
      <c r="A267" s="32"/>
      <c r="B267" s="35"/>
      <c r="C267" s="32"/>
      <c r="D267" s="32"/>
      <c r="E267" s="33"/>
      <c r="F267" s="33"/>
      <c r="G267" s="33"/>
    </row>
    <row r="268" customFormat="false" ht="15" hidden="false" customHeight="false" outlineLevel="0" collapsed="false">
      <c r="A268" s="32"/>
      <c r="B268" s="35"/>
      <c r="C268" s="32"/>
      <c r="D268" s="32"/>
      <c r="E268" s="33"/>
      <c r="F268" s="33"/>
      <c r="G268" s="33"/>
    </row>
    <row r="269" customFormat="false" ht="15" hidden="false" customHeight="false" outlineLevel="0" collapsed="false">
      <c r="A269" s="32"/>
      <c r="B269" s="35"/>
      <c r="C269" s="32"/>
      <c r="D269" s="32"/>
      <c r="E269" s="33"/>
      <c r="F269" s="33"/>
      <c r="G269" s="33"/>
    </row>
    <row r="270" customFormat="false" ht="15" hidden="false" customHeight="false" outlineLevel="0" collapsed="false">
      <c r="A270" s="32"/>
      <c r="B270" s="35"/>
      <c r="C270" s="32"/>
      <c r="D270" s="32"/>
      <c r="E270" s="33"/>
      <c r="F270" s="33"/>
      <c r="G270" s="33"/>
    </row>
    <row r="271" customFormat="false" ht="15" hidden="false" customHeight="false" outlineLevel="0" collapsed="false">
      <c r="A271" s="32"/>
      <c r="B271" s="35"/>
      <c r="C271" s="32"/>
      <c r="D271" s="32"/>
      <c r="E271" s="33"/>
      <c r="F271" s="33"/>
      <c r="G271" s="33"/>
    </row>
    <row r="272" customFormat="false" ht="15" hidden="false" customHeight="false" outlineLevel="0" collapsed="false">
      <c r="A272" s="32"/>
      <c r="B272" s="35"/>
      <c r="C272" s="32"/>
      <c r="D272" s="32"/>
      <c r="E272" s="33"/>
      <c r="F272" s="33"/>
      <c r="G272" s="33"/>
    </row>
    <row r="273" customFormat="false" ht="15" hidden="false" customHeight="false" outlineLevel="0" collapsed="false">
      <c r="A273" s="32"/>
      <c r="B273" s="35"/>
      <c r="C273" s="32"/>
      <c r="D273" s="32"/>
      <c r="E273" s="33"/>
      <c r="F273" s="33"/>
      <c r="G273" s="33"/>
    </row>
    <row r="274" customFormat="false" ht="15" hidden="false" customHeight="false" outlineLevel="0" collapsed="false">
      <c r="A274" s="32"/>
      <c r="B274" s="35"/>
      <c r="C274" s="32"/>
      <c r="D274" s="32"/>
      <c r="E274" s="33"/>
      <c r="F274" s="33"/>
      <c r="G274" s="33"/>
    </row>
    <row r="275" customFormat="false" ht="15" hidden="false" customHeight="false" outlineLevel="0" collapsed="false">
      <c r="A275" s="32"/>
      <c r="B275" s="35"/>
      <c r="C275" s="32"/>
      <c r="D275" s="32"/>
      <c r="E275" s="33"/>
      <c r="F275" s="33"/>
      <c r="G275" s="33"/>
    </row>
    <row r="276" customFormat="false" ht="15" hidden="false" customHeight="false" outlineLevel="0" collapsed="false">
      <c r="A276" s="32"/>
      <c r="B276" s="35"/>
      <c r="C276" s="32"/>
      <c r="D276" s="32"/>
      <c r="E276" s="33"/>
      <c r="F276" s="33"/>
      <c r="G276" s="33"/>
    </row>
    <row r="277" customFormat="false" ht="15" hidden="false" customHeight="false" outlineLevel="0" collapsed="false">
      <c r="A277" s="32"/>
      <c r="B277" s="35"/>
      <c r="C277" s="32"/>
      <c r="D277" s="32"/>
      <c r="E277" s="33"/>
      <c r="F277" s="33"/>
      <c r="G277" s="33"/>
    </row>
    <row r="278" customFormat="false" ht="15" hidden="false" customHeight="false" outlineLevel="0" collapsed="false">
      <c r="A278" s="32"/>
      <c r="B278" s="35"/>
      <c r="C278" s="32"/>
      <c r="D278" s="32"/>
      <c r="E278" s="33"/>
      <c r="F278" s="33"/>
      <c r="G278" s="33"/>
    </row>
    <row r="279" customFormat="false" ht="15" hidden="false" customHeight="false" outlineLevel="0" collapsed="false">
      <c r="A279" s="32"/>
      <c r="B279" s="35"/>
      <c r="C279" s="32"/>
      <c r="D279" s="32"/>
      <c r="E279" s="33"/>
      <c r="F279" s="33"/>
      <c r="G279" s="33"/>
    </row>
    <row r="280" customFormat="false" ht="15" hidden="false" customHeight="false" outlineLevel="0" collapsed="false">
      <c r="A280" s="32"/>
      <c r="B280" s="35"/>
      <c r="C280" s="32"/>
      <c r="D280" s="32"/>
      <c r="E280" s="33"/>
      <c r="F280" s="33"/>
      <c r="G280" s="33"/>
    </row>
    <row r="281" customFormat="false" ht="15" hidden="false" customHeight="false" outlineLevel="0" collapsed="false">
      <c r="A281" s="32"/>
      <c r="B281" s="35"/>
      <c r="C281" s="32"/>
      <c r="D281" s="32"/>
      <c r="E281" s="33"/>
      <c r="F281" s="33"/>
      <c r="G281" s="33"/>
    </row>
    <row r="282" customFormat="false" ht="15" hidden="false" customHeight="false" outlineLevel="0" collapsed="false">
      <c r="A282" s="32"/>
      <c r="B282" s="35"/>
      <c r="C282" s="32"/>
      <c r="D282" s="32"/>
      <c r="E282" s="33"/>
      <c r="F282" s="33"/>
      <c r="G282" s="33"/>
    </row>
    <row r="283" customFormat="false" ht="15" hidden="false" customHeight="false" outlineLevel="0" collapsed="false">
      <c r="A283" s="32"/>
      <c r="B283" s="35"/>
      <c r="C283" s="32"/>
      <c r="D283" s="32"/>
      <c r="E283" s="33"/>
      <c r="F283" s="33"/>
      <c r="G283" s="33"/>
    </row>
    <row r="284" customFormat="false" ht="15" hidden="false" customHeight="false" outlineLevel="0" collapsed="false">
      <c r="A284" s="32"/>
      <c r="B284" s="35"/>
      <c r="C284" s="32"/>
      <c r="D284" s="32"/>
      <c r="E284" s="33"/>
      <c r="F284" s="33"/>
      <c r="G284" s="33"/>
    </row>
    <row r="285" customFormat="false" ht="15" hidden="false" customHeight="false" outlineLevel="0" collapsed="false">
      <c r="A285" s="32"/>
      <c r="B285" s="35"/>
      <c r="C285" s="32"/>
      <c r="D285" s="32"/>
      <c r="E285" s="33"/>
      <c r="F285" s="33"/>
      <c r="G285" s="33"/>
    </row>
    <row r="286" customFormat="false" ht="15" hidden="false" customHeight="false" outlineLevel="0" collapsed="false">
      <c r="A286" s="32"/>
      <c r="B286" s="35"/>
      <c r="C286" s="32"/>
      <c r="D286" s="32"/>
      <c r="E286" s="33"/>
      <c r="F286" s="33"/>
      <c r="G286" s="33"/>
    </row>
    <row r="287" customFormat="false" ht="15" hidden="false" customHeight="false" outlineLevel="0" collapsed="false">
      <c r="A287" s="32"/>
      <c r="B287" s="35"/>
      <c r="C287" s="32"/>
      <c r="D287" s="32"/>
      <c r="E287" s="33"/>
      <c r="F287" s="33"/>
      <c r="G287" s="33"/>
    </row>
    <row r="288" customFormat="false" ht="15" hidden="false" customHeight="false" outlineLevel="0" collapsed="false">
      <c r="A288" s="32"/>
      <c r="B288" s="35"/>
      <c r="C288" s="32"/>
      <c r="D288" s="32"/>
      <c r="E288" s="33"/>
      <c r="F288" s="33"/>
      <c r="G288" s="33"/>
    </row>
    <row r="289" customFormat="false" ht="15" hidden="false" customHeight="false" outlineLevel="0" collapsed="false">
      <c r="A289" s="32"/>
      <c r="B289" s="35"/>
      <c r="C289" s="32"/>
      <c r="D289" s="32"/>
      <c r="E289" s="33"/>
      <c r="F289" s="33"/>
      <c r="G289" s="33"/>
    </row>
    <row r="290" customFormat="false" ht="15" hidden="false" customHeight="false" outlineLevel="0" collapsed="false">
      <c r="A290" s="32"/>
      <c r="B290" s="35"/>
      <c r="C290" s="32"/>
      <c r="D290" s="32"/>
      <c r="E290" s="33"/>
      <c r="F290" s="33"/>
      <c r="G290" s="33"/>
    </row>
    <row r="291" customFormat="false" ht="15" hidden="false" customHeight="false" outlineLevel="0" collapsed="false">
      <c r="A291" s="32"/>
      <c r="B291" s="35"/>
      <c r="C291" s="32"/>
      <c r="D291" s="32"/>
      <c r="E291" s="33"/>
      <c r="F291" s="33"/>
      <c r="G291" s="33"/>
    </row>
    <row r="292" customFormat="false" ht="15" hidden="false" customHeight="false" outlineLevel="0" collapsed="false">
      <c r="A292" s="32"/>
      <c r="B292" s="35"/>
      <c r="C292" s="32"/>
      <c r="D292" s="32"/>
      <c r="E292" s="33"/>
      <c r="F292" s="33"/>
      <c r="G292" s="33"/>
    </row>
    <row r="293" customFormat="false" ht="15" hidden="false" customHeight="false" outlineLevel="0" collapsed="false">
      <c r="A293" s="32"/>
      <c r="B293" s="35"/>
      <c r="C293" s="32"/>
      <c r="D293" s="32"/>
      <c r="E293" s="33"/>
      <c r="F293" s="33"/>
      <c r="G293" s="33"/>
    </row>
    <row r="294" customFormat="false" ht="15" hidden="false" customHeight="false" outlineLevel="0" collapsed="false">
      <c r="A294" s="32"/>
      <c r="B294" s="35"/>
      <c r="C294" s="32"/>
      <c r="D294" s="32"/>
      <c r="E294" s="33"/>
      <c r="F294" s="33"/>
      <c r="G294" s="33"/>
    </row>
    <row r="295" customFormat="false" ht="15" hidden="false" customHeight="false" outlineLevel="0" collapsed="false">
      <c r="A295" s="32"/>
      <c r="B295" s="35"/>
      <c r="C295" s="32"/>
      <c r="D295" s="32"/>
      <c r="E295" s="33"/>
      <c r="F295" s="33"/>
      <c r="G295" s="33"/>
    </row>
    <row r="296" customFormat="false" ht="15" hidden="false" customHeight="false" outlineLevel="0" collapsed="false">
      <c r="A296" s="32"/>
      <c r="B296" s="35"/>
      <c r="C296" s="32"/>
      <c r="D296" s="32"/>
      <c r="E296" s="33"/>
      <c r="F296" s="33"/>
      <c r="G296" s="33"/>
    </row>
    <row r="297" customFormat="false" ht="15" hidden="false" customHeight="false" outlineLevel="0" collapsed="false">
      <c r="A297" s="32"/>
      <c r="B297" s="35"/>
      <c r="C297" s="32"/>
      <c r="D297" s="32"/>
      <c r="E297" s="33"/>
      <c r="F297" s="33"/>
      <c r="G297" s="33"/>
    </row>
    <row r="298" customFormat="false" ht="15" hidden="false" customHeight="false" outlineLevel="0" collapsed="false">
      <c r="A298" s="32"/>
      <c r="B298" s="35"/>
      <c r="C298" s="32"/>
      <c r="D298" s="32"/>
      <c r="E298" s="33"/>
      <c r="F298" s="33"/>
      <c r="G298" s="33"/>
    </row>
    <row r="299" customFormat="false" ht="15" hidden="false" customHeight="false" outlineLevel="0" collapsed="false">
      <c r="A299" s="32"/>
      <c r="B299" s="35"/>
      <c r="C299" s="32"/>
      <c r="D299" s="32"/>
      <c r="E299" s="33"/>
      <c r="F299" s="33"/>
      <c r="G299" s="33"/>
    </row>
    <row r="300" customFormat="false" ht="15" hidden="false" customHeight="false" outlineLevel="0" collapsed="false">
      <c r="A300" s="32"/>
      <c r="B300" s="35"/>
      <c r="C300" s="32"/>
      <c r="D300" s="32"/>
      <c r="E300" s="33"/>
      <c r="F300" s="33"/>
      <c r="G300" s="33"/>
    </row>
    <row r="301" customFormat="false" ht="15" hidden="false" customHeight="false" outlineLevel="0" collapsed="false">
      <c r="A301" s="32"/>
      <c r="B301" s="35"/>
      <c r="C301" s="32"/>
      <c r="D301" s="32"/>
      <c r="E301" s="33"/>
      <c r="F301" s="33"/>
      <c r="G301" s="33"/>
    </row>
    <row r="302" customFormat="false" ht="15" hidden="false" customHeight="false" outlineLevel="0" collapsed="false">
      <c r="A302" s="32"/>
      <c r="B302" s="35"/>
      <c r="C302" s="32"/>
      <c r="D302" s="32"/>
      <c r="E302" s="33"/>
      <c r="F302" s="33"/>
      <c r="G302" s="33"/>
    </row>
    <row r="303" customFormat="false" ht="15" hidden="false" customHeight="false" outlineLevel="0" collapsed="false">
      <c r="A303" s="32"/>
      <c r="B303" s="35"/>
      <c r="C303" s="32"/>
      <c r="D303" s="32"/>
      <c r="E303" s="33"/>
      <c r="F303" s="33"/>
      <c r="G303" s="33"/>
    </row>
    <row r="304" customFormat="false" ht="15" hidden="false" customHeight="false" outlineLevel="0" collapsed="false">
      <c r="A304" s="32"/>
      <c r="B304" s="35"/>
      <c r="C304" s="32"/>
      <c r="D304" s="32"/>
      <c r="E304" s="33"/>
      <c r="F304" s="33"/>
      <c r="G304" s="33"/>
    </row>
    <row r="305" customFormat="false" ht="15" hidden="false" customHeight="false" outlineLevel="0" collapsed="false">
      <c r="A305" s="32"/>
      <c r="B305" s="35"/>
      <c r="C305" s="32"/>
      <c r="D305" s="32"/>
      <c r="E305" s="33"/>
      <c r="F305" s="33"/>
      <c r="G305" s="33"/>
    </row>
    <row r="306" customFormat="false" ht="15" hidden="false" customHeight="false" outlineLevel="0" collapsed="false">
      <c r="A306" s="32"/>
      <c r="B306" s="35"/>
      <c r="C306" s="32"/>
      <c r="D306" s="32"/>
      <c r="E306" s="33"/>
      <c r="F306" s="33"/>
      <c r="G306" s="33"/>
    </row>
    <row r="307" customFormat="false" ht="15" hidden="false" customHeight="false" outlineLevel="0" collapsed="false">
      <c r="A307" s="32"/>
      <c r="B307" s="35"/>
      <c r="C307" s="32"/>
      <c r="D307" s="32"/>
      <c r="E307" s="33"/>
      <c r="F307" s="33"/>
      <c r="G307" s="33"/>
    </row>
    <row r="308" customFormat="false" ht="15" hidden="false" customHeight="false" outlineLevel="0" collapsed="false">
      <c r="A308" s="32"/>
      <c r="B308" s="35"/>
      <c r="C308" s="32"/>
      <c r="D308" s="32"/>
      <c r="E308" s="33"/>
      <c r="F308" s="33"/>
      <c r="G308" s="33"/>
    </row>
    <row r="309" customFormat="false" ht="15" hidden="false" customHeight="false" outlineLevel="0" collapsed="false">
      <c r="A309" s="32"/>
      <c r="B309" s="35"/>
      <c r="C309" s="32"/>
      <c r="D309" s="32"/>
      <c r="E309" s="33"/>
      <c r="F309" s="33"/>
      <c r="G309" s="33"/>
    </row>
    <row r="310" customFormat="false" ht="15" hidden="false" customHeight="false" outlineLevel="0" collapsed="false">
      <c r="A310" s="32"/>
      <c r="B310" s="35"/>
      <c r="C310" s="32"/>
      <c r="D310" s="32"/>
      <c r="E310" s="33"/>
      <c r="F310" s="33"/>
      <c r="G310" s="33"/>
    </row>
    <row r="311" customFormat="false" ht="15" hidden="false" customHeight="false" outlineLevel="0" collapsed="false">
      <c r="A311" s="32"/>
      <c r="B311" s="35"/>
      <c r="C311" s="32"/>
      <c r="D311" s="32"/>
      <c r="E311" s="33"/>
      <c r="F311" s="33"/>
      <c r="G311" s="33"/>
    </row>
    <row r="312" customFormat="false" ht="15" hidden="false" customHeight="false" outlineLevel="0" collapsed="false">
      <c r="A312" s="32"/>
      <c r="B312" s="35"/>
      <c r="C312" s="32"/>
      <c r="D312" s="32"/>
      <c r="E312" s="33"/>
      <c r="F312" s="33"/>
      <c r="G312" s="33"/>
    </row>
    <row r="313" customFormat="false" ht="15" hidden="false" customHeight="false" outlineLevel="0" collapsed="false">
      <c r="A313" s="32"/>
      <c r="B313" s="35"/>
      <c r="C313" s="32"/>
      <c r="D313" s="32"/>
      <c r="E313" s="33"/>
      <c r="F313" s="33"/>
      <c r="G313" s="33"/>
    </row>
    <row r="314" customFormat="false" ht="15" hidden="false" customHeight="false" outlineLevel="0" collapsed="false">
      <c r="A314" s="32"/>
      <c r="B314" s="35"/>
      <c r="C314" s="32"/>
      <c r="D314" s="32"/>
      <c r="E314" s="33"/>
      <c r="F314" s="33"/>
      <c r="G314" s="33"/>
    </row>
    <row r="315" customFormat="false" ht="15" hidden="false" customHeight="false" outlineLevel="0" collapsed="false">
      <c r="A315" s="32"/>
      <c r="B315" s="35"/>
      <c r="C315" s="32"/>
      <c r="D315" s="32"/>
      <c r="E315" s="33"/>
      <c r="F315" s="33"/>
      <c r="G315" s="33"/>
    </row>
    <row r="316" customFormat="false" ht="15" hidden="false" customHeight="false" outlineLevel="0" collapsed="false">
      <c r="A316" s="32"/>
      <c r="B316" s="35"/>
      <c r="C316" s="32"/>
      <c r="D316" s="32"/>
      <c r="E316" s="33"/>
      <c r="F316" s="33"/>
      <c r="G316" s="33"/>
    </row>
    <row r="317" customFormat="false" ht="15" hidden="false" customHeight="false" outlineLevel="0" collapsed="false">
      <c r="A317" s="32"/>
      <c r="B317" s="35"/>
      <c r="C317" s="32"/>
      <c r="D317" s="32"/>
      <c r="E317" s="33"/>
      <c r="F317" s="33"/>
      <c r="G317" s="33"/>
    </row>
    <row r="318" customFormat="false" ht="15" hidden="false" customHeight="false" outlineLevel="0" collapsed="false">
      <c r="A318" s="32"/>
      <c r="B318" s="35"/>
      <c r="C318" s="32"/>
      <c r="D318" s="32"/>
      <c r="E318" s="33"/>
      <c r="F318" s="33"/>
      <c r="G318" s="33"/>
    </row>
    <row r="319" customFormat="false" ht="15" hidden="false" customHeight="false" outlineLevel="0" collapsed="false">
      <c r="A319" s="32"/>
      <c r="B319" s="35"/>
      <c r="C319" s="32"/>
      <c r="D319" s="32"/>
      <c r="E319" s="33"/>
      <c r="F319" s="33"/>
      <c r="G319" s="33"/>
    </row>
    <row r="320" customFormat="false" ht="15" hidden="false" customHeight="false" outlineLevel="0" collapsed="false">
      <c r="A320" s="32"/>
      <c r="B320" s="35"/>
      <c r="C320" s="32"/>
      <c r="D320" s="32"/>
      <c r="E320" s="33"/>
      <c r="F320" s="33"/>
      <c r="G320" s="33"/>
    </row>
    <row r="321" customFormat="false" ht="15" hidden="false" customHeight="false" outlineLevel="0" collapsed="false">
      <c r="A321" s="32"/>
      <c r="B321" s="35"/>
      <c r="C321" s="32"/>
      <c r="D321" s="32"/>
      <c r="E321" s="33"/>
      <c r="F321" s="33"/>
      <c r="G321" s="33"/>
    </row>
    <row r="322" customFormat="false" ht="15" hidden="false" customHeight="false" outlineLevel="0" collapsed="false">
      <c r="A322" s="32"/>
      <c r="B322" s="35"/>
      <c r="C322" s="32"/>
      <c r="D322" s="32"/>
      <c r="E322" s="33"/>
      <c r="F322" s="33"/>
      <c r="G322" s="33"/>
    </row>
    <row r="323" customFormat="false" ht="15" hidden="false" customHeight="false" outlineLevel="0" collapsed="false">
      <c r="A323" s="32"/>
      <c r="B323" s="35"/>
      <c r="C323" s="32"/>
      <c r="D323" s="32"/>
      <c r="E323" s="33"/>
      <c r="F323" s="33"/>
      <c r="G323" s="33"/>
    </row>
    <row r="324" customFormat="false" ht="15" hidden="false" customHeight="false" outlineLevel="0" collapsed="false">
      <c r="A324" s="32"/>
      <c r="B324" s="35"/>
      <c r="C324" s="32"/>
      <c r="D324" s="32"/>
      <c r="E324" s="33"/>
      <c r="F324" s="33"/>
      <c r="G324" s="33"/>
    </row>
    <row r="325" customFormat="false" ht="15" hidden="false" customHeight="false" outlineLevel="0" collapsed="false">
      <c r="A325" s="32"/>
      <c r="B325" s="35"/>
      <c r="C325" s="32"/>
      <c r="D325" s="32"/>
      <c r="E325" s="33"/>
      <c r="F325" s="33"/>
      <c r="G325" s="33"/>
    </row>
    <row r="326" customFormat="false" ht="15" hidden="false" customHeight="false" outlineLevel="0" collapsed="false">
      <c r="A326" s="32"/>
      <c r="B326" s="35"/>
      <c r="C326" s="32"/>
      <c r="D326" s="32"/>
      <c r="E326" s="33"/>
      <c r="F326" s="33"/>
      <c r="G326" s="33"/>
    </row>
    <row r="327" customFormat="false" ht="15" hidden="false" customHeight="false" outlineLevel="0" collapsed="false">
      <c r="A327" s="32"/>
      <c r="B327" s="35"/>
      <c r="C327" s="32"/>
      <c r="D327" s="32"/>
      <c r="E327" s="33"/>
      <c r="F327" s="33"/>
      <c r="G327" s="33"/>
    </row>
    <row r="328" customFormat="false" ht="15" hidden="false" customHeight="false" outlineLevel="0" collapsed="false">
      <c r="A328" s="32"/>
      <c r="B328" s="35"/>
      <c r="C328" s="32"/>
      <c r="D328" s="32"/>
      <c r="E328" s="33"/>
      <c r="F328" s="33"/>
      <c r="G328" s="33"/>
    </row>
    <row r="329" customFormat="false" ht="15" hidden="false" customHeight="false" outlineLevel="0" collapsed="false">
      <c r="A329" s="32"/>
      <c r="B329" s="35"/>
      <c r="C329" s="32"/>
      <c r="D329" s="32"/>
      <c r="E329" s="33"/>
      <c r="F329" s="33"/>
      <c r="G329" s="33"/>
    </row>
    <row r="330" customFormat="false" ht="15" hidden="false" customHeight="false" outlineLevel="0" collapsed="false">
      <c r="A330" s="32"/>
      <c r="B330" s="35"/>
      <c r="C330" s="32"/>
      <c r="D330" s="32"/>
      <c r="E330" s="33"/>
      <c r="F330" s="33"/>
      <c r="G330" s="33"/>
    </row>
    <row r="331" customFormat="false" ht="15" hidden="false" customHeight="false" outlineLevel="0" collapsed="false">
      <c r="A331" s="32"/>
      <c r="B331" s="35"/>
      <c r="C331" s="32"/>
      <c r="D331" s="32"/>
      <c r="E331" s="33"/>
      <c r="F331" s="33"/>
      <c r="G331" s="33"/>
    </row>
    <row r="332" customFormat="false" ht="15" hidden="false" customHeight="false" outlineLevel="0" collapsed="false">
      <c r="A332" s="32"/>
      <c r="B332" s="35"/>
      <c r="C332" s="32"/>
      <c r="D332" s="32"/>
      <c r="E332" s="33"/>
      <c r="F332" s="33"/>
      <c r="G332" s="33"/>
    </row>
    <row r="333" customFormat="false" ht="15" hidden="false" customHeight="false" outlineLevel="0" collapsed="false">
      <c r="A333" s="32"/>
      <c r="B333" s="35"/>
      <c r="C333" s="32"/>
      <c r="D333" s="32"/>
      <c r="E333" s="33"/>
      <c r="F333" s="33"/>
      <c r="G333" s="33"/>
    </row>
    <row r="334" customFormat="false" ht="15" hidden="false" customHeight="false" outlineLevel="0" collapsed="false">
      <c r="A334" s="32"/>
      <c r="B334" s="35"/>
      <c r="C334" s="32"/>
      <c r="D334" s="32"/>
      <c r="E334" s="33"/>
      <c r="F334" s="33"/>
      <c r="G334" s="33"/>
    </row>
    <row r="335" customFormat="false" ht="15" hidden="false" customHeight="false" outlineLevel="0" collapsed="false">
      <c r="A335" s="32"/>
      <c r="B335" s="35"/>
      <c r="C335" s="32"/>
      <c r="D335" s="32"/>
      <c r="E335" s="33"/>
      <c r="F335" s="33"/>
      <c r="G335" s="33"/>
    </row>
    <row r="336" customFormat="false" ht="15" hidden="false" customHeight="false" outlineLevel="0" collapsed="false">
      <c r="A336" s="32"/>
      <c r="B336" s="35"/>
      <c r="C336" s="32"/>
      <c r="D336" s="32"/>
      <c r="E336" s="33"/>
      <c r="F336" s="33"/>
      <c r="G336" s="33"/>
    </row>
    <row r="337" customFormat="false" ht="15" hidden="false" customHeight="false" outlineLevel="0" collapsed="false">
      <c r="A337" s="32"/>
      <c r="B337" s="35"/>
      <c r="C337" s="32"/>
      <c r="D337" s="32"/>
      <c r="E337" s="33"/>
      <c r="F337" s="33"/>
      <c r="G337" s="33"/>
    </row>
    <row r="338" customFormat="false" ht="15" hidden="false" customHeight="false" outlineLevel="0" collapsed="false">
      <c r="A338" s="32"/>
      <c r="B338" s="35"/>
      <c r="C338" s="32"/>
      <c r="D338" s="32"/>
      <c r="E338" s="33"/>
      <c r="F338" s="33"/>
      <c r="G338" s="33"/>
    </row>
    <row r="339" customFormat="false" ht="15" hidden="false" customHeight="false" outlineLevel="0" collapsed="false">
      <c r="A339" s="32"/>
      <c r="B339" s="35"/>
      <c r="C339" s="32"/>
      <c r="D339" s="32"/>
      <c r="E339" s="33"/>
      <c r="F339" s="33"/>
      <c r="G339" s="33"/>
    </row>
    <row r="340" customFormat="false" ht="15" hidden="false" customHeight="false" outlineLevel="0" collapsed="false">
      <c r="A340" s="32"/>
      <c r="B340" s="35"/>
      <c r="C340" s="32"/>
      <c r="D340" s="32"/>
      <c r="E340" s="33"/>
      <c r="F340" s="33"/>
      <c r="G340" s="33"/>
    </row>
    <row r="341" customFormat="false" ht="15" hidden="false" customHeight="false" outlineLevel="0" collapsed="false">
      <c r="A341" s="32"/>
      <c r="B341" s="35"/>
      <c r="C341" s="32"/>
      <c r="D341" s="32"/>
      <c r="E341" s="33"/>
      <c r="F341" s="33"/>
      <c r="G341" s="33"/>
    </row>
    <row r="342" customFormat="false" ht="15" hidden="false" customHeight="false" outlineLevel="0" collapsed="false">
      <c r="A342" s="32"/>
      <c r="B342" s="35"/>
      <c r="C342" s="32"/>
      <c r="D342" s="32"/>
      <c r="E342" s="33"/>
      <c r="F342" s="33"/>
      <c r="G342" s="33"/>
    </row>
    <row r="343" customFormat="false" ht="15" hidden="false" customHeight="false" outlineLevel="0" collapsed="false">
      <c r="A343" s="32"/>
      <c r="B343" s="35"/>
      <c r="C343" s="32"/>
      <c r="D343" s="32"/>
      <c r="E343" s="33"/>
      <c r="F343" s="33"/>
      <c r="G343" s="33"/>
    </row>
    <row r="344" customFormat="false" ht="15" hidden="false" customHeight="false" outlineLevel="0" collapsed="false">
      <c r="A344" s="32"/>
      <c r="B344" s="35"/>
      <c r="C344" s="32"/>
      <c r="D344" s="32"/>
      <c r="E344" s="33"/>
      <c r="F344" s="33"/>
      <c r="G344" s="33"/>
    </row>
    <row r="345" customFormat="false" ht="15" hidden="false" customHeight="false" outlineLevel="0" collapsed="false">
      <c r="A345" s="32"/>
      <c r="B345" s="35"/>
      <c r="C345" s="32"/>
      <c r="D345" s="32"/>
      <c r="E345" s="33"/>
      <c r="F345" s="33"/>
      <c r="G345" s="33"/>
    </row>
    <row r="346" customFormat="false" ht="15" hidden="false" customHeight="false" outlineLevel="0" collapsed="false">
      <c r="A346" s="32"/>
      <c r="B346" s="35"/>
      <c r="C346" s="32"/>
      <c r="D346" s="32"/>
      <c r="E346" s="33"/>
      <c r="F346" s="33"/>
      <c r="G346" s="33"/>
    </row>
    <row r="347" customFormat="false" ht="15" hidden="false" customHeight="false" outlineLevel="0" collapsed="false">
      <c r="A347" s="32"/>
      <c r="B347" s="35"/>
      <c r="C347" s="32"/>
      <c r="D347" s="32"/>
      <c r="E347" s="33"/>
      <c r="F347" s="33"/>
      <c r="G347" s="33"/>
    </row>
    <row r="348" customFormat="false" ht="15" hidden="false" customHeight="false" outlineLevel="0" collapsed="false">
      <c r="A348" s="32"/>
      <c r="B348" s="35"/>
      <c r="C348" s="32"/>
      <c r="D348" s="32"/>
      <c r="E348" s="33"/>
      <c r="F348" s="33"/>
      <c r="G348" s="33"/>
    </row>
    <row r="349" customFormat="false" ht="15" hidden="false" customHeight="false" outlineLevel="0" collapsed="false">
      <c r="A349" s="32"/>
      <c r="B349" s="35"/>
      <c r="C349" s="32"/>
      <c r="D349" s="32"/>
      <c r="E349" s="33"/>
      <c r="F349" s="33"/>
      <c r="G349" s="33"/>
    </row>
    <row r="350" customFormat="false" ht="15" hidden="false" customHeight="false" outlineLevel="0" collapsed="false">
      <c r="A350" s="32"/>
      <c r="B350" s="35"/>
      <c r="C350" s="32"/>
      <c r="D350" s="32"/>
      <c r="E350" s="33"/>
      <c r="F350" s="33"/>
      <c r="G350" s="33"/>
    </row>
    <row r="351" customFormat="false" ht="15" hidden="false" customHeight="false" outlineLevel="0" collapsed="false">
      <c r="A351" s="32"/>
      <c r="B351" s="35"/>
      <c r="C351" s="32"/>
      <c r="D351" s="32"/>
      <c r="E351" s="33"/>
      <c r="F351" s="33"/>
      <c r="G351" s="33"/>
    </row>
    <row r="352" customFormat="false" ht="15" hidden="false" customHeight="false" outlineLevel="0" collapsed="false">
      <c r="A352" s="32"/>
      <c r="B352" s="35"/>
      <c r="C352" s="32"/>
      <c r="D352" s="32"/>
      <c r="E352" s="33"/>
      <c r="F352" s="33"/>
      <c r="G352" s="33"/>
    </row>
    <row r="353" customFormat="false" ht="15" hidden="false" customHeight="false" outlineLevel="0" collapsed="false">
      <c r="A353" s="32"/>
      <c r="B353" s="35"/>
      <c r="C353" s="32"/>
      <c r="D353" s="32"/>
      <c r="E353" s="33"/>
      <c r="F353" s="33"/>
      <c r="G353" s="33"/>
    </row>
    <row r="354" customFormat="false" ht="15" hidden="false" customHeight="false" outlineLevel="0" collapsed="false">
      <c r="A354" s="32"/>
      <c r="B354" s="35"/>
      <c r="C354" s="32"/>
      <c r="D354" s="32"/>
      <c r="E354" s="33"/>
      <c r="F354" s="33"/>
      <c r="G354" s="33"/>
    </row>
    <row r="355" customFormat="false" ht="15" hidden="false" customHeight="false" outlineLevel="0" collapsed="false">
      <c r="A355" s="32"/>
      <c r="B355" s="35"/>
      <c r="C355" s="32"/>
      <c r="D355" s="32"/>
      <c r="E355" s="33"/>
      <c r="F355" s="33"/>
      <c r="G355" s="33"/>
    </row>
    <row r="356" customFormat="false" ht="15" hidden="false" customHeight="false" outlineLevel="0" collapsed="false">
      <c r="A356" s="32"/>
      <c r="B356" s="35"/>
      <c r="C356" s="32"/>
      <c r="D356" s="32"/>
      <c r="E356" s="33"/>
      <c r="F356" s="33"/>
      <c r="G356" s="33"/>
    </row>
    <row r="357" customFormat="false" ht="15" hidden="false" customHeight="false" outlineLevel="0" collapsed="false">
      <c r="A357" s="32"/>
      <c r="B357" s="35"/>
      <c r="C357" s="32"/>
      <c r="D357" s="32"/>
      <c r="E357" s="33"/>
      <c r="F357" s="33"/>
      <c r="G357" s="33"/>
    </row>
    <row r="358" customFormat="false" ht="15" hidden="false" customHeight="false" outlineLevel="0" collapsed="false">
      <c r="A358" s="32"/>
      <c r="B358" s="35"/>
      <c r="C358" s="32"/>
      <c r="D358" s="32"/>
      <c r="E358" s="33"/>
      <c r="F358" s="33"/>
      <c r="G358" s="33"/>
    </row>
    <row r="359" customFormat="false" ht="15" hidden="false" customHeight="false" outlineLevel="0" collapsed="false">
      <c r="A359" s="32"/>
      <c r="B359" s="35"/>
      <c r="C359" s="32"/>
      <c r="D359" s="32"/>
      <c r="E359" s="33"/>
      <c r="F359" s="33"/>
      <c r="G359" s="33"/>
    </row>
    <row r="360" customFormat="false" ht="15" hidden="false" customHeight="false" outlineLevel="0" collapsed="false">
      <c r="A360" s="32"/>
      <c r="B360" s="35"/>
      <c r="C360" s="32"/>
      <c r="D360" s="32"/>
      <c r="E360" s="33"/>
      <c r="F360" s="33"/>
      <c r="G360" s="33"/>
    </row>
    <row r="361" customFormat="false" ht="15" hidden="false" customHeight="false" outlineLevel="0" collapsed="false">
      <c r="A361" s="32"/>
      <c r="B361" s="35"/>
      <c r="C361" s="32"/>
      <c r="D361" s="32"/>
      <c r="E361" s="33"/>
      <c r="F361" s="33"/>
      <c r="G361" s="33"/>
    </row>
    <row r="362" customFormat="false" ht="15" hidden="false" customHeight="false" outlineLevel="0" collapsed="false">
      <c r="A362" s="32"/>
      <c r="B362" s="35"/>
      <c r="C362" s="32"/>
      <c r="D362" s="32"/>
      <c r="E362" s="33"/>
      <c r="F362" s="33"/>
      <c r="G362" s="33"/>
    </row>
    <row r="363" customFormat="false" ht="15" hidden="false" customHeight="false" outlineLevel="0" collapsed="false">
      <c r="A363" s="32"/>
      <c r="B363" s="35"/>
      <c r="C363" s="32"/>
      <c r="D363" s="32"/>
      <c r="E363" s="33"/>
      <c r="F363" s="33"/>
      <c r="G363" s="33"/>
    </row>
    <row r="364" customFormat="false" ht="15" hidden="false" customHeight="false" outlineLevel="0" collapsed="false">
      <c r="A364" s="32"/>
      <c r="B364" s="35"/>
      <c r="C364" s="32"/>
      <c r="D364" s="32"/>
      <c r="E364" s="33"/>
      <c r="F364" s="33"/>
      <c r="G364" s="33"/>
    </row>
    <row r="365" customFormat="false" ht="15" hidden="false" customHeight="false" outlineLevel="0" collapsed="false">
      <c r="A365" s="32"/>
      <c r="B365" s="35"/>
      <c r="C365" s="32"/>
      <c r="D365" s="32"/>
      <c r="E365" s="33"/>
      <c r="F365" s="33"/>
      <c r="G365" s="33"/>
    </row>
    <row r="366" customFormat="false" ht="15" hidden="false" customHeight="false" outlineLevel="0" collapsed="false">
      <c r="A366" s="32"/>
      <c r="B366" s="35"/>
      <c r="C366" s="32"/>
      <c r="D366" s="32"/>
      <c r="E366" s="33"/>
      <c r="F366" s="33"/>
      <c r="G366" s="33"/>
    </row>
    <row r="367" customFormat="false" ht="15" hidden="false" customHeight="false" outlineLevel="0" collapsed="false">
      <c r="A367" s="32"/>
      <c r="B367" s="35"/>
      <c r="C367" s="32"/>
      <c r="D367" s="32"/>
      <c r="E367" s="33"/>
      <c r="F367" s="33"/>
      <c r="G367" s="33"/>
    </row>
    <row r="368" customFormat="false" ht="15" hidden="false" customHeight="false" outlineLevel="0" collapsed="false">
      <c r="A368" s="32"/>
      <c r="B368" s="35"/>
      <c r="C368" s="32"/>
      <c r="D368" s="32"/>
      <c r="E368" s="33"/>
      <c r="F368" s="33"/>
      <c r="G368" s="33"/>
    </row>
    <row r="369" customFormat="false" ht="15" hidden="false" customHeight="false" outlineLevel="0" collapsed="false">
      <c r="A369" s="32"/>
      <c r="B369" s="35"/>
      <c r="C369" s="32"/>
      <c r="D369" s="32"/>
      <c r="E369" s="33"/>
      <c r="F369" s="33"/>
      <c r="G369" s="33"/>
    </row>
    <row r="370" customFormat="false" ht="15" hidden="false" customHeight="false" outlineLevel="0" collapsed="false">
      <c r="A370" s="32"/>
      <c r="B370" s="35"/>
      <c r="C370" s="32"/>
      <c r="D370" s="32"/>
      <c r="E370" s="33"/>
      <c r="F370" s="33"/>
      <c r="G370" s="33"/>
    </row>
    <row r="371" customFormat="false" ht="15" hidden="false" customHeight="false" outlineLevel="0" collapsed="false">
      <c r="A371" s="32"/>
      <c r="B371" s="35"/>
      <c r="C371" s="32"/>
      <c r="D371" s="32"/>
      <c r="E371" s="33"/>
      <c r="F371" s="33"/>
      <c r="G371" s="33"/>
    </row>
    <row r="372" customFormat="false" ht="15" hidden="false" customHeight="false" outlineLevel="0" collapsed="false">
      <c r="A372" s="32"/>
      <c r="B372" s="35"/>
      <c r="C372" s="32"/>
      <c r="D372" s="32"/>
      <c r="E372" s="33"/>
      <c r="F372" s="33"/>
      <c r="G372" s="33"/>
    </row>
    <row r="373" customFormat="false" ht="15" hidden="false" customHeight="false" outlineLevel="0" collapsed="false">
      <c r="A373" s="32"/>
      <c r="B373" s="35"/>
      <c r="C373" s="32"/>
      <c r="D373" s="32"/>
      <c r="E373" s="33"/>
      <c r="F373" s="33"/>
      <c r="G373" s="33"/>
    </row>
    <row r="374" customFormat="false" ht="15" hidden="false" customHeight="false" outlineLevel="0" collapsed="false">
      <c r="A374" s="32"/>
      <c r="B374" s="35"/>
      <c r="C374" s="32"/>
      <c r="D374" s="32"/>
      <c r="E374" s="33"/>
      <c r="F374" s="33"/>
      <c r="G374" s="33"/>
    </row>
    <row r="375" customFormat="false" ht="15" hidden="false" customHeight="false" outlineLevel="0" collapsed="false">
      <c r="A375" s="32"/>
      <c r="B375" s="35"/>
      <c r="C375" s="32"/>
      <c r="D375" s="32"/>
      <c r="E375" s="33"/>
      <c r="F375" s="33"/>
      <c r="G375" s="33"/>
    </row>
    <row r="376" customFormat="false" ht="15" hidden="false" customHeight="false" outlineLevel="0" collapsed="false">
      <c r="A376" s="32"/>
      <c r="B376" s="35"/>
      <c r="C376" s="32"/>
      <c r="D376" s="32"/>
      <c r="E376" s="33"/>
      <c r="F376" s="33"/>
      <c r="G376" s="33"/>
    </row>
    <row r="377" customFormat="false" ht="15" hidden="false" customHeight="false" outlineLevel="0" collapsed="false">
      <c r="A377" s="32"/>
      <c r="B377" s="35"/>
      <c r="C377" s="32"/>
      <c r="D377" s="32"/>
      <c r="E377" s="33"/>
      <c r="F377" s="33"/>
      <c r="G377" s="33"/>
    </row>
    <row r="378" customFormat="false" ht="15" hidden="false" customHeight="false" outlineLevel="0" collapsed="false">
      <c r="A378" s="32"/>
      <c r="B378" s="35"/>
      <c r="C378" s="32"/>
      <c r="D378" s="32"/>
      <c r="E378" s="33"/>
      <c r="F378" s="33"/>
      <c r="G378" s="33"/>
    </row>
    <row r="379" customFormat="false" ht="15" hidden="false" customHeight="false" outlineLevel="0" collapsed="false">
      <c r="A379" s="32"/>
      <c r="B379" s="35"/>
      <c r="C379" s="32"/>
      <c r="D379" s="32"/>
      <c r="E379" s="33"/>
      <c r="F379" s="33"/>
      <c r="G379" s="33"/>
    </row>
    <row r="380" customFormat="false" ht="15" hidden="false" customHeight="false" outlineLevel="0" collapsed="false">
      <c r="A380" s="32"/>
      <c r="B380" s="35"/>
      <c r="C380" s="32"/>
      <c r="D380" s="32"/>
      <c r="E380" s="33"/>
      <c r="F380" s="33"/>
      <c r="G380" s="33"/>
    </row>
    <row r="381" customFormat="false" ht="15" hidden="false" customHeight="false" outlineLevel="0" collapsed="false">
      <c r="A381" s="32"/>
      <c r="B381" s="35"/>
      <c r="C381" s="32"/>
      <c r="D381" s="32"/>
      <c r="E381" s="33"/>
      <c r="F381" s="33"/>
      <c r="G381" s="33"/>
    </row>
    <row r="382" customFormat="false" ht="15" hidden="false" customHeight="false" outlineLevel="0" collapsed="false">
      <c r="A382" s="32"/>
      <c r="B382" s="35"/>
      <c r="C382" s="32"/>
      <c r="D382" s="32"/>
      <c r="E382" s="33"/>
      <c r="F382" s="33"/>
      <c r="G382" s="33"/>
    </row>
    <row r="383" customFormat="false" ht="15" hidden="false" customHeight="false" outlineLevel="0" collapsed="false">
      <c r="A383" s="32"/>
      <c r="B383" s="35"/>
      <c r="C383" s="32"/>
      <c r="D383" s="32"/>
      <c r="E383" s="33"/>
      <c r="F383" s="33"/>
      <c r="G383" s="33"/>
    </row>
    <row r="384" customFormat="false" ht="15" hidden="false" customHeight="false" outlineLevel="0" collapsed="false">
      <c r="A384" s="32"/>
      <c r="B384" s="35"/>
      <c r="C384" s="32"/>
      <c r="D384" s="32"/>
      <c r="E384" s="33"/>
      <c r="F384" s="33"/>
      <c r="G384" s="33"/>
    </row>
    <row r="385" customFormat="false" ht="15" hidden="false" customHeight="false" outlineLevel="0" collapsed="false">
      <c r="A385" s="32"/>
      <c r="B385" s="35"/>
      <c r="C385" s="32"/>
      <c r="D385" s="32"/>
      <c r="E385" s="33"/>
      <c r="F385" s="33"/>
      <c r="G385" s="33"/>
    </row>
    <row r="386" customFormat="false" ht="15" hidden="false" customHeight="false" outlineLevel="0" collapsed="false">
      <c r="A386" s="32"/>
      <c r="B386" s="35"/>
      <c r="C386" s="32"/>
      <c r="D386" s="32"/>
      <c r="E386" s="33"/>
      <c r="F386" s="33"/>
      <c r="G386" s="33"/>
    </row>
    <row r="387" customFormat="false" ht="15" hidden="false" customHeight="false" outlineLevel="0" collapsed="false">
      <c r="A387" s="32"/>
      <c r="B387" s="35"/>
      <c r="C387" s="32"/>
      <c r="D387" s="32"/>
      <c r="E387" s="33"/>
      <c r="F387" s="33"/>
      <c r="G387" s="33"/>
    </row>
    <row r="388" customFormat="false" ht="15" hidden="false" customHeight="false" outlineLevel="0" collapsed="false">
      <c r="A388" s="32"/>
      <c r="B388" s="35"/>
      <c r="C388" s="32"/>
      <c r="D388" s="32"/>
      <c r="E388" s="33"/>
      <c r="F388" s="33"/>
      <c r="G388" s="33"/>
    </row>
    <row r="389" customFormat="false" ht="15" hidden="false" customHeight="false" outlineLevel="0" collapsed="false">
      <c r="A389" s="32"/>
      <c r="B389" s="35"/>
      <c r="C389" s="32"/>
      <c r="D389" s="32"/>
      <c r="E389" s="33"/>
      <c r="F389" s="33"/>
      <c r="G389" s="33"/>
    </row>
    <row r="390" customFormat="false" ht="15" hidden="false" customHeight="false" outlineLevel="0" collapsed="false">
      <c r="A390" s="32"/>
      <c r="B390" s="35"/>
      <c r="C390" s="32"/>
      <c r="D390" s="32"/>
      <c r="E390" s="33"/>
      <c r="F390" s="33"/>
      <c r="G390" s="33"/>
    </row>
    <row r="391" customFormat="false" ht="15" hidden="false" customHeight="false" outlineLevel="0" collapsed="false">
      <c r="A391" s="32"/>
      <c r="B391" s="35"/>
      <c r="C391" s="32"/>
      <c r="D391" s="32"/>
      <c r="E391" s="33"/>
      <c r="F391" s="33"/>
      <c r="G391" s="33"/>
    </row>
    <row r="392" customFormat="false" ht="15" hidden="false" customHeight="false" outlineLevel="0" collapsed="false">
      <c r="A392" s="32"/>
      <c r="B392" s="35"/>
      <c r="C392" s="32"/>
      <c r="D392" s="32"/>
      <c r="E392" s="33"/>
      <c r="F392" s="33"/>
      <c r="G392" s="33"/>
    </row>
    <row r="393" customFormat="false" ht="15" hidden="false" customHeight="false" outlineLevel="0" collapsed="false">
      <c r="A393" s="32"/>
      <c r="B393" s="35"/>
      <c r="C393" s="32"/>
      <c r="D393" s="32"/>
      <c r="E393" s="33"/>
      <c r="F393" s="33"/>
      <c r="G393" s="33"/>
    </row>
    <row r="394" customFormat="false" ht="15" hidden="false" customHeight="false" outlineLevel="0" collapsed="false">
      <c r="A394" s="32"/>
      <c r="B394" s="35"/>
      <c r="C394" s="32"/>
      <c r="D394" s="32"/>
      <c r="E394" s="33"/>
      <c r="F394" s="33"/>
      <c r="G394" s="33"/>
    </row>
    <row r="395" customFormat="false" ht="15" hidden="false" customHeight="false" outlineLevel="0" collapsed="false">
      <c r="A395" s="32"/>
      <c r="B395" s="35"/>
      <c r="C395" s="32"/>
      <c r="D395" s="32"/>
      <c r="E395" s="33"/>
      <c r="F395" s="33"/>
      <c r="G395" s="33"/>
    </row>
    <row r="396" customFormat="false" ht="15" hidden="false" customHeight="false" outlineLevel="0" collapsed="false">
      <c r="A396" s="32"/>
      <c r="B396" s="35"/>
      <c r="C396" s="32"/>
      <c r="D396" s="32"/>
      <c r="E396" s="33"/>
      <c r="F396" s="33"/>
      <c r="G396" s="33"/>
    </row>
    <row r="397" customFormat="false" ht="15" hidden="false" customHeight="false" outlineLevel="0" collapsed="false">
      <c r="A397" s="32"/>
      <c r="B397" s="35"/>
      <c r="C397" s="32"/>
      <c r="D397" s="32"/>
      <c r="E397" s="33"/>
      <c r="F397" s="33"/>
      <c r="G397" s="33"/>
    </row>
    <row r="398" customFormat="false" ht="15" hidden="false" customHeight="false" outlineLevel="0" collapsed="false">
      <c r="A398" s="32"/>
      <c r="B398" s="35"/>
      <c r="C398" s="32"/>
      <c r="D398" s="32"/>
      <c r="E398" s="33"/>
      <c r="F398" s="33"/>
      <c r="G398" s="33"/>
    </row>
    <row r="399" customFormat="false" ht="15" hidden="false" customHeight="false" outlineLevel="0" collapsed="false">
      <c r="A399" s="32"/>
      <c r="B399" s="35"/>
      <c r="C399" s="32"/>
      <c r="D399" s="32"/>
      <c r="E399" s="33"/>
      <c r="F399" s="33"/>
      <c r="G399" s="33"/>
    </row>
    <row r="400" customFormat="false" ht="15" hidden="false" customHeight="false" outlineLevel="0" collapsed="false">
      <c r="A400" s="32"/>
      <c r="B400" s="35"/>
      <c r="C400" s="32"/>
      <c r="D400" s="32"/>
      <c r="E400" s="33"/>
      <c r="F400" s="33"/>
      <c r="G400" s="33"/>
    </row>
    <row r="401" customFormat="false" ht="15" hidden="false" customHeight="false" outlineLevel="0" collapsed="false">
      <c r="A401" s="32"/>
      <c r="B401" s="35"/>
      <c r="C401" s="32"/>
      <c r="D401" s="32"/>
      <c r="E401" s="33"/>
      <c r="F401" s="33"/>
      <c r="G401" s="33"/>
    </row>
    <row r="402" customFormat="false" ht="15" hidden="false" customHeight="false" outlineLevel="0" collapsed="false">
      <c r="A402" s="32"/>
      <c r="B402" s="35"/>
      <c r="C402" s="32"/>
      <c r="D402" s="32"/>
      <c r="E402" s="33"/>
      <c r="F402" s="33"/>
      <c r="G402" s="33"/>
    </row>
    <row r="403" customFormat="false" ht="15" hidden="false" customHeight="false" outlineLevel="0" collapsed="false">
      <c r="A403" s="32"/>
      <c r="B403" s="35"/>
      <c r="C403" s="32"/>
      <c r="D403" s="32"/>
      <c r="E403" s="33"/>
      <c r="F403" s="33"/>
      <c r="G403" s="33"/>
    </row>
    <row r="404" customFormat="false" ht="15" hidden="false" customHeight="false" outlineLevel="0" collapsed="false">
      <c r="A404" s="32"/>
      <c r="B404" s="35"/>
      <c r="C404" s="32"/>
      <c r="D404" s="32"/>
      <c r="E404" s="33"/>
      <c r="F404" s="33"/>
      <c r="G404" s="33"/>
    </row>
    <row r="405" customFormat="false" ht="15" hidden="false" customHeight="false" outlineLevel="0" collapsed="false">
      <c r="A405" s="32"/>
      <c r="B405" s="35"/>
      <c r="C405" s="32"/>
      <c r="D405" s="32"/>
      <c r="E405" s="33"/>
      <c r="F405" s="33"/>
      <c r="G405" s="33"/>
    </row>
    <row r="406" customFormat="false" ht="15" hidden="false" customHeight="false" outlineLevel="0" collapsed="false">
      <c r="A406" s="32"/>
      <c r="B406" s="35"/>
      <c r="C406" s="32"/>
      <c r="D406" s="32"/>
      <c r="E406" s="33"/>
      <c r="F406" s="33"/>
      <c r="G406" s="33"/>
    </row>
    <row r="407" customFormat="false" ht="15" hidden="false" customHeight="false" outlineLevel="0" collapsed="false">
      <c r="A407" s="32"/>
      <c r="B407" s="35"/>
      <c r="C407" s="32"/>
      <c r="D407" s="32"/>
      <c r="E407" s="33"/>
      <c r="F407" s="33"/>
      <c r="G407" s="33"/>
    </row>
    <row r="408" customFormat="false" ht="15" hidden="false" customHeight="false" outlineLevel="0" collapsed="false">
      <c r="A408" s="32"/>
      <c r="B408" s="35"/>
      <c r="C408" s="32"/>
      <c r="D408" s="32"/>
      <c r="E408" s="33"/>
      <c r="F408" s="33"/>
      <c r="G408" s="33"/>
    </row>
    <row r="409" customFormat="false" ht="15" hidden="false" customHeight="false" outlineLevel="0" collapsed="false">
      <c r="A409" s="32"/>
      <c r="B409" s="35"/>
      <c r="C409" s="32"/>
      <c r="D409" s="32"/>
      <c r="E409" s="33"/>
      <c r="F409" s="33"/>
      <c r="G409" s="33"/>
    </row>
    <row r="410" customFormat="false" ht="15" hidden="false" customHeight="false" outlineLevel="0" collapsed="false">
      <c r="A410" s="32"/>
      <c r="B410" s="35"/>
      <c r="C410" s="32"/>
      <c r="D410" s="32"/>
      <c r="E410" s="33"/>
      <c r="F410" s="33"/>
      <c r="G410" s="33"/>
    </row>
    <row r="411" customFormat="false" ht="15" hidden="false" customHeight="false" outlineLevel="0" collapsed="false">
      <c r="A411" s="32"/>
      <c r="B411" s="35"/>
      <c r="C411" s="32"/>
      <c r="D411" s="32"/>
      <c r="E411" s="33"/>
      <c r="F411" s="33"/>
      <c r="G411" s="33"/>
    </row>
    <row r="412" customFormat="false" ht="15" hidden="false" customHeight="false" outlineLevel="0" collapsed="false">
      <c r="A412" s="32"/>
      <c r="B412" s="35"/>
      <c r="C412" s="32"/>
      <c r="D412" s="32"/>
      <c r="E412" s="33"/>
      <c r="F412" s="33"/>
      <c r="G412" s="33"/>
    </row>
    <row r="413" customFormat="false" ht="15" hidden="false" customHeight="false" outlineLevel="0" collapsed="false">
      <c r="A413" s="32"/>
      <c r="B413" s="35"/>
      <c r="C413" s="32"/>
      <c r="D413" s="32"/>
      <c r="E413" s="33"/>
      <c r="F413" s="33"/>
      <c r="G413" s="33"/>
    </row>
    <row r="414" customFormat="false" ht="15" hidden="false" customHeight="false" outlineLevel="0" collapsed="false">
      <c r="A414" s="32"/>
      <c r="B414" s="35"/>
      <c r="C414" s="32"/>
      <c r="D414" s="32"/>
      <c r="E414" s="33"/>
      <c r="F414" s="33"/>
      <c r="G414" s="33"/>
    </row>
    <row r="415" customFormat="false" ht="15" hidden="false" customHeight="false" outlineLevel="0" collapsed="false">
      <c r="A415" s="32"/>
      <c r="B415" s="35"/>
      <c r="C415" s="32"/>
      <c r="D415" s="32"/>
      <c r="E415" s="33"/>
      <c r="F415" s="33"/>
      <c r="G415" s="33"/>
    </row>
    <row r="416" customFormat="false" ht="15" hidden="false" customHeight="false" outlineLevel="0" collapsed="false">
      <c r="A416" s="32"/>
      <c r="B416" s="35"/>
      <c r="C416" s="32"/>
      <c r="D416" s="32"/>
      <c r="E416" s="33"/>
      <c r="F416" s="33"/>
      <c r="G416" s="33"/>
    </row>
    <row r="417" customFormat="false" ht="15" hidden="false" customHeight="false" outlineLevel="0" collapsed="false">
      <c r="A417" s="32"/>
      <c r="B417" s="35"/>
      <c r="C417" s="32"/>
      <c r="D417" s="32"/>
      <c r="E417" s="33"/>
      <c r="F417" s="33"/>
      <c r="G417" s="33"/>
    </row>
    <row r="418" customFormat="false" ht="15" hidden="false" customHeight="false" outlineLevel="0" collapsed="false">
      <c r="A418" s="32"/>
      <c r="B418" s="35"/>
      <c r="C418" s="32"/>
      <c r="D418" s="32"/>
      <c r="E418" s="33"/>
      <c r="F418" s="33"/>
      <c r="G418" s="33"/>
    </row>
    <row r="419" customFormat="false" ht="15" hidden="false" customHeight="false" outlineLevel="0" collapsed="false">
      <c r="A419" s="32"/>
      <c r="B419" s="35"/>
      <c r="C419" s="32"/>
      <c r="D419" s="32"/>
      <c r="E419" s="33"/>
      <c r="F419" s="33"/>
      <c r="G419" s="33"/>
    </row>
    <row r="420" customFormat="false" ht="15" hidden="false" customHeight="false" outlineLevel="0" collapsed="false">
      <c r="A420" s="32"/>
      <c r="B420" s="35"/>
      <c r="C420" s="32"/>
      <c r="D420" s="32"/>
      <c r="E420" s="33"/>
      <c r="F420" s="33"/>
      <c r="G420" s="33"/>
    </row>
    <row r="421" customFormat="false" ht="15" hidden="false" customHeight="false" outlineLevel="0" collapsed="false">
      <c r="A421" s="32"/>
      <c r="B421" s="35"/>
      <c r="C421" s="32"/>
      <c r="D421" s="32"/>
      <c r="E421" s="33"/>
      <c r="F421" s="33"/>
      <c r="G421" s="33"/>
    </row>
    <row r="422" customFormat="false" ht="15" hidden="false" customHeight="false" outlineLevel="0" collapsed="false">
      <c r="A422" s="32"/>
      <c r="B422" s="35"/>
      <c r="C422" s="32"/>
      <c r="D422" s="32"/>
      <c r="E422" s="33"/>
      <c r="F422" s="33"/>
      <c r="G422" s="33"/>
    </row>
    <row r="423" customFormat="false" ht="15" hidden="false" customHeight="false" outlineLevel="0" collapsed="false">
      <c r="A423" s="32"/>
      <c r="B423" s="35"/>
      <c r="C423" s="32"/>
      <c r="D423" s="32"/>
      <c r="E423" s="33"/>
      <c r="F423" s="33"/>
      <c r="G423" s="33"/>
    </row>
    <row r="424" customFormat="false" ht="15" hidden="false" customHeight="false" outlineLevel="0" collapsed="false">
      <c r="A424" s="32"/>
      <c r="B424" s="35"/>
      <c r="C424" s="32"/>
      <c r="D424" s="32"/>
      <c r="E424" s="33"/>
      <c r="F424" s="33"/>
      <c r="G424" s="33"/>
    </row>
    <row r="425" customFormat="false" ht="15" hidden="false" customHeight="false" outlineLevel="0" collapsed="false">
      <c r="A425" s="32"/>
      <c r="B425" s="35"/>
      <c r="C425" s="32"/>
      <c r="D425" s="32"/>
      <c r="E425" s="33"/>
      <c r="F425" s="33"/>
      <c r="G425" s="33"/>
    </row>
    <row r="426" customFormat="false" ht="15" hidden="false" customHeight="false" outlineLevel="0" collapsed="false">
      <c r="A426" s="32"/>
      <c r="B426" s="35"/>
      <c r="C426" s="32"/>
      <c r="D426" s="32"/>
      <c r="E426" s="33"/>
      <c r="F426" s="33"/>
      <c r="G426" s="33"/>
    </row>
    <row r="427" customFormat="false" ht="15" hidden="false" customHeight="false" outlineLevel="0" collapsed="false">
      <c r="A427" s="32"/>
      <c r="B427" s="35"/>
      <c r="C427" s="32"/>
      <c r="D427" s="32"/>
      <c r="E427" s="33"/>
      <c r="F427" s="33"/>
      <c r="G427" s="33"/>
    </row>
    <row r="428" customFormat="false" ht="15" hidden="false" customHeight="false" outlineLevel="0" collapsed="false">
      <c r="A428" s="32"/>
      <c r="B428" s="35"/>
      <c r="C428" s="32"/>
      <c r="D428" s="32"/>
      <c r="E428" s="33"/>
      <c r="F428" s="33"/>
      <c r="G428" s="33"/>
    </row>
    <row r="429" customFormat="false" ht="15" hidden="false" customHeight="false" outlineLevel="0" collapsed="false">
      <c r="A429" s="32"/>
      <c r="B429" s="35"/>
      <c r="C429" s="32"/>
      <c r="D429" s="32"/>
      <c r="E429" s="33"/>
      <c r="F429" s="33"/>
      <c r="G429" s="33"/>
    </row>
    <row r="430" customFormat="false" ht="15" hidden="false" customHeight="false" outlineLevel="0" collapsed="false">
      <c r="A430" s="32"/>
      <c r="B430" s="35"/>
      <c r="C430" s="32"/>
      <c r="D430" s="32"/>
      <c r="E430" s="33"/>
      <c r="F430" s="33"/>
      <c r="G430" s="33"/>
    </row>
    <row r="431" customFormat="false" ht="15" hidden="false" customHeight="false" outlineLevel="0" collapsed="false">
      <c r="A431" s="32"/>
      <c r="B431" s="35"/>
      <c r="C431" s="32"/>
      <c r="D431" s="32"/>
      <c r="E431" s="33"/>
      <c r="F431" s="33"/>
      <c r="G431" s="33"/>
    </row>
    <row r="432" customFormat="false" ht="15" hidden="false" customHeight="false" outlineLevel="0" collapsed="false">
      <c r="A432" s="32"/>
      <c r="B432" s="35"/>
      <c r="C432" s="32"/>
      <c r="D432" s="32"/>
      <c r="E432" s="33"/>
      <c r="F432" s="33"/>
      <c r="G432" s="33"/>
    </row>
    <row r="433" customFormat="false" ht="15" hidden="false" customHeight="false" outlineLevel="0" collapsed="false">
      <c r="A433" s="32"/>
      <c r="B433" s="35"/>
      <c r="C433" s="32"/>
      <c r="D433" s="32"/>
      <c r="E433" s="33"/>
      <c r="F433" s="33"/>
      <c r="G433" s="33"/>
    </row>
    <row r="434" customFormat="false" ht="15" hidden="false" customHeight="false" outlineLevel="0" collapsed="false">
      <c r="A434" s="32"/>
      <c r="B434" s="35"/>
      <c r="C434" s="32"/>
      <c r="D434" s="32"/>
      <c r="E434" s="33"/>
      <c r="F434" s="33"/>
      <c r="G434" s="33"/>
    </row>
    <row r="435" customFormat="false" ht="15" hidden="false" customHeight="false" outlineLevel="0" collapsed="false">
      <c r="A435" s="32"/>
      <c r="B435" s="35"/>
      <c r="C435" s="32"/>
      <c r="D435" s="32"/>
      <c r="E435" s="33"/>
      <c r="F435" s="33"/>
      <c r="G435" s="33"/>
    </row>
    <row r="436" customFormat="false" ht="15" hidden="false" customHeight="false" outlineLevel="0" collapsed="false">
      <c r="A436" s="32"/>
      <c r="B436" s="35"/>
      <c r="C436" s="32"/>
      <c r="D436" s="32"/>
      <c r="E436" s="33"/>
      <c r="F436" s="33"/>
      <c r="G436" s="33"/>
    </row>
    <row r="437" customFormat="false" ht="15" hidden="false" customHeight="false" outlineLevel="0" collapsed="false">
      <c r="A437" s="32"/>
      <c r="B437" s="35"/>
      <c r="C437" s="32"/>
      <c r="D437" s="32"/>
      <c r="E437" s="33"/>
      <c r="F437" s="33"/>
      <c r="G437" s="33"/>
    </row>
    <row r="438" customFormat="false" ht="15" hidden="false" customHeight="false" outlineLevel="0" collapsed="false">
      <c r="A438" s="32"/>
      <c r="B438" s="35"/>
      <c r="C438" s="32"/>
      <c r="D438" s="32"/>
      <c r="E438" s="33"/>
      <c r="F438" s="33"/>
      <c r="G438" s="33"/>
    </row>
    <row r="439" customFormat="false" ht="15" hidden="false" customHeight="false" outlineLevel="0" collapsed="false">
      <c r="A439" s="32"/>
      <c r="B439" s="35"/>
      <c r="C439" s="32"/>
      <c r="D439" s="32"/>
      <c r="E439" s="33"/>
      <c r="F439" s="33"/>
      <c r="G439" s="33"/>
    </row>
    <row r="440" customFormat="false" ht="15" hidden="false" customHeight="false" outlineLevel="0" collapsed="false">
      <c r="A440" s="32"/>
      <c r="B440" s="35"/>
      <c r="C440" s="32"/>
      <c r="D440" s="32"/>
      <c r="E440" s="33"/>
      <c r="F440" s="33"/>
      <c r="G440" s="33"/>
    </row>
    <row r="441" customFormat="false" ht="15" hidden="false" customHeight="false" outlineLevel="0" collapsed="false">
      <c r="A441" s="32"/>
      <c r="B441" s="35"/>
      <c r="C441" s="32"/>
      <c r="D441" s="32"/>
      <c r="E441" s="33"/>
      <c r="F441" s="33"/>
      <c r="G441" s="33"/>
    </row>
    <row r="442" customFormat="false" ht="15" hidden="false" customHeight="false" outlineLevel="0" collapsed="false">
      <c r="A442" s="32"/>
      <c r="B442" s="35"/>
      <c r="C442" s="32"/>
      <c r="D442" s="32"/>
      <c r="E442" s="33"/>
      <c r="F442" s="33"/>
      <c r="G442" s="33"/>
    </row>
    <row r="443" customFormat="false" ht="15" hidden="false" customHeight="false" outlineLevel="0" collapsed="false">
      <c r="A443" s="32"/>
      <c r="B443" s="35"/>
      <c r="C443" s="32"/>
      <c r="D443" s="32"/>
      <c r="E443" s="33"/>
      <c r="F443" s="33"/>
      <c r="G443" s="33"/>
    </row>
    <row r="444" customFormat="false" ht="15" hidden="false" customHeight="false" outlineLevel="0" collapsed="false">
      <c r="A444" s="32"/>
      <c r="B444" s="35"/>
      <c r="C444" s="32"/>
      <c r="D444" s="32"/>
      <c r="E444" s="33"/>
      <c r="F444" s="33"/>
      <c r="G444" s="33"/>
    </row>
    <row r="445" customFormat="false" ht="15" hidden="false" customHeight="false" outlineLevel="0" collapsed="false">
      <c r="A445" s="32"/>
      <c r="B445" s="35"/>
      <c r="C445" s="32"/>
      <c r="D445" s="32"/>
      <c r="E445" s="33"/>
      <c r="F445" s="33"/>
      <c r="G445" s="33"/>
    </row>
    <row r="446" customFormat="false" ht="15" hidden="false" customHeight="false" outlineLevel="0" collapsed="false">
      <c r="A446" s="32"/>
      <c r="B446" s="35"/>
      <c r="C446" s="32"/>
      <c r="D446" s="32"/>
      <c r="E446" s="33"/>
      <c r="F446" s="33"/>
      <c r="G446" s="33"/>
    </row>
    <row r="447" customFormat="false" ht="15" hidden="false" customHeight="false" outlineLevel="0" collapsed="false">
      <c r="A447" s="32"/>
      <c r="B447" s="35"/>
      <c r="C447" s="32"/>
      <c r="D447" s="32"/>
      <c r="E447" s="33"/>
      <c r="F447" s="33"/>
      <c r="G447" s="33"/>
    </row>
    <row r="448" customFormat="false" ht="15" hidden="false" customHeight="false" outlineLevel="0" collapsed="false">
      <c r="A448" s="32"/>
      <c r="B448" s="35"/>
      <c r="C448" s="32"/>
      <c r="D448" s="32"/>
      <c r="E448" s="33"/>
      <c r="F448" s="33"/>
      <c r="G448" s="33"/>
    </row>
    <row r="449" customFormat="false" ht="15" hidden="false" customHeight="false" outlineLevel="0" collapsed="false">
      <c r="A449" s="32"/>
      <c r="B449" s="35"/>
      <c r="C449" s="32"/>
      <c r="D449" s="32"/>
      <c r="E449" s="33"/>
      <c r="F449" s="33"/>
      <c r="G449" s="33"/>
    </row>
    <row r="450" customFormat="false" ht="15" hidden="false" customHeight="false" outlineLevel="0" collapsed="false">
      <c r="A450" s="32"/>
      <c r="B450" s="35"/>
      <c r="C450" s="32"/>
      <c r="D450" s="32"/>
      <c r="E450" s="33"/>
      <c r="F450" s="33"/>
      <c r="G450" s="33"/>
    </row>
    <row r="451" customFormat="false" ht="15" hidden="false" customHeight="false" outlineLevel="0" collapsed="false">
      <c r="A451" s="32"/>
      <c r="B451" s="35"/>
      <c r="C451" s="32"/>
      <c r="D451" s="32"/>
      <c r="E451" s="33"/>
      <c r="F451" s="33"/>
      <c r="G451" s="33"/>
    </row>
    <row r="452" customFormat="false" ht="15" hidden="false" customHeight="false" outlineLevel="0" collapsed="false">
      <c r="A452" s="32"/>
      <c r="B452" s="35"/>
      <c r="C452" s="32"/>
      <c r="D452" s="32"/>
      <c r="E452" s="33"/>
      <c r="F452" s="33"/>
      <c r="G452" s="33"/>
    </row>
    <row r="453" customFormat="false" ht="15" hidden="false" customHeight="false" outlineLevel="0" collapsed="false">
      <c r="A453" s="32"/>
      <c r="B453" s="35"/>
      <c r="C453" s="32"/>
      <c r="D453" s="32"/>
      <c r="E453" s="33"/>
      <c r="F453" s="33"/>
      <c r="G453" s="33"/>
    </row>
    <row r="454" customFormat="false" ht="15" hidden="false" customHeight="false" outlineLevel="0" collapsed="false">
      <c r="A454" s="32"/>
      <c r="B454" s="35"/>
      <c r="C454" s="32"/>
      <c r="D454" s="32"/>
      <c r="E454" s="33"/>
      <c r="F454" s="33"/>
      <c r="G454" s="33"/>
    </row>
    <row r="455" customFormat="false" ht="15" hidden="false" customHeight="false" outlineLevel="0" collapsed="false">
      <c r="A455" s="32"/>
      <c r="B455" s="35"/>
      <c r="C455" s="32"/>
      <c r="D455" s="32"/>
      <c r="E455" s="33"/>
      <c r="F455" s="33"/>
      <c r="G455" s="33"/>
    </row>
    <row r="456" customFormat="false" ht="15" hidden="false" customHeight="false" outlineLevel="0" collapsed="false">
      <c r="A456" s="32"/>
      <c r="B456" s="35"/>
      <c r="C456" s="32"/>
      <c r="D456" s="32"/>
      <c r="E456" s="33"/>
      <c r="F456" s="33"/>
      <c r="G456" s="33"/>
    </row>
    <row r="457" customFormat="false" ht="15" hidden="false" customHeight="false" outlineLevel="0" collapsed="false">
      <c r="A457" s="32"/>
      <c r="B457" s="35"/>
      <c r="C457" s="32"/>
      <c r="D457" s="32"/>
      <c r="E457" s="33"/>
      <c r="F457" s="33"/>
      <c r="G457" s="33"/>
    </row>
    <row r="458" customFormat="false" ht="15" hidden="false" customHeight="false" outlineLevel="0" collapsed="false">
      <c r="A458" s="32"/>
      <c r="B458" s="35"/>
      <c r="C458" s="32"/>
      <c r="D458" s="32"/>
      <c r="E458" s="33"/>
      <c r="F458" s="33"/>
      <c r="G458" s="33"/>
    </row>
    <row r="459" customFormat="false" ht="15" hidden="false" customHeight="false" outlineLevel="0" collapsed="false">
      <c r="A459" s="32"/>
      <c r="B459" s="35"/>
      <c r="C459" s="32"/>
      <c r="D459" s="32"/>
      <c r="E459" s="33"/>
      <c r="F459" s="33"/>
      <c r="G459" s="33"/>
    </row>
    <row r="460" customFormat="false" ht="15" hidden="false" customHeight="false" outlineLevel="0" collapsed="false">
      <c r="A460" s="32"/>
      <c r="B460" s="35"/>
      <c r="C460" s="32"/>
      <c r="D460" s="32"/>
      <c r="E460" s="33"/>
      <c r="F460" s="33"/>
      <c r="G460" s="33"/>
    </row>
    <row r="461" customFormat="false" ht="15" hidden="false" customHeight="false" outlineLevel="0" collapsed="false">
      <c r="A461" s="32"/>
      <c r="B461" s="35"/>
      <c r="C461" s="32"/>
      <c r="D461" s="32"/>
      <c r="E461" s="33"/>
      <c r="F461" s="33"/>
      <c r="G461" s="33"/>
    </row>
    <row r="462" customFormat="false" ht="15" hidden="false" customHeight="false" outlineLevel="0" collapsed="false">
      <c r="A462" s="32"/>
      <c r="B462" s="35"/>
      <c r="C462" s="32"/>
      <c r="D462" s="32"/>
      <c r="E462" s="33"/>
      <c r="F462" s="33"/>
      <c r="G462" s="33"/>
    </row>
    <row r="463" customFormat="false" ht="15" hidden="false" customHeight="false" outlineLevel="0" collapsed="false">
      <c r="A463" s="32"/>
      <c r="B463" s="35"/>
      <c r="C463" s="32"/>
      <c r="D463" s="32"/>
      <c r="E463" s="33"/>
      <c r="F463" s="33"/>
      <c r="G463" s="33"/>
    </row>
    <row r="464" customFormat="false" ht="15" hidden="false" customHeight="false" outlineLevel="0" collapsed="false">
      <c r="A464" s="32"/>
      <c r="B464" s="35"/>
      <c r="C464" s="32"/>
      <c r="D464" s="32"/>
      <c r="E464" s="33"/>
      <c r="F464" s="33"/>
      <c r="G464" s="33"/>
    </row>
    <row r="465" customFormat="false" ht="15" hidden="false" customHeight="false" outlineLevel="0" collapsed="false">
      <c r="A465" s="32"/>
      <c r="B465" s="35"/>
      <c r="C465" s="32"/>
      <c r="D465" s="32"/>
      <c r="E465" s="33"/>
      <c r="F465" s="33"/>
      <c r="G465" s="33"/>
    </row>
    <row r="466" customFormat="false" ht="15" hidden="false" customHeight="false" outlineLevel="0" collapsed="false">
      <c r="A466" s="32"/>
      <c r="B466" s="35"/>
      <c r="C466" s="32"/>
      <c r="D466" s="32"/>
      <c r="E466" s="33"/>
      <c r="F466" s="33"/>
      <c r="G466" s="33"/>
    </row>
    <row r="467" customFormat="false" ht="15" hidden="false" customHeight="false" outlineLevel="0" collapsed="false">
      <c r="A467" s="32"/>
      <c r="B467" s="35"/>
      <c r="C467" s="32"/>
      <c r="D467" s="32"/>
      <c r="E467" s="33"/>
      <c r="F467" s="33"/>
      <c r="G467" s="33"/>
    </row>
    <row r="468" customFormat="false" ht="15" hidden="false" customHeight="false" outlineLevel="0" collapsed="false">
      <c r="A468" s="32"/>
      <c r="B468" s="35"/>
      <c r="C468" s="32"/>
      <c r="D468" s="32"/>
      <c r="E468" s="33"/>
      <c r="F468" s="33"/>
      <c r="G468" s="33"/>
    </row>
    <row r="469" customFormat="false" ht="15" hidden="false" customHeight="false" outlineLevel="0" collapsed="false">
      <c r="A469" s="32"/>
      <c r="B469" s="35"/>
      <c r="C469" s="32"/>
      <c r="D469" s="32"/>
      <c r="E469" s="33"/>
      <c r="F469" s="33"/>
      <c r="G469" s="33"/>
    </row>
    <row r="470" customFormat="false" ht="15" hidden="false" customHeight="false" outlineLevel="0" collapsed="false">
      <c r="A470" s="32"/>
      <c r="B470" s="35"/>
      <c r="C470" s="32"/>
      <c r="D470" s="32"/>
      <c r="E470" s="33"/>
      <c r="F470" s="33"/>
      <c r="G470" s="33"/>
    </row>
    <row r="471" customFormat="false" ht="15" hidden="false" customHeight="false" outlineLevel="0" collapsed="false">
      <c r="A471" s="32"/>
      <c r="B471" s="35"/>
      <c r="C471" s="32"/>
      <c r="D471" s="32"/>
      <c r="E471" s="33"/>
      <c r="F471" s="33"/>
      <c r="G471" s="33"/>
    </row>
    <row r="472" customFormat="false" ht="15" hidden="false" customHeight="false" outlineLevel="0" collapsed="false">
      <c r="A472" s="32"/>
      <c r="B472" s="35"/>
      <c r="C472" s="32"/>
      <c r="D472" s="32"/>
      <c r="E472" s="33"/>
      <c r="F472" s="33"/>
      <c r="G472" s="33"/>
    </row>
    <row r="473" customFormat="false" ht="15" hidden="false" customHeight="false" outlineLevel="0" collapsed="false">
      <c r="A473" s="32"/>
      <c r="B473" s="35"/>
      <c r="C473" s="32"/>
      <c r="D473" s="32"/>
      <c r="E473" s="33"/>
      <c r="F473" s="33"/>
      <c r="G473" s="33"/>
    </row>
    <row r="474" customFormat="false" ht="15" hidden="false" customHeight="false" outlineLevel="0" collapsed="false">
      <c r="A474" s="32"/>
      <c r="B474" s="35"/>
      <c r="C474" s="32"/>
      <c r="D474" s="32"/>
      <c r="E474" s="33"/>
      <c r="F474" s="33"/>
      <c r="G474" s="33"/>
    </row>
    <row r="475" customFormat="false" ht="15" hidden="false" customHeight="false" outlineLevel="0" collapsed="false">
      <c r="A475" s="32"/>
      <c r="B475" s="35"/>
      <c r="C475" s="32"/>
      <c r="D475" s="32"/>
      <c r="E475" s="33"/>
      <c r="F475" s="33"/>
      <c r="G475" s="33"/>
    </row>
    <row r="476" customFormat="false" ht="15" hidden="false" customHeight="false" outlineLevel="0" collapsed="false">
      <c r="A476" s="32"/>
      <c r="B476" s="35"/>
      <c r="C476" s="32"/>
      <c r="D476" s="32"/>
      <c r="E476" s="33"/>
      <c r="F476" s="33"/>
      <c r="G476" s="33"/>
    </row>
    <row r="477" customFormat="false" ht="15" hidden="false" customHeight="false" outlineLevel="0" collapsed="false">
      <c r="A477" s="32"/>
      <c r="B477" s="35"/>
      <c r="C477" s="32"/>
      <c r="D477" s="32"/>
      <c r="E477" s="33"/>
      <c r="F477" s="33"/>
      <c r="G477" s="33"/>
    </row>
    <row r="478" customFormat="false" ht="15" hidden="false" customHeight="false" outlineLevel="0" collapsed="false">
      <c r="A478" s="32"/>
      <c r="B478" s="35"/>
      <c r="C478" s="32"/>
      <c r="D478" s="32"/>
      <c r="E478" s="33"/>
      <c r="F478" s="33"/>
      <c r="G478" s="33"/>
    </row>
    <row r="479" customFormat="false" ht="15" hidden="false" customHeight="false" outlineLevel="0" collapsed="false">
      <c r="A479" s="32"/>
      <c r="B479" s="35"/>
      <c r="C479" s="32"/>
      <c r="D479" s="32"/>
      <c r="E479" s="33"/>
      <c r="F479" s="33"/>
      <c r="G479" s="33"/>
    </row>
    <row r="480" customFormat="false" ht="15" hidden="false" customHeight="false" outlineLevel="0" collapsed="false">
      <c r="A480" s="32"/>
      <c r="B480" s="35"/>
      <c r="C480" s="32"/>
      <c r="D480" s="32"/>
      <c r="E480" s="33"/>
      <c r="F480" s="33"/>
      <c r="G480" s="33"/>
    </row>
    <row r="481" customFormat="false" ht="15" hidden="false" customHeight="false" outlineLevel="0" collapsed="false">
      <c r="A481" s="32"/>
      <c r="B481" s="35"/>
      <c r="C481" s="32"/>
      <c r="D481" s="32"/>
      <c r="E481" s="33"/>
      <c r="F481" s="33"/>
      <c r="G481" s="33"/>
    </row>
    <row r="482" customFormat="false" ht="15" hidden="false" customHeight="false" outlineLevel="0" collapsed="false">
      <c r="A482" s="32"/>
      <c r="B482" s="35"/>
      <c r="C482" s="32"/>
      <c r="D482" s="32"/>
      <c r="E482" s="33"/>
      <c r="F482" s="33"/>
      <c r="G482" s="33"/>
    </row>
    <row r="483" customFormat="false" ht="15" hidden="false" customHeight="false" outlineLevel="0" collapsed="false">
      <c r="A483" s="32"/>
      <c r="B483" s="35"/>
      <c r="C483" s="32"/>
      <c r="D483" s="32"/>
      <c r="E483" s="33"/>
      <c r="F483" s="33"/>
      <c r="G483" s="33"/>
    </row>
    <row r="484" customFormat="false" ht="15" hidden="false" customHeight="false" outlineLevel="0" collapsed="false">
      <c r="A484" s="32"/>
      <c r="B484" s="35"/>
      <c r="C484" s="32"/>
      <c r="D484" s="32"/>
      <c r="E484" s="33"/>
      <c r="F484" s="33"/>
      <c r="G484" s="33"/>
    </row>
    <row r="485" customFormat="false" ht="15" hidden="false" customHeight="false" outlineLevel="0" collapsed="false">
      <c r="A485" s="32"/>
      <c r="B485" s="35"/>
      <c r="C485" s="32"/>
      <c r="D485" s="32"/>
      <c r="E485" s="33"/>
      <c r="F485" s="33"/>
      <c r="G485" s="33"/>
    </row>
    <row r="486" customFormat="false" ht="15" hidden="false" customHeight="false" outlineLevel="0" collapsed="false">
      <c r="A486" s="32"/>
      <c r="B486" s="35"/>
      <c r="C486" s="32"/>
      <c r="D486" s="32"/>
      <c r="E486" s="33"/>
      <c r="F486" s="33"/>
      <c r="G486" s="33"/>
    </row>
    <row r="487" customFormat="false" ht="15" hidden="false" customHeight="false" outlineLevel="0" collapsed="false">
      <c r="A487" s="32"/>
      <c r="B487" s="35"/>
      <c r="C487" s="32"/>
      <c r="D487" s="32"/>
      <c r="E487" s="33"/>
      <c r="F487" s="33"/>
      <c r="G487" s="33"/>
    </row>
    <row r="488" customFormat="false" ht="15" hidden="false" customHeight="false" outlineLevel="0" collapsed="false">
      <c r="A488" s="32"/>
      <c r="B488" s="35"/>
      <c r="C488" s="32"/>
      <c r="D488" s="32"/>
      <c r="E488" s="33"/>
      <c r="F488" s="33"/>
      <c r="G488" s="33"/>
    </row>
    <row r="489" customFormat="false" ht="15" hidden="false" customHeight="false" outlineLevel="0" collapsed="false">
      <c r="A489" s="32"/>
      <c r="B489" s="35"/>
      <c r="C489" s="32"/>
      <c r="D489" s="32"/>
      <c r="E489" s="33"/>
      <c r="F489" s="33"/>
      <c r="G489" s="33"/>
    </row>
    <row r="490" customFormat="false" ht="15" hidden="false" customHeight="false" outlineLevel="0" collapsed="false">
      <c r="A490" s="32"/>
      <c r="B490" s="35"/>
      <c r="C490" s="32"/>
      <c r="D490" s="32"/>
      <c r="E490" s="33"/>
      <c r="F490" s="33"/>
      <c r="G490" s="33"/>
    </row>
    <row r="491" customFormat="false" ht="15" hidden="false" customHeight="false" outlineLevel="0" collapsed="false">
      <c r="A491" s="32"/>
      <c r="B491" s="35"/>
      <c r="C491" s="32"/>
      <c r="D491" s="32"/>
      <c r="E491" s="33"/>
      <c r="F491" s="33"/>
      <c r="G491" s="33"/>
    </row>
    <row r="492" customFormat="false" ht="15" hidden="false" customHeight="false" outlineLevel="0" collapsed="false">
      <c r="A492" s="32"/>
      <c r="B492" s="35"/>
      <c r="C492" s="32"/>
      <c r="D492" s="32"/>
      <c r="E492" s="33"/>
      <c r="F492" s="33"/>
      <c r="G492" s="33"/>
    </row>
    <row r="493" customFormat="false" ht="15" hidden="false" customHeight="false" outlineLevel="0" collapsed="false">
      <c r="A493" s="32"/>
      <c r="B493" s="35"/>
      <c r="C493" s="32"/>
      <c r="D493" s="32"/>
      <c r="E493" s="33"/>
      <c r="F493" s="33"/>
      <c r="G493" s="33"/>
    </row>
    <row r="494" customFormat="false" ht="15" hidden="false" customHeight="false" outlineLevel="0" collapsed="false">
      <c r="A494" s="32"/>
      <c r="B494" s="35"/>
      <c r="C494" s="32"/>
      <c r="D494" s="32"/>
      <c r="E494" s="33"/>
      <c r="F494" s="33"/>
      <c r="G494" s="33"/>
    </row>
    <row r="495" customFormat="false" ht="15" hidden="false" customHeight="false" outlineLevel="0" collapsed="false">
      <c r="A495" s="32"/>
      <c r="B495" s="35"/>
      <c r="C495" s="32"/>
      <c r="D495" s="32"/>
      <c r="E495" s="33"/>
      <c r="F495" s="33"/>
      <c r="G495" s="33"/>
    </row>
    <row r="496" customFormat="false" ht="15" hidden="false" customHeight="false" outlineLevel="0" collapsed="false">
      <c r="A496" s="32"/>
      <c r="B496" s="35"/>
      <c r="C496" s="32"/>
      <c r="D496" s="32"/>
      <c r="E496" s="33"/>
      <c r="F496" s="33"/>
      <c r="G496" s="33"/>
    </row>
    <row r="497" customFormat="false" ht="15" hidden="false" customHeight="false" outlineLevel="0" collapsed="false">
      <c r="A497" s="32"/>
      <c r="B497" s="35"/>
      <c r="C497" s="32"/>
      <c r="D497" s="32"/>
      <c r="E497" s="33"/>
      <c r="F497" s="33"/>
      <c r="G497" s="33"/>
    </row>
    <row r="498" customFormat="false" ht="15" hidden="false" customHeight="false" outlineLevel="0" collapsed="false">
      <c r="A498" s="32"/>
      <c r="B498" s="35"/>
      <c r="C498" s="32"/>
      <c r="D498" s="32"/>
      <c r="E498" s="33"/>
      <c r="F498" s="33"/>
      <c r="G498" s="33"/>
    </row>
    <row r="499" customFormat="false" ht="15" hidden="false" customHeight="false" outlineLevel="0" collapsed="false">
      <c r="A499" s="32"/>
      <c r="B499" s="35"/>
      <c r="C499" s="32"/>
      <c r="D499" s="32"/>
      <c r="E499" s="33"/>
      <c r="F499" s="33"/>
      <c r="G499" s="33"/>
    </row>
    <row r="500" customFormat="false" ht="15" hidden="false" customHeight="false" outlineLevel="0" collapsed="false">
      <c r="A500" s="32"/>
      <c r="B500" s="35"/>
      <c r="C500" s="32"/>
      <c r="D500" s="32"/>
      <c r="E500" s="33"/>
      <c r="F500" s="33"/>
      <c r="G500" s="33"/>
    </row>
    <row r="501" customFormat="false" ht="15" hidden="false" customHeight="false" outlineLevel="0" collapsed="false">
      <c r="A501" s="32"/>
      <c r="B501" s="35"/>
      <c r="C501" s="32"/>
      <c r="D501" s="32"/>
      <c r="E501" s="33"/>
      <c r="F501" s="33"/>
      <c r="G501" s="33"/>
    </row>
  </sheetData>
  <autoFilter ref="A1:G501"/>
  <dataValidations count="2">
    <dataValidation allowBlank="true" error="Enter a valid date (e.g. 31-Dec-2026)." errorStyle="stop" errorTitle="Invalid date" operator="greaterThan" showDropDown="false" showErrorMessage="false" showInputMessage="false" sqref="B2:B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6" min="5" style="0" width="34"/>
  </cols>
  <sheetData>
    <row r="1" customFormat="false" ht="33.75" hidden="false" customHeight="true" outlineLevel="0" collapsed="false">
      <c r="A1" s="17" t="s">
        <v>110</v>
      </c>
      <c r="B1" s="17" t="s">
        <v>199</v>
      </c>
      <c r="C1" s="17" t="s">
        <v>193</v>
      </c>
      <c r="D1" s="17" t="s">
        <v>232</v>
      </c>
      <c r="E1" s="17" t="s">
        <v>214</v>
      </c>
      <c r="F1" s="17" t="s">
        <v>353</v>
      </c>
    </row>
    <row r="2" customFormat="false" ht="15" hidden="false" customHeight="false" outlineLevel="0" collapsed="false">
      <c r="A2" s="32"/>
      <c r="B2" s="32"/>
      <c r="C2" s="32"/>
      <c r="D2" s="32"/>
      <c r="E2" s="33"/>
      <c r="F2" s="33"/>
    </row>
    <row r="3" customFormat="false" ht="15" hidden="false" customHeight="false" outlineLevel="0" collapsed="false">
      <c r="A3" s="32"/>
      <c r="B3" s="32"/>
      <c r="C3" s="32"/>
      <c r="D3" s="32"/>
      <c r="E3" s="33"/>
      <c r="F3" s="33"/>
    </row>
    <row r="4" customFormat="false" ht="15" hidden="false" customHeight="false" outlineLevel="0" collapsed="false">
      <c r="A4" s="32"/>
      <c r="B4" s="32"/>
      <c r="C4" s="32"/>
      <c r="D4" s="32"/>
      <c r="E4" s="33"/>
      <c r="F4" s="33"/>
    </row>
    <row r="5" customFormat="false" ht="15" hidden="false" customHeight="false" outlineLevel="0" collapsed="false">
      <c r="A5" s="32"/>
      <c r="B5" s="32"/>
      <c r="C5" s="32"/>
      <c r="D5" s="32"/>
      <c r="E5" s="33"/>
      <c r="F5" s="33"/>
    </row>
    <row r="6" customFormat="false" ht="15" hidden="false" customHeight="false" outlineLevel="0" collapsed="false">
      <c r="A6" s="32"/>
      <c r="B6" s="32"/>
      <c r="C6" s="32"/>
      <c r="D6" s="32"/>
      <c r="E6" s="33"/>
      <c r="F6" s="33"/>
    </row>
    <row r="7" customFormat="false" ht="15" hidden="false" customHeight="false" outlineLevel="0" collapsed="false">
      <c r="A7" s="32"/>
      <c r="B7" s="32"/>
      <c r="C7" s="32"/>
      <c r="D7" s="32"/>
      <c r="E7" s="33"/>
      <c r="F7" s="33"/>
    </row>
    <row r="8" customFormat="false" ht="15" hidden="false" customHeight="false" outlineLevel="0" collapsed="false">
      <c r="A8" s="32"/>
      <c r="B8" s="32"/>
      <c r="C8" s="32"/>
      <c r="D8" s="32"/>
      <c r="E8" s="33"/>
      <c r="F8" s="33"/>
    </row>
    <row r="9" customFormat="false" ht="15" hidden="false" customHeight="false" outlineLevel="0" collapsed="false">
      <c r="A9" s="32"/>
      <c r="B9" s="32"/>
      <c r="C9" s="32"/>
      <c r="D9" s="32"/>
      <c r="E9" s="33"/>
      <c r="F9" s="33"/>
    </row>
    <row r="10" customFormat="false" ht="15" hidden="false" customHeight="false" outlineLevel="0" collapsed="false">
      <c r="A10" s="32"/>
      <c r="B10" s="32"/>
      <c r="C10" s="32"/>
      <c r="D10" s="32"/>
      <c r="E10" s="33"/>
      <c r="F10" s="33"/>
    </row>
    <row r="11" customFormat="false" ht="15" hidden="false" customHeight="false" outlineLevel="0" collapsed="false">
      <c r="A11" s="32"/>
      <c r="B11" s="32"/>
      <c r="C11" s="32"/>
      <c r="D11" s="32"/>
      <c r="E11" s="33"/>
      <c r="F11" s="33"/>
    </row>
    <row r="12" customFormat="false" ht="15" hidden="false" customHeight="false" outlineLevel="0" collapsed="false">
      <c r="A12" s="32"/>
      <c r="B12" s="32"/>
      <c r="C12" s="32"/>
      <c r="D12" s="32"/>
      <c r="E12" s="33"/>
      <c r="F12" s="33"/>
    </row>
    <row r="13" customFormat="false" ht="15" hidden="false" customHeight="false" outlineLevel="0" collapsed="false">
      <c r="A13" s="32"/>
      <c r="B13" s="32"/>
      <c r="C13" s="32"/>
      <c r="D13" s="32"/>
      <c r="E13" s="33"/>
      <c r="F13" s="33"/>
    </row>
    <row r="14" customFormat="false" ht="15" hidden="false" customHeight="false" outlineLevel="0" collapsed="false">
      <c r="A14" s="32"/>
      <c r="B14" s="32"/>
      <c r="C14" s="32"/>
      <c r="D14" s="32"/>
      <c r="E14" s="33"/>
      <c r="F14" s="33"/>
    </row>
    <row r="15" customFormat="false" ht="15" hidden="false" customHeight="false" outlineLevel="0" collapsed="false">
      <c r="A15" s="32"/>
      <c r="B15" s="32"/>
      <c r="C15" s="32"/>
      <c r="D15" s="32"/>
      <c r="E15" s="33"/>
      <c r="F15" s="33"/>
    </row>
    <row r="16" customFormat="false" ht="15" hidden="false" customHeight="false" outlineLevel="0" collapsed="false">
      <c r="A16" s="32"/>
      <c r="B16" s="32"/>
      <c r="C16" s="32"/>
      <c r="D16" s="32"/>
      <c r="E16" s="33"/>
      <c r="F16" s="33"/>
    </row>
    <row r="17" customFormat="false" ht="15" hidden="false" customHeight="false" outlineLevel="0" collapsed="false">
      <c r="A17" s="32"/>
      <c r="B17" s="32"/>
      <c r="C17" s="32"/>
      <c r="D17" s="32"/>
      <c r="E17" s="33"/>
      <c r="F17" s="33"/>
    </row>
    <row r="18" customFormat="false" ht="15" hidden="false" customHeight="false" outlineLevel="0" collapsed="false">
      <c r="A18" s="32"/>
      <c r="B18" s="32"/>
      <c r="C18" s="32"/>
      <c r="D18" s="32"/>
      <c r="E18" s="33"/>
      <c r="F18" s="33"/>
    </row>
    <row r="19" customFormat="false" ht="15" hidden="false" customHeight="false" outlineLevel="0" collapsed="false">
      <c r="A19" s="32"/>
      <c r="B19" s="32"/>
      <c r="C19" s="32"/>
      <c r="D19" s="32"/>
      <c r="E19" s="33"/>
      <c r="F19" s="33"/>
    </row>
    <row r="20" customFormat="false" ht="15" hidden="false" customHeight="false" outlineLevel="0" collapsed="false">
      <c r="A20" s="32"/>
      <c r="B20" s="32"/>
      <c r="C20" s="32"/>
      <c r="D20" s="32"/>
      <c r="E20" s="33"/>
      <c r="F20" s="33"/>
    </row>
    <row r="21" customFormat="false" ht="15" hidden="false" customHeight="false" outlineLevel="0" collapsed="false">
      <c r="A21" s="32"/>
      <c r="B21" s="32"/>
      <c r="C21" s="32"/>
      <c r="D21" s="32"/>
      <c r="E21" s="33"/>
      <c r="F21" s="33"/>
    </row>
    <row r="22" customFormat="false" ht="15" hidden="false" customHeight="false" outlineLevel="0" collapsed="false">
      <c r="A22" s="32"/>
      <c r="B22" s="32"/>
      <c r="C22" s="32"/>
      <c r="D22" s="32"/>
      <c r="E22" s="33"/>
      <c r="F22" s="33"/>
    </row>
    <row r="23" customFormat="false" ht="15" hidden="false" customHeight="false" outlineLevel="0" collapsed="false">
      <c r="A23" s="32"/>
      <c r="B23" s="32"/>
      <c r="C23" s="32"/>
      <c r="D23" s="32"/>
      <c r="E23" s="33"/>
      <c r="F23" s="33"/>
    </row>
    <row r="24" customFormat="false" ht="15" hidden="false" customHeight="false" outlineLevel="0" collapsed="false">
      <c r="A24" s="32"/>
      <c r="B24" s="32"/>
      <c r="C24" s="32"/>
      <c r="D24" s="32"/>
      <c r="E24" s="33"/>
      <c r="F24" s="33"/>
    </row>
    <row r="25" customFormat="false" ht="15" hidden="false" customHeight="false" outlineLevel="0" collapsed="false">
      <c r="A25" s="32"/>
      <c r="B25" s="32"/>
      <c r="C25" s="32"/>
      <c r="D25" s="32"/>
      <c r="E25" s="33"/>
      <c r="F25" s="33"/>
    </row>
    <row r="26" customFormat="false" ht="15" hidden="false" customHeight="false" outlineLevel="0" collapsed="false">
      <c r="A26" s="32"/>
      <c r="B26" s="32"/>
      <c r="C26" s="32"/>
      <c r="D26" s="32"/>
      <c r="E26" s="33"/>
      <c r="F26" s="33"/>
    </row>
    <row r="27" customFormat="false" ht="15" hidden="false" customHeight="false" outlineLevel="0" collapsed="false">
      <c r="A27" s="32"/>
      <c r="B27" s="32"/>
      <c r="C27" s="32"/>
      <c r="D27" s="32"/>
      <c r="E27" s="33"/>
      <c r="F27" s="33"/>
    </row>
    <row r="28" customFormat="false" ht="15" hidden="false" customHeight="false" outlineLevel="0" collapsed="false">
      <c r="A28" s="32"/>
      <c r="B28" s="32"/>
      <c r="C28" s="32"/>
      <c r="D28" s="32"/>
      <c r="E28" s="33"/>
      <c r="F28" s="33"/>
    </row>
    <row r="29" customFormat="false" ht="15" hidden="false" customHeight="false" outlineLevel="0" collapsed="false">
      <c r="A29" s="32"/>
      <c r="B29" s="32"/>
      <c r="C29" s="32"/>
      <c r="D29" s="32"/>
      <c r="E29" s="33"/>
      <c r="F29" s="33"/>
    </row>
    <row r="30" customFormat="false" ht="15" hidden="false" customHeight="false" outlineLevel="0" collapsed="false">
      <c r="A30" s="32"/>
      <c r="B30" s="32"/>
      <c r="C30" s="32"/>
      <c r="D30" s="32"/>
      <c r="E30" s="33"/>
      <c r="F30" s="33"/>
    </row>
    <row r="31" customFormat="false" ht="15" hidden="false" customHeight="false" outlineLevel="0" collapsed="false">
      <c r="A31" s="32"/>
      <c r="B31" s="32"/>
      <c r="C31" s="32"/>
      <c r="D31" s="32"/>
      <c r="E31" s="33"/>
      <c r="F31" s="33"/>
    </row>
    <row r="32" customFormat="false" ht="15" hidden="false" customHeight="false" outlineLevel="0" collapsed="false">
      <c r="A32" s="32"/>
      <c r="B32" s="32"/>
      <c r="C32" s="32"/>
      <c r="D32" s="32"/>
      <c r="E32" s="33"/>
      <c r="F32" s="33"/>
    </row>
    <row r="33" customFormat="false" ht="15" hidden="false" customHeight="false" outlineLevel="0" collapsed="false">
      <c r="A33" s="32"/>
      <c r="B33" s="32"/>
      <c r="C33" s="32"/>
      <c r="D33" s="32"/>
      <c r="E33" s="33"/>
      <c r="F33" s="33"/>
    </row>
    <row r="34" customFormat="false" ht="15" hidden="false" customHeight="false" outlineLevel="0" collapsed="false">
      <c r="A34" s="32"/>
      <c r="B34" s="32"/>
      <c r="C34" s="32"/>
      <c r="D34" s="32"/>
      <c r="E34" s="33"/>
      <c r="F34" s="33"/>
    </row>
    <row r="35" customFormat="false" ht="15" hidden="false" customHeight="false" outlineLevel="0" collapsed="false">
      <c r="A35" s="32"/>
      <c r="B35" s="32"/>
      <c r="C35" s="32"/>
      <c r="D35" s="32"/>
      <c r="E35" s="33"/>
      <c r="F35" s="33"/>
    </row>
    <row r="36" customFormat="false" ht="15" hidden="false" customHeight="false" outlineLevel="0" collapsed="false">
      <c r="A36" s="32"/>
      <c r="B36" s="32"/>
      <c r="C36" s="32"/>
      <c r="D36" s="32"/>
      <c r="E36" s="33"/>
      <c r="F36" s="33"/>
    </row>
    <row r="37" customFormat="false" ht="15" hidden="false" customHeight="false" outlineLevel="0" collapsed="false">
      <c r="A37" s="32"/>
      <c r="B37" s="32"/>
      <c r="C37" s="32"/>
      <c r="D37" s="32"/>
      <c r="E37" s="33"/>
      <c r="F37" s="33"/>
    </row>
    <row r="38" customFormat="false" ht="15" hidden="false" customHeight="false" outlineLevel="0" collapsed="false">
      <c r="A38" s="32"/>
      <c r="B38" s="32"/>
      <c r="C38" s="32"/>
      <c r="D38" s="32"/>
      <c r="E38" s="33"/>
      <c r="F38" s="33"/>
    </row>
    <row r="39" customFormat="false" ht="15" hidden="false" customHeight="false" outlineLevel="0" collapsed="false">
      <c r="A39" s="32"/>
      <c r="B39" s="32"/>
      <c r="C39" s="32"/>
      <c r="D39" s="32"/>
      <c r="E39" s="33"/>
      <c r="F39" s="33"/>
    </row>
    <row r="40" customFormat="false" ht="15" hidden="false" customHeight="false" outlineLevel="0" collapsed="false">
      <c r="A40" s="32"/>
      <c r="B40" s="32"/>
      <c r="C40" s="32"/>
      <c r="D40" s="32"/>
      <c r="E40" s="33"/>
      <c r="F40" s="33"/>
    </row>
    <row r="41" customFormat="false" ht="15" hidden="false" customHeight="false" outlineLevel="0" collapsed="false">
      <c r="A41" s="32"/>
      <c r="B41" s="32"/>
      <c r="C41" s="32"/>
      <c r="D41" s="32"/>
      <c r="E41" s="33"/>
      <c r="F41" s="33"/>
    </row>
    <row r="42" customFormat="false" ht="15" hidden="false" customHeight="false" outlineLevel="0" collapsed="false">
      <c r="A42" s="32"/>
      <c r="B42" s="32"/>
      <c r="C42" s="32"/>
      <c r="D42" s="32"/>
      <c r="E42" s="33"/>
      <c r="F42" s="33"/>
    </row>
    <row r="43" customFormat="false" ht="15" hidden="false" customHeight="false" outlineLevel="0" collapsed="false">
      <c r="A43" s="32"/>
      <c r="B43" s="32"/>
      <c r="C43" s="32"/>
      <c r="D43" s="32"/>
      <c r="E43" s="33"/>
      <c r="F43" s="33"/>
    </row>
    <row r="44" customFormat="false" ht="15" hidden="false" customHeight="false" outlineLevel="0" collapsed="false">
      <c r="A44" s="32"/>
      <c r="B44" s="32"/>
      <c r="C44" s="32"/>
      <c r="D44" s="32"/>
      <c r="E44" s="33"/>
      <c r="F44" s="33"/>
    </row>
    <row r="45" customFormat="false" ht="15" hidden="false" customHeight="false" outlineLevel="0" collapsed="false">
      <c r="A45" s="32"/>
      <c r="B45" s="32"/>
      <c r="C45" s="32"/>
      <c r="D45" s="32"/>
      <c r="E45" s="33"/>
      <c r="F45" s="33"/>
    </row>
    <row r="46" customFormat="false" ht="15" hidden="false" customHeight="false" outlineLevel="0" collapsed="false">
      <c r="A46" s="32"/>
      <c r="B46" s="32"/>
      <c r="C46" s="32"/>
      <c r="D46" s="32"/>
      <c r="E46" s="33"/>
      <c r="F46" s="33"/>
    </row>
    <row r="47" customFormat="false" ht="15" hidden="false" customHeight="false" outlineLevel="0" collapsed="false">
      <c r="A47" s="32"/>
      <c r="B47" s="32"/>
      <c r="C47" s="32"/>
      <c r="D47" s="32"/>
      <c r="E47" s="33"/>
      <c r="F47" s="33"/>
    </row>
    <row r="48" customFormat="false" ht="15" hidden="false" customHeight="false" outlineLevel="0" collapsed="false">
      <c r="A48" s="32"/>
      <c r="B48" s="32"/>
      <c r="C48" s="32"/>
      <c r="D48" s="32"/>
      <c r="E48" s="33"/>
      <c r="F48" s="33"/>
    </row>
    <row r="49" customFormat="false" ht="15" hidden="false" customHeight="false" outlineLevel="0" collapsed="false">
      <c r="A49" s="32"/>
      <c r="B49" s="32"/>
      <c r="C49" s="32"/>
      <c r="D49" s="32"/>
      <c r="E49" s="33"/>
      <c r="F49" s="33"/>
    </row>
    <row r="50" customFormat="false" ht="15" hidden="false" customHeight="false" outlineLevel="0" collapsed="false">
      <c r="A50" s="32"/>
      <c r="B50" s="32"/>
      <c r="C50" s="32"/>
      <c r="D50" s="32"/>
      <c r="E50" s="33"/>
      <c r="F50" s="33"/>
    </row>
    <row r="51" customFormat="false" ht="15" hidden="false" customHeight="false" outlineLevel="0" collapsed="false">
      <c r="A51" s="32"/>
      <c r="B51" s="32"/>
      <c r="C51" s="32"/>
      <c r="D51" s="32"/>
      <c r="E51" s="33"/>
      <c r="F51" s="33"/>
    </row>
    <row r="52" customFormat="false" ht="15" hidden="false" customHeight="false" outlineLevel="0" collapsed="false">
      <c r="A52" s="32"/>
      <c r="B52" s="32"/>
      <c r="C52" s="32"/>
      <c r="D52" s="32"/>
      <c r="E52" s="33"/>
      <c r="F52" s="33"/>
    </row>
    <row r="53" customFormat="false" ht="15" hidden="false" customHeight="false" outlineLevel="0" collapsed="false">
      <c r="A53" s="32"/>
      <c r="B53" s="32"/>
      <c r="C53" s="32"/>
      <c r="D53" s="32"/>
      <c r="E53" s="33"/>
      <c r="F53" s="33"/>
    </row>
    <row r="54" customFormat="false" ht="15" hidden="false" customHeight="false" outlineLevel="0" collapsed="false">
      <c r="A54" s="32"/>
      <c r="B54" s="32"/>
      <c r="C54" s="32"/>
      <c r="D54" s="32"/>
      <c r="E54" s="33"/>
      <c r="F54" s="33"/>
    </row>
    <row r="55" customFormat="false" ht="15" hidden="false" customHeight="false" outlineLevel="0" collapsed="false">
      <c r="A55" s="32"/>
      <c r="B55" s="32"/>
      <c r="C55" s="32"/>
      <c r="D55" s="32"/>
      <c r="E55" s="33"/>
      <c r="F55" s="33"/>
    </row>
    <row r="56" customFormat="false" ht="15" hidden="false" customHeight="false" outlineLevel="0" collapsed="false">
      <c r="A56" s="32"/>
      <c r="B56" s="32"/>
      <c r="C56" s="32"/>
      <c r="D56" s="32"/>
      <c r="E56" s="33"/>
      <c r="F56" s="33"/>
    </row>
    <row r="57" customFormat="false" ht="15" hidden="false" customHeight="false" outlineLevel="0" collapsed="false">
      <c r="A57" s="32"/>
      <c r="B57" s="32"/>
      <c r="C57" s="32"/>
      <c r="D57" s="32"/>
      <c r="E57" s="33"/>
      <c r="F57" s="33"/>
    </row>
    <row r="58" customFormat="false" ht="15" hidden="false" customHeight="false" outlineLevel="0" collapsed="false">
      <c r="A58" s="32"/>
      <c r="B58" s="32"/>
      <c r="C58" s="32"/>
      <c r="D58" s="32"/>
      <c r="E58" s="33"/>
      <c r="F58" s="33"/>
    </row>
    <row r="59" customFormat="false" ht="15" hidden="false" customHeight="false" outlineLevel="0" collapsed="false">
      <c r="A59" s="32"/>
      <c r="B59" s="32"/>
      <c r="C59" s="32"/>
      <c r="D59" s="32"/>
      <c r="E59" s="33"/>
      <c r="F59" s="33"/>
    </row>
    <row r="60" customFormat="false" ht="15" hidden="false" customHeight="false" outlineLevel="0" collapsed="false">
      <c r="A60" s="32"/>
      <c r="B60" s="32"/>
      <c r="C60" s="32"/>
      <c r="D60" s="32"/>
      <c r="E60" s="33"/>
      <c r="F60" s="33"/>
    </row>
    <row r="61" customFormat="false" ht="15" hidden="false" customHeight="false" outlineLevel="0" collapsed="false">
      <c r="A61" s="32"/>
      <c r="B61" s="32"/>
      <c r="C61" s="32"/>
      <c r="D61" s="32"/>
      <c r="E61" s="33"/>
      <c r="F61" s="33"/>
    </row>
    <row r="62" customFormat="false" ht="15" hidden="false" customHeight="false" outlineLevel="0" collapsed="false">
      <c r="A62" s="32"/>
      <c r="B62" s="32"/>
      <c r="C62" s="32"/>
      <c r="D62" s="32"/>
      <c r="E62" s="33"/>
      <c r="F62" s="33"/>
    </row>
    <row r="63" customFormat="false" ht="15" hidden="false" customHeight="false" outlineLevel="0" collapsed="false">
      <c r="A63" s="32"/>
      <c r="B63" s="32"/>
      <c r="C63" s="32"/>
      <c r="D63" s="32"/>
      <c r="E63" s="33"/>
      <c r="F63" s="33"/>
    </row>
    <row r="64" customFormat="false" ht="15" hidden="false" customHeight="false" outlineLevel="0" collapsed="false">
      <c r="A64" s="32"/>
      <c r="B64" s="32"/>
      <c r="C64" s="32"/>
      <c r="D64" s="32"/>
      <c r="E64" s="33"/>
      <c r="F64" s="33"/>
    </row>
    <row r="65" customFormat="false" ht="15" hidden="false" customHeight="false" outlineLevel="0" collapsed="false">
      <c r="A65" s="32"/>
      <c r="B65" s="32"/>
      <c r="C65" s="32"/>
      <c r="D65" s="32"/>
      <c r="E65" s="33"/>
      <c r="F65" s="33"/>
    </row>
    <row r="66" customFormat="false" ht="15" hidden="false" customHeight="false" outlineLevel="0" collapsed="false">
      <c r="A66" s="32"/>
      <c r="B66" s="32"/>
      <c r="C66" s="32"/>
      <c r="D66" s="32"/>
      <c r="E66" s="33"/>
      <c r="F66" s="33"/>
    </row>
    <row r="67" customFormat="false" ht="15" hidden="false" customHeight="false" outlineLevel="0" collapsed="false">
      <c r="A67" s="32"/>
      <c r="B67" s="32"/>
      <c r="C67" s="32"/>
      <c r="D67" s="32"/>
      <c r="E67" s="33"/>
      <c r="F67" s="33"/>
    </row>
    <row r="68" customFormat="false" ht="15" hidden="false" customHeight="false" outlineLevel="0" collapsed="false">
      <c r="A68" s="32"/>
      <c r="B68" s="32"/>
      <c r="C68" s="32"/>
      <c r="D68" s="32"/>
      <c r="E68" s="33"/>
      <c r="F68" s="33"/>
    </row>
    <row r="69" customFormat="false" ht="15" hidden="false" customHeight="false" outlineLevel="0" collapsed="false">
      <c r="A69" s="32"/>
      <c r="B69" s="32"/>
      <c r="C69" s="32"/>
      <c r="D69" s="32"/>
      <c r="E69" s="33"/>
      <c r="F69" s="33"/>
    </row>
    <row r="70" customFormat="false" ht="15" hidden="false" customHeight="false" outlineLevel="0" collapsed="false">
      <c r="A70" s="32"/>
      <c r="B70" s="32"/>
      <c r="C70" s="32"/>
      <c r="D70" s="32"/>
      <c r="E70" s="33"/>
      <c r="F70" s="33"/>
    </row>
    <row r="71" customFormat="false" ht="15" hidden="false" customHeight="false" outlineLevel="0" collapsed="false">
      <c r="A71" s="32"/>
      <c r="B71" s="32"/>
      <c r="C71" s="32"/>
      <c r="D71" s="32"/>
      <c r="E71" s="33"/>
      <c r="F71" s="33"/>
    </row>
    <row r="72" customFormat="false" ht="15" hidden="false" customHeight="false" outlineLevel="0" collapsed="false">
      <c r="A72" s="32"/>
      <c r="B72" s="32"/>
      <c r="C72" s="32"/>
      <c r="D72" s="32"/>
      <c r="E72" s="33"/>
      <c r="F72" s="33"/>
    </row>
    <row r="73" customFormat="false" ht="15" hidden="false" customHeight="false" outlineLevel="0" collapsed="false">
      <c r="A73" s="32"/>
      <c r="B73" s="32"/>
      <c r="C73" s="32"/>
      <c r="D73" s="32"/>
      <c r="E73" s="33"/>
      <c r="F73" s="33"/>
    </row>
    <row r="74" customFormat="false" ht="15" hidden="false" customHeight="false" outlineLevel="0" collapsed="false">
      <c r="A74" s="32"/>
      <c r="B74" s="32"/>
      <c r="C74" s="32"/>
      <c r="D74" s="32"/>
      <c r="E74" s="33"/>
      <c r="F74" s="33"/>
    </row>
    <row r="75" customFormat="false" ht="15" hidden="false" customHeight="false" outlineLevel="0" collapsed="false">
      <c r="A75" s="32"/>
      <c r="B75" s="32"/>
      <c r="C75" s="32"/>
      <c r="D75" s="32"/>
      <c r="E75" s="33"/>
      <c r="F75" s="33"/>
    </row>
    <row r="76" customFormat="false" ht="15" hidden="false" customHeight="false" outlineLevel="0" collapsed="false">
      <c r="A76" s="32"/>
      <c r="B76" s="32"/>
      <c r="C76" s="32"/>
      <c r="D76" s="32"/>
      <c r="E76" s="33"/>
      <c r="F76" s="33"/>
    </row>
    <row r="77" customFormat="false" ht="15" hidden="false" customHeight="false" outlineLevel="0" collapsed="false">
      <c r="A77" s="32"/>
      <c r="B77" s="32"/>
      <c r="C77" s="32"/>
      <c r="D77" s="32"/>
      <c r="E77" s="33"/>
      <c r="F77" s="33"/>
    </row>
    <row r="78" customFormat="false" ht="15" hidden="false" customHeight="false" outlineLevel="0" collapsed="false">
      <c r="A78" s="32"/>
      <c r="B78" s="32"/>
      <c r="C78" s="32"/>
      <c r="D78" s="32"/>
      <c r="E78" s="33"/>
      <c r="F78" s="33"/>
    </row>
    <row r="79" customFormat="false" ht="15" hidden="false" customHeight="false" outlineLevel="0" collapsed="false">
      <c r="A79" s="32"/>
      <c r="B79" s="32"/>
      <c r="C79" s="32"/>
      <c r="D79" s="32"/>
      <c r="E79" s="33"/>
      <c r="F79" s="33"/>
    </row>
    <row r="80" customFormat="false" ht="15" hidden="false" customHeight="false" outlineLevel="0" collapsed="false">
      <c r="A80" s="32"/>
      <c r="B80" s="32"/>
      <c r="C80" s="32"/>
      <c r="D80" s="32"/>
      <c r="E80" s="33"/>
      <c r="F80" s="33"/>
    </row>
    <row r="81" customFormat="false" ht="15" hidden="false" customHeight="false" outlineLevel="0" collapsed="false">
      <c r="A81" s="32"/>
      <c r="B81" s="32"/>
      <c r="C81" s="32"/>
      <c r="D81" s="32"/>
      <c r="E81" s="33"/>
      <c r="F81" s="33"/>
    </row>
    <row r="82" customFormat="false" ht="15" hidden="false" customHeight="false" outlineLevel="0" collapsed="false">
      <c r="A82" s="32"/>
      <c r="B82" s="32"/>
      <c r="C82" s="32"/>
      <c r="D82" s="32"/>
      <c r="E82" s="33"/>
      <c r="F82" s="33"/>
    </row>
    <row r="83" customFormat="false" ht="15" hidden="false" customHeight="false" outlineLevel="0" collapsed="false">
      <c r="A83" s="32"/>
      <c r="B83" s="32"/>
      <c r="C83" s="32"/>
      <c r="D83" s="32"/>
      <c r="E83" s="33"/>
      <c r="F83" s="33"/>
    </row>
    <row r="84" customFormat="false" ht="15" hidden="false" customHeight="false" outlineLevel="0" collapsed="false">
      <c r="A84" s="32"/>
      <c r="B84" s="32"/>
      <c r="C84" s="32"/>
      <c r="D84" s="32"/>
      <c r="E84" s="33"/>
      <c r="F84" s="33"/>
    </row>
    <row r="85" customFormat="false" ht="15" hidden="false" customHeight="false" outlineLevel="0" collapsed="false">
      <c r="A85" s="32"/>
      <c r="B85" s="32"/>
      <c r="C85" s="32"/>
      <c r="D85" s="32"/>
      <c r="E85" s="33"/>
      <c r="F85" s="33"/>
    </row>
    <row r="86" customFormat="false" ht="15" hidden="false" customHeight="false" outlineLevel="0" collapsed="false">
      <c r="A86" s="32"/>
      <c r="B86" s="32"/>
      <c r="C86" s="32"/>
      <c r="D86" s="32"/>
      <c r="E86" s="33"/>
      <c r="F86" s="33"/>
    </row>
    <row r="87" customFormat="false" ht="15" hidden="false" customHeight="false" outlineLevel="0" collapsed="false">
      <c r="A87" s="32"/>
      <c r="B87" s="32"/>
      <c r="C87" s="32"/>
      <c r="D87" s="32"/>
      <c r="E87" s="33"/>
      <c r="F87" s="33"/>
    </row>
    <row r="88" customFormat="false" ht="15" hidden="false" customHeight="false" outlineLevel="0" collapsed="false">
      <c r="A88" s="32"/>
      <c r="B88" s="32"/>
      <c r="C88" s="32"/>
      <c r="D88" s="32"/>
      <c r="E88" s="33"/>
      <c r="F88" s="33"/>
    </row>
    <row r="89" customFormat="false" ht="15" hidden="false" customHeight="false" outlineLevel="0" collapsed="false">
      <c r="A89" s="32"/>
      <c r="B89" s="32"/>
      <c r="C89" s="32"/>
      <c r="D89" s="32"/>
      <c r="E89" s="33"/>
      <c r="F89" s="33"/>
    </row>
    <row r="90" customFormat="false" ht="15" hidden="false" customHeight="false" outlineLevel="0" collapsed="false">
      <c r="A90" s="32"/>
      <c r="B90" s="32"/>
      <c r="C90" s="32"/>
      <c r="D90" s="32"/>
      <c r="E90" s="33"/>
      <c r="F90" s="33"/>
    </row>
    <row r="91" customFormat="false" ht="15" hidden="false" customHeight="false" outlineLevel="0" collapsed="false">
      <c r="A91" s="32"/>
      <c r="B91" s="32"/>
      <c r="C91" s="32"/>
      <c r="D91" s="32"/>
      <c r="E91" s="33"/>
      <c r="F91" s="33"/>
    </row>
    <row r="92" customFormat="false" ht="15" hidden="false" customHeight="false" outlineLevel="0" collapsed="false">
      <c r="A92" s="32"/>
      <c r="B92" s="32"/>
      <c r="C92" s="32"/>
      <c r="D92" s="32"/>
      <c r="E92" s="33"/>
      <c r="F92" s="33"/>
    </row>
    <row r="93" customFormat="false" ht="15" hidden="false" customHeight="false" outlineLevel="0" collapsed="false">
      <c r="A93" s="32"/>
      <c r="B93" s="32"/>
      <c r="C93" s="32"/>
      <c r="D93" s="32"/>
      <c r="E93" s="33"/>
      <c r="F93" s="33"/>
    </row>
    <row r="94" customFormat="false" ht="15" hidden="false" customHeight="false" outlineLevel="0" collapsed="false">
      <c r="A94" s="32"/>
      <c r="B94" s="32"/>
      <c r="C94" s="32"/>
      <c r="D94" s="32"/>
      <c r="E94" s="33"/>
      <c r="F94" s="33"/>
    </row>
    <row r="95" customFormat="false" ht="15" hidden="false" customHeight="false" outlineLevel="0" collapsed="false">
      <c r="A95" s="32"/>
      <c r="B95" s="32"/>
      <c r="C95" s="32"/>
      <c r="D95" s="32"/>
      <c r="E95" s="33"/>
      <c r="F95" s="33"/>
    </row>
    <row r="96" customFormat="false" ht="15" hidden="false" customHeight="false" outlineLevel="0" collapsed="false">
      <c r="A96" s="32"/>
      <c r="B96" s="32"/>
      <c r="C96" s="32"/>
      <c r="D96" s="32"/>
      <c r="E96" s="33"/>
      <c r="F96" s="33"/>
    </row>
    <row r="97" customFormat="false" ht="15" hidden="false" customHeight="false" outlineLevel="0" collapsed="false">
      <c r="A97" s="32"/>
      <c r="B97" s="32"/>
      <c r="C97" s="32"/>
      <c r="D97" s="32"/>
      <c r="E97" s="33"/>
      <c r="F97" s="33"/>
    </row>
    <row r="98" customFormat="false" ht="15" hidden="false" customHeight="false" outlineLevel="0" collapsed="false">
      <c r="A98" s="32"/>
      <c r="B98" s="32"/>
      <c r="C98" s="32"/>
      <c r="D98" s="32"/>
      <c r="E98" s="33"/>
      <c r="F98" s="33"/>
    </row>
    <row r="99" customFormat="false" ht="15" hidden="false" customHeight="false" outlineLevel="0" collapsed="false">
      <c r="A99" s="32"/>
      <c r="B99" s="32"/>
      <c r="C99" s="32"/>
      <c r="D99" s="32"/>
      <c r="E99" s="33"/>
      <c r="F99" s="33"/>
    </row>
    <row r="100" customFormat="false" ht="15" hidden="false" customHeight="false" outlineLevel="0" collapsed="false">
      <c r="A100" s="32"/>
      <c r="B100" s="32"/>
      <c r="C100" s="32"/>
      <c r="D100" s="32"/>
      <c r="E100" s="33"/>
      <c r="F100" s="33"/>
    </row>
    <row r="101" customFormat="false" ht="15" hidden="false" customHeight="false" outlineLevel="0" collapsed="false">
      <c r="A101" s="32"/>
      <c r="B101" s="32"/>
      <c r="C101" s="32"/>
      <c r="D101" s="32"/>
      <c r="E101" s="33"/>
      <c r="F101" s="33"/>
    </row>
    <row r="102" customFormat="false" ht="15" hidden="false" customHeight="false" outlineLevel="0" collapsed="false">
      <c r="A102" s="32"/>
      <c r="B102" s="32"/>
      <c r="C102" s="32"/>
      <c r="D102" s="32"/>
      <c r="E102" s="33"/>
      <c r="F102" s="33"/>
    </row>
    <row r="103" customFormat="false" ht="15" hidden="false" customHeight="false" outlineLevel="0" collapsed="false">
      <c r="A103" s="32"/>
      <c r="B103" s="32"/>
      <c r="C103" s="32"/>
      <c r="D103" s="32"/>
      <c r="E103" s="33"/>
      <c r="F103" s="33"/>
    </row>
    <row r="104" customFormat="false" ht="15" hidden="false" customHeight="false" outlineLevel="0" collapsed="false">
      <c r="A104" s="32"/>
      <c r="B104" s="32"/>
      <c r="C104" s="32"/>
      <c r="D104" s="32"/>
      <c r="E104" s="33"/>
      <c r="F104" s="33"/>
    </row>
    <row r="105" customFormat="false" ht="15" hidden="false" customHeight="false" outlineLevel="0" collapsed="false">
      <c r="A105" s="32"/>
      <c r="B105" s="32"/>
      <c r="C105" s="32"/>
      <c r="D105" s="32"/>
      <c r="E105" s="33"/>
      <c r="F105" s="33"/>
    </row>
    <row r="106" customFormat="false" ht="15" hidden="false" customHeight="false" outlineLevel="0" collapsed="false">
      <c r="A106" s="32"/>
      <c r="B106" s="32"/>
      <c r="C106" s="32"/>
      <c r="D106" s="32"/>
      <c r="E106" s="33"/>
      <c r="F106" s="33"/>
    </row>
    <row r="107" customFormat="false" ht="15" hidden="false" customHeight="false" outlineLevel="0" collapsed="false">
      <c r="A107" s="32"/>
      <c r="B107" s="32"/>
      <c r="C107" s="32"/>
      <c r="D107" s="32"/>
      <c r="E107" s="33"/>
      <c r="F107" s="33"/>
    </row>
    <row r="108" customFormat="false" ht="15" hidden="false" customHeight="false" outlineLevel="0" collapsed="false">
      <c r="A108" s="32"/>
      <c r="B108" s="32"/>
      <c r="C108" s="32"/>
      <c r="D108" s="32"/>
      <c r="E108" s="33"/>
      <c r="F108" s="33"/>
    </row>
    <row r="109" customFormat="false" ht="15" hidden="false" customHeight="false" outlineLevel="0" collapsed="false">
      <c r="A109" s="32"/>
      <c r="B109" s="32"/>
      <c r="C109" s="32"/>
      <c r="D109" s="32"/>
      <c r="E109" s="33"/>
      <c r="F109" s="33"/>
    </row>
    <row r="110" customFormat="false" ht="15" hidden="false" customHeight="false" outlineLevel="0" collapsed="false">
      <c r="A110" s="32"/>
      <c r="B110" s="32"/>
      <c r="C110" s="32"/>
      <c r="D110" s="32"/>
      <c r="E110" s="33"/>
      <c r="F110" s="33"/>
    </row>
    <row r="111" customFormat="false" ht="15" hidden="false" customHeight="false" outlineLevel="0" collapsed="false">
      <c r="A111" s="32"/>
      <c r="B111" s="32"/>
      <c r="C111" s="32"/>
      <c r="D111" s="32"/>
      <c r="E111" s="33"/>
      <c r="F111" s="33"/>
    </row>
    <row r="112" customFormat="false" ht="15" hidden="false" customHeight="false" outlineLevel="0" collapsed="false">
      <c r="A112" s="32"/>
      <c r="B112" s="32"/>
      <c r="C112" s="32"/>
      <c r="D112" s="32"/>
      <c r="E112" s="33"/>
      <c r="F112" s="33"/>
    </row>
    <row r="113" customFormat="false" ht="15" hidden="false" customHeight="false" outlineLevel="0" collapsed="false">
      <c r="A113" s="32"/>
      <c r="B113" s="32"/>
      <c r="C113" s="32"/>
      <c r="D113" s="32"/>
      <c r="E113" s="33"/>
      <c r="F113" s="33"/>
    </row>
    <row r="114" customFormat="false" ht="15" hidden="false" customHeight="false" outlineLevel="0" collapsed="false">
      <c r="A114" s="32"/>
      <c r="B114" s="32"/>
      <c r="C114" s="32"/>
      <c r="D114" s="32"/>
      <c r="E114" s="33"/>
      <c r="F114" s="33"/>
    </row>
    <row r="115" customFormat="false" ht="15" hidden="false" customHeight="false" outlineLevel="0" collapsed="false">
      <c r="A115" s="32"/>
      <c r="B115" s="32"/>
      <c r="C115" s="32"/>
      <c r="D115" s="32"/>
      <c r="E115" s="33"/>
      <c r="F115" s="33"/>
    </row>
    <row r="116" customFormat="false" ht="15" hidden="false" customHeight="false" outlineLevel="0" collapsed="false">
      <c r="A116" s="32"/>
      <c r="B116" s="32"/>
      <c r="C116" s="32"/>
      <c r="D116" s="32"/>
      <c r="E116" s="33"/>
      <c r="F116" s="33"/>
    </row>
    <row r="117" customFormat="false" ht="15" hidden="false" customHeight="false" outlineLevel="0" collapsed="false">
      <c r="A117" s="32"/>
      <c r="B117" s="32"/>
      <c r="C117" s="32"/>
      <c r="D117" s="32"/>
      <c r="E117" s="33"/>
      <c r="F117" s="33"/>
    </row>
    <row r="118" customFormat="false" ht="15" hidden="false" customHeight="false" outlineLevel="0" collapsed="false">
      <c r="A118" s="32"/>
      <c r="B118" s="32"/>
      <c r="C118" s="32"/>
      <c r="D118" s="32"/>
      <c r="E118" s="33"/>
      <c r="F118" s="33"/>
    </row>
    <row r="119" customFormat="false" ht="15" hidden="false" customHeight="false" outlineLevel="0" collapsed="false">
      <c r="A119" s="32"/>
      <c r="B119" s="32"/>
      <c r="C119" s="32"/>
      <c r="D119" s="32"/>
      <c r="E119" s="33"/>
      <c r="F119" s="33"/>
    </row>
    <row r="120" customFormat="false" ht="15" hidden="false" customHeight="false" outlineLevel="0" collapsed="false">
      <c r="A120" s="32"/>
      <c r="B120" s="32"/>
      <c r="C120" s="32"/>
      <c r="D120" s="32"/>
      <c r="E120" s="33"/>
      <c r="F120" s="33"/>
    </row>
    <row r="121" customFormat="false" ht="15" hidden="false" customHeight="false" outlineLevel="0" collapsed="false">
      <c r="A121" s="32"/>
      <c r="B121" s="32"/>
      <c r="C121" s="32"/>
      <c r="D121" s="32"/>
      <c r="E121" s="33"/>
      <c r="F121" s="33"/>
    </row>
    <row r="122" customFormat="false" ht="15" hidden="false" customHeight="false" outlineLevel="0" collapsed="false">
      <c r="A122" s="32"/>
      <c r="B122" s="32"/>
      <c r="C122" s="32"/>
      <c r="D122" s="32"/>
      <c r="E122" s="33"/>
      <c r="F122" s="33"/>
    </row>
    <row r="123" customFormat="false" ht="15" hidden="false" customHeight="false" outlineLevel="0" collapsed="false">
      <c r="A123" s="32"/>
      <c r="B123" s="32"/>
      <c r="C123" s="32"/>
      <c r="D123" s="32"/>
      <c r="E123" s="33"/>
      <c r="F123" s="33"/>
    </row>
    <row r="124" customFormat="false" ht="15" hidden="false" customHeight="false" outlineLevel="0" collapsed="false">
      <c r="A124" s="32"/>
      <c r="B124" s="32"/>
      <c r="C124" s="32"/>
      <c r="D124" s="32"/>
      <c r="E124" s="33"/>
      <c r="F124" s="33"/>
    </row>
    <row r="125" customFormat="false" ht="15" hidden="false" customHeight="false" outlineLevel="0" collapsed="false">
      <c r="A125" s="32"/>
      <c r="B125" s="32"/>
      <c r="C125" s="32"/>
      <c r="D125" s="32"/>
      <c r="E125" s="33"/>
      <c r="F125" s="33"/>
    </row>
    <row r="126" customFormat="false" ht="15" hidden="false" customHeight="false" outlineLevel="0" collapsed="false">
      <c r="A126" s="32"/>
      <c r="B126" s="32"/>
      <c r="C126" s="32"/>
      <c r="D126" s="32"/>
      <c r="E126" s="33"/>
      <c r="F126" s="33"/>
    </row>
    <row r="127" customFormat="false" ht="15" hidden="false" customHeight="false" outlineLevel="0" collapsed="false">
      <c r="A127" s="32"/>
      <c r="B127" s="32"/>
      <c r="C127" s="32"/>
      <c r="D127" s="32"/>
      <c r="E127" s="33"/>
      <c r="F127" s="33"/>
    </row>
    <row r="128" customFormat="false" ht="15" hidden="false" customHeight="false" outlineLevel="0" collapsed="false">
      <c r="A128" s="32"/>
      <c r="B128" s="32"/>
      <c r="C128" s="32"/>
      <c r="D128" s="32"/>
      <c r="E128" s="33"/>
      <c r="F128" s="33"/>
    </row>
    <row r="129" customFormat="false" ht="15" hidden="false" customHeight="false" outlineLevel="0" collapsed="false">
      <c r="A129" s="32"/>
      <c r="B129" s="32"/>
      <c r="C129" s="32"/>
      <c r="D129" s="32"/>
      <c r="E129" s="33"/>
      <c r="F129" s="33"/>
    </row>
    <row r="130" customFormat="false" ht="15" hidden="false" customHeight="false" outlineLevel="0" collapsed="false">
      <c r="A130" s="32"/>
      <c r="B130" s="32"/>
      <c r="C130" s="32"/>
      <c r="D130" s="32"/>
      <c r="E130" s="33"/>
      <c r="F130" s="33"/>
    </row>
    <row r="131" customFormat="false" ht="15" hidden="false" customHeight="false" outlineLevel="0" collapsed="false">
      <c r="A131" s="32"/>
      <c r="B131" s="32"/>
      <c r="C131" s="32"/>
      <c r="D131" s="32"/>
      <c r="E131" s="33"/>
      <c r="F131" s="33"/>
    </row>
    <row r="132" customFormat="false" ht="15" hidden="false" customHeight="false" outlineLevel="0" collapsed="false">
      <c r="A132" s="32"/>
      <c r="B132" s="32"/>
      <c r="C132" s="32"/>
      <c r="D132" s="32"/>
      <c r="E132" s="33"/>
      <c r="F132" s="33"/>
    </row>
    <row r="133" customFormat="false" ht="15" hidden="false" customHeight="false" outlineLevel="0" collapsed="false">
      <c r="A133" s="32"/>
      <c r="B133" s="32"/>
      <c r="C133" s="32"/>
      <c r="D133" s="32"/>
      <c r="E133" s="33"/>
      <c r="F133" s="33"/>
    </row>
    <row r="134" customFormat="false" ht="15" hidden="false" customHeight="false" outlineLevel="0" collapsed="false">
      <c r="A134" s="32"/>
      <c r="B134" s="32"/>
      <c r="C134" s="32"/>
      <c r="D134" s="32"/>
      <c r="E134" s="33"/>
      <c r="F134" s="33"/>
    </row>
    <row r="135" customFormat="false" ht="15" hidden="false" customHeight="false" outlineLevel="0" collapsed="false">
      <c r="A135" s="32"/>
      <c r="B135" s="32"/>
      <c r="C135" s="32"/>
      <c r="D135" s="32"/>
      <c r="E135" s="33"/>
      <c r="F135" s="33"/>
    </row>
    <row r="136" customFormat="false" ht="15" hidden="false" customHeight="false" outlineLevel="0" collapsed="false">
      <c r="A136" s="32"/>
      <c r="B136" s="32"/>
      <c r="C136" s="32"/>
      <c r="D136" s="32"/>
      <c r="E136" s="33"/>
      <c r="F136" s="33"/>
    </row>
    <row r="137" customFormat="false" ht="15" hidden="false" customHeight="false" outlineLevel="0" collapsed="false">
      <c r="A137" s="32"/>
      <c r="B137" s="32"/>
      <c r="C137" s="32"/>
      <c r="D137" s="32"/>
      <c r="E137" s="33"/>
      <c r="F137" s="33"/>
    </row>
    <row r="138" customFormat="false" ht="15" hidden="false" customHeight="false" outlineLevel="0" collapsed="false">
      <c r="A138" s="32"/>
      <c r="B138" s="32"/>
      <c r="C138" s="32"/>
      <c r="D138" s="32"/>
      <c r="E138" s="33"/>
      <c r="F138" s="33"/>
    </row>
    <row r="139" customFormat="false" ht="15" hidden="false" customHeight="false" outlineLevel="0" collapsed="false">
      <c r="A139" s="32"/>
      <c r="B139" s="32"/>
      <c r="C139" s="32"/>
      <c r="D139" s="32"/>
      <c r="E139" s="33"/>
      <c r="F139" s="33"/>
    </row>
    <row r="140" customFormat="false" ht="15" hidden="false" customHeight="false" outlineLevel="0" collapsed="false">
      <c r="A140" s="32"/>
      <c r="B140" s="32"/>
      <c r="C140" s="32"/>
      <c r="D140" s="32"/>
      <c r="E140" s="33"/>
      <c r="F140" s="33"/>
    </row>
    <row r="141" customFormat="false" ht="15" hidden="false" customHeight="false" outlineLevel="0" collapsed="false">
      <c r="A141" s="32"/>
      <c r="B141" s="32"/>
      <c r="C141" s="32"/>
      <c r="D141" s="32"/>
      <c r="E141" s="33"/>
      <c r="F141" s="33"/>
    </row>
    <row r="142" customFormat="false" ht="15" hidden="false" customHeight="false" outlineLevel="0" collapsed="false">
      <c r="A142" s="32"/>
      <c r="B142" s="32"/>
      <c r="C142" s="32"/>
      <c r="D142" s="32"/>
      <c r="E142" s="33"/>
      <c r="F142" s="33"/>
    </row>
    <row r="143" customFormat="false" ht="15" hidden="false" customHeight="false" outlineLevel="0" collapsed="false">
      <c r="A143" s="32"/>
      <c r="B143" s="32"/>
      <c r="C143" s="32"/>
      <c r="D143" s="32"/>
      <c r="E143" s="33"/>
      <c r="F143" s="33"/>
    </row>
    <row r="144" customFormat="false" ht="15" hidden="false" customHeight="false" outlineLevel="0" collapsed="false">
      <c r="A144" s="32"/>
      <c r="B144" s="32"/>
      <c r="C144" s="32"/>
      <c r="D144" s="32"/>
      <c r="E144" s="33"/>
      <c r="F144" s="33"/>
    </row>
    <row r="145" customFormat="false" ht="15" hidden="false" customHeight="false" outlineLevel="0" collapsed="false">
      <c r="A145" s="32"/>
      <c r="B145" s="32"/>
      <c r="C145" s="32"/>
      <c r="D145" s="32"/>
      <c r="E145" s="33"/>
      <c r="F145" s="33"/>
    </row>
    <row r="146" customFormat="false" ht="15" hidden="false" customHeight="false" outlineLevel="0" collapsed="false">
      <c r="A146" s="32"/>
      <c r="B146" s="32"/>
      <c r="C146" s="32"/>
      <c r="D146" s="32"/>
      <c r="E146" s="33"/>
      <c r="F146" s="33"/>
    </row>
    <row r="147" customFormat="false" ht="15" hidden="false" customHeight="false" outlineLevel="0" collapsed="false">
      <c r="A147" s="32"/>
      <c r="B147" s="32"/>
      <c r="C147" s="32"/>
      <c r="D147" s="32"/>
      <c r="E147" s="33"/>
      <c r="F147" s="33"/>
    </row>
    <row r="148" customFormat="false" ht="15" hidden="false" customHeight="false" outlineLevel="0" collapsed="false">
      <c r="A148" s="32"/>
      <c r="B148" s="32"/>
      <c r="C148" s="32"/>
      <c r="D148" s="32"/>
      <c r="E148" s="33"/>
      <c r="F148" s="33"/>
    </row>
    <row r="149" customFormat="false" ht="15" hidden="false" customHeight="false" outlineLevel="0" collapsed="false">
      <c r="A149" s="32"/>
      <c r="B149" s="32"/>
      <c r="C149" s="32"/>
      <c r="D149" s="32"/>
      <c r="E149" s="33"/>
      <c r="F149" s="33"/>
    </row>
    <row r="150" customFormat="false" ht="15" hidden="false" customHeight="false" outlineLevel="0" collapsed="false">
      <c r="A150" s="32"/>
      <c r="B150" s="32"/>
      <c r="C150" s="32"/>
      <c r="D150" s="32"/>
      <c r="E150" s="33"/>
      <c r="F150" s="33"/>
    </row>
    <row r="151" customFormat="false" ht="15" hidden="false" customHeight="false" outlineLevel="0" collapsed="false">
      <c r="A151" s="32"/>
      <c r="B151" s="32"/>
      <c r="C151" s="32"/>
      <c r="D151" s="32"/>
      <c r="E151" s="33"/>
      <c r="F151" s="33"/>
    </row>
    <row r="152" customFormat="false" ht="15" hidden="false" customHeight="false" outlineLevel="0" collapsed="false">
      <c r="A152" s="32"/>
      <c r="B152" s="32"/>
      <c r="C152" s="32"/>
      <c r="D152" s="32"/>
      <c r="E152" s="33"/>
      <c r="F152" s="33"/>
    </row>
    <row r="153" customFormat="false" ht="15" hidden="false" customHeight="false" outlineLevel="0" collapsed="false">
      <c r="A153" s="32"/>
      <c r="B153" s="32"/>
      <c r="C153" s="32"/>
      <c r="D153" s="32"/>
      <c r="E153" s="33"/>
      <c r="F153" s="33"/>
    </row>
    <row r="154" customFormat="false" ht="15" hidden="false" customHeight="false" outlineLevel="0" collapsed="false">
      <c r="A154" s="32"/>
      <c r="B154" s="32"/>
      <c r="C154" s="32"/>
      <c r="D154" s="32"/>
      <c r="E154" s="33"/>
      <c r="F154" s="33"/>
    </row>
    <row r="155" customFormat="false" ht="15" hidden="false" customHeight="false" outlineLevel="0" collapsed="false">
      <c r="A155" s="32"/>
      <c r="B155" s="32"/>
      <c r="C155" s="32"/>
      <c r="D155" s="32"/>
      <c r="E155" s="33"/>
      <c r="F155" s="33"/>
    </row>
    <row r="156" customFormat="false" ht="15" hidden="false" customHeight="false" outlineLevel="0" collapsed="false">
      <c r="A156" s="32"/>
      <c r="B156" s="32"/>
      <c r="C156" s="32"/>
      <c r="D156" s="32"/>
      <c r="E156" s="33"/>
      <c r="F156" s="33"/>
    </row>
    <row r="157" customFormat="false" ht="15" hidden="false" customHeight="false" outlineLevel="0" collapsed="false">
      <c r="A157" s="32"/>
      <c r="B157" s="32"/>
      <c r="C157" s="32"/>
      <c r="D157" s="32"/>
      <c r="E157" s="33"/>
      <c r="F157" s="33"/>
    </row>
    <row r="158" customFormat="false" ht="15" hidden="false" customHeight="false" outlineLevel="0" collapsed="false">
      <c r="A158" s="32"/>
      <c r="B158" s="32"/>
      <c r="C158" s="32"/>
      <c r="D158" s="32"/>
      <c r="E158" s="33"/>
      <c r="F158" s="33"/>
    </row>
    <row r="159" customFormat="false" ht="15" hidden="false" customHeight="false" outlineLevel="0" collapsed="false">
      <c r="A159" s="32"/>
      <c r="B159" s="32"/>
      <c r="C159" s="32"/>
      <c r="D159" s="32"/>
      <c r="E159" s="33"/>
      <c r="F159" s="33"/>
    </row>
    <row r="160" customFormat="false" ht="15" hidden="false" customHeight="false" outlineLevel="0" collapsed="false">
      <c r="A160" s="32"/>
      <c r="B160" s="32"/>
      <c r="C160" s="32"/>
      <c r="D160" s="32"/>
      <c r="E160" s="33"/>
      <c r="F160" s="33"/>
    </row>
    <row r="161" customFormat="false" ht="15" hidden="false" customHeight="false" outlineLevel="0" collapsed="false">
      <c r="A161" s="32"/>
      <c r="B161" s="32"/>
      <c r="C161" s="32"/>
      <c r="D161" s="32"/>
      <c r="E161" s="33"/>
      <c r="F161" s="33"/>
    </row>
    <row r="162" customFormat="false" ht="15" hidden="false" customHeight="false" outlineLevel="0" collapsed="false">
      <c r="A162" s="32"/>
      <c r="B162" s="32"/>
      <c r="C162" s="32"/>
      <c r="D162" s="32"/>
      <c r="E162" s="33"/>
      <c r="F162" s="33"/>
    </row>
    <row r="163" customFormat="false" ht="15" hidden="false" customHeight="false" outlineLevel="0" collapsed="false">
      <c r="A163" s="32"/>
      <c r="B163" s="32"/>
      <c r="C163" s="32"/>
      <c r="D163" s="32"/>
      <c r="E163" s="33"/>
      <c r="F163" s="33"/>
    </row>
    <row r="164" customFormat="false" ht="15" hidden="false" customHeight="false" outlineLevel="0" collapsed="false">
      <c r="A164" s="32"/>
      <c r="B164" s="32"/>
      <c r="C164" s="32"/>
      <c r="D164" s="32"/>
      <c r="E164" s="33"/>
      <c r="F164" s="33"/>
    </row>
    <row r="165" customFormat="false" ht="15" hidden="false" customHeight="false" outlineLevel="0" collapsed="false">
      <c r="A165" s="32"/>
      <c r="B165" s="32"/>
      <c r="C165" s="32"/>
      <c r="D165" s="32"/>
      <c r="E165" s="33"/>
      <c r="F165" s="33"/>
    </row>
    <row r="166" customFormat="false" ht="15" hidden="false" customHeight="false" outlineLevel="0" collapsed="false">
      <c r="A166" s="32"/>
      <c r="B166" s="32"/>
      <c r="C166" s="32"/>
      <c r="D166" s="32"/>
      <c r="E166" s="33"/>
      <c r="F166" s="33"/>
    </row>
    <row r="167" customFormat="false" ht="15" hidden="false" customHeight="false" outlineLevel="0" collapsed="false">
      <c r="A167" s="32"/>
      <c r="B167" s="32"/>
      <c r="C167" s="32"/>
      <c r="D167" s="32"/>
      <c r="E167" s="33"/>
      <c r="F167" s="33"/>
    </row>
    <row r="168" customFormat="false" ht="15" hidden="false" customHeight="false" outlineLevel="0" collapsed="false">
      <c r="A168" s="32"/>
      <c r="B168" s="32"/>
      <c r="C168" s="32"/>
      <c r="D168" s="32"/>
      <c r="E168" s="33"/>
      <c r="F168" s="33"/>
    </row>
    <row r="169" customFormat="false" ht="15" hidden="false" customHeight="false" outlineLevel="0" collapsed="false">
      <c r="A169" s="32"/>
      <c r="B169" s="32"/>
      <c r="C169" s="32"/>
      <c r="D169" s="32"/>
      <c r="E169" s="33"/>
      <c r="F169" s="33"/>
    </row>
    <row r="170" customFormat="false" ht="15" hidden="false" customHeight="false" outlineLevel="0" collapsed="false">
      <c r="A170" s="32"/>
      <c r="B170" s="32"/>
      <c r="C170" s="32"/>
      <c r="D170" s="32"/>
      <c r="E170" s="33"/>
      <c r="F170" s="33"/>
    </row>
    <row r="171" customFormat="false" ht="15" hidden="false" customHeight="false" outlineLevel="0" collapsed="false">
      <c r="A171" s="32"/>
      <c r="B171" s="32"/>
      <c r="C171" s="32"/>
      <c r="D171" s="32"/>
      <c r="E171" s="33"/>
      <c r="F171" s="33"/>
    </row>
    <row r="172" customFormat="false" ht="15" hidden="false" customHeight="false" outlineLevel="0" collapsed="false">
      <c r="A172" s="32"/>
      <c r="B172" s="32"/>
      <c r="C172" s="32"/>
      <c r="D172" s="32"/>
      <c r="E172" s="33"/>
      <c r="F172" s="33"/>
    </row>
    <row r="173" customFormat="false" ht="15" hidden="false" customHeight="false" outlineLevel="0" collapsed="false">
      <c r="A173" s="32"/>
      <c r="B173" s="32"/>
      <c r="C173" s="32"/>
      <c r="D173" s="32"/>
      <c r="E173" s="33"/>
      <c r="F173" s="33"/>
    </row>
    <row r="174" customFormat="false" ht="15" hidden="false" customHeight="false" outlineLevel="0" collapsed="false">
      <c r="A174" s="32"/>
      <c r="B174" s="32"/>
      <c r="C174" s="32"/>
      <c r="D174" s="32"/>
      <c r="E174" s="33"/>
      <c r="F174" s="33"/>
    </row>
    <row r="175" customFormat="false" ht="15" hidden="false" customHeight="false" outlineLevel="0" collapsed="false">
      <c r="A175" s="32"/>
      <c r="B175" s="32"/>
      <c r="C175" s="32"/>
      <c r="D175" s="32"/>
      <c r="E175" s="33"/>
      <c r="F175" s="33"/>
    </row>
    <row r="176" customFormat="false" ht="15" hidden="false" customHeight="false" outlineLevel="0" collapsed="false">
      <c r="A176" s="32"/>
      <c r="B176" s="32"/>
      <c r="C176" s="32"/>
      <c r="D176" s="32"/>
      <c r="E176" s="33"/>
      <c r="F176" s="33"/>
    </row>
    <row r="177" customFormat="false" ht="15" hidden="false" customHeight="false" outlineLevel="0" collapsed="false">
      <c r="A177" s="32"/>
      <c r="B177" s="32"/>
      <c r="C177" s="32"/>
      <c r="D177" s="32"/>
      <c r="E177" s="33"/>
      <c r="F177" s="33"/>
    </row>
    <row r="178" customFormat="false" ht="15" hidden="false" customHeight="false" outlineLevel="0" collapsed="false">
      <c r="A178" s="32"/>
      <c r="B178" s="32"/>
      <c r="C178" s="32"/>
      <c r="D178" s="32"/>
      <c r="E178" s="33"/>
      <c r="F178" s="33"/>
    </row>
    <row r="179" customFormat="false" ht="15" hidden="false" customHeight="false" outlineLevel="0" collapsed="false">
      <c r="A179" s="32"/>
      <c r="B179" s="32"/>
      <c r="C179" s="32"/>
      <c r="D179" s="32"/>
      <c r="E179" s="33"/>
      <c r="F179" s="33"/>
    </row>
    <row r="180" customFormat="false" ht="15" hidden="false" customHeight="false" outlineLevel="0" collapsed="false">
      <c r="A180" s="32"/>
      <c r="B180" s="32"/>
      <c r="C180" s="32"/>
      <c r="D180" s="32"/>
      <c r="E180" s="33"/>
      <c r="F180" s="33"/>
    </row>
    <row r="181" customFormat="false" ht="15" hidden="false" customHeight="false" outlineLevel="0" collapsed="false">
      <c r="A181" s="32"/>
      <c r="B181" s="32"/>
      <c r="C181" s="32"/>
      <c r="D181" s="32"/>
      <c r="E181" s="33"/>
      <c r="F181" s="33"/>
    </row>
    <row r="182" customFormat="false" ht="15" hidden="false" customHeight="false" outlineLevel="0" collapsed="false">
      <c r="A182" s="32"/>
      <c r="B182" s="32"/>
      <c r="C182" s="32"/>
      <c r="D182" s="32"/>
      <c r="E182" s="33"/>
      <c r="F182" s="33"/>
    </row>
    <row r="183" customFormat="false" ht="15" hidden="false" customHeight="false" outlineLevel="0" collapsed="false">
      <c r="A183" s="32"/>
      <c r="B183" s="32"/>
      <c r="C183" s="32"/>
      <c r="D183" s="32"/>
      <c r="E183" s="33"/>
      <c r="F183" s="33"/>
    </row>
    <row r="184" customFormat="false" ht="15" hidden="false" customHeight="false" outlineLevel="0" collapsed="false">
      <c r="A184" s="32"/>
      <c r="B184" s="32"/>
      <c r="C184" s="32"/>
      <c r="D184" s="32"/>
      <c r="E184" s="33"/>
      <c r="F184" s="33"/>
    </row>
    <row r="185" customFormat="false" ht="15" hidden="false" customHeight="false" outlineLevel="0" collapsed="false">
      <c r="A185" s="32"/>
      <c r="B185" s="32"/>
      <c r="C185" s="32"/>
      <c r="D185" s="32"/>
      <c r="E185" s="33"/>
      <c r="F185" s="33"/>
    </row>
    <row r="186" customFormat="false" ht="15" hidden="false" customHeight="false" outlineLevel="0" collapsed="false">
      <c r="A186" s="32"/>
      <c r="B186" s="32"/>
      <c r="C186" s="32"/>
      <c r="D186" s="32"/>
      <c r="E186" s="33"/>
      <c r="F186" s="33"/>
    </row>
    <row r="187" customFormat="false" ht="15" hidden="false" customHeight="false" outlineLevel="0" collapsed="false">
      <c r="A187" s="32"/>
      <c r="B187" s="32"/>
      <c r="C187" s="32"/>
      <c r="D187" s="32"/>
      <c r="E187" s="33"/>
      <c r="F187" s="33"/>
    </row>
    <row r="188" customFormat="false" ht="15" hidden="false" customHeight="false" outlineLevel="0" collapsed="false">
      <c r="A188" s="32"/>
      <c r="B188" s="32"/>
      <c r="C188" s="32"/>
      <c r="D188" s="32"/>
      <c r="E188" s="33"/>
      <c r="F188" s="33"/>
    </row>
    <row r="189" customFormat="false" ht="15" hidden="false" customHeight="false" outlineLevel="0" collapsed="false">
      <c r="A189" s="32"/>
      <c r="B189" s="32"/>
      <c r="C189" s="32"/>
      <c r="D189" s="32"/>
      <c r="E189" s="33"/>
      <c r="F189" s="33"/>
    </row>
    <row r="190" customFormat="false" ht="15" hidden="false" customHeight="false" outlineLevel="0" collapsed="false">
      <c r="A190" s="32"/>
      <c r="B190" s="32"/>
      <c r="C190" s="32"/>
      <c r="D190" s="32"/>
      <c r="E190" s="33"/>
      <c r="F190" s="33"/>
    </row>
    <row r="191" customFormat="false" ht="15" hidden="false" customHeight="false" outlineLevel="0" collapsed="false">
      <c r="A191" s="32"/>
      <c r="B191" s="32"/>
      <c r="C191" s="32"/>
      <c r="D191" s="32"/>
      <c r="E191" s="33"/>
      <c r="F191" s="33"/>
    </row>
    <row r="192" customFormat="false" ht="15" hidden="false" customHeight="false" outlineLevel="0" collapsed="false">
      <c r="A192" s="32"/>
      <c r="B192" s="32"/>
      <c r="C192" s="32"/>
      <c r="D192" s="32"/>
      <c r="E192" s="33"/>
      <c r="F192" s="33"/>
    </row>
    <row r="193" customFormat="false" ht="15" hidden="false" customHeight="false" outlineLevel="0" collapsed="false">
      <c r="A193" s="32"/>
      <c r="B193" s="32"/>
      <c r="C193" s="32"/>
      <c r="D193" s="32"/>
      <c r="E193" s="33"/>
      <c r="F193" s="33"/>
    </row>
    <row r="194" customFormat="false" ht="15" hidden="false" customHeight="false" outlineLevel="0" collapsed="false">
      <c r="A194" s="32"/>
      <c r="B194" s="32"/>
      <c r="C194" s="32"/>
      <c r="D194" s="32"/>
      <c r="E194" s="33"/>
      <c r="F194" s="33"/>
    </row>
    <row r="195" customFormat="false" ht="15" hidden="false" customHeight="false" outlineLevel="0" collapsed="false">
      <c r="A195" s="32"/>
      <c r="B195" s="32"/>
      <c r="C195" s="32"/>
      <c r="D195" s="32"/>
      <c r="E195" s="33"/>
      <c r="F195" s="33"/>
    </row>
    <row r="196" customFormat="false" ht="15" hidden="false" customHeight="false" outlineLevel="0" collapsed="false">
      <c r="A196" s="32"/>
      <c r="B196" s="32"/>
      <c r="C196" s="32"/>
      <c r="D196" s="32"/>
      <c r="E196" s="33"/>
      <c r="F196" s="33"/>
    </row>
    <row r="197" customFormat="false" ht="15" hidden="false" customHeight="false" outlineLevel="0" collapsed="false">
      <c r="A197" s="32"/>
      <c r="B197" s="32"/>
      <c r="C197" s="32"/>
      <c r="D197" s="32"/>
      <c r="E197" s="33"/>
      <c r="F197" s="33"/>
    </row>
    <row r="198" customFormat="false" ht="15" hidden="false" customHeight="false" outlineLevel="0" collapsed="false">
      <c r="A198" s="32"/>
      <c r="B198" s="32"/>
      <c r="C198" s="32"/>
      <c r="D198" s="32"/>
      <c r="E198" s="33"/>
      <c r="F198" s="33"/>
    </row>
    <row r="199" customFormat="false" ht="15" hidden="false" customHeight="false" outlineLevel="0" collapsed="false">
      <c r="A199" s="32"/>
      <c r="B199" s="32"/>
      <c r="C199" s="32"/>
      <c r="D199" s="32"/>
      <c r="E199" s="33"/>
      <c r="F199" s="33"/>
    </row>
    <row r="200" customFormat="false" ht="15" hidden="false" customHeight="false" outlineLevel="0" collapsed="false">
      <c r="A200" s="32"/>
      <c r="B200" s="32"/>
      <c r="C200" s="32"/>
      <c r="D200" s="32"/>
      <c r="E200" s="33"/>
      <c r="F200" s="33"/>
    </row>
    <row r="201" customFormat="false" ht="15" hidden="false" customHeight="false" outlineLevel="0" collapsed="false">
      <c r="A201" s="32"/>
      <c r="B201" s="32"/>
      <c r="C201" s="32"/>
      <c r="D201" s="32"/>
      <c r="E201" s="33"/>
      <c r="F201" s="33"/>
    </row>
    <row r="202" customFormat="false" ht="15" hidden="false" customHeight="false" outlineLevel="0" collapsed="false">
      <c r="A202" s="32"/>
      <c r="B202" s="32"/>
      <c r="C202" s="32"/>
      <c r="D202" s="32"/>
      <c r="E202" s="33"/>
      <c r="F202" s="33"/>
    </row>
    <row r="203" customFormat="false" ht="15" hidden="false" customHeight="false" outlineLevel="0" collapsed="false">
      <c r="A203" s="32"/>
      <c r="B203" s="32"/>
      <c r="C203" s="32"/>
      <c r="D203" s="32"/>
      <c r="E203" s="33"/>
      <c r="F203" s="33"/>
    </row>
    <row r="204" customFormat="false" ht="15" hidden="false" customHeight="false" outlineLevel="0" collapsed="false">
      <c r="A204" s="32"/>
      <c r="B204" s="32"/>
      <c r="C204" s="32"/>
      <c r="D204" s="32"/>
      <c r="E204" s="33"/>
      <c r="F204" s="33"/>
    </row>
    <row r="205" customFormat="false" ht="15" hidden="false" customHeight="false" outlineLevel="0" collapsed="false">
      <c r="A205" s="32"/>
      <c r="B205" s="32"/>
      <c r="C205" s="32"/>
      <c r="D205" s="32"/>
      <c r="E205" s="33"/>
      <c r="F205" s="33"/>
    </row>
    <row r="206" customFormat="false" ht="15" hidden="false" customHeight="false" outlineLevel="0" collapsed="false">
      <c r="A206" s="32"/>
      <c r="B206" s="32"/>
      <c r="C206" s="32"/>
      <c r="D206" s="32"/>
      <c r="E206" s="33"/>
      <c r="F206" s="33"/>
    </row>
    <row r="207" customFormat="false" ht="15" hidden="false" customHeight="false" outlineLevel="0" collapsed="false">
      <c r="A207" s="32"/>
      <c r="B207" s="32"/>
      <c r="C207" s="32"/>
      <c r="D207" s="32"/>
      <c r="E207" s="33"/>
      <c r="F207" s="33"/>
    </row>
    <row r="208" customFormat="false" ht="15" hidden="false" customHeight="false" outlineLevel="0" collapsed="false">
      <c r="A208" s="32"/>
      <c r="B208" s="32"/>
      <c r="C208" s="32"/>
      <c r="D208" s="32"/>
      <c r="E208" s="33"/>
      <c r="F208" s="33"/>
    </row>
    <row r="209" customFormat="false" ht="15" hidden="false" customHeight="false" outlineLevel="0" collapsed="false">
      <c r="A209" s="32"/>
      <c r="B209" s="32"/>
      <c r="C209" s="32"/>
      <c r="D209" s="32"/>
      <c r="E209" s="33"/>
      <c r="F209" s="33"/>
    </row>
    <row r="210" customFormat="false" ht="15" hidden="false" customHeight="false" outlineLevel="0" collapsed="false">
      <c r="A210" s="32"/>
      <c r="B210" s="32"/>
      <c r="C210" s="32"/>
      <c r="D210" s="32"/>
      <c r="E210" s="33"/>
      <c r="F210" s="33"/>
    </row>
    <row r="211" customFormat="false" ht="15" hidden="false" customHeight="false" outlineLevel="0" collapsed="false">
      <c r="A211" s="32"/>
      <c r="B211" s="32"/>
      <c r="C211" s="32"/>
      <c r="D211" s="32"/>
      <c r="E211" s="33"/>
      <c r="F211" s="33"/>
    </row>
    <row r="212" customFormat="false" ht="15" hidden="false" customHeight="false" outlineLevel="0" collapsed="false">
      <c r="A212" s="32"/>
      <c r="B212" s="32"/>
      <c r="C212" s="32"/>
      <c r="D212" s="32"/>
      <c r="E212" s="33"/>
      <c r="F212" s="33"/>
    </row>
    <row r="213" customFormat="false" ht="15" hidden="false" customHeight="false" outlineLevel="0" collapsed="false">
      <c r="A213" s="32"/>
      <c r="B213" s="32"/>
      <c r="C213" s="32"/>
      <c r="D213" s="32"/>
      <c r="E213" s="33"/>
      <c r="F213" s="33"/>
    </row>
    <row r="214" customFormat="false" ht="15" hidden="false" customHeight="false" outlineLevel="0" collapsed="false">
      <c r="A214" s="32"/>
      <c r="B214" s="32"/>
      <c r="C214" s="32"/>
      <c r="D214" s="32"/>
      <c r="E214" s="33"/>
      <c r="F214" s="33"/>
    </row>
    <row r="215" customFormat="false" ht="15" hidden="false" customHeight="false" outlineLevel="0" collapsed="false">
      <c r="A215" s="32"/>
      <c r="B215" s="32"/>
      <c r="C215" s="32"/>
      <c r="D215" s="32"/>
      <c r="E215" s="33"/>
      <c r="F215" s="33"/>
    </row>
    <row r="216" customFormat="false" ht="15" hidden="false" customHeight="false" outlineLevel="0" collapsed="false">
      <c r="A216" s="32"/>
      <c r="B216" s="32"/>
      <c r="C216" s="32"/>
      <c r="D216" s="32"/>
      <c r="E216" s="33"/>
      <c r="F216" s="33"/>
    </row>
    <row r="217" customFormat="false" ht="15" hidden="false" customHeight="false" outlineLevel="0" collapsed="false">
      <c r="A217" s="32"/>
      <c r="B217" s="32"/>
      <c r="C217" s="32"/>
      <c r="D217" s="32"/>
      <c r="E217" s="33"/>
      <c r="F217" s="33"/>
    </row>
    <row r="218" customFormat="false" ht="15" hidden="false" customHeight="false" outlineLevel="0" collapsed="false">
      <c r="A218" s="32"/>
      <c r="B218" s="32"/>
      <c r="C218" s="32"/>
      <c r="D218" s="32"/>
      <c r="E218" s="33"/>
      <c r="F218" s="33"/>
    </row>
    <row r="219" customFormat="false" ht="15" hidden="false" customHeight="false" outlineLevel="0" collapsed="false">
      <c r="A219" s="32"/>
      <c r="B219" s="32"/>
      <c r="C219" s="32"/>
      <c r="D219" s="32"/>
      <c r="E219" s="33"/>
      <c r="F219" s="33"/>
    </row>
    <row r="220" customFormat="false" ht="15" hidden="false" customHeight="false" outlineLevel="0" collapsed="false">
      <c r="A220" s="32"/>
      <c r="B220" s="32"/>
      <c r="C220" s="32"/>
      <c r="D220" s="32"/>
      <c r="E220" s="33"/>
      <c r="F220" s="33"/>
    </row>
    <row r="221" customFormat="false" ht="15" hidden="false" customHeight="false" outlineLevel="0" collapsed="false">
      <c r="A221" s="32"/>
      <c r="B221" s="32"/>
      <c r="C221" s="32"/>
      <c r="D221" s="32"/>
      <c r="E221" s="33"/>
      <c r="F221" s="33"/>
    </row>
    <row r="222" customFormat="false" ht="15" hidden="false" customHeight="false" outlineLevel="0" collapsed="false">
      <c r="A222" s="32"/>
      <c r="B222" s="32"/>
      <c r="C222" s="32"/>
      <c r="D222" s="32"/>
      <c r="E222" s="33"/>
      <c r="F222" s="33"/>
    </row>
    <row r="223" customFormat="false" ht="15" hidden="false" customHeight="false" outlineLevel="0" collapsed="false">
      <c r="A223" s="32"/>
      <c r="B223" s="32"/>
      <c r="C223" s="32"/>
      <c r="D223" s="32"/>
      <c r="E223" s="33"/>
      <c r="F223" s="33"/>
    </row>
    <row r="224" customFormat="false" ht="15" hidden="false" customHeight="false" outlineLevel="0" collapsed="false">
      <c r="A224" s="32"/>
      <c r="B224" s="32"/>
      <c r="C224" s="32"/>
      <c r="D224" s="32"/>
      <c r="E224" s="33"/>
      <c r="F224" s="33"/>
    </row>
    <row r="225" customFormat="false" ht="15" hidden="false" customHeight="false" outlineLevel="0" collapsed="false">
      <c r="A225" s="32"/>
      <c r="B225" s="32"/>
      <c r="C225" s="32"/>
      <c r="D225" s="32"/>
      <c r="E225" s="33"/>
      <c r="F225" s="33"/>
    </row>
    <row r="226" customFormat="false" ht="15" hidden="false" customHeight="false" outlineLevel="0" collapsed="false">
      <c r="A226" s="32"/>
      <c r="B226" s="32"/>
      <c r="C226" s="32"/>
      <c r="D226" s="32"/>
      <c r="E226" s="33"/>
      <c r="F226" s="33"/>
    </row>
    <row r="227" customFormat="false" ht="15" hidden="false" customHeight="false" outlineLevel="0" collapsed="false">
      <c r="A227" s="32"/>
      <c r="B227" s="32"/>
      <c r="C227" s="32"/>
      <c r="D227" s="32"/>
      <c r="E227" s="33"/>
      <c r="F227" s="33"/>
    </row>
    <row r="228" customFormat="false" ht="15" hidden="false" customHeight="false" outlineLevel="0" collapsed="false">
      <c r="A228" s="32"/>
      <c r="B228" s="32"/>
      <c r="C228" s="32"/>
      <c r="D228" s="32"/>
      <c r="E228" s="33"/>
      <c r="F228" s="33"/>
    </row>
    <row r="229" customFormat="false" ht="15" hidden="false" customHeight="false" outlineLevel="0" collapsed="false">
      <c r="A229" s="32"/>
      <c r="B229" s="32"/>
      <c r="C229" s="32"/>
      <c r="D229" s="32"/>
      <c r="E229" s="33"/>
      <c r="F229" s="33"/>
    </row>
    <row r="230" customFormat="false" ht="15" hidden="false" customHeight="false" outlineLevel="0" collapsed="false">
      <c r="A230" s="32"/>
      <c r="B230" s="32"/>
      <c r="C230" s="32"/>
      <c r="D230" s="32"/>
      <c r="E230" s="33"/>
      <c r="F230" s="33"/>
    </row>
    <row r="231" customFormat="false" ht="15" hidden="false" customHeight="false" outlineLevel="0" collapsed="false">
      <c r="A231" s="32"/>
      <c r="B231" s="32"/>
      <c r="C231" s="32"/>
      <c r="D231" s="32"/>
      <c r="E231" s="33"/>
      <c r="F231" s="33"/>
    </row>
    <row r="232" customFormat="false" ht="15" hidden="false" customHeight="false" outlineLevel="0" collapsed="false">
      <c r="A232" s="32"/>
      <c r="B232" s="32"/>
      <c r="C232" s="32"/>
      <c r="D232" s="32"/>
      <c r="E232" s="33"/>
      <c r="F232" s="33"/>
    </row>
    <row r="233" customFormat="false" ht="15" hidden="false" customHeight="false" outlineLevel="0" collapsed="false">
      <c r="A233" s="32"/>
      <c r="B233" s="32"/>
      <c r="C233" s="32"/>
      <c r="D233" s="32"/>
      <c r="E233" s="33"/>
      <c r="F233" s="33"/>
    </row>
    <row r="234" customFormat="false" ht="15" hidden="false" customHeight="false" outlineLevel="0" collapsed="false">
      <c r="A234" s="32"/>
      <c r="B234" s="32"/>
      <c r="C234" s="32"/>
      <c r="D234" s="32"/>
      <c r="E234" s="33"/>
      <c r="F234" s="33"/>
    </row>
    <row r="235" customFormat="false" ht="15" hidden="false" customHeight="false" outlineLevel="0" collapsed="false">
      <c r="A235" s="32"/>
      <c r="B235" s="32"/>
      <c r="C235" s="32"/>
      <c r="D235" s="32"/>
      <c r="E235" s="33"/>
      <c r="F235" s="33"/>
    </row>
    <row r="236" customFormat="false" ht="15" hidden="false" customHeight="false" outlineLevel="0" collapsed="false">
      <c r="A236" s="32"/>
      <c r="B236" s="32"/>
      <c r="C236" s="32"/>
      <c r="D236" s="32"/>
      <c r="E236" s="33"/>
      <c r="F236" s="33"/>
    </row>
    <row r="237" customFormat="false" ht="15" hidden="false" customHeight="false" outlineLevel="0" collapsed="false">
      <c r="A237" s="32"/>
      <c r="B237" s="32"/>
      <c r="C237" s="32"/>
      <c r="D237" s="32"/>
      <c r="E237" s="33"/>
      <c r="F237" s="33"/>
    </row>
    <row r="238" customFormat="false" ht="15" hidden="false" customHeight="false" outlineLevel="0" collapsed="false">
      <c r="A238" s="32"/>
      <c r="B238" s="32"/>
      <c r="C238" s="32"/>
      <c r="D238" s="32"/>
      <c r="E238" s="33"/>
      <c r="F238" s="33"/>
    </row>
    <row r="239" customFormat="false" ht="15" hidden="false" customHeight="false" outlineLevel="0" collapsed="false">
      <c r="A239" s="32"/>
      <c r="B239" s="32"/>
      <c r="C239" s="32"/>
      <c r="D239" s="32"/>
      <c r="E239" s="33"/>
      <c r="F239" s="33"/>
    </row>
    <row r="240" customFormat="false" ht="15" hidden="false" customHeight="false" outlineLevel="0" collapsed="false">
      <c r="A240" s="32"/>
      <c r="B240" s="32"/>
      <c r="C240" s="32"/>
      <c r="D240" s="32"/>
      <c r="E240" s="33"/>
      <c r="F240" s="33"/>
    </row>
    <row r="241" customFormat="false" ht="15" hidden="false" customHeight="false" outlineLevel="0" collapsed="false">
      <c r="A241" s="32"/>
      <c r="B241" s="32"/>
      <c r="C241" s="32"/>
      <c r="D241" s="32"/>
      <c r="E241" s="33"/>
      <c r="F241" s="33"/>
    </row>
    <row r="242" customFormat="false" ht="15" hidden="false" customHeight="false" outlineLevel="0" collapsed="false">
      <c r="A242" s="32"/>
      <c r="B242" s="32"/>
      <c r="C242" s="32"/>
      <c r="D242" s="32"/>
      <c r="E242" s="33"/>
      <c r="F242" s="33"/>
    </row>
    <row r="243" customFormat="false" ht="15" hidden="false" customHeight="false" outlineLevel="0" collapsed="false">
      <c r="A243" s="32"/>
      <c r="B243" s="32"/>
      <c r="C243" s="32"/>
      <c r="D243" s="32"/>
      <c r="E243" s="33"/>
      <c r="F243" s="33"/>
    </row>
    <row r="244" customFormat="false" ht="15" hidden="false" customHeight="false" outlineLevel="0" collapsed="false">
      <c r="A244" s="32"/>
      <c r="B244" s="32"/>
      <c r="C244" s="32"/>
      <c r="D244" s="32"/>
      <c r="E244" s="33"/>
      <c r="F244" s="33"/>
    </row>
    <row r="245" customFormat="false" ht="15" hidden="false" customHeight="false" outlineLevel="0" collapsed="false">
      <c r="A245" s="32"/>
      <c r="B245" s="32"/>
      <c r="C245" s="32"/>
      <c r="D245" s="32"/>
      <c r="E245" s="33"/>
      <c r="F245" s="33"/>
    </row>
    <row r="246" customFormat="false" ht="15" hidden="false" customHeight="false" outlineLevel="0" collapsed="false">
      <c r="A246" s="32"/>
      <c r="B246" s="32"/>
      <c r="C246" s="32"/>
      <c r="D246" s="32"/>
      <c r="E246" s="33"/>
      <c r="F246" s="33"/>
    </row>
    <row r="247" customFormat="false" ht="15" hidden="false" customHeight="false" outlineLevel="0" collapsed="false">
      <c r="A247" s="32"/>
      <c r="B247" s="32"/>
      <c r="C247" s="32"/>
      <c r="D247" s="32"/>
      <c r="E247" s="33"/>
      <c r="F247" s="33"/>
    </row>
    <row r="248" customFormat="false" ht="15" hidden="false" customHeight="false" outlineLevel="0" collapsed="false">
      <c r="A248" s="32"/>
      <c r="B248" s="32"/>
      <c r="C248" s="32"/>
      <c r="D248" s="32"/>
      <c r="E248" s="33"/>
      <c r="F248" s="33"/>
    </row>
    <row r="249" customFormat="false" ht="15" hidden="false" customHeight="false" outlineLevel="0" collapsed="false">
      <c r="A249" s="32"/>
      <c r="B249" s="32"/>
      <c r="C249" s="32"/>
      <c r="D249" s="32"/>
      <c r="E249" s="33"/>
      <c r="F249" s="33"/>
    </row>
    <row r="250" customFormat="false" ht="15" hidden="false" customHeight="false" outlineLevel="0" collapsed="false">
      <c r="A250" s="32"/>
      <c r="B250" s="32"/>
      <c r="C250" s="32"/>
      <c r="D250" s="32"/>
      <c r="E250" s="33"/>
      <c r="F250" s="33"/>
    </row>
    <row r="251" customFormat="false" ht="15" hidden="false" customHeight="false" outlineLevel="0" collapsed="false">
      <c r="A251" s="32"/>
      <c r="B251" s="32"/>
      <c r="C251" s="32"/>
      <c r="D251" s="32"/>
      <c r="E251" s="33"/>
      <c r="F251" s="33"/>
    </row>
    <row r="252" customFormat="false" ht="15" hidden="false" customHeight="false" outlineLevel="0" collapsed="false">
      <c r="A252" s="32"/>
      <c r="B252" s="32"/>
      <c r="C252" s="32"/>
      <c r="D252" s="32"/>
      <c r="E252" s="33"/>
      <c r="F252" s="33"/>
    </row>
    <row r="253" customFormat="false" ht="15" hidden="false" customHeight="false" outlineLevel="0" collapsed="false">
      <c r="A253" s="32"/>
      <c r="B253" s="32"/>
      <c r="C253" s="32"/>
      <c r="D253" s="32"/>
      <c r="E253" s="33"/>
      <c r="F253" s="33"/>
    </row>
    <row r="254" customFormat="false" ht="15" hidden="false" customHeight="false" outlineLevel="0" collapsed="false">
      <c r="A254" s="32"/>
      <c r="B254" s="32"/>
      <c r="C254" s="32"/>
      <c r="D254" s="32"/>
      <c r="E254" s="33"/>
      <c r="F254" s="33"/>
    </row>
    <row r="255" customFormat="false" ht="15" hidden="false" customHeight="false" outlineLevel="0" collapsed="false">
      <c r="A255" s="32"/>
      <c r="B255" s="32"/>
      <c r="C255" s="32"/>
      <c r="D255" s="32"/>
      <c r="E255" s="33"/>
      <c r="F255" s="33"/>
    </row>
    <row r="256" customFormat="false" ht="15" hidden="false" customHeight="false" outlineLevel="0" collapsed="false">
      <c r="A256" s="32"/>
      <c r="B256" s="32"/>
      <c r="C256" s="32"/>
      <c r="D256" s="32"/>
      <c r="E256" s="33"/>
      <c r="F256" s="33"/>
    </row>
    <row r="257" customFormat="false" ht="15" hidden="false" customHeight="false" outlineLevel="0" collapsed="false">
      <c r="A257" s="32"/>
      <c r="B257" s="32"/>
      <c r="C257" s="32"/>
      <c r="D257" s="32"/>
      <c r="E257" s="33"/>
      <c r="F257" s="33"/>
    </row>
    <row r="258" customFormat="false" ht="15" hidden="false" customHeight="false" outlineLevel="0" collapsed="false">
      <c r="A258" s="32"/>
      <c r="B258" s="32"/>
      <c r="C258" s="32"/>
      <c r="D258" s="32"/>
      <c r="E258" s="33"/>
      <c r="F258" s="33"/>
    </row>
    <row r="259" customFormat="false" ht="15" hidden="false" customHeight="false" outlineLevel="0" collapsed="false">
      <c r="A259" s="32"/>
      <c r="B259" s="32"/>
      <c r="C259" s="32"/>
      <c r="D259" s="32"/>
      <c r="E259" s="33"/>
      <c r="F259" s="33"/>
    </row>
    <row r="260" customFormat="false" ht="15" hidden="false" customHeight="false" outlineLevel="0" collapsed="false">
      <c r="A260" s="32"/>
      <c r="B260" s="32"/>
      <c r="C260" s="32"/>
      <c r="D260" s="32"/>
      <c r="E260" s="33"/>
      <c r="F260" s="33"/>
    </row>
    <row r="261" customFormat="false" ht="15" hidden="false" customHeight="false" outlineLevel="0" collapsed="false">
      <c r="A261" s="32"/>
      <c r="B261" s="32"/>
      <c r="C261" s="32"/>
      <c r="D261" s="32"/>
      <c r="E261" s="33"/>
      <c r="F261" s="33"/>
    </row>
    <row r="262" customFormat="false" ht="15" hidden="false" customHeight="false" outlineLevel="0" collapsed="false">
      <c r="A262" s="32"/>
      <c r="B262" s="32"/>
      <c r="C262" s="32"/>
      <c r="D262" s="32"/>
      <c r="E262" s="33"/>
      <c r="F262" s="33"/>
    </row>
    <row r="263" customFormat="false" ht="15" hidden="false" customHeight="false" outlineLevel="0" collapsed="false">
      <c r="A263" s="32"/>
      <c r="B263" s="32"/>
      <c r="C263" s="32"/>
      <c r="D263" s="32"/>
      <c r="E263" s="33"/>
      <c r="F263" s="33"/>
    </row>
    <row r="264" customFormat="false" ht="15" hidden="false" customHeight="false" outlineLevel="0" collapsed="false">
      <c r="A264" s="32"/>
      <c r="B264" s="32"/>
      <c r="C264" s="32"/>
      <c r="D264" s="32"/>
      <c r="E264" s="33"/>
      <c r="F264" s="33"/>
    </row>
    <row r="265" customFormat="false" ht="15" hidden="false" customHeight="false" outlineLevel="0" collapsed="false">
      <c r="A265" s="32"/>
      <c r="B265" s="32"/>
      <c r="C265" s="32"/>
      <c r="D265" s="32"/>
      <c r="E265" s="33"/>
      <c r="F265" s="33"/>
    </row>
    <row r="266" customFormat="false" ht="15" hidden="false" customHeight="false" outlineLevel="0" collapsed="false">
      <c r="A266" s="32"/>
      <c r="B266" s="32"/>
      <c r="C266" s="32"/>
      <c r="D266" s="32"/>
      <c r="E266" s="33"/>
      <c r="F266" s="33"/>
    </row>
    <row r="267" customFormat="false" ht="15" hidden="false" customHeight="false" outlineLevel="0" collapsed="false">
      <c r="A267" s="32"/>
      <c r="B267" s="32"/>
      <c r="C267" s="32"/>
      <c r="D267" s="32"/>
      <c r="E267" s="33"/>
      <c r="F267" s="33"/>
    </row>
    <row r="268" customFormat="false" ht="15" hidden="false" customHeight="false" outlineLevel="0" collapsed="false">
      <c r="A268" s="32"/>
      <c r="B268" s="32"/>
      <c r="C268" s="32"/>
      <c r="D268" s="32"/>
      <c r="E268" s="33"/>
      <c r="F268" s="33"/>
    </row>
    <row r="269" customFormat="false" ht="15" hidden="false" customHeight="false" outlineLevel="0" collapsed="false">
      <c r="A269" s="32"/>
      <c r="B269" s="32"/>
      <c r="C269" s="32"/>
      <c r="D269" s="32"/>
      <c r="E269" s="33"/>
      <c r="F269" s="33"/>
    </row>
    <row r="270" customFormat="false" ht="15" hidden="false" customHeight="false" outlineLevel="0" collapsed="false">
      <c r="A270" s="32"/>
      <c r="B270" s="32"/>
      <c r="C270" s="32"/>
      <c r="D270" s="32"/>
      <c r="E270" s="33"/>
      <c r="F270" s="33"/>
    </row>
    <row r="271" customFormat="false" ht="15" hidden="false" customHeight="false" outlineLevel="0" collapsed="false">
      <c r="A271" s="32"/>
      <c r="B271" s="32"/>
      <c r="C271" s="32"/>
      <c r="D271" s="32"/>
      <c r="E271" s="33"/>
      <c r="F271" s="33"/>
    </row>
    <row r="272" customFormat="false" ht="15" hidden="false" customHeight="false" outlineLevel="0" collapsed="false">
      <c r="A272" s="32"/>
      <c r="B272" s="32"/>
      <c r="C272" s="32"/>
      <c r="D272" s="32"/>
      <c r="E272" s="33"/>
      <c r="F272" s="33"/>
    </row>
    <row r="273" customFormat="false" ht="15" hidden="false" customHeight="false" outlineLevel="0" collapsed="false">
      <c r="A273" s="32"/>
      <c r="B273" s="32"/>
      <c r="C273" s="32"/>
      <c r="D273" s="32"/>
      <c r="E273" s="33"/>
      <c r="F273" s="33"/>
    </row>
    <row r="274" customFormat="false" ht="15" hidden="false" customHeight="false" outlineLevel="0" collapsed="false">
      <c r="A274" s="32"/>
      <c r="B274" s="32"/>
      <c r="C274" s="32"/>
      <c r="D274" s="32"/>
      <c r="E274" s="33"/>
      <c r="F274" s="33"/>
    </row>
    <row r="275" customFormat="false" ht="15" hidden="false" customHeight="false" outlineLevel="0" collapsed="false">
      <c r="A275" s="32"/>
      <c r="B275" s="32"/>
      <c r="C275" s="32"/>
      <c r="D275" s="32"/>
      <c r="E275" s="33"/>
      <c r="F275" s="33"/>
    </row>
    <row r="276" customFormat="false" ht="15" hidden="false" customHeight="false" outlineLevel="0" collapsed="false">
      <c r="A276" s="32"/>
      <c r="B276" s="32"/>
      <c r="C276" s="32"/>
      <c r="D276" s="32"/>
      <c r="E276" s="33"/>
      <c r="F276" s="33"/>
    </row>
    <row r="277" customFormat="false" ht="15" hidden="false" customHeight="false" outlineLevel="0" collapsed="false">
      <c r="A277" s="32"/>
      <c r="B277" s="32"/>
      <c r="C277" s="32"/>
      <c r="D277" s="32"/>
      <c r="E277" s="33"/>
      <c r="F277" s="33"/>
    </row>
    <row r="278" customFormat="false" ht="15" hidden="false" customHeight="false" outlineLevel="0" collapsed="false">
      <c r="A278" s="32"/>
      <c r="B278" s="32"/>
      <c r="C278" s="32"/>
      <c r="D278" s="32"/>
      <c r="E278" s="33"/>
      <c r="F278" s="33"/>
    </row>
    <row r="279" customFormat="false" ht="15" hidden="false" customHeight="false" outlineLevel="0" collapsed="false">
      <c r="A279" s="32"/>
      <c r="B279" s="32"/>
      <c r="C279" s="32"/>
      <c r="D279" s="32"/>
      <c r="E279" s="33"/>
      <c r="F279" s="33"/>
    </row>
    <row r="280" customFormat="false" ht="15" hidden="false" customHeight="false" outlineLevel="0" collapsed="false">
      <c r="A280" s="32"/>
      <c r="B280" s="32"/>
      <c r="C280" s="32"/>
      <c r="D280" s="32"/>
      <c r="E280" s="33"/>
      <c r="F280" s="33"/>
    </row>
    <row r="281" customFormat="false" ht="15" hidden="false" customHeight="false" outlineLevel="0" collapsed="false">
      <c r="A281" s="32"/>
      <c r="B281" s="32"/>
      <c r="C281" s="32"/>
      <c r="D281" s="32"/>
      <c r="E281" s="33"/>
      <c r="F281" s="33"/>
    </row>
    <row r="282" customFormat="false" ht="15" hidden="false" customHeight="false" outlineLevel="0" collapsed="false">
      <c r="A282" s="32"/>
      <c r="B282" s="32"/>
      <c r="C282" s="32"/>
      <c r="D282" s="32"/>
      <c r="E282" s="33"/>
      <c r="F282" s="33"/>
    </row>
    <row r="283" customFormat="false" ht="15" hidden="false" customHeight="false" outlineLevel="0" collapsed="false">
      <c r="A283" s="32"/>
      <c r="B283" s="32"/>
      <c r="C283" s="32"/>
      <c r="D283" s="32"/>
      <c r="E283" s="33"/>
      <c r="F283" s="33"/>
    </row>
    <row r="284" customFormat="false" ht="15" hidden="false" customHeight="false" outlineLevel="0" collapsed="false">
      <c r="A284" s="32"/>
      <c r="B284" s="32"/>
      <c r="C284" s="32"/>
      <c r="D284" s="32"/>
      <c r="E284" s="33"/>
      <c r="F284" s="33"/>
    </row>
    <row r="285" customFormat="false" ht="15" hidden="false" customHeight="false" outlineLevel="0" collapsed="false">
      <c r="A285" s="32"/>
      <c r="B285" s="32"/>
      <c r="C285" s="32"/>
      <c r="D285" s="32"/>
      <c r="E285" s="33"/>
      <c r="F285" s="33"/>
    </row>
    <row r="286" customFormat="false" ht="15" hidden="false" customHeight="false" outlineLevel="0" collapsed="false">
      <c r="A286" s="32"/>
      <c r="B286" s="32"/>
      <c r="C286" s="32"/>
      <c r="D286" s="32"/>
      <c r="E286" s="33"/>
      <c r="F286" s="33"/>
    </row>
    <row r="287" customFormat="false" ht="15" hidden="false" customHeight="false" outlineLevel="0" collapsed="false">
      <c r="A287" s="32"/>
      <c r="B287" s="32"/>
      <c r="C287" s="32"/>
      <c r="D287" s="32"/>
      <c r="E287" s="33"/>
      <c r="F287" s="33"/>
    </row>
    <row r="288" customFormat="false" ht="15" hidden="false" customHeight="false" outlineLevel="0" collapsed="false">
      <c r="A288" s="32"/>
      <c r="B288" s="32"/>
      <c r="C288" s="32"/>
      <c r="D288" s="32"/>
      <c r="E288" s="33"/>
      <c r="F288" s="33"/>
    </row>
    <row r="289" customFormat="false" ht="15" hidden="false" customHeight="false" outlineLevel="0" collapsed="false">
      <c r="A289" s="32"/>
      <c r="B289" s="32"/>
      <c r="C289" s="32"/>
      <c r="D289" s="32"/>
      <c r="E289" s="33"/>
      <c r="F289" s="33"/>
    </row>
    <row r="290" customFormat="false" ht="15" hidden="false" customHeight="false" outlineLevel="0" collapsed="false">
      <c r="A290" s="32"/>
      <c r="B290" s="32"/>
      <c r="C290" s="32"/>
      <c r="D290" s="32"/>
      <c r="E290" s="33"/>
      <c r="F290" s="33"/>
    </row>
    <row r="291" customFormat="false" ht="15" hidden="false" customHeight="false" outlineLevel="0" collapsed="false">
      <c r="A291" s="32"/>
      <c r="B291" s="32"/>
      <c r="C291" s="32"/>
      <c r="D291" s="32"/>
      <c r="E291" s="33"/>
      <c r="F291" s="33"/>
    </row>
    <row r="292" customFormat="false" ht="15" hidden="false" customHeight="false" outlineLevel="0" collapsed="false">
      <c r="A292" s="32"/>
      <c r="B292" s="32"/>
      <c r="C292" s="32"/>
      <c r="D292" s="32"/>
      <c r="E292" s="33"/>
      <c r="F292" s="33"/>
    </row>
    <row r="293" customFormat="false" ht="15" hidden="false" customHeight="false" outlineLevel="0" collapsed="false">
      <c r="A293" s="32"/>
      <c r="B293" s="32"/>
      <c r="C293" s="32"/>
      <c r="D293" s="32"/>
      <c r="E293" s="33"/>
      <c r="F293" s="33"/>
    </row>
    <row r="294" customFormat="false" ht="15" hidden="false" customHeight="false" outlineLevel="0" collapsed="false">
      <c r="A294" s="32"/>
      <c r="B294" s="32"/>
      <c r="C294" s="32"/>
      <c r="D294" s="32"/>
      <c r="E294" s="33"/>
      <c r="F294" s="33"/>
    </row>
    <row r="295" customFormat="false" ht="15" hidden="false" customHeight="false" outlineLevel="0" collapsed="false">
      <c r="A295" s="32"/>
      <c r="B295" s="32"/>
      <c r="C295" s="32"/>
      <c r="D295" s="32"/>
      <c r="E295" s="33"/>
      <c r="F295" s="33"/>
    </row>
    <row r="296" customFormat="false" ht="15" hidden="false" customHeight="false" outlineLevel="0" collapsed="false">
      <c r="A296" s="32"/>
      <c r="B296" s="32"/>
      <c r="C296" s="32"/>
      <c r="D296" s="32"/>
      <c r="E296" s="33"/>
      <c r="F296" s="33"/>
    </row>
    <row r="297" customFormat="false" ht="15" hidden="false" customHeight="false" outlineLevel="0" collapsed="false">
      <c r="A297" s="32"/>
      <c r="B297" s="32"/>
      <c r="C297" s="32"/>
      <c r="D297" s="32"/>
      <c r="E297" s="33"/>
      <c r="F297" s="33"/>
    </row>
    <row r="298" customFormat="false" ht="15" hidden="false" customHeight="false" outlineLevel="0" collapsed="false">
      <c r="A298" s="32"/>
      <c r="B298" s="32"/>
      <c r="C298" s="32"/>
      <c r="D298" s="32"/>
      <c r="E298" s="33"/>
      <c r="F298" s="33"/>
    </row>
    <row r="299" customFormat="false" ht="15" hidden="false" customHeight="false" outlineLevel="0" collapsed="false">
      <c r="A299" s="32"/>
      <c r="B299" s="32"/>
      <c r="C299" s="32"/>
      <c r="D299" s="32"/>
      <c r="E299" s="33"/>
      <c r="F299" s="33"/>
    </row>
    <row r="300" customFormat="false" ht="15" hidden="false" customHeight="false" outlineLevel="0" collapsed="false">
      <c r="A300" s="32"/>
      <c r="B300" s="32"/>
      <c r="C300" s="32"/>
      <c r="D300" s="32"/>
      <c r="E300" s="33"/>
      <c r="F300" s="33"/>
    </row>
    <row r="301" customFormat="false" ht="15" hidden="false" customHeight="false" outlineLevel="0" collapsed="false">
      <c r="A301" s="32"/>
      <c r="B301" s="32"/>
      <c r="C301" s="32"/>
      <c r="D301" s="32"/>
      <c r="E301" s="33"/>
      <c r="F301" s="33"/>
    </row>
    <row r="302" customFormat="false" ht="15" hidden="false" customHeight="false" outlineLevel="0" collapsed="false">
      <c r="A302" s="32"/>
      <c r="B302" s="32"/>
      <c r="C302" s="32"/>
      <c r="D302" s="32"/>
      <c r="E302" s="33"/>
      <c r="F302" s="33"/>
    </row>
    <row r="303" customFormat="false" ht="15" hidden="false" customHeight="false" outlineLevel="0" collapsed="false">
      <c r="A303" s="32"/>
      <c r="B303" s="32"/>
      <c r="C303" s="32"/>
      <c r="D303" s="32"/>
      <c r="E303" s="33"/>
      <c r="F303" s="33"/>
    </row>
    <row r="304" customFormat="false" ht="15" hidden="false" customHeight="false" outlineLevel="0" collapsed="false">
      <c r="A304" s="32"/>
      <c r="B304" s="32"/>
      <c r="C304" s="32"/>
      <c r="D304" s="32"/>
      <c r="E304" s="33"/>
      <c r="F304" s="33"/>
    </row>
    <row r="305" customFormat="false" ht="15" hidden="false" customHeight="false" outlineLevel="0" collapsed="false">
      <c r="A305" s="32"/>
      <c r="B305" s="32"/>
      <c r="C305" s="32"/>
      <c r="D305" s="32"/>
      <c r="E305" s="33"/>
      <c r="F305" s="33"/>
    </row>
    <row r="306" customFormat="false" ht="15" hidden="false" customHeight="false" outlineLevel="0" collapsed="false">
      <c r="A306" s="32"/>
      <c r="B306" s="32"/>
      <c r="C306" s="32"/>
      <c r="D306" s="32"/>
      <c r="E306" s="33"/>
      <c r="F306" s="33"/>
    </row>
    <row r="307" customFormat="false" ht="15" hidden="false" customHeight="false" outlineLevel="0" collapsed="false">
      <c r="A307" s="32"/>
      <c r="B307" s="32"/>
      <c r="C307" s="32"/>
      <c r="D307" s="32"/>
      <c r="E307" s="33"/>
      <c r="F307" s="33"/>
    </row>
    <row r="308" customFormat="false" ht="15" hidden="false" customHeight="false" outlineLevel="0" collapsed="false">
      <c r="A308" s="32"/>
      <c r="B308" s="32"/>
      <c r="C308" s="32"/>
      <c r="D308" s="32"/>
      <c r="E308" s="33"/>
      <c r="F308" s="33"/>
    </row>
    <row r="309" customFormat="false" ht="15" hidden="false" customHeight="false" outlineLevel="0" collapsed="false">
      <c r="A309" s="32"/>
      <c r="B309" s="32"/>
      <c r="C309" s="32"/>
      <c r="D309" s="32"/>
      <c r="E309" s="33"/>
      <c r="F309" s="33"/>
    </row>
    <row r="310" customFormat="false" ht="15" hidden="false" customHeight="false" outlineLevel="0" collapsed="false">
      <c r="A310" s="32"/>
      <c r="B310" s="32"/>
      <c r="C310" s="32"/>
      <c r="D310" s="32"/>
      <c r="E310" s="33"/>
      <c r="F310" s="33"/>
    </row>
    <row r="311" customFormat="false" ht="15" hidden="false" customHeight="false" outlineLevel="0" collapsed="false">
      <c r="A311" s="32"/>
      <c r="B311" s="32"/>
      <c r="C311" s="32"/>
      <c r="D311" s="32"/>
      <c r="E311" s="33"/>
      <c r="F311" s="33"/>
    </row>
    <row r="312" customFormat="false" ht="15" hidden="false" customHeight="false" outlineLevel="0" collapsed="false">
      <c r="A312" s="32"/>
      <c r="B312" s="32"/>
      <c r="C312" s="32"/>
      <c r="D312" s="32"/>
      <c r="E312" s="33"/>
      <c r="F312" s="33"/>
    </row>
    <row r="313" customFormat="false" ht="15" hidden="false" customHeight="false" outlineLevel="0" collapsed="false">
      <c r="A313" s="32"/>
      <c r="B313" s="32"/>
      <c r="C313" s="32"/>
      <c r="D313" s="32"/>
      <c r="E313" s="33"/>
      <c r="F313" s="33"/>
    </row>
    <row r="314" customFormat="false" ht="15" hidden="false" customHeight="false" outlineLevel="0" collapsed="false">
      <c r="A314" s="32"/>
      <c r="B314" s="32"/>
      <c r="C314" s="32"/>
      <c r="D314" s="32"/>
      <c r="E314" s="33"/>
      <c r="F314" s="33"/>
    </row>
    <row r="315" customFormat="false" ht="15" hidden="false" customHeight="false" outlineLevel="0" collapsed="false">
      <c r="A315" s="32"/>
      <c r="B315" s="32"/>
      <c r="C315" s="32"/>
      <c r="D315" s="32"/>
      <c r="E315" s="33"/>
      <c r="F315" s="33"/>
    </row>
    <row r="316" customFormat="false" ht="15" hidden="false" customHeight="false" outlineLevel="0" collapsed="false">
      <c r="A316" s="32"/>
      <c r="B316" s="32"/>
      <c r="C316" s="32"/>
      <c r="D316" s="32"/>
      <c r="E316" s="33"/>
      <c r="F316" s="33"/>
    </row>
    <row r="317" customFormat="false" ht="15" hidden="false" customHeight="false" outlineLevel="0" collapsed="false">
      <c r="A317" s="32"/>
      <c r="B317" s="32"/>
      <c r="C317" s="32"/>
      <c r="D317" s="32"/>
      <c r="E317" s="33"/>
      <c r="F317" s="33"/>
    </row>
    <row r="318" customFormat="false" ht="15" hidden="false" customHeight="false" outlineLevel="0" collapsed="false">
      <c r="A318" s="32"/>
      <c r="B318" s="32"/>
      <c r="C318" s="32"/>
      <c r="D318" s="32"/>
      <c r="E318" s="33"/>
      <c r="F318" s="33"/>
    </row>
    <row r="319" customFormat="false" ht="15" hidden="false" customHeight="false" outlineLevel="0" collapsed="false">
      <c r="A319" s="32"/>
      <c r="B319" s="32"/>
      <c r="C319" s="32"/>
      <c r="D319" s="32"/>
      <c r="E319" s="33"/>
      <c r="F319" s="33"/>
    </row>
    <row r="320" customFormat="false" ht="15" hidden="false" customHeight="false" outlineLevel="0" collapsed="false">
      <c r="A320" s="32"/>
      <c r="B320" s="32"/>
      <c r="C320" s="32"/>
      <c r="D320" s="32"/>
      <c r="E320" s="33"/>
      <c r="F320" s="33"/>
    </row>
    <row r="321" customFormat="false" ht="15" hidden="false" customHeight="false" outlineLevel="0" collapsed="false">
      <c r="A321" s="32"/>
      <c r="B321" s="32"/>
      <c r="C321" s="32"/>
      <c r="D321" s="32"/>
      <c r="E321" s="33"/>
      <c r="F321" s="33"/>
    </row>
    <row r="322" customFormat="false" ht="15" hidden="false" customHeight="false" outlineLevel="0" collapsed="false">
      <c r="A322" s="32"/>
      <c r="B322" s="32"/>
      <c r="C322" s="32"/>
      <c r="D322" s="32"/>
      <c r="E322" s="33"/>
      <c r="F322" s="33"/>
    </row>
    <row r="323" customFormat="false" ht="15" hidden="false" customHeight="false" outlineLevel="0" collapsed="false">
      <c r="A323" s="32"/>
      <c r="B323" s="32"/>
      <c r="C323" s="32"/>
      <c r="D323" s="32"/>
      <c r="E323" s="33"/>
      <c r="F323" s="33"/>
    </row>
    <row r="324" customFormat="false" ht="15" hidden="false" customHeight="false" outlineLevel="0" collapsed="false">
      <c r="A324" s="32"/>
      <c r="B324" s="32"/>
      <c r="C324" s="32"/>
      <c r="D324" s="32"/>
      <c r="E324" s="33"/>
      <c r="F324" s="33"/>
    </row>
    <row r="325" customFormat="false" ht="15" hidden="false" customHeight="false" outlineLevel="0" collapsed="false">
      <c r="A325" s="32"/>
      <c r="B325" s="32"/>
      <c r="C325" s="32"/>
      <c r="D325" s="32"/>
      <c r="E325" s="33"/>
      <c r="F325" s="33"/>
    </row>
    <row r="326" customFormat="false" ht="15" hidden="false" customHeight="false" outlineLevel="0" collapsed="false">
      <c r="A326" s="32"/>
      <c r="B326" s="32"/>
      <c r="C326" s="32"/>
      <c r="D326" s="32"/>
      <c r="E326" s="33"/>
      <c r="F326" s="33"/>
    </row>
    <row r="327" customFormat="false" ht="15" hidden="false" customHeight="false" outlineLevel="0" collapsed="false">
      <c r="A327" s="32"/>
      <c r="B327" s="32"/>
      <c r="C327" s="32"/>
      <c r="D327" s="32"/>
      <c r="E327" s="33"/>
      <c r="F327" s="33"/>
    </row>
    <row r="328" customFormat="false" ht="15" hidden="false" customHeight="false" outlineLevel="0" collapsed="false">
      <c r="A328" s="32"/>
      <c r="B328" s="32"/>
      <c r="C328" s="32"/>
      <c r="D328" s="32"/>
      <c r="E328" s="33"/>
      <c r="F328" s="33"/>
    </row>
    <row r="329" customFormat="false" ht="15" hidden="false" customHeight="false" outlineLevel="0" collapsed="false">
      <c r="A329" s="32"/>
      <c r="B329" s="32"/>
      <c r="C329" s="32"/>
      <c r="D329" s="32"/>
      <c r="E329" s="33"/>
      <c r="F329" s="33"/>
    </row>
    <row r="330" customFormat="false" ht="15" hidden="false" customHeight="false" outlineLevel="0" collapsed="false">
      <c r="A330" s="32"/>
      <c r="B330" s="32"/>
      <c r="C330" s="32"/>
      <c r="D330" s="32"/>
      <c r="E330" s="33"/>
      <c r="F330" s="33"/>
    </row>
    <row r="331" customFormat="false" ht="15" hidden="false" customHeight="false" outlineLevel="0" collapsed="false">
      <c r="A331" s="32"/>
      <c r="B331" s="32"/>
      <c r="C331" s="32"/>
      <c r="D331" s="32"/>
      <c r="E331" s="33"/>
      <c r="F331" s="33"/>
    </row>
    <row r="332" customFormat="false" ht="15" hidden="false" customHeight="false" outlineLevel="0" collapsed="false">
      <c r="A332" s="32"/>
      <c r="B332" s="32"/>
      <c r="C332" s="32"/>
      <c r="D332" s="32"/>
      <c r="E332" s="33"/>
      <c r="F332" s="33"/>
    </row>
    <row r="333" customFormat="false" ht="15" hidden="false" customHeight="false" outlineLevel="0" collapsed="false">
      <c r="A333" s="32"/>
      <c r="B333" s="32"/>
      <c r="C333" s="32"/>
      <c r="D333" s="32"/>
      <c r="E333" s="33"/>
      <c r="F333" s="33"/>
    </row>
    <row r="334" customFormat="false" ht="15" hidden="false" customHeight="false" outlineLevel="0" collapsed="false">
      <c r="A334" s="32"/>
      <c r="B334" s="32"/>
      <c r="C334" s="32"/>
      <c r="D334" s="32"/>
      <c r="E334" s="33"/>
      <c r="F334" s="33"/>
    </row>
    <row r="335" customFormat="false" ht="15" hidden="false" customHeight="false" outlineLevel="0" collapsed="false">
      <c r="A335" s="32"/>
      <c r="B335" s="32"/>
      <c r="C335" s="32"/>
      <c r="D335" s="32"/>
      <c r="E335" s="33"/>
      <c r="F335" s="33"/>
    </row>
    <row r="336" customFormat="false" ht="15" hidden="false" customHeight="false" outlineLevel="0" collapsed="false">
      <c r="A336" s="32"/>
      <c r="B336" s="32"/>
      <c r="C336" s="32"/>
      <c r="D336" s="32"/>
      <c r="E336" s="33"/>
      <c r="F336" s="33"/>
    </row>
    <row r="337" customFormat="false" ht="15" hidden="false" customHeight="false" outlineLevel="0" collapsed="false">
      <c r="A337" s="32"/>
      <c r="B337" s="32"/>
      <c r="C337" s="32"/>
      <c r="D337" s="32"/>
      <c r="E337" s="33"/>
      <c r="F337" s="33"/>
    </row>
    <row r="338" customFormat="false" ht="15" hidden="false" customHeight="false" outlineLevel="0" collapsed="false">
      <c r="A338" s="32"/>
      <c r="B338" s="32"/>
      <c r="C338" s="32"/>
      <c r="D338" s="32"/>
      <c r="E338" s="33"/>
      <c r="F338" s="33"/>
    </row>
    <row r="339" customFormat="false" ht="15" hidden="false" customHeight="false" outlineLevel="0" collapsed="false">
      <c r="A339" s="32"/>
      <c r="B339" s="32"/>
      <c r="C339" s="32"/>
      <c r="D339" s="32"/>
      <c r="E339" s="33"/>
      <c r="F339" s="33"/>
    </row>
    <row r="340" customFormat="false" ht="15" hidden="false" customHeight="false" outlineLevel="0" collapsed="false">
      <c r="A340" s="32"/>
      <c r="B340" s="32"/>
      <c r="C340" s="32"/>
      <c r="D340" s="32"/>
      <c r="E340" s="33"/>
      <c r="F340" s="33"/>
    </row>
    <row r="341" customFormat="false" ht="15" hidden="false" customHeight="false" outlineLevel="0" collapsed="false">
      <c r="A341" s="32"/>
      <c r="B341" s="32"/>
      <c r="C341" s="32"/>
      <c r="D341" s="32"/>
      <c r="E341" s="33"/>
      <c r="F341" s="33"/>
    </row>
    <row r="342" customFormat="false" ht="15" hidden="false" customHeight="false" outlineLevel="0" collapsed="false">
      <c r="A342" s="32"/>
      <c r="B342" s="32"/>
      <c r="C342" s="32"/>
      <c r="D342" s="32"/>
      <c r="E342" s="33"/>
      <c r="F342" s="33"/>
    </row>
    <row r="343" customFormat="false" ht="15" hidden="false" customHeight="false" outlineLevel="0" collapsed="false">
      <c r="A343" s="32"/>
      <c r="B343" s="32"/>
      <c r="C343" s="32"/>
      <c r="D343" s="32"/>
      <c r="E343" s="33"/>
      <c r="F343" s="33"/>
    </row>
    <row r="344" customFormat="false" ht="15" hidden="false" customHeight="false" outlineLevel="0" collapsed="false">
      <c r="A344" s="32"/>
      <c r="B344" s="32"/>
      <c r="C344" s="32"/>
      <c r="D344" s="32"/>
      <c r="E344" s="33"/>
      <c r="F344" s="33"/>
    </row>
    <row r="345" customFormat="false" ht="15" hidden="false" customHeight="false" outlineLevel="0" collapsed="false">
      <c r="A345" s="32"/>
      <c r="B345" s="32"/>
      <c r="C345" s="32"/>
      <c r="D345" s="32"/>
      <c r="E345" s="33"/>
      <c r="F345" s="33"/>
    </row>
    <row r="346" customFormat="false" ht="15" hidden="false" customHeight="false" outlineLevel="0" collapsed="false">
      <c r="A346" s="32"/>
      <c r="B346" s="32"/>
      <c r="C346" s="32"/>
      <c r="D346" s="32"/>
      <c r="E346" s="33"/>
      <c r="F346" s="33"/>
    </row>
    <row r="347" customFormat="false" ht="15" hidden="false" customHeight="false" outlineLevel="0" collapsed="false">
      <c r="A347" s="32"/>
      <c r="B347" s="32"/>
      <c r="C347" s="32"/>
      <c r="D347" s="32"/>
      <c r="E347" s="33"/>
      <c r="F347" s="33"/>
    </row>
    <row r="348" customFormat="false" ht="15" hidden="false" customHeight="false" outlineLevel="0" collapsed="false">
      <c r="A348" s="32"/>
      <c r="B348" s="32"/>
      <c r="C348" s="32"/>
      <c r="D348" s="32"/>
      <c r="E348" s="33"/>
      <c r="F348" s="33"/>
    </row>
    <row r="349" customFormat="false" ht="15" hidden="false" customHeight="false" outlineLevel="0" collapsed="false">
      <c r="A349" s="32"/>
      <c r="B349" s="32"/>
      <c r="C349" s="32"/>
      <c r="D349" s="32"/>
      <c r="E349" s="33"/>
      <c r="F349" s="33"/>
    </row>
    <row r="350" customFormat="false" ht="15" hidden="false" customHeight="false" outlineLevel="0" collapsed="false">
      <c r="A350" s="32"/>
      <c r="B350" s="32"/>
      <c r="C350" s="32"/>
      <c r="D350" s="32"/>
      <c r="E350" s="33"/>
      <c r="F350" s="33"/>
    </row>
    <row r="351" customFormat="false" ht="15" hidden="false" customHeight="false" outlineLevel="0" collapsed="false">
      <c r="A351" s="32"/>
      <c r="B351" s="32"/>
      <c r="C351" s="32"/>
      <c r="D351" s="32"/>
      <c r="E351" s="33"/>
      <c r="F351" s="33"/>
    </row>
    <row r="352" customFormat="false" ht="15" hidden="false" customHeight="false" outlineLevel="0" collapsed="false">
      <c r="A352" s="32"/>
      <c r="B352" s="32"/>
      <c r="C352" s="32"/>
      <c r="D352" s="32"/>
      <c r="E352" s="33"/>
      <c r="F352" s="33"/>
    </row>
    <row r="353" customFormat="false" ht="15" hidden="false" customHeight="false" outlineLevel="0" collapsed="false">
      <c r="A353" s="32"/>
      <c r="B353" s="32"/>
      <c r="C353" s="32"/>
      <c r="D353" s="32"/>
      <c r="E353" s="33"/>
      <c r="F353" s="33"/>
    </row>
    <row r="354" customFormat="false" ht="15" hidden="false" customHeight="false" outlineLevel="0" collapsed="false">
      <c r="A354" s="32"/>
      <c r="B354" s="32"/>
      <c r="C354" s="32"/>
      <c r="D354" s="32"/>
      <c r="E354" s="33"/>
      <c r="F354" s="33"/>
    </row>
    <row r="355" customFormat="false" ht="15" hidden="false" customHeight="false" outlineLevel="0" collapsed="false">
      <c r="A355" s="32"/>
      <c r="B355" s="32"/>
      <c r="C355" s="32"/>
      <c r="D355" s="32"/>
      <c r="E355" s="33"/>
      <c r="F355" s="33"/>
    </row>
    <row r="356" customFormat="false" ht="15" hidden="false" customHeight="false" outlineLevel="0" collapsed="false">
      <c r="A356" s="32"/>
      <c r="B356" s="32"/>
      <c r="C356" s="32"/>
      <c r="D356" s="32"/>
      <c r="E356" s="33"/>
      <c r="F356" s="33"/>
    </row>
    <row r="357" customFormat="false" ht="15" hidden="false" customHeight="false" outlineLevel="0" collapsed="false">
      <c r="A357" s="32"/>
      <c r="B357" s="32"/>
      <c r="C357" s="32"/>
      <c r="D357" s="32"/>
      <c r="E357" s="33"/>
      <c r="F357" s="33"/>
    </row>
    <row r="358" customFormat="false" ht="15" hidden="false" customHeight="false" outlineLevel="0" collapsed="false">
      <c r="A358" s="32"/>
      <c r="B358" s="32"/>
      <c r="C358" s="32"/>
      <c r="D358" s="32"/>
      <c r="E358" s="33"/>
      <c r="F358" s="33"/>
    </row>
    <row r="359" customFormat="false" ht="15" hidden="false" customHeight="false" outlineLevel="0" collapsed="false">
      <c r="A359" s="32"/>
      <c r="B359" s="32"/>
      <c r="C359" s="32"/>
      <c r="D359" s="32"/>
      <c r="E359" s="33"/>
      <c r="F359" s="33"/>
    </row>
    <row r="360" customFormat="false" ht="15" hidden="false" customHeight="false" outlineLevel="0" collapsed="false">
      <c r="A360" s="32"/>
      <c r="B360" s="32"/>
      <c r="C360" s="32"/>
      <c r="D360" s="32"/>
      <c r="E360" s="33"/>
      <c r="F360" s="33"/>
    </row>
    <row r="361" customFormat="false" ht="15" hidden="false" customHeight="false" outlineLevel="0" collapsed="false">
      <c r="A361" s="32"/>
      <c r="B361" s="32"/>
      <c r="C361" s="32"/>
      <c r="D361" s="32"/>
      <c r="E361" s="33"/>
      <c r="F361" s="33"/>
    </row>
    <row r="362" customFormat="false" ht="15" hidden="false" customHeight="false" outlineLevel="0" collapsed="false">
      <c r="A362" s="32"/>
      <c r="B362" s="32"/>
      <c r="C362" s="32"/>
      <c r="D362" s="32"/>
      <c r="E362" s="33"/>
      <c r="F362" s="33"/>
    </row>
    <row r="363" customFormat="false" ht="15" hidden="false" customHeight="false" outlineLevel="0" collapsed="false">
      <c r="A363" s="32"/>
      <c r="B363" s="32"/>
      <c r="C363" s="32"/>
      <c r="D363" s="32"/>
      <c r="E363" s="33"/>
      <c r="F363" s="33"/>
    </row>
    <row r="364" customFormat="false" ht="15" hidden="false" customHeight="false" outlineLevel="0" collapsed="false">
      <c r="A364" s="32"/>
      <c r="B364" s="32"/>
      <c r="C364" s="32"/>
      <c r="D364" s="32"/>
      <c r="E364" s="33"/>
      <c r="F364" s="33"/>
    </row>
    <row r="365" customFormat="false" ht="15" hidden="false" customHeight="false" outlineLevel="0" collapsed="false">
      <c r="A365" s="32"/>
      <c r="B365" s="32"/>
      <c r="C365" s="32"/>
      <c r="D365" s="32"/>
      <c r="E365" s="33"/>
      <c r="F365" s="33"/>
    </row>
    <row r="366" customFormat="false" ht="15" hidden="false" customHeight="false" outlineLevel="0" collapsed="false">
      <c r="A366" s="32"/>
      <c r="B366" s="32"/>
      <c r="C366" s="32"/>
      <c r="D366" s="32"/>
      <c r="E366" s="33"/>
      <c r="F366" s="33"/>
    </row>
    <row r="367" customFormat="false" ht="15" hidden="false" customHeight="false" outlineLevel="0" collapsed="false">
      <c r="A367" s="32"/>
      <c r="B367" s="32"/>
      <c r="C367" s="32"/>
      <c r="D367" s="32"/>
      <c r="E367" s="33"/>
      <c r="F367" s="33"/>
    </row>
    <row r="368" customFormat="false" ht="15" hidden="false" customHeight="false" outlineLevel="0" collapsed="false">
      <c r="A368" s="32"/>
      <c r="B368" s="32"/>
      <c r="C368" s="32"/>
      <c r="D368" s="32"/>
      <c r="E368" s="33"/>
      <c r="F368" s="33"/>
    </row>
    <row r="369" customFormat="false" ht="15" hidden="false" customHeight="false" outlineLevel="0" collapsed="false">
      <c r="A369" s="32"/>
      <c r="B369" s="32"/>
      <c r="C369" s="32"/>
      <c r="D369" s="32"/>
      <c r="E369" s="33"/>
      <c r="F369" s="33"/>
    </row>
    <row r="370" customFormat="false" ht="15" hidden="false" customHeight="false" outlineLevel="0" collapsed="false">
      <c r="A370" s="32"/>
      <c r="B370" s="32"/>
      <c r="C370" s="32"/>
      <c r="D370" s="32"/>
      <c r="E370" s="33"/>
      <c r="F370" s="33"/>
    </row>
    <row r="371" customFormat="false" ht="15" hidden="false" customHeight="false" outlineLevel="0" collapsed="false">
      <c r="A371" s="32"/>
      <c r="B371" s="32"/>
      <c r="C371" s="32"/>
      <c r="D371" s="32"/>
      <c r="E371" s="33"/>
      <c r="F371" s="33"/>
    </row>
    <row r="372" customFormat="false" ht="15" hidden="false" customHeight="false" outlineLevel="0" collapsed="false">
      <c r="A372" s="32"/>
      <c r="B372" s="32"/>
      <c r="C372" s="32"/>
      <c r="D372" s="32"/>
      <c r="E372" s="33"/>
      <c r="F372" s="33"/>
    </row>
    <row r="373" customFormat="false" ht="15" hidden="false" customHeight="false" outlineLevel="0" collapsed="false">
      <c r="A373" s="32"/>
      <c r="B373" s="32"/>
      <c r="C373" s="32"/>
      <c r="D373" s="32"/>
      <c r="E373" s="33"/>
      <c r="F373" s="33"/>
    </row>
    <row r="374" customFormat="false" ht="15" hidden="false" customHeight="false" outlineLevel="0" collapsed="false">
      <c r="A374" s="32"/>
      <c r="B374" s="32"/>
      <c r="C374" s="32"/>
      <c r="D374" s="32"/>
      <c r="E374" s="33"/>
      <c r="F374" s="33"/>
    </row>
    <row r="375" customFormat="false" ht="15" hidden="false" customHeight="false" outlineLevel="0" collapsed="false">
      <c r="A375" s="32"/>
      <c r="B375" s="32"/>
      <c r="C375" s="32"/>
      <c r="D375" s="32"/>
      <c r="E375" s="33"/>
      <c r="F375" s="33"/>
    </row>
    <row r="376" customFormat="false" ht="15" hidden="false" customHeight="false" outlineLevel="0" collapsed="false">
      <c r="A376" s="32"/>
      <c r="B376" s="32"/>
      <c r="C376" s="32"/>
      <c r="D376" s="32"/>
      <c r="E376" s="33"/>
      <c r="F376" s="33"/>
    </row>
    <row r="377" customFormat="false" ht="15" hidden="false" customHeight="false" outlineLevel="0" collapsed="false">
      <c r="A377" s="32"/>
      <c r="B377" s="32"/>
      <c r="C377" s="32"/>
      <c r="D377" s="32"/>
      <c r="E377" s="33"/>
      <c r="F377" s="33"/>
    </row>
    <row r="378" customFormat="false" ht="15" hidden="false" customHeight="false" outlineLevel="0" collapsed="false">
      <c r="A378" s="32"/>
      <c r="B378" s="32"/>
      <c r="C378" s="32"/>
      <c r="D378" s="32"/>
      <c r="E378" s="33"/>
      <c r="F378" s="33"/>
    </row>
    <row r="379" customFormat="false" ht="15" hidden="false" customHeight="false" outlineLevel="0" collapsed="false">
      <c r="A379" s="32"/>
      <c r="B379" s="32"/>
      <c r="C379" s="32"/>
      <c r="D379" s="32"/>
      <c r="E379" s="33"/>
      <c r="F379" s="33"/>
    </row>
    <row r="380" customFormat="false" ht="15" hidden="false" customHeight="false" outlineLevel="0" collapsed="false">
      <c r="A380" s="32"/>
      <c r="B380" s="32"/>
      <c r="C380" s="32"/>
      <c r="D380" s="32"/>
      <c r="E380" s="33"/>
      <c r="F380" s="33"/>
    </row>
    <row r="381" customFormat="false" ht="15" hidden="false" customHeight="false" outlineLevel="0" collapsed="false">
      <c r="A381" s="32"/>
      <c r="B381" s="32"/>
      <c r="C381" s="32"/>
      <c r="D381" s="32"/>
      <c r="E381" s="33"/>
      <c r="F381" s="33"/>
    </row>
    <row r="382" customFormat="false" ht="15" hidden="false" customHeight="false" outlineLevel="0" collapsed="false">
      <c r="A382" s="32"/>
      <c r="B382" s="32"/>
      <c r="C382" s="32"/>
      <c r="D382" s="32"/>
      <c r="E382" s="33"/>
      <c r="F382" s="33"/>
    </row>
    <row r="383" customFormat="false" ht="15" hidden="false" customHeight="false" outlineLevel="0" collapsed="false">
      <c r="A383" s="32"/>
      <c r="B383" s="32"/>
      <c r="C383" s="32"/>
      <c r="D383" s="32"/>
      <c r="E383" s="33"/>
      <c r="F383" s="33"/>
    </row>
    <row r="384" customFormat="false" ht="15" hidden="false" customHeight="false" outlineLevel="0" collapsed="false">
      <c r="A384" s="32"/>
      <c r="B384" s="32"/>
      <c r="C384" s="32"/>
      <c r="D384" s="32"/>
      <c r="E384" s="33"/>
      <c r="F384" s="33"/>
    </row>
    <row r="385" customFormat="false" ht="15" hidden="false" customHeight="false" outlineLevel="0" collapsed="false">
      <c r="A385" s="32"/>
      <c r="B385" s="32"/>
      <c r="C385" s="32"/>
      <c r="D385" s="32"/>
      <c r="E385" s="33"/>
      <c r="F385" s="33"/>
    </row>
    <row r="386" customFormat="false" ht="15" hidden="false" customHeight="false" outlineLevel="0" collapsed="false">
      <c r="A386" s="32"/>
      <c r="B386" s="32"/>
      <c r="C386" s="32"/>
      <c r="D386" s="32"/>
      <c r="E386" s="33"/>
      <c r="F386" s="33"/>
    </row>
    <row r="387" customFormat="false" ht="15" hidden="false" customHeight="false" outlineLevel="0" collapsed="false">
      <c r="A387" s="32"/>
      <c r="B387" s="32"/>
      <c r="C387" s="32"/>
      <c r="D387" s="32"/>
      <c r="E387" s="33"/>
      <c r="F387" s="33"/>
    </row>
    <row r="388" customFormat="false" ht="15" hidden="false" customHeight="false" outlineLevel="0" collapsed="false">
      <c r="A388" s="32"/>
      <c r="B388" s="32"/>
      <c r="C388" s="32"/>
      <c r="D388" s="32"/>
      <c r="E388" s="33"/>
      <c r="F388" s="33"/>
    </row>
    <row r="389" customFormat="false" ht="15" hidden="false" customHeight="false" outlineLevel="0" collapsed="false">
      <c r="A389" s="32"/>
      <c r="B389" s="32"/>
      <c r="C389" s="32"/>
      <c r="D389" s="32"/>
      <c r="E389" s="33"/>
      <c r="F389" s="33"/>
    </row>
    <row r="390" customFormat="false" ht="15" hidden="false" customHeight="false" outlineLevel="0" collapsed="false">
      <c r="A390" s="32"/>
      <c r="B390" s="32"/>
      <c r="C390" s="32"/>
      <c r="D390" s="32"/>
      <c r="E390" s="33"/>
      <c r="F390" s="33"/>
    </row>
    <row r="391" customFormat="false" ht="15" hidden="false" customHeight="false" outlineLevel="0" collapsed="false">
      <c r="A391" s="32"/>
      <c r="B391" s="32"/>
      <c r="C391" s="32"/>
      <c r="D391" s="32"/>
      <c r="E391" s="33"/>
      <c r="F391" s="33"/>
    </row>
    <row r="392" customFormat="false" ht="15" hidden="false" customHeight="false" outlineLevel="0" collapsed="false">
      <c r="A392" s="32"/>
      <c r="B392" s="32"/>
      <c r="C392" s="32"/>
      <c r="D392" s="32"/>
      <c r="E392" s="33"/>
      <c r="F392" s="33"/>
    </row>
    <row r="393" customFormat="false" ht="15" hidden="false" customHeight="false" outlineLevel="0" collapsed="false">
      <c r="A393" s="32"/>
      <c r="B393" s="32"/>
      <c r="C393" s="32"/>
      <c r="D393" s="32"/>
      <c r="E393" s="33"/>
      <c r="F393" s="33"/>
    </row>
    <row r="394" customFormat="false" ht="15" hidden="false" customHeight="false" outlineLevel="0" collapsed="false">
      <c r="A394" s="32"/>
      <c r="B394" s="32"/>
      <c r="C394" s="32"/>
      <c r="D394" s="32"/>
      <c r="E394" s="33"/>
      <c r="F394" s="33"/>
    </row>
    <row r="395" customFormat="false" ht="15" hidden="false" customHeight="false" outlineLevel="0" collapsed="false">
      <c r="A395" s="32"/>
      <c r="B395" s="32"/>
      <c r="C395" s="32"/>
      <c r="D395" s="32"/>
      <c r="E395" s="33"/>
      <c r="F395" s="33"/>
    </row>
    <row r="396" customFormat="false" ht="15" hidden="false" customHeight="false" outlineLevel="0" collapsed="false">
      <c r="A396" s="32"/>
      <c r="B396" s="32"/>
      <c r="C396" s="32"/>
      <c r="D396" s="32"/>
      <c r="E396" s="33"/>
      <c r="F396" s="33"/>
    </row>
    <row r="397" customFormat="false" ht="15" hidden="false" customHeight="false" outlineLevel="0" collapsed="false">
      <c r="A397" s="32"/>
      <c r="B397" s="32"/>
      <c r="C397" s="32"/>
      <c r="D397" s="32"/>
      <c r="E397" s="33"/>
      <c r="F397" s="33"/>
    </row>
    <row r="398" customFormat="false" ht="15" hidden="false" customHeight="false" outlineLevel="0" collapsed="false">
      <c r="A398" s="32"/>
      <c r="B398" s="32"/>
      <c r="C398" s="32"/>
      <c r="D398" s="32"/>
      <c r="E398" s="33"/>
      <c r="F398" s="33"/>
    </row>
    <row r="399" customFormat="false" ht="15" hidden="false" customHeight="false" outlineLevel="0" collapsed="false">
      <c r="A399" s="32"/>
      <c r="B399" s="32"/>
      <c r="C399" s="32"/>
      <c r="D399" s="32"/>
      <c r="E399" s="33"/>
      <c r="F399" s="33"/>
    </row>
    <row r="400" customFormat="false" ht="15" hidden="false" customHeight="false" outlineLevel="0" collapsed="false">
      <c r="A400" s="32"/>
      <c r="B400" s="32"/>
      <c r="C400" s="32"/>
      <c r="D400" s="32"/>
      <c r="E400" s="33"/>
      <c r="F400" s="33"/>
    </row>
    <row r="401" customFormat="false" ht="15" hidden="false" customHeight="false" outlineLevel="0" collapsed="false">
      <c r="A401" s="32"/>
      <c r="B401" s="32"/>
      <c r="C401" s="32"/>
      <c r="D401" s="32"/>
      <c r="E401" s="33"/>
      <c r="F401" s="33"/>
    </row>
    <row r="402" customFormat="false" ht="15" hidden="false" customHeight="false" outlineLevel="0" collapsed="false">
      <c r="A402" s="32"/>
      <c r="B402" s="32"/>
      <c r="C402" s="32"/>
      <c r="D402" s="32"/>
      <c r="E402" s="33"/>
      <c r="F402" s="33"/>
    </row>
    <row r="403" customFormat="false" ht="15" hidden="false" customHeight="false" outlineLevel="0" collapsed="false">
      <c r="A403" s="32"/>
      <c r="B403" s="32"/>
      <c r="C403" s="32"/>
      <c r="D403" s="32"/>
      <c r="E403" s="33"/>
      <c r="F403" s="33"/>
    </row>
    <row r="404" customFormat="false" ht="15" hidden="false" customHeight="false" outlineLevel="0" collapsed="false">
      <c r="A404" s="32"/>
      <c r="B404" s="32"/>
      <c r="C404" s="32"/>
      <c r="D404" s="32"/>
      <c r="E404" s="33"/>
      <c r="F404" s="33"/>
    </row>
    <row r="405" customFormat="false" ht="15" hidden="false" customHeight="false" outlineLevel="0" collapsed="false">
      <c r="A405" s="32"/>
      <c r="B405" s="32"/>
      <c r="C405" s="32"/>
      <c r="D405" s="32"/>
      <c r="E405" s="33"/>
      <c r="F405" s="33"/>
    </row>
    <row r="406" customFormat="false" ht="15" hidden="false" customHeight="false" outlineLevel="0" collapsed="false">
      <c r="A406" s="32"/>
      <c r="B406" s="32"/>
      <c r="C406" s="32"/>
      <c r="D406" s="32"/>
      <c r="E406" s="33"/>
      <c r="F406" s="33"/>
    </row>
    <row r="407" customFormat="false" ht="15" hidden="false" customHeight="false" outlineLevel="0" collapsed="false">
      <c r="A407" s="32"/>
      <c r="B407" s="32"/>
      <c r="C407" s="32"/>
      <c r="D407" s="32"/>
      <c r="E407" s="33"/>
      <c r="F407" s="33"/>
    </row>
    <row r="408" customFormat="false" ht="15" hidden="false" customHeight="false" outlineLevel="0" collapsed="false">
      <c r="A408" s="32"/>
      <c r="B408" s="32"/>
      <c r="C408" s="32"/>
      <c r="D408" s="32"/>
      <c r="E408" s="33"/>
      <c r="F408" s="33"/>
    </row>
    <row r="409" customFormat="false" ht="15" hidden="false" customHeight="false" outlineLevel="0" collapsed="false">
      <c r="A409" s="32"/>
      <c r="B409" s="32"/>
      <c r="C409" s="32"/>
      <c r="D409" s="32"/>
      <c r="E409" s="33"/>
      <c r="F409" s="33"/>
    </row>
    <row r="410" customFormat="false" ht="15" hidden="false" customHeight="false" outlineLevel="0" collapsed="false">
      <c r="A410" s="32"/>
      <c r="B410" s="32"/>
      <c r="C410" s="32"/>
      <c r="D410" s="32"/>
      <c r="E410" s="33"/>
      <c r="F410" s="33"/>
    </row>
    <row r="411" customFormat="false" ht="15" hidden="false" customHeight="false" outlineLevel="0" collapsed="false">
      <c r="A411" s="32"/>
      <c r="B411" s="32"/>
      <c r="C411" s="32"/>
      <c r="D411" s="32"/>
      <c r="E411" s="33"/>
      <c r="F411" s="33"/>
    </row>
    <row r="412" customFormat="false" ht="15" hidden="false" customHeight="false" outlineLevel="0" collapsed="false">
      <c r="A412" s="32"/>
      <c r="B412" s="32"/>
      <c r="C412" s="32"/>
      <c r="D412" s="32"/>
      <c r="E412" s="33"/>
      <c r="F412" s="33"/>
    </row>
    <row r="413" customFormat="false" ht="15" hidden="false" customHeight="false" outlineLevel="0" collapsed="false">
      <c r="A413" s="32"/>
      <c r="B413" s="32"/>
      <c r="C413" s="32"/>
      <c r="D413" s="32"/>
      <c r="E413" s="33"/>
      <c r="F413" s="33"/>
    </row>
    <row r="414" customFormat="false" ht="15" hidden="false" customHeight="false" outlineLevel="0" collapsed="false">
      <c r="A414" s="32"/>
      <c r="B414" s="32"/>
      <c r="C414" s="32"/>
      <c r="D414" s="32"/>
      <c r="E414" s="33"/>
      <c r="F414" s="33"/>
    </row>
    <row r="415" customFormat="false" ht="15" hidden="false" customHeight="false" outlineLevel="0" collapsed="false">
      <c r="A415" s="32"/>
      <c r="B415" s="32"/>
      <c r="C415" s="32"/>
      <c r="D415" s="32"/>
      <c r="E415" s="33"/>
      <c r="F415" s="33"/>
    </row>
    <row r="416" customFormat="false" ht="15" hidden="false" customHeight="false" outlineLevel="0" collapsed="false">
      <c r="A416" s="32"/>
      <c r="B416" s="32"/>
      <c r="C416" s="32"/>
      <c r="D416" s="32"/>
      <c r="E416" s="33"/>
      <c r="F416" s="33"/>
    </row>
    <row r="417" customFormat="false" ht="15" hidden="false" customHeight="false" outlineLevel="0" collapsed="false">
      <c r="A417" s="32"/>
      <c r="B417" s="32"/>
      <c r="C417" s="32"/>
      <c r="D417" s="32"/>
      <c r="E417" s="33"/>
      <c r="F417" s="33"/>
    </row>
    <row r="418" customFormat="false" ht="15" hidden="false" customHeight="false" outlineLevel="0" collapsed="false">
      <c r="A418" s="32"/>
      <c r="B418" s="32"/>
      <c r="C418" s="32"/>
      <c r="D418" s="32"/>
      <c r="E418" s="33"/>
      <c r="F418" s="33"/>
    </row>
    <row r="419" customFormat="false" ht="15" hidden="false" customHeight="false" outlineLevel="0" collapsed="false">
      <c r="A419" s="32"/>
      <c r="B419" s="32"/>
      <c r="C419" s="32"/>
      <c r="D419" s="32"/>
      <c r="E419" s="33"/>
      <c r="F419" s="33"/>
    </row>
    <row r="420" customFormat="false" ht="15" hidden="false" customHeight="false" outlineLevel="0" collapsed="false">
      <c r="A420" s="32"/>
      <c r="B420" s="32"/>
      <c r="C420" s="32"/>
      <c r="D420" s="32"/>
      <c r="E420" s="33"/>
      <c r="F420" s="33"/>
    </row>
    <row r="421" customFormat="false" ht="15" hidden="false" customHeight="false" outlineLevel="0" collapsed="false">
      <c r="A421" s="32"/>
      <c r="B421" s="32"/>
      <c r="C421" s="32"/>
      <c r="D421" s="32"/>
      <c r="E421" s="33"/>
      <c r="F421" s="33"/>
    </row>
    <row r="422" customFormat="false" ht="15" hidden="false" customHeight="false" outlineLevel="0" collapsed="false">
      <c r="A422" s="32"/>
      <c r="B422" s="32"/>
      <c r="C422" s="32"/>
      <c r="D422" s="32"/>
      <c r="E422" s="33"/>
      <c r="F422" s="33"/>
    </row>
    <row r="423" customFormat="false" ht="15" hidden="false" customHeight="false" outlineLevel="0" collapsed="false">
      <c r="A423" s="32"/>
      <c r="B423" s="32"/>
      <c r="C423" s="32"/>
      <c r="D423" s="32"/>
      <c r="E423" s="33"/>
      <c r="F423" s="33"/>
    </row>
    <row r="424" customFormat="false" ht="15" hidden="false" customHeight="false" outlineLevel="0" collapsed="false">
      <c r="A424" s="32"/>
      <c r="B424" s="32"/>
      <c r="C424" s="32"/>
      <c r="D424" s="32"/>
      <c r="E424" s="33"/>
      <c r="F424" s="33"/>
    </row>
    <row r="425" customFormat="false" ht="15" hidden="false" customHeight="false" outlineLevel="0" collapsed="false">
      <c r="A425" s="32"/>
      <c r="B425" s="32"/>
      <c r="C425" s="32"/>
      <c r="D425" s="32"/>
      <c r="E425" s="33"/>
      <c r="F425" s="33"/>
    </row>
    <row r="426" customFormat="false" ht="15" hidden="false" customHeight="false" outlineLevel="0" collapsed="false">
      <c r="A426" s="32"/>
      <c r="B426" s="32"/>
      <c r="C426" s="32"/>
      <c r="D426" s="32"/>
      <c r="E426" s="33"/>
      <c r="F426" s="33"/>
    </row>
    <row r="427" customFormat="false" ht="15" hidden="false" customHeight="false" outlineLevel="0" collapsed="false">
      <c r="A427" s="32"/>
      <c r="B427" s="32"/>
      <c r="C427" s="32"/>
      <c r="D427" s="32"/>
      <c r="E427" s="33"/>
      <c r="F427" s="33"/>
    </row>
    <row r="428" customFormat="false" ht="15" hidden="false" customHeight="false" outlineLevel="0" collapsed="false">
      <c r="A428" s="32"/>
      <c r="B428" s="32"/>
      <c r="C428" s="32"/>
      <c r="D428" s="32"/>
      <c r="E428" s="33"/>
      <c r="F428" s="33"/>
    </row>
    <row r="429" customFormat="false" ht="15" hidden="false" customHeight="false" outlineLevel="0" collapsed="false">
      <c r="A429" s="32"/>
      <c r="B429" s="32"/>
      <c r="C429" s="32"/>
      <c r="D429" s="32"/>
      <c r="E429" s="33"/>
      <c r="F429" s="33"/>
    </row>
    <row r="430" customFormat="false" ht="15" hidden="false" customHeight="false" outlineLevel="0" collapsed="false">
      <c r="A430" s="32"/>
      <c r="B430" s="32"/>
      <c r="C430" s="32"/>
      <c r="D430" s="32"/>
      <c r="E430" s="33"/>
      <c r="F430" s="33"/>
    </row>
    <row r="431" customFormat="false" ht="15" hidden="false" customHeight="false" outlineLevel="0" collapsed="false">
      <c r="A431" s="32"/>
      <c r="B431" s="32"/>
      <c r="C431" s="32"/>
      <c r="D431" s="32"/>
      <c r="E431" s="33"/>
      <c r="F431" s="33"/>
    </row>
    <row r="432" customFormat="false" ht="15" hidden="false" customHeight="false" outlineLevel="0" collapsed="false">
      <c r="A432" s="32"/>
      <c r="B432" s="32"/>
      <c r="C432" s="32"/>
      <c r="D432" s="32"/>
      <c r="E432" s="33"/>
      <c r="F432" s="33"/>
    </row>
    <row r="433" customFormat="false" ht="15" hidden="false" customHeight="false" outlineLevel="0" collapsed="false">
      <c r="A433" s="32"/>
      <c r="B433" s="32"/>
      <c r="C433" s="32"/>
      <c r="D433" s="32"/>
      <c r="E433" s="33"/>
      <c r="F433" s="33"/>
    </row>
    <row r="434" customFormat="false" ht="15" hidden="false" customHeight="false" outlineLevel="0" collapsed="false">
      <c r="A434" s="32"/>
      <c r="B434" s="32"/>
      <c r="C434" s="32"/>
      <c r="D434" s="32"/>
      <c r="E434" s="33"/>
      <c r="F434" s="33"/>
    </row>
    <row r="435" customFormat="false" ht="15" hidden="false" customHeight="false" outlineLevel="0" collapsed="false">
      <c r="A435" s="32"/>
      <c r="B435" s="32"/>
      <c r="C435" s="32"/>
      <c r="D435" s="32"/>
      <c r="E435" s="33"/>
      <c r="F435" s="33"/>
    </row>
    <row r="436" customFormat="false" ht="15" hidden="false" customHeight="false" outlineLevel="0" collapsed="false">
      <c r="A436" s="32"/>
      <c r="B436" s="32"/>
      <c r="C436" s="32"/>
      <c r="D436" s="32"/>
      <c r="E436" s="33"/>
      <c r="F436" s="33"/>
    </row>
    <row r="437" customFormat="false" ht="15" hidden="false" customHeight="false" outlineLevel="0" collapsed="false">
      <c r="A437" s="32"/>
      <c r="B437" s="32"/>
      <c r="C437" s="32"/>
      <c r="D437" s="32"/>
      <c r="E437" s="33"/>
      <c r="F437" s="33"/>
    </row>
    <row r="438" customFormat="false" ht="15" hidden="false" customHeight="false" outlineLevel="0" collapsed="false">
      <c r="A438" s="32"/>
      <c r="B438" s="32"/>
      <c r="C438" s="32"/>
      <c r="D438" s="32"/>
      <c r="E438" s="33"/>
      <c r="F438" s="33"/>
    </row>
    <row r="439" customFormat="false" ht="15" hidden="false" customHeight="false" outlineLevel="0" collapsed="false">
      <c r="A439" s="32"/>
      <c r="B439" s="32"/>
      <c r="C439" s="32"/>
      <c r="D439" s="32"/>
      <c r="E439" s="33"/>
      <c r="F439" s="33"/>
    </row>
    <row r="440" customFormat="false" ht="15" hidden="false" customHeight="false" outlineLevel="0" collapsed="false">
      <c r="A440" s="32"/>
      <c r="B440" s="32"/>
      <c r="C440" s="32"/>
      <c r="D440" s="32"/>
      <c r="E440" s="33"/>
      <c r="F440" s="33"/>
    </row>
    <row r="441" customFormat="false" ht="15" hidden="false" customHeight="false" outlineLevel="0" collapsed="false">
      <c r="A441" s="32"/>
      <c r="B441" s="32"/>
      <c r="C441" s="32"/>
      <c r="D441" s="32"/>
      <c r="E441" s="33"/>
      <c r="F441" s="33"/>
    </row>
    <row r="442" customFormat="false" ht="15" hidden="false" customHeight="false" outlineLevel="0" collapsed="false">
      <c r="A442" s="32"/>
      <c r="B442" s="32"/>
      <c r="C442" s="32"/>
      <c r="D442" s="32"/>
      <c r="E442" s="33"/>
      <c r="F442" s="33"/>
    </row>
    <row r="443" customFormat="false" ht="15" hidden="false" customHeight="false" outlineLevel="0" collapsed="false">
      <c r="A443" s="32"/>
      <c r="B443" s="32"/>
      <c r="C443" s="32"/>
      <c r="D443" s="32"/>
      <c r="E443" s="33"/>
      <c r="F443" s="33"/>
    </row>
    <row r="444" customFormat="false" ht="15" hidden="false" customHeight="false" outlineLevel="0" collapsed="false">
      <c r="A444" s="32"/>
      <c r="B444" s="32"/>
      <c r="C444" s="32"/>
      <c r="D444" s="32"/>
      <c r="E444" s="33"/>
      <c r="F444" s="33"/>
    </row>
    <row r="445" customFormat="false" ht="15" hidden="false" customHeight="false" outlineLevel="0" collapsed="false">
      <c r="A445" s="32"/>
      <c r="B445" s="32"/>
      <c r="C445" s="32"/>
      <c r="D445" s="32"/>
      <c r="E445" s="33"/>
      <c r="F445" s="33"/>
    </row>
    <row r="446" customFormat="false" ht="15" hidden="false" customHeight="false" outlineLevel="0" collapsed="false">
      <c r="A446" s="32"/>
      <c r="B446" s="32"/>
      <c r="C446" s="32"/>
      <c r="D446" s="32"/>
      <c r="E446" s="33"/>
      <c r="F446" s="33"/>
    </row>
    <row r="447" customFormat="false" ht="15" hidden="false" customHeight="false" outlineLevel="0" collapsed="false">
      <c r="A447" s="32"/>
      <c r="B447" s="32"/>
      <c r="C447" s="32"/>
      <c r="D447" s="32"/>
      <c r="E447" s="33"/>
      <c r="F447" s="33"/>
    </row>
    <row r="448" customFormat="false" ht="15" hidden="false" customHeight="false" outlineLevel="0" collapsed="false">
      <c r="A448" s="32"/>
      <c r="B448" s="32"/>
      <c r="C448" s="32"/>
      <c r="D448" s="32"/>
      <c r="E448" s="33"/>
      <c r="F448" s="33"/>
    </row>
    <row r="449" customFormat="false" ht="15" hidden="false" customHeight="false" outlineLevel="0" collapsed="false">
      <c r="A449" s="32"/>
      <c r="B449" s="32"/>
      <c r="C449" s="32"/>
      <c r="D449" s="32"/>
      <c r="E449" s="33"/>
      <c r="F449" s="33"/>
    </row>
    <row r="450" customFormat="false" ht="15" hidden="false" customHeight="false" outlineLevel="0" collapsed="false">
      <c r="A450" s="32"/>
      <c r="B450" s="32"/>
      <c r="C450" s="32"/>
      <c r="D450" s="32"/>
      <c r="E450" s="33"/>
      <c r="F450" s="33"/>
    </row>
    <row r="451" customFormat="false" ht="15" hidden="false" customHeight="false" outlineLevel="0" collapsed="false">
      <c r="A451" s="32"/>
      <c r="B451" s="32"/>
      <c r="C451" s="32"/>
      <c r="D451" s="32"/>
      <c r="E451" s="33"/>
      <c r="F451" s="33"/>
    </row>
    <row r="452" customFormat="false" ht="15" hidden="false" customHeight="false" outlineLevel="0" collapsed="false">
      <c r="A452" s="32"/>
      <c r="B452" s="32"/>
      <c r="C452" s="32"/>
      <c r="D452" s="32"/>
      <c r="E452" s="33"/>
      <c r="F452" s="33"/>
    </row>
    <row r="453" customFormat="false" ht="15" hidden="false" customHeight="false" outlineLevel="0" collapsed="false">
      <c r="A453" s="32"/>
      <c r="B453" s="32"/>
      <c r="C453" s="32"/>
      <c r="D453" s="32"/>
      <c r="E453" s="33"/>
      <c r="F453" s="33"/>
    </row>
    <row r="454" customFormat="false" ht="15" hidden="false" customHeight="false" outlineLevel="0" collapsed="false">
      <c r="A454" s="32"/>
      <c r="B454" s="32"/>
      <c r="C454" s="32"/>
      <c r="D454" s="32"/>
      <c r="E454" s="33"/>
      <c r="F454" s="33"/>
    </row>
    <row r="455" customFormat="false" ht="15" hidden="false" customHeight="false" outlineLevel="0" collapsed="false">
      <c r="A455" s="32"/>
      <c r="B455" s="32"/>
      <c r="C455" s="32"/>
      <c r="D455" s="32"/>
      <c r="E455" s="33"/>
      <c r="F455" s="33"/>
    </row>
    <row r="456" customFormat="false" ht="15" hidden="false" customHeight="false" outlineLevel="0" collapsed="false">
      <c r="A456" s="32"/>
      <c r="B456" s="32"/>
      <c r="C456" s="32"/>
      <c r="D456" s="32"/>
      <c r="E456" s="33"/>
      <c r="F456" s="33"/>
    </row>
    <row r="457" customFormat="false" ht="15" hidden="false" customHeight="false" outlineLevel="0" collapsed="false">
      <c r="A457" s="32"/>
      <c r="B457" s="32"/>
      <c r="C457" s="32"/>
      <c r="D457" s="32"/>
      <c r="E457" s="33"/>
      <c r="F457" s="33"/>
    </row>
    <row r="458" customFormat="false" ht="15" hidden="false" customHeight="false" outlineLevel="0" collapsed="false">
      <c r="A458" s="32"/>
      <c r="B458" s="32"/>
      <c r="C458" s="32"/>
      <c r="D458" s="32"/>
      <c r="E458" s="33"/>
      <c r="F458" s="33"/>
    </row>
    <row r="459" customFormat="false" ht="15" hidden="false" customHeight="false" outlineLevel="0" collapsed="false">
      <c r="A459" s="32"/>
      <c r="B459" s="32"/>
      <c r="C459" s="32"/>
      <c r="D459" s="32"/>
      <c r="E459" s="33"/>
      <c r="F459" s="33"/>
    </row>
    <row r="460" customFormat="false" ht="15" hidden="false" customHeight="false" outlineLevel="0" collapsed="false">
      <c r="A460" s="32"/>
      <c r="B460" s="32"/>
      <c r="C460" s="32"/>
      <c r="D460" s="32"/>
      <c r="E460" s="33"/>
      <c r="F460" s="33"/>
    </row>
    <row r="461" customFormat="false" ht="15" hidden="false" customHeight="false" outlineLevel="0" collapsed="false">
      <c r="A461" s="32"/>
      <c r="B461" s="32"/>
      <c r="C461" s="32"/>
      <c r="D461" s="32"/>
      <c r="E461" s="33"/>
      <c r="F461" s="33"/>
    </row>
    <row r="462" customFormat="false" ht="15" hidden="false" customHeight="false" outlineLevel="0" collapsed="false">
      <c r="A462" s="32"/>
      <c r="B462" s="32"/>
      <c r="C462" s="32"/>
      <c r="D462" s="32"/>
      <c r="E462" s="33"/>
      <c r="F462" s="33"/>
    </row>
    <row r="463" customFormat="false" ht="15" hidden="false" customHeight="false" outlineLevel="0" collapsed="false">
      <c r="A463" s="32"/>
      <c r="B463" s="32"/>
      <c r="C463" s="32"/>
      <c r="D463" s="32"/>
      <c r="E463" s="33"/>
      <c r="F463" s="33"/>
    </row>
    <row r="464" customFormat="false" ht="15" hidden="false" customHeight="false" outlineLevel="0" collapsed="false">
      <c r="A464" s="32"/>
      <c r="B464" s="32"/>
      <c r="C464" s="32"/>
      <c r="D464" s="32"/>
      <c r="E464" s="33"/>
      <c r="F464" s="33"/>
    </row>
    <row r="465" customFormat="false" ht="15" hidden="false" customHeight="false" outlineLevel="0" collapsed="false">
      <c r="A465" s="32"/>
      <c r="B465" s="32"/>
      <c r="C465" s="32"/>
      <c r="D465" s="32"/>
      <c r="E465" s="33"/>
      <c r="F465" s="33"/>
    </row>
    <row r="466" customFormat="false" ht="15" hidden="false" customHeight="false" outlineLevel="0" collapsed="false">
      <c r="A466" s="32"/>
      <c r="B466" s="32"/>
      <c r="C466" s="32"/>
      <c r="D466" s="32"/>
      <c r="E466" s="33"/>
      <c r="F466" s="33"/>
    </row>
    <row r="467" customFormat="false" ht="15" hidden="false" customHeight="false" outlineLevel="0" collapsed="false">
      <c r="A467" s="32"/>
      <c r="B467" s="32"/>
      <c r="C467" s="32"/>
      <c r="D467" s="32"/>
      <c r="E467" s="33"/>
      <c r="F467" s="33"/>
    </row>
    <row r="468" customFormat="false" ht="15" hidden="false" customHeight="false" outlineLevel="0" collapsed="false">
      <c r="A468" s="32"/>
      <c r="B468" s="32"/>
      <c r="C468" s="32"/>
      <c r="D468" s="32"/>
      <c r="E468" s="33"/>
      <c r="F468" s="33"/>
    </row>
    <row r="469" customFormat="false" ht="15" hidden="false" customHeight="false" outlineLevel="0" collapsed="false">
      <c r="A469" s="32"/>
      <c r="B469" s="32"/>
      <c r="C469" s="32"/>
      <c r="D469" s="32"/>
      <c r="E469" s="33"/>
      <c r="F469" s="33"/>
    </row>
    <row r="470" customFormat="false" ht="15" hidden="false" customHeight="false" outlineLevel="0" collapsed="false">
      <c r="A470" s="32"/>
      <c r="B470" s="32"/>
      <c r="C470" s="32"/>
      <c r="D470" s="32"/>
      <c r="E470" s="33"/>
      <c r="F470" s="33"/>
    </row>
    <row r="471" customFormat="false" ht="15" hidden="false" customHeight="false" outlineLevel="0" collapsed="false">
      <c r="A471" s="32"/>
      <c r="B471" s="32"/>
      <c r="C471" s="32"/>
      <c r="D471" s="32"/>
      <c r="E471" s="33"/>
      <c r="F471" s="33"/>
    </row>
    <row r="472" customFormat="false" ht="15" hidden="false" customHeight="false" outlineLevel="0" collapsed="false">
      <c r="A472" s="32"/>
      <c r="B472" s="32"/>
      <c r="C472" s="32"/>
      <c r="D472" s="32"/>
      <c r="E472" s="33"/>
      <c r="F472" s="33"/>
    </row>
    <row r="473" customFormat="false" ht="15" hidden="false" customHeight="false" outlineLevel="0" collapsed="false">
      <c r="A473" s="32"/>
      <c r="B473" s="32"/>
      <c r="C473" s="32"/>
      <c r="D473" s="32"/>
      <c r="E473" s="33"/>
      <c r="F473" s="33"/>
    </row>
    <row r="474" customFormat="false" ht="15" hidden="false" customHeight="false" outlineLevel="0" collapsed="false">
      <c r="A474" s="32"/>
      <c r="B474" s="32"/>
      <c r="C474" s="32"/>
      <c r="D474" s="32"/>
      <c r="E474" s="33"/>
      <c r="F474" s="33"/>
    </row>
    <row r="475" customFormat="false" ht="15" hidden="false" customHeight="false" outlineLevel="0" collapsed="false">
      <c r="A475" s="32"/>
      <c r="B475" s="32"/>
      <c r="C475" s="32"/>
      <c r="D475" s="32"/>
      <c r="E475" s="33"/>
      <c r="F475" s="33"/>
    </row>
    <row r="476" customFormat="false" ht="15" hidden="false" customHeight="false" outlineLevel="0" collapsed="false">
      <c r="A476" s="32"/>
      <c r="B476" s="32"/>
      <c r="C476" s="32"/>
      <c r="D476" s="32"/>
      <c r="E476" s="33"/>
      <c r="F476" s="33"/>
    </row>
    <row r="477" customFormat="false" ht="15" hidden="false" customHeight="false" outlineLevel="0" collapsed="false">
      <c r="A477" s="32"/>
      <c r="B477" s="32"/>
      <c r="C477" s="32"/>
      <c r="D477" s="32"/>
      <c r="E477" s="33"/>
      <c r="F477" s="33"/>
    </row>
    <row r="478" customFormat="false" ht="15" hidden="false" customHeight="false" outlineLevel="0" collapsed="false">
      <c r="A478" s="32"/>
      <c r="B478" s="32"/>
      <c r="C478" s="32"/>
      <c r="D478" s="32"/>
      <c r="E478" s="33"/>
      <c r="F478" s="33"/>
    </row>
    <row r="479" customFormat="false" ht="15" hidden="false" customHeight="false" outlineLevel="0" collapsed="false">
      <c r="A479" s="32"/>
      <c r="B479" s="32"/>
      <c r="C479" s="32"/>
      <c r="D479" s="32"/>
      <c r="E479" s="33"/>
      <c r="F479" s="33"/>
    </row>
    <row r="480" customFormat="false" ht="15" hidden="false" customHeight="false" outlineLevel="0" collapsed="false">
      <c r="A480" s="32"/>
      <c r="B480" s="32"/>
      <c r="C480" s="32"/>
      <c r="D480" s="32"/>
      <c r="E480" s="33"/>
      <c r="F480" s="33"/>
    </row>
    <row r="481" customFormat="false" ht="15" hidden="false" customHeight="false" outlineLevel="0" collapsed="false">
      <c r="A481" s="32"/>
      <c r="B481" s="32"/>
      <c r="C481" s="32"/>
      <c r="D481" s="32"/>
      <c r="E481" s="33"/>
      <c r="F481" s="33"/>
    </row>
    <row r="482" customFormat="false" ht="15" hidden="false" customHeight="false" outlineLevel="0" collapsed="false">
      <c r="A482" s="32"/>
      <c r="B482" s="32"/>
      <c r="C482" s="32"/>
      <c r="D482" s="32"/>
      <c r="E482" s="33"/>
      <c r="F482" s="33"/>
    </row>
    <row r="483" customFormat="false" ht="15" hidden="false" customHeight="false" outlineLevel="0" collapsed="false">
      <c r="A483" s="32"/>
      <c r="B483" s="32"/>
      <c r="C483" s="32"/>
      <c r="D483" s="32"/>
      <c r="E483" s="33"/>
      <c r="F483" s="33"/>
    </row>
    <row r="484" customFormat="false" ht="15" hidden="false" customHeight="false" outlineLevel="0" collapsed="false">
      <c r="A484" s="32"/>
      <c r="B484" s="32"/>
      <c r="C484" s="32"/>
      <c r="D484" s="32"/>
      <c r="E484" s="33"/>
      <c r="F484" s="33"/>
    </row>
    <row r="485" customFormat="false" ht="15" hidden="false" customHeight="false" outlineLevel="0" collapsed="false">
      <c r="A485" s="32"/>
      <c r="B485" s="32"/>
      <c r="C485" s="32"/>
      <c r="D485" s="32"/>
      <c r="E485" s="33"/>
      <c r="F485" s="33"/>
    </row>
    <row r="486" customFormat="false" ht="15" hidden="false" customHeight="false" outlineLevel="0" collapsed="false">
      <c r="A486" s="32"/>
      <c r="B486" s="32"/>
      <c r="C486" s="32"/>
      <c r="D486" s="32"/>
      <c r="E486" s="33"/>
      <c r="F486" s="33"/>
    </row>
    <row r="487" customFormat="false" ht="15" hidden="false" customHeight="false" outlineLevel="0" collapsed="false">
      <c r="A487" s="32"/>
      <c r="B487" s="32"/>
      <c r="C487" s="32"/>
      <c r="D487" s="32"/>
      <c r="E487" s="33"/>
      <c r="F487" s="33"/>
    </row>
    <row r="488" customFormat="false" ht="15" hidden="false" customHeight="false" outlineLevel="0" collapsed="false">
      <c r="A488" s="32"/>
      <c r="B488" s="32"/>
      <c r="C488" s="32"/>
      <c r="D488" s="32"/>
      <c r="E488" s="33"/>
      <c r="F488" s="33"/>
    </row>
    <row r="489" customFormat="false" ht="15" hidden="false" customHeight="false" outlineLevel="0" collapsed="false">
      <c r="A489" s="32"/>
      <c r="B489" s="32"/>
      <c r="C489" s="32"/>
      <c r="D489" s="32"/>
      <c r="E489" s="33"/>
      <c r="F489" s="33"/>
    </row>
    <row r="490" customFormat="false" ht="15" hidden="false" customHeight="false" outlineLevel="0" collapsed="false">
      <c r="A490" s="32"/>
      <c r="B490" s="32"/>
      <c r="C490" s="32"/>
      <c r="D490" s="32"/>
      <c r="E490" s="33"/>
      <c r="F490" s="33"/>
    </row>
    <row r="491" customFormat="false" ht="15" hidden="false" customHeight="false" outlineLevel="0" collapsed="false">
      <c r="A491" s="32"/>
      <c r="B491" s="32"/>
      <c r="C491" s="32"/>
      <c r="D491" s="32"/>
      <c r="E491" s="33"/>
      <c r="F491" s="33"/>
    </row>
    <row r="492" customFormat="false" ht="15" hidden="false" customHeight="false" outlineLevel="0" collapsed="false">
      <c r="A492" s="32"/>
      <c r="B492" s="32"/>
      <c r="C492" s="32"/>
      <c r="D492" s="32"/>
      <c r="E492" s="33"/>
      <c r="F492" s="33"/>
    </row>
    <row r="493" customFormat="false" ht="15" hidden="false" customHeight="false" outlineLevel="0" collapsed="false">
      <c r="A493" s="32"/>
      <c r="B493" s="32"/>
      <c r="C493" s="32"/>
      <c r="D493" s="32"/>
      <c r="E493" s="33"/>
      <c r="F493" s="33"/>
    </row>
    <row r="494" customFormat="false" ht="15" hidden="false" customHeight="false" outlineLevel="0" collapsed="false">
      <c r="A494" s="32"/>
      <c r="B494" s="32"/>
      <c r="C494" s="32"/>
      <c r="D494" s="32"/>
      <c r="E494" s="33"/>
      <c r="F494" s="33"/>
    </row>
    <row r="495" customFormat="false" ht="15" hidden="false" customHeight="false" outlineLevel="0" collapsed="false">
      <c r="A495" s="32"/>
      <c r="B495" s="32"/>
      <c r="C495" s="32"/>
      <c r="D495" s="32"/>
      <c r="E495" s="33"/>
      <c r="F495" s="33"/>
    </row>
    <row r="496" customFormat="false" ht="15" hidden="false" customHeight="false" outlineLevel="0" collapsed="false">
      <c r="A496" s="32"/>
      <c r="B496" s="32"/>
      <c r="C496" s="32"/>
      <c r="D496" s="32"/>
      <c r="E496" s="33"/>
      <c r="F496" s="33"/>
    </row>
    <row r="497" customFormat="false" ht="15" hidden="false" customHeight="false" outlineLevel="0" collapsed="false">
      <c r="A497" s="32"/>
      <c r="B497" s="32"/>
      <c r="C497" s="32"/>
      <c r="D497" s="32"/>
      <c r="E497" s="33"/>
      <c r="F497" s="33"/>
    </row>
    <row r="498" customFormat="false" ht="15" hidden="false" customHeight="false" outlineLevel="0" collapsed="false">
      <c r="A498" s="32"/>
      <c r="B498" s="32"/>
      <c r="C498" s="32"/>
      <c r="D498" s="32"/>
      <c r="E498" s="33"/>
      <c r="F498" s="33"/>
    </row>
    <row r="499" customFormat="false" ht="15" hidden="false" customHeight="false" outlineLevel="0" collapsed="false">
      <c r="A499" s="32"/>
      <c r="B499" s="32"/>
      <c r="C499" s="32"/>
      <c r="D499" s="32"/>
      <c r="E499" s="33"/>
      <c r="F499" s="33"/>
    </row>
    <row r="500" customFormat="false" ht="15" hidden="false" customHeight="false" outlineLevel="0" collapsed="false">
      <c r="A500" s="32"/>
      <c r="B500" s="32"/>
      <c r="C500" s="32"/>
      <c r="D500" s="32"/>
      <c r="E500" s="33"/>
      <c r="F500" s="33"/>
    </row>
    <row r="501" customFormat="false" ht="15" hidden="false" customHeight="false" outlineLevel="0" collapsed="false">
      <c r="A501" s="32"/>
      <c r="B501" s="32"/>
      <c r="C501" s="32"/>
      <c r="D501" s="32"/>
      <c r="E501" s="33"/>
      <c r="F501" s="33"/>
    </row>
  </sheetData>
  <autoFilter ref="A1:F501"/>
  <dataValidations count="2"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lst_LessonType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3" min="13" style="0" width="22"/>
  </cols>
  <sheetData>
    <row r="1" customFormat="false" ht="33.75" hidden="false" customHeight="true" outlineLevel="0" collapsed="false">
      <c r="A1" s="17" t="s">
        <v>110</v>
      </c>
      <c r="B1" s="17" t="s">
        <v>194</v>
      </c>
      <c r="C1" s="17" t="s">
        <v>232</v>
      </c>
      <c r="D1" s="17" t="s">
        <v>354</v>
      </c>
      <c r="E1" s="17" t="s">
        <v>295</v>
      </c>
      <c r="F1" s="17" t="s">
        <v>296</v>
      </c>
      <c r="G1" s="17" t="s">
        <v>214</v>
      </c>
      <c r="H1" s="17" t="s">
        <v>355</v>
      </c>
      <c r="I1" s="17" t="s">
        <v>111</v>
      </c>
      <c r="J1" s="17" t="s">
        <v>255</v>
      </c>
      <c r="K1" s="17" t="s">
        <v>356</v>
      </c>
      <c r="L1" s="17" t="s">
        <v>357</v>
      </c>
      <c r="M1" s="17" t="s">
        <v>235</v>
      </c>
    </row>
    <row r="2" customFormat="false" ht="15" hidden="false" customHeight="false" outlineLevel="0" collapsed="false">
      <c r="A2" s="32"/>
      <c r="B2" s="32"/>
      <c r="C2" s="32"/>
      <c r="D2" s="32"/>
      <c r="E2" s="32"/>
      <c r="F2" s="32"/>
      <c r="G2" s="33"/>
      <c r="H2" s="35"/>
      <c r="I2" s="32"/>
      <c r="J2" s="32"/>
      <c r="K2" s="33"/>
      <c r="L2" s="35"/>
      <c r="M2" s="33"/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3"/>
      <c r="H3" s="35"/>
      <c r="I3" s="32"/>
      <c r="J3" s="32"/>
      <c r="K3" s="33"/>
      <c r="L3" s="35"/>
      <c r="M3" s="33"/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3"/>
      <c r="H4" s="35"/>
      <c r="I4" s="32"/>
      <c r="J4" s="32"/>
      <c r="K4" s="33"/>
      <c r="L4" s="35"/>
      <c r="M4" s="33"/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3"/>
      <c r="H5" s="35"/>
      <c r="I5" s="32"/>
      <c r="J5" s="32"/>
      <c r="K5" s="33"/>
      <c r="L5" s="35"/>
      <c r="M5" s="33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3"/>
      <c r="H6" s="35"/>
      <c r="I6" s="32"/>
      <c r="J6" s="32"/>
      <c r="K6" s="33"/>
      <c r="L6" s="35"/>
      <c r="M6" s="33"/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3"/>
      <c r="H7" s="35"/>
      <c r="I7" s="32"/>
      <c r="J7" s="32"/>
      <c r="K7" s="33"/>
      <c r="L7" s="35"/>
      <c r="M7" s="33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3"/>
      <c r="H8" s="35"/>
      <c r="I8" s="32"/>
      <c r="J8" s="32"/>
      <c r="K8" s="33"/>
      <c r="L8" s="35"/>
      <c r="M8" s="33"/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3"/>
      <c r="H9" s="35"/>
      <c r="I9" s="32"/>
      <c r="J9" s="32"/>
      <c r="K9" s="33"/>
      <c r="L9" s="35"/>
      <c r="M9" s="33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3"/>
      <c r="H10" s="35"/>
      <c r="I10" s="32"/>
      <c r="J10" s="32"/>
      <c r="K10" s="33"/>
      <c r="L10" s="35"/>
      <c r="M10" s="33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3"/>
      <c r="H11" s="35"/>
      <c r="I11" s="32"/>
      <c r="J11" s="32"/>
      <c r="K11" s="33"/>
      <c r="L11" s="35"/>
      <c r="M11" s="33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3"/>
      <c r="H12" s="35"/>
      <c r="I12" s="32"/>
      <c r="J12" s="32"/>
      <c r="K12" s="33"/>
      <c r="L12" s="35"/>
      <c r="M12" s="33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3"/>
      <c r="H13" s="35"/>
      <c r="I13" s="32"/>
      <c r="J13" s="32"/>
      <c r="K13" s="33"/>
      <c r="L13" s="35"/>
      <c r="M13" s="33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3"/>
      <c r="H14" s="35"/>
      <c r="I14" s="32"/>
      <c r="J14" s="32"/>
      <c r="K14" s="33"/>
      <c r="L14" s="35"/>
      <c r="M14" s="33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3"/>
      <c r="H15" s="35"/>
      <c r="I15" s="32"/>
      <c r="J15" s="32"/>
      <c r="K15" s="33"/>
      <c r="L15" s="35"/>
      <c r="M15" s="33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3"/>
      <c r="H16" s="35"/>
      <c r="I16" s="32"/>
      <c r="J16" s="32"/>
      <c r="K16" s="33"/>
      <c r="L16" s="35"/>
      <c r="M16" s="33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3"/>
      <c r="H17" s="35"/>
      <c r="I17" s="32"/>
      <c r="J17" s="32"/>
      <c r="K17" s="33"/>
      <c r="L17" s="35"/>
      <c r="M17" s="33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3"/>
      <c r="H18" s="35"/>
      <c r="I18" s="32"/>
      <c r="J18" s="32"/>
      <c r="K18" s="33"/>
      <c r="L18" s="35"/>
      <c r="M18" s="33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3"/>
      <c r="H19" s="35"/>
      <c r="I19" s="32"/>
      <c r="J19" s="32"/>
      <c r="K19" s="33"/>
      <c r="L19" s="35"/>
      <c r="M19" s="33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3"/>
      <c r="H20" s="35"/>
      <c r="I20" s="32"/>
      <c r="J20" s="32"/>
      <c r="K20" s="33"/>
      <c r="L20" s="35"/>
      <c r="M20" s="33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3"/>
      <c r="H21" s="35"/>
      <c r="I21" s="32"/>
      <c r="J21" s="32"/>
      <c r="K21" s="33"/>
      <c r="L21" s="35"/>
      <c r="M21" s="33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3"/>
      <c r="H22" s="35"/>
      <c r="I22" s="32"/>
      <c r="J22" s="32"/>
      <c r="K22" s="33"/>
      <c r="L22" s="35"/>
      <c r="M22" s="33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3"/>
      <c r="H23" s="35"/>
      <c r="I23" s="32"/>
      <c r="J23" s="32"/>
      <c r="K23" s="33"/>
      <c r="L23" s="35"/>
      <c r="M23" s="33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3"/>
      <c r="H24" s="35"/>
      <c r="I24" s="32"/>
      <c r="J24" s="32"/>
      <c r="K24" s="33"/>
      <c r="L24" s="35"/>
      <c r="M24" s="33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3"/>
      <c r="H25" s="35"/>
      <c r="I25" s="32"/>
      <c r="J25" s="32"/>
      <c r="K25" s="33"/>
      <c r="L25" s="35"/>
      <c r="M25" s="33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3"/>
      <c r="H26" s="35"/>
      <c r="I26" s="32"/>
      <c r="J26" s="32"/>
      <c r="K26" s="33"/>
      <c r="L26" s="35"/>
      <c r="M26" s="33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3"/>
      <c r="H27" s="35"/>
      <c r="I27" s="32"/>
      <c r="J27" s="32"/>
      <c r="K27" s="33"/>
      <c r="L27" s="35"/>
      <c r="M27" s="33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3"/>
      <c r="H28" s="35"/>
      <c r="I28" s="32"/>
      <c r="J28" s="32"/>
      <c r="K28" s="33"/>
      <c r="L28" s="35"/>
      <c r="M28" s="33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3"/>
      <c r="H29" s="35"/>
      <c r="I29" s="32"/>
      <c r="J29" s="32"/>
      <c r="K29" s="33"/>
      <c r="L29" s="35"/>
      <c r="M29" s="33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3"/>
      <c r="H30" s="35"/>
      <c r="I30" s="32"/>
      <c r="J30" s="32"/>
      <c r="K30" s="33"/>
      <c r="L30" s="35"/>
      <c r="M30" s="33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3"/>
      <c r="H31" s="35"/>
      <c r="I31" s="32"/>
      <c r="J31" s="32"/>
      <c r="K31" s="33"/>
      <c r="L31" s="35"/>
      <c r="M31" s="33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3"/>
      <c r="H32" s="35"/>
      <c r="I32" s="32"/>
      <c r="J32" s="32"/>
      <c r="K32" s="33"/>
      <c r="L32" s="35"/>
      <c r="M32" s="33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3"/>
      <c r="H33" s="35"/>
      <c r="I33" s="32"/>
      <c r="J33" s="32"/>
      <c r="K33" s="33"/>
      <c r="L33" s="35"/>
      <c r="M33" s="33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3"/>
      <c r="H34" s="35"/>
      <c r="I34" s="32"/>
      <c r="J34" s="32"/>
      <c r="K34" s="33"/>
      <c r="L34" s="35"/>
      <c r="M34" s="33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3"/>
      <c r="H35" s="35"/>
      <c r="I35" s="32"/>
      <c r="J35" s="32"/>
      <c r="K35" s="33"/>
      <c r="L35" s="35"/>
      <c r="M35" s="33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3"/>
      <c r="H36" s="35"/>
      <c r="I36" s="32"/>
      <c r="J36" s="32"/>
      <c r="K36" s="33"/>
      <c r="L36" s="35"/>
      <c r="M36" s="33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3"/>
      <c r="H37" s="35"/>
      <c r="I37" s="32"/>
      <c r="J37" s="32"/>
      <c r="K37" s="33"/>
      <c r="L37" s="35"/>
      <c r="M37" s="33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3"/>
      <c r="H38" s="35"/>
      <c r="I38" s="32"/>
      <c r="J38" s="32"/>
      <c r="K38" s="33"/>
      <c r="L38" s="35"/>
      <c r="M38" s="33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3"/>
      <c r="H39" s="35"/>
      <c r="I39" s="32"/>
      <c r="J39" s="32"/>
      <c r="K39" s="33"/>
      <c r="L39" s="35"/>
      <c r="M39" s="33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3"/>
      <c r="H40" s="35"/>
      <c r="I40" s="32"/>
      <c r="J40" s="32"/>
      <c r="K40" s="33"/>
      <c r="L40" s="35"/>
      <c r="M40" s="33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3"/>
      <c r="H41" s="35"/>
      <c r="I41" s="32"/>
      <c r="J41" s="32"/>
      <c r="K41" s="33"/>
      <c r="L41" s="35"/>
      <c r="M41" s="33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3"/>
      <c r="H42" s="35"/>
      <c r="I42" s="32"/>
      <c r="J42" s="32"/>
      <c r="K42" s="33"/>
      <c r="L42" s="35"/>
      <c r="M42" s="33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3"/>
      <c r="H43" s="35"/>
      <c r="I43" s="32"/>
      <c r="J43" s="32"/>
      <c r="K43" s="33"/>
      <c r="L43" s="35"/>
      <c r="M43" s="33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3"/>
      <c r="H44" s="35"/>
      <c r="I44" s="32"/>
      <c r="J44" s="32"/>
      <c r="K44" s="33"/>
      <c r="L44" s="35"/>
      <c r="M44" s="33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3"/>
      <c r="H45" s="35"/>
      <c r="I45" s="32"/>
      <c r="J45" s="32"/>
      <c r="K45" s="33"/>
      <c r="L45" s="35"/>
      <c r="M45" s="33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3"/>
      <c r="H46" s="35"/>
      <c r="I46" s="32"/>
      <c r="J46" s="32"/>
      <c r="K46" s="33"/>
      <c r="L46" s="35"/>
      <c r="M46" s="33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3"/>
      <c r="H47" s="35"/>
      <c r="I47" s="32"/>
      <c r="J47" s="32"/>
      <c r="K47" s="33"/>
      <c r="L47" s="35"/>
      <c r="M47" s="33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3"/>
      <c r="H48" s="35"/>
      <c r="I48" s="32"/>
      <c r="J48" s="32"/>
      <c r="K48" s="33"/>
      <c r="L48" s="35"/>
      <c r="M48" s="33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3"/>
      <c r="H49" s="35"/>
      <c r="I49" s="32"/>
      <c r="J49" s="32"/>
      <c r="K49" s="33"/>
      <c r="L49" s="35"/>
      <c r="M49" s="33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3"/>
      <c r="H50" s="35"/>
      <c r="I50" s="32"/>
      <c r="J50" s="32"/>
      <c r="K50" s="33"/>
      <c r="L50" s="35"/>
      <c r="M50" s="33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3"/>
      <c r="H51" s="35"/>
      <c r="I51" s="32"/>
      <c r="J51" s="32"/>
      <c r="K51" s="33"/>
      <c r="L51" s="35"/>
      <c r="M51" s="33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3"/>
      <c r="H52" s="35"/>
      <c r="I52" s="32"/>
      <c r="J52" s="32"/>
      <c r="K52" s="33"/>
      <c r="L52" s="35"/>
      <c r="M52" s="33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3"/>
      <c r="H53" s="35"/>
      <c r="I53" s="32"/>
      <c r="J53" s="32"/>
      <c r="K53" s="33"/>
      <c r="L53" s="35"/>
      <c r="M53" s="33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3"/>
      <c r="H54" s="35"/>
      <c r="I54" s="32"/>
      <c r="J54" s="32"/>
      <c r="K54" s="33"/>
      <c r="L54" s="35"/>
      <c r="M54" s="33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3"/>
      <c r="H55" s="35"/>
      <c r="I55" s="32"/>
      <c r="J55" s="32"/>
      <c r="K55" s="33"/>
      <c r="L55" s="35"/>
      <c r="M55" s="33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3"/>
      <c r="H56" s="35"/>
      <c r="I56" s="32"/>
      <c r="J56" s="32"/>
      <c r="K56" s="33"/>
      <c r="L56" s="35"/>
      <c r="M56" s="33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3"/>
      <c r="H57" s="35"/>
      <c r="I57" s="32"/>
      <c r="J57" s="32"/>
      <c r="K57" s="33"/>
      <c r="L57" s="35"/>
      <c r="M57" s="33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3"/>
      <c r="H58" s="35"/>
      <c r="I58" s="32"/>
      <c r="J58" s="32"/>
      <c r="K58" s="33"/>
      <c r="L58" s="35"/>
      <c r="M58" s="33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3"/>
      <c r="H59" s="35"/>
      <c r="I59" s="32"/>
      <c r="J59" s="32"/>
      <c r="K59" s="33"/>
      <c r="L59" s="35"/>
      <c r="M59" s="33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3"/>
      <c r="H60" s="35"/>
      <c r="I60" s="32"/>
      <c r="J60" s="32"/>
      <c r="K60" s="33"/>
      <c r="L60" s="35"/>
      <c r="M60" s="33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3"/>
      <c r="H61" s="35"/>
      <c r="I61" s="32"/>
      <c r="J61" s="32"/>
      <c r="K61" s="33"/>
      <c r="L61" s="35"/>
      <c r="M61" s="33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3"/>
      <c r="H62" s="35"/>
      <c r="I62" s="32"/>
      <c r="J62" s="32"/>
      <c r="K62" s="33"/>
      <c r="L62" s="35"/>
      <c r="M62" s="33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3"/>
      <c r="H63" s="35"/>
      <c r="I63" s="32"/>
      <c r="J63" s="32"/>
      <c r="K63" s="33"/>
      <c r="L63" s="35"/>
      <c r="M63" s="33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3"/>
      <c r="H64" s="35"/>
      <c r="I64" s="32"/>
      <c r="J64" s="32"/>
      <c r="K64" s="33"/>
      <c r="L64" s="35"/>
      <c r="M64" s="33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3"/>
      <c r="H65" s="35"/>
      <c r="I65" s="32"/>
      <c r="J65" s="32"/>
      <c r="K65" s="33"/>
      <c r="L65" s="35"/>
      <c r="M65" s="33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3"/>
      <c r="H66" s="35"/>
      <c r="I66" s="32"/>
      <c r="J66" s="32"/>
      <c r="K66" s="33"/>
      <c r="L66" s="35"/>
      <c r="M66" s="33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3"/>
      <c r="H67" s="35"/>
      <c r="I67" s="32"/>
      <c r="J67" s="32"/>
      <c r="K67" s="33"/>
      <c r="L67" s="35"/>
      <c r="M67" s="33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3"/>
      <c r="H68" s="35"/>
      <c r="I68" s="32"/>
      <c r="J68" s="32"/>
      <c r="K68" s="33"/>
      <c r="L68" s="35"/>
      <c r="M68" s="33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3"/>
      <c r="H69" s="35"/>
      <c r="I69" s="32"/>
      <c r="J69" s="32"/>
      <c r="K69" s="33"/>
      <c r="L69" s="35"/>
      <c r="M69" s="33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3"/>
      <c r="H70" s="35"/>
      <c r="I70" s="32"/>
      <c r="J70" s="32"/>
      <c r="K70" s="33"/>
      <c r="L70" s="35"/>
      <c r="M70" s="33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3"/>
      <c r="H71" s="35"/>
      <c r="I71" s="32"/>
      <c r="J71" s="32"/>
      <c r="K71" s="33"/>
      <c r="L71" s="35"/>
      <c r="M71" s="33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3"/>
      <c r="H72" s="35"/>
      <c r="I72" s="32"/>
      <c r="J72" s="32"/>
      <c r="K72" s="33"/>
      <c r="L72" s="35"/>
      <c r="M72" s="33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3"/>
      <c r="H73" s="35"/>
      <c r="I73" s="32"/>
      <c r="J73" s="32"/>
      <c r="K73" s="33"/>
      <c r="L73" s="35"/>
      <c r="M73" s="33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3"/>
      <c r="H74" s="35"/>
      <c r="I74" s="32"/>
      <c r="J74" s="32"/>
      <c r="K74" s="33"/>
      <c r="L74" s="35"/>
      <c r="M74" s="33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3"/>
      <c r="H75" s="35"/>
      <c r="I75" s="32"/>
      <c r="J75" s="32"/>
      <c r="K75" s="33"/>
      <c r="L75" s="35"/>
      <c r="M75" s="33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3"/>
      <c r="H76" s="35"/>
      <c r="I76" s="32"/>
      <c r="J76" s="32"/>
      <c r="K76" s="33"/>
      <c r="L76" s="35"/>
      <c r="M76" s="33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3"/>
      <c r="H77" s="35"/>
      <c r="I77" s="32"/>
      <c r="J77" s="32"/>
      <c r="K77" s="33"/>
      <c r="L77" s="35"/>
      <c r="M77" s="33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3"/>
      <c r="H78" s="35"/>
      <c r="I78" s="32"/>
      <c r="J78" s="32"/>
      <c r="K78" s="33"/>
      <c r="L78" s="35"/>
      <c r="M78" s="33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3"/>
      <c r="H79" s="35"/>
      <c r="I79" s="32"/>
      <c r="J79" s="32"/>
      <c r="K79" s="33"/>
      <c r="L79" s="35"/>
      <c r="M79" s="33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3"/>
      <c r="H80" s="35"/>
      <c r="I80" s="32"/>
      <c r="J80" s="32"/>
      <c r="K80" s="33"/>
      <c r="L80" s="35"/>
      <c r="M80" s="33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3"/>
      <c r="H81" s="35"/>
      <c r="I81" s="32"/>
      <c r="J81" s="32"/>
      <c r="K81" s="33"/>
      <c r="L81" s="35"/>
      <c r="M81" s="33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3"/>
      <c r="H82" s="35"/>
      <c r="I82" s="32"/>
      <c r="J82" s="32"/>
      <c r="K82" s="33"/>
      <c r="L82" s="35"/>
      <c r="M82" s="33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3"/>
      <c r="H83" s="35"/>
      <c r="I83" s="32"/>
      <c r="J83" s="32"/>
      <c r="K83" s="33"/>
      <c r="L83" s="35"/>
      <c r="M83" s="33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3"/>
      <c r="H84" s="35"/>
      <c r="I84" s="32"/>
      <c r="J84" s="32"/>
      <c r="K84" s="33"/>
      <c r="L84" s="35"/>
      <c r="M84" s="33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3"/>
      <c r="H85" s="35"/>
      <c r="I85" s="32"/>
      <c r="J85" s="32"/>
      <c r="K85" s="33"/>
      <c r="L85" s="35"/>
      <c r="M85" s="33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3"/>
      <c r="H86" s="35"/>
      <c r="I86" s="32"/>
      <c r="J86" s="32"/>
      <c r="K86" s="33"/>
      <c r="L86" s="35"/>
      <c r="M86" s="33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3"/>
      <c r="H87" s="35"/>
      <c r="I87" s="32"/>
      <c r="J87" s="32"/>
      <c r="K87" s="33"/>
      <c r="L87" s="35"/>
      <c r="M87" s="33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3"/>
      <c r="H88" s="35"/>
      <c r="I88" s="32"/>
      <c r="J88" s="32"/>
      <c r="K88" s="33"/>
      <c r="L88" s="35"/>
      <c r="M88" s="33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3"/>
      <c r="H89" s="35"/>
      <c r="I89" s="32"/>
      <c r="J89" s="32"/>
      <c r="K89" s="33"/>
      <c r="L89" s="35"/>
      <c r="M89" s="33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3"/>
      <c r="H90" s="35"/>
      <c r="I90" s="32"/>
      <c r="J90" s="32"/>
      <c r="K90" s="33"/>
      <c r="L90" s="35"/>
      <c r="M90" s="33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3"/>
      <c r="H91" s="35"/>
      <c r="I91" s="32"/>
      <c r="J91" s="32"/>
      <c r="K91" s="33"/>
      <c r="L91" s="35"/>
      <c r="M91" s="33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3"/>
      <c r="H92" s="35"/>
      <c r="I92" s="32"/>
      <c r="J92" s="32"/>
      <c r="K92" s="33"/>
      <c r="L92" s="35"/>
      <c r="M92" s="33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3"/>
      <c r="H93" s="35"/>
      <c r="I93" s="32"/>
      <c r="J93" s="32"/>
      <c r="K93" s="33"/>
      <c r="L93" s="35"/>
      <c r="M93" s="33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3"/>
      <c r="H94" s="35"/>
      <c r="I94" s="32"/>
      <c r="J94" s="32"/>
      <c r="K94" s="33"/>
      <c r="L94" s="35"/>
      <c r="M94" s="33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3"/>
      <c r="H95" s="35"/>
      <c r="I95" s="32"/>
      <c r="J95" s="32"/>
      <c r="K95" s="33"/>
      <c r="L95" s="35"/>
      <c r="M95" s="33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3"/>
      <c r="H96" s="35"/>
      <c r="I96" s="32"/>
      <c r="J96" s="32"/>
      <c r="K96" s="33"/>
      <c r="L96" s="35"/>
      <c r="M96" s="33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3"/>
      <c r="H97" s="35"/>
      <c r="I97" s="32"/>
      <c r="J97" s="32"/>
      <c r="K97" s="33"/>
      <c r="L97" s="35"/>
      <c r="M97" s="33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3"/>
      <c r="H98" s="35"/>
      <c r="I98" s="32"/>
      <c r="J98" s="32"/>
      <c r="K98" s="33"/>
      <c r="L98" s="35"/>
      <c r="M98" s="33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3"/>
      <c r="H99" s="35"/>
      <c r="I99" s="32"/>
      <c r="J99" s="32"/>
      <c r="K99" s="33"/>
      <c r="L99" s="35"/>
      <c r="M99" s="33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3"/>
      <c r="H100" s="35"/>
      <c r="I100" s="32"/>
      <c r="J100" s="32"/>
      <c r="K100" s="33"/>
      <c r="L100" s="35"/>
      <c r="M100" s="33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3"/>
      <c r="H101" s="35"/>
      <c r="I101" s="32"/>
      <c r="J101" s="32"/>
      <c r="K101" s="33"/>
      <c r="L101" s="35"/>
      <c r="M101" s="33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3"/>
      <c r="H102" s="35"/>
      <c r="I102" s="32"/>
      <c r="J102" s="32"/>
      <c r="K102" s="33"/>
      <c r="L102" s="35"/>
      <c r="M102" s="33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3"/>
      <c r="H103" s="35"/>
      <c r="I103" s="32"/>
      <c r="J103" s="32"/>
      <c r="K103" s="33"/>
      <c r="L103" s="35"/>
      <c r="M103" s="33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3"/>
      <c r="H104" s="35"/>
      <c r="I104" s="32"/>
      <c r="J104" s="32"/>
      <c r="K104" s="33"/>
      <c r="L104" s="35"/>
      <c r="M104" s="33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3"/>
      <c r="H105" s="35"/>
      <c r="I105" s="32"/>
      <c r="J105" s="32"/>
      <c r="K105" s="33"/>
      <c r="L105" s="35"/>
      <c r="M105" s="33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3"/>
      <c r="H106" s="35"/>
      <c r="I106" s="32"/>
      <c r="J106" s="32"/>
      <c r="K106" s="33"/>
      <c r="L106" s="35"/>
      <c r="M106" s="33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3"/>
      <c r="H107" s="35"/>
      <c r="I107" s="32"/>
      <c r="J107" s="32"/>
      <c r="K107" s="33"/>
      <c r="L107" s="35"/>
      <c r="M107" s="33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3"/>
      <c r="H108" s="35"/>
      <c r="I108" s="32"/>
      <c r="J108" s="32"/>
      <c r="K108" s="33"/>
      <c r="L108" s="35"/>
      <c r="M108" s="33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3"/>
      <c r="H109" s="35"/>
      <c r="I109" s="32"/>
      <c r="J109" s="32"/>
      <c r="K109" s="33"/>
      <c r="L109" s="35"/>
      <c r="M109" s="33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3"/>
      <c r="H110" s="35"/>
      <c r="I110" s="32"/>
      <c r="J110" s="32"/>
      <c r="K110" s="33"/>
      <c r="L110" s="35"/>
      <c r="M110" s="33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3"/>
      <c r="H111" s="35"/>
      <c r="I111" s="32"/>
      <c r="J111" s="32"/>
      <c r="K111" s="33"/>
      <c r="L111" s="35"/>
      <c r="M111" s="33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3"/>
      <c r="H112" s="35"/>
      <c r="I112" s="32"/>
      <c r="J112" s="32"/>
      <c r="K112" s="33"/>
      <c r="L112" s="35"/>
      <c r="M112" s="33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3"/>
      <c r="H113" s="35"/>
      <c r="I113" s="32"/>
      <c r="J113" s="32"/>
      <c r="K113" s="33"/>
      <c r="L113" s="35"/>
      <c r="M113" s="33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3"/>
      <c r="H114" s="35"/>
      <c r="I114" s="32"/>
      <c r="J114" s="32"/>
      <c r="K114" s="33"/>
      <c r="L114" s="35"/>
      <c r="M114" s="33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3"/>
      <c r="H115" s="35"/>
      <c r="I115" s="32"/>
      <c r="J115" s="32"/>
      <c r="K115" s="33"/>
      <c r="L115" s="35"/>
      <c r="M115" s="33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3"/>
      <c r="H116" s="35"/>
      <c r="I116" s="32"/>
      <c r="J116" s="32"/>
      <c r="K116" s="33"/>
      <c r="L116" s="35"/>
      <c r="M116" s="33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3"/>
      <c r="H117" s="35"/>
      <c r="I117" s="32"/>
      <c r="J117" s="32"/>
      <c r="K117" s="33"/>
      <c r="L117" s="35"/>
      <c r="M117" s="33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3"/>
      <c r="H118" s="35"/>
      <c r="I118" s="32"/>
      <c r="J118" s="32"/>
      <c r="K118" s="33"/>
      <c r="L118" s="35"/>
      <c r="M118" s="33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3"/>
      <c r="H119" s="35"/>
      <c r="I119" s="32"/>
      <c r="J119" s="32"/>
      <c r="K119" s="33"/>
      <c r="L119" s="35"/>
      <c r="M119" s="33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3"/>
      <c r="H120" s="35"/>
      <c r="I120" s="32"/>
      <c r="J120" s="32"/>
      <c r="K120" s="33"/>
      <c r="L120" s="35"/>
      <c r="M120" s="33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3"/>
      <c r="H121" s="35"/>
      <c r="I121" s="32"/>
      <c r="J121" s="32"/>
      <c r="K121" s="33"/>
      <c r="L121" s="35"/>
      <c r="M121" s="33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3"/>
      <c r="H122" s="35"/>
      <c r="I122" s="32"/>
      <c r="J122" s="32"/>
      <c r="K122" s="33"/>
      <c r="L122" s="35"/>
      <c r="M122" s="33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3"/>
      <c r="H123" s="35"/>
      <c r="I123" s="32"/>
      <c r="J123" s="32"/>
      <c r="K123" s="33"/>
      <c r="L123" s="35"/>
      <c r="M123" s="33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3"/>
      <c r="H124" s="35"/>
      <c r="I124" s="32"/>
      <c r="J124" s="32"/>
      <c r="K124" s="33"/>
      <c r="L124" s="35"/>
      <c r="M124" s="33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3"/>
      <c r="H125" s="35"/>
      <c r="I125" s="32"/>
      <c r="J125" s="32"/>
      <c r="K125" s="33"/>
      <c r="L125" s="35"/>
      <c r="M125" s="33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3"/>
      <c r="H126" s="35"/>
      <c r="I126" s="32"/>
      <c r="J126" s="32"/>
      <c r="K126" s="33"/>
      <c r="L126" s="35"/>
      <c r="M126" s="33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3"/>
      <c r="H127" s="35"/>
      <c r="I127" s="32"/>
      <c r="J127" s="32"/>
      <c r="K127" s="33"/>
      <c r="L127" s="35"/>
      <c r="M127" s="33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3"/>
      <c r="H128" s="35"/>
      <c r="I128" s="32"/>
      <c r="J128" s="32"/>
      <c r="K128" s="33"/>
      <c r="L128" s="35"/>
      <c r="M128" s="33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3"/>
      <c r="H129" s="35"/>
      <c r="I129" s="32"/>
      <c r="J129" s="32"/>
      <c r="K129" s="33"/>
      <c r="L129" s="35"/>
      <c r="M129" s="33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3"/>
      <c r="H130" s="35"/>
      <c r="I130" s="32"/>
      <c r="J130" s="32"/>
      <c r="K130" s="33"/>
      <c r="L130" s="35"/>
      <c r="M130" s="33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3"/>
      <c r="H131" s="35"/>
      <c r="I131" s="32"/>
      <c r="J131" s="32"/>
      <c r="K131" s="33"/>
      <c r="L131" s="35"/>
      <c r="M131" s="33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3"/>
      <c r="H132" s="35"/>
      <c r="I132" s="32"/>
      <c r="J132" s="32"/>
      <c r="K132" s="33"/>
      <c r="L132" s="35"/>
      <c r="M132" s="33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3"/>
      <c r="H133" s="35"/>
      <c r="I133" s="32"/>
      <c r="J133" s="32"/>
      <c r="K133" s="33"/>
      <c r="L133" s="35"/>
      <c r="M133" s="33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3"/>
      <c r="H134" s="35"/>
      <c r="I134" s="32"/>
      <c r="J134" s="32"/>
      <c r="K134" s="33"/>
      <c r="L134" s="35"/>
      <c r="M134" s="33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3"/>
      <c r="H135" s="35"/>
      <c r="I135" s="32"/>
      <c r="J135" s="32"/>
      <c r="K135" s="33"/>
      <c r="L135" s="35"/>
      <c r="M135" s="33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3"/>
      <c r="H136" s="35"/>
      <c r="I136" s="32"/>
      <c r="J136" s="32"/>
      <c r="K136" s="33"/>
      <c r="L136" s="35"/>
      <c r="M136" s="33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3"/>
      <c r="H137" s="35"/>
      <c r="I137" s="32"/>
      <c r="J137" s="32"/>
      <c r="K137" s="33"/>
      <c r="L137" s="35"/>
      <c r="M137" s="33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3"/>
      <c r="H138" s="35"/>
      <c r="I138" s="32"/>
      <c r="J138" s="32"/>
      <c r="K138" s="33"/>
      <c r="L138" s="35"/>
      <c r="M138" s="33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3"/>
      <c r="H139" s="35"/>
      <c r="I139" s="32"/>
      <c r="J139" s="32"/>
      <c r="K139" s="33"/>
      <c r="L139" s="35"/>
      <c r="M139" s="33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3"/>
      <c r="H140" s="35"/>
      <c r="I140" s="32"/>
      <c r="J140" s="32"/>
      <c r="K140" s="33"/>
      <c r="L140" s="35"/>
      <c r="M140" s="33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3"/>
      <c r="H141" s="35"/>
      <c r="I141" s="32"/>
      <c r="J141" s="32"/>
      <c r="K141" s="33"/>
      <c r="L141" s="35"/>
      <c r="M141" s="33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3"/>
      <c r="H142" s="35"/>
      <c r="I142" s="32"/>
      <c r="J142" s="32"/>
      <c r="K142" s="33"/>
      <c r="L142" s="35"/>
      <c r="M142" s="33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3"/>
      <c r="H143" s="35"/>
      <c r="I143" s="32"/>
      <c r="J143" s="32"/>
      <c r="K143" s="33"/>
      <c r="L143" s="35"/>
      <c r="M143" s="33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3"/>
      <c r="H144" s="35"/>
      <c r="I144" s="32"/>
      <c r="J144" s="32"/>
      <c r="K144" s="33"/>
      <c r="L144" s="35"/>
      <c r="M144" s="33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3"/>
      <c r="H145" s="35"/>
      <c r="I145" s="32"/>
      <c r="J145" s="32"/>
      <c r="K145" s="33"/>
      <c r="L145" s="35"/>
      <c r="M145" s="33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3"/>
      <c r="H146" s="35"/>
      <c r="I146" s="32"/>
      <c r="J146" s="32"/>
      <c r="K146" s="33"/>
      <c r="L146" s="35"/>
      <c r="M146" s="33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3"/>
      <c r="H147" s="35"/>
      <c r="I147" s="32"/>
      <c r="J147" s="32"/>
      <c r="K147" s="33"/>
      <c r="L147" s="35"/>
      <c r="M147" s="33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3"/>
      <c r="H148" s="35"/>
      <c r="I148" s="32"/>
      <c r="J148" s="32"/>
      <c r="K148" s="33"/>
      <c r="L148" s="35"/>
      <c r="M148" s="33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3"/>
      <c r="H149" s="35"/>
      <c r="I149" s="32"/>
      <c r="J149" s="32"/>
      <c r="K149" s="33"/>
      <c r="L149" s="35"/>
      <c r="M149" s="33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3"/>
      <c r="H150" s="35"/>
      <c r="I150" s="32"/>
      <c r="J150" s="32"/>
      <c r="K150" s="33"/>
      <c r="L150" s="35"/>
      <c r="M150" s="33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3"/>
      <c r="H151" s="35"/>
      <c r="I151" s="32"/>
      <c r="J151" s="32"/>
      <c r="K151" s="33"/>
      <c r="L151" s="35"/>
      <c r="M151" s="33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3"/>
      <c r="H152" s="35"/>
      <c r="I152" s="32"/>
      <c r="J152" s="32"/>
      <c r="K152" s="33"/>
      <c r="L152" s="35"/>
      <c r="M152" s="33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3"/>
      <c r="H153" s="35"/>
      <c r="I153" s="32"/>
      <c r="J153" s="32"/>
      <c r="K153" s="33"/>
      <c r="L153" s="35"/>
      <c r="M153" s="33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3"/>
      <c r="H154" s="35"/>
      <c r="I154" s="32"/>
      <c r="J154" s="32"/>
      <c r="K154" s="33"/>
      <c r="L154" s="35"/>
      <c r="M154" s="33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3"/>
      <c r="H155" s="35"/>
      <c r="I155" s="32"/>
      <c r="J155" s="32"/>
      <c r="K155" s="33"/>
      <c r="L155" s="35"/>
      <c r="M155" s="33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3"/>
      <c r="H156" s="35"/>
      <c r="I156" s="32"/>
      <c r="J156" s="32"/>
      <c r="K156" s="33"/>
      <c r="L156" s="35"/>
      <c r="M156" s="33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3"/>
      <c r="H157" s="35"/>
      <c r="I157" s="32"/>
      <c r="J157" s="32"/>
      <c r="K157" s="33"/>
      <c r="L157" s="35"/>
      <c r="M157" s="33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3"/>
      <c r="H158" s="35"/>
      <c r="I158" s="32"/>
      <c r="J158" s="32"/>
      <c r="K158" s="33"/>
      <c r="L158" s="35"/>
      <c r="M158" s="33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3"/>
      <c r="H159" s="35"/>
      <c r="I159" s="32"/>
      <c r="J159" s="32"/>
      <c r="K159" s="33"/>
      <c r="L159" s="35"/>
      <c r="M159" s="33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3"/>
      <c r="H160" s="35"/>
      <c r="I160" s="32"/>
      <c r="J160" s="32"/>
      <c r="K160" s="33"/>
      <c r="L160" s="35"/>
      <c r="M160" s="33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3"/>
      <c r="H161" s="35"/>
      <c r="I161" s="32"/>
      <c r="J161" s="32"/>
      <c r="K161" s="33"/>
      <c r="L161" s="35"/>
      <c r="M161" s="33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3"/>
      <c r="H162" s="35"/>
      <c r="I162" s="32"/>
      <c r="J162" s="32"/>
      <c r="K162" s="33"/>
      <c r="L162" s="35"/>
      <c r="M162" s="33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3"/>
      <c r="H163" s="35"/>
      <c r="I163" s="32"/>
      <c r="J163" s="32"/>
      <c r="K163" s="33"/>
      <c r="L163" s="35"/>
      <c r="M163" s="33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3"/>
      <c r="H164" s="35"/>
      <c r="I164" s="32"/>
      <c r="J164" s="32"/>
      <c r="K164" s="33"/>
      <c r="L164" s="35"/>
      <c r="M164" s="33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3"/>
      <c r="H165" s="35"/>
      <c r="I165" s="32"/>
      <c r="J165" s="32"/>
      <c r="K165" s="33"/>
      <c r="L165" s="35"/>
      <c r="M165" s="33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3"/>
      <c r="H166" s="35"/>
      <c r="I166" s="32"/>
      <c r="J166" s="32"/>
      <c r="K166" s="33"/>
      <c r="L166" s="35"/>
      <c r="M166" s="33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3"/>
      <c r="H167" s="35"/>
      <c r="I167" s="32"/>
      <c r="J167" s="32"/>
      <c r="K167" s="33"/>
      <c r="L167" s="35"/>
      <c r="M167" s="33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3"/>
      <c r="H168" s="35"/>
      <c r="I168" s="32"/>
      <c r="J168" s="32"/>
      <c r="K168" s="33"/>
      <c r="L168" s="35"/>
      <c r="M168" s="33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3"/>
      <c r="H169" s="35"/>
      <c r="I169" s="32"/>
      <c r="J169" s="32"/>
      <c r="K169" s="33"/>
      <c r="L169" s="35"/>
      <c r="M169" s="33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3"/>
      <c r="H170" s="35"/>
      <c r="I170" s="32"/>
      <c r="J170" s="32"/>
      <c r="K170" s="33"/>
      <c r="L170" s="35"/>
      <c r="M170" s="33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3"/>
      <c r="H171" s="35"/>
      <c r="I171" s="32"/>
      <c r="J171" s="32"/>
      <c r="K171" s="33"/>
      <c r="L171" s="35"/>
      <c r="M171" s="33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3"/>
      <c r="H172" s="35"/>
      <c r="I172" s="32"/>
      <c r="J172" s="32"/>
      <c r="K172" s="33"/>
      <c r="L172" s="35"/>
      <c r="M172" s="33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3"/>
      <c r="H173" s="35"/>
      <c r="I173" s="32"/>
      <c r="J173" s="32"/>
      <c r="K173" s="33"/>
      <c r="L173" s="35"/>
      <c r="M173" s="33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3"/>
      <c r="H174" s="35"/>
      <c r="I174" s="32"/>
      <c r="J174" s="32"/>
      <c r="K174" s="33"/>
      <c r="L174" s="35"/>
      <c r="M174" s="33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3"/>
      <c r="H175" s="35"/>
      <c r="I175" s="32"/>
      <c r="J175" s="32"/>
      <c r="K175" s="33"/>
      <c r="L175" s="35"/>
      <c r="M175" s="33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3"/>
      <c r="H176" s="35"/>
      <c r="I176" s="32"/>
      <c r="J176" s="32"/>
      <c r="K176" s="33"/>
      <c r="L176" s="35"/>
      <c r="M176" s="33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3"/>
      <c r="H177" s="35"/>
      <c r="I177" s="32"/>
      <c r="J177" s="32"/>
      <c r="K177" s="33"/>
      <c r="L177" s="35"/>
      <c r="M177" s="33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3"/>
      <c r="H178" s="35"/>
      <c r="I178" s="32"/>
      <c r="J178" s="32"/>
      <c r="K178" s="33"/>
      <c r="L178" s="35"/>
      <c r="M178" s="33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3"/>
      <c r="H179" s="35"/>
      <c r="I179" s="32"/>
      <c r="J179" s="32"/>
      <c r="K179" s="33"/>
      <c r="L179" s="35"/>
      <c r="M179" s="33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3"/>
      <c r="H180" s="35"/>
      <c r="I180" s="32"/>
      <c r="J180" s="32"/>
      <c r="K180" s="33"/>
      <c r="L180" s="35"/>
      <c r="M180" s="33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3"/>
      <c r="H181" s="35"/>
      <c r="I181" s="32"/>
      <c r="J181" s="32"/>
      <c r="K181" s="33"/>
      <c r="L181" s="35"/>
      <c r="M181" s="33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3"/>
      <c r="H182" s="35"/>
      <c r="I182" s="32"/>
      <c r="J182" s="32"/>
      <c r="K182" s="33"/>
      <c r="L182" s="35"/>
      <c r="M182" s="33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3"/>
      <c r="H183" s="35"/>
      <c r="I183" s="32"/>
      <c r="J183" s="32"/>
      <c r="K183" s="33"/>
      <c r="L183" s="35"/>
      <c r="M183" s="33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3"/>
      <c r="H184" s="35"/>
      <c r="I184" s="32"/>
      <c r="J184" s="32"/>
      <c r="K184" s="33"/>
      <c r="L184" s="35"/>
      <c r="M184" s="33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3"/>
      <c r="H185" s="35"/>
      <c r="I185" s="32"/>
      <c r="J185" s="32"/>
      <c r="K185" s="33"/>
      <c r="L185" s="35"/>
      <c r="M185" s="33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3"/>
      <c r="H186" s="35"/>
      <c r="I186" s="32"/>
      <c r="J186" s="32"/>
      <c r="K186" s="33"/>
      <c r="L186" s="35"/>
      <c r="M186" s="33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3"/>
      <c r="H187" s="35"/>
      <c r="I187" s="32"/>
      <c r="J187" s="32"/>
      <c r="K187" s="33"/>
      <c r="L187" s="35"/>
      <c r="M187" s="33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3"/>
      <c r="H188" s="35"/>
      <c r="I188" s="32"/>
      <c r="J188" s="32"/>
      <c r="K188" s="33"/>
      <c r="L188" s="35"/>
      <c r="M188" s="33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3"/>
      <c r="H189" s="35"/>
      <c r="I189" s="32"/>
      <c r="J189" s="32"/>
      <c r="K189" s="33"/>
      <c r="L189" s="35"/>
      <c r="M189" s="33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3"/>
      <c r="H190" s="35"/>
      <c r="I190" s="32"/>
      <c r="J190" s="32"/>
      <c r="K190" s="33"/>
      <c r="L190" s="35"/>
      <c r="M190" s="33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3"/>
      <c r="H191" s="35"/>
      <c r="I191" s="32"/>
      <c r="J191" s="32"/>
      <c r="K191" s="33"/>
      <c r="L191" s="35"/>
      <c r="M191" s="33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3"/>
      <c r="H192" s="35"/>
      <c r="I192" s="32"/>
      <c r="J192" s="32"/>
      <c r="K192" s="33"/>
      <c r="L192" s="35"/>
      <c r="M192" s="33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3"/>
      <c r="H193" s="35"/>
      <c r="I193" s="32"/>
      <c r="J193" s="32"/>
      <c r="K193" s="33"/>
      <c r="L193" s="35"/>
      <c r="M193" s="33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3"/>
      <c r="H194" s="35"/>
      <c r="I194" s="32"/>
      <c r="J194" s="32"/>
      <c r="K194" s="33"/>
      <c r="L194" s="35"/>
      <c r="M194" s="33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3"/>
      <c r="H195" s="35"/>
      <c r="I195" s="32"/>
      <c r="J195" s="32"/>
      <c r="K195" s="33"/>
      <c r="L195" s="35"/>
      <c r="M195" s="33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3"/>
      <c r="H196" s="35"/>
      <c r="I196" s="32"/>
      <c r="J196" s="32"/>
      <c r="K196" s="33"/>
      <c r="L196" s="35"/>
      <c r="M196" s="33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3"/>
      <c r="H197" s="35"/>
      <c r="I197" s="32"/>
      <c r="J197" s="32"/>
      <c r="K197" s="33"/>
      <c r="L197" s="35"/>
      <c r="M197" s="33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3"/>
      <c r="H198" s="35"/>
      <c r="I198" s="32"/>
      <c r="J198" s="32"/>
      <c r="K198" s="33"/>
      <c r="L198" s="35"/>
      <c r="M198" s="33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3"/>
      <c r="H199" s="35"/>
      <c r="I199" s="32"/>
      <c r="J199" s="32"/>
      <c r="K199" s="33"/>
      <c r="L199" s="35"/>
      <c r="M199" s="33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3"/>
      <c r="H200" s="35"/>
      <c r="I200" s="32"/>
      <c r="J200" s="32"/>
      <c r="K200" s="33"/>
      <c r="L200" s="35"/>
      <c r="M200" s="33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3"/>
      <c r="H201" s="35"/>
      <c r="I201" s="32"/>
      <c r="J201" s="32"/>
      <c r="K201" s="33"/>
      <c r="L201" s="35"/>
      <c r="M201" s="33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3"/>
      <c r="H202" s="35"/>
      <c r="I202" s="32"/>
      <c r="J202" s="32"/>
      <c r="K202" s="33"/>
      <c r="L202" s="35"/>
      <c r="M202" s="33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3"/>
      <c r="H203" s="35"/>
      <c r="I203" s="32"/>
      <c r="J203" s="32"/>
      <c r="K203" s="33"/>
      <c r="L203" s="35"/>
      <c r="M203" s="33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3"/>
      <c r="H204" s="35"/>
      <c r="I204" s="32"/>
      <c r="J204" s="32"/>
      <c r="K204" s="33"/>
      <c r="L204" s="35"/>
      <c r="M204" s="33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3"/>
      <c r="H205" s="35"/>
      <c r="I205" s="32"/>
      <c r="J205" s="32"/>
      <c r="K205" s="33"/>
      <c r="L205" s="35"/>
      <c r="M205" s="33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3"/>
      <c r="H206" s="35"/>
      <c r="I206" s="32"/>
      <c r="J206" s="32"/>
      <c r="K206" s="33"/>
      <c r="L206" s="35"/>
      <c r="M206" s="33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3"/>
      <c r="H207" s="35"/>
      <c r="I207" s="32"/>
      <c r="J207" s="32"/>
      <c r="K207" s="33"/>
      <c r="L207" s="35"/>
      <c r="M207" s="33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3"/>
      <c r="H208" s="35"/>
      <c r="I208" s="32"/>
      <c r="J208" s="32"/>
      <c r="K208" s="33"/>
      <c r="L208" s="35"/>
      <c r="M208" s="33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3"/>
      <c r="H209" s="35"/>
      <c r="I209" s="32"/>
      <c r="J209" s="32"/>
      <c r="K209" s="33"/>
      <c r="L209" s="35"/>
      <c r="M209" s="33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3"/>
      <c r="H210" s="35"/>
      <c r="I210" s="32"/>
      <c r="J210" s="32"/>
      <c r="K210" s="33"/>
      <c r="L210" s="35"/>
      <c r="M210" s="33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3"/>
      <c r="H211" s="35"/>
      <c r="I211" s="32"/>
      <c r="J211" s="32"/>
      <c r="K211" s="33"/>
      <c r="L211" s="35"/>
      <c r="M211" s="33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3"/>
      <c r="H212" s="35"/>
      <c r="I212" s="32"/>
      <c r="J212" s="32"/>
      <c r="K212" s="33"/>
      <c r="L212" s="35"/>
      <c r="M212" s="33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3"/>
      <c r="H213" s="35"/>
      <c r="I213" s="32"/>
      <c r="J213" s="32"/>
      <c r="K213" s="33"/>
      <c r="L213" s="35"/>
      <c r="M213" s="33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3"/>
      <c r="H214" s="35"/>
      <c r="I214" s="32"/>
      <c r="J214" s="32"/>
      <c r="K214" s="33"/>
      <c r="L214" s="35"/>
      <c r="M214" s="33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3"/>
      <c r="H215" s="35"/>
      <c r="I215" s="32"/>
      <c r="J215" s="32"/>
      <c r="K215" s="33"/>
      <c r="L215" s="35"/>
      <c r="M215" s="33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3"/>
      <c r="H216" s="35"/>
      <c r="I216" s="32"/>
      <c r="J216" s="32"/>
      <c r="K216" s="33"/>
      <c r="L216" s="35"/>
      <c r="M216" s="33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3"/>
      <c r="H217" s="35"/>
      <c r="I217" s="32"/>
      <c r="J217" s="32"/>
      <c r="K217" s="33"/>
      <c r="L217" s="35"/>
      <c r="M217" s="33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3"/>
      <c r="H218" s="35"/>
      <c r="I218" s="32"/>
      <c r="J218" s="32"/>
      <c r="K218" s="33"/>
      <c r="L218" s="35"/>
      <c r="M218" s="33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3"/>
      <c r="H219" s="35"/>
      <c r="I219" s="32"/>
      <c r="J219" s="32"/>
      <c r="K219" s="33"/>
      <c r="L219" s="35"/>
      <c r="M219" s="33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3"/>
      <c r="H220" s="35"/>
      <c r="I220" s="32"/>
      <c r="J220" s="32"/>
      <c r="K220" s="33"/>
      <c r="L220" s="35"/>
      <c r="M220" s="33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3"/>
      <c r="H221" s="35"/>
      <c r="I221" s="32"/>
      <c r="J221" s="32"/>
      <c r="K221" s="33"/>
      <c r="L221" s="35"/>
      <c r="M221" s="33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3"/>
      <c r="H222" s="35"/>
      <c r="I222" s="32"/>
      <c r="J222" s="32"/>
      <c r="K222" s="33"/>
      <c r="L222" s="35"/>
      <c r="M222" s="33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3"/>
      <c r="H223" s="35"/>
      <c r="I223" s="32"/>
      <c r="J223" s="32"/>
      <c r="K223" s="33"/>
      <c r="L223" s="35"/>
      <c r="M223" s="33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3"/>
      <c r="H224" s="35"/>
      <c r="I224" s="32"/>
      <c r="J224" s="32"/>
      <c r="K224" s="33"/>
      <c r="L224" s="35"/>
      <c r="M224" s="33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3"/>
      <c r="H225" s="35"/>
      <c r="I225" s="32"/>
      <c r="J225" s="32"/>
      <c r="K225" s="33"/>
      <c r="L225" s="35"/>
      <c r="M225" s="33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3"/>
      <c r="H226" s="35"/>
      <c r="I226" s="32"/>
      <c r="J226" s="32"/>
      <c r="K226" s="33"/>
      <c r="L226" s="35"/>
      <c r="M226" s="33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3"/>
      <c r="H227" s="35"/>
      <c r="I227" s="32"/>
      <c r="J227" s="32"/>
      <c r="K227" s="33"/>
      <c r="L227" s="35"/>
      <c r="M227" s="33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3"/>
      <c r="H228" s="35"/>
      <c r="I228" s="32"/>
      <c r="J228" s="32"/>
      <c r="K228" s="33"/>
      <c r="L228" s="35"/>
      <c r="M228" s="33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3"/>
      <c r="H229" s="35"/>
      <c r="I229" s="32"/>
      <c r="J229" s="32"/>
      <c r="K229" s="33"/>
      <c r="L229" s="35"/>
      <c r="M229" s="33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3"/>
      <c r="H230" s="35"/>
      <c r="I230" s="32"/>
      <c r="J230" s="32"/>
      <c r="K230" s="33"/>
      <c r="L230" s="35"/>
      <c r="M230" s="33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3"/>
      <c r="H231" s="35"/>
      <c r="I231" s="32"/>
      <c r="J231" s="32"/>
      <c r="K231" s="33"/>
      <c r="L231" s="35"/>
      <c r="M231" s="33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3"/>
      <c r="H232" s="35"/>
      <c r="I232" s="32"/>
      <c r="J232" s="32"/>
      <c r="K232" s="33"/>
      <c r="L232" s="35"/>
      <c r="M232" s="33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3"/>
      <c r="H233" s="35"/>
      <c r="I233" s="32"/>
      <c r="J233" s="32"/>
      <c r="K233" s="33"/>
      <c r="L233" s="35"/>
      <c r="M233" s="33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3"/>
      <c r="H234" s="35"/>
      <c r="I234" s="32"/>
      <c r="J234" s="32"/>
      <c r="K234" s="33"/>
      <c r="L234" s="35"/>
      <c r="M234" s="33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3"/>
      <c r="H235" s="35"/>
      <c r="I235" s="32"/>
      <c r="J235" s="32"/>
      <c r="K235" s="33"/>
      <c r="L235" s="35"/>
      <c r="M235" s="33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3"/>
      <c r="H236" s="35"/>
      <c r="I236" s="32"/>
      <c r="J236" s="32"/>
      <c r="K236" s="33"/>
      <c r="L236" s="35"/>
      <c r="M236" s="33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3"/>
      <c r="H237" s="35"/>
      <c r="I237" s="32"/>
      <c r="J237" s="32"/>
      <c r="K237" s="33"/>
      <c r="L237" s="35"/>
      <c r="M237" s="33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3"/>
      <c r="H238" s="35"/>
      <c r="I238" s="32"/>
      <c r="J238" s="32"/>
      <c r="K238" s="33"/>
      <c r="L238" s="35"/>
      <c r="M238" s="33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3"/>
      <c r="H239" s="35"/>
      <c r="I239" s="32"/>
      <c r="J239" s="32"/>
      <c r="K239" s="33"/>
      <c r="L239" s="35"/>
      <c r="M239" s="33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3"/>
      <c r="H240" s="35"/>
      <c r="I240" s="32"/>
      <c r="J240" s="32"/>
      <c r="K240" s="33"/>
      <c r="L240" s="35"/>
      <c r="M240" s="33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3"/>
      <c r="H241" s="35"/>
      <c r="I241" s="32"/>
      <c r="J241" s="32"/>
      <c r="K241" s="33"/>
      <c r="L241" s="35"/>
      <c r="M241" s="33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3"/>
      <c r="H242" s="35"/>
      <c r="I242" s="32"/>
      <c r="J242" s="32"/>
      <c r="K242" s="33"/>
      <c r="L242" s="35"/>
      <c r="M242" s="33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3"/>
      <c r="H243" s="35"/>
      <c r="I243" s="32"/>
      <c r="J243" s="32"/>
      <c r="K243" s="33"/>
      <c r="L243" s="35"/>
      <c r="M243" s="33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3"/>
      <c r="H244" s="35"/>
      <c r="I244" s="32"/>
      <c r="J244" s="32"/>
      <c r="K244" s="33"/>
      <c r="L244" s="35"/>
      <c r="M244" s="33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3"/>
      <c r="H245" s="35"/>
      <c r="I245" s="32"/>
      <c r="J245" s="32"/>
      <c r="K245" s="33"/>
      <c r="L245" s="35"/>
      <c r="M245" s="33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3"/>
      <c r="H246" s="35"/>
      <c r="I246" s="32"/>
      <c r="J246" s="32"/>
      <c r="K246" s="33"/>
      <c r="L246" s="35"/>
      <c r="M246" s="33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3"/>
      <c r="H247" s="35"/>
      <c r="I247" s="32"/>
      <c r="J247" s="32"/>
      <c r="K247" s="33"/>
      <c r="L247" s="35"/>
      <c r="M247" s="33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3"/>
      <c r="H248" s="35"/>
      <c r="I248" s="32"/>
      <c r="J248" s="32"/>
      <c r="K248" s="33"/>
      <c r="L248" s="35"/>
      <c r="M248" s="33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3"/>
      <c r="H249" s="35"/>
      <c r="I249" s="32"/>
      <c r="J249" s="32"/>
      <c r="K249" s="33"/>
      <c r="L249" s="35"/>
      <c r="M249" s="33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3"/>
      <c r="H250" s="35"/>
      <c r="I250" s="32"/>
      <c r="J250" s="32"/>
      <c r="K250" s="33"/>
      <c r="L250" s="35"/>
      <c r="M250" s="33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3"/>
      <c r="H251" s="35"/>
      <c r="I251" s="32"/>
      <c r="J251" s="32"/>
      <c r="K251" s="33"/>
      <c r="L251" s="35"/>
      <c r="M251" s="33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3"/>
      <c r="H252" s="35"/>
      <c r="I252" s="32"/>
      <c r="J252" s="32"/>
      <c r="K252" s="33"/>
      <c r="L252" s="35"/>
      <c r="M252" s="33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3"/>
      <c r="H253" s="35"/>
      <c r="I253" s="32"/>
      <c r="J253" s="32"/>
      <c r="K253" s="33"/>
      <c r="L253" s="35"/>
      <c r="M253" s="33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3"/>
      <c r="H254" s="35"/>
      <c r="I254" s="32"/>
      <c r="J254" s="32"/>
      <c r="K254" s="33"/>
      <c r="L254" s="35"/>
      <c r="M254" s="33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3"/>
      <c r="H255" s="35"/>
      <c r="I255" s="32"/>
      <c r="J255" s="32"/>
      <c r="K255" s="33"/>
      <c r="L255" s="35"/>
      <c r="M255" s="33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3"/>
      <c r="H256" s="35"/>
      <c r="I256" s="32"/>
      <c r="J256" s="32"/>
      <c r="K256" s="33"/>
      <c r="L256" s="35"/>
      <c r="M256" s="33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3"/>
      <c r="H257" s="35"/>
      <c r="I257" s="32"/>
      <c r="J257" s="32"/>
      <c r="K257" s="33"/>
      <c r="L257" s="35"/>
      <c r="M257" s="33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3"/>
      <c r="H258" s="35"/>
      <c r="I258" s="32"/>
      <c r="J258" s="32"/>
      <c r="K258" s="33"/>
      <c r="L258" s="35"/>
      <c r="M258" s="33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3"/>
      <c r="H259" s="35"/>
      <c r="I259" s="32"/>
      <c r="J259" s="32"/>
      <c r="K259" s="33"/>
      <c r="L259" s="35"/>
      <c r="M259" s="33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3"/>
      <c r="H260" s="35"/>
      <c r="I260" s="32"/>
      <c r="J260" s="32"/>
      <c r="K260" s="33"/>
      <c r="L260" s="35"/>
      <c r="M260" s="33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3"/>
      <c r="H261" s="35"/>
      <c r="I261" s="32"/>
      <c r="J261" s="32"/>
      <c r="K261" s="33"/>
      <c r="L261" s="35"/>
      <c r="M261" s="33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3"/>
      <c r="H262" s="35"/>
      <c r="I262" s="32"/>
      <c r="J262" s="32"/>
      <c r="K262" s="33"/>
      <c r="L262" s="35"/>
      <c r="M262" s="33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3"/>
      <c r="H263" s="35"/>
      <c r="I263" s="32"/>
      <c r="J263" s="32"/>
      <c r="K263" s="33"/>
      <c r="L263" s="35"/>
      <c r="M263" s="33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3"/>
      <c r="H264" s="35"/>
      <c r="I264" s="32"/>
      <c r="J264" s="32"/>
      <c r="K264" s="33"/>
      <c r="L264" s="35"/>
      <c r="M264" s="33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3"/>
      <c r="H265" s="35"/>
      <c r="I265" s="32"/>
      <c r="J265" s="32"/>
      <c r="K265" s="33"/>
      <c r="L265" s="35"/>
      <c r="M265" s="33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3"/>
      <c r="H266" s="35"/>
      <c r="I266" s="32"/>
      <c r="J266" s="32"/>
      <c r="K266" s="33"/>
      <c r="L266" s="35"/>
      <c r="M266" s="33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3"/>
      <c r="H267" s="35"/>
      <c r="I267" s="32"/>
      <c r="J267" s="32"/>
      <c r="K267" s="33"/>
      <c r="L267" s="35"/>
      <c r="M267" s="33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3"/>
      <c r="H268" s="35"/>
      <c r="I268" s="32"/>
      <c r="J268" s="32"/>
      <c r="K268" s="33"/>
      <c r="L268" s="35"/>
      <c r="M268" s="33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3"/>
      <c r="H269" s="35"/>
      <c r="I269" s="32"/>
      <c r="J269" s="32"/>
      <c r="K269" s="33"/>
      <c r="L269" s="35"/>
      <c r="M269" s="33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3"/>
      <c r="H270" s="35"/>
      <c r="I270" s="32"/>
      <c r="J270" s="32"/>
      <c r="K270" s="33"/>
      <c r="L270" s="35"/>
      <c r="M270" s="33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3"/>
      <c r="H271" s="35"/>
      <c r="I271" s="32"/>
      <c r="J271" s="32"/>
      <c r="K271" s="33"/>
      <c r="L271" s="35"/>
      <c r="M271" s="33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3"/>
      <c r="H272" s="35"/>
      <c r="I272" s="32"/>
      <c r="J272" s="32"/>
      <c r="K272" s="33"/>
      <c r="L272" s="35"/>
      <c r="M272" s="33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3"/>
      <c r="H273" s="35"/>
      <c r="I273" s="32"/>
      <c r="J273" s="32"/>
      <c r="K273" s="33"/>
      <c r="L273" s="35"/>
      <c r="M273" s="33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3"/>
      <c r="H274" s="35"/>
      <c r="I274" s="32"/>
      <c r="J274" s="32"/>
      <c r="K274" s="33"/>
      <c r="L274" s="35"/>
      <c r="M274" s="33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3"/>
      <c r="H275" s="35"/>
      <c r="I275" s="32"/>
      <c r="J275" s="32"/>
      <c r="K275" s="33"/>
      <c r="L275" s="35"/>
      <c r="M275" s="33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3"/>
      <c r="H276" s="35"/>
      <c r="I276" s="32"/>
      <c r="J276" s="32"/>
      <c r="K276" s="33"/>
      <c r="L276" s="35"/>
      <c r="M276" s="33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3"/>
      <c r="H277" s="35"/>
      <c r="I277" s="32"/>
      <c r="J277" s="32"/>
      <c r="K277" s="33"/>
      <c r="L277" s="35"/>
      <c r="M277" s="33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3"/>
      <c r="H278" s="35"/>
      <c r="I278" s="32"/>
      <c r="J278" s="32"/>
      <c r="K278" s="33"/>
      <c r="L278" s="35"/>
      <c r="M278" s="33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3"/>
      <c r="H279" s="35"/>
      <c r="I279" s="32"/>
      <c r="J279" s="32"/>
      <c r="K279" s="33"/>
      <c r="L279" s="35"/>
      <c r="M279" s="33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3"/>
      <c r="H280" s="35"/>
      <c r="I280" s="32"/>
      <c r="J280" s="32"/>
      <c r="K280" s="33"/>
      <c r="L280" s="35"/>
      <c r="M280" s="33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3"/>
      <c r="H281" s="35"/>
      <c r="I281" s="32"/>
      <c r="J281" s="32"/>
      <c r="K281" s="33"/>
      <c r="L281" s="35"/>
      <c r="M281" s="33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3"/>
      <c r="H282" s="35"/>
      <c r="I282" s="32"/>
      <c r="J282" s="32"/>
      <c r="K282" s="33"/>
      <c r="L282" s="35"/>
      <c r="M282" s="33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3"/>
      <c r="H283" s="35"/>
      <c r="I283" s="32"/>
      <c r="J283" s="32"/>
      <c r="K283" s="33"/>
      <c r="L283" s="35"/>
      <c r="M283" s="33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3"/>
      <c r="H284" s="35"/>
      <c r="I284" s="32"/>
      <c r="J284" s="32"/>
      <c r="K284" s="33"/>
      <c r="L284" s="35"/>
      <c r="M284" s="33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3"/>
      <c r="H285" s="35"/>
      <c r="I285" s="32"/>
      <c r="J285" s="32"/>
      <c r="K285" s="33"/>
      <c r="L285" s="35"/>
      <c r="M285" s="33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3"/>
      <c r="H286" s="35"/>
      <c r="I286" s="32"/>
      <c r="J286" s="32"/>
      <c r="K286" s="33"/>
      <c r="L286" s="35"/>
      <c r="M286" s="33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3"/>
      <c r="H287" s="35"/>
      <c r="I287" s="32"/>
      <c r="J287" s="32"/>
      <c r="K287" s="33"/>
      <c r="L287" s="35"/>
      <c r="M287" s="33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3"/>
      <c r="H288" s="35"/>
      <c r="I288" s="32"/>
      <c r="J288" s="32"/>
      <c r="K288" s="33"/>
      <c r="L288" s="35"/>
      <c r="M288" s="33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3"/>
      <c r="H289" s="35"/>
      <c r="I289" s="32"/>
      <c r="J289" s="32"/>
      <c r="K289" s="33"/>
      <c r="L289" s="35"/>
      <c r="M289" s="33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3"/>
      <c r="H290" s="35"/>
      <c r="I290" s="32"/>
      <c r="J290" s="32"/>
      <c r="K290" s="33"/>
      <c r="L290" s="35"/>
      <c r="M290" s="33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3"/>
      <c r="H291" s="35"/>
      <c r="I291" s="32"/>
      <c r="J291" s="32"/>
      <c r="K291" s="33"/>
      <c r="L291" s="35"/>
      <c r="M291" s="33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3"/>
      <c r="H292" s="35"/>
      <c r="I292" s="32"/>
      <c r="J292" s="32"/>
      <c r="K292" s="33"/>
      <c r="L292" s="35"/>
      <c r="M292" s="33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3"/>
      <c r="H293" s="35"/>
      <c r="I293" s="32"/>
      <c r="J293" s="32"/>
      <c r="K293" s="33"/>
      <c r="L293" s="35"/>
      <c r="M293" s="33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3"/>
      <c r="H294" s="35"/>
      <c r="I294" s="32"/>
      <c r="J294" s="32"/>
      <c r="K294" s="33"/>
      <c r="L294" s="35"/>
      <c r="M294" s="33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3"/>
      <c r="H295" s="35"/>
      <c r="I295" s="32"/>
      <c r="J295" s="32"/>
      <c r="K295" s="33"/>
      <c r="L295" s="35"/>
      <c r="M295" s="33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3"/>
      <c r="H296" s="35"/>
      <c r="I296" s="32"/>
      <c r="J296" s="32"/>
      <c r="K296" s="33"/>
      <c r="L296" s="35"/>
      <c r="M296" s="33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3"/>
      <c r="H297" s="35"/>
      <c r="I297" s="32"/>
      <c r="J297" s="32"/>
      <c r="K297" s="33"/>
      <c r="L297" s="35"/>
      <c r="M297" s="33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3"/>
      <c r="H298" s="35"/>
      <c r="I298" s="32"/>
      <c r="J298" s="32"/>
      <c r="K298" s="33"/>
      <c r="L298" s="35"/>
      <c r="M298" s="33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3"/>
      <c r="H299" s="35"/>
      <c r="I299" s="32"/>
      <c r="J299" s="32"/>
      <c r="K299" s="33"/>
      <c r="L299" s="35"/>
      <c r="M299" s="33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3"/>
      <c r="H300" s="35"/>
      <c r="I300" s="32"/>
      <c r="J300" s="32"/>
      <c r="K300" s="33"/>
      <c r="L300" s="35"/>
      <c r="M300" s="33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3"/>
      <c r="H301" s="35"/>
      <c r="I301" s="32"/>
      <c r="J301" s="32"/>
      <c r="K301" s="33"/>
      <c r="L301" s="35"/>
      <c r="M301" s="33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3"/>
      <c r="H302" s="35"/>
      <c r="I302" s="32"/>
      <c r="J302" s="32"/>
      <c r="K302" s="33"/>
      <c r="L302" s="35"/>
      <c r="M302" s="33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3"/>
      <c r="H303" s="35"/>
      <c r="I303" s="32"/>
      <c r="J303" s="32"/>
      <c r="K303" s="33"/>
      <c r="L303" s="35"/>
      <c r="M303" s="33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3"/>
      <c r="H304" s="35"/>
      <c r="I304" s="32"/>
      <c r="J304" s="32"/>
      <c r="K304" s="33"/>
      <c r="L304" s="35"/>
      <c r="M304" s="33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3"/>
      <c r="H305" s="35"/>
      <c r="I305" s="32"/>
      <c r="J305" s="32"/>
      <c r="K305" s="33"/>
      <c r="L305" s="35"/>
      <c r="M305" s="33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3"/>
      <c r="H306" s="35"/>
      <c r="I306" s="32"/>
      <c r="J306" s="32"/>
      <c r="K306" s="33"/>
      <c r="L306" s="35"/>
      <c r="M306" s="33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3"/>
      <c r="H307" s="35"/>
      <c r="I307" s="32"/>
      <c r="J307" s="32"/>
      <c r="K307" s="33"/>
      <c r="L307" s="35"/>
      <c r="M307" s="33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3"/>
      <c r="H308" s="35"/>
      <c r="I308" s="32"/>
      <c r="J308" s="32"/>
      <c r="K308" s="33"/>
      <c r="L308" s="35"/>
      <c r="M308" s="33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3"/>
      <c r="H309" s="35"/>
      <c r="I309" s="32"/>
      <c r="J309" s="32"/>
      <c r="K309" s="33"/>
      <c r="L309" s="35"/>
      <c r="M309" s="33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3"/>
      <c r="H310" s="35"/>
      <c r="I310" s="32"/>
      <c r="J310" s="32"/>
      <c r="K310" s="33"/>
      <c r="L310" s="35"/>
      <c r="M310" s="33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3"/>
      <c r="H311" s="35"/>
      <c r="I311" s="32"/>
      <c r="J311" s="32"/>
      <c r="K311" s="33"/>
      <c r="L311" s="35"/>
      <c r="M311" s="33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3"/>
      <c r="H312" s="35"/>
      <c r="I312" s="32"/>
      <c r="J312" s="32"/>
      <c r="K312" s="33"/>
      <c r="L312" s="35"/>
      <c r="M312" s="33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3"/>
      <c r="H313" s="35"/>
      <c r="I313" s="32"/>
      <c r="J313" s="32"/>
      <c r="K313" s="33"/>
      <c r="L313" s="35"/>
      <c r="M313" s="33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3"/>
      <c r="H314" s="35"/>
      <c r="I314" s="32"/>
      <c r="J314" s="32"/>
      <c r="K314" s="33"/>
      <c r="L314" s="35"/>
      <c r="M314" s="33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3"/>
      <c r="H315" s="35"/>
      <c r="I315" s="32"/>
      <c r="J315" s="32"/>
      <c r="K315" s="33"/>
      <c r="L315" s="35"/>
      <c r="M315" s="33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3"/>
      <c r="H316" s="35"/>
      <c r="I316" s="32"/>
      <c r="J316" s="32"/>
      <c r="K316" s="33"/>
      <c r="L316" s="35"/>
      <c r="M316" s="33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3"/>
      <c r="H317" s="35"/>
      <c r="I317" s="32"/>
      <c r="J317" s="32"/>
      <c r="K317" s="33"/>
      <c r="L317" s="35"/>
      <c r="M317" s="33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3"/>
      <c r="H318" s="35"/>
      <c r="I318" s="32"/>
      <c r="J318" s="32"/>
      <c r="K318" s="33"/>
      <c r="L318" s="35"/>
      <c r="M318" s="33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3"/>
      <c r="H319" s="35"/>
      <c r="I319" s="32"/>
      <c r="J319" s="32"/>
      <c r="K319" s="33"/>
      <c r="L319" s="35"/>
      <c r="M319" s="33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3"/>
      <c r="H320" s="35"/>
      <c r="I320" s="32"/>
      <c r="J320" s="32"/>
      <c r="K320" s="33"/>
      <c r="L320" s="35"/>
      <c r="M320" s="33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3"/>
      <c r="H321" s="35"/>
      <c r="I321" s="32"/>
      <c r="J321" s="32"/>
      <c r="K321" s="33"/>
      <c r="L321" s="35"/>
      <c r="M321" s="33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3"/>
      <c r="H322" s="35"/>
      <c r="I322" s="32"/>
      <c r="J322" s="32"/>
      <c r="K322" s="33"/>
      <c r="L322" s="35"/>
      <c r="M322" s="33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3"/>
      <c r="H323" s="35"/>
      <c r="I323" s="32"/>
      <c r="J323" s="32"/>
      <c r="K323" s="33"/>
      <c r="L323" s="35"/>
      <c r="M323" s="33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3"/>
      <c r="H324" s="35"/>
      <c r="I324" s="32"/>
      <c r="J324" s="32"/>
      <c r="K324" s="33"/>
      <c r="L324" s="35"/>
      <c r="M324" s="33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3"/>
      <c r="H325" s="35"/>
      <c r="I325" s="32"/>
      <c r="J325" s="32"/>
      <c r="K325" s="33"/>
      <c r="L325" s="35"/>
      <c r="M325" s="33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3"/>
      <c r="H326" s="35"/>
      <c r="I326" s="32"/>
      <c r="J326" s="32"/>
      <c r="K326" s="33"/>
      <c r="L326" s="35"/>
      <c r="M326" s="33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3"/>
      <c r="H327" s="35"/>
      <c r="I327" s="32"/>
      <c r="J327" s="32"/>
      <c r="K327" s="33"/>
      <c r="L327" s="35"/>
      <c r="M327" s="33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3"/>
      <c r="H328" s="35"/>
      <c r="I328" s="32"/>
      <c r="J328" s="32"/>
      <c r="K328" s="33"/>
      <c r="L328" s="35"/>
      <c r="M328" s="33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3"/>
      <c r="H329" s="35"/>
      <c r="I329" s="32"/>
      <c r="J329" s="32"/>
      <c r="K329" s="33"/>
      <c r="L329" s="35"/>
      <c r="M329" s="33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3"/>
      <c r="H330" s="35"/>
      <c r="I330" s="32"/>
      <c r="J330" s="32"/>
      <c r="K330" s="33"/>
      <c r="L330" s="35"/>
      <c r="M330" s="33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3"/>
      <c r="H331" s="35"/>
      <c r="I331" s="32"/>
      <c r="J331" s="32"/>
      <c r="K331" s="33"/>
      <c r="L331" s="35"/>
      <c r="M331" s="33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3"/>
      <c r="H332" s="35"/>
      <c r="I332" s="32"/>
      <c r="J332" s="32"/>
      <c r="K332" s="33"/>
      <c r="L332" s="35"/>
      <c r="M332" s="33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3"/>
      <c r="H333" s="35"/>
      <c r="I333" s="32"/>
      <c r="J333" s="32"/>
      <c r="K333" s="33"/>
      <c r="L333" s="35"/>
      <c r="M333" s="33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3"/>
      <c r="H334" s="35"/>
      <c r="I334" s="32"/>
      <c r="J334" s="32"/>
      <c r="K334" s="33"/>
      <c r="L334" s="35"/>
      <c r="M334" s="33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3"/>
      <c r="H335" s="35"/>
      <c r="I335" s="32"/>
      <c r="J335" s="32"/>
      <c r="K335" s="33"/>
      <c r="L335" s="35"/>
      <c r="M335" s="33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3"/>
      <c r="H336" s="35"/>
      <c r="I336" s="32"/>
      <c r="J336" s="32"/>
      <c r="K336" s="33"/>
      <c r="L336" s="35"/>
      <c r="M336" s="33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3"/>
      <c r="H337" s="35"/>
      <c r="I337" s="32"/>
      <c r="J337" s="32"/>
      <c r="K337" s="33"/>
      <c r="L337" s="35"/>
      <c r="M337" s="33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3"/>
      <c r="H338" s="35"/>
      <c r="I338" s="32"/>
      <c r="J338" s="32"/>
      <c r="K338" s="33"/>
      <c r="L338" s="35"/>
      <c r="M338" s="33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3"/>
      <c r="H339" s="35"/>
      <c r="I339" s="32"/>
      <c r="J339" s="32"/>
      <c r="K339" s="33"/>
      <c r="L339" s="35"/>
      <c r="M339" s="33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3"/>
      <c r="H340" s="35"/>
      <c r="I340" s="32"/>
      <c r="J340" s="32"/>
      <c r="K340" s="33"/>
      <c r="L340" s="35"/>
      <c r="M340" s="33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3"/>
      <c r="H341" s="35"/>
      <c r="I341" s="32"/>
      <c r="J341" s="32"/>
      <c r="K341" s="33"/>
      <c r="L341" s="35"/>
      <c r="M341" s="33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3"/>
      <c r="H342" s="35"/>
      <c r="I342" s="32"/>
      <c r="J342" s="32"/>
      <c r="K342" s="33"/>
      <c r="L342" s="35"/>
      <c r="M342" s="33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3"/>
      <c r="H343" s="35"/>
      <c r="I343" s="32"/>
      <c r="J343" s="32"/>
      <c r="K343" s="33"/>
      <c r="L343" s="35"/>
      <c r="M343" s="33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3"/>
      <c r="H344" s="35"/>
      <c r="I344" s="32"/>
      <c r="J344" s="32"/>
      <c r="K344" s="33"/>
      <c r="L344" s="35"/>
      <c r="M344" s="33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3"/>
      <c r="H345" s="35"/>
      <c r="I345" s="32"/>
      <c r="J345" s="32"/>
      <c r="K345" s="33"/>
      <c r="L345" s="35"/>
      <c r="M345" s="33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3"/>
      <c r="H346" s="35"/>
      <c r="I346" s="32"/>
      <c r="J346" s="32"/>
      <c r="K346" s="33"/>
      <c r="L346" s="35"/>
      <c r="M346" s="33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3"/>
      <c r="H347" s="35"/>
      <c r="I347" s="32"/>
      <c r="J347" s="32"/>
      <c r="K347" s="33"/>
      <c r="L347" s="35"/>
      <c r="M347" s="33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3"/>
      <c r="H348" s="35"/>
      <c r="I348" s="32"/>
      <c r="J348" s="32"/>
      <c r="K348" s="33"/>
      <c r="L348" s="35"/>
      <c r="M348" s="33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3"/>
      <c r="H349" s="35"/>
      <c r="I349" s="32"/>
      <c r="J349" s="32"/>
      <c r="K349" s="33"/>
      <c r="L349" s="35"/>
      <c r="M349" s="33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3"/>
      <c r="H350" s="35"/>
      <c r="I350" s="32"/>
      <c r="J350" s="32"/>
      <c r="K350" s="33"/>
      <c r="L350" s="35"/>
      <c r="M350" s="33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3"/>
      <c r="H351" s="35"/>
      <c r="I351" s="32"/>
      <c r="J351" s="32"/>
      <c r="K351" s="33"/>
      <c r="L351" s="35"/>
      <c r="M351" s="33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3"/>
      <c r="H352" s="35"/>
      <c r="I352" s="32"/>
      <c r="J352" s="32"/>
      <c r="K352" s="33"/>
      <c r="L352" s="35"/>
      <c r="M352" s="33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3"/>
      <c r="H353" s="35"/>
      <c r="I353" s="32"/>
      <c r="J353" s="32"/>
      <c r="K353" s="33"/>
      <c r="L353" s="35"/>
      <c r="M353" s="33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3"/>
      <c r="H354" s="35"/>
      <c r="I354" s="32"/>
      <c r="J354" s="32"/>
      <c r="K354" s="33"/>
      <c r="L354" s="35"/>
      <c r="M354" s="33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3"/>
      <c r="H355" s="35"/>
      <c r="I355" s="32"/>
      <c r="J355" s="32"/>
      <c r="K355" s="33"/>
      <c r="L355" s="35"/>
      <c r="M355" s="33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3"/>
      <c r="H356" s="35"/>
      <c r="I356" s="32"/>
      <c r="J356" s="32"/>
      <c r="K356" s="33"/>
      <c r="L356" s="35"/>
      <c r="M356" s="33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3"/>
      <c r="H357" s="35"/>
      <c r="I357" s="32"/>
      <c r="J357" s="32"/>
      <c r="K357" s="33"/>
      <c r="L357" s="35"/>
      <c r="M357" s="33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3"/>
      <c r="H358" s="35"/>
      <c r="I358" s="32"/>
      <c r="J358" s="32"/>
      <c r="K358" s="33"/>
      <c r="L358" s="35"/>
      <c r="M358" s="33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3"/>
      <c r="H359" s="35"/>
      <c r="I359" s="32"/>
      <c r="J359" s="32"/>
      <c r="K359" s="33"/>
      <c r="L359" s="35"/>
      <c r="M359" s="33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3"/>
      <c r="H360" s="35"/>
      <c r="I360" s="32"/>
      <c r="J360" s="32"/>
      <c r="K360" s="33"/>
      <c r="L360" s="35"/>
      <c r="M360" s="33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3"/>
      <c r="H361" s="35"/>
      <c r="I361" s="32"/>
      <c r="J361" s="32"/>
      <c r="K361" s="33"/>
      <c r="L361" s="35"/>
      <c r="M361" s="33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3"/>
      <c r="H362" s="35"/>
      <c r="I362" s="32"/>
      <c r="J362" s="32"/>
      <c r="K362" s="33"/>
      <c r="L362" s="35"/>
      <c r="M362" s="33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3"/>
      <c r="H363" s="35"/>
      <c r="I363" s="32"/>
      <c r="J363" s="32"/>
      <c r="K363" s="33"/>
      <c r="L363" s="35"/>
      <c r="M363" s="33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3"/>
      <c r="H364" s="35"/>
      <c r="I364" s="32"/>
      <c r="J364" s="32"/>
      <c r="K364" s="33"/>
      <c r="L364" s="35"/>
      <c r="M364" s="33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3"/>
      <c r="H365" s="35"/>
      <c r="I365" s="32"/>
      <c r="J365" s="32"/>
      <c r="K365" s="33"/>
      <c r="L365" s="35"/>
      <c r="M365" s="33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3"/>
      <c r="H366" s="35"/>
      <c r="I366" s="32"/>
      <c r="J366" s="32"/>
      <c r="K366" s="33"/>
      <c r="L366" s="35"/>
      <c r="M366" s="33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3"/>
      <c r="H367" s="35"/>
      <c r="I367" s="32"/>
      <c r="J367" s="32"/>
      <c r="K367" s="33"/>
      <c r="L367" s="35"/>
      <c r="M367" s="33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3"/>
      <c r="H368" s="35"/>
      <c r="I368" s="32"/>
      <c r="J368" s="32"/>
      <c r="K368" s="33"/>
      <c r="L368" s="35"/>
      <c r="M368" s="33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3"/>
      <c r="H369" s="35"/>
      <c r="I369" s="32"/>
      <c r="J369" s="32"/>
      <c r="K369" s="33"/>
      <c r="L369" s="35"/>
      <c r="M369" s="33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3"/>
      <c r="H370" s="35"/>
      <c r="I370" s="32"/>
      <c r="J370" s="32"/>
      <c r="K370" s="33"/>
      <c r="L370" s="35"/>
      <c r="M370" s="33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3"/>
      <c r="H371" s="35"/>
      <c r="I371" s="32"/>
      <c r="J371" s="32"/>
      <c r="K371" s="33"/>
      <c r="L371" s="35"/>
      <c r="M371" s="33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3"/>
      <c r="H372" s="35"/>
      <c r="I372" s="32"/>
      <c r="J372" s="32"/>
      <c r="K372" s="33"/>
      <c r="L372" s="35"/>
      <c r="M372" s="33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3"/>
      <c r="H373" s="35"/>
      <c r="I373" s="32"/>
      <c r="J373" s="32"/>
      <c r="K373" s="33"/>
      <c r="L373" s="35"/>
      <c r="M373" s="33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3"/>
      <c r="H374" s="35"/>
      <c r="I374" s="32"/>
      <c r="J374" s="32"/>
      <c r="K374" s="33"/>
      <c r="L374" s="35"/>
      <c r="M374" s="33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3"/>
      <c r="H375" s="35"/>
      <c r="I375" s="32"/>
      <c r="J375" s="32"/>
      <c r="K375" s="33"/>
      <c r="L375" s="35"/>
      <c r="M375" s="33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3"/>
      <c r="H376" s="35"/>
      <c r="I376" s="32"/>
      <c r="J376" s="32"/>
      <c r="K376" s="33"/>
      <c r="L376" s="35"/>
      <c r="M376" s="33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3"/>
      <c r="H377" s="35"/>
      <c r="I377" s="32"/>
      <c r="J377" s="32"/>
      <c r="K377" s="33"/>
      <c r="L377" s="35"/>
      <c r="M377" s="33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3"/>
      <c r="H378" s="35"/>
      <c r="I378" s="32"/>
      <c r="J378" s="32"/>
      <c r="K378" s="33"/>
      <c r="L378" s="35"/>
      <c r="M378" s="33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3"/>
      <c r="H379" s="35"/>
      <c r="I379" s="32"/>
      <c r="J379" s="32"/>
      <c r="K379" s="33"/>
      <c r="L379" s="35"/>
      <c r="M379" s="33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3"/>
      <c r="H380" s="35"/>
      <c r="I380" s="32"/>
      <c r="J380" s="32"/>
      <c r="K380" s="33"/>
      <c r="L380" s="35"/>
      <c r="M380" s="33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3"/>
      <c r="H381" s="35"/>
      <c r="I381" s="32"/>
      <c r="J381" s="32"/>
      <c r="K381" s="33"/>
      <c r="L381" s="35"/>
      <c r="M381" s="33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3"/>
      <c r="H382" s="35"/>
      <c r="I382" s="32"/>
      <c r="J382" s="32"/>
      <c r="K382" s="33"/>
      <c r="L382" s="35"/>
      <c r="M382" s="33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3"/>
      <c r="H383" s="35"/>
      <c r="I383" s="32"/>
      <c r="J383" s="32"/>
      <c r="K383" s="33"/>
      <c r="L383" s="35"/>
      <c r="M383" s="33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3"/>
      <c r="H384" s="35"/>
      <c r="I384" s="32"/>
      <c r="J384" s="32"/>
      <c r="K384" s="33"/>
      <c r="L384" s="35"/>
      <c r="M384" s="33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3"/>
      <c r="H385" s="35"/>
      <c r="I385" s="32"/>
      <c r="J385" s="32"/>
      <c r="K385" s="33"/>
      <c r="L385" s="35"/>
      <c r="M385" s="33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3"/>
      <c r="H386" s="35"/>
      <c r="I386" s="32"/>
      <c r="J386" s="32"/>
      <c r="K386" s="33"/>
      <c r="L386" s="35"/>
      <c r="M386" s="33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3"/>
      <c r="H387" s="35"/>
      <c r="I387" s="32"/>
      <c r="J387" s="32"/>
      <c r="K387" s="33"/>
      <c r="L387" s="35"/>
      <c r="M387" s="33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3"/>
      <c r="H388" s="35"/>
      <c r="I388" s="32"/>
      <c r="J388" s="32"/>
      <c r="K388" s="33"/>
      <c r="L388" s="35"/>
      <c r="M388" s="33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3"/>
      <c r="H389" s="35"/>
      <c r="I389" s="32"/>
      <c r="J389" s="32"/>
      <c r="K389" s="33"/>
      <c r="L389" s="35"/>
      <c r="M389" s="33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3"/>
      <c r="H390" s="35"/>
      <c r="I390" s="32"/>
      <c r="J390" s="32"/>
      <c r="K390" s="33"/>
      <c r="L390" s="35"/>
      <c r="M390" s="33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3"/>
      <c r="H391" s="35"/>
      <c r="I391" s="32"/>
      <c r="J391" s="32"/>
      <c r="K391" s="33"/>
      <c r="L391" s="35"/>
      <c r="M391" s="33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3"/>
      <c r="H392" s="35"/>
      <c r="I392" s="32"/>
      <c r="J392" s="32"/>
      <c r="K392" s="33"/>
      <c r="L392" s="35"/>
      <c r="M392" s="33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3"/>
      <c r="H393" s="35"/>
      <c r="I393" s="32"/>
      <c r="J393" s="32"/>
      <c r="K393" s="33"/>
      <c r="L393" s="35"/>
      <c r="M393" s="33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3"/>
      <c r="H394" s="35"/>
      <c r="I394" s="32"/>
      <c r="J394" s="32"/>
      <c r="K394" s="33"/>
      <c r="L394" s="35"/>
      <c r="M394" s="33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3"/>
      <c r="H395" s="35"/>
      <c r="I395" s="32"/>
      <c r="J395" s="32"/>
      <c r="K395" s="33"/>
      <c r="L395" s="35"/>
      <c r="M395" s="33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3"/>
      <c r="H396" s="35"/>
      <c r="I396" s="32"/>
      <c r="J396" s="32"/>
      <c r="K396" s="33"/>
      <c r="L396" s="35"/>
      <c r="M396" s="33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3"/>
      <c r="H397" s="35"/>
      <c r="I397" s="32"/>
      <c r="J397" s="32"/>
      <c r="K397" s="33"/>
      <c r="L397" s="35"/>
      <c r="M397" s="33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3"/>
      <c r="H398" s="35"/>
      <c r="I398" s="32"/>
      <c r="J398" s="32"/>
      <c r="K398" s="33"/>
      <c r="L398" s="35"/>
      <c r="M398" s="33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3"/>
      <c r="H399" s="35"/>
      <c r="I399" s="32"/>
      <c r="J399" s="32"/>
      <c r="K399" s="33"/>
      <c r="L399" s="35"/>
      <c r="M399" s="33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3"/>
      <c r="H400" s="35"/>
      <c r="I400" s="32"/>
      <c r="J400" s="32"/>
      <c r="K400" s="33"/>
      <c r="L400" s="35"/>
      <c r="M400" s="33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3"/>
      <c r="H401" s="35"/>
      <c r="I401" s="32"/>
      <c r="J401" s="32"/>
      <c r="K401" s="33"/>
      <c r="L401" s="35"/>
      <c r="M401" s="33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3"/>
      <c r="H402" s="35"/>
      <c r="I402" s="32"/>
      <c r="J402" s="32"/>
      <c r="K402" s="33"/>
      <c r="L402" s="35"/>
      <c r="M402" s="33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3"/>
      <c r="H403" s="35"/>
      <c r="I403" s="32"/>
      <c r="J403" s="32"/>
      <c r="K403" s="33"/>
      <c r="L403" s="35"/>
      <c r="M403" s="33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3"/>
      <c r="H404" s="35"/>
      <c r="I404" s="32"/>
      <c r="J404" s="32"/>
      <c r="K404" s="33"/>
      <c r="L404" s="35"/>
      <c r="M404" s="33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3"/>
      <c r="H405" s="35"/>
      <c r="I405" s="32"/>
      <c r="J405" s="32"/>
      <c r="K405" s="33"/>
      <c r="L405" s="35"/>
      <c r="M405" s="33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3"/>
      <c r="H406" s="35"/>
      <c r="I406" s="32"/>
      <c r="J406" s="32"/>
      <c r="K406" s="33"/>
      <c r="L406" s="35"/>
      <c r="M406" s="33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3"/>
      <c r="H407" s="35"/>
      <c r="I407" s="32"/>
      <c r="J407" s="32"/>
      <c r="K407" s="33"/>
      <c r="L407" s="35"/>
      <c r="M407" s="33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3"/>
      <c r="H408" s="35"/>
      <c r="I408" s="32"/>
      <c r="J408" s="32"/>
      <c r="K408" s="33"/>
      <c r="L408" s="35"/>
      <c r="M408" s="33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3"/>
      <c r="H409" s="35"/>
      <c r="I409" s="32"/>
      <c r="J409" s="32"/>
      <c r="K409" s="33"/>
      <c r="L409" s="35"/>
      <c r="M409" s="33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3"/>
      <c r="H410" s="35"/>
      <c r="I410" s="32"/>
      <c r="J410" s="32"/>
      <c r="K410" s="33"/>
      <c r="L410" s="35"/>
      <c r="M410" s="33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3"/>
      <c r="H411" s="35"/>
      <c r="I411" s="32"/>
      <c r="J411" s="32"/>
      <c r="K411" s="33"/>
      <c r="L411" s="35"/>
      <c r="M411" s="33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3"/>
      <c r="H412" s="35"/>
      <c r="I412" s="32"/>
      <c r="J412" s="32"/>
      <c r="K412" s="33"/>
      <c r="L412" s="35"/>
      <c r="M412" s="33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3"/>
      <c r="H413" s="35"/>
      <c r="I413" s="32"/>
      <c r="J413" s="32"/>
      <c r="K413" s="33"/>
      <c r="L413" s="35"/>
      <c r="M413" s="33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3"/>
      <c r="H414" s="35"/>
      <c r="I414" s="32"/>
      <c r="J414" s="32"/>
      <c r="K414" s="33"/>
      <c r="L414" s="35"/>
      <c r="M414" s="33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3"/>
      <c r="H415" s="35"/>
      <c r="I415" s="32"/>
      <c r="J415" s="32"/>
      <c r="K415" s="33"/>
      <c r="L415" s="35"/>
      <c r="M415" s="33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3"/>
      <c r="H416" s="35"/>
      <c r="I416" s="32"/>
      <c r="J416" s="32"/>
      <c r="K416" s="33"/>
      <c r="L416" s="35"/>
      <c r="M416" s="33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3"/>
      <c r="H417" s="35"/>
      <c r="I417" s="32"/>
      <c r="J417" s="32"/>
      <c r="K417" s="33"/>
      <c r="L417" s="35"/>
      <c r="M417" s="33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3"/>
      <c r="H418" s="35"/>
      <c r="I418" s="32"/>
      <c r="J418" s="32"/>
      <c r="K418" s="33"/>
      <c r="L418" s="35"/>
      <c r="M418" s="33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3"/>
      <c r="H419" s="35"/>
      <c r="I419" s="32"/>
      <c r="J419" s="32"/>
      <c r="K419" s="33"/>
      <c r="L419" s="35"/>
      <c r="M419" s="33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3"/>
      <c r="H420" s="35"/>
      <c r="I420" s="32"/>
      <c r="J420" s="32"/>
      <c r="K420" s="33"/>
      <c r="L420" s="35"/>
      <c r="M420" s="33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3"/>
      <c r="H421" s="35"/>
      <c r="I421" s="32"/>
      <c r="J421" s="32"/>
      <c r="K421" s="33"/>
      <c r="L421" s="35"/>
      <c r="M421" s="33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3"/>
      <c r="H422" s="35"/>
      <c r="I422" s="32"/>
      <c r="J422" s="32"/>
      <c r="K422" s="33"/>
      <c r="L422" s="35"/>
      <c r="M422" s="33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3"/>
      <c r="H423" s="35"/>
      <c r="I423" s="32"/>
      <c r="J423" s="32"/>
      <c r="K423" s="33"/>
      <c r="L423" s="35"/>
      <c r="M423" s="33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3"/>
      <c r="H424" s="35"/>
      <c r="I424" s="32"/>
      <c r="J424" s="32"/>
      <c r="K424" s="33"/>
      <c r="L424" s="35"/>
      <c r="M424" s="33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3"/>
      <c r="H425" s="35"/>
      <c r="I425" s="32"/>
      <c r="J425" s="32"/>
      <c r="K425" s="33"/>
      <c r="L425" s="35"/>
      <c r="M425" s="33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3"/>
      <c r="H426" s="35"/>
      <c r="I426" s="32"/>
      <c r="J426" s="32"/>
      <c r="K426" s="33"/>
      <c r="L426" s="35"/>
      <c r="M426" s="33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3"/>
      <c r="H427" s="35"/>
      <c r="I427" s="32"/>
      <c r="J427" s="32"/>
      <c r="K427" s="33"/>
      <c r="L427" s="35"/>
      <c r="M427" s="33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3"/>
      <c r="H428" s="35"/>
      <c r="I428" s="32"/>
      <c r="J428" s="32"/>
      <c r="K428" s="33"/>
      <c r="L428" s="35"/>
      <c r="M428" s="33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3"/>
      <c r="H429" s="35"/>
      <c r="I429" s="32"/>
      <c r="J429" s="32"/>
      <c r="K429" s="33"/>
      <c r="L429" s="35"/>
      <c r="M429" s="33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3"/>
      <c r="H430" s="35"/>
      <c r="I430" s="32"/>
      <c r="J430" s="32"/>
      <c r="K430" s="33"/>
      <c r="L430" s="35"/>
      <c r="M430" s="33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3"/>
      <c r="H431" s="35"/>
      <c r="I431" s="32"/>
      <c r="J431" s="32"/>
      <c r="K431" s="33"/>
      <c r="L431" s="35"/>
      <c r="M431" s="33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3"/>
      <c r="H432" s="35"/>
      <c r="I432" s="32"/>
      <c r="J432" s="32"/>
      <c r="K432" s="33"/>
      <c r="L432" s="35"/>
      <c r="M432" s="33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3"/>
      <c r="H433" s="35"/>
      <c r="I433" s="32"/>
      <c r="J433" s="32"/>
      <c r="K433" s="33"/>
      <c r="L433" s="35"/>
      <c r="M433" s="33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3"/>
      <c r="H434" s="35"/>
      <c r="I434" s="32"/>
      <c r="J434" s="32"/>
      <c r="K434" s="33"/>
      <c r="L434" s="35"/>
      <c r="M434" s="33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3"/>
      <c r="H435" s="35"/>
      <c r="I435" s="32"/>
      <c r="J435" s="32"/>
      <c r="K435" s="33"/>
      <c r="L435" s="35"/>
      <c r="M435" s="33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3"/>
      <c r="H436" s="35"/>
      <c r="I436" s="32"/>
      <c r="J436" s="32"/>
      <c r="K436" s="33"/>
      <c r="L436" s="35"/>
      <c r="M436" s="33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3"/>
      <c r="H437" s="35"/>
      <c r="I437" s="32"/>
      <c r="J437" s="32"/>
      <c r="K437" s="33"/>
      <c r="L437" s="35"/>
      <c r="M437" s="33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3"/>
      <c r="H438" s="35"/>
      <c r="I438" s="32"/>
      <c r="J438" s="32"/>
      <c r="K438" s="33"/>
      <c r="L438" s="35"/>
      <c r="M438" s="33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3"/>
      <c r="H439" s="35"/>
      <c r="I439" s="32"/>
      <c r="J439" s="32"/>
      <c r="K439" s="33"/>
      <c r="L439" s="35"/>
      <c r="M439" s="33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3"/>
      <c r="H440" s="35"/>
      <c r="I440" s="32"/>
      <c r="J440" s="32"/>
      <c r="K440" s="33"/>
      <c r="L440" s="35"/>
      <c r="M440" s="33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3"/>
      <c r="H441" s="35"/>
      <c r="I441" s="32"/>
      <c r="J441" s="32"/>
      <c r="K441" s="33"/>
      <c r="L441" s="35"/>
      <c r="M441" s="33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3"/>
      <c r="H442" s="35"/>
      <c r="I442" s="32"/>
      <c r="J442" s="32"/>
      <c r="K442" s="33"/>
      <c r="L442" s="35"/>
      <c r="M442" s="33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3"/>
      <c r="H443" s="35"/>
      <c r="I443" s="32"/>
      <c r="J443" s="32"/>
      <c r="K443" s="33"/>
      <c r="L443" s="35"/>
      <c r="M443" s="33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3"/>
      <c r="H444" s="35"/>
      <c r="I444" s="32"/>
      <c r="J444" s="32"/>
      <c r="K444" s="33"/>
      <c r="L444" s="35"/>
      <c r="M444" s="33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3"/>
      <c r="H445" s="35"/>
      <c r="I445" s="32"/>
      <c r="J445" s="32"/>
      <c r="K445" s="33"/>
      <c r="L445" s="35"/>
      <c r="M445" s="33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3"/>
      <c r="H446" s="35"/>
      <c r="I446" s="32"/>
      <c r="J446" s="32"/>
      <c r="K446" s="33"/>
      <c r="L446" s="35"/>
      <c r="M446" s="33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3"/>
      <c r="H447" s="35"/>
      <c r="I447" s="32"/>
      <c r="J447" s="32"/>
      <c r="K447" s="33"/>
      <c r="L447" s="35"/>
      <c r="M447" s="33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3"/>
      <c r="H448" s="35"/>
      <c r="I448" s="32"/>
      <c r="J448" s="32"/>
      <c r="K448" s="33"/>
      <c r="L448" s="35"/>
      <c r="M448" s="33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3"/>
      <c r="H449" s="35"/>
      <c r="I449" s="32"/>
      <c r="J449" s="32"/>
      <c r="K449" s="33"/>
      <c r="L449" s="35"/>
      <c r="M449" s="33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3"/>
      <c r="H450" s="35"/>
      <c r="I450" s="32"/>
      <c r="J450" s="32"/>
      <c r="K450" s="33"/>
      <c r="L450" s="35"/>
      <c r="M450" s="33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3"/>
      <c r="H451" s="35"/>
      <c r="I451" s="32"/>
      <c r="J451" s="32"/>
      <c r="K451" s="33"/>
      <c r="L451" s="35"/>
      <c r="M451" s="33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3"/>
      <c r="H452" s="35"/>
      <c r="I452" s="32"/>
      <c r="J452" s="32"/>
      <c r="K452" s="33"/>
      <c r="L452" s="35"/>
      <c r="M452" s="33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3"/>
      <c r="H453" s="35"/>
      <c r="I453" s="32"/>
      <c r="J453" s="32"/>
      <c r="K453" s="33"/>
      <c r="L453" s="35"/>
      <c r="M453" s="33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3"/>
      <c r="H454" s="35"/>
      <c r="I454" s="32"/>
      <c r="J454" s="32"/>
      <c r="K454" s="33"/>
      <c r="L454" s="35"/>
      <c r="M454" s="33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3"/>
      <c r="H455" s="35"/>
      <c r="I455" s="32"/>
      <c r="J455" s="32"/>
      <c r="K455" s="33"/>
      <c r="L455" s="35"/>
      <c r="M455" s="33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3"/>
      <c r="H456" s="35"/>
      <c r="I456" s="32"/>
      <c r="J456" s="32"/>
      <c r="K456" s="33"/>
      <c r="L456" s="35"/>
      <c r="M456" s="33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3"/>
      <c r="H457" s="35"/>
      <c r="I457" s="32"/>
      <c r="J457" s="32"/>
      <c r="K457" s="33"/>
      <c r="L457" s="35"/>
      <c r="M457" s="33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3"/>
      <c r="H458" s="35"/>
      <c r="I458" s="32"/>
      <c r="J458" s="32"/>
      <c r="K458" s="33"/>
      <c r="L458" s="35"/>
      <c r="M458" s="33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3"/>
      <c r="H459" s="35"/>
      <c r="I459" s="32"/>
      <c r="J459" s="32"/>
      <c r="K459" s="33"/>
      <c r="L459" s="35"/>
      <c r="M459" s="33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3"/>
      <c r="H460" s="35"/>
      <c r="I460" s="32"/>
      <c r="J460" s="32"/>
      <c r="K460" s="33"/>
      <c r="L460" s="35"/>
      <c r="M460" s="33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3"/>
      <c r="H461" s="35"/>
      <c r="I461" s="32"/>
      <c r="J461" s="32"/>
      <c r="K461" s="33"/>
      <c r="L461" s="35"/>
      <c r="M461" s="33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3"/>
      <c r="H462" s="35"/>
      <c r="I462" s="32"/>
      <c r="J462" s="32"/>
      <c r="K462" s="33"/>
      <c r="L462" s="35"/>
      <c r="M462" s="33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3"/>
      <c r="H463" s="35"/>
      <c r="I463" s="32"/>
      <c r="J463" s="32"/>
      <c r="K463" s="33"/>
      <c r="L463" s="35"/>
      <c r="M463" s="33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3"/>
      <c r="H464" s="35"/>
      <c r="I464" s="32"/>
      <c r="J464" s="32"/>
      <c r="K464" s="33"/>
      <c r="L464" s="35"/>
      <c r="M464" s="33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3"/>
      <c r="H465" s="35"/>
      <c r="I465" s="32"/>
      <c r="J465" s="32"/>
      <c r="K465" s="33"/>
      <c r="L465" s="35"/>
      <c r="M465" s="33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3"/>
      <c r="H466" s="35"/>
      <c r="I466" s="32"/>
      <c r="J466" s="32"/>
      <c r="K466" s="33"/>
      <c r="L466" s="35"/>
      <c r="M466" s="33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3"/>
      <c r="H467" s="35"/>
      <c r="I467" s="32"/>
      <c r="J467" s="32"/>
      <c r="K467" s="33"/>
      <c r="L467" s="35"/>
      <c r="M467" s="33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3"/>
      <c r="H468" s="35"/>
      <c r="I468" s="32"/>
      <c r="J468" s="32"/>
      <c r="K468" s="33"/>
      <c r="L468" s="35"/>
      <c r="M468" s="33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3"/>
      <c r="H469" s="35"/>
      <c r="I469" s="32"/>
      <c r="J469" s="32"/>
      <c r="K469" s="33"/>
      <c r="L469" s="35"/>
      <c r="M469" s="33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3"/>
      <c r="H470" s="35"/>
      <c r="I470" s="32"/>
      <c r="J470" s="32"/>
      <c r="K470" s="33"/>
      <c r="L470" s="35"/>
      <c r="M470" s="33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3"/>
      <c r="H471" s="35"/>
      <c r="I471" s="32"/>
      <c r="J471" s="32"/>
      <c r="K471" s="33"/>
      <c r="L471" s="35"/>
      <c r="M471" s="33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3"/>
      <c r="H472" s="35"/>
      <c r="I472" s="32"/>
      <c r="J472" s="32"/>
      <c r="K472" s="33"/>
      <c r="L472" s="35"/>
      <c r="M472" s="33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3"/>
      <c r="H473" s="35"/>
      <c r="I473" s="32"/>
      <c r="J473" s="32"/>
      <c r="K473" s="33"/>
      <c r="L473" s="35"/>
      <c r="M473" s="33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3"/>
      <c r="H474" s="35"/>
      <c r="I474" s="32"/>
      <c r="J474" s="32"/>
      <c r="K474" s="33"/>
      <c r="L474" s="35"/>
      <c r="M474" s="33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3"/>
      <c r="H475" s="35"/>
      <c r="I475" s="32"/>
      <c r="J475" s="32"/>
      <c r="K475" s="33"/>
      <c r="L475" s="35"/>
      <c r="M475" s="33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3"/>
      <c r="H476" s="35"/>
      <c r="I476" s="32"/>
      <c r="J476" s="32"/>
      <c r="K476" s="33"/>
      <c r="L476" s="35"/>
      <c r="M476" s="33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3"/>
      <c r="H477" s="35"/>
      <c r="I477" s="32"/>
      <c r="J477" s="32"/>
      <c r="K477" s="33"/>
      <c r="L477" s="35"/>
      <c r="M477" s="33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3"/>
      <c r="H478" s="35"/>
      <c r="I478" s="32"/>
      <c r="J478" s="32"/>
      <c r="K478" s="33"/>
      <c r="L478" s="35"/>
      <c r="M478" s="33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3"/>
      <c r="H479" s="35"/>
      <c r="I479" s="32"/>
      <c r="J479" s="32"/>
      <c r="K479" s="33"/>
      <c r="L479" s="35"/>
      <c r="M479" s="33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3"/>
      <c r="H480" s="35"/>
      <c r="I480" s="32"/>
      <c r="J480" s="32"/>
      <c r="K480" s="33"/>
      <c r="L480" s="35"/>
      <c r="M480" s="33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3"/>
      <c r="H481" s="35"/>
      <c r="I481" s="32"/>
      <c r="J481" s="32"/>
      <c r="K481" s="33"/>
      <c r="L481" s="35"/>
      <c r="M481" s="33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3"/>
      <c r="H482" s="35"/>
      <c r="I482" s="32"/>
      <c r="J482" s="32"/>
      <c r="K482" s="33"/>
      <c r="L482" s="35"/>
      <c r="M482" s="33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3"/>
      <c r="H483" s="35"/>
      <c r="I483" s="32"/>
      <c r="J483" s="32"/>
      <c r="K483" s="33"/>
      <c r="L483" s="35"/>
      <c r="M483" s="33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3"/>
      <c r="H484" s="35"/>
      <c r="I484" s="32"/>
      <c r="J484" s="32"/>
      <c r="K484" s="33"/>
      <c r="L484" s="35"/>
      <c r="M484" s="33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3"/>
      <c r="H485" s="35"/>
      <c r="I485" s="32"/>
      <c r="J485" s="32"/>
      <c r="K485" s="33"/>
      <c r="L485" s="35"/>
      <c r="M485" s="33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3"/>
      <c r="H486" s="35"/>
      <c r="I486" s="32"/>
      <c r="J486" s="32"/>
      <c r="K486" s="33"/>
      <c r="L486" s="35"/>
      <c r="M486" s="33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3"/>
      <c r="H487" s="35"/>
      <c r="I487" s="32"/>
      <c r="J487" s="32"/>
      <c r="K487" s="33"/>
      <c r="L487" s="35"/>
      <c r="M487" s="33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3"/>
      <c r="H488" s="35"/>
      <c r="I488" s="32"/>
      <c r="J488" s="32"/>
      <c r="K488" s="33"/>
      <c r="L488" s="35"/>
      <c r="M488" s="33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3"/>
      <c r="H489" s="35"/>
      <c r="I489" s="32"/>
      <c r="J489" s="32"/>
      <c r="K489" s="33"/>
      <c r="L489" s="35"/>
      <c r="M489" s="33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3"/>
      <c r="H490" s="35"/>
      <c r="I490" s="32"/>
      <c r="J490" s="32"/>
      <c r="K490" s="33"/>
      <c r="L490" s="35"/>
      <c r="M490" s="33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3"/>
      <c r="H491" s="35"/>
      <c r="I491" s="32"/>
      <c r="J491" s="32"/>
      <c r="K491" s="33"/>
      <c r="L491" s="35"/>
      <c r="M491" s="33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3"/>
      <c r="H492" s="35"/>
      <c r="I492" s="32"/>
      <c r="J492" s="32"/>
      <c r="K492" s="33"/>
      <c r="L492" s="35"/>
      <c r="M492" s="33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3"/>
      <c r="H493" s="35"/>
      <c r="I493" s="32"/>
      <c r="J493" s="32"/>
      <c r="K493" s="33"/>
      <c r="L493" s="35"/>
      <c r="M493" s="33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3"/>
      <c r="H494" s="35"/>
      <c r="I494" s="32"/>
      <c r="J494" s="32"/>
      <c r="K494" s="33"/>
      <c r="L494" s="35"/>
      <c r="M494" s="33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3"/>
      <c r="H495" s="35"/>
      <c r="I495" s="32"/>
      <c r="J495" s="32"/>
      <c r="K495" s="33"/>
      <c r="L495" s="35"/>
      <c r="M495" s="33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3"/>
      <c r="H496" s="35"/>
      <c r="I496" s="32"/>
      <c r="J496" s="32"/>
      <c r="K496" s="33"/>
      <c r="L496" s="35"/>
      <c r="M496" s="33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3"/>
      <c r="H497" s="35"/>
      <c r="I497" s="32"/>
      <c r="J497" s="32"/>
      <c r="K497" s="33"/>
      <c r="L497" s="35"/>
      <c r="M497" s="33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3"/>
      <c r="H498" s="35"/>
      <c r="I498" s="32"/>
      <c r="J498" s="32"/>
      <c r="K498" s="33"/>
      <c r="L498" s="35"/>
      <c r="M498" s="33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3"/>
      <c r="H499" s="35"/>
      <c r="I499" s="32"/>
      <c r="J499" s="32"/>
      <c r="K499" s="33"/>
      <c r="L499" s="35"/>
      <c r="M499" s="33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3"/>
      <c r="H500" s="35"/>
      <c r="I500" s="32"/>
      <c r="J500" s="32"/>
      <c r="K500" s="33"/>
      <c r="L500" s="35"/>
      <c r="M500" s="33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3"/>
      <c r="H501" s="35"/>
      <c r="I501" s="32"/>
      <c r="J501" s="32"/>
      <c r="K501" s="33"/>
      <c r="L501" s="35"/>
      <c r="M501" s="33"/>
    </row>
  </sheetData>
  <autoFilter ref="A1:M501"/>
  <conditionalFormatting sqref="I2:I501">
    <cfRule type="expression" priority="2" aboveAverage="0" equalAverage="0" bottom="0" percent="0" rank="0" text="" dxfId="16">
      <formula>OR(I2="Done",I2="Closed",I2="Complete",I2="Paid")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H2:H501 L2:L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C2:C501" type="list">
      <formula1>lst_EnquiryCategory</formula1>
      <formula2>0</formula2>
    </dataValidation>
    <dataValidation allowBlank="true" error="Pick a value from the list." errorStyle="stop" errorTitle="Invalid entry" operator="between" showDropDown="false" showErrorMessage="false" showInputMessage="false" sqref="I2:I501" type="list">
      <formula1>lst_EnquiryStatus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2"/>
  </cols>
  <sheetData>
    <row r="1" customFormat="false" ht="33.75" hidden="false" customHeight="true" outlineLevel="0" collapsed="false">
      <c r="A1" s="17" t="s">
        <v>110</v>
      </c>
      <c r="B1" s="17" t="s">
        <v>358</v>
      </c>
      <c r="C1" s="17" t="s">
        <v>193</v>
      </c>
      <c r="D1" s="17" t="s">
        <v>214</v>
      </c>
      <c r="E1" s="17" t="s">
        <v>359</v>
      </c>
      <c r="F1" s="17" t="s">
        <v>111</v>
      </c>
      <c r="G1" s="17" t="s">
        <v>360</v>
      </c>
      <c r="H1" s="17" t="s">
        <v>361</v>
      </c>
      <c r="I1" s="17" t="s">
        <v>362</v>
      </c>
      <c r="J1" s="17" t="s">
        <v>363</v>
      </c>
      <c r="K1" s="17" t="s">
        <v>364</v>
      </c>
      <c r="L1" s="17" t="s">
        <v>365</v>
      </c>
      <c r="M1" s="17" t="s">
        <v>366</v>
      </c>
      <c r="N1" s="17" t="s">
        <v>235</v>
      </c>
    </row>
    <row r="2" customFormat="false" ht="15" hidden="false" customHeight="false" outlineLevel="0" collapsed="false">
      <c r="A2" s="32"/>
      <c r="B2" s="32"/>
      <c r="C2" s="32"/>
      <c r="D2" s="33"/>
      <c r="E2" s="32"/>
      <c r="F2" s="32"/>
      <c r="G2" s="35"/>
      <c r="H2" s="35"/>
      <c r="I2" s="41"/>
      <c r="J2" s="34"/>
      <c r="K2" s="32"/>
      <c r="L2" s="34"/>
      <c r="M2" s="35"/>
      <c r="N2" s="33"/>
    </row>
    <row r="3" customFormat="false" ht="15" hidden="false" customHeight="false" outlineLevel="0" collapsed="false">
      <c r="A3" s="32"/>
      <c r="B3" s="32"/>
      <c r="C3" s="32"/>
      <c r="D3" s="33"/>
      <c r="E3" s="32"/>
      <c r="F3" s="32"/>
      <c r="G3" s="35"/>
      <c r="H3" s="35"/>
      <c r="I3" s="41"/>
      <c r="J3" s="34"/>
      <c r="K3" s="32"/>
      <c r="L3" s="34"/>
      <c r="M3" s="35"/>
      <c r="N3" s="33"/>
    </row>
    <row r="4" customFormat="false" ht="15" hidden="false" customHeight="false" outlineLevel="0" collapsed="false">
      <c r="A4" s="32"/>
      <c r="B4" s="32"/>
      <c r="C4" s="32"/>
      <c r="D4" s="33"/>
      <c r="E4" s="32"/>
      <c r="F4" s="32"/>
      <c r="G4" s="35"/>
      <c r="H4" s="35"/>
      <c r="I4" s="41"/>
      <c r="J4" s="34"/>
      <c r="K4" s="32"/>
      <c r="L4" s="34"/>
      <c r="M4" s="35"/>
      <c r="N4" s="33"/>
    </row>
    <row r="5" customFormat="false" ht="15" hidden="false" customHeight="false" outlineLevel="0" collapsed="false">
      <c r="A5" s="32"/>
      <c r="B5" s="32"/>
      <c r="C5" s="32"/>
      <c r="D5" s="33"/>
      <c r="E5" s="32"/>
      <c r="F5" s="32"/>
      <c r="G5" s="35"/>
      <c r="H5" s="35"/>
      <c r="I5" s="41"/>
      <c r="J5" s="34"/>
      <c r="K5" s="32"/>
      <c r="L5" s="34"/>
      <c r="M5" s="35"/>
      <c r="N5" s="33"/>
    </row>
    <row r="6" customFormat="false" ht="15" hidden="false" customHeight="false" outlineLevel="0" collapsed="false">
      <c r="A6" s="32"/>
      <c r="B6" s="32"/>
      <c r="C6" s="32"/>
      <c r="D6" s="33"/>
      <c r="E6" s="32"/>
      <c r="F6" s="32"/>
      <c r="G6" s="35"/>
      <c r="H6" s="35"/>
      <c r="I6" s="41"/>
      <c r="J6" s="34"/>
      <c r="K6" s="32"/>
      <c r="L6" s="34"/>
      <c r="M6" s="35"/>
      <c r="N6" s="33"/>
    </row>
    <row r="7" customFormat="false" ht="15" hidden="false" customHeight="false" outlineLevel="0" collapsed="false">
      <c r="A7" s="32"/>
      <c r="B7" s="32"/>
      <c r="C7" s="32"/>
      <c r="D7" s="33"/>
      <c r="E7" s="32"/>
      <c r="F7" s="32"/>
      <c r="G7" s="35"/>
      <c r="H7" s="35"/>
      <c r="I7" s="41"/>
      <c r="J7" s="34"/>
      <c r="K7" s="32"/>
      <c r="L7" s="34"/>
      <c r="M7" s="35"/>
      <c r="N7" s="33"/>
    </row>
    <row r="8" customFormat="false" ht="15" hidden="false" customHeight="false" outlineLevel="0" collapsed="false">
      <c r="A8" s="32"/>
      <c r="B8" s="32"/>
      <c r="C8" s="32"/>
      <c r="D8" s="33"/>
      <c r="E8" s="32"/>
      <c r="F8" s="32"/>
      <c r="G8" s="35"/>
      <c r="H8" s="35"/>
      <c r="I8" s="41"/>
      <c r="J8" s="34"/>
      <c r="K8" s="32"/>
      <c r="L8" s="34"/>
      <c r="M8" s="35"/>
      <c r="N8" s="33"/>
    </row>
    <row r="9" customFormat="false" ht="15" hidden="false" customHeight="false" outlineLevel="0" collapsed="false">
      <c r="A9" s="32"/>
      <c r="B9" s="32"/>
      <c r="C9" s="32"/>
      <c r="D9" s="33"/>
      <c r="E9" s="32"/>
      <c r="F9" s="32"/>
      <c r="G9" s="35"/>
      <c r="H9" s="35"/>
      <c r="I9" s="41"/>
      <c r="J9" s="34"/>
      <c r="K9" s="32"/>
      <c r="L9" s="34"/>
      <c r="M9" s="35"/>
      <c r="N9" s="33"/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2"/>
      <c r="G10" s="35"/>
      <c r="H10" s="35"/>
      <c r="I10" s="41"/>
      <c r="J10" s="34"/>
      <c r="K10" s="32"/>
      <c r="L10" s="34"/>
      <c r="M10" s="35"/>
      <c r="N10" s="33"/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2"/>
      <c r="G11" s="35"/>
      <c r="H11" s="35"/>
      <c r="I11" s="41"/>
      <c r="J11" s="34"/>
      <c r="K11" s="32"/>
      <c r="L11" s="34"/>
      <c r="M11" s="35"/>
      <c r="N11" s="33"/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2"/>
      <c r="G12" s="35"/>
      <c r="H12" s="35"/>
      <c r="I12" s="41"/>
      <c r="J12" s="34"/>
      <c r="K12" s="32"/>
      <c r="L12" s="34"/>
      <c r="M12" s="35"/>
      <c r="N12" s="33"/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2"/>
      <c r="G13" s="35"/>
      <c r="H13" s="35"/>
      <c r="I13" s="41"/>
      <c r="J13" s="34"/>
      <c r="K13" s="32"/>
      <c r="L13" s="34"/>
      <c r="M13" s="35"/>
      <c r="N13" s="33"/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2"/>
      <c r="G14" s="35"/>
      <c r="H14" s="35"/>
      <c r="I14" s="41"/>
      <c r="J14" s="34"/>
      <c r="K14" s="32"/>
      <c r="L14" s="34"/>
      <c r="M14" s="35"/>
      <c r="N14" s="33"/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2"/>
      <c r="G15" s="35"/>
      <c r="H15" s="35"/>
      <c r="I15" s="41"/>
      <c r="J15" s="34"/>
      <c r="K15" s="32"/>
      <c r="L15" s="34"/>
      <c r="M15" s="35"/>
      <c r="N15" s="33"/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2"/>
      <c r="G16" s="35"/>
      <c r="H16" s="35"/>
      <c r="I16" s="41"/>
      <c r="J16" s="34"/>
      <c r="K16" s="32"/>
      <c r="L16" s="34"/>
      <c r="M16" s="35"/>
      <c r="N16" s="33"/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2"/>
      <c r="G17" s="35"/>
      <c r="H17" s="35"/>
      <c r="I17" s="41"/>
      <c r="J17" s="34"/>
      <c r="K17" s="32"/>
      <c r="L17" s="34"/>
      <c r="M17" s="35"/>
      <c r="N17" s="33"/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2"/>
      <c r="G18" s="35"/>
      <c r="H18" s="35"/>
      <c r="I18" s="41"/>
      <c r="J18" s="34"/>
      <c r="K18" s="32"/>
      <c r="L18" s="34"/>
      <c r="M18" s="35"/>
      <c r="N18" s="33"/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2"/>
      <c r="G19" s="35"/>
      <c r="H19" s="35"/>
      <c r="I19" s="41"/>
      <c r="J19" s="34"/>
      <c r="K19" s="32"/>
      <c r="L19" s="34"/>
      <c r="M19" s="35"/>
      <c r="N19" s="33"/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2"/>
      <c r="G20" s="35"/>
      <c r="H20" s="35"/>
      <c r="I20" s="41"/>
      <c r="J20" s="34"/>
      <c r="K20" s="32"/>
      <c r="L20" s="34"/>
      <c r="M20" s="35"/>
      <c r="N20" s="33"/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2"/>
      <c r="G21" s="35"/>
      <c r="H21" s="35"/>
      <c r="I21" s="41"/>
      <c r="J21" s="34"/>
      <c r="K21" s="32"/>
      <c r="L21" s="34"/>
      <c r="M21" s="35"/>
      <c r="N21" s="33"/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2"/>
      <c r="G22" s="35"/>
      <c r="H22" s="35"/>
      <c r="I22" s="41"/>
      <c r="J22" s="34"/>
      <c r="K22" s="32"/>
      <c r="L22" s="34"/>
      <c r="M22" s="35"/>
      <c r="N22" s="33"/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2"/>
      <c r="G23" s="35"/>
      <c r="H23" s="35"/>
      <c r="I23" s="41"/>
      <c r="J23" s="34"/>
      <c r="K23" s="32"/>
      <c r="L23" s="34"/>
      <c r="M23" s="35"/>
      <c r="N23" s="33"/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2"/>
      <c r="G24" s="35"/>
      <c r="H24" s="35"/>
      <c r="I24" s="41"/>
      <c r="J24" s="34"/>
      <c r="K24" s="32"/>
      <c r="L24" s="34"/>
      <c r="M24" s="35"/>
      <c r="N24" s="33"/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2"/>
      <c r="G25" s="35"/>
      <c r="H25" s="35"/>
      <c r="I25" s="41"/>
      <c r="J25" s="34"/>
      <c r="K25" s="32"/>
      <c r="L25" s="34"/>
      <c r="M25" s="35"/>
      <c r="N25" s="33"/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2"/>
      <c r="G26" s="35"/>
      <c r="H26" s="35"/>
      <c r="I26" s="41"/>
      <c r="J26" s="34"/>
      <c r="K26" s="32"/>
      <c r="L26" s="34"/>
      <c r="M26" s="35"/>
      <c r="N26" s="33"/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2"/>
      <c r="G27" s="35"/>
      <c r="H27" s="35"/>
      <c r="I27" s="41"/>
      <c r="J27" s="34"/>
      <c r="K27" s="32"/>
      <c r="L27" s="34"/>
      <c r="M27" s="35"/>
      <c r="N27" s="33"/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2"/>
      <c r="G28" s="35"/>
      <c r="H28" s="35"/>
      <c r="I28" s="41"/>
      <c r="J28" s="34"/>
      <c r="K28" s="32"/>
      <c r="L28" s="34"/>
      <c r="M28" s="35"/>
      <c r="N28" s="33"/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2"/>
      <c r="G29" s="35"/>
      <c r="H29" s="35"/>
      <c r="I29" s="41"/>
      <c r="J29" s="34"/>
      <c r="K29" s="32"/>
      <c r="L29" s="34"/>
      <c r="M29" s="35"/>
      <c r="N29" s="33"/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2"/>
      <c r="G30" s="35"/>
      <c r="H30" s="35"/>
      <c r="I30" s="41"/>
      <c r="J30" s="34"/>
      <c r="K30" s="32"/>
      <c r="L30" s="34"/>
      <c r="M30" s="35"/>
      <c r="N30" s="33"/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2"/>
      <c r="G31" s="35"/>
      <c r="H31" s="35"/>
      <c r="I31" s="41"/>
      <c r="J31" s="34"/>
      <c r="K31" s="32"/>
      <c r="L31" s="34"/>
      <c r="M31" s="35"/>
      <c r="N31" s="33"/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2"/>
      <c r="G32" s="35"/>
      <c r="H32" s="35"/>
      <c r="I32" s="41"/>
      <c r="J32" s="34"/>
      <c r="K32" s="32"/>
      <c r="L32" s="34"/>
      <c r="M32" s="35"/>
      <c r="N32" s="33"/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2"/>
      <c r="G33" s="35"/>
      <c r="H33" s="35"/>
      <c r="I33" s="41"/>
      <c r="J33" s="34"/>
      <c r="K33" s="32"/>
      <c r="L33" s="34"/>
      <c r="M33" s="35"/>
      <c r="N33" s="33"/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2"/>
      <c r="G34" s="35"/>
      <c r="H34" s="35"/>
      <c r="I34" s="41"/>
      <c r="J34" s="34"/>
      <c r="K34" s="32"/>
      <c r="L34" s="34"/>
      <c r="M34" s="35"/>
      <c r="N34" s="33"/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2"/>
      <c r="G35" s="35"/>
      <c r="H35" s="35"/>
      <c r="I35" s="41"/>
      <c r="J35" s="34"/>
      <c r="K35" s="32"/>
      <c r="L35" s="34"/>
      <c r="M35" s="35"/>
      <c r="N35" s="33"/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2"/>
      <c r="G36" s="35"/>
      <c r="H36" s="35"/>
      <c r="I36" s="41"/>
      <c r="J36" s="34"/>
      <c r="K36" s="32"/>
      <c r="L36" s="34"/>
      <c r="M36" s="35"/>
      <c r="N36" s="33"/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2"/>
      <c r="G37" s="35"/>
      <c r="H37" s="35"/>
      <c r="I37" s="41"/>
      <c r="J37" s="34"/>
      <c r="K37" s="32"/>
      <c r="L37" s="34"/>
      <c r="M37" s="35"/>
      <c r="N37" s="33"/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2"/>
      <c r="G38" s="35"/>
      <c r="H38" s="35"/>
      <c r="I38" s="41"/>
      <c r="J38" s="34"/>
      <c r="K38" s="32"/>
      <c r="L38" s="34"/>
      <c r="M38" s="35"/>
      <c r="N38" s="33"/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2"/>
      <c r="G39" s="35"/>
      <c r="H39" s="35"/>
      <c r="I39" s="41"/>
      <c r="J39" s="34"/>
      <c r="K39" s="32"/>
      <c r="L39" s="34"/>
      <c r="M39" s="35"/>
      <c r="N39" s="33"/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2"/>
      <c r="G40" s="35"/>
      <c r="H40" s="35"/>
      <c r="I40" s="41"/>
      <c r="J40" s="34"/>
      <c r="K40" s="32"/>
      <c r="L40" s="34"/>
      <c r="M40" s="35"/>
      <c r="N40" s="33"/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2"/>
      <c r="G41" s="35"/>
      <c r="H41" s="35"/>
      <c r="I41" s="41"/>
      <c r="J41" s="34"/>
      <c r="K41" s="32"/>
      <c r="L41" s="34"/>
      <c r="M41" s="35"/>
      <c r="N41" s="33"/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2"/>
      <c r="G42" s="35"/>
      <c r="H42" s="35"/>
      <c r="I42" s="41"/>
      <c r="J42" s="34"/>
      <c r="K42" s="32"/>
      <c r="L42" s="34"/>
      <c r="M42" s="35"/>
      <c r="N42" s="33"/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2"/>
      <c r="G43" s="35"/>
      <c r="H43" s="35"/>
      <c r="I43" s="41"/>
      <c r="J43" s="34"/>
      <c r="K43" s="32"/>
      <c r="L43" s="34"/>
      <c r="M43" s="35"/>
      <c r="N43" s="33"/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2"/>
      <c r="G44" s="35"/>
      <c r="H44" s="35"/>
      <c r="I44" s="41"/>
      <c r="J44" s="34"/>
      <c r="K44" s="32"/>
      <c r="L44" s="34"/>
      <c r="M44" s="35"/>
      <c r="N44" s="33"/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2"/>
      <c r="G45" s="35"/>
      <c r="H45" s="35"/>
      <c r="I45" s="41"/>
      <c r="J45" s="34"/>
      <c r="K45" s="32"/>
      <c r="L45" s="34"/>
      <c r="M45" s="35"/>
      <c r="N45" s="33"/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2"/>
      <c r="G46" s="35"/>
      <c r="H46" s="35"/>
      <c r="I46" s="41"/>
      <c r="J46" s="34"/>
      <c r="K46" s="32"/>
      <c r="L46" s="34"/>
      <c r="M46" s="35"/>
      <c r="N46" s="33"/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2"/>
      <c r="G47" s="35"/>
      <c r="H47" s="35"/>
      <c r="I47" s="41"/>
      <c r="J47" s="34"/>
      <c r="K47" s="32"/>
      <c r="L47" s="34"/>
      <c r="M47" s="35"/>
      <c r="N47" s="33"/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2"/>
      <c r="G48" s="35"/>
      <c r="H48" s="35"/>
      <c r="I48" s="41"/>
      <c r="J48" s="34"/>
      <c r="K48" s="32"/>
      <c r="L48" s="34"/>
      <c r="M48" s="35"/>
      <c r="N48" s="33"/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2"/>
      <c r="G49" s="35"/>
      <c r="H49" s="35"/>
      <c r="I49" s="41"/>
      <c r="J49" s="34"/>
      <c r="K49" s="32"/>
      <c r="L49" s="34"/>
      <c r="M49" s="35"/>
      <c r="N49" s="33"/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2"/>
      <c r="G50" s="35"/>
      <c r="H50" s="35"/>
      <c r="I50" s="41"/>
      <c r="J50" s="34"/>
      <c r="K50" s="32"/>
      <c r="L50" s="34"/>
      <c r="M50" s="35"/>
      <c r="N50" s="33"/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2"/>
      <c r="G51" s="35"/>
      <c r="H51" s="35"/>
      <c r="I51" s="41"/>
      <c r="J51" s="34"/>
      <c r="K51" s="32"/>
      <c r="L51" s="34"/>
      <c r="M51" s="35"/>
      <c r="N51" s="33"/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2"/>
      <c r="G52" s="35"/>
      <c r="H52" s="35"/>
      <c r="I52" s="41"/>
      <c r="J52" s="34"/>
      <c r="K52" s="32"/>
      <c r="L52" s="34"/>
      <c r="M52" s="35"/>
      <c r="N52" s="33"/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2"/>
      <c r="G53" s="35"/>
      <c r="H53" s="35"/>
      <c r="I53" s="41"/>
      <c r="J53" s="34"/>
      <c r="K53" s="32"/>
      <c r="L53" s="34"/>
      <c r="M53" s="35"/>
      <c r="N53" s="33"/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2"/>
      <c r="G54" s="35"/>
      <c r="H54" s="35"/>
      <c r="I54" s="41"/>
      <c r="J54" s="34"/>
      <c r="K54" s="32"/>
      <c r="L54" s="34"/>
      <c r="M54" s="35"/>
      <c r="N54" s="33"/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2"/>
      <c r="G55" s="35"/>
      <c r="H55" s="35"/>
      <c r="I55" s="41"/>
      <c r="J55" s="34"/>
      <c r="K55" s="32"/>
      <c r="L55" s="34"/>
      <c r="M55" s="35"/>
      <c r="N55" s="33"/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2"/>
      <c r="G56" s="35"/>
      <c r="H56" s="35"/>
      <c r="I56" s="41"/>
      <c r="J56" s="34"/>
      <c r="K56" s="32"/>
      <c r="L56" s="34"/>
      <c r="M56" s="35"/>
      <c r="N56" s="33"/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2"/>
      <c r="G57" s="35"/>
      <c r="H57" s="35"/>
      <c r="I57" s="41"/>
      <c r="J57" s="34"/>
      <c r="K57" s="32"/>
      <c r="L57" s="34"/>
      <c r="M57" s="35"/>
      <c r="N57" s="33"/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2"/>
      <c r="G58" s="35"/>
      <c r="H58" s="35"/>
      <c r="I58" s="41"/>
      <c r="J58" s="34"/>
      <c r="K58" s="32"/>
      <c r="L58" s="34"/>
      <c r="M58" s="35"/>
      <c r="N58" s="33"/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2"/>
      <c r="G59" s="35"/>
      <c r="H59" s="35"/>
      <c r="I59" s="41"/>
      <c r="J59" s="34"/>
      <c r="K59" s="32"/>
      <c r="L59" s="34"/>
      <c r="M59" s="35"/>
      <c r="N59" s="33"/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2"/>
      <c r="G60" s="35"/>
      <c r="H60" s="35"/>
      <c r="I60" s="41"/>
      <c r="J60" s="34"/>
      <c r="K60" s="32"/>
      <c r="L60" s="34"/>
      <c r="M60" s="35"/>
      <c r="N60" s="33"/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2"/>
      <c r="G61" s="35"/>
      <c r="H61" s="35"/>
      <c r="I61" s="41"/>
      <c r="J61" s="34"/>
      <c r="K61" s="32"/>
      <c r="L61" s="34"/>
      <c r="M61" s="35"/>
      <c r="N61" s="33"/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2"/>
      <c r="G62" s="35"/>
      <c r="H62" s="35"/>
      <c r="I62" s="41"/>
      <c r="J62" s="34"/>
      <c r="K62" s="32"/>
      <c r="L62" s="34"/>
      <c r="M62" s="35"/>
      <c r="N62" s="33"/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2"/>
      <c r="G63" s="35"/>
      <c r="H63" s="35"/>
      <c r="I63" s="41"/>
      <c r="J63" s="34"/>
      <c r="K63" s="32"/>
      <c r="L63" s="34"/>
      <c r="M63" s="35"/>
      <c r="N63" s="33"/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2"/>
      <c r="G64" s="35"/>
      <c r="H64" s="35"/>
      <c r="I64" s="41"/>
      <c r="J64" s="34"/>
      <c r="K64" s="32"/>
      <c r="L64" s="34"/>
      <c r="M64" s="35"/>
      <c r="N64" s="33"/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2"/>
      <c r="G65" s="35"/>
      <c r="H65" s="35"/>
      <c r="I65" s="41"/>
      <c r="J65" s="34"/>
      <c r="K65" s="32"/>
      <c r="L65" s="34"/>
      <c r="M65" s="35"/>
      <c r="N65" s="33"/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2"/>
      <c r="G66" s="35"/>
      <c r="H66" s="35"/>
      <c r="I66" s="41"/>
      <c r="J66" s="34"/>
      <c r="K66" s="32"/>
      <c r="L66" s="34"/>
      <c r="M66" s="35"/>
      <c r="N66" s="33"/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2"/>
      <c r="G67" s="35"/>
      <c r="H67" s="35"/>
      <c r="I67" s="41"/>
      <c r="J67" s="34"/>
      <c r="K67" s="32"/>
      <c r="L67" s="34"/>
      <c r="M67" s="35"/>
      <c r="N67" s="33"/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2"/>
      <c r="G68" s="35"/>
      <c r="H68" s="35"/>
      <c r="I68" s="41"/>
      <c r="J68" s="34"/>
      <c r="K68" s="32"/>
      <c r="L68" s="34"/>
      <c r="M68" s="35"/>
      <c r="N68" s="33"/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2"/>
      <c r="G69" s="35"/>
      <c r="H69" s="35"/>
      <c r="I69" s="41"/>
      <c r="J69" s="34"/>
      <c r="K69" s="32"/>
      <c r="L69" s="34"/>
      <c r="M69" s="35"/>
      <c r="N69" s="33"/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2"/>
      <c r="G70" s="35"/>
      <c r="H70" s="35"/>
      <c r="I70" s="41"/>
      <c r="J70" s="34"/>
      <c r="K70" s="32"/>
      <c r="L70" s="34"/>
      <c r="M70" s="35"/>
      <c r="N70" s="33"/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2"/>
      <c r="G71" s="35"/>
      <c r="H71" s="35"/>
      <c r="I71" s="41"/>
      <c r="J71" s="34"/>
      <c r="K71" s="32"/>
      <c r="L71" s="34"/>
      <c r="M71" s="35"/>
      <c r="N71" s="33"/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2"/>
      <c r="G72" s="35"/>
      <c r="H72" s="35"/>
      <c r="I72" s="41"/>
      <c r="J72" s="34"/>
      <c r="K72" s="32"/>
      <c r="L72" s="34"/>
      <c r="M72" s="35"/>
      <c r="N72" s="33"/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2"/>
      <c r="G73" s="35"/>
      <c r="H73" s="35"/>
      <c r="I73" s="41"/>
      <c r="J73" s="34"/>
      <c r="K73" s="32"/>
      <c r="L73" s="34"/>
      <c r="M73" s="35"/>
      <c r="N73" s="33"/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2"/>
      <c r="G74" s="35"/>
      <c r="H74" s="35"/>
      <c r="I74" s="41"/>
      <c r="J74" s="34"/>
      <c r="K74" s="32"/>
      <c r="L74" s="34"/>
      <c r="M74" s="35"/>
      <c r="N74" s="33"/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2"/>
      <c r="G75" s="35"/>
      <c r="H75" s="35"/>
      <c r="I75" s="41"/>
      <c r="J75" s="34"/>
      <c r="K75" s="32"/>
      <c r="L75" s="34"/>
      <c r="M75" s="35"/>
      <c r="N75" s="33"/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2"/>
      <c r="G76" s="35"/>
      <c r="H76" s="35"/>
      <c r="I76" s="41"/>
      <c r="J76" s="34"/>
      <c r="K76" s="32"/>
      <c r="L76" s="34"/>
      <c r="M76" s="35"/>
      <c r="N76" s="33"/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2"/>
      <c r="G77" s="35"/>
      <c r="H77" s="35"/>
      <c r="I77" s="41"/>
      <c r="J77" s="34"/>
      <c r="K77" s="32"/>
      <c r="L77" s="34"/>
      <c r="M77" s="35"/>
      <c r="N77" s="33"/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2"/>
      <c r="G78" s="35"/>
      <c r="H78" s="35"/>
      <c r="I78" s="41"/>
      <c r="J78" s="34"/>
      <c r="K78" s="32"/>
      <c r="L78" s="34"/>
      <c r="M78" s="35"/>
      <c r="N78" s="33"/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2"/>
      <c r="G79" s="35"/>
      <c r="H79" s="35"/>
      <c r="I79" s="41"/>
      <c r="J79" s="34"/>
      <c r="K79" s="32"/>
      <c r="L79" s="34"/>
      <c r="M79" s="35"/>
      <c r="N79" s="33"/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2"/>
      <c r="G80" s="35"/>
      <c r="H80" s="35"/>
      <c r="I80" s="41"/>
      <c r="J80" s="34"/>
      <c r="K80" s="32"/>
      <c r="L80" s="34"/>
      <c r="M80" s="35"/>
      <c r="N80" s="33"/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2"/>
      <c r="G81" s="35"/>
      <c r="H81" s="35"/>
      <c r="I81" s="41"/>
      <c r="J81" s="34"/>
      <c r="K81" s="32"/>
      <c r="L81" s="34"/>
      <c r="M81" s="35"/>
      <c r="N81" s="33"/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2"/>
      <c r="G82" s="35"/>
      <c r="H82" s="35"/>
      <c r="I82" s="41"/>
      <c r="J82" s="34"/>
      <c r="K82" s="32"/>
      <c r="L82" s="34"/>
      <c r="M82" s="35"/>
      <c r="N82" s="33"/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2"/>
      <c r="G83" s="35"/>
      <c r="H83" s="35"/>
      <c r="I83" s="41"/>
      <c r="J83" s="34"/>
      <c r="K83" s="32"/>
      <c r="L83" s="34"/>
      <c r="M83" s="35"/>
      <c r="N83" s="33"/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2"/>
      <c r="G84" s="35"/>
      <c r="H84" s="35"/>
      <c r="I84" s="41"/>
      <c r="J84" s="34"/>
      <c r="K84" s="32"/>
      <c r="L84" s="34"/>
      <c r="M84" s="35"/>
      <c r="N84" s="33"/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2"/>
      <c r="G85" s="35"/>
      <c r="H85" s="35"/>
      <c r="I85" s="41"/>
      <c r="J85" s="34"/>
      <c r="K85" s="32"/>
      <c r="L85" s="34"/>
      <c r="M85" s="35"/>
      <c r="N85" s="33"/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2"/>
      <c r="G86" s="35"/>
      <c r="H86" s="35"/>
      <c r="I86" s="41"/>
      <c r="J86" s="34"/>
      <c r="K86" s="32"/>
      <c r="L86" s="34"/>
      <c r="M86" s="35"/>
      <c r="N86" s="33"/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2"/>
      <c r="G87" s="35"/>
      <c r="H87" s="35"/>
      <c r="I87" s="41"/>
      <c r="J87" s="34"/>
      <c r="K87" s="32"/>
      <c r="L87" s="34"/>
      <c r="M87" s="35"/>
      <c r="N87" s="33"/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2"/>
      <c r="G88" s="35"/>
      <c r="H88" s="35"/>
      <c r="I88" s="41"/>
      <c r="J88" s="34"/>
      <c r="K88" s="32"/>
      <c r="L88" s="34"/>
      <c r="M88" s="35"/>
      <c r="N88" s="33"/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2"/>
      <c r="G89" s="35"/>
      <c r="H89" s="35"/>
      <c r="I89" s="41"/>
      <c r="J89" s="34"/>
      <c r="K89" s="32"/>
      <c r="L89" s="34"/>
      <c r="M89" s="35"/>
      <c r="N89" s="33"/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2"/>
      <c r="G90" s="35"/>
      <c r="H90" s="35"/>
      <c r="I90" s="41"/>
      <c r="J90" s="34"/>
      <c r="K90" s="32"/>
      <c r="L90" s="34"/>
      <c r="M90" s="35"/>
      <c r="N90" s="33"/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2"/>
      <c r="G91" s="35"/>
      <c r="H91" s="35"/>
      <c r="I91" s="41"/>
      <c r="J91" s="34"/>
      <c r="K91" s="32"/>
      <c r="L91" s="34"/>
      <c r="M91" s="35"/>
      <c r="N91" s="33"/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2"/>
      <c r="G92" s="35"/>
      <c r="H92" s="35"/>
      <c r="I92" s="41"/>
      <c r="J92" s="34"/>
      <c r="K92" s="32"/>
      <c r="L92" s="34"/>
      <c r="M92" s="35"/>
      <c r="N92" s="33"/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2"/>
      <c r="G93" s="35"/>
      <c r="H93" s="35"/>
      <c r="I93" s="41"/>
      <c r="J93" s="34"/>
      <c r="K93" s="32"/>
      <c r="L93" s="34"/>
      <c r="M93" s="35"/>
      <c r="N93" s="33"/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2"/>
      <c r="G94" s="35"/>
      <c r="H94" s="35"/>
      <c r="I94" s="41"/>
      <c r="J94" s="34"/>
      <c r="K94" s="32"/>
      <c r="L94" s="34"/>
      <c r="M94" s="35"/>
      <c r="N94" s="33"/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2"/>
      <c r="G95" s="35"/>
      <c r="H95" s="35"/>
      <c r="I95" s="41"/>
      <c r="J95" s="34"/>
      <c r="K95" s="32"/>
      <c r="L95" s="34"/>
      <c r="M95" s="35"/>
      <c r="N95" s="33"/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2"/>
      <c r="G96" s="35"/>
      <c r="H96" s="35"/>
      <c r="I96" s="41"/>
      <c r="J96" s="34"/>
      <c r="K96" s="32"/>
      <c r="L96" s="34"/>
      <c r="M96" s="35"/>
      <c r="N96" s="33"/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2"/>
      <c r="G97" s="35"/>
      <c r="H97" s="35"/>
      <c r="I97" s="41"/>
      <c r="J97" s="34"/>
      <c r="K97" s="32"/>
      <c r="L97" s="34"/>
      <c r="M97" s="35"/>
      <c r="N97" s="33"/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2"/>
      <c r="G98" s="35"/>
      <c r="H98" s="35"/>
      <c r="I98" s="41"/>
      <c r="J98" s="34"/>
      <c r="K98" s="32"/>
      <c r="L98" s="34"/>
      <c r="M98" s="35"/>
      <c r="N98" s="33"/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2"/>
      <c r="G99" s="35"/>
      <c r="H99" s="35"/>
      <c r="I99" s="41"/>
      <c r="J99" s="34"/>
      <c r="K99" s="32"/>
      <c r="L99" s="34"/>
      <c r="M99" s="35"/>
      <c r="N99" s="33"/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2"/>
      <c r="G100" s="35"/>
      <c r="H100" s="35"/>
      <c r="I100" s="41"/>
      <c r="J100" s="34"/>
      <c r="K100" s="32"/>
      <c r="L100" s="34"/>
      <c r="M100" s="35"/>
      <c r="N100" s="33"/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2"/>
      <c r="G101" s="35"/>
      <c r="H101" s="35"/>
      <c r="I101" s="41"/>
      <c r="J101" s="34"/>
      <c r="K101" s="32"/>
      <c r="L101" s="34"/>
      <c r="M101" s="35"/>
      <c r="N101" s="33"/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2"/>
      <c r="G102" s="35"/>
      <c r="H102" s="35"/>
      <c r="I102" s="41"/>
      <c r="J102" s="34"/>
      <c r="K102" s="32"/>
      <c r="L102" s="34"/>
      <c r="M102" s="35"/>
      <c r="N102" s="33"/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2"/>
      <c r="G103" s="35"/>
      <c r="H103" s="35"/>
      <c r="I103" s="41"/>
      <c r="J103" s="34"/>
      <c r="K103" s="32"/>
      <c r="L103" s="34"/>
      <c r="M103" s="35"/>
      <c r="N103" s="33"/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2"/>
      <c r="G104" s="35"/>
      <c r="H104" s="35"/>
      <c r="I104" s="41"/>
      <c r="J104" s="34"/>
      <c r="K104" s="32"/>
      <c r="L104" s="34"/>
      <c r="M104" s="35"/>
      <c r="N104" s="33"/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2"/>
      <c r="G105" s="35"/>
      <c r="H105" s="35"/>
      <c r="I105" s="41"/>
      <c r="J105" s="34"/>
      <c r="K105" s="32"/>
      <c r="L105" s="34"/>
      <c r="M105" s="35"/>
      <c r="N105" s="33"/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2"/>
      <c r="G106" s="35"/>
      <c r="H106" s="35"/>
      <c r="I106" s="41"/>
      <c r="J106" s="34"/>
      <c r="K106" s="32"/>
      <c r="L106" s="34"/>
      <c r="M106" s="35"/>
      <c r="N106" s="33"/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2"/>
      <c r="G107" s="35"/>
      <c r="H107" s="35"/>
      <c r="I107" s="41"/>
      <c r="J107" s="34"/>
      <c r="K107" s="32"/>
      <c r="L107" s="34"/>
      <c r="M107" s="35"/>
      <c r="N107" s="33"/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2"/>
      <c r="G108" s="35"/>
      <c r="H108" s="35"/>
      <c r="I108" s="41"/>
      <c r="J108" s="34"/>
      <c r="K108" s="32"/>
      <c r="L108" s="34"/>
      <c r="M108" s="35"/>
      <c r="N108" s="33"/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2"/>
      <c r="G109" s="35"/>
      <c r="H109" s="35"/>
      <c r="I109" s="41"/>
      <c r="J109" s="34"/>
      <c r="K109" s="32"/>
      <c r="L109" s="34"/>
      <c r="M109" s="35"/>
      <c r="N109" s="33"/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2"/>
      <c r="G110" s="35"/>
      <c r="H110" s="35"/>
      <c r="I110" s="41"/>
      <c r="J110" s="34"/>
      <c r="K110" s="32"/>
      <c r="L110" s="34"/>
      <c r="M110" s="35"/>
      <c r="N110" s="33"/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2"/>
      <c r="G111" s="35"/>
      <c r="H111" s="35"/>
      <c r="I111" s="41"/>
      <c r="J111" s="34"/>
      <c r="K111" s="32"/>
      <c r="L111" s="34"/>
      <c r="M111" s="35"/>
      <c r="N111" s="33"/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2"/>
      <c r="G112" s="35"/>
      <c r="H112" s="35"/>
      <c r="I112" s="41"/>
      <c r="J112" s="34"/>
      <c r="K112" s="32"/>
      <c r="L112" s="34"/>
      <c r="M112" s="35"/>
      <c r="N112" s="33"/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2"/>
      <c r="G113" s="35"/>
      <c r="H113" s="35"/>
      <c r="I113" s="41"/>
      <c r="J113" s="34"/>
      <c r="K113" s="32"/>
      <c r="L113" s="34"/>
      <c r="M113" s="35"/>
      <c r="N113" s="33"/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2"/>
      <c r="G114" s="35"/>
      <c r="H114" s="35"/>
      <c r="I114" s="41"/>
      <c r="J114" s="34"/>
      <c r="K114" s="32"/>
      <c r="L114" s="34"/>
      <c r="M114" s="35"/>
      <c r="N114" s="33"/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2"/>
      <c r="G115" s="35"/>
      <c r="H115" s="35"/>
      <c r="I115" s="41"/>
      <c r="J115" s="34"/>
      <c r="K115" s="32"/>
      <c r="L115" s="34"/>
      <c r="M115" s="35"/>
      <c r="N115" s="33"/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2"/>
      <c r="G116" s="35"/>
      <c r="H116" s="35"/>
      <c r="I116" s="41"/>
      <c r="J116" s="34"/>
      <c r="K116" s="32"/>
      <c r="L116" s="34"/>
      <c r="M116" s="35"/>
      <c r="N116" s="33"/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2"/>
      <c r="G117" s="35"/>
      <c r="H117" s="35"/>
      <c r="I117" s="41"/>
      <c r="J117" s="34"/>
      <c r="K117" s="32"/>
      <c r="L117" s="34"/>
      <c r="M117" s="35"/>
      <c r="N117" s="33"/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2"/>
      <c r="G118" s="35"/>
      <c r="H118" s="35"/>
      <c r="I118" s="41"/>
      <c r="J118" s="34"/>
      <c r="K118" s="32"/>
      <c r="L118" s="34"/>
      <c r="M118" s="35"/>
      <c r="N118" s="33"/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2"/>
      <c r="G119" s="35"/>
      <c r="H119" s="35"/>
      <c r="I119" s="41"/>
      <c r="J119" s="34"/>
      <c r="K119" s="32"/>
      <c r="L119" s="34"/>
      <c r="M119" s="35"/>
      <c r="N119" s="33"/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2"/>
      <c r="G120" s="35"/>
      <c r="H120" s="35"/>
      <c r="I120" s="41"/>
      <c r="J120" s="34"/>
      <c r="K120" s="32"/>
      <c r="L120" s="34"/>
      <c r="M120" s="35"/>
      <c r="N120" s="33"/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2"/>
      <c r="G121" s="35"/>
      <c r="H121" s="35"/>
      <c r="I121" s="41"/>
      <c r="J121" s="34"/>
      <c r="K121" s="32"/>
      <c r="L121" s="34"/>
      <c r="M121" s="35"/>
      <c r="N121" s="33"/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2"/>
      <c r="G122" s="35"/>
      <c r="H122" s="35"/>
      <c r="I122" s="41"/>
      <c r="J122" s="34"/>
      <c r="K122" s="32"/>
      <c r="L122" s="34"/>
      <c r="M122" s="35"/>
      <c r="N122" s="33"/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2"/>
      <c r="G123" s="35"/>
      <c r="H123" s="35"/>
      <c r="I123" s="41"/>
      <c r="J123" s="34"/>
      <c r="K123" s="32"/>
      <c r="L123" s="34"/>
      <c r="M123" s="35"/>
      <c r="N123" s="33"/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2"/>
      <c r="G124" s="35"/>
      <c r="H124" s="35"/>
      <c r="I124" s="41"/>
      <c r="J124" s="34"/>
      <c r="K124" s="32"/>
      <c r="L124" s="34"/>
      <c r="M124" s="35"/>
      <c r="N124" s="33"/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2"/>
      <c r="G125" s="35"/>
      <c r="H125" s="35"/>
      <c r="I125" s="41"/>
      <c r="J125" s="34"/>
      <c r="K125" s="32"/>
      <c r="L125" s="34"/>
      <c r="M125" s="35"/>
      <c r="N125" s="33"/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2"/>
      <c r="G126" s="35"/>
      <c r="H126" s="35"/>
      <c r="I126" s="41"/>
      <c r="J126" s="34"/>
      <c r="K126" s="32"/>
      <c r="L126" s="34"/>
      <c r="M126" s="35"/>
      <c r="N126" s="33"/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2"/>
      <c r="G127" s="35"/>
      <c r="H127" s="35"/>
      <c r="I127" s="41"/>
      <c r="J127" s="34"/>
      <c r="K127" s="32"/>
      <c r="L127" s="34"/>
      <c r="M127" s="35"/>
      <c r="N127" s="33"/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2"/>
      <c r="G128" s="35"/>
      <c r="H128" s="35"/>
      <c r="I128" s="41"/>
      <c r="J128" s="34"/>
      <c r="K128" s="32"/>
      <c r="L128" s="34"/>
      <c r="M128" s="35"/>
      <c r="N128" s="33"/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2"/>
      <c r="G129" s="35"/>
      <c r="H129" s="35"/>
      <c r="I129" s="41"/>
      <c r="J129" s="34"/>
      <c r="K129" s="32"/>
      <c r="L129" s="34"/>
      <c r="M129" s="35"/>
      <c r="N129" s="33"/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2"/>
      <c r="G130" s="35"/>
      <c r="H130" s="35"/>
      <c r="I130" s="41"/>
      <c r="J130" s="34"/>
      <c r="K130" s="32"/>
      <c r="L130" s="34"/>
      <c r="M130" s="35"/>
      <c r="N130" s="33"/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2"/>
      <c r="G131" s="35"/>
      <c r="H131" s="35"/>
      <c r="I131" s="41"/>
      <c r="J131" s="34"/>
      <c r="K131" s="32"/>
      <c r="L131" s="34"/>
      <c r="M131" s="35"/>
      <c r="N131" s="33"/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2"/>
      <c r="G132" s="35"/>
      <c r="H132" s="35"/>
      <c r="I132" s="41"/>
      <c r="J132" s="34"/>
      <c r="K132" s="32"/>
      <c r="L132" s="34"/>
      <c r="M132" s="35"/>
      <c r="N132" s="33"/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2"/>
      <c r="G133" s="35"/>
      <c r="H133" s="35"/>
      <c r="I133" s="41"/>
      <c r="J133" s="34"/>
      <c r="K133" s="32"/>
      <c r="L133" s="34"/>
      <c r="M133" s="35"/>
      <c r="N133" s="33"/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2"/>
      <c r="G134" s="35"/>
      <c r="H134" s="35"/>
      <c r="I134" s="41"/>
      <c r="J134" s="34"/>
      <c r="K134" s="32"/>
      <c r="L134" s="34"/>
      <c r="M134" s="35"/>
      <c r="N134" s="33"/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2"/>
      <c r="G135" s="35"/>
      <c r="H135" s="35"/>
      <c r="I135" s="41"/>
      <c r="J135" s="34"/>
      <c r="K135" s="32"/>
      <c r="L135" s="34"/>
      <c r="M135" s="35"/>
      <c r="N135" s="33"/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2"/>
      <c r="G136" s="35"/>
      <c r="H136" s="35"/>
      <c r="I136" s="41"/>
      <c r="J136" s="34"/>
      <c r="K136" s="32"/>
      <c r="L136" s="34"/>
      <c r="M136" s="35"/>
      <c r="N136" s="33"/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2"/>
      <c r="G137" s="35"/>
      <c r="H137" s="35"/>
      <c r="I137" s="41"/>
      <c r="J137" s="34"/>
      <c r="K137" s="32"/>
      <c r="L137" s="34"/>
      <c r="M137" s="35"/>
      <c r="N137" s="33"/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2"/>
      <c r="G138" s="35"/>
      <c r="H138" s="35"/>
      <c r="I138" s="41"/>
      <c r="J138" s="34"/>
      <c r="K138" s="32"/>
      <c r="L138" s="34"/>
      <c r="M138" s="35"/>
      <c r="N138" s="33"/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2"/>
      <c r="G139" s="35"/>
      <c r="H139" s="35"/>
      <c r="I139" s="41"/>
      <c r="J139" s="34"/>
      <c r="K139" s="32"/>
      <c r="L139" s="34"/>
      <c r="M139" s="35"/>
      <c r="N139" s="33"/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2"/>
      <c r="G140" s="35"/>
      <c r="H140" s="35"/>
      <c r="I140" s="41"/>
      <c r="J140" s="34"/>
      <c r="K140" s="32"/>
      <c r="L140" s="34"/>
      <c r="M140" s="35"/>
      <c r="N140" s="33"/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2"/>
      <c r="G141" s="35"/>
      <c r="H141" s="35"/>
      <c r="I141" s="41"/>
      <c r="J141" s="34"/>
      <c r="K141" s="32"/>
      <c r="L141" s="34"/>
      <c r="M141" s="35"/>
      <c r="N141" s="33"/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2"/>
      <c r="G142" s="35"/>
      <c r="H142" s="35"/>
      <c r="I142" s="41"/>
      <c r="J142" s="34"/>
      <c r="K142" s="32"/>
      <c r="L142" s="34"/>
      <c r="M142" s="35"/>
      <c r="N142" s="33"/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2"/>
      <c r="G143" s="35"/>
      <c r="H143" s="35"/>
      <c r="I143" s="41"/>
      <c r="J143" s="34"/>
      <c r="K143" s="32"/>
      <c r="L143" s="34"/>
      <c r="M143" s="35"/>
      <c r="N143" s="33"/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2"/>
      <c r="G144" s="35"/>
      <c r="H144" s="35"/>
      <c r="I144" s="41"/>
      <c r="J144" s="34"/>
      <c r="K144" s="32"/>
      <c r="L144" s="34"/>
      <c r="M144" s="35"/>
      <c r="N144" s="33"/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2"/>
      <c r="G145" s="35"/>
      <c r="H145" s="35"/>
      <c r="I145" s="41"/>
      <c r="J145" s="34"/>
      <c r="K145" s="32"/>
      <c r="L145" s="34"/>
      <c r="M145" s="35"/>
      <c r="N145" s="33"/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2"/>
      <c r="G146" s="35"/>
      <c r="H146" s="35"/>
      <c r="I146" s="41"/>
      <c r="J146" s="34"/>
      <c r="K146" s="32"/>
      <c r="L146" s="34"/>
      <c r="M146" s="35"/>
      <c r="N146" s="33"/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2"/>
      <c r="G147" s="35"/>
      <c r="H147" s="35"/>
      <c r="I147" s="41"/>
      <c r="J147" s="34"/>
      <c r="K147" s="32"/>
      <c r="L147" s="34"/>
      <c r="M147" s="35"/>
      <c r="N147" s="33"/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2"/>
      <c r="G148" s="35"/>
      <c r="H148" s="35"/>
      <c r="I148" s="41"/>
      <c r="J148" s="34"/>
      <c r="K148" s="32"/>
      <c r="L148" s="34"/>
      <c r="M148" s="35"/>
      <c r="N148" s="33"/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2"/>
      <c r="G149" s="35"/>
      <c r="H149" s="35"/>
      <c r="I149" s="41"/>
      <c r="J149" s="34"/>
      <c r="K149" s="32"/>
      <c r="L149" s="34"/>
      <c r="M149" s="35"/>
      <c r="N149" s="33"/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2"/>
      <c r="G150" s="35"/>
      <c r="H150" s="35"/>
      <c r="I150" s="41"/>
      <c r="J150" s="34"/>
      <c r="K150" s="32"/>
      <c r="L150" s="34"/>
      <c r="M150" s="35"/>
      <c r="N150" s="33"/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2"/>
      <c r="G151" s="35"/>
      <c r="H151" s="35"/>
      <c r="I151" s="41"/>
      <c r="J151" s="34"/>
      <c r="K151" s="32"/>
      <c r="L151" s="34"/>
      <c r="M151" s="35"/>
      <c r="N151" s="33"/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2"/>
      <c r="G152" s="35"/>
      <c r="H152" s="35"/>
      <c r="I152" s="41"/>
      <c r="J152" s="34"/>
      <c r="K152" s="32"/>
      <c r="L152" s="34"/>
      <c r="M152" s="35"/>
      <c r="N152" s="33"/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2"/>
      <c r="G153" s="35"/>
      <c r="H153" s="35"/>
      <c r="I153" s="41"/>
      <c r="J153" s="34"/>
      <c r="K153" s="32"/>
      <c r="L153" s="34"/>
      <c r="M153" s="35"/>
      <c r="N153" s="33"/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2"/>
      <c r="G154" s="35"/>
      <c r="H154" s="35"/>
      <c r="I154" s="41"/>
      <c r="J154" s="34"/>
      <c r="K154" s="32"/>
      <c r="L154" s="34"/>
      <c r="M154" s="35"/>
      <c r="N154" s="33"/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2"/>
      <c r="G155" s="35"/>
      <c r="H155" s="35"/>
      <c r="I155" s="41"/>
      <c r="J155" s="34"/>
      <c r="K155" s="32"/>
      <c r="L155" s="34"/>
      <c r="M155" s="35"/>
      <c r="N155" s="33"/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2"/>
      <c r="G156" s="35"/>
      <c r="H156" s="35"/>
      <c r="I156" s="41"/>
      <c r="J156" s="34"/>
      <c r="K156" s="32"/>
      <c r="L156" s="34"/>
      <c r="M156" s="35"/>
      <c r="N156" s="33"/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2"/>
      <c r="G157" s="35"/>
      <c r="H157" s="35"/>
      <c r="I157" s="41"/>
      <c r="J157" s="34"/>
      <c r="K157" s="32"/>
      <c r="L157" s="34"/>
      <c r="M157" s="35"/>
      <c r="N157" s="33"/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2"/>
      <c r="G158" s="35"/>
      <c r="H158" s="35"/>
      <c r="I158" s="41"/>
      <c r="J158" s="34"/>
      <c r="K158" s="32"/>
      <c r="L158" s="34"/>
      <c r="M158" s="35"/>
      <c r="N158" s="33"/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2"/>
      <c r="G159" s="35"/>
      <c r="H159" s="35"/>
      <c r="I159" s="41"/>
      <c r="J159" s="34"/>
      <c r="K159" s="32"/>
      <c r="L159" s="34"/>
      <c r="M159" s="35"/>
      <c r="N159" s="33"/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2"/>
      <c r="G160" s="35"/>
      <c r="H160" s="35"/>
      <c r="I160" s="41"/>
      <c r="J160" s="34"/>
      <c r="K160" s="32"/>
      <c r="L160" s="34"/>
      <c r="M160" s="35"/>
      <c r="N160" s="33"/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2"/>
      <c r="G161" s="35"/>
      <c r="H161" s="35"/>
      <c r="I161" s="41"/>
      <c r="J161" s="34"/>
      <c r="K161" s="32"/>
      <c r="L161" s="34"/>
      <c r="M161" s="35"/>
      <c r="N161" s="33"/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2"/>
      <c r="G162" s="35"/>
      <c r="H162" s="35"/>
      <c r="I162" s="41"/>
      <c r="J162" s="34"/>
      <c r="K162" s="32"/>
      <c r="L162" s="34"/>
      <c r="M162" s="35"/>
      <c r="N162" s="33"/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2"/>
      <c r="G163" s="35"/>
      <c r="H163" s="35"/>
      <c r="I163" s="41"/>
      <c r="J163" s="34"/>
      <c r="K163" s="32"/>
      <c r="L163" s="34"/>
      <c r="M163" s="35"/>
      <c r="N163" s="33"/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2"/>
      <c r="G164" s="35"/>
      <c r="H164" s="35"/>
      <c r="I164" s="41"/>
      <c r="J164" s="34"/>
      <c r="K164" s="32"/>
      <c r="L164" s="34"/>
      <c r="M164" s="35"/>
      <c r="N164" s="33"/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2"/>
      <c r="G165" s="35"/>
      <c r="H165" s="35"/>
      <c r="I165" s="41"/>
      <c r="J165" s="34"/>
      <c r="K165" s="32"/>
      <c r="L165" s="34"/>
      <c r="M165" s="35"/>
      <c r="N165" s="33"/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2"/>
      <c r="G166" s="35"/>
      <c r="H166" s="35"/>
      <c r="I166" s="41"/>
      <c r="J166" s="34"/>
      <c r="K166" s="32"/>
      <c r="L166" s="34"/>
      <c r="M166" s="35"/>
      <c r="N166" s="33"/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2"/>
      <c r="G167" s="35"/>
      <c r="H167" s="35"/>
      <c r="I167" s="41"/>
      <c r="J167" s="34"/>
      <c r="K167" s="32"/>
      <c r="L167" s="34"/>
      <c r="M167" s="35"/>
      <c r="N167" s="33"/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2"/>
      <c r="G168" s="35"/>
      <c r="H168" s="35"/>
      <c r="I168" s="41"/>
      <c r="J168" s="34"/>
      <c r="K168" s="32"/>
      <c r="L168" s="34"/>
      <c r="M168" s="35"/>
      <c r="N168" s="33"/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2"/>
      <c r="G169" s="35"/>
      <c r="H169" s="35"/>
      <c r="I169" s="41"/>
      <c r="J169" s="34"/>
      <c r="K169" s="32"/>
      <c r="L169" s="34"/>
      <c r="M169" s="35"/>
      <c r="N169" s="33"/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2"/>
      <c r="G170" s="35"/>
      <c r="H170" s="35"/>
      <c r="I170" s="41"/>
      <c r="J170" s="34"/>
      <c r="K170" s="32"/>
      <c r="L170" s="34"/>
      <c r="M170" s="35"/>
      <c r="N170" s="33"/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2"/>
      <c r="G171" s="35"/>
      <c r="H171" s="35"/>
      <c r="I171" s="41"/>
      <c r="J171" s="34"/>
      <c r="K171" s="32"/>
      <c r="L171" s="34"/>
      <c r="M171" s="35"/>
      <c r="N171" s="33"/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2"/>
      <c r="G172" s="35"/>
      <c r="H172" s="35"/>
      <c r="I172" s="41"/>
      <c r="J172" s="34"/>
      <c r="K172" s="32"/>
      <c r="L172" s="34"/>
      <c r="M172" s="35"/>
      <c r="N172" s="33"/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2"/>
      <c r="G173" s="35"/>
      <c r="H173" s="35"/>
      <c r="I173" s="41"/>
      <c r="J173" s="34"/>
      <c r="K173" s="32"/>
      <c r="L173" s="34"/>
      <c r="M173" s="35"/>
      <c r="N173" s="33"/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2"/>
      <c r="G174" s="35"/>
      <c r="H174" s="35"/>
      <c r="I174" s="41"/>
      <c r="J174" s="34"/>
      <c r="K174" s="32"/>
      <c r="L174" s="34"/>
      <c r="M174" s="35"/>
      <c r="N174" s="33"/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2"/>
      <c r="G175" s="35"/>
      <c r="H175" s="35"/>
      <c r="I175" s="41"/>
      <c r="J175" s="34"/>
      <c r="K175" s="32"/>
      <c r="L175" s="34"/>
      <c r="M175" s="35"/>
      <c r="N175" s="33"/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2"/>
      <c r="G176" s="35"/>
      <c r="H176" s="35"/>
      <c r="I176" s="41"/>
      <c r="J176" s="34"/>
      <c r="K176" s="32"/>
      <c r="L176" s="34"/>
      <c r="M176" s="35"/>
      <c r="N176" s="33"/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2"/>
      <c r="G177" s="35"/>
      <c r="H177" s="35"/>
      <c r="I177" s="41"/>
      <c r="J177" s="34"/>
      <c r="K177" s="32"/>
      <c r="L177" s="34"/>
      <c r="M177" s="35"/>
      <c r="N177" s="33"/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2"/>
      <c r="G178" s="35"/>
      <c r="H178" s="35"/>
      <c r="I178" s="41"/>
      <c r="J178" s="34"/>
      <c r="K178" s="32"/>
      <c r="L178" s="34"/>
      <c r="M178" s="35"/>
      <c r="N178" s="33"/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2"/>
      <c r="G179" s="35"/>
      <c r="H179" s="35"/>
      <c r="I179" s="41"/>
      <c r="J179" s="34"/>
      <c r="K179" s="32"/>
      <c r="L179" s="34"/>
      <c r="M179" s="35"/>
      <c r="N179" s="33"/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2"/>
      <c r="G180" s="35"/>
      <c r="H180" s="35"/>
      <c r="I180" s="41"/>
      <c r="J180" s="34"/>
      <c r="K180" s="32"/>
      <c r="L180" s="34"/>
      <c r="M180" s="35"/>
      <c r="N180" s="33"/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2"/>
      <c r="G181" s="35"/>
      <c r="H181" s="35"/>
      <c r="I181" s="41"/>
      <c r="J181" s="34"/>
      <c r="K181" s="32"/>
      <c r="L181" s="34"/>
      <c r="M181" s="35"/>
      <c r="N181" s="33"/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2"/>
      <c r="G182" s="35"/>
      <c r="H182" s="35"/>
      <c r="I182" s="41"/>
      <c r="J182" s="34"/>
      <c r="K182" s="32"/>
      <c r="L182" s="34"/>
      <c r="M182" s="35"/>
      <c r="N182" s="33"/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2"/>
      <c r="G183" s="35"/>
      <c r="H183" s="35"/>
      <c r="I183" s="41"/>
      <c r="J183" s="34"/>
      <c r="K183" s="32"/>
      <c r="L183" s="34"/>
      <c r="M183" s="35"/>
      <c r="N183" s="33"/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2"/>
      <c r="G184" s="35"/>
      <c r="H184" s="35"/>
      <c r="I184" s="41"/>
      <c r="J184" s="34"/>
      <c r="K184" s="32"/>
      <c r="L184" s="34"/>
      <c r="M184" s="35"/>
      <c r="N184" s="33"/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2"/>
      <c r="G185" s="35"/>
      <c r="H185" s="35"/>
      <c r="I185" s="41"/>
      <c r="J185" s="34"/>
      <c r="K185" s="32"/>
      <c r="L185" s="34"/>
      <c r="M185" s="35"/>
      <c r="N185" s="33"/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2"/>
      <c r="G186" s="35"/>
      <c r="H186" s="35"/>
      <c r="I186" s="41"/>
      <c r="J186" s="34"/>
      <c r="K186" s="32"/>
      <c r="L186" s="34"/>
      <c r="M186" s="35"/>
      <c r="N186" s="33"/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2"/>
      <c r="G187" s="35"/>
      <c r="H187" s="35"/>
      <c r="I187" s="41"/>
      <c r="J187" s="34"/>
      <c r="K187" s="32"/>
      <c r="L187" s="34"/>
      <c r="M187" s="35"/>
      <c r="N187" s="33"/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2"/>
      <c r="G188" s="35"/>
      <c r="H188" s="35"/>
      <c r="I188" s="41"/>
      <c r="J188" s="34"/>
      <c r="K188" s="32"/>
      <c r="L188" s="34"/>
      <c r="M188" s="35"/>
      <c r="N188" s="33"/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2"/>
      <c r="G189" s="35"/>
      <c r="H189" s="35"/>
      <c r="I189" s="41"/>
      <c r="J189" s="34"/>
      <c r="K189" s="32"/>
      <c r="L189" s="34"/>
      <c r="M189" s="35"/>
      <c r="N189" s="33"/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2"/>
      <c r="G190" s="35"/>
      <c r="H190" s="35"/>
      <c r="I190" s="41"/>
      <c r="J190" s="34"/>
      <c r="K190" s="32"/>
      <c r="L190" s="34"/>
      <c r="M190" s="35"/>
      <c r="N190" s="33"/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2"/>
      <c r="G191" s="35"/>
      <c r="H191" s="35"/>
      <c r="I191" s="41"/>
      <c r="J191" s="34"/>
      <c r="K191" s="32"/>
      <c r="L191" s="34"/>
      <c r="M191" s="35"/>
      <c r="N191" s="33"/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2"/>
      <c r="G192" s="35"/>
      <c r="H192" s="35"/>
      <c r="I192" s="41"/>
      <c r="J192" s="34"/>
      <c r="K192" s="32"/>
      <c r="L192" s="34"/>
      <c r="M192" s="35"/>
      <c r="N192" s="33"/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2"/>
      <c r="G193" s="35"/>
      <c r="H193" s="35"/>
      <c r="I193" s="41"/>
      <c r="J193" s="34"/>
      <c r="K193" s="32"/>
      <c r="L193" s="34"/>
      <c r="M193" s="35"/>
      <c r="N193" s="33"/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2"/>
      <c r="G194" s="35"/>
      <c r="H194" s="35"/>
      <c r="I194" s="41"/>
      <c r="J194" s="34"/>
      <c r="K194" s="32"/>
      <c r="L194" s="34"/>
      <c r="M194" s="35"/>
      <c r="N194" s="33"/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2"/>
      <c r="G195" s="35"/>
      <c r="H195" s="35"/>
      <c r="I195" s="41"/>
      <c r="J195" s="34"/>
      <c r="K195" s="32"/>
      <c r="L195" s="34"/>
      <c r="M195" s="35"/>
      <c r="N195" s="33"/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2"/>
      <c r="G196" s="35"/>
      <c r="H196" s="35"/>
      <c r="I196" s="41"/>
      <c r="J196" s="34"/>
      <c r="K196" s="32"/>
      <c r="L196" s="34"/>
      <c r="M196" s="35"/>
      <c r="N196" s="33"/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2"/>
      <c r="G197" s="35"/>
      <c r="H197" s="35"/>
      <c r="I197" s="41"/>
      <c r="J197" s="34"/>
      <c r="K197" s="32"/>
      <c r="L197" s="34"/>
      <c r="M197" s="35"/>
      <c r="N197" s="33"/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2"/>
      <c r="G198" s="35"/>
      <c r="H198" s="35"/>
      <c r="I198" s="41"/>
      <c r="J198" s="34"/>
      <c r="K198" s="32"/>
      <c r="L198" s="34"/>
      <c r="M198" s="35"/>
      <c r="N198" s="33"/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2"/>
      <c r="G199" s="35"/>
      <c r="H199" s="35"/>
      <c r="I199" s="41"/>
      <c r="J199" s="34"/>
      <c r="K199" s="32"/>
      <c r="L199" s="34"/>
      <c r="M199" s="35"/>
      <c r="N199" s="33"/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2"/>
      <c r="G200" s="35"/>
      <c r="H200" s="35"/>
      <c r="I200" s="41"/>
      <c r="J200" s="34"/>
      <c r="K200" s="32"/>
      <c r="L200" s="34"/>
      <c r="M200" s="35"/>
      <c r="N200" s="33"/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2"/>
      <c r="G201" s="35"/>
      <c r="H201" s="35"/>
      <c r="I201" s="41"/>
      <c r="J201" s="34"/>
      <c r="K201" s="32"/>
      <c r="L201" s="34"/>
      <c r="M201" s="35"/>
      <c r="N201" s="33"/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2"/>
      <c r="G202" s="35"/>
      <c r="H202" s="35"/>
      <c r="I202" s="41"/>
      <c r="J202" s="34"/>
      <c r="K202" s="32"/>
      <c r="L202" s="34"/>
      <c r="M202" s="35"/>
      <c r="N202" s="33"/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2"/>
      <c r="G203" s="35"/>
      <c r="H203" s="35"/>
      <c r="I203" s="41"/>
      <c r="J203" s="34"/>
      <c r="K203" s="32"/>
      <c r="L203" s="34"/>
      <c r="M203" s="35"/>
      <c r="N203" s="33"/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2"/>
      <c r="G204" s="35"/>
      <c r="H204" s="35"/>
      <c r="I204" s="41"/>
      <c r="J204" s="34"/>
      <c r="K204" s="32"/>
      <c r="L204" s="34"/>
      <c r="M204" s="35"/>
      <c r="N204" s="33"/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2"/>
      <c r="G205" s="35"/>
      <c r="H205" s="35"/>
      <c r="I205" s="41"/>
      <c r="J205" s="34"/>
      <c r="K205" s="32"/>
      <c r="L205" s="34"/>
      <c r="M205" s="35"/>
      <c r="N205" s="33"/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2"/>
      <c r="G206" s="35"/>
      <c r="H206" s="35"/>
      <c r="I206" s="41"/>
      <c r="J206" s="34"/>
      <c r="K206" s="32"/>
      <c r="L206" s="34"/>
      <c r="M206" s="35"/>
      <c r="N206" s="33"/>
    </row>
    <row r="207" customFormat="false" ht="15" hidden="false" customHeight="false" outlineLevel="0" collapsed="false">
      <c r="A207" s="32"/>
      <c r="B207" s="32"/>
      <c r="C207" s="32"/>
      <c r="D207" s="33"/>
      <c r="E207" s="32"/>
      <c r="F207" s="32"/>
      <c r="G207" s="35"/>
      <c r="H207" s="35"/>
      <c r="I207" s="41"/>
      <c r="J207" s="34"/>
      <c r="K207" s="32"/>
      <c r="L207" s="34"/>
      <c r="M207" s="35"/>
      <c r="N207" s="33"/>
    </row>
    <row r="208" customFormat="false" ht="15" hidden="false" customHeight="false" outlineLevel="0" collapsed="false">
      <c r="A208" s="32"/>
      <c r="B208" s="32"/>
      <c r="C208" s="32"/>
      <c r="D208" s="33"/>
      <c r="E208" s="32"/>
      <c r="F208" s="32"/>
      <c r="G208" s="35"/>
      <c r="H208" s="35"/>
      <c r="I208" s="41"/>
      <c r="J208" s="34"/>
      <c r="K208" s="32"/>
      <c r="L208" s="34"/>
      <c r="M208" s="35"/>
      <c r="N208" s="33"/>
    </row>
    <row r="209" customFormat="false" ht="15" hidden="false" customHeight="false" outlineLevel="0" collapsed="false">
      <c r="A209" s="32"/>
      <c r="B209" s="32"/>
      <c r="C209" s="32"/>
      <c r="D209" s="33"/>
      <c r="E209" s="32"/>
      <c r="F209" s="32"/>
      <c r="G209" s="35"/>
      <c r="H209" s="35"/>
      <c r="I209" s="41"/>
      <c r="J209" s="34"/>
      <c r="K209" s="32"/>
      <c r="L209" s="34"/>
      <c r="M209" s="35"/>
      <c r="N209" s="33"/>
    </row>
    <row r="210" customFormat="false" ht="15" hidden="false" customHeight="false" outlineLevel="0" collapsed="false">
      <c r="A210" s="32"/>
      <c r="B210" s="32"/>
      <c r="C210" s="32"/>
      <c r="D210" s="33"/>
      <c r="E210" s="32"/>
      <c r="F210" s="32"/>
      <c r="G210" s="35"/>
      <c r="H210" s="35"/>
      <c r="I210" s="41"/>
      <c r="J210" s="34"/>
      <c r="K210" s="32"/>
      <c r="L210" s="34"/>
      <c r="M210" s="35"/>
      <c r="N210" s="33"/>
    </row>
    <row r="211" customFormat="false" ht="15" hidden="false" customHeight="false" outlineLevel="0" collapsed="false">
      <c r="A211" s="32"/>
      <c r="B211" s="32"/>
      <c r="C211" s="32"/>
      <c r="D211" s="33"/>
      <c r="E211" s="32"/>
      <c r="F211" s="32"/>
      <c r="G211" s="35"/>
      <c r="H211" s="35"/>
      <c r="I211" s="41"/>
      <c r="J211" s="34"/>
      <c r="K211" s="32"/>
      <c r="L211" s="34"/>
      <c r="M211" s="35"/>
      <c r="N211" s="33"/>
    </row>
    <row r="212" customFormat="false" ht="15" hidden="false" customHeight="false" outlineLevel="0" collapsed="false">
      <c r="A212" s="32"/>
      <c r="B212" s="32"/>
      <c r="C212" s="32"/>
      <c r="D212" s="33"/>
      <c r="E212" s="32"/>
      <c r="F212" s="32"/>
      <c r="G212" s="35"/>
      <c r="H212" s="35"/>
      <c r="I212" s="41"/>
      <c r="J212" s="34"/>
      <c r="K212" s="32"/>
      <c r="L212" s="34"/>
      <c r="M212" s="35"/>
      <c r="N212" s="33"/>
    </row>
    <row r="213" customFormat="false" ht="15" hidden="false" customHeight="false" outlineLevel="0" collapsed="false">
      <c r="A213" s="32"/>
      <c r="B213" s="32"/>
      <c r="C213" s="32"/>
      <c r="D213" s="33"/>
      <c r="E213" s="32"/>
      <c r="F213" s="32"/>
      <c r="G213" s="35"/>
      <c r="H213" s="35"/>
      <c r="I213" s="41"/>
      <c r="J213" s="34"/>
      <c r="K213" s="32"/>
      <c r="L213" s="34"/>
      <c r="M213" s="35"/>
      <c r="N213" s="33"/>
    </row>
    <row r="214" customFormat="false" ht="15" hidden="false" customHeight="false" outlineLevel="0" collapsed="false">
      <c r="A214" s="32"/>
      <c r="B214" s="32"/>
      <c r="C214" s="32"/>
      <c r="D214" s="33"/>
      <c r="E214" s="32"/>
      <c r="F214" s="32"/>
      <c r="G214" s="35"/>
      <c r="H214" s="35"/>
      <c r="I214" s="41"/>
      <c r="J214" s="34"/>
      <c r="K214" s="32"/>
      <c r="L214" s="34"/>
      <c r="M214" s="35"/>
      <c r="N214" s="33"/>
    </row>
    <row r="215" customFormat="false" ht="15" hidden="false" customHeight="false" outlineLevel="0" collapsed="false">
      <c r="A215" s="32"/>
      <c r="B215" s="32"/>
      <c r="C215" s="32"/>
      <c r="D215" s="33"/>
      <c r="E215" s="32"/>
      <c r="F215" s="32"/>
      <c r="G215" s="35"/>
      <c r="H215" s="35"/>
      <c r="I215" s="41"/>
      <c r="J215" s="34"/>
      <c r="K215" s="32"/>
      <c r="L215" s="34"/>
      <c r="M215" s="35"/>
      <c r="N215" s="33"/>
    </row>
    <row r="216" customFormat="false" ht="15" hidden="false" customHeight="false" outlineLevel="0" collapsed="false">
      <c r="A216" s="32"/>
      <c r="B216" s="32"/>
      <c r="C216" s="32"/>
      <c r="D216" s="33"/>
      <c r="E216" s="32"/>
      <c r="F216" s="32"/>
      <c r="G216" s="35"/>
      <c r="H216" s="35"/>
      <c r="I216" s="41"/>
      <c r="J216" s="34"/>
      <c r="K216" s="32"/>
      <c r="L216" s="34"/>
      <c r="M216" s="35"/>
      <c r="N216" s="33"/>
    </row>
    <row r="217" customFormat="false" ht="15" hidden="false" customHeight="false" outlineLevel="0" collapsed="false">
      <c r="A217" s="32"/>
      <c r="B217" s="32"/>
      <c r="C217" s="32"/>
      <c r="D217" s="33"/>
      <c r="E217" s="32"/>
      <c r="F217" s="32"/>
      <c r="G217" s="35"/>
      <c r="H217" s="35"/>
      <c r="I217" s="41"/>
      <c r="J217" s="34"/>
      <c r="K217" s="32"/>
      <c r="L217" s="34"/>
      <c r="M217" s="35"/>
      <c r="N217" s="33"/>
    </row>
    <row r="218" customFormat="false" ht="15" hidden="false" customHeight="false" outlineLevel="0" collapsed="false">
      <c r="A218" s="32"/>
      <c r="B218" s="32"/>
      <c r="C218" s="32"/>
      <c r="D218" s="33"/>
      <c r="E218" s="32"/>
      <c r="F218" s="32"/>
      <c r="G218" s="35"/>
      <c r="H218" s="35"/>
      <c r="I218" s="41"/>
      <c r="J218" s="34"/>
      <c r="K218" s="32"/>
      <c r="L218" s="34"/>
      <c r="M218" s="35"/>
      <c r="N218" s="33"/>
    </row>
    <row r="219" customFormat="false" ht="15" hidden="false" customHeight="false" outlineLevel="0" collapsed="false">
      <c r="A219" s="32"/>
      <c r="B219" s="32"/>
      <c r="C219" s="32"/>
      <c r="D219" s="33"/>
      <c r="E219" s="32"/>
      <c r="F219" s="32"/>
      <c r="G219" s="35"/>
      <c r="H219" s="35"/>
      <c r="I219" s="41"/>
      <c r="J219" s="34"/>
      <c r="K219" s="32"/>
      <c r="L219" s="34"/>
      <c r="M219" s="35"/>
      <c r="N219" s="33"/>
    </row>
    <row r="220" customFormat="false" ht="15" hidden="false" customHeight="false" outlineLevel="0" collapsed="false">
      <c r="A220" s="32"/>
      <c r="B220" s="32"/>
      <c r="C220" s="32"/>
      <c r="D220" s="33"/>
      <c r="E220" s="32"/>
      <c r="F220" s="32"/>
      <c r="G220" s="35"/>
      <c r="H220" s="35"/>
      <c r="I220" s="41"/>
      <c r="J220" s="34"/>
      <c r="K220" s="32"/>
      <c r="L220" s="34"/>
      <c r="M220" s="35"/>
      <c r="N220" s="33"/>
    </row>
    <row r="221" customFormat="false" ht="15" hidden="false" customHeight="false" outlineLevel="0" collapsed="false">
      <c r="A221" s="32"/>
      <c r="B221" s="32"/>
      <c r="C221" s="32"/>
      <c r="D221" s="33"/>
      <c r="E221" s="32"/>
      <c r="F221" s="32"/>
      <c r="G221" s="35"/>
      <c r="H221" s="35"/>
      <c r="I221" s="41"/>
      <c r="J221" s="34"/>
      <c r="K221" s="32"/>
      <c r="L221" s="34"/>
      <c r="M221" s="35"/>
      <c r="N221" s="33"/>
    </row>
    <row r="222" customFormat="false" ht="15" hidden="false" customHeight="false" outlineLevel="0" collapsed="false">
      <c r="A222" s="32"/>
      <c r="B222" s="32"/>
      <c r="C222" s="32"/>
      <c r="D222" s="33"/>
      <c r="E222" s="32"/>
      <c r="F222" s="32"/>
      <c r="G222" s="35"/>
      <c r="H222" s="35"/>
      <c r="I222" s="41"/>
      <c r="J222" s="34"/>
      <c r="K222" s="32"/>
      <c r="L222" s="34"/>
      <c r="M222" s="35"/>
      <c r="N222" s="33"/>
    </row>
    <row r="223" customFormat="false" ht="15" hidden="false" customHeight="false" outlineLevel="0" collapsed="false">
      <c r="A223" s="32"/>
      <c r="B223" s="32"/>
      <c r="C223" s="32"/>
      <c r="D223" s="33"/>
      <c r="E223" s="32"/>
      <c r="F223" s="32"/>
      <c r="G223" s="35"/>
      <c r="H223" s="35"/>
      <c r="I223" s="41"/>
      <c r="J223" s="34"/>
      <c r="K223" s="32"/>
      <c r="L223" s="34"/>
      <c r="M223" s="35"/>
      <c r="N223" s="33"/>
    </row>
    <row r="224" customFormat="false" ht="15" hidden="false" customHeight="false" outlineLevel="0" collapsed="false">
      <c r="A224" s="32"/>
      <c r="B224" s="32"/>
      <c r="C224" s="32"/>
      <c r="D224" s="33"/>
      <c r="E224" s="32"/>
      <c r="F224" s="32"/>
      <c r="G224" s="35"/>
      <c r="H224" s="35"/>
      <c r="I224" s="41"/>
      <c r="J224" s="34"/>
      <c r="K224" s="32"/>
      <c r="L224" s="34"/>
      <c r="M224" s="35"/>
      <c r="N224" s="33"/>
    </row>
    <row r="225" customFormat="false" ht="15" hidden="false" customHeight="false" outlineLevel="0" collapsed="false">
      <c r="A225" s="32"/>
      <c r="B225" s="32"/>
      <c r="C225" s="32"/>
      <c r="D225" s="33"/>
      <c r="E225" s="32"/>
      <c r="F225" s="32"/>
      <c r="G225" s="35"/>
      <c r="H225" s="35"/>
      <c r="I225" s="41"/>
      <c r="J225" s="34"/>
      <c r="K225" s="32"/>
      <c r="L225" s="34"/>
      <c r="M225" s="35"/>
      <c r="N225" s="33"/>
    </row>
    <row r="226" customFormat="false" ht="15" hidden="false" customHeight="false" outlineLevel="0" collapsed="false">
      <c r="A226" s="32"/>
      <c r="B226" s="32"/>
      <c r="C226" s="32"/>
      <c r="D226" s="33"/>
      <c r="E226" s="32"/>
      <c r="F226" s="32"/>
      <c r="G226" s="35"/>
      <c r="H226" s="35"/>
      <c r="I226" s="41"/>
      <c r="J226" s="34"/>
      <c r="K226" s="32"/>
      <c r="L226" s="34"/>
      <c r="M226" s="35"/>
      <c r="N226" s="33"/>
    </row>
    <row r="227" customFormat="false" ht="15" hidden="false" customHeight="false" outlineLevel="0" collapsed="false">
      <c r="A227" s="32"/>
      <c r="B227" s="32"/>
      <c r="C227" s="32"/>
      <c r="D227" s="33"/>
      <c r="E227" s="32"/>
      <c r="F227" s="32"/>
      <c r="G227" s="35"/>
      <c r="H227" s="35"/>
      <c r="I227" s="41"/>
      <c r="J227" s="34"/>
      <c r="K227" s="32"/>
      <c r="L227" s="34"/>
      <c r="M227" s="35"/>
      <c r="N227" s="33"/>
    </row>
    <row r="228" customFormat="false" ht="15" hidden="false" customHeight="false" outlineLevel="0" collapsed="false">
      <c r="A228" s="32"/>
      <c r="B228" s="32"/>
      <c r="C228" s="32"/>
      <c r="D228" s="33"/>
      <c r="E228" s="32"/>
      <c r="F228" s="32"/>
      <c r="G228" s="35"/>
      <c r="H228" s="35"/>
      <c r="I228" s="41"/>
      <c r="J228" s="34"/>
      <c r="K228" s="32"/>
      <c r="L228" s="34"/>
      <c r="M228" s="35"/>
      <c r="N228" s="33"/>
    </row>
    <row r="229" customFormat="false" ht="15" hidden="false" customHeight="false" outlineLevel="0" collapsed="false">
      <c r="A229" s="32"/>
      <c r="B229" s="32"/>
      <c r="C229" s="32"/>
      <c r="D229" s="33"/>
      <c r="E229" s="32"/>
      <c r="F229" s="32"/>
      <c r="G229" s="35"/>
      <c r="H229" s="35"/>
      <c r="I229" s="41"/>
      <c r="J229" s="34"/>
      <c r="K229" s="32"/>
      <c r="L229" s="34"/>
      <c r="M229" s="35"/>
      <c r="N229" s="33"/>
    </row>
    <row r="230" customFormat="false" ht="15" hidden="false" customHeight="false" outlineLevel="0" collapsed="false">
      <c r="A230" s="32"/>
      <c r="B230" s="32"/>
      <c r="C230" s="32"/>
      <c r="D230" s="33"/>
      <c r="E230" s="32"/>
      <c r="F230" s="32"/>
      <c r="G230" s="35"/>
      <c r="H230" s="35"/>
      <c r="I230" s="41"/>
      <c r="J230" s="34"/>
      <c r="K230" s="32"/>
      <c r="L230" s="34"/>
      <c r="M230" s="35"/>
      <c r="N230" s="33"/>
    </row>
    <row r="231" customFormat="false" ht="15" hidden="false" customHeight="false" outlineLevel="0" collapsed="false">
      <c r="A231" s="32"/>
      <c r="B231" s="32"/>
      <c r="C231" s="32"/>
      <c r="D231" s="33"/>
      <c r="E231" s="32"/>
      <c r="F231" s="32"/>
      <c r="G231" s="35"/>
      <c r="H231" s="35"/>
      <c r="I231" s="41"/>
      <c r="J231" s="34"/>
      <c r="K231" s="32"/>
      <c r="L231" s="34"/>
      <c r="M231" s="35"/>
      <c r="N231" s="33"/>
    </row>
    <row r="232" customFormat="false" ht="15" hidden="false" customHeight="false" outlineLevel="0" collapsed="false">
      <c r="A232" s="32"/>
      <c r="B232" s="32"/>
      <c r="C232" s="32"/>
      <c r="D232" s="33"/>
      <c r="E232" s="32"/>
      <c r="F232" s="32"/>
      <c r="G232" s="35"/>
      <c r="H232" s="35"/>
      <c r="I232" s="41"/>
      <c r="J232" s="34"/>
      <c r="K232" s="32"/>
      <c r="L232" s="34"/>
      <c r="M232" s="35"/>
      <c r="N232" s="33"/>
    </row>
    <row r="233" customFormat="false" ht="15" hidden="false" customHeight="false" outlineLevel="0" collapsed="false">
      <c r="A233" s="32"/>
      <c r="B233" s="32"/>
      <c r="C233" s="32"/>
      <c r="D233" s="33"/>
      <c r="E233" s="32"/>
      <c r="F233" s="32"/>
      <c r="G233" s="35"/>
      <c r="H233" s="35"/>
      <c r="I233" s="41"/>
      <c r="J233" s="34"/>
      <c r="K233" s="32"/>
      <c r="L233" s="34"/>
      <c r="M233" s="35"/>
      <c r="N233" s="33"/>
    </row>
    <row r="234" customFormat="false" ht="15" hidden="false" customHeight="false" outlineLevel="0" collapsed="false">
      <c r="A234" s="32"/>
      <c r="B234" s="32"/>
      <c r="C234" s="32"/>
      <c r="D234" s="33"/>
      <c r="E234" s="32"/>
      <c r="F234" s="32"/>
      <c r="G234" s="35"/>
      <c r="H234" s="35"/>
      <c r="I234" s="41"/>
      <c r="J234" s="34"/>
      <c r="K234" s="32"/>
      <c r="L234" s="34"/>
      <c r="M234" s="35"/>
      <c r="N234" s="33"/>
    </row>
    <row r="235" customFormat="false" ht="15" hidden="false" customHeight="false" outlineLevel="0" collapsed="false">
      <c r="A235" s="32"/>
      <c r="B235" s="32"/>
      <c r="C235" s="32"/>
      <c r="D235" s="33"/>
      <c r="E235" s="32"/>
      <c r="F235" s="32"/>
      <c r="G235" s="35"/>
      <c r="H235" s="35"/>
      <c r="I235" s="41"/>
      <c r="J235" s="34"/>
      <c r="K235" s="32"/>
      <c r="L235" s="34"/>
      <c r="M235" s="35"/>
      <c r="N235" s="33"/>
    </row>
    <row r="236" customFormat="false" ht="15" hidden="false" customHeight="false" outlineLevel="0" collapsed="false">
      <c r="A236" s="32"/>
      <c r="B236" s="32"/>
      <c r="C236" s="32"/>
      <c r="D236" s="33"/>
      <c r="E236" s="32"/>
      <c r="F236" s="32"/>
      <c r="G236" s="35"/>
      <c r="H236" s="35"/>
      <c r="I236" s="41"/>
      <c r="J236" s="34"/>
      <c r="K236" s="32"/>
      <c r="L236" s="34"/>
      <c r="M236" s="35"/>
      <c r="N236" s="33"/>
    </row>
    <row r="237" customFormat="false" ht="15" hidden="false" customHeight="false" outlineLevel="0" collapsed="false">
      <c r="A237" s="32"/>
      <c r="B237" s="32"/>
      <c r="C237" s="32"/>
      <c r="D237" s="33"/>
      <c r="E237" s="32"/>
      <c r="F237" s="32"/>
      <c r="G237" s="35"/>
      <c r="H237" s="35"/>
      <c r="I237" s="41"/>
      <c r="J237" s="34"/>
      <c r="K237" s="32"/>
      <c r="L237" s="34"/>
      <c r="M237" s="35"/>
      <c r="N237" s="33"/>
    </row>
    <row r="238" customFormat="false" ht="15" hidden="false" customHeight="false" outlineLevel="0" collapsed="false">
      <c r="A238" s="32"/>
      <c r="B238" s="32"/>
      <c r="C238" s="32"/>
      <c r="D238" s="33"/>
      <c r="E238" s="32"/>
      <c r="F238" s="32"/>
      <c r="G238" s="35"/>
      <c r="H238" s="35"/>
      <c r="I238" s="41"/>
      <c r="J238" s="34"/>
      <c r="K238" s="32"/>
      <c r="L238" s="34"/>
      <c r="M238" s="35"/>
      <c r="N238" s="33"/>
    </row>
    <row r="239" customFormat="false" ht="15" hidden="false" customHeight="false" outlineLevel="0" collapsed="false">
      <c r="A239" s="32"/>
      <c r="B239" s="32"/>
      <c r="C239" s="32"/>
      <c r="D239" s="33"/>
      <c r="E239" s="32"/>
      <c r="F239" s="32"/>
      <c r="G239" s="35"/>
      <c r="H239" s="35"/>
      <c r="I239" s="41"/>
      <c r="J239" s="34"/>
      <c r="K239" s="32"/>
      <c r="L239" s="34"/>
      <c r="M239" s="35"/>
      <c r="N239" s="33"/>
    </row>
    <row r="240" customFormat="false" ht="15" hidden="false" customHeight="false" outlineLevel="0" collapsed="false">
      <c r="A240" s="32"/>
      <c r="B240" s="32"/>
      <c r="C240" s="32"/>
      <c r="D240" s="33"/>
      <c r="E240" s="32"/>
      <c r="F240" s="32"/>
      <c r="G240" s="35"/>
      <c r="H240" s="35"/>
      <c r="I240" s="41"/>
      <c r="J240" s="34"/>
      <c r="K240" s="32"/>
      <c r="L240" s="34"/>
      <c r="M240" s="35"/>
      <c r="N240" s="33"/>
    </row>
    <row r="241" customFormat="false" ht="15" hidden="false" customHeight="false" outlineLevel="0" collapsed="false">
      <c r="A241" s="32"/>
      <c r="B241" s="32"/>
      <c r="C241" s="32"/>
      <c r="D241" s="33"/>
      <c r="E241" s="32"/>
      <c r="F241" s="32"/>
      <c r="G241" s="35"/>
      <c r="H241" s="35"/>
      <c r="I241" s="41"/>
      <c r="J241" s="34"/>
      <c r="K241" s="32"/>
      <c r="L241" s="34"/>
      <c r="M241" s="35"/>
      <c r="N241" s="33"/>
    </row>
    <row r="242" customFormat="false" ht="15" hidden="false" customHeight="false" outlineLevel="0" collapsed="false">
      <c r="A242" s="32"/>
      <c r="B242" s="32"/>
      <c r="C242" s="32"/>
      <c r="D242" s="33"/>
      <c r="E242" s="32"/>
      <c r="F242" s="32"/>
      <c r="G242" s="35"/>
      <c r="H242" s="35"/>
      <c r="I242" s="41"/>
      <c r="J242" s="34"/>
      <c r="K242" s="32"/>
      <c r="L242" s="34"/>
      <c r="M242" s="35"/>
      <c r="N242" s="33"/>
    </row>
    <row r="243" customFormat="false" ht="15" hidden="false" customHeight="false" outlineLevel="0" collapsed="false">
      <c r="A243" s="32"/>
      <c r="B243" s="32"/>
      <c r="C243" s="32"/>
      <c r="D243" s="33"/>
      <c r="E243" s="32"/>
      <c r="F243" s="32"/>
      <c r="G243" s="35"/>
      <c r="H243" s="35"/>
      <c r="I243" s="41"/>
      <c r="J243" s="34"/>
      <c r="K243" s="32"/>
      <c r="L243" s="34"/>
      <c r="M243" s="35"/>
      <c r="N243" s="33"/>
    </row>
    <row r="244" customFormat="false" ht="15" hidden="false" customHeight="false" outlineLevel="0" collapsed="false">
      <c r="A244" s="32"/>
      <c r="B244" s="32"/>
      <c r="C244" s="32"/>
      <c r="D244" s="33"/>
      <c r="E244" s="32"/>
      <c r="F244" s="32"/>
      <c r="G244" s="35"/>
      <c r="H244" s="35"/>
      <c r="I244" s="41"/>
      <c r="J244" s="34"/>
      <c r="K244" s="32"/>
      <c r="L244" s="34"/>
      <c r="M244" s="35"/>
      <c r="N244" s="33"/>
    </row>
    <row r="245" customFormat="false" ht="15" hidden="false" customHeight="false" outlineLevel="0" collapsed="false">
      <c r="A245" s="32"/>
      <c r="B245" s="32"/>
      <c r="C245" s="32"/>
      <c r="D245" s="33"/>
      <c r="E245" s="32"/>
      <c r="F245" s="32"/>
      <c r="G245" s="35"/>
      <c r="H245" s="35"/>
      <c r="I245" s="41"/>
      <c r="J245" s="34"/>
      <c r="K245" s="32"/>
      <c r="L245" s="34"/>
      <c r="M245" s="35"/>
      <c r="N245" s="33"/>
    </row>
    <row r="246" customFormat="false" ht="15" hidden="false" customHeight="false" outlineLevel="0" collapsed="false">
      <c r="A246" s="32"/>
      <c r="B246" s="32"/>
      <c r="C246" s="32"/>
      <c r="D246" s="33"/>
      <c r="E246" s="32"/>
      <c r="F246" s="32"/>
      <c r="G246" s="35"/>
      <c r="H246" s="35"/>
      <c r="I246" s="41"/>
      <c r="J246" s="34"/>
      <c r="K246" s="32"/>
      <c r="L246" s="34"/>
      <c r="M246" s="35"/>
      <c r="N246" s="33"/>
    </row>
    <row r="247" customFormat="false" ht="15" hidden="false" customHeight="false" outlineLevel="0" collapsed="false">
      <c r="A247" s="32"/>
      <c r="B247" s="32"/>
      <c r="C247" s="32"/>
      <c r="D247" s="33"/>
      <c r="E247" s="32"/>
      <c r="F247" s="32"/>
      <c r="G247" s="35"/>
      <c r="H247" s="35"/>
      <c r="I247" s="41"/>
      <c r="J247" s="34"/>
      <c r="K247" s="32"/>
      <c r="L247" s="34"/>
      <c r="M247" s="35"/>
      <c r="N247" s="33"/>
    </row>
    <row r="248" customFormat="false" ht="15" hidden="false" customHeight="false" outlineLevel="0" collapsed="false">
      <c r="A248" s="32"/>
      <c r="B248" s="32"/>
      <c r="C248" s="32"/>
      <c r="D248" s="33"/>
      <c r="E248" s="32"/>
      <c r="F248" s="32"/>
      <c r="G248" s="35"/>
      <c r="H248" s="35"/>
      <c r="I248" s="41"/>
      <c r="J248" s="34"/>
      <c r="K248" s="32"/>
      <c r="L248" s="34"/>
      <c r="M248" s="35"/>
      <c r="N248" s="33"/>
    </row>
    <row r="249" customFormat="false" ht="15" hidden="false" customHeight="false" outlineLevel="0" collapsed="false">
      <c r="A249" s="32"/>
      <c r="B249" s="32"/>
      <c r="C249" s="32"/>
      <c r="D249" s="33"/>
      <c r="E249" s="32"/>
      <c r="F249" s="32"/>
      <c r="G249" s="35"/>
      <c r="H249" s="35"/>
      <c r="I249" s="41"/>
      <c r="J249" s="34"/>
      <c r="K249" s="32"/>
      <c r="L249" s="34"/>
      <c r="M249" s="35"/>
      <c r="N249" s="33"/>
    </row>
    <row r="250" customFormat="false" ht="15" hidden="false" customHeight="false" outlineLevel="0" collapsed="false">
      <c r="A250" s="32"/>
      <c r="B250" s="32"/>
      <c r="C250" s="32"/>
      <c r="D250" s="33"/>
      <c r="E250" s="32"/>
      <c r="F250" s="32"/>
      <c r="G250" s="35"/>
      <c r="H250" s="35"/>
      <c r="I250" s="41"/>
      <c r="J250" s="34"/>
      <c r="K250" s="32"/>
      <c r="L250" s="34"/>
      <c r="M250" s="35"/>
      <c r="N250" s="33"/>
    </row>
    <row r="251" customFormat="false" ht="15" hidden="false" customHeight="false" outlineLevel="0" collapsed="false">
      <c r="A251" s="32"/>
      <c r="B251" s="32"/>
      <c r="C251" s="32"/>
      <c r="D251" s="33"/>
      <c r="E251" s="32"/>
      <c r="F251" s="32"/>
      <c r="G251" s="35"/>
      <c r="H251" s="35"/>
      <c r="I251" s="41"/>
      <c r="J251" s="34"/>
      <c r="K251" s="32"/>
      <c r="L251" s="34"/>
      <c r="M251" s="35"/>
      <c r="N251" s="33"/>
    </row>
    <row r="252" customFormat="false" ht="15" hidden="false" customHeight="false" outlineLevel="0" collapsed="false">
      <c r="A252" s="32"/>
      <c r="B252" s="32"/>
      <c r="C252" s="32"/>
      <c r="D252" s="33"/>
      <c r="E252" s="32"/>
      <c r="F252" s="32"/>
      <c r="G252" s="35"/>
      <c r="H252" s="35"/>
      <c r="I252" s="41"/>
      <c r="J252" s="34"/>
      <c r="K252" s="32"/>
      <c r="L252" s="34"/>
      <c r="M252" s="35"/>
      <c r="N252" s="33"/>
    </row>
    <row r="253" customFormat="false" ht="15" hidden="false" customHeight="false" outlineLevel="0" collapsed="false">
      <c r="A253" s="32"/>
      <c r="B253" s="32"/>
      <c r="C253" s="32"/>
      <c r="D253" s="33"/>
      <c r="E253" s="32"/>
      <c r="F253" s="32"/>
      <c r="G253" s="35"/>
      <c r="H253" s="35"/>
      <c r="I253" s="41"/>
      <c r="J253" s="34"/>
      <c r="K253" s="32"/>
      <c r="L253" s="34"/>
      <c r="M253" s="35"/>
      <c r="N253" s="33"/>
    </row>
    <row r="254" customFormat="false" ht="15" hidden="false" customHeight="false" outlineLevel="0" collapsed="false">
      <c r="A254" s="32"/>
      <c r="B254" s="32"/>
      <c r="C254" s="32"/>
      <c r="D254" s="33"/>
      <c r="E254" s="32"/>
      <c r="F254" s="32"/>
      <c r="G254" s="35"/>
      <c r="H254" s="35"/>
      <c r="I254" s="41"/>
      <c r="J254" s="34"/>
      <c r="K254" s="32"/>
      <c r="L254" s="34"/>
      <c r="M254" s="35"/>
      <c r="N254" s="33"/>
    </row>
    <row r="255" customFormat="false" ht="15" hidden="false" customHeight="false" outlineLevel="0" collapsed="false">
      <c r="A255" s="32"/>
      <c r="B255" s="32"/>
      <c r="C255" s="32"/>
      <c r="D255" s="33"/>
      <c r="E255" s="32"/>
      <c r="F255" s="32"/>
      <c r="G255" s="35"/>
      <c r="H255" s="35"/>
      <c r="I255" s="41"/>
      <c r="J255" s="34"/>
      <c r="K255" s="32"/>
      <c r="L255" s="34"/>
      <c r="M255" s="35"/>
      <c r="N255" s="33"/>
    </row>
    <row r="256" customFormat="false" ht="15" hidden="false" customHeight="false" outlineLevel="0" collapsed="false">
      <c r="A256" s="32"/>
      <c r="B256" s="32"/>
      <c r="C256" s="32"/>
      <c r="D256" s="33"/>
      <c r="E256" s="32"/>
      <c r="F256" s="32"/>
      <c r="G256" s="35"/>
      <c r="H256" s="35"/>
      <c r="I256" s="41"/>
      <c r="J256" s="34"/>
      <c r="K256" s="32"/>
      <c r="L256" s="34"/>
      <c r="M256" s="35"/>
      <c r="N256" s="33"/>
    </row>
    <row r="257" customFormat="false" ht="15" hidden="false" customHeight="false" outlineLevel="0" collapsed="false">
      <c r="A257" s="32"/>
      <c r="B257" s="32"/>
      <c r="C257" s="32"/>
      <c r="D257" s="33"/>
      <c r="E257" s="32"/>
      <c r="F257" s="32"/>
      <c r="G257" s="35"/>
      <c r="H257" s="35"/>
      <c r="I257" s="41"/>
      <c r="J257" s="34"/>
      <c r="K257" s="32"/>
      <c r="L257" s="34"/>
      <c r="M257" s="35"/>
      <c r="N257" s="33"/>
    </row>
    <row r="258" customFormat="false" ht="15" hidden="false" customHeight="false" outlineLevel="0" collapsed="false">
      <c r="A258" s="32"/>
      <c r="B258" s="32"/>
      <c r="C258" s="32"/>
      <c r="D258" s="33"/>
      <c r="E258" s="32"/>
      <c r="F258" s="32"/>
      <c r="G258" s="35"/>
      <c r="H258" s="35"/>
      <c r="I258" s="41"/>
      <c r="J258" s="34"/>
      <c r="K258" s="32"/>
      <c r="L258" s="34"/>
      <c r="M258" s="35"/>
      <c r="N258" s="33"/>
    </row>
    <row r="259" customFormat="false" ht="15" hidden="false" customHeight="false" outlineLevel="0" collapsed="false">
      <c r="A259" s="32"/>
      <c r="B259" s="32"/>
      <c r="C259" s="32"/>
      <c r="D259" s="33"/>
      <c r="E259" s="32"/>
      <c r="F259" s="32"/>
      <c r="G259" s="35"/>
      <c r="H259" s="35"/>
      <c r="I259" s="41"/>
      <c r="J259" s="34"/>
      <c r="K259" s="32"/>
      <c r="L259" s="34"/>
      <c r="M259" s="35"/>
      <c r="N259" s="33"/>
    </row>
    <row r="260" customFormat="false" ht="15" hidden="false" customHeight="false" outlineLevel="0" collapsed="false">
      <c r="A260" s="32"/>
      <c r="B260" s="32"/>
      <c r="C260" s="32"/>
      <c r="D260" s="33"/>
      <c r="E260" s="32"/>
      <c r="F260" s="32"/>
      <c r="G260" s="35"/>
      <c r="H260" s="35"/>
      <c r="I260" s="41"/>
      <c r="J260" s="34"/>
      <c r="K260" s="32"/>
      <c r="L260" s="34"/>
      <c r="M260" s="35"/>
      <c r="N260" s="33"/>
    </row>
    <row r="261" customFormat="false" ht="15" hidden="false" customHeight="false" outlineLevel="0" collapsed="false">
      <c r="A261" s="32"/>
      <c r="B261" s="32"/>
      <c r="C261" s="32"/>
      <c r="D261" s="33"/>
      <c r="E261" s="32"/>
      <c r="F261" s="32"/>
      <c r="G261" s="35"/>
      <c r="H261" s="35"/>
      <c r="I261" s="41"/>
      <c r="J261" s="34"/>
      <c r="K261" s="32"/>
      <c r="L261" s="34"/>
      <c r="M261" s="35"/>
      <c r="N261" s="33"/>
    </row>
    <row r="262" customFormat="false" ht="15" hidden="false" customHeight="false" outlineLevel="0" collapsed="false">
      <c r="A262" s="32"/>
      <c r="B262" s="32"/>
      <c r="C262" s="32"/>
      <c r="D262" s="33"/>
      <c r="E262" s="32"/>
      <c r="F262" s="32"/>
      <c r="G262" s="35"/>
      <c r="H262" s="35"/>
      <c r="I262" s="41"/>
      <c r="J262" s="34"/>
      <c r="K262" s="32"/>
      <c r="L262" s="34"/>
      <c r="M262" s="35"/>
      <c r="N262" s="33"/>
    </row>
    <row r="263" customFormat="false" ht="15" hidden="false" customHeight="false" outlineLevel="0" collapsed="false">
      <c r="A263" s="32"/>
      <c r="B263" s="32"/>
      <c r="C263" s="32"/>
      <c r="D263" s="33"/>
      <c r="E263" s="32"/>
      <c r="F263" s="32"/>
      <c r="G263" s="35"/>
      <c r="H263" s="35"/>
      <c r="I263" s="41"/>
      <c r="J263" s="34"/>
      <c r="K263" s="32"/>
      <c r="L263" s="34"/>
      <c r="M263" s="35"/>
      <c r="N263" s="33"/>
    </row>
    <row r="264" customFormat="false" ht="15" hidden="false" customHeight="false" outlineLevel="0" collapsed="false">
      <c r="A264" s="32"/>
      <c r="B264" s="32"/>
      <c r="C264" s="32"/>
      <c r="D264" s="33"/>
      <c r="E264" s="32"/>
      <c r="F264" s="32"/>
      <c r="G264" s="35"/>
      <c r="H264" s="35"/>
      <c r="I264" s="41"/>
      <c r="J264" s="34"/>
      <c r="K264" s="32"/>
      <c r="L264" s="34"/>
      <c r="M264" s="35"/>
      <c r="N264" s="33"/>
    </row>
    <row r="265" customFormat="false" ht="15" hidden="false" customHeight="false" outlineLevel="0" collapsed="false">
      <c r="A265" s="32"/>
      <c r="B265" s="32"/>
      <c r="C265" s="32"/>
      <c r="D265" s="33"/>
      <c r="E265" s="32"/>
      <c r="F265" s="32"/>
      <c r="G265" s="35"/>
      <c r="H265" s="35"/>
      <c r="I265" s="41"/>
      <c r="J265" s="34"/>
      <c r="K265" s="32"/>
      <c r="L265" s="34"/>
      <c r="M265" s="35"/>
      <c r="N265" s="33"/>
    </row>
    <row r="266" customFormat="false" ht="15" hidden="false" customHeight="false" outlineLevel="0" collapsed="false">
      <c r="A266" s="32"/>
      <c r="B266" s="32"/>
      <c r="C266" s="32"/>
      <c r="D266" s="33"/>
      <c r="E266" s="32"/>
      <c r="F266" s="32"/>
      <c r="G266" s="35"/>
      <c r="H266" s="35"/>
      <c r="I266" s="41"/>
      <c r="J266" s="34"/>
      <c r="K266" s="32"/>
      <c r="L266" s="34"/>
      <c r="M266" s="35"/>
      <c r="N266" s="33"/>
    </row>
    <row r="267" customFormat="false" ht="15" hidden="false" customHeight="false" outlineLevel="0" collapsed="false">
      <c r="A267" s="32"/>
      <c r="B267" s="32"/>
      <c r="C267" s="32"/>
      <c r="D267" s="33"/>
      <c r="E267" s="32"/>
      <c r="F267" s="32"/>
      <c r="G267" s="35"/>
      <c r="H267" s="35"/>
      <c r="I267" s="41"/>
      <c r="J267" s="34"/>
      <c r="K267" s="32"/>
      <c r="L267" s="34"/>
      <c r="M267" s="35"/>
      <c r="N267" s="33"/>
    </row>
    <row r="268" customFormat="false" ht="15" hidden="false" customHeight="false" outlineLevel="0" collapsed="false">
      <c r="A268" s="32"/>
      <c r="B268" s="32"/>
      <c r="C268" s="32"/>
      <c r="D268" s="33"/>
      <c r="E268" s="32"/>
      <c r="F268" s="32"/>
      <c r="G268" s="35"/>
      <c r="H268" s="35"/>
      <c r="I268" s="41"/>
      <c r="J268" s="34"/>
      <c r="K268" s="32"/>
      <c r="L268" s="34"/>
      <c r="M268" s="35"/>
      <c r="N268" s="33"/>
    </row>
    <row r="269" customFormat="false" ht="15" hidden="false" customHeight="false" outlineLevel="0" collapsed="false">
      <c r="A269" s="32"/>
      <c r="B269" s="32"/>
      <c r="C269" s="32"/>
      <c r="D269" s="33"/>
      <c r="E269" s="32"/>
      <c r="F269" s="32"/>
      <c r="G269" s="35"/>
      <c r="H269" s="35"/>
      <c r="I269" s="41"/>
      <c r="J269" s="34"/>
      <c r="K269" s="32"/>
      <c r="L269" s="34"/>
      <c r="M269" s="35"/>
      <c r="N269" s="33"/>
    </row>
    <row r="270" customFormat="false" ht="15" hidden="false" customHeight="false" outlineLevel="0" collapsed="false">
      <c r="A270" s="32"/>
      <c r="B270" s="32"/>
      <c r="C270" s="32"/>
      <c r="D270" s="33"/>
      <c r="E270" s="32"/>
      <c r="F270" s="32"/>
      <c r="G270" s="35"/>
      <c r="H270" s="35"/>
      <c r="I270" s="41"/>
      <c r="J270" s="34"/>
      <c r="K270" s="32"/>
      <c r="L270" s="34"/>
      <c r="M270" s="35"/>
      <c r="N270" s="33"/>
    </row>
    <row r="271" customFormat="false" ht="15" hidden="false" customHeight="false" outlineLevel="0" collapsed="false">
      <c r="A271" s="32"/>
      <c r="B271" s="32"/>
      <c r="C271" s="32"/>
      <c r="D271" s="33"/>
      <c r="E271" s="32"/>
      <c r="F271" s="32"/>
      <c r="G271" s="35"/>
      <c r="H271" s="35"/>
      <c r="I271" s="41"/>
      <c r="J271" s="34"/>
      <c r="K271" s="32"/>
      <c r="L271" s="34"/>
      <c r="M271" s="35"/>
      <c r="N271" s="33"/>
    </row>
    <row r="272" customFormat="false" ht="15" hidden="false" customHeight="false" outlineLevel="0" collapsed="false">
      <c r="A272" s="32"/>
      <c r="B272" s="32"/>
      <c r="C272" s="32"/>
      <c r="D272" s="33"/>
      <c r="E272" s="32"/>
      <c r="F272" s="32"/>
      <c r="G272" s="35"/>
      <c r="H272" s="35"/>
      <c r="I272" s="41"/>
      <c r="J272" s="34"/>
      <c r="K272" s="32"/>
      <c r="L272" s="34"/>
      <c r="M272" s="35"/>
      <c r="N272" s="33"/>
    </row>
    <row r="273" customFormat="false" ht="15" hidden="false" customHeight="false" outlineLevel="0" collapsed="false">
      <c r="A273" s="32"/>
      <c r="B273" s="32"/>
      <c r="C273" s="32"/>
      <c r="D273" s="33"/>
      <c r="E273" s="32"/>
      <c r="F273" s="32"/>
      <c r="G273" s="35"/>
      <c r="H273" s="35"/>
      <c r="I273" s="41"/>
      <c r="J273" s="34"/>
      <c r="K273" s="32"/>
      <c r="L273" s="34"/>
      <c r="M273" s="35"/>
      <c r="N273" s="33"/>
    </row>
    <row r="274" customFormat="false" ht="15" hidden="false" customHeight="false" outlineLevel="0" collapsed="false">
      <c r="A274" s="32"/>
      <c r="B274" s="32"/>
      <c r="C274" s="32"/>
      <c r="D274" s="33"/>
      <c r="E274" s="32"/>
      <c r="F274" s="32"/>
      <c r="G274" s="35"/>
      <c r="H274" s="35"/>
      <c r="I274" s="41"/>
      <c r="J274" s="34"/>
      <c r="K274" s="32"/>
      <c r="L274" s="34"/>
      <c r="M274" s="35"/>
      <c r="N274" s="33"/>
    </row>
    <row r="275" customFormat="false" ht="15" hidden="false" customHeight="false" outlineLevel="0" collapsed="false">
      <c r="A275" s="32"/>
      <c r="B275" s="32"/>
      <c r="C275" s="32"/>
      <c r="D275" s="33"/>
      <c r="E275" s="32"/>
      <c r="F275" s="32"/>
      <c r="G275" s="35"/>
      <c r="H275" s="35"/>
      <c r="I275" s="41"/>
      <c r="J275" s="34"/>
      <c r="K275" s="32"/>
      <c r="L275" s="34"/>
      <c r="M275" s="35"/>
      <c r="N275" s="33"/>
    </row>
    <row r="276" customFormat="false" ht="15" hidden="false" customHeight="false" outlineLevel="0" collapsed="false">
      <c r="A276" s="32"/>
      <c r="B276" s="32"/>
      <c r="C276" s="32"/>
      <c r="D276" s="33"/>
      <c r="E276" s="32"/>
      <c r="F276" s="32"/>
      <c r="G276" s="35"/>
      <c r="H276" s="35"/>
      <c r="I276" s="41"/>
      <c r="J276" s="34"/>
      <c r="K276" s="32"/>
      <c r="L276" s="34"/>
      <c r="M276" s="35"/>
      <c r="N276" s="33"/>
    </row>
    <row r="277" customFormat="false" ht="15" hidden="false" customHeight="false" outlineLevel="0" collapsed="false">
      <c r="A277" s="32"/>
      <c r="B277" s="32"/>
      <c r="C277" s="32"/>
      <c r="D277" s="33"/>
      <c r="E277" s="32"/>
      <c r="F277" s="32"/>
      <c r="G277" s="35"/>
      <c r="H277" s="35"/>
      <c r="I277" s="41"/>
      <c r="J277" s="34"/>
      <c r="K277" s="32"/>
      <c r="L277" s="34"/>
      <c r="M277" s="35"/>
      <c r="N277" s="33"/>
    </row>
    <row r="278" customFormat="false" ht="15" hidden="false" customHeight="false" outlineLevel="0" collapsed="false">
      <c r="A278" s="32"/>
      <c r="B278" s="32"/>
      <c r="C278" s="32"/>
      <c r="D278" s="33"/>
      <c r="E278" s="32"/>
      <c r="F278" s="32"/>
      <c r="G278" s="35"/>
      <c r="H278" s="35"/>
      <c r="I278" s="41"/>
      <c r="J278" s="34"/>
      <c r="K278" s="32"/>
      <c r="L278" s="34"/>
      <c r="M278" s="35"/>
      <c r="N278" s="33"/>
    </row>
    <row r="279" customFormat="false" ht="15" hidden="false" customHeight="false" outlineLevel="0" collapsed="false">
      <c r="A279" s="32"/>
      <c r="B279" s="32"/>
      <c r="C279" s="32"/>
      <c r="D279" s="33"/>
      <c r="E279" s="32"/>
      <c r="F279" s="32"/>
      <c r="G279" s="35"/>
      <c r="H279" s="35"/>
      <c r="I279" s="41"/>
      <c r="J279" s="34"/>
      <c r="K279" s="32"/>
      <c r="L279" s="34"/>
      <c r="M279" s="35"/>
      <c r="N279" s="33"/>
    </row>
    <row r="280" customFormat="false" ht="15" hidden="false" customHeight="false" outlineLevel="0" collapsed="false">
      <c r="A280" s="32"/>
      <c r="B280" s="32"/>
      <c r="C280" s="32"/>
      <c r="D280" s="33"/>
      <c r="E280" s="32"/>
      <c r="F280" s="32"/>
      <c r="G280" s="35"/>
      <c r="H280" s="35"/>
      <c r="I280" s="41"/>
      <c r="J280" s="34"/>
      <c r="K280" s="32"/>
      <c r="L280" s="34"/>
      <c r="M280" s="35"/>
      <c r="N280" s="33"/>
    </row>
    <row r="281" customFormat="false" ht="15" hidden="false" customHeight="false" outlineLevel="0" collapsed="false">
      <c r="A281" s="32"/>
      <c r="B281" s="32"/>
      <c r="C281" s="32"/>
      <c r="D281" s="33"/>
      <c r="E281" s="32"/>
      <c r="F281" s="32"/>
      <c r="G281" s="35"/>
      <c r="H281" s="35"/>
      <c r="I281" s="41"/>
      <c r="J281" s="34"/>
      <c r="K281" s="32"/>
      <c r="L281" s="34"/>
      <c r="M281" s="35"/>
      <c r="N281" s="33"/>
    </row>
    <row r="282" customFormat="false" ht="15" hidden="false" customHeight="false" outlineLevel="0" collapsed="false">
      <c r="A282" s="32"/>
      <c r="B282" s="32"/>
      <c r="C282" s="32"/>
      <c r="D282" s="33"/>
      <c r="E282" s="32"/>
      <c r="F282" s="32"/>
      <c r="G282" s="35"/>
      <c r="H282" s="35"/>
      <c r="I282" s="41"/>
      <c r="J282" s="34"/>
      <c r="K282" s="32"/>
      <c r="L282" s="34"/>
      <c r="M282" s="35"/>
      <c r="N282" s="33"/>
    </row>
    <row r="283" customFormat="false" ht="15" hidden="false" customHeight="false" outlineLevel="0" collapsed="false">
      <c r="A283" s="32"/>
      <c r="B283" s="32"/>
      <c r="C283" s="32"/>
      <c r="D283" s="33"/>
      <c r="E283" s="32"/>
      <c r="F283" s="32"/>
      <c r="G283" s="35"/>
      <c r="H283" s="35"/>
      <c r="I283" s="41"/>
      <c r="J283" s="34"/>
      <c r="K283" s="32"/>
      <c r="L283" s="34"/>
      <c r="M283" s="35"/>
      <c r="N283" s="33"/>
    </row>
    <row r="284" customFormat="false" ht="15" hidden="false" customHeight="false" outlineLevel="0" collapsed="false">
      <c r="A284" s="32"/>
      <c r="B284" s="32"/>
      <c r="C284" s="32"/>
      <c r="D284" s="33"/>
      <c r="E284" s="32"/>
      <c r="F284" s="32"/>
      <c r="G284" s="35"/>
      <c r="H284" s="35"/>
      <c r="I284" s="41"/>
      <c r="J284" s="34"/>
      <c r="K284" s="32"/>
      <c r="L284" s="34"/>
      <c r="M284" s="35"/>
      <c r="N284" s="33"/>
    </row>
    <row r="285" customFormat="false" ht="15" hidden="false" customHeight="false" outlineLevel="0" collapsed="false">
      <c r="A285" s="32"/>
      <c r="B285" s="32"/>
      <c r="C285" s="32"/>
      <c r="D285" s="33"/>
      <c r="E285" s="32"/>
      <c r="F285" s="32"/>
      <c r="G285" s="35"/>
      <c r="H285" s="35"/>
      <c r="I285" s="41"/>
      <c r="J285" s="34"/>
      <c r="K285" s="32"/>
      <c r="L285" s="34"/>
      <c r="M285" s="35"/>
      <c r="N285" s="33"/>
    </row>
    <row r="286" customFormat="false" ht="15" hidden="false" customHeight="false" outlineLevel="0" collapsed="false">
      <c r="A286" s="32"/>
      <c r="B286" s="32"/>
      <c r="C286" s="32"/>
      <c r="D286" s="33"/>
      <c r="E286" s="32"/>
      <c r="F286" s="32"/>
      <c r="G286" s="35"/>
      <c r="H286" s="35"/>
      <c r="I286" s="41"/>
      <c r="J286" s="34"/>
      <c r="K286" s="32"/>
      <c r="L286" s="34"/>
      <c r="M286" s="35"/>
      <c r="N286" s="33"/>
    </row>
    <row r="287" customFormat="false" ht="15" hidden="false" customHeight="false" outlineLevel="0" collapsed="false">
      <c r="A287" s="32"/>
      <c r="B287" s="32"/>
      <c r="C287" s="32"/>
      <c r="D287" s="33"/>
      <c r="E287" s="32"/>
      <c r="F287" s="32"/>
      <c r="G287" s="35"/>
      <c r="H287" s="35"/>
      <c r="I287" s="41"/>
      <c r="J287" s="34"/>
      <c r="K287" s="32"/>
      <c r="L287" s="34"/>
      <c r="M287" s="35"/>
      <c r="N287" s="33"/>
    </row>
    <row r="288" customFormat="false" ht="15" hidden="false" customHeight="false" outlineLevel="0" collapsed="false">
      <c r="A288" s="32"/>
      <c r="B288" s="32"/>
      <c r="C288" s="32"/>
      <c r="D288" s="33"/>
      <c r="E288" s="32"/>
      <c r="F288" s="32"/>
      <c r="G288" s="35"/>
      <c r="H288" s="35"/>
      <c r="I288" s="41"/>
      <c r="J288" s="34"/>
      <c r="K288" s="32"/>
      <c r="L288" s="34"/>
      <c r="M288" s="35"/>
      <c r="N288" s="33"/>
    </row>
    <row r="289" customFormat="false" ht="15" hidden="false" customHeight="false" outlineLevel="0" collapsed="false">
      <c r="A289" s="32"/>
      <c r="B289" s="32"/>
      <c r="C289" s="32"/>
      <c r="D289" s="33"/>
      <c r="E289" s="32"/>
      <c r="F289" s="32"/>
      <c r="G289" s="35"/>
      <c r="H289" s="35"/>
      <c r="I289" s="41"/>
      <c r="J289" s="34"/>
      <c r="K289" s="32"/>
      <c r="L289" s="34"/>
      <c r="M289" s="35"/>
      <c r="N289" s="33"/>
    </row>
    <row r="290" customFormat="false" ht="15" hidden="false" customHeight="false" outlineLevel="0" collapsed="false">
      <c r="A290" s="32"/>
      <c r="B290" s="32"/>
      <c r="C290" s="32"/>
      <c r="D290" s="33"/>
      <c r="E290" s="32"/>
      <c r="F290" s="32"/>
      <c r="G290" s="35"/>
      <c r="H290" s="35"/>
      <c r="I290" s="41"/>
      <c r="J290" s="34"/>
      <c r="K290" s="32"/>
      <c r="L290" s="34"/>
      <c r="M290" s="35"/>
      <c r="N290" s="33"/>
    </row>
    <row r="291" customFormat="false" ht="15" hidden="false" customHeight="false" outlineLevel="0" collapsed="false">
      <c r="A291" s="32"/>
      <c r="B291" s="32"/>
      <c r="C291" s="32"/>
      <c r="D291" s="33"/>
      <c r="E291" s="32"/>
      <c r="F291" s="32"/>
      <c r="G291" s="35"/>
      <c r="H291" s="35"/>
      <c r="I291" s="41"/>
      <c r="J291" s="34"/>
      <c r="K291" s="32"/>
      <c r="L291" s="34"/>
      <c r="M291" s="35"/>
      <c r="N291" s="33"/>
    </row>
    <row r="292" customFormat="false" ht="15" hidden="false" customHeight="false" outlineLevel="0" collapsed="false">
      <c r="A292" s="32"/>
      <c r="B292" s="32"/>
      <c r="C292" s="32"/>
      <c r="D292" s="33"/>
      <c r="E292" s="32"/>
      <c r="F292" s="32"/>
      <c r="G292" s="35"/>
      <c r="H292" s="35"/>
      <c r="I292" s="41"/>
      <c r="J292" s="34"/>
      <c r="K292" s="32"/>
      <c r="L292" s="34"/>
      <c r="M292" s="35"/>
      <c r="N292" s="33"/>
    </row>
    <row r="293" customFormat="false" ht="15" hidden="false" customHeight="false" outlineLevel="0" collapsed="false">
      <c r="A293" s="32"/>
      <c r="B293" s="32"/>
      <c r="C293" s="32"/>
      <c r="D293" s="33"/>
      <c r="E293" s="32"/>
      <c r="F293" s="32"/>
      <c r="G293" s="35"/>
      <c r="H293" s="35"/>
      <c r="I293" s="41"/>
      <c r="J293" s="34"/>
      <c r="K293" s="32"/>
      <c r="L293" s="34"/>
      <c r="M293" s="35"/>
      <c r="N293" s="33"/>
    </row>
    <row r="294" customFormat="false" ht="15" hidden="false" customHeight="false" outlineLevel="0" collapsed="false">
      <c r="A294" s="32"/>
      <c r="B294" s="32"/>
      <c r="C294" s="32"/>
      <c r="D294" s="33"/>
      <c r="E294" s="32"/>
      <c r="F294" s="32"/>
      <c r="G294" s="35"/>
      <c r="H294" s="35"/>
      <c r="I294" s="41"/>
      <c r="J294" s="34"/>
      <c r="K294" s="32"/>
      <c r="L294" s="34"/>
      <c r="M294" s="35"/>
      <c r="N294" s="33"/>
    </row>
    <row r="295" customFormat="false" ht="15" hidden="false" customHeight="false" outlineLevel="0" collapsed="false">
      <c r="A295" s="32"/>
      <c r="B295" s="32"/>
      <c r="C295" s="32"/>
      <c r="D295" s="33"/>
      <c r="E295" s="32"/>
      <c r="F295" s="32"/>
      <c r="G295" s="35"/>
      <c r="H295" s="35"/>
      <c r="I295" s="41"/>
      <c r="J295" s="34"/>
      <c r="K295" s="32"/>
      <c r="L295" s="34"/>
      <c r="M295" s="35"/>
      <c r="N295" s="33"/>
    </row>
    <row r="296" customFormat="false" ht="15" hidden="false" customHeight="false" outlineLevel="0" collapsed="false">
      <c r="A296" s="32"/>
      <c r="B296" s="32"/>
      <c r="C296" s="32"/>
      <c r="D296" s="33"/>
      <c r="E296" s="32"/>
      <c r="F296" s="32"/>
      <c r="G296" s="35"/>
      <c r="H296" s="35"/>
      <c r="I296" s="41"/>
      <c r="J296" s="34"/>
      <c r="K296" s="32"/>
      <c r="L296" s="34"/>
      <c r="M296" s="35"/>
      <c r="N296" s="33"/>
    </row>
    <row r="297" customFormat="false" ht="15" hidden="false" customHeight="false" outlineLevel="0" collapsed="false">
      <c r="A297" s="32"/>
      <c r="B297" s="32"/>
      <c r="C297" s="32"/>
      <c r="D297" s="33"/>
      <c r="E297" s="32"/>
      <c r="F297" s="32"/>
      <c r="G297" s="35"/>
      <c r="H297" s="35"/>
      <c r="I297" s="41"/>
      <c r="J297" s="34"/>
      <c r="K297" s="32"/>
      <c r="L297" s="34"/>
      <c r="M297" s="35"/>
      <c r="N297" s="33"/>
    </row>
    <row r="298" customFormat="false" ht="15" hidden="false" customHeight="false" outlineLevel="0" collapsed="false">
      <c r="A298" s="32"/>
      <c r="B298" s="32"/>
      <c r="C298" s="32"/>
      <c r="D298" s="33"/>
      <c r="E298" s="32"/>
      <c r="F298" s="32"/>
      <c r="G298" s="35"/>
      <c r="H298" s="35"/>
      <c r="I298" s="41"/>
      <c r="J298" s="34"/>
      <c r="K298" s="32"/>
      <c r="L298" s="34"/>
      <c r="M298" s="35"/>
      <c r="N298" s="33"/>
    </row>
    <row r="299" customFormat="false" ht="15" hidden="false" customHeight="false" outlineLevel="0" collapsed="false">
      <c r="A299" s="32"/>
      <c r="B299" s="32"/>
      <c r="C299" s="32"/>
      <c r="D299" s="33"/>
      <c r="E299" s="32"/>
      <c r="F299" s="32"/>
      <c r="G299" s="35"/>
      <c r="H299" s="35"/>
      <c r="I299" s="41"/>
      <c r="J299" s="34"/>
      <c r="K299" s="32"/>
      <c r="L299" s="34"/>
      <c r="M299" s="35"/>
      <c r="N299" s="33"/>
    </row>
    <row r="300" customFormat="false" ht="15" hidden="false" customHeight="false" outlineLevel="0" collapsed="false">
      <c r="A300" s="32"/>
      <c r="B300" s="32"/>
      <c r="C300" s="32"/>
      <c r="D300" s="33"/>
      <c r="E300" s="32"/>
      <c r="F300" s="32"/>
      <c r="G300" s="35"/>
      <c r="H300" s="35"/>
      <c r="I300" s="41"/>
      <c r="J300" s="34"/>
      <c r="K300" s="32"/>
      <c r="L300" s="34"/>
      <c r="M300" s="35"/>
      <c r="N300" s="33"/>
    </row>
    <row r="301" customFormat="false" ht="15" hidden="false" customHeight="false" outlineLevel="0" collapsed="false">
      <c r="A301" s="32"/>
      <c r="B301" s="32"/>
      <c r="C301" s="32"/>
      <c r="D301" s="33"/>
      <c r="E301" s="32"/>
      <c r="F301" s="32"/>
      <c r="G301" s="35"/>
      <c r="H301" s="35"/>
      <c r="I301" s="41"/>
      <c r="J301" s="34"/>
      <c r="K301" s="32"/>
      <c r="L301" s="34"/>
      <c r="M301" s="35"/>
      <c r="N301" s="33"/>
    </row>
    <row r="302" customFormat="false" ht="15" hidden="false" customHeight="false" outlineLevel="0" collapsed="false">
      <c r="A302" s="32"/>
      <c r="B302" s="32"/>
      <c r="C302" s="32"/>
      <c r="D302" s="33"/>
      <c r="E302" s="32"/>
      <c r="F302" s="32"/>
      <c r="G302" s="35"/>
      <c r="H302" s="35"/>
      <c r="I302" s="41"/>
      <c r="J302" s="34"/>
      <c r="K302" s="32"/>
      <c r="L302" s="34"/>
      <c r="M302" s="35"/>
      <c r="N302" s="33"/>
    </row>
    <row r="303" customFormat="false" ht="15" hidden="false" customHeight="false" outlineLevel="0" collapsed="false">
      <c r="A303" s="32"/>
      <c r="B303" s="32"/>
      <c r="C303" s="32"/>
      <c r="D303" s="33"/>
      <c r="E303" s="32"/>
      <c r="F303" s="32"/>
      <c r="G303" s="35"/>
      <c r="H303" s="35"/>
      <c r="I303" s="41"/>
      <c r="J303" s="34"/>
      <c r="K303" s="32"/>
      <c r="L303" s="34"/>
      <c r="M303" s="35"/>
      <c r="N303" s="33"/>
    </row>
    <row r="304" customFormat="false" ht="15" hidden="false" customHeight="false" outlineLevel="0" collapsed="false">
      <c r="A304" s="32"/>
      <c r="B304" s="32"/>
      <c r="C304" s="32"/>
      <c r="D304" s="33"/>
      <c r="E304" s="32"/>
      <c r="F304" s="32"/>
      <c r="G304" s="35"/>
      <c r="H304" s="35"/>
      <c r="I304" s="41"/>
      <c r="J304" s="34"/>
      <c r="K304" s="32"/>
      <c r="L304" s="34"/>
      <c r="M304" s="35"/>
      <c r="N304" s="33"/>
    </row>
    <row r="305" customFormat="false" ht="15" hidden="false" customHeight="false" outlineLevel="0" collapsed="false">
      <c r="A305" s="32"/>
      <c r="B305" s="32"/>
      <c r="C305" s="32"/>
      <c r="D305" s="33"/>
      <c r="E305" s="32"/>
      <c r="F305" s="32"/>
      <c r="G305" s="35"/>
      <c r="H305" s="35"/>
      <c r="I305" s="41"/>
      <c r="J305" s="34"/>
      <c r="K305" s="32"/>
      <c r="L305" s="34"/>
      <c r="M305" s="35"/>
      <c r="N305" s="33"/>
    </row>
    <row r="306" customFormat="false" ht="15" hidden="false" customHeight="false" outlineLevel="0" collapsed="false">
      <c r="A306" s="32"/>
      <c r="B306" s="32"/>
      <c r="C306" s="32"/>
      <c r="D306" s="33"/>
      <c r="E306" s="32"/>
      <c r="F306" s="32"/>
      <c r="G306" s="35"/>
      <c r="H306" s="35"/>
      <c r="I306" s="41"/>
      <c r="J306" s="34"/>
      <c r="K306" s="32"/>
      <c r="L306" s="34"/>
      <c r="M306" s="35"/>
      <c r="N306" s="33"/>
    </row>
    <row r="307" customFormat="false" ht="15" hidden="false" customHeight="false" outlineLevel="0" collapsed="false">
      <c r="A307" s="32"/>
      <c r="B307" s="32"/>
      <c r="C307" s="32"/>
      <c r="D307" s="33"/>
      <c r="E307" s="32"/>
      <c r="F307" s="32"/>
      <c r="G307" s="35"/>
      <c r="H307" s="35"/>
      <c r="I307" s="41"/>
      <c r="J307" s="34"/>
      <c r="K307" s="32"/>
      <c r="L307" s="34"/>
      <c r="M307" s="35"/>
      <c r="N307" s="33"/>
    </row>
    <row r="308" customFormat="false" ht="15" hidden="false" customHeight="false" outlineLevel="0" collapsed="false">
      <c r="A308" s="32"/>
      <c r="B308" s="32"/>
      <c r="C308" s="32"/>
      <c r="D308" s="33"/>
      <c r="E308" s="32"/>
      <c r="F308" s="32"/>
      <c r="G308" s="35"/>
      <c r="H308" s="35"/>
      <c r="I308" s="41"/>
      <c r="J308" s="34"/>
      <c r="K308" s="32"/>
      <c r="L308" s="34"/>
      <c r="M308" s="35"/>
      <c r="N308" s="33"/>
    </row>
    <row r="309" customFormat="false" ht="15" hidden="false" customHeight="false" outlineLevel="0" collapsed="false">
      <c r="A309" s="32"/>
      <c r="B309" s="32"/>
      <c r="C309" s="32"/>
      <c r="D309" s="33"/>
      <c r="E309" s="32"/>
      <c r="F309" s="32"/>
      <c r="G309" s="35"/>
      <c r="H309" s="35"/>
      <c r="I309" s="41"/>
      <c r="J309" s="34"/>
      <c r="K309" s="32"/>
      <c r="L309" s="34"/>
      <c r="M309" s="35"/>
      <c r="N309" s="33"/>
    </row>
    <row r="310" customFormat="false" ht="15" hidden="false" customHeight="false" outlineLevel="0" collapsed="false">
      <c r="A310" s="32"/>
      <c r="B310" s="32"/>
      <c r="C310" s="32"/>
      <c r="D310" s="33"/>
      <c r="E310" s="32"/>
      <c r="F310" s="32"/>
      <c r="G310" s="35"/>
      <c r="H310" s="35"/>
      <c r="I310" s="41"/>
      <c r="J310" s="34"/>
      <c r="K310" s="32"/>
      <c r="L310" s="34"/>
      <c r="M310" s="35"/>
      <c r="N310" s="33"/>
    </row>
    <row r="311" customFormat="false" ht="15" hidden="false" customHeight="false" outlineLevel="0" collapsed="false">
      <c r="A311" s="32"/>
      <c r="B311" s="32"/>
      <c r="C311" s="32"/>
      <c r="D311" s="33"/>
      <c r="E311" s="32"/>
      <c r="F311" s="32"/>
      <c r="G311" s="35"/>
      <c r="H311" s="35"/>
      <c r="I311" s="41"/>
      <c r="J311" s="34"/>
      <c r="K311" s="32"/>
      <c r="L311" s="34"/>
      <c r="M311" s="35"/>
      <c r="N311" s="33"/>
    </row>
    <row r="312" customFormat="false" ht="15" hidden="false" customHeight="false" outlineLevel="0" collapsed="false">
      <c r="A312" s="32"/>
      <c r="B312" s="32"/>
      <c r="C312" s="32"/>
      <c r="D312" s="33"/>
      <c r="E312" s="32"/>
      <c r="F312" s="32"/>
      <c r="G312" s="35"/>
      <c r="H312" s="35"/>
      <c r="I312" s="41"/>
      <c r="J312" s="34"/>
      <c r="K312" s="32"/>
      <c r="L312" s="34"/>
      <c r="M312" s="35"/>
      <c r="N312" s="33"/>
    </row>
    <row r="313" customFormat="false" ht="15" hidden="false" customHeight="false" outlineLevel="0" collapsed="false">
      <c r="A313" s="32"/>
      <c r="B313" s="32"/>
      <c r="C313" s="32"/>
      <c r="D313" s="33"/>
      <c r="E313" s="32"/>
      <c r="F313" s="32"/>
      <c r="G313" s="35"/>
      <c r="H313" s="35"/>
      <c r="I313" s="41"/>
      <c r="J313" s="34"/>
      <c r="K313" s="32"/>
      <c r="L313" s="34"/>
      <c r="M313" s="35"/>
      <c r="N313" s="33"/>
    </row>
    <row r="314" customFormat="false" ht="15" hidden="false" customHeight="false" outlineLevel="0" collapsed="false">
      <c r="A314" s="32"/>
      <c r="B314" s="32"/>
      <c r="C314" s="32"/>
      <c r="D314" s="33"/>
      <c r="E314" s="32"/>
      <c r="F314" s="32"/>
      <c r="G314" s="35"/>
      <c r="H314" s="35"/>
      <c r="I314" s="41"/>
      <c r="J314" s="34"/>
      <c r="K314" s="32"/>
      <c r="L314" s="34"/>
      <c r="M314" s="35"/>
      <c r="N314" s="33"/>
    </row>
    <row r="315" customFormat="false" ht="15" hidden="false" customHeight="false" outlineLevel="0" collapsed="false">
      <c r="A315" s="32"/>
      <c r="B315" s="32"/>
      <c r="C315" s="32"/>
      <c r="D315" s="33"/>
      <c r="E315" s="32"/>
      <c r="F315" s="32"/>
      <c r="G315" s="35"/>
      <c r="H315" s="35"/>
      <c r="I315" s="41"/>
      <c r="J315" s="34"/>
      <c r="K315" s="32"/>
      <c r="L315" s="34"/>
      <c r="M315" s="35"/>
      <c r="N315" s="33"/>
    </row>
    <row r="316" customFormat="false" ht="15" hidden="false" customHeight="false" outlineLevel="0" collapsed="false">
      <c r="A316" s="32"/>
      <c r="B316" s="32"/>
      <c r="C316" s="32"/>
      <c r="D316" s="33"/>
      <c r="E316" s="32"/>
      <c r="F316" s="32"/>
      <c r="G316" s="35"/>
      <c r="H316" s="35"/>
      <c r="I316" s="41"/>
      <c r="J316" s="34"/>
      <c r="K316" s="32"/>
      <c r="L316" s="34"/>
      <c r="M316" s="35"/>
      <c r="N316" s="33"/>
    </row>
    <row r="317" customFormat="false" ht="15" hidden="false" customHeight="false" outlineLevel="0" collapsed="false">
      <c r="A317" s="32"/>
      <c r="B317" s="32"/>
      <c r="C317" s="32"/>
      <c r="D317" s="33"/>
      <c r="E317" s="32"/>
      <c r="F317" s="32"/>
      <c r="G317" s="35"/>
      <c r="H317" s="35"/>
      <c r="I317" s="41"/>
      <c r="J317" s="34"/>
      <c r="K317" s="32"/>
      <c r="L317" s="34"/>
      <c r="M317" s="35"/>
      <c r="N317" s="33"/>
    </row>
    <row r="318" customFormat="false" ht="15" hidden="false" customHeight="false" outlineLevel="0" collapsed="false">
      <c r="A318" s="32"/>
      <c r="B318" s="32"/>
      <c r="C318" s="32"/>
      <c r="D318" s="33"/>
      <c r="E318" s="32"/>
      <c r="F318" s="32"/>
      <c r="G318" s="35"/>
      <c r="H318" s="35"/>
      <c r="I318" s="41"/>
      <c r="J318" s="34"/>
      <c r="K318" s="32"/>
      <c r="L318" s="34"/>
      <c r="M318" s="35"/>
      <c r="N318" s="33"/>
    </row>
    <row r="319" customFormat="false" ht="15" hidden="false" customHeight="false" outlineLevel="0" collapsed="false">
      <c r="A319" s="32"/>
      <c r="B319" s="32"/>
      <c r="C319" s="32"/>
      <c r="D319" s="33"/>
      <c r="E319" s="32"/>
      <c r="F319" s="32"/>
      <c r="G319" s="35"/>
      <c r="H319" s="35"/>
      <c r="I319" s="41"/>
      <c r="J319" s="34"/>
      <c r="K319" s="32"/>
      <c r="L319" s="34"/>
      <c r="M319" s="35"/>
      <c r="N319" s="33"/>
    </row>
    <row r="320" customFormat="false" ht="15" hidden="false" customHeight="false" outlineLevel="0" collapsed="false">
      <c r="A320" s="32"/>
      <c r="B320" s="32"/>
      <c r="C320" s="32"/>
      <c r="D320" s="33"/>
      <c r="E320" s="32"/>
      <c r="F320" s="32"/>
      <c r="G320" s="35"/>
      <c r="H320" s="35"/>
      <c r="I320" s="41"/>
      <c r="J320" s="34"/>
      <c r="K320" s="32"/>
      <c r="L320" s="34"/>
      <c r="M320" s="35"/>
      <c r="N320" s="33"/>
    </row>
    <row r="321" customFormat="false" ht="15" hidden="false" customHeight="false" outlineLevel="0" collapsed="false">
      <c r="A321" s="32"/>
      <c r="B321" s="32"/>
      <c r="C321" s="32"/>
      <c r="D321" s="33"/>
      <c r="E321" s="32"/>
      <c r="F321" s="32"/>
      <c r="G321" s="35"/>
      <c r="H321" s="35"/>
      <c r="I321" s="41"/>
      <c r="J321" s="34"/>
      <c r="K321" s="32"/>
      <c r="L321" s="34"/>
      <c r="M321" s="35"/>
      <c r="N321" s="33"/>
    </row>
    <row r="322" customFormat="false" ht="15" hidden="false" customHeight="false" outlineLevel="0" collapsed="false">
      <c r="A322" s="32"/>
      <c r="B322" s="32"/>
      <c r="C322" s="32"/>
      <c r="D322" s="33"/>
      <c r="E322" s="32"/>
      <c r="F322" s="32"/>
      <c r="G322" s="35"/>
      <c r="H322" s="35"/>
      <c r="I322" s="41"/>
      <c r="J322" s="34"/>
      <c r="K322" s="32"/>
      <c r="L322" s="34"/>
      <c r="M322" s="35"/>
      <c r="N322" s="33"/>
    </row>
    <row r="323" customFormat="false" ht="15" hidden="false" customHeight="false" outlineLevel="0" collapsed="false">
      <c r="A323" s="32"/>
      <c r="B323" s="32"/>
      <c r="C323" s="32"/>
      <c r="D323" s="33"/>
      <c r="E323" s="32"/>
      <c r="F323" s="32"/>
      <c r="G323" s="35"/>
      <c r="H323" s="35"/>
      <c r="I323" s="41"/>
      <c r="J323" s="34"/>
      <c r="K323" s="32"/>
      <c r="L323" s="34"/>
      <c r="M323" s="35"/>
      <c r="N323" s="33"/>
    </row>
    <row r="324" customFormat="false" ht="15" hidden="false" customHeight="false" outlineLevel="0" collapsed="false">
      <c r="A324" s="32"/>
      <c r="B324" s="32"/>
      <c r="C324" s="32"/>
      <c r="D324" s="33"/>
      <c r="E324" s="32"/>
      <c r="F324" s="32"/>
      <c r="G324" s="35"/>
      <c r="H324" s="35"/>
      <c r="I324" s="41"/>
      <c r="J324" s="34"/>
      <c r="K324" s="32"/>
      <c r="L324" s="34"/>
      <c r="M324" s="35"/>
      <c r="N324" s="33"/>
    </row>
    <row r="325" customFormat="false" ht="15" hidden="false" customHeight="false" outlineLevel="0" collapsed="false">
      <c r="A325" s="32"/>
      <c r="B325" s="32"/>
      <c r="C325" s="32"/>
      <c r="D325" s="33"/>
      <c r="E325" s="32"/>
      <c r="F325" s="32"/>
      <c r="G325" s="35"/>
      <c r="H325" s="35"/>
      <c r="I325" s="41"/>
      <c r="J325" s="34"/>
      <c r="K325" s="32"/>
      <c r="L325" s="34"/>
      <c r="M325" s="35"/>
      <c r="N325" s="33"/>
    </row>
    <row r="326" customFormat="false" ht="15" hidden="false" customHeight="false" outlineLevel="0" collapsed="false">
      <c r="A326" s="32"/>
      <c r="B326" s="32"/>
      <c r="C326" s="32"/>
      <c r="D326" s="33"/>
      <c r="E326" s="32"/>
      <c r="F326" s="32"/>
      <c r="G326" s="35"/>
      <c r="H326" s="35"/>
      <c r="I326" s="41"/>
      <c r="J326" s="34"/>
      <c r="K326" s="32"/>
      <c r="L326" s="34"/>
      <c r="M326" s="35"/>
      <c r="N326" s="33"/>
    </row>
    <row r="327" customFormat="false" ht="15" hidden="false" customHeight="false" outlineLevel="0" collapsed="false">
      <c r="A327" s="32"/>
      <c r="B327" s="32"/>
      <c r="C327" s="32"/>
      <c r="D327" s="33"/>
      <c r="E327" s="32"/>
      <c r="F327" s="32"/>
      <c r="G327" s="35"/>
      <c r="H327" s="35"/>
      <c r="I327" s="41"/>
      <c r="J327" s="34"/>
      <c r="K327" s="32"/>
      <c r="L327" s="34"/>
      <c r="M327" s="35"/>
      <c r="N327" s="33"/>
    </row>
    <row r="328" customFormat="false" ht="15" hidden="false" customHeight="false" outlineLevel="0" collapsed="false">
      <c r="A328" s="32"/>
      <c r="B328" s="32"/>
      <c r="C328" s="32"/>
      <c r="D328" s="33"/>
      <c r="E328" s="32"/>
      <c r="F328" s="32"/>
      <c r="G328" s="35"/>
      <c r="H328" s="35"/>
      <c r="I328" s="41"/>
      <c r="J328" s="34"/>
      <c r="K328" s="32"/>
      <c r="L328" s="34"/>
      <c r="M328" s="35"/>
      <c r="N328" s="33"/>
    </row>
    <row r="329" customFormat="false" ht="15" hidden="false" customHeight="false" outlineLevel="0" collapsed="false">
      <c r="A329" s="32"/>
      <c r="B329" s="32"/>
      <c r="C329" s="32"/>
      <c r="D329" s="33"/>
      <c r="E329" s="32"/>
      <c r="F329" s="32"/>
      <c r="G329" s="35"/>
      <c r="H329" s="35"/>
      <c r="I329" s="41"/>
      <c r="J329" s="34"/>
      <c r="K329" s="32"/>
      <c r="L329" s="34"/>
      <c r="M329" s="35"/>
      <c r="N329" s="33"/>
    </row>
    <row r="330" customFormat="false" ht="15" hidden="false" customHeight="false" outlineLevel="0" collapsed="false">
      <c r="A330" s="32"/>
      <c r="B330" s="32"/>
      <c r="C330" s="32"/>
      <c r="D330" s="33"/>
      <c r="E330" s="32"/>
      <c r="F330" s="32"/>
      <c r="G330" s="35"/>
      <c r="H330" s="35"/>
      <c r="I330" s="41"/>
      <c r="J330" s="34"/>
      <c r="K330" s="32"/>
      <c r="L330" s="34"/>
      <c r="M330" s="35"/>
      <c r="N330" s="33"/>
    </row>
    <row r="331" customFormat="false" ht="15" hidden="false" customHeight="false" outlineLevel="0" collapsed="false">
      <c r="A331" s="32"/>
      <c r="B331" s="32"/>
      <c r="C331" s="32"/>
      <c r="D331" s="33"/>
      <c r="E331" s="32"/>
      <c r="F331" s="32"/>
      <c r="G331" s="35"/>
      <c r="H331" s="35"/>
      <c r="I331" s="41"/>
      <c r="J331" s="34"/>
      <c r="K331" s="32"/>
      <c r="L331" s="34"/>
      <c r="M331" s="35"/>
      <c r="N331" s="33"/>
    </row>
    <row r="332" customFormat="false" ht="15" hidden="false" customHeight="false" outlineLevel="0" collapsed="false">
      <c r="A332" s="32"/>
      <c r="B332" s="32"/>
      <c r="C332" s="32"/>
      <c r="D332" s="33"/>
      <c r="E332" s="32"/>
      <c r="F332" s="32"/>
      <c r="G332" s="35"/>
      <c r="H332" s="35"/>
      <c r="I332" s="41"/>
      <c r="J332" s="34"/>
      <c r="K332" s="32"/>
      <c r="L332" s="34"/>
      <c r="M332" s="35"/>
      <c r="N332" s="33"/>
    </row>
    <row r="333" customFormat="false" ht="15" hidden="false" customHeight="false" outlineLevel="0" collapsed="false">
      <c r="A333" s="32"/>
      <c r="B333" s="32"/>
      <c r="C333" s="32"/>
      <c r="D333" s="33"/>
      <c r="E333" s="32"/>
      <c r="F333" s="32"/>
      <c r="G333" s="35"/>
      <c r="H333" s="35"/>
      <c r="I333" s="41"/>
      <c r="J333" s="34"/>
      <c r="K333" s="32"/>
      <c r="L333" s="34"/>
      <c r="M333" s="35"/>
      <c r="N333" s="33"/>
    </row>
    <row r="334" customFormat="false" ht="15" hidden="false" customHeight="false" outlineLevel="0" collapsed="false">
      <c r="A334" s="32"/>
      <c r="B334" s="32"/>
      <c r="C334" s="32"/>
      <c r="D334" s="33"/>
      <c r="E334" s="32"/>
      <c r="F334" s="32"/>
      <c r="G334" s="35"/>
      <c r="H334" s="35"/>
      <c r="I334" s="41"/>
      <c r="J334" s="34"/>
      <c r="K334" s="32"/>
      <c r="L334" s="34"/>
      <c r="M334" s="35"/>
      <c r="N334" s="33"/>
    </row>
    <row r="335" customFormat="false" ht="15" hidden="false" customHeight="false" outlineLevel="0" collapsed="false">
      <c r="A335" s="32"/>
      <c r="B335" s="32"/>
      <c r="C335" s="32"/>
      <c r="D335" s="33"/>
      <c r="E335" s="32"/>
      <c r="F335" s="32"/>
      <c r="G335" s="35"/>
      <c r="H335" s="35"/>
      <c r="I335" s="41"/>
      <c r="J335" s="34"/>
      <c r="K335" s="32"/>
      <c r="L335" s="34"/>
      <c r="M335" s="35"/>
      <c r="N335" s="33"/>
    </row>
    <row r="336" customFormat="false" ht="15" hidden="false" customHeight="false" outlineLevel="0" collapsed="false">
      <c r="A336" s="32"/>
      <c r="B336" s="32"/>
      <c r="C336" s="32"/>
      <c r="D336" s="33"/>
      <c r="E336" s="32"/>
      <c r="F336" s="32"/>
      <c r="G336" s="35"/>
      <c r="H336" s="35"/>
      <c r="I336" s="41"/>
      <c r="J336" s="34"/>
      <c r="K336" s="32"/>
      <c r="L336" s="34"/>
      <c r="M336" s="35"/>
      <c r="N336" s="33"/>
    </row>
    <row r="337" customFormat="false" ht="15" hidden="false" customHeight="false" outlineLevel="0" collapsed="false">
      <c r="A337" s="32"/>
      <c r="B337" s="32"/>
      <c r="C337" s="32"/>
      <c r="D337" s="33"/>
      <c r="E337" s="32"/>
      <c r="F337" s="32"/>
      <c r="G337" s="35"/>
      <c r="H337" s="35"/>
      <c r="I337" s="41"/>
      <c r="J337" s="34"/>
      <c r="K337" s="32"/>
      <c r="L337" s="34"/>
      <c r="M337" s="35"/>
      <c r="N337" s="33"/>
    </row>
    <row r="338" customFormat="false" ht="15" hidden="false" customHeight="false" outlineLevel="0" collapsed="false">
      <c r="A338" s="32"/>
      <c r="B338" s="32"/>
      <c r="C338" s="32"/>
      <c r="D338" s="33"/>
      <c r="E338" s="32"/>
      <c r="F338" s="32"/>
      <c r="G338" s="35"/>
      <c r="H338" s="35"/>
      <c r="I338" s="41"/>
      <c r="J338" s="34"/>
      <c r="K338" s="32"/>
      <c r="L338" s="34"/>
      <c r="M338" s="35"/>
      <c r="N338" s="33"/>
    </row>
    <row r="339" customFormat="false" ht="15" hidden="false" customHeight="false" outlineLevel="0" collapsed="false">
      <c r="A339" s="32"/>
      <c r="B339" s="32"/>
      <c r="C339" s="32"/>
      <c r="D339" s="33"/>
      <c r="E339" s="32"/>
      <c r="F339" s="32"/>
      <c r="G339" s="35"/>
      <c r="H339" s="35"/>
      <c r="I339" s="41"/>
      <c r="J339" s="34"/>
      <c r="K339" s="32"/>
      <c r="L339" s="34"/>
      <c r="M339" s="35"/>
      <c r="N339" s="33"/>
    </row>
    <row r="340" customFormat="false" ht="15" hidden="false" customHeight="false" outlineLevel="0" collapsed="false">
      <c r="A340" s="32"/>
      <c r="B340" s="32"/>
      <c r="C340" s="32"/>
      <c r="D340" s="33"/>
      <c r="E340" s="32"/>
      <c r="F340" s="32"/>
      <c r="G340" s="35"/>
      <c r="H340" s="35"/>
      <c r="I340" s="41"/>
      <c r="J340" s="34"/>
      <c r="K340" s="32"/>
      <c r="L340" s="34"/>
      <c r="M340" s="35"/>
      <c r="N340" s="33"/>
    </row>
    <row r="341" customFormat="false" ht="15" hidden="false" customHeight="false" outlineLevel="0" collapsed="false">
      <c r="A341" s="32"/>
      <c r="B341" s="32"/>
      <c r="C341" s="32"/>
      <c r="D341" s="33"/>
      <c r="E341" s="32"/>
      <c r="F341" s="32"/>
      <c r="G341" s="35"/>
      <c r="H341" s="35"/>
      <c r="I341" s="41"/>
      <c r="J341" s="34"/>
      <c r="K341" s="32"/>
      <c r="L341" s="34"/>
      <c r="M341" s="35"/>
      <c r="N341" s="33"/>
    </row>
    <row r="342" customFormat="false" ht="15" hidden="false" customHeight="false" outlineLevel="0" collapsed="false">
      <c r="A342" s="32"/>
      <c r="B342" s="32"/>
      <c r="C342" s="32"/>
      <c r="D342" s="33"/>
      <c r="E342" s="32"/>
      <c r="F342" s="32"/>
      <c r="G342" s="35"/>
      <c r="H342" s="35"/>
      <c r="I342" s="41"/>
      <c r="J342" s="34"/>
      <c r="K342" s="32"/>
      <c r="L342" s="34"/>
      <c r="M342" s="35"/>
      <c r="N342" s="33"/>
    </row>
    <row r="343" customFormat="false" ht="15" hidden="false" customHeight="false" outlineLevel="0" collapsed="false">
      <c r="A343" s="32"/>
      <c r="B343" s="32"/>
      <c r="C343" s="32"/>
      <c r="D343" s="33"/>
      <c r="E343" s="32"/>
      <c r="F343" s="32"/>
      <c r="G343" s="35"/>
      <c r="H343" s="35"/>
      <c r="I343" s="41"/>
      <c r="J343" s="34"/>
      <c r="K343" s="32"/>
      <c r="L343" s="34"/>
      <c r="M343" s="35"/>
      <c r="N343" s="33"/>
    </row>
    <row r="344" customFormat="false" ht="15" hidden="false" customHeight="false" outlineLevel="0" collapsed="false">
      <c r="A344" s="32"/>
      <c r="B344" s="32"/>
      <c r="C344" s="32"/>
      <c r="D344" s="33"/>
      <c r="E344" s="32"/>
      <c r="F344" s="32"/>
      <c r="G344" s="35"/>
      <c r="H344" s="35"/>
      <c r="I344" s="41"/>
      <c r="J344" s="34"/>
      <c r="K344" s="32"/>
      <c r="L344" s="34"/>
      <c r="M344" s="35"/>
      <c r="N344" s="33"/>
    </row>
    <row r="345" customFormat="false" ht="15" hidden="false" customHeight="false" outlineLevel="0" collapsed="false">
      <c r="A345" s="32"/>
      <c r="B345" s="32"/>
      <c r="C345" s="32"/>
      <c r="D345" s="33"/>
      <c r="E345" s="32"/>
      <c r="F345" s="32"/>
      <c r="G345" s="35"/>
      <c r="H345" s="35"/>
      <c r="I345" s="41"/>
      <c r="J345" s="34"/>
      <c r="K345" s="32"/>
      <c r="L345" s="34"/>
      <c r="M345" s="35"/>
      <c r="N345" s="33"/>
    </row>
    <row r="346" customFormat="false" ht="15" hidden="false" customHeight="false" outlineLevel="0" collapsed="false">
      <c r="A346" s="32"/>
      <c r="B346" s="32"/>
      <c r="C346" s="32"/>
      <c r="D346" s="33"/>
      <c r="E346" s="32"/>
      <c r="F346" s="32"/>
      <c r="G346" s="35"/>
      <c r="H346" s="35"/>
      <c r="I346" s="41"/>
      <c r="J346" s="34"/>
      <c r="K346" s="32"/>
      <c r="L346" s="34"/>
      <c r="M346" s="35"/>
      <c r="N346" s="33"/>
    </row>
    <row r="347" customFormat="false" ht="15" hidden="false" customHeight="false" outlineLevel="0" collapsed="false">
      <c r="A347" s="32"/>
      <c r="B347" s="32"/>
      <c r="C347" s="32"/>
      <c r="D347" s="33"/>
      <c r="E347" s="32"/>
      <c r="F347" s="32"/>
      <c r="G347" s="35"/>
      <c r="H347" s="35"/>
      <c r="I347" s="41"/>
      <c r="J347" s="34"/>
      <c r="K347" s="32"/>
      <c r="L347" s="34"/>
      <c r="M347" s="35"/>
      <c r="N347" s="33"/>
    </row>
    <row r="348" customFormat="false" ht="15" hidden="false" customHeight="false" outlineLevel="0" collapsed="false">
      <c r="A348" s="32"/>
      <c r="B348" s="32"/>
      <c r="C348" s="32"/>
      <c r="D348" s="33"/>
      <c r="E348" s="32"/>
      <c r="F348" s="32"/>
      <c r="G348" s="35"/>
      <c r="H348" s="35"/>
      <c r="I348" s="41"/>
      <c r="J348" s="34"/>
      <c r="K348" s="32"/>
      <c r="L348" s="34"/>
      <c r="M348" s="35"/>
      <c r="N348" s="33"/>
    </row>
    <row r="349" customFormat="false" ht="15" hidden="false" customHeight="false" outlineLevel="0" collapsed="false">
      <c r="A349" s="32"/>
      <c r="B349" s="32"/>
      <c r="C349" s="32"/>
      <c r="D349" s="33"/>
      <c r="E349" s="32"/>
      <c r="F349" s="32"/>
      <c r="G349" s="35"/>
      <c r="H349" s="35"/>
      <c r="I349" s="41"/>
      <c r="J349" s="34"/>
      <c r="K349" s="32"/>
      <c r="L349" s="34"/>
      <c r="M349" s="35"/>
      <c r="N349" s="33"/>
    </row>
    <row r="350" customFormat="false" ht="15" hidden="false" customHeight="false" outlineLevel="0" collapsed="false">
      <c r="A350" s="32"/>
      <c r="B350" s="32"/>
      <c r="C350" s="32"/>
      <c r="D350" s="33"/>
      <c r="E350" s="32"/>
      <c r="F350" s="32"/>
      <c r="G350" s="35"/>
      <c r="H350" s="35"/>
      <c r="I350" s="41"/>
      <c r="J350" s="34"/>
      <c r="K350" s="32"/>
      <c r="L350" s="34"/>
      <c r="M350" s="35"/>
      <c r="N350" s="33"/>
    </row>
    <row r="351" customFormat="false" ht="15" hidden="false" customHeight="false" outlineLevel="0" collapsed="false">
      <c r="A351" s="32"/>
      <c r="B351" s="32"/>
      <c r="C351" s="32"/>
      <c r="D351" s="33"/>
      <c r="E351" s="32"/>
      <c r="F351" s="32"/>
      <c r="G351" s="35"/>
      <c r="H351" s="35"/>
      <c r="I351" s="41"/>
      <c r="J351" s="34"/>
      <c r="K351" s="32"/>
      <c r="L351" s="34"/>
      <c r="M351" s="35"/>
      <c r="N351" s="33"/>
    </row>
    <row r="352" customFormat="false" ht="15" hidden="false" customHeight="false" outlineLevel="0" collapsed="false">
      <c r="A352" s="32"/>
      <c r="B352" s="32"/>
      <c r="C352" s="32"/>
      <c r="D352" s="33"/>
      <c r="E352" s="32"/>
      <c r="F352" s="32"/>
      <c r="G352" s="35"/>
      <c r="H352" s="35"/>
      <c r="I352" s="41"/>
      <c r="J352" s="34"/>
      <c r="K352" s="32"/>
      <c r="L352" s="34"/>
      <c r="M352" s="35"/>
      <c r="N352" s="33"/>
    </row>
    <row r="353" customFormat="false" ht="15" hidden="false" customHeight="false" outlineLevel="0" collapsed="false">
      <c r="A353" s="32"/>
      <c r="B353" s="32"/>
      <c r="C353" s="32"/>
      <c r="D353" s="33"/>
      <c r="E353" s="32"/>
      <c r="F353" s="32"/>
      <c r="G353" s="35"/>
      <c r="H353" s="35"/>
      <c r="I353" s="41"/>
      <c r="J353" s="34"/>
      <c r="K353" s="32"/>
      <c r="L353" s="34"/>
      <c r="M353" s="35"/>
      <c r="N353" s="33"/>
    </row>
    <row r="354" customFormat="false" ht="15" hidden="false" customHeight="false" outlineLevel="0" collapsed="false">
      <c r="A354" s="32"/>
      <c r="B354" s="32"/>
      <c r="C354" s="32"/>
      <c r="D354" s="33"/>
      <c r="E354" s="32"/>
      <c r="F354" s="32"/>
      <c r="G354" s="35"/>
      <c r="H354" s="35"/>
      <c r="I354" s="41"/>
      <c r="J354" s="34"/>
      <c r="K354" s="32"/>
      <c r="L354" s="34"/>
      <c r="M354" s="35"/>
      <c r="N354" s="33"/>
    </row>
    <row r="355" customFormat="false" ht="15" hidden="false" customHeight="false" outlineLevel="0" collapsed="false">
      <c r="A355" s="32"/>
      <c r="B355" s="32"/>
      <c r="C355" s="32"/>
      <c r="D355" s="33"/>
      <c r="E355" s="32"/>
      <c r="F355" s="32"/>
      <c r="G355" s="35"/>
      <c r="H355" s="35"/>
      <c r="I355" s="41"/>
      <c r="J355" s="34"/>
      <c r="K355" s="32"/>
      <c r="L355" s="34"/>
      <c r="M355" s="35"/>
      <c r="N355" s="33"/>
    </row>
    <row r="356" customFormat="false" ht="15" hidden="false" customHeight="false" outlineLevel="0" collapsed="false">
      <c r="A356" s="32"/>
      <c r="B356" s="32"/>
      <c r="C356" s="32"/>
      <c r="D356" s="33"/>
      <c r="E356" s="32"/>
      <c r="F356" s="32"/>
      <c r="G356" s="35"/>
      <c r="H356" s="35"/>
      <c r="I356" s="41"/>
      <c r="J356" s="34"/>
      <c r="K356" s="32"/>
      <c r="L356" s="34"/>
      <c r="M356" s="35"/>
      <c r="N356" s="33"/>
    </row>
    <row r="357" customFormat="false" ht="15" hidden="false" customHeight="false" outlineLevel="0" collapsed="false">
      <c r="A357" s="32"/>
      <c r="B357" s="32"/>
      <c r="C357" s="32"/>
      <c r="D357" s="33"/>
      <c r="E357" s="32"/>
      <c r="F357" s="32"/>
      <c r="G357" s="35"/>
      <c r="H357" s="35"/>
      <c r="I357" s="41"/>
      <c r="J357" s="34"/>
      <c r="K357" s="32"/>
      <c r="L357" s="34"/>
      <c r="M357" s="35"/>
      <c r="N357" s="33"/>
    </row>
    <row r="358" customFormat="false" ht="15" hidden="false" customHeight="false" outlineLevel="0" collapsed="false">
      <c r="A358" s="32"/>
      <c r="B358" s="32"/>
      <c r="C358" s="32"/>
      <c r="D358" s="33"/>
      <c r="E358" s="32"/>
      <c r="F358" s="32"/>
      <c r="G358" s="35"/>
      <c r="H358" s="35"/>
      <c r="I358" s="41"/>
      <c r="J358" s="34"/>
      <c r="K358" s="32"/>
      <c r="L358" s="34"/>
      <c r="M358" s="35"/>
      <c r="N358" s="33"/>
    </row>
    <row r="359" customFormat="false" ht="15" hidden="false" customHeight="false" outlineLevel="0" collapsed="false">
      <c r="A359" s="32"/>
      <c r="B359" s="32"/>
      <c r="C359" s="32"/>
      <c r="D359" s="33"/>
      <c r="E359" s="32"/>
      <c r="F359" s="32"/>
      <c r="G359" s="35"/>
      <c r="H359" s="35"/>
      <c r="I359" s="41"/>
      <c r="J359" s="34"/>
      <c r="K359" s="32"/>
      <c r="L359" s="34"/>
      <c r="M359" s="35"/>
      <c r="N359" s="33"/>
    </row>
    <row r="360" customFormat="false" ht="15" hidden="false" customHeight="false" outlineLevel="0" collapsed="false">
      <c r="A360" s="32"/>
      <c r="B360" s="32"/>
      <c r="C360" s="32"/>
      <c r="D360" s="33"/>
      <c r="E360" s="32"/>
      <c r="F360" s="32"/>
      <c r="G360" s="35"/>
      <c r="H360" s="35"/>
      <c r="I360" s="41"/>
      <c r="J360" s="34"/>
      <c r="K360" s="32"/>
      <c r="L360" s="34"/>
      <c r="M360" s="35"/>
      <c r="N360" s="33"/>
    </row>
    <row r="361" customFormat="false" ht="15" hidden="false" customHeight="false" outlineLevel="0" collapsed="false">
      <c r="A361" s="32"/>
      <c r="B361" s="32"/>
      <c r="C361" s="32"/>
      <c r="D361" s="33"/>
      <c r="E361" s="32"/>
      <c r="F361" s="32"/>
      <c r="G361" s="35"/>
      <c r="H361" s="35"/>
      <c r="I361" s="41"/>
      <c r="J361" s="34"/>
      <c r="K361" s="32"/>
      <c r="L361" s="34"/>
      <c r="M361" s="35"/>
      <c r="N361" s="33"/>
    </row>
    <row r="362" customFormat="false" ht="15" hidden="false" customHeight="false" outlineLevel="0" collapsed="false">
      <c r="A362" s="32"/>
      <c r="B362" s="32"/>
      <c r="C362" s="32"/>
      <c r="D362" s="33"/>
      <c r="E362" s="32"/>
      <c r="F362" s="32"/>
      <c r="G362" s="35"/>
      <c r="H362" s="35"/>
      <c r="I362" s="41"/>
      <c r="J362" s="34"/>
      <c r="K362" s="32"/>
      <c r="L362" s="34"/>
      <c r="M362" s="35"/>
      <c r="N362" s="33"/>
    </row>
    <row r="363" customFormat="false" ht="15" hidden="false" customHeight="false" outlineLevel="0" collapsed="false">
      <c r="A363" s="32"/>
      <c r="B363" s="32"/>
      <c r="C363" s="32"/>
      <c r="D363" s="33"/>
      <c r="E363" s="32"/>
      <c r="F363" s="32"/>
      <c r="G363" s="35"/>
      <c r="H363" s="35"/>
      <c r="I363" s="41"/>
      <c r="J363" s="34"/>
      <c r="K363" s="32"/>
      <c r="L363" s="34"/>
      <c r="M363" s="35"/>
      <c r="N363" s="33"/>
    </row>
    <row r="364" customFormat="false" ht="15" hidden="false" customHeight="false" outlineLevel="0" collapsed="false">
      <c r="A364" s="32"/>
      <c r="B364" s="32"/>
      <c r="C364" s="32"/>
      <c r="D364" s="33"/>
      <c r="E364" s="32"/>
      <c r="F364" s="32"/>
      <c r="G364" s="35"/>
      <c r="H364" s="35"/>
      <c r="I364" s="41"/>
      <c r="J364" s="34"/>
      <c r="K364" s="32"/>
      <c r="L364" s="34"/>
      <c r="M364" s="35"/>
      <c r="N364" s="33"/>
    </row>
    <row r="365" customFormat="false" ht="15" hidden="false" customHeight="false" outlineLevel="0" collapsed="false">
      <c r="A365" s="32"/>
      <c r="B365" s="32"/>
      <c r="C365" s="32"/>
      <c r="D365" s="33"/>
      <c r="E365" s="32"/>
      <c r="F365" s="32"/>
      <c r="G365" s="35"/>
      <c r="H365" s="35"/>
      <c r="I365" s="41"/>
      <c r="J365" s="34"/>
      <c r="K365" s="32"/>
      <c r="L365" s="34"/>
      <c r="M365" s="35"/>
      <c r="N365" s="33"/>
    </row>
    <row r="366" customFormat="false" ht="15" hidden="false" customHeight="false" outlineLevel="0" collapsed="false">
      <c r="A366" s="32"/>
      <c r="B366" s="32"/>
      <c r="C366" s="32"/>
      <c r="D366" s="33"/>
      <c r="E366" s="32"/>
      <c r="F366" s="32"/>
      <c r="G366" s="35"/>
      <c r="H366" s="35"/>
      <c r="I366" s="41"/>
      <c r="J366" s="34"/>
      <c r="K366" s="32"/>
      <c r="L366" s="34"/>
      <c r="M366" s="35"/>
      <c r="N366" s="33"/>
    </row>
    <row r="367" customFormat="false" ht="15" hidden="false" customHeight="false" outlineLevel="0" collapsed="false">
      <c r="A367" s="32"/>
      <c r="B367" s="32"/>
      <c r="C367" s="32"/>
      <c r="D367" s="33"/>
      <c r="E367" s="32"/>
      <c r="F367" s="32"/>
      <c r="G367" s="35"/>
      <c r="H367" s="35"/>
      <c r="I367" s="41"/>
      <c r="J367" s="34"/>
      <c r="K367" s="32"/>
      <c r="L367" s="34"/>
      <c r="M367" s="35"/>
      <c r="N367" s="33"/>
    </row>
    <row r="368" customFormat="false" ht="15" hidden="false" customHeight="false" outlineLevel="0" collapsed="false">
      <c r="A368" s="32"/>
      <c r="B368" s="32"/>
      <c r="C368" s="32"/>
      <c r="D368" s="33"/>
      <c r="E368" s="32"/>
      <c r="F368" s="32"/>
      <c r="G368" s="35"/>
      <c r="H368" s="35"/>
      <c r="I368" s="41"/>
      <c r="J368" s="34"/>
      <c r="K368" s="32"/>
      <c r="L368" s="34"/>
      <c r="M368" s="35"/>
      <c r="N368" s="33"/>
    </row>
    <row r="369" customFormat="false" ht="15" hidden="false" customHeight="false" outlineLevel="0" collapsed="false">
      <c r="A369" s="32"/>
      <c r="B369" s="32"/>
      <c r="C369" s="32"/>
      <c r="D369" s="33"/>
      <c r="E369" s="32"/>
      <c r="F369" s="32"/>
      <c r="G369" s="35"/>
      <c r="H369" s="35"/>
      <c r="I369" s="41"/>
      <c r="J369" s="34"/>
      <c r="K369" s="32"/>
      <c r="L369" s="34"/>
      <c r="M369" s="35"/>
      <c r="N369" s="33"/>
    </row>
    <row r="370" customFormat="false" ht="15" hidden="false" customHeight="false" outlineLevel="0" collapsed="false">
      <c r="A370" s="32"/>
      <c r="B370" s="32"/>
      <c r="C370" s="32"/>
      <c r="D370" s="33"/>
      <c r="E370" s="32"/>
      <c r="F370" s="32"/>
      <c r="G370" s="35"/>
      <c r="H370" s="35"/>
      <c r="I370" s="41"/>
      <c r="J370" s="34"/>
      <c r="K370" s="32"/>
      <c r="L370" s="34"/>
      <c r="M370" s="35"/>
      <c r="N370" s="33"/>
    </row>
    <row r="371" customFormat="false" ht="15" hidden="false" customHeight="false" outlineLevel="0" collapsed="false">
      <c r="A371" s="32"/>
      <c r="B371" s="32"/>
      <c r="C371" s="32"/>
      <c r="D371" s="33"/>
      <c r="E371" s="32"/>
      <c r="F371" s="32"/>
      <c r="G371" s="35"/>
      <c r="H371" s="35"/>
      <c r="I371" s="41"/>
      <c r="J371" s="34"/>
      <c r="K371" s="32"/>
      <c r="L371" s="34"/>
      <c r="M371" s="35"/>
      <c r="N371" s="33"/>
    </row>
    <row r="372" customFormat="false" ht="15" hidden="false" customHeight="false" outlineLevel="0" collapsed="false">
      <c r="A372" s="32"/>
      <c r="B372" s="32"/>
      <c r="C372" s="32"/>
      <c r="D372" s="33"/>
      <c r="E372" s="32"/>
      <c r="F372" s="32"/>
      <c r="G372" s="35"/>
      <c r="H372" s="35"/>
      <c r="I372" s="41"/>
      <c r="J372" s="34"/>
      <c r="K372" s="32"/>
      <c r="L372" s="34"/>
      <c r="M372" s="35"/>
      <c r="N372" s="33"/>
    </row>
    <row r="373" customFormat="false" ht="15" hidden="false" customHeight="false" outlineLevel="0" collapsed="false">
      <c r="A373" s="32"/>
      <c r="B373" s="32"/>
      <c r="C373" s="32"/>
      <c r="D373" s="33"/>
      <c r="E373" s="32"/>
      <c r="F373" s="32"/>
      <c r="G373" s="35"/>
      <c r="H373" s="35"/>
      <c r="I373" s="41"/>
      <c r="J373" s="34"/>
      <c r="K373" s="32"/>
      <c r="L373" s="34"/>
      <c r="M373" s="35"/>
      <c r="N373" s="33"/>
    </row>
    <row r="374" customFormat="false" ht="15" hidden="false" customHeight="false" outlineLevel="0" collapsed="false">
      <c r="A374" s="32"/>
      <c r="B374" s="32"/>
      <c r="C374" s="32"/>
      <c r="D374" s="33"/>
      <c r="E374" s="32"/>
      <c r="F374" s="32"/>
      <c r="G374" s="35"/>
      <c r="H374" s="35"/>
      <c r="I374" s="41"/>
      <c r="J374" s="34"/>
      <c r="K374" s="32"/>
      <c r="L374" s="34"/>
      <c r="M374" s="35"/>
      <c r="N374" s="33"/>
    </row>
    <row r="375" customFormat="false" ht="15" hidden="false" customHeight="false" outlineLevel="0" collapsed="false">
      <c r="A375" s="32"/>
      <c r="B375" s="32"/>
      <c r="C375" s="32"/>
      <c r="D375" s="33"/>
      <c r="E375" s="32"/>
      <c r="F375" s="32"/>
      <c r="G375" s="35"/>
      <c r="H375" s="35"/>
      <c r="I375" s="41"/>
      <c r="J375" s="34"/>
      <c r="K375" s="32"/>
      <c r="L375" s="34"/>
      <c r="M375" s="35"/>
      <c r="N375" s="33"/>
    </row>
    <row r="376" customFormat="false" ht="15" hidden="false" customHeight="false" outlineLevel="0" collapsed="false">
      <c r="A376" s="32"/>
      <c r="B376" s="32"/>
      <c r="C376" s="32"/>
      <c r="D376" s="33"/>
      <c r="E376" s="32"/>
      <c r="F376" s="32"/>
      <c r="G376" s="35"/>
      <c r="H376" s="35"/>
      <c r="I376" s="41"/>
      <c r="J376" s="34"/>
      <c r="K376" s="32"/>
      <c r="L376" s="34"/>
      <c r="M376" s="35"/>
      <c r="N376" s="33"/>
    </row>
    <row r="377" customFormat="false" ht="15" hidden="false" customHeight="false" outlineLevel="0" collapsed="false">
      <c r="A377" s="32"/>
      <c r="B377" s="32"/>
      <c r="C377" s="32"/>
      <c r="D377" s="33"/>
      <c r="E377" s="32"/>
      <c r="F377" s="32"/>
      <c r="G377" s="35"/>
      <c r="H377" s="35"/>
      <c r="I377" s="41"/>
      <c r="J377" s="34"/>
      <c r="K377" s="32"/>
      <c r="L377" s="34"/>
      <c r="M377" s="35"/>
      <c r="N377" s="33"/>
    </row>
    <row r="378" customFormat="false" ht="15" hidden="false" customHeight="false" outlineLevel="0" collapsed="false">
      <c r="A378" s="32"/>
      <c r="B378" s="32"/>
      <c r="C378" s="32"/>
      <c r="D378" s="33"/>
      <c r="E378" s="32"/>
      <c r="F378" s="32"/>
      <c r="G378" s="35"/>
      <c r="H378" s="35"/>
      <c r="I378" s="41"/>
      <c r="J378" s="34"/>
      <c r="K378" s="32"/>
      <c r="L378" s="34"/>
      <c r="M378" s="35"/>
      <c r="N378" s="33"/>
    </row>
    <row r="379" customFormat="false" ht="15" hidden="false" customHeight="false" outlineLevel="0" collapsed="false">
      <c r="A379" s="32"/>
      <c r="B379" s="32"/>
      <c r="C379" s="32"/>
      <c r="D379" s="33"/>
      <c r="E379" s="32"/>
      <c r="F379" s="32"/>
      <c r="G379" s="35"/>
      <c r="H379" s="35"/>
      <c r="I379" s="41"/>
      <c r="J379" s="34"/>
      <c r="K379" s="32"/>
      <c r="L379" s="34"/>
      <c r="M379" s="35"/>
      <c r="N379" s="33"/>
    </row>
    <row r="380" customFormat="false" ht="15" hidden="false" customHeight="false" outlineLevel="0" collapsed="false">
      <c r="A380" s="32"/>
      <c r="B380" s="32"/>
      <c r="C380" s="32"/>
      <c r="D380" s="33"/>
      <c r="E380" s="32"/>
      <c r="F380" s="32"/>
      <c r="G380" s="35"/>
      <c r="H380" s="35"/>
      <c r="I380" s="41"/>
      <c r="J380" s="34"/>
      <c r="K380" s="32"/>
      <c r="L380" s="34"/>
      <c r="M380" s="35"/>
      <c r="N380" s="33"/>
    </row>
    <row r="381" customFormat="false" ht="15" hidden="false" customHeight="false" outlineLevel="0" collapsed="false">
      <c r="A381" s="32"/>
      <c r="B381" s="32"/>
      <c r="C381" s="32"/>
      <c r="D381" s="33"/>
      <c r="E381" s="32"/>
      <c r="F381" s="32"/>
      <c r="G381" s="35"/>
      <c r="H381" s="35"/>
      <c r="I381" s="41"/>
      <c r="J381" s="34"/>
      <c r="K381" s="32"/>
      <c r="L381" s="34"/>
      <c r="M381" s="35"/>
      <c r="N381" s="33"/>
    </row>
    <row r="382" customFormat="false" ht="15" hidden="false" customHeight="false" outlineLevel="0" collapsed="false">
      <c r="A382" s="32"/>
      <c r="B382" s="32"/>
      <c r="C382" s="32"/>
      <c r="D382" s="33"/>
      <c r="E382" s="32"/>
      <c r="F382" s="32"/>
      <c r="G382" s="35"/>
      <c r="H382" s="35"/>
      <c r="I382" s="41"/>
      <c r="J382" s="34"/>
      <c r="K382" s="32"/>
      <c r="L382" s="34"/>
      <c r="M382" s="35"/>
      <c r="N382" s="33"/>
    </row>
    <row r="383" customFormat="false" ht="15" hidden="false" customHeight="false" outlineLevel="0" collapsed="false">
      <c r="A383" s="32"/>
      <c r="B383" s="32"/>
      <c r="C383" s="32"/>
      <c r="D383" s="33"/>
      <c r="E383" s="32"/>
      <c r="F383" s="32"/>
      <c r="G383" s="35"/>
      <c r="H383" s="35"/>
      <c r="I383" s="41"/>
      <c r="J383" s="34"/>
      <c r="K383" s="32"/>
      <c r="L383" s="34"/>
      <c r="M383" s="35"/>
      <c r="N383" s="33"/>
    </row>
    <row r="384" customFormat="false" ht="15" hidden="false" customHeight="false" outlineLevel="0" collapsed="false">
      <c r="A384" s="32"/>
      <c r="B384" s="32"/>
      <c r="C384" s="32"/>
      <c r="D384" s="33"/>
      <c r="E384" s="32"/>
      <c r="F384" s="32"/>
      <c r="G384" s="35"/>
      <c r="H384" s="35"/>
      <c r="I384" s="41"/>
      <c r="J384" s="34"/>
      <c r="K384" s="32"/>
      <c r="L384" s="34"/>
      <c r="M384" s="35"/>
      <c r="N384" s="33"/>
    </row>
    <row r="385" customFormat="false" ht="15" hidden="false" customHeight="false" outlineLevel="0" collapsed="false">
      <c r="A385" s="32"/>
      <c r="B385" s="32"/>
      <c r="C385" s="32"/>
      <c r="D385" s="33"/>
      <c r="E385" s="32"/>
      <c r="F385" s="32"/>
      <c r="G385" s="35"/>
      <c r="H385" s="35"/>
      <c r="I385" s="41"/>
      <c r="J385" s="34"/>
      <c r="K385" s="32"/>
      <c r="L385" s="34"/>
      <c r="M385" s="35"/>
      <c r="N385" s="33"/>
    </row>
    <row r="386" customFormat="false" ht="15" hidden="false" customHeight="false" outlineLevel="0" collapsed="false">
      <c r="A386" s="32"/>
      <c r="B386" s="32"/>
      <c r="C386" s="32"/>
      <c r="D386" s="33"/>
      <c r="E386" s="32"/>
      <c r="F386" s="32"/>
      <c r="G386" s="35"/>
      <c r="H386" s="35"/>
      <c r="I386" s="41"/>
      <c r="J386" s="34"/>
      <c r="K386" s="32"/>
      <c r="L386" s="34"/>
      <c r="M386" s="35"/>
      <c r="N386" s="33"/>
    </row>
    <row r="387" customFormat="false" ht="15" hidden="false" customHeight="false" outlineLevel="0" collapsed="false">
      <c r="A387" s="32"/>
      <c r="B387" s="32"/>
      <c r="C387" s="32"/>
      <c r="D387" s="33"/>
      <c r="E387" s="32"/>
      <c r="F387" s="32"/>
      <c r="G387" s="35"/>
      <c r="H387" s="35"/>
      <c r="I387" s="41"/>
      <c r="J387" s="34"/>
      <c r="K387" s="32"/>
      <c r="L387" s="34"/>
      <c r="M387" s="35"/>
      <c r="N387" s="33"/>
    </row>
    <row r="388" customFormat="false" ht="15" hidden="false" customHeight="false" outlineLevel="0" collapsed="false">
      <c r="A388" s="32"/>
      <c r="B388" s="32"/>
      <c r="C388" s="32"/>
      <c r="D388" s="33"/>
      <c r="E388" s="32"/>
      <c r="F388" s="32"/>
      <c r="G388" s="35"/>
      <c r="H388" s="35"/>
      <c r="I388" s="41"/>
      <c r="J388" s="34"/>
      <c r="K388" s="32"/>
      <c r="L388" s="34"/>
      <c r="M388" s="35"/>
      <c r="N388" s="33"/>
    </row>
    <row r="389" customFormat="false" ht="15" hidden="false" customHeight="false" outlineLevel="0" collapsed="false">
      <c r="A389" s="32"/>
      <c r="B389" s="32"/>
      <c r="C389" s="32"/>
      <c r="D389" s="33"/>
      <c r="E389" s="32"/>
      <c r="F389" s="32"/>
      <c r="G389" s="35"/>
      <c r="H389" s="35"/>
      <c r="I389" s="41"/>
      <c r="J389" s="34"/>
      <c r="K389" s="32"/>
      <c r="L389" s="34"/>
      <c r="M389" s="35"/>
      <c r="N389" s="33"/>
    </row>
    <row r="390" customFormat="false" ht="15" hidden="false" customHeight="false" outlineLevel="0" collapsed="false">
      <c r="A390" s="32"/>
      <c r="B390" s="32"/>
      <c r="C390" s="32"/>
      <c r="D390" s="33"/>
      <c r="E390" s="32"/>
      <c r="F390" s="32"/>
      <c r="G390" s="35"/>
      <c r="H390" s="35"/>
      <c r="I390" s="41"/>
      <c r="J390" s="34"/>
      <c r="K390" s="32"/>
      <c r="L390" s="34"/>
      <c r="M390" s="35"/>
      <c r="N390" s="33"/>
    </row>
    <row r="391" customFormat="false" ht="15" hidden="false" customHeight="false" outlineLevel="0" collapsed="false">
      <c r="A391" s="32"/>
      <c r="B391" s="32"/>
      <c r="C391" s="32"/>
      <c r="D391" s="33"/>
      <c r="E391" s="32"/>
      <c r="F391" s="32"/>
      <c r="G391" s="35"/>
      <c r="H391" s="35"/>
      <c r="I391" s="41"/>
      <c r="J391" s="34"/>
      <c r="K391" s="32"/>
      <c r="L391" s="34"/>
      <c r="M391" s="35"/>
      <c r="N391" s="33"/>
    </row>
    <row r="392" customFormat="false" ht="15" hidden="false" customHeight="false" outlineLevel="0" collapsed="false">
      <c r="A392" s="32"/>
      <c r="B392" s="32"/>
      <c r="C392" s="32"/>
      <c r="D392" s="33"/>
      <c r="E392" s="32"/>
      <c r="F392" s="32"/>
      <c r="G392" s="35"/>
      <c r="H392" s="35"/>
      <c r="I392" s="41"/>
      <c r="J392" s="34"/>
      <c r="K392" s="32"/>
      <c r="L392" s="34"/>
      <c r="M392" s="35"/>
      <c r="N392" s="33"/>
    </row>
    <row r="393" customFormat="false" ht="15" hidden="false" customHeight="false" outlineLevel="0" collapsed="false">
      <c r="A393" s="32"/>
      <c r="B393" s="32"/>
      <c r="C393" s="32"/>
      <c r="D393" s="33"/>
      <c r="E393" s="32"/>
      <c r="F393" s="32"/>
      <c r="G393" s="35"/>
      <c r="H393" s="35"/>
      <c r="I393" s="41"/>
      <c r="J393" s="34"/>
      <c r="K393" s="32"/>
      <c r="L393" s="34"/>
      <c r="M393" s="35"/>
      <c r="N393" s="33"/>
    </row>
    <row r="394" customFormat="false" ht="15" hidden="false" customHeight="false" outlineLevel="0" collapsed="false">
      <c r="A394" s="32"/>
      <c r="B394" s="32"/>
      <c r="C394" s="32"/>
      <c r="D394" s="33"/>
      <c r="E394" s="32"/>
      <c r="F394" s="32"/>
      <c r="G394" s="35"/>
      <c r="H394" s="35"/>
      <c r="I394" s="41"/>
      <c r="J394" s="34"/>
      <c r="K394" s="32"/>
      <c r="L394" s="34"/>
      <c r="M394" s="35"/>
      <c r="N394" s="33"/>
    </row>
    <row r="395" customFormat="false" ht="15" hidden="false" customHeight="false" outlineLevel="0" collapsed="false">
      <c r="A395" s="32"/>
      <c r="B395" s="32"/>
      <c r="C395" s="32"/>
      <c r="D395" s="33"/>
      <c r="E395" s="32"/>
      <c r="F395" s="32"/>
      <c r="G395" s="35"/>
      <c r="H395" s="35"/>
      <c r="I395" s="41"/>
      <c r="J395" s="34"/>
      <c r="K395" s="32"/>
      <c r="L395" s="34"/>
      <c r="M395" s="35"/>
      <c r="N395" s="33"/>
    </row>
    <row r="396" customFormat="false" ht="15" hidden="false" customHeight="false" outlineLevel="0" collapsed="false">
      <c r="A396" s="32"/>
      <c r="B396" s="32"/>
      <c r="C396" s="32"/>
      <c r="D396" s="33"/>
      <c r="E396" s="32"/>
      <c r="F396" s="32"/>
      <c r="G396" s="35"/>
      <c r="H396" s="35"/>
      <c r="I396" s="41"/>
      <c r="J396" s="34"/>
      <c r="K396" s="32"/>
      <c r="L396" s="34"/>
      <c r="M396" s="35"/>
      <c r="N396" s="33"/>
    </row>
    <row r="397" customFormat="false" ht="15" hidden="false" customHeight="false" outlineLevel="0" collapsed="false">
      <c r="A397" s="32"/>
      <c r="B397" s="32"/>
      <c r="C397" s="32"/>
      <c r="D397" s="33"/>
      <c r="E397" s="32"/>
      <c r="F397" s="32"/>
      <c r="G397" s="35"/>
      <c r="H397" s="35"/>
      <c r="I397" s="41"/>
      <c r="J397" s="34"/>
      <c r="K397" s="32"/>
      <c r="L397" s="34"/>
      <c r="M397" s="35"/>
      <c r="N397" s="33"/>
    </row>
    <row r="398" customFormat="false" ht="15" hidden="false" customHeight="false" outlineLevel="0" collapsed="false">
      <c r="A398" s="32"/>
      <c r="B398" s="32"/>
      <c r="C398" s="32"/>
      <c r="D398" s="33"/>
      <c r="E398" s="32"/>
      <c r="F398" s="32"/>
      <c r="G398" s="35"/>
      <c r="H398" s="35"/>
      <c r="I398" s="41"/>
      <c r="J398" s="34"/>
      <c r="K398" s="32"/>
      <c r="L398" s="34"/>
      <c r="M398" s="35"/>
      <c r="N398" s="33"/>
    </row>
    <row r="399" customFormat="false" ht="15" hidden="false" customHeight="false" outlineLevel="0" collapsed="false">
      <c r="A399" s="32"/>
      <c r="B399" s="32"/>
      <c r="C399" s="32"/>
      <c r="D399" s="33"/>
      <c r="E399" s="32"/>
      <c r="F399" s="32"/>
      <c r="G399" s="35"/>
      <c r="H399" s="35"/>
      <c r="I399" s="41"/>
      <c r="J399" s="34"/>
      <c r="K399" s="32"/>
      <c r="L399" s="34"/>
      <c r="M399" s="35"/>
      <c r="N399" s="33"/>
    </row>
    <row r="400" customFormat="false" ht="15" hidden="false" customHeight="false" outlineLevel="0" collapsed="false">
      <c r="A400" s="32"/>
      <c r="B400" s="32"/>
      <c r="C400" s="32"/>
      <c r="D400" s="33"/>
      <c r="E400" s="32"/>
      <c r="F400" s="32"/>
      <c r="G400" s="35"/>
      <c r="H400" s="35"/>
      <c r="I400" s="41"/>
      <c r="J400" s="34"/>
      <c r="K400" s="32"/>
      <c r="L400" s="34"/>
      <c r="M400" s="35"/>
      <c r="N400" s="33"/>
    </row>
    <row r="401" customFormat="false" ht="15" hidden="false" customHeight="false" outlineLevel="0" collapsed="false">
      <c r="A401" s="32"/>
      <c r="B401" s="32"/>
      <c r="C401" s="32"/>
      <c r="D401" s="33"/>
      <c r="E401" s="32"/>
      <c r="F401" s="32"/>
      <c r="G401" s="35"/>
      <c r="H401" s="35"/>
      <c r="I401" s="41"/>
      <c r="J401" s="34"/>
      <c r="K401" s="32"/>
      <c r="L401" s="34"/>
      <c r="M401" s="35"/>
      <c r="N401" s="33"/>
    </row>
    <row r="402" customFormat="false" ht="15" hidden="false" customHeight="false" outlineLevel="0" collapsed="false">
      <c r="A402" s="32"/>
      <c r="B402" s="32"/>
      <c r="C402" s="32"/>
      <c r="D402" s="33"/>
      <c r="E402" s="32"/>
      <c r="F402" s="32"/>
      <c r="G402" s="35"/>
      <c r="H402" s="35"/>
      <c r="I402" s="41"/>
      <c r="J402" s="34"/>
      <c r="K402" s="32"/>
      <c r="L402" s="34"/>
      <c r="M402" s="35"/>
      <c r="N402" s="33"/>
    </row>
    <row r="403" customFormat="false" ht="15" hidden="false" customHeight="false" outlineLevel="0" collapsed="false">
      <c r="A403" s="32"/>
      <c r="B403" s="32"/>
      <c r="C403" s="32"/>
      <c r="D403" s="33"/>
      <c r="E403" s="32"/>
      <c r="F403" s="32"/>
      <c r="G403" s="35"/>
      <c r="H403" s="35"/>
      <c r="I403" s="41"/>
      <c r="J403" s="34"/>
      <c r="K403" s="32"/>
      <c r="L403" s="34"/>
      <c r="M403" s="35"/>
      <c r="N403" s="33"/>
    </row>
    <row r="404" customFormat="false" ht="15" hidden="false" customHeight="false" outlineLevel="0" collapsed="false">
      <c r="A404" s="32"/>
      <c r="B404" s="32"/>
      <c r="C404" s="32"/>
      <c r="D404" s="33"/>
      <c r="E404" s="32"/>
      <c r="F404" s="32"/>
      <c r="G404" s="35"/>
      <c r="H404" s="35"/>
      <c r="I404" s="41"/>
      <c r="J404" s="34"/>
      <c r="K404" s="32"/>
      <c r="L404" s="34"/>
      <c r="M404" s="35"/>
      <c r="N404" s="33"/>
    </row>
    <row r="405" customFormat="false" ht="15" hidden="false" customHeight="false" outlineLevel="0" collapsed="false">
      <c r="A405" s="32"/>
      <c r="B405" s="32"/>
      <c r="C405" s="32"/>
      <c r="D405" s="33"/>
      <c r="E405" s="32"/>
      <c r="F405" s="32"/>
      <c r="G405" s="35"/>
      <c r="H405" s="35"/>
      <c r="I405" s="41"/>
      <c r="J405" s="34"/>
      <c r="K405" s="32"/>
      <c r="L405" s="34"/>
      <c r="M405" s="35"/>
      <c r="N405" s="33"/>
    </row>
    <row r="406" customFormat="false" ht="15" hidden="false" customHeight="false" outlineLevel="0" collapsed="false">
      <c r="A406" s="32"/>
      <c r="B406" s="32"/>
      <c r="C406" s="32"/>
      <c r="D406" s="33"/>
      <c r="E406" s="32"/>
      <c r="F406" s="32"/>
      <c r="G406" s="35"/>
      <c r="H406" s="35"/>
      <c r="I406" s="41"/>
      <c r="J406" s="34"/>
      <c r="K406" s="32"/>
      <c r="L406" s="34"/>
      <c r="M406" s="35"/>
      <c r="N406" s="33"/>
    </row>
    <row r="407" customFormat="false" ht="15" hidden="false" customHeight="false" outlineLevel="0" collapsed="false">
      <c r="A407" s="32"/>
      <c r="B407" s="32"/>
      <c r="C407" s="32"/>
      <c r="D407" s="33"/>
      <c r="E407" s="32"/>
      <c r="F407" s="32"/>
      <c r="G407" s="35"/>
      <c r="H407" s="35"/>
      <c r="I407" s="41"/>
      <c r="J407" s="34"/>
      <c r="K407" s="32"/>
      <c r="L407" s="34"/>
      <c r="M407" s="35"/>
      <c r="N407" s="33"/>
    </row>
    <row r="408" customFormat="false" ht="15" hidden="false" customHeight="false" outlineLevel="0" collapsed="false">
      <c r="A408" s="32"/>
      <c r="B408" s="32"/>
      <c r="C408" s="32"/>
      <c r="D408" s="33"/>
      <c r="E408" s="32"/>
      <c r="F408" s="32"/>
      <c r="G408" s="35"/>
      <c r="H408" s="35"/>
      <c r="I408" s="41"/>
      <c r="J408" s="34"/>
      <c r="K408" s="32"/>
      <c r="L408" s="34"/>
      <c r="M408" s="35"/>
      <c r="N408" s="33"/>
    </row>
    <row r="409" customFormat="false" ht="15" hidden="false" customHeight="false" outlineLevel="0" collapsed="false">
      <c r="A409" s="32"/>
      <c r="B409" s="32"/>
      <c r="C409" s="32"/>
      <c r="D409" s="33"/>
      <c r="E409" s="32"/>
      <c r="F409" s="32"/>
      <c r="G409" s="35"/>
      <c r="H409" s="35"/>
      <c r="I409" s="41"/>
      <c r="J409" s="34"/>
      <c r="K409" s="32"/>
      <c r="L409" s="34"/>
      <c r="M409" s="35"/>
      <c r="N409" s="33"/>
    </row>
    <row r="410" customFormat="false" ht="15" hidden="false" customHeight="false" outlineLevel="0" collapsed="false">
      <c r="A410" s="32"/>
      <c r="B410" s="32"/>
      <c r="C410" s="32"/>
      <c r="D410" s="33"/>
      <c r="E410" s="32"/>
      <c r="F410" s="32"/>
      <c r="G410" s="35"/>
      <c r="H410" s="35"/>
      <c r="I410" s="41"/>
      <c r="J410" s="34"/>
      <c r="K410" s="32"/>
      <c r="L410" s="34"/>
      <c r="M410" s="35"/>
      <c r="N410" s="33"/>
    </row>
    <row r="411" customFormat="false" ht="15" hidden="false" customHeight="false" outlineLevel="0" collapsed="false">
      <c r="A411" s="32"/>
      <c r="B411" s="32"/>
      <c r="C411" s="32"/>
      <c r="D411" s="33"/>
      <c r="E411" s="32"/>
      <c r="F411" s="32"/>
      <c r="G411" s="35"/>
      <c r="H411" s="35"/>
      <c r="I411" s="41"/>
      <c r="J411" s="34"/>
      <c r="K411" s="32"/>
      <c r="L411" s="34"/>
      <c r="M411" s="35"/>
      <c r="N411" s="33"/>
    </row>
    <row r="412" customFormat="false" ht="15" hidden="false" customHeight="false" outlineLevel="0" collapsed="false">
      <c r="A412" s="32"/>
      <c r="B412" s="32"/>
      <c r="C412" s="32"/>
      <c r="D412" s="33"/>
      <c r="E412" s="32"/>
      <c r="F412" s="32"/>
      <c r="G412" s="35"/>
      <c r="H412" s="35"/>
      <c r="I412" s="41"/>
      <c r="J412" s="34"/>
      <c r="K412" s="32"/>
      <c r="L412" s="34"/>
      <c r="M412" s="35"/>
      <c r="N412" s="33"/>
    </row>
    <row r="413" customFormat="false" ht="15" hidden="false" customHeight="false" outlineLevel="0" collapsed="false">
      <c r="A413" s="32"/>
      <c r="B413" s="32"/>
      <c r="C413" s="32"/>
      <c r="D413" s="33"/>
      <c r="E413" s="32"/>
      <c r="F413" s="32"/>
      <c r="G413" s="35"/>
      <c r="H413" s="35"/>
      <c r="I413" s="41"/>
      <c r="J413" s="34"/>
      <c r="K413" s="32"/>
      <c r="L413" s="34"/>
      <c r="M413" s="35"/>
      <c r="N413" s="33"/>
    </row>
    <row r="414" customFormat="false" ht="15" hidden="false" customHeight="false" outlineLevel="0" collapsed="false">
      <c r="A414" s="32"/>
      <c r="B414" s="32"/>
      <c r="C414" s="32"/>
      <c r="D414" s="33"/>
      <c r="E414" s="32"/>
      <c r="F414" s="32"/>
      <c r="G414" s="35"/>
      <c r="H414" s="35"/>
      <c r="I414" s="41"/>
      <c r="J414" s="34"/>
      <c r="K414" s="32"/>
      <c r="L414" s="34"/>
      <c r="M414" s="35"/>
      <c r="N414" s="33"/>
    </row>
    <row r="415" customFormat="false" ht="15" hidden="false" customHeight="false" outlineLevel="0" collapsed="false">
      <c r="A415" s="32"/>
      <c r="B415" s="32"/>
      <c r="C415" s="32"/>
      <c r="D415" s="33"/>
      <c r="E415" s="32"/>
      <c r="F415" s="32"/>
      <c r="G415" s="35"/>
      <c r="H415" s="35"/>
      <c r="I415" s="41"/>
      <c r="J415" s="34"/>
      <c r="K415" s="32"/>
      <c r="L415" s="34"/>
      <c r="M415" s="35"/>
      <c r="N415" s="33"/>
    </row>
    <row r="416" customFormat="false" ht="15" hidden="false" customHeight="false" outlineLevel="0" collapsed="false">
      <c r="A416" s="32"/>
      <c r="B416" s="32"/>
      <c r="C416" s="32"/>
      <c r="D416" s="33"/>
      <c r="E416" s="32"/>
      <c r="F416" s="32"/>
      <c r="G416" s="35"/>
      <c r="H416" s="35"/>
      <c r="I416" s="41"/>
      <c r="J416" s="34"/>
      <c r="K416" s="32"/>
      <c r="L416" s="34"/>
      <c r="M416" s="35"/>
      <c r="N416" s="33"/>
    </row>
    <row r="417" customFormat="false" ht="15" hidden="false" customHeight="false" outlineLevel="0" collapsed="false">
      <c r="A417" s="32"/>
      <c r="B417" s="32"/>
      <c r="C417" s="32"/>
      <c r="D417" s="33"/>
      <c r="E417" s="32"/>
      <c r="F417" s="32"/>
      <c r="G417" s="35"/>
      <c r="H417" s="35"/>
      <c r="I417" s="41"/>
      <c r="J417" s="34"/>
      <c r="K417" s="32"/>
      <c r="L417" s="34"/>
      <c r="M417" s="35"/>
      <c r="N417" s="33"/>
    </row>
    <row r="418" customFormat="false" ht="15" hidden="false" customHeight="false" outlineLevel="0" collapsed="false">
      <c r="A418" s="32"/>
      <c r="B418" s="32"/>
      <c r="C418" s="32"/>
      <c r="D418" s="33"/>
      <c r="E418" s="32"/>
      <c r="F418" s="32"/>
      <c r="G418" s="35"/>
      <c r="H418" s="35"/>
      <c r="I418" s="41"/>
      <c r="J418" s="34"/>
      <c r="K418" s="32"/>
      <c r="L418" s="34"/>
      <c r="M418" s="35"/>
      <c r="N418" s="33"/>
    </row>
    <row r="419" customFormat="false" ht="15" hidden="false" customHeight="false" outlineLevel="0" collapsed="false">
      <c r="A419" s="32"/>
      <c r="B419" s="32"/>
      <c r="C419" s="32"/>
      <c r="D419" s="33"/>
      <c r="E419" s="32"/>
      <c r="F419" s="32"/>
      <c r="G419" s="35"/>
      <c r="H419" s="35"/>
      <c r="I419" s="41"/>
      <c r="J419" s="34"/>
      <c r="K419" s="32"/>
      <c r="L419" s="34"/>
      <c r="M419" s="35"/>
      <c r="N419" s="33"/>
    </row>
    <row r="420" customFormat="false" ht="15" hidden="false" customHeight="false" outlineLevel="0" collapsed="false">
      <c r="A420" s="32"/>
      <c r="B420" s="32"/>
      <c r="C420" s="32"/>
      <c r="D420" s="33"/>
      <c r="E420" s="32"/>
      <c r="F420" s="32"/>
      <c r="G420" s="35"/>
      <c r="H420" s="35"/>
      <c r="I420" s="41"/>
      <c r="J420" s="34"/>
      <c r="K420" s="32"/>
      <c r="L420" s="34"/>
      <c r="M420" s="35"/>
      <c r="N420" s="33"/>
    </row>
    <row r="421" customFormat="false" ht="15" hidden="false" customHeight="false" outlineLevel="0" collapsed="false">
      <c r="A421" s="32"/>
      <c r="B421" s="32"/>
      <c r="C421" s="32"/>
      <c r="D421" s="33"/>
      <c r="E421" s="32"/>
      <c r="F421" s="32"/>
      <c r="G421" s="35"/>
      <c r="H421" s="35"/>
      <c r="I421" s="41"/>
      <c r="J421" s="34"/>
      <c r="K421" s="32"/>
      <c r="L421" s="34"/>
      <c r="M421" s="35"/>
      <c r="N421" s="33"/>
    </row>
    <row r="422" customFormat="false" ht="15" hidden="false" customHeight="false" outlineLevel="0" collapsed="false">
      <c r="A422" s="32"/>
      <c r="B422" s="32"/>
      <c r="C422" s="32"/>
      <c r="D422" s="33"/>
      <c r="E422" s="32"/>
      <c r="F422" s="32"/>
      <c r="G422" s="35"/>
      <c r="H422" s="35"/>
      <c r="I422" s="41"/>
      <c r="J422" s="34"/>
      <c r="K422" s="32"/>
      <c r="L422" s="34"/>
      <c r="M422" s="35"/>
      <c r="N422" s="33"/>
    </row>
    <row r="423" customFormat="false" ht="15" hidden="false" customHeight="false" outlineLevel="0" collapsed="false">
      <c r="A423" s="32"/>
      <c r="B423" s="32"/>
      <c r="C423" s="32"/>
      <c r="D423" s="33"/>
      <c r="E423" s="32"/>
      <c r="F423" s="32"/>
      <c r="G423" s="35"/>
      <c r="H423" s="35"/>
      <c r="I423" s="41"/>
      <c r="J423" s="34"/>
      <c r="K423" s="32"/>
      <c r="L423" s="34"/>
      <c r="M423" s="35"/>
      <c r="N423" s="33"/>
    </row>
    <row r="424" customFormat="false" ht="15" hidden="false" customHeight="false" outlineLevel="0" collapsed="false">
      <c r="A424" s="32"/>
      <c r="B424" s="32"/>
      <c r="C424" s="32"/>
      <c r="D424" s="33"/>
      <c r="E424" s="32"/>
      <c r="F424" s="32"/>
      <c r="G424" s="35"/>
      <c r="H424" s="35"/>
      <c r="I424" s="41"/>
      <c r="J424" s="34"/>
      <c r="K424" s="32"/>
      <c r="L424" s="34"/>
      <c r="M424" s="35"/>
      <c r="N424" s="33"/>
    </row>
    <row r="425" customFormat="false" ht="15" hidden="false" customHeight="false" outlineLevel="0" collapsed="false">
      <c r="A425" s="32"/>
      <c r="B425" s="32"/>
      <c r="C425" s="32"/>
      <c r="D425" s="33"/>
      <c r="E425" s="32"/>
      <c r="F425" s="32"/>
      <c r="G425" s="35"/>
      <c r="H425" s="35"/>
      <c r="I425" s="41"/>
      <c r="J425" s="34"/>
      <c r="K425" s="32"/>
      <c r="L425" s="34"/>
      <c r="M425" s="35"/>
      <c r="N425" s="33"/>
    </row>
    <row r="426" customFormat="false" ht="15" hidden="false" customHeight="false" outlineLevel="0" collapsed="false">
      <c r="A426" s="32"/>
      <c r="B426" s="32"/>
      <c r="C426" s="32"/>
      <c r="D426" s="33"/>
      <c r="E426" s="32"/>
      <c r="F426" s="32"/>
      <c r="G426" s="35"/>
      <c r="H426" s="35"/>
      <c r="I426" s="41"/>
      <c r="J426" s="34"/>
      <c r="K426" s="32"/>
      <c r="L426" s="34"/>
      <c r="M426" s="35"/>
      <c r="N426" s="33"/>
    </row>
    <row r="427" customFormat="false" ht="15" hidden="false" customHeight="false" outlineLevel="0" collapsed="false">
      <c r="A427" s="32"/>
      <c r="B427" s="32"/>
      <c r="C427" s="32"/>
      <c r="D427" s="33"/>
      <c r="E427" s="32"/>
      <c r="F427" s="32"/>
      <c r="G427" s="35"/>
      <c r="H427" s="35"/>
      <c r="I427" s="41"/>
      <c r="J427" s="34"/>
      <c r="K427" s="32"/>
      <c r="L427" s="34"/>
      <c r="M427" s="35"/>
      <c r="N427" s="33"/>
    </row>
    <row r="428" customFormat="false" ht="15" hidden="false" customHeight="false" outlineLevel="0" collapsed="false">
      <c r="A428" s="32"/>
      <c r="B428" s="32"/>
      <c r="C428" s="32"/>
      <c r="D428" s="33"/>
      <c r="E428" s="32"/>
      <c r="F428" s="32"/>
      <c r="G428" s="35"/>
      <c r="H428" s="35"/>
      <c r="I428" s="41"/>
      <c r="J428" s="34"/>
      <c r="K428" s="32"/>
      <c r="L428" s="34"/>
      <c r="M428" s="35"/>
      <c r="N428" s="33"/>
    </row>
    <row r="429" customFormat="false" ht="15" hidden="false" customHeight="false" outlineLevel="0" collapsed="false">
      <c r="A429" s="32"/>
      <c r="B429" s="32"/>
      <c r="C429" s="32"/>
      <c r="D429" s="33"/>
      <c r="E429" s="32"/>
      <c r="F429" s="32"/>
      <c r="G429" s="35"/>
      <c r="H429" s="35"/>
      <c r="I429" s="41"/>
      <c r="J429" s="34"/>
      <c r="K429" s="32"/>
      <c r="L429" s="34"/>
      <c r="M429" s="35"/>
      <c r="N429" s="33"/>
    </row>
    <row r="430" customFormat="false" ht="15" hidden="false" customHeight="false" outlineLevel="0" collapsed="false">
      <c r="A430" s="32"/>
      <c r="B430" s="32"/>
      <c r="C430" s="32"/>
      <c r="D430" s="33"/>
      <c r="E430" s="32"/>
      <c r="F430" s="32"/>
      <c r="G430" s="35"/>
      <c r="H430" s="35"/>
      <c r="I430" s="41"/>
      <c r="J430" s="34"/>
      <c r="K430" s="32"/>
      <c r="L430" s="34"/>
      <c r="M430" s="35"/>
      <c r="N430" s="33"/>
    </row>
    <row r="431" customFormat="false" ht="15" hidden="false" customHeight="false" outlineLevel="0" collapsed="false">
      <c r="A431" s="32"/>
      <c r="B431" s="32"/>
      <c r="C431" s="32"/>
      <c r="D431" s="33"/>
      <c r="E431" s="32"/>
      <c r="F431" s="32"/>
      <c r="G431" s="35"/>
      <c r="H431" s="35"/>
      <c r="I431" s="41"/>
      <c r="J431" s="34"/>
      <c r="K431" s="32"/>
      <c r="L431" s="34"/>
      <c r="M431" s="35"/>
      <c r="N431" s="33"/>
    </row>
    <row r="432" customFormat="false" ht="15" hidden="false" customHeight="false" outlineLevel="0" collapsed="false">
      <c r="A432" s="32"/>
      <c r="B432" s="32"/>
      <c r="C432" s="32"/>
      <c r="D432" s="33"/>
      <c r="E432" s="32"/>
      <c r="F432" s="32"/>
      <c r="G432" s="35"/>
      <c r="H432" s="35"/>
      <c r="I432" s="41"/>
      <c r="J432" s="34"/>
      <c r="K432" s="32"/>
      <c r="L432" s="34"/>
      <c r="M432" s="35"/>
      <c r="N432" s="33"/>
    </row>
    <row r="433" customFormat="false" ht="15" hidden="false" customHeight="false" outlineLevel="0" collapsed="false">
      <c r="A433" s="32"/>
      <c r="B433" s="32"/>
      <c r="C433" s="32"/>
      <c r="D433" s="33"/>
      <c r="E433" s="32"/>
      <c r="F433" s="32"/>
      <c r="G433" s="35"/>
      <c r="H433" s="35"/>
      <c r="I433" s="41"/>
      <c r="J433" s="34"/>
      <c r="K433" s="32"/>
      <c r="L433" s="34"/>
      <c r="M433" s="35"/>
      <c r="N433" s="33"/>
    </row>
    <row r="434" customFormat="false" ht="15" hidden="false" customHeight="false" outlineLevel="0" collapsed="false">
      <c r="A434" s="32"/>
      <c r="B434" s="32"/>
      <c r="C434" s="32"/>
      <c r="D434" s="33"/>
      <c r="E434" s="32"/>
      <c r="F434" s="32"/>
      <c r="G434" s="35"/>
      <c r="H434" s="35"/>
      <c r="I434" s="41"/>
      <c r="J434" s="34"/>
      <c r="K434" s="32"/>
      <c r="L434" s="34"/>
      <c r="M434" s="35"/>
      <c r="N434" s="33"/>
    </row>
    <row r="435" customFormat="false" ht="15" hidden="false" customHeight="false" outlineLevel="0" collapsed="false">
      <c r="A435" s="32"/>
      <c r="B435" s="32"/>
      <c r="C435" s="32"/>
      <c r="D435" s="33"/>
      <c r="E435" s="32"/>
      <c r="F435" s="32"/>
      <c r="G435" s="35"/>
      <c r="H435" s="35"/>
      <c r="I435" s="41"/>
      <c r="J435" s="34"/>
      <c r="K435" s="32"/>
      <c r="L435" s="34"/>
      <c r="M435" s="35"/>
      <c r="N435" s="33"/>
    </row>
    <row r="436" customFormat="false" ht="15" hidden="false" customHeight="false" outlineLevel="0" collapsed="false">
      <c r="A436" s="32"/>
      <c r="B436" s="32"/>
      <c r="C436" s="32"/>
      <c r="D436" s="33"/>
      <c r="E436" s="32"/>
      <c r="F436" s="32"/>
      <c r="G436" s="35"/>
      <c r="H436" s="35"/>
      <c r="I436" s="41"/>
      <c r="J436" s="34"/>
      <c r="K436" s="32"/>
      <c r="L436" s="34"/>
      <c r="M436" s="35"/>
      <c r="N436" s="33"/>
    </row>
    <row r="437" customFormat="false" ht="15" hidden="false" customHeight="false" outlineLevel="0" collapsed="false">
      <c r="A437" s="32"/>
      <c r="B437" s="32"/>
      <c r="C437" s="32"/>
      <c r="D437" s="33"/>
      <c r="E437" s="32"/>
      <c r="F437" s="32"/>
      <c r="G437" s="35"/>
      <c r="H437" s="35"/>
      <c r="I437" s="41"/>
      <c r="J437" s="34"/>
      <c r="K437" s="32"/>
      <c r="L437" s="34"/>
      <c r="M437" s="35"/>
      <c r="N437" s="33"/>
    </row>
    <row r="438" customFormat="false" ht="15" hidden="false" customHeight="false" outlineLevel="0" collapsed="false">
      <c r="A438" s="32"/>
      <c r="B438" s="32"/>
      <c r="C438" s="32"/>
      <c r="D438" s="33"/>
      <c r="E438" s="32"/>
      <c r="F438" s="32"/>
      <c r="G438" s="35"/>
      <c r="H438" s="35"/>
      <c r="I438" s="41"/>
      <c r="J438" s="34"/>
      <c r="K438" s="32"/>
      <c r="L438" s="34"/>
      <c r="M438" s="35"/>
      <c r="N438" s="33"/>
    </row>
    <row r="439" customFormat="false" ht="15" hidden="false" customHeight="false" outlineLevel="0" collapsed="false">
      <c r="A439" s="32"/>
      <c r="B439" s="32"/>
      <c r="C439" s="32"/>
      <c r="D439" s="33"/>
      <c r="E439" s="32"/>
      <c r="F439" s="32"/>
      <c r="G439" s="35"/>
      <c r="H439" s="35"/>
      <c r="I439" s="41"/>
      <c r="J439" s="34"/>
      <c r="K439" s="32"/>
      <c r="L439" s="34"/>
      <c r="M439" s="35"/>
      <c r="N439" s="33"/>
    </row>
    <row r="440" customFormat="false" ht="15" hidden="false" customHeight="false" outlineLevel="0" collapsed="false">
      <c r="A440" s="32"/>
      <c r="B440" s="32"/>
      <c r="C440" s="32"/>
      <c r="D440" s="33"/>
      <c r="E440" s="32"/>
      <c r="F440" s="32"/>
      <c r="G440" s="35"/>
      <c r="H440" s="35"/>
      <c r="I440" s="41"/>
      <c r="J440" s="34"/>
      <c r="K440" s="32"/>
      <c r="L440" s="34"/>
      <c r="M440" s="35"/>
      <c r="N440" s="33"/>
    </row>
    <row r="441" customFormat="false" ht="15" hidden="false" customHeight="false" outlineLevel="0" collapsed="false">
      <c r="A441" s="32"/>
      <c r="B441" s="32"/>
      <c r="C441" s="32"/>
      <c r="D441" s="33"/>
      <c r="E441" s="32"/>
      <c r="F441" s="32"/>
      <c r="G441" s="35"/>
      <c r="H441" s="35"/>
      <c r="I441" s="41"/>
      <c r="J441" s="34"/>
      <c r="K441" s="32"/>
      <c r="L441" s="34"/>
      <c r="M441" s="35"/>
      <c r="N441" s="33"/>
    </row>
    <row r="442" customFormat="false" ht="15" hidden="false" customHeight="false" outlineLevel="0" collapsed="false">
      <c r="A442" s="32"/>
      <c r="B442" s="32"/>
      <c r="C442" s="32"/>
      <c r="D442" s="33"/>
      <c r="E442" s="32"/>
      <c r="F442" s="32"/>
      <c r="G442" s="35"/>
      <c r="H442" s="35"/>
      <c r="I442" s="41"/>
      <c r="J442" s="34"/>
      <c r="K442" s="32"/>
      <c r="L442" s="34"/>
      <c r="M442" s="35"/>
      <c r="N442" s="33"/>
    </row>
    <row r="443" customFormat="false" ht="15" hidden="false" customHeight="false" outlineLevel="0" collapsed="false">
      <c r="A443" s="32"/>
      <c r="B443" s="32"/>
      <c r="C443" s="32"/>
      <c r="D443" s="33"/>
      <c r="E443" s="32"/>
      <c r="F443" s="32"/>
      <c r="G443" s="35"/>
      <c r="H443" s="35"/>
      <c r="I443" s="41"/>
      <c r="J443" s="34"/>
      <c r="K443" s="32"/>
      <c r="L443" s="34"/>
      <c r="M443" s="35"/>
      <c r="N443" s="33"/>
    </row>
    <row r="444" customFormat="false" ht="15" hidden="false" customHeight="false" outlineLevel="0" collapsed="false">
      <c r="A444" s="32"/>
      <c r="B444" s="32"/>
      <c r="C444" s="32"/>
      <c r="D444" s="33"/>
      <c r="E444" s="32"/>
      <c r="F444" s="32"/>
      <c r="G444" s="35"/>
      <c r="H444" s="35"/>
      <c r="I444" s="41"/>
      <c r="J444" s="34"/>
      <c r="K444" s="32"/>
      <c r="L444" s="34"/>
      <c r="M444" s="35"/>
      <c r="N444" s="33"/>
    </row>
    <row r="445" customFormat="false" ht="15" hidden="false" customHeight="false" outlineLevel="0" collapsed="false">
      <c r="A445" s="32"/>
      <c r="B445" s="32"/>
      <c r="C445" s="32"/>
      <c r="D445" s="33"/>
      <c r="E445" s="32"/>
      <c r="F445" s="32"/>
      <c r="G445" s="35"/>
      <c r="H445" s="35"/>
      <c r="I445" s="41"/>
      <c r="J445" s="34"/>
      <c r="K445" s="32"/>
      <c r="L445" s="34"/>
      <c r="M445" s="35"/>
      <c r="N445" s="33"/>
    </row>
    <row r="446" customFormat="false" ht="15" hidden="false" customHeight="false" outlineLevel="0" collapsed="false">
      <c r="A446" s="32"/>
      <c r="B446" s="32"/>
      <c r="C446" s="32"/>
      <c r="D446" s="33"/>
      <c r="E446" s="32"/>
      <c r="F446" s="32"/>
      <c r="G446" s="35"/>
      <c r="H446" s="35"/>
      <c r="I446" s="41"/>
      <c r="J446" s="34"/>
      <c r="K446" s="32"/>
      <c r="L446" s="34"/>
      <c r="M446" s="35"/>
      <c r="N446" s="33"/>
    </row>
    <row r="447" customFormat="false" ht="15" hidden="false" customHeight="false" outlineLevel="0" collapsed="false">
      <c r="A447" s="32"/>
      <c r="B447" s="32"/>
      <c r="C447" s="32"/>
      <c r="D447" s="33"/>
      <c r="E447" s="32"/>
      <c r="F447" s="32"/>
      <c r="G447" s="35"/>
      <c r="H447" s="35"/>
      <c r="I447" s="41"/>
      <c r="J447" s="34"/>
      <c r="K447" s="32"/>
      <c r="L447" s="34"/>
      <c r="M447" s="35"/>
      <c r="N447" s="33"/>
    </row>
    <row r="448" customFormat="false" ht="15" hidden="false" customHeight="false" outlineLevel="0" collapsed="false">
      <c r="A448" s="32"/>
      <c r="B448" s="32"/>
      <c r="C448" s="32"/>
      <c r="D448" s="33"/>
      <c r="E448" s="32"/>
      <c r="F448" s="32"/>
      <c r="G448" s="35"/>
      <c r="H448" s="35"/>
      <c r="I448" s="41"/>
      <c r="J448" s="34"/>
      <c r="K448" s="32"/>
      <c r="L448" s="34"/>
      <c r="M448" s="35"/>
      <c r="N448" s="33"/>
    </row>
    <row r="449" customFormat="false" ht="15" hidden="false" customHeight="false" outlineLevel="0" collapsed="false">
      <c r="A449" s="32"/>
      <c r="B449" s="32"/>
      <c r="C449" s="32"/>
      <c r="D449" s="33"/>
      <c r="E449" s="32"/>
      <c r="F449" s="32"/>
      <c r="G449" s="35"/>
      <c r="H449" s="35"/>
      <c r="I449" s="41"/>
      <c r="J449" s="34"/>
      <c r="K449" s="32"/>
      <c r="L449" s="34"/>
      <c r="M449" s="35"/>
      <c r="N449" s="33"/>
    </row>
    <row r="450" customFormat="false" ht="15" hidden="false" customHeight="false" outlineLevel="0" collapsed="false">
      <c r="A450" s="32"/>
      <c r="B450" s="32"/>
      <c r="C450" s="32"/>
      <c r="D450" s="33"/>
      <c r="E450" s="32"/>
      <c r="F450" s="32"/>
      <c r="G450" s="35"/>
      <c r="H450" s="35"/>
      <c r="I450" s="41"/>
      <c r="J450" s="34"/>
      <c r="K450" s="32"/>
      <c r="L450" s="34"/>
      <c r="M450" s="35"/>
      <c r="N450" s="33"/>
    </row>
    <row r="451" customFormat="false" ht="15" hidden="false" customHeight="false" outlineLevel="0" collapsed="false">
      <c r="A451" s="32"/>
      <c r="B451" s="32"/>
      <c r="C451" s="32"/>
      <c r="D451" s="33"/>
      <c r="E451" s="32"/>
      <c r="F451" s="32"/>
      <c r="G451" s="35"/>
      <c r="H451" s="35"/>
      <c r="I451" s="41"/>
      <c r="J451" s="34"/>
      <c r="K451" s="32"/>
      <c r="L451" s="34"/>
      <c r="M451" s="35"/>
      <c r="N451" s="33"/>
    </row>
    <row r="452" customFormat="false" ht="15" hidden="false" customHeight="false" outlineLevel="0" collapsed="false">
      <c r="A452" s="32"/>
      <c r="B452" s="32"/>
      <c r="C452" s="32"/>
      <c r="D452" s="33"/>
      <c r="E452" s="32"/>
      <c r="F452" s="32"/>
      <c r="G452" s="35"/>
      <c r="H452" s="35"/>
      <c r="I452" s="41"/>
      <c r="J452" s="34"/>
      <c r="K452" s="32"/>
      <c r="L452" s="34"/>
      <c r="M452" s="35"/>
      <c r="N452" s="33"/>
    </row>
    <row r="453" customFormat="false" ht="15" hidden="false" customHeight="false" outlineLevel="0" collapsed="false">
      <c r="A453" s="32"/>
      <c r="B453" s="32"/>
      <c r="C453" s="32"/>
      <c r="D453" s="33"/>
      <c r="E453" s="32"/>
      <c r="F453" s="32"/>
      <c r="G453" s="35"/>
      <c r="H453" s="35"/>
      <c r="I453" s="41"/>
      <c r="J453" s="34"/>
      <c r="K453" s="32"/>
      <c r="L453" s="34"/>
      <c r="M453" s="35"/>
      <c r="N453" s="33"/>
    </row>
    <row r="454" customFormat="false" ht="15" hidden="false" customHeight="false" outlineLevel="0" collapsed="false">
      <c r="A454" s="32"/>
      <c r="B454" s="32"/>
      <c r="C454" s="32"/>
      <c r="D454" s="33"/>
      <c r="E454" s="32"/>
      <c r="F454" s="32"/>
      <c r="G454" s="35"/>
      <c r="H454" s="35"/>
      <c r="I454" s="41"/>
      <c r="J454" s="34"/>
      <c r="K454" s="32"/>
      <c r="L454" s="34"/>
      <c r="M454" s="35"/>
      <c r="N454" s="33"/>
    </row>
    <row r="455" customFormat="false" ht="15" hidden="false" customHeight="false" outlineLevel="0" collapsed="false">
      <c r="A455" s="32"/>
      <c r="B455" s="32"/>
      <c r="C455" s="32"/>
      <c r="D455" s="33"/>
      <c r="E455" s="32"/>
      <c r="F455" s="32"/>
      <c r="G455" s="35"/>
      <c r="H455" s="35"/>
      <c r="I455" s="41"/>
      <c r="J455" s="34"/>
      <c r="K455" s="32"/>
      <c r="L455" s="34"/>
      <c r="M455" s="35"/>
      <c r="N455" s="33"/>
    </row>
    <row r="456" customFormat="false" ht="15" hidden="false" customHeight="false" outlineLevel="0" collapsed="false">
      <c r="A456" s="32"/>
      <c r="B456" s="32"/>
      <c r="C456" s="32"/>
      <c r="D456" s="33"/>
      <c r="E456" s="32"/>
      <c r="F456" s="32"/>
      <c r="G456" s="35"/>
      <c r="H456" s="35"/>
      <c r="I456" s="41"/>
      <c r="J456" s="34"/>
      <c r="K456" s="32"/>
      <c r="L456" s="34"/>
      <c r="M456" s="35"/>
      <c r="N456" s="33"/>
    </row>
    <row r="457" customFormat="false" ht="15" hidden="false" customHeight="false" outlineLevel="0" collapsed="false">
      <c r="A457" s="32"/>
      <c r="B457" s="32"/>
      <c r="C457" s="32"/>
      <c r="D457" s="33"/>
      <c r="E457" s="32"/>
      <c r="F457" s="32"/>
      <c r="G457" s="35"/>
      <c r="H457" s="35"/>
      <c r="I457" s="41"/>
      <c r="J457" s="34"/>
      <c r="K457" s="32"/>
      <c r="L457" s="34"/>
      <c r="M457" s="35"/>
      <c r="N457" s="33"/>
    </row>
    <row r="458" customFormat="false" ht="15" hidden="false" customHeight="false" outlineLevel="0" collapsed="false">
      <c r="A458" s="32"/>
      <c r="B458" s="32"/>
      <c r="C458" s="32"/>
      <c r="D458" s="33"/>
      <c r="E458" s="32"/>
      <c r="F458" s="32"/>
      <c r="G458" s="35"/>
      <c r="H458" s="35"/>
      <c r="I458" s="41"/>
      <c r="J458" s="34"/>
      <c r="K458" s="32"/>
      <c r="L458" s="34"/>
      <c r="M458" s="35"/>
      <c r="N458" s="33"/>
    </row>
    <row r="459" customFormat="false" ht="15" hidden="false" customHeight="false" outlineLevel="0" collapsed="false">
      <c r="A459" s="32"/>
      <c r="B459" s="32"/>
      <c r="C459" s="32"/>
      <c r="D459" s="33"/>
      <c r="E459" s="32"/>
      <c r="F459" s="32"/>
      <c r="G459" s="35"/>
      <c r="H459" s="35"/>
      <c r="I459" s="41"/>
      <c r="J459" s="34"/>
      <c r="K459" s="32"/>
      <c r="L459" s="34"/>
      <c r="M459" s="35"/>
      <c r="N459" s="33"/>
    </row>
    <row r="460" customFormat="false" ht="15" hidden="false" customHeight="false" outlineLevel="0" collapsed="false">
      <c r="A460" s="32"/>
      <c r="B460" s="32"/>
      <c r="C460" s="32"/>
      <c r="D460" s="33"/>
      <c r="E460" s="32"/>
      <c r="F460" s="32"/>
      <c r="G460" s="35"/>
      <c r="H460" s="35"/>
      <c r="I460" s="41"/>
      <c r="J460" s="34"/>
      <c r="K460" s="32"/>
      <c r="L460" s="34"/>
      <c r="M460" s="35"/>
      <c r="N460" s="33"/>
    </row>
    <row r="461" customFormat="false" ht="15" hidden="false" customHeight="false" outlineLevel="0" collapsed="false">
      <c r="A461" s="32"/>
      <c r="B461" s="32"/>
      <c r="C461" s="32"/>
      <c r="D461" s="33"/>
      <c r="E461" s="32"/>
      <c r="F461" s="32"/>
      <c r="G461" s="35"/>
      <c r="H461" s="35"/>
      <c r="I461" s="41"/>
      <c r="J461" s="34"/>
      <c r="K461" s="32"/>
      <c r="L461" s="34"/>
      <c r="M461" s="35"/>
      <c r="N461" s="33"/>
    </row>
    <row r="462" customFormat="false" ht="15" hidden="false" customHeight="false" outlineLevel="0" collapsed="false">
      <c r="A462" s="32"/>
      <c r="B462" s="32"/>
      <c r="C462" s="32"/>
      <c r="D462" s="33"/>
      <c r="E462" s="32"/>
      <c r="F462" s="32"/>
      <c r="G462" s="35"/>
      <c r="H462" s="35"/>
      <c r="I462" s="41"/>
      <c r="J462" s="34"/>
      <c r="K462" s="32"/>
      <c r="L462" s="34"/>
      <c r="M462" s="35"/>
      <c r="N462" s="33"/>
    </row>
    <row r="463" customFormat="false" ht="15" hidden="false" customHeight="false" outlineLevel="0" collapsed="false">
      <c r="A463" s="32"/>
      <c r="B463" s="32"/>
      <c r="C463" s="32"/>
      <c r="D463" s="33"/>
      <c r="E463" s="32"/>
      <c r="F463" s="32"/>
      <c r="G463" s="35"/>
      <c r="H463" s="35"/>
      <c r="I463" s="41"/>
      <c r="J463" s="34"/>
      <c r="K463" s="32"/>
      <c r="L463" s="34"/>
      <c r="M463" s="35"/>
      <c r="N463" s="33"/>
    </row>
    <row r="464" customFormat="false" ht="15" hidden="false" customHeight="false" outlineLevel="0" collapsed="false">
      <c r="A464" s="32"/>
      <c r="B464" s="32"/>
      <c r="C464" s="32"/>
      <c r="D464" s="33"/>
      <c r="E464" s="32"/>
      <c r="F464" s="32"/>
      <c r="G464" s="35"/>
      <c r="H464" s="35"/>
      <c r="I464" s="41"/>
      <c r="J464" s="34"/>
      <c r="K464" s="32"/>
      <c r="L464" s="34"/>
      <c r="M464" s="35"/>
      <c r="N464" s="33"/>
    </row>
    <row r="465" customFormat="false" ht="15" hidden="false" customHeight="false" outlineLevel="0" collapsed="false">
      <c r="A465" s="32"/>
      <c r="B465" s="32"/>
      <c r="C465" s="32"/>
      <c r="D465" s="33"/>
      <c r="E465" s="32"/>
      <c r="F465" s="32"/>
      <c r="G465" s="35"/>
      <c r="H465" s="35"/>
      <c r="I465" s="41"/>
      <c r="J465" s="34"/>
      <c r="K465" s="32"/>
      <c r="L465" s="34"/>
      <c r="M465" s="35"/>
      <c r="N465" s="33"/>
    </row>
    <row r="466" customFormat="false" ht="15" hidden="false" customHeight="false" outlineLevel="0" collapsed="false">
      <c r="A466" s="32"/>
      <c r="B466" s="32"/>
      <c r="C466" s="32"/>
      <c r="D466" s="33"/>
      <c r="E466" s="32"/>
      <c r="F466" s="32"/>
      <c r="G466" s="35"/>
      <c r="H466" s="35"/>
      <c r="I466" s="41"/>
      <c r="J466" s="34"/>
      <c r="K466" s="32"/>
      <c r="L466" s="34"/>
      <c r="M466" s="35"/>
      <c r="N466" s="33"/>
    </row>
    <row r="467" customFormat="false" ht="15" hidden="false" customHeight="false" outlineLevel="0" collapsed="false">
      <c r="A467" s="32"/>
      <c r="B467" s="32"/>
      <c r="C467" s="32"/>
      <c r="D467" s="33"/>
      <c r="E467" s="32"/>
      <c r="F467" s="32"/>
      <c r="G467" s="35"/>
      <c r="H467" s="35"/>
      <c r="I467" s="41"/>
      <c r="J467" s="34"/>
      <c r="K467" s="32"/>
      <c r="L467" s="34"/>
      <c r="M467" s="35"/>
      <c r="N467" s="33"/>
    </row>
    <row r="468" customFormat="false" ht="15" hidden="false" customHeight="false" outlineLevel="0" collapsed="false">
      <c r="A468" s="32"/>
      <c r="B468" s="32"/>
      <c r="C468" s="32"/>
      <c r="D468" s="33"/>
      <c r="E468" s="32"/>
      <c r="F468" s="32"/>
      <c r="G468" s="35"/>
      <c r="H468" s="35"/>
      <c r="I468" s="41"/>
      <c r="J468" s="34"/>
      <c r="K468" s="32"/>
      <c r="L468" s="34"/>
      <c r="M468" s="35"/>
      <c r="N468" s="33"/>
    </row>
    <row r="469" customFormat="false" ht="15" hidden="false" customHeight="false" outlineLevel="0" collapsed="false">
      <c r="A469" s="32"/>
      <c r="B469" s="32"/>
      <c r="C469" s="32"/>
      <c r="D469" s="33"/>
      <c r="E469" s="32"/>
      <c r="F469" s="32"/>
      <c r="G469" s="35"/>
      <c r="H469" s="35"/>
      <c r="I469" s="41"/>
      <c r="J469" s="34"/>
      <c r="K469" s="32"/>
      <c r="L469" s="34"/>
      <c r="M469" s="35"/>
      <c r="N469" s="33"/>
    </row>
    <row r="470" customFormat="false" ht="15" hidden="false" customHeight="false" outlineLevel="0" collapsed="false">
      <c r="A470" s="32"/>
      <c r="B470" s="32"/>
      <c r="C470" s="32"/>
      <c r="D470" s="33"/>
      <c r="E470" s="32"/>
      <c r="F470" s="32"/>
      <c r="G470" s="35"/>
      <c r="H470" s="35"/>
      <c r="I470" s="41"/>
      <c r="J470" s="34"/>
      <c r="K470" s="32"/>
      <c r="L470" s="34"/>
      <c r="M470" s="35"/>
      <c r="N470" s="33"/>
    </row>
    <row r="471" customFormat="false" ht="15" hidden="false" customHeight="false" outlineLevel="0" collapsed="false">
      <c r="A471" s="32"/>
      <c r="B471" s="32"/>
      <c r="C471" s="32"/>
      <c r="D471" s="33"/>
      <c r="E471" s="32"/>
      <c r="F471" s="32"/>
      <c r="G471" s="35"/>
      <c r="H471" s="35"/>
      <c r="I471" s="41"/>
      <c r="J471" s="34"/>
      <c r="K471" s="32"/>
      <c r="L471" s="34"/>
      <c r="M471" s="35"/>
      <c r="N471" s="33"/>
    </row>
    <row r="472" customFormat="false" ht="15" hidden="false" customHeight="false" outlineLevel="0" collapsed="false">
      <c r="A472" s="32"/>
      <c r="B472" s="32"/>
      <c r="C472" s="32"/>
      <c r="D472" s="33"/>
      <c r="E472" s="32"/>
      <c r="F472" s="32"/>
      <c r="G472" s="35"/>
      <c r="H472" s="35"/>
      <c r="I472" s="41"/>
      <c r="J472" s="34"/>
      <c r="K472" s="32"/>
      <c r="L472" s="34"/>
      <c r="M472" s="35"/>
      <c r="N472" s="33"/>
    </row>
    <row r="473" customFormat="false" ht="15" hidden="false" customHeight="false" outlineLevel="0" collapsed="false">
      <c r="A473" s="32"/>
      <c r="B473" s="32"/>
      <c r="C473" s="32"/>
      <c r="D473" s="33"/>
      <c r="E473" s="32"/>
      <c r="F473" s="32"/>
      <c r="G473" s="35"/>
      <c r="H473" s="35"/>
      <c r="I473" s="41"/>
      <c r="J473" s="34"/>
      <c r="K473" s="32"/>
      <c r="L473" s="34"/>
      <c r="M473" s="35"/>
      <c r="N473" s="33"/>
    </row>
    <row r="474" customFormat="false" ht="15" hidden="false" customHeight="false" outlineLevel="0" collapsed="false">
      <c r="A474" s="32"/>
      <c r="B474" s="32"/>
      <c r="C474" s="32"/>
      <c r="D474" s="33"/>
      <c r="E474" s="32"/>
      <c r="F474" s="32"/>
      <c r="G474" s="35"/>
      <c r="H474" s="35"/>
      <c r="I474" s="41"/>
      <c r="J474" s="34"/>
      <c r="K474" s="32"/>
      <c r="L474" s="34"/>
      <c r="M474" s="35"/>
      <c r="N474" s="33"/>
    </row>
    <row r="475" customFormat="false" ht="15" hidden="false" customHeight="false" outlineLevel="0" collapsed="false">
      <c r="A475" s="32"/>
      <c r="B475" s="32"/>
      <c r="C475" s="32"/>
      <c r="D475" s="33"/>
      <c r="E475" s="32"/>
      <c r="F475" s="32"/>
      <c r="G475" s="35"/>
      <c r="H475" s="35"/>
      <c r="I475" s="41"/>
      <c r="J475" s="34"/>
      <c r="K475" s="32"/>
      <c r="L475" s="34"/>
      <c r="M475" s="35"/>
      <c r="N475" s="33"/>
    </row>
    <row r="476" customFormat="false" ht="15" hidden="false" customHeight="false" outlineLevel="0" collapsed="false">
      <c r="A476" s="32"/>
      <c r="B476" s="32"/>
      <c r="C476" s="32"/>
      <c r="D476" s="33"/>
      <c r="E476" s="32"/>
      <c r="F476" s="32"/>
      <c r="G476" s="35"/>
      <c r="H476" s="35"/>
      <c r="I476" s="41"/>
      <c r="J476" s="34"/>
      <c r="K476" s="32"/>
      <c r="L476" s="34"/>
      <c r="M476" s="35"/>
      <c r="N476" s="33"/>
    </row>
    <row r="477" customFormat="false" ht="15" hidden="false" customHeight="false" outlineLevel="0" collapsed="false">
      <c r="A477" s="32"/>
      <c r="B477" s="32"/>
      <c r="C477" s="32"/>
      <c r="D477" s="33"/>
      <c r="E477" s="32"/>
      <c r="F477" s="32"/>
      <c r="G477" s="35"/>
      <c r="H477" s="35"/>
      <c r="I477" s="41"/>
      <c r="J477" s="34"/>
      <c r="K477" s="32"/>
      <c r="L477" s="34"/>
      <c r="M477" s="35"/>
      <c r="N477" s="33"/>
    </row>
    <row r="478" customFormat="false" ht="15" hidden="false" customHeight="false" outlineLevel="0" collapsed="false">
      <c r="A478" s="32"/>
      <c r="B478" s="32"/>
      <c r="C478" s="32"/>
      <c r="D478" s="33"/>
      <c r="E478" s="32"/>
      <c r="F478" s="32"/>
      <c r="G478" s="35"/>
      <c r="H478" s="35"/>
      <c r="I478" s="41"/>
      <c r="J478" s="34"/>
      <c r="K478" s="32"/>
      <c r="L478" s="34"/>
      <c r="M478" s="35"/>
      <c r="N478" s="33"/>
    </row>
    <row r="479" customFormat="false" ht="15" hidden="false" customHeight="false" outlineLevel="0" collapsed="false">
      <c r="A479" s="32"/>
      <c r="B479" s="32"/>
      <c r="C479" s="32"/>
      <c r="D479" s="33"/>
      <c r="E479" s="32"/>
      <c r="F479" s="32"/>
      <c r="G479" s="35"/>
      <c r="H479" s="35"/>
      <c r="I479" s="41"/>
      <c r="J479" s="34"/>
      <c r="K479" s="32"/>
      <c r="L479" s="34"/>
      <c r="M479" s="35"/>
      <c r="N479" s="33"/>
    </row>
    <row r="480" customFormat="false" ht="15" hidden="false" customHeight="false" outlineLevel="0" collapsed="false">
      <c r="A480" s="32"/>
      <c r="B480" s="32"/>
      <c r="C480" s="32"/>
      <c r="D480" s="33"/>
      <c r="E480" s="32"/>
      <c r="F480" s="32"/>
      <c r="G480" s="35"/>
      <c r="H480" s="35"/>
      <c r="I480" s="41"/>
      <c r="J480" s="34"/>
      <c r="K480" s="32"/>
      <c r="L480" s="34"/>
      <c r="M480" s="35"/>
      <c r="N480" s="33"/>
    </row>
    <row r="481" customFormat="false" ht="15" hidden="false" customHeight="false" outlineLevel="0" collapsed="false">
      <c r="A481" s="32"/>
      <c r="B481" s="32"/>
      <c r="C481" s="32"/>
      <c r="D481" s="33"/>
      <c r="E481" s="32"/>
      <c r="F481" s="32"/>
      <c r="G481" s="35"/>
      <c r="H481" s="35"/>
      <c r="I481" s="41"/>
      <c r="J481" s="34"/>
      <c r="K481" s="32"/>
      <c r="L481" s="34"/>
      <c r="M481" s="35"/>
      <c r="N481" s="33"/>
    </row>
    <row r="482" customFormat="false" ht="15" hidden="false" customHeight="false" outlineLevel="0" collapsed="false">
      <c r="A482" s="32"/>
      <c r="B482" s="32"/>
      <c r="C482" s="32"/>
      <c r="D482" s="33"/>
      <c r="E482" s="32"/>
      <c r="F482" s="32"/>
      <c r="G482" s="35"/>
      <c r="H482" s="35"/>
      <c r="I482" s="41"/>
      <c r="J482" s="34"/>
      <c r="K482" s="32"/>
      <c r="L482" s="34"/>
      <c r="M482" s="35"/>
      <c r="N482" s="33"/>
    </row>
    <row r="483" customFormat="false" ht="15" hidden="false" customHeight="false" outlineLevel="0" collapsed="false">
      <c r="A483" s="32"/>
      <c r="B483" s="32"/>
      <c r="C483" s="32"/>
      <c r="D483" s="33"/>
      <c r="E483" s="32"/>
      <c r="F483" s="32"/>
      <c r="G483" s="35"/>
      <c r="H483" s="35"/>
      <c r="I483" s="41"/>
      <c r="J483" s="34"/>
      <c r="K483" s="32"/>
      <c r="L483" s="34"/>
      <c r="M483" s="35"/>
      <c r="N483" s="33"/>
    </row>
    <row r="484" customFormat="false" ht="15" hidden="false" customHeight="false" outlineLevel="0" collapsed="false">
      <c r="A484" s="32"/>
      <c r="B484" s="32"/>
      <c r="C484" s="32"/>
      <c r="D484" s="33"/>
      <c r="E484" s="32"/>
      <c r="F484" s="32"/>
      <c r="G484" s="35"/>
      <c r="H484" s="35"/>
      <c r="I484" s="41"/>
      <c r="J484" s="34"/>
      <c r="K484" s="32"/>
      <c r="L484" s="34"/>
      <c r="M484" s="35"/>
      <c r="N484" s="33"/>
    </row>
    <row r="485" customFormat="false" ht="15" hidden="false" customHeight="false" outlineLevel="0" collapsed="false">
      <c r="A485" s="32"/>
      <c r="B485" s="32"/>
      <c r="C485" s="32"/>
      <c r="D485" s="33"/>
      <c r="E485" s="32"/>
      <c r="F485" s="32"/>
      <c r="G485" s="35"/>
      <c r="H485" s="35"/>
      <c r="I485" s="41"/>
      <c r="J485" s="34"/>
      <c r="K485" s="32"/>
      <c r="L485" s="34"/>
      <c r="M485" s="35"/>
      <c r="N485" s="33"/>
    </row>
    <row r="486" customFormat="false" ht="15" hidden="false" customHeight="false" outlineLevel="0" collapsed="false">
      <c r="A486" s="32"/>
      <c r="B486" s="32"/>
      <c r="C486" s="32"/>
      <c r="D486" s="33"/>
      <c r="E486" s="32"/>
      <c r="F486" s="32"/>
      <c r="G486" s="35"/>
      <c r="H486" s="35"/>
      <c r="I486" s="41"/>
      <c r="J486" s="34"/>
      <c r="K486" s="32"/>
      <c r="L486" s="34"/>
      <c r="M486" s="35"/>
      <c r="N486" s="33"/>
    </row>
    <row r="487" customFormat="false" ht="15" hidden="false" customHeight="false" outlineLevel="0" collapsed="false">
      <c r="A487" s="32"/>
      <c r="B487" s="32"/>
      <c r="C487" s="32"/>
      <c r="D487" s="33"/>
      <c r="E487" s="32"/>
      <c r="F487" s="32"/>
      <c r="G487" s="35"/>
      <c r="H487" s="35"/>
      <c r="I487" s="41"/>
      <c r="J487" s="34"/>
      <c r="K487" s="32"/>
      <c r="L487" s="34"/>
      <c r="M487" s="35"/>
      <c r="N487" s="33"/>
    </row>
    <row r="488" customFormat="false" ht="15" hidden="false" customHeight="false" outlineLevel="0" collapsed="false">
      <c r="A488" s="32"/>
      <c r="B488" s="32"/>
      <c r="C488" s="32"/>
      <c r="D488" s="33"/>
      <c r="E488" s="32"/>
      <c r="F488" s="32"/>
      <c r="G488" s="35"/>
      <c r="H488" s="35"/>
      <c r="I488" s="41"/>
      <c r="J488" s="34"/>
      <c r="K488" s="32"/>
      <c r="L488" s="34"/>
      <c r="M488" s="35"/>
      <c r="N488" s="33"/>
    </row>
    <row r="489" customFormat="false" ht="15" hidden="false" customHeight="false" outlineLevel="0" collapsed="false">
      <c r="A489" s="32"/>
      <c r="B489" s="32"/>
      <c r="C489" s="32"/>
      <c r="D489" s="33"/>
      <c r="E489" s="32"/>
      <c r="F489" s="32"/>
      <c r="G489" s="35"/>
      <c r="H489" s="35"/>
      <c r="I489" s="41"/>
      <c r="J489" s="34"/>
      <c r="K489" s="32"/>
      <c r="L489" s="34"/>
      <c r="M489" s="35"/>
      <c r="N489" s="33"/>
    </row>
    <row r="490" customFormat="false" ht="15" hidden="false" customHeight="false" outlineLevel="0" collapsed="false">
      <c r="A490" s="32"/>
      <c r="B490" s="32"/>
      <c r="C490" s="32"/>
      <c r="D490" s="33"/>
      <c r="E490" s="32"/>
      <c r="F490" s="32"/>
      <c r="G490" s="35"/>
      <c r="H490" s="35"/>
      <c r="I490" s="41"/>
      <c r="J490" s="34"/>
      <c r="K490" s="32"/>
      <c r="L490" s="34"/>
      <c r="M490" s="35"/>
      <c r="N490" s="33"/>
    </row>
    <row r="491" customFormat="false" ht="15" hidden="false" customHeight="false" outlineLevel="0" collapsed="false">
      <c r="A491" s="32"/>
      <c r="B491" s="32"/>
      <c r="C491" s="32"/>
      <c r="D491" s="33"/>
      <c r="E491" s="32"/>
      <c r="F491" s="32"/>
      <c r="G491" s="35"/>
      <c r="H491" s="35"/>
      <c r="I491" s="41"/>
      <c r="J491" s="34"/>
      <c r="K491" s="32"/>
      <c r="L491" s="34"/>
      <c r="M491" s="35"/>
      <c r="N491" s="33"/>
    </row>
    <row r="492" customFormat="false" ht="15" hidden="false" customHeight="false" outlineLevel="0" collapsed="false">
      <c r="A492" s="32"/>
      <c r="B492" s="32"/>
      <c r="C492" s="32"/>
      <c r="D492" s="33"/>
      <c r="E492" s="32"/>
      <c r="F492" s="32"/>
      <c r="G492" s="35"/>
      <c r="H492" s="35"/>
      <c r="I492" s="41"/>
      <c r="J492" s="34"/>
      <c r="K492" s="32"/>
      <c r="L492" s="34"/>
      <c r="M492" s="35"/>
      <c r="N492" s="33"/>
    </row>
    <row r="493" customFormat="false" ht="15" hidden="false" customHeight="false" outlineLevel="0" collapsed="false">
      <c r="A493" s="32"/>
      <c r="B493" s="32"/>
      <c r="C493" s="32"/>
      <c r="D493" s="33"/>
      <c r="E493" s="32"/>
      <c r="F493" s="32"/>
      <c r="G493" s="35"/>
      <c r="H493" s="35"/>
      <c r="I493" s="41"/>
      <c r="J493" s="34"/>
      <c r="K493" s="32"/>
      <c r="L493" s="34"/>
      <c r="M493" s="35"/>
      <c r="N493" s="33"/>
    </row>
    <row r="494" customFormat="false" ht="15" hidden="false" customHeight="false" outlineLevel="0" collapsed="false">
      <c r="A494" s="32"/>
      <c r="B494" s="32"/>
      <c r="C494" s="32"/>
      <c r="D494" s="33"/>
      <c r="E494" s="32"/>
      <c r="F494" s="32"/>
      <c r="G494" s="35"/>
      <c r="H494" s="35"/>
      <c r="I494" s="41"/>
      <c r="J494" s="34"/>
      <c r="K494" s="32"/>
      <c r="L494" s="34"/>
      <c r="M494" s="35"/>
      <c r="N494" s="33"/>
    </row>
    <row r="495" customFormat="false" ht="15" hidden="false" customHeight="false" outlineLevel="0" collapsed="false">
      <c r="A495" s="32"/>
      <c r="B495" s="32"/>
      <c r="C495" s="32"/>
      <c r="D495" s="33"/>
      <c r="E495" s="32"/>
      <c r="F495" s="32"/>
      <c r="G495" s="35"/>
      <c r="H495" s="35"/>
      <c r="I495" s="41"/>
      <c r="J495" s="34"/>
      <c r="K495" s="32"/>
      <c r="L495" s="34"/>
      <c r="M495" s="35"/>
      <c r="N495" s="33"/>
    </row>
    <row r="496" customFormat="false" ht="15" hidden="false" customHeight="false" outlineLevel="0" collapsed="false">
      <c r="A496" s="32"/>
      <c r="B496" s="32"/>
      <c r="C496" s="32"/>
      <c r="D496" s="33"/>
      <c r="E496" s="32"/>
      <c r="F496" s="32"/>
      <c r="G496" s="35"/>
      <c r="H496" s="35"/>
      <c r="I496" s="41"/>
      <c r="J496" s="34"/>
      <c r="K496" s="32"/>
      <c r="L496" s="34"/>
      <c r="M496" s="35"/>
      <c r="N496" s="33"/>
    </row>
    <row r="497" customFormat="false" ht="15" hidden="false" customHeight="false" outlineLevel="0" collapsed="false">
      <c r="A497" s="32"/>
      <c r="B497" s="32"/>
      <c r="C497" s="32"/>
      <c r="D497" s="33"/>
      <c r="E497" s="32"/>
      <c r="F497" s="32"/>
      <c r="G497" s="35"/>
      <c r="H497" s="35"/>
      <c r="I497" s="41"/>
      <c r="J497" s="34"/>
      <c r="K497" s="32"/>
      <c r="L497" s="34"/>
      <c r="M497" s="35"/>
      <c r="N497" s="33"/>
    </row>
    <row r="498" customFormat="false" ht="15" hidden="false" customHeight="false" outlineLevel="0" collapsed="false">
      <c r="A498" s="32"/>
      <c r="B498" s="32"/>
      <c r="C498" s="32"/>
      <c r="D498" s="33"/>
      <c r="E498" s="32"/>
      <c r="F498" s="32"/>
      <c r="G498" s="35"/>
      <c r="H498" s="35"/>
      <c r="I498" s="41"/>
      <c r="J498" s="34"/>
      <c r="K498" s="32"/>
      <c r="L498" s="34"/>
      <c r="M498" s="35"/>
      <c r="N498" s="33"/>
    </row>
    <row r="499" customFormat="false" ht="15" hidden="false" customHeight="false" outlineLevel="0" collapsed="false">
      <c r="A499" s="32"/>
      <c r="B499" s="32"/>
      <c r="C499" s="32"/>
      <c r="D499" s="33"/>
      <c r="E499" s="32"/>
      <c r="F499" s="32"/>
      <c r="G499" s="35"/>
      <c r="H499" s="35"/>
      <c r="I499" s="41"/>
      <c r="J499" s="34"/>
      <c r="K499" s="32"/>
      <c r="L499" s="34"/>
      <c r="M499" s="35"/>
      <c r="N499" s="33"/>
    </row>
    <row r="500" customFormat="false" ht="15" hidden="false" customHeight="false" outlineLevel="0" collapsed="false">
      <c r="A500" s="32"/>
      <c r="B500" s="32"/>
      <c r="C500" s="32"/>
      <c r="D500" s="33"/>
      <c r="E500" s="32"/>
      <c r="F500" s="32"/>
      <c r="G500" s="35"/>
      <c r="H500" s="35"/>
      <c r="I500" s="41"/>
      <c r="J500" s="34"/>
      <c r="K500" s="32"/>
      <c r="L500" s="34"/>
      <c r="M500" s="35"/>
      <c r="N500" s="33"/>
    </row>
    <row r="501" customFormat="false" ht="15" hidden="false" customHeight="false" outlineLevel="0" collapsed="false">
      <c r="A501" s="32"/>
      <c r="B501" s="32"/>
      <c r="C501" s="32"/>
      <c r="D501" s="33"/>
      <c r="E501" s="32"/>
      <c r="F501" s="32"/>
      <c r="G501" s="35"/>
      <c r="H501" s="35"/>
      <c r="I501" s="41"/>
      <c r="J501" s="34"/>
      <c r="K501" s="32"/>
      <c r="L501" s="34"/>
      <c r="M501" s="35"/>
      <c r="N501" s="33"/>
    </row>
  </sheetData>
  <autoFilter ref="A1:N501"/>
  <conditionalFormatting sqref="F2:F501">
    <cfRule type="expression" priority="2" aboveAverage="0" equalAverage="0" bottom="0" percent="0" rank="0" text="" dxfId="16">
      <formula>OR(F2="Done",F2="Closed",F2="Complete",F2="Paid")</formula>
    </cfRule>
  </conditionalFormatting>
  <dataValidations count="7">
    <dataValidation allowBlank="true" error="Enter a valid date (e.g. 31-Dec-2026)." errorStyle="stop" errorTitle="Invalid date" operator="greaterThan" showDropDown="false" showErrorMessage="false" showInputMessage="false" sqref="G2:H501 M2:M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E2:E501" type="list">
      <formula1>lst_TenderMethod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lst_TenderStatus</formula1>
      <formula2>0</formula2>
    </dataValidation>
    <dataValidation allowBlank="true" error="Enter a number." errorStyle="stop" errorTitle="Invalid number" operator="between" showDropDown="false" showErrorMessage="false" showInputMessage="false" sqref="I2:I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J2:J501" type="decimal">
      <formula1>-1000000000</formula1>
      <formula2>1000000000</formula2>
    </dataValidation>
    <dataValidation allowBlank="true" error="Enter a number." errorStyle="stop" errorTitle="Invalid number" operator="between" showDropDown="false" showErrorMessage="false" showInputMessage="false" sqref="L2:L50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33.75" hidden="false" customHeight="true" outlineLevel="0" collapsed="false">
      <c r="A1" s="17" t="s">
        <v>110</v>
      </c>
      <c r="B1" s="17" t="s">
        <v>367</v>
      </c>
      <c r="C1" s="17" t="s">
        <v>368</v>
      </c>
      <c r="D1" s="17" t="s">
        <v>369</v>
      </c>
      <c r="E1" s="17" t="s">
        <v>370</v>
      </c>
      <c r="F1" s="17" t="s">
        <v>371</v>
      </c>
      <c r="G1" s="17" t="s">
        <v>372</v>
      </c>
      <c r="H1" s="17" t="s">
        <v>373</v>
      </c>
      <c r="I1" s="17" t="s">
        <v>374</v>
      </c>
      <c r="J1" s="31" t="s">
        <v>375</v>
      </c>
      <c r="K1" s="31" t="s">
        <v>161</v>
      </c>
    </row>
    <row r="2" customFormat="false" ht="15" hidden="false" customHeight="false" outlineLevel="0" collapsed="false">
      <c r="A2" s="32"/>
      <c r="B2" s="32"/>
      <c r="C2" s="32"/>
      <c r="D2" s="35"/>
      <c r="E2" s="32"/>
      <c r="F2" s="32"/>
      <c r="G2" s="32"/>
      <c r="H2" s="32"/>
      <c r="I2" s="33"/>
      <c r="J2" s="44" t="str">
        <f aca="false">IF(OR(B2="",COUNT(E2,F2,G2,H2)&lt;4),"",AVERAGE(E2,F2,G2,H2))</f>
        <v/>
      </c>
      <c r="K2" s="37" t="str">
        <f aca="false">IF(J2="","",IF(J2&lt;2.5,"Low",IF(J2&lt;3.5,"Fair","Good")))</f>
        <v/>
      </c>
    </row>
    <row r="3" customFormat="false" ht="15" hidden="false" customHeight="false" outlineLevel="0" collapsed="false">
      <c r="A3" s="32"/>
      <c r="B3" s="32"/>
      <c r="C3" s="32"/>
      <c r="D3" s="35"/>
      <c r="E3" s="32"/>
      <c r="F3" s="32"/>
      <c r="G3" s="32"/>
      <c r="H3" s="32"/>
      <c r="I3" s="33"/>
      <c r="J3" s="44" t="str">
        <f aca="false">IF(OR(B3="",COUNT(E3,F3,G3,H3)&lt;4),"",AVERAGE(E3,F3,G3,H3))</f>
        <v/>
      </c>
      <c r="K3" s="37" t="str">
        <f aca="false">IF(J3="","",IF(J3&lt;2.5,"Low",IF(J3&lt;3.5,"Fair","Good")))</f>
        <v/>
      </c>
    </row>
    <row r="4" customFormat="false" ht="15" hidden="false" customHeight="false" outlineLevel="0" collapsed="false">
      <c r="A4" s="32"/>
      <c r="B4" s="32"/>
      <c r="C4" s="32"/>
      <c r="D4" s="35"/>
      <c r="E4" s="32"/>
      <c r="F4" s="32"/>
      <c r="G4" s="32"/>
      <c r="H4" s="32"/>
      <c r="I4" s="33"/>
      <c r="J4" s="44" t="str">
        <f aca="false">IF(OR(B4="",COUNT(E4,F4,G4,H4)&lt;4),"",AVERAGE(E4,F4,G4,H4))</f>
        <v/>
      </c>
      <c r="K4" s="37" t="str">
        <f aca="false">IF(J4="","",IF(J4&lt;2.5,"Low",IF(J4&lt;3.5,"Fair","Good")))</f>
        <v/>
      </c>
    </row>
    <row r="5" customFormat="false" ht="15" hidden="false" customHeight="false" outlineLevel="0" collapsed="false">
      <c r="A5" s="32"/>
      <c r="B5" s="32"/>
      <c r="C5" s="32"/>
      <c r="D5" s="35"/>
      <c r="E5" s="32"/>
      <c r="F5" s="32"/>
      <c r="G5" s="32"/>
      <c r="H5" s="32"/>
      <c r="I5" s="33"/>
      <c r="J5" s="44" t="str">
        <f aca="false">IF(OR(B5="",COUNT(E5,F5,G5,H5)&lt;4),"",AVERAGE(E5,F5,G5,H5))</f>
        <v/>
      </c>
      <c r="K5" s="37" t="str">
        <f aca="false">IF(J5="","",IF(J5&lt;2.5,"Low",IF(J5&lt;3.5,"Fair","Good")))</f>
        <v/>
      </c>
    </row>
    <row r="6" customFormat="false" ht="15" hidden="false" customHeight="false" outlineLevel="0" collapsed="false">
      <c r="A6" s="32"/>
      <c r="B6" s="32"/>
      <c r="C6" s="32"/>
      <c r="D6" s="35"/>
      <c r="E6" s="32"/>
      <c r="F6" s="32"/>
      <c r="G6" s="32"/>
      <c r="H6" s="32"/>
      <c r="I6" s="33"/>
      <c r="J6" s="44" t="str">
        <f aca="false">IF(OR(B6="",COUNT(E6,F6,G6,H6)&lt;4),"",AVERAGE(E6,F6,G6,H6))</f>
        <v/>
      </c>
      <c r="K6" s="37" t="str">
        <f aca="false">IF(J6="","",IF(J6&lt;2.5,"Low",IF(J6&lt;3.5,"Fair","Good")))</f>
        <v/>
      </c>
    </row>
    <row r="7" customFormat="false" ht="15" hidden="false" customHeight="false" outlineLevel="0" collapsed="false">
      <c r="A7" s="32"/>
      <c r="B7" s="32"/>
      <c r="C7" s="32"/>
      <c r="D7" s="35"/>
      <c r="E7" s="32"/>
      <c r="F7" s="32"/>
      <c r="G7" s="32"/>
      <c r="H7" s="32"/>
      <c r="I7" s="33"/>
      <c r="J7" s="44" t="str">
        <f aca="false">IF(OR(B7="",COUNT(E7,F7,G7,H7)&lt;4),"",AVERAGE(E7,F7,G7,H7))</f>
        <v/>
      </c>
      <c r="K7" s="37" t="str">
        <f aca="false">IF(J7="","",IF(J7&lt;2.5,"Low",IF(J7&lt;3.5,"Fair","Good")))</f>
        <v/>
      </c>
    </row>
    <row r="8" customFormat="false" ht="15" hidden="false" customHeight="false" outlineLevel="0" collapsed="false">
      <c r="A8" s="32"/>
      <c r="B8" s="32"/>
      <c r="C8" s="32"/>
      <c r="D8" s="35"/>
      <c r="E8" s="32"/>
      <c r="F8" s="32"/>
      <c r="G8" s="32"/>
      <c r="H8" s="32"/>
      <c r="I8" s="33"/>
      <c r="J8" s="44" t="str">
        <f aca="false">IF(OR(B8="",COUNT(E8,F8,G8,H8)&lt;4),"",AVERAGE(E8,F8,G8,H8))</f>
        <v/>
      </c>
      <c r="K8" s="37" t="str">
        <f aca="false">IF(J8="","",IF(J8&lt;2.5,"Low",IF(J8&lt;3.5,"Fair","Good")))</f>
        <v/>
      </c>
    </row>
    <row r="9" customFormat="false" ht="15" hidden="false" customHeight="false" outlineLevel="0" collapsed="false">
      <c r="A9" s="32"/>
      <c r="B9" s="32"/>
      <c r="C9" s="32"/>
      <c r="D9" s="35"/>
      <c r="E9" s="32"/>
      <c r="F9" s="32"/>
      <c r="G9" s="32"/>
      <c r="H9" s="32"/>
      <c r="I9" s="33"/>
      <c r="J9" s="44" t="str">
        <f aca="false">IF(OR(B9="",COUNT(E9,F9,G9,H9)&lt;4),"",AVERAGE(E9,F9,G9,H9))</f>
        <v/>
      </c>
      <c r="K9" s="37" t="str">
        <f aca="false">IF(J9="","",IF(J9&lt;2.5,"Low",IF(J9&lt;3.5,"Fair","Good")))</f>
        <v/>
      </c>
    </row>
    <row r="10" customFormat="false" ht="15" hidden="false" customHeight="false" outlineLevel="0" collapsed="false">
      <c r="A10" s="32"/>
      <c r="B10" s="32"/>
      <c r="C10" s="32"/>
      <c r="D10" s="35"/>
      <c r="E10" s="32"/>
      <c r="F10" s="32"/>
      <c r="G10" s="32"/>
      <c r="H10" s="32"/>
      <c r="I10" s="33"/>
      <c r="J10" s="44" t="str">
        <f aca="false">IF(OR(B10="",COUNT(E10,F10,G10,H10)&lt;4),"",AVERAGE(E10,F10,G10,H10))</f>
        <v/>
      </c>
      <c r="K10" s="37" t="str">
        <f aca="false">IF(J10="","",IF(J10&lt;2.5,"Low",IF(J10&lt;3.5,"Fair","Good")))</f>
        <v/>
      </c>
    </row>
    <row r="11" customFormat="false" ht="15" hidden="false" customHeight="false" outlineLevel="0" collapsed="false">
      <c r="A11" s="32"/>
      <c r="B11" s="32"/>
      <c r="C11" s="32"/>
      <c r="D11" s="35"/>
      <c r="E11" s="32"/>
      <c r="F11" s="32"/>
      <c r="G11" s="32"/>
      <c r="H11" s="32"/>
      <c r="I11" s="33"/>
      <c r="J11" s="44" t="str">
        <f aca="false">IF(OR(B11="",COUNT(E11,F11,G11,H11)&lt;4),"",AVERAGE(E11,F11,G11,H11))</f>
        <v/>
      </c>
      <c r="K11" s="37" t="str">
        <f aca="false">IF(J11="","",IF(J11&lt;2.5,"Low",IF(J11&lt;3.5,"Fair","Good")))</f>
        <v/>
      </c>
    </row>
    <row r="12" customFormat="false" ht="15" hidden="false" customHeight="false" outlineLevel="0" collapsed="false">
      <c r="A12" s="32"/>
      <c r="B12" s="32"/>
      <c r="C12" s="32"/>
      <c r="D12" s="35"/>
      <c r="E12" s="32"/>
      <c r="F12" s="32"/>
      <c r="G12" s="32"/>
      <c r="H12" s="32"/>
      <c r="I12" s="33"/>
      <c r="J12" s="44" t="str">
        <f aca="false">IF(OR(B12="",COUNT(E12,F12,G12,H12)&lt;4),"",AVERAGE(E12,F12,G12,H12))</f>
        <v/>
      </c>
      <c r="K12" s="37" t="str">
        <f aca="false">IF(J12="","",IF(J12&lt;2.5,"Low",IF(J12&lt;3.5,"Fair","Good")))</f>
        <v/>
      </c>
    </row>
    <row r="13" customFormat="false" ht="15" hidden="false" customHeight="false" outlineLevel="0" collapsed="false">
      <c r="A13" s="32"/>
      <c r="B13" s="32"/>
      <c r="C13" s="32"/>
      <c r="D13" s="35"/>
      <c r="E13" s="32"/>
      <c r="F13" s="32"/>
      <c r="G13" s="32"/>
      <c r="H13" s="32"/>
      <c r="I13" s="33"/>
      <c r="J13" s="44" t="str">
        <f aca="false">IF(OR(B13="",COUNT(E13,F13,G13,H13)&lt;4),"",AVERAGE(E13,F13,G13,H13))</f>
        <v/>
      </c>
      <c r="K13" s="37" t="str">
        <f aca="false">IF(J13="","",IF(J13&lt;2.5,"Low",IF(J13&lt;3.5,"Fair","Good")))</f>
        <v/>
      </c>
    </row>
    <row r="14" customFormat="false" ht="15" hidden="false" customHeight="false" outlineLevel="0" collapsed="false">
      <c r="A14" s="32"/>
      <c r="B14" s="32"/>
      <c r="C14" s="32"/>
      <c r="D14" s="35"/>
      <c r="E14" s="32"/>
      <c r="F14" s="32"/>
      <c r="G14" s="32"/>
      <c r="H14" s="32"/>
      <c r="I14" s="33"/>
      <c r="J14" s="44" t="str">
        <f aca="false">IF(OR(B14="",COUNT(E14,F14,G14,H14)&lt;4),"",AVERAGE(E14,F14,G14,H14))</f>
        <v/>
      </c>
      <c r="K14" s="37" t="str">
        <f aca="false">IF(J14="","",IF(J14&lt;2.5,"Low",IF(J14&lt;3.5,"Fair","Good")))</f>
        <v/>
      </c>
    </row>
    <row r="15" customFormat="false" ht="15" hidden="false" customHeight="false" outlineLevel="0" collapsed="false">
      <c r="A15" s="32"/>
      <c r="B15" s="32"/>
      <c r="C15" s="32"/>
      <c r="D15" s="35"/>
      <c r="E15" s="32"/>
      <c r="F15" s="32"/>
      <c r="G15" s="32"/>
      <c r="H15" s="32"/>
      <c r="I15" s="33"/>
      <c r="J15" s="44" t="str">
        <f aca="false">IF(OR(B15="",COUNT(E15,F15,G15,H15)&lt;4),"",AVERAGE(E15,F15,G15,H15))</f>
        <v/>
      </c>
      <c r="K15" s="37" t="str">
        <f aca="false">IF(J15="","",IF(J15&lt;2.5,"Low",IF(J15&lt;3.5,"Fair","Good")))</f>
        <v/>
      </c>
    </row>
    <row r="16" customFormat="false" ht="15" hidden="false" customHeight="false" outlineLevel="0" collapsed="false">
      <c r="A16" s="32"/>
      <c r="B16" s="32"/>
      <c r="C16" s="32"/>
      <c r="D16" s="35"/>
      <c r="E16" s="32"/>
      <c r="F16" s="32"/>
      <c r="G16" s="32"/>
      <c r="H16" s="32"/>
      <c r="I16" s="33"/>
      <c r="J16" s="44" t="str">
        <f aca="false">IF(OR(B16="",COUNT(E16,F16,G16,H16)&lt;4),"",AVERAGE(E16,F16,G16,H16))</f>
        <v/>
      </c>
      <c r="K16" s="37" t="str">
        <f aca="false">IF(J16="","",IF(J16&lt;2.5,"Low",IF(J16&lt;3.5,"Fair","Good")))</f>
        <v/>
      </c>
    </row>
    <row r="17" customFormat="false" ht="15" hidden="false" customHeight="false" outlineLevel="0" collapsed="false">
      <c r="A17" s="32"/>
      <c r="B17" s="32"/>
      <c r="C17" s="32"/>
      <c r="D17" s="35"/>
      <c r="E17" s="32"/>
      <c r="F17" s="32"/>
      <c r="G17" s="32"/>
      <c r="H17" s="32"/>
      <c r="I17" s="33"/>
      <c r="J17" s="44" t="str">
        <f aca="false">IF(OR(B17="",COUNT(E17,F17,G17,H17)&lt;4),"",AVERAGE(E17,F17,G17,H17))</f>
        <v/>
      </c>
      <c r="K17" s="37" t="str">
        <f aca="false">IF(J17="","",IF(J17&lt;2.5,"Low",IF(J17&lt;3.5,"Fair","Good")))</f>
        <v/>
      </c>
    </row>
    <row r="18" customFormat="false" ht="15" hidden="false" customHeight="false" outlineLevel="0" collapsed="false">
      <c r="A18" s="32"/>
      <c r="B18" s="32"/>
      <c r="C18" s="32"/>
      <c r="D18" s="35"/>
      <c r="E18" s="32"/>
      <c r="F18" s="32"/>
      <c r="G18" s="32"/>
      <c r="H18" s="32"/>
      <c r="I18" s="33"/>
      <c r="J18" s="44" t="str">
        <f aca="false">IF(OR(B18="",COUNT(E18,F18,G18,H18)&lt;4),"",AVERAGE(E18,F18,G18,H18))</f>
        <v/>
      </c>
      <c r="K18" s="37" t="str">
        <f aca="false">IF(J18="","",IF(J18&lt;2.5,"Low",IF(J18&lt;3.5,"Fair","Good")))</f>
        <v/>
      </c>
    </row>
    <row r="19" customFormat="false" ht="15" hidden="false" customHeight="false" outlineLevel="0" collapsed="false">
      <c r="A19" s="32"/>
      <c r="B19" s="32"/>
      <c r="C19" s="32"/>
      <c r="D19" s="35"/>
      <c r="E19" s="32"/>
      <c r="F19" s="32"/>
      <c r="G19" s="32"/>
      <c r="H19" s="32"/>
      <c r="I19" s="33"/>
      <c r="J19" s="44" t="str">
        <f aca="false">IF(OR(B19="",COUNT(E19,F19,G19,H19)&lt;4),"",AVERAGE(E19,F19,G19,H19))</f>
        <v/>
      </c>
      <c r="K19" s="37" t="str">
        <f aca="false">IF(J19="","",IF(J19&lt;2.5,"Low",IF(J19&lt;3.5,"Fair","Good")))</f>
        <v/>
      </c>
    </row>
    <row r="20" customFormat="false" ht="15" hidden="false" customHeight="false" outlineLevel="0" collapsed="false">
      <c r="A20" s="32"/>
      <c r="B20" s="32"/>
      <c r="C20" s="32"/>
      <c r="D20" s="35"/>
      <c r="E20" s="32"/>
      <c r="F20" s="32"/>
      <c r="G20" s="32"/>
      <c r="H20" s="32"/>
      <c r="I20" s="33"/>
      <c r="J20" s="44" t="str">
        <f aca="false">IF(OR(B20="",COUNT(E20,F20,G20,H20)&lt;4),"",AVERAGE(E20,F20,G20,H20))</f>
        <v/>
      </c>
      <c r="K20" s="37" t="str">
        <f aca="false">IF(J20="","",IF(J20&lt;2.5,"Low",IF(J20&lt;3.5,"Fair","Good")))</f>
        <v/>
      </c>
    </row>
    <row r="21" customFormat="false" ht="15" hidden="false" customHeight="false" outlineLevel="0" collapsed="false">
      <c r="A21" s="32"/>
      <c r="B21" s="32"/>
      <c r="C21" s="32"/>
      <c r="D21" s="35"/>
      <c r="E21" s="32"/>
      <c r="F21" s="32"/>
      <c r="G21" s="32"/>
      <c r="H21" s="32"/>
      <c r="I21" s="33"/>
      <c r="J21" s="44" t="str">
        <f aca="false">IF(OR(B21="",COUNT(E21,F21,G21,H21)&lt;4),"",AVERAGE(E21,F21,G21,H21))</f>
        <v/>
      </c>
      <c r="K21" s="37" t="str">
        <f aca="false">IF(J21="","",IF(J21&lt;2.5,"Low",IF(J21&lt;3.5,"Fair","Good")))</f>
        <v/>
      </c>
    </row>
    <row r="22" customFormat="false" ht="15" hidden="false" customHeight="false" outlineLevel="0" collapsed="false">
      <c r="A22" s="32"/>
      <c r="B22" s="32"/>
      <c r="C22" s="32"/>
      <c r="D22" s="35"/>
      <c r="E22" s="32"/>
      <c r="F22" s="32"/>
      <c r="G22" s="32"/>
      <c r="H22" s="32"/>
      <c r="I22" s="33"/>
      <c r="J22" s="44" t="str">
        <f aca="false">IF(OR(B22="",COUNT(E22,F22,G22,H22)&lt;4),"",AVERAGE(E22,F22,G22,H22))</f>
        <v/>
      </c>
      <c r="K22" s="37" t="str">
        <f aca="false">IF(J22="","",IF(J22&lt;2.5,"Low",IF(J22&lt;3.5,"Fair","Good")))</f>
        <v/>
      </c>
    </row>
    <row r="23" customFormat="false" ht="15" hidden="false" customHeight="false" outlineLevel="0" collapsed="false">
      <c r="A23" s="32"/>
      <c r="B23" s="32"/>
      <c r="C23" s="32"/>
      <c r="D23" s="35"/>
      <c r="E23" s="32"/>
      <c r="F23" s="32"/>
      <c r="G23" s="32"/>
      <c r="H23" s="32"/>
      <c r="I23" s="33"/>
      <c r="J23" s="44" t="str">
        <f aca="false">IF(OR(B23="",COUNT(E23,F23,G23,H23)&lt;4),"",AVERAGE(E23,F23,G23,H23))</f>
        <v/>
      </c>
      <c r="K23" s="37" t="str">
        <f aca="false">IF(J23="","",IF(J23&lt;2.5,"Low",IF(J23&lt;3.5,"Fair","Good")))</f>
        <v/>
      </c>
    </row>
    <row r="24" customFormat="false" ht="15" hidden="false" customHeight="false" outlineLevel="0" collapsed="false">
      <c r="A24" s="32"/>
      <c r="B24" s="32"/>
      <c r="C24" s="32"/>
      <c r="D24" s="35"/>
      <c r="E24" s="32"/>
      <c r="F24" s="32"/>
      <c r="G24" s="32"/>
      <c r="H24" s="32"/>
      <c r="I24" s="33"/>
      <c r="J24" s="44" t="str">
        <f aca="false">IF(OR(B24="",COUNT(E24,F24,G24,H24)&lt;4),"",AVERAGE(E24,F24,G24,H24))</f>
        <v/>
      </c>
      <c r="K24" s="37" t="str">
        <f aca="false">IF(J24="","",IF(J24&lt;2.5,"Low",IF(J24&lt;3.5,"Fair","Good")))</f>
        <v/>
      </c>
    </row>
    <row r="25" customFormat="false" ht="15" hidden="false" customHeight="false" outlineLevel="0" collapsed="false">
      <c r="A25" s="32"/>
      <c r="B25" s="32"/>
      <c r="C25" s="32"/>
      <c r="D25" s="35"/>
      <c r="E25" s="32"/>
      <c r="F25" s="32"/>
      <c r="G25" s="32"/>
      <c r="H25" s="32"/>
      <c r="I25" s="33"/>
      <c r="J25" s="44" t="str">
        <f aca="false">IF(OR(B25="",COUNT(E25,F25,G25,H25)&lt;4),"",AVERAGE(E25,F25,G25,H25))</f>
        <v/>
      </c>
      <c r="K25" s="37" t="str">
        <f aca="false">IF(J25="","",IF(J25&lt;2.5,"Low",IF(J25&lt;3.5,"Fair","Good")))</f>
        <v/>
      </c>
    </row>
    <row r="26" customFormat="false" ht="15" hidden="false" customHeight="false" outlineLevel="0" collapsed="false">
      <c r="A26" s="32"/>
      <c r="B26" s="32"/>
      <c r="C26" s="32"/>
      <c r="D26" s="35"/>
      <c r="E26" s="32"/>
      <c r="F26" s="32"/>
      <c r="G26" s="32"/>
      <c r="H26" s="32"/>
      <c r="I26" s="33"/>
      <c r="J26" s="44" t="str">
        <f aca="false">IF(OR(B26="",COUNT(E26,F26,G26,H26)&lt;4),"",AVERAGE(E26,F26,G26,H26))</f>
        <v/>
      </c>
      <c r="K26" s="37" t="str">
        <f aca="false">IF(J26="","",IF(J26&lt;2.5,"Low",IF(J26&lt;3.5,"Fair","Good")))</f>
        <v/>
      </c>
    </row>
    <row r="27" customFormat="false" ht="15" hidden="false" customHeight="false" outlineLevel="0" collapsed="false">
      <c r="A27" s="32"/>
      <c r="B27" s="32"/>
      <c r="C27" s="32"/>
      <c r="D27" s="35"/>
      <c r="E27" s="32"/>
      <c r="F27" s="32"/>
      <c r="G27" s="32"/>
      <c r="H27" s="32"/>
      <c r="I27" s="33"/>
      <c r="J27" s="44" t="str">
        <f aca="false">IF(OR(B27="",COUNT(E27,F27,G27,H27)&lt;4),"",AVERAGE(E27,F27,G27,H27))</f>
        <v/>
      </c>
      <c r="K27" s="37" t="str">
        <f aca="false">IF(J27="","",IF(J27&lt;2.5,"Low",IF(J27&lt;3.5,"Fair","Good")))</f>
        <v/>
      </c>
    </row>
    <row r="28" customFormat="false" ht="15" hidden="false" customHeight="false" outlineLevel="0" collapsed="false">
      <c r="A28" s="32"/>
      <c r="B28" s="32"/>
      <c r="C28" s="32"/>
      <c r="D28" s="35"/>
      <c r="E28" s="32"/>
      <c r="F28" s="32"/>
      <c r="G28" s="32"/>
      <c r="H28" s="32"/>
      <c r="I28" s="33"/>
      <c r="J28" s="44" t="str">
        <f aca="false">IF(OR(B28="",COUNT(E28,F28,G28,H28)&lt;4),"",AVERAGE(E28,F28,G28,H28))</f>
        <v/>
      </c>
      <c r="K28" s="37" t="str">
        <f aca="false">IF(J28="","",IF(J28&lt;2.5,"Low",IF(J28&lt;3.5,"Fair","Good")))</f>
        <v/>
      </c>
    </row>
    <row r="29" customFormat="false" ht="15" hidden="false" customHeight="false" outlineLevel="0" collapsed="false">
      <c r="A29" s="32"/>
      <c r="B29" s="32"/>
      <c r="C29" s="32"/>
      <c r="D29" s="35"/>
      <c r="E29" s="32"/>
      <c r="F29" s="32"/>
      <c r="G29" s="32"/>
      <c r="H29" s="32"/>
      <c r="I29" s="33"/>
      <c r="J29" s="44" t="str">
        <f aca="false">IF(OR(B29="",COUNT(E29,F29,G29,H29)&lt;4),"",AVERAGE(E29,F29,G29,H29))</f>
        <v/>
      </c>
      <c r="K29" s="37" t="str">
        <f aca="false">IF(J29="","",IF(J29&lt;2.5,"Low",IF(J29&lt;3.5,"Fair","Good")))</f>
        <v/>
      </c>
    </row>
    <row r="30" customFormat="false" ht="15" hidden="false" customHeight="false" outlineLevel="0" collapsed="false">
      <c r="A30" s="32"/>
      <c r="B30" s="32"/>
      <c r="C30" s="32"/>
      <c r="D30" s="35"/>
      <c r="E30" s="32"/>
      <c r="F30" s="32"/>
      <c r="G30" s="32"/>
      <c r="H30" s="32"/>
      <c r="I30" s="33"/>
      <c r="J30" s="44" t="str">
        <f aca="false">IF(OR(B30="",COUNT(E30,F30,G30,H30)&lt;4),"",AVERAGE(E30,F30,G30,H30))</f>
        <v/>
      </c>
      <c r="K30" s="37" t="str">
        <f aca="false">IF(J30="","",IF(J30&lt;2.5,"Low",IF(J30&lt;3.5,"Fair","Good")))</f>
        <v/>
      </c>
    </row>
    <row r="31" customFormat="false" ht="15" hidden="false" customHeight="false" outlineLevel="0" collapsed="false">
      <c r="A31" s="32"/>
      <c r="B31" s="32"/>
      <c r="C31" s="32"/>
      <c r="D31" s="35"/>
      <c r="E31" s="32"/>
      <c r="F31" s="32"/>
      <c r="G31" s="32"/>
      <c r="H31" s="32"/>
      <c r="I31" s="33"/>
      <c r="J31" s="44" t="str">
        <f aca="false">IF(OR(B31="",COUNT(E31,F31,G31,H31)&lt;4),"",AVERAGE(E31,F31,G31,H31))</f>
        <v/>
      </c>
      <c r="K31" s="37" t="str">
        <f aca="false">IF(J31="","",IF(J31&lt;2.5,"Low",IF(J31&lt;3.5,"Fair","Good")))</f>
        <v/>
      </c>
    </row>
    <row r="32" customFormat="false" ht="15" hidden="false" customHeight="false" outlineLevel="0" collapsed="false">
      <c r="A32" s="32"/>
      <c r="B32" s="32"/>
      <c r="C32" s="32"/>
      <c r="D32" s="35"/>
      <c r="E32" s="32"/>
      <c r="F32" s="32"/>
      <c r="G32" s="32"/>
      <c r="H32" s="32"/>
      <c r="I32" s="33"/>
      <c r="J32" s="44" t="str">
        <f aca="false">IF(OR(B32="",COUNT(E32,F32,G32,H32)&lt;4),"",AVERAGE(E32,F32,G32,H32))</f>
        <v/>
      </c>
      <c r="K32" s="37" t="str">
        <f aca="false">IF(J32="","",IF(J32&lt;2.5,"Low",IF(J32&lt;3.5,"Fair","Good")))</f>
        <v/>
      </c>
    </row>
    <row r="33" customFormat="false" ht="15" hidden="false" customHeight="false" outlineLevel="0" collapsed="false">
      <c r="A33" s="32"/>
      <c r="B33" s="32"/>
      <c r="C33" s="32"/>
      <c r="D33" s="35"/>
      <c r="E33" s="32"/>
      <c r="F33" s="32"/>
      <c r="G33" s="32"/>
      <c r="H33" s="32"/>
      <c r="I33" s="33"/>
      <c r="J33" s="44" t="str">
        <f aca="false">IF(OR(B33="",COUNT(E33,F33,G33,H33)&lt;4),"",AVERAGE(E33,F33,G33,H33))</f>
        <v/>
      </c>
      <c r="K33" s="37" t="str">
        <f aca="false">IF(J33="","",IF(J33&lt;2.5,"Low",IF(J33&lt;3.5,"Fair","Good")))</f>
        <v/>
      </c>
    </row>
    <row r="34" customFormat="false" ht="15" hidden="false" customHeight="false" outlineLevel="0" collapsed="false">
      <c r="A34" s="32"/>
      <c r="B34" s="32"/>
      <c r="C34" s="32"/>
      <c r="D34" s="35"/>
      <c r="E34" s="32"/>
      <c r="F34" s="32"/>
      <c r="G34" s="32"/>
      <c r="H34" s="32"/>
      <c r="I34" s="33"/>
      <c r="J34" s="44" t="str">
        <f aca="false">IF(OR(B34="",COUNT(E34,F34,G34,H34)&lt;4),"",AVERAGE(E34,F34,G34,H34))</f>
        <v/>
      </c>
      <c r="K34" s="37" t="str">
        <f aca="false">IF(J34="","",IF(J34&lt;2.5,"Low",IF(J34&lt;3.5,"Fair","Good")))</f>
        <v/>
      </c>
    </row>
    <row r="35" customFormat="false" ht="15" hidden="false" customHeight="false" outlineLevel="0" collapsed="false">
      <c r="A35" s="32"/>
      <c r="B35" s="32"/>
      <c r="C35" s="32"/>
      <c r="D35" s="35"/>
      <c r="E35" s="32"/>
      <c r="F35" s="32"/>
      <c r="G35" s="32"/>
      <c r="H35" s="32"/>
      <c r="I35" s="33"/>
      <c r="J35" s="44" t="str">
        <f aca="false">IF(OR(B35="",COUNT(E35,F35,G35,H35)&lt;4),"",AVERAGE(E35,F35,G35,H35))</f>
        <v/>
      </c>
      <c r="K35" s="37" t="str">
        <f aca="false">IF(J35="","",IF(J35&lt;2.5,"Low",IF(J35&lt;3.5,"Fair","Good")))</f>
        <v/>
      </c>
    </row>
    <row r="36" customFormat="false" ht="15" hidden="false" customHeight="false" outlineLevel="0" collapsed="false">
      <c r="A36" s="32"/>
      <c r="B36" s="32"/>
      <c r="C36" s="32"/>
      <c r="D36" s="35"/>
      <c r="E36" s="32"/>
      <c r="F36" s="32"/>
      <c r="G36" s="32"/>
      <c r="H36" s="32"/>
      <c r="I36" s="33"/>
      <c r="J36" s="44" t="str">
        <f aca="false">IF(OR(B36="",COUNT(E36,F36,G36,H36)&lt;4),"",AVERAGE(E36,F36,G36,H36))</f>
        <v/>
      </c>
      <c r="K36" s="37" t="str">
        <f aca="false">IF(J36="","",IF(J36&lt;2.5,"Low",IF(J36&lt;3.5,"Fair","Good")))</f>
        <v/>
      </c>
    </row>
    <row r="37" customFormat="false" ht="15" hidden="false" customHeight="false" outlineLevel="0" collapsed="false">
      <c r="A37" s="32"/>
      <c r="B37" s="32"/>
      <c r="C37" s="32"/>
      <c r="D37" s="35"/>
      <c r="E37" s="32"/>
      <c r="F37" s="32"/>
      <c r="G37" s="32"/>
      <c r="H37" s="32"/>
      <c r="I37" s="33"/>
      <c r="J37" s="44" t="str">
        <f aca="false">IF(OR(B37="",COUNT(E37,F37,G37,H37)&lt;4),"",AVERAGE(E37,F37,G37,H37))</f>
        <v/>
      </c>
      <c r="K37" s="37" t="str">
        <f aca="false">IF(J37="","",IF(J37&lt;2.5,"Low",IF(J37&lt;3.5,"Fair","Good")))</f>
        <v/>
      </c>
    </row>
    <row r="38" customFormat="false" ht="15" hidden="false" customHeight="false" outlineLevel="0" collapsed="false">
      <c r="A38" s="32"/>
      <c r="B38" s="32"/>
      <c r="C38" s="32"/>
      <c r="D38" s="35"/>
      <c r="E38" s="32"/>
      <c r="F38" s="32"/>
      <c r="G38" s="32"/>
      <c r="H38" s="32"/>
      <c r="I38" s="33"/>
      <c r="J38" s="44" t="str">
        <f aca="false">IF(OR(B38="",COUNT(E38,F38,G38,H38)&lt;4),"",AVERAGE(E38,F38,G38,H38))</f>
        <v/>
      </c>
      <c r="K38" s="37" t="str">
        <f aca="false">IF(J38="","",IF(J38&lt;2.5,"Low",IF(J38&lt;3.5,"Fair","Good")))</f>
        <v/>
      </c>
    </row>
    <row r="39" customFormat="false" ht="15" hidden="false" customHeight="false" outlineLevel="0" collapsed="false">
      <c r="A39" s="32"/>
      <c r="B39" s="32"/>
      <c r="C39" s="32"/>
      <c r="D39" s="35"/>
      <c r="E39" s="32"/>
      <c r="F39" s="32"/>
      <c r="G39" s="32"/>
      <c r="H39" s="32"/>
      <c r="I39" s="33"/>
      <c r="J39" s="44" t="str">
        <f aca="false">IF(OR(B39="",COUNT(E39,F39,G39,H39)&lt;4),"",AVERAGE(E39,F39,G39,H39))</f>
        <v/>
      </c>
      <c r="K39" s="37" t="str">
        <f aca="false">IF(J39="","",IF(J39&lt;2.5,"Low",IF(J39&lt;3.5,"Fair","Good")))</f>
        <v/>
      </c>
    </row>
    <row r="40" customFormat="false" ht="15" hidden="false" customHeight="false" outlineLevel="0" collapsed="false">
      <c r="A40" s="32"/>
      <c r="B40" s="32"/>
      <c r="C40" s="32"/>
      <c r="D40" s="35"/>
      <c r="E40" s="32"/>
      <c r="F40" s="32"/>
      <c r="G40" s="32"/>
      <c r="H40" s="32"/>
      <c r="I40" s="33"/>
      <c r="J40" s="44" t="str">
        <f aca="false">IF(OR(B40="",COUNT(E40,F40,G40,H40)&lt;4),"",AVERAGE(E40,F40,G40,H40))</f>
        <v/>
      </c>
      <c r="K40" s="37" t="str">
        <f aca="false">IF(J40="","",IF(J40&lt;2.5,"Low",IF(J40&lt;3.5,"Fair","Good")))</f>
        <v/>
      </c>
    </row>
    <row r="41" customFormat="false" ht="15" hidden="false" customHeight="false" outlineLevel="0" collapsed="false">
      <c r="A41" s="32"/>
      <c r="B41" s="32"/>
      <c r="C41" s="32"/>
      <c r="D41" s="35"/>
      <c r="E41" s="32"/>
      <c r="F41" s="32"/>
      <c r="G41" s="32"/>
      <c r="H41" s="32"/>
      <c r="I41" s="33"/>
      <c r="J41" s="44" t="str">
        <f aca="false">IF(OR(B41="",COUNT(E41,F41,G41,H41)&lt;4),"",AVERAGE(E41,F41,G41,H41))</f>
        <v/>
      </c>
      <c r="K41" s="37" t="str">
        <f aca="false">IF(J41="","",IF(J41&lt;2.5,"Low",IF(J41&lt;3.5,"Fair","Good")))</f>
        <v/>
      </c>
    </row>
    <row r="42" customFormat="false" ht="15" hidden="false" customHeight="false" outlineLevel="0" collapsed="false">
      <c r="A42" s="32"/>
      <c r="B42" s="32"/>
      <c r="C42" s="32"/>
      <c r="D42" s="35"/>
      <c r="E42" s="32"/>
      <c r="F42" s="32"/>
      <c r="G42" s="32"/>
      <c r="H42" s="32"/>
      <c r="I42" s="33"/>
      <c r="J42" s="44" t="str">
        <f aca="false">IF(OR(B42="",COUNT(E42,F42,G42,H42)&lt;4),"",AVERAGE(E42,F42,G42,H42))</f>
        <v/>
      </c>
      <c r="K42" s="37" t="str">
        <f aca="false">IF(J42="","",IF(J42&lt;2.5,"Low",IF(J42&lt;3.5,"Fair","Good")))</f>
        <v/>
      </c>
    </row>
    <row r="43" customFormat="false" ht="15" hidden="false" customHeight="false" outlineLevel="0" collapsed="false">
      <c r="A43" s="32"/>
      <c r="B43" s="32"/>
      <c r="C43" s="32"/>
      <c r="D43" s="35"/>
      <c r="E43" s="32"/>
      <c r="F43" s="32"/>
      <c r="G43" s="32"/>
      <c r="H43" s="32"/>
      <c r="I43" s="33"/>
      <c r="J43" s="44" t="str">
        <f aca="false">IF(OR(B43="",COUNT(E43,F43,G43,H43)&lt;4),"",AVERAGE(E43,F43,G43,H43))</f>
        <v/>
      </c>
      <c r="K43" s="37" t="str">
        <f aca="false">IF(J43="","",IF(J43&lt;2.5,"Low",IF(J43&lt;3.5,"Fair","Good")))</f>
        <v/>
      </c>
    </row>
    <row r="44" customFormat="false" ht="15" hidden="false" customHeight="false" outlineLevel="0" collapsed="false">
      <c r="A44" s="32"/>
      <c r="B44" s="32"/>
      <c r="C44" s="32"/>
      <c r="D44" s="35"/>
      <c r="E44" s="32"/>
      <c r="F44" s="32"/>
      <c r="G44" s="32"/>
      <c r="H44" s="32"/>
      <c r="I44" s="33"/>
      <c r="J44" s="44" t="str">
        <f aca="false">IF(OR(B44="",COUNT(E44,F44,G44,H44)&lt;4),"",AVERAGE(E44,F44,G44,H44))</f>
        <v/>
      </c>
      <c r="K44" s="37" t="str">
        <f aca="false">IF(J44="","",IF(J44&lt;2.5,"Low",IF(J44&lt;3.5,"Fair","Good")))</f>
        <v/>
      </c>
    </row>
    <row r="45" customFormat="false" ht="15" hidden="false" customHeight="false" outlineLevel="0" collapsed="false">
      <c r="A45" s="32"/>
      <c r="B45" s="32"/>
      <c r="C45" s="32"/>
      <c r="D45" s="35"/>
      <c r="E45" s="32"/>
      <c r="F45" s="32"/>
      <c r="G45" s="32"/>
      <c r="H45" s="32"/>
      <c r="I45" s="33"/>
      <c r="J45" s="44" t="str">
        <f aca="false">IF(OR(B45="",COUNT(E45,F45,G45,H45)&lt;4),"",AVERAGE(E45,F45,G45,H45))</f>
        <v/>
      </c>
      <c r="K45" s="37" t="str">
        <f aca="false">IF(J45="","",IF(J45&lt;2.5,"Low",IF(J45&lt;3.5,"Fair","Good")))</f>
        <v/>
      </c>
    </row>
    <row r="46" customFormat="false" ht="15" hidden="false" customHeight="false" outlineLevel="0" collapsed="false">
      <c r="A46" s="32"/>
      <c r="B46" s="32"/>
      <c r="C46" s="32"/>
      <c r="D46" s="35"/>
      <c r="E46" s="32"/>
      <c r="F46" s="32"/>
      <c r="G46" s="32"/>
      <c r="H46" s="32"/>
      <c r="I46" s="33"/>
      <c r="J46" s="44" t="str">
        <f aca="false">IF(OR(B46="",COUNT(E46,F46,G46,H46)&lt;4),"",AVERAGE(E46,F46,G46,H46))</f>
        <v/>
      </c>
      <c r="K46" s="37" t="str">
        <f aca="false">IF(J46="","",IF(J46&lt;2.5,"Low",IF(J46&lt;3.5,"Fair","Good")))</f>
        <v/>
      </c>
    </row>
    <row r="47" customFormat="false" ht="15" hidden="false" customHeight="false" outlineLevel="0" collapsed="false">
      <c r="A47" s="32"/>
      <c r="B47" s="32"/>
      <c r="C47" s="32"/>
      <c r="D47" s="35"/>
      <c r="E47" s="32"/>
      <c r="F47" s="32"/>
      <c r="G47" s="32"/>
      <c r="H47" s="32"/>
      <c r="I47" s="33"/>
      <c r="J47" s="44" t="str">
        <f aca="false">IF(OR(B47="",COUNT(E47,F47,G47,H47)&lt;4),"",AVERAGE(E47,F47,G47,H47))</f>
        <v/>
      </c>
      <c r="K47" s="37" t="str">
        <f aca="false">IF(J47="","",IF(J47&lt;2.5,"Low",IF(J47&lt;3.5,"Fair","Good")))</f>
        <v/>
      </c>
    </row>
    <row r="48" customFormat="false" ht="15" hidden="false" customHeight="false" outlineLevel="0" collapsed="false">
      <c r="A48" s="32"/>
      <c r="B48" s="32"/>
      <c r="C48" s="32"/>
      <c r="D48" s="35"/>
      <c r="E48" s="32"/>
      <c r="F48" s="32"/>
      <c r="G48" s="32"/>
      <c r="H48" s="32"/>
      <c r="I48" s="33"/>
      <c r="J48" s="44" t="str">
        <f aca="false">IF(OR(B48="",COUNT(E48,F48,G48,H48)&lt;4),"",AVERAGE(E48,F48,G48,H48))</f>
        <v/>
      </c>
      <c r="K48" s="37" t="str">
        <f aca="false">IF(J48="","",IF(J48&lt;2.5,"Low",IF(J48&lt;3.5,"Fair","Good")))</f>
        <v/>
      </c>
    </row>
    <row r="49" customFormat="false" ht="15" hidden="false" customHeight="false" outlineLevel="0" collapsed="false">
      <c r="A49" s="32"/>
      <c r="B49" s="32"/>
      <c r="C49" s="32"/>
      <c r="D49" s="35"/>
      <c r="E49" s="32"/>
      <c r="F49" s="32"/>
      <c r="G49" s="32"/>
      <c r="H49" s="32"/>
      <c r="I49" s="33"/>
      <c r="J49" s="44" t="str">
        <f aca="false">IF(OR(B49="",COUNT(E49,F49,G49,H49)&lt;4),"",AVERAGE(E49,F49,G49,H49))</f>
        <v/>
      </c>
      <c r="K49" s="37" t="str">
        <f aca="false">IF(J49="","",IF(J49&lt;2.5,"Low",IF(J49&lt;3.5,"Fair","Good")))</f>
        <v/>
      </c>
    </row>
    <row r="50" customFormat="false" ht="15" hidden="false" customHeight="false" outlineLevel="0" collapsed="false">
      <c r="A50" s="32"/>
      <c r="B50" s="32"/>
      <c r="C50" s="32"/>
      <c r="D50" s="35"/>
      <c r="E50" s="32"/>
      <c r="F50" s="32"/>
      <c r="G50" s="32"/>
      <c r="H50" s="32"/>
      <c r="I50" s="33"/>
      <c r="J50" s="44" t="str">
        <f aca="false">IF(OR(B50="",COUNT(E50,F50,G50,H50)&lt;4),"",AVERAGE(E50,F50,G50,H50))</f>
        <v/>
      </c>
      <c r="K50" s="37" t="str">
        <f aca="false">IF(J50="","",IF(J50&lt;2.5,"Low",IF(J50&lt;3.5,"Fair","Good")))</f>
        <v/>
      </c>
    </row>
    <row r="51" customFormat="false" ht="15" hidden="false" customHeight="false" outlineLevel="0" collapsed="false">
      <c r="A51" s="32"/>
      <c r="B51" s="32"/>
      <c r="C51" s="32"/>
      <c r="D51" s="35"/>
      <c r="E51" s="32"/>
      <c r="F51" s="32"/>
      <c r="G51" s="32"/>
      <c r="H51" s="32"/>
      <c r="I51" s="33"/>
      <c r="J51" s="44" t="str">
        <f aca="false">IF(OR(B51="",COUNT(E51,F51,G51,H51)&lt;4),"",AVERAGE(E51,F51,G51,H51))</f>
        <v/>
      </c>
      <c r="K51" s="37" t="str">
        <f aca="false">IF(J51="","",IF(J51&lt;2.5,"Low",IF(J51&lt;3.5,"Fair","Good")))</f>
        <v/>
      </c>
    </row>
    <row r="52" customFormat="false" ht="15" hidden="false" customHeight="false" outlineLevel="0" collapsed="false">
      <c r="A52" s="32"/>
      <c r="B52" s="32"/>
      <c r="C52" s="32"/>
      <c r="D52" s="35"/>
      <c r="E52" s="32"/>
      <c r="F52" s="32"/>
      <c r="G52" s="32"/>
      <c r="H52" s="32"/>
      <c r="I52" s="33"/>
      <c r="J52" s="44" t="str">
        <f aca="false">IF(OR(B52="",COUNT(E52,F52,G52,H52)&lt;4),"",AVERAGE(E52,F52,G52,H52))</f>
        <v/>
      </c>
      <c r="K52" s="37" t="str">
        <f aca="false">IF(J52="","",IF(J52&lt;2.5,"Low",IF(J52&lt;3.5,"Fair","Good")))</f>
        <v/>
      </c>
    </row>
    <row r="53" customFormat="false" ht="15" hidden="false" customHeight="false" outlineLevel="0" collapsed="false">
      <c r="A53" s="32"/>
      <c r="B53" s="32"/>
      <c r="C53" s="32"/>
      <c r="D53" s="35"/>
      <c r="E53" s="32"/>
      <c r="F53" s="32"/>
      <c r="G53" s="32"/>
      <c r="H53" s="32"/>
      <c r="I53" s="33"/>
      <c r="J53" s="44" t="str">
        <f aca="false">IF(OR(B53="",COUNT(E53,F53,G53,H53)&lt;4),"",AVERAGE(E53,F53,G53,H53))</f>
        <v/>
      </c>
      <c r="K53" s="37" t="str">
        <f aca="false">IF(J53="","",IF(J53&lt;2.5,"Low",IF(J53&lt;3.5,"Fair","Good")))</f>
        <v/>
      </c>
    </row>
    <row r="54" customFormat="false" ht="15" hidden="false" customHeight="false" outlineLevel="0" collapsed="false">
      <c r="A54" s="32"/>
      <c r="B54" s="32"/>
      <c r="C54" s="32"/>
      <c r="D54" s="35"/>
      <c r="E54" s="32"/>
      <c r="F54" s="32"/>
      <c r="G54" s="32"/>
      <c r="H54" s="32"/>
      <c r="I54" s="33"/>
      <c r="J54" s="44" t="str">
        <f aca="false">IF(OR(B54="",COUNT(E54,F54,G54,H54)&lt;4),"",AVERAGE(E54,F54,G54,H54))</f>
        <v/>
      </c>
      <c r="K54" s="37" t="str">
        <f aca="false">IF(J54="","",IF(J54&lt;2.5,"Low",IF(J54&lt;3.5,"Fair","Good")))</f>
        <v/>
      </c>
    </row>
    <row r="55" customFormat="false" ht="15" hidden="false" customHeight="false" outlineLevel="0" collapsed="false">
      <c r="A55" s="32"/>
      <c r="B55" s="32"/>
      <c r="C55" s="32"/>
      <c r="D55" s="35"/>
      <c r="E55" s="32"/>
      <c r="F55" s="32"/>
      <c r="G55" s="32"/>
      <c r="H55" s="32"/>
      <c r="I55" s="33"/>
      <c r="J55" s="44" t="str">
        <f aca="false">IF(OR(B55="",COUNT(E55,F55,G55,H55)&lt;4),"",AVERAGE(E55,F55,G55,H55))</f>
        <v/>
      </c>
      <c r="K55" s="37" t="str">
        <f aca="false">IF(J55="","",IF(J55&lt;2.5,"Low",IF(J55&lt;3.5,"Fair","Good")))</f>
        <v/>
      </c>
    </row>
    <row r="56" customFormat="false" ht="15" hidden="false" customHeight="false" outlineLevel="0" collapsed="false">
      <c r="A56" s="32"/>
      <c r="B56" s="32"/>
      <c r="C56" s="32"/>
      <c r="D56" s="35"/>
      <c r="E56" s="32"/>
      <c r="F56" s="32"/>
      <c r="G56" s="32"/>
      <c r="H56" s="32"/>
      <c r="I56" s="33"/>
      <c r="J56" s="44" t="str">
        <f aca="false">IF(OR(B56="",COUNT(E56,F56,G56,H56)&lt;4),"",AVERAGE(E56,F56,G56,H56))</f>
        <v/>
      </c>
      <c r="K56" s="37" t="str">
        <f aca="false">IF(J56="","",IF(J56&lt;2.5,"Low",IF(J56&lt;3.5,"Fair","Good")))</f>
        <v/>
      </c>
    </row>
    <row r="57" customFormat="false" ht="15" hidden="false" customHeight="false" outlineLevel="0" collapsed="false">
      <c r="A57" s="32"/>
      <c r="B57" s="32"/>
      <c r="C57" s="32"/>
      <c r="D57" s="35"/>
      <c r="E57" s="32"/>
      <c r="F57" s="32"/>
      <c r="G57" s="32"/>
      <c r="H57" s="32"/>
      <c r="I57" s="33"/>
      <c r="J57" s="44" t="str">
        <f aca="false">IF(OR(B57="",COUNT(E57,F57,G57,H57)&lt;4),"",AVERAGE(E57,F57,G57,H57))</f>
        <v/>
      </c>
      <c r="K57" s="37" t="str">
        <f aca="false">IF(J57="","",IF(J57&lt;2.5,"Low",IF(J57&lt;3.5,"Fair","Good")))</f>
        <v/>
      </c>
    </row>
    <row r="58" customFormat="false" ht="15" hidden="false" customHeight="false" outlineLevel="0" collapsed="false">
      <c r="A58" s="32"/>
      <c r="B58" s="32"/>
      <c r="C58" s="32"/>
      <c r="D58" s="35"/>
      <c r="E58" s="32"/>
      <c r="F58" s="32"/>
      <c r="G58" s="32"/>
      <c r="H58" s="32"/>
      <c r="I58" s="33"/>
      <c r="J58" s="44" t="str">
        <f aca="false">IF(OR(B58="",COUNT(E58,F58,G58,H58)&lt;4),"",AVERAGE(E58,F58,G58,H58))</f>
        <v/>
      </c>
      <c r="K58" s="37" t="str">
        <f aca="false">IF(J58="","",IF(J58&lt;2.5,"Low",IF(J58&lt;3.5,"Fair","Good")))</f>
        <v/>
      </c>
    </row>
    <row r="59" customFormat="false" ht="15" hidden="false" customHeight="false" outlineLevel="0" collapsed="false">
      <c r="A59" s="32"/>
      <c r="B59" s="32"/>
      <c r="C59" s="32"/>
      <c r="D59" s="35"/>
      <c r="E59" s="32"/>
      <c r="F59" s="32"/>
      <c r="G59" s="32"/>
      <c r="H59" s="32"/>
      <c r="I59" s="33"/>
      <c r="J59" s="44" t="str">
        <f aca="false">IF(OR(B59="",COUNT(E59,F59,G59,H59)&lt;4),"",AVERAGE(E59,F59,G59,H59))</f>
        <v/>
      </c>
      <c r="K59" s="37" t="str">
        <f aca="false">IF(J59="","",IF(J59&lt;2.5,"Low",IF(J59&lt;3.5,"Fair","Good")))</f>
        <v/>
      </c>
    </row>
    <row r="60" customFormat="false" ht="15" hidden="false" customHeight="false" outlineLevel="0" collapsed="false">
      <c r="A60" s="32"/>
      <c r="B60" s="32"/>
      <c r="C60" s="32"/>
      <c r="D60" s="35"/>
      <c r="E60" s="32"/>
      <c r="F60" s="32"/>
      <c r="G60" s="32"/>
      <c r="H60" s="32"/>
      <c r="I60" s="33"/>
      <c r="J60" s="44" t="str">
        <f aca="false">IF(OR(B60="",COUNT(E60,F60,G60,H60)&lt;4),"",AVERAGE(E60,F60,G60,H60))</f>
        <v/>
      </c>
      <c r="K60" s="37" t="str">
        <f aca="false">IF(J60="","",IF(J60&lt;2.5,"Low",IF(J60&lt;3.5,"Fair","Good")))</f>
        <v/>
      </c>
    </row>
    <row r="61" customFormat="false" ht="15" hidden="false" customHeight="false" outlineLevel="0" collapsed="false">
      <c r="A61" s="32"/>
      <c r="B61" s="32"/>
      <c r="C61" s="32"/>
      <c r="D61" s="35"/>
      <c r="E61" s="32"/>
      <c r="F61" s="32"/>
      <c r="G61" s="32"/>
      <c r="H61" s="32"/>
      <c r="I61" s="33"/>
      <c r="J61" s="44" t="str">
        <f aca="false">IF(OR(B61="",COUNT(E61,F61,G61,H61)&lt;4),"",AVERAGE(E61,F61,G61,H61))</f>
        <v/>
      </c>
      <c r="K61" s="37" t="str">
        <f aca="false">IF(J61="","",IF(J61&lt;2.5,"Low",IF(J61&lt;3.5,"Fair","Good")))</f>
        <v/>
      </c>
    </row>
    <row r="62" customFormat="false" ht="15" hidden="false" customHeight="false" outlineLevel="0" collapsed="false">
      <c r="A62" s="32"/>
      <c r="B62" s="32"/>
      <c r="C62" s="32"/>
      <c r="D62" s="35"/>
      <c r="E62" s="32"/>
      <c r="F62" s="32"/>
      <c r="G62" s="32"/>
      <c r="H62" s="32"/>
      <c r="I62" s="33"/>
      <c r="J62" s="44" t="str">
        <f aca="false">IF(OR(B62="",COUNT(E62,F62,G62,H62)&lt;4),"",AVERAGE(E62,F62,G62,H62))</f>
        <v/>
      </c>
      <c r="K62" s="37" t="str">
        <f aca="false">IF(J62="","",IF(J62&lt;2.5,"Low",IF(J62&lt;3.5,"Fair","Good")))</f>
        <v/>
      </c>
    </row>
    <row r="63" customFormat="false" ht="15" hidden="false" customHeight="false" outlineLevel="0" collapsed="false">
      <c r="A63" s="32"/>
      <c r="B63" s="32"/>
      <c r="C63" s="32"/>
      <c r="D63" s="35"/>
      <c r="E63" s="32"/>
      <c r="F63" s="32"/>
      <c r="G63" s="32"/>
      <c r="H63" s="32"/>
      <c r="I63" s="33"/>
      <c r="J63" s="44" t="str">
        <f aca="false">IF(OR(B63="",COUNT(E63,F63,G63,H63)&lt;4),"",AVERAGE(E63,F63,G63,H63))</f>
        <v/>
      </c>
      <c r="K63" s="37" t="str">
        <f aca="false">IF(J63="","",IF(J63&lt;2.5,"Low",IF(J63&lt;3.5,"Fair","Good")))</f>
        <v/>
      </c>
    </row>
    <row r="64" customFormat="false" ht="15" hidden="false" customHeight="false" outlineLevel="0" collapsed="false">
      <c r="A64" s="32"/>
      <c r="B64" s="32"/>
      <c r="C64" s="32"/>
      <c r="D64" s="35"/>
      <c r="E64" s="32"/>
      <c r="F64" s="32"/>
      <c r="G64" s="32"/>
      <c r="H64" s="32"/>
      <c r="I64" s="33"/>
      <c r="J64" s="44" t="str">
        <f aca="false">IF(OR(B64="",COUNT(E64,F64,G64,H64)&lt;4),"",AVERAGE(E64,F64,G64,H64))</f>
        <v/>
      </c>
      <c r="K64" s="37" t="str">
        <f aca="false">IF(J64="","",IF(J64&lt;2.5,"Low",IF(J64&lt;3.5,"Fair","Good")))</f>
        <v/>
      </c>
    </row>
    <row r="65" customFormat="false" ht="15" hidden="false" customHeight="false" outlineLevel="0" collapsed="false">
      <c r="A65" s="32"/>
      <c r="B65" s="32"/>
      <c r="C65" s="32"/>
      <c r="D65" s="35"/>
      <c r="E65" s="32"/>
      <c r="F65" s="32"/>
      <c r="G65" s="32"/>
      <c r="H65" s="32"/>
      <c r="I65" s="33"/>
      <c r="J65" s="44" t="str">
        <f aca="false">IF(OR(B65="",COUNT(E65,F65,G65,H65)&lt;4),"",AVERAGE(E65,F65,G65,H65))</f>
        <v/>
      </c>
      <c r="K65" s="37" t="str">
        <f aca="false">IF(J65="","",IF(J65&lt;2.5,"Low",IF(J65&lt;3.5,"Fair","Good")))</f>
        <v/>
      </c>
    </row>
    <row r="66" customFormat="false" ht="15" hidden="false" customHeight="false" outlineLevel="0" collapsed="false">
      <c r="A66" s="32"/>
      <c r="B66" s="32"/>
      <c r="C66" s="32"/>
      <c r="D66" s="35"/>
      <c r="E66" s="32"/>
      <c r="F66" s="32"/>
      <c r="G66" s="32"/>
      <c r="H66" s="32"/>
      <c r="I66" s="33"/>
      <c r="J66" s="44" t="str">
        <f aca="false">IF(OR(B66="",COUNT(E66,F66,G66,H66)&lt;4),"",AVERAGE(E66,F66,G66,H66))</f>
        <v/>
      </c>
      <c r="K66" s="37" t="str">
        <f aca="false">IF(J66="","",IF(J66&lt;2.5,"Low",IF(J66&lt;3.5,"Fair","Good")))</f>
        <v/>
      </c>
    </row>
    <row r="67" customFormat="false" ht="15" hidden="false" customHeight="false" outlineLevel="0" collapsed="false">
      <c r="A67" s="32"/>
      <c r="B67" s="32"/>
      <c r="C67" s="32"/>
      <c r="D67" s="35"/>
      <c r="E67" s="32"/>
      <c r="F67" s="32"/>
      <c r="G67" s="32"/>
      <c r="H67" s="32"/>
      <c r="I67" s="33"/>
      <c r="J67" s="44" t="str">
        <f aca="false">IF(OR(B67="",COUNT(E67,F67,G67,H67)&lt;4),"",AVERAGE(E67,F67,G67,H67))</f>
        <v/>
      </c>
      <c r="K67" s="37" t="str">
        <f aca="false">IF(J67="","",IF(J67&lt;2.5,"Low",IF(J67&lt;3.5,"Fair","Good")))</f>
        <v/>
      </c>
    </row>
    <row r="68" customFormat="false" ht="15" hidden="false" customHeight="false" outlineLevel="0" collapsed="false">
      <c r="A68" s="32"/>
      <c r="B68" s="32"/>
      <c r="C68" s="32"/>
      <c r="D68" s="35"/>
      <c r="E68" s="32"/>
      <c r="F68" s="32"/>
      <c r="G68" s="32"/>
      <c r="H68" s="32"/>
      <c r="I68" s="33"/>
      <c r="J68" s="44" t="str">
        <f aca="false">IF(OR(B68="",COUNT(E68,F68,G68,H68)&lt;4),"",AVERAGE(E68,F68,G68,H68))</f>
        <v/>
      </c>
      <c r="K68" s="37" t="str">
        <f aca="false">IF(J68="","",IF(J68&lt;2.5,"Low",IF(J68&lt;3.5,"Fair","Good")))</f>
        <v/>
      </c>
    </row>
    <row r="69" customFormat="false" ht="15" hidden="false" customHeight="false" outlineLevel="0" collapsed="false">
      <c r="A69" s="32"/>
      <c r="B69" s="32"/>
      <c r="C69" s="32"/>
      <c r="D69" s="35"/>
      <c r="E69" s="32"/>
      <c r="F69" s="32"/>
      <c r="G69" s="32"/>
      <c r="H69" s="32"/>
      <c r="I69" s="33"/>
      <c r="J69" s="44" t="str">
        <f aca="false">IF(OR(B69="",COUNT(E69,F69,G69,H69)&lt;4),"",AVERAGE(E69,F69,G69,H69))</f>
        <v/>
      </c>
      <c r="K69" s="37" t="str">
        <f aca="false">IF(J69="","",IF(J69&lt;2.5,"Low",IF(J69&lt;3.5,"Fair","Good")))</f>
        <v/>
      </c>
    </row>
    <row r="70" customFormat="false" ht="15" hidden="false" customHeight="false" outlineLevel="0" collapsed="false">
      <c r="A70" s="32"/>
      <c r="B70" s="32"/>
      <c r="C70" s="32"/>
      <c r="D70" s="35"/>
      <c r="E70" s="32"/>
      <c r="F70" s="32"/>
      <c r="G70" s="32"/>
      <c r="H70" s="32"/>
      <c r="I70" s="33"/>
      <c r="J70" s="44" t="str">
        <f aca="false">IF(OR(B70="",COUNT(E70,F70,G70,H70)&lt;4),"",AVERAGE(E70,F70,G70,H70))</f>
        <v/>
      </c>
      <c r="K70" s="37" t="str">
        <f aca="false">IF(J70="","",IF(J70&lt;2.5,"Low",IF(J70&lt;3.5,"Fair","Good")))</f>
        <v/>
      </c>
    </row>
    <row r="71" customFormat="false" ht="15" hidden="false" customHeight="false" outlineLevel="0" collapsed="false">
      <c r="A71" s="32"/>
      <c r="B71" s="32"/>
      <c r="C71" s="32"/>
      <c r="D71" s="35"/>
      <c r="E71" s="32"/>
      <c r="F71" s="32"/>
      <c r="G71" s="32"/>
      <c r="H71" s="32"/>
      <c r="I71" s="33"/>
      <c r="J71" s="44" t="str">
        <f aca="false">IF(OR(B71="",COUNT(E71,F71,G71,H71)&lt;4),"",AVERAGE(E71,F71,G71,H71))</f>
        <v/>
      </c>
      <c r="K71" s="37" t="str">
        <f aca="false">IF(J71="","",IF(J71&lt;2.5,"Low",IF(J71&lt;3.5,"Fair","Good")))</f>
        <v/>
      </c>
    </row>
    <row r="72" customFormat="false" ht="15" hidden="false" customHeight="false" outlineLevel="0" collapsed="false">
      <c r="A72" s="32"/>
      <c r="B72" s="32"/>
      <c r="C72" s="32"/>
      <c r="D72" s="35"/>
      <c r="E72" s="32"/>
      <c r="F72" s="32"/>
      <c r="G72" s="32"/>
      <c r="H72" s="32"/>
      <c r="I72" s="33"/>
      <c r="J72" s="44" t="str">
        <f aca="false">IF(OR(B72="",COUNT(E72,F72,G72,H72)&lt;4),"",AVERAGE(E72,F72,G72,H72))</f>
        <v/>
      </c>
      <c r="K72" s="37" t="str">
        <f aca="false">IF(J72="","",IF(J72&lt;2.5,"Low",IF(J72&lt;3.5,"Fair","Good")))</f>
        <v/>
      </c>
    </row>
    <row r="73" customFormat="false" ht="15" hidden="false" customHeight="false" outlineLevel="0" collapsed="false">
      <c r="A73" s="32"/>
      <c r="B73" s="32"/>
      <c r="C73" s="32"/>
      <c r="D73" s="35"/>
      <c r="E73" s="32"/>
      <c r="F73" s="32"/>
      <c r="G73" s="32"/>
      <c r="H73" s="32"/>
      <c r="I73" s="33"/>
      <c r="J73" s="44" t="str">
        <f aca="false">IF(OR(B73="",COUNT(E73,F73,G73,H73)&lt;4),"",AVERAGE(E73,F73,G73,H73))</f>
        <v/>
      </c>
      <c r="K73" s="37" t="str">
        <f aca="false">IF(J73="","",IF(J73&lt;2.5,"Low",IF(J73&lt;3.5,"Fair","Good")))</f>
        <v/>
      </c>
    </row>
    <row r="74" customFormat="false" ht="15" hidden="false" customHeight="false" outlineLevel="0" collapsed="false">
      <c r="A74" s="32"/>
      <c r="B74" s="32"/>
      <c r="C74" s="32"/>
      <c r="D74" s="35"/>
      <c r="E74" s="32"/>
      <c r="F74" s="32"/>
      <c r="G74" s="32"/>
      <c r="H74" s="32"/>
      <c r="I74" s="33"/>
      <c r="J74" s="44" t="str">
        <f aca="false">IF(OR(B74="",COUNT(E74,F74,G74,H74)&lt;4),"",AVERAGE(E74,F74,G74,H74))</f>
        <v/>
      </c>
      <c r="K74" s="37" t="str">
        <f aca="false">IF(J74="","",IF(J74&lt;2.5,"Low",IF(J74&lt;3.5,"Fair","Good")))</f>
        <v/>
      </c>
    </row>
    <row r="75" customFormat="false" ht="15" hidden="false" customHeight="false" outlineLevel="0" collapsed="false">
      <c r="A75" s="32"/>
      <c r="B75" s="32"/>
      <c r="C75" s="32"/>
      <c r="D75" s="35"/>
      <c r="E75" s="32"/>
      <c r="F75" s="32"/>
      <c r="G75" s="32"/>
      <c r="H75" s="32"/>
      <c r="I75" s="33"/>
      <c r="J75" s="44" t="str">
        <f aca="false">IF(OR(B75="",COUNT(E75,F75,G75,H75)&lt;4),"",AVERAGE(E75,F75,G75,H75))</f>
        <v/>
      </c>
      <c r="K75" s="37" t="str">
        <f aca="false">IF(J75="","",IF(J75&lt;2.5,"Low",IF(J75&lt;3.5,"Fair","Good")))</f>
        <v/>
      </c>
    </row>
    <row r="76" customFormat="false" ht="15" hidden="false" customHeight="false" outlineLevel="0" collapsed="false">
      <c r="A76" s="32"/>
      <c r="B76" s="32"/>
      <c r="C76" s="32"/>
      <c r="D76" s="35"/>
      <c r="E76" s="32"/>
      <c r="F76" s="32"/>
      <c r="G76" s="32"/>
      <c r="H76" s="32"/>
      <c r="I76" s="33"/>
      <c r="J76" s="44" t="str">
        <f aca="false">IF(OR(B76="",COUNT(E76,F76,G76,H76)&lt;4),"",AVERAGE(E76,F76,G76,H76))</f>
        <v/>
      </c>
      <c r="K76" s="37" t="str">
        <f aca="false">IF(J76="","",IF(J76&lt;2.5,"Low",IF(J76&lt;3.5,"Fair","Good")))</f>
        <v/>
      </c>
    </row>
    <row r="77" customFormat="false" ht="15" hidden="false" customHeight="false" outlineLevel="0" collapsed="false">
      <c r="A77" s="32"/>
      <c r="B77" s="32"/>
      <c r="C77" s="32"/>
      <c r="D77" s="35"/>
      <c r="E77" s="32"/>
      <c r="F77" s="32"/>
      <c r="G77" s="32"/>
      <c r="H77" s="32"/>
      <c r="I77" s="33"/>
      <c r="J77" s="44" t="str">
        <f aca="false">IF(OR(B77="",COUNT(E77,F77,G77,H77)&lt;4),"",AVERAGE(E77,F77,G77,H77))</f>
        <v/>
      </c>
      <c r="K77" s="37" t="str">
        <f aca="false">IF(J77="","",IF(J77&lt;2.5,"Low",IF(J77&lt;3.5,"Fair","Good")))</f>
        <v/>
      </c>
    </row>
    <row r="78" customFormat="false" ht="15" hidden="false" customHeight="false" outlineLevel="0" collapsed="false">
      <c r="A78" s="32"/>
      <c r="B78" s="32"/>
      <c r="C78" s="32"/>
      <c r="D78" s="35"/>
      <c r="E78" s="32"/>
      <c r="F78" s="32"/>
      <c r="G78" s="32"/>
      <c r="H78" s="32"/>
      <c r="I78" s="33"/>
      <c r="J78" s="44" t="str">
        <f aca="false">IF(OR(B78="",COUNT(E78,F78,G78,H78)&lt;4),"",AVERAGE(E78,F78,G78,H78))</f>
        <v/>
      </c>
      <c r="K78" s="37" t="str">
        <f aca="false">IF(J78="","",IF(J78&lt;2.5,"Low",IF(J78&lt;3.5,"Fair","Good")))</f>
        <v/>
      </c>
    </row>
    <row r="79" customFormat="false" ht="15" hidden="false" customHeight="false" outlineLevel="0" collapsed="false">
      <c r="A79" s="32"/>
      <c r="B79" s="32"/>
      <c r="C79" s="32"/>
      <c r="D79" s="35"/>
      <c r="E79" s="32"/>
      <c r="F79" s="32"/>
      <c r="G79" s="32"/>
      <c r="H79" s="32"/>
      <c r="I79" s="33"/>
      <c r="J79" s="44" t="str">
        <f aca="false">IF(OR(B79="",COUNT(E79,F79,G79,H79)&lt;4),"",AVERAGE(E79,F79,G79,H79))</f>
        <v/>
      </c>
      <c r="K79" s="37" t="str">
        <f aca="false">IF(J79="","",IF(J79&lt;2.5,"Low",IF(J79&lt;3.5,"Fair","Good")))</f>
        <v/>
      </c>
    </row>
    <row r="80" customFormat="false" ht="15" hidden="false" customHeight="false" outlineLevel="0" collapsed="false">
      <c r="A80" s="32"/>
      <c r="B80" s="32"/>
      <c r="C80" s="32"/>
      <c r="D80" s="35"/>
      <c r="E80" s="32"/>
      <c r="F80" s="32"/>
      <c r="G80" s="32"/>
      <c r="H80" s="32"/>
      <c r="I80" s="33"/>
      <c r="J80" s="44" t="str">
        <f aca="false">IF(OR(B80="",COUNT(E80,F80,G80,H80)&lt;4),"",AVERAGE(E80,F80,G80,H80))</f>
        <v/>
      </c>
      <c r="K80" s="37" t="str">
        <f aca="false">IF(J80="","",IF(J80&lt;2.5,"Low",IF(J80&lt;3.5,"Fair","Good")))</f>
        <v/>
      </c>
    </row>
    <row r="81" customFormat="false" ht="15" hidden="false" customHeight="false" outlineLevel="0" collapsed="false">
      <c r="A81" s="32"/>
      <c r="B81" s="32"/>
      <c r="C81" s="32"/>
      <c r="D81" s="35"/>
      <c r="E81" s="32"/>
      <c r="F81" s="32"/>
      <c r="G81" s="32"/>
      <c r="H81" s="32"/>
      <c r="I81" s="33"/>
      <c r="J81" s="44" t="str">
        <f aca="false">IF(OR(B81="",COUNT(E81,F81,G81,H81)&lt;4),"",AVERAGE(E81,F81,G81,H81))</f>
        <v/>
      </c>
      <c r="K81" s="37" t="str">
        <f aca="false">IF(J81="","",IF(J81&lt;2.5,"Low",IF(J81&lt;3.5,"Fair","Good")))</f>
        <v/>
      </c>
    </row>
    <row r="82" customFormat="false" ht="15" hidden="false" customHeight="false" outlineLevel="0" collapsed="false">
      <c r="A82" s="32"/>
      <c r="B82" s="32"/>
      <c r="C82" s="32"/>
      <c r="D82" s="35"/>
      <c r="E82" s="32"/>
      <c r="F82" s="32"/>
      <c r="G82" s="32"/>
      <c r="H82" s="32"/>
      <c r="I82" s="33"/>
      <c r="J82" s="44" t="str">
        <f aca="false">IF(OR(B82="",COUNT(E82,F82,G82,H82)&lt;4),"",AVERAGE(E82,F82,G82,H82))</f>
        <v/>
      </c>
      <c r="K82" s="37" t="str">
        <f aca="false">IF(J82="","",IF(J82&lt;2.5,"Low",IF(J82&lt;3.5,"Fair","Good")))</f>
        <v/>
      </c>
    </row>
    <row r="83" customFormat="false" ht="15" hidden="false" customHeight="false" outlineLevel="0" collapsed="false">
      <c r="A83" s="32"/>
      <c r="B83" s="32"/>
      <c r="C83" s="32"/>
      <c r="D83" s="35"/>
      <c r="E83" s="32"/>
      <c r="F83" s="32"/>
      <c r="G83" s="32"/>
      <c r="H83" s="32"/>
      <c r="I83" s="33"/>
      <c r="J83" s="44" t="str">
        <f aca="false">IF(OR(B83="",COUNT(E83,F83,G83,H83)&lt;4),"",AVERAGE(E83,F83,G83,H83))</f>
        <v/>
      </c>
      <c r="K83" s="37" t="str">
        <f aca="false">IF(J83="","",IF(J83&lt;2.5,"Low",IF(J83&lt;3.5,"Fair","Good")))</f>
        <v/>
      </c>
    </row>
    <row r="84" customFormat="false" ht="15" hidden="false" customHeight="false" outlineLevel="0" collapsed="false">
      <c r="A84" s="32"/>
      <c r="B84" s="32"/>
      <c r="C84" s="32"/>
      <c r="D84" s="35"/>
      <c r="E84" s="32"/>
      <c r="F84" s="32"/>
      <c r="G84" s="32"/>
      <c r="H84" s="32"/>
      <c r="I84" s="33"/>
      <c r="J84" s="44" t="str">
        <f aca="false">IF(OR(B84="",COUNT(E84,F84,G84,H84)&lt;4),"",AVERAGE(E84,F84,G84,H84))</f>
        <v/>
      </c>
      <c r="K84" s="37" t="str">
        <f aca="false">IF(J84="","",IF(J84&lt;2.5,"Low",IF(J84&lt;3.5,"Fair","Good")))</f>
        <v/>
      </c>
    </row>
    <row r="85" customFormat="false" ht="15" hidden="false" customHeight="false" outlineLevel="0" collapsed="false">
      <c r="A85" s="32"/>
      <c r="B85" s="32"/>
      <c r="C85" s="32"/>
      <c r="D85" s="35"/>
      <c r="E85" s="32"/>
      <c r="F85" s="32"/>
      <c r="G85" s="32"/>
      <c r="H85" s="32"/>
      <c r="I85" s="33"/>
      <c r="J85" s="44" t="str">
        <f aca="false">IF(OR(B85="",COUNT(E85,F85,G85,H85)&lt;4),"",AVERAGE(E85,F85,G85,H85))</f>
        <v/>
      </c>
      <c r="K85" s="37" t="str">
        <f aca="false">IF(J85="","",IF(J85&lt;2.5,"Low",IF(J85&lt;3.5,"Fair","Good")))</f>
        <v/>
      </c>
    </row>
    <row r="86" customFormat="false" ht="15" hidden="false" customHeight="false" outlineLevel="0" collapsed="false">
      <c r="A86" s="32"/>
      <c r="B86" s="32"/>
      <c r="C86" s="32"/>
      <c r="D86" s="35"/>
      <c r="E86" s="32"/>
      <c r="F86" s="32"/>
      <c r="G86" s="32"/>
      <c r="H86" s="32"/>
      <c r="I86" s="33"/>
      <c r="J86" s="44" t="str">
        <f aca="false">IF(OR(B86="",COUNT(E86,F86,G86,H86)&lt;4),"",AVERAGE(E86,F86,G86,H86))</f>
        <v/>
      </c>
      <c r="K86" s="37" t="str">
        <f aca="false">IF(J86="","",IF(J86&lt;2.5,"Low",IF(J86&lt;3.5,"Fair","Good")))</f>
        <v/>
      </c>
    </row>
    <row r="87" customFormat="false" ht="15" hidden="false" customHeight="false" outlineLevel="0" collapsed="false">
      <c r="A87" s="32"/>
      <c r="B87" s="32"/>
      <c r="C87" s="32"/>
      <c r="D87" s="35"/>
      <c r="E87" s="32"/>
      <c r="F87" s="32"/>
      <c r="G87" s="32"/>
      <c r="H87" s="32"/>
      <c r="I87" s="33"/>
      <c r="J87" s="44" t="str">
        <f aca="false">IF(OR(B87="",COUNT(E87,F87,G87,H87)&lt;4),"",AVERAGE(E87,F87,G87,H87))</f>
        <v/>
      </c>
      <c r="K87" s="37" t="str">
        <f aca="false">IF(J87="","",IF(J87&lt;2.5,"Low",IF(J87&lt;3.5,"Fair","Good")))</f>
        <v/>
      </c>
    </row>
    <row r="88" customFormat="false" ht="15" hidden="false" customHeight="false" outlineLevel="0" collapsed="false">
      <c r="A88" s="32"/>
      <c r="B88" s="32"/>
      <c r="C88" s="32"/>
      <c r="D88" s="35"/>
      <c r="E88" s="32"/>
      <c r="F88" s="32"/>
      <c r="G88" s="32"/>
      <c r="H88" s="32"/>
      <c r="I88" s="33"/>
      <c r="J88" s="44" t="str">
        <f aca="false">IF(OR(B88="",COUNT(E88,F88,G88,H88)&lt;4),"",AVERAGE(E88,F88,G88,H88))</f>
        <v/>
      </c>
      <c r="K88" s="37" t="str">
        <f aca="false">IF(J88="","",IF(J88&lt;2.5,"Low",IF(J88&lt;3.5,"Fair","Good")))</f>
        <v/>
      </c>
    </row>
    <row r="89" customFormat="false" ht="15" hidden="false" customHeight="false" outlineLevel="0" collapsed="false">
      <c r="A89" s="32"/>
      <c r="B89" s="32"/>
      <c r="C89" s="32"/>
      <c r="D89" s="35"/>
      <c r="E89" s="32"/>
      <c r="F89" s="32"/>
      <c r="G89" s="32"/>
      <c r="H89" s="32"/>
      <c r="I89" s="33"/>
      <c r="J89" s="44" t="str">
        <f aca="false">IF(OR(B89="",COUNT(E89,F89,G89,H89)&lt;4),"",AVERAGE(E89,F89,G89,H89))</f>
        <v/>
      </c>
      <c r="K89" s="37" t="str">
        <f aca="false">IF(J89="","",IF(J89&lt;2.5,"Low",IF(J89&lt;3.5,"Fair","Good")))</f>
        <v/>
      </c>
    </row>
    <row r="90" customFormat="false" ht="15" hidden="false" customHeight="false" outlineLevel="0" collapsed="false">
      <c r="A90" s="32"/>
      <c r="B90" s="32"/>
      <c r="C90" s="32"/>
      <c r="D90" s="35"/>
      <c r="E90" s="32"/>
      <c r="F90" s="32"/>
      <c r="G90" s="32"/>
      <c r="H90" s="32"/>
      <c r="I90" s="33"/>
      <c r="J90" s="44" t="str">
        <f aca="false">IF(OR(B90="",COUNT(E90,F90,G90,H90)&lt;4),"",AVERAGE(E90,F90,G90,H90))</f>
        <v/>
      </c>
      <c r="K90" s="37" t="str">
        <f aca="false">IF(J90="","",IF(J90&lt;2.5,"Low",IF(J90&lt;3.5,"Fair","Good")))</f>
        <v/>
      </c>
    </row>
    <row r="91" customFormat="false" ht="15" hidden="false" customHeight="false" outlineLevel="0" collapsed="false">
      <c r="A91" s="32"/>
      <c r="B91" s="32"/>
      <c r="C91" s="32"/>
      <c r="D91" s="35"/>
      <c r="E91" s="32"/>
      <c r="F91" s="32"/>
      <c r="G91" s="32"/>
      <c r="H91" s="32"/>
      <c r="I91" s="33"/>
      <c r="J91" s="44" t="str">
        <f aca="false">IF(OR(B91="",COUNT(E91,F91,G91,H91)&lt;4),"",AVERAGE(E91,F91,G91,H91))</f>
        <v/>
      </c>
      <c r="K91" s="37" t="str">
        <f aca="false">IF(J91="","",IF(J91&lt;2.5,"Low",IF(J91&lt;3.5,"Fair","Good")))</f>
        <v/>
      </c>
    </row>
    <row r="92" customFormat="false" ht="15" hidden="false" customHeight="false" outlineLevel="0" collapsed="false">
      <c r="A92" s="32"/>
      <c r="B92" s="32"/>
      <c r="C92" s="32"/>
      <c r="D92" s="35"/>
      <c r="E92" s="32"/>
      <c r="F92" s="32"/>
      <c r="G92" s="32"/>
      <c r="H92" s="32"/>
      <c r="I92" s="33"/>
      <c r="J92" s="44" t="str">
        <f aca="false">IF(OR(B92="",COUNT(E92,F92,G92,H92)&lt;4),"",AVERAGE(E92,F92,G92,H92))</f>
        <v/>
      </c>
      <c r="K92" s="37" t="str">
        <f aca="false">IF(J92="","",IF(J92&lt;2.5,"Low",IF(J92&lt;3.5,"Fair","Good")))</f>
        <v/>
      </c>
    </row>
    <row r="93" customFormat="false" ht="15" hidden="false" customHeight="false" outlineLevel="0" collapsed="false">
      <c r="A93" s="32"/>
      <c r="B93" s="32"/>
      <c r="C93" s="32"/>
      <c r="D93" s="35"/>
      <c r="E93" s="32"/>
      <c r="F93" s="32"/>
      <c r="G93" s="32"/>
      <c r="H93" s="32"/>
      <c r="I93" s="33"/>
      <c r="J93" s="44" t="str">
        <f aca="false">IF(OR(B93="",COUNT(E93,F93,G93,H93)&lt;4),"",AVERAGE(E93,F93,G93,H93))</f>
        <v/>
      </c>
      <c r="K93" s="37" t="str">
        <f aca="false">IF(J93="","",IF(J93&lt;2.5,"Low",IF(J93&lt;3.5,"Fair","Good")))</f>
        <v/>
      </c>
    </row>
    <row r="94" customFormat="false" ht="15" hidden="false" customHeight="false" outlineLevel="0" collapsed="false">
      <c r="A94" s="32"/>
      <c r="B94" s="32"/>
      <c r="C94" s="32"/>
      <c r="D94" s="35"/>
      <c r="E94" s="32"/>
      <c r="F94" s="32"/>
      <c r="G94" s="32"/>
      <c r="H94" s="32"/>
      <c r="I94" s="33"/>
      <c r="J94" s="44" t="str">
        <f aca="false">IF(OR(B94="",COUNT(E94,F94,G94,H94)&lt;4),"",AVERAGE(E94,F94,G94,H94))</f>
        <v/>
      </c>
      <c r="K94" s="37" t="str">
        <f aca="false">IF(J94="","",IF(J94&lt;2.5,"Low",IF(J94&lt;3.5,"Fair","Good")))</f>
        <v/>
      </c>
    </row>
    <row r="95" customFormat="false" ht="15" hidden="false" customHeight="false" outlineLevel="0" collapsed="false">
      <c r="A95" s="32"/>
      <c r="B95" s="32"/>
      <c r="C95" s="32"/>
      <c r="D95" s="35"/>
      <c r="E95" s="32"/>
      <c r="F95" s="32"/>
      <c r="G95" s="32"/>
      <c r="H95" s="32"/>
      <c r="I95" s="33"/>
      <c r="J95" s="44" t="str">
        <f aca="false">IF(OR(B95="",COUNT(E95,F95,G95,H95)&lt;4),"",AVERAGE(E95,F95,G95,H95))</f>
        <v/>
      </c>
      <c r="K95" s="37" t="str">
        <f aca="false">IF(J95="","",IF(J95&lt;2.5,"Low",IF(J95&lt;3.5,"Fair","Good")))</f>
        <v/>
      </c>
    </row>
    <row r="96" customFormat="false" ht="15" hidden="false" customHeight="false" outlineLevel="0" collapsed="false">
      <c r="A96" s="32"/>
      <c r="B96" s="32"/>
      <c r="C96" s="32"/>
      <c r="D96" s="35"/>
      <c r="E96" s="32"/>
      <c r="F96" s="32"/>
      <c r="G96" s="32"/>
      <c r="H96" s="32"/>
      <c r="I96" s="33"/>
      <c r="J96" s="44" t="str">
        <f aca="false">IF(OR(B96="",COUNT(E96,F96,G96,H96)&lt;4),"",AVERAGE(E96,F96,G96,H96))</f>
        <v/>
      </c>
      <c r="K96" s="37" t="str">
        <f aca="false">IF(J96="","",IF(J96&lt;2.5,"Low",IF(J96&lt;3.5,"Fair","Good")))</f>
        <v/>
      </c>
    </row>
    <row r="97" customFormat="false" ht="15" hidden="false" customHeight="false" outlineLevel="0" collapsed="false">
      <c r="A97" s="32"/>
      <c r="B97" s="32"/>
      <c r="C97" s="32"/>
      <c r="D97" s="35"/>
      <c r="E97" s="32"/>
      <c r="F97" s="32"/>
      <c r="G97" s="32"/>
      <c r="H97" s="32"/>
      <c r="I97" s="33"/>
      <c r="J97" s="44" t="str">
        <f aca="false">IF(OR(B97="",COUNT(E97,F97,G97,H97)&lt;4),"",AVERAGE(E97,F97,G97,H97))</f>
        <v/>
      </c>
      <c r="K97" s="37" t="str">
        <f aca="false">IF(J97="","",IF(J97&lt;2.5,"Low",IF(J97&lt;3.5,"Fair","Good")))</f>
        <v/>
      </c>
    </row>
    <row r="98" customFormat="false" ht="15" hidden="false" customHeight="false" outlineLevel="0" collapsed="false">
      <c r="A98" s="32"/>
      <c r="B98" s="32"/>
      <c r="C98" s="32"/>
      <c r="D98" s="35"/>
      <c r="E98" s="32"/>
      <c r="F98" s="32"/>
      <c r="G98" s="32"/>
      <c r="H98" s="32"/>
      <c r="I98" s="33"/>
      <c r="J98" s="44" t="str">
        <f aca="false">IF(OR(B98="",COUNT(E98,F98,G98,H98)&lt;4),"",AVERAGE(E98,F98,G98,H98))</f>
        <v/>
      </c>
      <c r="K98" s="37" t="str">
        <f aca="false">IF(J98="","",IF(J98&lt;2.5,"Low",IF(J98&lt;3.5,"Fair","Good")))</f>
        <v/>
      </c>
    </row>
    <row r="99" customFormat="false" ht="15" hidden="false" customHeight="false" outlineLevel="0" collapsed="false">
      <c r="A99" s="32"/>
      <c r="B99" s="32"/>
      <c r="C99" s="32"/>
      <c r="D99" s="35"/>
      <c r="E99" s="32"/>
      <c r="F99" s="32"/>
      <c r="G99" s="32"/>
      <c r="H99" s="32"/>
      <c r="I99" s="33"/>
      <c r="J99" s="44" t="str">
        <f aca="false">IF(OR(B99="",COUNT(E99,F99,G99,H99)&lt;4),"",AVERAGE(E99,F99,G99,H99))</f>
        <v/>
      </c>
      <c r="K99" s="37" t="str">
        <f aca="false">IF(J99="","",IF(J99&lt;2.5,"Low",IF(J99&lt;3.5,"Fair","Good")))</f>
        <v/>
      </c>
    </row>
    <row r="100" customFormat="false" ht="15" hidden="false" customHeight="false" outlineLevel="0" collapsed="false">
      <c r="A100" s="32"/>
      <c r="B100" s="32"/>
      <c r="C100" s="32"/>
      <c r="D100" s="35"/>
      <c r="E100" s="32"/>
      <c r="F100" s="32"/>
      <c r="G100" s="32"/>
      <c r="H100" s="32"/>
      <c r="I100" s="33"/>
      <c r="J100" s="44" t="str">
        <f aca="false">IF(OR(B100="",COUNT(E100,F100,G100,H100)&lt;4),"",AVERAGE(E100,F100,G100,H100))</f>
        <v/>
      </c>
      <c r="K100" s="37" t="str">
        <f aca="false">IF(J100="","",IF(J100&lt;2.5,"Low",IF(J100&lt;3.5,"Fair","Good")))</f>
        <v/>
      </c>
    </row>
    <row r="101" customFormat="false" ht="15" hidden="false" customHeight="false" outlineLevel="0" collapsed="false">
      <c r="A101" s="32"/>
      <c r="B101" s="32"/>
      <c r="C101" s="32"/>
      <c r="D101" s="35"/>
      <c r="E101" s="32"/>
      <c r="F101" s="32"/>
      <c r="G101" s="32"/>
      <c r="H101" s="32"/>
      <c r="I101" s="33"/>
      <c r="J101" s="44" t="str">
        <f aca="false">IF(OR(B101="",COUNT(E101,F101,G101,H101)&lt;4),"",AVERAGE(E101,F101,G101,H101))</f>
        <v/>
      </c>
      <c r="K101" s="37" t="str">
        <f aca="false">IF(J101="","",IF(J101&lt;2.5,"Low",IF(J101&lt;3.5,"Fair","Good")))</f>
        <v/>
      </c>
    </row>
    <row r="102" customFormat="false" ht="15" hidden="false" customHeight="false" outlineLevel="0" collapsed="false">
      <c r="A102" s="32"/>
      <c r="B102" s="32"/>
      <c r="C102" s="32"/>
      <c r="D102" s="35"/>
      <c r="E102" s="32"/>
      <c r="F102" s="32"/>
      <c r="G102" s="32"/>
      <c r="H102" s="32"/>
      <c r="I102" s="33"/>
      <c r="J102" s="44" t="str">
        <f aca="false">IF(OR(B102="",COUNT(E102,F102,G102,H102)&lt;4),"",AVERAGE(E102,F102,G102,H102))</f>
        <v/>
      </c>
      <c r="K102" s="37" t="str">
        <f aca="false">IF(J102="","",IF(J102&lt;2.5,"Low",IF(J102&lt;3.5,"Fair","Good")))</f>
        <v/>
      </c>
    </row>
    <row r="103" customFormat="false" ht="15" hidden="false" customHeight="false" outlineLevel="0" collapsed="false">
      <c r="A103" s="32"/>
      <c r="B103" s="32"/>
      <c r="C103" s="32"/>
      <c r="D103" s="35"/>
      <c r="E103" s="32"/>
      <c r="F103" s="32"/>
      <c r="G103" s="32"/>
      <c r="H103" s="32"/>
      <c r="I103" s="33"/>
      <c r="J103" s="44" t="str">
        <f aca="false">IF(OR(B103="",COUNT(E103,F103,G103,H103)&lt;4),"",AVERAGE(E103,F103,G103,H103))</f>
        <v/>
      </c>
      <c r="K103" s="37" t="str">
        <f aca="false">IF(J103="","",IF(J103&lt;2.5,"Low",IF(J103&lt;3.5,"Fair","Good")))</f>
        <v/>
      </c>
    </row>
    <row r="104" customFormat="false" ht="15" hidden="false" customHeight="false" outlineLevel="0" collapsed="false">
      <c r="A104" s="32"/>
      <c r="B104" s="32"/>
      <c r="C104" s="32"/>
      <c r="D104" s="35"/>
      <c r="E104" s="32"/>
      <c r="F104" s="32"/>
      <c r="G104" s="32"/>
      <c r="H104" s="32"/>
      <c r="I104" s="33"/>
      <c r="J104" s="44" t="str">
        <f aca="false">IF(OR(B104="",COUNT(E104,F104,G104,H104)&lt;4),"",AVERAGE(E104,F104,G104,H104))</f>
        <v/>
      </c>
      <c r="K104" s="37" t="str">
        <f aca="false">IF(J104="","",IF(J104&lt;2.5,"Low",IF(J104&lt;3.5,"Fair","Good")))</f>
        <v/>
      </c>
    </row>
    <row r="105" customFormat="false" ht="15" hidden="false" customHeight="false" outlineLevel="0" collapsed="false">
      <c r="A105" s="32"/>
      <c r="B105" s="32"/>
      <c r="C105" s="32"/>
      <c r="D105" s="35"/>
      <c r="E105" s="32"/>
      <c r="F105" s="32"/>
      <c r="G105" s="32"/>
      <c r="H105" s="32"/>
      <c r="I105" s="33"/>
      <c r="J105" s="44" t="str">
        <f aca="false">IF(OR(B105="",COUNT(E105,F105,G105,H105)&lt;4),"",AVERAGE(E105,F105,G105,H105))</f>
        <v/>
      </c>
      <c r="K105" s="37" t="str">
        <f aca="false">IF(J105="","",IF(J105&lt;2.5,"Low",IF(J105&lt;3.5,"Fair","Good")))</f>
        <v/>
      </c>
    </row>
    <row r="106" customFormat="false" ht="15" hidden="false" customHeight="false" outlineLevel="0" collapsed="false">
      <c r="A106" s="32"/>
      <c r="B106" s="32"/>
      <c r="C106" s="32"/>
      <c r="D106" s="35"/>
      <c r="E106" s="32"/>
      <c r="F106" s="32"/>
      <c r="G106" s="32"/>
      <c r="H106" s="32"/>
      <c r="I106" s="33"/>
      <c r="J106" s="44" t="str">
        <f aca="false">IF(OR(B106="",COUNT(E106,F106,G106,H106)&lt;4),"",AVERAGE(E106,F106,G106,H106))</f>
        <v/>
      </c>
      <c r="K106" s="37" t="str">
        <f aca="false">IF(J106="","",IF(J106&lt;2.5,"Low",IF(J106&lt;3.5,"Fair","Good")))</f>
        <v/>
      </c>
    </row>
    <row r="107" customFormat="false" ht="15" hidden="false" customHeight="false" outlineLevel="0" collapsed="false">
      <c r="A107" s="32"/>
      <c r="B107" s="32"/>
      <c r="C107" s="32"/>
      <c r="D107" s="35"/>
      <c r="E107" s="32"/>
      <c r="F107" s="32"/>
      <c r="G107" s="32"/>
      <c r="H107" s="32"/>
      <c r="I107" s="33"/>
      <c r="J107" s="44" t="str">
        <f aca="false">IF(OR(B107="",COUNT(E107,F107,G107,H107)&lt;4),"",AVERAGE(E107,F107,G107,H107))</f>
        <v/>
      </c>
      <c r="K107" s="37" t="str">
        <f aca="false">IF(J107="","",IF(J107&lt;2.5,"Low",IF(J107&lt;3.5,"Fair","Good")))</f>
        <v/>
      </c>
    </row>
    <row r="108" customFormat="false" ht="15" hidden="false" customHeight="false" outlineLevel="0" collapsed="false">
      <c r="A108" s="32"/>
      <c r="B108" s="32"/>
      <c r="C108" s="32"/>
      <c r="D108" s="35"/>
      <c r="E108" s="32"/>
      <c r="F108" s="32"/>
      <c r="G108" s="32"/>
      <c r="H108" s="32"/>
      <c r="I108" s="33"/>
      <c r="J108" s="44" t="str">
        <f aca="false">IF(OR(B108="",COUNT(E108,F108,G108,H108)&lt;4),"",AVERAGE(E108,F108,G108,H108))</f>
        <v/>
      </c>
      <c r="K108" s="37" t="str">
        <f aca="false">IF(J108="","",IF(J108&lt;2.5,"Low",IF(J108&lt;3.5,"Fair","Good")))</f>
        <v/>
      </c>
    </row>
    <row r="109" customFormat="false" ht="15" hidden="false" customHeight="false" outlineLevel="0" collapsed="false">
      <c r="A109" s="32"/>
      <c r="B109" s="32"/>
      <c r="C109" s="32"/>
      <c r="D109" s="35"/>
      <c r="E109" s="32"/>
      <c r="F109" s="32"/>
      <c r="G109" s="32"/>
      <c r="H109" s="32"/>
      <c r="I109" s="33"/>
      <c r="J109" s="44" t="str">
        <f aca="false">IF(OR(B109="",COUNT(E109,F109,G109,H109)&lt;4),"",AVERAGE(E109,F109,G109,H109))</f>
        <v/>
      </c>
      <c r="K109" s="37" t="str">
        <f aca="false">IF(J109="","",IF(J109&lt;2.5,"Low",IF(J109&lt;3.5,"Fair","Good")))</f>
        <v/>
      </c>
    </row>
    <row r="110" customFormat="false" ht="15" hidden="false" customHeight="false" outlineLevel="0" collapsed="false">
      <c r="A110" s="32"/>
      <c r="B110" s="32"/>
      <c r="C110" s="32"/>
      <c r="D110" s="35"/>
      <c r="E110" s="32"/>
      <c r="F110" s="32"/>
      <c r="G110" s="32"/>
      <c r="H110" s="32"/>
      <c r="I110" s="33"/>
      <c r="J110" s="44" t="str">
        <f aca="false">IF(OR(B110="",COUNT(E110,F110,G110,H110)&lt;4),"",AVERAGE(E110,F110,G110,H110))</f>
        <v/>
      </c>
      <c r="K110" s="37" t="str">
        <f aca="false">IF(J110="","",IF(J110&lt;2.5,"Low",IF(J110&lt;3.5,"Fair","Good")))</f>
        <v/>
      </c>
    </row>
    <row r="111" customFormat="false" ht="15" hidden="false" customHeight="false" outlineLevel="0" collapsed="false">
      <c r="A111" s="32"/>
      <c r="B111" s="32"/>
      <c r="C111" s="32"/>
      <c r="D111" s="35"/>
      <c r="E111" s="32"/>
      <c r="F111" s="32"/>
      <c r="G111" s="32"/>
      <c r="H111" s="32"/>
      <c r="I111" s="33"/>
      <c r="J111" s="44" t="str">
        <f aca="false">IF(OR(B111="",COUNT(E111,F111,G111,H111)&lt;4),"",AVERAGE(E111,F111,G111,H111))</f>
        <v/>
      </c>
      <c r="K111" s="37" t="str">
        <f aca="false">IF(J111="","",IF(J111&lt;2.5,"Low",IF(J111&lt;3.5,"Fair","Good")))</f>
        <v/>
      </c>
    </row>
    <row r="112" customFormat="false" ht="15" hidden="false" customHeight="false" outlineLevel="0" collapsed="false">
      <c r="A112" s="32"/>
      <c r="B112" s="32"/>
      <c r="C112" s="32"/>
      <c r="D112" s="35"/>
      <c r="E112" s="32"/>
      <c r="F112" s="32"/>
      <c r="G112" s="32"/>
      <c r="H112" s="32"/>
      <c r="I112" s="33"/>
      <c r="J112" s="44" t="str">
        <f aca="false">IF(OR(B112="",COUNT(E112,F112,G112,H112)&lt;4),"",AVERAGE(E112,F112,G112,H112))</f>
        <v/>
      </c>
      <c r="K112" s="37" t="str">
        <f aca="false">IF(J112="","",IF(J112&lt;2.5,"Low",IF(J112&lt;3.5,"Fair","Good")))</f>
        <v/>
      </c>
    </row>
    <row r="113" customFormat="false" ht="15" hidden="false" customHeight="false" outlineLevel="0" collapsed="false">
      <c r="A113" s="32"/>
      <c r="B113" s="32"/>
      <c r="C113" s="32"/>
      <c r="D113" s="35"/>
      <c r="E113" s="32"/>
      <c r="F113" s="32"/>
      <c r="G113" s="32"/>
      <c r="H113" s="32"/>
      <c r="I113" s="33"/>
      <c r="J113" s="44" t="str">
        <f aca="false">IF(OR(B113="",COUNT(E113,F113,G113,H113)&lt;4),"",AVERAGE(E113,F113,G113,H113))</f>
        <v/>
      </c>
      <c r="K113" s="37" t="str">
        <f aca="false">IF(J113="","",IF(J113&lt;2.5,"Low",IF(J113&lt;3.5,"Fair","Good")))</f>
        <v/>
      </c>
    </row>
    <row r="114" customFormat="false" ht="15" hidden="false" customHeight="false" outlineLevel="0" collapsed="false">
      <c r="A114" s="32"/>
      <c r="B114" s="32"/>
      <c r="C114" s="32"/>
      <c r="D114" s="35"/>
      <c r="E114" s="32"/>
      <c r="F114" s="32"/>
      <c r="G114" s="32"/>
      <c r="H114" s="32"/>
      <c r="I114" s="33"/>
      <c r="J114" s="44" t="str">
        <f aca="false">IF(OR(B114="",COUNT(E114,F114,G114,H114)&lt;4),"",AVERAGE(E114,F114,G114,H114))</f>
        <v/>
      </c>
      <c r="K114" s="37" t="str">
        <f aca="false">IF(J114="","",IF(J114&lt;2.5,"Low",IF(J114&lt;3.5,"Fair","Good")))</f>
        <v/>
      </c>
    </row>
    <row r="115" customFormat="false" ht="15" hidden="false" customHeight="false" outlineLevel="0" collapsed="false">
      <c r="A115" s="32"/>
      <c r="B115" s="32"/>
      <c r="C115" s="32"/>
      <c r="D115" s="35"/>
      <c r="E115" s="32"/>
      <c r="F115" s="32"/>
      <c r="G115" s="32"/>
      <c r="H115" s="32"/>
      <c r="I115" s="33"/>
      <c r="J115" s="44" t="str">
        <f aca="false">IF(OR(B115="",COUNT(E115,F115,G115,H115)&lt;4),"",AVERAGE(E115,F115,G115,H115))</f>
        <v/>
      </c>
      <c r="K115" s="37" t="str">
        <f aca="false">IF(J115="","",IF(J115&lt;2.5,"Low",IF(J115&lt;3.5,"Fair","Good")))</f>
        <v/>
      </c>
    </row>
    <row r="116" customFormat="false" ht="15" hidden="false" customHeight="false" outlineLevel="0" collapsed="false">
      <c r="A116" s="32"/>
      <c r="B116" s="32"/>
      <c r="C116" s="32"/>
      <c r="D116" s="35"/>
      <c r="E116" s="32"/>
      <c r="F116" s="32"/>
      <c r="G116" s="32"/>
      <c r="H116" s="32"/>
      <c r="I116" s="33"/>
      <c r="J116" s="44" t="str">
        <f aca="false">IF(OR(B116="",COUNT(E116,F116,G116,H116)&lt;4),"",AVERAGE(E116,F116,G116,H116))</f>
        <v/>
      </c>
      <c r="K116" s="37" t="str">
        <f aca="false">IF(J116="","",IF(J116&lt;2.5,"Low",IF(J116&lt;3.5,"Fair","Good")))</f>
        <v/>
      </c>
    </row>
    <row r="117" customFormat="false" ht="15" hidden="false" customHeight="false" outlineLevel="0" collapsed="false">
      <c r="A117" s="32"/>
      <c r="B117" s="32"/>
      <c r="C117" s="32"/>
      <c r="D117" s="35"/>
      <c r="E117" s="32"/>
      <c r="F117" s="32"/>
      <c r="G117" s="32"/>
      <c r="H117" s="32"/>
      <c r="I117" s="33"/>
      <c r="J117" s="44" t="str">
        <f aca="false">IF(OR(B117="",COUNT(E117,F117,G117,H117)&lt;4),"",AVERAGE(E117,F117,G117,H117))</f>
        <v/>
      </c>
      <c r="K117" s="37" t="str">
        <f aca="false">IF(J117="","",IF(J117&lt;2.5,"Low",IF(J117&lt;3.5,"Fair","Good")))</f>
        <v/>
      </c>
    </row>
    <row r="118" customFormat="false" ht="15" hidden="false" customHeight="false" outlineLevel="0" collapsed="false">
      <c r="A118" s="32"/>
      <c r="B118" s="32"/>
      <c r="C118" s="32"/>
      <c r="D118" s="35"/>
      <c r="E118" s="32"/>
      <c r="F118" s="32"/>
      <c r="G118" s="32"/>
      <c r="H118" s="32"/>
      <c r="I118" s="33"/>
      <c r="J118" s="44" t="str">
        <f aca="false">IF(OR(B118="",COUNT(E118,F118,G118,H118)&lt;4),"",AVERAGE(E118,F118,G118,H118))</f>
        <v/>
      </c>
      <c r="K118" s="37" t="str">
        <f aca="false">IF(J118="","",IF(J118&lt;2.5,"Low",IF(J118&lt;3.5,"Fair","Good")))</f>
        <v/>
      </c>
    </row>
    <row r="119" customFormat="false" ht="15" hidden="false" customHeight="false" outlineLevel="0" collapsed="false">
      <c r="A119" s="32"/>
      <c r="B119" s="32"/>
      <c r="C119" s="32"/>
      <c r="D119" s="35"/>
      <c r="E119" s="32"/>
      <c r="F119" s="32"/>
      <c r="G119" s="32"/>
      <c r="H119" s="32"/>
      <c r="I119" s="33"/>
      <c r="J119" s="44" t="str">
        <f aca="false">IF(OR(B119="",COUNT(E119,F119,G119,H119)&lt;4),"",AVERAGE(E119,F119,G119,H119))</f>
        <v/>
      </c>
      <c r="K119" s="37" t="str">
        <f aca="false">IF(J119="","",IF(J119&lt;2.5,"Low",IF(J119&lt;3.5,"Fair","Good")))</f>
        <v/>
      </c>
    </row>
    <row r="120" customFormat="false" ht="15" hidden="false" customHeight="false" outlineLevel="0" collapsed="false">
      <c r="A120" s="32"/>
      <c r="B120" s="32"/>
      <c r="C120" s="32"/>
      <c r="D120" s="35"/>
      <c r="E120" s="32"/>
      <c r="F120" s="32"/>
      <c r="G120" s="32"/>
      <c r="H120" s="32"/>
      <c r="I120" s="33"/>
      <c r="J120" s="44" t="str">
        <f aca="false">IF(OR(B120="",COUNT(E120,F120,G120,H120)&lt;4),"",AVERAGE(E120,F120,G120,H120))</f>
        <v/>
      </c>
      <c r="K120" s="37" t="str">
        <f aca="false">IF(J120="","",IF(J120&lt;2.5,"Low",IF(J120&lt;3.5,"Fair","Good")))</f>
        <v/>
      </c>
    </row>
    <row r="121" customFormat="false" ht="15" hidden="false" customHeight="false" outlineLevel="0" collapsed="false">
      <c r="A121" s="32"/>
      <c r="B121" s="32"/>
      <c r="C121" s="32"/>
      <c r="D121" s="35"/>
      <c r="E121" s="32"/>
      <c r="F121" s="32"/>
      <c r="G121" s="32"/>
      <c r="H121" s="32"/>
      <c r="I121" s="33"/>
      <c r="J121" s="44" t="str">
        <f aca="false">IF(OR(B121="",COUNT(E121,F121,G121,H121)&lt;4),"",AVERAGE(E121,F121,G121,H121))</f>
        <v/>
      </c>
      <c r="K121" s="37" t="str">
        <f aca="false">IF(J121="","",IF(J121&lt;2.5,"Low",IF(J121&lt;3.5,"Fair","Good")))</f>
        <v/>
      </c>
    </row>
    <row r="122" customFormat="false" ht="15" hidden="false" customHeight="false" outlineLevel="0" collapsed="false">
      <c r="A122" s="32"/>
      <c r="B122" s="32"/>
      <c r="C122" s="32"/>
      <c r="D122" s="35"/>
      <c r="E122" s="32"/>
      <c r="F122" s="32"/>
      <c r="G122" s="32"/>
      <c r="H122" s="32"/>
      <c r="I122" s="33"/>
      <c r="J122" s="44" t="str">
        <f aca="false">IF(OR(B122="",COUNT(E122,F122,G122,H122)&lt;4),"",AVERAGE(E122,F122,G122,H122))</f>
        <v/>
      </c>
      <c r="K122" s="37" t="str">
        <f aca="false">IF(J122="","",IF(J122&lt;2.5,"Low",IF(J122&lt;3.5,"Fair","Good")))</f>
        <v/>
      </c>
    </row>
    <row r="123" customFormat="false" ht="15" hidden="false" customHeight="false" outlineLevel="0" collapsed="false">
      <c r="A123" s="32"/>
      <c r="B123" s="32"/>
      <c r="C123" s="32"/>
      <c r="D123" s="35"/>
      <c r="E123" s="32"/>
      <c r="F123" s="32"/>
      <c r="G123" s="32"/>
      <c r="H123" s="32"/>
      <c r="I123" s="33"/>
      <c r="J123" s="44" t="str">
        <f aca="false">IF(OR(B123="",COUNT(E123,F123,G123,H123)&lt;4),"",AVERAGE(E123,F123,G123,H123))</f>
        <v/>
      </c>
      <c r="K123" s="37" t="str">
        <f aca="false">IF(J123="","",IF(J123&lt;2.5,"Low",IF(J123&lt;3.5,"Fair","Good")))</f>
        <v/>
      </c>
    </row>
    <row r="124" customFormat="false" ht="15" hidden="false" customHeight="false" outlineLevel="0" collapsed="false">
      <c r="A124" s="32"/>
      <c r="B124" s="32"/>
      <c r="C124" s="32"/>
      <c r="D124" s="35"/>
      <c r="E124" s="32"/>
      <c r="F124" s="32"/>
      <c r="G124" s="32"/>
      <c r="H124" s="32"/>
      <c r="I124" s="33"/>
      <c r="J124" s="44" t="str">
        <f aca="false">IF(OR(B124="",COUNT(E124,F124,G124,H124)&lt;4),"",AVERAGE(E124,F124,G124,H124))</f>
        <v/>
      </c>
      <c r="K124" s="37" t="str">
        <f aca="false">IF(J124="","",IF(J124&lt;2.5,"Low",IF(J124&lt;3.5,"Fair","Good")))</f>
        <v/>
      </c>
    </row>
    <row r="125" customFormat="false" ht="15" hidden="false" customHeight="false" outlineLevel="0" collapsed="false">
      <c r="A125" s="32"/>
      <c r="B125" s="32"/>
      <c r="C125" s="32"/>
      <c r="D125" s="35"/>
      <c r="E125" s="32"/>
      <c r="F125" s="32"/>
      <c r="G125" s="32"/>
      <c r="H125" s="32"/>
      <c r="I125" s="33"/>
      <c r="J125" s="44" t="str">
        <f aca="false">IF(OR(B125="",COUNT(E125,F125,G125,H125)&lt;4),"",AVERAGE(E125,F125,G125,H125))</f>
        <v/>
      </c>
      <c r="K125" s="37" t="str">
        <f aca="false">IF(J125="","",IF(J125&lt;2.5,"Low",IF(J125&lt;3.5,"Fair","Good")))</f>
        <v/>
      </c>
    </row>
    <row r="126" customFormat="false" ht="15" hidden="false" customHeight="false" outlineLevel="0" collapsed="false">
      <c r="A126" s="32"/>
      <c r="B126" s="32"/>
      <c r="C126" s="32"/>
      <c r="D126" s="35"/>
      <c r="E126" s="32"/>
      <c r="F126" s="32"/>
      <c r="G126" s="32"/>
      <c r="H126" s="32"/>
      <c r="I126" s="33"/>
      <c r="J126" s="44" t="str">
        <f aca="false">IF(OR(B126="",COUNT(E126,F126,G126,H126)&lt;4),"",AVERAGE(E126,F126,G126,H126))</f>
        <v/>
      </c>
      <c r="K126" s="37" t="str">
        <f aca="false">IF(J126="","",IF(J126&lt;2.5,"Low",IF(J126&lt;3.5,"Fair","Good")))</f>
        <v/>
      </c>
    </row>
    <row r="127" customFormat="false" ht="15" hidden="false" customHeight="false" outlineLevel="0" collapsed="false">
      <c r="A127" s="32"/>
      <c r="B127" s="32"/>
      <c r="C127" s="32"/>
      <c r="D127" s="35"/>
      <c r="E127" s="32"/>
      <c r="F127" s="32"/>
      <c r="G127" s="32"/>
      <c r="H127" s="32"/>
      <c r="I127" s="33"/>
      <c r="J127" s="44" t="str">
        <f aca="false">IF(OR(B127="",COUNT(E127,F127,G127,H127)&lt;4),"",AVERAGE(E127,F127,G127,H127))</f>
        <v/>
      </c>
      <c r="K127" s="37" t="str">
        <f aca="false">IF(J127="","",IF(J127&lt;2.5,"Low",IF(J127&lt;3.5,"Fair","Good")))</f>
        <v/>
      </c>
    </row>
    <row r="128" customFormat="false" ht="15" hidden="false" customHeight="false" outlineLevel="0" collapsed="false">
      <c r="A128" s="32"/>
      <c r="B128" s="32"/>
      <c r="C128" s="32"/>
      <c r="D128" s="35"/>
      <c r="E128" s="32"/>
      <c r="F128" s="32"/>
      <c r="G128" s="32"/>
      <c r="H128" s="32"/>
      <c r="I128" s="33"/>
      <c r="J128" s="44" t="str">
        <f aca="false">IF(OR(B128="",COUNT(E128,F128,G128,H128)&lt;4),"",AVERAGE(E128,F128,G128,H128))</f>
        <v/>
      </c>
      <c r="K128" s="37" t="str">
        <f aca="false">IF(J128="","",IF(J128&lt;2.5,"Low",IF(J128&lt;3.5,"Fair","Good")))</f>
        <v/>
      </c>
    </row>
    <row r="129" customFormat="false" ht="15" hidden="false" customHeight="false" outlineLevel="0" collapsed="false">
      <c r="A129" s="32"/>
      <c r="B129" s="32"/>
      <c r="C129" s="32"/>
      <c r="D129" s="35"/>
      <c r="E129" s="32"/>
      <c r="F129" s="32"/>
      <c r="G129" s="32"/>
      <c r="H129" s="32"/>
      <c r="I129" s="33"/>
      <c r="J129" s="44" t="str">
        <f aca="false">IF(OR(B129="",COUNT(E129,F129,G129,H129)&lt;4),"",AVERAGE(E129,F129,G129,H129))</f>
        <v/>
      </c>
      <c r="K129" s="37" t="str">
        <f aca="false">IF(J129="","",IF(J129&lt;2.5,"Low",IF(J129&lt;3.5,"Fair","Good")))</f>
        <v/>
      </c>
    </row>
    <row r="130" customFormat="false" ht="15" hidden="false" customHeight="false" outlineLevel="0" collapsed="false">
      <c r="A130" s="32"/>
      <c r="B130" s="32"/>
      <c r="C130" s="32"/>
      <c r="D130" s="35"/>
      <c r="E130" s="32"/>
      <c r="F130" s="32"/>
      <c r="G130" s="32"/>
      <c r="H130" s="32"/>
      <c r="I130" s="33"/>
      <c r="J130" s="44" t="str">
        <f aca="false">IF(OR(B130="",COUNT(E130,F130,G130,H130)&lt;4),"",AVERAGE(E130,F130,G130,H130))</f>
        <v/>
      </c>
      <c r="K130" s="37" t="str">
        <f aca="false">IF(J130="","",IF(J130&lt;2.5,"Low",IF(J130&lt;3.5,"Fair","Good")))</f>
        <v/>
      </c>
    </row>
    <row r="131" customFormat="false" ht="15" hidden="false" customHeight="false" outlineLevel="0" collapsed="false">
      <c r="A131" s="32"/>
      <c r="B131" s="32"/>
      <c r="C131" s="32"/>
      <c r="D131" s="35"/>
      <c r="E131" s="32"/>
      <c r="F131" s="32"/>
      <c r="G131" s="32"/>
      <c r="H131" s="32"/>
      <c r="I131" s="33"/>
      <c r="J131" s="44" t="str">
        <f aca="false">IF(OR(B131="",COUNT(E131,F131,G131,H131)&lt;4),"",AVERAGE(E131,F131,G131,H131))</f>
        <v/>
      </c>
      <c r="K131" s="37" t="str">
        <f aca="false">IF(J131="","",IF(J131&lt;2.5,"Low",IF(J131&lt;3.5,"Fair","Good")))</f>
        <v/>
      </c>
    </row>
    <row r="132" customFormat="false" ht="15" hidden="false" customHeight="false" outlineLevel="0" collapsed="false">
      <c r="A132" s="32"/>
      <c r="B132" s="32"/>
      <c r="C132" s="32"/>
      <c r="D132" s="35"/>
      <c r="E132" s="32"/>
      <c r="F132" s="32"/>
      <c r="G132" s="32"/>
      <c r="H132" s="32"/>
      <c r="I132" s="33"/>
      <c r="J132" s="44" t="str">
        <f aca="false">IF(OR(B132="",COUNT(E132,F132,G132,H132)&lt;4),"",AVERAGE(E132,F132,G132,H132))</f>
        <v/>
      </c>
      <c r="K132" s="37" t="str">
        <f aca="false">IF(J132="","",IF(J132&lt;2.5,"Low",IF(J132&lt;3.5,"Fair","Good")))</f>
        <v/>
      </c>
    </row>
    <row r="133" customFormat="false" ht="15" hidden="false" customHeight="false" outlineLevel="0" collapsed="false">
      <c r="A133" s="32"/>
      <c r="B133" s="32"/>
      <c r="C133" s="32"/>
      <c r="D133" s="35"/>
      <c r="E133" s="32"/>
      <c r="F133" s="32"/>
      <c r="G133" s="32"/>
      <c r="H133" s="32"/>
      <c r="I133" s="33"/>
      <c r="J133" s="44" t="str">
        <f aca="false">IF(OR(B133="",COUNT(E133,F133,G133,H133)&lt;4),"",AVERAGE(E133,F133,G133,H133))</f>
        <v/>
      </c>
      <c r="K133" s="37" t="str">
        <f aca="false">IF(J133="","",IF(J133&lt;2.5,"Low",IF(J133&lt;3.5,"Fair","Good")))</f>
        <v/>
      </c>
    </row>
    <row r="134" customFormat="false" ht="15" hidden="false" customHeight="false" outlineLevel="0" collapsed="false">
      <c r="A134" s="32"/>
      <c r="B134" s="32"/>
      <c r="C134" s="32"/>
      <c r="D134" s="35"/>
      <c r="E134" s="32"/>
      <c r="F134" s="32"/>
      <c r="G134" s="32"/>
      <c r="H134" s="32"/>
      <c r="I134" s="33"/>
      <c r="J134" s="44" t="str">
        <f aca="false">IF(OR(B134="",COUNT(E134,F134,G134,H134)&lt;4),"",AVERAGE(E134,F134,G134,H134))</f>
        <v/>
      </c>
      <c r="K134" s="37" t="str">
        <f aca="false">IF(J134="","",IF(J134&lt;2.5,"Low",IF(J134&lt;3.5,"Fair","Good")))</f>
        <v/>
      </c>
    </row>
    <row r="135" customFormat="false" ht="15" hidden="false" customHeight="false" outlineLevel="0" collapsed="false">
      <c r="A135" s="32"/>
      <c r="B135" s="32"/>
      <c r="C135" s="32"/>
      <c r="D135" s="35"/>
      <c r="E135" s="32"/>
      <c r="F135" s="32"/>
      <c r="G135" s="32"/>
      <c r="H135" s="32"/>
      <c r="I135" s="33"/>
      <c r="J135" s="44" t="str">
        <f aca="false">IF(OR(B135="",COUNT(E135,F135,G135,H135)&lt;4),"",AVERAGE(E135,F135,G135,H135))</f>
        <v/>
      </c>
      <c r="K135" s="37" t="str">
        <f aca="false">IF(J135="","",IF(J135&lt;2.5,"Low",IF(J135&lt;3.5,"Fair","Good")))</f>
        <v/>
      </c>
    </row>
    <row r="136" customFormat="false" ht="15" hidden="false" customHeight="false" outlineLevel="0" collapsed="false">
      <c r="A136" s="32"/>
      <c r="B136" s="32"/>
      <c r="C136" s="32"/>
      <c r="D136" s="35"/>
      <c r="E136" s="32"/>
      <c r="F136" s="32"/>
      <c r="G136" s="32"/>
      <c r="H136" s="32"/>
      <c r="I136" s="33"/>
      <c r="J136" s="44" t="str">
        <f aca="false">IF(OR(B136="",COUNT(E136,F136,G136,H136)&lt;4),"",AVERAGE(E136,F136,G136,H136))</f>
        <v/>
      </c>
      <c r="K136" s="37" t="str">
        <f aca="false">IF(J136="","",IF(J136&lt;2.5,"Low",IF(J136&lt;3.5,"Fair","Good")))</f>
        <v/>
      </c>
    </row>
    <row r="137" customFormat="false" ht="15" hidden="false" customHeight="false" outlineLevel="0" collapsed="false">
      <c r="A137" s="32"/>
      <c r="B137" s="32"/>
      <c r="C137" s="32"/>
      <c r="D137" s="35"/>
      <c r="E137" s="32"/>
      <c r="F137" s="32"/>
      <c r="G137" s="32"/>
      <c r="H137" s="32"/>
      <c r="I137" s="33"/>
      <c r="J137" s="44" t="str">
        <f aca="false">IF(OR(B137="",COUNT(E137,F137,G137,H137)&lt;4),"",AVERAGE(E137,F137,G137,H137))</f>
        <v/>
      </c>
      <c r="K137" s="37" t="str">
        <f aca="false">IF(J137="","",IF(J137&lt;2.5,"Low",IF(J137&lt;3.5,"Fair","Good")))</f>
        <v/>
      </c>
    </row>
    <row r="138" customFormat="false" ht="15" hidden="false" customHeight="false" outlineLevel="0" collapsed="false">
      <c r="A138" s="32"/>
      <c r="B138" s="32"/>
      <c r="C138" s="32"/>
      <c r="D138" s="35"/>
      <c r="E138" s="32"/>
      <c r="F138" s="32"/>
      <c r="G138" s="32"/>
      <c r="H138" s="32"/>
      <c r="I138" s="33"/>
      <c r="J138" s="44" t="str">
        <f aca="false">IF(OR(B138="",COUNT(E138,F138,G138,H138)&lt;4),"",AVERAGE(E138,F138,G138,H138))</f>
        <v/>
      </c>
      <c r="K138" s="37" t="str">
        <f aca="false">IF(J138="","",IF(J138&lt;2.5,"Low",IF(J138&lt;3.5,"Fair","Good")))</f>
        <v/>
      </c>
    </row>
    <row r="139" customFormat="false" ht="15" hidden="false" customHeight="false" outlineLevel="0" collapsed="false">
      <c r="A139" s="32"/>
      <c r="B139" s="32"/>
      <c r="C139" s="32"/>
      <c r="D139" s="35"/>
      <c r="E139" s="32"/>
      <c r="F139" s="32"/>
      <c r="G139" s="32"/>
      <c r="H139" s="32"/>
      <c r="I139" s="33"/>
      <c r="J139" s="44" t="str">
        <f aca="false">IF(OR(B139="",COUNT(E139,F139,G139,H139)&lt;4),"",AVERAGE(E139,F139,G139,H139))</f>
        <v/>
      </c>
      <c r="K139" s="37" t="str">
        <f aca="false">IF(J139="","",IF(J139&lt;2.5,"Low",IF(J139&lt;3.5,"Fair","Good")))</f>
        <v/>
      </c>
    </row>
    <row r="140" customFormat="false" ht="15" hidden="false" customHeight="false" outlineLevel="0" collapsed="false">
      <c r="A140" s="32"/>
      <c r="B140" s="32"/>
      <c r="C140" s="32"/>
      <c r="D140" s="35"/>
      <c r="E140" s="32"/>
      <c r="F140" s="32"/>
      <c r="G140" s="32"/>
      <c r="H140" s="32"/>
      <c r="I140" s="33"/>
      <c r="J140" s="44" t="str">
        <f aca="false">IF(OR(B140="",COUNT(E140,F140,G140,H140)&lt;4),"",AVERAGE(E140,F140,G140,H140))</f>
        <v/>
      </c>
      <c r="K140" s="37" t="str">
        <f aca="false">IF(J140="","",IF(J140&lt;2.5,"Low",IF(J140&lt;3.5,"Fair","Good")))</f>
        <v/>
      </c>
    </row>
    <row r="141" customFormat="false" ht="15" hidden="false" customHeight="false" outlineLevel="0" collapsed="false">
      <c r="A141" s="32"/>
      <c r="B141" s="32"/>
      <c r="C141" s="32"/>
      <c r="D141" s="35"/>
      <c r="E141" s="32"/>
      <c r="F141" s="32"/>
      <c r="G141" s="32"/>
      <c r="H141" s="32"/>
      <c r="I141" s="33"/>
      <c r="J141" s="44" t="str">
        <f aca="false">IF(OR(B141="",COUNT(E141,F141,G141,H141)&lt;4),"",AVERAGE(E141,F141,G141,H141))</f>
        <v/>
      </c>
      <c r="K141" s="37" t="str">
        <f aca="false">IF(J141="","",IF(J141&lt;2.5,"Low",IF(J141&lt;3.5,"Fair","Good")))</f>
        <v/>
      </c>
    </row>
    <row r="142" customFormat="false" ht="15" hidden="false" customHeight="false" outlineLevel="0" collapsed="false">
      <c r="A142" s="32"/>
      <c r="B142" s="32"/>
      <c r="C142" s="32"/>
      <c r="D142" s="35"/>
      <c r="E142" s="32"/>
      <c r="F142" s="32"/>
      <c r="G142" s="32"/>
      <c r="H142" s="32"/>
      <c r="I142" s="33"/>
      <c r="J142" s="44" t="str">
        <f aca="false">IF(OR(B142="",COUNT(E142,F142,G142,H142)&lt;4),"",AVERAGE(E142,F142,G142,H142))</f>
        <v/>
      </c>
      <c r="K142" s="37" t="str">
        <f aca="false">IF(J142="","",IF(J142&lt;2.5,"Low",IF(J142&lt;3.5,"Fair","Good")))</f>
        <v/>
      </c>
    </row>
    <row r="143" customFormat="false" ht="15" hidden="false" customHeight="false" outlineLevel="0" collapsed="false">
      <c r="A143" s="32"/>
      <c r="B143" s="32"/>
      <c r="C143" s="32"/>
      <c r="D143" s="35"/>
      <c r="E143" s="32"/>
      <c r="F143" s="32"/>
      <c r="G143" s="32"/>
      <c r="H143" s="32"/>
      <c r="I143" s="33"/>
      <c r="J143" s="44" t="str">
        <f aca="false">IF(OR(B143="",COUNT(E143,F143,G143,H143)&lt;4),"",AVERAGE(E143,F143,G143,H143))</f>
        <v/>
      </c>
      <c r="K143" s="37" t="str">
        <f aca="false">IF(J143="","",IF(J143&lt;2.5,"Low",IF(J143&lt;3.5,"Fair","Good")))</f>
        <v/>
      </c>
    </row>
    <row r="144" customFormat="false" ht="15" hidden="false" customHeight="false" outlineLevel="0" collapsed="false">
      <c r="A144" s="32"/>
      <c r="B144" s="32"/>
      <c r="C144" s="32"/>
      <c r="D144" s="35"/>
      <c r="E144" s="32"/>
      <c r="F144" s="32"/>
      <c r="G144" s="32"/>
      <c r="H144" s="32"/>
      <c r="I144" s="33"/>
      <c r="J144" s="44" t="str">
        <f aca="false">IF(OR(B144="",COUNT(E144,F144,G144,H144)&lt;4),"",AVERAGE(E144,F144,G144,H144))</f>
        <v/>
      </c>
      <c r="K144" s="37" t="str">
        <f aca="false">IF(J144="","",IF(J144&lt;2.5,"Low",IF(J144&lt;3.5,"Fair","Good")))</f>
        <v/>
      </c>
    </row>
    <row r="145" customFormat="false" ht="15" hidden="false" customHeight="false" outlineLevel="0" collapsed="false">
      <c r="A145" s="32"/>
      <c r="B145" s="32"/>
      <c r="C145" s="32"/>
      <c r="D145" s="35"/>
      <c r="E145" s="32"/>
      <c r="F145" s="32"/>
      <c r="G145" s="32"/>
      <c r="H145" s="32"/>
      <c r="I145" s="33"/>
      <c r="J145" s="44" t="str">
        <f aca="false">IF(OR(B145="",COUNT(E145,F145,G145,H145)&lt;4),"",AVERAGE(E145,F145,G145,H145))</f>
        <v/>
      </c>
      <c r="K145" s="37" t="str">
        <f aca="false">IF(J145="","",IF(J145&lt;2.5,"Low",IF(J145&lt;3.5,"Fair","Good")))</f>
        <v/>
      </c>
    </row>
    <row r="146" customFormat="false" ht="15" hidden="false" customHeight="false" outlineLevel="0" collapsed="false">
      <c r="A146" s="32"/>
      <c r="B146" s="32"/>
      <c r="C146" s="32"/>
      <c r="D146" s="35"/>
      <c r="E146" s="32"/>
      <c r="F146" s="32"/>
      <c r="G146" s="32"/>
      <c r="H146" s="32"/>
      <c r="I146" s="33"/>
      <c r="J146" s="44" t="str">
        <f aca="false">IF(OR(B146="",COUNT(E146,F146,G146,H146)&lt;4),"",AVERAGE(E146,F146,G146,H146))</f>
        <v/>
      </c>
      <c r="K146" s="37" t="str">
        <f aca="false">IF(J146="","",IF(J146&lt;2.5,"Low",IF(J146&lt;3.5,"Fair","Good")))</f>
        <v/>
      </c>
    </row>
    <row r="147" customFormat="false" ht="15" hidden="false" customHeight="false" outlineLevel="0" collapsed="false">
      <c r="A147" s="32"/>
      <c r="B147" s="32"/>
      <c r="C147" s="32"/>
      <c r="D147" s="35"/>
      <c r="E147" s="32"/>
      <c r="F147" s="32"/>
      <c r="G147" s="32"/>
      <c r="H147" s="32"/>
      <c r="I147" s="33"/>
      <c r="J147" s="44" t="str">
        <f aca="false">IF(OR(B147="",COUNT(E147,F147,G147,H147)&lt;4),"",AVERAGE(E147,F147,G147,H147))</f>
        <v/>
      </c>
      <c r="K147" s="37" t="str">
        <f aca="false">IF(J147="","",IF(J147&lt;2.5,"Low",IF(J147&lt;3.5,"Fair","Good")))</f>
        <v/>
      </c>
    </row>
    <row r="148" customFormat="false" ht="15" hidden="false" customHeight="false" outlineLevel="0" collapsed="false">
      <c r="A148" s="32"/>
      <c r="B148" s="32"/>
      <c r="C148" s="32"/>
      <c r="D148" s="35"/>
      <c r="E148" s="32"/>
      <c r="F148" s="32"/>
      <c r="G148" s="32"/>
      <c r="H148" s="32"/>
      <c r="I148" s="33"/>
      <c r="J148" s="44" t="str">
        <f aca="false">IF(OR(B148="",COUNT(E148,F148,G148,H148)&lt;4),"",AVERAGE(E148,F148,G148,H148))</f>
        <v/>
      </c>
      <c r="K148" s="37" t="str">
        <f aca="false">IF(J148="","",IF(J148&lt;2.5,"Low",IF(J148&lt;3.5,"Fair","Good")))</f>
        <v/>
      </c>
    </row>
    <row r="149" customFormat="false" ht="15" hidden="false" customHeight="false" outlineLevel="0" collapsed="false">
      <c r="A149" s="32"/>
      <c r="B149" s="32"/>
      <c r="C149" s="32"/>
      <c r="D149" s="35"/>
      <c r="E149" s="32"/>
      <c r="F149" s="32"/>
      <c r="G149" s="32"/>
      <c r="H149" s="32"/>
      <c r="I149" s="33"/>
      <c r="J149" s="44" t="str">
        <f aca="false">IF(OR(B149="",COUNT(E149,F149,G149,H149)&lt;4),"",AVERAGE(E149,F149,G149,H149))</f>
        <v/>
      </c>
      <c r="K149" s="37" t="str">
        <f aca="false">IF(J149="","",IF(J149&lt;2.5,"Low",IF(J149&lt;3.5,"Fair","Good")))</f>
        <v/>
      </c>
    </row>
    <row r="150" customFormat="false" ht="15" hidden="false" customHeight="false" outlineLevel="0" collapsed="false">
      <c r="A150" s="32"/>
      <c r="B150" s="32"/>
      <c r="C150" s="32"/>
      <c r="D150" s="35"/>
      <c r="E150" s="32"/>
      <c r="F150" s="32"/>
      <c r="G150" s="32"/>
      <c r="H150" s="32"/>
      <c r="I150" s="33"/>
      <c r="J150" s="44" t="str">
        <f aca="false">IF(OR(B150="",COUNT(E150,F150,G150,H150)&lt;4),"",AVERAGE(E150,F150,G150,H150))</f>
        <v/>
      </c>
      <c r="K150" s="37" t="str">
        <f aca="false">IF(J150="","",IF(J150&lt;2.5,"Low",IF(J150&lt;3.5,"Fair","Good")))</f>
        <v/>
      </c>
    </row>
    <row r="151" customFormat="false" ht="15" hidden="false" customHeight="false" outlineLevel="0" collapsed="false">
      <c r="A151" s="32"/>
      <c r="B151" s="32"/>
      <c r="C151" s="32"/>
      <c r="D151" s="35"/>
      <c r="E151" s="32"/>
      <c r="F151" s="32"/>
      <c r="G151" s="32"/>
      <c r="H151" s="32"/>
      <c r="I151" s="33"/>
      <c r="J151" s="44" t="str">
        <f aca="false">IF(OR(B151="",COUNT(E151,F151,G151,H151)&lt;4),"",AVERAGE(E151,F151,G151,H151))</f>
        <v/>
      </c>
      <c r="K151" s="37" t="str">
        <f aca="false">IF(J151="","",IF(J151&lt;2.5,"Low",IF(J151&lt;3.5,"Fair","Good")))</f>
        <v/>
      </c>
    </row>
    <row r="152" customFormat="false" ht="15" hidden="false" customHeight="false" outlineLevel="0" collapsed="false">
      <c r="A152" s="32"/>
      <c r="B152" s="32"/>
      <c r="C152" s="32"/>
      <c r="D152" s="35"/>
      <c r="E152" s="32"/>
      <c r="F152" s="32"/>
      <c r="G152" s="32"/>
      <c r="H152" s="32"/>
      <c r="I152" s="33"/>
      <c r="J152" s="44" t="str">
        <f aca="false">IF(OR(B152="",COUNT(E152,F152,G152,H152)&lt;4),"",AVERAGE(E152,F152,G152,H152))</f>
        <v/>
      </c>
      <c r="K152" s="37" t="str">
        <f aca="false">IF(J152="","",IF(J152&lt;2.5,"Low",IF(J152&lt;3.5,"Fair","Good")))</f>
        <v/>
      </c>
    </row>
    <row r="153" customFormat="false" ht="15" hidden="false" customHeight="false" outlineLevel="0" collapsed="false">
      <c r="A153" s="32"/>
      <c r="B153" s="32"/>
      <c r="C153" s="32"/>
      <c r="D153" s="35"/>
      <c r="E153" s="32"/>
      <c r="F153" s="32"/>
      <c r="G153" s="32"/>
      <c r="H153" s="32"/>
      <c r="I153" s="33"/>
      <c r="J153" s="44" t="str">
        <f aca="false">IF(OR(B153="",COUNT(E153,F153,G153,H153)&lt;4),"",AVERAGE(E153,F153,G153,H153))</f>
        <v/>
      </c>
      <c r="K153" s="37" t="str">
        <f aca="false">IF(J153="","",IF(J153&lt;2.5,"Low",IF(J153&lt;3.5,"Fair","Good")))</f>
        <v/>
      </c>
    </row>
    <row r="154" customFormat="false" ht="15" hidden="false" customHeight="false" outlineLevel="0" collapsed="false">
      <c r="A154" s="32"/>
      <c r="B154" s="32"/>
      <c r="C154" s="32"/>
      <c r="D154" s="35"/>
      <c r="E154" s="32"/>
      <c r="F154" s="32"/>
      <c r="G154" s="32"/>
      <c r="H154" s="32"/>
      <c r="I154" s="33"/>
      <c r="J154" s="44" t="str">
        <f aca="false">IF(OR(B154="",COUNT(E154,F154,G154,H154)&lt;4),"",AVERAGE(E154,F154,G154,H154))</f>
        <v/>
      </c>
      <c r="K154" s="37" t="str">
        <f aca="false">IF(J154="","",IF(J154&lt;2.5,"Low",IF(J154&lt;3.5,"Fair","Good")))</f>
        <v/>
      </c>
    </row>
    <row r="155" customFormat="false" ht="15" hidden="false" customHeight="false" outlineLevel="0" collapsed="false">
      <c r="A155" s="32"/>
      <c r="B155" s="32"/>
      <c r="C155" s="32"/>
      <c r="D155" s="35"/>
      <c r="E155" s="32"/>
      <c r="F155" s="32"/>
      <c r="G155" s="32"/>
      <c r="H155" s="32"/>
      <c r="I155" s="33"/>
      <c r="J155" s="44" t="str">
        <f aca="false">IF(OR(B155="",COUNT(E155,F155,G155,H155)&lt;4),"",AVERAGE(E155,F155,G155,H155))</f>
        <v/>
      </c>
      <c r="K155" s="37" t="str">
        <f aca="false">IF(J155="","",IF(J155&lt;2.5,"Low",IF(J155&lt;3.5,"Fair","Good")))</f>
        <v/>
      </c>
    </row>
    <row r="156" customFormat="false" ht="15" hidden="false" customHeight="false" outlineLevel="0" collapsed="false">
      <c r="A156" s="32"/>
      <c r="B156" s="32"/>
      <c r="C156" s="32"/>
      <c r="D156" s="35"/>
      <c r="E156" s="32"/>
      <c r="F156" s="32"/>
      <c r="G156" s="32"/>
      <c r="H156" s="32"/>
      <c r="I156" s="33"/>
      <c r="J156" s="44" t="str">
        <f aca="false">IF(OR(B156="",COUNT(E156,F156,G156,H156)&lt;4),"",AVERAGE(E156,F156,G156,H156))</f>
        <v/>
      </c>
      <c r="K156" s="37" t="str">
        <f aca="false">IF(J156="","",IF(J156&lt;2.5,"Low",IF(J156&lt;3.5,"Fair","Good")))</f>
        <v/>
      </c>
    </row>
    <row r="157" customFormat="false" ht="15" hidden="false" customHeight="false" outlineLevel="0" collapsed="false">
      <c r="A157" s="32"/>
      <c r="B157" s="32"/>
      <c r="C157" s="32"/>
      <c r="D157" s="35"/>
      <c r="E157" s="32"/>
      <c r="F157" s="32"/>
      <c r="G157" s="32"/>
      <c r="H157" s="32"/>
      <c r="I157" s="33"/>
      <c r="J157" s="44" t="str">
        <f aca="false">IF(OR(B157="",COUNT(E157,F157,G157,H157)&lt;4),"",AVERAGE(E157,F157,G157,H157))</f>
        <v/>
      </c>
      <c r="K157" s="37" t="str">
        <f aca="false">IF(J157="","",IF(J157&lt;2.5,"Low",IF(J157&lt;3.5,"Fair","Good")))</f>
        <v/>
      </c>
    </row>
    <row r="158" customFormat="false" ht="15" hidden="false" customHeight="false" outlineLevel="0" collapsed="false">
      <c r="A158" s="32"/>
      <c r="B158" s="32"/>
      <c r="C158" s="32"/>
      <c r="D158" s="35"/>
      <c r="E158" s="32"/>
      <c r="F158" s="32"/>
      <c r="G158" s="32"/>
      <c r="H158" s="32"/>
      <c r="I158" s="33"/>
      <c r="J158" s="44" t="str">
        <f aca="false">IF(OR(B158="",COUNT(E158,F158,G158,H158)&lt;4),"",AVERAGE(E158,F158,G158,H158))</f>
        <v/>
      </c>
      <c r="K158" s="37" t="str">
        <f aca="false">IF(J158="","",IF(J158&lt;2.5,"Low",IF(J158&lt;3.5,"Fair","Good")))</f>
        <v/>
      </c>
    </row>
    <row r="159" customFormat="false" ht="15" hidden="false" customHeight="false" outlineLevel="0" collapsed="false">
      <c r="A159" s="32"/>
      <c r="B159" s="32"/>
      <c r="C159" s="32"/>
      <c r="D159" s="35"/>
      <c r="E159" s="32"/>
      <c r="F159" s="32"/>
      <c r="G159" s="32"/>
      <c r="H159" s="32"/>
      <c r="I159" s="33"/>
      <c r="J159" s="44" t="str">
        <f aca="false">IF(OR(B159="",COUNT(E159,F159,G159,H159)&lt;4),"",AVERAGE(E159,F159,G159,H159))</f>
        <v/>
      </c>
      <c r="K159" s="37" t="str">
        <f aca="false">IF(J159="","",IF(J159&lt;2.5,"Low",IF(J159&lt;3.5,"Fair","Good")))</f>
        <v/>
      </c>
    </row>
    <row r="160" customFormat="false" ht="15" hidden="false" customHeight="false" outlineLevel="0" collapsed="false">
      <c r="A160" s="32"/>
      <c r="B160" s="32"/>
      <c r="C160" s="32"/>
      <c r="D160" s="35"/>
      <c r="E160" s="32"/>
      <c r="F160" s="32"/>
      <c r="G160" s="32"/>
      <c r="H160" s="32"/>
      <c r="I160" s="33"/>
      <c r="J160" s="44" t="str">
        <f aca="false">IF(OR(B160="",COUNT(E160,F160,G160,H160)&lt;4),"",AVERAGE(E160,F160,G160,H160))</f>
        <v/>
      </c>
      <c r="K160" s="37" t="str">
        <f aca="false">IF(J160="","",IF(J160&lt;2.5,"Low",IF(J160&lt;3.5,"Fair","Good")))</f>
        <v/>
      </c>
    </row>
    <row r="161" customFormat="false" ht="15" hidden="false" customHeight="false" outlineLevel="0" collapsed="false">
      <c r="A161" s="32"/>
      <c r="B161" s="32"/>
      <c r="C161" s="32"/>
      <c r="D161" s="35"/>
      <c r="E161" s="32"/>
      <c r="F161" s="32"/>
      <c r="G161" s="32"/>
      <c r="H161" s="32"/>
      <c r="I161" s="33"/>
      <c r="J161" s="44" t="str">
        <f aca="false">IF(OR(B161="",COUNT(E161,F161,G161,H161)&lt;4),"",AVERAGE(E161,F161,G161,H161))</f>
        <v/>
      </c>
      <c r="K161" s="37" t="str">
        <f aca="false">IF(J161="","",IF(J161&lt;2.5,"Low",IF(J161&lt;3.5,"Fair","Good")))</f>
        <v/>
      </c>
    </row>
    <row r="162" customFormat="false" ht="15" hidden="false" customHeight="false" outlineLevel="0" collapsed="false">
      <c r="A162" s="32"/>
      <c r="B162" s="32"/>
      <c r="C162" s="32"/>
      <c r="D162" s="35"/>
      <c r="E162" s="32"/>
      <c r="F162" s="32"/>
      <c r="G162" s="32"/>
      <c r="H162" s="32"/>
      <c r="I162" s="33"/>
      <c r="J162" s="44" t="str">
        <f aca="false">IF(OR(B162="",COUNT(E162,F162,G162,H162)&lt;4),"",AVERAGE(E162,F162,G162,H162))</f>
        <v/>
      </c>
      <c r="K162" s="37" t="str">
        <f aca="false">IF(J162="","",IF(J162&lt;2.5,"Low",IF(J162&lt;3.5,"Fair","Good")))</f>
        <v/>
      </c>
    </row>
    <row r="163" customFormat="false" ht="15" hidden="false" customHeight="false" outlineLevel="0" collapsed="false">
      <c r="A163" s="32"/>
      <c r="B163" s="32"/>
      <c r="C163" s="32"/>
      <c r="D163" s="35"/>
      <c r="E163" s="32"/>
      <c r="F163" s="32"/>
      <c r="G163" s="32"/>
      <c r="H163" s="32"/>
      <c r="I163" s="33"/>
      <c r="J163" s="44" t="str">
        <f aca="false">IF(OR(B163="",COUNT(E163,F163,G163,H163)&lt;4),"",AVERAGE(E163,F163,G163,H163))</f>
        <v/>
      </c>
      <c r="K163" s="37" t="str">
        <f aca="false">IF(J163="","",IF(J163&lt;2.5,"Low",IF(J163&lt;3.5,"Fair","Good")))</f>
        <v/>
      </c>
    </row>
    <row r="164" customFormat="false" ht="15" hidden="false" customHeight="false" outlineLevel="0" collapsed="false">
      <c r="A164" s="32"/>
      <c r="B164" s="32"/>
      <c r="C164" s="32"/>
      <c r="D164" s="35"/>
      <c r="E164" s="32"/>
      <c r="F164" s="32"/>
      <c r="G164" s="32"/>
      <c r="H164" s="32"/>
      <c r="I164" s="33"/>
      <c r="J164" s="44" t="str">
        <f aca="false">IF(OR(B164="",COUNT(E164,F164,G164,H164)&lt;4),"",AVERAGE(E164,F164,G164,H164))</f>
        <v/>
      </c>
      <c r="K164" s="37" t="str">
        <f aca="false">IF(J164="","",IF(J164&lt;2.5,"Low",IF(J164&lt;3.5,"Fair","Good")))</f>
        <v/>
      </c>
    </row>
    <row r="165" customFormat="false" ht="15" hidden="false" customHeight="false" outlineLevel="0" collapsed="false">
      <c r="A165" s="32"/>
      <c r="B165" s="32"/>
      <c r="C165" s="32"/>
      <c r="D165" s="35"/>
      <c r="E165" s="32"/>
      <c r="F165" s="32"/>
      <c r="G165" s="32"/>
      <c r="H165" s="32"/>
      <c r="I165" s="33"/>
      <c r="J165" s="44" t="str">
        <f aca="false">IF(OR(B165="",COUNT(E165,F165,G165,H165)&lt;4),"",AVERAGE(E165,F165,G165,H165))</f>
        <v/>
      </c>
      <c r="K165" s="37" t="str">
        <f aca="false">IF(J165="","",IF(J165&lt;2.5,"Low",IF(J165&lt;3.5,"Fair","Good")))</f>
        <v/>
      </c>
    </row>
    <row r="166" customFormat="false" ht="15" hidden="false" customHeight="false" outlineLevel="0" collapsed="false">
      <c r="A166" s="32"/>
      <c r="B166" s="32"/>
      <c r="C166" s="32"/>
      <c r="D166" s="35"/>
      <c r="E166" s="32"/>
      <c r="F166" s="32"/>
      <c r="G166" s="32"/>
      <c r="H166" s="32"/>
      <c r="I166" s="33"/>
      <c r="J166" s="44" t="str">
        <f aca="false">IF(OR(B166="",COUNT(E166,F166,G166,H166)&lt;4),"",AVERAGE(E166,F166,G166,H166))</f>
        <v/>
      </c>
      <c r="K166" s="37" t="str">
        <f aca="false">IF(J166="","",IF(J166&lt;2.5,"Low",IF(J166&lt;3.5,"Fair","Good")))</f>
        <v/>
      </c>
    </row>
    <row r="167" customFormat="false" ht="15" hidden="false" customHeight="false" outlineLevel="0" collapsed="false">
      <c r="A167" s="32"/>
      <c r="B167" s="32"/>
      <c r="C167" s="32"/>
      <c r="D167" s="35"/>
      <c r="E167" s="32"/>
      <c r="F167" s="32"/>
      <c r="G167" s="32"/>
      <c r="H167" s="32"/>
      <c r="I167" s="33"/>
      <c r="J167" s="44" t="str">
        <f aca="false">IF(OR(B167="",COUNT(E167,F167,G167,H167)&lt;4),"",AVERAGE(E167,F167,G167,H167))</f>
        <v/>
      </c>
      <c r="K167" s="37" t="str">
        <f aca="false">IF(J167="","",IF(J167&lt;2.5,"Low",IF(J167&lt;3.5,"Fair","Good")))</f>
        <v/>
      </c>
    </row>
    <row r="168" customFormat="false" ht="15" hidden="false" customHeight="false" outlineLevel="0" collapsed="false">
      <c r="A168" s="32"/>
      <c r="B168" s="32"/>
      <c r="C168" s="32"/>
      <c r="D168" s="35"/>
      <c r="E168" s="32"/>
      <c r="F168" s="32"/>
      <c r="G168" s="32"/>
      <c r="H168" s="32"/>
      <c r="I168" s="33"/>
      <c r="J168" s="44" t="str">
        <f aca="false">IF(OR(B168="",COUNT(E168,F168,G168,H168)&lt;4),"",AVERAGE(E168,F168,G168,H168))</f>
        <v/>
      </c>
      <c r="K168" s="37" t="str">
        <f aca="false">IF(J168="","",IF(J168&lt;2.5,"Low",IF(J168&lt;3.5,"Fair","Good")))</f>
        <v/>
      </c>
    </row>
    <row r="169" customFormat="false" ht="15" hidden="false" customHeight="false" outlineLevel="0" collapsed="false">
      <c r="A169" s="32"/>
      <c r="B169" s="32"/>
      <c r="C169" s="32"/>
      <c r="D169" s="35"/>
      <c r="E169" s="32"/>
      <c r="F169" s="32"/>
      <c r="G169" s="32"/>
      <c r="H169" s="32"/>
      <c r="I169" s="33"/>
      <c r="J169" s="44" t="str">
        <f aca="false">IF(OR(B169="",COUNT(E169,F169,G169,H169)&lt;4),"",AVERAGE(E169,F169,G169,H169))</f>
        <v/>
      </c>
      <c r="K169" s="37" t="str">
        <f aca="false">IF(J169="","",IF(J169&lt;2.5,"Low",IF(J169&lt;3.5,"Fair","Good")))</f>
        <v/>
      </c>
    </row>
    <row r="170" customFormat="false" ht="15" hidden="false" customHeight="false" outlineLevel="0" collapsed="false">
      <c r="A170" s="32"/>
      <c r="B170" s="32"/>
      <c r="C170" s="32"/>
      <c r="D170" s="35"/>
      <c r="E170" s="32"/>
      <c r="F170" s="32"/>
      <c r="G170" s="32"/>
      <c r="H170" s="32"/>
      <c r="I170" s="33"/>
      <c r="J170" s="44" t="str">
        <f aca="false">IF(OR(B170="",COUNT(E170,F170,G170,H170)&lt;4),"",AVERAGE(E170,F170,G170,H170))</f>
        <v/>
      </c>
      <c r="K170" s="37" t="str">
        <f aca="false">IF(J170="","",IF(J170&lt;2.5,"Low",IF(J170&lt;3.5,"Fair","Good")))</f>
        <v/>
      </c>
    </row>
    <row r="171" customFormat="false" ht="15" hidden="false" customHeight="false" outlineLevel="0" collapsed="false">
      <c r="A171" s="32"/>
      <c r="B171" s="32"/>
      <c r="C171" s="32"/>
      <c r="D171" s="35"/>
      <c r="E171" s="32"/>
      <c r="F171" s="32"/>
      <c r="G171" s="32"/>
      <c r="H171" s="32"/>
      <c r="I171" s="33"/>
      <c r="J171" s="44" t="str">
        <f aca="false">IF(OR(B171="",COUNT(E171,F171,G171,H171)&lt;4),"",AVERAGE(E171,F171,G171,H171))</f>
        <v/>
      </c>
      <c r="K171" s="37" t="str">
        <f aca="false">IF(J171="","",IF(J171&lt;2.5,"Low",IF(J171&lt;3.5,"Fair","Good")))</f>
        <v/>
      </c>
    </row>
    <row r="172" customFormat="false" ht="15" hidden="false" customHeight="false" outlineLevel="0" collapsed="false">
      <c r="A172" s="32"/>
      <c r="B172" s="32"/>
      <c r="C172" s="32"/>
      <c r="D172" s="35"/>
      <c r="E172" s="32"/>
      <c r="F172" s="32"/>
      <c r="G172" s="32"/>
      <c r="H172" s="32"/>
      <c r="I172" s="33"/>
      <c r="J172" s="44" t="str">
        <f aca="false">IF(OR(B172="",COUNT(E172,F172,G172,H172)&lt;4),"",AVERAGE(E172,F172,G172,H172))</f>
        <v/>
      </c>
      <c r="K172" s="37" t="str">
        <f aca="false">IF(J172="","",IF(J172&lt;2.5,"Low",IF(J172&lt;3.5,"Fair","Good")))</f>
        <v/>
      </c>
    </row>
    <row r="173" customFormat="false" ht="15" hidden="false" customHeight="false" outlineLevel="0" collapsed="false">
      <c r="A173" s="32"/>
      <c r="B173" s="32"/>
      <c r="C173" s="32"/>
      <c r="D173" s="35"/>
      <c r="E173" s="32"/>
      <c r="F173" s="32"/>
      <c r="G173" s="32"/>
      <c r="H173" s="32"/>
      <c r="I173" s="33"/>
      <c r="J173" s="44" t="str">
        <f aca="false">IF(OR(B173="",COUNT(E173,F173,G173,H173)&lt;4),"",AVERAGE(E173,F173,G173,H173))</f>
        <v/>
      </c>
      <c r="K173" s="37" t="str">
        <f aca="false">IF(J173="","",IF(J173&lt;2.5,"Low",IF(J173&lt;3.5,"Fair","Good")))</f>
        <v/>
      </c>
    </row>
    <row r="174" customFormat="false" ht="15" hidden="false" customHeight="false" outlineLevel="0" collapsed="false">
      <c r="A174" s="32"/>
      <c r="B174" s="32"/>
      <c r="C174" s="32"/>
      <c r="D174" s="35"/>
      <c r="E174" s="32"/>
      <c r="F174" s="32"/>
      <c r="G174" s="32"/>
      <c r="H174" s="32"/>
      <c r="I174" s="33"/>
      <c r="J174" s="44" t="str">
        <f aca="false">IF(OR(B174="",COUNT(E174,F174,G174,H174)&lt;4),"",AVERAGE(E174,F174,G174,H174))</f>
        <v/>
      </c>
      <c r="K174" s="37" t="str">
        <f aca="false">IF(J174="","",IF(J174&lt;2.5,"Low",IF(J174&lt;3.5,"Fair","Good")))</f>
        <v/>
      </c>
    </row>
    <row r="175" customFormat="false" ht="15" hidden="false" customHeight="false" outlineLevel="0" collapsed="false">
      <c r="A175" s="32"/>
      <c r="B175" s="32"/>
      <c r="C175" s="32"/>
      <c r="D175" s="35"/>
      <c r="E175" s="32"/>
      <c r="F175" s="32"/>
      <c r="G175" s="32"/>
      <c r="H175" s="32"/>
      <c r="I175" s="33"/>
      <c r="J175" s="44" t="str">
        <f aca="false">IF(OR(B175="",COUNT(E175,F175,G175,H175)&lt;4),"",AVERAGE(E175,F175,G175,H175))</f>
        <v/>
      </c>
      <c r="K175" s="37" t="str">
        <f aca="false">IF(J175="","",IF(J175&lt;2.5,"Low",IF(J175&lt;3.5,"Fair","Good")))</f>
        <v/>
      </c>
    </row>
    <row r="176" customFormat="false" ht="15" hidden="false" customHeight="false" outlineLevel="0" collapsed="false">
      <c r="A176" s="32"/>
      <c r="B176" s="32"/>
      <c r="C176" s="32"/>
      <c r="D176" s="35"/>
      <c r="E176" s="32"/>
      <c r="F176" s="32"/>
      <c r="G176" s="32"/>
      <c r="H176" s="32"/>
      <c r="I176" s="33"/>
      <c r="J176" s="44" t="str">
        <f aca="false">IF(OR(B176="",COUNT(E176,F176,G176,H176)&lt;4),"",AVERAGE(E176,F176,G176,H176))</f>
        <v/>
      </c>
      <c r="K176" s="37" t="str">
        <f aca="false">IF(J176="","",IF(J176&lt;2.5,"Low",IF(J176&lt;3.5,"Fair","Good")))</f>
        <v/>
      </c>
    </row>
    <row r="177" customFormat="false" ht="15" hidden="false" customHeight="false" outlineLevel="0" collapsed="false">
      <c r="A177" s="32"/>
      <c r="B177" s="32"/>
      <c r="C177" s="32"/>
      <c r="D177" s="35"/>
      <c r="E177" s="32"/>
      <c r="F177" s="32"/>
      <c r="G177" s="32"/>
      <c r="H177" s="32"/>
      <c r="I177" s="33"/>
      <c r="J177" s="44" t="str">
        <f aca="false">IF(OR(B177="",COUNT(E177,F177,G177,H177)&lt;4),"",AVERAGE(E177,F177,G177,H177))</f>
        <v/>
      </c>
      <c r="K177" s="37" t="str">
        <f aca="false">IF(J177="","",IF(J177&lt;2.5,"Low",IF(J177&lt;3.5,"Fair","Good")))</f>
        <v/>
      </c>
    </row>
    <row r="178" customFormat="false" ht="15" hidden="false" customHeight="false" outlineLevel="0" collapsed="false">
      <c r="A178" s="32"/>
      <c r="B178" s="32"/>
      <c r="C178" s="32"/>
      <c r="D178" s="35"/>
      <c r="E178" s="32"/>
      <c r="F178" s="32"/>
      <c r="G178" s="32"/>
      <c r="H178" s="32"/>
      <c r="I178" s="33"/>
      <c r="J178" s="44" t="str">
        <f aca="false">IF(OR(B178="",COUNT(E178,F178,G178,H178)&lt;4),"",AVERAGE(E178,F178,G178,H178))</f>
        <v/>
      </c>
      <c r="K178" s="37" t="str">
        <f aca="false">IF(J178="","",IF(J178&lt;2.5,"Low",IF(J178&lt;3.5,"Fair","Good")))</f>
        <v/>
      </c>
    </row>
    <row r="179" customFormat="false" ht="15" hidden="false" customHeight="false" outlineLevel="0" collapsed="false">
      <c r="A179" s="32"/>
      <c r="B179" s="32"/>
      <c r="C179" s="32"/>
      <c r="D179" s="35"/>
      <c r="E179" s="32"/>
      <c r="F179" s="32"/>
      <c r="G179" s="32"/>
      <c r="H179" s="32"/>
      <c r="I179" s="33"/>
      <c r="J179" s="44" t="str">
        <f aca="false">IF(OR(B179="",COUNT(E179,F179,G179,H179)&lt;4),"",AVERAGE(E179,F179,G179,H179))</f>
        <v/>
      </c>
      <c r="K179" s="37" t="str">
        <f aca="false">IF(J179="","",IF(J179&lt;2.5,"Low",IF(J179&lt;3.5,"Fair","Good")))</f>
        <v/>
      </c>
    </row>
    <row r="180" customFormat="false" ht="15" hidden="false" customHeight="false" outlineLevel="0" collapsed="false">
      <c r="A180" s="32"/>
      <c r="B180" s="32"/>
      <c r="C180" s="32"/>
      <c r="D180" s="35"/>
      <c r="E180" s="32"/>
      <c r="F180" s="32"/>
      <c r="G180" s="32"/>
      <c r="H180" s="32"/>
      <c r="I180" s="33"/>
      <c r="J180" s="44" t="str">
        <f aca="false">IF(OR(B180="",COUNT(E180,F180,G180,H180)&lt;4),"",AVERAGE(E180,F180,G180,H180))</f>
        <v/>
      </c>
      <c r="K180" s="37" t="str">
        <f aca="false">IF(J180="","",IF(J180&lt;2.5,"Low",IF(J180&lt;3.5,"Fair","Good")))</f>
        <v/>
      </c>
    </row>
    <row r="181" customFormat="false" ht="15" hidden="false" customHeight="false" outlineLevel="0" collapsed="false">
      <c r="A181" s="32"/>
      <c r="B181" s="32"/>
      <c r="C181" s="32"/>
      <c r="D181" s="35"/>
      <c r="E181" s="32"/>
      <c r="F181" s="32"/>
      <c r="G181" s="32"/>
      <c r="H181" s="32"/>
      <c r="I181" s="33"/>
      <c r="J181" s="44" t="str">
        <f aca="false">IF(OR(B181="",COUNT(E181,F181,G181,H181)&lt;4),"",AVERAGE(E181,F181,G181,H181))</f>
        <v/>
      </c>
      <c r="K181" s="37" t="str">
        <f aca="false">IF(J181="","",IF(J181&lt;2.5,"Low",IF(J181&lt;3.5,"Fair","Good")))</f>
        <v/>
      </c>
    </row>
    <row r="182" customFormat="false" ht="15" hidden="false" customHeight="false" outlineLevel="0" collapsed="false">
      <c r="A182" s="32"/>
      <c r="B182" s="32"/>
      <c r="C182" s="32"/>
      <c r="D182" s="35"/>
      <c r="E182" s="32"/>
      <c r="F182" s="32"/>
      <c r="G182" s="32"/>
      <c r="H182" s="32"/>
      <c r="I182" s="33"/>
      <c r="J182" s="44" t="str">
        <f aca="false">IF(OR(B182="",COUNT(E182,F182,G182,H182)&lt;4),"",AVERAGE(E182,F182,G182,H182))</f>
        <v/>
      </c>
      <c r="K182" s="37" t="str">
        <f aca="false">IF(J182="","",IF(J182&lt;2.5,"Low",IF(J182&lt;3.5,"Fair","Good")))</f>
        <v/>
      </c>
    </row>
    <row r="183" customFormat="false" ht="15" hidden="false" customHeight="false" outlineLevel="0" collapsed="false">
      <c r="A183" s="32"/>
      <c r="B183" s="32"/>
      <c r="C183" s="32"/>
      <c r="D183" s="35"/>
      <c r="E183" s="32"/>
      <c r="F183" s="32"/>
      <c r="G183" s="32"/>
      <c r="H183" s="32"/>
      <c r="I183" s="33"/>
      <c r="J183" s="44" t="str">
        <f aca="false">IF(OR(B183="",COUNT(E183,F183,G183,H183)&lt;4),"",AVERAGE(E183,F183,G183,H183))</f>
        <v/>
      </c>
      <c r="K183" s="37" t="str">
        <f aca="false">IF(J183="","",IF(J183&lt;2.5,"Low",IF(J183&lt;3.5,"Fair","Good")))</f>
        <v/>
      </c>
    </row>
    <row r="184" customFormat="false" ht="15" hidden="false" customHeight="false" outlineLevel="0" collapsed="false">
      <c r="A184" s="32"/>
      <c r="B184" s="32"/>
      <c r="C184" s="32"/>
      <c r="D184" s="35"/>
      <c r="E184" s="32"/>
      <c r="F184" s="32"/>
      <c r="G184" s="32"/>
      <c r="H184" s="32"/>
      <c r="I184" s="33"/>
      <c r="J184" s="44" t="str">
        <f aca="false">IF(OR(B184="",COUNT(E184,F184,G184,H184)&lt;4),"",AVERAGE(E184,F184,G184,H184))</f>
        <v/>
      </c>
      <c r="K184" s="37" t="str">
        <f aca="false">IF(J184="","",IF(J184&lt;2.5,"Low",IF(J184&lt;3.5,"Fair","Good")))</f>
        <v/>
      </c>
    </row>
    <row r="185" customFormat="false" ht="15" hidden="false" customHeight="false" outlineLevel="0" collapsed="false">
      <c r="A185" s="32"/>
      <c r="B185" s="32"/>
      <c r="C185" s="32"/>
      <c r="D185" s="35"/>
      <c r="E185" s="32"/>
      <c r="F185" s="32"/>
      <c r="G185" s="32"/>
      <c r="H185" s="32"/>
      <c r="I185" s="33"/>
      <c r="J185" s="44" t="str">
        <f aca="false">IF(OR(B185="",COUNT(E185,F185,G185,H185)&lt;4),"",AVERAGE(E185,F185,G185,H185))</f>
        <v/>
      </c>
      <c r="K185" s="37" t="str">
        <f aca="false">IF(J185="","",IF(J185&lt;2.5,"Low",IF(J185&lt;3.5,"Fair","Good")))</f>
        <v/>
      </c>
    </row>
    <row r="186" customFormat="false" ht="15" hidden="false" customHeight="false" outlineLevel="0" collapsed="false">
      <c r="A186" s="32"/>
      <c r="B186" s="32"/>
      <c r="C186" s="32"/>
      <c r="D186" s="35"/>
      <c r="E186" s="32"/>
      <c r="F186" s="32"/>
      <c r="G186" s="32"/>
      <c r="H186" s="32"/>
      <c r="I186" s="33"/>
      <c r="J186" s="44" t="str">
        <f aca="false">IF(OR(B186="",COUNT(E186,F186,G186,H186)&lt;4),"",AVERAGE(E186,F186,G186,H186))</f>
        <v/>
      </c>
      <c r="K186" s="37" t="str">
        <f aca="false">IF(J186="","",IF(J186&lt;2.5,"Low",IF(J186&lt;3.5,"Fair","Good")))</f>
        <v/>
      </c>
    </row>
    <row r="187" customFormat="false" ht="15" hidden="false" customHeight="false" outlineLevel="0" collapsed="false">
      <c r="A187" s="32"/>
      <c r="B187" s="32"/>
      <c r="C187" s="32"/>
      <c r="D187" s="35"/>
      <c r="E187" s="32"/>
      <c r="F187" s="32"/>
      <c r="G187" s="32"/>
      <c r="H187" s="32"/>
      <c r="I187" s="33"/>
      <c r="J187" s="44" t="str">
        <f aca="false">IF(OR(B187="",COUNT(E187,F187,G187,H187)&lt;4),"",AVERAGE(E187,F187,G187,H187))</f>
        <v/>
      </c>
      <c r="K187" s="37" t="str">
        <f aca="false">IF(J187="","",IF(J187&lt;2.5,"Low",IF(J187&lt;3.5,"Fair","Good")))</f>
        <v/>
      </c>
    </row>
    <row r="188" customFormat="false" ht="15" hidden="false" customHeight="false" outlineLevel="0" collapsed="false">
      <c r="A188" s="32"/>
      <c r="B188" s="32"/>
      <c r="C188" s="32"/>
      <c r="D188" s="35"/>
      <c r="E188" s="32"/>
      <c r="F188" s="32"/>
      <c r="G188" s="32"/>
      <c r="H188" s="32"/>
      <c r="I188" s="33"/>
      <c r="J188" s="44" t="str">
        <f aca="false">IF(OR(B188="",COUNT(E188,F188,G188,H188)&lt;4),"",AVERAGE(E188,F188,G188,H188))</f>
        <v/>
      </c>
      <c r="K188" s="37" t="str">
        <f aca="false">IF(J188="","",IF(J188&lt;2.5,"Low",IF(J188&lt;3.5,"Fair","Good")))</f>
        <v/>
      </c>
    </row>
    <row r="189" customFormat="false" ht="15" hidden="false" customHeight="false" outlineLevel="0" collapsed="false">
      <c r="A189" s="32"/>
      <c r="B189" s="32"/>
      <c r="C189" s="32"/>
      <c r="D189" s="35"/>
      <c r="E189" s="32"/>
      <c r="F189" s="32"/>
      <c r="G189" s="32"/>
      <c r="H189" s="32"/>
      <c r="I189" s="33"/>
      <c r="J189" s="44" t="str">
        <f aca="false">IF(OR(B189="",COUNT(E189,F189,G189,H189)&lt;4),"",AVERAGE(E189,F189,G189,H189))</f>
        <v/>
      </c>
      <c r="K189" s="37" t="str">
        <f aca="false">IF(J189="","",IF(J189&lt;2.5,"Low",IF(J189&lt;3.5,"Fair","Good")))</f>
        <v/>
      </c>
    </row>
    <row r="190" customFormat="false" ht="15" hidden="false" customHeight="false" outlineLevel="0" collapsed="false">
      <c r="A190" s="32"/>
      <c r="B190" s="32"/>
      <c r="C190" s="32"/>
      <c r="D190" s="35"/>
      <c r="E190" s="32"/>
      <c r="F190" s="32"/>
      <c r="G190" s="32"/>
      <c r="H190" s="32"/>
      <c r="I190" s="33"/>
      <c r="J190" s="44" t="str">
        <f aca="false">IF(OR(B190="",COUNT(E190,F190,G190,H190)&lt;4),"",AVERAGE(E190,F190,G190,H190))</f>
        <v/>
      </c>
      <c r="K190" s="37" t="str">
        <f aca="false">IF(J190="","",IF(J190&lt;2.5,"Low",IF(J190&lt;3.5,"Fair","Good")))</f>
        <v/>
      </c>
    </row>
    <row r="191" customFormat="false" ht="15" hidden="false" customHeight="false" outlineLevel="0" collapsed="false">
      <c r="A191" s="32"/>
      <c r="B191" s="32"/>
      <c r="C191" s="32"/>
      <c r="D191" s="35"/>
      <c r="E191" s="32"/>
      <c r="F191" s="32"/>
      <c r="G191" s="32"/>
      <c r="H191" s="32"/>
      <c r="I191" s="33"/>
      <c r="J191" s="44" t="str">
        <f aca="false">IF(OR(B191="",COUNT(E191,F191,G191,H191)&lt;4),"",AVERAGE(E191,F191,G191,H191))</f>
        <v/>
      </c>
      <c r="K191" s="37" t="str">
        <f aca="false">IF(J191="","",IF(J191&lt;2.5,"Low",IF(J191&lt;3.5,"Fair","Good")))</f>
        <v/>
      </c>
    </row>
    <row r="192" customFormat="false" ht="15" hidden="false" customHeight="false" outlineLevel="0" collapsed="false">
      <c r="A192" s="32"/>
      <c r="B192" s="32"/>
      <c r="C192" s="32"/>
      <c r="D192" s="35"/>
      <c r="E192" s="32"/>
      <c r="F192" s="32"/>
      <c r="G192" s="32"/>
      <c r="H192" s="32"/>
      <c r="I192" s="33"/>
      <c r="J192" s="44" t="str">
        <f aca="false">IF(OR(B192="",COUNT(E192,F192,G192,H192)&lt;4),"",AVERAGE(E192,F192,G192,H192))</f>
        <v/>
      </c>
      <c r="K192" s="37" t="str">
        <f aca="false">IF(J192="","",IF(J192&lt;2.5,"Low",IF(J192&lt;3.5,"Fair","Good")))</f>
        <v/>
      </c>
    </row>
    <row r="193" customFormat="false" ht="15" hidden="false" customHeight="false" outlineLevel="0" collapsed="false">
      <c r="A193" s="32"/>
      <c r="B193" s="32"/>
      <c r="C193" s="32"/>
      <c r="D193" s="35"/>
      <c r="E193" s="32"/>
      <c r="F193" s="32"/>
      <c r="G193" s="32"/>
      <c r="H193" s="32"/>
      <c r="I193" s="33"/>
      <c r="J193" s="44" t="str">
        <f aca="false">IF(OR(B193="",COUNT(E193,F193,G193,H193)&lt;4),"",AVERAGE(E193,F193,G193,H193))</f>
        <v/>
      </c>
      <c r="K193" s="37" t="str">
        <f aca="false">IF(J193="","",IF(J193&lt;2.5,"Low",IF(J193&lt;3.5,"Fair","Good")))</f>
        <v/>
      </c>
    </row>
    <row r="194" customFormat="false" ht="15" hidden="false" customHeight="false" outlineLevel="0" collapsed="false">
      <c r="A194" s="32"/>
      <c r="B194" s="32"/>
      <c r="C194" s="32"/>
      <c r="D194" s="35"/>
      <c r="E194" s="32"/>
      <c r="F194" s="32"/>
      <c r="G194" s="32"/>
      <c r="H194" s="32"/>
      <c r="I194" s="33"/>
      <c r="J194" s="44" t="str">
        <f aca="false">IF(OR(B194="",COUNT(E194,F194,G194,H194)&lt;4),"",AVERAGE(E194,F194,G194,H194))</f>
        <v/>
      </c>
      <c r="K194" s="37" t="str">
        <f aca="false">IF(J194="","",IF(J194&lt;2.5,"Low",IF(J194&lt;3.5,"Fair","Good")))</f>
        <v/>
      </c>
    </row>
    <row r="195" customFormat="false" ht="15" hidden="false" customHeight="false" outlineLevel="0" collapsed="false">
      <c r="A195" s="32"/>
      <c r="B195" s="32"/>
      <c r="C195" s="32"/>
      <c r="D195" s="35"/>
      <c r="E195" s="32"/>
      <c r="F195" s="32"/>
      <c r="G195" s="32"/>
      <c r="H195" s="32"/>
      <c r="I195" s="33"/>
      <c r="J195" s="44" t="str">
        <f aca="false">IF(OR(B195="",COUNT(E195,F195,G195,H195)&lt;4),"",AVERAGE(E195,F195,G195,H195))</f>
        <v/>
      </c>
      <c r="K195" s="37" t="str">
        <f aca="false">IF(J195="","",IF(J195&lt;2.5,"Low",IF(J195&lt;3.5,"Fair","Good")))</f>
        <v/>
      </c>
    </row>
    <row r="196" customFormat="false" ht="15" hidden="false" customHeight="false" outlineLevel="0" collapsed="false">
      <c r="A196" s="32"/>
      <c r="B196" s="32"/>
      <c r="C196" s="32"/>
      <c r="D196" s="35"/>
      <c r="E196" s="32"/>
      <c r="F196" s="32"/>
      <c r="G196" s="32"/>
      <c r="H196" s="32"/>
      <c r="I196" s="33"/>
      <c r="J196" s="44" t="str">
        <f aca="false">IF(OR(B196="",COUNT(E196,F196,G196,H196)&lt;4),"",AVERAGE(E196,F196,G196,H196))</f>
        <v/>
      </c>
      <c r="K196" s="37" t="str">
        <f aca="false">IF(J196="","",IF(J196&lt;2.5,"Low",IF(J196&lt;3.5,"Fair","Good")))</f>
        <v/>
      </c>
    </row>
    <row r="197" customFormat="false" ht="15" hidden="false" customHeight="false" outlineLevel="0" collapsed="false">
      <c r="A197" s="32"/>
      <c r="B197" s="32"/>
      <c r="C197" s="32"/>
      <c r="D197" s="35"/>
      <c r="E197" s="32"/>
      <c r="F197" s="32"/>
      <c r="G197" s="32"/>
      <c r="H197" s="32"/>
      <c r="I197" s="33"/>
      <c r="J197" s="44" t="str">
        <f aca="false">IF(OR(B197="",COUNT(E197,F197,G197,H197)&lt;4),"",AVERAGE(E197,F197,G197,H197))</f>
        <v/>
      </c>
      <c r="K197" s="37" t="str">
        <f aca="false">IF(J197="","",IF(J197&lt;2.5,"Low",IF(J197&lt;3.5,"Fair","Good")))</f>
        <v/>
      </c>
    </row>
    <row r="198" customFormat="false" ht="15" hidden="false" customHeight="false" outlineLevel="0" collapsed="false">
      <c r="A198" s="32"/>
      <c r="B198" s="32"/>
      <c r="C198" s="32"/>
      <c r="D198" s="35"/>
      <c r="E198" s="32"/>
      <c r="F198" s="32"/>
      <c r="G198" s="32"/>
      <c r="H198" s="32"/>
      <c r="I198" s="33"/>
      <c r="J198" s="44" t="str">
        <f aca="false">IF(OR(B198="",COUNT(E198,F198,G198,H198)&lt;4),"",AVERAGE(E198,F198,G198,H198))</f>
        <v/>
      </c>
      <c r="K198" s="37" t="str">
        <f aca="false">IF(J198="","",IF(J198&lt;2.5,"Low",IF(J198&lt;3.5,"Fair","Good")))</f>
        <v/>
      </c>
    </row>
    <row r="199" customFormat="false" ht="15" hidden="false" customHeight="false" outlineLevel="0" collapsed="false">
      <c r="A199" s="32"/>
      <c r="B199" s="32"/>
      <c r="C199" s="32"/>
      <c r="D199" s="35"/>
      <c r="E199" s="32"/>
      <c r="F199" s="32"/>
      <c r="G199" s="32"/>
      <c r="H199" s="32"/>
      <c r="I199" s="33"/>
      <c r="J199" s="44" t="str">
        <f aca="false">IF(OR(B199="",COUNT(E199,F199,G199,H199)&lt;4),"",AVERAGE(E199,F199,G199,H199))</f>
        <v/>
      </c>
      <c r="K199" s="37" t="str">
        <f aca="false">IF(J199="","",IF(J199&lt;2.5,"Low",IF(J199&lt;3.5,"Fair","Good")))</f>
        <v/>
      </c>
    </row>
    <row r="200" customFormat="false" ht="15" hidden="false" customHeight="false" outlineLevel="0" collapsed="false">
      <c r="A200" s="32"/>
      <c r="B200" s="32"/>
      <c r="C200" s="32"/>
      <c r="D200" s="35"/>
      <c r="E200" s="32"/>
      <c r="F200" s="32"/>
      <c r="G200" s="32"/>
      <c r="H200" s="32"/>
      <c r="I200" s="33"/>
      <c r="J200" s="44" t="str">
        <f aca="false">IF(OR(B200="",COUNT(E200,F200,G200,H200)&lt;4),"",AVERAGE(E200,F200,G200,H200))</f>
        <v/>
      </c>
      <c r="K200" s="37" t="str">
        <f aca="false">IF(J200="","",IF(J200&lt;2.5,"Low",IF(J200&lt;3.5,"Fair","Good")))</f>
        <v/>
      </c>
    </row>
    <row r="201" customFormat="false" ht="15" hidden="false" customHeight="false" outlineLevel="0" collapsed="false">
      <c r="A201" s="32"/>
      <c r="B201" s="32"/>
      <c r="C201" s="32"/>
      <c r="D201" s="35"/>
      <c r="E201" s="32"/>
      <c r="F201" s="32"/>
      <c r="G201" s="32"/>
      <c r="H201" s="32"/>
      <c r="I201" s="33"/>
      <c r="J201" s="44" t="str">
        <f aca="false">IF(OR(B201="",COUNT(E201,F201,G201,H201)&lt;4),"",AVERAGE(E201,F201,G201,H201))</f>
        <v/>
      </c>
      <c r="K201" s="37" t="str">
        <f aca="false">IF(J201="","",IF(J201&lt;2.5,"Low",IF(J201&lt;3.5,"Fair","Good")))</f>
        <v/>
      </c>
    </row>
    <row r="202" customFormat="false" ht="15" hidden="false" customHeight="false" outlineLevel="0" collapsed="false">
      <c r="A202" s="32"/>
      <c r="B202" s="32"/>
      <c r="C202" s="32"/>
      <c r="D202" s="35"/>
      <c r="E202" s="32"/>
      <c r="F202" s="32"/>
      <c r="G202" s="32"/>
      <c r="H202" s="32"/>
      <c r="I202" s="33"/>
      <c r="J202" s="44" t="str">
        <f aca="false">IF(OR(B202="",COUNT(E202,F202,G202,H202)&lt;4),"",AVERAGE(E202,F202,G202,H202))</f>
        <v/>
      </c>
      <c r="K202" s="37" t="str">
        <f aca="false">IF(J202="","",IF(J202&lt;2.5,"Low",IF(J202&lt;3.5,"Fair","Good")))</f>
        <v/>
      </c>
    </row>
    <row r="203" customFormat="false" ht="15" hidden="false" customHeight="false" outlineLevel="0" collapsed="false">
      <c r="A203" s="32"/>
      <c r="B203" s="32"/>
      <c r="C203" s="32"/>
      <c r="D203" s="35"/>
      <c r="E203" s="32"/>
      <c r="F203" s="32"/>
      <c r="G203" s="32"/>
      <c r="H203" s="32"/>
      <c r="I203" s="33"/>
      <c r="J203" s="44" t="str">
        <f aca="false">IF(OR(B203="",COUNT(E203,F203,G203,H203)&lt;4),"",AVERAGE(E203,F203,G203,H203))</f>
        <v/>
      </c>
      <c r="K203" s="37" t="str">
        <f aca="false">IF(J203="","",IF(J203&lt;2.5,"Low",IF(J203&lt;3.5,"Fair","Good")))</f>
        <v/>
      </c>
    </row>
    <row r="204" customFormat="false" ht="15" hidden="false" customHeight="false" outlineLevel="0" collapsed="false">
      <c r="A204" s="32"/>
      <c r="B204" s="32"/>
      <c r="C204" s="32"/>
      <c r="D204" s="35"/>
      <c r="E204" s="32"/>
      <c r="F204" s="32"/>
      <c r="G204" s="32"/>
      <c r="H204" s="32"/>
      <c r="I204" s="33"/>
      <c r="J204" s="44" t="str">
        <f aca="false">IF(OR(B204="",COUNT(E204,F204,G204,H204)&lt;4),"",AVERAGE(E204,F204,G204,H204))</f>
        <v/>
      </c>
      <c r="K204" s="37" t="str">
        <f aca="false">IF(J204="","",IF(J204&lt;2.5,"Low",IF(J204&lt;3.5,"Fair","Good")))</f>
        <v/>
      </c>
    </row>
    <row r="205" customFormat="false" ht="15" hidden="false" customHeight="false" outlineLevel="0" collapsed="false">
      <c r="A205" s="32"/>
      <c r="B205" s="32"/>
      <c r="C205" s="32"/>
      <c r="D205" s="35"/>
      <c r="E205" s="32"/>
      <c r="F205" s="32"/>
      <c r="G205" s="32"/>
      <c r="H205" s="32"/>
      <c r="I205" s="33"/>
      <c r="J205" s="44" t="str">
        <f aca="false">IF(OR(B205="",COUNT(E205,F205,G205,H205)&lt;4),"",AVERAGE(E205,F205,G205,H205))</f>
        <v/>
      </c>
      <c r="K205" s="37" t="str">
        <f aca="false">IF(J205="","",IF(J205&lt;2.5,"Low",IF(J205&lt;3.5,"Fair","Good")))</f>
        <v/>
      </c>
    </row>
    <row r="206" customFormat="false" ht="15" hidden="false" customHeight="false" outlineLevel="0" collapsed="false">
      <c r="A206" s="32"/>
      <c r="B206" s="32"/>
      <c r="C206" s="32"/>
      <c r="D206" s="35"/>
      <c r="E206" s="32"/>
      <c r="F206" s="32"/>
      <c r="G206" s="32"/>
      <c r="H206" s="32"/>
      <c r="I206" s="33"/>
      <c r="J206" s="44" t="str">
        <f aca="false">IF(OR(B206="",COUNT(E206,F206,G206,H206)&lt;4),"",AVERAGE(E206,F206,G206,H206))</f>
        <v/>
      </c>
      <c r="K206" s="37" t="str">
        <f aca="false">IF(J206="","",IF(J206&lt;2.5,"Low",IF(J206&lt;3.5,"Fair","Good")))</f>
        <v/>
      </c>
    </row>
    <row r="207" customFormat="false" ht="15" hidden="false" customHeight="false" outlineLevel="0" collapsed="false">
      <c r="A207" s="32"/>
      <c r="B207" s="32"/>
      <c r="C207" s="32"/>
      <c r="D207" s="35"/>
      <c r="E207" s="32"/>
      <c r="F207" s="32"/>
      <c r="G207" s="32"/>
      <c r="H207" s="32"/>
      <c r="I207" s="33"/>
      <c r="J207" s="44" t="str">
        <f aca="false">IF(OR(B207="",COUNT(E207,F207,G207,H207)&lt;4),"",AVERAGE(E207,F207,G207,H207))</f>
        <v/>
      </c>
      <c r="K207" s="37" t="str">
        <f aca="false">IF(J207="","",IF(J207&lt;2.5,"Low",IF(J207&lt;3.5,"Fair","Good")))</f>
        <v/>
      </c>
    </row>
    <row r="208" customFormat="false" ht="15" hidden="false" customHeight="false" outlineLevel="0" collapsed="false">
      <c r="A208" s="32"/>
      <c r="B208" s="32"/>
      <c r="C208" s="32"/>
      <c r="D208" s="35"/>
      <c r="E208" s="32"/>
      <c r="F208" s="32"/>
      <c r="G208" s="32"/>
      <c r="H208" s="32"/>
      <c r="I208" s="33"/>
      <c r="J208" s="44" t="str">
        <f aca="false">IF(OR(B208="",COUNT(E208,F208,G208,H208)&lt;4),"",AVERAGE(E208,F208,G208,H208))</f>
        <v/>
      </c>
      <c r="K208" s="37" t="str">
        <f aca="false">IF(J208="","",IF(J208&lt;2.5,"Low",IF(J208&lt;3.5,"Fair","Good")))</f>
        <v/>
      </c>
    </row>
    <row r="209" customFormat="false" ht="15" hidden="false" customHeight="false" outlineLevel="0" collapsed="false">
      <c r="A209" s="32"/>
      <c r="B209" s="32"/>
      <c r="C209" s="32"/>
      <c r="D209" s="35"/>
      <c r="E209" s="32"/>
      <c r="F209" s="32"/>
      <c r="G209" s="32"/>
      <c r="H209" s="32"/>
      <c r="I209" s="33"/>
      <c r="J209" s="44" t="str">
        <f aca="false">IF(OR(B209="",COUNT(E209,F209,G209,H209)&lt;4),"",AVERAGE(E209,F209,G209,H209))</f>
        <v/>
      </c>
      <c r="K209" s="37" t="str">
        <f aca="false">IF(J209="","",IF(J209&lt;2.5,"Low",IF(J209&lt;3.5,"Fair","Good")))</f>
        <v/>
      </c>
    </row>
    <row r="210" customFormat="false" ht="15" hidden="false" customHeight="false" outlineLevel="0" collapsed="false">
      <c r="A210" s="32"/>
      <c r="B210" s="32"/>
      <c r="C210" s="32"/>
      <c r="D210" s="35"/>
      <c r="E210" s="32"/>
      <c r="F210" s="32"/>
      <c r="G210" s="32"/>
      <c r="H210" s="32"/>
      <c r="I210" s="33"/>
      <c r="J210" s="44" t="str">
        <f aca="false">IF(OR(B210="",COUNT(E210,F210,G210,H210)&lt;4),"",AVERAGE(E210,F210,G210,H210))</f>
        <v/>
      </c>
      <c r="K210" s="37" t="str">
        <f aca="false">IF(J210="","",IF(J210&lt;2.5,"Low",IF(J210&lt;3.5,"Fair","Good")))</f>
        <v/>
      </c>
    </row>
    <row r="211" customFormat="false" ht="15" hidden="false" customHeight="false" outlineLevel="0" collapsed="false">
      <c r="A211" s="32"/>
      <c r="B211" s="32"/>
      <c r="C211" s="32"/>
      <c r="D211" s="35"/>
      <c r="E211" s="32"/>
      <c r="F211" s="32"/>
      <c r="G211" s="32"/>
      <c r="H211" s="32"/>
      <c r="I211" s="33"/>
      <c r="J211" s="44" t="str">
        <f aca="false">IF(OR(B211="",COUNT(E211,F211,G211,H211)&lt;4),"",AVERAGE(E211,F211,G211,H211))</f>
        <v/>
      </c>
      <c r="K211" s="37" t="str">
        <f aca="false">IF(J211="","",IF(J211&lt;2.5,"Low",IF(J211&lt;3.5,"Fair","Good")))</f>
        <v/>
      </c>
    </row>
    <row r="212" customFormat="false" ht="15" hidden="false" customHeight="false" outlineLevel="0" collapsed="false">
      <c r="A212" s="32"/>
      <c r="B212" s="32"/>
      <c r="C212" s="32"/>
      <c r="D212" s="35"/>
      <c r="E212" s="32"/>
      <c r="F212" s="32"/>
      <c r="G212" s="32"/>
      <c r="H212" s="32"/>
      <c r="I212" s="33"/>
      <c r="J212" s="44" t="str">
        <f aca="false">IF(OR(B212="",COUNT(E212,F212,G212,H212)&lt;4),"",AVERAGE(E212,F212,G212,H212))</f>
        <v/>
      </c>
      <c r="K212" s="37" t="str">
        <f aca="false">IF(J212="","",IF(J212&lt;2.5,"Low",IF(J212&lt;3.5,"Fair","Good")))</f>
        <v/>
      </c>
    </row>
    <row r="213" customFormat="false" ht="15" hidden="false" customHeight="false" outlineLevel="0" collapsed="false">
      <c r="A213" s="32"/>
      <c r="B213" s="32"/>
      <c r="C213" s="32"/>
      <c r="D213" s="35"/>
      <c r="E213" s="32"/>
      <c r="F213" s="32"/>
      <c r="G213" s="32"/>
      <c r="H213" s="32"/>
      <c r="I213" s="33"/>
      <c r="J213" s="44" t="str">
        <f aca="false">IF(OR(B213="",COUNT(E213,F213,G213,H213)&lt;4),"",AVERAGE(E213,F213,G213,H213))</f>
        <v/>
      </c>
      <c r="K213" s="37" t="str">
        <f aca="false">IF(J213="","",IF(J213&lt;2.5,"Low",IF(J213&lt;3.5,"Fair","Good")))</f>
        <v/>
      </c>
    </row>
    <row r="214" customFormat="false" ht="15" hidden="false" customHeight="false" outlineLevel="0" collapsed="false">
      <c r="A214" s="32"/>
      <c r="B214" s="32"/>
      <c r="C214" s="32"/>
      <c r="D214" s="35"/>
      <c r="E214" s="32"/>
      <c r="F214" s="32"/>
      <c r="G214" s="32"/>
      <c r="H214" s="32"/>
      <c r="I214" s="33"/>
      <c r="J214" s="44" t="str">
        <f aca="false">IF(OR(B214="",COUNT(E214,F214,G214,H214)&lt;4),"",AVERAGE(E214,F214,G214,H214))</f>
        <v/>
      </c>
      <c r="K214" s="37" t="str">
        <f aca="false">IF(J214="","",IF(J214&lt;2.5,"Low",IF(J214&lt;3.5,"Fair","Good")))</f>
        <v/>
      </c>
    </row>
    <row r="215" customFormat="false" ht="15" hidden="false" customHeight="false" outlineLevel="0" collapsed="false">
      <c r="A215" s="32"/>
      <c r="B215" s="32"/>
      <c r="C215" s="32"/>
      <c r="D215" s="35"/>
      <c r="E215" s="32"/>
      <c r="F215" s="32"/>
      <c r="G215" s="32"/>
      <c r="H215" s="32"/>
      <c r="I215" s="33"/>
      <c r="J215" s="44" t="str">
        <f aca="false">IF(OR(B215="",COUNT(E215,F215,G215,H215)&lt;4),"",AVERAGE(E215,F215,G215,H215))</f>
        <v/>
      </c>
      <c r="K215" s="37" t="str">
        <f aca="false">IF(J215="","",IF(J215&lt;2.5,"Low",IF(J215&lt;3.5,"Fair","Good")))</f>
        <v/>
      </c>
    </row>
    <row r="216" customFormat="false" ht="15" hidden="false" customHeight="false" outlineLevel="0" collapsed="false">
      <c r="A216" s="32"/>
      <c r="B216" s="32"/>
      <c r="C216" s="32"/>
      <c r="D216" s="35"/>
      <c r="E216" s="32"/>
      <c r="F216" s="32"/>
      <c r="G216" s="32"/>
      <c r="H216" s="32"/>
      <c r="I216" s="33"/>
      <c r="J216" s="44" t="str">
        <f aca="false">IF(OR(B216="",COUNT(E216,F216,G216,H216)&lt;4),"",AVERAGE(E216,F216,G216,H216))</f>
        <v/>
      </c>
      <c r="K216" s="37" t="str">
        <f aca="false">IF(J216="","",IF(J216&lt;2.5,"Low",IF(J216&lt;3.5,"Fair","Good")))</f>
        <v/>
      </c>
    </row>
    <row r="217" customFormat="false" ht="15" hidden="false" customHeight="false" outlineLevel="0" collapsed="false">
      <c r="A217" s="32"/>
      <c r="B217" s="32"/>
      <c r="C217" s="32"/>
      <c r="D217" s="35"/>
      <c r="E217" s="32"/>
      <c r="F217" s="32"/>
      <c r="G217" s="32"/>
      <c r="H217" s="32"/>
      <c r="I217" s="33"/>
      <c r="J217" s="44" t="str">
        <f aca="false">IF(OR(B217="",COUNT(E217,F217,G217,H217)&lt;4),"",AVERAGE(E217,F217,G217,H217))</f>
        <v/>
      </c>
      <c r="K217" s="37" t="str">
        <f aca="false">IF(J217="","",IF(J217&lt;2.5,"Low",IF(J217&lt;3.5,"Fair","Good")))</f>
        <v/>
      </c>
    </row>
    <row r="218" customFormat="false" ht="15" hidden="false" customHeight="false" outlineLevel="0" collapsed="false">
      <c r="A218" s="32"/>
      <c r="B218" s="32"/>
      <c r="C218" s="32"/>
      <c r="D218" s="35"/>
      <c r="E218" s="32"/>
      <c r="F218" s="32"/>
      <c r="G218" s="32"/>
      <c r="H218" s="32"/>
      <c r="I218" s="33"/>
      <c r="J218" s="44" t="str">
        <f aca="false">IF(OR(B218="",COUNT(E218,F218,G218,H218)&lt;4),"",AVERAGE(E218,F218,G218,H218))</f>
        <v/>
      </c>
      <c r="K218" s="37" t="str">
        <f aca="false">IF(J218="","",IF(J218&lt;2.5,"Low",IF(J218&lt;3.5,"Fair","Good")))</f>
        <v/>
      </c>
    </row>
    <row r="219" customFormat="false" ht="15" hidden="false" customHeight="false" outlineLevel="0" collapsed="false">
      <c r="A219" s="32"/>
      <c r="B219" s="32"/>
      <c r="C219" s="32"/>
      <c r="D219" s="35"/>
      <c r="E219" s="32"/>
      <c r="F219" s="32"/>
      <c r="G219" s="32"/>
      <c r="H219" s="32"/>
      <c r="I219" s="33"/>
      <c r="J219" s="44" t="str">
        <f aca="false">IF(OR(B219="",COUNT(E219,F219,G219,H219)&lt;4),"",AVERAGE(E219,F219,G219,H219))</f>
        <v/>
      </c>
      <c r="K219" s="37" t="str">
        <f aca="false">IF(J219="","",IF(J219&lt;2.5,"Low",IF(J219&lt;3.5,"Fair","Good")))</f>
        <v/>
      </c>
    </row>
    <row r="220" customFormat="false" ht="15" hidden="false" customHeight="false" outlineLevel="0" collapsed="false">
      <c r="A220" s="32"/>
      <c r="B220" s="32"/>
      <c r="C220" s="32"/>
      <c r="D220" s="35"/>
      <c r="E220" s="32"/>
      <c r="F220" s="32"/>
      <c r="G220" s="32"/>
      <c r="H220" s="32"/>
      <c r="I220" s="33"/>
      <c r="J220" s="44" t="str">
        <f aca="false">IF(OR(B220="",COUNT(E220,F220,G220,H220)&lt;4),"",AVERAGE(E220,F220,G220,H220))</f>
        <v/>
      </c>
      <c r="K220" s="37" t="str">
        <f aca="false">IF(J220="","",IF(J220&lt;2.5,"Low",IF(J220&lt;3.5,"Fair","Good")))</f>
        <v/>
      </c>
    </row>
    <row r="221" customFormat="false" ht="15" hidden="false" customHeight="false" outlineLevel="0" collapsed="false">
      <c r="A221" s="32"/>
      <c r="B221" s="32"/>
      <c r="C221" s="32"/>
      <c r="D221" s="35"/>
      <c r="E221" s="32"/>
      <c r="F221" s="32"/>
      <c r="G221" s="32"/>
      <c r="H221" s="32"/>
      <c r="I221" s="33"/>
      <c r="J221" s="44" t="str">
        <f aca="false">IF(OR(B221="",COUNT(E221,F221,G221,H221)&lt;4),"",AVERAGE(E221,F221,G221,H221))</f>
        <v/>
      </c>
      <c r="K221" s="37" t="str">
        <f aca="false">IF(J221="","",IF(J221&lt;2.5,"Low",IF(J221&lt;3.5,"Fair","Good")))</f>
        <v/>
      </c>
    </row>
    <row r="222" customFormat="false" ht="15" hidden="false" customHeight="false" outlineLevel="0" collapsed="false">
      <c r="A222" s="32"/>
      <c r="B222" s="32"/>
      <c r="C222" s="32"/>
      <c r="D222" s="35"/>
      <c r="E222" s="32"/>
      <c r="F222" s="32"/>
      <c r="G222" s="32"/>
      <c r="H222" s="32"/>
      <c r="I222" s="33"/>
      <c r="J222" s="44" t="str">
        <f aca="false">IF(OR(B222="",COUNT(E222,F222,G222,H222)&lt;4),"",AVERAGE(E222,F222,G222,H222))</f>
        <v/>
      </c>
      <c r="K222" s="37" t="str">
        <f aca="false">IF(J222="","",IF(J222&lt;2.5,"Low",IF(J222&lt;3.5,"Fair","Good")))</f>
        <v/>
      </c>
    </row>
    <row r="223" customFormat="false" ht="15" hidden="false" customHeight="false" outlineLevel="0" collapsed="false">
      <c r="A223" s="32"/>
      <c r="B223" s="32"/>
      <c r="C223" s="32"/>
      <c r="D223" s="35"/>
      <c r="E223" s="32"/>
      <c r="F223" s="32"/>
      <c r="G223" s="32"/>
      <c r="H223" s="32"/>
      <c r="I223" s="33"/>
      <c r="J223" s="44" t="str">
        <f aca="false">IF(OR(B223="",COUNT(E223,F223,G223,H223)&lt;4),"",AVERAGE(E223,F223,G223,H223))</f>
        <v/>
      </c>
      <c r="K223" s="37" t="str">
        <f aca="false">IF(J223="","",IF(J223&lt;2.5,"Low",IF(J223&lt;3.5,"Fair","Good")))</f>
        <v/>
      </c>
    </row>
    <row r="224" customFormat="false" ht="15" hidden="false" customHeight="false" outlineLevel="0" collapsed="false">
      <c r="A224" s="32"/>
      <c r="B224" s="32"/>
      <c r="C224" s="32"/>
      <c r="D224" s="35"/>
      <c r="E224" s="32"/>
      <c r="F224" s="32"/>
      <c r="G224" s="32"/>
      <c r="H224" s="32"/>
      <c r="I224" s="33"/>
      <c r="J224" s="44" t="str">
        <f aca="false">IF(OR(B224="",COUNT(E224,F224,G224,H224)&lt;4),"",AVERAGE(E224,F224,G224,H224))</f>
        <v/>
      </c>
      <c r="K224" s="37" t="str">
        <f aca="false">IF(J224="","",IF(J224&lt;2.5,"Low",IF(J224&lt;3.5,"Fair","Good")))</f>
        <v/>
      </c>
    </row>
    <row r="225" customFormat="false" ht="15" hidden="false" customHeight="false" outlineLevel="0" collapsed="false">
      <c r="A225" s="32"/>
      <c r="B225" s="32"/>
      <c r="C225" s="32"/>
      <c r="D225" s="35"/>
      <c r="E225" s="32"/>
      <c r="F225" s="32"/>
      <c r="G225" s="32"/>
      <c r="H225" s="32"/>
      <c r="I225" s="33"/>
      <c r="J225" s="44" t="str">
        <f aca="false">IF(OR(B225="",COUNT(E225,F225,G225,H225)&lt;4),"",AVERAGE(E225,F225,G225,H225))</f>
        <v/>
      </c>
      <c r="K225" s="37" t="str">
        <f aca="false">IF(J225="","",IF(J225&lt;2.5,"Low",IF(J225&lt;3.5,"Fair","Good")))</f>
        <v/>
      </c>
    </row>
    <row r="226" customFormat="false" ht="15" hidden="false" customHeight="false" outlineLevel="0" collapsed="false">
      <c r="A226" s="32"/>
      <c r="B226" s="32"/>
      <c r="C226" s="32"/>
      <c r="D226" s="35"/>
      <c r="E226" s="32"/>
      <c r="F226" s="32"/>
      <c r="G226" s="32"/>
      <c r="H226" s="32"/>
      <c r="I226" s="33"/>
      <c r="J226" s="44" t="str">
        <f aca="false">IF(OR(B226="",COUNT(E226,F226,G226,H226)&lt;4),"",AVERAGE(E226,F226,G226,H226))</f>
        <v/>
      </c>
      <c r="K226" s="37" t="str">
        <f aca="false">IF(J226="","",IF(J226&lt;2.5,"Low",IF(J226&lt;3.5,"Fair","Good")))</f>
        <v/>
      </c>
    </row>
    <row r="227" customFormat="false" ht="15" hidden="false" customHeight="false" outlineLevel="0" collapsed="false">
      <c r="A227" s="32"/>
      <c r="B227" s="32"/>
      <c r="C227" s="32"/>
      <c r="D227" s="35"/>
      <c r="E227" s="32"/>
      <c r="F227" s="32"/>
      <c r="G227" s="32"/>
      <c r="H227" s="32"/>
      <c r="I227" s="33"/>
      <c r="J227" s="44" t="str">
        <f aca="false">IF(OR(B227="",COUNT(E227,F227,G227,H227)&lt;4),"",AVERAGE(E227,F227,G227,H227))</f>
        <v/>
      </c>
      <c r="K227" s="37" t="str">
        <f aca="false">IF(J227="","",IF(J227&lt;2.5,"Low",IF(J227&lt;3.5,"Fair","Good")))</f>
        <v/>
      </c>
    </row>
    <row r="228" customFormat="false" ht="15" hidden="false" customHeight="false" outlineLevel="0" collapsed="false">
      <c r="A228" s="32"/>
      <c r="B228" s="32"/>
      <c r="C228" s="32"/>
      <c r="D228" s="35"/>
      <c r="E228" s="32"/>
      <c r="F228" s="32"/>
      <c r="G228" s="32"/>
      <c r="H228" s="32"/>
      <c r="I228" s="33"/>
      <c r="J228" s="44" t="str">
        <f aca="false">IF(OR(B228="",COUNT(E228,F228,G228,H228)&lt;4),"",AVERAGE(E228,F228,G228,H228))</f>
        <v/>
      </c>
      <c r="K228" s="37" t="str">
        <f aca="false">IF(J228="","",IF(J228&lt;2.5,"Low",IF(J228&lt;3.5,"Fair","Good")))</f>
        <v/>
      </c>
    </row>
    <row r="229" customFormat="false" ht="15" hidden="false" customHeight="false" outlineLevel="0" collapsed="false">
      <c r="A229" s="32"/>
      <c r="B229" s="32"/>
      <c r="C229" s="32"/>
      <c r="D229" s="35"/>
      <c r="E229" s="32"/>
      <c r="F229" s="32"/>
      <c r="G229" s="32"/>
      <c r="H229" s="32"/>
      <c r="I229" s="33"/>
      <c r="J229" s="44" t="str">
        <f aca="false">IF(OR(B229="",COUNT(E229,F229,G229,H229)&lt;4),"",AVERAGE(E229,F229,G229,H229))</f>
        <v/>
      </c>
      <c r="K229" s="37" t="str">
        <f aca="false">IF(J229="","",IF(J229&lt;2.5,"Low",IF(J229&lt;3.5,"Fair","Good")))</f>
        <v/>
      </c>
    </row>
    <row r="230" customFormat="false" ht="15" hidden="false" customHeight="false" outlineLevel="0" collapsed="false">
      <c r="A230" s="32"/>
      <c r="B230" s="32"/>
      <c r="C230" s="32"/>
      <c r="D230" s="35"/>
      <c r="E230" s="32"/>
      <c r="F230" s="32"/>
      <c r="G230" s="32"/>
      <c r="H230" s="32"/>
      <c r="I230" s="33"/>
      <c r="J230" s="44" t="str">
        <f aca="false">IF(OR(B230="",COUNT(E230,F230,G230,H230)&lt;4),"",AVERAGE(E230,F230,G230,H230))</f>
        <v/>
      </c>
      <c r="K230" s="37" t="str">
        <f aca="false">IF(J230="","",IF(J230&lt;2.5,"Low",IF(J230&lt;3.5,"Fair","Good")))</f>
        <v/>
      </c>
    </row>
    <row r="231" customFormat="false" ht="15" hidden="false" customHeight="false" outlineLevel="0" collapsed="false">
      <c r="A231" s="32"/>
      <c r="B231" s="32"/>
      <c r="C231" s="32"/>
      <c r="D231" s="35"/>
      <c r="E231" s="32"/>
      <c r="F231" s="32"/>
      <c r="G231" s="32"/>
      <c r="H231" s="32"/>
      <c r="I231" s="33"/>
      <c r="J231" s="44" t="str">
        <f aca="false">IF(OR(B231="",COUNT(E231,F231,G231,H231)&lt;4),"",AVERAGE(E231,F231,G231,H231))</f>
        <v/>
      </c>
      <c r="K231" s="37" t="str">
        <f aca="false">IF(J231="","",IF(J231&lt;2.5,"Low",IF(J231&lt;3.5,"Fair","Good")))</f>
        <v/>
      </c>
    </row>
    <row r="232" customFormat="false" ht="15" hidden="false" customHeight="false" outlineLevel="0" collapsed="false">
      <c r="A232" s="32"/>
      <c r="B232" s="32"/>
      <c r="C232" s="32"/>
      <c r="D232" s="35"/>
      <c r="E232" s="32"/>
      <c r="F232" s="32"/>
      <c r="G232" s="32"/>
      <c r="H232" s="32"/>
      <c r="I232" s="33"/>
      <c r="J232" s="44" t="str">
        <f aca="false">IF(OR(B232="",COUNT(E232,F232,G232,H232)&lt;4),"",AVERAGE(E232,F232,G232,H232))</f>
        <v/>
      </c>
      <c r="K232" s="37" t="str">
        <f aca="false">IF(J232="","",IF(J232&lt;2.5,"Low",IF(J232&lt;3.5,"Fair","Good")))</f>
        <v/>
      </c>
    </row>
    <row r="233" customFormat="false" ht="15" hidden="false" customHeight="false" outlineLevel="0" collapsed="false">
      <c r="A233" s="32"/>
      <c r="B233" s="32"/>
      <c r="C233" s="32"/>
      <c r="D233" s="35"/>
      <c r="E233" s="32"/>
      <c r="F233" s="32"/>
      <c r="G233" s="32"/>
      <c r="H233" s="32"/>
      <c r="I233" s="33"/>
      <c r="J233" s="44" t="str">
        <f aca="false">IF(OR(B233="",COUNT(E233,F233,G233,H233)&lt;4),"",AVERAGE(E233,F233,G233,H233))</f>
        <v/>
      </c>
      <c r="K233" s="37" t="str">
        <f aca="false">IF(J233="","",IF(J233&lt;2.5,"Low",IF(J233&lt;3.5,"Fair","Good")))</f>
        <v/>
      </c>
    </row>
    <row r="234" customFormat="false" ht="15" hidden="false" customHeight="false" outlineLevel="0" collapsed="false">
      <c r="A234" s="32"/>
      <c r="B234" s="32"/>
      <c r="C234" s="32"/>
      <c r="D234" s="35"/>
      <c r="E234" s="32"/>
      <c r="F234" s="32"/>
      <c r="G234" s="32"/>
      <c r="H234" s="32"/>
      <c r="I234" s="33"/>
      <c r="J234" s="44" t="str">
        <f aca="false">IF(OR(B234="",COUNT(E234,F234,G234,H234)&lt;4),"",AVERAGE(E234,F234,G234,H234))</f>
        <v/>
      </c>
      <c r="K234" s="37" t="str">
        <f aca="false">IF(J234="","",IF(J234&lt;2.5,"Low",IF(J234&lt;3.5,"Fair","Good")))</f>
        <v/>
      </c>
    </row>
    <row r="235" customFormat="false" ht="15" hidden="false" customHeight="false" outlineLevel="0" collapsed="false">
      <c r="A235" s="32"/>
      <c r="B235" s="32"/>
      <c r="C235" s="32"/>
      <c r="D235" s="35"/>
      <c r="E235" s="32"/>
      <c r="F235" s="32"/>
      <c r="G235" s="32"/>
      <c r="H235" s="32"/>
      <c r="I235" s="33"/>
      <c r="J235" s="44" t="str">
        <f aca="false">IF(OR(B235="",COUNT(E235,F235,G235,H235)&lt;4),"",AVERAGE(E235,F235,G235,H235))</f>
        <v/>
      </c>
      <c r="K235" s="37" t="str">
        <f aca="false">IF(J235="","",IF(J235&lt;2.5,"Low",IF(J235&lt;3.5,"Fair","Good")))</f>
        <v/>
      </c>
    </row>
    <row r="236" customFormat="false" ht="15" hidden="false" customHeight="false" outlineLevel="0" collapsed="false">
      <c r="A236" s="32"/>
      <c r="B236" s="32"/>
      <c r="C236" s="32"/>
      <c r="D236" s="35"/>
      <c r="E236" s="32"/>
      <c r="F236" s="32"/>
      <c r="G236" s="32"/>
      <c r="H236" s="32"/>
      <c r="I236" s="33"/>
      <c r="J236" s="44" t="str">
        <f aca="false">IF(OR(B236="",COUNT(E236,F236,G236,H236)&lt;4),"",AVERAGE(E236,F236,G236,H236))</f>
        <v/>
      </c>
      <c r="K236" s="37" t="str">
        <f aca="false">IF(J236="","",IF(J236&lt;2.5,"Low",IF(J236&lt;3.5,"Fair","Good")))</f>
        <v/>
      </c>
    </row>
    <row r="237" customFormat="false" ht="15" hidden="false" customHeight="false" outlineLevel="0" collapsed="false">
      <c r="A237" s="32"/>
      <c r="B237" s="32"/>
      <c r="C237" s="32"/>
      <c r="D237" s="35"/>
      <c r="E237" s="32"/>
      <c r="F237" s="32"/>
      <c r="G237" s="32"/>
      <c r="H237" s="32"/>
      <c r="I237" s="33"/>
      <c r="J237" s="44" t="str">
        <f aca="false">IF(OR(B237="",COUNT(E237,F237,G237,H237)&lt;4),"",AVERAGE(E237,F237,G237,H237))</f>
        <v/>
      </c>
      <c r="K237" s="37" t="str">
        <f aca="false">IF(J237="","",IF(J237&lt;2.5,"Low",IF(J237&lt;3.5,"Fair","Good")))</f>
        <v/>
      </c>
    </row>
    <row r="238" customFormat="false" ht="15" hidden="false" customHeight="false" outlineLevel="0" collapsed="false">
      <c r="A238" s="32"/>
      <c r="B238" s="32"/>
      <c r="C238" s="32"/>
      <c r="D238" s="35"/>
      <c r="E238" s="32"/>
      <c r="F238" s="32"/>
      <c r="G238" s="32"/>
      <c r="H238" s="32"/>
      <c r="I238" s="33"/>
      <c r="J238" s="44" t="str">
        <f aca="false">IF(OR(B238="",COUNT(E238,F238,G238,H238)&lt;4),"",AVERAGE(E238,F238,G238,H238))</f>
        <v/>
      </c>
      <c r="K238" s="37" t="str">
        <f aca="false">IF(J238="","",IF(J238&lt;2.5,"Low",IF(J238&lt;3.5,"Fair","Good")))</f>
        <v/>
      </c>
    </row>
    <row r="239" customFormat="false" ht="15" hidden="false" customHeight="false" outlineLevel="0" collapsed="false">
      <c r="A239" s="32"/>
      <c r="B239" s="32"/>
      <c r="C239" s="32"/>
      <c r="D239" s="35"/>
      <c r="E239" s="32"/>
      <c r="F239" s="32"/>
      <c r="G239" s="32"/>
      <c r="H239" s="32"/>
      <c r="I239" s="33"/>
      <c r="J239" s="44" t="str">
        <f aca="false">IF(OR(B239="",COUNT(E239,F239,G239,H239)&lt;4),"",AVERAGE(E239,F239,G239,H239))</f>
        <v/>
      </c>
      <c r="K239" s="37" t="str">
        <f aca="false">IF(J239="","",IF(J239&lt;2.5,"Low",IF(J239&lt;3.5,"Fair","Good")))</f>
        <v/>
      </c>
    </row>
    <row r="240" customFormat="false" ht="15" hidden="false" customHeight="false" outlineLevel="0" collapsed="false">
      <c r="A240" s="32"/>
      <c r="B240" s="32"/>
      <c r="C240" s="32"/>
      <c r="D240" s="35"/>
      <c r="E240" s="32"/>
      <c r="F240" s="32"/>
      <c r="G240" s="32"/>
      <c r="H240" s="32"/>
      <c r="I240" s="33"/>
      <c r="J240" s="44" t="str">
        <f aca="false">IF(OR(B240="",COUNT(E240,F240,G240,H240)&lt;4),"",AVERAGE(E240,F240,G240,H240))</f>
        <v/>
      </c>
      <c r="K240" s="37" t="str">
        <f aca="false">IF(J240="","",IF(J240&lt;2.5,"Low",IF(J240&lt;3.5,"Fair","Good")))</f>
        <v/>
      </c>
    </row>
    <row r="241" customFormat="false" ht="15" hidden="false" customHeight="false" outlineLevel="0" collapsed="false">
      <c r="A241" s="32"/>
      <c r="B241" s="32"/>
      <c r="C241" s="32"/>
      <c r="D241" s="35"/>
      <c r="E241" s="32"/>
      <c r="F241" s="32"/>
      <c r="G241" s="32"/>
      <c r="H241" s="32"/>
      <c r="I241" s="33"/>
      <c r="J241" s="44" t="str">
        <f aca="false">IF(OR(B241="",COUNT(E241,F241,G241,H241)&lt;4),"",AVERAGE(E241,F241,G241,H241))</f>
        <v/>
      </c>
      <c r="K241" s="37" t="str">
        <f aca="false">IF(J241="","",IF(J241&lt;2.5,"Low",IF(J241&lt;3.5,"Fair","Good")))</f>
        <v/>
      </c>
    </row>
    <row r="242" customFormat="false" ht="15" hidden="false" customHeight="false" outlineLevel="0" collapsed="false">
      <c r="A242" s="32"/>
      <c r="B242" s="32"/>
      <c r="C242" s="32"/>
      <c r="D242" s="35"/>
      <c r="E242" s="32"/>
      <c r="F242" s="32"/>
      <c r="G242" s="32"/>
      <c r="H242" s="32"/>
      <c r="I242" s="33"/>
      <c r="J242" s="44" t="str">
        <f aca="false">IF(OR(B242="",COUNT(E242,F242,G242,H242)&lt;4),"",AVERAGE(E242,F242,G242,H242))</f>
        <v/>
      </c>
      <c r="K242" s="37" t="str">
        <f aca="false">IF(J242="","",IF(J242&lt;2.5,"Low",IF(J242&lt;3.5,"Fair","Good")))</f>
        <v/>
      </c>
    </row>
    <row r="243" customFormat="false" ht="15" hidden="false" customHeight="false" outlineLevel="0" collapsed="false">
      <c r="A243" s="32"/>
      <c r="B243" s="32"/>
      <c r="C243" s="32"/>
      <c r="D243" s="35"/>
      <c r="E243" s="32"/>
      <c r="F243" s="32"/>
      <c r="G243" s="32"/>
      <c r="H243" s="32"/>
      <c r="I243" s="33"/>
      <c r="J243" s="44" t="str">
        <f aca="false">IF(OR(B243="",COUNT(E243,F243,G243,H243)&lt;4),"",AVERAGE(E243,F243,G243,H243))</f>
        <v/>
      </c>
      <c r="K243" s="37" t="str">
        <f aca="false">IF(J243="","",IF(J243&lt;2.5,"Low",IF(J243&lt;3.5,"Fair","Good")))</f>
        <v/>
      </c>
    </row>
    <row r="244" customFormat="false" ht="15" hidden="false" customHeight="false" outlineLevel="0" collapsed="false">
      <c r="A244" s="32"/>
      <c r="B244" s="32"/>
      <c r="C244" s="32"/>
      <c r="D244" s="35"/>
      <c r="E244" s="32"/>
      <c r="F244" s="32"/>
      <c r="G244" s="32"/>
      <c r="H244" s="32"/>
      <c r="I244" s="33"/>
      <c r="J244" s="44" t="str">
        <f aca="false">IF(OR(B244="",COUNT(E244,F244,G244,H244)&lt;4),"",AVERAGE(E244,F244,G244,H244))</f>
        <v/>
      </c>
      <c r="K244" s="37" t="str">
        <f aca="false">IF(J244="","",IF(J244&lt;2.5,"Low",IF(J244&lt;3.5,"Fair","Good")))</f>
        <v/>
      </c>
    </row>
    <row r="245" customFormat="false" ht="15" hidden="false" customHeight="false" outlineLevel="0" collapsed="false">
      <c r="A245" s="32"/>
      <c r="B245" s="32"/>
      <c r="C245" s="32"/>
      <c r="D245" s="35"/>
      <c r="E245" s="32"/>
      <c r="F245" s="32"/>
      <c r="G245" s="32"/>
      <c r="H245" s="32"/>
      <c r="I245" s="33"/>
      <c r="J245" s="44" t="str">
        <f aca="false">IF(OR(B245="",COUNT(E245,F245,G245,H245)&lt;4),"",AVERAGE(E245,F245,G245,H245))</f>
        <v/>
      </c>
      <c r="K245" s="37" t="str">
        <f aca="false">IF(J245="","",IF(J245&lt;2.5,"Low",IF(J245&lt;3.5,"Fair","Good")))</f>
        <v/>
      </c>
    </row>
    <row r="246" customFormat="false" ht="15" hidden="false" customHeight="false" outlineLevel="0" collapsed="false">
      <c r="A246" s="32"/>
      <c r="B246" s="32"/>
      <c r="C246" s="32"/>
      <c r="D246" s="35"/>
      <c r="E246" s="32"/>
      <c r="F246" s="32"/>
      <c r="G246" s="32"/>
      <c r="H246" s="32"/>
      <c r="I246" s="33"/>
      <c r="J246" s="44" t="str">
        <f aca="false">IF(OR(B246="",COUNT(E246,F246,G246,H246)&lt;4),"",AVERAGE(E246,F246,G246,H246))</f>
        <v/>
      </c>
      <c r="K246" s="37" t="str">
        <f aca="false">IF(J246="","",IF(J246&lt;2.5,"Low",IF(J246&lt;3.5,"Fair","Good")))</f>
        <v/>
      </c>
    </row>
    <row r="247" customFormat="false" ht="15" hidden="false" customHeight="false" outlineLevel="0" collapsed="false">
      <c r="A247" s="32"/>
      <c r="B247" s="32"/>
      <c r="C247" s="32"/>
      <c r="D247" s="35"/>
      <c r="E247" s="32"/>
      <c r="F247" s="32"/>
      <c r="G247" s="32"/>
      <c r="H247" s="32"/>
      <c r="I247" s="33"/>
      <c r="J247" s="44" t="str">
        <f aca="false">IF(OR(B247="",COUNT(E247,F247,G247,H247)&lt;4),"",AVERAGE(E247,F247,G247,H247))</f>
        <v/>
      </c>
      <c r="K247" s="37" t="str">
        <f aca="false">IF(J247="","",IF(J247&lt;2.5,"Low",IF(J247&lt;3.5,"Fair","Good")))</f>
        <v/>
      </c>
    </row>
    <row r="248" customFormat="false" ht="15" hidden="false" customHeight="false" outlineLevel="0" collapsed="false">
      <c r="A248" s="32"/>
      <c r="B248" s="32"/>
      <c r="C248" s="32"/>
      <c r="D248" s="35"/>
      <c r="E248" s="32"/>
      <c r="F248" s="32"/>
      <c r="G248" s="32"/>
      <c r="H248" s="32"/>
      <c r="I248" s="33"/>
      <c r="J248" s="44" t="str">
        <f aca="false">IF(OR(B248="",COUNT(E248,F248,G248,H248)&lt;4),"",AVERAGE(E248,F248,G248,H248))</f>
        <v/>
      </c>
      <c r="K248" s="37" t="str">
        <f aca="false">IF(J248="","",IF(J248&lt;2.5,"Low",IF(J248&lt;3.5,"Fair","Good")))</f>
        <v/>
      </c>
    </row>
    <row r="249" customFormat="false" ht="15" hidden="false" customHeight="false" outlineLevel="0" collapsed="false">
      <c r="A249" s="32"/>
      <c r="B249" s="32"/>
      <c r="C249" s="32"/>
      <c r="D249" s="35"/>
      <c r="E249" s="32"/>
      <c r="F249" s="32"/>
      <c r="G249" s="32"/>
      <c r="H249" s="32"/>
      <c r="I249" s="33"/>
      <c r="J249" s="44" t="str">
        <f aca="false">IF(OR(B249="",COUNT(E249,F249,G249,H249)&lt;4),"",AVERAGE(E249,F249,G249,H249))</f>
        <v/>
      </c>
      <c r="K249" s="37" t="str">
        <f aca="false">IF(J249="","",IF(J249&lt;2.5,"Low",IF(J249&lt;3.5,"Fair","Good")))</f>
        <v/>
      </c>
    </row>
    <row r="250" customFormat="false" ht="15" hidden="false" customHeight="false" outlineLevel="0" collapsed="false">
      <c r="A250" s="32"/>
      <c r="B250" s="32"/>
      <c r="C250" s="32"/>
      <c r="D250" s="35"/>
      <c r="E250" s="32"/>
      <c r="F250" s="32"/>
      <c r="G250" s="32"/>
      <c r="H250" s="32"/>
      <c r="I250" s="33"/>
      <c r="J250" s="44" t="str">
        <f aca="false">IF(OR(B250="",COUNT(E250,F250,G250,H250)&lt;4),"",AVERAGE(E250,F250,G250,H250))</f>
        <v/>
      </c>
      <c r="K250" s="37" t="str">
        <f aca="false">IF(J250="","",IF(J250&lt;2.5,"Low",IF(J250&lt;3.5,"Fair","Good")))</f>
        <v/>
      </c>
    </row>
    <row r="251" customFormat="false" ht="15" hidden="false" customHeight="false" outlineLevel="0" collapsed="false">
      <c r="A251" s="32"/>
      <c r="B251" s="32"/>
      <c r="C251" s="32"/>
      <c r="D251" s="35"/>
      <c r="E251" s="32"/>
      <c r="F251" s="32"/>
      <c r="G251" s="32"/>
      <c r="H251" s="32"/>
      <c r="I251" s="33"/>
      <c r="J251" s="44" t="str">
        <f aca="false">IF(OR(B251="",COUNT(E251,F251,G251,H251)&lt;4),"",AVERAGE(E251,F251,G251,H251))</f>
        <v/>
      </c>
      <c r="K251" s="37" t="str">
        <f aca="false">IF(J251="","",IF(J251&lt;2.5,"Low",IF(J251&lt;3.5,"Fair","Good")))</f>
        <v/>
      </c>
    </row>
    <row r="252" customFormat="false" ht="15" hidden="false" customHeight="false" outlineLevel="0" collapsed="false">
      <c r="A252" s="32"/>
      <c r="B252" s="32"/>
      <c r="C252" s="32"/>
      <c r="D252" s="35"/>
      <c r="E252" s="32"/>
      <c r="F252" s="32"/>
      <c r="G252" s="32"/>
      <c r="H252" s="32"/>
      <c r="I252" s="33"/>
      <c r="J252" s="44" t="str">
        <f aca="false">IF(OR(B252="",COUNT(E252,F252,G252,H252)&lt;4),"",AVERAGE(E252,F252,G252,H252))</f>
        <v/>
      </c>
      <c r="K252" s="37" t="str">
        <f aca="false">IF(J252="","",IF(J252&lt;2.5,"Low",IF(J252&lt;3.5,"Fair","Good")))</f>
        <v/>
      </c>
    </row>
    <row r="253" customFormat="false" ht="15" hidden="false" customHeight="false" outlineLevel="0" collapsed="false">
      <c r="A253" s="32"/>
      <c r="B253" s="32"/>
      <c r="C253" s="32"/>
      <c r="D253" s="35"/>
      <c r="E253" s="32"/>
      <c r="F253" s="32"/>
      <c r="G253" s="32"/>
      <c r="H253" s="32"/>
      <c r="I253" s="33"/>
      <c r="J253" s="44" t="str">
        <f aca="false">IF(OR(B253="",COUNT(E253,F253,G253,H253)&lt;4),"",AVERAGE(E253,F253,G253,H253))</f>
        <v/>
      </c>
      <c r="K253" s="37" t="str">
        <f aca="false">IF(J253="","",IF(J253&lt;2.5,"Low",IF(J253&lt;3.5,"Fair","Good")))</f>
        <v/>
      </c>
    </row>
    <row r="254" customFormat="false" ht="15" hidden="false" customHeight="false" outlineLevel="0" collapsed="false">
      <c r="A254" s="32"/>
      <c r="B254" s="32"/>
      <c r="C254" s="32"/>
      <c r="D254" s="35"/>
      <c r="E254" s="32"/>
      <c r="F254" s="32"/>
      <c r="G254" s="32"/>
      <c r="H254" s="32"/>
      <c r="I254" s="33"/>
      <c r="J254" s="44" t="str">
        <f aca="false">IF(OR(B254="",COUNT(E254,F254,G254,H254)&lt;4),"",AVERAGE(E254,F254,G254,H254))</f>
        <v/>
      </c>
      <c r="K254" s="37" t="str">
        <f aca="false">IF(J254="","",IF(J254&lt;2.5,"Low",IF(J254&lt;3.5,"Fair","Good")))</f>
        <v/>
      </c>
    </row>
    <row r="255" customFormat="false" ht="15" hidden="false" customHeight="false" outlineLevel="0" collapsed="false">
      <c r="A255" s="32"/>
      <c r="B255" s="32"/>
      <c r="C255" s="32"/>
      <c r="D255" s="35"/>
      <c r="E255" s="32"/>
      <c r="F255" s="32"/>
      <c r="G255" s="32"/>
      <c r="H255" s="32"/>
      <c r="I255" s="33"/>
      <c r="J255" s="44" t="str">
        <f aca="false">IF(OR(B255="",COUNT(E255,F255,G255,H255)&lt;4),"",AVERAGE(E255,F255,G255,H255))</f>
        <v/>
      </c>
      <c r="K255" s="37" t="str">
        <f aca="false">IF(J255="","",IF(J255&lt;2.5,"Low",IF(J255&lt;3.5,"Fair","Good")))</f>
        <v/>
      </c>
    </row>
    <row r="256" customFormat="false" ht="15" hidden="false" customHeight="false" outlineLevel="0" collapsed="false">
      <c r="A256" s="32"/>
      <c r="B256" s="32"/>
      <c r="C256" s="32"/>
      <c r="D256" s="35"/>
      <c r="E256" s="32"/>
      <c r="F256" s="32"/>
      <c r="G256" s="32"/>
      <c r="H256" s="32"/>
      <c r="I256" s="33"/>
      <c r="J256" s="44" t="str">
        <f aca="false">IF(OR(B256="",COUNT(E256,F256,G256,H256)&lt;4),"",AVERAGE(E256,F256,G256,H256))</f>
        <v/>
      </c>
      <c r="K256" s="37" t="str">
        <f aca="false">IF(J256="","",IF(J256&lt;2.5,"Low",IF(J256&lt;3.5,"Fair","Good")))</f>
        <v/>
      </c>
    </row>
    <row r="257" customFormat="false" ht="15" hidden="false" customHeight="false" outlineLevel="0" collapsed="false">
      <c r="A257" s="32"/>
      <c r="B257" s="32"/>
      <c r="C257" s="32"/>
      <c r="D257" s="35"/>
      <c r="E257" s="32"/>
      <c r="F257" s="32"/>
      <c r="G257" s="32"/>
      <c r="H257" s="32"/>
      <c r="I257" s="33"/>
      <c r="J257" s="44" t="str">
        <f aca="false">IF(OR(B257="",COUNT(E257,F257,G257,H257)&lt;4),"",AVERAGE(E257,F257,G257,H257))</f>
        <v/>
      </c>
      <c r="K257" s="37" t="str">
        <f aca="false">IF(J257="","",IF(J257&lt;2.5,"Low",IF(J257&lt;3.5,"Fair","Good")))</f>
        <v/>
      </c>
    </row>
    <row r="258" customFormat="false" ht="15" hidden="false" customHeight="false" outlineLevel="0" collapsed="false">
      <c r="A258" s="32"/>
      <c r="B258" s="32"/>
      <c r="C258" s="32"/>
      <c r="D258" s="35"/>
      <c r="E258" s="32"/>
      <c r="F258" s="32"/>
      <c r="G258" s="32"/>
      <c r="H258" s="32"/>
      <c r="I258" s="33"/>
      <c r="J258" s="44" t="str">
        <f aca="false">IF(OR(B258="",COUNT(E258,F258,G258,H258)&lt;4),"",AVERAGE(E258,F258,G258,H258))</f>
        <v/>
      </c>
      <c r="K258" s="37" t="str">
        <f aca="false">IF(J258="","",IF(J258&lt;2.5,"Low",IF(J258&lt;3.5,"Fair","Good")))</f>
        <v/>
      </c>
    </row>
    <row r="259" customFormat="false" ht="15" hidden="false" customHeight="false" outlineLevel="0" collapsed="false">
      <c r="A259" s="32"/>
      <c r="B259" s="32"/>
      <c r="C259" s="32"/>
      <c r="D259" s="35"/>
      <c r="E259" s="32"/>
      <c r="F259" s="32"/>
      <c r="G259" s="32"/>
      <c r="H259" s="32"/>
      <c r="I259" s="33"/>
      <c r="J259" s="44" t="str">
        <f aca="false">IF(OR(B259="",COUNT(E259,F259,G259,H259)&lt;4),"",AVERAGE(E259,F259,G259,H259))</f>
        <v/>
      </c>
      <c r="K259" s="37" t="str">
        <f aca="false">IF(J259="","",IF(J259&lt;2.5,"Low",IF(J259&lt;3.5,"Fair","Good")))</f>
        <v/>
      </c>
    </row>
    <row r="260" customFormat="false" ht="15" hidden="false" customHeight="false" outlineLevel="0" collapsed="false">
      <c r="A260" s="32"/>
      <c r="B260" s="32"/>
      <c r="C260" s="32"/>
      <c r="D260" s="35"/>
      <c r="E260" s="32"/>
      <c r="F260" s="32"/>
      <c r="G260" s="32"/>
      <c r="H260" s="32"/>
      <c r="I260" s="33"/>
      <c r="J260" s="44" t="str">
        <f aca="false">IF(OR(B260="",COUNT(E260,F260,G260,H260)&lt;4),"",AVERAGE(E260,F260,G260,H260))</f>
        <v/>
      </c>
      <c r="K260" s="37" t="str">
        <f aca="false">IF(J260="","",IF(J260&lt;2.5,"Low",IF(J260&lt;3.5,"Fair","Good")))</f>
        <v/>
      </c>
    </row>
    <row r="261" customFormat="false" ht="15" hidden="false" customHeight="false" outlineLevel="0" collapsed="false">
      <c r="A261" s="32"/>
      <c r="B261" s="32"/>
      <c r="C261" s="32"/>
      <c r="D261" s="35"/>
      <c r="E261" s="32"/>
      <c r="F261" s="32"/>
      <c r="G261" s="32"/>
      <c r="H261" s="32"/>
      <c r="I261" s="33"/>
      <c r="J261" s="44" t="str">
        <f aca="false">IF(OR(B261="",COUNT(E261,F261,G261,H261)&lt;4),"",AVERAGE(E261,F261,G261,H261))</f>
        <v/>
      </c>
      <c r="K261" s="37" t="str">
        <f aca="false">IF(J261="","",IF(J261&lt;2.5,"Low",IF(J261&lt;3.5,"Fair","Good")))</f>
        <v/>
      </c>
    </row>
    <row r="262" customFormat="false" ht="15" hidden="false" customHeight="false" outlineLevel="0" collapsed="false">
      <c r="A262" s="32"/>
      <c r="B262" s="32"/>
      <c r="C262" s="32"/>
      <c r="D262" s="35"/>
      <c r="E262" s="32"/>
      <c r="F262" s="32"/>
      <c r="G262" s="32"/>
      <c r="H262" s="32"/>
      <c r="I262" s="33"/>
      <c r="J262" s="44" t="str">
        <f aca="false">IF(OR(B262="",COUNT(E262,F262,G262,H262)&lt;4),"",AVERAGE(E262,F262,G262,H262))</f>
        <v/>
      </c>
      <c r="K262" s="37" t="str">
        <f aca="false">IF(J262="","",IF(J262&lt;2.5,"Low",IF(J262&lt;3.5,"Fair","Good")))</f>
        <v/>
      </c>
    </row>
    <row r="263" customFormat="false" ht="15" hidden="false" customHeight="false" outlineLevel="0" collapsed="false">
      <c r="A263" s="32"/>
      <c r="B263" s="32"/>
      <c r="C263" s="32"/>
      <c r="D263" s="35"/>
      <c r="E263" s="32"/>
      <c r="F263" s="32"/>
      <c r="G263" s="32"/>
      <c r="H263" s="32"/>
      <c r="I263" s="33"/>
      <c r="J263" s="44" t="str">
        <f aca="false">IF(OR(B263="",COUNT(E263,F263,G263,H263)&lt;4),"",AVERAGE(E263,F263,G263,H263))</f>
        <v/>
      </c>
      <c r="K263" s="37" t="str">
        <f aca="false">IF(J263="","",IF(J263&lt;2.5,"Low",IF(J263&lt;3.5,"Fair","Good")))</f>
        <v/>
      </c>
    </row>
    <row r="264" customFormat="false" ht="15" hidden="false" customHeight="false" outlineLevel="0" collapsed="false">
      <c r="A264" s="32"/>
      <c r="B264" s="32"/>
      <c r="C264" s="32"/>
      <c r="D264" s="35"/>
      <c r="E264" s="32"/>
      <c r="F264" s="32"/>
      <c r="G264" s="32"/>
      <c r="H264" s="32"/>
      <c r="I264" s="33"/>
      <c r="J264" s="44" t="str">
        <f aca="false">IF(OR(B264="",COUNT(E264,F264,G264,H264)&lt;4),"",AVERAGE(E264,F264,G264,H264))</f>
        <v/>
      </c>
      <c r="K264" s="37" t="str">
        <f aca="false">IF(J264="","",IF(J264&lt;2.5,"Low",IF(J264&lt;3.5,"Fair","Good")))</f>
        <v/>
      </c>
    </row>
    <row r="265" customFormat="false" ht="15" hidden="false" customHeight="false" outlineLevel="0" collapsed="false">
      <c r="A265" s="32"/>
      <c r="B265" s="32"/>
      <c r="C265" s="32"/>
      <c r="D265" s="35"/>
      <c r="E265" s="32"/>
      <c r="F265" s="32"/>
      <c r="G265" s="32"/>
      <c r="H265" s="32"/>
      <c r="I265" s="33"/>
      <c r="J265" s="44" t="str">
        <f aca="false">IF(OR(B265="",COUNT(E265,F265,G265,H265)&lt;4),"",AVERAGE(E265,F265,G265,H265))</f>
        <v/>
      </c>
      <c r="K265" s="37" t="str">
        <f aca="false">IF(J265="","",IF(J265&lt;2.5,"Low",IF(J265&lt;3.5,"Fair","Good")))</f>
        <v/>
      </c>
    </row>
    <row r="266" customFormat="false" ht="15" hidden="false" customHeight="false" outlineLevel="0" collapsed="false">
      <c r="A266" s="32"/>
      <c r="B266" s="32"/>
      <c r="C266" s="32"/>
      <c r="D266" s="35"/>
      <c r="E266" s="32"/>
      <c r="F266" s="32"/>
      <c r="G266" s="32"/>
      <c r="H266" s="32"/>
      <c r="I266" s="33"/>
      <c r="J266" s="44" t="str">
        <f aca="false">IF(OR(B266="",COUNT(E266,F266,G266,H266)&lt;4),"",AVERAGE(E266,F266,G266,H266))</f>
        <v/>
      </c>
      <c r="K266" s="37" t="str">
        <f aca="false">IF(J266="","",IF(J266&lt;2.5,"Low",IF(J266&lt;3.5,"Fair","Good")))</f>
        <v/>
      </c>
    </row>
    <row r="267" customFormat="false" ht="15" hidden="false" customHeight="false" outlineLevel="0" collapsed="false">
      <c r="A267" s="32"/>
      <c r="B267" s="32"/>
      <c r="C267" s="32"/>
      <c r="D267" s="35"/>
      <c r="E267" s="32"/>
      <c r="F267" s="32"/>
      <c r="G267" s="32"/>
      <c r="H267" s="32"/>
      <c r="I267" s="33"/>
      <c r="J267" s="44" t="str">
        <f aca="false">IF(OR(B267="",COUNT(E267,F267,G267,H267)&lt;4),"",AVERAGE(E267,F267,G267,H267))</f>
        <v/>
      </c>
      <c r="K267" s="37" t="str">
        <f aca="false">IF(J267="","",IF(J267&lt;2.5,"Low",IF(J267&lt;3.5,"Fair","Good")))</f>
        <v/>
      </c>
    </row>
    <row r="268" customFormat="false" ht="15" hidden="false" customHeight="false" outlineLevel="0" collapsed="false">
      <c r="A268" s="32"/>
      <c r="B268" s="32"/>
      <c r="C268" s="32"/>
      <c r="D268" s="35"/>
      <c r="E268" s="32"/>
      <c r="F268" s="32"/>
      <c r="G268" s="32"/>
      <c r="H268" s="32"/>
      <c r="I268" s="33"/>
      <c r="J268" s="44" t="str">
        <f aca="false">IF(OR(B268="",COUNT(E268,F268,G268,H268)&lt;4),"",AVERAGE(E268,F268,G268,H268))</f>
        <v/>
      </c>
      <c r="K268" s="37" t="str">
        <f aca="false">IF(J268="","",IF(J268&lt;2.5,"Low",IF(J268&lt;3.5,"Fair","Good")))</f>
        <v/>
      </c>
    </row>
    <row r="269" customFormat="false" ht="15" hidden="false" customHeight="false" outlineLevel="0" collapsed="false">
      <c r="A269" s="32"/>
      <c r="B269" s="32"/>
      <c r="C269" s="32"/>
      <c r="D269" s="35"/>
      <c r="E269" s="32"/>
      <c r="F269" s="32"/>
      <c r="G269" s="32"/>
      <c r="H269" s="32"/>
      <c r="I269" s="33"/>
      <c r="J269" s="44" t="str">
        <f aca="false">IF(OR(B269="",COUNT(E269,F269,G269,H269)&lt;4),"",AVERAGE(E269,F269,G269,H269))</f>
        <v/>
      </c>
      <c r="K269" s="37" t="str">
        <f aca="false">IF(J269="","",IF(J269&lt;2.5,"Low",IF(J269&lt;3.5,"Fair","Good")))</f>
        <v/>
      </c>
    </row>
    <row r="270" customFormat="false" ht="15" hidden="false" customHeight="false" outlineLevel="0" collapsed="false">
      <c r="A270" s="32"/>
      <c r="B270" s="32"/>
      <c r="C270" s="32"/>
      <c r="D270" s="35"/>
      <c r="E270" s="32"/>
      <c r="F270" s="32"/>
      <c r="G270" s="32"/>
      <c r="H270" s="32"/>
      <c r="I270" s="33"/>
      <c r="J270" s="44" t="str">
        <f aca="false">IF(OR(B270="",COUNT(E270,F270,G270,H270)&lt;4),"",AVERAGE(E270,F270,G270,H270))</f>
        <v/>
      </c>
      <c r="K270" s="37" t="str">
        <f aca="false">IF(J270="","",IF(J270&lt;2.5,"Low",IF(J270&lt;3.5,"Fair","Good")))</f>
        <v/>
      </c>
    </row>
    <row r="271" customFormat="false" ht="15" hidden="false" customHeight="false" outlineLevel="0" collapsed="false">
      <c r="A271" s="32"/>
      <c r="B271" s="32"/>
      <c r="C271" s="32"/>
      <c r="D271" s="35"/>
      <c r="E271" s="32"/>
      <c r="F271" s="32"/>
      <c r="G271" s="32"/>
      <c r="H271" s="32"/>
      <c r="I271" s="33"/>
      <c r="J271" s="44" t="str">
        <f aca="false">IF(OR(B271="",COUNT(E271,F271,G271,H271)&lt;4),"",AVERAGE(E271,F271,G271,H271))</f>
        <v/>
      </c>
      <c r="K271" s="37" t="str">
        <f aca="false">IF(J271="","",IF(J271&lt;2.5,"Low",IF(J271&lt;3.5,"Fair","Good")))</f>
        <v/>
      </c>
    </row>
    <row r="272" customFormat="false" ht="15" hidden="false" customHeight="false" outlineLevel="0" collapsed="false">
      <c r="A272" s="32"/>
      <c r="B272" s="32"/>
      <c r="C272" s="32"/>
      <c r="D272" s="35"/>
      <c r="E272" s="32"/>
      <c r="F272" s="32"/>
      <c r="G272" s="32"/>
      <c r="H272" s="32"/>
      <c r="I272" s="33"/>
      <c r="J272" s="44" t="str">
        <f aca="false">IF(OR(B272="",COUNT(E272,F272,G272,H272)&lt;4),"",AVERAGE(E272,F272,G272,H272))</f>
        <v/>
      </c>
      <c r="K272" s="37" t="str">
        <f aca="false">IF(J272="","",IF(J272&lt;2.5,"Low",IF(J272&lt;3.5,"Fair","Good")))</f>
        <v/>
      </c>
    </row>
    <row r="273" customFormat="false" ht="15" hidden="false" customHeight="false" outlineLevel="0" collapsed="false">
      <c r="A273" s="32"/>
      <c r="B273" s="32"/>
      <c r="C273" s="32"/>
      <c r="D273" s="35"/>
      <c r="E273" s="32"/>
      <c r="F273" s="32"/>
      <c r="G273" s="32"/>
      <c r="H273" s="32"/>
      <c r="I273" s="33"/>
      <c r="J273" s="44" t="str">
        <f aca="false">IF(OR(B273="",COUNT(E273,F273,G273,H273)&lt;4),"",AVERAGE(E273,F273,G273,H273))</f>
        <v/>
      </c>
      <c r="K273" s="37" t="str">
        <f aca="false">IF(J273="","",IF(J273&lt;2.5,"Low",IF(J273&lt;3.5,"Fair","Good")))</f>
        <v/>
      </c>
    </row>
    <row r="274" customFormat="false" ht="15" hidden="false" customHeight="false" outlineLevel="0" collapsed="false">
      <c r="A274" s="32"/>
      <c r="B274" s="32"/>
      <c r="C274" s="32"/>
      <c r="D274" s="35"/>
      <c r="E274" s="32"/>
      <c r="F274" s="32"/>
      <c r="G274" s="32"/>
      <c r="H274" s="32"/>
      <c r="I274" s="33"/>
      <c r="J274" s="44" t="str">
        <f aca="false">IF(OR(B274="",COUNT(E274,F274,G274,H274)&lt;4),"",AVERAGE(E274,F274,G274,H274))</f>
        <v/>
      </c>
      <c r="K274" s="37" t="str">
        <f aca="false">IF(J274="","",IF(J274&lt;2.5,"Low",IF(J274&lt;3.5,"Fair","Good")))</f>
        <v/>
      </c>
    </row>
    <row r="275" customFormat="false" ht="15" hidden="false" customHeight="false" outlineLevel="0" collapsed="false">
      <c r="A275" s="32"/>
      <c r="B275" s="32"/>
      <c r="C275" s="32"/>
      <c r="D275" s="35"/>
      <c r="E275" s="32"/>
      <c r="F275" s="32"/>
      <c r="G275" s="32"/>
      <c r="H275" s="32"/>
      <c r="I275" s="33"/>
      <c r="J275" s="44" t="str">
        <f aca="false">IF(OR(B275="",COUNT(E275,F275,G275,H275)&lt;4),"",AVERAGE(E275,F275,G275,H275))</f>
        <v/>
      </c>
      <c r="K275" s="37" t="str">
        <f aca="false">IF(J275="","",IF(J275&lt;2.5,"Low",IF(J275&lt;3.5,"Fair","Good")))</f>
        <v/>
      </c>
    </row>
    <row r="276" customFormat="false" ht="15" hidden="false" customHeight="false" outlineLevel="0" collapsed="false">
      <c r="A276" s="32"/>
      <c r="B276" s="32"/>
      <c r="C276" s="32"/>
      <c r="D276" s="35"/>
      <c r="E276" s="32"/>
      <c r="F276" s="32"/>
      <c r="G276" s="32"/>
      <c r="H276" s="32"/>
      <c r="I276" s="33"/>
      <c r="J276" s="44" t="str">
        <f aca="false">IF(OR(B276="",COUNT(E276,F276,G276,H276)&lt;4),"",AVERAGE(E276,F276,G276,H276))</f>
        <v/>
      </c>
      <c r="K276" s="37" t="str">
        <f aca="false">IF(J276="","",IF(J276&lt;2.5,"Low",IF(J276&lt;3.5,"Fair","Good")))</f>
        <v/>
      </c>
    </row>
    <row r="277" customFormat="false" ht="15" hidden="false" customHeight="false" outlineLevel="0" collapsed="false">
      <c r="A277" s="32"/>
      <c r="B277" s="32"/>
      <c r="C277" s="32"/>
      <c r="D277" s="35"/>
      <c r="E277" s="32"/>
      <c r="F277" s="32"/>
      <c r="G277" s="32"/>
      <c r="H277" s="32"/>
      <c r="I277" s="33"/>
      <c r="J277" s="44" t="str">
        <f aca="false">IF(OR(B277="",COUNT(E277,F277,G277,H277)&lt;4),"",AVERAGE(E277,F277,G277,H277))</f>
        <v/>
      </c>
      <c r="K277" s="37" t="str">
        <f aca="false">IF(J277="","",IF(J277&lt;2.5,"Low",IF(J277&lt;3.5,"Fair","Good")))</f>
        <v/>
      </c>
    </row>
    <row r="278" customFormat="false" ht="15" hidden="false" customHeight="false" outlineLevel="0" collapsed="false">
      <c r="A278" s="32"/>
      <c r="B278" s="32"/>
      <c r="C278" s="32"/>
      <c r="D278" s="35"/>
      <c r="E278" s="32"/>
      <c r="F278" s="32"/>
      <c r="G278" s="32"/>
      <c r="H278" s="32"/>
      <c r="I278" s="33"/>
      <c r="J278" s="44" t="str">
        <f aca="false">IF(OR(B278="",COUNT(E278,F278,G278,H278)&lt;4),"",AVERAGE(E278,F278,G278,H278))</f>
        <v/>
      </c>
      <c r="K278" s="37" t="str">
        <f aca="false">IF(J278="","",IF(J278&lt;2.5,"Low",IF(J278&lt;3.5,"Fair","Good")))</f>
        <v/>
      </c>
    </row>
    <row r="279" customFormat="false" ht="15" hidden="false" customHeight="false" outlineLevel="0" collapsed="false">
      <c r="A279" s="32"/>
      <c r="B279" s="32"/>
      <c r="C279" s="32"/>
      <c r="D279" s="35"/>
      <c r="E279" s="32"/>
      <c r="F279" s="32"/>
      <c r="G279" s="32"/>
      <c r="H279" s="32"/>
      <c r="I279" s="33"/>
      <c r="J279" s="44" t="str">
        <f aca="false">IF(OR(B279="",COUNT(E279,F279,G279,H279)&lt;4),"",AVERAGE(E279,F279,G279,H279))</f>
        <v/>
      </c>
      <c r="K279" s="37" t="str">
        <f aca="false">IF(J279="","",IF(J279&lt;2.5,"Low",IF(J279&lt;3.5,"Fair","Good")))</f>
        <v/>
      </c>
    </row>
    <row r="280" customFormat="false" ht="15" hidden="false" customHeight="false" outlineLevel="0" collapsed="false">
      <c r="A280" s="32"/>
      <c r="B280" s="32"/>
      <c r="C280" s="32"/>
      <c r="D280" s="35"/>
      <c r="E280" s="32"/>
      <c r="F280" s="32"/>
      <c r="G280" s="32"/>
      <c r="H280" s="32"/>
      <c r="I280" s="33"/>
      <c r="J280" s="44" t="str">
        <f aca="false">IF(OR(B280="",COUNT(E280,F280,G280,H280)&lt;4),"",AVERAGE(E280,F280,G280,H280))</f>
        <v/>
      </c>
      <c r="K280" s="37" t="str">
        <f aca="false">IF(J280="","",IF(J280&lt;2.5,"Low",IF(J280&lt;3.5,"Fair","Good")))</f>
        <v/>
      </c>
    </row>
    <row r="281" customFormat="false" ht="15" hidden="false" customHeight="false" outlineLevel="0" collapsed="false">
      <c r="A281" s="32"/>
      <c r="B281" s="32"/>
      <c r="C281" s="32"/>
      <c r="D281" s="35"/>
      <c r="E281" s="32"/>
      <c r="F281" s="32"/>
      <c r="G281" s="32"/>
      <c r="H281" s="32"/>
      <c r="I281" s="33"/>
      <c r="J281" s="44" t="str">
        <f aca="false">IF(OR(B281="",COUNT(E281,F281,G281,H281)&lt;4),"",AVERAGE(E281,F281,G281,H281))</f>
        <v/>
      </c>
      <c r="K281" s="37" t="str">
        <f aca="false">IF(J281="","",IF(J281&lt;2.5,"Low",IF(J281&lt;3.5,"Fair","Good")))</f>
        <v/>
      </c>
    </row>
    <row r="282" customFormat="false" ht="15" hidden="false" customHeight="false" outlineLevel="0" collapsed="false">
      <c r="A282" s="32"/>
      <c r="B282" s="32"/>
      <c r="C282" s="32"/>
      <c r="D282" s="35"/>
      <c r="E282" s="32"/>
      <c r="F282" s="32"/>
      <c r="G282" s="32"/>
      <c r="H282" s="32"/>
      <c r="I282" s="33"/>
      <c r="J282" s="44" t="str">
        <f aca="false">IF(OR(B282="",COUNT(E282,F282,G282,H282)&lt;4),"",AVERAGE(E282,F282,G282,H282))</f>
        <v/>
      </c>
      <c r="K282" s="37" t="str">
        <f aca="false">IF(J282="","",IF(J282&lt;2.5,"Low",IF(J282&lt;3.5,"Fair","Good")))</f>
        <v/>
      </c>
    </row>
    <row r="283" customFormat="false" ht="15" hidden="false" customHeight="false" outlineLevel="0" collapsed="false">
      <c r="A283" s="32"/>
      <c r="B283" s="32"/>
      <c r="C283" s="32"/>
      <c r="D283" s="35"/>
      <c r="E283" s="32"/>
      <c r="F283" s="32"/>
      <c r="G283" s="32"/>
      <c r="H283" s="32"/>
      <c r="I283" s="33"/>
      <c r="J283" s="44" t="str">
        <f aca="false">IF(OR(B283="",COUNT(E283,F283,G283,H283)&lt;4),"",AVERAGE(E283,F283,G283,H283))</f>
        <v/>
      </c>
      <c r="K283" s="37" t="str">
        <f aca="false">IF(J283="","",IF(J283&lt;2.5,"Low",IF(J283&lt;3.5,"Fair","Good")))</f>
        <v/>
      </c>
    </row>
    <row r="284" customFormat="false" ht="15" hidden="false" customHeight="false" outlineLevel="0" collapsed="false">
      <c r="A284" s="32"/>
      <c r="B284" s="32"/>
      <c r="C284" s="32"/>
      <c r="D284" s="35"/>
      <c r="E284" s="32"/>
      <c r="F284" s="32"/>
      <c r="G284" s="32"/>
      <c r="H284" s="32"/>
      <c r="I284" s="33"/>
      <c r="J284" s="44" t="str">
        <f aca="false">IF(OR(B284="",COUNT(E284,F284,G284,H284)&lt;4),"",AVERAGE(E284,F284,G284,H284))</f>
        <v/>
      </c>
      <c r="K284" s="37" t="str">
        <f aca="false">IF(J284="","",IF(J284&lt;2.5,"Low",IF(J284&lt;3.5,"Fair","Good")))</f>
        <v/>
      </c>
    </row>
    <row r="285" customFormat="false" ht="15" hidden="false" customHeight="false" outlineLevel="0" collapsed="false">
      <c r="A285" s="32"/>
      <c r="B285" s="32"/>
      <c r="C285" s="32"/>
      <c r="D285" s="35"/>
      <c r="E285" s="32"/>
      <c r="F285" s="32"/>
      <c r="G285" s="32"/>
      <c r="H285" s="32"/>
      <c r="I285" s="33"/>
      <c r="J285" s="44" t="str">
        <f aca="false">IF(OR(B285="",COUNT(E285,F285,G285,H285)&lt;4),"",AVERAGE(E285,F285,G285,H285))</f>
        <v/>
      </c>
      <c r="K285" s="37" t="str">
        <f aca="false">IF(J285="","",IF(J285&lt;2.5,"Low",IF(J285&lt;3.5,"Fair","Good")))</f>
        <v/>
      </c>
    </row>
    <row r="286" customFormat="false" ht="15" hidden="false" customHeight="false" outlineLevel="0" collapsed="false">
      <c r="A286" s="32"/>
      <c r="B286" s="32"/>
      <c r="C286" s="32"/>
      <c r="D286" s="35"/>
      <c r="E286" s="32"/>
      <c r="F286" s="32"/>
      <c r="G286" s="32"/>
      <c r="H286" s="32"/>
      <c r="I286" s="33"/>
      <c r="J286" s="44" t="str">
        <f aca="false">IF(OR(B286="",COUNT(E286,F286,G286,H286)&lt;4),"",AVERAGE(E286,F286,G286,H286))</f>
        <v/>
      </c>
      <c r="K286" s="37" t="str">
        <f aca="false">IF(J286="","",IF(J286&lt;2.5,"Low",IF(J286&lt;3.5,"Fair","Good")))</f>
        <v/>
      </c>
    </row>
    <row r="287" customFormat="false" ht="15" hidden="false" customHeight="false" outlineLevel="0" collapsed="false">
      <c r="A287" s="32"/>
      <c r="B287" s="32"/>
      <c r="C287" s="32"/>
      <c r="D287" s="35"/>
      <c r="E287" s="32"/>
      <c r="F287" s="32"/>
      <c r="G287" s="32"/>
      <c r="H287" s="32"/>
      <c r="I287" s="33"/>
      <c r="J287" s="44" t="str">
        <f aca="false">IF(OR(B287="",COUNT(E287,F287,G287,H287)&lt;4),"",AVERAGE(E287,F287,G287,H287))</f>
        <v/>
      </c>
      <c r="K287" s="37" t="str">
        <f aca="false">IF(J287="","",IF(J287&lt;2.5,"Low",IF(J287&lt;3.5,"Fair","Good")))</f>
        <v/>
      </c>
    </row>
    <row r="288" customFormat="false" ht="15" hidden="false" customHeight="false" outlineLevel="0" collapsed="false">
      <c r="A288" s="32"/>
      <c r="B288" s="32"/>
      <c r="C288" s="32"/>
      <c r="D288" s="35"/>
      <c r="E288" s="32"/>
      <c r="F288" s="32"/>
      <c r="G288" s="32"/>
      <c r="H288" s="32"/>
      <c r="I288" s="33"/>
      <c r="J288" s="44" t="str">
        <f aca="false">IF(OR(B288="",COUNT(E288,F288,G288,H288)&lt;4),"",AVERAGE(E288,F288,G288,H288))</f>
        <v/>
      </c>
      <c r="K288" s="37" t="str">
        <f aca="false">IF(J288="","",IF(J288&lt;2.5,"Low",IF(J288&lt;3.5,"Fair","Good")))</f>
        <v/>
      </c>
    </row>
    <row r="289" customFormat="false" ht="15" hidden="false" customHeight="false" outlineLevel="0" collapsed="false">
      <c r="A289" s="32"/>
      <c r="B289" s="32"/>
      <c r="C289" s="32"/>
      <c r="D289" s="35"/>
      <c r="E289" s="32"/>
      <c r="F289" s="32"/>
      <c r="G289" s="32"/>
      <c r="H289" s="32"/>
      <c r="I289" s="33"/>
      <c r="J289" s="44" t="str">
        <f aca="false">IF(OR(B289="",COUNT(E289,F289,G289,H289)&lt;4),"",AVERAGE(E289,F289,G289,H289))</f>
        <v/>
      </c>
      <c r="K289" s="37" t="str">
        <f aca="false">IF(J289="","",IF(J289&lt;2.5,"Low",IF(J289&lt;3.5,"Fair","Good")))</f>
        <v/>
      </c>
    </row>
    <row r="290" customFormat="false" ht="15" hidden="false" customHeight="false" outlineLevel="0" collapsed="false">
      <c r="A290" s="32"/>
      <c r="B290" s="32"/>
      <c r="C290" s="32"/>
      <c r="D290" s="35"/>
      <c r="E290" s="32"/>
      <c r="F290" s="32"/>
      <c r="G290" s="32"/>
      <c r="H290" s="32"/>
      <c r="I290" s="33"/>
      <c r="J290" s="44" t="str">
        <f aca="false">IF(OR(B290="",COUNT(E290,F290,G290,H290)&lt;4),"",AVERAGE(E290,F290,G290,H290))</f>
        <v/>
      </c>
      <c r="K290" s="37" t="str">
        <f aca="false">IF(J290="","",IF(J290&lt;2.5,"Low",IF(J290&lt;3.5,"Fair","Good")))</f>
        <v/>
      </c>
    </row>
    <row r="291" customFormat="false" ht="15" hidden="false" customHeight="false" outlineLevel="0" collapsed="false">
      <c r="A291" s="32"/>
      <c r="B291" s="32"/>
      <c r="C291" s="32"/>
      <c r="D291" s="35"/>
      <c r="E291" s="32"/>
      <c r="F291" s="32"/>
      <c r="G291" s="32"/>
      <c r="H291" s="32"/>
      <c r="I291" s="33"/>
      <c r="J291" s="44" t="str">
        <f aca="false">IF(OR(B291="",COUNT(E291,F291,G291,H291)&lt;4),"",AVERAGE(E291,F291,G291,H291))</f>
        <v/>
      </c>
      <c r="K291" s="37" t="str">
        <f aca="false">IF(J291="","",IF(J291&lt;2.5,"Low",IF(J291&lt;3.5,"Fair","Good")))</f>
        <v/>
      </c>
    </row>
    <row r="292" customFormat="false" ht="15" hidden="false" customHeight="false" outlineLevel="0" collapsed="false">
      <c r="A292" s="32"/>
      <c r="B292" s="32"/>
      <c r="C292" s="32"/>
      <c r="D292" s="35"/>
      <c r="E292" s="32"/>
      <c r="F292" s="32"/>
      <c r="G292" s="32"/>
      <c r="H292" s="32"/>
      <c r="I292" s="33"/>
      <c r="J292" s="44" t="str">
        <f aca="false">IF(OR(B292="",COUNT(E292,F292,G292,H292)&lt;4),"",AVERAGE(E292,F292,G292,H292))</f>
        <v/>
      </c>
      <c r="K292" s="37" t="str">
        <f aca="false">IF(J292="","",IF(J292&lt;2.5,"Low",IF(J292&lt;3.5,"Fair","Good")))</f>
        <v/>
      </c>
    </row>
    <row r="293" customFormat="false" ht="15" hidden="false" customHeight="false" outlineLevel="0" collapsed="false">
      <c r="A293" s="32"/>
      <c r="B293" s="32"/>
      <c r="C293" s="32"/>
      <c r="D293" s="35"/>
      <c r="E293" s="32"/>
      <c r="F293" s="32"/>
      <c r="G293" s="32"/>
      <c r="H293" s="32"/>
      <c r="I293" s="33"/>
      <c r="J293" s="44" t="str">
        <f aca="false">IF(OR(B293="",COUNT(E293,F293,G293,H293)&lt;4),"",AVERAGE(E293,F293,G293,H293))</f>
        <v/>
      </c>
      <c r="K293" s="37" t="str">
        <f aca="false">IF(J293="","",IF(J293&lt;2.5,"Low",IF(J293&lt;3.5,"Fair","Good")))</f>
        <v/>
      </c>
    </row>
    <row r="294" customFormat="false" ht="15" hidden="false" customHeight="false" outlineLevel="0" collapsed="false">
      <c r="A294" s="32"/>
      <c r="B294" s="32"/>
      <c r="C294" s="32"/>
      <c r="D294" s="35"/>
      <c r="E294" s="32"/>
      <c r="F294" s="32"/>
      <c r="G294" s="32"/>
      <c r="H294" s="32"/>
      <c r="I294" s="33"/>
      <c r="J294" s="44" t="str">
        <f aca="false">IF(OR(B294="",COUNT(E294,F294,G294,H294)&lt;4),"",AVERAGE(E294,F294,G294,H294))</f>
        <v/>
      </c>
      <c r="K294" s="37" t="str">
        <f aca="false">IF(J294="","",IF(J294&lt;2.5,"Low",IF(J294&lt;3.5,"Fair","Good")))</f>
        <v/>
      </c>
    </row>
    <row r="295" customFormat="false" ht="15" hidden="false" customHeight="false" outlineLevel="0" collapsed="false">
      <c r="A295" s="32"/>
      <c r="B295" s="32"/>
      <c r="C295" s="32"/>
      <c r="D295" s="35"/>
      <c r="E295" s="32"/>
      <c r="F295" s="32"/>
      <c r="G295" s="32"/>
      <c r="H295" s="32"/>
      <c r="I295" s="33"/>
      <c r="J295" s="44" t="str">
        <f aca="false">IF(OR(B295="",COUNT(E295,F295,G295,H295)&lt;4),"",AVERAGE(E295,F295,G295,H295))</f>
        <v/>
      </c>
      <c r="K295" s="37" t="str">
        <f aca="false">IF(J295="","",IF(J295&lt;2.5,"Low",IF(J295&lt;3.5,"Fair","Good")))</f>
        <v/>
      </c>
    </row>
    <row r="296" customFormat="false" ht="15" hidden="false" customHeight="false" outlineLevel="0" collapsed="false">
      <c r="A296" s="32"/>
      <c r="B296" s="32"/>
      <c r="C296" s="32"/>
      <c r="D296" s="35"/>
      <c r="E296" s="32"/>
      <c r="F296" s="32"/>
      <c r="G296" s="32"/>
      <c r="H296" s="32"/>
      <c r="I296" s="33"/>
      <c r="J296" s="44" t="str">
        <f aca="false">IF(OR(B296="",COUNT(E296,F296,G296,H296)&lt;4),"",AVERAGE(E296,F296,G296,H296))</f>
        <v/>
      </c>
      <c r="K296" s="37" t="str">
        <f aca="false">IF(J296="","",IF(J296&lt;2.5,"Low",IF(J296&lt;3.5,"Fair","Good")))</f>
        <v/>
      </c>
    </row>
    <row r="297" customFormat="false" ht="15" hidden="false" customHeight="false" outlineLevel="0" collapsed="false">
      <c r="A297" s="32"/>
      <c r="B297" s="32"/>
      <c r="C297" s="32"/>
      <c r="D297" s="35"/>
      <c r="E297" s="32"/>
      <c r="F297" s="32"/>
      <c r="G297" s="32"/>
      <c r="H297" s="32"/>
      <c r="I297" s="33"/>
      <c r="J297" s="44" t="str">
        <f aca="false">IF(OR(B297="",COUNT(E297,F297,G297,H297)&lt;4),"",AVERAGE(E297,F297,G297,H297))</f>
        <v/>
      </c>
      <c r="K297" s="37" t="str">
        <f aca="false">IF(J297="","",IF(J297&lt;2.5,"Low",IF(J297&lt;3.5,"Fair","Good")))</f>
        <v/>
      </c>
    </row>
    <row r="298" customFormat="false" ht="15" hidden="false" customHeight="false" outlineLevel="0" collapsed="false">
      <c r="A298" s="32"/>
      <c r="B298" s="32"/>
      <c r="C298" s="32"/>
      <c r="D298" s="35"/>
      <c r="E298" s="32"/>
      <c r="F298" s="32"/>
      <c r="G298" s="32"/>
      <c r="H298" s="32"/>
      <c r="I298" s="33"/>
      <c r="J298" s="44" t="str">
        <f aca="false">IF(OR(B298="",COUNT(E298,F298,G298,H298)&lt;4),"",AVERAGE(E298,F298,G298,H298))</f>
        <v/>
      </c>
      <c r="K298" s="37" t="str">
        <f aca="false">IF(J298="","",IF(J298&lt;2.5,"Low",IF(J298&lt;3.5,"Fair","Good")))</f>
        <v/>
      </c>
    </row>
    <row r="299" customFormat="false" ht="15" hidden="false" customHeight="false" outlineLevel="0" collapsed="false">
      <c r="A299" s="32"/>
      <c r="B299" s="32"/>
      <c r="C299" s="32"/>
      <c r="D299" s="35"/>
      <c r="E299" s="32"/>
      <c r="F299" s="32"/>
      <c r="G299" s="32"/>
      <c r="H299" s="32"/>
      <c r="I299" s="33"/>
      <c r="J299" s="44" t="str">
        <f aca="false">IF(OR(B299="",COUNT(E299,F299,G299,H299)&lt;4),"",AVERAGE(E299,F299,G299,H299))</f>
        <v/>
      </c>
      <c r="K299" s="37" t="str">
        <f aca="false">IF(J299="","",IF(J299&lt;2.5,"Low",IF(J299&lt;3.5,"Fair","Good")))</f>
        <v/>
      </c>
    </row>
    <row r="300" customFormat="false" ht="15" hidden="false" customHeight="false" outlineLevel="0" collapsed="false">
      <c r="A300" s="32"/>
      <c r="B300" s="32"/>
      <c r="C300" s="32"/>
      <c r="D300" s="35"/>
      <c r="E300" s="32"/>
      <c r="F300" s="32"/>
      <c r="G300" s="32"/>
      <c r="H300" s="32"/>
      <c r="I300" s="33"/>
      <c r="J300" s="44" t="str">
        <f aca="false">IF(OR(B300="",COUNT(E300,F300,G300,H300)&lt;4),"",AVERAGE(E300,F300,G300,H300))</f>
        <v/>
      </c>
      <c r="K300" s="37" t="str">
        <f aca="false">IF(J300="","",IF(J300&lt;2.5,"Low",IF(J300&lt;3.5,"Fair","Good")))</f>
        <v/>
      </c>
    </row>
    <row r="301" customFormat="false" ht="15" hidden="false" customHeight="false" outlineLevel="0" collapsed="false">
      <c r="A301" s="32"/>
      <c r="B301" s="32"/>
      <c r="C301" s="32"/>
      <c r="D301" s="35"/>
      <c r="E301" s="32"/>
      <c r="F301" s="32"/>
      <c r="G301" s="32"/>
      <c r="H301" s="32"/>
      <c r="I301" s="33"/>
      <c r="J301" s="44" t="str">
        <f aca="false">IF(OR(B301="",COUNT(E301,F301,G301,H301)&lt;4),"",AVERAGE(E301,F301,G301,H301))</f>
        <v/>
      </c>
      <c r="K301" s="37" t="str">
        <f aca="false">IF(J301="","",IF(J301&lt;2.5,"Low",IF(J301&lt;3.5,"Fair","Good")))</f>
        <v/>
      </c>
    </row>
    <row r="302" customFormat="false" ht="15" hidden="false" customHeight="false" outlineLevel="0" collapsed="false">
      <c r="A302" s="32"/>
      <c r="B302" s="32"/>
      <c r="C302" s="32"/>
      <c r="D302" s="35"/>
      <c r="E302" s="32"/>
      <c r="F302" s="32"/>
      <c r="G302" s="32"/>
      <c r="H302" s="32"/>
      <c r="I302" s="33"/>
      <c r="J302" s="44" t="str">
        <f aca="false">IF(OR(B302="",COUNT(E302,F302,G302,H302)&lt;4),"",AVERAGE(E302,F302,G302,H302))</f>
        <v/>
      </c>
      <c r="K302" s="37" t="str">
        <f aca="false">IF(J302="","",IF(J302&lt;2.5,"Low",IF(J302&lt;3.5,"Fair","Good")))</f>
        <v/>
      </c>
    </row>
    <row r="303" customFormat="false" ht="15" hidden="false" customHeight="false" outlineLevel="0" collapsed="false">
      <c r="A303" s="32"/>
      <c r="B303" s="32"/>
      <c r="C303" s="32"/>
      <c r="D303" s="35"/>
      <c r="E303" s="32"/>
      <c r="F303" s="32"/>
      <c r="G303" s="32"/>
      <c r="H303" s="32"/>
      <c r="I303" s="33"/>
      <c r="J303" s="44" t="str">
        <f aca="false">IF(OR(B303="",COUNT(E303,F303,G303,H303)&lt;4),"",AVERAGE(E303,F303,G303,H303))</f>
        <v/>
      </c>
      <c r="K303" s="37" t="str">
        <f aca="false">IF(J303="","",IF(J303&lt;2.5,"Low",IF(J303&lt;3.5,"Fair","Good")))</f>
        <v/>
      </c>
    </row>
    <row r="304" customFormat="false" ht="15" hidden="false" customHeight="false" outlineLevel="0" collapsed="false">
      <c r="A304" s="32"/>
      <c r="B304" s="32"/>
      <c r="C304" s="32"/>
      <c r="D304" s="35"/>
      <c r="E304" s="32"/>
      <c r="F304" s="32"/>
      <c r="G304" s="32"/>
      <c r="H304" s="32"/>
      <c r="I304" s="33"/>
      <c r="J304" s="44" t="str">
        <f aca="false">IF(OR(B304="",COUNT(E304,F304,G304,H304)&lt;4),"",AVERAGE(E304,F304,G304,H304))</f>
        <v/>
      </c>
      <c r="K304" s="37" t="str">
        <f aca="false">IF(J304="","",IF(J304&lt;2.5,"Low",IF(J304&lt;3.5,"Fair","Good")))</f>
        <v/>
      </c>
    </row>
    <row r="305" customFormat="false" ht="15" hidden="false" customHeight="false" outlineLevel="0" collapsed="false">
      <c r="A305" s="32"/>
      <c r="B305" s="32"/>
      <c r="C305" s="32"/>
      <c r="D305" s="35"/>
      <c r="E305" s="32"/>
      <c r="F305" s="32"/>
      <c r="G305" s="32"/>
      <c r="H305" s="32"/>
      <c r="I305" s="33"/>
      <c r="J305" s="44" t="str">
        <f aca="false">IF(OR(B305="",COUNT(E305,F305,G305,H305)&lt;4),"",AVERAGE(E305,F305,G305,H305))</f>
        <v/>
      </c>
      <c r="K305" s="37" t="str">
        <f aca="false">IF(J305="","",IF(J305&lt;2.5,"Low",IF(J305&lt;3.5,"Fair","Good")))</f>
        <v/>
      </c>
    </row>
    <row r="306" customFormat="false" ht="15" hidden="false" customHeight="false" outlineLevel="0" collapsed="false">
      <c r="A306" s="32"/>
      <c r="B306" s="32"/>
      <c r="C306" s="32"/>
      <c r="D306" s="35"/>
      <c r="E306" s="32"/>
      <c r="F306" s="32"/>
      <c r="G306" s="32"/>
      <c r="H306" s="32"/>
      <c r="I306" s="33"/>
      <c r="J306" s="44" t="str">
        <f aca="false">IF(OR(B306="",COUNT(E306,F306,G306,H306)&lt;4),"",AVERAGE(E306,F306,G306,H306))</f>
        <v/>
      </c>
      <c r="K306" s="37" t="str">
        <f aca="false">IF(J306="","",IF(J306&lt;2.5,"Low",IF(J306&lt;3.5,"Fair","Good")))</f>
        <v/>
      </c>
    </row>
    <row r="307" customFormat="false" ht="15" hidden="false" customHeight="false" outlineLevel="0" collapsed="false">
      <c r="A307" s="32"/>
      <c r="B307" s="32"/>
      <c r="C307" s="32"/>
      <c r="D307" s="35"/>
      <c r="E307" s="32"/>
      <c r="F307" s="32"/>
      <c r="G307" s="32"/>
      <c r="H307" s="32"/>
      <c r="I307" s="33"/>
      <c r="J307" s="44" t="str">
        <f aca="false">IF(OR(B307="",COUNT(E307,F307,G307,H307)&lt;4),"",AVERAGE(E307,F307,G307,H307))</f>
        <v/>
      </c>
      <c r="K307" s="37" t="str">
        <f aca="false">IF(J307="","",IF(J307&lt;2.5,"Low",IF(J307&lt;3.5,"Fair","Good")))</f>
        <v/>
      </c>
    </row>
    <row r="308" customFormat="false" ht="15" hidden="false" customHeight="false" outlineLevel="0" collapsed="false">
      <c r="A308" s="32"/>
      <c r="B308" s="32"/>
      <c r="C308" s="32"/>
      <c r="D308" s="35"/>
      <c r="E308" s="32"/>
      <c r="F308" s="32"/>
      <c r="G308" s="32"/>
      <c r="H308" s="32"/>
      <c r="I308" s="33"/>
      <c r="J308" s="44" t="str">
        <f aca="false">IF(OR(B308="",COUNT(E308,F308,G308,H308)&lt;4),"",AVERAGE(E308,F308,G308,H308))</f>
        <v/>
      </c>
      <c r="K308" s="37" t="str">
        <f aca="false">IF(J308="","",IF(J308&lt;2.5,"Low",IF(J308&lt;3.5,"Fair","Good")))</f>
        <v/>
      </c>
    </row>
    <row r="309" customFormat="false" ht="15" hidden="false" customHeight="false" outlineLevel="0" collapsed="false">
      <c r="A309" s="32"/>
      <c r="B309" s="32"/>
      <c r="C309" s="32"/>
      <c r="D309" s="35"/>
      <c r="E309" s="32"/>
      <c r="F309" s="32"/>
      <c r="G309" s="32"/>
      <c r="H309" s="32"/>
      <c r="I309" s="33"/>
      <c r="J309" s="44" t="str">
        <f aca="false">IF(OR(B309="",COUNT(E309,F309,G309,H309)&lt;4),"",AVERAGE(E309,F309,G309,H309))</f>
        <v/>
      </c>
      <c r="K309" s="37" t="str">
        <f aca="false">IF(J309="","",IF(J309&lt;2.5,"Low",IF(J309&lt;3.5,"Fair","Good")))</f>
        <v/>
      </c>
    </row>
    <row r="310" customFormat="false" ht="15" hidden="false" customHeight="false" outlineLevel="0" collapsed="false">
      <c r="A310" s="32"/>
      <c r="B310" s="32"/>
      <c r="C310" s="32"/>
      <c r="D310" s="35"/>
      <c r="E310" s="32"/>
      <c r="F310" s="32"/>
      <c r="G310" s="32"/>
      <c r="H310" s="32"/>
      <c r="I310" s="33"/>
      <c r="J310" s="44" t="str">
        <f aca="false">IF(OR(B310="",COUNT(E310,F310,G310,H310)&lt;4),"",AVERAGE(E310,F310,G310,H310))</f>
        <v/>
      </c>
      <c r="K310" s="37" t="str">
        <f aca="false">IF(J310="","",IF(J310&lt;2.5,"Low",IF(J310&lt;3.5,"Fair","Good")))</f>
        <v/>
      </c>
    </row>
    <row r="311" customFormat="false" ht="15" hidden="false" customHeight="false" outlineLevel="0" collapsed="false">
      <c r="A311" s="32"/>
      <c r="B311" s="32"/>
      <c r="C311" s="32"/>
      <c r="D311" s="35"/>
      <c r="E311" s="32"/>
      <c r="F311" s="32"/>
      <c r="G311" s="32"/>
      <c r="H311" s="32"/>
      <c r="I311" s="33"/>
      <c r="J311" s="44" t="str">
        <f aca="false">IF(OR(B311="",COUNT(E311,F311,G311,H311)&lt;4),"",AVERAGE(E311,F311,G311,H311))</f>
        <v/>
      </c>
      <c r="K311" s="37" t="str">
        <f aca="false">IF(J311="","",IF(J311&lt;2.5,"Low",IF(J311&lt;3.5,"Fair","Good")))</f>
        <v/>
      </c>
    </row>
    <row r="312" customFormat="false" ht="15" hidden="false" customHeight="false" outlineLevel="0" collapsed="false">
      <c r="A312" s="32"/>
      <c r="B312" s="32"/>
      <c r="C312" s="32"/>
      <c r="D312" s="35"/>
      <c r="E312" s="32"/>
      <c r="F312" s="32"/>
      <c r="G312" s="32"/>
      <c r="H312" s="32"/>
      <c r="I312" s="33"/>
      <c r="J312" s="44" t="str">
        <f aca="false">IF(OR(B312="",COUNT(E312,F312,G312,H312)&lt;4),"",AVERAGE(E312,F312,G312,H312))</f>
        <v/>
      </c>
      <c r="K312" s="37" t="str">
        <f aca="false">IF(J312="","",IF(J312&lt;2.5,"Low",IF(J312&lt;3.5,"Fair","Good")))</f>
        <v/>
      </c>
    </row>
    <row r="313" customFormat="false" ht="15" hidden="false" customHeight="false" outlineLevel="0" collapsed="false">
      <c r="A313" s="32"/>
      <c r="B313" s="32"/>
      <c r="C313" s="32"/>
      <c r="D313" s="35"/>
      <c r="E313" s="32"/>
      <c r="F313" s="32"/>
      <c r="G313" s="32"/>
      <c r="H313" s="32"/>
      <c r="I313" s="33"/>
      <c r="J313" s="44" t="str">
        <f aca="false">IF(OR(B313="",COUNT(E313,F313,G313,H313)&lt;4),"",AVERAGE(E313,F313,G313,H313))</f>
        <v/>
      </c>
      <c r="K313" s="37" t="str">
        <f aca="false">IF(J313="","",IF(J313&lt;2.5,"Low",IF(J313&lt;3.5,"Fair","Good")))</f>
        <v/>
      </c>
    </row>
    <row r="314" customFormat="false" ht="15" hidden="false" customHeight="false" outlineLevel="0" collapsed="false">
      <c r="A314" s="32"/>
      <c r="B314" s="32"/>
      <c r="C314" s="32"/>
      <c r="D314" s="35"/>
      <c r="E314" s="32"/>
      <c r="F314" s="32"/>
      <c r="G314" s="32"/>
      <c r="H314" s="32"/>
      <c r="I314" s="33"/>
      <c r="J314" s="44" t="str">
        <f aca="false">IF(OR(B314="",COUNT(E314,F314,G314,H314)&lt;4),"",AVERAGE(E314,F314,G314,H314))</f>
        <v/>
      </c>
      <c r="K314" s="37" t="str">
        <f aca="false">IF(J314="","",IF(J314&lt;2.5,"Low",IF(J314&lt;3.5,"Fair","Good")))</f>
        <v/>
      </c>
    </row>
    <row r="315" customFormat="false" ht="15" hidden="false" customHeight="false" outlineLevel="0" collapsed="false">
      <c r="A315" s="32"/>
      <c r="B315" s="32"/>
      <c r="C315" s="32"/>
      <c r="D315" s="35"/>
      <c r="E315" s="32"/>
      <c r="F315" s="32"/>
      <c r="G315" s="32"/>
      <c r="H315" s="32"/>
      <c r="I315" s="33"/>
      <c r="J315" s="44" t="str">
        <f aca="false">IF(OR(B315="",COUNT(E315,F315,G315,H315)&lt;4),"",AVERAGE(E315,F315,G315,H315))</f>
        <v/>
      </c>
      <c r="K315" s="37" t="str">
        <f aca="false">IF(J315="","",IF(J315&lt;2.5,"Low",IF(J315&lt;3.5,"Fair","Good")))</f>
        <v/>
      </c>
    </row>
    <row r="316" customFormat="false" ht="15" hidden="false" customHeight="false" outlineLevel="0" collapsed="false">
      <c r="A316" s="32"/>
      <c r="B316" s="32"/>
      <c r="C316" s="32"/>
      <c r="D316" s="35"/>
      <c r="E316" s="32"/>
      <c r="F316" s="32"/>
      <c r="G316" s="32"/>
      <c r="H316" s="32"/>
      <c r="I316" s="33"/>
      <c r="J316" s="44" t="str">
        <f aca="false">IF(OR(B316="",COUNT(E316,F316,G316,H316)&lt;4),"",AVERAGE(E316,F316,G316,H316))</f>
        <v/>
      </c>
      <c r="K316" s="37" t="str">
        <f aca="false">IF(J316="","",IF(J316&lt;2.5,"Low",IF(J316&lt;3.5,"Fair","Good")))</f>
        <v/>
      </c>
    </row>
    <row r="317" customFormat="false" ht="15" hidden="false" customHeight="false" outlineLevel="0" collapsed="false">
      <c r="A317" s="32"/>
      <c r="B317" s="32"/>
      <c r="C317" s="32"/>
      <c r="D317" s="35"/>
      <c r="E317" s="32"/>
      <c r="F317" s="32"/>
      <c r="G317" s="32"/>
      <c r="H317" s="32"/>
      <c r="I317" s="33"/>
      <c r="J317" s="44" t="str">
        <f aca="false">IF(OR(B317="",COUNT(E317,F317,G317,H317)&lt;4),"",AVERAGE(E317,F317,G317,H317))</f>
        <v/>
      </c>
      <c r="K317" s="37" t="str">
        <f aca="false">IF(J317="","",IF(J317&lt;2.5,"Low",IF(J317&lt;3.5,"Fair","Good")))</f>
        <v/>
      </c>
    </row>
    <row r="318" customFormat="false" ht="15" hidden="false" customHeight="false" outlineLevel="0" collapsed="false">
      <c r="A318" s="32"/>
      <c r="B318" s="32"/>
      <c r="C318" s="32"/>
      <c r="D318" s="35"/>
      <c r="E318" s="32"/>
      <c r="F318" s="32"/>
      <c r="G318" s="32"/>
      <c r="H318" s="32"/>
      <c r="I318" s="33"/>
      <c r="J318" s="44" t="str">
        <f aca="false">IF(OR(B318="",COUNT(E318,F318,G318,H318)&lt;4),"",AVERAGE(E318,F318,G318,H318))</f>
        <v/>
      </c>
      <c r="K318" s="37" t="str">
        <f aca="false">IF(J318="","",IF(J318&lt;2.5,"Low",IF(J318&lt;3.5,"Fair","Good")))</f>
        <v/>
      </c>
    </row>
    <row r="319" customFormat="false" ht="15" hidden="false" customHeight="false" outlineLevel="0" collapsed="false">
      <c r="A319" s="32"/>
      <c r="B319" s="32"/>
      <c r="C319" s="32"/>
      <c r="D319" s="35"/>
      <c r="E319" s="32"/>
      <c r="F319" s="32"/>
      <c r="G319" s="32"/>
      <c r="H319" s="32"/>
      <c r="I319" s="33"/>
      <c r="J319" s="44" t="str">
        <f aca="false">IF(OR(B319="",COUNT(E319,F319,G319,H319)&lt;4),"",AVERAGE(E319,F319,G319,H319))</f>
        <v/>
      </c>
      <c r="K319" s="37" t="str">
        <f aca="false">IF(J319="","",IF(J319&lt;2.5,"Low",IF(J319&lt;3.5,"Fair","Good")))</f>
        <v/>
      </c>
    </row>
    <row r="320" customFormat="false" ht="15" hidden="false" customHeight="false" outlineLevel="0" collapsed="false">
      <c r="A320" s="32"/>
      <c r="B320" s="32"/>
      <c r="C320" s="32"/>
      <c r="D320" s="35"/>
      <c r="E320" s="32"/>
      <c r="F320" s="32"/>
      <c r="G320" s="32"/>
      <c r="H320" s="32"/>
      <c r="I320" s="33"/>
      <c r="J320" s="44" t="str">
        <f aca="false">IF(OR(B320="",COUNT(E320,F320,G320,H320)&lt;4),"",AVERAGE(E320,F320,G320,H320))</f>
        <v/>
      </c>
      <c r="K320" s="37" t="str">
        <f aca="false">IF(J320="","",IF(J320&lt;2.5,"Low",IF(J320&lt;3.5,"Fair","Good")))</f>
        <v/>
      </c>
    </row>
    <row r="321" customFormat="false" ht="15" hidden="false" customHeight="false" outlineLevel="0" collapsed="false">
      <c r="A321" s="32"/>
      <c r="B321" s="32"/>
      <c r="C321" s="32"/>
      <c r="D321" s="35"/>
      <c r="E321" s="32"/>
      <c r="F321" s="32"/>
      <c r="G321" s="32"/>
      <c r="H321" s="32"/>
      <c r="I321" s="33"/>
      <c r="J321" s="44" t="str">
        <f aca="false">IF(OR(B321="",COUNT(E321,F321,G321,H321)&lt;4),"",AVERAGE(E321,F321,G321,H321))</f>
        <v/>
      </c>
      <c r="K321" s="37" t="str">
        <f aca="false">IF(J321="","",IF(J321&lt;2.5,"Low",IF(J321&lt;3.5,"Fair","Good")))</f>
        <v/>
      </c>
    </row>
    <row r="322" customFormat="false" ht="15" hidden="false" customHeight="false" outlineLevel="0" collapsed="false">
      <c r="A322" s="32"/>
      <c r="B322" s="32"/>
      <c r="C322" s="32"/>
      <c r="D322" s="35"/>
      <c r="E322" s="32"/>
      <c r="F322" s="32"/>
      <c r="G322" s="32"/>
      <c r="H322" s="32"/>
      <c r="I322" s="33"/>
      <c r="J322" s="44" t="str">
        <f aca="false">IF(OR(B322="",COUNT(E322,F322,G322,H322)&lt;4),"",AVERAGE(E322,F322,G322,H322))</f>
        <v/>
      </c>
      <c r="K322" s="37" t="str">
        <f aca="false">IF(J322="","",IF(J322&lt;2.5,"Low",IF(J322&lt;3.5,"Fair","Good")))</f>
        <v/>
      </c>
    </row>
    <row r="323" customFormat="false" ht="15" hidden="false" customHeight="false" outlineLevel="0" collapsed="false">
      <c r="A323" s="32"/>
      <c r="B323" s="32"/>
      <c r="C323" s="32"/>
      <c r="D323" s="35"/>
      <c r="E323" s="32"/>
      <c r="F323" s="32"/>
      <c r="G323" s="32"/>
      <c r="H323" s="32"/>
      <c r="I323" s="33"/>
      <c r="J323" s="44" t="str">
        <f aca="false">IF(OR(B323="",COUNT(E323,F323,G323,H323)&lt;4),"",AVERAGE(E323,F323,G323,H323))</f>
        <v/>
      </c>
      <c r="K323" s="37" t="str">
        <f aca="false">IF(J323="","",IF(J323&lt;2.5,"Low",IF(J323&lt;3.5,"Fair","Good")))</f>
        <v/>
      </c>
    </row>
    <row r="324" customFormat="false" ht="15" hidden="false" customHeight="false" outlineLevel="0" collapsed="false">
      <c r="A324" s="32"/>
      <c r="B324" s="32"/>
      <c r="C324" s="32"/>
      <c r="D324" s="35"/>
      <c r="E324" s="32"/>
      <c r="F324" s="32"/>
      <c r="G324" s="32"/>
      <c r="H324" s="32"/>
      <c r="I324" s="33"/>
      <c r="J324" s="44" t="str">
        <f aca="false">IF(OR(B324="",COUNT(E324,F324,G324,H324)&lt;4),"",AVERAGE(E324,F324,G324,H324))</f>
        <v/>
      </c>
      <c r="K324" s="37" t="str">
        <f aca="false">IF(J324="","",IF(J324&lt;2.5,"Low",IF(J324&lt;3.5,"Fair","Good")))</f>
        <v/>
      </c>
    </row>
    <row r="325" customFormat="false" ht="15" hidden="false" customHeight="false" outlineLevel="0" collapsed="false">
      <c r="A325" s="32"/>
      <c r="B325" s="32"/>
      <c r="C325" s="32"/>
      <c r="D325" s="35"/>
      <c r="E325" s="32"/>
      <c r="F325" s="32"/>
      <c r="G325" s="32"/>
      <c r="H325" s="32"/>
      <c r="I325" s="33"/>
      <c r="J325" s="44" t="str">
        <f aca="false">IF(OR(B325="",COUNT(E325,F325,G325,H325)&lt;4),"",AVERAGE(E325,F325,G325,H325))</f>
        <v/>
      </c>
      <c r="K325" s="37" t="str">
        <f aca="false">IF(J325="","",IF(J325&lt;2.5,"Low",IF(J325&lt;3.5,"Fair","Good")))</f>
        <v/>
      </c>
    </row>
    <row r="326" customFormat="false" ht="15" hidden="false" customHeight="false" outlineLevel="0" collapsed="false">
      <c r="A326" s="32"/>
      <c r="B326" s="32"/>
      <c r="C326" s="32"/>
      <c r="D326" s="35"/>
      <c r="E326" s="32"/>
      <c r="F326" s="32"/>
      <c r="G326" s="32"/>
      <c r="H326" s="32"/>
      <c r="I326" s="33"/>
      <c r="J326" s="44" t="str">
        <f aca="false">IF(OR(B326="",COUNT(E326,F326,G326,H326)&lt;4),"",AVERAGE(E326,F326,G326,H326))</f>
        <v/>
      </c>
      <c r="K326" s="37" t="str">
        <f aca="false">IF(J326="","",IF(J326&lt;2.5,"Low",IF(J326&lt;3.5,"Fair","Good")))</f>
        <v/>
      </c>
    </row>
    <row r="327" customFormat="false" ht="15" hidden="false" customHeight="false" outlineLevel="0" collapsed="false">
      <c r="A327" s="32"/>
      <c r="B327" s="32"/>
      <c r="C327" s="32"/>
      <c r="D327" s="35"/>
      <c r="E327" s="32"/>
      <c r="F327" s="32"/>
      <c r="G327" s="32"/>
      <c r="H327" s="32"/>
      <c r="I327" s="33"/>
      <c r="J327" s="44" t="str">
        <f aca="false">IF(OR(B327="",COUNT(E327,F327,G327,H327)&lt;4),"",AVERAGE(E327,F327,G327,H327))</f>
        <v/>
      </c>
      <c r="K327" s="37" t="str">
        <f aca="false">IF(J327="","",IF(J327&lt;2.5,"Low",IF(J327&lt;3.5,"Fair","Good")))</f>
        <v/>
      </c>
    </row>
    <row r="328" customFormat="false" ht="15" hidden="false" customHeight="false" outlineLevel="0" collapsed="false">
      <c r="A328" s="32"/>
      <c r="B328" s="32"/>
      <c r="C328" s="32"/>
      <c r="D328" s="35"/>
      <c r="E328" s="32"/>
      <c r="F328" s="32"/>
      <c r="G328" s="32"/>
      <c r="H328" s="32"/>
      <c r="I328" s="33"/>
      <c r="J328" s="44" t="str">
        <f aca="false">IF(OR(B328="",COUNT(E328,F328,G328,H328)&lt;4),"",AVERAGE(E328,F328,G328,H328))</f>
        <v/>
      </c>
      <c r="K328" s="37" t="str">
        <f aca="false">IF(J328="","",IF(J328&lt;2.5,"Low",IF(J328&lt;3.5,"Fair","Good")))</f>
        <v/>
      </c>
    </row>
    <row r="329" customFormat="false" ht="15" hidden="false" customHeight="false" outlineLevel="0" collapsed="false">
      <c r="A329" s="32"/>
      <c r="B329" s="32"/>
      <c r="C329" s="32"/>
      <c r="D329" s="35"/>
      <c r="E329" s="32"/>
      <c r="F329" s="32"/>
      <c r="G329" s="32"/>
      <c r="H329" s="32"/>
      <c r="I329" s="33"/>
      <c r="J329" s="44" t="str">
        <f aca="false">IF(OR(B329="",COUNT(E329,F329,G329,H329)&lt;4),"",AVERAGE(E329,F329,G329,H329))</f>
        <v/>
      </c>
      <c r="K329" s="37" t="str">
        <f aca="false">IF(J329="","",IF(J329&lt;2.5,"Low",IF(J329&lt;3.5,"Fair","Good")))</f>
        <v/>
      </c>
    </row>
    <row r="330" customFormat="false" ht="15" hidden="false" customHeight="false" outlineLevel="0" collapsed="false">
      <c r="A330" s="32"/>
      <c r="B330" s="32"/>
      <c r="C330" s="32"/>
      <c r="D330" s="35"/>
      <c r="E330" s="32"/>
      <c r="F330" s="32"/>
      <c r="G330" s="32"/>
      <c r="H330" s="32"/>
      <c r="I330" s="33"/>
      <c r="J330" s="44" t="str">
        <f aca="false">IF(OR(B330="",COUNT(E330,F330,G330,H330)&lt;4),"",AVERAGE(E330,F330,G330,H330))</f>
        <v/>
      </c>
      <c r="K330" s="37" t="str">
        <f aca="false">IF(J330="","",IF(J330&lt;2.5,"Low",IF(J330&lt;3.5,"Fair","Good")))</f>
        <v/>
      </c>
    </row>
    <row r="331" customFormat="false" ht="15" hidden="false" customHeight="false" outlineLevel="0" collapsed="false">
      <c r="A331" s="32"/>
      <c r="B331" s="32"/>
      <c r="C331" s="32"/>
      <c r="D331" s="35"/>
      <c r="E331" s="32"/>
      <c r="F331" s="32"/>
      <c r="G331" s="32"/>
      <c r="H331" s="32"/>
      <c r="I331" s="33"/>
      <c r="J331" s="44" t="str">
        <f aca="false">IF(OR(B331="",COUNT(E331,F331,G331,H331)&lt;4),"",AVERAGE(E331,F331,G331,H331))</f>
        <v/>
      </c>
      <c r="K331" s="37" t="str">
        <f aca="false">IF(J331="","",IF(J331&lt;2.5,"Low",IF(J331&lt;3.5,"Fair","Good")))</f>
        <v/>
      </c>
    </row>
    <row r="332" customFormat="false" ht="15" hidden="false" customHeight="false" outlineLevel="0" collapsed="false">
      <c r="A332" s="32"/>
      <c r="B332" s="32"/>
      <c r="C332" s="32"/>
      <c r="D332" s="35"/>
      <c r="E332" s="32"/>
      <c r="F332" s="32"/>
      <c r="G332" s="32"/>
      <c r="H332" s="32"/>
      <c r="I332" s="33"/>
      <c r="J332" s="44" t="str">
        <f aca="false">IF(OR(B332="",COUNT(E332,F332,G332,H332)&lt;4),"",AVERAGE(E332,F332,G332,H332))</f>
        <v/>
      </c>
      <c r="K332" s="37" t="str">
        <f aca="false">IF(J332="","",IF(J332&lt;2.5,"Low",IF(J332&lt;3.5,"Fair","Good")))</f>
        <v/>
      </c>
    </row>
    <row r="333" customFormat="false" ht="15" hidden="false" customHeight="false" outlineLevel="0" collapsed="false">
      <c r="A333" s="32"/>
      <c r="B333" s="32"/>
      <c r="C333" s="32"/>
      <c r="D333" s="35"/>
      <c r="E333" s="32"/>
      <c r="F333" s="32"/>
      <c r="G333" s="32"/>
      <c r="H333" s="32"/>
      <c r="I333" s="33"/>
      <c r="J333" s="44" t="str">
        <f aca="false">IF(OR(B333="",COUNT(E333,F333,G333,H333)&lt;4),"",AVERAGE(E333,F333,G333,H333))</f>
        <v/>
      </c>
      <c r="K333" s="37" t="str">
        <f aca="false">IF(J333="","",IF(J333&lt;2.5,"Low",IF(J333&lt;3.5,"Fair","Good")))</f>
        <v/>
      </c>
    </row>
    <row r="334" customFormat="false" ht="15" hidden="false" customHeight="false" outlineLevel="0" collapsed="false">
      <c r="A334" s="32"/>
      <c r="B334" s="32"/>
      <c r="C334" s="32"/>
      <c r="D334" s="35"/>
      <c r="E334" s="32"/>
      <c r="F334" s="32"/>
      <c r="G334" s="32"/>
      <c r="H334" s="32"/>
      <c r="I334" s="33"/>
      <c r="J334" s="44" t="str">
        <f aca="false">IF(OR(B334="",COUNT(E334,F334,G334,H334)&lt;4),"",AVERAGE(E334,F334,G334,H334))</f>
        <v/>
      </c>
      <c r="K334" s="37" t="str">
        <f aca="false">IF(J334="","",IF(J334&lt;2.5,"Low",IF(J334&lt;3.5,"Fair","Good")))</f>
        <v/>
      </c>
    </row>
    <row r="335" customFormat="false" ht="15" hidden="false" customHeight="false" outlineLevel="0" collapsed="false">
      <c r="A335" s="32"/>
      <c r="B335" s="32"/>
      <c r="C335" s="32"/>
      <c r="D335" s="35"/>
      <c r="E335" s="32"/>
      <c r="F335" s="32"/>
      <c r="G335" s="32"/>
      <c r="H335" s="32"/>
      <c r="I335" s="33"/>
      <c r="J335" s="44" t="str">
        <f aca="false">IF(OR(B335="",COUNT(E335,F335,G335,H335)&lt;4),"",AVERAGE(E335,F335,G335,H335))</f>
        <v/>
      </c>
      <c r="K335" s="37" t="str">
        <f aca="false">IF(J335="","",IF(J335&lt;2.5,"Low",IF(J335&lt;3.5,"Fair","Good")))</f>
        <v/>
      </c>
    </row>
    <row r="336" customFormat="false" ht="15" hidden="false" customHeight="false" outlineLevel="0" collapsed="false">
      <c r="A336" s="32"/>
      <c r="B336" s="32"/>
      <c r="C336" s="32"/>
      <c r="D336" s="35"/>
      <c r="E336" s="32"/>
      <c r="F336" s="32"/>
      <c r="G336" s="32"/>
      <c r="H336" s="32"/>
      <c r="I336" s="33"/>
      <c r="J336" s="44" t="str">
        <f aca="false">IF(OR(B336="",COUNT(E336,F336,G336,H336)&lt;4),"",AVERAGE(E336,F336,G336,H336))</f>
        <v/>
      </c>
      <c r="K336" s="37" t="str">
        <f aca="false">IF(J336="","",IF(J336&lt;2.5,"Low",IF(J336&lt;3.5,"Fair","Good")))</f>
        <v/>
      </c>
    </row>
    <row r="337" customFormat="false" ht="15" hidden="false" customHeight="false" outlineLevel="0" collapsed="false">
      <c r="A337" s="32"/>
      <c r="B337" s="32"/>
      <c r="C337" s="32"/>
      <c r="D337" s="35"/>
      <c r="E337" s="32"/>
      <c r="F337" s="32"/>
      <c r="G337" s="32"/>
      <c r="H337" s="32"/>
      <c r="I337" s="33"/>
      <c r="J337" s="44" t="str">
        <f aca="false">IF(OR(B337="",COUNT(E337,F337,G337,H337)&lt;4),"",AVERAGE(E337,F337,G337,H337))</f>
        <v/>
      </c>
      <c r="K337" s="37" t="str">
        <f aca="false">IF(J337="","",IF(J337&lt;2.5,"Low",IF(J337&lt;3.5,"Fair","Good")))</f>
        <v/>
      </c>
    </row>
    <row r="338" customFormat="false" ht="15" hidden="false" customHeight="false" outlineLevel="0" collapsed="false">
      <c r="A338" s="32"/>
      <c r="B338" s="32"/>
      <c r="C338" s="32"/>
      <c r="D338" s="35"/>
      <c r="E338" s="32"/>
      <c r="F338" s="32"/>
      <c r="G338" s="32"/>
      <c r="H338" s="32"/>
      <c r="I338" s="33"/>
      <c r="J338" s="44" t="str">
        <f aca="false">IF(OR(B338="",COUNT(E338,F338,G338,H338)&lt;4),"",AVERAGE(E338,F338,G338,H338))</f>
        <v/>
      </c>
      <c r="K338" s="37" t="str">
        <f aca="false">IF(J338="","",IF(J338&lt;2.5,"Low",IF(J338&lt;3.5,"Fair","Good")))</f>
        <v/>
      </c>
    </row>
    <row r="339" customFormat="false" ht="15" hidden="false" customHeight="false" outlineLevel="0" collapsed="false">
      <c r="A339" s="32"/>
      <c r="B339" s="32"/>
      <c r="C339" s="32"/>
      <c r="D339" s="35"/>
      <c r="E339" s="32"/>
      <c r="F339" s="32"/>
      <c r="G339" s="32"/>
      <c r="H339" s="32"/>
      <c r="I339" s="33"/>
      <c r="J339" s="44" t="str">
        <f aca="false">IF(OR(B339="",COUNT(E339,F339,G339,H339)&lt;4),"",AVERAGE(E339,F339,G339,H339))</f>
        <v/>
      </c>
      <c r="K339" s="37" t="str">
        <f aca="false">IF(J339="","",IF(J339&lt;2.5,"Low",IF(J339&lt;3.5,"Fair","Good")))</f>
        <v/>
      </c>
    </row>
    <row r="340" customFormat="false" ht="15" hidden="false" customHeight="false" outlineLevel="0" collapsed="false">
      <c r="A340" s="32"/>
      <c r="B340" s="32"/>
      <c r="C340" s="32"/>
      <c r="D340" s="35"/>
      <c r="E340" s="32"/>
      <c r="F340" s="32"/>
      <c r="G340" s="32"/>
      <c r="H340" s="32"/>
      <c r="I340" s="33"/>
      <c r="J340" s="44" t="str">
        <f aca="false">IF(OR(B340="",COUNT(E340,F340,G340,H340)&lt;4),"",AVERAGE(E340,F340,G340,H340))</f>
        <v/>
      </c>
      <c r="K340" s="37" t="str">
        <f aca="false">IF(J340="","",IF(J340&lt;2.5,"Low",IF(J340&lt;3.5,"Fair","Good")))</f>
        <v/>
      </c>
    </row>
    <row r="341" customFormat="false" ht="15" hidden="false" customHeight="false" outlineLevel="0" collapsed="false">
      <c r="A341" s="32"/>
      <c r="B341" s="32"/>
      <c r="C341" s="32"/>
      <c r="D341" s="35"/>
      <c r="E341" s="32"/>
      <c r="F341" s="32"/>
      <c r="G341" s="32"/>
      <c r="H341" s="32"/>
      <c r="I341" s="33"/>
      <c r="J341" s="44" t="str">
        <f aca="false">IF(OR(B341="",COUNT(E341,F341,G341,H341)&lt;4),"",AVERAGE(E341,F341,G341,H341))</f>
        <v/>
      </c>
      <c r="K341" s="37" t="str">
        <f aca="false">IF(J341="","",IF(J341&lt;2.5,"Low",IF(J341&lt;3.5,"Fair","Good")))</f>
        <v/>
      </c>
    </row>
    <row r="342" customFormat="false" ht="15" hidden="false" customHeight="false" outlineLevel="0" collapsed="false">
      <c r="A342" s="32"/>
      <c r="B342" s="32"/>
      <c r="C342" s="32"/>
      <c r="D342" s="35"/>
      <c r="E342" s="32"/>
      <c r="F342" s="32"/>
      <c r="G342" s="32"/>
      <c r="H342" s="32"/>
      <c r="I342" s="33"/>
      <c r="J342" s="44" t="str">
        <f aca="false">IF(OR(B342="",COUNT(E342,F342,G342,H342)&lt;4),"",AVERAGE(E342,F342,G342,H342))</f>
        <v/>
      </c>
      <c r="K342" s="37" t="str">
        <f aca="false">IF(J342="","",IF(J342&lt;2.5,"Low",IF(J342&lt;3.5,"Fair","Good")))</f>
        <v/>
      </c>
    </row>
    <row r="343" customFormat="false" ht="15" hidden="false" customHeight="false" outlineLevel="0" collapsed="false">
      <c r="A343" s="32"/>
      <c r="B343" s="32"/>
      <c r="C343" s="32"/>
      <c r="D343" s="35"/>
      <c r="E343" s="32"/>
      <c r="F343" s="32"/>
      <c r="G343" s="32"/>
      <c r="H343" s="32"/>
      <c r="I343" s="33"/>
      <c r="J343" s="44" t="str">
        <f aca="false">IF(OR(B343="",COUNT(E343,F343,G343,H343)&lt;4),"",AVERAGE(E343,F343,G343,H343))</f>
        <v/>
      </c>
      <c r="K343" s="37" t="str">
        <f aca="false">IF(J343="","",IF(J343&lt;2.5,"Low",IF(J343&lt;3.5,"Fair","Good")))</f>
        <v/>
      </c>
    </row>
    <row r="344" customFormat="false" ht="15" hidden="false" customHeight="false" outlineLevel="0" collapsed="false">
      <c r="A344" s="32"/>
      <c r="B344" s="32"/>
      <c r="C344" s="32"/>
      <c r="D344" s="35"/>
      <c r="E344" s="32"/>
      <c r="F344" s="32"/>
      <c r="G344" s="32"/>
      <c r="H344" s="32"/>
      <c r="I344" s="33"/>
      <c r="J344" s="44" t="str">
        <f aca="false">IF(OR(B344="",COUNT(E344,F344,G344,H344)&lt;4),"",AVERAGE(E344,F344,G344,H344))</f>
        <v/>
      </c>
      <c r="K344" s="37" t="str">
        <f aca="false">IF(J344="","",IF(J344&lt;2.5,"Low",IF(J344&lt;3.5,"Fair","Good")))</f>
        <v/>
      </c>
    </row>
    <row r="345" customFormat="false" ht="15" hidden="false" customHeight="false" outlineLevel="0" collapsed="false">
      <c r="A345" s="32"/>
      <c r="B345" s="32"/>
      <c r="C345" s="32"/>
      <c r="D345" s="35"/>
      <c r="E345" s="32"/>
      <c r="F345" s="32"/>
      <c r="G345" s="32"/>
      <c r="H345" s="32"/>
      <c r="I345" s="33"/>
      <c r="J345" s="44" t="str">
        <f aca="false">IF(OR(B345="",COUNT(E345,F345,G345,H345)&lt;4),"",AVERAGE(E345,F345,G345,H345))</f>
        <v/>
      </c>
      <c r="K345" s="37" t="str">
        <f aca="false">IF(J345="","",IF(J345&lt;2.5,"Low",IF(J345&lt;3.5,"Fair","Good")))</f>
        <v/>
      </c>
    </row>
    <row r="346" customFormat="false" ht="15" hidden="false" customHeight="false" outlineLevel="0" collapsed="false">
      <c r="A346" s="32"/>
      <c r="B346" s="32"/>
      <c r="C346" s="32"/>
      <c r="D346" s="35"/>
      <c r="E346" s="32"/>
      <c r="F346" s="32"/>
      <c r="G346" s="32"/>
      <c r="H346" s="32"/>
      <c r="I346" s="33"/>
      <c r="J346" s="44" t="str">
        <f aca="false">IF(OR(B346="",COUNT(E346,F346,G346,H346)&lt;4),"",AVERAGE(E346,F346,G346,H346))</f>
        <v/>
      </c>
      <c r="K346" s="37" t="str">
        <f aca="false">IF(J346="","",IF(J346&lt;2.5,"Low",IF(J346&lt;3.5,"Fair","Good")))</f>
        <v/>
      </c>
    </row>
    <row r="347" customFormat="false" ht="15" hidden="false" customHeight="false" outlineLevel="0" collapsed="false">
      <c r="A347" s="32"/>
      <c r="B347" s="32"/>
      <c r="C347" s="32"/>
      <c r="D347" s="35"/>
      <c r="E347" s="32"/>
      <c r="F347" s="32"/>
      <c r="G347" s="32"/>
      <c r="H347" s="32"/>
      <c r="I347" s="33"/>
      <c r="J347" s="44" t="str">
        <f aca="false">IF(OR(B347="",COUNT(E347,F347,G347,H347)&lt;4),"",AVERAGE(E347,F347,G347,H347))</f>
        <v/>
      </c>
      <c r="K347" s="37" t="str">
        <f aca="false">IF(J347="","",IF(J347&lt;2.5,"Low",IF(J347&lt;3.5,"Fair","Good")))</f>
        <v/>
      </c>
    </row>
    <row r="348" customFormat="false" ht="15" hidden="false" customHeight="false" outlineLevel="0" collapsed="false">
      <c r="A348" s="32"/>
      <c r="B348" s="32"/>
      <c r="C348" s="32"/>
      <c r="D348" s="35"/>
      <c r="E348" s="32"/>
      <c r="F348" s="32"/>
      <c r="G348" s="32"/>
      <c r="H348" s="32"/>
      <c r="I348" s="33"/>
      <c r="J348" s="44" t="str">
        <f aca="false">IF(OR(B348="",COUNT(E348,F348,G348,H348)&lt;4),"",AVERAGE(E348,F348,G348,H348))</f>
        <v/>
      </c>
      <c r="K348" s="37" t="str">
        <f aca="false">IF(J348="","",IF(J348&lt;2.5,"Low",IF(J348&lt;3.5,"Fair","Good")))</f>
        <v/>
      </c>
    </row>
    <row r="349" customFormat="false" ht="15" hidden="false" customHeight="false" outlineLevel="0" collapsed="false">
      <c r="A349" s="32"/>
      <c r="B349" s="32"/>
      <c r="C349" s="32"/>
      <c r="D349" s="35"/>
      <c r="E349" s="32"/>
      <c r="F349" s="32"/>
      <c r="G349" s="32"/>
      <c r="H349" s="32"/>
      <c r="I349" s="33"/>
      <c r="J349" s="44" t="str">
        <f aca="false">IF(OR(B349="",COUNT(E349,F349,G349,H349)&lt;4),"",AVERAGE(E349,F349,G349,H349))</f>
        <v/>
      </c>
      <c r="K349" s="37" t="str">
        <f aca="false">IF(J349="","",IF(J349&lt;2.5,"Low",IF(J349&lt;3.5,"Fair","Good")))</f>
        <v/>
      </c>
    </row>
    <row r="350" customFormat="false" ht="15" hidden="false" customHeight="false" outlineLevel="0" collapsed="false">
      <c r="A350" s="32"/>
      <c r="B350" s="32"/>
      <c r="C350" s="32"/>
      <c r="D350" s="35"/>
      <c r="E350" s="32"/>
      <c r="F350" s="32"/>
      <c r="G350" s="32"/>
      <c r="H350" s="32"/>
      <c r="I350" s="33"/>
      <c r="J350" s="44" t="str">
        <f aca="false">IF(OR(B350="",COUNT(E350,F350,G350,H350)&lt;4),"",AVERAGE(E350,F350,G350,H350))</f>
        <v/>
      </c>
      <c r="K350" s="37" t="str">
        <f aca="false">IF(J350="","",IF(J350&lt;2.5,"Low",IF(J350&lt;3.5,"Fair","Good")))</f>
        <v/>
      </c>
    </row>
    <row r="351" customFormat="false" ht="15" hidden="false" customHeight="false" outlineLevel="0" collapsed="false">
      <c r="A351" s="32"/>
      <c r="B351" s="32"/>
      <c r="C351" s="32"/>
      <c r="D351" s="35"/>
      <c r="E351" s="32"/>
      <c r="F351" s="32"/>
      <c r="G351" s="32"/>
      <c r="H351" s="32"/>
      <c r="I351" s="33"/>
      <c r="J351" s="44" t="str">
        <f aca="false">IF(OR(B351="",COUNT(E351,F351,G351,H351)&lt;4),"",AVERAGE(E351,F351,G351,H351))</f>
        <v/>
      </c>
      <c r="K351" s="37" t="str">
        <f aca="false">IF(J351="","",IF(J351&lt;2.5,"Low",IF(J351&lt;3.5,"Fair","Good")))</f>
        <v/>
      </c>
    </row>
    <row r="352" customFormat="false" ht="15" hidden="false" customHeight="false" outlineLevel="0" collapsed="false">
      <c r="A352" s="32"/>
      <c r="B352" s="32"/>
      <c r="C352" s="32"/>
      <c r="D352" s="35"/>
      <c r="E352" s="32"/>
      <c r="F352" s="32"/>
      <c r="G352" s="32"/>
      <c r="H352" s="32"/>
      <c r="I352" s="33"/>
      <c r="J352" s="44" t="str">
        <f aca="false">IF(OR(B352="",COUNT(E352,F352,G352,H352)&lt;4),"",AVERAGE(E352,F352,G352,H352))</f>
        <v/>
      </c>
      <c r="K352" s="37" t="str">
        <f aca="false">IF(J352="","",IF(J352&lt;2.5,"Low",IF(J352&lt;3.5,"Fair","Good")))</f>
        <v/>
      </c>
    </row>
    <row r="353" customFormat="false" ht="15" hidden="false" customHeight="false" outlineLevel="0" collapsed="false">
      <c r="A353" s="32"/>
      <c r="B353" s="32"/>
      <c r="C353" s="32"/>
      <c r="D353" s="35"/>
      <c r="E353" s="32"/>
      <c r="F353" s="32"/>
      <c r="G353" s="32"/>
      <c r="H353" s="32"/>
      <c r="I353" s="33"/>
      <c r="J353" s="44" t="str">
        <f aca="false">IF(OR(B353="",COUNT(E353,F353,G353,H353)&lt;4),"",AVERAGE(E353,F353,G353,H353))</f>
        <v/>
      </c>
      <c r="K353" s="37" t="str">
        <f aca="false">IF(J353="","",IF(J353&lt;2.5,"Low",IF(J353&lt;3.5,"Fair","Good")))</f>
        <v/>
      </c>
    </row>
    <row r="354" customFormat="false" ht="15" hidden="false" customHeight="false" outlineLevel="0" collapsed="false">
      <c r="A354" s="32"/>
      <c r="B354" s="32"/>
      <c r="C354" s="32"/>
      <c r="D354" s="35"/>
      <c r="E354" s="32"/>
      <c r="F354" s="32"/>
      <c r="G354" s="32"/>
      <c r="H354" s="32"/>
      <c r="I354" s="33"/>
      <c r="J354" s="44" t="str">
        <f aca="false">IF(OR(B354="",COUNT(E354,F354,G354,H354)&lt;4),"",AVERAGE(E354,F354,G354,H354))</f>
        <v/>
      </c>
      <c r="K354" s="37" t="str">
        <f aca="false">IF(J354="","",IF(J354&lt;2.5,"Low",IF(J354&lt;3.5,"Fair","Good")))</f>
        <v/>
      </c>
    </row>
    <row r="355" customFormat="false" ht="15" hidden="false" customHeight="false" outlineLevel="0" collapsed="false">
      <c r="A355" s="32"/>
      <c r="B355" s="32"/>
      <c r="C355" s="32"/>
      <c r="D355" s="35"/>
      <c r="E355" s="32"/>
      <c r="F355" s="32"/>
      <c r="G355" s="32"/>
      <c r="H355" s="32"/>
      <c r="I355" s="33"/>
      <c r="J355" s="44" t="str">
        <f aca="false">IF(OR(B355="",COUNT(E355,F355,G355,H355)&lt;4),"",AVERAGE(E355,F355,G355,H355))</f>
        <v/>
      </c>
      <c r="K355" s="37" t="str">
        <f aca="false">IF(J355="","",IF(J355&lt;2.5,"Low",IF(J355&lt;3.5,"Fair","Good")))</f>
        <v/>
      </c>
    </row>
    <row r="356" customFormat="false" ht="15" hidden="false" customHeight="false" outlineLevel="0" collapsed="false">
      <c r="A356" s="32"/>
      <c r="B356" s="32"/>
      <c r="C356" s="32"/>
      <c r="D356" s="35"/>
      <c r="E356" s="32"/>
      <c r="F356" s="32"/>
      <c r="G356" s="32"/>
      <c r="H356" s="32"/>
      <c r="I356" s="33"/>
      <c r="J356" s="44" t="str">
        <f aca="false">IF(OR(B356="",COUNT(E356,F356,G356,H356)&lt;4),"",AVERAGE(E356,F356,G356,H356))</f>
        <v/>
      </c>
      <c r="K356" s="37" t="str">
        <f aca="false">IF(J356="","",IF(J356&lt;2.5,"Low",IF(J356&lt;3.5,"Fair","Good")))</f>
        <v/>
      </c>
    </row>
    <row r="357" customFormat="false" ht="15" hidden="false" customHeight="false" outlineLevel="0" collapsed="false">
      <c r="A357" s="32"/>
      <c r="B357" s="32"/>
      <c r="C357" s="32"/>
      <c r="D357" s="35"/>
      <c r="E357" s="32"/>
      <c r="F357" s="32"/>
      <c r="G357" s="32"/>
      <c r="H357" s="32"/>
      <c r="I357" s="33"/>
      <c r="J357" s="44" t="str">
        <f aca="false">IF(OR(B357="",COUNT(E357,F357,G357,H357)&lt;4),"",AVERAGE(E357,F357,G357,H357))</f>
        <v/>
      </c>
      <c r="K357" s="37" t="str">
        <f aca="false">IF(J357="","",IF(J357&lt;2.5,"Low",IF(J357&lt;3.5,"Fair","Good")))</f>
        <v/>
      </c>
    </row>
    <row r="358" customFormat="false" ht="15" hidden="false" customHeight="false" outlineLevel="0" collapsed="false">
      <c r="A358" s="32"/>
      <c r="B358" s="32"/>
      <c r="C358" s="32"/>
      <c r="D358" s="35"/>
      <c r="E358" s="32"/>
      <c r="F358" s="32"/>
      <c r="G358" s="32"/>
      <c r="H358" s="32"/>
      <c r="I358" s="33"/>
      <c r="J358" s="44" t="str">
        <f aca="false">IF(OR(B358="",COUNT(E358,F358,G358,H358)&lt;4),"",AVERAGE(E358,F358,G358,H358))</f>
        <v/>
      </c>
      <c r="K358" s="37" t="str">
        <f aca="false">IF(J358="","",IF(J358&lt;2.5,"Low",IF(J358&lt;3.5,"Fair","Good")))</f>
        <v/>
      </c>
    </row>
    <row r="359" customFormat="false" ht="15" hidden="false" customHeight="false" outlineLevel="0" collapsed="false">
      <c r="A359" s="32"/>
      <c r="B359" s="32"/>
      <c r="C359" s="32"/>
      <c r="D359" s="35"/>
      <c r="E359" s="32"/>
      <c r="F359" s="32"/>
      <c r="G359" s="32"/>
      <c r="H359" s="32"/>
      <c r="I359" s="33"/>
      <c r="J359" s="44" t="str">
        <f aca="false">IF(OR(B359="",COUNT(E359,F359,G359,H359)&lt;4),"",AVERAGE(E359,F359,G359,H359))</f>
        <v/>
      </c>
      <c r="K359" s="37" t="str">
        <f aca="false">IF(J359="","",IF(J359&lt;2.5,"Low",IF(J359&lt;3.5,"Fair","Good")))</f>
        <v/>
      </c>
    </row>
    <row r="360" customFormat="false" ht="15" hidden="false" customHeight="false" outlineLevel="0" collapsed="false">
      <c r="A360" s="32"/>
      <c r="B360" s="32"/>
      <c r="C360" s="32"/>
      <c r="D360" s="35"/>
      <c r="E360" s="32"/>
      <c r="F360" s="32"/>
      <c r="G360" s="32"/>
      <c r="H360" s="32"/>
      <c r="I360" s="33"/>
      <c r="J360" s="44" t="str">
        <f aca="false">IF(OR(B360="",COUNT(E360,F360,G360,H360)&lt;4),"",AVERAGE(E360,F360,G360,H360))</f>
        <v/>
      </c>
      <c r="K360" s="37" t="str">
        <f aca="false">IF(J360="","",IF(J360&lt;2.5,"Low",IF(J360&lt;3.5,"Fair","Good")))</f>
        <v/>
      </c>
    </row>
    <row r="361" customFormat="false" ht="15" hidden="false" customHeight="false" outlineLevel="0" collapsed="false">
      <c r="A361" s="32"/>
      <c r="B361" s="32"/>
      <c r="C361" s="32"/>
      <c r="D361" s="35"/>
      <c r="E361" s="32"/>
      <c r="F361" s="32"/>
      <c r="G361" s="32"/>
      <c r="H361" s="32"/>
      <c r="I361" s="33"/>
      <c r="J361" s="44" t="str">
        <f aca="false">IF(OR(B361="",COUNT(E361,F361,G361,H361)&lt;4),"",AVERAGE(E361,F361,G361,H361))</f>
        <v/>
      </c>
      <c r="K361" s="37" t="str">
        <f aca="false">IF(J361="","",IF(J361&lt;2.5,"Low",IF(J361&lt;3.5,"Fair","Good")))</f>
        <v/>
      </c>
    </row>
    <row r="362" customFormat="false" ht="15" hidden="false" customHeight="false" outlineLevel="0" collapsed="false">
      <c r="A362" s="32"/>
      <c r="B362" s="32"/>
      <c r="C362" s="32"/>
      <c r="D362" s="35"/>
      <c r="E362" s="32"/>
      <c r="F362" s="32"/>
      <c r="G362" s="32"/>
      <c r="H362" s="32"/>
      <c r="I362" s="33"/>
      <c r="J362" s="44" t="str">
        <f aca="false">IF(OR(B362="",COUNT(E362,F362,G362,H362)&lt;4),"",AVERAGE(E362,F362,G362,H362))</f>
        <v/>
      </c>
      <c r="K362" s="37" t="str">
        <f aca="false">IF(J362="","",IF(J362&lt;2.5,"Low",IF(J362&lt;3.5,"Fair","Good")))</f>
        <v/>
      </c>
    </row>
    <row r="363" customFormat="false" ht="15" hidden="false" customHeight="false" outlineLevel="0" collapsed="false">
      <c r="A363" s="32"/>
      <c r="B363" s="32"/>
      <c r="C363" s="32"/>
      <c r="D363" s="35"/>
      <c r="E363" s="32"/>
      <c r="F363" s="32"/>
      <c r="G363" s="32"/>
      <c r="H363" s="32"/>
      <c r="I363" s="33"/>
      <c r="J363" s="44" t="str">
        <f aca="false">IF(OR(B363="",COUNT(E363,F363,G363,H363)&lt;4),"",AVERAGE(E363,F363,G363,H363))</f>
        <v/>
      </c>
      <c r="K363" s="37" t="str">
        <f aca="false">IF(J363="","",IF(J363&lt;2.5,"Low",IF(J363&lt;3.5,"Fair","Good")))</f>
        <v/>
      </c>
    </row>
    <row r="364" customFormat="false" ht="15" hidden="false" customHeight="false" outlineLevel="0" collapsed="false">
      <c r="A364" s="32"/>
      <c r="B364" s="32"/>
      <c r="C364" s="32"/>
      <c r="D364" s="35"/>
      <c r="E364" s="32"/>
      <c r="F364" s="32"/>
      <c r="G364" s="32"/>
      <c r="H364" s="32"/>
      <c r="I364" s="33"/>
      <c r="J364" s="44" t="str">
        <f aca="false">IF(OR(B364="",COUNT(E364,F364,G364,H364)&lt;4),"",AVERAGE(E364,F364,G364,H364))</f>
        <v/>
      </c>
      <c r="K364" s="37" t="str">
        <f aca="false">IF(J364="","",IF(J364&lt;2.5,"Low",IF(J364&lt;3.5,"Fair","Good")))</f>
        <v/>
      </c>
    </row>
    <row r="365" customFormat="false" ht="15" hidden="false" customHeight="false" outlineLevel="0" collapsed="false">
      <c r="A365" s="32"/>
      <c r="B365" s="32"/>
      <c r="C365" s="32"/>
      <c r="D365" s="35"/>
      <c r="E365" s="32"/>
      <c r="F365" s="32"/>
      <c r="G365" s="32"/>
      <c r="H365" s="32"/>
      <c r="I365" s="33"/>
      <c r="J365" s="44" t="str">
        <f aca="false">IF(OR(B365="",COUNT(E365,F365,G365,H365)&lt;4),"",AVERAGE(E365,F365,G365,H365))</f>
        <v/>
      </c>
      <c r="K365" s="37" t="str">
        <f aca="false">IF(J365="","",IF(J365&lt;2.5,"Low",IF(J365&lt;3.5,"Fair","Good")))</f>
        <v/>
      </c>
    </row>
    <row r="366" customFormat="false" ht="15" hidden="false" customHeight="false" outlineLevel="0" collapsed="false">
      <c r="A366" s="32"/>
      <c r="B366" s="32"/>
      <c r="C366" s="32"/>
      <c r="D366" s="35"/>
      <c r="E366" s="32"/>
      <c r="F366" s="32"/>
      <c r="G366" s="32"/>
      <c r="H366" s="32"/>
      <c r="I366" s="33"/>
      <c r="J366" s="44" t="str">
        <f aca="false">IF(OR(B366="",COUNT(E366,F366,G366,H366)&lt;4),"",AVERAGE(E366,F366,G366,H366))</f>
        <v/>
      </c>
      <c r="K366" s="37" t="str">
        <f aca="false">IF(J366="","",IF(J366&lt;2.5,"Low",IF(J366&lt;3.5,"Fair","Good")))</f>
        <v/>
      </c>
    </row>
    <row r="367" customFormat="false" ht="15" hidden="false" customHeight="false" outlineLevel="0" collapsed="false">
      <c r="A367" s="32"/>
      <c r="B367" s="32"/>
      <c r="C367" s="32"/>
      <c r="D367" s="35"/>
      <c r="E367" s="32"/>
      <c r="F367" s="32"/>
      <c r="G367" s="32"/>
      <c r="H367" s="32"/>
      <c r="I367" s="33"/>
      <c r="J367" s="44" t="str">
        <f aca="false">IF(OR(B367="",COUNT(E367,F367,G367,H367)&lt;4),"",AVERAGE(E367,F367,G367,H367))</f>
        <v/>
      </c>
      <c r="K367" s="37" t="str">
        <f aca="false">IF(J367="","",IF(J367&lt;2.5,"Low",IF(J367&lt;3.5,"Fair","Good")))</f>
        <v/>
      </c>
    </row>
    <row r="368" customFormat="false" ht="15" hidden="false" customHeight="false" outlineLevel="0" collapsed="false">
      <c r="A368" s="32"/>
      <c r="B368" s="32"/>
      <c r="C368" s="32"/>
      <c r="D368" s="35"/>
      <c r="E368" s="32"/>
      <c r="F368" s="32"/>
      <c r="G368" s="32"/>
      <c r="H368" s="32"/>
      <c r="I368" s="33"/>
      <c r="J368" s="44" t="str">
        <f aca="false">IF(OR(B368="",COUNT(E368,F368,G368,H368)&lt;4),"",AVERAGE(E368,F368,G368,H368))</f>
        <v/>
      </c>
      <c r="K368" s="37" t="str">
        <f aca="false">IF(J368="","",IF(J368&lt;2.5,"Low",IF(J368&lt;3.5,"Fair","Good")))</f>
        <v/>
      </c>
    </row>
    <row r="369" customFormat="false" ht="15" hidden="false" customHeight="false" outlineLevel="0" collapsed="false">
      <c r="A369" s="32"/>
      <c r="B369" s="32"/>
      <c r="C369" s="32"/>
      <c r="D369" s="35"/>
      <c r="E369" s="32"/>
      <c r="F369" s="32"/>
      <c r="G369" s="32"/>
      <c r="H369" s="32"/>
      <c r="I369" s="33"/>
      <c r="J369" s="44" t="str">
        <f aca="false">IF(OR(B369="",COUNT(E369,F369,G369,H369)&lt;4),"",AVERAGE(E369,F369,G369,H369))</f>
        <v/>
      </c>
      <c r="K369" s="37" t="str">
        <f aca="false">IF(J369="","",IF(J369&lt;2.5,"Low",IF(J369&lt;3.5,"Fair","Good")))</f>
        <v/>
      </c>
    </row>
    <row r="370" customFormat="false" ht="15" hidden="false" customHeight="false" outlineLevel="0" collapsed="false">
      <c r="A370" s="32"/>
      <c r="B370" s="32"/>
      <c r="C370" s="32"/>
      <c r="D370" s="35"/>
      <c r="E370" s="32"/>
      <c r="F370" s="32"/>
      <c r="G370" s="32"/>
      <c r="H370" s="32"/>
      <c r="I370" s="33"/>
      <c r="J370" s="44" t="str">
        <f aca="false">IF(OR(B370="",COUNT(E370,F370,G370,H370)&lt;4),"",AVERAGE(E370,F370,G370,H370))</f>
        <v/>
      </c>
      <c r="K370" s="37" t="str">
        <f aca="false">IF(J370="","",IF(J370&lt;2.5,"Low",IF(J370&lt;3.5,"Fair","Good")))</f>
        <v/>
      </c>
    </row>
    <row r="371" customFormat="false" ht="15" hidden="false" customHeight="false" outlineLevel="0" collapsed="false">
      <c r="A371" s="32"/>
      <c r="B371" s="32"/>
      <c r="C371" s="32"/>
      <c r="D371" s="35"/>
      <c r="E371" s="32"/>
      <c r="F371" s="32"/>
      <c r="G371" s="32"/>
      <c r="H371" s="32"/>
      <c r="I371" s="33"/>
      <c r="J371" s="44" t="str">
        <f aca="false">IF(OR(B371="",COUNT(E371,F371,G371,H371)&lt;4),"",AVERAGE(E371,F371,G371,H371))</f>
        <v/>
      </c>
      <c r="K371" s="37" t="str">
        <f aca="false">IF(J371="","",IF(J371&lt;2.5,"Low",IF(J371&lt;3.5,"Fair","Good")))</f>
        <v/>
      </c>
    </row>
    <row r="372" customFormat="false" ht="15" hidden="false" customHeight="false" outlineLevel="0" collapsed="false">
      <c r="A372" s="32"/>
      <c r="B372" s="32"/>
      <c r="C372" s="32"/>
      <c r="D372" s="35"/>
      <c r="E372" s="32"/>
      <c r="F372" s="32"/>
      <c r="G372" s="32"/>
      <c r="H372" s="32"/>
      <c r="I372" s="33"/>
      <c r="J372" s="44" t="str">
        <f aca="false">IF(OR(B372="",COUNT(E372,F372,G372,H372)&lt;4),"",AVERAGE(E372,F372,G372,H372))</f>
        <v/>
      </c>
      <c r="K372" s="37" t="str">
        <f aca="false">IF(J372="","",IF(J372&lt;2.5,"Low",IF(J372&lt;3.5,"Fair","Good")))</f>
        <v/>
      </c>
    </row>
    <row r="373" customFormat="false" ht="15" hidden="false" customHeight="false" outlineLevel="0" collapsed="false">
      <c r="A373" s="32"/>
      <c r="B373" s="32"/>
      <c r="C373" s="32"/>
      <c r="D373" s="35"/>
      <c r="E373" s="32"/>
      <c r="F373" s="32"/>
      <c r="G373" s="32"/>
      <c r="H373" s="32"/>
      <c r="I373" s="33"/>
      <c r="J373" s="44" t="str">
        <f aca="false">IF(OR(B373="",COUNT(E373,F373,G373,H373)&lt;4),"",AVERAGE(E373,F373,G373,H373))</f>
        <v/>
      </c>
      <c r="K373" s="37" t="str">
        <f aca="false">IF(J373="","",IF(J373&lt;2.5,"Low",IF(J373&lt;3.5,"Fair","Good")))</f>
        <v/>
      </c>
    </row>
    <row r="374" customFormat="false" ht="15" hidden="false" customHeight="false" outlineLevel="0" collapsed="false">
      <c r="A374" s="32"/>
      <c r="B374" s="32"/>
      <c r="C374" s="32"/>
      <c r="D374" s="35"/>
      <c r="E374" s="32"/>
      <c r="F374" s="32"/>
      <c r="G374" s="32"/>
      <c r="H374" s="32"/>
      <c r="I374" s="33"/>
      <c r="J374" s="44" t="str">
        <f aca="false">IF(OR(B374="",COUNT(E374,F374,G374,H374)&lt;4),"",AVERAGE(E374,F374,G374,H374))</f>
        <v/>
      </c>
      <c r="K374" s="37" t="str">
        <f aca="false">IF(J374="","",IF(J374&lt;2.5,"Low",IF(J374&lt;3.5,"Fair","Good")))</f>
        <v/>
      </c>
    </row>
    <row r="375" customFormat="false" ht="15" hidden="false" customHeight="false" outlineLevel="0" collapsed="false">
      <c r="A375" s="32"/>
      <c r="B375" s="32"/>
      <c r="C375" s="32"/>
      <c r="D375" s="35"/>
      <c r="E375" s="32"/>
      <c r="F375" s="32"/>
      <c r="G375" s="32"/>
      <c r="H375" s="32"/>
      <c r="I375" s="33"/>
      <c r="J375" s="44" t="str">
        <f aca="false">IF(OR(B375="",COUNT(E375,F375,G375,H375)&lt;4),"",AVERAGE(E375,F375,G375,H375))</f>
        <v/>
      </c>
      <c r="K375" s="37" t="str">
        <f aca="false">IF(J375="","",IF(J375&lt;2.5,"Low",IF(J375&lt;3.5,"Fair","Good")))</f>
        <v/>
      </c>
    </row>
    <row r="376" customFormat="false" ht="15" hidden="false" customHeight="false" outlineLevel="0" collapsed="false">
      <c r="A376" s="32"/>
      <c r="B376" s="32"/>
      <c r="C376" s="32"/>
      <c r="D376" s="35"/>
      <c r="E376" s="32"/>
      <c r="F376" s="32"/>
      <c r="G376" s="32"/>
      <c r="H376" s="32"/>
      <c r="I376" s="33"/>
      <c r="J376" s="44" t="str">
        <f aca="false">IF(OR(B376="",COUNT(E376,F376,G376,H376)&lt;4),"",AVERAGE(E376,F376,G376,H376))</f>
        <v/>
      </c>
      <c r="K376" s="37" t="str">
        <f aca="false">IF(J376="","",IF(J376&lt;2.5,"Low",IF(J376&lt;3.5,"Fair","Good")))</f>
        <v/>
      </c>
    </row>
    <row r="377" customFormat="false" ht="15" hidden="false" customHeight="false" outlineLevel="0" collapsed="false">
      <c r="A377" s="32"/>
      <c r="B377" s="32"/>
      <c r="C377" s="32"/>
      <c r="D377" s="35"/>
      <c r="E377" s="32"/>
      <c r="F377" s="32"/>
      <c r="G377" s="32"/>
      <c r="H377" s="32"/>
      <c r="I377" s="33"/>
      <c r="J377" s="44" t="str">
        <f aca="false">IF(OR(B377="",COUNT(E377,F377,G377,H377)&lt;4),"",AVERAGE(E377,F377,G377,H377))</f>
        <v/>
      </c>
      <c r="K377" s="37" t="str">
        <f aca="false">IF(J377="","",IF(J377&lt;2.5,"Low",IF(J377&lt;3.5,"Fair","Good")))</f>
        <v/>
      </c>
    </row>
    <row r="378" customFormat="false" ht="15" hidden="false" customHeight="false" outlineLevel="0" collapsed="false">
      <c r="A378" s="32"/>
      <c r="B378" s="32"/>
      <c r="C378" s="32"/>
      <c r="D378" s="35"/>
      <c r="E378" s="32"/>
      <c r="F378" s="32"/>
      <c r="G378" s="32"/>
      <c r="H378" s="32"/>
      <c r="I378" s="33"/>
      <c r="J378" s="44" t="str">
        <f aca="false">IF(OR(B378="",COUNT(E378,F378,G378,H378)&lt;4),"",AVERAGE(E378,F378,G378,H378))</f>
        <v/>
      </c>
      <c r="K378" s="37" t="str">
        <f aca="false">IF(J378="","",IF(J378&lt;2.5,"Low",IF(J378&lt;3.5,"Fair","Good")))</f>
        <v/>
      </c>
    </row>
    <row r="379" customFormat="false" ht="15" hidden="false" customHeight="false" outlineLevel="0" collapsed="false">
      <c r="A379" s="32"/>
      <c r="B379" s="32"/>
      <c r="C379" s="32"/>
      <c r="D379" s="35"/>
      <c r="E379" s="32"/>
      <c r="F379" s="32"/>
      <c r="G379" s="32"/>
      <c r="H379" s="32"/>
      <c r="I379" s="33"/>
      <c r="J379" s="44" t="str">
        <f aca="false">IF(OR(B379="",COUNT(E379,F379,G379,H379)&lt;4),"",AVERAGE(E379,F379,G379,H379))</f>
        <v/>
      </c>
      <c r="K379" s="37" t="str">
        <f aca="false">IF(J379="","",IF(J379&lt;2.5,"Low",IF(J379&lt;3.5,"Fair","Good")))</f>
        <v/>
      </c>
    </row>
    <row r="380" customFormat="false" ht="15" hidden="false" customHeight="false" outlineLevel="0" collapsed="false">
      <c r="A380" s="32"/>
      <c r="B380" s="32"/>
      <c r="C380" s="32"/>
      <c r="D380" s="35"/>
      <c r="E380" s="32"/>
      <c r="F380" s="32"/>
      <c r="G380" s="32"/>
      <c r="H380" s="32"/>
      <c r="I380" s="33"/>
      <c r="J380" s="44" t="str">
        <f aca="false">IF(OR(B380="",COUNT(E380,F380,G380,H380)&lt;4),"",AVERAGE(E380,F380,G380,H380))</f>
        <v/>
      </c>
      <c r="K380" s="37" t="str">
        <f aca="false">IF(J380="","",IF(J380&lt;2.5,"Low",IF(J380&lt;3.5,"Fair","Good")))</f>
        <v/>
      </c>
    </row>
    <row r="381" customFormat="false" ht="15" hidden="false" customHeight="false" outlineLevel="0" collapsed="false">
      <c r="A381" s="32"/>
      <c r="B381" s="32"/>
      <c r="C381" s="32"/>
      <c r="D381" s="35"/>
      <c r="E381" s="32"/>
      <c r="F381" s="32"/>
      <c r="G381" s="32"/>
      <c r="H381" s="32"/>
      <c r="I381" s="33"/>
      <c r="J381" s="44" t="str">
        <f aca="false">IF(OR(B381="",COUNT(E381,F381,G381,H381)&lt;4),"",AVERAGE(E381,F381,G381,H381))</f>
        <v/>
      </c>
      <c r="K381" s="37" t="str">
        <f aca="false">IF(J381="","",IF(J381&lt;2.5,"Low",IF(J381&lt;3.5,"Fair","Good")))</f>
        <v/>
      </c>
    </row>
    <row r="382" customFormat="false" ht="15" hidden="false" customHeight="false" outlineLevel="0" collapsed="false">
      <c r="A382" s="32"/>
      <c r="B382" s="32"/>
      <c r="C382" s="32"/>
      <c r="D382" s="35"/>
      <c r="E382" s="32"/>
      <c r="F382" s="32"/>
      <c r="G382" s="32"/>
      <c r="H382" s="32"/>
      <c r="I382" s="33"/>
      <c r="J382" s="44" t="str">
        <f aca="false">IF(OR(B382="",COUNT(E382,F382,G382,H382)&lt;4),"",AVERAGE(E382,F382,G382,H382))</f>
        <v/>
      </c>
      <c r="K382" s="37" t="str">
        <f aca="false">IF(J382="","",IF(J382&lt;2.5,"Low",IF(J382&lt;3.5,"Fair","Good")))</f>
        <v/>
      </c>
    </row>
    <row r="383" customFormat="false" ht="15" hidden="false" customHeight="false" outlineLevel="0" collapsed="false">
      <c r="A383" s="32"/>
      <c r="B383" s="32"/>
      <c r="C383" s="32"/>
      <c r="D383" s="35"/>
      <c r="E383" s="32"/>
      <c r="F383" s="32"/>
      <c r="G383" s="32"/>
      <c r="H383" s="32"/>
      <c r="I383" s="33"/>
      <c r="J383" s="44" t="str">
        <f aca="false">IF(OR(B383="",COUNT(E383,F383,G383,H383)&lt;4),"",AVERAGE(E383,F383,G383,H383))</f>
        <v/>
      </c>
      <c r="K383" s="37" t="str">
        <f aca="false">IF(J383="","",IF(J383&lt;2.5,"Low",IF(J383&lt;3.5,"Fair","Good")))</f>
        <v/>
      </c>
    </row>
    <row r="384" customFormat="false" ht="15" hidden="false" customHeight="false" outlineLevel="0" collapsed="false">
      <c r="A384" s="32"/>
      <c r="B384" s="32"/>
      <c r="C384" s="32"/>
      <c r="D384" s="35"/>
      <c r="E384" s="32"/>
      <c r="F384" s="32"/>
      <c r="G384" s="32"/>
      <c r="H384" s="32"/>
      <c r="I384" s="33"/>
      <c r="J384" s="44" t="str">
        <f aca="false">IF(OR(B384="",COUNT(E384,F384,G384,H384)&lt;4),"",AVERAGE(E384,F384,G384,H384))</f>
        <v/>
      </c>
      <c r="K384" s="37" t="str">
        <f aca="false">IF(J384="","",IF(J384&lt;2.5,"Low",IF(J384&lt;3.5,"Fair","Good")))</f>
        <v/>
      </c>
    </row>
    <row r="385" customFormat="false" ht="15" hidden="false" customHeight="false" outlineLevel="0" collapsed="false">
      <c r="A385" s="32"/>
      <c r="B385" s="32"/>
      <c r="C385" s="32"/>
      <c r="D385" s="35"/>
      <c r="E385" s="32"/>
      <c r="F385" s="32"/>
      <c r="G385" s="32"/>
      <c r="H385" s="32"/>
      <c r="I385" s="33"/>
      <c r="J385" s="44" t="str">
        <f aca="false">IF(OR(B385="",COUNT(E385,F385,G385,H385)&lt;4),"",AVERAGE(E385,F385,G385,H385))</f>
        <v/>
      </c>
      <c r="K385" s="37" t="str">
        <f aca="false">IF(J385="","",IF(J385&lt;2.5,"Low",IF(J385&lt;3.5,"Fair","Good")))</f>
        <v/>
      </c>
    </row>
    <row r="386" customFormat="false" ht="15" hidden="false" customHeight="false" outlineLevel="0" collapsed="false">
      <c r="A386" s="32"/>
      <c r="B386" s="32"/>
      <c r="C386" s="32"/>
      <c r="D386" s="35"/>
      <c r="E386" s="32"/>
      <c r="F386" s="32"/>
      <c r="G386" s="32"/>
      <c r="H386" s="32"/>
      <c r="I386" s="33"/>
      <c r="J386" s="44" t="str">
        <f aca="false">IF(OR(B386="",COUNT(E386,F386,G386,H386)&lt;4),"",AVERAGE(E386,F386,G386,H386))</f>
        <v/>
      </c>
      <c r="K386" s="37" t="str">
        <f aca="false">IF(J386="","",IF(J386&lt;2.5,"Low",IF(J386&lt;3.5,"Fair","Good")))</f>
        <v/>
      </c>
    </row>
    <row r="387" customFormat="false" ht="15" hidden="false" customHeight="false" outlineLevel="0" collapsed="false">
      <c r="A387" s="32"/>
      <c r="B387" s="32"/>
      <c r="C387" s="32"/>
      <c r="D387" s="35"/>
      <c r="E387" s="32"/>
      <c r="F387" s="32"/>
      <c r="G387" s="32"/>
      <c r="H387" s="32"/>
      <c r="I387" s="33"/>
      <c r="J387" s="44" t="str">
        <f aca="false">IF(OR(B387="",COUNT(E387,F387,G387,H387)&lt;4),"",AVERAGE(E387,F387,G387,H387))</f>
        <v/>
      </c>
      <c r="K387" s="37" t="str">
        <f aca="false">IF(J387="","",IF(J387&lt;2.5,"Low",IF(J387&lt;3.5,"Fair","Good")))</f>
        <v/>
      </c>
    </row>
    <row r="388" customFormat="false" ht="15" hidden="false" customHeight="false" outlineLevel="0" collapsed="false">
      <c r="A388" s="32"/>
      <c r="B388" s="32"/>
      <c r="C388" s="32"/>
      <c r="D388" s="35"/>
      <c r="E388" s="32"/>
      <c r="F388" s="32"/>
      <c r="G388" s="32"/>
      <c r="H388" s="32"/>
      <c r="I388" s="33"/>
      <c r="J388" s="44" t="str">
        <f aca="false">IF(OR(B388="",COUNT(E388,F388,G388,H388)&lt;4),"",AVERAGE(E388,F388,G388,H388))</f>
        <v/>
      </c>
      <c r="K388" s="37" t="str">
        <f aca="false">IF(J388="","",IF(J388&lt;2.5,"Low",IF(J388&lt;3.5,"Fair","Good")))</f>
        <v/>
      </c>
    </row>
    <row r="389" customFormat="false" ht="15" hidden="false" customHeight="false" outlineLevel="0" collapsed="false">
      <c r="A389" s="32"/>
      <c r="B389" s="32"/>
      <c r="C389" s="32"/>
      <c r="D389" s="35"/>
      <c r="E389" s="32"/>
      <c r="F389" s="32"/>
      <c r="G389" s="32"/>
      <c r="H389" s="32"/>
      <c r="I389" s="33"/>
      <c r="J389" s="44" t="str">
        <f aca="false">IF(OR(B389="",COUNT(E389,F389,G389,H389)&lt;4),"",AVERAGE(E389,F389,G389,H389))</f>
        <v/>
      </c>
      <c r="K389" s="37" t="str">
        <f aca="false">IF(J389="","",IF(J389&lt;2.5,"Low",IF(J389&lt;3.5,"Fair","Good")))</f>
        <v/>
      </c>
    </row>
    <row r="390" customFormat="false" ht="15" hidden="false" customHeight="false" outlineLevel="0" collapsed="false">
      <c r="A390" s="32"/>
      <c r="B390" s="32"/>
      <c r="C390" s="32"/>
      <c r="D390" s="35"/>
      <c r="E390" s="32"/>
      <c r="F390" s="32"/>
      <c r="G390" s="32"/>
      <c r="H390" s="32"/>
      <c r="I390" s="33"/>
      <c r="J390" s="44" t="str">
        <f aca="false">IF(OR(B390="",COUNT(E390,F390,G390,H390)&lt;4),"",AVERAGE(E390,F390,G390,H390))</f>
        <v/>
      </c>
      <c r="K390" s="37" t="str">
        <f aca="false">IF(J390="","",IF(J390&lt;2.5,"Low",IF(J390&lt;3.5,"Fair","Good")))</f>
        <v/>
      </c>
    </row>
    <row r="391" customFormat="false" ht="15" hidden="false" customHeight="false" outlineLevel="0" collapsed="false">
      <c r="A391" s="32"/>
      <c r="B391" s="32"/>
      <c r="C391" s="32"/>
      <c r="D391" s="35"/>
      <c r="E391" s="32"/>
      <c r="F391" s="32"/>
      <c r="G391" s="32"/>
      <c r="H391" s="32"/>
      <c r="I391" s="33"/>
      <c r="J391" s="44" t="str">
        <f aca="false">IF(OR(B391="",COUNT(E391,F391,G391,H391)&lt;4),"",AVERAGE(E391,F391,G391,H391))</f>
        <v/>
      </c>
      <c r="K391" s="37" t="str">
        <f aca="false">IF(J391="","",IF(J391&lt;2.5,"Low",IF(J391&lt;3.5,"Fair","Good")))</f>
        <v/>
      </c>
    </row>
    <row r="392" customFormat="false" ht="15" hidden="false" customHeight="false" outlineLevel="0" collapsed="false">
      <c r="A392" s="32"/>
      <c r="B392" s="32"/>
      <c r="C392" s="32"/>
      <c r="D392" s="35"/>
      <c r="E392" s="32"/>
      <c r="F392" s="32"/>
      <c r="G392" s="32"/>
      <c r="H392" s="32"/>
      <c r="I392" s="33"/>
      <c r="J392" s="44" t="str">
        <f aca="false">IF(OR(B392="",COUNT(E392,F392,G392,H392)&lt;4),"",AVERAGE(E392,F392,G392,H392))</f>
        <v/>
      </c>
      <c r="K392" s="37" t="str">
        <f aca="false">IF(J392="","",IF(J392&lt;2.5,"Low",IF(J392&lt;3.5,"Fair","Good")))</f>
        <v/>
      </c>
    </row>
    <row r="393" customFormat="false" ht="15" hidden="false" customHeight="false" outlineLevel="0" collapsed="false">
      <c r="A393" s="32"/>
      <c r="B393" s="32"/>
      <c r="C393" s="32"/>
      <c r="D393" s="35"/>
      <c r="E393" s="32"/>
      <c r="F393" s="32"/>
      <c r="G393" s="32"/>
      <c r="H393" s="32"/>
      <c r="I393" s="33"/>
      <c r="J393" s="44" t="str">
        <f aca="false">IF(OR(B393="",COUNT(E393,F393,G393,H393)&lt;4),"",AVERAGE(E393,F393,G393,H393))</f>
        <v/>
      </c>
      <c r="K393" s="37" t="str">
        <f aca="false">IF(J393="","",IF(J393&lt;2.5,"Low",IF(J393&lt;3.5,"Fair","Good")))</f>
        <v/>
      </c>
    </row>
    <row r="394" customFormat="false" ht="15" hidden="false" customHeight="false" outlineLevel="0" collapsed="false">
      <c r="A394" s="32"/>
      <c r="B394" s="32"/>
      <c r="C394" s="32"/>
      <c r="D394" s="35"/>
      <c r="E394" s="32"/>
      <c r="F394" s="32"/>
      <c r="G394" s="32"/>
      <c r="H394" s="32"/>
      <c r="I394" s="33"/>
      <c r="J394" s="44" t="str">
        <f aca="false">IF(OR(B394="",COUNT(E394,F394,G394,H394)&lt;4),"",AVERAGE(E394,F394,G394,H394))</f>
        <v/>
      </c>
      <c r="K394" s="37" t="str">
        <f aca="false">IF(J394="","",IF(J394&lt;2.5,"Low",IF(J394&lt;3.5,"Fair","Good")))</f>
        <v/>
      </c>
    </row>
    <row r="395" customFormat="false" ht="15" hidden="false" customHeight="false" outlineLevel="0" collapsed="false">
      <c r="A395" s="32"/>
      <c r="B395" s="32"/>
      <c r="C395" s="32"/>
      <c r="D395" s="35"/>
      <c r="E395" s="32"/>
      <c r="F395" s="32"/>
      <c r="G395" s="32"/>
      <c r="H395" s="32"/>
      <c r="I395" s="33"/>
      <c r="J395" s="44" t="str">
        <f aca="false">IF(OR(B395="",COUNT(E395,F395,G395,H395)&lt;4),"",AVERAGE(E395,F395,G395,H395))</f>
        <v/>
      </c>
      <c r="K395" s="37" t="str">
        <f aca="false">IF(J395="","",IF(J395&lt;2.5,"Low",IF(J395&lt;3.5,"Fair","Good")))</f>
        <v/>
      </c>
    </row>
    <row r="396" customFormat="false" ht="15" hidden="false" customHeight="false" outlineLevel="0" collapsed="false">
      <c r="A396" s="32"/>
      <c r="B396" s="32"/>
      <c r="C396" s="32"/>
      <c r="D396" s="35"/>
      <c r="E396" s="32"/>
      <c r="F396" s="32"/>
      <c r="G396" s="32"/>
      <c r="H396" s="32"/>
      <c r="I396" s="33"/>
      <c r="J396" s="44" t="str">
        <f aca="false">IF(OR(B396="",COUNT(E396,F396,G396,H396)&lt;4),"",AVERAGE(E396,F396,G396,H396))</f>
        <v/>
      </c>
      <c r="K396" s="37" t="str">
        <f aca="false">IF(J396="","",IF(J396&lt;2.5,"Low",IF(J396&lt;3.5,"Fair","Good")))</f>
        <v/>
      </c>
    </row>
    <row r="397" customFormat="false" ht="15" hidden="false" customHeight="false" outlineLevel="0" collapsed="false">
      <c r="A397" s="32"/>
      <c r="B397" s="32"/>
      <c r="C397" s="32"/>
      <c r="D397" s="35"/>
      <c r="E397" s="32"/>
      <c r="F397" s="32"/>
      <c r="G397" s="32"/>
      <c r="H397" s="32"/>
      <c r="I397" s="33"/>
      <c r="J397" s="44" t="str">
        <f aca="false">IF(OR(B397="",COUNT(E397,F397,G397,H397)&lt;4),"",AVERAGE(E397,F397,G397,H397))</f>
        <v/>
      </c>
      <c r="K397" s="37" t="str">
        <f aca="false">IF(J397="","",IF(J397&lt;2.5,"Low",IF(J397&lt;3.5,"Fair","Good")))</f>
        <v/>
      </c>
    </row>
    <row r="398" customFormat="false" ht="15" hidden="false" customHeight="false" outlineLevel="0" collapsed="false">
      <c r="A398" s="32"/>
      <c r="B398" s="32"/>
      <c r="C398" s="32"/>
      <c r="D398" s="35"/>
      <c r="E398" s="32"/>
      <c r="F398" s="32"/>
      <c r="G398" s="32"/>
      <c r="H398" s="32"/>
      <c r="I398" s="33"/>
      <c r="J398" s="44" t="str">
        <f aca="false">IF(OR(B398="",COUNT(E398,F398,G398,H398)&lt;4),"",AVERAGE(E398,F398,G398,H398))</f>
        <v/>
      </c>
      <c r="K398" s="37" t="str">
        <f aca="false">IF(J398="","",IF(J398&lt;2.5,"Low",IF(J398&lt;3.5,"Fair","Good")))</f>
        <v/>
      </c>
    </row>
    <row r="399" customFormat="false" ht="15" hidden="false" customHeight="false" outlineLevel="0" collapsed="false">
      <c r="A399" s="32"/>
      <c r="B399" s="32"/>
      <c r="C399" s="32"/>
      <c r="D399" s="35"/>
      <c r="E399" s="32"/>
      <c r="F399" s="32"/>
      <c r="G399" s="32"/>
      <c r="H399" s="32"/>
      <c r="I399" s="33"/>
      <c r="J399" s="44" t="str">
        <f aca="false">IF(OR(B399="",COUNT(E399,F399,G399,H399)&lt;4),"",AVERAGE(E399,F399,G399,H399))</f>
        <v/>
      </c>
      <c r="K399" s="37" t="str">
        <f aca="false">IF(J399="","",IF(J399&lt;2.5,"Low",IF(J399&lt;3.5,"Fair","Good")))</f>
        <v/>
      </c>
    </row>
    <row r="400" customFormat="false" ht="15" hidden="false" customHeight="false" outlineLevel="0" collapsed="false">
      <c r="A400" s="32"/>
      <c r="B400" s="32"/>
      <c r="C400" s="32"/>
      <c r="D400" s="35"/>
      <c r="E400" s="32"/>
      <c r="F400" s="32"/>
      <c r="G400" s="32"/>
      <c r="H400" s="32"/>
      <c r="I400" s="33"/>
      <c r="J400" s="44" t="str">
        <f aca="false">IF(OR(B400="",COUNT(E400,F400,G400,H400)&lt;4),"",AVERAGE(E400,F400,G400,H400))</f>
        <v/>
      </c>
      <c r="K400" s="37" t="str">
        <f aca="false">IF(J400="","",IF(J400&lt;2.5,"Low",IF(J400&lt;3.5,"Fair","Good")))</f>
        <v/>
      </c>
    </row>
    <row r="401" customFormat="false" ht="15" hidden="false" customHeight="false" outlineLevel="0" collapsed="false">
      <c r="A401" s="32"/>
      <c r="B401" s="32"/>
      <c r="C401" s="32"/>
      <c r="D401" s="35"/>
      <c r="E401" s="32"/>
      <c r="F401" s="32"/>
      <c r="G401" s="32"/>
      <c r="H401" s="32"/>
      <c r="I401" s="33"/>
      <c r="J401" s="44" t="str">
        <f aca="false">IF(OR(B401="",COUNT(E401,F401,G401,H401)&lt;4),"",AVERAGE(E401,F401,G401,H401))</f>
        <v/>
      </c>
      <c r="K401" s="37" t="str">
        <f aca="false">IF(J401="","",IF(J401&lt;2.5,"Low",IF(J401&lt;3.5,"Fair","Good")))</f>
        <v/>
      </c>
    </row>
    <row r="402" customFormat="false" ht="15" hidden="false" customHeight="false" outlineLevel="0" collapsed="false">
      <c r="A402" s="32"/>
      <c r="B402" s="32"/>
      <c r="C402" s="32"/>
      <c r="D402" s="35"/>
      <c r="E402" s="32"/>
      <c r="F402" s="32"/>
      <c r="G402" s="32"/>
      <c r="H402" s="32"/>
      <c r="I402" s="33"/>
      <c r="J402" s="44" t="str">
        <f aca="false">IF(OR(B402="",COUNT(E402,F402,G402,H402)&lt;4),"",AVERAGE(E402,F402,G402,H402))</f>
        <v/>
      </c>
      <c r="K402" s="37" t="str">
        <f aca="false">IF(J402="","",IF(J402&lt;2.5,"Low",IF(J402&lt;3.5,"Fair","Good")))</f>
        <v/>
      </c>
    </row>
    <row r="403" customFormat="false" ht="15" hidden="false" customHeight="false" outlineLevel="0" collapsed="false">
      <c r="A403" s="32"/>
      <c r="B403" s="32"/>
      <c r="C403" s="32"/>
      <c r="D403" s="35"/>
      <c r="E403" s="32"/>
      <c r="F403" s="32"/>
      <c r="G403" s="32"/>
      <c r="H403" s="32"/>
      <c r="I403" s="33"/>
      <c r="J403" s="44" t="str">
        <f aca="false">IF(OR(B403="",COUNT(E403,F403,G403,H403)&lt;4),"",AVERAGE(E403,F403,G403,H403))</f>
        <v/>
      </c>
      <c r="K403" s="37" t="str">
        <f aca="false">IF(J403="","",IF(J403&lt;2.5,"Low",IF(J403&lt;3.5,"Fair","Good")))</f>
        <v/>
      </c>
    </row>
    <row r="404" customFormat="false" ht="15" hidden="false" customHeight="false" outlineLevel="0" collapsed="false">
      <c r="A404" s="32"/>
      <c r="B404" s="32"/>
      <c r="C404" s="32"/>
      <c r="D404" s="35"/>
      <c r="E404" s="32"/>
      <c r="F404" s="32"/>
      <c r="G404" s="32"/>
      <c r="H404" s="32"/>
      <c r="I404" s="33"/>
      <c r="J404" s="44" t="str">
        <f aca="false">IF(OR(B404="",COUNT(E404,F404,G404,H404)&lt;4),"",AVERAGE(E404,F404,G404,H404))</f>
        <v/>
      </c>
      <c r="K404" s="37" t="str">
        <f aca="false">IF(J404="","",IF(J404&lt;2.5,"Low",IF(J404&lt;3.5,"Fair","Good")))</f>
        <v/>
      </c>
    </row>
    <row r="405" customFormat="false" ht="15" hidden="false" customHeight="false" outlineLevel="0" collapsed="false">
      <c r="A405" s="32"/>
      <c r="B405" s="32"/>
      <c r="C405" s="32"/>
      <c r="D405" s="35"/>
      <c r="E405" s="32"/>
      <c r="F405" s="32"/>
      <c r="G405" s="32"/>
      <c r="H405" s="32"/>
      <c r="I405" s="33"/>
      <c r="J405" s="44" t="str">
        <f aca="false">IF(OR(B405="",COUNT(E405,F405,G405,H405)&lt;4),"",AVERAGE(E405,F405,G405,H405))</f>
        <v/>
      </c>
      <c r="K405" s="37" t="str">
        <f aca="false">IF(J405="","",IF(J405&lt;2.5,"Low",IF(J405&lt;3.5,"Fair","Good")))</f>
        <v/>
      </c>
    </row>
    <row r="406" customFormat="false" ht="15" hidden="false" customHeight="false" outlineLevel="0" collapsed="false">
      <c r="A406" s="32"/>
      <c r="B406" s="32"/>
      <c r="C406" s="32"/>
      <c r="D406" s="35"/>
      <c r="E406" s="32"/>
      <c r="F406" s="32"/>
      <c r="G406" s="32"/>
      <c r="H406" s="32"/>
      <c r="I406" s="33"/>
      <c r="J406" s="44" t="str">
        <f aca="false">IF(OR(B406="",COUNT(E406,F406,G406,H406)&lt;4),"",AVERAGE(E406,F406,G406,H406))</f>
        <v/>
      </c>
      <c r="K406" s="37" t="str">
        <f aca="false">IF(J406="","",IF(J406&lt;2.5,"Low",IF(J406&lt;3.5,"Fair","Good")))</f>
        <v/>
      </c>
    </row>
    <row r="407" customFormat="false" ht="15" hidden="false" customHeight="false" outlineLevel="0" collapsed="false">
      <c r="A407" s="32"/>
      <c r="B407" s="32"/>
      <c r="C407" s="32"/>
      <c r="D407" s="35"/>
      <c r="E407" s="32"/>
      <c r="F407" s="32"/>
      <c r="G407" s="32"/>
      <c r="H407" s="32"/>
      <c r="I407" s="33"/>
      <c r="J407" s="44" t="str">
        <f aca="false">IF(OR(B407="",COUNT(E407,F407,G407,H407)&lt;4),"",AVERAGE(E407,F407,G407,H407))</f>
        <v/>
      </c>
      <c r="K407" s="37" t="str">
        <f aca="false">IF(J407="","",IF(J407&lt;2.5,"Low",IF(J407&lt;3.5,"Fair","Good")))</f>
        <v/>
      </c>
    </row>
    <row r="408" customFormat="false" ht="15" hidden="false" customHeight="false" outlineLevel="0" collapsed="false">
      <c r="A408" s="32"/>
      <c r="B408" s="32"/>
      <c r="C408" s="32"/>
      <c r="D408" s="35"/>
      <c r="E408" s="32"/>
      <c r="F408" s="32"/>
      <c r="G408" s="32"/>
      <c r="H408" s="32"/>
      <c r="I408" s="33"/>
      <c r="J408" s="44" t="str">
        <f aca="false">IF(OR(B408="",COUNT(E408,F408,G408,H408)&lt;4),"",AVERAGE(E408,F408,G408,H408))</f>
        <v/>
      </c>
      <c r="K408" s="37" t="str">
        <f aca="false">IF(J408="","",IF(J408&lt;2.5,"Low",IF(J408&lt;3.5,"Fair","Good")))</f>
        <v/>
      </c>
    </row>
    <row r="409" customFormat="false" ht="15" hidden="false" customHeight="false" outlineLevel="0" collapsed="false">
      <c r="A409" s="32"/>
      <c r="B409" s="32"/>
      <c r="C409" s="32"/>
      <c r="D409" s="35"/>
      <c r="E409" s="32"/>
      <c r="F409" s="32"/>
      <c r="G409" s="32"/>
      <c r="H409" s="32"/>
      <c r="I409" s="33"/>
      <c r="J409" s="44" t="str">
        <f aca="false">IF(OR(B409="",COUNT(E409,F409,G409,H409)&lt;4),"",AVERAGE(E409,F409,G409,H409))</f>
        <v/>
      </c>
      <c r="K409" s="37" t="str">
        <f aca="false">IF(J409="","",IF(J409&lt;2.5,"Low",IF(J409&lt;3.5,"Fair","Good")))</f>
        <v/>
      </c>
    </row>
    <row r="410" customFormat="false" ht="15" hidden="false" customHeight="false" outlineLevel="0" collapsed="false">
      <c r="A410" s="32"/>
      <c r="B410" s="32"/>
      <c r="C410" s="32"/>
      <c r="D410" s="35"/>
      <c r="E410" s="32"/>
      <c r="F410" s="32"/>
      <c r="G410" s="32"/>
      <c r="H410" s="32"/>
      <c r="I410" s="33"/>
      <c r="J410" s="44" t="str">
        <f aca="false">IF(OR(B410="",COUNT(E410,F410,G410,H410)&lt;4),"",AVERAGE(E410,F410,G410,H410))</f>
        <v/>
      </c>
      <c r="K410" s="37" t="str">
        <f aca="false">IF(J410="","",IF(J410&lt;2.5,"Low",IF(J410&lt;3.5,"Fair","Good")))</f>
        <v/>
      </c>
    </row>
    <row r="411" customFormat="false" ht="15" hidden="false" customHeight="false" outlineLevel="0" collapsed="false">
      <c r="A411" s="32"/>
      <c r="B411" s="32"/>
      <c r="C411" s="32"/>
      <c r="D411" s="35"/>
      <c r="E411" s="32"/>
      <c r="F411" s="32"/>
      <c r="G411" s="32"/>
      <c r="H411" s="32"/>
      <c r="I411" s="33"/>
      <c r="J411" s="44" t="str">
        <f aca="false">IF(OR(B411="",COUNT(E411,F411,G411,H411)&lt;4),"",AVERAGE(E411,F411,G411,H411))</f>
        <v/>
      </c>
      <c r="K411" s="37" t="str">
        <f aca="false">IF(J411="","",IF(J411&lt;2.5,"Low",IF(J411&lt;3.5,"Fair","Good")))</f>
        <v/>
      </c>
    </row>
    <row r="412" customFormat="false" ht="15" hidden="false" customHeight="false" outlineLevel="0" collapsed="false">
      <c r="A412" s="32"/>
      <c r="B412" s="32"/>
      <c r="C412" s="32"/>
      <c r="D412" s="35"/>
      <c r="E412" s="32"/>
      <c r="F412" s="32"/>
      <c r="G412" s="32"/>
      <c r="H412" s="32"/>
      <c r="I412" s="33"/>
      <c r="J412" s="44" t="str">
        <f aca="false">IF(OR(B412="",COUNT(E412,F412,G412,H412)&lt;4),"",AVERAGE(E412,F412,G412,H412))</f>
        <v/>
      </c>
      <c r="K412" s="37" t="str">
        <f aca="false">IF(J412="","",IF(J412&lt;2.5,"Low",IF(J412&lt;3.5,"Fair","Good")))</f>
        <v/>
      </c>
    </row>
    <row r="413" customFormat="false" ht="15" hidden="false" customHeight="false" outlineLevel="0" collapsed="false">
      <c r="A413" s="32"/>
      <c r="B413" s="32"/>
      <c r="C413" s="32"/>
      <c r="D413" s="35"/>
      <c r="E413" s="32"/>
      <c r="F413" s="32"/>
      <c r="G413" s="32"/>
      <c r="H413" s="32"/>
      <c r="I413" s="33"/>
      <c r="J413" s="44" t="str">
        <f aca="false">IF(OR(B413="",COUNT(E413,F413,G413,H413)&lt;4),"",AVERAGE(E413,F413,G413,H413))</f>
        <v/>
      </c>
      <c r="K413" s="37" t="str">
        <f aca="false">IF(J413="","",IF(J413&lt;2.5,"Low",IF(J413&lt;3.5,"Fair","Good")))</f>
        <v/>
      </c>
    </row>
    <row r="414" customFormat="false" ht="15" hidden="false" customHeight="false" outlineLevel="0" collapsed="false">
      <c r="A414" s="32"/>
      <c r="B414" s="32"/>
      <c r="C414" s="32"/>
      <c r="D414" s="35"/>
      <c r="E414" s="32"/>
      <c r="F414" s="32"/>
      <c r="G414" s="32"/>
      <c r="H414" s="32"/>
      <c r="I414" s="33"/>
      <c r="J414" s="44" t="str">
        <f aca="false">IF(OR(B414="",COUNT(E414,F414,G414,H414)&lt;4),"",AVERAGE(E414,F414,G414,H414))</f>
        <v/>
      </c>
      <c r="K414" s="37" t="str">
        <f aca="false">IF(J414="","",IF(J414&lt;2.5,"Low",IF(J414&lt;3.5,"Fair","Good")))</f>
        <v/>
      </c>
    </row>
    <row r="415" customFormat="false" ht="15" hidden="false" customHeight="false" outlineLevel="0" collapsed="false">
      <c r="A415" s="32"/>
      <c r="B415" s="32"/>
      <c r="C415" s="32"/>
      <c r="D415" s="35"/>
      <c r="E415" s="32"/>
      <c r="F415" s="32"/>
      <c r="G415" s="32"/>
      <c r="H415" s="32"/>
      <c r="I415" s="33"/>
      <c r="J415" s="44" t="str">
        <f aca="false">IF(OR(B415="",COUNT(E415,F415,G415,H415)&lt;4),"",AVERAGE(E415,F415,G415,H415))</f>
        <v/>
      </c>
      <c r="K415" s="37" t="str">
        <f aca="false">IF(J415="","",IF(J415&lt;2.5,"Low",IF(J415&lt;3.5,"Fair","Good")))</f>
        <v/>
      </c>
    </row>
    <row r="416" customFormat="false" ht="15" hidden="false" customHeight="false" outlineLevel="0" collapsed="false">
      <c r="A416" s="32"/>
      <c r="B416" s="32"/>
      <c r="C416" s="32"/>
      <c r="D416" s="35"/>
      <c r="E416" s="32"/>
      <c r="F416" s="32"/>
      <c r="G416" s="32"/>
      <c r="H416" s="32"/>
      <c r="I416" s="33"/>
      <c r="J416" s="44" t="str">
        <f aca="false">IF(OR(B416="",COUNT(E416,F416,G416,H416)&lt;4),"",AVERAGE(E416,F416,G416,H416))</f>
        <v/>
      </c>
      <c r="K416" s="37" t="str">
        <f aca="false">IF(J416="","",IF(J416&lt;2.5,"Low",IF(J416&lt;3.5,"Fair","Good")))</f>
        <v/>
      </c>
    </row>
    <row r="417" customFormat="false" ht="15" hidden="false" customHeight="false" outlineLevel="0" collapsed="false">
      <c r="A417" s="32"/>
      <c r="B417" s="32"/>
      <c r="C417" s="32"/>
      <c r="D417" s="35"/>
      <c r="E417" s="32"/>
      <c r="F417" s="32"/>
      <c r="G417" s="32"/>
      <c r="H417" s="32"/>
      <c r="I417" s="33"/>
      <c r="J417" s="44" t="str">
        <f aca="false">IF(OR(B417="",COUNT(E417,F417,G417,H417)&lt;4),"",AVERAGE(E417,F417,G417,H417))</f>
        <v/>
      </c>
      <c r="K417" s="37" t="str">
        <f aca="false">IF(J417="","",IF(J417&lt;2.5,"Low",IF(J417&lt;3.5,"Fair","Good")))</f>
        <v/>
      </c>
    </row>
    <row r="418" customFormat="false" ht="15" hidden="false" customHeight="false" outlineLevel="0" collapsed="false">
      <c r="A418" s="32"/>
      <c r="B418" s="32"/>
      <c r="C418" s="32"/>
      <c r="D418" s="35"/>
      <c r="E418" s="32"/>
      <c r="F418" s="32"/>
      <c r="G418" s="32"/>
      <c r="H418" s="32"/>
      <c r="I418" s="33"/>
      <c r="J418" s="44" t="str">
        <f aca="false">IF(OR(B418="",COUNT(E418,F418,G418,H418)&lt;4),"",AVERAGE(E418,F418,G418,H418))</f>
        <v/>
      </c>
      <c r="K418" s="37" t="str">
        <f aca="false">IF(J418="","",IF(J418&lt;2.5,"Low",IF(J418&lt;3.5,"Fair","Good")))</f>
        <v/>
      </c>
    </row>
    <row r="419" customFormat="false" ht="15" hidden="false" customHeight="false" outlineLevel="0" collapsed="false">
      <c r="A419" s="32"/>
      <c r="B419" s="32"/>
      <c r="C419" s="32"/>
      <c r="D419" s="35"/>
      <c r="E419" s="32"/>
      <c r="F419" s="32"/>
      <c r="G419" s="32"/>
      <c r="H419" s="32"/>
      <c r="I419" s="33"/>
      <c r="J419" s="44" t="str">
        <f aca="false">IF(OR(B419="",COUNT(E419,F419,G419,H419)&lt;4),"",AVERAGE(E419,F419,G419,H419))</f>
        <v/>
      </c>
      <c r="K419" s="37" t="str">
        <f aca="false">IF(J419="","",IF(J419&lt;2.5,"Low",IF(J419&lt;3.5,"Fair","Good")))</f>
        <v/>
      </c>
    </row>
    <row r="420" customFormat="false" ht="15" hidden="false" customHeight="false" outlineLevel="0" collapsed="false">
      <c r="A420" s="32"/>
      <c r="B420" s="32"/>
      <c r="C420" s="32"/>
      <c r="D420" s="35"/>
      <c r="E420" s="32"/>
      <c r="F420" s="32"/>
      <c r="G420" s="32"/>
      <c r="H420" s="32"/>
      <c r="I420" s="33"/>
      <c r="J420" s="44" t="str">
        <f aca="false">IF(OR(B420="",COUNT(E420,F420,G420,H420)&lt;4),"",AVERAGE(E420,F420,G420,H420))</f>
        <v/>
      </c>
      <c r="K420" s="37" t="str">
        <f aca="false">IF(J420="","",IF(J420&lt;2.5,"Low",IF(J420&lt;3.5,"Fair","Good")))</f>
        <v/>
      </c>
    </row>
    <row r="421" customFormat="false" ht="15" hidden="false" customHeight="false" outlineLevel="0" collapsed="false">
      <c r="A421" s="32"/>
      <c r="B421" s="32"/>
      <c r="C421" s="32"/>
      <c r="D421" s="35"/>
      <c r="E421" s="32"/>
      <c r="F421" s="32"/>
      <c r="G421" s="32"/>
      <c r="H421" s="32"/>
      <c r="I421" s="33"/>
      <c r="J421" s="44" t="str">
        <f aca="false">IF(OR(B421="",COUNT(E421,F421,G421,H421)&lt;4),"",AVERAGE(E421,F421,G421,H421))</f>
        <v/>
      </c>
      <c r="K421" s="37" t="str">
        <f aca="false">IF(J421="","",IF(J421&lt;2.5,"Low",IF(J421&lt;3.5,"Fair","Good")))</f>
        <v/>
      </c>
    </row>
    <row r="422" customFormat="false" ht="15" hidden="false" customHeight="false" outlineLevel="0" collapsed="false">
      <c r="A422" s="32"/>
      <c r="B422" s="32"/>
      <c r="C422" s="32"/>
      <c r="D422" s="35"/>
      <c r="E422" s="32"/>
      <c r="F422" s="32"/>
      <c r="G422" s="32"/>
      <c r="H422" s="32"/>
      <c r="I422" s="33"/>
      <c r="J422" s="44" t="str">
        <f aca="false">IF(OR(B422="",COUNT(E422,F422,G422,H422)&lt;4),"",AVERAGE(E422,F422,G422,H422))</f>
        <v/>
      </c>
      <c r="K422" s="37" t="str">
        <f aca="false">IF(J422="","",IF(J422&lt;2.5,"Low",IF(J422&lt;3.5,"Fair","Good")))</f>
        <v/>
      </c>
    </row>
    <row r="423" customFormat="false" ht="15" hidden="false" customHeight="false" outlineLevel="0" collapsed="false">
      <c r="A423" s="32"/>
      <c r="B423" s="32"/>
      <c r="C423" s="32"/>
      <c r="D423" s="35"/>
      <c r="E423" s="32"/>
      <c r="F423" s="32"/>
      <c r="G423" s="32"/>
      <c r="H423" s="32"/>
      <c r="I423" s="33"/>
      <c r="J423" s="44" t="str">
        <f aca="false">IF(OR(B423="",COUNT(E423,F423,G423,H423)&lt;4),"",AVERAGE(E423,F423,G423,H423))</f>
        <v/>
      </c>
      <c r="K423" s="37" t="str">
        <f aca="false">IF(J423="","",IF(J423&lt;2.5,"Low",IF(J423&lt;3.5,"Fair","Good")))</f>
        <v/>
      </c>
    </row>
    <row r="424" customFormat="false" ht="15" hidden="false" customHeight="false" outlineLevel="0" collapsed="false">
      <c r="A424" s="32"/>
      <c r="B424" s="32"/>
      <c r="C424" s="32"/>
      <c r="D424" s="35"/>
      <c r="E424" s="32"/>
      <c r="F424" s="32"/>
      <c r="G424" s="32"/>
      <c r="H424" s="32"/>
      <c r="I424" s="33"/>
      <c r="J424" s="44" t="str">
        <f aca="false">IF(OR(B424="",COUNT(E424,F424,G424,H424)&lt;4),"",AVERAGE(E424,F424,G424,H424))</f>
        <v/>
      </c>
      <c r="K424" s="37" t="str">
        <f aca="false">IF(J424="","",IF(J424&lt;2.5,"Low",IF(J424&lt;3.5,"Fair","Good")))</f>
        <v/>
      </c>
    </row>
    <row r="425" customFormat="false" ht="15" hidden="false" customHeight="false" outlineLevel="0" collapsed="false">
      <c r="A425" s="32"/>
      <c r="B425" s="32"/>
      <c r="C425" s="32"/>
      <c r="D425" s="35"/>
      <c r="E425" s="32"/>
      <c r="F425" s="32"/>
      <c r="G425" s="32"/>
      <c r="H425" s="32"/>
      <c r="I425" s="33"/>
      <c r="J425" s="44" t="str">
        <f aca="false">IF(OR(B425="",COUNT(E425,F425,G425,H425)&lt;4),"",AVERAGE(E425,F425,G425,H425))</f>
        <v/>
      </c>
      <c r="K425" s="37" t="str">
        <f aca="false">IF(J425="","",IF(J425&lt;2.5,"Low",IF(J425&lt;3.5,"Fair","Good")))</f>
        <v/>
      </c>
    </row>
    <row r="426" customFormat="false" ht="15" hidden="false" customHeight="false" outlineLevel="0" collapsed="false">
      <c r="A426" s="32"/>
      <c r="B426" s="32"/>
      <c r="C426" s="32"/>
      <c r="D426" s="35"/>
      <c r="E426" s="32"/>
      <c r="F426" s="32"/>
      <c r="G426" s="32"/>
      <c r="H426" s="32"/>
      <c r="I426" s="33"/>
      <c r="J426" s="44" t="str">
        <f aca="false">IF(OR(B426="",COUNT(E426,F426,G426,H426)&lt;4),"",AVERAGE(E426,F426,G426,H426))</f>
        <v/>
      </c>
      <c r="K426" s="37" t="str">
        <f aca="false">IF(J426="","",IF(J426&lt;2.5,"Low",IF(J426&lt;3.5,"Fair","Good")))</f>
        <v/>
      </c>
    </row>
    <row r="427" customFormat="false" ht="15" hidden="false" customHeight="false" outlineLevel="0" collapsed="false">
      <c r="A427" s="32"/>
      <c r="B427" s="32"/>
      <c r="C427" s="32"/>
      <c r="D427" s="35"/>
      <c r="E427" s="32"/>
      <c r="F427" s="32"/>
      <c r="G427" s="32"/>
      <c r="H427" s="32"/>
      <c r="I427" s="33"/>
      <c r="J427" s="44" t="str">
        <f aca="false">IF(OR(B427="",COUNT(E427,F427,G427,H427)&lt;4),"",AVERAGE(E427,F427,G427,H427))</f>
        <v/>
      </c>
      <c r="K427" s="37" t="str">
        <f aca="false">IF(J427="","",IF(J427&lt;2.5,"Low",IF(J427&lt;3.5,"Fair","Good")))</f>
        <v/>
      </c>
    </row>
    <row r="428" customFormat="false" ht="15" hidden="false" customHeight="false" outlineLevel="0" collapsed="false">
      <c r="A428" s="32"/>
      <c r="B428" s="32"/>
      <c r="C428" s="32"/>
      <c r="D428" s="35"/>
      <c r="E428" s="32"/>
      <c r="F428" s="32"/>
      <c r="G428" s="32"/>
      <c r="H428" s="32"/>
      <c r="I428" s="33"/>
      <c r="J428" s="44" t="str">
        <f aca="false">IF(OR(B428="",COUNT(E428,F428,G428,H428)&lt;4),"",AVERAGE(E428,F428,G428,H428))</f>
        <v/>
      </c>
      <c r="K428" s="37" t="str">
        <f aca="false">IF(J428="","",IF(J428&lt;2.5,"Low",IF(J428&lt;3.5,"Fair","Good")))</f>
        <v/>
      </c>
    </row>
    <row r="429" customFormat="false" ht="15" hidden="false" customHeight="false" outlineLevel="0" collapsed="false">
      <c r="A429" s="32"/>
      <c r="B429" s="32"/>
      <c r="C429" s="32"/>
      <c r="D429" s="35"/>
      <c r="E429" s="32"/>
      <c r="F429" s="32"/>
      <c r="G429" s="32"/>
      <c r="H429" s="32"/>
      <c r="I429" s="33"/>
      <c r="J429" s="44" t="str">
        <f aca="false">IF(OR(B429="",COUNT(E429,F429,G429,H429)&lt;4),"",AVERAGE(E429,F429,G429,H429))</f>
        <v/>
      </c>
      <c r="K429" s="37" t="str">
        <f aca="false">IF(J429="","",IF(J429&lt;2.5,"Low",IF(J429&lt;3.5,"Fair","Good")))</f>
        <v/>
      </c>
    </row>
    <row r="430" customFormat="false" ht="15" hidden="false" customHeight="false" outlineLevel="0" collapsed="false">
      <c r="A430" s="32"/>
      <c r="B430" s="32"/>
      <c r="C430" s="32"/>
      <c r="D430" s="35"/>
      <c r="E430" s="32"/>
      <c r="F430" s="32"/>
      <c r="G430" s="32"/>
      <c r="H430" s="32"/>
      <c r="I430" s="33"/>
      <c r="J430" s="44" t="str">
        <f aca="false">IF(OR(B430="",COUNT(E430,F430,G430,H430)&lt;4),"",AVERAGE(E430,F430,G430,H430))</f>
        <v/>
      </c>
      <c r="K430" s="37" t="str">
        <f aca="false">IF(J430="","",IF(J430&lt;2.5,"Low",IF(J430&lt;3.5,"Fair","Good")))</f>
        <v/>
      </c>
    </row>
    <row r="431" customFormat="false" ht="15" hidden="false" customHeight="false" outlineLevel="0" collapsed="false">
      <c r="A431" s="32"/>
      <c r="B431" s="32"/>
      <c r="C431" s="32"/>
      <c r="D431" s="35"/>
      <c r="E431" s="32"/>
      <c r="F431" s="32"/>
      <c r="G431" s="32"/>
      <c r="H431" s="32"/>
      <c r="I431" s="33"/>
      <c r="J431" s="44" t="str">
        <f aca="false">IF(OR(B431="",COUNT(E431,F431,G431,H431)&lt;4),"",AVERAGE(E431,F431,G431,H431))</f>
        <v/>
      </c>
      <c r="K431" s="37" t="str">
        <f aca="false">IF(J431="","",IF(J431&lt;2.5,"Low",IF(J431&lt;3.5,"Fair","Good")))</f>
        <v/>
      </c>
    </row>
    <row r="432" customFormat="false" ht="15" hidden="false" customHeight="false" outlineLevel="0" collapsed="false">
      <c r="A432" s="32"/>
      <c r="B432" s="32"/>
      <c r="C432" s="32"/>
      <c r="D432" s="35"/>
      <c r="E432" s="32"/>
      <c r="F432" s="32"/>
      <c r="G432" s="32"/>
      <c r="H432" s="32"/>
      <c r="I432" s="33"/>
      <c r="J432" s="44" t="str">
        <f aca="false">IF(OR(B432="",COUNT(E432,F432,G432,H432)&lt;4),"",AVERAGE(E432,F432,G432,H432))</f>
        <v/>
      </c>
      <c r="K432" s="37" t="str">
        <f aca="false">IF(J432="","",IF(J432&lt;2.5,"Low",IF(J432&lt;3.5,"Fair","Good")))</f>
        <v/>
      </c>
    </row>
    <row r="433" customFormat="false" ht="15" hidden="false" customHeight="false" outlineLevel="0" collapsed="false">
      <c r="A433" s="32"/>
      <c r="B433" s="32"/>
      <c r="C433" s="32"/>
      <c r="D433" s="35"/>
      <c r="E433" s="32"/>
      <c r="F433" s="32"/>
      <c r="G433" s="32"/>
      <c r="H433" s="32"/>
      <c r="I433" s="33"/>
      <c r="J433" s="44" t="str">
        <f aca="false">IF(OR(B433="",COUNT(E433,F433,G433,H433)&lt;4),"",AVERAGE(E433,F433,G433,H433))</f>
        <v/>
      </c>
      <c r="K433" s="37" t="str">
        <f aca="false">IF(J433="","",IF(J433&lt;2.5,"Low",IF(J433&lt;3.5,"Fair","Good")))</f>
        <v/>
      </c>
    </row>
    <row r="434" customFormat="false" ht="15" hidden="false" customHeight="false" outlineLevel="0" collapsed="false">
      <c r="A434" s="32"/>
      <c r="B434" s="32"/>
      <c r="C434" s="32"/>
      <c r="D434" s="35"/>
      <c r="E434" s="32"/>
      <c r="F434" s="32"/>
      <c r="G434" s="32"/>
      <c r="H434" s="32"/>
      <c r="I434" s="33"/>
      <c r="J434" s="44" t="str">
        <f aca="false">IF(OR(B434="",COUNT(E434,F434,G434,H434)&lt;4),"",AVERAGE(E434,F434,G434,H434))</f>
        <v/>
      </c>
      <c r="K434" s="37" t="str">
        <f aca="false">IF(J434="","",IF(J434&lt;2.5,"Low",IF(J434&lt;3.5,"Fair","Good")))</f>
        <v/>
      </c>
    </row>
    <row r="435" customFormat="false" ht="15" hidden="false" customHeight="false" outlineLevel="0" collapsed="false">
      <c r="A435" s="32"/>
      <c r="B435" s="32"/>
      <c r="C435" s="32"/>
      <c r="D435" s="35"/>
      <c r="E435" s="32"/>
      <c r="F435" s="32"/>
      <c r="G435" s="32"/>
      <c r="H435" s="32"/>
      <c r="I435" s="33"/>
      <c r="J435" s="44" t="str">
        <f aca="false">IF(OR(B435="",COUNT(E435,F435,G435,H435)&lt;4),"",AVERAGE(E435,F435,G435,H435))</f>
        <v/>
      </c>
      <c r="K435" s="37" t="str">
        <f aca="false">IF(J435="","",IF(J435&lt;2.5,"Low",IF(J435&lt;3.5,"Fair","Good")))</f>
        <v/>
      </c>
    </row>
    <row r="436" customFormat="false" ht="15" hidden="false" customHeight="false" outlineLevel="0" collapsed="false">
      <c r="A436" s="32"/>
      <c r="B436" s="32"/>
      <c r="C436" s="32"/>
      <c r="D436" s="35"/>
      <c r="E436" s="32"/>
      <c r="F436" s="32"/>
      <c r="G436" s="32"/>
      <c r="H436" s="32"/>
      <c r="I436" s="33"/>
      <c r="J436" s="44" t="str">
        <f aca="false">IF(OR(B436="",COUNT(E436,F436,G436,H436)&lt;4),"",AVERAGE(E436,F436,G436,H436))</f>
        <v/>
      </c>
      <c r="K436" s="37" t="str">
        <f aca="false">IF(J436="","",IF(J436&lt;2.5,"Low",IF(J436&lt;3.5,"Fair","Good")))</f>
        <v/>
      </c>
    </row>
    <row r="437" customFormat="false" ht="15" hidden="false" customHeight="false" outlineLevel="0" collapsed="false">
      <c r="A437" s="32"/>
      <c r="B437" s="32"/>
      <c r="C437" s="32"/>
      <c r="D437" s="35"/>
      <c r="E437" s="32"/>
      <c r="F437" s="32"/>
      <c r="G437" s="32"/>
      <c r="H437" s="32"/>
      <c r="I437" s="33"/>
      <c r="J437" s="44" t="str">
        <f aca="false">IF(OR(B437="",COUNT(E437,F437,G437,H437)&lt;4),"",AVERAGE(E437,F437,G437,H437))</f>
        <v/>
      </c>
      <c r="K437" s="37" t="str">
        <f aca="false">IF(J437="","",IF(J437&lt;2.5,"Low",IF(J437&lt;3.5,"Fair","Good")))</f>
        <v/>
      </c>
    </row>
    <row r="438" customFormat="false" ht="15" hidden="false" customHeight="false" outlineLevel="0" collapsed="false">
      <c r="A438" s="32"/>
      <c r="B438" s="32"/>
      <c r="C438" s="32"/>
      <c r="D438" s="35"/>
      <c r="E438" s="32"/>
      <c r="F438" s="32"/>
      <c r="G438" s="32"/>
      <c r="H438" s="32"/>
      <c r="I438" s="33"/>
      <c r="J438" s="44" t="str">
        <f aca="false">IF(OR(B438="",COUNT(E438,F438,G438,H438)&lt;4),"",AVERAGE(E438,F438,G438,H438))</f>
        <v/>
      </c>
      <c r="K438" s="37" t="str">
        <f aca="false">IF(J438="","",IF(J438&lt;2.5,"Low",IF(J438&lt;3.5,"Fair","Good")))</f>
        <v/>
      </c>
    </row>
    <row r="439" customFormat="false" ht="15" hidden="false" customHeight="false" outlineLevel="0" collapsed="false">
      <c r="A439" s="32"/>
      <c r="B439" s="32"/>
      <c r="C439" s="32"/>
      <c r="D439" s="35"/>
      <c r="E439" s="32"/>
      <c r="F439" s="32"/>
      <c r="G439" s="32"/>
      <c r="H439" s="32"/>
      <c r="I439" s="33"/>
      <c r="J439" s="44" t="str">
        <f aca="false">IF(OR(B439="",COUNT(E439,F439,G439,H439)&lt;4),"",AVERAGE(E439,F439,G439,H439))</f>
        <v/>
      </c>
      <c r="K439" s="37" t="str">
        <f aca="false">IF(J439="","",IF(J439&lt;2.5,"Low",IF(J439&lt;3.5,"Fair","Good")))</f>
        <v/>
      </c>
    </row>
    <row r="440" customFormat="false" ht="15" hidden="false" customHeight="false" outlineLevel="0" collapsed="false">
      <c r="A440" s="32"/>
      <c r="B440" s="32"/>
      <c r="C440" s="32"/>
      <c r="D440" s="35"/>
      <c r="E440" s="32"/>
      <c r="F440" s="32"/>
      <c r="G440" s="32"/>
      <c r="H440" s="32"/>
      <c r="I440" s="33"/>
      <c r="J440" s="44" t="str">
        <f aca="false">IF(OR(B440="",COUNT(E440,F440,G440,H440)&lt;4),"",AVERAGE(E440,F440,G440,H440))</f>
        <v/>
      </c>
      <c r="K440" s="37" t="str">
        <f aca="false">IF(J440="","",IF(J440&lt;2.5,"Low",IF(J440&lt;3.5,"Fair","Good")))</f>
        <v/>
      </c>
    </row>
    <row r="441" customFormat="false" ht="15" hidden="false" customHeight="false" outlineLevel="0" collapsed="false">
      <c r="A441" s="32"/>
      <c r="B441" s="32"/>
      <c r="C441" s="32"/>
      <c r="D441" s="35"/>
      <c r="E441" s="32"/>
      <c r="F441" s="32"/>
      <c r="G441" s="32"/>
      <c r="H441" s="32"/>
      <c r="I441" s="33"/>
      <c r="J441" s="44" t="str">
        <f aca="false">IF(OR(B441="",COUNT(E441,F441,G441,H441)&lt;4),"",AVERAGE(E441,F441,G441,H441))</f>
        <v/>
      </c>
      <c r="K441" s="37" t="str">
        <f aca="false">IF(J441="","",IF(J441&lt;2.5,"Low",IF(J441&lt;3.5,"Fair","Good")))</f>
        <v/>
      </c>
    </row>
    <row r="442" customFormat="false" ht="15" hidden="false" customHeight="false" outlineLevel="0" collapsed="false">
      <c r="A442" s="32"/>
      <c r="B442" s="32"/>
      <c r="C442" s="32"/>
      <c r="D442" s="35"/>
      <c r="E442" s="32"/>
      <c r="F442" s="32"/>
      <c r="G442" s="32"/>
      <c r="H442" s="32"/>
      <c r="I442" s="33"/>
      <c r="J442" s="44" t="str">
        <f aca="false">IF(OR(B442="",COUNT(E442,F442,G442,H442)&lt;4),"",AVERAGE(E442,F442,G442,H442))</f>
        <v/>
      </c>
      <c r="K442" s="37" t="str">
        <f aca="false">IF(J442="","",IF(J442&lt;2.5,"Low",IF(J442&lt;3.5,"Fair","Good")))</f>
        <v/>
      </c>
    </row>
    <row r="443" customFormat="false" ht="15" hidden="false" customHeight="false" outlineLevel="0" collapsed="false">
      <c r="A443" s="32"/>
      <c r="B443" s="32"/>
      <c r="C443" s="32"/>
      <c r="D443" s="35"/>
      <c r="E443" s="32"/>
      <c r="F443" s="32"/>
      <c r="G443" s="32"/>
      <c r="H443" s="32"/>
      <c r="I443" s="33"/>
      <c r="J443" s="44" t="str">
        <f aca="false">IF(OR(B443="",COUNT(E443,F443,G443,H443)&lt;4),"",AVERAGE(E443,F443,G443,H443))</f>
        <v/>
      </c>
      <c r="K443" s="37" t="str">
        <f aca="false">IF(J443="","",IF(J443&lt;2.5,"Low",IF(J443&lt;3.5,"Fair","Good")))</f>
        <v/>
      </c>
    </row>
    <row r="444" customFormat="false" ht="15" hidden="false" customHeight="false" outlineLevel="0" collapsed="false">
      <c r="A444" s="32"/>
      <c r="B444" s="32"/>
      <c r="C444" s="32"/>
      <c r="D444" s="35"/>
      <c r="E444" s="32"/>
      <c r="F444" s="32"/>
      <c r="G444" s="32"/>
      <c r="H444" s="32"/>
      <c r="I444" s="33"/>
      <c r="J444" s="44" t="str">
        <f aca="false">IF(OR(B444="",COUNT(E444,F444,G444,H444)&lt;4),"",AVERAGE(E444,F444,G444,H444))</f>
        <v/>
      </c>
      <c r="K444" s="37" t="str">
        <f aca="false">IF(J444="","",IF(J444&lt;2.5,"Low",IF(J444&lt;3.5,"Fair","Good")))</f>
        <v/>
      </c>
    </row>
    <row r="445" customFormat="false" ht="15" hidden="false" customHeight="false" outlineLevel="0" collapsed="false">
      <c r="A445" s="32"/>
      <c r="B445" s="32"/>
      <c r="C445" s="32"/>
      <c r="D445" s="35"/>
      <c r="E445" s="32"/>
      <c r="F445" s="32"/>
      <c r="G445" s="32"/>
      <c r="H445" s="32"/>
      <c r="I445" s="33"/>
      <c r="J445" s="44" t="str">
        <f aca="false">IF(OR(B445="",COUNT(E445,F445,G445,H445)&lt;4),"",AVERAGE(E445,F445,G445,H445))</f>
        <v/>
      </c>
      <c r="K445" s="37" t="str">
        <f aca="false">IF(J445="","",IF(J445&lt;2.5,"Low",IF(J445&lt;3.5,"Fair","Good")))</f>
        <v/>
      </c>
    </row>
    <row r="446" customFormat="false" ht="15" hidden="false" customHeight="false" outlineLevel="0" collapsed="false">
      <c r="A446" s="32"/>
      <c r="B446" s="32"/>
      <c r="C446" s="32"/>
      <c r="D446" s="35"/>
      <c r="E446" s="32"/>
      <c r="F446" s="32"/>
      <c r="G446" s="32"/>
      <c r="H446" s="32"/>
      <c r="I446" s="33"/>
      <c r="J446" s="44" t="str">
        <f aca="false">IF(OR(B446="",COUNT(E446,F446,G446,H446)&lt;4),"",AVERAGE(E446,F446,G446,H446))</f>
        <v/>
      </c>
      <c r="K446" s="37" t="str">
        <f aca="false">IF(J446="","",IF(J446&lt;2.5,"Low",IF(J446&lt;3.5,"Fair","Good")))</f>
        <v/>
      </c>
    </row>
    <row r="447" customFormat="false" ht="15" hidden="false" customHeight="false" outlineLevel="0" collapsed="false">
      <c r="A447" s="32"/>
      <c r="B447" s="32"/>
      <c r="C447" s="32"/>
      <c r="D447" s="35"/>
      <c r="E447" s="32"/>
      <c r="F447" s="32"/>
      <c r="G447" s="32"/>
      <c r="H447" s="32"/>
      <c r="I447" s="33"/>
      <c r="J447" s="44" t="str">
        <f aca="false">IF(OR(B447="",COUNT(E447,F447,G447,H447)&lt;4),"",AVERAGE(E447,F447,G447,H447))</f>
        <v/>
      </c>
      <c r="K447" s="37" t="str">
        <f aca="false">IF(J447="","",IF(J447&lt;2.5,"Low",IF(J447&lt;3.5,"Fair","Good")))</f>
        <v/>
      </c>
    </row>
    <row r="448" customFormat="false" ht="15" hidden="false" customHeight="false" outlineLevel="0" collapsed="false">
      <c r="A448" s="32"/>
      <c r="B448" s="32"/>
      <c r="C448" s="32"/>
      <c r="D448" s="35"/>
      <c r="E448" s="32"/>
      <c r="F448" s="32"/>
      <c r="G448" s="32"/>
      <c r="H448" s="32"/>
      <c r="I448" s="33"/>
      <c r="J448" s="44" t="str">
        <f aca="false">IF(OR(B448="",COUNT(E448,F448,G448,H448)&lt;4),"",AVERAGE(E448,F448,G448,H448))</f>
        <v/>
      </c>
      <c r="K448" s="37" t="str">
        <f aca="false">IF(J448="","",IF(J448&lt;2.5,"Low",IF(J448&lt;3.5,"Fair","Good")))</f>
        <v/>
      </c>
    </row>
    <row r="449" customFormat="false" ht="15" hidden="false" customHeight="false" outlineLevel="0" collapsed="false">
      <c r="A449" s="32"/>
      <c r="B449" s="32"/>
      <c r="C449" s="32"/>
      <c r="D449" s="35"/>
      <c r="E449" s="32"/>
      <c r="F449" s="32"/>
      <c r="G449" s="32"/>
      <c r="H449" s="32"/>
      <c r="I449" s="33"/>
      <c r="J449" s="44" t="str">
        <f aca="false">IF(OR(B449="",COUNT(E449,F449,G449,H449)&lt;4),"",AVERAGE(E449,F449,G449,H449))</f>
        <v/>
      </c>
      <c r="K449" s="37" t="str">
        <f aca="false">IF(J449="","",IF(J449&lt;2.5,"Low",IF(J449&lt;3.5,"Fair","Good")))</f>
        <v/>
      </c>
    </row>
    <row r="450" customFormat="false" ht="15" hidden="false" customHeight="false" outlineLevel="0" collapsed="false">
      <c r="A450" s="32"/>
      <c r="B450" s="32"/>
      <c r="C450" s="32"/>
      <c r="D450" s="35"/>
      <c r="E450" s="32"/>
      <c r="F450" s="32"/>
      <c r="G450" s="32"/>
      <c r="H450" s="32"/>
      <c r="I450" s="33"/>
      <c r="J450" s="44" t="str">
        <f aca="false">IF(OR(B450="",COUNT(E450,F450,G450,H450)&lt;4),"",AVERAGE(E450,F450,G450,H450))</f>
        <v/>
      </c>
      <c r="K450" s="37" t="str">
        <f aca="false">IF(J450="","",IF(J450&lt;2.5,"Low",IF(J450&lt;3.5,"Fair","Good")))</f>
        <v/>
      </c>
    </row>
    <row r="451" customFormat="false" ht="15" hidden="false" customHeight="false" outlineLevel="0" collapsed="false">
      <c r="A451" s="32"/>
      <c r="B451" s="32"/>
      <c r="C451" s="32"/>
      <c r="D451" s="35"/>
      <c r="E451" s="32"/>
      <c r="F451" s="32"/>
      <c r="G451" s="32"/>
      <c r="H451" s="32"/>
      <c r="I451" s="33"/>
      <c r="J451" s="44" t="str">
        <f aca="false">IF(OR(B451="",COUNT(E451,F451,G451,H451)&lt;4),"",AVERAGE(E451,F451,G451,H451))</f>
        <v/>
      </c>
      <c r="K451" s="37" t="str">
        <f aca="false">IF(J451="","",IF(J451&lt;2.5,"Low",IF(J451&lt;3.5,"Fair","Good")))</f>
        <v/>
      </c>
    </row>
    <row r="452" customFormat="false" ht="15" hidden="false" customHeight="false" outlineLevel="0" collapsed="false">
      <c r="A452" s="32"/>
      <c r="B452" s="32"/>
      <c r="C452" s="32"/>
      <c r="D452" s="35"/>
      <c r="E452" s="32"/>
      <c r="F452" s="32"/>
      <c r="G452" s="32"/>
      <c r="H452" s="32"/>
      <c r="I452" s="33"/>
      <c r="J452" s="44" t="str">
        <f aca="false">IF(OR(B452="",COUNT(E452,F452,G452,H452)&lt;4),"",AVERAGE(E452,F452,G452,H452))</f>
        <v/>
      </c>
      <c r="K452" s="37" t="str">
        <f aca="false">IF(J452="","",IF(J452&lt;2.5,"Low",IF(J452&lt;3.5,"Fair","Good")))</f>
        <v/>
      </c>
    </row>
    <row r="453" customFormat="false" ht="15" hidden="false" customHeight="false" outlineLevel="0" collapsed="false">
      <c r="A453" s="32"/>
      <c r="B453" s="32"/>
      <c r="C453" s="32"/>
      <c r="D453" s="35"/>
      <c r="E453" s="32"/>
      <c r="F453" s="32"/>
      <c r="G453" s="32"/>
      <c r="H453" s="32"/>
      <c r="I453" s="33"/>
      <c r="J453" s="44" t="str">
        <f aca="false">IF(OR(B453="",COUNT(E453,F453,G453,H453)&lt;4),"",AVERAGE(E453,F453,G453,H453))</f>
        <v/>
      </c>
      <c r="K453" s="37" t="str">
        <f aca="false">IF(J453="","",IF(J453&lt;2.5,"Low",IF(J453&lt;3.5,"Fair","Good")))</f>
        <v/>
      </c>
    </row>
    <row r="454" customFormat="false" ht="15" hidden="false" customHeight="false" outlineLevel="0" collapsed="false">
      <c r="A454" s="32"/>
      <c r="B454" s="32"/>
      <c r="C454" s="32"/>
      <c r="D454" s="35"/>
      <c r="E454" s="32"/>
      <c r="F454" s="32"/>
      <c r="G454" s="32"/>
      <c r="H454" s="32"/>
      <c r="I454" s="33"/>
      <c r="J454" s="44" t="str">
        <f aca="false">IF(OR(B454="",COUNT(E454,F454,G454,H454)&lt;4),"",AVERAGE(E454,F454,G454,H454))</f>
        <v/>
      </c>
      <c r="K454" s="37" t="str">
        <f aca="false">IF(J454="","",IF(J454&lt;2.5,"Low",IF(J454&lt;3.5,"Fair","Good")))</f>
        <v/>
      </c>
    </row>
    <row r="455" customFormat="false" ht="15" hidden="false" customHeight="false" outlineLevel="0" collapsed="false">
      <c r="A455" s="32"/>
      <c r="B455" s="32"/>
      <c r="C455" s="32"/>
      <c r="D455" s="35"/>
      <c r="E455" s="32"/>
      <c r="F455" s="32"/>
      <c r="G455" s="32"/>
      <c r="H455" s="32"/>
      <c r="I455" s="33"/>
      <c r="J455" s="44" t="str">
        <f aca="false">IF(OR(B455="",COUNT(E455,F455,G455,H455)&lt;4),"",AVERAGE(E455,F455,G455,H455))</f>
        <v/>
      </c>
      <c r="K455" s="37" t="str">
        <f aca="false">IF(J455="","",IF(J455&lt;2.5,"Low",IF(J455&lt;3.5,"Fair","Good")))</f>
        <v/>
      </c>
    </row>
    <row r="456" customFormat="false" ht="15" hidden="false" customHeight="false" outlineLevel="0" collapsed="false">
      <c r="A456" s="32"/>
      <c r="B456" s="32"/>
      <c r="C456" s="32"/>
      <c r="D456" s="35"/>
      <c r="E456" s="32"/>
      <c r="F456" s="32"/>
      <c r="G456" s="32"/>
      <c r="H456" s="32"/>
      <c r="I456" s="33"/>
      <c r="J456" s="44" t="str">
        <f aca="false">IF(OR(B456="",COUNT(E456,F456,G456,H456)&lt;4),"",AVERAGE(E456,F456,G456,H456))</f>
        <v/>
      </c>
      <c r="K456" s="37" t="str">
        <f aca="false">IF(J456="","",IF(J456&lt;2.5,"Low",IF(J456&lt;3.5,"Fair","Good")))</f>
        <v/>
      </c>
    </row>
    <row r="457" customFormat="false" ht="15" hidden="false" customHeight="false" outlineLevel="0" collapsed="false">
      <c r="A457" s="32"/>
      <c r="B457" s="32"/>
      <c r="C457" s="32"/>
      <c r="D457" s="35"/>
      <c r="E457" s="32"/>
      <c r="F457" s="32"/>
      <c r="G457" s="32"/>
      <c r="H457" s="32"/>
      <c r="I457" s="33"/>
      <c r="J457" s="44" t="str">
        <f aca="false">IF(OR(B457="",COUNT(E457,F457,G457,H457)&lt;4),"",AVERAGE(E457,F457,G457,H457))</f>
        <v/>
      </c>
      <c r="K457" s="37" t="str">
        <f aca="false">IF(J457="","",IF(J457&lt;2.5,"Low",IF(J457&lt;3.5,"Fair","Good")))</f>
        <v/>
      </c>
    </row>
    <row r="458" customFormat="false" ht="15" hidden="false" customHeight="false" outlineLevel="0" collapsed="false">
      <c r="A458" s="32"/>
      <c r="B458" s="32"/>
      <c r="C458" s="32"/>
      <c r="D458" s="35"/>
      <c r="E458" s="32"/>
      <c r="F458" s="32"/>
      <c r="G458" s="32"/>
      <c r="H458" s="32"/>
      <c r="I458" s="33"/>
      <c r="J458" s="44" t="str">
        <f aca="false">IF(OR(B458="",COUNT(E458,F458,G458,H458)&lt;4),"",AVERAGE(E458,F458,G458,H458))</f>
        <v/>
      </c>
      <c r="K458" s="37" t="str">
        <f aca="false">IF(J458="","",IF(J458&lt;2.5,"Low",IF(J458&lt;3.5,"Fair","Good")))</f>
        <v/>
      </c>
    </row>
    <row r="459" customFormat="false" ht="15" hidden="false" customHeight="false" outlineLevel="0" collapsed="false">
      <c r="A459" s="32"/>
      <c r="B459" s="32"/>
      <c r="C459" s="32"/>
      <c r="D459" s="35"/>
      <c r="E459" s="32"/>
      <c r="F459" s="32"/>
      <c r="G459" s="32"/>
      <c r="H459" s="32"/>
      <c r="I459" s="33"/>
      <c r="J459" s="44" t="str">
        <f aca="false">IF(OR(B459="",COUNT(E459,F459,G459,H459)&lt;4),"",AVERAGE(E459,F459,G459,H459))</f>
        <v/>
      </c>
      <c r="K459" s="37" t="str">
        <f aca="false">IF(J459="","",IF(J459&lt;2.5,"Low",IF(J459&lt;3.5,"Fair","Good")))</f>
        <v/>
      </c>
    </row>
    <row r="460" customFormat="false" ht="15" hidden="false" customHeight="false" outlineLevel="0" collapsed="false">
      <c r="A460" s="32"/>
      <c r="B460" s="32"/>
      <c r="C460" s="32"/>
      <c r="D460" s="35"/>
      <c r="E460" s="32"/>
      <c r="F460" s="32"/>
      <c r="G460" s="32"/>
      <c r="H460" s="32"/>
      <c r="I460" s="33"/>
      <c r="J460" s="44" t="str">
        <f aca="false">IF(OR(B460="",COUNT(E460,F460,G460,H460)&lt;4),"",AVERAGE(E460,F460,G460,H460))</f>
        <v/>
      </c>
      <c r="K460" s="37" t="str">
        <f aca="false">IF(J460="","",IF(J460&lt;2.5,"Low",IF(J460&lt;3.5,"Fair","Good")))</f>
        <v/>
      </c>
    </row>
    <row r="461" customFormat="false" ht="15" hidden="false" customHeight="false" outlineLevel="0" collapsed="false">
      <c r="A461" s="32"/>
      <c r="B461" s="32"/>
      <c r="C461" s="32"/>
      <c r="D461" s="35"/>
      <c r="E461" s="32"/>
      <c r="F461" s="32"/>
      <c r="G461" s="32"/>
      <c r="H461" s="32"/>
      <c r="I461" s="33"/>
      <c r="J461" s="44" t="str">
        <f aca="false">IF(OR(B461="",COUNT(E461,F461,G461,H461)&lt;4),"",AVERAGE(E461,F461,G461,H461))</f>
        <v/>
      </c>
      <c r="K461" s="37" t="str">
        <f aca="false">IF(J461="","",IF(J461&lt;2.5,"Low",IF(J461&lt;3.5,"Fair","Good")))</f>
        <v/>
      </c>
    </row>
    <row r="462" customFormat="false" ht="15" hidden="false" customHeight="false" outlineLevel="0" collapsed="false">
      <c r="A462" s="32"/>
      <c r="B462" s="32"/>
      <c r="C462" s="32"/>
      <c r="D462" s="35"/>
      <c r="E462" s="32"/>
      <c r="F462" s="32"/>
      <c r="G462" s="32"/>
      <c r="H462" s="32"/>
      <c r="I462" s="33"/>
      <c r="J462" s="44" t="str">
        <f aca="false">IF(OR(B462="",COUNT(E462,F462,G462,H462)&lt;4),"",AVERAGE(E462,F462,G462,H462))</f>
        <v/>
      </c>
      <c r="K462" s="37" t="str">
        <f aca="false">IF(J462="","",IF(J462&lt;2.5,"Low",IF(J462&lt;3.5,"Fair","Good")))</f>
        <v/>
      </c>
    </row>
    <row r="463" customFormat="false" ht="15" hidden="false" customHeight="false" outlineLevel="0" collapsed="false">
      <c r="A463" s="32"/>
      <c r="B463" s="32"/>
      <c r="C463" s="32"/>
      <c r="D463" s="35"/>
      <c r="E463" s="32"/>
      <c r="F463" s="32"/>
      <c r="G463" s="32"/>
      <c r="H463" s="32"/>
      <c r="I463" s="33"/>
      <c r="J463" s="44" t="str">
        <f aca="false">IF(OR(B463="",COUNT(E463,F463,G463,H463)&lt;4),"",AVERAGE(E463,F463,G463,H463))</f>
        <v/>
      </c>
      <c r="K463" s="37" t="str">
        <f aca="false">IF(J463="","",IF(J463&lt;2.5,"Low",IF(J463&lt;3.5,"Fair","Good")))</f>
        <v/>
      </c>
    </row>
    <row r="464" customFormat="false" ht="15" hidden="false" customHeight="false" outlineLevel="0" collapsed="false">
      <c r="A464" s="32"/>
      <c r="B464" s="32"/>
      <c r="C464" s="32"/>
      <c r="D464" s="35"/>
      <c r="E464" s="32"/>
      <c r="F464" s="32"/>
      <c r="G464" s="32"/>
      <c r="H464" s="32"/>
      <c r="I464" s="33"/>
      <c r="J464" s="44" t="str">
        <f aca="false">IF(OR(B464="",COUNT(E464,F464,G464,H464)&lt;4),"",AVERAGE(E464,F464,G464,H464))</f>
        <v/>
      </c>
      <c r="K464" s="37" t="str">
        <f aca="false">IF(J464="","",IF(J464&lt;2.5,"Low",IF(J464&lt;3.5,"Fair","Good")))</f>
        <v/>
      </c>
    </row>
    <row r="465" customFormat="false" ht="15" hidden="false" customHeight="false" outlineLevel="0" collapsed="false">
      <c r="A465" s="32"/>
      <c r="B465" s="32"/>
      <c r="C465" s="32"/>
      <c r="D465" s="35"/>
      <c r="E465" s="32"/>
      <c r="F465" s="32"/>
      <c r="G465" s="32"/>
      <c r="H465" s="32"/>
      <c r="I465" s="33"/>
      <c r="J465" s="44" t="str">
        <f aca="false">IF(OR(B465="",COUNT(E465,F465,G465,H465)&lt;4),"",AVERAGE(E465,F465,G465,H465))</f>
        <v/>
      </c>
      <c r="K465" s="37" t="str">
        <f aca="false">IF(J465="","",IF(J465&lt;2.5,"Low",IF(J465&lt;3.5,"Fair","Good")))</f>
        <v/>
      </c>
    </row>
    <row r="466" customFormat="false" ht="15" hidden="false" customHeight="false" outlineLevel="0" collapsed="false">
      <c r="A466" s="32"/>
      <c r="B466" s="32"/>
      <c r="C466" s="32"/>
      <c r="D466" s="35"/>
      <c r="E466" s="32"/>
      <c r="F466" s="32"/>
      <c r="G466" s="32"/>
      <c r="H466" s="32"/>
      <c r="I466" s="33"/>
      <c r="J466" s="44" t="str">
        <f aca="false">IF(OR(B466="",COUNT(E466,F466,G466,H466)&lt;4),"",AVERAGE(E466,F466,G466,H466))</f>
        <v/>
      </c>
      <c r="K466" s="37" t="str">
        <f aca="false">IF(J466="","",IF(J466&lt;2.5,"Low",IF(J466&lt;3.5,"Fair","Good")))</f>
        <v/>
      </c>
    </row>
    <row r="467" customFormat="false" ht="15" hidden="false" customHeight="false" outlineLevel="0" collapsed="false">
      <c r="A467" s="32"/>
      <c r="B467" s="32"/>
      <c r="C467" s="32"/>
      <c r="D467" s="35"/>
      <c r="E467" s="32"/>
      <c r="F467" s="32"/>
      <c r="G467" s="32"/>
      <c r="H467" s="32"/>
      <c r="I467" s="33"/>
      <c r="J467" s="44" t="str">
        <f aca="false">IF(OR(B467="",COUNT(E467,F467,G467,H467)&lt;4),"",AVERAGE(E467,F467,G467,H467))</f>
        <v/>
      </c>
      <c r="K467" s="37" t="str">
        <f aca="false">IF(J467="","",IF(J467&lt;2.5,"Low",IF(J467&lt;3.5,"Fair","Good")))</f>
        <v/>
      </c>
    </row>
    <row r="468" customFormat="false" ht="15" hidden="false" customHeight="false" outlineLevel="0" collapsed="false">
      <c r="A468" s="32"/>
      <c r="B468" s="32"/>
      <c r="C468" s="32"/>
      <c r="D468" s="35"/>
      <c r="E468" s="32"/>
      <c r="F468" s="32"/>
      <c r="G468" s="32"/>
      <c r="H468" s="32"/>
      <c r="I468" s="33"/>
      <c r="J468" s="44" t="str">
        <f aca="false">IF(OR(B468="",COUNT(E468,F468,G468,H468)&lt;4),"",AVERAGE(E468,F468,G468,H468))</f>
        <v/>
      </c>
      <c r="K468" s="37" t="str">
        <f aca="false">IF(J468="","",IF(J468&lt;2.5,"Low",IF(J468&lt;3.5,"Fair","Good")))</f>
        <v/>
      </c>
    </row>
    <row r="469" customFormat="false" ht="15" hidden="false" customHeight="false" outlineLevel="0" collapsed="false">
      <c r="A469" s="32"/>
      <c r="B469" s="32"/>
      <c r="C469" s="32"/>
      <c r="D469" s="35"/>
      <c r="E469" s="32"/>
      <c r="F469" s="32"/>
      <c r="G469" s="32"/>
      <c r="H469" s="32"/>
      <c r="I469" s="33"/>
      <c r="J469" s="44" t="str">
        <f aca="false">IF(OR(B469="",COUNT(E469,F469,G469,H469)&lt;4),"",AVERAGE(E469,F469,G469,H469))</f>
        <v/>
      </c>
      <c r="K469" s="37" t="str">
        <f aca="false">IF(J469="","",IF(J469&lt;2.5,"Low",IF(J469&lt;3.5,"Fair","Good")))</f>
        <v/>
      </c>
    </row>
    <row r="470" customFormat="false" ht="15" hidden="false" customHeight="false" outlineLevel="0" collapsed="false">
      <c r="A470" s="32"/>
      <c r="B470" s="32"/>
      <c r="C470" s="32"/>
      <c r="D470" s="35"/>
      <c r="E470" s="32"/>
      <c r="F470" s="32"/>
      <c r="G470" s="32"/>
      <c r="H470" s="32"/>
      <c r="I470" s="33"/>
      <c r="J470" s="44" t="str">
        <f aca="false">IF(OR(B470="",COUNT(E470,F470,G470,H470)&lt;4),"",AVERAGE(E470,F470,G470,H470))</f>
        <v/>
      </c>
      <c r="K470" s="37" t="str">
        <f aca="false">IF(J470="","",IF(J470&lt;2.5,"Low",IF(J470&lt;3.5,"Fair","Good")))</f>
        <v/>
      </c>
    </row>
    <row r="471" customFormat="false" ht="15" hidden="false" customHeight="false" outlineLevel="0" collapsed="false">
      <c r="A471" s="32"/>
      <c r="B471" s="32"/>
      <c r="C471" s="32"/>
      <c r="D471" s="35"/>
      <c r="E471" s="32"/>
      <c r="F471" s="32"/>
      <c r="G471" s="32"/>
      <c r="H471" s="32"/>
      <c r="I471" s="33"/>
      <c r="J471" s="44" t="str">
        <f aca="false">IF(OR(B471="",COUNT(E471,F471,G471,H471)&lt;4),"",AVERAGE(E471,F471,G471,H471))</f>
        <v/>
      </c>
      <c r="K471" s="37" t="str">
        <f aca="false">IF(J471="","",IF(J471&lt;2.5,"Low",IF(J471&lt;3.5,"Fair","Good")))</f>
        <v/>
      </c>
    </row>
    <row r="472" customFormat="false" ht="15" hidden="false" customHeight="false" outlineLevel="0" collapsed="false">
      <c r="A472" s="32"/>
      <c r="B472" s="32"/>
      <c r="C472" s="32"/>
      <c r="D472" s="35"/>
      <c r="E472" s="32"/>
      <c r="F472" s="32"/>
      <c r="G472" s="32"/>
      <c r="H472" s="32"/>
      <c r="I472" s="33"/>
      <c r="J472" s="44" t="str">
        <f aca="false">IF(OR(B472="",COUNT(E472,F472,G472,H472)&lt;4),"",AVERAGE(E472,F472,G472,H472))</f>
        <v/>
      </c>
      <c r="K472" s="37" t="str">
        <f aca="false">IF(J472="","",IF(J472&lt;2.5,"Low",IF(J472&lt;3.5,"Fair","Good")))</f>
        <v/>
      </c>
    </row>
    <row r="473" customFormat="false" ht="15" hidden="false" customHeight="false" outlineLevel="0" collapsed="false">
      <c r="A473" s="32"/>
      <c r="B473" s="32"/>
      <c r="C473" s="32"/>
      <c r="D473" s="35"/>
      <c r="E473" s="32"/>
      <c r="F473" s="32"/>
      <c r="G473" s="32"/>
      <c r="H473" s="32"/>
      <c r="I473" s="33"/>
      <c r="J473" s="44" t="str">
        <f aca="false">IF(OR(B473="",COUNT(E473,F473,G473,H473)&lt;4),"",AVERAGE(E473,F473,G473,H473))</f>
        <v/>
      </c>
      <c r="K473" s="37" t="str">
        <f aca="false">IF(J473="","",IF(J473&lt;2.5,"Low",IF(J473&lt;3.5,"Fair","Good")))</f>
        <v/>
      </c>
    </row>
    <row r="474" customFormat="false" ht="15" hidden="false" customHeight="false" outlineLevel="0" collapsed="false">
      <c r="A474" s="32"/>
      <c r="B474" s="32"/>
      <c r="C474" s="32"/>
      <c r="D474" s="35"/>
      <c r="E474" s="32"/>
      <c r="F474" s="32"/>
      <c r="G474" s="32"/>
      <c r="H474" s="32"/>
      <c r="I474" s="33"/>
      <c r="J474" s="44" t="str">
        <f aca="false">IF(OR(B474="",COUNT(E474,F474,G474,H474)&lt;4),"",AVERAGE(E474,F474,G474,H474))</f>
        <v/>
      </c>
      <c r="K474" s="37" t="str">
        <f aca="false">IF(J474="","",IF(J474&lt;2.5,"Low",IF(J474&lt;3.5,"Fair","Good")))</f>
        <v/>
      </c>
    </row>
    <row r="475" customFormat="false" ht="15" hidden="false" customHeight="false" outlineLevel="0" collapsed="false">
      <c r="A475" s="32"/>
      <c r="B475" s="32"/>
      <c r="C475" s="32"/>
      <c r="D475" s="35"/>
      <c r="E475" s="32"/>
      <c r="F475" s="32"/>
      <c r="G475" s="32"/>
      <c r="H475" s="32"/>
      <c r="I475" s="33"/>
      <c r="J475" s="44" t="str">
        <f aca="false">IF(OR(B475="",COUNT(E475,F475,G475,H475)&lt;4),"",AVERAGE(E475,F475,G475,H475))</f>
        <v/>
      </c>
      <c r="K475" s="37" t="str">
        <f aca="false">IF(J475="","",IF(J475&lt;2.5,"Low",IF(J475&lt;3.5,"Fair","Good")))</f>
        <v/>
      </c>
    </row>
    <row r="476" customFormat="false" ht="15" hidden="false" customHeight="false" outlineLevel="0" collapsed="false">
      <c r="A476" s="32"/>
      <c r="B476" s="32"/>
      <c r="C476" s="32"/>
      <c r="D476" s="35"/>
      <c r="E476" s="32"/>
      <c r="F476" s="32"/>
      <c r="G476" s="32"/>
      <c r="H476" s="32"/>
      <c r="I476" s="33"/>
      <c r="J476" s="44" t="str">
        <f aca="false">IF(OR(B476="",COUNT(E476,F476,G476,H476)&lt;4),"",AVERAGE(E476,F476,G476,H476))</f>
        <v/>
      </c>
      <c r="K476" s="37" t="str">
        <f aca="false">IF(J476="","",IF(J476&lt;2.5,"Low",IF(J476&lt;3.5,"Fair","Good")))</f>
        <v/>
      </c>
    </row>
    <row r="477" customFormat="false" ht="15" hidden="false" customHeight="false" outlineLevel="0" collapsed="false">
      <c r="A477" s="32"/>
      <c r="B477" s="32"/>
      <c r="C477" s="32"/>
      <c r="D477" s="35"/>
      <c r="E477" s="32"/>
      <c r="F477" s="32"/>
      <c r="G477" s="32"/>
      <c r="H477" s="32"/>
      <c r="I477" s="33"/>
      <c r="J477" s="44" t="str">
        <f aca="false">IF(OR(B477="",COUNT(E477,F477,G477,H477)&lt;4),"",AVERAGE(E477,F477,G477,H477))</f>
        <v/>
      </c>
      <c r="K477" s="37" t="str">
        <f aca="false">IF(J477="","",IF(J477&lt;2.5,"Low",IF(J477&lt;3.5,"Fair","Good")))</f>
        <v/>
      </c>
    </row>
    <row r="478" customFormat="false" ht="15" hidden="false" customHeight="false" outlineLevel="0" collapsed="false">
      <c r="A478" s="32"/>
      <c r="B478" s="32"/>
      <c r="C478" s="32"/>
      <c r="D478" s="35"/>
      <c r="E478" s="32"/>
      <c r="F478" s="32"/>
      <c r="G478" s="32"/>
      <c r="H478" s="32"/>
      <c r="I478" s="33"/>
      <c r="J478" s="44" t="str">
        <f aca="false">IF(OR(B478="",COUNT(E478,F478,G478,H478)&lt;4),"",AVERAGE(E478,F478,G478,H478))</f>
        <v/>
      </c>
      <c r="K478" s="37" t="str">
        <f aca="false">IF(J478="","",IF(J478&lt;2.5,"Low",IF(J478&lt;3.5,"Fair","Good")))</f>
        <v/>
      </c>
    </row>
    <row r="479" customFormat="false" ht="15" hidden="false" customHeight="false" outlineLevel="0" collapsed="false">
      <c r="A479" s="32"/>
      <c r="B479" s="32"/>
      <c r="C479" s="32"/>
      <c r="D479" s="35"/>
      <c r="E479" s="32"/>
      <c r="F479" s="32"/>
      <c r="G479" s="32"/>
      <c r="H479" s="32"/>
      <c r="I479" s="33"/>
      <c r="J479" s="44" t="str">
        <f aca="false">IF(OR(B479="",COUNT(E479,F479,G479,H479)&lt;4),"",AVERAGE(E479,F479,G479,H479))</f>
        <v/>
      </c>
      <c r="K479" s="37" t="str">
        <f aca="false">IF(J479="","",IF(J479&lt;2.5,"Low",IF(J479&lt;3.5,"Fair","Good")))</f>
        <v/>
      </c>
    </row>
    <row r="480" customFormat="false" ht="15" hidden="false" customHeight="false" outlineLevel="0" collapsed="false">
      <c r="A480" s="32"/>
      <c r="B480" s="32"/>
      <c r="C480" s="32"/>
      <c r="D480" s="35"/>
      <c r="E480" s="32"/>
      <c r="F480" s="32"/>
      <c r="G480" s="32"/>
      <c r="H480" s="32"/>
      <c r="I480" s="33"/>
      <c r="J480" s="44" t="str">
        <f aca="false">IF(OR(B480="",COUNT(E480,F480,G480,H480)&lt;4),"",AVERAGE(E480,F480,G480,H480))</f>
        <v/>
      </c>
      <c r="K480" s="37" t="str">
        <f aca="false">IF(J480="","",IF(J480&lt;2.5,"Low",IF(J480&lt;3.5,"Fair","Good")))</f>
        <v/>
      </c>
    </row>
    <row r="481" customFormat="false" ht="15" hidden="false" customHeight="false" outlineLevel="0" collapsed="false">
      <c r="A481" s="32"/>
      <c r="B481" s="32"/>
      <c r="C481" s="32"/>
      <c r="D481" s="35"/>
      <c r="E481" s="32"/>
      <c r="F481" s="32"/>
      <c r="G481" s="32"/>
      <c r="H481" s="32"/>
      <c r="I481" s="33"/>
      <c r="J481" s="44" t="str">
        <f aca="false">IF(OR(B481="",COUNT(E481,F481,G481,H481)&lt;4),"",AVERAGE(E481,F481,G481,H481))</f>
        <v/>
      </c>
      <c r="K481" s="37" t="str">
        <f aca="false">IF(J481="","",IF(J481&lt;2.5,"Low",IF(J481&lt;3.5,"Fair","Good")))</f>
        <v/>
      </c>
    </row>
    <row r="482" customFormat="false" ht="15" hidden="false" customHeight="false" outlineLevel="0" collapsed="false">
      <c r="A482" s="32"/>
      <c r="B482" s="32"/>
      <c r="C482" s="32"/>
      <c r="D482" s="35"/>
      <c r="E482" s="32"/>
      <c r="F482" s="32"/>
      <c r="G482" s="32"/>
      <c r="H482" s="32"/>
      <c r="I482" s="33"/>
      <c r="J482" s="44" t="str">
        <f aca="false">IF(OR(B482="",COUNT(E482,F482,G482,H482)&lt;4),"",AVERAGE(E482,F482,G482,H482))</f>
        <v/>
      </c>
      <c r="K482" s="37" t="str">
        <f aca="false">IF(J482="","",IF(J482&lt;2.5,"Low",IF(J482&lt;3.5,"Fair","Good")))</f>
        <v/>
      </c>
    </row>
    <row r="483" customFormat="false" ht="15" hidden="false" customHeight="false" outlineLevel="0" collapsed="false">
      <c r="A483" s="32"/>
      <c r="B483" s="32"/>
      <c r="C483" s="32"/>
      <c r="D483" s="35"/>
      <c r="E483" s="32"/>
      <c r="F483" s="32"/>
      <c r="G483" s="32"/>
      <c r="H483" s="32"/>
      <c r="I483" s="33"/>
      <c r="J483" s="44" t="str">
        <f aca="false">IF(OR(B483="",COUNT(E483,F483,G483,H483)&lt;4),"",AVERAGE(E483,F483,G483,H483))</f>
        <v/>
      </c>
      <c r="K483" s="37" t="str">
        <f aca="false">IF(J483="","",IF(J483&lt;2.5,"Low",IF(J483&lt;3.5,"Fair","Good")))</f>
        <v/>
      </c>
    </row>
    <row r="484" customFormat="false" ht="15" hidden="false" customHeight="false" outlineLevel="0" collapsed="false">
      <c r="A484" s="32"/>
      <c r="B484" s="32"/>
      <c r="C484" s="32"/>
      <c r="D484" s="35"/>
      <c r="E484" s="32"/>
      <c r="F484" s="32"/>
      <c r="G484" s="32"/>
      <c r="H484" s="32"/>
      <c r="I484" s="33"/>
      <c r="J484" s="44" t="str">
        <f aca="false">IF(OR(B484="",COUNT(E484,F484,G484,H484)&lt;4),"",AVERAGE(E484,F484,G484,H484))</f>
        <v/>
      </c>
      <c r="K484" s="37" t="str">
        <f aca="false">IF(J484="","",IF(J484&lt;2.5,"Low",IF(J484&lt;3.5,"Fair","Good")))</f>
        <v/>
      </c>
    </row>
    <row r="485" customFormat="false" ht="15" hidden="false" customHeight="false" outlineLevel="0" collapsed="false">
      <c r="A485" s="32"/>
      <c r="B485" s="32"/>
      <c r="C485" s="32"/>
      <c r="D485" s="35"/>
      <c r="E485" s="32"/>
      <c r="F485" s="32"/>
      <c r="G485" s="32"/>
      <c r="H485" s="32"/>
      <c r="I485" s="33"/>
      <c r="J485" s="44" t="str">
        <f aca="false">IF(OR(B485="",COUNT(E485,F485,G485,H485)&lt;4),"",AVERAGE(E485,F485,G485,H485))</f>
        <v/>
      </c>
      <c r="K485" s="37" t="str">
        <f aca="false">IF(J485="","",IF(J485&lt;2.5,"Low",IF(J485&lt;3.5,"Fair","Good")))</f>
        <v/>
      </c>
    </row>
    <row r="486" customFormat="false" ht="15" hidden="false" customHeight="false" outlineLevel="0" collapsed="false">
      <c r="A486" s="32"/>
      <c r="B486" s="32"/>
      <c r="C486" s="32"/>
      <c r="D486" s="35"/>
      <c r="E486" s="32"/>
      <c r="F486" s="32"/>
      <c r="G486" s="32"/>
      <c r="H486" s="32"/>
      <c r="I486" s="33"/>
      <c r="J486" s="44" t="str">
        <f aca="false">IF(OR(B486="",COUNT(E486,F486,G486,H486)&lt;4),"",AVERAGE(E486,F486,G486,H486))</f>
        <v/>
      </c>
      <c r="K486" s="37" t="str">
        <f aca="false">IF(J486="","",IF(J486&lt;2.5,"Low",IF(J486&lt;3.5,"Fair","Good")))</f>
        <v/>
      </c>
    </row>
    <row r="487" customFormat="false" ht="15" hidden="false" customHeight="false" outlineLevel="0" collapsed="false">
      <c r="A487" s="32"/>
      <c r="B487" s="32"/>
      <c r="C487" s="32"/>
      <c r="D487" s="35"/>
      <c r="E487" s="32"/>
      <c r="F487" s="32"/>
      <c r="G487" s="32"/>
      <c r="H487" s="32"/>
      <c r="I487" s="33"/>
      <c r="J487" s="44" t="str">
        <f aca="false">IF(OR(B487="",COUNT(E487,F487,G487,H487)&lt;4),"",AVERAGE(E487,F487,G487,H487))</f>
        <v/>
      </c>
      <c r="K487" s="37" t="str">
        <f aca="false">IF(J487="","",IF(J487&lt;2.5,"Low",IF(J487&lt;3.5,"Fair","Good")))</f>
        <v/>
      </c>
    </row>
    <row r="488" customFormat="false" ht="15" hidden="false" customHeight="false" outlineLevel="0" collapsed="false">
      <c r="A488" s="32"/>
      <c r="B488" s="32"/>
      <c r="C488" s="32"/>
      <c r="D488" s="35"/>
      <c r="E488" s="32"/>
      <c r="F488" s="32"/>
      <c r="G488" s="32"/>
      <c r="H488" s="32"/>
      <c r="I488" s="33"/>
      <c r="J488" s="44" t="str">
        <f aca="false">IF(OR(B488="",COUNT(E488,F488,G488,H488)&lt;4),"",AVERAGE(E488,F488,G488,H488))</f>
        <v/>
      </c>
      <c r="K488" s="37" t="str">
        <f aca="false">IF(J488="","",IF(J488&lt;2.5,"Low",IF(J488&lt;3.5,"Fair","Good")))</f>
        <v/>
      </c>
    </row>
    <row r="489" customFormat="false" ht="15" hidden="false" customHeight="false" outlineLevel="0" collapsed="false">
      <c r="A489" s="32"/>
      <c r="B489" s="32"/>
      <c r="C489" s="32"/>
      <c r="D489" s="35"/>
      <c r="E489" s="32"/>
      <c r="F489" s="32"/>
      <c r="G489" s="32"/>
      <c r="H489" s="32"/>
      <c r="I489" s="33"/>
      <c r="J489" s="44" t="str">
        <f aca="false">IF(OR(B489="",COUNT(E489,F489,G489,H489)&lt;4),"",AVERAGE(E489,F489,G489,H489))</f>
        <v/>
      </c>
      <c r="K489" s="37" t="str">
        <f aca="false">IF(J489="","",IF(J489&lt;2.5,"Low",IF(J489&lt;3.5,"Fair","Good")))</f>
        <v/>
      </c>
    </row>
    <row r="490" customFormat="false" ht="15" hidden="false" customHeight="false" outlineLevel="0" collapsed="false">
      <c r="A490" s="32"/>
      <c r="B490" s="32"/>
      <c r="C490" s="32"/>
      <c r="D490" s="35"/>
      <c r="E490" s="32"/>
      <c r="F490" s="32"/>
      <c r="G490" s="32"/>
      <c r="H490" s="32"/>
      <c r="I490" s="33"/>
      <c r="J490" s="44" t="str">
        <f aca="false">IF(OR(B490="",COUNT(E490,F490,G490,H490)&lt;4),"",AVERAGE(E490,F490,G490,H490))</f>
        <v/>
      </c>
      <c r="K490" s="37" t="str">
        <f aca="false">IF(J490="","",IF(J490&lt;2.5,"Low",IF(J490&lt;3.5,"Fair","Good")))</f>
        <v/>
      </c>
    </row>
    <row r="491" customFormat="false" ht="15" hidden="false" customHeight="false" outlineLevel="0" collapsed="false">
      <c r="A491" s="32"/>
      <c r="B491" s="32"/>
      <c r="C491" s="32"/>
      <c r="D491" s="35"/>
      <c r="E491" s="32"/>
      <c r="F491" s="32"/>
      <c r="G491" s="32"/>
      <c r="H491" s="32"/>
      <c r="I491" s="33"/>
      <c r="J491" s="44" t="str">
        <f aca="false">IF(OR(B491="",COUNT(E491,F491,G491,H491)&lt;4),"",AVERAGE(E491,F491,G491,H491))</f>
        <v/>
      </c>
      <c r="K491" s="37" t="str">
        <f aca="false">IF(J491="","",IF(J491&lt;2.5,"Low",IF(J491&lt;3.5,"Fair","Good")))</f>
        <v/>
      </c>
    </row>
    <row r="492" customFormat="false" ht="15" hidden="false" customHeight="false" outlineLevel="0" collapsed="false">
      <c r="A492" s="32"/>
      <c r="B492" s="32"/>
      <c r="C492" s="32"/>
      <c r="D492" s="35"/>
      <c r="E492" s="32"/>
      <c r="F492" s="32"/>
      <c r="G492" s="32"/>
      <c r="H492" s="32"/>
      <c r="I492" s="33"/>
      <c r="J492" s="44" t="str">
        <f aca="false">IF(OR(B492="",COUNT(E492,F492,G492,H492)&lt;4),"",AVERAGE(E492,F492,G492,H492))</f>
        <v/>
      </c>
      <c r="K492" s="37" t="str">
        <f aca="false">IF(J492="","",IF(J492&lt;2.5,"Low",IF(J492&lt;3.5,"Fair","Good")))</f>
        <v/>
      </c>
    </row>
    <row r="493" customFormat="false" ht="15" hidden="false" customHeight="false" outlineLevel="0" collapsed="false">
      <c r="A493" s="32"/>
      <c r="B493" s="32"/>
      <c r="C493" s="32"/>
      <c r="D493" s="35"/>
      <c r="E493" s="32"/>
      <c r="F493" s="32"/>
      <c r="G493" s="32"/>
      <c r="H493" s="32"/>
      <c r="I493" s="33"/>
      <c r="J493" s="44" t="str">
        <f aca="false">IF(OR(B493="",COUNT(E493,F493,G493,H493)&lt;4),"",AVERAGE(E493,F493,G493,H493))</f>
        <v/>
      </c>
      <c r="K493" s="37" t="str">
        <f aca="false">IF(J493="","",IF(J493&lt;2.5,"Low",IF(J493&lt;3.5,"Fair","Good")))</f>
        <v/>
      </c>
    </row>
    <row r="494" customFormat="false" ht="15" hidden="false" customHeight="false" outlineLevel="0" collapsed="false">
      <c r="A494" s="32"/>
      <c r="B494" s="32"/>
      <c r="C494" s="32"/>
      <c r="D494" s="35"/>
      <c r="E494" s="32"/>
      <c r="F494" s="32"/>
      <c r="G494" s="32"/>
      <c r="H494" s="32"/>
      <c r="I494" s="33"/>
      <c r="J494" s="44" t="str">
        <f aca="false">IF(OR(B494="",COUNT(E494,F494,G494,H494)&lt;4),"",AVERAGE(E494,F494,G494,H494))</f>
        <v/>
      </c>
      <c r="K494" s="37" t="str">
        <f aca="false">IF(J494="","",IF(J494&lt;2.5,"Low",IF(J494&lt;3.5,"Fair","Good")))</f>
        <v/>
      </c>
    </row>
    <row r="495" customFormat="false" ht="15" hidden="false" customHeight="false" outlineLevel="0" collapsed="false">
      <c r="A495" s="32"/>
      <c r="B495" s="32"/>
      <c r="C495" s="32"/>
      <c r="D495" s="35"/>
      <c r="E495" s="32"/>
      <c r="F495" s="32"/>
      <c r="G495" s="32"/>
      <c r="H495" s="32"/>
      <c r="I495" s="33"/>
      <c r="J495" s="44" t="str">
        <f aca="false">IF(OR(B495="",COUNT(E495,F495,G495,H495)&lt;4),"",AVERAGE(E495,F495,G495,H495))</f>
        <v/>
      </c>
      <c r="K495" s="37" t="str">
        <f aca="false">IF(J495="","",IF(J495&lt;2.5,"Low",IF(J495&lt;3.5,"Fair","Good")))</f>
        <v/>
      </c>
    </row>
    <row r="496" customFormat="false" ht="15" hidden="false" customHeight="false" outlineLevel="0" collapsed="false">
      <c r="A496" s="32"/>
      <c r="B496" s="32"/>
      <c r="C496" s="32"/>
      <c r="D496" s="35"/>
      <c r="E496" s="32"/>
      <c r="F496" s="32"/>
      <c r="G496" s="32"/>
      <c r="H496" s="32"/>
      <c r="I496" s="33"/>
      <c r="J496" s="44" t="str">
        <f aca="false">IF(OR(B496="",COUNT(E496,F496,G496,H496)&lt;4),"",AVERAGE(E496,F496,G496,H496))</f>
        <v/>
      </c>
      <c r="K496" s="37" t="str">
        <f aca="false">IF(J496="","",IF(J496&lt;2.5,"Low",IF(J496&lt;3.5,"Fair","Good")))</f>
        <v/>
      </c>
    </row>
    <row r="497" customFormat="false" ht="15" hidden="false" customHeight="false" outlineLevel="0" collapsed="false">
      <c r="A497" s="32"/>
      <c r="B497" s="32"/>
      <c r="C497" s="32"/>
      <c r="D497" s="35"/>
      <c r="E497" s="32"/>
      <c r="F497" s="32"/>
      <c r="G497" s="32"/>
      <c r="H497" s="32"/>
      <c r="I497" s="33"/>
      <c r="J497" s="44" t="str">
        <f aca="false">IF(OR(B497="",COUNT(E497,F497,G497,H497)&lt;4),"",AVERAGE(E497,F497,G497,H497))</f>
        <v/>
      </c>
      <c r="K497" s="37" t="str">
        <f aca="false">IF(J497="","",IF(J497&lt;2.5,"Low",IF(J497&lt;3.5,"Fair","Good")))</f>
        <v/>
      </c>
    </row>
    <row r="498" customFormat="false" ht="15" hidden="false" customHeight="false" outlineLevel="0" collapsed="false">
      <c r="A498" s="32"/>
      <c r="B498" s="32"/>
      <c r="C498" s="32"/>
      <c r="D498" s="35"/>
      <c r="E498" s="32"/>
      <c r="F498" s="32"/>
      <c r="G498" s="32"/>
      <c r="H498" s="32"/>
      <c r="I498" s="33"/>
      <c r="J498" s="44" t="str">
        <f aca="false">IF(OR(B498="",COUNT(E498,F498,G498,H498)&lt;4),"",AVERAGE(E498,F498,G498,H498))</f>
        <v/>
      </c>
      <c r="K498" s="37" t="str">
        <f aca="false">IF(J498="","",IF(J498&lt;2.5,"Low",IF(J498&lt;3.5,"Fair","Good")))</f>
        <v/>
      </c>
    </row>
    <row r="499" customFormat="false" ht="15" hidden="false" customHeight="false" outlineLevel="0" collapsed="false">
      <c r="A499" s="32"/>
      <c r="B499" s="32"/>
      <c r="C499" s="32"/>
      <c r="D499" s="35"/>
      <c r="E499" s="32"/>
      <c r="F499" s="32"/>
      <c r="G499" s="32"/>
      <c r="H499" s="32"/>
      <c r="I499" s="33"/>
      <c r="J499" s="44" t="str">
        <f aca="false">IF(OR(B499="",COUNT(E499,F499,G499,H499)&lt;4),"",AVERAGE(E499,F499,G499,H499))</f>
        <v/>
      </c>
      <c r="K499" s="37" t="str">
        <f aca="false">IF(J499="","",IF(J499&lt;2.5,"Low",IF(J499&lt;3.5,"Fair","Good")))</f>
        <v/>
      </c>
    </row>
    <row r="500" customFormat="false" ht="15" hidden="false" customHeight="false" outlineLevel="0" collapsed="false">
      <c r="A500" s="32"/>
      <c r="B500" s="32"/>
      <c r="C500" s="32"/>
      <c r="D500" s="35"/>
      <c r="E500" s="32"/>
      <c r="F500" s="32"/>
      <c r="G500" s="32"/>
      <c r="H500" s="32"/>
      <c r="I500" s="33"/>
      <c r="J500" s="44" t="str">
        <f aca="false">IF(OR(B500="",COUNT(E500,F500,G500,H500)&lt;4),"",AVERAGE(E500,F500,G500,H500))</f>
        <v/>
      </c>
      <c r="K500" s="37" t="str">
        <f aca="false">IF(J500="","",IF(J500&lt;2.5,"Low",IF(J500&lt;3.5,"Fair","Good")))</f>
        <v/>
      </c>
    </row>
    <row r="501" customFormat="false" ht="15" hidden="false" customHeight="false" outlineLevel="0" collapsed="false">
      <c r="A501" s="32"/>
      <c r="B501" s="32"/>
      <c r="C501" s="32"/>
      <c r="D501" s="35"/>
      <c r="E501" s="32"/>
      <c r="F501" s="32"/>
      <c r="G501" s="32"/>
      <c r="H501" s="32"/>
      <c r="I501" s="33"/>
      <c r="J501" s="44" t="str">
        <f aca="false">IF(OR(B501="",COUNT(E501,F501,G501,H501)&lt;4),"",AVERAGE(E501,F501,G501,H501))</f>
        <v/>
      </c>
      <c r="K501" s="37" t="str">
        <f aca="false">IF(J501="","",IF(J501&lt;2.5,"Low",IF(J501&lt;3.5,"Fair","Good")))</f>
        <v/>
      </c>
    </row>
  </sheetData>
  <autoFilter ref="A1:K501"/>
  <dataValidations count="6">
    <dataValidation allowBlank="true" error="Enter a valid date (e.g. 31-Dec-2026)." errorStyle="stop" errorTitle="Invalid date" operator="greaterThan" showDropDown="false" showErrorMessage="false" showInputMessage="false" sqref="D2:D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E2:E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F2:F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G2:G501" type="list">
      <formula1>lst_Rating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lst_Rating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7" t="s">
        <v>110</v>
      </c>
      <c r="B1" s="17" t="s">
        <v>376</v>
      </c>
      <c r="C1" s="17" t="s">
        <v>193</v>
      </c>
      <c r="D1" s="17" t="s">
        <v>214</v>
      </c>
      <c r="E1" s="17" t="s">
        <v>377</v>
      </c>
      <c r="F1" s="17" t="s">
        <v>228</v>
      </c>
      <c r="G1" s="17" t="s">
        <v>230</v>
      </c>
      <c r="H1" s="17" t="s">
        <v>111</v>
      </c>
      <c r="I1" s="17" t="s">
        <v>235</v>
      </c>
      <c r="J1" s="31" t="s">
        <v>254</v>
      </c>
    </row>
    <row r="2" customFormat="false" ht="15" hidden="false" customHeight="false" outlineLevel="0" collapsed="false">
      <c r="A2" s="32"/>
      <c r="B2" s="32"/>
      <c r="C2" s="32"/>
      <c r="D2" s="33"/>
      <c r="E2" s="32"/>
      <c r="F2" s="35"/>
      <c r="G2" s="35"/>
      <c r="H2" s="32"/>
      <c r="I2" s="33"/>
      <c r="J2" s="37" t="str">
        <f aca="true">IF(OR(C2="",H2="Complete",H2="Not Applicable",F2=""),"",IF(F2&lt;TODAY(),"Overdue",""))</f>
        <v/>
      </c>
    </row>
    <row r="3" customFormat="false" ht="15" hidden="false" customHeight="false" outlineLevel="0" collapsed="false">
      <c r="A3" s="32"/>
      <c r="B3" s="32"/>
      <c r="C3" s="32"/>
      <c r="D3" s="33"/>
      <c r="E3" s="32"/>
      <c r="F3" s="35"/>
      <c r="G3" s="35"/>
      <c r="H3" s="32"/>
      <c r="I3" s="33"/>
      <c r="J3" s="37" t="str">
        <f aca="true">IF(OR(C3="",H3="Complete",H3="Not Applicable",F3=""),"",IF(F3&lt;TODAY(),"Overdue",""))</f>
        <v/>
      </c>
    </row>
    <row r="4" customFormat="false" ht="15" hidden="false" customHeight="false" outlineLevel="0" collapsed="false">
      <c r="A4" s="32"/>
      <c r="B4" s="32"/>
      <c r="C4" s="32"/>
      <c r="D4" s="33"/>
      <c r="E4" s="32"/>
      <c r="F4" s="35"/>
      <c r="G4" s="35"/>
      <c r="H4" s="32"/>
      <c r="I4" s="33"/>
      <c r="J4" s="37" t="str">
        <f aca="true">IF(OR(C4="",H4="Complete",H4="Not Applicable",F4=""),"",IF(F4&lt;TODAY(),"Overdue",""))</f>
        <v/>
      </c>
    </row>
    <row r="5" customFormat="false" ht="15" hidden="false" customHeight="false" outlineLevel="0" collapsed="false">
      <c r="A5" s="32"/>
      <c r="B5" s="32"/>
      <c r="C5" s="32"/>
      <c r="D5" s="33"/>
      <c r="E5" s="32"/>
      <c r="F5" s="35"/>
      <c r="G5" s="35"/>
      <c r="H5" s="32"/>
      <c r="I5" s="33"/>
      <c r="J5" s="37" t="str">
        <f aca="true">IF(OR(C5="",H5="Complete",H5="Not Applicable",F5=""),"",IF(F5&lt;TODAY(),"Overdue",""))</f>
        <v/>
      </c>
    </row>
    <row r="6" customFormat="false" ht="15" hidden="false" customHeight="false" outlineLevel="0" collapsed="false">
      <c r="A6" s="32"/>
      <c r="B6" s="32"/>
      <c r="C6" s="32"/>
      <c r="D6" s="33"/>
      <c r="E6" s="32"/>
      <c r="F6" s="35"/>
      <c r="G6" s="35"/>
      <c r="H6" s="32"/>
      <c r="I6" s="33"/>
      <c r="J6" s="37" t="str">
        <f aca="true">IF(OR(C6="",H6="Complete",H6="Not Applicable",F6=""),"",IF(F6&lt;TODAY(),"Overdue",""))</f>
        <v/>
      </c>
    </row>
    <row r="7" customFormat="false" ht="15" hidden="false" customHeight="false" outlineLevel="0" collapsed="false">
      <c r="A7" s="32"/>
      <c r="B7" s="32"/>
      <c r="C7" s="32"/>
      <c r="D7" s="33"/>
      <c r="E7" s="32"/>
      <c r="F7" s="35"/>
      <c r="G7" s="35"/>
      <c r="H7" s="32"/>
      <c r="I7" s="33"/>
      <c r="J7" s="37" t="str">
        <f aca="true">IF(OR(C7="",H7="Complete",H7="Not Applicable",F7=""),"",IF(F7&lt;TODAY(),"Overdue",""))</f>
        <v/>
      </c>
    </row>
    <row r="8" customFormat="false" ht="15" hidden="false" customHeight="false" outlineLevel="0" collapsed="false">
      <c r="A8" s="32"/>
      <c r="B8" s="32"/>
      <c r="C8" s="32"/>
      <c r="D8" s="33"/>
      <c r="E8" s="32"/>
      <c r="F8" s="35"/>
      <c r="G8" s="35"/>
      <c r="H8" s="32"/>
      <c r="I8" s="33"/>
      <c r="J8" s="37" t="str">
        <f aca="true">IF(OR(C8="",H8="Complete",H8="Not Applicable",F8=""),"",IF(F8&lt;TODAY(),"Overdue",""))</f>
        <v/>
      </c>
    </row>
    <row r="9" customFormat="false" ht="15" hidden="false" customHeight="false" outlineLevel="0" collapsed="false">
      <c r="A9" s="32"/>
      <c r="B9" s="32"/>
      <c r="C9" s="32"/>
      <c r="D9" s="33"/>
      <c r="E9" s="32"/>
      <c r="F9" s="35"/>
      <c r="G9" s="35"/>
      <c r="H9" s="32"/>
      <c r="I9" s="33"/>
      <c r="J9" s="37" t="str">
        <f aca="true">IF(OR(C9="",H9="Complete",H9="Not Applicable",F9=""),"",IF(F9&lt;TODAY(),"Overdue",""))</f>
        <v/>
      </c>
    </row>
    <row r="10" customFormat="false" ht="15" hidden="false" customHeight="false" outlineLevel="0" collapsed="false">
      <c r="A10" s="32"/>
      <c r="B10" s="32"/>
      <c r="C10" s="32"/>
      <c r="D10" s="33"/>
      <c r="E10" s="32"/>
      <c r="F10" s="35"/>
      <c r="G10" s="35"/>
      <c r="H10" s="32"/>
      <c r="I10" s="33"/>
      <c r="J10" s="37" t="str">
        <f aca="true">IF(OR(C10="",H10="Complete",H10="Not Applicable",F10=""),"",IF(F10&lt;TODAY(),"Overdue",""))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2"/>
      <c r="F11" s="35"/>
      <c r="G11" s="35"/>
      <c r="H11" s="32"/>
      <c r="I11" s="33"/>
      <c r="J11" s="37" t="str">
        <f aca="true">IF(OR(C11="",H11="Complete",H11="Not Applicable",F11=""),"",IF(F11&lt;TODAY(),"Overdue",""))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2"/>
      <c r="F12" s="35"/>
      <c r="G12" s="35"/>
      <c r="H12" s="32"/>
      <c r="I12" s="33"/>
      <c r="J12" s="37" t="str">
        <f aca="true">IF(OR(C12="",H12="Complete",H12="Not Applicable",F12=""),"",IF(F12&lt;TODAY(),"Overdue",""))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2"/>
      <c r="F13" s="35"/>
      <c r="G13" s="35"/>
      <c r="H13" s="32"/>
      <c r="I13" s="33"/>
      <c r="J13" s="37" t="str">
        <f aca="true">IF(OR(C13="",H13="Complete",H13="Not Applicable",F13=""),"",IF(F13&lt;TODAY(),"Overdue",""))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2"/>
      <c r="F14" s="35"/>
      <c r="G14" s="35"/>
      <c r="H14" s="32"/>
      <c r="I14" s="33"/>
      <c r="J14" s="37" t="str">
        <f aca="true">IF(OR(C14="",H14="Complete",H14="Not Applicable",F14=""),"",IF(F14&lt;TODAY(),"Overdue",""))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2"/>
      <c r="F15" s="35"/>
      <c r="G15" s="35"/>
      <c r="H15" s="32"/>
      <c r="I15" s="33"/>
      <c r="J15" s="37" t="str">
        <f aca="true">IF(OR(C15="",H15="Complete",H15="Not Applicable",F15=""),"",IF(F15&lt;TODAY(),"Overdue",""))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2"/>
      <c r="F16" s="35"/>
      <c r="G16" s="35"/>
      <c r="H16" s="32"/>
      <c r="I16" s="33"/>
      <c r="J16" s="37" t="str">
        <f aca="true">IF(OR(C16="",H16="Complete",H16="Not Applicable",F16=""),"",IF(F16&lt;TODAY(),"Overdue",""))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2"/>
      <c r="F17" s="35"/>
      <c r="G17" s="35"/>
      <c r="H17" s="32"/>
      <c r="I17" s="33"/>
      <c r="J17" s="37" t="str">
        <f aca="true">IF(OR(C17="",H17="Complete",H17="Not Applicable",F17=""),"",IF(F17&lt;TODAY(),"Overdue",""))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2"/>
      <c r="F18" s="35"/>
      <c r="G18" s="35"/>
      <c r="H18" s="32"/>
      <c r="I18" s="33"/>
      <c r="J18" s="37" t="str">
        <f aca="true">IF(OR(C18="",H18="Complete",H18="Not Applicable",F18=""),"",IF(F18&lt;TODAY(),"Overdue",""))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2"/>
      <c r="F19" s="35"/>
      <c r="G19" s="35"/>
      <c r="H19" s="32"/>
      <c r="I19" s="33"/>
      <c r="J19" s="37" t="str">
        <f aca="true">IF(OR(C19="",H19="Complete",H19="Not Applicable",F19=""),"",IF(F19&lt;TODAY(),"Overdue",""))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2"/>
      <c r="F20" s="35"/>
      <c r="G20" s="35"/>
      <c r="H20" s="32"/>
      <c r="I20" s="33"/>
      <c r="J20" s="37" t="str">
        <f aca="true">IF(OR(C20="",H20="Complete",H20="Not Applicable",F20=""),"",IF(F20&lt;TODAY(),"Overdue",""))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2"/>
      <c r="F21" s="35"/>
      <c r="G21" s="35"/>
      <c r="H21" s="32"/>
      <c r="I21" s="33"/>
      <c r="J21" s="37" t="str">
        <f aca="true">IF(OR(C21="",H21="Complete",H21="Not Applicable",F21=""),"",IF(F21&lt;TODAY(),"Overdue",""))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2"/>
      <c r="F22" s="35"/>
      <c r="G22" s="35"/>
      <c r="H22" s="32"/>
      <c r="I22" s="33"/>
      <c r="J22" s="37" t="str">
        <f aca="true">IF(OR(C22="",H22="Complete",H22="Not Applicable",F22=""),"",IF(F22&lt;TODAY(),"Overdue",""))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2"/>
      <c r="F23" s="35"/>
      <c r="G23" s="35"/>
      <c r="H23" s="32"/>
      <c r="I23" s="33"/>
      <c r="J23" s="37" t="str">
        <f aca="true">IF(OR(C23="",H23="Complete",H23="Not Applicable",F23=""),"",IF(F23&lt;TODAY(),"Overdue",""))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2"/>
      <c r="F24" s="35"/>
      <c r="G24" s="35"/>
      <c r="H24" s="32"/>
      <c r="I24" s="33"/>
      <c r="J24" s="37" t="str">
        <f aca="true">IF(OR(C24="",H24="Complete",H24="Not Applicable",F24=""),"",IF(F24&lt;TODAY(),"Overdue",""))</f>
        <v/>
      </c>
    </row>
    <row r="25" customFormat="false" ht="15" hidden="false" customHeight="false" outlineLevel="0" collapsed="false">
      <c r="A25" s="32"/>
      <c r="B25" s="32"/>
      <c r="C25" s="32"/>
      <c r="D25" s="33"/>
      <c r="E25" s="32"/>
      <c r="F25" s="35"/>
      <c r="G25" s="35"/>
      <c r="H25" s="32"/>
      <c r="I25" s="33"/>
      <c r="J25" s="37" t="str">
        <f aca="true">IF(OR(C25="",H25="Complete",H25="Not Applicable",F25=""),"",IF(F25&lt;TODAY(),"Overdue",""))</f>
        <v/>
      </c>
    </row>
    <row r="26" customFormat="false" ht="15" hidden="false" customHeight="false" outlineLevel="0" collapsed="false">
      <c r="A26" s="32"/>
      <c r="B26" s="32"/>
      <c r="C26" s="32"/>
      <c r="D26" s="33"/>
      <c r="E26" s="32"/>
      <c r="F26" s="35"/>
      <c r="G26" s="35"/>
      <c r="H26" s="32"/>
      <c r="I26" s="33"/>
      <c r="J26" s="37" t="str">
        <f aca="true">IF(OR(C26="",H26="Complete",H26="Not Applicable",F26=""),"",IF(F26&lt;TODAY(),"Overdue",""))</f>
        <v/>
      </c>
    </row>
    <row r="27" customFormat="false" ht="15" hidden="false" customHeight="false" outlineLevel="0" collapsed="false">
      <c r="A27" s="32"/>
      <c r="B27" s="32"/>
      <c r="C27" s="32"/>
      <c r="D27" s="33"/>
      <c r="E27" s="32"/>
      <c r="F27" s="35"/>
      <c r="G27" s="35"/>
      <c r="H27" s="32"/>
      <c r="I27" s="33"/>
      <c r="J27" s="37" t="str">
        <f aca="true">IF(OR(C27="",H27="Complete",H27="Not Applicable",F27=""),"",IF(F27&lt;TODAY(),"Overdue",""))</f>
        <v/>
      </c>
    </row>
    <row r="28" customFormat="false" ht="15" hidden="false" customHeight="false" outlineLevel="0" collapsed="false">
      <c r="A28" s="32"/>
      <c r="B28" s="32"/>
      <c r="C28" s="32"/>
      <c r="D28" s="33"/>
      <c r="E28" s="32"/>
      <c r="F28" s="35"/>
      <c r="G28" s="35"/>
      <c r="H28" s="32"/>
      <c r="I28" s="33"/>
      <c r="J28" s="37" t="str">
        <f aca="true">IF(OR(C28="",H28="Complete",H28="Not Applicable",F28=""),"",IF(F28&lt;TODAY(),"Overdue",""))</f>
        <v/>
      </c>
    </row>
    <row r="29" customFormat="false" ht="15" hidden="false" customHeight="false" outlineLevel="0" collapsed="false">
      <c r="A29" s="32"/>
      <c r="B29" s="32"/>
      <c r="C29" s="32"/>
      <c r="D29" s="33"/>
      <c r="E29" s="32"/>
      <c r="F29" s="35"/>
      <c r="G29" s="35"/>
      <c r="H29" s="32"/>
      <c r="I29" s="33"/>
      <c r="J29" s="37" t="str">
        <f aca="true">IF(OR(C29="",H29="Complete",H29="Not Applicable",F29=""),"",IF(F29&lt;TODAY(),"Overdue",""))</f>
        <v/>
      </c>
    </row>
    <row r="30" customFormat="false" ht="15" hidden="false" customHeight="false" outlineLevel="0" collapsed="false">
      <c r="A30" s="32"/>
      <c r="B30" s="32"/>
      <c r="C30" s="32"/>
      <c r="D30" s="33"/>
      <c r="E30" s="32"/>
      <c r="F30" s="35"/>
      <c r="G30" s="35"/>
      <c r="H30" s="32"/>
      <c r="I30" s="33"/>
      <c r="J30" s="37" t="str">
        <f aca="true">IF(OR(C30="",H30="Complete",H30="Not Applicable",F30=""),"",IF(F30&lt;TODAY(),"Overdue",""))</f>
        <v/>
      </c>
    </row>
    <row r="31" customFormat="false" ht="15" hidden="false" customHeight="false" outlineLevel="0" collapsed="false">
      <c r="A31" s="32"/>
      <c r="B31" s="32"/>
      <c r="C31" s="32"/>
      <c r="D31" s="33"/>
      <c r="E31" s="32"/>
      <c r="F31" s="35"/>
      <c r="G31" s="35"/>
      <c r="H31" s="32"/>
      <c r="I31" s="33"/>
      <c r="J31" s="37" t="str">
        <f aca="true">IF(OR(C31="",H31="Complete",H31="Not Applicable",F31=""),"",IF(F31&lt;TODAY(),"Overdue",""))</f>
        <v/>
      </c>
    </row>
    <row r="32" customFormat="false" ht="15" hidden="false" customHeight="false" outlineLevel="0" collapsed="false">
      <c r="A32" s="32"/>
      <c r="B32" s="32"/>
      <c r="C32" s="32"/>
      <c r="D32" s="33"/>
      <c r="E32" s="32"/>
      <c r="F32" s="35"/>
      <c r="G32" s="35"/>
      <c r="H32" s="32"/>
      <c r="I32" s="33"/>
      <c r="J32" s="37" t="str">
        <f aca="true">IF(OR(C32="",H32="Complete",H32="Not Applicable",F32=""),"",IF(F32&lt;TODAY(),"Overdue",""))</f>
        <v/>
      </c>
    </row>
    <row r="33" customFormat="false" ht="15" hidden="false" customHeight="false" outlineLevel="0" collapsed="false">
      <c r="A33" s="32"/>
      <c r="B33" s="32"/>
      <c r="C33" s="32"/>
      <c r="D33" s="33"/>
      <c r="E33" s="32"/>
      <c r="F33" s="35"/>
      <c r="G33" s="35"/>
      <c r="H33" s="32"/>
      <c r="I33" s="33"/>
      <c r="J33" s="37" t="str">
        <f aca="true">IF(OR(C33="",H33="Complete",H33="Not Applicable",F33=""),"",IF(F33&lt;TODAY(),"Overdue",""))</f>
        <v/>
      </c>
    </row>
    <row r="34" customFormat="false" ht="15" hidden="false" customHeight="false" outlineLevel="0" collapsed="false">
      <c r="A34" s="32"/>
      <c r="B34" s="32"/>
      <c r="C34" s="32"/>
      <c r="D34" s="33"/>
      <c r="E34" s="32"/>
      <c r="F34" s="35"/>
      <c r="G34" s="35"/>
      <c r="H34" s="32"/>
      <c r="I34" s="33"/>
      <c r="J34" s="37" t="str">
        <f aca="true">IF(OR(C34="",H34="Complete",H34="Not Applicable",F34=""),"",IF(F34&lt;TODAY(),"Overdue",""))</f>
        <v/>
      </c>
    </row>
    <row r="35" customFormat="false" ht="15" hidden="false" customHeight="false" outlineLevel="0" collapsed="false">
      <c r="A35" s="32"/>
      <c r="B35" s="32"/>
      <c r="C35" s="32"/>
      <c r="D35" s="33"/>
      <c r="E35" s="32"/>
      <c r="F35" s="35"/>
      <c r="G35" s="35"/>
      <c r="H35" s="32"/>
      <c r="I35" s="33"/>
      <c r="J35" s="37" t="str">
        <f aca="true">IF(OR(C35="",H35="Complete",H35="Not Applicable",F35=""),"",IF(F35&lt;TODAY(),"Overdue",""))</f>
        <v/>
      </c>
    </row>
    <row r="36" customFormat="false" ht="15" hidden="false" customHeight="false" outlineLevel="0" collapsed="false">
      <c r="A36" s="32"/>
      <c r="B36" s="32"/>
      <c r="C36" s="32"/>
      <c r="D36" s="33"/>
      <c r="E36" s="32"/>
      <c r="F36" s="35"/>
      <c r="G36" s="35"/>
      <c r="H36" s="32"/>
      <c r="I36" s="33"/>
      <c r="J36" s="37" t="str">
        <f aca="true">IF(OR(C36="",H36="Complete",H36="Not Applicable",F36=""),"",IF(F36&lt;TODAY(),"Overdue",""))</f>
        <v/>
      </c>
    </row>
    <row r="37" customFormat="false" ht="15" hidden="false" customHeight="false" outlineLevel="0" collapsed="false">
      <c r="A37" s="32"/>
      <c r="B37" s="32"/>
      <c r="C37" s="32"/>
      <c r="D37" s="33"/>
      <c r="E37" s="32"/>
      <c r="F37" s="35"/>
      <c r="G37" s="35"/>
      <c r="H37" s="32"/>
      <c r="I37" s="33"/>
      <c r="J37" s="37" t="str">
        <f aca="true">IF(OR(C37="",H37="Complete",H37="Not Applicable",F37=""),"",IF(F37&lt;TODAY(),"Overdue",""))</f>
        <v/>
      </c>
    </row>
    <row r="38" customFormat="false" ht="15" hidden="false" customHeight="false" outlineLevel="0" collapsed="false">
      <c r="A38" s="32"/>
      <c r="B38" s="32"/>
      <c r="C38" s="32"/>
      <c r="D38" s="33"/>
      <c r="E38" s="32"/>
      <c r="F38" s="35"/>
      <c r="G38" s="35"/>
      <c r="H38" s="32"/>
      <c r="I38" s="33"/>
      <c r="J38" s="37" t="str">
        <f aca="true">IF(OR(C38="",H38="Complete",H38="Not Applicable",F38=""),"",IF(F38&lt;TODAY(),"Overdue",""))</f>
        <v/>
      </c>
    </row>
    <row r="39" customFormat="false" ht="15" hidden="false" customHeight="false" outlineLevel="0" collapsed="false">
      <c r="A39" s="32"/>
      <c r="B39" s="32"/>
      <c r="C39" s="32"/>
      <c r="D39" s="33"/>
      <c r="E39" s="32"/>
      <c r="F39" s="35"/>
      <c r="G39" s="35"/>
      <c r="H39" s="32"/>
      <c r="I39" s="33"/>
      <c r="J39" s="37" t="str">
        <f aca="true">IF(OR(C39="",H39="Complete",H39="Not Applicable",F39=""),"",IF(F39&lt;TODAY(),"Overdue",""))</f>
        <v/>
      </c>
    </row>
    <row r="40" customFormat="false" ht="15" hidden="false" customHeight="false" outlineLevel="0" collapsed="false">
      <c r="A40" s="32"/>
      <c r="B40" s="32"/>
      <c r="C40" s="32"/>
      <c r="D40" s="33"/>
      <c r="E40" s="32"/>
      <c r="F40" s="35"/>
      <c r="G40" s="35"/>
      <c r="H40" s="32"/>
      <c r="I40" s="33"/>
      <c r="J40" s="37" t="str">
        <f aca="true">IF(OR(C40="",H40="Complete",H40="Not Applicable",F40=""),"",IF(F40&lt;TODAY(),"Overdue",""))</f>
        <v/>
      </c>
    </row>
    <row r="41" customFormat="false" ht="15" hidden="false" customHeight="false" outlineLevel="0" collapsed="false">
      <c r="A41" s="32"/>
      <c r="B41" s="32"/>
      <c r="C41" s="32"/>
      <c r="D41" s="33"/>
      <c r="E41" s="32"/>
      <c r="F41" s="35"/>
      <c r="G41" s="35"/>
      <c r="H41" s="32"/>
      <c r="I41" s="33"/>
      <c r="J41" s="37" t="str">
        <f aca="true">IF(OR(C41="",H41="Complete",H41="Not Applicable",F41=""),"",IF(F41&lt;TODAY(),"Overdue",""))</f>
        <v/>
      </c>
    </row>
    <row r="42" customFormat="false" ht="15" hidden="false" customHeight="false" outlineLevel="0" collapsed="false">
      <c r="A42" s="32"/>
      <c r="B42" s="32"/>
      <c r="C42" s="32"/>
      <c r="D42" s="33"/>
      <c r="E42" s="32"/>
      <c r="F42" s="35"/>
      <c r="G42" s="35"/>
      <c r="H42" s="32"/>
      <c r="I42" s="33"/>
      <c r="J42" s="37" t="str">
        <f aca="true">IF(OR(C42="",H42="Complete",H42="Not Applicable",F42=""),"",IF(F42&lt;TODAY(),"Overdue",""))</f>
        <v/>
      </c>
    </row>
    <row r="43" customFormat="false" ht="15" hidden="false" customHeight="false" outlineLevel="0" collapsed="false">
      <c r="A43" s="32"/>
      <c r="B43" s="32"/>
      <c r="C43" s="32"/>
      <c r="D43" s="33"/>
      <c r="E43" s="32"/>
      <c r="F43" s="35"/>
      <c r="G43" s="35"/>
      <c r="H43" s="32"/>
      <c r="I43" s="33"/>
      <c r="J43" s="37" t="str">
        <f aca="true">IF(OR(C43="",H43="Complete",H43="Not Applicable",F43=""),"",IF(F43&lt;TODAY(),"Overdue",""))</f>
        <v/>
      </c>
    </row>
    <row r="44" customFormat="false" ht="15" hidden="false" customHeight="false" outlineLevel="0" collapsed="false">
      <c r="A44" s="32"/>
      <c r="B44" s="32"/>
      <c r="C44" s="32"/>
      <c r="D44" s="33"/>
      <c r="E44" s="32"/>
      <c r="F44" s="35"/>
      <c r="G44" s="35"/>
      <c r="H44" s="32"/>
      <c r="I44" s="33"/>
      <c r="J44" s="37" t="str">
        <f aca="true">IF(OR(C44="",H44="Complete",H44="Not Applicable",F44=""),"",IF(F44&lt;TODAY(),"Overdue",""))</f>
        <v/>
      </c>
    </row>
    <row r="45" customFormat="false" ht="15" hidden="false" customHeight="false" outlineLevel="0" collapsed="false">
      <c r="A45" s="32"/>
      <c r="B45" s="32"/>
      <c r="C45" s="32"/>
      <c r="D45" s="33"/>
      <c r="E45" s="32"/>
      <c r="F45" s="35"/>
      <c r="G45" s="35"/>
      <c r="H45" s="32"/>
      <c r="I45" s="33"/>
      <c r="J45" s="37" t="str">
        <f aca="true">IF(OR(C45="",H45="Complete",H45="Not Applicable",F45=""),"",IF(F45&lt;TODAY(),"Overdue",""))</f>
        <v/>
      </c>
    </row>
    <row r="46" customFormat="false" ht="15" hidden="false" customHeight="false" outlineLevel="0" collapsed="false">
      <c r="A46" s="32"/>
      <c r="B46" s="32"/>
      <c r="C46" s="32"/>
      <c r="D46" s="33"/>
      <c r="E46" s="32"/>
      <c r="F46" s="35"/>
      <c r="G46" s="35"/>
      <c r="H46" s="32"/>
      <c r="I46" s="33"/>
      <c r="J46" s="37" t="str">
        <f aca="true">IF(OR(C46="",H46="Complete",H46="Not Applicable",F46=""),"",IF(F46&lt;TODAY(),"Overdue",""))</f>
        <v/>
      </c>
    </row>
    <row r="47" customFormat="false" ht="15" hidden="false" customHeight="false" outlineLevel="0" collapsed="false">
      <c r="A47" s="32"/>
      <c r="B47" s="32"/>
      <c r="C47" s="32"/>
      <c r="D47" s="33"/>
      <c r="E47" s="32"/>
      <c r="F47" s="35"/>
      <c r="G47" s="35"/>
      <c r="H47" s="32"/>
      <c r="I47" s="33"/>
      <c r="J47" s="37" t="str">
        <f aca="true">IF(OR(C47="",H47="Complete",H47="Not Applicable",F47=""),"",IF(F47&lt;TODAY(),"Overdue",""))</f>
        <v/>
      </c>
    </row>
    <row r="48" customFormat="false" ht="15" hidden="false" customHeight="false" outlineLevel="0" collapsed="false">
      <c r="A48" s="32"/>
      <c r="B48" s="32"/>
      <c r="C48" s="32"/>
      <c r="D48" s="33"/>
      <c r="E48" s="32"/>
      <c r="F48" s="35"/>
      <c r="G48" s="35"/>
      <c r="H48" s="32"/>
      <c r="I48" s="33"/>
      <c r="J48" s="37" t="str">
        <f aca="true">IF(OR(C48="",H48="Complete",H48="Not Applicable",F48=""),"",IF(F48&lt;TODAY(),"Overdue",""))</f>
        <v/>
      </c>
    </row>
    <row r="49" customFormat="false" ht="15" hidden="false" customHeight="false" outlineLevel="0" collapsed="false">
      <c r="A49" s="32"/>
      <c r="B49" s="32"/>
      <c r="C49" s="32"/>
      <c r="D49" s="33"/>
      <c r="E49" s="32"/>
      <c r="F49" s="35"/>
      <c r="G49" s="35"/>
      <c r="H49" s="32"/>
      <c r="I49" s="33"/>
      <c r="J49" s="37" t="str">
        <f aca="true">IF(OR(C49="",H49="Complete",H49="Not Applicable",F49=""),"",IF(F49&lt;TODAY(),"Overdue",""))</f>
        <v/>
      </c>
    </row>
    <row r="50" customFormat="false" ht="15" hidden="false" customHeight="false" outlineLevel="0" collapsed="false">
      <c r="A50" s="32"/>
      <c r="B50" s="32"/>
      <c r="C50" s="32"/>
      <c r="D50" s="33"/>
      <c r="E50" s="32"/>
      <c r="F50" s="35"/>
      <c r="G50" s="35"/>
      <c r="H50" s="32"/>
      <c r="I50" s="33"/>
      <c r="J50" s="37" t="str">
        <f aca="true">IF(OR(C50="",H50="Complete",H50="Not Applicable",F50=""),"",IF(F50&lt;TODAY(),"Overdue",""))</f>
        <v/>
      </c>
    </row>
    <row r="51" customFormat="false" ht="15" hidden="false" customHeight="false" outlineLevel="0" collapsed="false">
      <c r="A51" s="32"/>
      <c r="B51" s="32"/>
      <c r="C51" s="32"/>
      <c r="D51" s="33"/>
      <c r="E51" s="32"/>
      <c r="F51" s="35"/>
      <c r="G51" s="35"/>
      <c r="H51" s="32"/>
      <c r="I51" s="33"/>
      <c r="J51" s="37" t="str">
        <f aca="true">IF(OR(C51="",H51="Complete",H51="Not Applicable",F51=""),"",IF(F51&lt;TODAY(),"Overdue",""))</f>
        <v/>
      </c>
    </row>
    <row r="52" customFormat="false" ht="15" hidden="false" customHeight="false" outlineLevel="0" collapsed="false">
      <c r="A52" s="32"/>
      <c r="B52" s="32"/>
      <c r="C52" s="32"/>
      <c r="D52" s="33"/>
      <c r="E52" s="32"/>
      <c r="F52" s="35"/>
      <c r="G52" s="35"/>
      <c r="H52" s="32"/>
      <c r="I52" s="33"/>
      <c r="J52" s="37" t="str">
        <f aca="true">IF(OR(C52="",H52="Complete",H52="Not Applicable",F52=""),"",IF(F52&lt;TODAY(),"Overdue",""))</f>
        <v/>
      </c>
    </row>
    <row r="53" customFormat="false" ht="15" hidden="false" customHeight="false" outlineLevel="0" collapsed="false">
      <c r="A53" s="32"/>
      <c r="B53" s="32"/>
      <c r="C53" s="32"/>
      <c r="D53" s="33"/>
      <c r="E53" s="32"/>
      <c r="F53" s="35"/>
      <c r="G53" s="35"/>
      <c r="H53" s="32"/>
      <c r="I53" s="33"/>
      <c r="J53" s="37" t="str">
        <f aca="true">IF(OR(C53="",H53="Complete",H53="Not Applicable",F53=""),"",IF(F53&lt;TODAY(),"Overdue",""))</f>
        <v/>
      </c>
    </row>
    <row r="54" customFormat="false" ht="15" hidden="false" customHeight="false" outlineLevel="0" collapsed="false">
      <c r="A54" s="32"/>
      <c r="B54" s="32"/>
      <c r="C54" s="32"/>
      <c r="D54" s="33"/>
      <c r="E54" s="32"/>
      <c r="F54" s="35"/>
      <c r="G54" s="35"/>
      <c r="H54" s="32"/>
      <c r="I54" s="33"/>
      <c r="J54" s="37" t="str">
        <f aca="true">IF(OR(C54="",H54="Complete",H54="Not Applicable",F54=""),"",IF(F54&lt;TODAY(),"Overdue",""))</f>
        <v/>
      </c>
    </row>
    <row r="55" customFormat="false" ht="15" hidden="false" customHeight="false" outlineLevel="0" collapsed="false">
      <c r="A55" s="32"/>
      <c r="B55" s="32"/>
      <c r="C55" s="32"/>
      <c r="D55" s="33"/>
      <c r="E55" s="32"/>
      <c r="F55" s="35"/>
      <c r="G55" s="35"/>
      <c r="H55" s="32"/>
      <c r="I55" s="33"/>
      <c r="J55" s="37" t="str">
        <f aca="true">IF(OR(C55="",H55="Complete",H55="Not Applicable",F55=""),"",IF(F55&lt;TODAY(),"Overdue",""))</f>
        <v/>
      </c>
    </row>
    <row r="56" customFormat="false" ht="15" hidden="false" customHeight="false" outlineLevel="0" collapsed="false">
      <c r="A56" s="32"/>
      <c r="B56" s="32"/>
      <c r="C56" s="32"/>
      <c r="D56" s="33"/>
      <c r="E56" s="32"/>
      <c r="F56" s="35"/>
      <c r="G56" s="35"/>
      <c r="H56" s="32"/>
      <c r="I56" s="33"/>
      <c r="J56" s="37" t="str">
        <f aca="true">IF(OR(C56="",H56="Complete",H56="Not Applicable",F56=""),"",IF(F56&lt;TODAY(),"Overdue",""))</f>
        <v/>
      </c>
    </row>
    <row r="57" customFormat="false" ht="15" hidden="false" customHeight="false" outlineLevel="0" collapsed="false">
      <c r="A57" s="32"/>
      <c r="B57" s="32"/>
      <c r="C57" s="32"/>
      <c r="D57" s="33"/>
      <c r="E57" s="32"/>
      <c r="F57" s="35"/>
      <c r="G57" s="35"/>
      <c r="H57" s="32"/>
      <c r="I57" s="33"/>
      <c r="J57" s="37" t="str">
        <f aca="true">IF(OR(C57="",H57="Complete",H57="Not Applicable",F57=""),"",IF(F57&lt;TODAY(),"Overdue",""))</f>
        <v/>
      </c>
    </row>
    <row r="58" customFormat="false" ht="15" hidden="false" customHeight="false" outlineLevel="0" collapsed="false">
      <c r="A58" s="32"/>
      <c r="B58" s="32"/>
      <c r="C58" s="32"/>
      <c r="D58" s="33"/>
      <c r="E58" s="32"/>
      <c r="F58" s="35"/>
      <c r="G58" s="35"/>
      <c r="H58" s="32"/>
      <c r="I58" s="33"/>
      <c r="J58" s="37" t="str">
        <f aca="true">IF(OR(C58="",H58="Complete",H58="Not Applicable",F58=""),"",IF(F58&lt;TODAY(),"Overdue",""))</f>
        <v/>
      </c>
    </row>
    <row r="59" customFormat="false" ht="15" hidden="false" customHeight="false" outlineLevel="0" collapsed="false">
      <c r="A59" s="32"/>
      <c r="B59" s="32"/>
      <c r="C59" s="32"/>
      <c r="D59" s="33"/>
      <c r="E59" s="32"/>
      <c r="F59" s="35"/>
      <c r="G59" s="35"/>
      <c r="H59" s="32"/>
      <c r="I59" s="33"/>
      <c r="J59" s="37" t="str">
        <f aca="true">IF(OR(C59="",H59="Complete",H59="Not Applicable",F59=""),"",IF(F59&lt;TODAY(),"Overdue",""))</f>
        <v/>
      </c>
    </row>
    <row r="60" customFormat="false" ht="15" hidden="false" customHeight="false" outlineLevel="0" collapsed="false">
      <c r="A60" s="32"/>
      <c r="B60" s="32"/>
      <c r="C60" s="32"/>
      <c r="D60" s="33"/>
      <c r="E60" s="32"/>
      <c r="F60" s="35"/>
      <c r="G60" s="35"/>
      <c r="H60" s="32"/>
      <c r="I60" s="33"/>
      <c r="J60" s="37" t="str">
        <f aca="true">IF(OR(C60="",H60="Complete",H60="Not Applicable",F60=""),"",IF(F60&lt;TODAY(),"Overdue",""))</f>
        <v/>
      </c>
    </row>
    <row r="61" customFormat="false" ht="15" hidden="false" customHeight="false" outlineLevel="0" collapsed="false">
      <c r="A61" s="32"/>
      <c r="B61" s="32"/>
      <c r="C61" s="32"/>
      <c r="D61" s="33"/>
      <c r="E61" s="32"/>
      <c r="F61" s="35"/>
      <c r="G61" s="35"/>
      <c r="H61" s="32"/>
      <c r="I61" s="33"/>
      <c r="J61" s="37" t="str">
        <f aca="true">IF(OR(C61="",H61="Complete",H61="Not Applicable",F61=""),"",IF(F61&lt;TODAY(),"Overdue",""))</f>
        <v/>
      </c>
    </row>
    <row r="62" customFormat="false" ht="15" hidden="false" customHeight="false" outlineLevel="0" collapsed="false">
      <c r="A62" s="32"/>
      <c r="B62" s="32"/>
      <c r="C62" s="32"/>
      <c r="D62" s="33"/>
      <c r="E62" s="32"/>
      <c r="F62" s="35"/>
      <c r="G62" s="35"/>
      <c r="H62" s="32"/>
      <c r="I62" s="33"/>
      <c r="J62" s="37" t="str">
        <f aca="true">IF(OR(C62="",H62="Complete",H62="Not Applicable",F62=""),"",IF(F62&lt;TODAY(),"Overdue",""))</f>
        <v/>
      </c>
    </row>
    <row r="63" customFormat="false" ht="15" hidden="false" customHeight="false" outlineLevel="0" collapsed="false">
      <c r="A63" s="32"/>
      <c r="B63" s="32"/>
      <c r="C63" s="32"/>
      <c r="D63" s="33"/>
      <c r="E63" s="32"/>
      <c r="F63" s="35"/>
      <c r="G63" s="35"/>
      <c r="H63" s="32"/>
      <c r="I63" s="33"/>
      <c r="J63" s="37" t="str">
        <f aca="true">IF(OR(C63="",H63="Complete",H63="Not Applicable",F63=""),"",IF(F63&lt;TODAY(),"Overdue",""))</f>
        <v/>
      </c>
    </row>
    <row r="64" customFormat="false" ht="15" hidden="false" customHeight="false" outlineLevel="0" collapsed="false">
      <c r="A64" s="32"/>
      <c r="B64" s="32"/>
      <c r="C64" s="32"/>
      <c r="D64" s="33"/>
      <c r="E64" s="32"/>
      <c r="F64" s="35"/>
      <c r="G64" s="35"/>
      <c r="H64" s="32"/>
      <c r="I64" s="33"/>
      <c r="J64" s="37" t="str">
        <f aca="true">IF(OR(C64="",H64="Complete",H64="Not Applicable",F64=""),"",IF(F64&lt;TODAY(),"Overdue",""))</f>
        <v/>
      </c>
    </row>
    <row r="65" customFormat="false" ht="15" hidden="false" customHeight="false" outlineLevel="0" collapsed="false">
      <c r="A65" s="32"/>
      <c r="B65" s="32"/>
      <c r="C65" s="32"/>
      <c r="D65" s="33"/>
      <c r="E65" s="32"/>
      <c r="F65" s="35"/>
      <c r="G65" s="35"/>
      <c r="H65" s="32"/>
      <c r="I65" s="33"/>
      <c r="J65" s="37" t="str">
        <f aca="true">IF(OR(C65="",H65="Complete",H65="Not Applicable",F65=""),"",IF(F65&lt;TODAY(),"Overdue",""))</f>
        <v/>
      </c>
    </row>
    <row r="66" customFormat="false" ht="15" hidden="false" customHeight="false" outlineLevel="0" collapsed="false">
      <c r="A66" s="32"/>
      <c r="B66" s="32"/>
      <c r="C66" s="32"/>
      <c r="D66" s="33"/>
      <c r="E66" s="32"/>
      <c r="F66" s="35"/>
      <c r="G66" s="35"/>
      <c r="H66" s="32"/>
      <c r="I66" s="33"/>
      <c r="J66" s="37" t="str">
        <f aca="true">IF(OR(C66="",H66="Complete",H66="Not Applicable",F66=""),"",IF(F66&lt;TODAY(),"Overdue",""))</f>
        <v/>
      </c>
    </row>
    <row r="67" customFormat="false" ht="15" hidden="false" customHeight="false" outlineLevel="0" collapsed="false">
      <c r="A67" s="32"/>
      <c r="B67" s="32"/>
      <c r="C67" s="32"/>
      <c r="D67" s="33"/>
      <c r="E67" s="32"/>
      <c r="F67" s="35"/>
      <c r="G67" s="35"/>
      <c r="H67" s="32"/>
      <c r="I67" s="33"/>
      <c r="J67" s="37" t="str">
        <f aca="true">IF(OR(C67="",H67="Complete",H67="Not Applicable",F67=""),"",IF(F67&lt;TODAY(),"Overdue",""))</f>
        <v/>
      </c>
    </row>
    <row r="68" customFormat="false" ht="15" hidden="false" customHeight="false" outlineLevel="0" collapsed="false">
      <c r="A68" s="32"/>
      <c r="B68" s="32"/>
      <c r="C68" s="32"/>
      <c r="D68" s="33"/>
      <c r="E68" s="32"/>
      <c r="F68" s="35"/>
      <c r="G68" s="35"/>
      <c r="H68" s="32"/>
      <c r="I68" s="33"/>
      <c r="J68" s="37" t="str">
        <f aca="true">IF(OR(C68="",H68="Complete",H68="Not Applicable",F68=""),"",IF(F68&lt;TODAY(),"Overdue",""))</f>
        <v/>
      </c>
    </row>
    <row r="69" customFormat="false" ht="15" hidden="false" customHeight="false" outlineLevel="0" collapsed="false">
      <c r="A69" s="32"/>
      <c r="B69" s="32"/>
      <c r="C69" s="32"/>
      <c r="D69" s="33"/>
      <c r="E69" s="32"/>
      <c r="F69" s="35"/>
      <c r="G69" s="35"/>
      <c r="H69" s="32"/>
      <c r="I69" s="33"/>
      <c r="J69" s="37" t="str">
        <f aca="true">IF(OR(C69="",H69="Complete",H69="Not Applicable",F69=""),"",IF(F69&lt;TODAY(),"Overdue",""))</f>
        <v/>
      </c>
    </row>
    <row r="70" customFormat="false" ht="15" hidden="false" customHeight="false" outlineLevel="0" collapsed="false">
      <c r="A70" s="32"/>
      <c r="B70" s="32"/>
      <c r="C70" s="32"/>
      <c r="D70" s="33"/>
      <c r="E70" s="32"/>
      <c r="F70" s="35"/>
      <c r="G70" s="35"/>
      <c r="H70" s="32"/>
      <c r="I70" s="33"/>
      <c r="J70" s="37" t="str">
        <f aca="true">IF(OR(C70="",H70="Complete",H70="Not Applicable",F70=""),"",IF(F70&lt;TODAY(),"Overdue",""))</f>
        <v/>
      </c>
    </row>
    <row r="71" customFormat="false" ht="15" hidden="false" customHeight="false" outlineLevel="0" collapsed="false">
      <c r="A71" s="32"/>
      <c r="B71" s="32"/>
      <c r="C71" s="32"/>
      <c r="D71" s="33"/>
      <c r="E71" s="32"/>
      <c r="F71" s="35"/>
      <c r="G71" s="35"/>
      <c r="H71" s="32"/>
      <c r="I71" s="33"/>
      <c r="J71" s="37" t="str">
        <f aca="true">IF(OR(C71="",H71="Complete",H71="Not Applicable",F71=""),"",IF(F71&lt;TODAY(),"Overdue",""))</f>
        <v/>
      </c>
    </row>
    <row r="72" customFormat="false" ht="15" hidden="false" customHeight="false" outlineLevel="0" collapsed="false">
      <c r="A72" s="32"/>
      <c r="B72" s="32"/>
      <c r="C72" s="32"/>
      <c r="D72" s="33"/>
      <c r="E72" s="32"/>
      <c r="F72" s="35"/>
      <c r="G72" s="35"/>
      <c r="H72" s="32"/>
      <c r="I72" s="33"/>
      <c r="J72" s="37" t="str">
        <f aca="true">IF(OR(C72="",H72="Complete",H72="Not Applicable",F72=""),"",IF(F72&lt;TODAY(),"Overdue",""))</f>
        <v/>
      </c>
    </row>
    <row r="73" customFormat="false" ht="15" hidden="false" customHeight="false" outlineLevel="0" collapsed="false">
      <c r="A73" s="32"/>
      <c r="B73" s="32"/>
      <c r="C73" s="32"/>
      <c r="D73" s="33"/>
      <c r="E73" s="32"/>
      <c r="F73" s="35"/>
      <c r="G73" s="35"/>
      <c r="H73" s="32"/>
      <c r="I73" s="33"/>
      <c r="J73" s="37" t="str">
        <f aca="true">IF(OR(C73="",H73="Complete",H73="Not Applicable",F73=""),"",IF(F73&lt;TODAY(),"Overdue",""))</f>
        <v/>
      </c>
    </row>
    <row r="74" customFormat="false" ht="15" hidden="false" customHeight="false" outlineLevel="0" collapsed="false">
      <c r="A74" s="32"/>
      <c r="B74" s="32"/>
      <c r="C74" s="32"/>
      <c r="D74" s="33"/>
      <c r="E74" s="32"/>
      <c r="F74" s="35"/>
      <c r="G74" s="35"/>
      <c r="H74" s="32"/>
      <c r="I74" s="33"/>
      <c r="J74" s="37" t="str">
        <f aca="true">IF(OR(C74="",H74="Complete",H74="Not Applicable",F74=""),"",IF(F74&lt;TODAY(),"Overdue",""))</f>
        <v/>
      </c>
    </row>
    <row r="75" customFormat="false" ht="15" hidden="false" customHeight="false" outlineLevel="0" collapsed="false">
      <c r="A75" s="32"/>
      <c r="B75" s="32"/>
      <c r="C75" s="32"/>
      <c r="D75" s="33"/>
      <c r="E75" s="32"/>
      <c r="F75" s="35"/>
      <c r="G75" s="35"/>
      <c r="H75" s="32"/>
      <c r="I75" s="33"/>
      <c r="J75" s="37" t="str">
        <f aca="true">IF(OR(C75="",H75="Complete",H75="Not Applicable",F75=""),"",IF(F75&lt;TODAY(),"Overdue",""))</f>
        <v/>
      </c>
    </row>
    <row r="76" customFormat="false" ht="15" hidden="false" customHeight="false" outlineLevel="0" collapsed="false">
      <c r="A76" s="32"/>
      <c r="B76" s="32"/>
      <c r="C76" s="32"/>
      <c r="D76" s="33"/>
      <c r="E76" s="32"/>
      <c r="F76" s="35"/>
      <c r="G76" s="35"/>
      <c r="H76" s="32"/>
      <c r="I76" s="33"/>
      <c r="J76" s="37" t="str">
        <f aca="true">IF(OR(C76="",H76="Complete",H76="Not Applicable",F76=""),"",IF(F76&lt;TODAY(),"Overdue",""))</f>
        <v/>
      </c>
    </row>
    <row r="77" customFormat="false" ht="15" hidden="false" customHeight="false" outlineLevel="0" collapsed="false">
      <c r="A77" s="32"/>
      <c r="B77" s="32"/>
      <c r="C77" s="32"/>
      <c r="D77" s="33"/>
      <c r="E77" s="32"/>
      <c r="F77" s="35"/>
      <c r="G77" s="35"/>
      <c r="H77" s="32"/>
      <c r="I77" s="33"/>
      <c r="J77" s="37" t="str">
        <f aca="true">IF(OR(C77="",H77="Complete",H77="Not Applicable",F77=""),"",IF(F77&lt;TODAY(),"Overdue",""))</f>
        <v/>
      </c>
    </row>
    <row r="78" customFormat="false" ht="15" hidden="false" customHeight="false" outlineLevel="0" collapsed="false">
      <c r="A78" s="32"/>
      <c r="B78" s="32"/>
      <c r="C78" s="32"/>
      <c r="D78" s="33"/>
      <c r="E78" s="32"/>
      <c r="F78" s="35"/>
      <c r="G78" s="35"/>
      <c r="H78" s="32"/>
      <c r="I78" s="33"/>
      <c r="J78" s="37" t="str">
        <f aca="true">IF(OR(C78="",H78="Complete",H78="Not Applicable",F78=""),"",IF(F78&lt;TODAY(),"Overdue",""))</f>
        <v/>
      </c>
    </row>
    <row r="79" customFormat="false" ht="15" hidden="false" customHeight="false" outlineLevel="0" collapsed="false">
      <c r="A79" s="32"/>
      <c r="B79" s="32"/>
      <c r="C79" s="32"/>
      <c r="D79" s="33"/>
      <c r="E79" s="32"/>
      <c r="F79" s="35"/>
      <c r="G79" s="35"/>
      <c r="H79" s="32"/>
      <c r="I79" s="33"/>
      <c r="J79" s="37" t="str">
        <f aca="true">IF(OR(C79="",H79="Complete",H79="Not Applicable",F79=""),"",IF(F79&lt;TODAY(),"Overdue",""))</f>
        <v/>
      </c>
    </row>
    <row r="80" customFormat="false" ht="15" hidden="false" customHeight="false" outlineLevel="0" collapsed="false">
      <c r="A80" s="32"/>
      <c r="B80" s="32"/>
      <c r="C80" s="32"/>
      <c r="D80" s="33"/>
      <c r="E80" s="32"/>
      <c r="F80" s="35"/>
      <c r="G80" s="35"/>
      <c r="H80" s="32"/>
      <c r="I80" s="33"/>
      <c r="J80" s="37" t="str">
        <f aca="true">IF(OR(C80="",H80="Complete",H80="Not Applicable",F80=""),"",IF(F80&lt;TODAY(),"Overdue",""))</f>
        <v/>
      </c>
    </row>
    <row r="81" customFormat="false" ht="15" hidden="false" customHeight="false" outlineLevel="0" collapsed="false">
      <c r="A81" s="32"/>
      <c r="B81" s="32"/>
      <c r="C81" s="32"/>
      <c r="D81" s="33"/>
      <c r="E81" s="32"/>
      <c r="F81" s="35"/>
      <c r="G81" s="35"/>
      <c r="H81" s="32"/>
      <c r="I81" s="33"/>
      <c r="J81" s="37" t="str">
        <f aca="true">IF(OR(C81="",H81="Complete",H81="Not Applicable",F81=""),"",IF(F81&lt;TODAY(),"Overdue",""))</f>
        <v/>
      </c>
    </row>
    <row r="82" customFormat="false" ht="15" hidden="false" customHeight="false" outlineLevel="0" collapsed="false">
      <c r="A82" s="32"/>
      <c r="B82" s="32"/>
      <c r="C82" s="32"/>
      <c r="D82" s="33"/>
      <c r="E82" s="32"/>
      <c r="F82" s="35"/>
      <c r="G82" s="35"/>
      <c r="H82" s="32"/>
      <c r="I82" s="33"/>
      <c r="J82" s="37" t="str">
        <f aca="true">IF(OR(C82="",H82="Complete",H82="Not Applicable",F82=""),"",IF(F82&lt;TODAY(),"Overdue",""))</f>
        <v/>
      </c>
    </row>
    <row r="83" customFormat="false" ht="15" hidden="false" customHeight="false" outlineLevel="0" collapsed="false">
      <c r="A83" s="32"/>
      <c r="B83" s="32"/>
      <c r="C83" s="32"/>
      <c r="D83" s="33"/>
      <c r="E83" s="32"/>
      <c r="F83" s="35"/>
      <c r="G83" s="35"/>
      <c r="H83" s="32"/>
      <c r="I83" s="33"/>
      <c r="J83" s="37" t="str">
        <f aca="true">IF(OR(C83="",H83="Complete",H83="Not Applicable",F83=""),"",IF(F83&lt;TODAY(),"Overdue",""))</f>
        <v/>
      </c>
    </row>
    <row r="84" customFormat="false" ht="15" hidden="false" customHeight="false" outlineLevel="0" collapsed="false">
      <c r="A84" s="32"/>
      <c r="B84" s="32"/>
      <c r="C84" s="32"/>
      <c r="D84" s="33"/>
      <c r="E84" s="32"/>
      <c r="F84" s="35"/>
      <c r="G84" s="35"/>
      <c r="H84" s="32"/>
      <c r="I84" s="33"/>
      <c r="J84" s="37" t="str">
        <f aca="true">IF(OR(C84="",H84="Complete",H84="Not Applicable",F84=""),"",IF(F84&lt;TODAY(),"Overdue",""))</f>
        <v/>
      </c>
    </row>
    <row r="85" customFormat="false" ht="15" hidden="false" customHeight="false" outlineLevel="0" collapsed="false">
      <c r="A85" s="32"/>
      <c r="B85" s="32"/>
      <c r="C85" s="32"/>
      <c r="D85" s="33"/>
      <c r="E85" s="32"/>
      <c r="F85" s="35"/>
      <c r="G85" s="35"/>
      <c r="H85" s="32"/>
      <c r="I85" s="33"/>
      <c r="J85" s="37" t="str">
        <f aca="true">IF(OR(C85="",H85="Complete",H85="Not Applicable",F85=""),"",IF(F85&lt;TODAY(),"Overdue",""))</f>
        <v/>
      </c>
    </row>
    <row r="86" customFormat="false" ht="15" hidden="false" customHeight="false" outlineLevel="0" collapsed="false">
      <c r="A86" s="32"/>
      <c r="B86" s="32"/>
      <c r="C86" s="32"/>
      <c r="D86" s="33"/>
      <c r="E86" s="32"/>
      <c r="F86" s="35"/>
      <c r="G86" s="35"/>
      <c r="H86" s="32"/>
      <c r="I86" s="33"/>
      <c r="J86" s="37" t="str">
        <f aca="true">IF(OR(C86="",H86="Complete",H86="Not Applicable",F86=""),"",IF(F86&lt;TODAY(),"Overdue",""))</f>
        <v/>
      </c>
    </row>
    <row r="87" customFormat="false" ht="15" hidden="false" customHeight="false" outlineLevel="0" collapsed="false">
      <c r="A87" s="32"/>
      <c r="B87" s="32"/>
      <c r="C87" s="32"/>
      <c r="D87" s="33"/>
      <c r="E87" s="32"/>
      <c r="F87" s="35"/>
      <c r="G87" s="35"/>
      <c r="H87" s="32"/>
      <c r="I87" s="33"/>
      <c r="J87" s="37" t="str">
        <f aca="true">IF(OR(C87="",H87="Complete",H87="Not Applicable",F87=""),"",IF(F87&lt;TODAY(),"Overdue",""))</f>
        <v/>
      </c>
    </row>
    <row r="88" customFormat="false" ht="15" hidden="false" customHeight="false" outlineLevel="0" collapsed="false">
      <c r="A88" s="32"/>
      <c r="B88" s="32"/>
      <c r="C88" s="32"/>
      <c r="D88" s="33"/>
      <c r="E88" s="32"/>
      <c r="F88" s="35"/>
      <c r="G88" s="35"/>
      <c r="H88" s="32"/>
      <c r="I88" s="33"/>
      <c r="J88" s="37" t="str">
        <f aca="true">IF(OR(C88="",H88="Complete",H88="Not Applicable",F88=""),"",IF(F88&lt;TODAY(),"Overdue",""))</f>
        <v/>
      </c>
    </row>
    <row r="89" customFormat="false" ht="15" hidden="false" customHeight="false" outlineLevel="0" collapsed="false">
      <c r="A89" s="32"/>
      <c r="B89" s="32"/>
      <c r="C89" s="32"/>
      <c r="D89" s="33"/>
      <c r="E89" s="32"/>
      <c r="F89" s="35"/>
      <c r="G89" s="35"/>
      <c r="H89" s="32"/>
      <c r="I89" s="33"/>
      <c r="J89" s="37" t="str">
        <f aca="true">IF(OR(C89="",H89="Complete",H89="Not Applicable",F89=""),"",IF(F89&lt;TODAY(),"Overdue",""))</f>
        <v/>
      </c>
    </row>
    <row r="90" customFormat="false" ht="15" hidden="false" customHeight="false" outlineLevel="0" collapsed="false">
      <c r="A90" s="32"/>
      <c r="B90" s="32"/>
      <c r="C90" s="32"/>
      <c r="D90" s="33"/>
      <c r="E90" s="32"/>
      <c r="F90" s="35"/>
      <c r="G90" s="35"/>
      <c r="H90" s="32"/>
      <c r="I90" s="33"/>
      <c r="J90" s="37" t="str">
        <f aca="true">IF(OR(C90="",H90="Complete",H90="Not Applicable",F90=""),"",IF(F90&lt;TODAY(),"Overdue",""))</f>
        <v/>
      </c>
    </row>
    <row r="91" customFormat="false" ht="15" hidden="false" customHeight="false" outlineLevel="0" collapsed="false">
      <c r="A91" s="32"/>
      <c r="B91" s="32"/>
      <c r="C91" s="32"/>
      <c r="D91" s="33"/>
      <c r="E91" s="32"/>
      <c r="F91" s="35"/>
      <c r="G91" s="35"/>
      <c r="H91" s="32"/>
      <c r="I91" s="33"/>
      <c r="J91" s="37" t="str">
        <f aca="true">IF(OR(C91="",H91="Complete",H91="Not Applicable",F91=""),"",IF(F91&lt;TODAY(),"Overdue",""))</f>
        <v/>
      </c>
    </row>
    <row r="92" customFormat="false" ht="15" hidden="false" customHeight="false" outlineLevel="0" collapsed="false">
      <c r="A92" s="32"/>
      <c r="B92" s="32"/>
      <c r="C92" s="32"/>
      <c r="D92" s="33"/>
      <c r="E92" s="32"/>
      <c r="F92" s="35"/>
      <c r="G92" s="35"/>
      <c r="H92" s="32"/>
      <c r="I92" s="33"/>
      <c r="J92" s="37" t="str">
        <f aca="true">IF(OR(C92="",H92="Complete",H92="Not Applicable",F92=""),"",IF(F92&lt;TODAY(),"Overdue",""))</f>
        <v/>
      </c>
    </row>
    <row r="93" customFormat="false" ht="15" hidden="false" customHeight="false" outlineLevel="0" collapsed="false">
      <c r="A93" s="32"/>
      <c r="B93" s="32"/>
      <c r="C93" s="32"/>
      <c r="D93" s="33"/>
      <c r="E93" s="32"/>
      <c r="F93" s="35"/>
      <c r="G93" s="35"/>
      <c r="H93" s="32"/>
      <c r="I93" s="33"/>
      <c r="J93" s="37" t="str">
        <f aca="true">IF(OR(C93="",H93="Complete",H93="Not Applicable",F93=""),"",IF(F93&lt;TODAY(),"Overdue",""))</f>
        <v/>
      </c>
    </row>
    <row r="94" customFormat="false" ht="15" hidden="false" customHeight="false" outlineLevel="0" collapsed="false">
      <c r="A94" s="32"/>
      <c r="B94" s="32"/>
      <c r="C94" s="32"/>
      <c r="D94" s="33"/>
      <c r="E94" s="32"/>
      <c r="F94" s="35"/>
      <c r="G94" s="35"/>
      <c r="H94" s="32"/>
      <c r="I94" s="33"/>
      <c r="J94" s="37" t="str">
        <f aca="true">IF(OR(C94="",H94="Complete",H94="Not Applicable",F94=""),"",IF(F94&lt;TODAY(),"Overdue",""))</f>
        <v/>
      </c>
    </row>
    <row r="95" customFormat="false" ht="15" hidden="false" customHeight="false" outlineLevel="0" collapsed="false">
      <c r="A95" s="32"/>
      <c r="B95" s="32"/>
      <c r="C95" s="32"/>
      <c r="D95" s="33"/>
      <c r="E95" s="32"/>
      <c r="F95" s="35"/>
      <c r="G95" s="35"/>
      <c r="H95" s="32"/>
      <c r="I95" s="33"/>
      <c r="J95" s="37" t="str">
        <f aca="true">IF(OR(C95="",H95="Complete",H95="Not Applicable",F95=""),"",IF(F95&lt;TODAY(),"Overdue",""))</f>
        <v/>
      </c>
    </row>
    <row r="96" customFormat="false" ht="15" hidden="false" customHeight="false" outlineLevel="0" collapsed="false">
      <c r="A96" s="32"/>
      <c r="B96" s="32"/>
      <c r="C96" s="32"/>
      <c r="D96" s="33"/>
      <c r="E96" s="32"/>
      <c r="F96" s="35"/>
      <c r="G96" s="35"/>
      <c r="H96" s="32"/>
      <c r="I96" s="33"/>
      <c r="J96" s="37" t="str">
        <f aca="true">IF(OR(C96="",H96="Complete",H96="Not Applicable",F96=""),"",IF(F96&lt;TODAY(),"Overdue",""))</f>
        <v/>
      </c>
    </row>
    <row r="97" customFormat="false" ht="15" hidden="false" customHeight="false" outlineLevel="0" collapsed="false">
      <c r="A97" s="32"/>
      <c r="B97" s="32"/>
      <c r="C97" s="32"/>
      <c r="D97" s="33"/>
      <c r="E97" s="32"/>
      <c r="F97" s="35"/>
      <c r="G97" s="35"/>
      <c r="H97" s="32"/>
      <c r="I97" s="33"/>
      <c r="J97" s="37" t="str">
        <f aca="true">IF(OR(C97="",H97="Complete",H97="Not Applicable",F97=""),"",IF(F97&lt;TODAY(),"Overdue",""))</f>
        <v/>
      </c>
    </row>
    <row r="98" customFormat="false" ht="15" hidden="false" customHeight="false" outlineLevel="0" collapsed="false">
      <c r="A98" s="32"/>
      <c r="B98" s="32"/>
      <c r="C98" s="32"/>
      <c r="D98" s="33"/>
      <c r="E98" s="32"/>
      <c r="F98" s="35"/>
      <c r="G98" s="35"/>
      <c r="H98" s="32"/>
      <c r="I98" s="33"/>
      <c r="J98" s="37" t="str">
        <f aca="true">IF(OR(C98="",H98="Complete",H98="Not Applicable",F98=""),"",IF(F98&lt;TODAY(),"Overdue",""))</f>
        <v/>
      </c>
    </row>
    <row r="99" customFormat="false" ht="15" hidden="false" customHeight="false" outlineLevel="0" collapsed="false">
      <c r="A99" s="32"/>
      <c r="B99" s="32"/>
      <c r="C99" s="32"/>
      <c r="D99" s="33"/>
      <c r="E99" s="32"/>
      <c r="F99" s="35"/>
      <c r="G99" s="35"/>
      <c r="H99" s="32"/>
      <c r="I99" s="33"/>
      <c r="J99" s="37" t="str">
        <f aca="true">IF(OR(C99="",H99="Complete",H99="Not Applicable",F99=""),"",IF(F99&lt;TODAY(),"Overdue",""))</f>
        <v/>
      </c>
    </row>
    <row r="100" customFormat="false" ht="15" hidden="false" customHeight="false" outlineLevel="0" collapsed="false">
      <c r="A100" s="32"/>
      <c r="B100" s="32"/>
      <c r="C100" s="32"/>
      <c r="D100" s="33"/>
      <c r="E100" s="32"/>
      <c r="F100" s="35"/>
      <c r="G100" s="35"/>
      <c r="H100" s="32"/>
      <c r="I100" s="33"/>
      <c r="J100" s="37" t="str">
        <f aca="true">IF(OR(C100="",H100="Complete",H100="Not Applicable",F100=""),"",IF(F100&lt;TODAY(),"Overdue",""))</f>
        <v/>
      </c>
    </row>
    <row r="101" customFormat="false" ht="15" hidden="false" customHeight="false" outlineLevel="0" collapsed="false">
      <c r="A101" s="32"/>
      <c r="B101" s="32"/>
      <c r="C101" s="32"/>
      <c r="D101" s="33"/>
      <c r="E101" s="32"/>
      <c r="F101" s="35"/>
      <c r="G101" s="35"/>
      <c r="H101" s="32"/>
      <c r="I101" s="33"/>
      <c r="J101" s="37" t="str">
        <f aca="true">IF(OR(C101="",H101="Complete",H101="Not Applicable",F101=""),"",IF(F101&lt;TODAY(),"Overdue",""))</f>
        <v/>
      </c>
    </row>
    <row r="102" customFormat="false" ht="15" hidden="false" customHeight="false" outlineLevel="0" collapsed="false">
      <c r="A102" s="32"/>
      <c r="B102" s="32"/>
      <c r="C102" s="32"/>
      <c r="D102" s="33"/>
      <c r="E102" s="32"/>
      <c r="F102" s="35"/>
      <c r="G102" s="35"/>
      <c r="H102" s="32"/>
      <c r="I102" s="33"/>
      <c r="J102" s="37" t="str">
        <f aca="true">IF(OR(C102="",H102="Complete",H102="Not Applicable",F102=""),"",IF(F102&lt;TODAY(),"Overdue",""))</f>
        <v/>
      </c>
    </row>
    <row r="103" customFormat="false" ht="15" hidden="false" customHeight="false" outlineLevel="0" collapsed="false">
      <c r="A103" s="32"/>
      <c r="B103" s="32"/>
      <c r="C103" s="32"/>
      <c r="D103" s="33"/>
      <c r="E103" s="32"/>
      <c r="F103" s="35"/>
      <c r="G103" s="35"/>
      <c r="H103" s="32"/>
      <c r="I103" s="33"/>
      <c r="J103" s="37" t="str">
        <f aca="true">IF(OR(C103="",H103="Complete",H103="Not Applicable",F103=""),"",IF(F103&lt;TODAY(),"Overdue",""))</f>
        <v/>
      </c>
    </row>
    <row r="104" customFormat="false" ht="15" hidden="false" customHeight="false" outlineLevel="0" collapsed="false">
      <c r="A104" s="32"/>
      <c r="B104" s="32"/>
      <c r="C104" s="32"/>
      <c r="D104" s="33"/>
      <c r="E104" s="32"/>
      <c r="F104" s="35"/>
      <c r="G104" s="35"/>
      <c r="H104" s="32"/>
      <c r="I104" s="33"/>
      <c r="J104" s="37" t="str">
        <f aca="true">IF(OR(C104="",H104="Complete",H104="Not Applicable",F104=""),"",IF(F104&lt;TODAY(),"Overdue",""))</f>
        <v/>
      </c>
    </row>
    <row r="105" customFormat="false" ht="15" hidden="false" customHeight="false" outlineLevel="0" collapsed="false">
      <c r="A105" s="32"/>
      <c r="B105" s="32"/>
      <c r="C105" s="32"/>
      <c r="D105" s="33"/>
      <c r="E105" s="32"/>
      <c r="F105" s="35"/>
      <c r="G105" s="35"/>
      <c r="H105" s="32"/>
      <c r="I105" s="33"/>
      <c r="J105" s="37" t="str">
        <f aca="true">IF(OR(C105="",H105="Complete",H105="Not Applicable",F105=""),"",IF(F105&lt;TODAY(),"Overdue",""))</f>
        <v/>
      </c>
    </row>
    <row r="106" customFormat="false" ht="15" hidden="false" customHeight="false" outlineLevel="0" collapsed="false">
      <c r="A106" s="32"/>
      <c r="B106" s="32"/>
      <c r="C106" s="32"/>
      <c r="D106" s="33"/>
      <c r="E106" s="32"/>
      <c r="F106" s="35"/>
      <c r="G106" s="35"/>
      <c r="H106" s="32"/>
      <c r="I106" s="33"/>
      <c r="J106" s="37" t="str">
        <f aca="true">IF(OR(C106="",H106="Complete",H106="Not Applicable",F106=""),"",IF(F106&lt;TODAY(),"Overdue",""))</f>
        <v/>
      </c>
    </row>
    <row r="107" customFormat="false" ht="15" hidden="false" customHeight="false" outlineLevel="0" collapsed="false">
      <c r="A107" s="32"/>
      <c r="B107" s="32"/>
      <c r="C107" s="32"/>
      <c r="D107" s="33"/>
      <c r="E107" s="32"/>
      <c r="F107" s="35"/>
      <c r="G107" s="35"/>
      <c r="H107" s="32"/>
      <c r="I107" s="33"/>
      <c r="J107" s="37" t="str">
        <f aca="true">IF(OR(C107="",H107="Complete",H107="Not Applicable",F107=""),"",IF(F107&lt;TODAY(),"Overdue",""))</f>
        <v/>
      </c>
    </row>
    <row r="108" customFormat="false" ht="15" hidden="false" customHeight="false" outlineLevel="0" collapsed="false">
      <c r="A108" s="32"/>
      <c r="B108" s="32"/>
      <c r="C108" s="32"/>
      <c r="D108" s="33"/>
      <c r="E108" s="32"/>
      <c r="F108" s="35"/>
      <c r="G108" s="35"/>
      <c r="H108" s="32"/>
      <c r="I108" s="33"/>
      <c r="J108" s="37" t="str">
        <f aca="true">IF(OR(C108="",H108="Complete",H108="Not Applicable",F108=""),"",IF(F108&lt;TODAY(),"Overdue",""))</f>
        <v/>
      </c>
    </row>
    <row r="109" customFormat="false" ht="15" hidden="false" customHeight="false" outlineLevel="0" collapsed="false">
      <c r="A109" s="32"/>
      <c r="B109" s="32"/>
      <c r="C109" s="32"/>
      <c r="D109" s="33"/>
      <c r="E109" s="32"/>
      <c r="F109" s="35"/>
      <c r="G109" s="35"/>
      <c r="H109" s="32"/>
      <c r="I109" s="33"/>
      <c r="J109" s="37" t="str">
        <f aca="true">IF(OR(C109="",H109="Complete",H109="Not Applicable",F109=""),"",IF(F109&lt;TODAY(),"Overdue",""))</f>
        <v/>
      </c>
    </row>
    <row r="110" customFormat="false" ht="15" hidden="false" customHeight="false" outlineLevel="0" collapsed="false">
      <c r="A110" s="32"/>
      <c r="B110" s="32"/>
      <c r="C110" s="32"/>
      <c r="D110" s="33"/>
      <c r="E110" s="32"/>
      <c r="F110" s="35"/>
      <c r="G110" s="35"/>
      <c r="H110" s="32"/>
      <c r="I110" s="33"/>
      <c r="J110" s="37" t="str">
        <f aca="true">IF(OR(C110="",H110="Complete",H110="Not Applicable",F110=""),"",IF(F110&lt;TODAY(),"Overdue",""))</f>
        <v/>
      </c>
    </row>
    <row r="111" customFormat="false" ht="15" hidden="false" customHeight="false" outlineLevel="0" collapsed="false">
      <c r="A111" s="32"/>
      <c r="B111" s="32"/>
      <c r="C111" s="32"/>
      <c r="D111" s="33"/>
      <c r="E111" s="32"/>
      <c r="F111" s="35"/>
      <c r="G111" s="35"/>
      <c r="H111" s="32"/>
      <c r="I111" s="33"/>
      <c r="J111" s="37" t="str">
        <f aca="true">IF(OR(C111="",H111="Complete",H111="Not Applicable",F111=""),"",IF(F111&lt;TODAY(),"Overdue",""))</f>
        <v/>
      </c>
    </row>
    <row r="112" customFormat="false" ht="15" hidden="false" customHeight="false" outlineLevel="0" collapsed="false">
      <c r="A112" s="32"/>
      <c r="B112" s="32"/>
      <c r="C112" s="32"/>
      <c r="D112" s="33"/>
      <c r="E112" s="32"/>
      <c r="F112" s="35"/>
      <c r="G112" s="35"/>
      <c r="H112" s="32"/>
      <c r="I112" s="33"/>
      <c r="J112" s="37" t="str">
        <f aca="true">IF(OR(C112="",H112="Complete",H112="Not Applicable",F112=""),"",IF(F112&lt;TODAY(),"Overdue",""))</f>
        <v/>
      </c>
    </row>
    <row r="113" customFormat="false" ht="15" hidden="false" customHeight="false" outlineLevel="0" collapsed="false">
      <c r="A113" s="32"/>
      <c r="B113" s="32"/>
      <c r="C113" s="32"/>
      <c r="D113" s="33"/>
      <c r="E113" s="32"/>
      <c r="F113" s="35"/>
      <c r="G113" s="35"/>
      <c r="H113" s="32"/>
      <c r="I113" s="33"/>
      <c r="J113" s="37" t="str">
        <f aca="true">IF(OR(C113="",H113="Complete",H113="Not Applicable",F113=""),"",IF(F113&lt;TODAY(),"Overdue",""))</f>
        <v/>
      </c>
    </row>
    <row r="114" customFormat="false" ht="15" hidden="false" customHeight="false" outlineLevel="0" collapsed="false">
      <c r="A114" s="32"/>
      <c r="B114" s="32"/>
      <c r="C114" s="32"/>
      <c r="D114" s="33"/>
      <c r="E114" s="32"/>
      <c r="F114" s="35"/>
      <c r="G114" s="35"/>
      <c r="H114" s="32"/>
      <c r="I114" s="33"/>
      <c r="J114" s="37" t="str">
        <f aca="true">IF(OR(C114="",H114="Complete",H114="Not Applicable",F114=""),"",IF(F114&lt;TODAY(),"Overdue",""))</f>
        <v/>
      </c>
    </row>
    <row r="115" customFormat="false" ht="15" hidden="false" customHeight="false" outlineLevel="0" collapsed="false">
      <c r="A115" s="32"/>
      <c r="B115" s="32"/>
      <c r="C115" s="32"/>
      <c r="D115" s="33"/>
      <c r="E115" s="32"/>
      <c r="F115" s="35"/>
      <c r="G115" s="35"/>
      <c r="H115" s="32"/>
      <c r="I115" s="33"/>
      <c r="J115" s="37" t="str">
        <f aca="true">IF(OR(C115="",H115="Complete",H115="Not Applicable",F115=""),"",IF(F115&lt;TODAY(),"Overdue",""))</f>
        <v/>
      </c>
    </row>
    <row r="116" customFormat="false" ht="15" hidden="false" customHeight="false" outlineLevel="0" collapsed="false">
      <c r="A116" s="32"/>
      <c r="B116" s="32"/>
      <c r="C116" s="32"/>
      <c r="D116" s="33"/>
      <c r="E116" s="32"/>
      <c r="F116" s="35"/>
      <c r="G116" s="35"/>
      <c r="H116" s="32"/>
      <c r="I116" s="33"/>
      <c r="J116" s="37" t="str">
        <f aca="true">IF(OR(C116="",H116="Complete",H116="Not Applicable",F116=""),"",IF(F116&lt;TODAY(),"Overdue",""))</f>
        <v/>
      </c>
    </row>
    <row r="117" customFormat="false" ht="15" hidden="false" customHeight="false" outlineLevel="0" collapsed="false">
      <c r="A117" s="32"/>
      <c r="B117" s="32"/>
      <c r="C117" s="32"/>
      <c r="D117" s="33"/>
      <c r="E117" s="32"/>
      <c r="F117" s="35"/>
      <c r="G117" s="35"/>
      <c r="H117" s="32"/>
      <c r="I117" s="33"/>
      <c r="J117" s="37" t="str">
        <f aca="true">IF(OR(C117="",H117="Complete",H117="Not Applicable",F117=""),"",IF(F117&lt;TODAY(),"Overdue",""))</f>
        <v/>
      </c>
    </row>
    <row r="118" customFormat="false" ht="15" hidden="false" customHeight="false" outlineLevel="0" collapsed="false">
      <c r="A118" s="32"/>
      <c r="B118" s="32"/>
      <c r="C118" s="32"/>
      <c r="D118" s="33"/>
      <c r="E118" s="32"/>
      <c r="F118" s="35"/>
      <c r="G118" s="35"/>
      <c r="H118" s="32"/>
      <c r="I118" s="33"/>
      <c r="J118" s="37" t="str">
        <f aca="true">IF(OR(C118="",H118="Complete",H118="Not Applicable",F118=""),"",IF(F118&lt;TODAY(),"Overdue",""))</f>
        <v/>
      </c>
    </row>
    <row r="119" customFormat="false" ht="15" hidden="false" customHeight="false" outlineLevel="0" collapsed="false">
      <c r="A119" s="32"/>
      <c r="B119" s="32"/>
      <c r="C119" s="32"/>
      <c r="D119" s="33"/>
      <c r="E119" s="32"/>
      <c r="F119" s="35"/>
      <c r="G119" s="35"/>
      <c r="H119" s="32"/>
      <c r="I119" s="33"/>
      <c r="J119" s="37" t="str">
        <f aca="true">IF(OR(C119="",H119="Complete",H119="Not Applicable",F119=""),"",IF(F119&lt;TODAY(),"Overdue",""))</f>
        <v/>
      </c>
    </row>
    <row r="120" customFormat="false" ht="15" hidden="false" customHeight="false" outlineLevel="0" collapsed="false">
      <c r="A120" s="32"/>
      <c r="B120" s="32"/>
      <c r="C120" s="32"/>
      <c r="D120" s="33"/>
      <c r="E120" s="32"/>
      <c r="F120" s="35"/>
      <c r="G120" s="35"/>
      <c r="H120" s="32"/>
      <c r="I120" s="33"/>
      <c r="J120" s="37" t="str">
        <f aca="true">IF(OR(C120="",H120="Complete",H120="Not Applicable",F120=""),"",IF(F120&lt;TODAY(),"Overdue",""))</f>
        <v/>
      </c>
    </row>
    <row r="121" customFormat="false" ht="15" hidden="false" customHeight="false" outlineLevel="0" collapsed="false">
      <c r="A121" s="32"/>
      <c r="B121" s="32"/>
      <c r="C121" s="32"/>
      <c r="D121" s="33"/>
      <c r="E121" s="32"/>
      <c r="F121" s="35"/>
      <c r="G121" s="35"/>
      <c r="H121" s="32"/>
      <c r="I121" s="33"/>
      <c r="J121" s="37" t="str">
        <f aca="true">IF(OR(C121="",H121="Complete",H121="Not Applicable",F121=""),"",IF(F121&lt;TODAY(),"Overdue",""))</f>
        <v/>
      </c>
    </row>
    <row r="122" customFormat="false" ht="15" hidden="false" customHeight="false" outlineLevel="0" collapsed="false">
      <c r="A122" s="32"/>
      <c r="B122" s="32"/>
      <c r="C122" s="32"/>
      <c r="D122" s="33"/>
      <c r="E122" s="32"/>
      <c r="F122" s="35"/>
      <c r="G122" s="35"/>
      <c r="H122" s="32"/>
      <c r="I122" s="33"/>
      <c r="J122" s="37" t="str">
        <f aca="true">IF(OR(C122="",H122="Complete",H122="Not Applicable",F122=""),"",IF(F122&lt;TODAY(),"Overdue",""))</f>
        <v/>
      </c>
    </row>
    <row r="123" customFormat="false" ht="15" hidden="false" customHeight="false" outlineLevel="0" collapsed="false">
      <c r="A123" s="32"/>
      <c r="B123" s="32"/>
      <c r="C123" s="32"/>
      <c r="D123" s="33"/>
      <c r="E123" s="32"/>
      <c r="F123" s="35"/>
      <c r="G123" s="35"/>
      <c r="H123" s="32"/>
      <c r="I123" s="33"/>
      <c r="J123" s="37" t="str">
        <f aca="true">IF(OR(C123="",H123="Complete",H123="Not Applicable",F123=""),"",IF(F123&lt;TODAY(),"Overdue",""))</f>
        <v/>
      </c>
    </row>
    <row r="124" customFormat="false" ht="15" hidden="false" customHeight="false" outlineLevel="0" collapsed="false">
      <c r="A124" s="32"/>
      <c r="B124" s="32"/>
      <c r="C124" s="32"/>
      <c r="D124" s="33"/>
      <c r="E124" s="32"/>
      <c r="F124" s="35"/>
      <c r="G124" s="35"/>
      <c r="H124" s="32"/>
      <c r="I124" s="33"/>
      <c r="J124" s="37" t="str">
        <f aca="true">IF(OR(C124="",H124="Complete",H124="Not Applicable",F124=""),"",IF(F124&lt;TODAY(),"Overdue",""))</f>
        <v/>
      </c>
    </row>
    <row r="125" customFormat="false" ht="15" hidden="false" customHeight="false" outlineLevel="0" collapsed="false">
      <c r="A125" s="32"/>
      <c r="B125" s="32"/>
      <c r="C125" s="32"/>
      <c r="D125" s="33"/>
      <c r="E125" s="32"/>
      <c r="F125" s="35"/>
      <c r="G125" s="35"/>
      <c r="H125" s="32"/>
      <c r="I125" s="33"/>
      <c r="J125" s="37" t="str">
        <f aca="true">IF(OR(C125="",H125="Complete",H125="Not Applicable",F125=""),"",IF(F125&lt;TODAY(),"Overdue",""))</f>
        <v/>
      </c>
    </row>
    <row r="126" customFormat="false" ht="15" hidden="false" customHeight="false" outlineLevel="0" collapsed="false">
      <c r="A126" s="32"/>
      <c r="B126" s="32"/>
      <c r="C126" s="32"/>
      <c r="D126" s="33"/>
      <c r="E126" s="32"/>
      <c r="F126" s="35"/>
      <c r="G126" s="35"/>
      <c r="H126" s="32"/>
      <c r="I126" s="33"/>
      <c r="J126" s="37" t="str">
        <f aca="true">IF(OR(C126="",H126="Complete",H126="Not Applicable",F126=""),"",IF(F126&lt;TODAY(),"Overdue",""))</f>
        <v/>
      </c>
    </row>
    <row r="127" customFormat="false" ht="15" hidden="false" customHeight="false" outlineLevel="0" collapsed="false">
      <c r="A127" s="32"/>
      <c r="B127" s="32"/>
      <c r="C127" s="32"/>
      <c r="D127" s="33"/>
      <c r="E127" s="32"/>
      <c r="F127" s="35"/>
      <c r="G127" s="35"/>
      <c r="H127" s="32"/>
      <c r="I127" s="33"/>
      <c r="J127" s="37" t="str">
        <f aca="true">IF(OR(C127="",H127="Complete",H127="Not Applicable",F127=""),"",IF(F127&lt;TODAY(),"Overdue",""))</f>
        <v/>
      </c>
    </row>
    <row r="128" customFormat="false" ht="15" hidden="false" customHeight="false" outlineLevel="0" collapsed="false">
      <c r="A128" s="32"/>
      <c r="B128" s="32"/>
      <c r="C128" s="32"/>
      <c r="D128" s="33"/>
      <c r="E128" s="32"/>
      <c r="F128" s="35"/>
      <c r="G128" s="35"/>
      <c r="H128" s="32"/>
      <c r="I128" s="33"/>
      <c r="J128" s="37" t="str">
        <f aca="true">IF(OR(C128="",H128="Complete",H128="Not Applicable",F128=""),"",IF(F128&lt;TODAY(),"Overdue",""))</f>
        <v/>
      </c>
    </row>
    <row r="129" customFormat="false" ht="15" hidden="false" customHeight="false" outlineLevel="0" collapsed="false">
      <c r="A129" s="32"/>
      <c r="B129" s="32"/>
      <c r="C129" s="32"/>
      <c r="D129" s="33"/>
      <c r="E129" s="32"/>
      <c r="F129" s="35"/>
      <c r="G129" s="35"/>
      <c r="H129" s="32"/>
      <c r="I129" s="33"/>
      <c r="J129" s="37" t="str">
        <f aca="true">IF(OR(C129="",H129="Complete",H129="Not Applicable",F129=""),"",IF(F129&lt;TODAY(),"Overdue",""))</f>
        <v/>
      </c>
    </row>
    <row r="130" customFormat="false" ht="15" hidden="false" customHeight="false" outlineLevel="0" collapsed="false">
      <c r="A130" s="32"/>
      <c r="B130" s="32"/>
      <c r="C130" s="32"/>
      <c r="D130" s="33"/>
      <c r="E130" s="32"/>
      <c r="F130" s="35"/>
      <c r="G130" s="35"/>
      <c r="H130" s="32"/>
      <c r="I130" s="33"/>
      <c r="J130" s="37" t="str">
        <f aca="true">IF(OR(C130="",H130="Complete",H130="Not Applicable",F130=""),"",IF(F130&lt;TODAY(),"Overdue",""))</f>
        <v/>
      </c>
    </row>
    <row r="131" customFormat="false" ht="15" hidden="false" customHeight="false" outlineLevel="0" collapsed="false">
      <c r="A131" s="32"/>
      <c r="B131" s="32"/>
      <c r="C131" s="32"/>
      <c r="D131" s="33"/>
      <c r="E131" s="32"/>
      <c r="F131" s="35"/>
      <c r="G131" s="35"/>
      <c r="H131" s="32"/>
      <c r="I131" s="33"/>
      <c r="J131" s="37" t="str">
        <f aca="true">IF(OR(C131="",H131="Complete",H131="Not Applicable",F131=""),"",IF(F131&lt;TODAY(),"Overdue",""))</f>
        <v/>
      </c>
    </row>
    <row r="132" customFormat="false" ht="15" hidden="false" customHeight="false" outlineLevel="0" collapsed="false">
      <c r="A132" s="32"/>
      <c r="B132" s="32"/>
      <c r="C132" s="32"/>
      <c r="D132" s="33"/>
      <c r="E132" s="32"/>
      <c r="F132" s="35"/>
      <c r="G132" s="35"/>
      <c r="H132" s="32"/>
      <c r="I132" s="33"/>
      <c r="J132" s="37" t="str">
        <f aca="true">IF(OR(C132="",H132="Complete",H132="Not Applicable",F132=""),"",IF(F132&lt;TODAY(),"Overdue",""))</f>
        <v/>
      </c>
    </row>
    <row r="133" customFormat="false" ht="15" hidden="false" customHeight="false" outlineLevel="0" collapsed="false">
      <c r="A133" s="32"/>
      <c r="B133" s="32"/>
      <c r="C133" s="32"/>
      <c r="D133" s="33"/>
      <c r="E133" s="32"/>
      <c r="F133" s="35"/>
      <c r="G133" s="35"/>
      <c r="H133" s="32"/>
      <c r="I133" s="33"/>
      <c r="J133" s="37" t="str">
        <f aca="true">IF(OR(C133="",H133="Complete",H133="Not Applicable",F133=""),"",IF(F133&lt;TODAY(),"Overdue",""))</f>
        <v/>
      </c>
    </row>
    <row r="134" customFormat="false" ht="15" hidden="false" customHeight="false" outlineLevel="0" collapsed="false">
      <c r="A134" s="32"/>
      <c r="B134" s="32"/>
      <c r="C134" s="32"/>
      <c r="D134" s="33"/>
      <c r="E134" s="32"/>
      <c r="F134" s="35"/>
      <c r="G134" s="35"/>
      <c r="H134" s="32"/>
      <c r="I134" s="33"/>
      <c r="J134" s="37" t="str">
        <f aca="true">IF(OR(C134="",H134="Complete",H134="Not Applicable",F134=""),"",IF(F134&lt;TODAY(),"Overdue",""))</f>
        <v/>
      </c>
    </row>
    <row r="135" customFormat="false" ht="15" hidden="false" customHeight="false" outlineLevel="0" collapsed="false">
      <c r="A135" s="32"/>
      <c r="B135" s="32"/>
      <c r="C135" s="32"/>
      <c r="D135" s="33"/>
      <c r="E135" s="32"/>
      <c r="F135" s="35"/>
      <c r="G135" s="35"/>
      <c r="H135" s="32"/>
      <c r="I135" s="33"/>
      <c r="J135" s="37" t="str">
        <f aca="true">IF(OR(C135="",H135="Complete",H135="Not Applicable",F135=""),"",IF(F135&lt;TODAY(),"Overdue",""))</f>
        <v/>
      </c>
    </row>
    <row r="136" customFormat="false" ht="15" hidden="false" customHeight="false" outlineLevel="0" collapsed="false">
      <c r="A136" s="32"/>
      <c r="B136" s="32"/>
      <c r="C136" s="32"/>
      <c r="D136" s="33"/>
      <c r="E136" s="32"/>
      <c r="F136" s="35"/>
      <c r="G136" s="35"/>
      <c r="H136" s="32"/>
      <c r="I136" s="33"/>
      <c r="J136" s="37" t="str">
        <f aca="true">IF(OR(C136="",H136="Complete",H136="Not Applicable",F136=""),"",IF(F136&lt;TODAY(),"Overdue",""))</f>
        <v/>
      </c>
    </row>
    <row r="137" customFormat="false" ht="15" hidden="false" customHeight="false" outlineLevel="0" collapsed="false">
      <c r="A137" s="32"/>
      <c r="B137" s="32"/>
      <c r="C137" s="32"/>
      <c r="D137" s="33"/>
      <c r="E137" s="32"/>
      <c r="F137" s="35"/>
      <c r="G137" s="35"/>
      <c r="H137" s="32"/>
      <c r="I137" s="33"/>
      <c r="J137" s="37" t="str">
        <f aca="true">IF(OR(C137="",H137="Complete",H137="Not Applicable",F137=""),"",IF(F137&lt;TODAY(),"Overdue",""))</f>
        <v/>
      </c>
    </row>
    <row r="138" customFormat="false" ht="15" hidden="false" customHeight="false" outlineLevel="0" collapsed="false">
      <c r="A138" s="32"/>
      <c r="B138" s="32"/>
      <c r="C138" s="32"/>
      <c r="D138" s="33"/>
      <c r="E138" s="32"/>
      <c r="F138" s="35"/>
      <c r="G138" s="35"/>
      <c r="H138" s="32"/>
      <c r="I138" s="33"/>
      <c r="J138" s="37" t="str">
        <f aca="true">IF(OR(C138="",H138="Complete",H138="Not Applicable",F138=""),"",IF(F138&lt;TODAY(),"Overdue",""))</f>
        <v/>
      </c>
    </row>
    <row r="139" customFormat="false" ht="15" hidden="false" customHeight="false" outlineLevel="0" collapsed="false">
      <c r="A139" s="32"/>
      <c r="B139" s="32"/>
      <c r="C139" s="32"/>
      <c r="D139" s="33"/>
      <c r="E139" s="32"/>
      <c r="F139" s="35"/>
      <c r="G139" s="35"/>
      <c r="H139" s="32"/>
      <c r="I139" s="33"/>
      <c r="J139" s="37" t="str">
        <f aca="true">IF(OR(C139="",H139="Complete",H139="Not Applicable",F139=""),"",IF(F139&lt;TODAY(),"Overdue",""))</f>
        <v/>
      </c>
    </row>
    <row r="140" customFormat="false" ht="15" hidden="false" customHeight="false" outlineLevel="0" collapsed="false">
      <c r="A140" s="32"/>
      <c r="B140" s="32"/>
      <c r="C140" s="32"/>
      <c r="D140" s="33"/>
      <c r="E140" s="32"/>
      <c r="F140" s="35"/>
      <c r="G140" s="35"/>
      <c r="H140" s="32"/>
      <c r="I140" s="33"/>
      <c r="J140" s="37" t="str">
        <f aca="true">IF(OR(C140="",H140="Complete",H140="Not Applicable",F140=""),"",IF(F140&lt;TODAY(),"Overdue",""))</f>
        <v/>
      </c>
    </row>
    <row r="141" customFormat="false" ht="15" hidden="false" customHeight="false" outlineLevel="0" collapsed="false">
      <c r="A141" s="32"/>
      <c r="B141" s="32"/>
      <c r="C141" s="32"/>
      <c r="D141" s="33"/>
      <c r="E141" s="32"/>
      <c r="F141" s="35"/>
      <c r="G141" s="35"/>
      <c r="H141" s="32"/>
      <c r="I141" s="33"/>
      <c r="J141" s="37" t="str">
        <f aca="true">IF(OR(C141="",H141="Complete",H141="Not Applicable",F141=""),"",IF(F141&lt;TODAY(),"Overdue",""))</f>
        <v/>
      </c>
    </row>
    <row r="142" customFormat="false" ht="15" hidden="false" customHeight="false" outlineLevel="0" collapsed="false">
      <c r="A142" s="32"/>
      <c r="B142" s="32"/>
      <c r="C142" s="32"/>
      <c r="D142" s="33"/>
      <c r="E142" s="32"/>
      <c r="F142" s="35"/>
      <c r="G142" s="35"/>
      <c r="H142" s="32"/>
      <c r="I142" s="33"/>
      <c r="J142" s="37" t="str">
        <f aca="true">IF(OR(C142="",H142="Complete",H142="Not Applicable",F142=""),"",IF(F142&lt;TODAY(),"Overdue",""))</f>
        <v/>
      </c>
    </row>
    <row r="143" customFormat="false" ht="15" hidden="false" customHeight="false" outlineLevel="0" collapsed="false">
      <c r="A143" s="32"/>
      <c r="B143" s="32"/>
      <c r="C143" s="32"/>
      <c r="D143" s="33"/>
      <c r="E143" s="32"/>
      <c r="F143" s="35"/>
      <c r="G143" s="35"/>
      <c r="H143" s="32"/>
      <c r="I143" s="33"/>
      <c r="J143" s="37" t="str">
        <f aca="true">IF(OR(C143="",H143="Complete",H143="Not Applicable",F143=""),"",IF(F143&lt;TODAY(),"Overdue",""))</f>
        <v/>
      </c>
    </row>
    <row r="144" customFormat="false" ht="15" hidden="false" customHeight="false" outlineLevel="0" collapsed="false">
      <c r="A144" s="32"/>
      <c r="B144" s="32"/>
      <c r="C144" s="32"/>
      <c r="D144" s="33"/>
      <c r="E144" s="32"/>
      <c r="F144" s="35"/>
      <c r="G144" s="35"/>
      <c r="H144" s="32"/>
      <c r="I144" s="33"/>
      <c r="J144" s="37" t="str">
        <f aca="true">IF(OR(C144="",H144="Complete",H144="Not Applicable",F144=""),"",IF(F144&lt;TODAY(),"Overdue",""))</f>
        <v/>
      </c>
    </row>
    <row r="145" customFormat="false" ht="15" hidden="false" customHeight="false" outlineLevel="0" collapsed="false">
      <c r="A145" s="32"/>
      <c r="B145" s="32"/>
      <c r="C145" s="32"/>
      <c r="D145" s="33"/>
      <c r="E145" s="32"/>
      <c r="F145" s="35"/>
      <c r="G145" s="35"/>
      <c r="H145" s="32"/>
      <c r="I145" s="33"/>
      <c r="J145" s="37" t="str">
        <f aca="true">IF(OR(C145="",H145="Complete",H145="Not Applicable",F145=""),"",IF(F145&lt;TODAY(),"Overdue",""))</f>
        <v/>
      </c>
    </row>
    <row r="146" customFormat="false" ht="15" hidden="false" customHeight="false" outlineLevel="0" collapsed="false">
      <c r="A146" s="32"/>
      <c r="B146" s="32"/>
      <c r="C146" s="32"/>
      <c r="D146" s="33"/>
      <c r="E146" s="32"/>
      <c r="F146" s="35"/>
      <c r="G146" s="35"/>
      <c r="H146" s="32"/>
      <c r="I146" s="33"/>
      <c r="J146" s="37" t="str">
        <f aca="true">IF(OR(C146="",H146="Complete",H146="Not Applicable",F146=""),"",IF(F146&lt;TODAY(),"Overdue",""))</f>
        <v/>
      </c>
    </row>
    <row r="147" customFormat="false" ht="15" hidden="false" customHeight="false" outlineLevel="0" collapsed="false">
      <c r="A147" s="32"/>
      <c r="B147" s="32"/>
      <c r="C147" s="32"/>
      <c r="D147" s="33"/>
      <c r="E147" s="32"/>
      <c r="F147" s="35"/>
      <c r="G147" s="35"/>
      <c r="H147" s="32"/>
      <c r="I147" s="33"/>
      <c r="J147" s="37" t="str">
        <f aca="true">IF(OR(C147="",H147="Complete",H147="Not Applicable",F147=""),"",IF(F147&lt;TODAY(),"Overdue",""))</f>
        <v/>
      </c>
    </row>
    <row r="148" customFormat="false" ht="15" hidden="false" customHeight="false" outlineLevel="0" collapsed="false">
      <c r="A148" s="32"/>
      <c r="B148" s="32"/>
      <c r="C148" s="32"/>
      <c r="D148" s="33"/>
      <c r="E148" s="32"/>
      <c r="F148" s="35"/>
      <c r="G148" s="35"/>
      <c r="H148" s="32"/>
      <c r="I148" s="33"/>
      <c r="J148" s="37" t="str">
        <f aca="true">IF(OR(C148="",H148="Complete",H148="Not Applicable",F148=""),"",IF(F148&lt;TODAY(),"Overdue",""))</f>
        <v/>
      </c>
    </row>
    <row r="149" customFormat="false" ht="15" hidden="false" customHeight="false" outlineLevel="0" collapsed="false">
      <c r="A149" s="32"/>
      <c r="B149" s="32"/>
      <c r="C149" s="32"/>
      <c r="D149" s="33"/>
      <c r="E149" s="32"/>
      <c r="F149" s="35"/>
      <c r="G149" s="35"/>
      <c r="H149" s="32"/>
      <c r="I149" s="33"/>
      <c r="J149" s="37" t="str">
        <f aca="true">IF(OR(C149="",H149="Complete",H149="Not Applicable",F149=""),"",IF(F149&lt;TODAY(),"Overdue",""))</f>
        <v/>
      </c>
    </row>
    <row r="150" customFormat="false" ht="15" hidden="false" customHeight="false" outlineLevel="0" collapsed="false">
      <c r="A150" s="32"/>
      <c r="B150" s="32"/>
      <c r="C150" s="32"/>
      <c r="D150" s="33"/>
      <c r="E150" s="32"/>
      <c r="F150" s="35"/>
      <c r="G150" s="35"/>
      <c r="H150" s="32"/>
      <c r="I150" s="33"/>
      <c r="J150" s="37" t="str">
        <f aca="true">IF(OR(C150="",H150="Complete",H150="Not Applicable",F150=""),"",IF(F150&lt;TODAY(),"Overdue",""))</f>
        <v/>
      </c>
    </row>
    <row r="151" customFormat="false" ht="15" hidden="false" customHeight="false" outlineLevel="0" collapsed="false">
      <c r="A151" s="32"/>
      <c r="B151" s="32"/>
      <c r="C151" s="32"/>
      <c r="D151" s="33"/>
      <c r="E151" s="32"/>
      <c r="F151" s="35"/>
      <c r="G151" s="35"/>
      <c r="H151" s="32"/>
      <c r="I151" s="33"/>
      <c r="J151" s="37" t="str">
        <f aca="true">IF(OR(C151="",H151="Complete",H151="Not Applicable",F151=""),"",IF(F151&lt;TODAY(),"Overdue",""))</f>
        <v/>
      </c>
    </row>
    <row r="152" customFormat="false" ht="15" hidden="false" customHeight="false" outlineLevel="0" collapsed="false">
      <c r="A152" s="32"/>
      <c r="B152" s="32"/>
      <c r="C152" s="32"/>
      <c r="D152" s="33"/>
      <c r="E152" s="32"/>
      <c r="F152" s="35"/>
      <c r="G152" s="35"/>
      <c r="H152" s="32"/>
      <c r="I152" s="33"/>
      <c r="J152" s="37" t="str">
        <f aca="true">IF(OR(C152="",H152="Complete",H152="Not Applicable",F152=""),"",IF(F152&lt;TODAY(),"Overdue",""))</f>
        <v/>
      </c>
    </row>
    <row r="153" customFormat="false" ht="15" hidden="false" customHeight="false" outlineLevel="0" collapsed="false">
      <c r="A153" s="32"/>
      <c r="B153" s="32"/>
      <c r="C153" s="32"/>
      <c r="D153" s="33"/>
      <c r="E153" s="32"/>
      <c r="F153" s="35"/>
      <c r="G153" s="35"/>
      <c r="H153" s="32"/>
      <c r="I153" s="33"/>
      <c r="J153" s="37" t="str">
        <f aca="true">IF(OR(C153="",H153="Complete",H153="Not Applicable",F153=""),"",IF(F153&lt;TODAY(),"Overdue",""))</f>
        <v/>
      </c>
    </row>
    <row r="154" customFormat="false" ht="15" hidden="false" customHeight="false" outlineLevel="0" collapsed="false">
      <c r="A154" s="32"/>
      <c r="B154" s="32"/>
      <c r="C154" s="32"/>
      <c r="D154" s="33"/>
      <c r="E154" s="32"/>
      <c r="F154" s="35"/>
      <c r="G154" s="35"/>
      <c r="H154" s="32"/>
      <c r="I154" s="33"/>
      <c r="J154" s="37" t="str">
        <f aca="true">IF(OR(C154="",H154="Complete",H154="Not Applicable",F154=""),"",IF(F154&lt;TODAY(),"Overdue",""))</f>
        <v/>
      </c>
    </row>
    <row r="155" customFormat="false" ht="15" hidden="false" customHeight="false" outlineLevel="0" collapsed="false">
      <c r="A155" s="32"/>
      <c r="B155" s="32"/>
      <c r="C155" s="32"/>
      <c r="D155" s="33"/>
      <c r="E155" s="32"/>
      <c r="F155" s="35"/>
      <c r="G155" s="35"/>
      <c r="H155" s="32"/>
      <c r="I155" s="33"/>
      <c r="J155" s="37" t="str">
        <f aca="true">IF(OR(C155="",H155="Complete",H155="Not Applicable",F155=""),"",IF(F155&lt;TODAY(),"Overdue",""))</f>
        <v/>
      </c>
    </row>
    <row r="156" customFormat="false" ht="15" hidden="false" customHeight="false" outlineLevel="0" collapsed="false">
      <c r="A156" s="32"/>
      <c r="B156" s="32"/>
      <c r="C156" s="32"/>
      <c r="D156" s="33"/>
      <c r="E156" s="32"/>
      <c r="F156" s="35"/>
      <c r="G156" s="35"/>
      <c r="H156" s="32"/>
      <c r="I156" s="33"/>
      <c r="J156" s="37" t="str">
        <f aca="true">IF(OR(C156="",H156="Complete",H156="Not Applicable",F156=""),"",IF(F156&lt;TODAY(),"Overdue",""))</f>
        <v/>
      </c>
    </row>
    <row r="157" customFormat="false" ht="15" hidden="false" customHeight="false" outlineLevel="0" collapsed="false">
      <c r="A157" s="32"/>
      <c r="B157" s="32"/>
      <c r="C157" s="32"/>
      <c r="D157" s="33"/>
      <c r="E157" s="32"/>
      <c r="F157" s="35"/>
      <c r="G157" s="35"/>
      <c r="H157" s="32"/>
      <c r="I157" s="33"/>
      <c r="J157" s="37" t="str">
        <f aca="true">IF(OR(C157="",H157="Complete",H157="Not Applicable",F157=""),"",IF(F157&lt;TODAY(),"Overdue",""))</f>
        <v/>
      </c>
    </row>
    <row r="158" customFormat="false" ht="15" hidden="false" customHeight="false" outlineLevel="0" collapsed="false">
      <c r="A158" s="32"/>
      <c r="B158" s="32"/>
      <c r="C158" s="32"/>
      <c r="D158" s="33"/>
      <c r="E158" s="32"/>
      <c r="F158" s="35"/>
      <c r="G158" s="35"/>
      <c r="H158" s="32"/>
      <c r="I158" s="33"/>
      <c r="J158" s="37" t="str">
        <f aca="true">IF(OR(C158="",H158="Complete",H158="Not Applicable",F158=""),"",IF(F158&lt;TODAY(),"Overdue",""))</f>
        <v/>
      </c>
    </row>
    <row r="159" customFormat="false" ht="15" hidden="false" customHeight="false" outlineLevel="0" collapsed="false">
      <c r="A159" s="32"/>
      <c r="B159" s="32"/>
      <c r="C159" s="32"/>
      <c r="D159" s="33"/>
      <c r="E159" s="32"/>
      <c r="F159" s="35"/>
      <c r="G159" s="35"/>
      <c r="H159" s="32"/>
      <c r="I159" s="33"/>
      <c r="J159" s="37" t="str">
        <f aca="true">IF(OR(C159="",H159="Complete",H159="Not Applicable",F159=""),"",IF(F159&lt;TODAY(),"Overdue",""))</f>
        <v/>
      </c>
    </row>
    <row r="160" customFormat="false" ht="15" hidden="false" customHeight="false" outlineLevel="0" collapsed="false">
      <c r="A160" s="32"/>
      <c r="B160" s="32"/>
      <c r="C160" s="32"/>
      <c r="D160" s="33"/>
      <c r="E160" s="32"/>
      <c r="F160" s="35"/>
      <c r="G160" s="35"/>
      <c r="H160" s="32"/>
      <c r="I160" s="33"/>
      <c r="J160" s="37" t="str">
        <f aca="true">IF(OR(C160="",H160="Complete",H160="Not Applicable",F160=""),"",IF(F160&lt;TODAY(),"Overdue",""))</f>
        <v/>
      </c>
    </row>
    <row r="161" customFormat="false" ht="15" hidden="false" customHeight="false" outlineLevel="0" collapsed="false">
      <c r="A161" s="32"/>
      <c r="B161" s="32"/>
      <c r="C161" s="32"/>
      <c r="D161" s="33"/>
      <c r="E161" s="32"/>
      <c r="F161" s="35"/>
      <c r="G161" s="35"/>
      <c r="H161" s="32"/>
      <c r="I161" s="33"/>
      <c r="J161" s="37" t="str">
        <f aca="true">IF(OR(C161="",H161="Complete",H161="Not Applicable",F161=""),"",IF(F161&lt;TODAY(),"Overdue",""))</f>
        <v/>
      </c>
    </row>
    <row r="162" customFormat="false" ht="15" hidden="false" customHeight="false" outlineLevel="0" collapsed="false">
      <c r="A162" s="32"/>
      <c r="B162" s="32"/>
      <c r="C162" s="32"/>
      <c r="D162" s="33"/>
      <c r="E162" s="32"/>
      <c r="F162" s="35"/>
      <c r="G162" s="35"/>
      <c r="H162" s="32"/>
      <c r="I162" s="33"/>
      <c r="J162" s="37" t="str">
        <f aca="true">IF(OR(C162="",H162="Complete",H162="Not Applicable",F162=""),"",IF(F162&lt;TODAY(),"Overdue",""))</f>
        <v/>
      </c>
    </row>
    <row r="163" customFormat="false" ht="15" hidden="false" customHeight="false" outlineLevel="0" collapsed="false">
      <c r="A163" s="32"/>
      <c r="B163" s="32"/>
      <c r="C163" s="32"/>
      <c r="D163" s="33"/>
      <c r="E163" s="32"/>
      <c r="F163" s="35"/>
      <c r="G163" s="35"/>
      <c r="H163" s="32"/>
      <c r="I163" s="33"/>
      <c r="J163" s="37" t="str">
        <f aca="true">IF(OR(C163="",H163="Complete",H163="Not Applicable",F163=""),"",IF(F163&lt;TODAY(),"Overdue",""))</f>
        <v/>
      </c>
    </row>
    <row r="164" customFormat="false" ht="15" hidden="false" customHeight="false" outlineLevel="0" collapsed="false">
      <c r="A164" s="32"/>
      <c r="B164" s="32"/>
      <c r="C164" s="32"/>
      <c r="D164" s="33"/>
      <c r="E164" s="32"/>
      <c r="F164" s="35"/>
      <c r="G164" s="35"/>
      <c r="H164" s="32"/>
      <c r="I164" s="33"/>
      <c r="J164" s="37" t="str">
        <f aca="true">IF(OR(C164="",H164="Complete",H164="Not Applicable",F164=""),"",IF(F164&lt;TODAY(),"Overdue",""))</f>
        <v/>
      </c>
    </row>
    <row r="165" customFormat="false" ht="15" hidden="false" customHeight="false" outlineLevel="0" collapsed="false">
      <c r="A165" s="32"/>
      <c r="B165" s="32"/>
      <c r="C165" s="32"/>
      <c r="D165" s="33"/>
      <c r="E165" s="32"/>
      <c r="F165" s="35"/>
      <c r="G165" s="35"/>
      <c r="H165" s="32"/>
      <c r="I165" s="33"/>
      <c r="J165" s="37" t="str">
        <f aca="true">IF(OR(C165="",H165="Complete",H165="Not Applicable",F165=""),"",IF(F165&lt;TODAY(),"Overdue",""))</f>
        <v/>
      </c>
    </row>
    <row r="166" customFormat="false" ht="15" hidden="false" customHeight="false" outlineLevel="0" collapsed="false">
      <c r="A166" s="32"/>
      <c r="B166" s="32"/>
      <c r="C166" s="32"/>
      <c r="D166" s="33"/>
      <c r="E166" s="32"/>
      <c r="F166" s="35"/>
      <c r="G166" s="35"/>
      <c r="H166" s="32"/>
      <c r="I166" s="33"/>
      <c r="J166" s="37" t="str">
        <f aca="true">IF(OR(C166="",H166="Complete",H166="Not Applicable",F166=""),"",IF(F166&lt;TODAY(),"Overdue",""))</f>
        <v/>
      </c>
    </row>
    <row r="167" customFormat="false" ht="15" hidden="false" customHeight="false" outlineLevel="0" collapsed="false">
      <c r="A167" s="32"/>
      <c r="B167" s="32"/>
      <c r="C167" s="32"/>
      <c r="D167" s="33"/>
      <c r="E167" s="32"/>
      <c r="F167" s="35"/>
      <c r="G167" s="35"/>
      <c r="H167" s="32"/>
      <c r="I167" s="33"/>
      <c r="J167" s="37" t="str">
        <f aca="true">IF(OR(C167="",H167="Complete",H167="Not Applicable",F167=""),"",IF(F167&lt;TODAY(),"Overdue",""))</f>
        <v/>
      </c>
    </row>
    <row r="168" customFormat="false" ht="15" hidden="false" customHeight="false" outlineLevel="0" collapsed="false">
      <c r="A168" s="32"/>
      <c r="B168" s="32"/>
      <c r="C168" s="32"/>
      <c r="D168" s="33"/>
      <c r="E168" s="32"/>
      <c r="F168" s="35"/>
      <c r="G168" s="35"/>
      <c r="H168" s="32"/>
      <c r="I168" s="33"/>
      <c r="J168" s="37" t="str">
        <f aca="true">IF(OR(C168="",H168="Complete",H168="Not Applicable",F168=""),"",IF(F168&lt;TODAY(),"Overdue",""))</f>
        <v/>
      </c>
    </row>
    <row r="169" customFormat="false" ht="15" hidden="false" customHeight="false" outlineLevel="0" collapsed="false">
      <c r="A169" s="32"/>
      <c r="B169" s="32"/>
      <c r="C169" s="32"/>
      <c r="D169" s="33"/>
      <c r="E169" s="32"/>
      <c r="F169" s="35"/>
      <c r="G169" s="35"/>
      <c r="H169" s="32"/>
      <c r="I169" s="33"/>
      <c r="J169" s="37" t="str">
        <f aca="true">IF(OR(C169="",H169="Complete",H169="Not Applicable",F169=""),"",IF(F169&lt;TODAY(),"Overdue",""))</f>
        <v/>
      </c>
    </row>
    <row r="170" customFormat="false" ht="15" hidden="false" customHeight="false" outlineLevel="0" collapsed="false">
      <c r="A170" s="32"/>
      <c r="B170" s="32"/>
      <c r="C170" s="32"/>
      <c r="D170" s="33"/>
      <c r="E170" s="32"/>
      <c r="F170" s="35"/>
      <c r="G170" s="35"/>
      <c r="H170" s="32"/>
      <c r="I170" s="33"/>
      <c r="J170" s="37" t="str">
        <f aca="true">IF(OR(C170="",H170="Complete",H170="Not Applicable",F170=""),"",IF(F170&lt;TODAY(),"Overdue",""))</f>
        <v/>
      </c>
    </row>
    <row r="171" customFormat="false" ht="15" hidden="false" customHeight="false" outlineLevel="0" collapsed="false">
      <c r="A171" s="32"/>
      <c r="B171" s="32"/>
      <c r="C171" s="32"/>
      <c r="D171" s="33"/>
      <c r="E171" s="32"/>
      <c r="F171" s="35"/>
      <c r="G171" s="35"/>
      <c r="H171" s="32"/>
      <c r="I171" s="33"/>
      <c r="J171" s="37" t="str">
        <f aca="true">IF(OR(C171="",H171="Complete",H171="Not Applicable",F171=""),"",IF(F171&lt;TODAY(),"Overdue",""))</f>
        <v/>
      </c>
    </row>
    <row r="172" customFormat="false" ht="15" hidden="false" customHeight="false" outlineLevel="0" collapsed="false">
      <c r="A172" s="32"/>
      <c r="B172" s="32"/>
      <c r="C172" s="32"/>
      <c r="D172" s="33"/>
      <c r="E172" s="32"/>
      <c r="F172" s="35"/>
      <c r="G172" s="35"/>
      <c r="H172" s="32"/>
      <c r="I172" s="33"/>
      <c r="J172" s="37" t="str">
        <f aca="true">IF(OR(C172="",H172="Complete",H172="Not Applicable",F172=""),"",IF(F172&lt;TODAY(),"Overdue",""))</f>
        <v/>
      </c>
    </row>
    <row r="173" customFormat="false" ht="15" hidden="false" customHeight="false" outlineLevel="0" collapsed="false">
      <c r="A173" s="32"/>
      <c r="B173" s="32"/>
      <c r="C173" s="32"/>
      <c r="D173" s="33"/>
      <c r="E173" s="32"/>
      <c r="F173" s="35"/>
      <c r="G173" s="35"/>
      <c r="H173" s="32"/>
      <c r="I173" s="33"/>
      <c r="J173" s="37" t="str">
        <f aca="true">IF(OR(C173="",H173="Complete",H173="Not Applicable",F173=""),"",IF(F173&lt;TODAY(),"Overdue",""))</f>
        <v/>
      </c>
    </row>
    <row r="174" customFormat="false" ht="15" hidden="false" customHeight="false" outlineLevel="0" collapsed="false">
      <c r="A174" s="32"/>
      <c r="B174" s="32"/>
      <c r="C174" s="32"/>
      <c r="D174" s="33"/>
      <c r="E174" s="32"/>
      <c r="F174" s="35"/>
      <c r="G174" s="35"/>
      <c r="H174" s="32"/>
      <c r="I174" s="33"/>
      <c r="J174" s="37" t="str">
        <f aca="true">IF(OR(C174="",H174="Complete",H174="Not Applicable",F174=""),"",IF(F174&lt;TODAY(),"Overdue",""))</f>
        <v/>
      </c>
    </row>
    <row r="175" customFormat="false" ht="15" hidden="false" customHeight="false" outlineLevel="0" collapsed="false">
      <c r="A175" s="32"/>
      <c r="B175" s="32"/>
      <c r="C175" s="32"/>
      <c r="D175" s="33"/>
      <c r="E175" s="32"/>
      <c r="F175" s="35"/>
      <c r="G175" s="35"/>
      <c r="H175" s="32"/>
      <c r="I175" s="33"/>
      <c r="J175" s="37" t="str">
        <f aca="true">IF(OR(C175="",H175="Complete",H175="Not Applicable",F175=""),"",IF(F175&lt;TODAY(),"Overdue",""))</f>
        <v/>
      </c>
    </row>
    <row r="176" customFormat="false" ht="15" hidden="false" customHeight="false" outlineLevel="0" collapsed="false">
      <c r="A176" s="32"/>
      <c r="B176" s="32"/>
      <c r="C176" s="32"/>
      <c r="D176" s="33"/>
      <c r="E176" s="32"/>
      <c r="F176" s="35"/>
      <c r="G176" s="35"/>
      <c r="H176" s="32"/>
      <c r="I176" s="33"/>
      <c r="J176" s="37" t="str">
        <f aca="true">IF(OR(C176="",H176="Complete",H176="Not Applicable",F176=""),"",IF(F176&lt;TODAY(),"Overdue",""))</f>
        <v/>
      </c>
    </row>
    <row r="177" customFormat="false" ht="15" hidden="false" customHeight="false" outlineLevel="0" collapsed="false">
      <c r="A177" s="32"/>
      <c r="B177" s="32"/>
      <c r="C177" s="32"/>
      <c r="D177" s="33"/>
      <c r="E177" s="32"/>
      <c r="F177" s="35"/>
      <c r="G177" s="35"/>
      <c r="H177" s="32"/>
      <c r="I177" s="33"/>
      <c r="J177" s="37" t="str">
        <f aca="true">IF(OR(C177="",H177="Complete",H177="Not Applicable",F177=""),"",IF(F177&lt;TODAY(),"Overdue",""))</f>
        <v/>
      </c>
    </row>
    <row r="178" customFormat="false" ht="15" hidden="false" customHeight="false" outlineLevel="0" collapsed="false">
      <c r="A178" s="32"/>
      <c r="B178" s="32"/>
      <c r="C178" s="32"/>
      <c r="D178" s="33"/>
      <c r="E178" s="32"/>
      <c r="F178" s="35"/>
      <c r="G178" s="35"/>
      <c r="H178" s="32"/>
      <c r="I178" s="33"/>
      <c r="J178" s="37" t="str">
        <f aca="true">IF(OR(C178="",H178="Complete",H178="Not Applicable",F178=""),"",IF(F178&lt;TODAY(),"Overdue",""))</f>
        <v/>
      </c>
    </row>
    <row r="179" customFormat="false" ht="15" hidden="false" customHeight="false" outlineLevel="0" collapsed="false">
      <c r="A179" s="32"/>
      <c r="B179" s="32"/>
      <c r="C179" s="32"/>
      <c r="D179" s="33"/>
      <c r="E179" s="32"/>
      <c r="F179" s="35"/>
      <c r="G179" s="35"/>
      <c r="H179" s="32"/>
      <c r="I179" s="33"/>
      <c r="J179" s="37" t="str">
        <f aca="true">IF(OR(C179="",H179="Complete",H179="Not Applicable",F179=""),"",IF(F179&lt;TODAY(),"Overdue",""))</f>
        <v/>
      </c>
    </row>
    <row r="180" customFormat="false" ht="15" hidden="false" customHeight="false" outlineLevel="0" collapsed="false">
      <c r="A180" s="32"/>
      <c r="B180" s="32"/>
      <c r="C180" s="32"/>
      <c r="D180" s="33"/>
      <c r="E180" s="32"/>
      <c r="F180" s="35"/>
      <c r="G180" s="35"/>
      <c r="H180" s="32"/>
      <c r="I180" s="33"/>
      <c r="J180" s="37" t="str">
        <f aca="true">IF(OR(C180="",H180="Complete",H180="Not Applicable",F180=""),"",IF(F180&lt;TODAY(),"Overdue",""))</f>
        <v/>
      </c>
    </row>
    <row r="181" customFormat="false" ht="15" hidden="false" customHeight="false" outlineLevel="0" collapsed="false">
      <c r="A181" s="32"/>
      <c r="B181" s="32"/>
      <c r="C181" s="32"/>
      <c r="D181" s="33"/>
      <c r="E181" s="32"/>
      <c r="F181" s="35"/>
      <c r="G181" s="35"/>
      <c r="H181" s="32"/>
      <c r="I181" s="33"/>
      <c r="J181" s="37" t="str">
        <f aca="true">IF(OR(C181="",H181="Complete",H181="Not Applicable",F181=""),"",IF(F181&lt;TODAY(),"Overdue",""))</f>
        <v/>
      </c>
    </row>
    <row r="182" customFormat="false" ht="15" hidden="false" customHeight="false" outlineLevel="0" collapsed="false">
      <c r="A182" s="32"/>
      <c r="B182" s="32"/>
      <c r="C182" s="32"/>
      <c r="D182" s="33"/>
      <c r="E182" s="32"/>
      <c r="F182" s="35"/>
      <c r="G182" s="35"/>
      <c r="H182" s="32"/>
      <c r="I182" s="33"/>
      <c r="J182" s="37" t="str">
        <f aca="true">IF(OR(C182="",H182="Complete",H182="Not Applicable",F182=""),"",IF(F182&lt;TODAY(),"Overdue",""))</f>
        <v/>
      </c>
    </row>
    <row r="183" customFormat="false" ht="15" hidden="false" customHeight="false" outlineLevel="0" collapsed="false">
      <c r="A183" s="32"/>
      <c r="B183" s="32"/>
      <c r="C183" s="32"/>
      <c r="D183" s="33"/>
      <c r="E183" s="32"/>
      <c r="F183" s="35"/>
      <c r="G183" s="35"/>
      <c r="H183" s="32"/>
      <c r="I183" s="33"/>
      <c r="J183" s="37" t="str">
        <f aca="true">IF(OR(C183="",H183="Complete",H183="Not Applicable",F183=""),"",IF(F183&lt;TODAY(),"Overdue",""))</f>
        <v/>
      </c>
    </row>
    <row r="184" customFormat="false" ht="15" hidden="false" customHeight="false" outlineLevel="0" collapsed="false">
      <c r="A184" s="32"/>
      <c r="B184" s="32"/>
      <c r="C184" s="32"/>
      <c r="D184" s="33"/>
      <c r="E184" s="32"/>
      <c r="F184" s="35"/>
      <c r="G184" s="35"/>
      <c r="H184" s="32"/>
      <c r="I184" s="33"/>
      <c r="J184" s="37" t="str">
        <f aca="true">IF(OR(C184="",H184="Complete",H184="Not Applicable",F184=""),"",IF(F184&lt;TODAY(),"Overdue",""))</f>
        <v/>
      </c>
    </row>
    <row r="185" customFormat="false" ht="15" hidden="false" customHeight="false" outlineLevel="0" collapsed="false">
      <c r="A185" s="32"/>
      <c r="B185" s="32"/>
      <c r="C185" s="32"/>
      <c r="D185" s="33"/>
      <c r="E185" s="32"/>
      <c r="F185" s="35"/>
      <c r="G185" s="35"/>
      <c r="H185" s="32"/>
      <c r="I185" s="33"/>
      <c r="J185" s="37" t="str">
        <f aca="true">IF(OR(C185="",H185="Complete",H185="Not Applicable",F185=""),"",IF(F185&lt;TODAY(),"Overdue",""))</f>
        <v/>
      </c>
    </row>
    <row r="186" customFormat="false" ht="15" hidden="false" customHeight="false" outlineLevel="0" collapsed="false">
      <c r="A186" s="32"/>
      <c r="B186" s="32"/>
      <c r="C186" s="32"/>
      <c r="D186" s="33"/>
      <c r="E186" s="32"/>
      <c r="F186" s="35"/>
      <c r="G186" s="35"/>
      <c r="H186" s="32"/>
      <c r="I186" s="33"/>
      <c r="J186" s="37" t="str">
        <f aca="true">IF(OR(C186="",H186="Complete",H186="Not Applicable",F186=""),"",IF(F186&lt;TODAY(),"Overdue",""))</f>
        <v/>
      </c>
    </row>
    <row r="187" customFormat="false" ht="15" hidden="false" customHeight="false" outlineLevel="0" collapsed="false">
      <c r="A187" s="32"/>
      <c r="B187" s="32"/>
      <c r="C187" s="32"/>
      <c r="D187" s="33"/>
      <c r="E187" s="32"/>
      <c r="F187" s="35"/>
      <c r="G187" s="35"/>
      <c r="H187" s="32"/>
      <c r="I187" s="33"/>
      <c r="J187" s="37" t="str">
        <f aca="true">IF(OR(C187="",H187="Complete",H187="Not Applicable",F187=""),"",IF(F187&lt;TODAY(),"Overdue",""))</f>
        <v/>
      </c>
    </row>
    <row r="188" customFormat="false" ht="15" hidden="false" customHeight="false" outlineLevel="0" collapsed="false">
      <c r="A188" s="32"/>
      <c r="B188" s="32"/>
      <c r="C188" s="32"/>
      <c r="D188" s="33"/>
      <c r="E188" s="32"/>
      <c r="F188" s="35"/>
      <c r="G188" s="35"/>
      <c r="H188" s="32"/>
      <c r="I188" s="33"/>
      <c r="J188" s="37" t="str">
        <f aca="true">IF(OR(C188="",H188="Complete",H188="Not Applicable",F188=""),"",IF(F188&lt;TODAY(),"Overdue",""))</f>
        <v/>
      </c>
    </row>
    <row r="189" customFormat="false" ht="15" hidden="false" customHeight="false" outlineLevel="0" collapsed="false">
      <c r="A189" s="32"/>
      <c r="B189" s="32"/>
      <c r="C189" s="32"/>
      <c r="D189" s="33"/>
      <c r="E189" s="32"/>
      <c r="F189" s="35"/>
      <c r="G189" s="35"/>
      <c r="H189" s="32"/>
      <c r="I189" s="33"/>
      <c r="J189" s="37" t="str">
        <f aca="true">IF(OR(C189="",H189="Complete",H189="Not Applicable",F189=""),"",IF(F189&lt;TODAY(),"Overdue",""))</f>
        <v/>
      </c>
    </row>
    <row r="190" customFormat="false" ht="15" hidden="false" customHeight="false" outlineLevel="0" collapsed="false">
      <c r="A190" s="32"/>
      <c r="B190" s="32"/>
      <c r="C190" s="32"/>
      <c r="D190" s="33"/>
      <c r="E190" s="32"/>
      <c r="F190" s="35"/>
      <c r="G190" s="35"/>
      <c r="H190" s="32"/>
      <c r="I190" s="33"/>
      <c r="J190" s="37" t="str">
        <f aca="true">IF(OR(C190="",H190="Complete",H190="Not Applicable",F190=""),"",IF(F190&lt;TODAY(),"Overdue",""))</f>
        <v/>
      </c>
    </row>
    <row r="191" customFormat="false" ht="15" hidden="false" customHeight="false" outlineLevel="0" collapsed="false">
      <c r="A191" s="32"/>
      <c r="B191" s="32"/>
      <c r="C191" s="32"/>
      <c r="D191" s="33"/>
      <c r="E191" s="32"/>
      <c r="F191" s="35"/>
      <c r="G191" s="35"/>
      <c r="H191" s="32"/>
      <c r="I191" s="33"/>
      <c r="J191" s="37" t="str">
        <f aca="true">IF(OR(C191="",H191="Complete",H191="Not Applicable",F191=""),"",IF(F191&lt;TODAY(),"Overdue",""))</f>
        <v/>
      </c>
    </row>
    <row r="192" customFormat="false" ht="15" hidden="false" customHeight="false" outlineLevel="0" collapsed="false">
      <c r="A192" s="32"/>
      <c r="B192" s="32"/>
      <c r="C192" s="32"/>
      <c r="D192" s="33"/>
      <c r="E192" s="32"/>
      <c r="F192" s="35"/>
      <c r="G192" s="35"/>
      <c r="H192" s="32"/>
      <c r="I192" s="33"/>
      <c r="J192" s="37" t="str">
        <f aca="true">IF(OR(C192="",H192="Complete",H192="Not Applicable",F192=""),"",IF(F192&lt;TODAY(),"Overdue",""))</f>
        <v/>
      </c>
    </row>
    <row r="193" customFormat="false" ht="15" hidden="false" customHeight="false" outlineLevel="0" collapsed="false">
      <c r="A193" s="32"/>
      <c r="B193" s="32"/>
      <c r="C193" s="32"/>
      <c r="D193" s="33"/>
      <c r="E193" s="32"/>
      <c r="F193" s="35"/>
      <c r="G193" s="35"/>
      <c r="H193" s="32"/>
      <c r="I193" s="33"/>
      <c r="J193" s="37" t="str">
        <f aca="true">IF(OR(C193="",H193="Complete",H193="Not Applicable",F193=""),"",IF(F193&lt;TODAY(),"Overdue",""))</f>
        <v/>
      </c>
    </row>
    <row r="194" customFormat="false" ht="15" hidden="false" customHeight="false" outlineLevel="0" collapsed="false">
      <c r="A194" s="32"/>
      <c r="B194" s="32"/>
      <c r="C194" s="32"/>
      <c r="D194" s="33"/>
      <c r="E194" s="32"/>
      <c r="F194" s="35"/>
      <c r="G194" s="35"/>
      <c r="H194" s="32"/>
      <c r="I194" s="33"/>
      <c r="J194" s="37" t="str">
        <f aca="true">IF(OR(C194="",H194="Complete",H194="Not Applicable",F194=""),"",IF(F194&lt;TODAY(),"Overdue",""))</f>
        <v/>
      </c>
    </row>
    <row r="195" customFormat="false" ht="15" hidden="false" customHeight="false" outlineLevel="0" collapsed="false">
      <c r="A195" s="32"/>
      <c r="B195" s="32"/>
      <c r="C195" s="32"/>
      <c r="D195" s="33"/>
      <c r="E195" s="32"/>
      <c r="F195" s="35"/>
      <c r="G195" s="35"/>
      <c r="H195" s="32"/>
      <c r="I195" s="33"/>
      <c r="J195" s="37" t="str">
        <f aca="true">IF(OR(C195="",H195="Complete",H195="Not Applicable",F195=""),"",IF(F195&lt;TODAY(),"Overdue",""))</f>
        <v/>
      </c>
    </row>
    <row r="196" customFormat="false" ht="15" hidden="false" customHeight="false" outlineLevel="0" collapsed="false">
      <c r="A196" s="32"/>
      <c r="B196" s="32"/>
      <c r="C196" s="32"/>
      <c r="D196" s="33"/>
      <c r="E196" s="32"/>
      <c r="F196" s="35"/>
      <c r="G196" s="35"/>
      <c r="H196" s="32"/>
      <c r="I196" s="33"/>
      <c r="J196" s="37" t="str">
        <f aca="true">IF(OR(C196="",H196="Complete",H196="Not Applicable",F196=""),"",IF(F196&lt;TODAY(),"Overdue",""))</f>
        <v/>
      </c>
    </row>
    <row r="197" customFormat="false" ht="15" hidden="false" customHeight="false" outlineLevel="0" collapsed="false">
      <c r="A197" s="32"/>
      <c r="B197" s="32"/>
      <c r="C197" s="32"/>
      <c r="D197" s="33"/>
      <c r="E197" s="32"/>
      <c r="F197" s="35"/>
      <c r="G197" s="35"/>
      <c r="H197" s="32"/>
      <c r="I197" s="33"/>
      <c r="J197" s="37" t="str">
        <f aca="true">IF(OR(C197="",H197="Complete",H197="Not Applicable",F197=""),"",IF(F197&lt;TODAY(),"Overdue",""))</f>
        <v/>
      </c>
    </row>
    <row r="198" customFormat="false" ht="15" hidden="false" customHeight="false" outlineLevel="0" collapsed="false">
      <c r="A198" s="32"/>
      <c r="B198" s="32"/>
      <c r="C198" s="32"/>
      <c r="D198" s="33"/>
      <c r="E198" s="32"/>
      <c r="F198" s="35"/>
      <c r="G198" s="35"/>
      <c r="H198" s="32"/>
      <c r="I198" s="33"/>
      <c r="J198" s="37" t="str">
        <f aca="true">IF(OR(C198="",H198="Complete",H198="Not Applicable",F198=""),"",IF(F198&lt;TODAY(),"Overdue",""))</f>
        <v/>
      </c>
    </row>
    <row r="199" customFormat="false" ht="15" hidden="false" customHeight="false" outlineLevel="0" collapsed="false">
      <c r="A199" s="32"/>
      <c r="B199" s="32"/>
      <c r="C199" s="32"/>
      <c r="D199" s="33"/>
      <c r="E199" s="32"/>
      <c r="F199" s="35"/>
      <c r="G199" s="35"/>
      <c r="H199" s="32"/>
      <c r="I199" s="33"/>
      <c r="J199" s="37" t="str">
        <f aca="true">IF(OR(C199="",H199="Complete",H199="Not Applicable",F199=""),"",IF(F199&lt;TODAY(),"Overdue",""))</f>
        <v/>
      </c>
    </row>
    <row r="200" customFormat="false" ht="15" hidden="false" customHeight="false" outlineLevel="0" collapsed="false">
      <c r="A200" s="32"/>
      <c r="B200" s="32"/>
      <c r="C200" s="32"/>
      <c r="D200" s="33"/>
      <c r="E200" s="32"/>
      <c r="F200" s="35"/>
      <c r="G200" s="35"/>
      <c r="H200" s="32"/>
      <c r="I200" s="33"/>
      <c r="J200" s="37" t="str">
        <f aca="true">IF(OR(C200="",H200="Complete",H200="Not Applicable",F200=""),"",IF(F200&lt;TODAY(),"Overdue",""))</f>
        <v/>
      </c>
    </row>
    <row r="201" customFormat="false" ht="15" hidden="false" customHeight="false" outlineLevel="0" collapsed="false">
      <c r="A201" s="32"/>
      <c r="B201" s="32"/>
      <c r="C201" s="32"/>
      <c r="D201" s="33"/>
      <c r="E201" s="32"/>
      <c r="F201" s="35"/>
      <c r="G201" s="35"/>
      <c r="H201" s="32"/>
      <c r="I201" s="33"/>
      <c r="J201" s="37" t="str">
        <f aca="true">IF(OR(C201="",H201="Complete",H201="Not Applicable",F201=""),"",IF(F201&lt;TODAY(),"Overdue",""))</f>
        <v/>
      </c>
    </row>
    <row r="202" customFormat="false" ht="15" hidden="false" customHeight="false" outlineLevel="0" collapsed="false">
      <c r="A202" s="32"/>
      <c r="B202" s="32"/>
      <c r="C202" s="32"/>
      <c r="D202" s="33"/>
      <c r="E202" s="32"/>
      <c r="F202" s="35"/>
      <c r="G202" s="35"/>
      <c r="H202" s="32"/>
      <c r="I202" s="33"/>
      <c r="J202" s="37" t="str">
        <f aca="true">IF(OR(C202="",H202="Complete",H202="Not Applicable",F202=""),"",IF(F202&lt;TODAY(),"Overdue",""))</f>
        <v/>
      </c>
    </row>
    <row r="203" customFormat="false" ht="15" hidden="false" customHeight="false" outlineLevel="0" collapsed="false">
      <c r="A203" s="32"/>
      <c r="B203" s="32"/>
      <c r="C203" s="32"/>
      <c r="D203" s="33"/>
      <c r="E203" s="32"/>
      <c r="F203" s="35"/>
      <c r="G203" s="35"/>
      <c r="H203" s="32"/>
      <c r="I203" s="33"/>
      <c r="J203" s="37" t="str">
        <f aca="true">IF(OR(C203="",H203="Complete",H203="Not Applicable",F203=""),"",IF(F203&lt;TODAY(),"Overdue",""))</f>
        <v/>
      </c>
    </row>
    <row r="204" customFormat="false" ht="15" hidden="false" customHeight="false" outlineLevel="0" collapsed="false">
      <c r="A204" s="32"/>
      <c r="B204" s="32"/>
      <c r="C204" s="32"/>
      <c r="D204" s="33"/>
      <c r="E204" s="32"/>
      <c r="F204" s="35"/>
      <c r="G204" s="35"/>
      <c r="H204" s="32"/>
      <c r="I204" s="33"/>
      <c r="J204" s="37" t="str">
        <f aca="true">IF(OR(C204="",H204="Complete",H204="Not Applicable",F204=""),"",IF(F204&lt;TODAY(),"Overdue",""))</f>
        <v/>
      </c>
    </row>
    <row r="205" customFormat="false" ht="15" hidden="false" customHeight="false" outlineLevel="0" collapsed="false">
      <c r="A205" s="32"/>
      <c r="B205" s="32"/>
      <c r="C205" s="32"/>
      <c r="D205" s="33"/>
      <c r="E205" s="32"/>
      <c r="F205" s="35"/>
      <c r="G205" s="35"/>
      <c r="H205" s="32"/>
      <c r="I205" s="33"/>
      <c r="J205" s="37" t="str">
        <f aca="true">IF(OR(C205="",H205="Complete",H205="Not Applicable",F205=""),"",IF(F205&lt;TODAY(),"Overdue",""))</f>
        <v/>
      </c>
    </row>
    <row r="206" customFormat="false" ht="15" hidden="false" customHeight="false" outlineLevel="0" collapsed="false">
      <c r="A206" s="32"/>
      <c r="B206" s="32"/>
      <c r="C206" s="32"/>
      <c r="D206" s="33"/>
      <c r="E206" s="32"/>
      <c r="F206" s="35"/>
      <c r="G206" s="35"/>
      <c r="H206" s="32"/>
      <c r="I206" s="33"/>
      <c r="J206" s="37" t="str">
        <f aca="true">IF(OR(C206="",H206="Complete",H206="Not Applicable",F206=""),"",IF(F206&lt;TODAY(),"Overdue",""))</f>
        <v/>
      </c>
    </row>
    <row r="207" customFormat="false" ht="15" hidden="false" customHeight="false" outlineLevel="0" collapsed="false">
      <c r="A207" s="32"/>
      <c r="B207" s="32"/>
      <c r="C207" s="32"/>
      <c r="D207" s="33"/>
      <c r="E207" s="32"/>
      <c r="F207" s="35"/>
      <c r="G207" s="35"/>
      <c r="H207" s="32"/>
      <c r="I207" s="33"/>
      <c r="J207" s="37" t="str">
        <f aca="true">IF(OR(C207="",H207="Complete",H207="Not Applicable",F207=""),"",IF(F207&lt;TODAY(),"Overdue",""))</f>
        <v/>
      </c>
    </row>
    <row r="208" customFormat="false" ht="15" hidden="false" customHeight="false" outlineLevel="0" collapsed="false">
      <c r="A208" s="32"/>
      <c r="B208" s="32"/>
      <c r="C208" s="32"/>
      <c r="D208" s="33"/>
      <c r="E208" s="32"/>
      <c r="F208" s="35"/>
      <c r="G208" s="35"/>
      <c r="H208" s="32"/>
      <c r="I208" s="33"/>
      <c r="J208" s="37" t="str">
        <f aca="true">IF(OR(C208="",H208="Complete",H208="Not Applicable",F208=""),"",IF(F208&lt;TODAY(),"Overdue",""))</f>
        <v/>
      </c>
    </row>
    <row r="209" customFormat="false" ht="15" hidden="false" customHeight="false" outlineLevel="0" collapsed="false">
      <c r="A209" s="32"/>
      <c r="B209" s="32"/>
      <c r="C209" s="32"/>
      <c r="D209" s="33"/>
      <c r="E209" s="32"/>
      <c r="F209" s="35"/>
      <c r="G209" s="35"/>
      <c r="H209" s="32"/>
      <c r="I209" s="33"/>
      <c r="J209" s="37" t="str">
        <f aca="true">IF(OR(C209="",H209="Complete",H209="Not Applicable",F209=""),"",IF(F209&lt;TODAY(),"Overdue",""))</f>
        <v/>
      </c>
    </row>
    <row r="210" customFormat="false" ht="15" hidden="false" customHeight="false" outlineLevel="0" collapsed="false">
      <c r="A210" s="32"/>
      <c r="B210" s="32"/>
      <c r="C210" s="32"/>
      <c r="D210" s="33"/>
      <c r="E210" s="32"/>
      <c r="F210" s="35"/>
      <c r="G210" s="35"/>
      <c r="H210" s="32"/>
      <c r="I210" s="33"/>
      <c r="J210" s="37" t="str">
        <f aca="true">IF(OR(C210="",H210="Complete",H210="Not Applicable",F210=""),"",IF(F210&lt;TODAY(),"Overdue",""))</f>
        <v/>
      </c>
    </row>
    <row r="211" customFormat="false" ht="15" hidden="false" customHeight="false" outlineLevel="0" collapsed="false">
      <c r="A211" s="32"/>
      <c r="B211" s="32"/>
      <c r="C211" s="32"/>
      <c r="D211" s="33"/>
      <c r="E211" s="32"/>
      <c r="F211" s="35"/>
      <c r="G211" s="35"/>
      <c r="H211" s="32"/>
      <c r="I211" s="33"/>
      <c r="J211" s="37" t="str">
        <f aca="true">IF(OR(C211="",H211="Complete",H211="Not Applicable",F211=""),"",IF(F211&lt;TODAY(),"Overdue",""))</f>
        <v/>
      </c>
    </row>
    <row r="212" customFormat="false" ht="15" hidden="false" customHeight="false" outlineLevel="0" collapsed="false">
      <c r="A212" s="32"/>
      <c r="B212" s="32"/>
      <c r="C212" s="32"/>
      <c r="D212" s="33"/>
      <c r="E212" s="32"/>
      <c r="F212" s="35"/>
      <c r="G212" s="35"/>
      <c r="H212" s="32"/>
      <c r="I212" s="33"/>
      <c r="J212" s="37" t="str">
        <f aca="true">IF(OR(C212="",H212="Complete",H212="Not Applicable",F212=""),"",IF(F212&lt;TODAY(),"Overdue",""))</f>
        <v/>
      </c>
    </row>
    <row r="213" customFormat="false" ht="15" hidden="false" customHeight="false" outlineLevel="0" collapsed="false">
      <c r="A213" s="32"/>
      <c r="B213" s="32"/>
      <c r="C213" s="32"/>
      <c r="D213" s="33"/>
      <c r="E213" s="32"/>
      <c r="F213" s="35"/>
      <c r="G213" s="35"/>
      <c r="H213" s="32"/>
      <c r="I213" s="33"/>
      <c r="J213" s="37" t="str">
        <f aca="true">IF(OR(C213="",H213="Complete",H213="Not Applicable",F213=""),"",IF(F213&lt;TODAY(),"Overdue",""))</f>
        <v/>
      </c>
    </row>
    <row r="214" customFormat="false" ht="15" hidden="false" customHeight="false" outlineLevel="0" collapsed="false">
      <c r="A214" s="32"/>
      <c r="B214" s="32"/>
      <c r="C214" s="32"/>
      <c r="D214" s="33"/>
      <c r="E214" s="32"/>
      <c r="F214" s="35"/>
      <c r="G214" s="35"/>
      <c r="H214" s="32"/>
      <c r="I214" s="33"/>
      <c r="J214" s="37" t="str">
        <f aca="true">IF(OR(C214="",H214="Complete",H214="Not Applicable",F214=""),"",IF(F214&lt;TODAY(),"Overdue",""))</f>
        <v/>
      </c>
    </row>
    <row r="215" customFormat="false" ht="15" hidden="false" customHeight="false" outlineLevel="0" collapsed="false">
      <c r="A215" s="32"/>
      <c r="B215" s="32"/>
      <c r="C215" s="32"/>
      <c r="D215" s="33"/>
      <c r="E215" s="32"/>
      <c r="F215" s="35"/>
      <c r="G215" s="35"/>
      <c r="H215" s="32"/>
      <c r="I215" s="33"/>
      <c r="J215" s="37" t="str">
        <f aca="true">IF(OR(C215="",H215="Complete",H215="Not Applicable",F215=""),"",IF(F215&lt;TODAY(),"Overdue",""))</f>
        <v/>
      </c>
    </row>
    <row r="216" customFormat="false" ht="15" hidden="false" customHeight="false" outlineLevel="0" collapsed="false">
      <c r="A216" s="32"/>
      <c r="B216" s="32"/>
      <c r="C216" s="32"/>
      <c r="D216" s="33"/>
      <c r="E216" s="32"/>
      <c r="F216" s="35"/>
      <c r="G216" s="35"/>
      <c r="H216" s="32"/>
      <c r="I216" s="33"/>
      <c r="J216" s="37" t="str">
        <f aca="true">IF(OR(C216="",H216="Complete",H216="Not Applicable",F216=""),"",IF(F216&lt;TODAY(),"Overdue",""))</f>
        <v/>
      </c>
    </row>
    <row r="217" customFormat="false" ht="15" hidden="false" customHeight="false" outlineLevel="0" collapsed="false">
      <c r="A217" s="32"/>
      <c r="B217" s="32"/>
      <c r="C217" s="32"/>
      <c r="D217" s="33"/>
      <c r="E217" s="32"/>
      <c r="F217" s="35"/>
      <c r="G217" s="35"/>
      <c r="H217" s="32"/>
      <c r="I217" s="33"/>
      <c r="J217" s="37" t="str">
        <f aca="true">IF(OR(C217="",H217="Complete",H217="Not Applicable",F217=""),"",IF(F217&lt;TODAY(),"Overdue",""))</f>
        <v/>
      </c>
    </row>
    <row r="218" customFormat="false" ht="15" hidden="false" customHeight="false" outlineLevel="0" collapsed="false">
      <c r="A218" s="32"/>
      <c r="B218" s="32"/>
      <c r="C218" s="32"/>
      <c r="D218" s="33"/>
      <c r="E218" s="32"/>
      <c r="F218" s="35"/>
      <c r="G218" s="35"/>
      <c r="H218" s="32"/>
      <c r="I218" s="33"/>
      <c r="J218" s="37" t="str">
        <f aca="true">IF(OR(C218="",H218="Complete",H218="Not Applicable",F218=""),"",IF(F218&lt;TODAY(),"Overdue",""))</f>
        <v/>
      </c>
    </row>
    <row r="219" customFormat="false" ht="15" hidden="false" customHeight="false" outlineLevel="0" collapsed="false">
      <c r="A219" s="32"/>
      <c r="B219" s="32"/>
      <c r="C219" s="32"/>
      <c r="D219" s="33"/>
      <c r="E219" s="32"/>
      <c r="F219" s="35"/>
      <c r="G219" s="35"/>
      <c r="H219" s="32"/>
      <c r="I219" s="33"/>
      <c r="J219" s="37" t="str">
        <f aca="true">IF(OR(C219="",H219="Complete",H219="Not Applicable",F219=""),"",IF(F219&lt;TODAY(),"Overdue",""))</f>
        <v/>
      </c>
    </row>
    <row r="220" customFormat="false" ht="15" hidden="false" customHeight="false" outlineLevel="0" collapsed="false">
      <c r="A220" s="32"/>
      <c r="B220" s="32"/>
      <c r="C220" s="32"/>
      <c r="D220" s="33"/>
      <c r="E220" s="32"/>
      <c r="F220" s="35"/>
      <c r="G220" s="35"/>
      <c r="H220" s="32"/>
      <c r="I220" s="33"/>
      <c r="J220" s="37" t="str">
        <f aca="true">IF(OR(C220="",H220="Complete",H220="Not Applicable",F220=""),"",IF(F220&lt;TODAY(),"Overdue",""))</f>
        <v/>
      </c>
    </row>
    <row r="221" customFormat="false" ht="15" hidden="false" customHeight="false" outlineLevel="0" collapsed="false">
      <c r="A221" s="32"/>
      <c r="B221" s="32"/>
      <c r="C221" s="32"/>
      <c r="D221" s="33"/>
      <c r="E221" s="32"/>
      <c r="F221" s="35"/>
      <c r="G221" s="35"/>
      <c r="H221" s="32"/>
      <c r="I221" s="33"/>
      <c r="J221" s="37" t="str">
        <f aca="true">IF(OR(C221="",H221="Complete",H221="Not Applicable",F221=""),"",IF(F221&lt;TODAY(),"Overdue",""))</f>
        <v/>
      </c>
    </row>
    <row r="222" customFormat="false" ht="15" hidden="false" customHeight="false" outlineLevel="0" collapsed="false">
      <c r="A222" s="32"/>
      <c r="B222" s="32"/>
      <c r="C222" s="32"/>
      <c r="D222" s="33"/>
      <c r="E222" s="32"/>
      <c r="F222" s="35"/>
      <c r="G222" s="35"/>
      <c r="H222" s="32"/>
      <c r="I222" s="33"/>
      <c r="J222" s="37" t="str">
        <f aca="true">IF(OR(C222="",H222="Complete",H222="Not Applicable",F222=""),"",IF(F222&lt;TODAY(),"Overdue",""))</f>
        <v/>
      </c>
    </row>
    <row r="223" customFormat="false" ht="15" hidden="false" customHeight="false" outlineLevel="0" collapsed="false">
      <c r="A223" s="32"/>
      <c r="B223" s="32"/>
      <c r="C223" s="32"/>
      <c r="D223" s="33"/>
      <c r="E223" s="32"/>
      <c r="F223" s="35"/>
      <c r="G223" s="35"/>
      <c r="H223" s="32"/>
      <c r="I223" s="33"/>
      <c r="J223" s="37" t="str">
        <f aca="true">IF(OR(C223="",H223="Complete",H223="Not Applicable",F223=""),"",IF(F223&lt;TODAY(),"Overdue",""))</f>
        <v/>
      </c>
    </row>
    <row r="224" customFormat="false" ht="15" hidden="false" customHeight="false" outlineLevel="0" collapsed="false">
      <c r="A224" s="32"/>
      <c r="B224" s="32"/>
      <c r="C224" s="32"/>
      <c r="D224" s="33"/>
      <c r="E224" s="32"/>
      <c r="F224" s="35"/>
      <c r="G224" s="35"/>
      <c r="H224" s="32"/>
      <c r="I224" s="33"/>
      <c r="J224" s="37" t="str">
        <f aca="true">IF(OR(C224="",H224="Complete",H224="Not Applicable",F224=""),"",IF(F224&lt;TODAY(),"Overdue",""))</f>
        <v/>
      </c>
    </row>
    <row r="225" customFormat="false" ht="15" hidden="false" customHeight="false" outlineLevel="0" collapsed="false">
      <c r="A225" s="32"/>
      <c r="B225" s="32"/>
      <c r="C225" s="32"/>
      <c r="D225" s="33"/>
      <c r="E225" s="32"/>
      <c r="F225" s="35"/>
      <c r="G225" s="35"/>
      <c r="H225" s="32"/>
      <c r="I225" s="33"/>
      <c r="J225" s="37" t="str">
        <f aca="true">IF(OR(C225="",H225="Complete",H225="Not Applicable",F225=""),"",IF(F225&lt;TODAY(),"Overdue",""))</f>
        <v/>
      </c>
    </row>
    <row r="226" customFormat="false" ht="15" hidden="false" customHeight="false" outlineLevel="0" collapsed="false">
      <c r="A226" s="32"/>
      <c r="B226" s="32"/>
      <c r="C226" s="32"/>
      <c r="D226" s="33"/>
      <c r="E226" s="32"/>
      <c r="F226" s="35"/>
      <c r="G226" s="35"/>
      <c r="H226" s="32"/>
      <c r="I226" s="33"/>
      <c r="J226" s="37" t="str">
        <f aca="true">IF(OR(C226="",H226="Complete",H226="Not Applicable",F226=""),"",IF(F226&lt;TODAY(),"Overdue",""))</f>
        <v/>
      </c>
    </row>
    <row r="227" customFormat="false" ht="15" hidden="false" customHeight="false" outlineLevel="0" collapsed="false">
      <c r="A227" s="32"/>
      <c r="B227" s="32"/>
      <c r="C227" s="32"/>
      <c r="D227" s="33"/>
      <c r="E227" s="32"/>
      <c r="F227" s="35"/>
      <c r="G227" s="35"/>
      <c r="H227" s="32"/>
      <c r="I227" s="33"/>
      <c r="J227" s="37" t="str">
        <f aca="true">IF(OR(C227="",H227="Complete",H227="Not Applicable",F227=""),"",IF(F227&lt;TODAY(),"Overdue",""))</f>
        <v/>
      </c>
    </row>
    <row r="228" customFormat="false" ht="15" hidden="false" customHeight="false" outlineLevel="0" collapsed="false">
      <c r="A228" s="32"/>
      <c r="B228" s="32"/>
      <c r="C228" s="32"/>
      <c r="D228" s="33"/>
      <c r="E228" s="32"/>
      <c r="F228" s="35"/>
      <c r="G228" s="35"/>
      <c r="H228" s="32"/>
      <c r="I228" s="33"/>
      <c r="J228" s="37" t="str">
        <f aca="true">IF(OR(C228="",H228="Complete",H228="Not Applicable",F228=""),"",IF(F228&lt;TODAY(),"Overdue",""))</f>
        <v/>
      </c>
    </row>
    <row r="229" customFormat="false" ht="15" hidden="false" customHeight="false" outlineLevel="0" collapsed="false">
      <c r="A229" s="32"/>
      <c r="B229" s="32"/>
      <c r="C229" s="32"/>
      <c r="D229" s="33"/>
      <c r="E229" s="32"/>
      <c r="F229" s="35"/>
      <c r="G229" s="35"/>
      <c r="H229" s="32"/>
      <c r="I229" s="33"/>
      <c r="J229" s="37" t="str">
        <f aca="true">IF(OR(C229="",H229="Complete",H229="Not Applicable",F229=""),"",IF(F229&lt;TODAY(),"Overdue",""))</f>
        <v/>
      </c>
    </row>
    <row r="230" customFormat="false" ht="15" hidden="false" customHeight="false" outlineLevel="0" collapsed="false">
      <c r="A230" s="32"/>
      <c r="B230" s="32"/>
      <c r="C230" s="32"/>
      <c r="D230" s="33"/>
      <c r="E230" s="32"/>
      <c r="F230" s="35"/>
      <c r="G230" s="35"/>
      <c r="H230" s="32"/>
      <c r="I230" s="33"/>
      <c r="J230" s="37" t="str">
        <f aca="true">IF(OR(C230="",H230="Complete",H230="Not Applicable",F230=""),"",IF(F230&lt;TODAY(),"Overdue",""))</f>
        <v/>
      </c>
    </row>
    <row r="231" customFormat="false" ht="15" hidden="false" customHeight="false" outlineLevel="0" collapsed="false">
      <c r="A231" s="32"/>
      <c r="B231" s="32"/>
      <c r="C231" s="32"/>
      <c r="D231" s="33"/>
      <c r="E231" s="32"/>
      <c r="F231" s="35"/>
      <c r="G231" s="35"/>
      <c r="H231" s="32"/>
      <c r="I231" s="33"/>
      <c r="J231" s="37" t="str">
        <f aca="true">IF(OR(C231="",H231="Complete",H231="Not Applicable",F231=""),"",IF(F231&lt;TODAY(),"Overdue",""))</f>
        <v/>
      </c>
    </row>
    <row r="232" customFormat="false" ht="15" hidden="false" customHeight="false" outlineLevel="0" collapsed="false">
      <c r="A232" s="32"/>
      <c r="B232" s="32"/>
      <c r="C232" s="32"/>
      <c r="D232" s="33"/>
      <c r="E232" s="32"/>
      <c r="F232" s="35"/>
      <c r="G232" s="35"/>
      <c r="H232" s="32"/>
      <c r="I232" s="33"/>
      <c r="J232" s="37" t="str">
        <f aca="true">IF(OR(C232="",H232="Complete",H232="Not Applicable",F232=""),"",IF(F232&lt;TODAY(),"Overdue",""))</f>
        <v/>
      </c>
    </row>
    <row r="233" customFormat="false" ht="15" hidden="false" customHeight="false" outlineLevel="0" collapsed="false">
      <c r="A233" s="32"/>
      <c r="B233" s="32"/>
      <c r="C233" s="32"/>
      <c r="D233" s="33"/>
      <c r="E233" s="32"/>
      <c r="F233" s="35"/>
      <c r="G233" s="35"/>
      <c r="H233" s="32"/>
      <c r="I233" s="33"/>
      <c r="J233" s="37" t="str">
        <f aca="true">IF(OR(C233="",H233="Complete",H233="Not Applicable",F233=""),"",IF(F233&lt;TODAY(),"Overdue",""))</f>
        <v/>
      </c>
    </row>
    <row r="234" customFormat="false" ht="15" hidden="false" customHeight="false" outlineLevel="0" collapsed="false">
      <c r="A234" s="32"/>
      <c r="B234" s="32"/>
      <c r="C234" s="32"/>
      <c r="D234" s="33"/>
      <c r="E234" s="32"/>
      <c r="F234" s="35"/>
      <c r="G234" s="35"/>
      <c r="H234" s="32"/>
      <c r="I234" s="33"/>
      <c r="J234" s="37" t="str">
        <f aca="true">IF(OR(C234="",H234="Complete",H234="Not Applicable",F234=""),"",IF(F234&lt;TODAY(),"Overdue",""))</f>
        <v/>
      </c>
    </row>
    <row r="235" customFormat="false" ht="15" hidden="false" customHeight="false" outlineLevel="0" collapsed="false">
      <c r="A235" s="32"/>
      <c r="B235" s="32"/>
      <c r="C235" s="32"/>
      <c r="D235" s="33"/>
      <c r="E235" s="32"/>
      <c r="F235" s="35"/>
      <c r="G235" s="35"/>
      <c r="H235" s="32"/>
      <c r="I235" s="33"/>
      <c r="J235" s="37" t="str">
        <f aca="true">IF(OR(C235="",H235="Complete",H235="Not Applicable",F235=""),"",IF(F235&lt;TODAY(),"Overdue",""))</f>
        <v/>
      </c>
    </row>
    <row r="236" customFormat="false" ht="15" hidden="false" customHeight="false" outlineLevel="0" collapsed="false">
      <c r="A236" s="32"/>
      <c r="B236" s="32"/>
      <c r="C236" s="32"/>
      <c r="D236" s="33"/>
      <c r="E236" s="32"/>
      <c r="F236" s="35"/>
      <c r="G236" s="35"/>
      <c r="H236" s="32"/>
      <c r="I236" s="33"/>
      <c r="J236" s="37" t="str">
        <f aca="true">IF(OR(C236="",H236="Complete",H236="Not Applicable",F236=""),"",IF(F236&lt;TODAY(),"Overdue",""))</f>
        <v/>
      </c>
    </row>
    <row r="237" customFormat="false" ht="15" hidden="false" customHeight="false" outlineLevel="0" collapsed="false">
      <c r="A237" s="32"/>
      <c r="B237" s="32"/>
      <c r="C237" s="32"/>
      <c r="D237" s="33"/>
      <c r="E237" s="32"/>
      <c r="F237" s="35"/>
      <c r="G237" s="35"/>
      <c r="H237" s="32"/>
      <c r="I237" s="33"/>
      <c r="J237" s="37" t="str">
        <f aca="true">IF(OR(C237="",H237="Complete",H237="Not Applicable",F237=""),"",IF(F237&lt;TODAY(),"Overdue",""))</f>
        <v/>
      </c>
    </row>
    <row r="238" customFormat="false" ht="15" hidden="false" customHeight="false" outlineLevel="0" collapsed="false">
      <c r="A238" s="32"/>
      <c r="B238" s="32"/>
      <c r="C238" s="32"/>
      <c r="D238" s="33"/>
      <c r="E238" s="32"/>
      <c r="F238" s="35"/>
      <c r="G238" s="35"/>
      <c r="H238" s="32"/>
      <c r="I238" s="33"/>
      <c r="J238" s="37" t="str">
        <f aca="true">IF(OR(C238="",H238="Complete",H238="Not Applicable",F238=""),"",IF(F238&lt;TODAY(),"Overdue",""))</f>
        <v/>
      </c>
    </row>
    <row r="239" customFormat="false" ht="15" hidden="false" customHeight="false" outlineLevel="0" collapsed="false">
      <c r="A239" s="32"/>
      <c r="B239" s="32"/>
      <c r="C239" s="32"/>
      <c r="D239" s="33"/>
      <c r="E239" s="32"/>
      <c r="F239" s="35"/>
      <c r="G239" s="35"/>
      <c r="H239" s="32"/>
      <c r="I239" s="33"/>
      <c r="J239" s="37" t="str">
        <f aca="true">IF(OR(C239="",H239="Complete",H239="Not Applicable",F239=""),"",IF(F239&lt;TODAY(),"Overdue",""))</f>
        <v/>
      </c>
    </row>
    <row r="240" customFormat="false" ht="15" hidden="false" customHeight="false" outlineLevel="0" collapsed="false">
      <c r="A240" s="32"/>
      <c r="B240" s="32"/>
      <c r="C240" s="32"/>
      <c r="D240" s="33"/>
      <c r="E240" s="32"/>
      <c r="F240" s="35"/>
      <c r="G240" s="35"/>
      <c r="H240" s="32"/>
      <c r="I240" s="33"/>
      <c r="J240" s="37" t="str">
        <f aca="true">IF(OR(C240="",H240="Complete",H240="Not Applicable",F240=""),"",IF(F240&lt;TODAY(),"Overdue",""))</f>
        <v/>
      </c>
    </row>
    <row r="241" customFormat="false" ht="15" hidden="false" customHeight="false" outlineLevel="0" collapsed="false">
      <c r="A241" s="32"/>
      <c r="B241" s="32"/>
      <c r="C241" s="32"/>
      <c r="D241" s="33"/>
      <c r="E241" s="32"/>
      <c r="F241" s="35"/>
      <c r="G241" s="35"/>
      <c r="H241" s="32"/>
      <c r="I241" s="33"/>
      <c r="J241" s="37" t="str">
        <f aca="true">IF(OR(C241="",H241="Complete",H241="Not Applicable",F241=""),"",IF(F241&lt;TODAY(),"Overdue",""))</f>
        <v/>
      </c>
    </row>
    <row r="242" customFormat="false" ht="15" hidden="false" customHeight="false" outlineLevel="0" collapsed="false">
      <c r="A242" s="32"/>
      <c r="B242" s="32"/>
      <c r="C242" s="32"/>
      <c r="D242" s="33"/>
      <c r="E242" s="32"/>
      <c r="F242" s="35"/>
      <c r="G242" s="35"/>
      <c r="H242" s="32"/>
      <c r="I242" s="33"/>
      <c r="J242" s="37" t="str">
        <f aca="true">IF(OR(C242="",H242="Complete",H242="Not Applicable",F242=""),"",IF(F242&lt;TODAY(),"Overdue",""))</f>
        <v/>
      </c>
    </row>
    <row r="243" customFormat="false" ht="15" hidden="false" customHeight="false" outlineLevel="0" collapsed="false">
      <c r="A243" s="32"/>
      <c r="B243" s="32"/>
      <c r="C243" s="32"/>
      <c r="D243" s="33"/>
      <c r="E243" s="32"/>
      <c r="F243" s="35"/>
      <c r="G243" s="35"/>
      <c r="H243" s="32"/>
      <c r="I243" s="33"/>
      <c r="J243" s="37" t="str">
        <f aca="true">IF(OR(C243="",H243="Complete",H243="Not Applicable",F243=""),"",IF(F243&lt;TODAY(),"Overdue",""))</f>
        <v/>
      </c>
    </row>
    <row r="244" customFormat="false" ht="15" hidden="false" customHeight="false" outlineLevel="0" collapsed="false">
      <c r="A244" s="32"/>
      <c r="B244" s="32"/>
      <c r="C244" s="32"/>
      <c r="D244" s="33"/>
      <c r="E244" s="32"/>
      <c r="F244" s="35"/>
      <c r="G244" s="35"/>
      <c r="H244" s="32"/>
      <c r="I244" s="33"/>
      <c r="J244" s="37" t="str">
        <f aca="true">IF(OR(C244="",H244="Complete",H244="Not Applicable",F244=""),"",IF(F244&lt;TODAY(),"Overdue",""))</f>
        <v/>
      </c>
    </row>
    <row r="245" customFormat="false" ht="15" hidden="false" customHeight="false" outlineLevel="0" collapsed="false">
      <c r="A245" s="32"/>
      <c r="B245" s="32"/>
      <c r="C245" s="32"/>
      <c r="D245" s="33"/>
      <c r="E245" s="32"/>
      <c r="F245" s="35"/>
      <c r="G245" s="35"/>
      <c r="H245" s="32"/>
      <c r="I245" s="33"/>
      <c r="J245" s="37" t="str">
        <f aca="true">IF(OR(C245="",H245="Complete",H245="Not Applicable",F245=""),"",IF(F245&lt;TODAY(),"Overdue",""))</f>
        <v/>
      </c>
    </row>
    <row r="246" customFormat="false" ht="15" hidden="false" customHeight="false" outlineLevel="0" collapsed="false">
      <c r="A246" s="32"/>
      <c r="B246" s="32"/>
      <c r="C246" s="32"/>
      <c r="D246" s="33"/>
      <c r="E246" s="32"/>
      <c r="F246" s="35"/>
      <c r="G246" s="35"/>
      <c r="H246" s="32"/>
      <c r="I246" s="33"/>
      <c r="J246" s="37" t="str">
        <f aca="true">IF(OR(C246="",H246="Complete",H246="Not Applicable",F246=""),"",IF(F246&lt;TODAY(),"Overdue",""))</f>
        <v/>
      </c>
    </row>
    <row r="247" customFormat="false" ht="15" hidden="false" customHeight="false" outlineLevel="0" collapsed="false">
      <c r="A247" s="32"/>
      <c r="B247" s="32"/>
      <c r="C247" s="32"/>
      <c r="D247" s="33"/>
      <c r="E247" s="32"/>
      <c r="F247" s="35"/>
      <c r="G247" s="35"/>
      <c r="H247" s="32"/>
      <c r="I247" s="33"/>
      <c r="J247" s="37" t="str">
        <f aca="true">IF(OR(C247="",H247="Complete",H247="Not Applicable",F247=""),"",IF(F247&lt;TODAY(),"Overdue",""))</f>
        <v/>
      </c>
    </row>
    <row r="248" customFormat="false" ht="15" hidden="false" customHeight="false" outlineLevel="0" collapsed="false">
      <c r="A248" s="32"/>
      <c r="B248" s="32"/>
      <c r="C248" s="32"/>
      <c r="D248" s="33"/>
      <c r="E248" s="32"/>
      <c r="F248" s="35"/>
      <c r="G248" s="35"/>
      <c r="H248" s="32"/>
      <c r="I248" s="33"/>
      <c r="J248" s="37" t="str">
        <f aca="true">IF(OR(C248="",H248="Complete",H248="Not Applicable",F248=""),"",IF(F248&lt;TODAY(),"Overdue",""))</f>
        <v/>
      </c>
    </row>
    <row r="249" customFormat="false" ht="15" hidden="false" customHeight="false" outlineLevel="0" collapsed="false">
      <c r="A249" s="32"/>
      <c r="B249" s="32"/>
      <c r="C249" s="32"/>
      <c r="D249" s="33"/>
      <c r="E249" s="32"/>
      <c r="F249" s="35"/>
      <c r="G249" s="35"/>
      <c r="H249" s="32"/>
      <c r="I249" s="33"/>
      <c r="J249" s="37" t="str">
        <f aca="true">IF(OR(C249="",H249="Complete",H249="Not Applicable",F249=""),"",IF(F249&lt;TODAY(),"Overdue",""))</f>
        <v/>
      </c>
    </row>
    <row r="250" customFormat="false" ht="15" hidden="false" customHeight="false" outlineLevel="0" collapsed="false">
      <c r="A250" s="32"/>
      <c r="B250" s="32"/>
      <c r="C250" s="32"/>
      <c r="D250" s="33"/>
      <c r="E250" s="32"/>
      <c r="F250" s="35"/>
      <c r="G250" s="35"/>
      <c r="H250" s="32"/>
      <c r="I250" s="33"/>
      <c r="J250" s="37" t="str">
        <f aca="true">IF(OR(C250="",H250="Complete",H250="Not Applicable",F250=""),"",IF(F250&lt;TODAY(),"Overdue",""))</f>
        <v/>
      </c>
    </row>
    <row r="251" customFormat="false" ht="15" hidden="false" customHeight="false" outlineLevel="0" collapsed="false">
      <c r="A251" s="32"/>
      <c r="B251" s="32"/>
      <c r="C251" s="32"/>
      <c r="D251" s="33"/>
      <c r="E251" s="32"/>
      <c r="F251" s="35"/>
      <c r="G251" s="35"/>
      <c r="H251" s="32"/>
      <c r="I251" s="33"/>
      <c r="J251" s="37" t="str">
        <f aca="true">IF(OR(C251="",H251="Complete",H251="Not Applicable",F251=""),"",IF(F251&lt;TODAY(),"Overdue",""))</f>
        <v/>
      </c>
    </row>
    <row r="252" customFormat="false" ht="15" hidden="false" customHeight="false" outlineLevel="0" collapsed="false">
      <c r="A252" s="32"/>
      <c r="B252" s="32"/>
      <c r="C252" s="32"/>
      <c r="D252" s="33"/>
      <c r="E252" s="32"/>
      <c r="F252" s="35"/>
      <c r="G252" s="35"/>
      <c r="H252" s="32"/>
      <c r="I252" s="33"/>
      <c r="J252" s="37" t="str">
        <f aca="true">IF(OR(C252="",H252="Complete",H252="Not Applicable",F252=""),"",IF(F252&lt;TODAY(),"Overdue",""))</f>
        <v/>
      </c>
    </row>
    <row r="253" customFormat="false" ht="15" hidden="false" customHeight="false" outlineLevel="0" collapsed="false">
      <c r="A253" s="32"/>
      <c r="B253" s="32"/>
      <c r="C253" s="32"/>
      <c r="D253" s="33"/>
      <c r="E253" s="32"/>
      <c r="F253" s="35"/>
      <c r="G253" s="35"/>
      <c r="H253" s="32"/>
      <c r="I253" s="33"/>
      <c r="J253" s="37" t="str">
        <f aca="true">IF(OR(C253="",H253="Complete",H253="Not Applicable",F253=""),"",IF(F253&lt;TODAY(),"Overdue",""))</f>
        <v/>
      </c>
    </row>
    <row r="254" customFormat="false" ht="15" hidden="false" customHeight="false" outlineLevel="0" collapsed="false">
      <c r="A254" s="32"/>
      <c r="B254" s="32"/>
      <c r="C254" s="32"/>
      <c r="D254" s="33"/>
      <c r="E254" s="32"/>
      <c r="F254" s="35"/>
      <c r="G254" s="35"/>
      <c r="H254" s="32"/>
      <c r="I254" s="33"/>
      <c r="J254" s="37" t="str">
        <f aca="true">IF(OR(C254="",H254="Complete",H254="Not Applicable",F254=""),"",IF(F254&lt;TODAY(),"Overdue",""))</f>
        <v/>
      </c>
    </row>
    <row r="255" customFormat="false" ht="15" hidden="false" customHeight="false" outlineLevel="0" collapsed="false">
      <c r="A255" s="32"/>
      <c r="B255" s="32"/>
      <c r="C255" s="32"/>
      <c r="D255" s="33"/>
      <c r="E255" s="32"/>
      <c r="F255" s="35"/>
      <c r="G255" s="35"/>
      <c r="H255" s="32"/>
      <c r="I255" s="33"/>
      <c r="J255" s="37" t="str">
        <f aca="true">IF(OR(C255="",H255="Complete",H255="Not Applicable",F255=""),"",IF(F255&lt;TODAY(),"Overdue",""))</f>
        <v/>
      </c>
    </row>
    <row r="256" customFormat="false" ht="15" hidden="false" customHeight="false" outlineLevel="0" collapsed="false">
      <c r="A256" s="32"/>
      <c r="B256" s="32"/>
      <c r="C256" s="32"/>
      <c r="D256" s="33"/>
      <c r="E256" s="32"/>
      <c r="F256" s="35"/>
      <c r="G256" s="35"/>
      <c r="H256" s="32"/>
      <c r="I256" s="33"/>
      <c r="J256" s="37" t="str">
        <f aca="true">IF(OR(C256="",H256="Complete",H256="Not Applicable",F256=""),"",IF(F256&lt;TODAY(),"Overdue",""))</f>
        <v/>
      </c>
    </row>
    <row r="257" customFormat="false" ht="15" hidden="false" customHeight="false" outlineLevel="0" collapsed="false">
      <c r="A257" s="32"/>
      <c r="B257" s="32"/>
      <c r="C257" s="32"/>
      <c r="D257" s="33"/>
      <c r="E257" s="32"/>
      <c r="F257" s="35"/>
      <c r="G257" s="35"/>
      <c r="H257" s="32"/>
      <c r="I257" s="33"/>
      <c r="J257" s="37" t="str">
        <f aca="true">IF(OR(C257="",H257="Complete",H257="Not Applicable",F257=""),"",IF(F257&lt;TODAY(),"Overdue",""))</f>
        <v/>
      </c>
    </row>
    <row r="258" customFormat="false" ht="15" hidden="false" customHeight="false" outlineLevel="0" collapsed="false">
      <c r="A258" s="32"/>
      <c r="B258" s="32"/>
      <c r="C258" s="32"/>
      <c r="D258" s="33"/>
      <c r="E258" s="32"/>
      <c r="F258" s="35"/>
      <c r="G258" s="35"/>
      <c r="H258" s="32"/>
      <c r="I258" s="33"/>
      <c r="J258" s="37" t="str">
        <f aca="true">IF(OR(C258="",H258="Complete",H258="Not Applicable",F258=""),"",IF(F258&lt;TODAY(),"Overdue",""))</f>
        <v/>
      </c>
    </row>
    <row r="259" customFormat="false" ht="15" hidden="false" customHeight="false" outlineLevel="0" collapsed="false">
      <c r="A259" s="32"/>
      <c r="B259" s="32"/>
      <c r="C259" s="32"/>
      <c r="D259" s="33"/>
      <c r="E259" s="32"/>
      <c r="F259" s="35"/>
      <c r="G259" s="35"/>
      <c r="H259" s="32"/>
      <c r="I259" s="33"/>
      <c r="J259" s="37" t="str">
        <f aca="true">IF(OR(C259="",H259="Complete",H259="Not Applicable",F259=""),"",IF(F259&lt;TODAY(),"Overdue",""))</f>
        <v/>
      </c>
    </row>
    <row r="260" customFormat="false" ht="15" hidden="false" customHeight="false" outlineLevel="0" collapsed="false">
      <c r="A260" s="32"/>
      <c r="B260" s="32"/>
      <c r="C260" s="32"/>
      <c r="D260" s="33"/>
      <c r="E260" s="32"/>
      <c r="F260" s="35"/>
      <c r="G260" s="35"/>
      <c r="H260" s="32"/>
      <c r="I260" s="33"/>
      <c r="J260" s="37" t="str">
        <f aca="true">IF(OR(C260="",H260="Complete",H260="Not Applicable",F260=""),"",IF(F260&lt;TODAY(),"Overdue",""))</f>
        <v/>
      </c>
    </row>
    <row r="261" customFormat="false" ht="15" hidden="false" customHeight="false" outlineLevel="0" collapsed="false">
      <c r="A261" s="32"/>
      <c r="B261" s="32"/>
      <c r="C261" s="32"/>
      <c r="D261" s="33"/>
      <c r="E261" s="32"/>
      <c r="F261" s="35"/>
      <c r="G261" s="35"/>
      <c r="H261" s="32"/>
      <c r="I261" s="33"/>
      <c r="J261" s="37" t="str">
        <f aca="true">IF(OR(C261="",H261="Complete",H261="Not Applicable",F261=""),"",IF(F261&lt;TODAY(),"Overdue",""))</f>
        <v/>
      </c>
    </row>
    <row r="262" customFormat="false" ht="15" hidden="false" customHeight="false" outlineLevel="0" collapsed="false">
      <c r="A262" s="32"/>
      <c r="B262" s="32"/>
      <c r="C262" s="32"/>
      <c r="D262" s="33"/>
      <c r="E262" s="32"/>
      <c r="F262" s="35"/>
      <c r="G262" s="35"/>
      <c r="H262" s="32"/>
      <c r="I262" s="33"/>
      <c r="J262" s="37" t="str">
        <f aca="true">IF(OR(C262="",H262="Complete",H262="Not Applicable",F262=""),"",IF(F262&lt;TODAY(),"Overdue",""))</f>
        <v/>
      </c>
    </row>
    <row r="263" customFormat="false" ht="15" hidden="false" customHeight="false" outlineLevel="0" collapsed="false">
      <c r="A263" s="32"/>
      <c r="B263" s="32"/>
      <c r="C263" s="32"/>
      <c r="D263" s="33"/>
      <c r="E263" s="32"/>
      <c r="F263" s="35"/>
      <c r="G263" s="35"/>
      <c r="H263" s="32"/>
      <c r="I263" s="33"/>
      <c r="J263" s="37" t="str">
        <f aca="true">IF(OR(C263="",H263="Complete",H263="Not Applicable",F263=""),"",IF(F263&lt;TODAY(),"Overdue",""))</f>
        <v/>
      </c>
    </row>
    <row r="264" customFormat="false" ht="15" hidden="false" customHeight="false" outlineLevel="0" collapsed="false">
      <c r="A264" s="32"/>
      <c r="B264" s="32"/>
      <c r="C264" s="32"/>
      <c r="D264" s="33"/>
      <c r="E264" s="32"/>
      <c r="F264" s="35"/>
      <c r="G264" s="35"/>
      <c r="H264" s="32"/>
      <c r="I264" s="33"/>
      <c r="J264" s="37" t="str">
        <f aca="true">IF(OR(C264="",H264="Complete",H264="Not Applicable",F264=""),"",IF(F264&lt;TODAY(),"Overdue",""))</f>
        <v/>
      </c>
    </row>
    <row r="265" customFormat="false" ht="15" hidden="false" customHeight="false" outlineLevel="0" collapsed="false">
      <c r="A265" s="32"/>
      <c r="B265" s="32"/>
      <c r="C265" s="32"/>
      <c r="D265" s="33"/>
      <c r="E265" s="32"/>
      <c r="F265" s="35"/>
      <c r="G265" s="35"/>
      <c r="H265" s="32"/>
      <c r="I265" s="33"/>
      <c r="J265" s="37" t="str">
        <f aca="true">IF(OR(C265="",H265="Complete",H265="Not Applicable",F265=""),"",IF(F265&lt;TODAY(),"Overdue",""))</f>
        <v/>
      </c>
    </row>
    <row r="266" customFormat="false" ht="15" hidden="false" customHeight="false" outlineLevel="0" collapsed="false">
      <c r="A266" s="32"/>
      <c r="B266" s="32"/>
      <c r="C266" s="32"/>
      <c r="D266" s="33"/>
      <c r="E266" s="32"/>
      <c r="F266" s="35"/>
      <c r="G266" s="35"/>
      <c r="H266" s="32"/>
      <c r="I266" s="33"/>
      <c r="J266" s="37" t="str">
        <f aca="true">IF(OR(C266="",H266="Complete",H266="Not Applicable",F266=""),"",IF(F266&lt;TODAY(),"Overdue",""))</f>
        <v/>
      </c>
    </row>
    <row r="267" customFormat="false" ht="15" hidden="false" customHeight="false" outlineLevel="0" collapsed="false">
      <c r="A267" s="32"/>
      <c r="B267" s="32"/>
      <c r="C267" s="32"/>
      <c r="D267" s="33"/>
      <c r="E267" s="32"/>
      <c r="F267" s="35"/>
      <c r="G267" s="35"/>
      <c r="H267" s="32"/>
      <c r="I267" s="33"/>
      <c r="J267" s="37" t="str">
        <f aca="true">IF(OR(C267="",H267="Complete",H267="Not Applicable",F267=""),"",IF(F267&lt;TODAY(),"Overdue",""))</f>
        <v/>
      </c>
    </row>
    <row r="268" customFormat="false" ht="15" hidden="false" customHeight="false" outlineLevel="0" collapsed="false">
      <c r="A268" s="32"/>
      <c r="B268" s="32"/>
      <c r="C268" s="32"/>
      <c r="D268" s="33"/>
      <c r="E268" s="32"/>
      <c r="F268" s="35"/>
      <c r="G268" s="35"/>
      <c r="H268" s="32"/>
      <c r="I268" s="33"/>
      <c r="J268" s="37" t="str">
        <f aca="true">IF(OR(C268="",H268="Complete",H268="Not Applicable",F268=""),"",IF(F268&lt;TODAY(),"Overdue",""))</f>
        <v/>
      </c>
    </row>
    <row r="269" customFormat="false" ht="15" hidden="false" customHeight="false" outlineLevel="0" collapsed="false">
      <c r="A269" s="32"/>
      <c r="B269" s="32"/>
      <c r="C269" s="32"/>
      <c r="D269" s="33"/>
      <c r="E269" s="32"/>
      <c r="F269" s="35"/>
      <c r="G269" s="35"/>
      <c r="H269" s="32"/>
      <c r="I269" s="33"/>
      <c r="J269" s="37" t="str">
        <f aca="true">IF(OR(C269="",H269="Complete",H269="Not Applicable",F269=""),"",IF(F269&lt;TODAY(),"Overdue",""))</f>
        <v/>
      </c>
    </row>
    <row r="270" customFormat="false" ht="15" hidden="false" customHeight="false" outlineLevel="0" collapsed="false">
      <c r="A270" s="32"/>
      <c r="B270" s="32"/>
      <c r="C270" s="32"/>
      <c r="D270" s="33"/>
      <c r="E270" s="32"/>
      <c r="F270" s="35"/>
      <c r="G270" s="35"/>
      <c r="H270" s="32"/>
      <c r="I270" s="33"/>
      <c r="J270" s="37" t="str">
        <f aca="true">IF(OR(C270="",H270="Complete",H270="Not Applicable",F270=""),"",IF(F270&lt;TODAY(),"Overdue",""))</f>
        <v/>
      </c>
    </row>
    <row r="271" customFormat="false" ht="15" hidden="false" customHeight="false" outlineLevel="0" collapsed="false">
      <c r="A271" s="32"/>
      <c r="B271" s="32"/>
      <c r="C271" s="32"/>
      <c r="D271" s="33"/>
      <c r="E271" s="32"/>
      <c r="F271" s="35"/>
      <c r="G271" s="35"/>
      <c r="H271" s="32"/>
      <c r="I271" s="33"/>
      <c r="J271" s="37" t="str">
        <f aca="true">IF(OR(C271="",H271="Complete",H271="Not Applicable",F271=""),"",IF(F271&lt;TODAY(),"Overdue",""))</f>
        <v/>
      </c>
    </row>
    <row r="272" customFormat="false" ht="15" hidden="false" customHeight="false" outlineLevel="0" collapsed="false">
      <c r="A272" s="32"/>
      <c r="B272" s="32"/>
      <c r="C272" s="32"/>
      <c r="D272" s="33"/>
      <c r="E272" s="32"/>
      <c r="F272" s="35"/>
      <c r="G272" s="35"/>
      <c r="H272" s="32"/>
      <c r="I272" s="33"/>
      <c r="J272" s="37" t="str">
        <f aca="true">IF(OR(C272="",H272="Complete",H272="Not Applicable",F272=""),"",IF(F272&lt;TODAY(),"Overdue",""))</f>
        <v/>
      </c>
    </row>
    <row r="273" customFormat="false" ht="15" hidden="false" customHeight="false" outlineLevel="0" collapsed="false">
      <c r="A273" s="32"/>
      <c r="B273" s="32"/>
      <c r="C273" s="32"/>
      <c r="D273" s="33"/>
      <c r="E273" s="32"/>
      <c r="F273" s="35"/>
      <c r="G273" s="35"/>
      <c r="H273" s="32"/>
      <c r="I273" s="33"/>
      <c r="J273" s="37" t="str">
        <f aca="true">IF(OR(C273="",H273="Complete",H273="Not Applicable",F273=""),"",IF(F273&lt;TODAY(),"Overdue",""))</f>
        <v/>
      </c>
    </row>
    <row r="274" customFormat="false" ht="15" hidden="false" customHeight="false" outlineLevel="0" collapsed="false">
      <c r="A274" s="32"/>
      <c r="B274" s="32"/>
      <c r="C274" s="32"/>
      <c r="D274" s="33"/>
      <c r="E274" s="32"/>
      <c r="F274" s="35"/>
      <c r="G274" s="35"/>
      <c r="H274" s="32"/>
      <c r="I274" s="33"/>
      <c r="J274" s="37" t="str">
        <f aca="true">IF(OR(C274="",H274="Complete",H274="Not Applicable",F274=""),"",IF(F274&lt;TODAY(),"Overdue",""))</f>
        <v/>
      </c>
    </row>
    <row r="275" customFormat="false" ht="15" hidden="false" customHeight="false" outlineLevel="0" collapsed="false">
      <c r="A275" s="32"/>
      <c r="B275" s="32"/>
      <c r="C275" s="32"/>
      <c r="D275" s="33"/>
      <c r="E275" s="32"/>
      <c r="F275" s="35"/>
      <c r="G275" s="35"/>
      <c r="H275" s="32"/>
      <c r="I275" s="33"/>
      <c r="J275" s="37" t="str">
        <f aca="true">IF(OR(C275="",H275="Complete",H275="Not Applicable",F275=""),"",IF(F275&lt;TODAY(),"Overdue",""))</f>
        <v/>
      </c>
    </row>
    <row r="276" customFormat="false" ht="15" hidden="false" customHeight="false" outlineLevel="0" collapsed="false">
      <c r="A276" s="32"/>
      <c r="B276" s="32"/>
      <c r="C276" s="32"/>
      <c r="D276" s="33"/>
      <c r="E276" s="32"/>
      <c r="F276" s="35"/>
      <c r="G276" s="35"/>
      <c r="H276" s="32"/>
      <c r="I276" s="33"/>
      <c r="J276" s="37" t="str">
        <f aca="true">IF(OR(C276="",H276="Complete",H276="Not Applicable",F276=""),"",IF(F276&lt;TODAY(),"Overdue",""))</f>
        <v/>
      </c>
    </row>
    <row r="277" customFormat="false" ht="15" hidden="false" customHeight="false" outlineLevel="0" collapsed="false">
      <c r="A277" s="32"/>
      <c r="B277" s="32"/>
      <c r="C277" s="32"/>
      <c r="D277" s="33"/>
      <c r="E277" s="32"/>
      <c r="F277" s="35"/>
      <c r="G277" s="35"/>
      <c r="H277" s="32"/>
      <c r="I277" s="33"/>
      <c r="J277" s="37" t="str">
        <f aca="true">IF(OR(C277="",H277="Complete",H277="Not Applicable",F277=""),"",IF(F277&lt;TODAY(),"Overdue",""))</f>
        <v/>
      </c>
    </row>
    <row r="278" customFormat="false" ht="15" hidden="false" customHeight="false" outlineLevel="0" collapsed="false">
      <c r="A278" s="32"/>
      <c r="B278" s="32"/>
      <c r="C278" s="32"/>
      <c r="D278" s="33"/>
      <c r="E278" s="32"/>
      <c r="F278" s="35"/>
      <c r="G278" s="35"/>
      <c r="H278" s="32"/>
      <c r="I278" s="33"/>
      <c r="J278" s="37" t="str">
        <f aca="true">IF(OR(C278="",H278="Complete",H278="Not Applicable",F278=""),"",IF(F278&lt;TODAY(),"Overdue",""))</f>
        <v/>
      </c>
    </row>
    <row r="279" customFormat="false" ht="15" hidden="false" customHeight="false" outlineLevel="0" collapsed="false">
      <c r="A279" s="32"/>
      <c r="B279" s="32"/>
      <c r="C279" s="32"/>
      <c r="D279" s="33"/>
      <c r="E279" s="32"/>
      <c r="F279" s="35"/>
      <c r="G279" s="35"/>
      <c r="H279" s="32"/>
      <c r="I279" s="33"/>
      <c r="J279" s="37" t="str">
        <f aca="true">IF(OR(C279="",H279="Complete",H279="Not Applicable",F279=""),"",IF(F279&lt;TODAY(),"Overdue",""))</f>
        <v/>
      </c>
    </row>
    <row r="280" customFormat="false" ht="15" hidden="false" customHeight="false" outlineLevel="0" collapsed="false">
      <c r="A280" s="32"/>
      <c r="B280" s="32"/>
      <c r="C280" s="32"/>
      <c r="D280" s="33"/>
      <c r="E280" s="32"/>
      <c r="F280" s="35"/>
      <c r="G280" s="35"/>
      <c r="H280" s="32"/>
      <c r="I280" s="33"/>
      <c r="J280" s="37" t="str">
        <f aca="true">IF(OR(C280="",H280="Complete",H280="Not Applicable",F280=""),"",IF(F280&lt;TODAY(),"Overdue",""))</f>
        <v/>
      </c>
    </row>
    <row r="281" customFormat="false" ht="15" hidden="false" customHeight="false" outlineLevel="0" collapsed="false">
      <c r="A281" s="32"/>
      <c r="B281" s="32"/>
      <c r="C281" s="32"/>
      <c r="D281" s="33"/>
      <c r="E281" s="32"/>
      <c r="F281" s="35"/>
      <c r="G281" s="35"/>
      <c r="H281" s="32"/>
      <c r="I281" s="33"/>
      <c r="J281" s="37" t="str">
        <f aca="true">IF(OR(C281="",H281="Complete",H281="Not Applicable",F281=""),"",IF(F281&lt;TODAY(),"Overdue",""))</f>
        <v/>
      </c>
    </row>
    <row r="282" customFormat="false" ht="15" hidden="false" customHeight="false" outlineLevel="0" collapsed="false">
      <c r="A282" s="32"/>
      <c r="B282" s="32"/>
      <c r="C282" s="32"/>
      <c r="D282" s="33"/>
      <c r="E282" s="32"/>
      <c r="F282" s="35"/>
      <c r="G282" s="35"/>
      <c r="H282" s="32"/>
      <c r="I282" s="33"/>
      <c r="J282" s="37" t="str">
        <f aca="true">IF(OR(C282="",H282="Complete",H282="Not Applicable",F282=""),"",IF(F282&lt;TODAY(),"Overdue",""))</f>
        <v/>
      </c>
    </row>
    <row r="283" customFormat="false" ht="15" hidden="false" customHeight="false" outlineLevel="0" collapsed="false">
      <c r="A283" s="32"/>
      <c r="B283" s="32"/>
      <c r="C283" s="32"/>
      <c r="D283" s="33"/>
      <c r="E283" s="32"/>
      <c r="F283" s="35"/>
      <c r="G283" s="35"/>
      <c r="H283" s="32"/>
      <c r="I283" s="33"/>
      <c r="J283" s="37" t="str">
        <f aca="true">IF(OR(C283="",H283="Complete",H283="Not Applicable",F283=""),"",IF(F283&lt;TODAY(),"Overdue",""))</f>
        <v/>
      </c>
    </row>
    <row r="284" customFormat="false" ht="15" hidden="false" customHeight="false" outlineLevel="0" collapsed="false">
      <c r="A284" s="32"/>
      <c r="B284" s="32"/>
      <c r="C284" s="32"/>
      <c r="D284" s="33"/>
      <c r="E284" s="32"/>
      <c r="F284" s="35"/>
      <c r="G284" s="35"/>
      <c r="H284" s="32"/>
      <c r="I284" s="33"/>
      <c r="J284" s="37" t="str">
        <f aca="true">IF(OR(C284="",H284="Complete",H284="Not Applicable",F284=""),"",IF(F284&lt;TODAY(),"Overdue",""))</f>
        <v/>
      </c>
    </row>
    <row r="285" customFormat="false" ht="15" hidden="false" customHeight="false" outlineLevel="0" collapsed="false">
      <c r="A285" s="32"/>
      <c r="B285" s="32"/>
      <c r="C285" s="32"/>
      <c r="D285" s="33"/>
      <c r="E285" s="32"/>
      <c r="F285" s="35"/>
      <c r="G285" s="35"/>
      <c r="H285" s="32"/>
      <c r="I285" s="33"/>
      <c r="J285" s="37" t="str">
        <f aca="true">IF(OR(C285="",H285="Complete",H285="Not Applicable",F285=""),"",IF(F285&lt;TODAY(),"Overdue",""))</f>
        <v/>
      </c>
    </row>
    <row r="286" customFormat="false" ht="15" hidden="false" customHeight="false" outlineLevel="0" collapsed="false">
      <c r="A286" s="32"/>
      <c r="B286" s="32"/>
      <c r="C286" s="32"/>
      <c r="D286" s="33"/>
      <c r="E286" s="32"/>
      <c r="F286" s="35"/>
      <c r="G286" s="35"/>
      <c r="H286" s="32"/>
      <c r="I286" s="33"/>
      <c r="J286" s="37" t="str">
        <f aca="true">IF(OR(C286="",H286="Complete",H286="Not Applicable",F286=""),"",IF(F286&lt;TODAY(),"Overdue",""))</f>
        <v/>
      </c>
    </row>
    <row r="287" customFormat="false" ht="15" hidden="false" customHeight="false" outlineLevel="0" collapsed="false">
      <c r="A287" s="32"/>
      <c r="B287" s="32"/>
      <c r="C287" s="32"/>
      <c r="D287" s="33"/>
      <c r="E287" s="32"/>
      <c r="F287" s="35"/>
      <c r="G287" s="35"/>
      <c r="H287" s="32"/>
      <c r="I287" s="33"/>
      <c r="J287" s="37" t="str">
        <f aca="true">IF(OR(C287="",H287="Complete",H287="Not Applicable",F287=""),"",IF(F287&lt;TODAY(),"Overdue",""))</f>
        <v/>
      </c>
    </row>
    <row r="288" customFormat="false" ht="15" hidden="false" customHeight="false" outlineLevel="0" collapsed="false">
      <c r="A288" s="32"/>
      <c r="B288" s="32"/>
      <c r="C288" s="32"/>
      <c r="D288" s="33"/>
      <c r="E288" s="32"/>
      <c r="F288" s="35"/>
      <c r="G288" s="35"/>
      <c r="H288" s="32"/>
      <c r="I288" s="33"/>
      <c r="J288" s="37" t="str">
        <f aca="true">IF(OR(C288="",H288="Complete",H288="Not Applicable",F288=""),"",IF(F288&lt;TODAY(),"Overdue",""))</f>
        <v/>
      </c>
    </row>
    <row r="289" customFormat="false" ht="15" hidden="false" customHeight="false" outlineLevel="0" collapsed="false">
      <c r="A289" s="32"/>
      <c r="B289" s="32"/>
      <c r="C289" s="32"/>
      <c r="D289" s="33"/>
      <c r="E289" s="32"/>
      <c r="F289" s="35"/>
      <c r="G289" s="35"/>
      <c r="H289" s="32"/>
      <c r="I289" s="33"/>
      <c r="J289" s="37" t="str">
        <f aca="true">IF(OR(C289="",H289="Complete",H289="Not Applicable",F289=""),"",IF(F289&lt;TODAY(),"Overdue",""))</f>
        <v/>
      </c>
    </row>
    <row r="290" customFormat="false" ht="15" hidden="false" customHeight="false" outlineLevel="0" collapsed="false">
      <c r="A290" s="32"/>
      <c r="B290" s="32"/>
      <c r="C290" s="32"/>
      <c r="D290" s="33"/>
      <c r="E290" s="32"/>
      <c r="F290" s="35"/>
      <c r="G290" s="35"/>
      <c r="H290" s="32"/>
      <c r="I290" s="33"/>
      <c r="J290" s="37" t="str">
        <f aca="true">IF(OR(C290="",H290="Complete",H290="Not Applicable",F290=""),"",IF(F290&lt;TODAY(),"Overdue",""))</f>
        <v/>
      </c>
    </row>
    <row r="291" customFormat="false" ht="15" hidden="false" customHeight="false" outlineLevel="0" collapsed="false">
      <c r="A291" s="32"/>
      <c r="B291" s="32"/>
      <c r="C291" s="32"/>
      <c r="D291" s="33"/>
      <c r="E291" s="32"/>
      <c r="F291" s="35"/>
      <c r="G291" s="35"/>
      <c r="H291" s="32"/>
      <c r="I291" s="33"/>
      <c r="J291" s="37" t="str">
        <f aca="true">IF(OR(C291="",H291="Complete",H291="Not Applicable",F291=""),"",IF(F291&lt;TODAY(),"Overdue",""))</f>
        <v/>
      </c>
    </row>
    <row r="292" customFormat="false" ht="15" hidden="false" customHeight="false" outlineLevel="0" collapsed="false">
      <c r="A292" s="32"/>
      <c r="B292" s="32"/>
      <c r="C292" s="32"/>
      <c r="D292" s="33"/>
      <c r="E292" s="32"/>
      <c r="F292" s="35"/>
      <c r="G292" s="35"/>
      <c r="H292" s="32"/>
      <c r="I292" s="33"/>
      <c r="J292" s="37" t="str">
        <f aca="true">IF(OR(C292="",H292="Complete",H292="Not Applicable",F292=""),"",IF(F292&lt;TODAY(),"Overdue",""))</f>
        <v/>
      </c>
    </row>
    <row r="293" customFormat="false" ht="15" hidden="false" customHeight="false" outlineLevel="0" collapsed="false">
      <c r="A293" s="32"/>
      <c r="B293" s="32"/>
      <c r="C293" s="32"/>
      <c r="D293" s="33"/>
      <c r="E293" s="32"/>
      <c r="F293" s="35"/>
      <c r="G293" s="35"/>
      <c r="H293" s="32"/>
      <c r="I293" s="33"/>
      <c r="J293" s="37" t="str">
        <f aca="true">IF(OR(C293="",H293="Complete",H293="Not Applicable",F293=""),"",IF(F293&lt;TODAY(),"Overdue",""))</f>
        <v/>
      </c>
    </row>
    <row r="294" customFormat="false" ht="15" hidden="false" customHeight="false" outlineLevel="0" collapsed="false">
      <c r="A294" s="32"/>
      <c r="B294" s="32"/>
      <c r="C294" s="32"/>
      <c r="D294" s="33"/>
      <c r="E294" s="32"/>
      <c r="F294" s="35"/>
      <c r="G294" s="35"/>
      <c r="H294" s="32"/>
      <c r="I294" s="33"/>
      <c r="J294" s="37" t="str">
        <f aca="true">IF(OR(C294="",H294="Complete",H294="Not Applicable",F294=""),"",IF(F294&lt;TODAY(),"Overdue",""))</f>
        <v/>
      </c>
    </row>
    <row r="295" customFormat="false" ht="15" hidden="false" customHeight="false" outlineLevel="0" collapsed="false">
      <c r="A295" s="32"/>
      <c r="B295" s="32"/>
      <c r="C295" s="32"/>
      <c r="D295" s="33"/>
      <c r="E295" s="32"/>
      <c r="F295" s="35"/>
      <c r="G295" s="35"/>
      <c r="H295" s="32"/>
      <c r="I295" s="33"/>
      <c r="J295" s="37" t="str">
        <f aca="true">IF(OR(C295="",H295="Complete",H295="Not Applicable",F295=""),"",IF(F295&lt;TODAY(),"Overdue",""))</f>
        <v/>
      </c>
    </row>
    <row r="296" customFormat="false" ht="15" hidden="false" customHeight="false" outlineLevel="0" collapsed="false">
      <c r="A296" s="32"/>
      <c r="B296" s="32"/>
      <c r="C296" s="32"/>
      <c r="D296" s="33"/>
      <c r="E296" s="32"/>
      <c r="F296" s="35"/>
      <c r="G296" s="35"/>
      <c r="H296" s="32"/>
      <c r="I296" s="33"/>
      <c r="J296" s="37" t="str">
        <f aca="true">IF(OR(C296="",H296="Complete",H296="Not Applicable",F296=""),"",IF(F296&lt;TODAY(),"Overdue",""))</f>
        <v/>
      </c>
    </row>
    <row r="297" customFormat="false" ht="15" hidden="false" customHeight="false" outlineLevel="0" collapsed="false">
      <c r="A297" s="32"/>
      <c r="B297" s="32"/>
      <c r="C297" s="32"/>
      <c r="D297" s="33"/>
      <c r="E297" s="32"/>
      <c r="F297" s="35"/>
      <c r="G297" s="35"/>
      <c r="H297" s="32"/>
      <c r="I297" s="33"/>
      <c r="J297" s="37" t="str">
        <f aca="true">IF(OR(C297="",H297="Complete",H297="Not Applicable",F297=""),"",IF(F297&lt;TODAY(),"Overdue",""))</f>
        <v/>
      </c>
    </row>
    <row r="298" customFormat="false" ht="15" hidden="false" customHeight="false" outlineLevel="0" collapsed="false">
      <c r="A298" s="32"/>
      <c r="B298" s="32"/>
      <c r="C298" s="32"/>
      <c r="D298" s="33"/>
      <c r="E298" s="32"/>
      <c r="F298" s="35"/>
      <c r="G298" s="35"/>
      <c r="H298" s="32"/>
      <c r="I298" s="33"/>
      <c r="J298" s="37" t="str">
        <f aca="true">IF(OR(C298="",H298="Complete",H298="Not Applicable",F298=""),"",IF(F298&lt;TODAY(),"Overdue",""))</f>
        <v/>
      </c>
    </row>
    <row r="299" customFormat="false" ht="15" hidden="false" customHeight="false" outlineLevel="0" collapsed="false">
      <c r="A299" s="32"/>
      <c r="B299" s="32"/>
      <c r="C299" s="32"/>
      <c r="D299" s="33"/>
      <c r="E299" s="32"/>
      <c r="F299" s="35"/>
      <c r="G299" s="35"/>
      <c r="H299" s="32"/>
      <c r="I299" s="33"/>
      <c r="J299" s="37" t="str">
        <f aca="true">IF(OR(C299="",H299="Complete",H299="Not Applicable",F299=""),"",IF(F299&lt;TODAY(),"Overdue",""))</f>
        <v/>
      </c>
    </row>
    <row r="300" customFormat="false" ht="15" hidden="false" customHeight="false" outlineLevel="0" collapsed="false">
      <c r="A300" s="32"/>
      <c r="B300" s="32"/>
      <c r="C300" s="32"/>
      <c r="D300" s="33"/>
      <c r="E300" s="32"/>
      <c r="F300" s="35"/>
      <c r="G300" s="35"/>
      <c r="H300" s="32"/>
      <c r="I300" s="33"/>
      <c r="J300" s="37" t="str">
        <f aca="true">IF(OR(C300="",H300="Complete",H300="Not Applicable",F300=""),"",IF(F300&lt;TODAY(),"Overdue",""))</f>
        <v/>
      </c>
    </row>
    <row r="301" customFormat="false" ht="15" hidden="false" customHeight="false" outlineLevel="0" collapsed="false">
      <c r="A301" s="32"/>
      <c r="B301" s="32"/>
      <c r="C301" s="32"/>
      <c r="D301" s="33"/>
      <c r="E301" s="32"/>
      <c r="F301" s="35"/>
      <c r="G301" s="35"/>
      <c r="H301" s="32"/>
      <c r="I301" s="33"/>
      <c r="J301" s="37" t="str">
        <f aca="true">IF(OR(C301="",H301="Complete",H301="Not Applicable",F301=""),"",IF(F301&lt;TODAY(),"Overdue",""))</f>
        <v/>
      </c>
    </row>
    <row r="302" customFormat="false" ht="15" hidden="false" customHeight="false" outlineLevel="0" collapsed="false">
      <c r="A302" s="32"/>
      <c r="B302" s="32"/>
      <c r="C302" s="32"/>
      <c r="D302" s="33"/>
      <c r="E302" s="32"/>
      <c r="F302" s="35"/>
      <c r="G302" s="35"/>
      <c r="H302" s="32"/>
      <c r="I302" s="33"/>
      <c r="J302" s="37" t="str">
        <f aca="true">IF(OR(C302="",H302="Complete",H302="Not Applicable",F302=""),"",IF(F302&lt;TODAY(),"Overdue",""))</f>
        <v/>
      </c>
    </row>
    <row r="303" customFormat="false" ht="15" hidden="false" customHeight="false" outlineLevel="0" collapsed="false">
      <c r="A303" s="32"/>
      <c r="B303" s="32"/>
      <c r="C303" s="32"/>
      <c r="D303" s="33"/>
      <c r="E303" s="32"/>
      <c r="F303" s="35"/>
      <c r="G303" s="35"/>
      <c r="H303" s="32"/>
      <c r="I303" s="33"/>
      <c r="J303" s="37" t="str">
        <f aca="true">IF(OR(C303="",H303="Complete",H303="Not Applicable",F303=""),"",IF(F303&lt;TODAY(),"Overdue",""))</f>
        <v/>
      </c>
    </row>
    <row r="304" customFormat="false" ht="15" hidden="false" customHeight="false" outlineLevel="0" collapsed="false">
      <c r="A304" s="32"/>
      <c r="B304" s="32"/>
      <c r="C304" s="32"/>
      <c r="D304" s="33"/>
      <c r="E304" s="32"/>
      <c r="F304" s="35"/>
      <c r="G304" s="35"/>
      <c r="H304" s="32"/>
      <c r="I304" s="33"/>
      <c r="J304" s="37" t="str">
        <f aca="true">IF(OR(C304="",H304="Complete",H304="Not Applicable",F304=""),"",IF(F304&lt;TODAY(),"Overdue",""))</f>
        <v/>
      </c>
    </row>
    <row r="305" customFormat="false" ht="15" hidden="false" customHeight="false" outlineLevel="0" collapsed="false">
      <c r="A305" s="32"/>
      <c r="B305" s="32"/>
      <c r="C305" s="32"/>
      <c r="D305" s="33"/>
      <c r="E305" s="32"/>
      <c r="F305" s="35"/>
      <c r="G305" s="35"/>
      <c r="H305" s="32"/>
      <c r="I305" s="33"/>
      <c r="J305" s="37" t="str">
        <f aca="true">IF(OR(C305="",H305="Complete",H305="Not Applicable",F305=""),"",IF(F305&lt;TODAY(),"Overdue",""))</f>
        <v/>
      </c>
    </row>
    <row r="306" customFormat="false" ht="15" hidden="false" customHeight="false" outlineLevel="0" collapsed="false">
      <c r="A306" s="32"/>
      <c r="B306" s="32"/>
      <c r="C306" s="32"/>
      <c r="D306" s="33"/>
      <c r="E306" s="32"/>
      <c r="F306" s="35"/>
      <c r="G306" s="35"/>
      <c r="H306" s="32"/>
      <c r="I306" s="33"/>
      <c r="J306" s="37" t="str">
        <f aca="true">IF(OR(C306="",H306="Complete",H306="Not Applicable",F306=""),"",IF(F306&lt;TODAY(),"Overdue",""))</f>
        <v/>
      </c>
    </row>
    <row r="307" customFormat="false" ht="15" hidden="false" customHeight="false" outlineLevel="0" collapsed="false">
      <c r="A307" s="32"/>
      <c r="B307" s="32"/>
      <c r="C307" s="32"/>
      <c r="D307" s="33"/>
      <c r="E307" s="32"/>
      <c r="F307" s="35"/>
      <c r="G307" s="35"/>
      <c r="H307" s="32"/>
      <c r="I307" s="33"/>
      <c r="J307" s="37" t="str">
        <f aca="true">IF(OR(C307="",H307="Complete",H307="Not Applicable",F307=""),"",IF(F307&lt;TODAY(),"Overdue",""))</f>
        <v/>
      </c>
    </row>
    <row r="308" customFormat="false" ht="15" hidden="false" customHeight="false" outlineLevel="0" collapsed="false">
      <c r="A308" s="32"/>
      <c r="B308" s="32"/>
      <c r="C308" s="32"/>
      <c r="D308" s="33"/>
      <c r="E308" s="32"/>
      <c r="F308" s="35"/>
      <c r="G308" s="35"/>
      <c r="H308" s="32"/>
      <c r="I308" s="33"/>
      <c r="J308" s="37" t="str">
        <f aca="true">IF(OR(C308="",H308="Complete",H308="Not Applicable",F308=""),"",IF(F308&lt;TODAY(),"Overdue",""))</f>
        <v/>
      </c>
    </row>
    <row r="309" customFormat="false" ht="15" hidden="false" customHeight="false" outlineLevel="0" collapsed="false">
      <c r="A309" s="32"/>
      <c r="B309" s="32"/>
      <c r="C309" s="32"/>
      <c r="D309" s="33"/>
      <c r="E309" s="32"/>
      <c r="F309" s="35"/>
      <c r="G309" s="35"/>
      <c r="H309" s="32"/>
      <c r="I309" s="33"/>
      <c r="J309" s="37" t="str">
        <f aca="true">IF(OR(C309="",H309="Complete",H309="Not Applicable",F309=""),"",IF(F309&lt;TODAY(),"Overdue",""))</f>
        <v/>
      </c>
    </row>
    <row r="310" customFormat="false" ht="15" hidden="false" customHeight="false" outlineLevel="0" collapsed="false">
      <c r="A310" s="32"/>
      <c r="B310" s="32"/>
      <c r="C310" s="32"/>
      <c r="D310" s="33"/>
      <c r="E310" s="32"/>
      <c r="F310" s="35"/>
      <c r="G310" s="35"/>
      <c r="H310" s="32"/>
      <c r="I310" s="33"/>
      <c r="J310" s="37" t="str">
        <f aca="true">IF(OR(C310="",H310="Complete",H310="Not Applicable",F310=""),"",IF(F310&lt;TODAY(),"Overdue",""))</f>
        <v/>
      </c>
    </row>
    <row r="311" customFormat="false" ht="15" hidden="false" customHeight="false" outlineLevel="0" collapsed="false">
      <c r="A311" s="32"/>
      <c r="B311" s="32"/>
      <c r="C311" s="32"/>
      <c r="D311" s="33"/>
      <c r="E311" s="32"/>
      <c r="F311" s="35"/>
      <c r="G311" s="35"/>
      <c r="H311" s="32"/>
      <c r="I311" s="33"/>
      <c r="J311" s="37" t="str">
        <f aca="true">IF(OR(C311="",H311="Complete",H311="Not Applicable",F311=""),"",IF(F311&lt;TODAY(),"Overdue",""))</f>
        <v/>
      </c>
    </row>
    <row r="312" customFormat="false" ht="15" hidden="false" customHeight="false" outlineLevel="0" collapsed="false">
      <c r="A312" s="32"/>
      <c r="B312" s="32"/>
      <c r="C312" s="32"/>
      <c r="D312" s="33"/>
      <c r="E312" s="32"/>
      <c r="F312" s="35"/>
      <c r="G312" s="35"/>
      <c r="H312" s="32"/>
      <c r="I312" s="33"/>
      <c r="J312" s="37" t="str">
        <f aca="true">IF(OR(C312="",H312="Complete",H312="Not Applicable",F312=""),"",IF(F312&lt;TODAY(),"Overdue",""))</f>
        <v/>
      </c>
    </row>
    <row r="313" customFormat="false" ht="15" hidden="false" customHeight="false" outlineLevel="0" collapsed="false">
      <c r="A313" s="32"/>
      <c r="B313" s="32"/>
      <c r="C313" s="32"/>
      <c r="D313" s="33"/>
      <c r="E313" s="32"/>
      <c r="F313" s="35"/>
      <c r="G313" s="35"/>
      <c r="H313" s="32"/>
      <c r="I313" s="33"/>
      <c r="J313" s="37" t="str">
        <f aca="true">IF(OR(C313="",H313="Complete",H313="Not Applicable",F313=""),"",IF(F313&lt;TODAY(),"Overdue",""))</f>
        <v/>
      </c>
    </row>
    <row r="314" customFormat="false" ht="15" hidden="false" customHeight="false" outlineLevel="0" collapsed="false">
      <c r="A314" s="32"/>
      <c r="B314" s="32"/>
      <c r="C314" s="32"/>
      <c r="D314" s="33"/>
      <c r="E314" s="32"/>
      <c r="F314" s="35"/>
      <c r="G314" s="35"/>
      <c r="H314" s="32"/>
      <c r="I314" s="33"/>
      <c r="J314" s="37" t="str">
        <f aca="true">IF(OR(C314="",H314="Complete",H314="Not Applicable",F314=""),"",IF(F314&lt;TODAY(),"Overdue",""))</f>
        <v/>
      </c>
    </row>
    <row r="315" customFormat="false" ht="15" hidden="false" customHeight="false" outlineLevel="0" collapsed="false">
      <c r="A315" s="32"/>
      <c r="B315" s="32"/>
      <c r="C315" s="32"/>
      <c r="D315" s="33"/>
      <c r="E315" s="32"/>
      <c r="F315" s="35"/>
      <c r="G315" s="35"/>
      <c r="H315" s="32"/>
      <c r="I315" s="33"/>
      <c r="J315" s="37" t="str">
        <f aca="true">IF(OR(C315="",H315="Complete",H315="Not Applicable",F315=""),"",IF(F315&lt;TODAY(),"Overdue",""))</f>
        <v/>
      </c>
    </row>
    <row r="316" customFormat="false" ht="15" hidden="false" customHeight="false" outlineLevel="0" collapsed="false">
      <c r="A316" s="32"/>
      <c r="B316" s="32"/>
      <c r="C316" s="32"/>
      <c r="D316" s="33"/>
      <c r="E316" s="32"/>
      <c r="F316" s="35"/>
      <c r="G316" s="35"/>
      <c r="H316" s="32"/>
      <c r="I316" s="33"/>
      <c r="J316" s="37" t="str">
        <f aca="true">IF(OR(C316="",H316="Complete",H316="Not Applicable",F316=""),"",IF(F316&lt;TODAY(),"Overdue",""))</f>
        <v/>
      </c>
    </row>
    <row r="317" customFormat="false" ht="15" hidden="false" customHeight="false" outlineLevel="0" collapsed="false">
      <c r="A317" s="32"/>
      <c r="B317" s="32"/>
      <c r="C317" s="32"/>
      <c r="D317" s="33"/>
      <c r="E317" s="32"/>
      <c r="F317" s="35"/>
      <c r="G317" s="35"/>
      <c r="H317" s="32"/>
      <c r="I317" s="33"/>
      <c r="J317" s="37" t="str">
        <f aca="true">IF(OR(C317="",H317="Complete",H317="Not Applicable",F317=""),"",IF(F317&lt;TODAY(),"Overdue",""))</f>
        <v/>
      </c>
    </row>
    <row r="318" customFormat="false" ht="15" hidden="false" customHeight="false" outlineLevel="0" collapsed="false">
      <c r="A318" s="32"/>
      <c r="B318" s="32"/>
      <c r="C318" s="32"/>
      <c r="D318" s="33"/>
      <c r="E318" s="32"/>
      <c r="F318" s="35"/>
      <c r="G318" s="35"/>
      <c r="H318" s="32"/>
      <c r="I318" s="33"/>
      <c r="J318" s="37" t="str">
        <f aca="true">IF(OR(C318="",H318="Complete",H318="Not Applicable",F318=""),"",IF(F318&lt;TODAY(),"Overdue",""))</f>
        <v/>
      </c>
    </row>
    <row r="319" customFormat="false" ht="15" hidden="false" customHeight="false" outlineLevel="0" collapsed="false">
      <c r="A319" s="32"/>
      <c r="B319" s="32"/>
      <c r="C319" s="32"/>
      <c r="D319" s="33"/>
      <c r="E319" s="32"/>
      <c r="F319" s="35"/>
      <c r="G319" s="35"/>
      <c r="H319" s="32"/>
      <c r="I319" s="33"/>
      <c r="J319" s="37" t="str">
        <f aca="true">IF(OR(C319="",H319="Complete",H319="Not Applicable",F319=""),"",IF(F319&lt;TODAY(),"Overdue",""))</f>
        <v/>
      </c>
    </row>
    <row r="320" customFormat="false" ht="15" hidden="false" customHeight="false" outlineLevel="0" collapsed="false">
      <c r="A320" s="32"/>
      <c r="B320" s="32"/>
      <c r="C320" s="32"/>
      <c r="D320" s="33"/>
      <c r="E320" s="32"/>
      <c r="F320" s="35"/>
      <c r="G320" s="35"/>
      <c r="H320" s="32"/>
      <c r="I320" s="33"/>
      <c r="J320" s="37" t="str">
        <f aca="true">IF(OR(C320="",H320="Complete",H320="Not Applicable",F320=""),"",IF(F320&lt;TODAY(),"Overdue",""))</f>
        <v/>
      </c>
    </row>
    <row r="321" customFormat="false" ht="15" hidden="false" customHeight="false" outlineLevel="0" collapsed="false">
      <c r="A321" s="32"/>
      <c r="B321" s="32"/>
      <c r="C321" s="32"/>
      <c r="D321" s="33"/>
      <c r="E321" s="32"/>
      <c r="F321" s="35"/>
      <c r="G321" s="35"/>
      <c r="H321" s="32"/>
      <c r="I321" s="33"/>
      <c r="J321" s="37" t="str">
        <f aca="true">IF(OR(C321="",H321="Complete",H321="Not Applicable",F321=""),"",IF(F321&lt;TODAY(),"Overdue",""))</f>
        <v/>
      </c>
    </row>
    <row r="322" customFormat="false" ht="15" hidden="false" customHeight="false" outlineLevel="0" collapsed="false">
      <c r="A322" s="32"/>
      <c r="B322" s="32"/>
      <c r="C322" s="32"/>
      <c r="D322" s="33"/>
      <c r="E322" s="32"/>
      <c r="F322" s="35"/>
      <c r="G322" s="35"/>
      <c r="H322" s="32"/>
      <c r="I322" s="33"/>
      <c r="J322" s="37" t="str">
        <f aca="true">IF(OR(C322="",H322="Complete",H322="Not Applicable",F322=""),"",IF(F322&lt;TODAY(),"Overdue",""))</f>
        <v/>
      </c>
    </row>
    <row r="323" customFormat="false" ht="15" hidden="false" customHeight="false" outlineLevel="0" collapsed="false">
      <c r="A323" s="32"/>
      <c r="B323" s="32"/>
      <c r="C323" s="32"/>
      <c r="D323" s="33"/>
      <c r="E323" s="32"/>
      <c r="F323" s="35"/>
      <c r="G323" s="35"/>
      <c r="H323" s="32"/>
      <c r="I323" s="33"/>
      <c r="J323" s="37" t="str">
        <f aca="true">IF(OR(C323="",H323="Complete",H323="Not Applicable",F323=""),"",IF(F323&lt;TODAY(),"Overdue",""))</f>
        <v/>
      </c>
    </row>
    <row r="324" customFormat="false" ht="15" hidden="false" customHeight="false" outlineLevel="0" collapsed="false">
      <c r="A324" s="32"/>
      <c r="B324" s="32"/>
      <c r="C324" s="32"/>
      <c r="D324" s="33"/>
      <c r="E324" s="32"/>
      <c r="F324" s="35"/>
      <c r="G324" s="35"/>
      <c r="H324" s="32"/>
      <c r="I324" s="33"/>
      <c r="J324" s="37" t="str">
        <f aca="true">IF(OR(C324="",H324="Complete",H324="Not Applicable",F324=""),"",IF(F324&lt;TODAY(),"Overdue",""))</f>
        <v/>
      </c>
    </row>
    <row r="325" customFormat="false" ht="15" hidden="false" customHeight="false" outlineLevel="0" collapsed="false">
      <c r="A325" s="32"/>
      <c r="B325" s="32"/>
      <c r="C325" s="32"/>
      <c r="D325" s="33"/>
      <c r="E325" s="32"/>
      <c r="F325" s="35"/>
      <c r="G325" s="35"/>
      <c r="H325" s="32"/>
      <c r="I325" s="33"/>
      <c r="J325" s="37" t="str">
        <f aca="true">IF(OR(C325="",H325="Complete",H325="Not Applicable",F325=""),"",IF(F325&lt;TODAY(),"Overdue",""))</f>
        <v/>
      </c>
    </row>
    <row r="326" customFormat="false" ht="15" hidden="false" customHeight="false" outlineLevel="0" collapsed="false">
      <c r="A326" s="32"/>
      <c r="B326" s="32"/>
      <c r="C326" s="32"/>
      <c r="D326" s="33"/>
      <c r="E326" s="32"/>
      <c r="F326" s="35"/>
      <c r="G326" s="35"/>
      <c r="H326" s="32"/>
      <c r="I326" s="33"/>
      <c r="J326" s="37" t="str">
        <f aca="true">IF(OR(C326="",H326="Complete",H326="Not Applicable",F326=""),"",IF(F326&lt;TODAY(),"Overdue",""))</f>
        <v/>
      </c>
    </row>
    <row r="327" customFormat="false" ht="15" hidden="false" customHeight="false" outlineLevel="0" collapsed="false">
      <c r="A327" s="32"/>
      <c r="B327" s="32"/>
      <c r="C327" s="32"/>
      <c r="D327" s="33"/>
      <c r="E327" s="32"/>
      <c r="F327" s="35"/>
      <c r="G327" s="35"/>
      <c r="H327" s="32"/>
      <c r="I327" s="33"/>
      <c r="J327" s="37" t="str">
        <f aca="true">IF(OR(C327="",H327="Complete",H327="Not Applicable",F327=""),"",IF(F327&lt;TODAY(),"Overdue",""))</f>
        <v/>
      </c>
    </row>
    <row r="328" customFormat="false" ht="15" hidden="false" customHeight="false" outlineLevel="0" collapsed="false">
      <c r="A328" s="32"/>
      <c r="B328" s="32"/>
      <c r="C328" s="32"/>
      <c r="D328" s="33"/>
      <c r="E328" s="32"/>
      <c r="F328" s="35"/>
      <c r="G328" s="35"/>
      <c r="H328" s="32"/>
      <c r="I328" s="33"/>
      <c r="J328" s="37" t="str">
        <f aca="true">IF(OR(C328="",H328="Complete",H328="Not Applicable",F328=""),"",IF(F328&lt;TODAY(),"Overdue",""))</f>
        <v/>
      </c>
    </row>
    <row r="329" customFormat="false" ht="15" hidden="false" customHeight="false" outlineLevel="0" collapsed="false">
      <c r="A329" s="32"/>
      <c r="B329" s="32"/>
      <c r="C329" s="32"/>
      <c r="D329" s="33"/>
      <c r="E329" s="32"/>
      <c r="F329" s="35"/>
      <c r="G329" s="35"/>
      <c r="H329" s="32"/>
      <c r="I329" s="33"/>
      <c r="J329" s="37" t="str">
        <f aca="true">IF(OR(C329="",H329="Complete",H329="Not Applicable",F329=""),"",IF(F329&lt;TODAY(),"Overdue",""))</f>
        <v/>
      </c>
    </row>
    <row r="330" customFormat="false" ht="15" hidden="false" customHeight="false" outlineLevel="0" collapsed="false">
      <c r="A330" s="32"/>
      <c r="B330" s="32"/>
      <c r="C330" s="32"/>
      <c r="D330" s="33"/>
      <c r="E330" s="32"/>
      <c r="F330" s="35"/>
      <c r="G330" s="35"/>
      <c r="H330" s="32"/>
      <c r="I330" s="33"/>
      <c r="J330" s="37" t="str">
        <f aca="true">IF(OR(C330="",H330="Complete",H330="Not Applicable",F330=""),"",IF(F330&lt;TODAY(),"Overdue",""))</f>
        <v/>
      </c>
    </row>
    <row r="331" customFormat="false" ht="15" hidden="false" customHeight="false" outlineLevel="0" collapsed="false">
      <c r="A331" s="32"/>
      <c r="B331" s="32"/>
      <c r="C331" s="32"/>
      <c r="D331" s="33"/>
      <c r="E331" s="32"/>
      <c r="F331" s="35"/>
      <c r="G331" s="35"/>
      <c r="H331" s="32"/>
      <c r="I331" s="33"/>
      <c r="J331" s="37" t="str">
        <f aca="true">IF(OR(C331="",H331="Complete",H331="Not Applicable",F331=""),"",IF(F331&lt;TODAY(),"Overdue",""))</f>
        <v/>
      </c>
    </row>
    <row r="332" customFormat="false" ht="15" hidden="false" customHeight="false" outlineLevel="0" collapsed="false">
      <c r="A332" s="32"/>
      <c r="B332" s="32"/>
      <c r="C332" s="32"/>
      <c r="D332" s="33"/>
      <c r="E332" s="32"/>
      <c r="F332" s="35"/>
      <c r="G332" s="35"/>
      <c r="H332" s="32"/>
      <c r="I332" s="33"/>
      <c r="J332" s="37" t="str">
        <f aca="true">IF(OR(C332="",H332="Complete",H332="Not Applicable",F332=""),"",IF(F332&lt;TODAY(),"Overdue",""))</f>
        <v/>
      </c>
    </row>
    <row r="333" customFormat="false" ht="15" hidden="false" customHeight="false" outlineLevel="0" collapsed="false">
      <c r="A333" s="32"/>
      <c r="B333" s="32"/>
      <c r="C333" s="32"/>
      <c r="D333" s="33"/>
      <c r="E333" s="32"/>
      <c r="F333" s="35"/>
      <c r="G333" s="35"/>
      <c r="H333" s="32"/>
      <c r="I333" s="33"/>
      <c r="J333" s="37" t="str">
        <f aca="true">IF(OR(C333="",H333="Complete",H333="Not Applicable",F333=""),"",IF(F333&lt;TODAY(),"Overdue",""))</f>
        <v/>
      </c>
    </row>
    <row r="334" customFormat="false" ht="15" hidden="false" customHeight="false" outlineLevel="0" collapsed="false">
      <c r="A334" s="32"/>
      <c r="B334" s="32"/>
      <c r="C334" s="32"/>
      <c r="D334" s="33"/>
      <c r="E334" s="32"/>
      <c r="F334" s="35"/>
      <c r="G334" s="35"/>
      <c r="H334" s="32"/>
      <c r="I334" s="33"/>
      <c r="J334" s="37" t="str">
        <f aca="true">IF(OR(C334="",H334="Complete",H334="Not Applicable",F334=""),"",IF(F334&lt;TODAY(),"Overdue",""))</f>
        <v/>
      </c>
    </row>
    <row r="335" customFormat="false" ht="15" hidden="false" customHeight="false" outlineLevel="0" collapsed="false">
      <c r="A335" s="32"/>
      <c r="B335" s="32"/>
      <c r="C335" s="32"/>
      <c r="D335" s="33"/>
      <c r="E335" s="32"/>
      <c r="F335" s="35"/>
      <c r="G335" s="35"/>
      <c r="H335" s="32"/>
      <c r="I335" s="33"/>
      <c r="J335" s="37" t="str">
        <f aca="true">IF(OR(C335="",H335="Complete",H335="Not Applicable",F335=""),"",IF(F335&lt;TODAY(),"Overdue",""))</f>
        <v/>
      </c>
    </row>
    <row r="336" customFormat="false" ht="15" hidden="false" customHeight="false" outlineLevel="0" collapsed="false">
      <c r="A336" s="32"/>
      <c r="B336" s="32"/>
      <c r="C336" s="32"/>
      <c r="D336" s="33"/>
      <c r="E336" s="32"/>
      <c r="F336" s="35"/>
      <c r="G336" s="35"/>
      <c r="H336" s="32"/>
      <c r="I336" s="33"/>
      <c r="J336" s="37" t="str">
        <f aca="true">IF(OR(C336="",H336="Complete",H336="Not Applicable",F336=""),"",IF(F336&lt;TODAY(),"Overdue",""))</f>
        <v/>
      </c>
    </row>
    <row r="337" customFormat="false" ht="15" hidden="false" customHeight="false" outlineLevel="0" collapsed="false">
      <c r="A337" s="32"/>
      <c r="B337" s="32"/>
      <c r="C337" s="32"/>
      <c r="D337" s="33"/>
      <c r="E337" s="32"/>
      <c r="F337" s="35"/>
      <c r="G337" s="35"/>
      <c r="H337" s="32"/>
      <c r="I337" s="33"/>
      <c r="J337" s="37" t="str">
        <f aca="true">IF(OR(C337="",H337="Complete",H337="Not Applicable",F337=""),"",IF(F337&lt;TODAY(),"Overdue",""))</f>
        <v/>
      </c>
    </row>
    <row r="338" customFormat="false" ht="15" hidden="false" customHeight="false" outlineLevel="0" collapsed="false">
      <c r="A338" s="32"/>
      <c r="B338" s="32"/>
      <c r="C338" s="32"/>
      <c r="D338" s="33"/>
      <c r="E338" s="32"/>
      <c r="F338" s="35"/>
      <c r="G338" s="35"/>
      <c r="H338" s="32"/>
      <c r="I338" s="33"/>
      <c r="J338" s="37" t="str">
        <f aca="true">IF(OR(C338="",H338="Complete",H338="Not Applicable",F338=""),"",IF(F338&lt;TODAY(),"Overdue",""))</f>
        <v/>
      </c>
    </row>
    <row r="339" customFormat="false" ht="15" hidden="false" customHeight="false" outlineLevel="0" collapsed="false">
      <c r="A339" s="32"/>
      <c r="B339" s="32"/>
      <c r="C339" s="32"/>
      <c r="D339" s="33"/>
      <c r="E339" s="32"/>
      <c r="F339" s="35"/>
      <c r="G339" s="35"/>
      <c r="H339" s="32"/>
      <c r="I339" s="33"/>
      <c r="J339" s="37" t="str">
        <f aca="true">IF(OR(C339="",H339="Complete",H339="Not Applicable",F339=""),"",IF(F339&lt;TODAY(),"Overdue",""))</f>
        <v/>
      </c>
    </row>
    <row r="340" customFormat="false" ht="15" hidden="false" customHeight="false" outlineLevel="0" collapsed="false">
      <c r="A340" s="32"/>
      <c r="B340" s="32"/>
      <c r="C340" s="32"/>
      <c r="D340" s="33"/>
      <c r="E340" s="32"/>
      <c r="F340" s="35"/>
      <c r="G340" s="35"/>
      <c r="H340" s="32"/>
      <c r="I340" s="33"/>
      <c r="J340" s="37" t="str">
        <f aca="true">IF(OR(C340="",H340="Complete",H340="Not Applicable",F340=""),"",IF(F340&lt;TODAY(),"Overdue",""))</f>
        <v/>
      </c>
    </row>
    <row r="341" customFormat="false" ht="15" hidden="false" customHeight="false" outlineLevel="0" collapsed="false">
      <c r="A341" s="32"/>
      <c r="B341" s="32"/>
      <c r="C341" s="32"/>
      <c r="D341" s="33"/>
      <c r="E341" s="32"/>
      <c r="F341" s="35"/>
      <c r="G341" s="35"/>
      <c r="H341" s="32"/>
      <c r="I341" s="33"/>
      <c r="J341" s="37" t="str">
        <f aca="true">IF(OR(C341="",H341="Complete",H341="Not Applicable",F341=""),"",IF(F341&lt;TODAY(),"Overdue",""))</f>
        <v/>
      </c>
    </row>
    <row r="342" customFormat="false" ht="15" hidden="false" customHeight="false" outlineLevel="0" collapsed="false">
      <c r="A342" s="32"/>
      <c r="B342" s="32"/>
      <c r="C342" s="32"/>
      <c r="D342" s="33"/>
      <c r="E342" s="32"/>
      <c r="F342" s="35"/>
      <c r="G342" s="35"/>
      <c r="H342" s="32"/>
      <c r="I342" s="33"/>
      <c r="J342" s="37" t="str">
        <f aca="true">IF(OR(C342="",H342="Complete",H342="Not Applicable",F342=""),"",IF(F342&lt;TODAY(),"Overdue",""))</f>
        <v/>
      </c>
    </row>
    <row r="343" customFormat="false" ht="15" hidden="false" customHeight="false" outlineLevel="0" collapsed="false">
      <c r="A343" s="32"/>
      <c r="B343" s="32"/>
      <c r="C343" s="32"/>
      <c r="D343" s="33"/>
      <c r="E343" s="32"/>
      <c r="F343" s="35"/>
      <c r="G343" s="35"/>
      <c r="H343" s="32"/>
      <c r="I343" s="33"/>
      <c r="J343" s="37" t="str">
        <f aca="true">IF(OR(C343="",H343="Complete",H343="Not Applicable",F343=""),"",IF(F343&lt;TODAY(),"Overdue",""))</f>
        <v/>
      </c>
    </row>
    <row r="344" customFormat="false" ht="15" hidden="false" customHeight="false" outlineLevel="0" collapsed="false">
      <c r="A344" s="32"/>
      <c r="B344" s="32"/>
      <c r="C344" s="32"/>
      <c r="D344" s="33"/>
      <c r="E344" s="32"/>
      <c r="F344" s="35"/>
      <c r="G344" s="35"/>
      <c r="H344" s="32"/>
      <c r="I344" s="33"/>
      <c r="J344" s="37" t="str">
        <f aca="true">IF(OR(C344="",H344="Complete",H344="Not Applicable",F344=""),"",IF(F344&lt;TODAY(),"Overdue",""))</f>
        <v/>
      </c>
    </row>
    <row r="345" customFormat="false" ht="15" hidden="false" customHeight="false" outlineLevel="0" collapsed="false">
      <c r="A345" s="32"/>
      <c r="B345" s="32"/>
      <c r="C345" s="32"/>
      <c r="D345" s="33"/>
      <c r="E345" s="32"/>
      <c r="F345" s="35"/>
      <c r="G345" s="35"/>
      <c r="H345" s="32"/>
      <c r="I345" s="33"/>
      <c r="J345" s="37" t="str">
        <f aca="true">IF(OR(C345="",H345="Complete",H345="Not Applicable",F345=""),"",IF(F345&lt;TODAY(),"Overdue",""))</f>
        <v/>
      </c>
    </row>
    <row r="346" customFormat="false" ht="15" hidden="false" customHeight="false" outlineLevel="0" collapsed="false">
      <c r="A346" s="32"/>
      <c r="B346" s="32"/>
      <c r="C346" s="32"/>
      <c r="D346" s="33"/>
      <c r="E346" s="32"/>
      <c r="F346" s="35"/>
      <c r="G346" s="35"/>
      <c r="H346" s="32"/>
      <c r="I346" s="33"/>
      <c r="J346" s="37" t="str">
        <f aca="true">IF(OR(C346="",H346="Complete",H346="Not Applicable",F346=""),"",IF(F346&lt;TODAY(),"Overdue",""))</f>
        <v/>
      </c>
    </row>
    <row r="347" customFormat="false" ht="15" hidden="false" customHeight="false" outlineLevel="0" collapsed="false">
      <c r="A347" s="32"/>
      <c r="B347" s="32"/>
      <c r="C347" s="32"/>
      <c r="D347" s="33"/>
      <c r="E347" s="32"/>
      <c r="F347" s="35"/>
      <c r="G347" s="35"/>
      <c r="H347" s="32"/>
      <c r="I347" s="33"/>
      <c r="J347" s="37" t="str">
        <f aca="true">IF(OR(C347="",H347="Complete",H347="Not Applicable",F347=""),"",IF(F347&lt;TODAY(),"Overdue",""))</f>
        <v/>
      </c>
    </row>
    <row r="348" customFormat="false" ht="15" hidden="false" customHeight="false" outlineLevel="0" collapsed="false">
      <c r="A348" s="32"/>
      <c r="B348" s="32"/>
      <c r="C348" s="32"/>
      <c r="D348" s="33"/>
      <c r="E348" s="32"/>
      <c r="F348" s="35"/>
      <c r="G348" s="35"/>
      <c r="H348" s="32"/>
      <c r="I348" s="33"/>
      <c r="J348" s="37" t="str">
        <f aca="true">IF(OR(C348="",H348="Complete",H348="Not Applicable",F348=""),"",IF(F348&lt;TODAY(),"Overdue",""))</f>
        <v/>
      </c>
    </row>
    <row r="349" customFormat="false" ht="15" hidden="false" customHeight="false" outlineLevel="0" collapsed="false">
      <c r="A349" s="32"/>
      <c r="B349" s="32"/>
      <c r="C349" s="32"/>
      <c r="D349" s="33"/>
      <c r="E349" s="32"/>
      <c r="F349" s="35"/>
      <c r="G349" s="35"/>
      <c r="H349" s="32"/>
      <c r="I349" s="33"/>
      <c r="J349" s="37" t="str">
        <f aca="true">IF(OR(C349="",H349="Complete",H349="Not Applicable",F349=""),"",IF(F349&lt;TODAY(),"Overdue",""))</f>
        <v/>
      </c>
    </row>
    <row r="350" customFormat="false" ht="15" hidden="false" customHeight="false" outlineLevel="0" collapsed="false">
      <c r="A350" s="32"/>
      <c r="B350" s="32"/>
      <c r="C350" s="32"/>
      <c r="D350" s="33"/>
      <c r="E350" s="32"/>
      <c r="F350" s="35"/>
      <c r="G350" s="35"/>
      <c r="H350" s="32"/>
      <c r="I350" s="33"/>
      <c r="J350" s="37" t="str">
        <f aca="true">IF(OR(C350="",H350="Complete",H350="Not Applicable",F350=""),"",IF(F350&lt;TODAY(),"Overdue",""))</f>
        <v/>
      </c>
    </row>
    <row r="351" customFormat="false" ht="15" hidden="false" customHeight="false" outlineLevel="0" collapsed="false">
      <c r="A351" s="32"/>
      <c r="B351" s="32"/>
      <c r="C351" s="32"/>
      <c r="D351" s="33"/>
      <c r="E351" s="32"/>
      <c r="F351" s="35"/>
      <c r="G351" s="35"/>
      <c r="H351" s="32"/>
      <c r="I351" s="33"/>
      <c r="J351" s="37" t="str">
        <f aca="true">IF(OR(C351="",H351="Complete",H351="Not Applicable",F351=""),"",IF(F351&lt;TODAY(),"Overdue",""))</f>
        <v/>
      </c>
    </row>
    <row r="352" customFormat="false" ht="15" hidden="false" customHeight="false" outlineLevel="0" collapsed="false">
      <c r="A352" s="32"/>
      <c r="B352" s="32"/>
      <c r="C352" s="32"/>
      <c r="D352" s="33"/>
      <c r="E352" s="32"/>
      <c r="F352" s="35"/>
      <c r="G352" s="35"/>
      <c r="H352" s="32"/>
      <c r="I352" s="33"/>
      <c r="J352" s="37" t="str">
        <f aca="true">IF(OR(C352="",H352="Complete",H352="Not Applicable",F352=""),"",IF(F352&lt;TODAY(),"Overdue",""))</f>
        <v/>
      </c>
    </row>
    <row r="353" customFormat="false" ht="15" hidden="false" customHeight="false" outlineLevel="0" collapsed="false">
      <c r="A353" s="32"/>
      <c r="B353" s="32"/>
      <c r="C353" s="32"/>
      <c r="D353" s="33"/>
      <c r="E353" s="32"/>
      <c r="F353" s="35"/>
      <c r="G353" s="35"/>
      <c r="H353" s="32"/>
      <c r="I353" s="33"/>
      <c r="J353" s="37" t="str">
        <f aca="true">IF(OR(C353="",H353="Complete",H353="Not Applicable",F353=""),"",IF(F353&lt;TODAY(),"Overdue",""))</f>
        <v/>
      </c>
    </row>
    <row r="354" customFormat="false" ht="15" hidden="false" customHeight="false" outlineLevel="0" collapsed="false">
      <c r="A354" s="32"/>
      <c r="B354" s="32"/>
      <c r="C354" s="32"/>
      <c r="D354" s="33"/>
      <c r="E354" s="32"/>
      <c r="F354" s="35"/>
      <c r="G354" s="35"/>
      <c r="H354" s="32"/>
      <c r="I354" s="33"/>
      <c r="J354" s="37" t="str">
        <f aca="true">IF(OR(C354="",H354="Complete",H354="Not Applicable",F354=""),"",IF(F354&lt;TODAY(),"Overdue",""))</f>
        <v/>
      </c>
    </row>
    <row r="355" customFormat="false" ht="15" hidden="false" customHeight="false" outlineLevel="0" collapsed="false">
      <c r="A355" s="32"/>
      <c r="B355" s="32"/>
      <c r="C355" s="32"/>
      <c r="D355" s="33"/>
      <c r="E355" s="32"/>
      <c r="F355" s="35"/>
      <c r="G355" s="35"/>
      <c r="H355" s="32"/>
      <c r="I355" s="33"/>
      <c r="J355" s="37" t="str">
        <f aca="true">IF(OR(C355="",H355="Complete",H355="Not Applicable",F355=""),"",IF(F355&lt;TODAY(),"Overdue",""))</f>
        <v/>
      </c>
    </row>
    <row r="356" customFormat="false" ht="15" hidden="false" customHeight="false" outlineLevel="0" collapsed="false">
      <c r="A356" s="32"/>
      <c r="B356" s="32"/>
      <c r="C356" s="32"/>
      <c r="D356" s="33"/>
      <c r="E356" s="32"/>
      <c r="F356" s="35"/>
      <c r="G356" s="35"/>
      <c r="H356" s="32"/>
      <c r="I356" s="33"/>
      <c r="J356" s="37" t="str">
        <f aca="true">IF(OR(C356="",H356="Complete",H356="Not Applicable",F356=""),"",IF(F356&lt;TODAY(),"Overdue",""))</f>
        <v/>
      </c>
    </row>
    <row r="357" customFormat="false" ht="15" hidden="false" customHeight="false" outlineLevel="0" collapsed="false">
      <c r="A357" s="32"/>
      <c r="B357" s="32"/>
      <c r="C357" s="32"/>
      <c r="D357" s="33"/>
      <c r="E357" s="32"/>
      <c r="F357" s="35"/>
      <c r="G357" s="35"/>
      <c r="H357" s="32"/>
      <c r="I357" s="33"/>
      <c r="J357" s="37" t="str">
        <f aca="true">IF(OR(C357="",H357="Complete",H357="Not Applicable",F357=""),"",IF(F357&lt;TODAY(),"Overdue",""))</f>
        <v/>
      </c>
    </row>
    <row r="358" customFormat="false" ht="15" hidden="false" customHeight="false" outlineLevel="0" collapsed="false">
      <c r="A358" s="32"/>
      <c r="B358" s="32"/>
      <c r="C358" s="32"/>
      <c r="D358" s="33"/>
      <c r="E358" s="32"/>
      <c r="F358" s="35"/>
      <c r="G358" s="35"/>
      <c r="H358" s="32"/>
      <c r="I358" s="33"/>
      <c r="J358" s="37" t="str">
        <f aca="true">IF(OR(C358="",H358="Complete",H358="Not Applicable",F358=""),"",IF(F358&lt;TODAY(),"Overdue",""))</f>
        <v/>
      </c>
    </row>
    <row r="359" customFormat="false" ht="15" hidden="false" customHeight="false" outlineLevel="0" collapsed="false">
      <c r="A359" s="32"/>
      <c r="B359" s="32"/>
      <c r="C359" s="32"/>
      <c r="D359" s="33"/>
      <c r="E359" s="32"/>
      <c r="F359" s="35"/>
      <c r="G359" s="35"/>
      <c r="H359" s="32"/>
      <c r="I359" s="33"/>
      <c r="J359" s="37" t="str">
        <f aca="true">IF(OR(C359="",H359="Complete",H359="Not Applicable",F359=""),"",IF(F359&lt;TODAY(),"Overdue",""))</f>
        <v/>
      </c>
    </row>
    <row r="360" customFormat="false" ht="15" hidden="false" customHeight="false" outlineLevel="0" collapsed="false">
      <c r="A360" s="32"/>
      <c r="B360" s="32"/>
      <c r="C360" s="32"/>
      <c r="D360" s="33"/>
      <c r="E360" s="32"/>
      <c r="F360" s="35"/>
      <c r="G360" s="35"/>
      <c r="H360" s="32"/>
      <c r="I360" s="33"/>
      <c r="J360" s="37" t="str">
        <f aca="true">IF(OR(C360="",H360="Complete",H360="Not Applicable",F360=""),"",IF(F360&lt;TODAY(),"Overdue",""))</f>
        <v/>
      </c>
    </row>
    <row r="361" customFormat="false" ht="15" hidden="false" customHeight="false" outlineLevel="0" collapsed="false">
      <c r="A361" s="32"/>
      <c r="B361" s="32"/>
      <c r="C361" s="32"/>
      <c r="D361" s="33"/>
      <c r="E361" s="32"/>
      <c r="F361" s="35"/>
      <c r="G361" s="35"/>
      <c r="H361" s="32"/>
      <c r="I361" s="33"/>
      <c r="J361" s="37" t="str">
        <f aca="true">IF(OR(C361="",H361="Complete",H361="Not Applicable",F361=""),"",IF(F361&lt;TODAY(),"Overdue",""))</f>
        <v/>
      </c>
    </row>
    <row r="362" customFormat="false" ht="15" hidden="false" customHeight="false" outlineLevel="0" collapsed="false">
      <c r="A362" s="32"/>
      <c r="B362" s="32"/>
      <c r="C362" s="32"/>
      <c r="D362" s="33"/>
      <c r="E362" s="32"/>
      <c r="F362" s="35"/>
      <c r="G362" s="35"/>
      <c r="H362" s="32"/>
      <c r="I362" s="33"/>
      <c r="J362" s="37" t="str">
        <f aca="true">IF(OR(C362="",H362="Complete",H362="Not Applicable",F362=""),"",IF(F362&lt;TODAY(),"Overdue",""))</f>
        <v/>
      </c>
    </row>
    <row r="363" customFormat="false" ht="15" hidden="false" customHeight="false" outlineLevel="0" collapsed="false">
      <c r="A363" s="32"/>
      <c r="B363" s="32"/>
      <c r="C363" s="32"/>
      <c r="D363" s="33"/>
      <c r="E363" s="32"/>
      <c r="F363" s="35"/>
      <c r="G363" s="35"/>
      <c r="H363" s="32"/>
      <c r="I363" s="33"/>
      <c r="J363" s="37" t="str">
        <f aca="true">IF(OR(C363="",H363="Complete",H363="Not Applicable",F363=""),"",IF(F363&lt;TODAY(),"Overdue",""))</f>
        <v/>
      </c>
    </row>
    <row r="364" customFormat="false" ht="15" hidden="false" customHeight="false" outlineLevel="0" collapsed="false">
      <c r="A364" s="32"/>
      <c r="B364" s="32"/>
      <c r="C364" s="32"/>
      <c r="D364" s="33"/>
      <c r="E364" s="32"/>
      <c r="F364" s="35"/>
      <c r="G364" s="35"/>
      <c r="H364" s="32"/>
      <c r="I364" s="33"/>
      <c r="J364" s="37" t="str">
        <f aca="true">IF(OR(C364="",H364="Complete",H364="Not Applicable",F364=""),"",IF(F364&lt;TODAY(),"Overdue",""))</f>
        <v/>
      </c>
    </row>
    <row r="365" customFormat="false" ht="15" hidden="false" customHeight="false" outlineLevel="0" collapsed="false">
      <c r="A365" s="32"/>
      <c r="B365" s="32"/>
      <c r="C365" s="32"/>
      <c r="D365" s="33"/>
      <c r="E365" s="32"/>
      <c r="F365" s="35"/>
      <c r="G365" s="35"/>
      <c r="H365" s="32"/>
      <c r="I365" s="33"/>
      <c r="J365" s="37" t="str">
        <f aca="true">IF(OR(C365="",H365="Complete",H365="Not Applicable",F365=""),"",IF(F365&lt;TODAY(),"Overdue",""))</f>
        <v/>
      </c>
    </row>
    <row r="366" customFormat="false" ht="15" hidden="false" customHeight="false" outlineLevel="0" collapsed="false">
      <c r="A366" s="32"/>
      <c r="B366" s="32"/>
      <c r="C366" s="32"/>
      <c r="D366" s="33"/>
      <c r="E366" s="32"/>
      <c r="F366" s="35"/>
      <c r="G366" s="35"/>
      <c r="H366" s="32"/>
      <c r="I366" s="33"/>
      <c r="J366" s="37" t="str">
        <f aca="true">IF(OR(C366="",H366="Complete",H366="Not Applicable",F366=""),"",IF(F366&lt;TODAY(),"Overdue",""))</f>
        <v/>
      </c>
    </row>
    <row r="367" customFormat="false" ht="15" hidden="false" customHeight="false" outlineLevel="0" collapsed="false">
      <c r="A367" s="32"/>
      <c r="B367" s="32"/>
      <c r="C367" s="32"/>
      <c r="D367" s="33"/>
      <c r="E367" s="32"/>
      <c r="F367" s="35"/>
      <c r="G367" s="35"/>
      <c r="H367" s="32"/>
      <c r="I367" s="33"/>
      <c r="J367" s="37" t="str">
        <f aca="true">IF(OR(C367="",H367="Complete",H367="Not Applicable",F367=""),"",IF(F367&lt;TODAY(),"Overdue",""))</f>
        <v/>
      </c>
    </row>
    <row r="368" customFormat="false" ht="15" hidden="false" customHeight="false" outlineLevel="0" collapsed="false">
      <c r="A368" s="32"/>
      <c r="B368" s="32"/>
      <c r="C368" s="32"/>
      <c r="D368" s="33"/>
      <c r="E368" s="32"/>
      <c r="F368" s="35"/>
      <c r="G368" s="35"/>
      <c r="H368" s="32"/>
      <c r="I368" s="33"/>
      <c r="J368" s="37" t="str">
        <f aca="true">IF(OR(C368="",H368="Complete",H368="Not Applicable",F368=""),"",IF(F368&lt;TODAY(),"Overdue",""))</f>
        <v/>
      </c>
    </row>
    <row r="369" customFormat="false" ht="15" hidden="false" customHeight="false" outlineLevel="0" collapsed="false">
      <c r="A369" s="32"/>
      <c r="B369" s="32"/>
      <c r="C369" s="32"/>
      <c r="D369" s="33"/>
      <c r="E369" s="32"/>
      <c r="F369" s="35"/>
      <c r="G369" s="35"/>
      <c r="H369" s="32"/>
      <c r="I369" s="33"/>
      <c r="J369" s="37" t="str">
        <f aca="true">IF(OR(C369="",H369="Complete",H369="Not Applicable",F369=""),"",IF(F369&lt;TODAY(),"Overdue",""))</f>
        <v/>
      </c>
    </row>
    <row r="370" customFormat="false" ht="15" hidden="false" customHeight="false" outlineLevel="0" collapsed="false">
      <c r="A370" s="32"/>
      <c r="B370" s="32"/>
      <c r="C370" s="32"/>
      <c r="D370" s="33"/>
      <c r="E370" s="32"/>
      <c r="F370" s="35"/>
      <c r="G370" s="35"/>
      <c r="H370" s="32"/>
      <c r="I370" s="33"/>
      <c r="J370" s="37" t="str">
        <f aca="true">IF(OR(C370="",H370="Complete",H370="Not Applicable",F370=""),"",IF(F370&lt;TODAY(),"Overdue",""))</f>
        <v/>
      </c>
    </row>
    <row r="371" customFormat="false" ht="15" hidden="false" customHeight="false" outlineLevel="0" collapsed="false">
      <c r="A371" s="32"/>
      <c r="B371" s="32"/>
      <c r="C371" s="32"/>
      <c r="D371" s="33"/>
      <c r="E371" s="32"/>
      <c r="F371" s="35"/>
      <c r="G371" s="35"/>
      <c r="H371" s="32"/>
      <c r="I371" s="33"/>
      <c r="J371" s="37" t="str">
        <f aca="true">IF(OR(C371="",H371="Complete",H371="Not Applicable",F371=""),"",IF(F371&lt;TODAY(),"Overdue",""))</f>
        <v/>
      </c>
    </row>
    <row r="372" customFormat="false" ht="15" hidden="false" customHeight="false" outlineLevel="0" collapsed="false">
      <c r="A372" s="32"/>
      <c r="B372" s="32"/>
      <c r="C372" s="32"/>
      <c r="D372" s="33"/>
      <c r="E372" s="32"/>
      <c r="F372" s="35"/>
      <c r="G372" s="35"/>
      <c r="H372" s="32"/>
      <c r="I372" s="33"/>
      <c r="J372" s="37" t="str">
        <f aca="true">IF(OR(C372="",H372="Complete",H372="Not Applicable",F372=""),"",IF(F372&lt;TODAY(),"Overdue",""))</f>
        <v/>
      </c>
    </row>
    <row r="373" customFormat="false" ht="15" hidden="false" customHeight="false" outlineLevel="0" collapsed="false">
      <c r="A373" s="32"/>
      <c r="B373" s="32"/>
      <c r="C373" s="32"/>
      <c r="D373" s="33"/>
      <c r="E373" s="32"/>
      <c r="F373" s="35"/>
      <c r="G373" s="35"/>
      <c r="H373" s="32"/>
      <c r="I373" s="33"/>
      <c r="J373" s="37" t="str">
        <f aca="true">IF(OR(C373="",H373="Complete",H373="Not Applicable",F373=""),"",IF(F373&lt;TODAY(),"Overdue",""))</f>
        <v/>
      </c>
    </row>
    <row r="374" customFormat="false" ht="15" hidden="false" customHeight="false" outlineLevel="0" collapsed="false">
      <c r="A374" s="32"/>
      <c r="B374" s="32"/>
      <c r="C374" s="32"/>
      <c r="D374" s="33"/>
      <c r="E374" s="32"/>
      <c r="F374" s="35"/>
      <c r="G374" s="35"/>
      <c r="H374" s="32"/>
      <c r="I374" s="33"/>
      <c r="J374" s="37" t="str">
        <f aca="true">IF(OR(C374="",H374="Complete",H374="Not Applicable",F374=""),"",IF(F374&lt;TODAY(),"Overdue",""))</f>
        <v/>
      </c>
    </row>
    <row r="375" customFormat="false" ht="15" hidden="false" customHeight="false" outlineLevel="0" collapsed="false">
      <c r="A375" s="32"/>
      <c r="B375" s="32"/>
      <c r="C375" s="32"/>
      <c r="D375" s="33"/>
      <c r="E375" s="32"/>
      <c r="F375" s="35"/>
      <c r="G375" s="35"/>
      <c r="H375" s="32"/>
      <c r="I375" s="33"/>
      <c r="J375" s="37" t="str">
        <f aca="true">IF(OR(C375="",H375="Complete",H375="Not Applicable",F375=""),"",IF(F375&lt;TODAY(),"Overdue",""))</f>
        <v/>
      </c>
    </row>
    <row r="376" customFormat="false" ht="15" hidden="false" customHeight="false" outlineLevel="0" collapsed="false">
      <c r="A376" s="32"/>
      <c r="B376" s="32"/>
      <c r="C376" s="32"/>
      <c r="D376" s="33"/>
      <c r="E376" s="32"/>
      <c r="F376" s="35"/>
      <c r="G376" s="35"/>
      <c r="H376" s="32"/>
      <c r="I376" s="33"/>
      <c r="J376" s="37" t="str">
        <f aca="true">IF(OR(C376="",H376="Complete",H376="Not Applicable",F376=""),"",IF(F376&lt;TODAY(),"Overdue",""))</f>
        <v/>
      </c>
    </row>
    <row r="377" customFormat="false" ht="15" hidden="false" customHeight="false" outlineLevel="0" collapsed="false">
      <c r="A377" s="32"/>
      <c r="B377" s="32"/>
      <c r="C377" s="32"/>
      <c r="D377" s="33"/>
      <c r="E377" s="32"/>
      <c r="F377" s="35"/>
      <c r="G377" s="35"/>
      <c r="H377" s="32"/>
      <c r="I377" s="33"/>
      <c r="J377" s="37" t="str">
        <f aca="true">IF(OR(C377="",H377="Complete",H377="Not Applicable",F377=""),"",IF(F377&lt;TODAY(),"Overdue",""))</f>
        <v/>
      </c>
    </row>
    <row r="378" customFormat="false" ht="15" hidden="false" customHeight="false" outlineLevel="0" collapsed="false">
      <c r="A378" s="32"/>
      <c r="B378" s="32"/>
      <c r="C378" s="32"/>
      <c r="D378" s="33"/>
      <c r="E378" s="32"/>
      <c r="F378" s="35"/>
      <c r="G378" s="35"/>
      <c r="H378" s="32"/>
      <c r="I378" s="33"/>
      <c r="J378" s="37" t="str">
        <f aca="true">IF(OR(C378="",H378="Complete",H378="Not Applicable",F378=""),"",IF(F378&lt;TODAY(),"Overdue",""))</f>
        <v/>
      </c>
    </row>
    <row r="379" customFormat="false" ht="15" hidden="false" customHeight="false" outlineLevel="0" collapsed="false">
      <c r="A379" s="32"/>
      <c r="B379" s="32"/>
      <c r="C379" s="32"/>
      <c r="D379" s="33"/>
      <c r="E379" s="32"/>
      <c r="F379" s="35"/>
      <c r="G379" s="35"/>
      <c r="H379" s="32"/>
      <c r="I379" s="33"/>
      <c r="J379" s="37" t="str">
        <f aca="true">IF(OR(C379="",H379="Complete",H379="Not Applicable",F379=""),"",IF(F379&lt;TODAY(),"Overdue",""))</f>
        <v/>
      </c>
    </row>
    <row r="380" customFormat="false" ht="15" hidden="false" customHeight="false" outlineLevel="0" collapsed="false">
      <c r="A380" s="32"/>
      <c r="B380" s="32"/>
      <c r="C380" s="32"/>
      <c r="D380" s="33"/>
      <c r="E380" s="32"/>
      <c r="F380" s="35"/>
      <c r="G380" s="35"/>
      <c r="H380" s="32"/>
      <c r="I380" s="33"/>
      <c r="J380" s="37" t="str">
        <f aca="true">IF(OR(C380="",H380="Complete",H380="Not Applicable",F380=""),"",IF(F380&lt;TODAY(),"Overdue",""))</f>
        <v/>
      </c>
    </row>
    <row r="381" customFormat="false" ht="15" hidden="false" customHeight="false" outlineLevel="0" collapsed="false">
      <c r="A381" s="32"/>
      <c r="B381" s="32"/>
      <c r="C381" s="32"/>
      <c r="D381" s="33"/>
      <c r="E381" s="32"/>
      <c r="F381" s="35"/>
      <c r="G381" s="35"/>
      <c r="H381" s="32"/>
      <c r="I381" s="33"/>
      <c r="J381" s="37" t="str">
        <f aca="true">IF(OR(C381="",H381="Complete",H381="Not Applicable",F381=""),"",IF(F381&lt;TODAY(),"Overdue",""))</f>
        <v/>
      </c>
    </row>
    <row r="382" customFormat="false" ht="15" hidden="false" customHeight="false" outlineLevel="0" collapsed="false">
      <c r="A382" s="32"/>
      <c r="B382" s="32"/>
      <c r="C382" s="32"/>
      <c r="D382" s="33"/>
      <c r="E382" s="32"/>
      <c r="F382" s="35"/>
      <c r="G382" s="35"/>
      <c r="H382" s="32"/>
      <c r="I382" s="33"/>
      <c r="J382" s="37" t="str">
        <f aca="true">IF(OR(C382="",H382="Complete",H382="Not Applicable",F382=""),"",IF(F382&lt;TODAY(),"Overdue",""))</f>
        <v/>
      </c>
    </row>
    <row r="383" customFormat="false" ht="15" hidden="false" customHeight="false" outlineLevel="0" collapsed="false">
      <c r="A383" s="32"/>
      <c r="B383" s="32"/>
      <c r="C383" s="32"/>
      <c r="D383" s="33"/>
      <c r="E383" s="32"/>
      <c r="F383" s="35"/>
      <c r="G383" s="35"/>
      <c r="H383" s="32"/>
      <c r="I383" s="33"/>
      <c r="J383" s="37" t="str">
        <f aca="true">IF(OR(C383="",H383="Complete",H383="Not Applicable",F383=""),"",IF(F383&lt;TODAY(),"Overdue",""))</f>
        <v/>
      </c>
    </row>
    <row r="384" customFormat="false" ht="15" hidden="false" customHeight="false" outlineLevel="0" collapsed="false">
      <c r="A384" s="32"/>
      <c r="B384" s="32"/>
      <c r="C384" s="32"/>
      <c r="D384" s="33"/>
      <c r="E384" s="32"/>
      <c r="F384" s="35"/>
      <c r="G384" s="35"/>
      <c r="H384" s="32"/>
      <c r="I384" s="33"/>
      <c r="J384" s="37" t="str">
        <f aca="true">IF(OR(C384="",H384="Complete",H384="Not Applicable",F384=""),"",IF(F384&lt;TODAY(),"Overdue",""))</f>
        <v/>
      </c>
    </row>
    <row r="385" customFormat="false" ht="15" hidden="false" customHeight="false" outlineLevel="0" collapsed="false">
      <c r="A385" s="32"/>
      <c r="B385" s="32"/>
      <c r="C385" s="32"/>
      <c r="D385" s="33"/>
      <c r="E385" s="32"/>
      <c r="F385" s="35"/>
      <c r="G385" s="35"/>
      <c r="H385" s="32"/>
      <c r="I385" s="33"/>
      <c r="J385" s="37" t="str">
        <f aca="true">IF(OR(C385="",H385="Complete",H385="Not Applicable",F385=""),"",IF(F385&lt;TODAY(),"Overdue",""))</f>
        <v/>
      </c>
    </row>
    <row r="386" customFormat="false" ht="15" hidden="false" customHeight="false" outlineLevel="0" collapsed="false">
      <c r="A386" s="32"/>
      <c r="B386" s="32"/>
      <c r="C386" s="32"/>
      <c r="D386" s="33"/>
      <c r="E386" s="32"/>
      <c r="F386" s="35"/>
      <c r="G386" s="35"/>
      <c r="H386" s="32"/>
      <c r="I386" s="33"/>
      <c r="J386" s="37" t="str">
        <f aca="true">IF(OR(C386="",H386="Complete",H386="Not Applicable",F386=""),"",IF(F386&lt;TODAY(),"Overdue",""))</f>
        <v/>
      </c>
    </row>
    <row r="387" customFormat="false" ht="15" hidden="false" customHeight="false" outlineLevel="0" collapsed="false">
      <c r="A387" s="32"/>
      <c r="B387" s="32"/>
      <c r="C387" s="32"/>
      <c r="D387" s="33"/>
      <c r="E387" s="32"/>
      <c r="F387" s="35"/>
      <c r="G387" s="35"/>
      <c r="H387" s="32"/>
      <c r="I387" s="33"/>
      <c r="J387" s="37" t="str">
        <f aca="true">IF(OR(C387="",H387="Complete",H387="Not Applicable",F387=""),"",IF(F387&lt;TODAY(),"Overdue",""))</f>
        <v/>
      </c>
    </row>
    <row r="388" customFormat="false" ht="15" hidden="false" customHeight="false" outlineLevel="0" collapsed="false">
      <c r="A388" s="32"/>
      <c r="B388" s="32"/>
      <c r="C388" s="32"/>
      <c r="D388" s="33"/>
      <c r="E388" s="32"/>
      <c r="F388" s="35"/>
      <c r="G388" s="35"/>
      <c r="H388" s="32"/>
      <c r="I388" s="33"/>
      <c r="J388" s="37" t="str">
        <f aca="true">IF(OR(C388="",H388="Complete",H388="Not Applicable",F388=""),"",IF(F388&lt;TODAY(),"Overdue",""))</f>
        <v/>
      </c>
    </row>
    <row r="389" customFormat="false" ht="15" hidden="false" customHeight="false" outlineLevel="0" collapsed="false">
      <c r="A389" s="32"/>
      <c r="B389" s="32"/>
      <c r="C389" s="32"/>
      <c r="D389" s="33"/>
      <c r="E389" s="32"/>
      <c r="F389" s="35"/>
      <c r="G389" s="35"/>
      <c r="H389" s="32"/>
      <c r="I389" s="33"/>
      <c r="J389" s="37" t="str">
        <f aca="true">IF(OR(C389="",H389="Complete",H389="Not Applicable",F389=""),"",IF(F389&lt;TODAY(),"Overdue",""))</f>
        <v/>
      </c>
    </row>
    <row r="390" customFormat="false" ht="15" hidden="false" customHeight="false" outlineLevel="0" collapsed="false">
      <c r="A390" s="32"/>
      <c r="B390" s="32"/>
      <c r="C390" s="32"/>
      <c r="D390" s="33"/>
      <c r="E390" s="32"/>
      <c r="F390" s="35"/>
      <c r="G390" s="35"/>
      <c r="H390" s="32"/>
      <c r="I390" s="33"/>
      <c r="J390" s="37" t="str">
        <f aca="true">IF(OR(C390="",H390="Complete",H390="Not Applicable",F390=""),"",IF(F390&lt;TODAY(),"Overdue",""))</f>
        <v/>
      </c>
    </row>
    <row r="391" customFormat="false" ht="15" hidden="false" customHeight="false" outlineLevel="0" collapsed="false">
      <c r="A391" s="32"/>
      <c r="B391" s="32"/>
      <c r="C391" s="32"/>
      <c r="D391" s="33"/>
      <c r="E391" s="32"/>
      <c r="F391" s="35"/>
      <c r="G391" s="35"/>
      <c r="H391" s="32"/>
      <c r="I391" s="33"/>
      <c r="J391" s="37" t="str">
        <f aca="true">IF(OR(C391="",H391="Complete",H391="Not Applicable",F391=""),"",IF(F391&lt;TODAY(),"Overdue",""))</f>
        <v/>
      </c>
    </row>
    <row r="392" customFormat="false" ht="15" hidden="false" customHeight="false" outlineLevel="0" collapsed="false">
      <c r="A392" s="32"/>
      <c r="B392" s="32"/>
      <c r="C392" s="32"/>
      <c r="D392" s="33"/>
      <c r="E392" s="32"/>
      <c r="F392" s="35"/>
      <c r="G392" s="35"/>
      <c r="H392" s="32"/>
      <c r="I392" s="33"/>
      <c r="J392" s="37" t="str">
        <f aca="true">IF(OR(C392="",H392="Complete",H392="Not Applicable",F392=""),"",IF(F392&lt;TODAY(),"Overdue",""))</f>
        <v/>
      </c>
    </row>
    <row r="393" customFormat="false" ht="15" hidden="false" customHeight="false" outlineLevel="0" collapsed="false">
      <c r="A393" s="32"/>
      <c r="B393" s="32"/>
      <c r="C393" s="32"/>
      <c r="D393" s="33"/>
      <c r="E393" s="32"/>
      <c r="F393" s="35"/>
      <c r="G393" s="35"/>
      <c r="H393" s="32"/>
      <c r="I393" s="33"/>
      <c r="J393" s="37" t="str">
        <f aca="true">IF(OR(C393="",H393="Complete",H393="Not Applicable",F393=""),"",IF(F393&lt;TODAY(),"Overdue",""))</f>
        <v/>
      </c>
    </row>
    <row r="394" customFormat="false" ht="15" hidden="false" customHeight="false" outlineLevel="0" collapsed="false">
      <c r="A394" s="32"/>
      <c r="B394" s="32"/>
      <c r="C394" s="32"/>
      <c r="D394" s="33"/>
      <c r="E394" s="32"/>
      <c r="F394" s="35"/>
      <c r="G394" s="35"/>
      <c r="H394" s="32"/>
      <c r="I394" s="33"/>
      <c r="J394" s="37" t="str">
        <f aca="true">IF(OR(C394="",H394="Complete",H394="Not Applicable",F394=""),"",IF(F394&lt;TODAY(),"Overdue",""))</f>
        <v/>
      </c>
    </row>
    <row r="395" customFormat="false" ht="15" hidden="false" customHeight="false" outlineLevel="0" collapsed="false">
      <c r="A395" s="32"/>
      <c r="B395" s="32"/>
      <c r="C395" s="32"/>
      <c r="D395" s="33"/>
      <c r="E395" s="32"/>
      <c r="F395" s="35"/>
      <c r="G395" s="35"/>
      <c r="H395" s="32"/>
      <c r="I395" s="33"/>
      <c r="J395" s="37" t="str">
        <f aca="true">IF(OR(C395="",H395="Complete",H395="Not Applicable",F395=""),"",IF(F395&lt;TODAY(),"Overdue",""))</f>
        <v/>
      </c>
    </row>
    <row r="396" customFormat="false" ht="15" hidden="false" customHeight="false" outlineLevel="0" collapsed="false">
      <c r="A396" s="32"/>
      <c r="B396" s="32"/>
      <c r="C396" s="32"/>
      <c r="D396" s="33"/>
      <c r="E396" s="32"/>
      <c r="F396" s="35"/>
      <c r="G396" s="35"/>
      <c r="H396" s="32"/>
      <c r="I396" s="33"/>
      <c r="J396" s="37" t="str">
        <f aca="true">IF(OR(C396="",H396="Complete",H396="Not Applicable",F396=""),"",IF(F396&lt;TODAY(),"Overdue",""))</f>
        <v/>
      </c>
    </row>
    <row r="397" customFormat="false" ht="15" hidden="false" customHeight="false" outlineLevel="0" collapsed="false">
      <c r="A397" s="32"/>
      <c r="B397" s="32"/>
      <c r="C397" s="32"/>
      <c r="D397" s="33"/>
      <c r="E397" s="32"/>
      <c r="F397" s="35"/>
      <c r="G397" s="35"/>
      <c r="H397" s="32"/>
      <c r="I397" s="33"/>
      <c r="J397" s="37" t="str">
        <f aca="true">IF(OR(C397="",H397="Complete",H397="Not Applicable",F397=""),"",IF(F397&lt;TODAY(),"Overdue",""))</f>
        <v/>
      </c>
    </row>
    <row r="398" customFormat="false" ht="15" hidden="false" customHeight="false" outlineLevel="0" collapsed="false">
      <c r="A398" s="32"/>
      <c r="B398" s="32"/>
      <c r="C398" s="32"/>
      <c r="D398" s="33"/>
      <c r="E398" s="32"/>
      <c r="F398" s="35"/>
      <c r="G398" s="35"/>
      <c r="H398" s="32"/>
      <c r="I398" s="33"/>
      <c r="J398" s="37" t="str">
        <f aca="true">IF(OR(C398="",H398="Complete",H398="Not Applicable",F398=""),"",IF(F398&lt;TODAY(),"Overdue",""))</f>
        <v/>
      </c>
    </row>
    <row r="399" customFormat="false" ht="15" hidden="false" customHeight="false" outlineLevel="0" collapsed="false">
      <c r="A399" s="32"/>
      <c r="B399" s="32"/>
      <c r="C399" s="32"/>
      <c r="D399" s="33"/>
      <c r="E399" s="32"/>
      <c r="F399" s="35"/>
      <c r="G399" s="35"/>
      <c r="H399" s="32"/>
      <c r="I399" s="33"/>
      <c r="J399" s="37" t="str">
        <f aca="true">IF(OR(C399="",H399="Complete",H399="Not Applicable",F399=""),"",IF(F399&lt;TODAY(),"Overdue",""))</f>
        <v/>
      </c>
    </row>
    <row r="400" customFormat="false" ht="15" hidden="false" customHeight="false" outlineLevel="0" collapsed="false">
      <c r="A400" s="32"/>
      <c r="B400" s="32"/>
      <c r="C400" s="32"/>
      <c r="D400" s="33"/>
      <c r="E400" s="32"/>
      <c r="F400" s="35"/>
      <c r="G400" s="35"/>
      <c r="H400" s="32"/>
      <c r="I400" s="33"/>
      <c r="J400" s="37" t="str">
        <f aca="true">IF(OR(C400="",H400="Complete",H400="Not Applicable",F400=""),"",IF(F400&lt;TODAY(),"Overdue",""))</f>
        <v/>
      </c>
    </row>
    <row r="401" customFormat="false" ht="15" hidden="false" customHeight="false" outlineLevel="0" collapsed="false">
      <c r="A401" s="32"/>
      <c r="B401" s="32"/>
      <c r="C401" s="32"/>
      <c r="D401" s="33"/>
      <c r="E401" s="32"/>
      <c r="F401" s="35"/>
      <c r="G401" s="35"/>
      <c r="H401" s="32"/>
      <c r="I401" s="33"/>
      <c r="J401" s="37" t="str">
        <f aca="true">IF(OR(C401="",H401="Complete",H401="Not Applicable",F401=""),"",IF(F401&lt;TODAY(),"Overdue",""))</f>
        <v/>
      </c>
    </row>
    <row r="402" customFormat="false" ht="15" hidden="false" customHeight="false" outlineLevel="0" collapsed="false">
      <c r="A402" s="32"/>
      <c r="B402" s="32"/>
      <c r="C402" s="32"/>
      <c r="D402" s="33"/>
      <c r="E402" s="32"/>
      <c r="F402" s="35"/>
      <c r="G402" s="35"/>
      <c r="H402" s="32"/>
      <c r="I402" s="33"/>
      <c r="J402" s="37" t="str">
        <f aca="true">IF(OR(C402="",H402="Complete",H402="Not Applicable",F402=""),"",IF(F402&lt;TODAY(),"Overdue",""))</f>
        <v/>
      </c>
    </row>
    <row r="403" customFormat="false" ht="15" hidden="false" customHeight="false" outlineLevel="0" collapsed="false">
      <c r="A403" s="32"/>
      <c r="B403" s="32"/>
      <c r="C403" s="32"/>
      <c r="D403" s="33"/>
      <c r="E403" s="32"/>
      <c r="F403" s="35"/>
      <c r="G403" s="35"/>
      <c r="H403" s="32"/>
      <c r="I403" s="33"/>
      <c r="J403" s="37" t="str">
        <f aca="true">IF(OR(C403="",H403="Complete",H403="Not Applicable",F403=""),"",IF(F403&lt;TODAY(),"Overdue",""))</f>
        <v/>
      </c>
    </row>
    <row r="404" customFormat="false" ht="15" hidden="false" customHeight="false" outlineLevel="0" collapsed="false">
      <c r="A404" s="32"/>
      <c r="B404" s="32"/>
      <c r="C404" s="32"/>
      <c r="D404" s="33"/>
      <c r="E404" s="32"/>
      <c r="F404" s="35"/>
      <c r="G404" s="35"/>
      <c r="H404" s="32"/>
      <c r="I404" s="33"/>
      <c r="J404" s="37" t="str">
        <f aca="true">IF(OR(C404="",H404="Complete",H404="Not Applicable",F404=""),"",IF(F404&lt;TODAY(),"Overdue",""))</f>
        <v/>
      </c>
    </row>
    <row r="405" customFormat="false" ht="15" hidden="false" customHeight="false" outlineLevel="0" collapsed="false">
      <c r="A405" s="32"/>
      <c r="B405" s="32"/>
      <c r="C405" s="32"/>
      <c r="D405" s="33"/>
      <c r="E405" s="32"/>
      <c r="F405" s="35"/>
      <c r="G405" s="35"/>
      <c r="H405" s="32"/>
      <c r="I405" s="33"/>
      <c r="J405" s="37" t="str">
        <f aca="true">IF(OR(C405="",H405="Complete",H405="Not Applicable",F405=""),"",IF(F405&lt;TODAY(),"Overdue",""))</f>
        <v/>
      </c>
    </row>
    <row r="406" customFormat="false" ht="15" hidden="false" customHeight="false" outlineLevel="0" collapsed="false">
      <c r="A406" s="32"/>
      <c r="B406" s="32"/>
      <c r="C406" s="32"/>
      <c r="D406" s="33"/>
      <c r="E406" s="32"/>
      <c r="F406" s="35"/>
      <c r="G406" s="35"/>
      <c r="H406" s="32"/>
      <c r="I406" s="33"/>
      <c r="J406" s="37" t="str">
        <f aca="true">IF(OR(C406="",H406="Complete",H406="Not Applicable",F406=""),"",IF(F406&lt;TODAY(),"Overdue",""))</f>
        <v/>
      </c>
    </row>
    <row r="407" customFormat="false" ht="15" hidden="false" customHeight="false" outlineLevel="0" collapsed="false">
      <c r="A407" s="32"/>
      <c r="B407" s="32"/>
      <c r="C407" s="32"/>
      <c r="D407" s="33"/>
      <c r="E407" s="32"/>
      <c r="F407" s="35"/>
      <c r="G407" s="35"/>
      <c r="H407" s="32"/>
      <c r="I407" s="33"/>
      <c r="J407" s="37" t="str">
        <f aca="true">IF(OR(C407="",H407="Complete",H407="Not Applicable",F407=""),"",IF(F407&lt;TODAY(),"Overdue",""))</f>
        <v/>
      </c>
    </row>
    <row r="408" customFormat="false" ht="15" hidden="false" customHeight="false" outlineLevel="0" collapsed="false">
      <c r="A408" s="32"/>
      <c r="B408" s="32"/>
      <c r="C408" s="32"/>
      <c r="D408" s="33"/>
      <c r="E408" s="32"/>
      <c r="F408" s="35"/>
      <c r="G408" s="35"/>
      <c r="H408" s="32"/>
      <c r="I408" s="33"/>
      <c r="J408" s="37" t="str">
        <f aca="true">IF(OR(C408="",H408="Complete",H408="Not Applicable",F408=""),"",IF(F408&lt;TODAY(),"Overdue",""))</f>
        <v/>
      </c>
    </row>
    <row r="409" customFormat="false" ht="15" hidden="false" customHeight="false" outlineLevel="0" collapsed="false">
      <c r="A409" s="32"/>
      <c r="B409" s="32"/>
      <c r="C409" s="32"/>
      <c r="D409" s="33"/>
      <c r="E409" s="32"/>
      <c r="F409" s="35"/>
      <c r="G409" s="35"/>
      <c r="H409" s="32"/>
      <c r="I409" s="33"/>
      <c r="J409" s="37" t="str">
        <f aca="true">IF(OR(C409="",H409="Complete",H409="Not Applicable",F409=""),"",IF(F409&lt;TODAY(),"Overdue",""))</f>
        <v/>
      </c>
    </row>
    <row r="410" customFormat="false" ht="15" hidden="false" customHeight="false" outlineLevel="0" collapsed="false">
      <c r="A410" s="32"/>
      <c r="B410" s="32"/>
      <c r="C410" s="32"/>
      <c r="D410" s="33"/>
      <c r="E410" s="32"/>
      <c r="F410" s="35"/>
      <c r="G410" s="35"/>
      <c r="H410" s="32"/>
      <c r="I410" s="33"/>
      <c r="J410" s="37" t="str">
        <f aca="true">IF(OR(C410="",H410="Complete",H410="Not Applicable",F410=""),"",IF(F410&lt;TODAY(),"Overdue",""))</f>
        <v/>
      </c>
    </row>
    <row r="411" customFormat="false" ht="15" hidden="false" customHeight="false" outlineLevel="0" collapsed="false">
      <c r="A411" s="32"/>
      <c r="B411" s="32"/>
      <c r="C411" s="32"/>
      <c r="D411" s="33"/>
      <c r="E411" s="32"/>
      <c r="F411" s="35"/>
      <c r="G411" s="35"/>
      <c r="H411" s="32"/>
      <c r="I411" s="33"/>
      <c r="J411" s="37" t="str">
        <f aca="true">IF(OR(C411="",H411="Complete",H411="Not Applicable",F411=""),"",IF(F411&lt;TODAY(),"Overdue",""))</f>
        <v/>
      </c>
    </row>
    <row r="412" customFormat="false" ht="15" hidden="false" customHeight="false" outlineLevel="0" collapsed="false">
      <c r="A412" s="32"/>
      <c r="B412" s="32"/>
      <c r="C412" s="32"/>
      <c r="D412" s="33"/>
      <c r="E412" s="32"/>
      <c r="F412" s="35"/>
      <c r="G412" s="35"/>
      <c r="H412" s="32"/>
      <c r="I412" s="33"/>
      <c r="J412" s="37" t="str">
        <f aca="true">IF(OR(C412="",H412="Complete",H412="Not Applicable",F412=""),"",IF(F412&lt;TODAY(),"Overdue",""))</f>
        <v/>
      </c>
    </row>
    <row r="413" customFormat="false" ht="15" hidden="false" customHeight="false" outlineLevel="0" collapsed="false">
      <c r="A413" s="32"/>
      <c r="B413" s="32"/>
      <c r="C413" s="32"/>
      <c r="D413" s="33"/>
      <c r="E413" s="32"/>
      <c r="F413" s="35"/>
      <c r="G413" s="35"/>
      <c r="H413" s="32"/>
      <c r="I413" s="33"/>
      <c r="J413" s="37" t="str">
        <f aca="true">IF(OR(C413="",H413="Complete",H413="Not Applicable",F413=""),"",IF(F413&lt;TODAY(),"Overdue",""))</f>
        <v/>
      </c>
    </row>
    <row r="414" customFormat="false" ht="15" hidden="false" customHeight="false" outlineLevel="0" collapsed="false">
      <c r="A414" s="32"/>
      <c r="B414" s="32"/>
      <c r="C414" s="32"/>
      <c r="D414" s="33"/>
      <c r="E414" s="32"/>
      <c r="F414" s="35"/>
      <c r="G414" s="35"/>
      <c r="H414" s="32"/>
      <c r="I414" s="33"/>
      <c r="J414" s="37" t="str">
        <f aca="true">IF(OR(C414="",H414="Complete",H414="Not Applicable",F414=""),"",IF(F414&lt;TODAY(),"Overdue",""))</f>
        <v/>
      </c>
    </row>
    <row r="415" customFormat="false" ht="15" hidden="false" customHeight="false" outlineLevel="0" collapsed="false">
      <c r="A415" s="32"/>
      <c r="B415" s="32"/>
      <c r="C415" s="32"/>
      <c r="D415" s="33"/>
      <c r="E415" s="32"/>
      <c r="F415" s="35"/>
      <c r="G415" s="35"/>
      <c r="H415" s="32"/>
      <c r="I415" s="33"/>
      <c r="J415" s="37" t="str">
        <f aca="true">IF(OR(C415="",H415="Complete",H415="Not Applicable",F415=""),"",IF(F415&lt;TODAY(),"Overdue",""))</f>
        <v/>
      </c>
    </row>
    <row r="416" customFormat="false" ht="15" hidden="false" customHeight="false" outlineLevel="0" collapsed="false">
      <c r="A416" s="32"/>
      <c r="B416" s="32"/>
      <c r="C416" s="32"/>
      <c r="D416" s="33"/>
      <c r="E416" s="32"/>
      <c r="F416" s="35"/>
      <c r="G416" s="35"/>
      <c r="H416" s="32"/>
      <c r="I416" s="33"/>
      <c r="J416" s="37" t="str">
        <f aca="true">IF(OR(C416="",H416="Complete",H416="Not Applicable",F416=""),"",IF(F416&lt;TODAY(),"Overdue",""))</f>
        <v/>
      </c>
    </row>
    <row r="417" customFormat="false" ht="15" hidden="false" customHeight="false" outlineLevel="0" collapsed="false">
      <c r="A417" s="32"/>
      <c r="B417" s="32"/>
      <c r="C417" s="32"/>
      <c r="D417" s="33"/>
      <c r="E417" s="32"/>
      <c r="F417" s="35"/>
      <c r="G417" s="35"/>
      <c r="H417" s="32"/>
      <c r="I417" s="33"/>
      <c r="J417" s="37" t="str">
        <f aca="true">IF(OR(C417="",H417="Complete",H417="Not Applicable",F417=""),"",IF(F417&lt;TODAY(),"Overdue",""))</f>
        <v/>
      </c>
    </row>
    <row r="418" customFormat="false" ht="15" hidden="false" customHeight="false" outlineLevel="0" collapsed="false">
      <c r="A418" s="32"/>
      <c r="B418" s="32"/>
      <c r="C418" s="32"/>
      <c r="D418" s="33"/>
      <c r="E418" s="32"/>
      <c r="F418" s="35"/>
      <c r="G418" s="35"/>
      <c r="H418" s="32"/>
      <c r="I418" s="33"/>
      <c r="J418" s="37" t="str">
        <f aca="true">IF(OR(C418="",H418="Complete",H418="Not Applicable",F418=""),"",IF(F418&lt;TODAY(),"Overdue",""))</f>
        <v/>
      </c>
    </row>
    <row r="419" customFormat="false" ht="15" hidden="false" customHeight="false" outlineLevel="0" collapsed="false">
      <c r="A419" s="32"/>
      <c r="B419" s="32"/>
      <c r="C419" s="32"/>
      <c r="D419" s="33"/>
      <c r="E419" s="32"/>
      <c r="F419" s="35"/>
      <c r="G419" s="35"/>
      <c r="H419" s="32"/>
      <c r="I419" s="33"/>
      <c r="J419" s="37" t="str">
        <f aca="true">IF(OR(C419="",H419="Complete",H419="Not Applicable",F419=""),"",IF(F419&lt;TODAY(),"Overdue",""))</f>
        <v/>
      </c>
    </row>
    <row r="420" customFormat="false" ht="15" hidden="false" customHeight="false" outlineLevel="0" collapsed="false">
      <c r="A420" s="32"/>
      <c r="B420" s="32"/>
      <c r="C420" s="32"/>
      <c r="D420" s="33"/>
      <c r="E420" s="32"/>
      <c r="F420" s="35"/>
      <c r="G420" s="35"/>
      <c r="H420" s="32"/>
      <c r="I420" s="33"/>
      <c r="J420" s="37" t="str">
        <f aca="true">IF(OR(C420="",H420="Complete",H420="Not Applicable",F420=""),"",IF(F420&lt;TODAY(),"Overdue",""))</f>
        <v/>
      </c>
    </row>
    <row r="421" customFormat="false" ht="15" hidden="false" customHeight="false" outlineLevel="0" collapsed="false">
      <c r="A421" s="32"/>
      <c r="B421" s="32"/>
      <c r="C421" s="32"/>
      <c r="D421" s="33"/>
      <c r="E421" s="32"/>
      <c r="F421" s="35"/>
      <c r="G421" s="35"/>
      <c r="H421" s="32"/>
      <c r="I421" s="33"/>
      <c r="J421" s="37" t="str">
        <f aca="true">IF(OR(C421="",H421="Complete",H421="Not Applicable",F421=""),"",IF(F421&lt;TODAY(),"Overdue",""))</f>
        <v/>
      </c>
    </row>
    <row r="422" customFormat="false" ht="15" hidden="false" customHeight="false" outlineLevel="0" collapsed="false">
      <c r="A422" s="32"/>
      <c r="B422" s="32"/>
      <c r="C422" s="32"/>
      <c r="D422" s="33"/>
      <c r="E422" s="32"/>
      <c r="F422" s="35"/>
      <c r="G422" s="35"/>
      <c r="H422" s="32"/>
      <c r="I422" s="33"/>
      <c r="J422" s="37" t="str">
        <f aca="true">IF(OR(C422="",H422="Complete",H422="Not Applicable",F422=""),"",IF(F422&lt;TODAY(),"Overdue",""))</f>
        <v/>
      </c>
    </row>
    <row r="423" customFormat="false" ht="15" hidden="false" customHeight="false" outlineLevel="0" collapsed="false">
      <c r="A423" s="32"/>
      <c r="B423" s="32"/>
      <c r="C423" s="32"/>
      <c r="D423" s="33"/>
      <c r="E423" s="32"/>
      <c r="F423" s="35"/>
      <c r="G423" s="35"/>
      <c r="H423" s="32"/>
      <c r="I423" s="33"/>
      <c r="J423" s="37" t="str">
        <f aca="true">IF(OR(C423="",H423="Complete",H423="Not Applicable",F423=""),"",IF(F423&lt;TODAY(),"Overdue",""))</f>
        <v/>
      </c>
    </row>
    <row r="424" customFormat="false" ht="15" hidden="false" customHeight="false" outlineLevel="0" collapsed="false">
      <c r="A424" s="32"/>
      <c r="B424" s="32"/>
      <c r="C424" s="32"/>
      <c r="D424" s="33"/>
      <c r="E424" s="32"/>
      <c r="F424" s="35"/>
      <c r="G424" s="35"/>
      <c r="H424" s="32"/>
      <c r="I424" s="33"/>
      <c r="J424" s="37" t="str">
        <f aca="true">IF(OR(C424="",H424="Complete",H424="Not Applicable",F424=""),"",IF(F424&lt;TODAY(),"Overdue",""))</f>
        <v/>
      </c>
    </row>
    <row r="425" customFormat="false" ht="15" hidden="false" customHeight="false" outlineLevel="0" collapsed="false">
      <c r="A425" s="32"/>
      <c r="B425" s="32"/>
      <c r="C425" s="32"/>
      <c r="D425" s="33"/>
      <c r="E425" s="32"/>
      <c r="F425" s="35"/>
      <c r="G425" s="35"/>
      <c r="H425" s="32"/>
      <c r="I425" s="33"/>
      <c r="J425" s="37" t="str">
        <f aca="true">IF(OR(C425="",H425="Complete",H425="Not Applicable",F425=""),"",IF(F425&lt;TODAY(),"Overdue",""))</f>
        <v/>
      </c>
    </row>
    <row r="426" customFormat="false" ht="15" hidden="false" customHeight="false" outlineLevel="0" collapsed="false">
      <c r="A426" s="32"/>
      <c r="B426" s="32"/>
      <c r="C426" s="32"/>
      <c r="D426" s="33"/>
      <c r="E426" s="32"/>
      <c r="F426" s="35"/>
      <c r="G426" s="35"/>
      <c r="H426" s="32"/>
      <c r="I426" s="33"/>
      <c r="J426" s="37" t="str">
        <f aca="true">IF(OR(C426="",H426="Complete",H426="Not Applicable",F426=""),"",IF(F426&lt;TODAY(),"Overdue",""))</f>
        <v/>
      </c>
    </row>
    <row r="427" customFormat="false" ht="15" hidden="false" customHeight="false" outlineLevel="0" collapsed="false">
      <c r="A427" s="32"/>
      <c r="B427" s="32"/>
      <c r="C427" s="32"/>
      <c r="D427" s="33"/>
      <c r="E427" s="32"/>
      <c r="F427" s="35"/>
      <c r="G427" s="35"/>
      <c r="H427" s="32"/>
      <c r="I427" s="33"/>
      <c r="J427" s="37" t="str">
        <f aca="true">IF(OR(C427="",H427="Complete",H427="Not Applicable",F427=""),"",IF(F427&lt;TODAY(),"Overdue",""))</f>
        <v/>
      </c>
    </row>
    <row r="428" customFormat="false" ht="15" hidden="false" customHeight="false" outlineLevel="0" collapsed="false">
      <c r="A428" s="32"/>
      <c r="B428" s="32"/>
      <c r="C428" s="32"/>
      <c r="D428" s="33"/>
      <c r="E428" s="32"/>
      <c r="F428" s="35"/>
      <c r="G428" s="35"/>
      <c r="H428" s="32"/>
      <c r="I428" s="33"/>
      <c r="J428" s="37" t="str">
        <f aca="true">IF(OR(C428="",H428="Complete",H428="Not Applicable",F428=""),"",IF(F428&lt;TODAY(),"Overdue",""))</f>
        <v/>
      </c>
    </row>
    <row r="429" customFormat="false" ht="15" hidden="false" customHeight="false" outlineLevel="0" collapsed="false">
      <c r="A429" s="32"/>
      <c r="B429" s="32"/>
      <c r="C429" s="32"/>
      <c r="D429" s="33"/>
      <c r="E429" s="32"/>
      <c r="F429" s="35"/>
      <c r="G429" s="35"/>
      <c r="H429" s="32"/>
      <c r="I429" s="33"/>
      <c r="J429" s="37" t="str">
        <f aca="true">IF(OR(C429="",H429="Complete",H429="Not Applicable",F429=""),"",IF(F429&lt;TODAY(),"Overdue",""))</f>
        <v/>
      </c>
    </row>
    <row r="430" customFormat="false" ht="15" hidden="false" customHeight="false" outlineLevel="0" collapsed="false">
      <c r="A430" s="32"/>
      <c r="B430" s="32"/>
      <c r="C430" s="32"/>
      <c r="D430" s="33"/>
      <c r="E430" s="32"/>
      <c r="F430" s="35"/>
      <c r="G430" s="35"/>
      <c r="H430" s="32"/>
      <c r="I430" s="33"/>
      <c r="J430" s="37" t="str">
        <f aca="true">IF(OR(C430="",H430="Complete",H430="Not Applicable",F430=""),"",IF(F430&lt;TODAY(),"Overdue",""))</f>
        <v/>
      </c>
    </row>
    <row r="431" customFormat="false" ht="15" hidden="false" customHeight="false" outlineLevel="0" collapsed="false">
      <c r="A431" s="32"/>
      <c r="B431" s="32"/>
      <c r="C431" s="32"/>
      <c r="D431" s="33"/>
      <c r="E431" s="32"/>
      <c r="F431" s="35"/>
      <c r="G431" s="35"/>
      <c r="H431" s="32"/>
      <c r="I431" s="33"/>
      <c r="J431" s="37" t="str">
        <f aca="true">IF(OR(C431="",H431="Complete",H431="Not Applicable",F431=""),"",IF(F431&lt;TODAY(),"Overdue",""))</f>
        <v/>
      </c>
    </row>
    <row r="432" customFormat="false" ht="15" hidden="false" customHeight="false" outlineLevel="0" collapsed="false">
      <c r="A432" s="32"/>
      <c r="B432" s="32"/>
      <c r="C432" s="32"/>
      <c r="D432" s="33"/>
      <c r="E432" s="32"/>
      <c r="F432" s="35"/>
      <c r="G432" s="35"/>
      <c r="H432" s="32"/>
      <c r="I432" s="33"/>
      <c r="J432" s="37" t="str">
        <f aca="true">IF(OR(C432="",H432="Complete",H432="Not Applicable",F432=""),"",IF(F432&lt;TODAY(),"Overdue",""))</f>
        <v/>
      </c>
    </row>
    <row r="433" customFormat="false" ht="15" hidden="false" customHeight="false" outlineLevel="0" collapsed="false">
      <c r="A433" s="32"/>
      <c r="B433" s="32"/>
      <c r="C433" s="32"/>
      <c r="D433" s="33"/>
      <c r="E433" s="32"/>
      <c r="F433" s="35"/>
      <c r="G433" s="35"/>
      <c r="H433" s="32"/>
      <c r="I433" s="33"/>
      <c r="J433" s="37" t="str">
        <f aca="true">IF(OR(C433="",H433="Complete",H433="Not Applicable",F433=""),"",IF(F433&lt;TODAY(),"Overdue",""))</f>
        <v/>
      </c>
    </row>
    <row r="434" customFormat="false" ht="15" hidden="false" customHeight="false" outlineLevel="0" collapsed="false">
      <c r="A434" s="32"/>
      <c r="B434" s="32"/>
      <c r="C434" s="32"/>
      <c r="D434" s="33"/>
      <c r="E434" s="32"/>
      <c r="F434" s="35"/>
      <c r="G434" s="35"/>
      <c r="H434" s="32"/>
      <c r="I434" s="33"/>
      <c r="J434" s="37" t="str">
        <f aca="true">IF(OR(C434="",H434="Complete",H434="Not Applicable",F434=""),"",IF(F434&lt;TODAY(),"Overdue",""))</f>
        <v/>
      </c>
    </row>
    <row r="435" customFormat="false" ht="15" hidden="false" customHeight="false" outlineLevel="0" collapsed="false">
      <c r="A435" s="32"/>
      <c r="B435" s="32"/>
      <c r="C435" s="32"/>
      <c r="D435" s="33"/>
      <c r="E435" s="32"/>
      <c r="F435" s="35"/>
      <c r="G435" s="35"/>
      <c r="H435" s="32"/>
      <c r="I435" s="33"/>
      <c r="J435" s="37" t="str">
        <f aca="true">IF(OR(C435="",H435="Complete",H435="Not Applicable",F435=""),"",IF(F435&lt;TODAY(),"Overdue",""))</f>
        <v/>
      </c>
    </row>
    <row r="436" customFormat="false" ht="15" hidden="false" customHeight="false" outlineLevel="0" collapsed="false">
      <c r="A436" s="32"/>
      <c r="B436" s="32"/>
      <c r="C436" s="32"/>
      <c r="D436" s="33"/>
      <c r="E436" s="32"/>
      <c r="F436" s="35"/>
      <c r="G436" s="35"/>
      <c r="H436" s="32"/>
      <c r="I436" s="33"/>
      <c r="J436" s="37" t="str">
        <f aca="true">IF(OR(C436="",H436="Complete",H436="Not Applicable",F436=""),"",IF(F436&lt;TODAY(),"Overdue",""))</f>
        <v/>
      </c>
    </row>
    <row r="437" customFormat="false" ht="15" hidden="false" customHeight="false" outlineLevel="0" collapsed="false">
      <c r="A437" s="32"/>
      <c r="B437" s="32"/>
      <c r="C437" s="32"/>
      <c r="D437" s="33"/>
      <c r="E437" s="32"/>
      <c r="F437" s="35"/>
      <c r="G437" s="35"/>
      <c r="H437" s="32"/>
      <c r="I437" s="33"/>
      <c r="J437" s="37" t="str">
        <f aca="true">IF(OR(C437="",H437="Complete",H437="Not Applicable",F437=""),"",IF(F437&lt;TODAY(),"Overdue",""))</f>
        <v/>
      </c>
    </row>
    <row r="438" customFormat="false" ht="15" hidden="false" customHeight="false" outlineLevel="0" collapsed="false">
      <c r="A438" s="32"/>
      <c r="B438" s="32"/>
      <c r="C438" s="32"/>
      <c r="D438" s="33"/>
      <c r="E438" s="32"/>
      <c r="F438" s="35"/>
      <c r="G438" s="35"/>
      <c r="H438" s="32"/>
      <c r="I438" s="33"/>
      <c r="J438" s="37" t="str">
        <f aca="true">IF(OR(C438="",H438="Complete",H438="Not Applicable",F438=""),"",IF(F438&lt;TODAY(),"Overdue",""))</f>
        <v/>
      </c>
    </row>
    <row r="439" customFormat="false" ht="15" hidden="false" customHeight="false" outlineLevel="0" collapsed="false">
      <c r="A439" s="32"/>
      <c r="B439" s="32"/>
      <c r="C439" s="32"/>
      <c r="D439" s="33"/>
      <c r="E439" s="32"/>
      <c r="F439" s="35"/>
      <c r="G439" s="35"/>
      <c r="H439" s="32"/>
      <c r="I439" s="33"/>
      <c r="J439" s="37" t="str">
        <f aca="true">IF(OR(C439="",H439="Complete",H439="Not Applicable",F439=""),"",IF(F439&lt;TODAY(),"Overdue",""))</f>
        <v/>
      </c>
    </row>
    <row r="440" customFormat="false" ht="15" hidden="false" customHeight="false" outlineLevel="0" collapsed="false">
      <c r="A440" s="32"/>
      <c r="B440" s="32"/>
      <c r="C440" s="32"/>
      <c r="D440" s="33"/>
      <c r="E440" s="32"/>
      <c r="F440" s="35"/>
      <c r="G440" s="35"/>
      <c r="H440" s="32"/>
      <c r="I440" s="33"/>
      <c r="J440" s="37" t="str">
        <f aca="true">IF(OR(C440="",H440="Complete",H440="Not Applicable",F440=""),"",IF(F440&lt;TODAY(),"Overdue",""))</f>
        <v/>
      </c>
    </row>
    <row r="441" customFormat="false" ht="15" hidden="false" customHeight="false" outlineLevel="0" collapsed="false">
      <c r="A441" s="32"/>
      <c r="B441" s="32"/>
      <c r="C441" s="32"/>
      <c r="D441" s="33"/>
      <c r="E441" s="32"/>
      <c r="F441" s="35"/>
      <c r="G441" s="35"/>
      <c r="H441" s="32"/>
      <c r="I441" s="33"/>
      <c r="J441" s="37" t="str">
        <f aca="true">IF(OR(C441="",H441="Complete",H441="Not Applicable",F441=""),"",IF(F441&lt;TODAY(),"Overdue",""))</f>
        <v/>
      </c>
    </row>
    <row r="442" customFormat="false" ht="15" hidden="false" customHeight="false" outlineLevel="0" collapsed="false">
      <c r="A442" s="32"/>
      <c r="B442" s="32"/>
      <c r="C442" s="32"/>
      <c r="D442" s="33"/>
      <c r="E442" s="32"/>
      <c r="F442" s="35"/>
      <c r="G442" s="35"/>
      <c r="H442" s="32"/>
      <c r="I442" s="33"/>
      <c r="J442" s="37" t="str">
        <f aca="true">IF(OR(C442="",H442="Complete",H442="Not Applicable",F442=""),"",IF(F442&lt;TODAY(),"Overdue",""))</f>
        <v/>
      </c>
    </row>
    <row r="443" customFormat="false" ht="15" hidden="false" customHeight="false" outlineLevel="0" collapsed="false">
      <c r="A443" s="32"/>
      <c r="B443" s="32"/>
      <c r="C443" s="32"/>
      <c r="D443" s="33"/>
      <c r="E443" s="32"/>
      <c r="F443" s="35"/>
      <c r="G443" s="35"/>
      <c r="H443" s="32"/>
      <c r="I443" s="33"/>
      <c r="J443" s="37" t="str">
        <f aca="true">IF(OR(C443="",H443="Complete",H443="Not Applicable",F443=""),"",IF(F443&lt;TODAY(),"Overdue",""))</f>
        <v/>
      </c>
    </row>
    <row r="444" customFormat="false" ht="15" hidden="false" customHeight="false" outlineLevel="0" collapsed="false">
      <c r="A444" s="32"/>
      <c r="B444" s="32"/>
      <c r="C444" s="32"/>
      <c r="D444" s="33"/>
      <c r="E444" s="32"/>
      <c r="F444" s="35"/>
      <c r="G444" s="35"/>
      <c r="H444" s="32"/>
      <c r="I444" s="33"/>
      <c r="J444" s="37" t="str">
        <f aca="true">IF(OR(C444="",H444="Complete",H444="Not Applicable",F444=""),"",IF(F444&lt;TODAY(),"Overdue",""))</f>
        <v/>
      </c>
    </row>
    <row r="445" customFormat="false" ht="15" hidden="false" customHeight="false" outlineLevel="0" collapsed="false">
      <c r="A445" s="32"/>
      <c r="B445" s="32"/>
      <c r="C445" s="32"/>
      <c r="D445" s="33"/>
      <c r="E445" s="32"/>
      <c r="F445" s="35"/>
      <c r="G445" s="35"/>
      <c r="H445" s="32"/>
      <c r="I445" s="33"/>
      <c r="J445" s="37" t="str">
        <f aca="true">IF(OR(C445="",H445="Complete",H445="Not Applicable",F445=""),"",IF(F445&lt;TODAY(),"Overdue",""))</f>
        <v/>
      </c>
    </row>
    <row r="446" customFormat="false" ht="15" hidden="false" customHeight="false" outlineLevel="0" collapsed="false">
      <c r="A446" s="32"/>
      <c r="B446" s="32"/>
      <c r="C446" s="32"/>
      <c r="D446" s="33"/>
      <c r="E446" s="32"/>
      <c r="F446" s="35"/>
      <c r="G446" s="35"/>
      <c r="H446" s="32"/>
      <c r="I446" s="33"/>
      <c r="J446" s="37" t="str">
        <f aca="true">IF(OR(C446="",H446="Complete",H446="Not Applicable",F446=""),"",IF(F446&lt;TODAY(),"Overdue",""))</f>
        <v/>
      </c>
    </row>
    <row r="447" customFormat="false" ht="15" hidden="false" customHeight="false" outlineLevel="0" collapsed="false">
      <c r="A447" s="32"/>
      <c r="B447" s="32"/>
      <c r="C447" s="32"/>
      <c r="D447" s="33"/>
      <c r="E447" s="32"/>
      <c r="F447" s="35"/>
      <c r="G447" s="35"/>
      <c r="H447" s="32"/>
      <c r="I447" s="33"/>
      <c r="J447" s="37" t="str">
        <f aca="true">IF(OR(C447="",H447="Complete",H447="Not Applicable",F447=""),"",IF(F447&lt;TODAY(),"Overdue",""))</f>
        <v/>
      </c>
    </row>
    <row r="448" customFormat="false" ht="15" hidden="false" customHeight="false" outlineLevel="0" collapsed="false">
      <c r="A448" s="32"/>
      <c r="B448" s="32"/>
      <c r="C448" s="32"/>
      <c r="D448" s="33"/>
      <c r="E448" s="32"/>
      <c r="F448" s="35"/>
      <c r="G448" s="35"/>
      <c r="H448" s="32"/>
      <c r="I448" s="33"/>
      <c r="J448" s="37" t="str">
        <f aca="true">IF(OR(C448="",H448="Complete",H448="Not Applicable",F448=""),"",IF(F448&lt;TODAY(),"Overdue",""))</f>
        <v/>
      </c>
    </row>
    <row r="449" customFormat="false" ht="15" hidden="false" customHeight="false" outlineLevel="0" collapsed="false">
      <c r="A449" s="32"/>
      <c r="B449" s="32"/>
      <c r="C449" s="32"/>
      <c r="D449" s="33"/>
      <c r="E449" s="32"/>
      <c r="F449" s="35"/>
      <c r="G449" s="35"/>
      <c r="H449" s="32"/>
      <c r="I449" s="33"/>
      <c r="J449" s="37" t="str">
        <f aca="true">IF(OR(C449="",H449="Complete",H449="Not Applicable",F449=""),"",IF(F449&lt;TODAY(),"Overdue",""))</f>
        <v/>
      </c>
    </row>
    <row r="450" customFormat="false" ht="15" hidden="false" customHeight="false" outlineLevel="0" collapsed="false">
      <c r="A450" s="32"/>
      <c r="B450" s="32"/>
      <c r="C450" s="32"/>
      <c r="D450" s="33"/>
      <c r="E450" s="32"/>
      <c r="F450" s="35"/>
      <c r="G450" s="35"/>
      <c r="H450" s="32"/>
      <c r="I450" s="33"/>
      <c r="J450" s="37" t="str">
        <f aca="true">IF(OR(C450="",H450="Complete",H450="Not Applicable",F450=""),"",IF(F450&lt;TODAY(),"Overdue",""))</f>
        <v/>
      </c>
    </row>
    <row r="451" customFormat="false" ht="15" hidden="false" customHeight="false" outlineLevel="0" collapsed="false">
      <c r="A451" s="32"/>
      <c r="B451" s="32"/>
      <c r="C451" s="32"/>
      <c r="D451" s="33"/>
      <c r="E451" s="32"/>
      <c r="F451" s="35"/>
      <c r="G451" s="35"/>
      <c r="H451" s="32"/>
      <c r="I451" s="33"/>
      <c r="J451" s="37" t="str">
        <f aca="true">IF(OR(C451="",H451="Complete",H451="Not Applicable",F451=""),"",IF(F451&lt;TODAY(),"Overdue",""))</f>
        <v/>
      </c>
    </row>
    <row r="452" customFormat="false" ht="15" hidden="false" customHeight="false" outlineLevel="0" collapsed="false">
      <c r="A452" s="32"/>
      <c r="B452" s="32"/>
      <c r="C452" s="32"/>
      <c r="D452" s="33"/>
      <c r="E452" s="32"/>
      <c r="F452" s="35"/>
      <c r="G452" s="35"/>
      <c r="H452" s="32"/>
      <c r="I452" s="33"/>
      <c r="J452" s="37" t="str">
        <f aca="true">IF(OR(C452="",H452="Complete",H452="Not Applicable",F452=""),"",IF(F452&lt;TODAY(),"Overdue",""))</f>
        <v/>
      </c>
    </row>
    <row r="453" customFormat="false" ht="15" hidden="false" customHeight="false" outlineLevel="0" collapsed="false">
      <c r="A453" s="32"/>
      <c r="B453" s="32"/>
      <c r="C453" s="32"/>
      <c r="D453" s="33"/>
      <c r="E453" s="32"/>
      <c r="F453" s="35"/>
      <c r="G453" s="35"/>
      <c r="H453" s="32"/>
      <c r="I453" s="33"/>
      <c r="J453" s="37" t="str">
        <f aca="true">IF(OR(C453="",H453="Complete",H453="Not Applicable",F453=""),"",IF(F453&lt;TODAY(),"Overdue",""))</f>
        <v/>
      </c>
    </row>
    <row r="454" customFormat="false" ht="15" hidden="false" customHeight="false" outlineLevel="0" collapsed="false">
      <c r="A454" s="32"/>
      <c r="B454" s="32"/>
      <c r="C454" s="32"/>
      <c r="D454" s="33"/>
      <c r="E454" s="32"/>
      <c r="F454" s="35"/>
      <c r="G454" s="35"/>
      <c r="H454" s="32"/>
      <c r="I454" s="33"/>
      <c r="J454" s="37" t="str">
        <f aca="true">IF(OR(C454="",H454="Complete",H454="Not Applicable",F454=""),"",IF(F454&lt;TODAY(),"Overdue",""))</f>
        <v/>
      </c>
    </row>
    <row r="455" customFormat="false" ht="15" hidden="false" customHeight="false" outlineLevel="0" collapsed="false">
      <c r="A455" s="32"/>
      <c r="B455" s="32"/>
      <c r="C455" s="32"/>
      <c r="D455" s="33"/>
      <c r="E455" s="32"/>
      <c r="F455" s="35"/>
      <c r="G455" s="35"/>
      <c r="H455" s="32"/>
      <c r="I455" s="33"/>
      <c r="J455" s="37" t="str">
        <f aca="true">IF(OR(C455="",H455="Complete",H455="Not Applicable",F455=""),"",IF(F455&lt;TODAY(),"Overdue",""))</f>
        <v/>
      </c>
    </row>
    <row r="456" customFormat="false" ht="15" hidden="false" customHeight="false" outlineLevel="0" collapsed="false">
      <c r="A456" s="32"/>
      <c r="B456" s="32"/>
      <c r="C456" s="32"/>
      <c r="D456" s="33"/>
      <c r="E456" s="32"/>
      <c r="F456" s="35"/>
      <c r="G456" s="35"/>
      <c r="H456" s="32"/>
      <c r="I456" s="33"/>
      <c r="J456" s="37" t="str">
        <f aca="true">IF(OR(C456="",H456="Complete",H456="Not Applicable",F456=""),"",IF(F456&lt;TODAY(),"Overdue",""))</f>
        <v/>
      </c>
    </row>
    <row r="457" customFormat="false" ht="15" hidden="false" customHeight="false" outlineLevel="0" collapsed="false">
      <c r="A457" s="32"/>
      <c r="B457" s="32"/>
      <c r="C457" s="32"/>
      <c r="D457" s="33"/>
      <c r="E457" s="32"/>
      <c r="F457" s="35"/>
      <c r="G457" s="35"/>
      <c r="H457" s="32"/>
      <c r="I457" s="33"/>
      <c r="J457" s="37" t="str">
        <f aca="true">IF(OR(C457="",H457="Complete",H457="Not Applicable",F457=""),"",IF(F457&lt;TODAY(),"Overdue",""))</f>
        <v/>
      </c>
    </row>
    <row r="458" customFormat="false" ht="15" hidden="false" customHeight="false" outlineLevel="0" collapsed="false">
      <c r="A458" s="32"/>
      <c r="B458" s="32"/>
      <c r="C458" s="32"/>
      <c r="D458" s="33"/>
      <c r="E458" s="32"/>
      <c r="F458" s="35"/>
      <c r="G458" s="35"/>
      <c r="H458" s="32"/>
      <c r="I458" s="33"/>
      <c r="J458" s="37" t="str">
        <f aca="true">IF(OR(C458="",H458="Complete",H458="Not Applicable",F458=""),"",IF(F458&lt;TODAY(),"Overdue",""))</f>
        <v/>
      </c>
    </row>
    <row r="459" customFormat="false" ht="15" hidden="false" customHeight="false" outlineLevel="0" collapsed="false">
      <c r="A459" s="32"/>
      <c r="B459" s="32"/>
      <c r="C459" s="32"/>
      <c r="D459" s="33"/>
      <c r="E459" s="32"/>
      <c r="F459" s="35"/>
      <c r="G459" s="35"/>
      <c r="H459" s="32"/>
      <c r="I459" s="33"/>
      <c r="J459" s="37" t="str">
        <f aca="true">IF(OR(C459="",H459="Complete",H459="Not Applicable",F459=""),"",IF(F459&lt;TODAY(),"Overdue",""))</f>
        <v/>
      </c>
    </row>
    <row r="460" customFormat="false" ht="15" hidden="false" customHeight="false" outlineLevel="0" collapsed="false">
      <c r="A460" s="32"/>
      <c r="B460" s="32"/>
      <c r="C460" s="32"/>
      <c r="D460" s="33"/>
      <c r="E460" s="32"/>
      <c r="F460" s="35"/>
      <c r="G460" s="35"/>
      <c r="H460" s="32"/>
      <c r="I460" s="33"/>
      <c r="J460" s="37" t="str">
        <f aca="true">IF(OR(C460="",H460="Complete",H460="Not Applicable",F460=""),"",IF(F460&lt;TODAY(),"Overdue",""))</f>
        <v/>
      </c>
    </row>
    <row r="461" customFormat="false" ht="15" hidden="false" customHeight="false" outlineLevel="0" collapsed="false">
      <c r="A461" s="32"/>
      <c r="B461" s="32"/>
      <c r="C461" s="32"/>
      <c r="D461" s="33"/>
      <c r="E461" s="32"/>
      <c r="F461" s="35"/>
      <c r="G461" s="35"/>
      <c r="H461" s="32"/>
      <c r="I461" s="33"/>
      <c r="J461" s="37" t="str">
        <f aca="true">IF(OR(C461="",H461="Complete",H461="Not Applicable",F461=""),"",IF(F461&lt;TODAY(),"Overdue",""))</f>
        <v/>
      </c>
    </row>
    <row r="462" customFormat="false" ht="15" hidden="false" customHeight="false" outlineLevel="0" collapsed="false">
      <c r="A462" s="32"/>
      <c r="B462" s="32"/>
      <c r="C462" s="32"/>
      <c r="D462" s="33"/>
      <c r="E462" s="32"/>
      <c r="F462" s="35"/>
      <c r="G462" s="35"/>
      <c r="H462" s="32"/>
      <c r="I462" s="33"/>
      <c r="J462" s="37" t="str">
        <f aca="true">IF(OR(C462="",H462="Complete",H462="Not Applicable",F462=""),"",IF(F462&lt;TODAY(),"Overdue",""))</f>
        <v/>
      </c>
    </row>
    <row r="463" customFormat="false" ht="15" hidden="false" customHeight="false" outlineLevel="0" collapsed="false">
      <c r="A463" s="32"/>
      <c r="B463" s="32"/>
      <c r="C463" s="32"/>
      <c r="D463" s="33"/>
      <c r="E463" s="32"/>
      <c r="F463" s="35"/>
      <c r="G463" s="35"/>
      <c r="H463" s="32"/>
      <c r="I463" s="33"/>
      <c r="J463" s="37" t="str">
        <f aca="true">IF(OR(C463="",H463="Complete",H463="Not Applicable",F463=""),"",IF(F463&lt;TODAY(),"Overdue",""))</f>
        <v/>
      </c>
    </row>
    <row r="464" customFormat="false" ht="15" hidden="false" customHeight="false" outlineLevel="0" collapsed="false">
      <c r="A464" s="32"/>
      <c r="B464" s="32"/>
      <c r="C464" s="32"/>
      <c r="D464" s="33"/>
      <c r="E464" s="32"/>
      <c r="F464" s="35"/>
      <c r="G464" s="35"/>
      <c r="H464" s="32"/>
      <c r="I464" s="33"/>
      <c r="J464" s="37" t="str">
        <f aca="true">IF(OR(C464="",H464="Complete",H464="Not Applicable",F464=""),"",IF(F464&lt;TODAY(),"Overdue",""))</f>
        <v/>
      </c>
    </row>
    <row r="465" customFormat="false" ht="15" hidden="false" customHeight="false" outlineLevel="0" collapsed="false">
      <c r="A465" s="32"/>
      <c r="B465" s="32"/>
      <c r="C465" s="32"/>
      <c r="D465" s="33"/>
      <c r="E465" s="32"/>
      <c r="F465" s="35"/>
      <c r="G465" s="35"/>
      <c r="H465" s="32"/>
      <c r="I465" s="33"/>
      <c r="J465" s="37" t="str">
        <f aca="true">IF(OR(C465="",H465="Complete",H465="Not Applicable",F465=""),"",IF(F465&lt;TODAY(),"Overdue",""))</f>
        <v/>
      </c>
    </row>
    <row r="466" customFormat="false" ht="15" hidden="false" customHeight="false" outlineLevel="0" collapsed="false">
      <c r="A466" s="32"/>
      <c r="B466" s="32"/>
      <c r="C466" s="32"/>
      <c r="D466" s="33"/>
      <c r="E466" s="32"/>
      <c r="F466" s="35"/>
      <c r="G466" s="35"/>
      <c r="H466" s="32"/>
      <c r="I466" s="33"/>
      <c r="J466" s="37" t="str">
        <f aca="true">IF(OR(C466="",H466="Complete",H466="Not Applicable",F466=""),"",IF(F466&lt;TODAY(),"Overdue",""))</f>
        <v/>
      </c>
    </row>
    <row r="467" customFormat="false" ht="15" hidden="false" customHeight="false" outlineLevel="0" collapsed="false">
      <c r="A467" s="32"/>
      <c r="B467" s="32"/>
      <c r="C467" s="32"/>
      <c r="D467" s="33"/>
      <c r="E467" s="32"/>
      <c r="F467" s="35"/>
      <c r="G467" s="35"/>
      <c r="H467" s="32"/>
      <c r="I467" s="33"/>
      <c r="J467" s="37" t="str">
        <f aca="true">IF(OR(C467="",H467="Complete",H467="Not Applicable",F467=""),"",IF(F467&lt;TODAY(),"Overdue",""))</f>
        <v/>
      </c>
    </row>
    <row r="468" customFormat="false" ht="15" hidden="false" customHeight="false" outlineLevel="0" collapsed="false">
      <c r="A468" s="32"/>
      <c r="B468" s="32"/>
      <c r="C468" s="32"/>
      <c r="D468" s="33"/>
      <c r="E468" s="32"/>
      <c r="F468" s="35"/>
      <c r="G468" s="35"/>
      <c r="H468" s="32"/>
      <c r="I468" s="33"/>
      <c r="J468" s="37" t="str">
        <f aca="true">IF(OR(C468="",H468="Complete",H468="Not Applicable",F468=""),"",IF(F468&lt;TODAY(),"Overdue",""))</f>
        <v/>
      </c>
    </row>
    <row r="469" customFormat="false" ht="15" hidden="false" customHeight="false" outlineLevel="0" collapsed="false">
      <c r="A469" s="32"/>
      <c r="B469" s="32"/>
      <c r="C469" s="32"/>
      <c r="D469" s="33"/>
      <c r="E469" s="32"/>
      <c r="F469" s="35"/>
      <c r="G469" s="35"/>
      <c r="H469" s="32"/>
      <c r="I469" s="33"/>
      <c r="J469" s="37" t="str">
        <f aca="true">IF(OR(C469="",H469="Complete",H469="Not Applicable",F469=""),"",IF(F469&lt;TODAY(),"Overdue",""))</f>
        <v/>
      </c>
    </row>
    <row r="470" customFormat="false" ht="15" hidden="false" customHeight="false" outlineLevel="0" collapsed="false">
      <c r="A470" s="32"/>
      <c r="B470" s="32"/>
      <c r="C470" s="32"/>
      <c r="D470" s="33"/>
      <c r="E470" s="32"/>
      <c r="F470" s="35"/>
      <c r="G470" s="35"/>
      <c r="H470" s="32"/>
      <c r="I470" s="33"/>
      <c r="J470" s="37" t="str">
        <f aca="true">IF(OR(C470="",H470="Complete",H470="Not Applicable",F470=""),"",IF(F470&lt;TODAY(),"Overdue",""))</f>
        <v/>
      </c>
    </row>
    <row r="471" customFormat="false" ht="15" hidden="false" customHeight="false" outlineLevel="0" collapsed="false">
      <c r="A471" s="32"/>
      <c r="B471" s="32"/>
      <c r="C471" s="32"/>
      <c r="D471" s="33"/>
      <c r="E471" s="32"/>
      <c r="F471" s="35"/>
      <c r="G471" s="35"/>
      <c r="H471" s="32"/>
      <c r="I471" s="33"/>
      <c r="J471" s="37" t="str">
        <f aca="true">IF(OR(C471="",H471="Complete",H471="Not Applicable",F471=""),"",IF(F471&lt;TODAY(),"Overdue",""))</f>
        <v/>
      </c>
    </row>
    <row r="472" customFormat="false" ht="15" hidden="false" customHeight="false" outlineLevel="0" collapsed="false">
      <c r="A472" s="32"/>
      <c r="B472" s="32"/>
      <c r="C472" s="32"/>
      <c r="D472" s="33"/>
      <c r="E472" s="32"/>
      <c r="F472" s="35"/>
      <c r="G472" s="35"/>
      <c r="H472" s="32"/>
      <c r="I472" s="33"/>
      <c r="J472" s="37" t="str">
        <f aca="true">IF(OR(C472="",H472="Complete",H472="Not Applicable",F472=""),"",IF(F472&lt;TODAY(),"Overdue",""))</f>
        <v/>
      </c>
    </row>
    <row r="473" customFormat="false" ht="15" hidden="false" customHeight="false" outlineLevel="0" collapsed="false">
      <c r="A473" s="32"/>
      <c r="B473" s="32"/>
      <c r="C473" s="32"/>
      <c r="D473" s="33"/>
      <c r="E473" s="32"/>
      <c r="F473" s="35"/>
      <c r="G473" s="35"/>
      <c r="H473" s="32"/>
      <c r="I473" s="33"/>
      <c r="J473" s="37" t="str">
        <f aca="true">IF(OR(C473="",H473="Complete",H473="Not Applicable",F473=""),"",IF(F473&lt;TODAY(),"Overdue",""))</f>
        <v/>
      </c>
    </row>
    <row r="474" customFormat="false" ht="15" hidden="false" customHeight="false" outlineLevel="0" collapsed="false">
      <c r="A474" s="32"/>
      <c r="B474" s="32"/>
      <c r="C474" s="32"/>
      <c r="D474" s="33"/>
      <c r="E474" s="32"/>
      <c r="F474" s="35"/>
      <c r="G474" s="35"/>
      <c r="H474" s="32"/>
      <c r="I474" s="33"/>
      <c r="J474" s="37" t="str">
        <f aca="true">IF(OR(C474="",H474="Complete",H474="Not Applicable",F474=""),"",IF(F474&lt;TODAY(),"Overdue",""))</f>
        <v/>
      </c>
    </row>
    <row r="475" customFormat="false" ht="15" hidden="false" customHeight="false" outlineLevel="0" collapsed="false">
      <c r="A475" s="32"/>
      <c r="B475" s="32"/>
      <c r="C475" s="32"/>
      <c r="D475" s="33"/>
      <c r="E475" s="32"/>
      <c r="F475" s="35"/>
      <c r="G475" s="35"/>
      <c r="H475" s="32"/>
      <c r="I475" s="33"/>
      <c r="J475" s="37" t="str">
        <f aca="true">IF(OR(C475="",H475="Complete",H475="Not Applicable",F475=""),"",IF(F475&lt;TODAY(),"Overdue",""))</f>
        <v/>
      </c>
    </row>
    <row r="476" customFormat="false" ht="15" hidden="false" customHeight="false" outlineLevel="0" collapsed="false">
      <c r="A476" s="32"/>
      <c r="B476" s="32"/>
      <c r="C476" s="32"/>
      <c r="D476" s="33"/>
      <c r="E476" s="32"/>
      <c r="F476" s="35"/>
      <c r="G476" s="35"/>
      <c r="H476" s="32"/>
      <c r="I476" s="33"/>
      <c r="J476" s="37" t="str">
        <f aca="true">IF(OR(C476="",H476="Complete",H476="Not Applicable",F476=""),"",IF(F476&lt;TODAY(),"Overdue",""))</f>
        <v/>
      </c>
    </row>
    <row r="477" customFormat="false" ht="15" hidden="false" customHeight="false" outlineLevel="0" collapsed="false">
      <c r="A477" s="32"/>
      <c r="B477" s="32"/>
      <c r="C477" s="32"/>
      <c r="D477" s="33"/>
      <c r="E477" s="32"/>
      <c r="F477" s="35"/>
      <c r="G477" s="35"/>
      <c r="H477" s="32"/>
      <c r="I477" s="33"/>
      <c r="J477" s="37" t="str">
        <f aca="true">IF(OR(C477="",H477="Complete",H477="Not Applicable",F477=""),"",IF(F477&lt;TODAY(),"Overdue",""))</f>
        <v/>
      </c>
    </row>
    <row r="478" customFormat="false" ht="15" hidden="false" customHeight="false" outlineLevel="0" collapsed="false">
      <c r="A478" s="32"/>
      <c r="B478" s="32"/>
      <c r="C478" s="32"/>
      <c r="D478" s="33"/>
      <c r="E478" s="32"/>
      <c r="F478" s="35"/>
      <c r="G478" s="35"/>
      <c r="H478" s="32"/>
      <c r="I478" s="33"/>
      <c r="J478" s="37" t="str">
        <f aca="true">IF(OR(C478="",H478="Complete",H478="Not Applicable",F478=""),"",IF(F478&lt;TODAY(),"Overdue",""))</f>
        <v/>
      </c>
    </row>
    <row r="479" customFormat="false" ht="15" hidden="false" customHeight="false" outlineLevel="0" collapsed="false">
      <c r="A479" s="32"/>
      <c r="B479" s="32"/>
      <c r="C479" s="32"/>
      <c r="D479" s="33"/>
      <c r="E479" s="32"/>
      <c r="F479" s="35"/>
      <c r="G479" s="35"/>
      <c r="H479" s="32"/>
      <c r="I479" s="33"/>
      <c r="J479" s="37" t="str">
        <f aca="true">IF(OR(C479="",H479="Complete",H479="Not Applicable",F479=""),"",IF(F479&lt;TODAY(),"Overdue",""))</f>
        <v/>
      </c>
    </row>
    <row r="480" customFormat="false" ht="15" hidden="false" customHeight="false" outlineLevel="0" collapsed="false">
      <c r="A480" s="32"/>
      <c r="B480" s="32"/>
      <c r="C480" s="32"/>
      <c r="D480" s="33"/>
      <c r="E480" s="32"/>
      <c r="F480" s="35"/>
      <c r="G480" s="35"/>
      <c r="H480" s="32"/>
      <c r="I480" s="33"/>
      <c r="J480" s="37" t="str">
        <f aca="true">IF(OR(C480="",H480="Complete",H480="Not Applicable",F480=""),"",IF(F480&lt;TODAY(),"Overdue",""))</f>
        <v/>
      </c>
    </row>
    <row r="481" customFormat="false" ht="15" hidden="false" customHeight="false" outlineLevel="0" collapsed="false">
      <c r="A481" s="32"/>
      <c r="B481" s="32"/>
      <c r="C481" s="32"/>
      <c r="D481" s="33"/>
      <c r="E481" s="32"/>
      <c r="F481" s="35"/>
      <c r="G481" s="35"/>
      <c r="H481" s="32"/>
      <c r="I481" s="33"/>
      <c r="J481" s="37" t="str">
        <f aca="true">IF(OR(C481="",H481="Complete",H481="Not Applicable",F481=""),"",IF(F481&lt;TODAY(),"Overdue",""))</f>
        <v/>
      </c>
    </row>
    <row r="482" customFormat="false" ht="15" hidden="false" customHeight="false" outlineLevel="0" collapsed="false">
      <c r="A482" s="32"/>
      <c r="B482" s="32"/>
      <c r="C482" s="32"/>
      <c r="D482" s="33"/>
      <c r="E482" s="32"/>
      <c r="F482" s="35"/>
      <c r="G482" s="35"/>
      <c r="H482" s="32"/>
      <c r="I482" s="33"/>
      <c r="J482" s="37" t="str">
        <f aca="true">IF(OR(C482="",H482="Complete",H482="Not Applicable",F482=""),"",IF(F482&lt;TODAY(),"Overdue",""))</f>
        <v/>
      </c>
    </row>
    <row r="483" customFormat="false" ht="15" hidden="false" customHeight="false" outlineLevel="0" collapsed="false">
      <c r="A483" s="32"/>
      <c r="B483" s="32"/>
      <c r="C483" s="32"/>
      <c r="D483" s="33"/>
      <c r="E483" s="32"/>
      <c r="F483" s="35"/>
      <c r="G483" s="35"/>
      <c r="H483" s="32"/>
      <c r="I483" s="33"/>
      <c r="J483" s="37" t="str">
        <f aca="true">IF(OR(C483="",H483="Complete",H483="Not Applicable",F483=""),"",IF(F483&lt;TODAY(),"Overdue",""))</f>
        <v/>
      </c>
    </row>
    <row r="484" customFormat="false" ht="15" hidden="false" customHeight="false" outlineLevel="0" collapsed="false">
      <c r="A484" s="32"/>
      <c r="B484" s="32"/>
      <c r="C484" s="32"/>
      <c r="D484" s="33"/>
      <c r="E484" s="32"/>
      <c r="F484" s="35"/>
      <c r="G484" s="35"/>
      <c r="H484" s="32"/>
      <c r="I484" s="33"/>
      <c r="J484" s="37" t="str">
        <f aca="true">IF(OR(C484="",H484="Complete",H484="Not Applicable",F484=""),"",IF(F484&lt;TODAY(),"Overdue",""))</f>
        <v/>
      </c>
    </row>
    <row r="485" customFormat="false" ht="15" hidden="false" customHeight="false" outlineLevel="0" collapsed="false">
      <c r="A485" s="32"/>
      <c r="B485" s="32"/>
      <c r="C485" s="32"/>
      <c r="D485" s="33"/>
      <c r="E485" s="32"/>
      <c r="F485" s="35"/>
      <c r="G485" s="35"/>
      <c r="H485" s="32"/>
      <c r="I485" s="33"/>
      <c r="J485" s="37" t="str">
        <f aca="true">IF(OR(C485="",H485="Complete",H485="Not Applicable",F485=""),"",IF(F485&lt;TODAY(),"Overdue",""))</f>
        <v/>
      </c>
    </row>
    <row r="486" customFormat="false" ht="15" hidden="false" customHeight="false" outlineLevel="0" collapsed="false">
      <c r="A486" s="32"/>
      <c r="B486" s="32"/>
      <c r="C486" s="32"/>
      <c r="D486" s="33"/>
      <c r="E486" s="32"/>
      <c r="F486" s="35"/>
      <c r="G486" s="35"/>
      <c r="H486" s="32"/>
      <c r="I486" s="33"/>
      <c r="J486" s="37" t="str">
        <f aca="true">IF(OR(C486="",H486="Complete",H486="Not Applicable",F486=""),"",IF(F486&lt;TODAY(),"Overdue",""))</f>
        <v/>
      </c>
    </row>
    <row r="487" customFormat="false" ht="15" hidden="false" customHeight="false" outlineLevel="0" collapsed="false">
      <c r="A487" s="32"/>
      <c r="B487" s="32"/>
      <c r="C487" s="32"/>
      <c r="D487" s="33"/>
      <c r="E487" s="32"/>
      <c r="F487" s="35"/>
      <c r="G487" s="35"/>
      <c r="H487" s="32"/>
      <c r="I487" s="33"/>
      <c r="J487" s="37" t="str">
        <f aca="true">IF(OR(C487="",H487="Complete",H487="Not Applicable",F487=""),"",IF(F487&lt;TODAY(),"Overdue",""))</f>
        <v/>
      </c>
    </row>
    <row r="488" customFormat="false" ht="15" hidden="false" customHeight="false" outlineLevel="0" collapsed="false">
      <c r="A488" s="32"/>
      <c r="B488" s="32"/>
      <c r="C488" s="32"/>
      <c r="D488" s="33"/>
      <c r="E488" s="32"/>
      <c r="F488" s="35"/>
      <c r="G488" s="35"/>
      <c r="H488" s="32"/>
      <c r="I488" s="33"/>
      <c r="J488" s="37" t="str">
        <f aca="true">IF(OR(C488="",H488="Complete",H488="Not Applicable",F488=""),"",IF(F488&lt;TODAY(),"Overdue",""))</f>
        <v/>
      </c>
    </row>
    <row r="489" customFormat="false" ht="15" hidden="false" customHeight="false" outlineLevel="0" collapsed="false">
      <c r="A489" s="32"/>
      <c r="B489" s="32"/>
      <c r="C489" s="32"/>
      <c r="D489" s="33"/>
      <c r="E489" s="32"/>
      <c r="F489" s="35"/>
      <c r="G489" s="35"/>
      <c r="H489" s="32"/>
      <c r="I489" s="33"/>
      <c r="J489" s="37" t="str">
        <f aca="true">IF(OR(C489="",H489="Complete",H489="Not Applicable",F489=""),"",IF(F489&lt;TODAY(),"Overdue",""))</f>
        <v/>
      </c>
    </row>
    <row r="490" customFormat="false" ht="15" hidden="false" customHeight="false" outlineLevel="0" collapsed="false">
      <c r="A490" s="32"/>
      <c r="B490" s="32"/>
      <c r="C490" s="32"/>
      <c r="D490" s="33"/>
      <c r="E490" s="32"/>
      <c r="F490" s="35"/>
      <c r="G490" s="35"/>
      <c r="H490" s="32"/>
      <c r="I490" s="33"/>
      <c r="J490" s="37" t="str">
        <f aca="true">IF(OR(C490="",H490="Complete",H490="Not Applicable",F490=""),"",IF(F490&lt;TODAY(),"Overdue",""))</f>
        <v/>
      </c>
    </row>
    <row r="491" customFormat="false" ht="15" hidden="false" customHeight="false" outlineLevel="0" collapsed="false">
      <c r="A491" s="32"/>
      <c r="B491" s="32"/>
      <c r="C491" s="32"/>
      <c r="D491" s="33"/>
      <c r="E491" s="32"/>
      <c r="F491" s="35"/>
      <c r="G491" s="35"/>
      <c r="H491" s="32"/>
      <c r="I491" s="33"/>
      <c r="J491" s="37" t="str">
        <f aca="true">IF(OR(C491="",H491="Complete",H491="Not Applicable",F491=""),"",IF(F491&lt;TODAY(),"Overdue",""))</f>
        <v/>
      </c>
    </row>
    <row r="492" customFormat="false" ht="15" hidden="false" customHeight="false" outlineLevel="0" collapsed="false">
      <c r="A492" s="32"/>
      <c r="B492" s="32"/>
      <c r="C492" s="32"/>
      <c r="D492" s="33"/>
      <c r="E492" s="32"/>
      <c r="F492" s="35"/>
      <c r="G492" s="35"/>
      <c r="H492" s="32"/>
      <c r="I492" s="33"/>
      <c r="J492" s="37" t="str">
        <f aca="true">IF(OR(C492="",H492="Complete",H492="Not Applicable",F492=""),"",IF(F492&lt;TODAY(),"Overdue",""))</f>
        <v/>
      </c>
    </row>
    <row r="493" customFormat="false" ht="15" hidden="false" customHeight="false" outlineLevel="0" collapsed="false">
      <c r="A493" s="32"/>
      <c r="B493" s="32"/>
      <c r="C493" s="32"/>
      <c r="D493" s="33"/>
      <c r="E493" s="32"/>
      <c r="F493" s="35"/>
      <c r="G493" s="35"/>
      <c r="H493" s="32"/>
      <c r="I493" s="33"/>
      <c r="J493" s="37" t="str">
        <f aca="true">IF(OR(C493="",H493="Complete",H493="Not Applicable",F493=""),"",IF(F493&lt;TODAY(),"Overdue",""))</f>
        <v/>
      </c>
    </row>
    <row r="494" customFormat="false" ht="15" hidden="false" customHeight="false" outlineLevel="0" collapsed="false">
      <c r="A494" s="32"/>
      <c r="B494" s="32"/>
      <c r="C494" s="32"/>
      <c r="D494" s="33"/>
      <c r="E494" s="32"/>
      <c r="F494" s="35"/>
      <c r="G494" s="35"/>
      <c r="H494" s="32"/>
      <c r="I494" s="33"/>
      <c r="J494" s="37" t="str">
        <f aca="true">IF(OR(C494="",H494="Complete",H494="Not Applicable",F494=""),"",IF(F494&lt;TODAY(),"Overdue",""))</f>
        <v/>
      </c>
    </row>
    <row r="495" customFormat="false" ht="15" hidden="false" customHeight="false" outlineLevel="0" collapsed="false">
      <c r="A495" s="32"/>
      <c r="B495" s="32"/>
      <c r="C495" s="32"/>
      <c r="D495" s="33"/>
      <c r="E495" s="32"/>
      <c r="F495" s="35"/>
      <c r="G495" s="35"/>
      <c r="H495" s="32"/>
      <c r="I495" s="33"/>
      <c r="J495" s="37" t="str">
        <f aca="true">IF(OR(C495="",H495="Complete",H495="Not Applicable",F495=""),"",IF(F495&lt;TODAY(),"Overdue",""))</f>
        <v/>
      </c>
    </row>
    <row r="496" customFormat="false" ht="15" hidden="false" customHeight="false" outlineLevel="0" collapsed="false">
      <c r="A496" s="32"/>
      <c r="B496" s="32"/>
      <c r="C496" s="32"/>
      <c r="D496" s="33"/>
      <c r="E496" s="32"/>
      <c r="F496" s="35"/>
      <c r="G496" s="35"/>
      <c r="H496" s="32"/>
      <c r="I496" s="33"/>
      <c r="J496" s="37" t="str">
        <f aca="true">IF(OR(C496="",H496="Complete",H496="Not Applicable",F496=""),"",IF(F496&lt;TODAY(),"Overdue",""))</f>
        <v/>
      </c>
    </row>
    <row r="497" customFormat="false" ht="15" hidden="false" customHeight="false" outlineLevel="0" collapsed="false">
      <c r="A497" s="32"/>
      <c r="B497" s="32"/>
      <c r="C497" s="32"/>
      <c r="D497" s="33"/>
      <c r="E497" s="32"/>
      <c r="F497" s="35"/>
      <c r="G497" s="35"/>
      <c r="H497" s="32"/>
      <c r="I497" s="33"/>
      <c r="J497" s="37" t="str">
        <f aca="true">IF(OR(C497="",H497="Complete",H497="Not Applicable",F497=""),"",IF(F497&lt;TODAY(),"Overdue",""))</f>
        <v/>
      </c>
    </row>
    <row r="498" customFormat="false" ht="15" hidden="false" customHeight="false" outlineLevel="0" collapsed="false">
      <c r="A498" s="32"/>
      <c r="B498" s="32"/>
      <c r="C498" s="32"/>
      <c r="D498" s="33"/>
      <c r="E498" s="32"/>
      <c r="F498" s="35"/>
      <c r="G498" s="35"/>
      <c r="H498" s="32"/>
      <c r="I498" s="33"/>
      <c r="J498" s="37" t="str">
        <f aca="true">IF(OR(C498="",H498="Complete",H498="Not Applicable",F498=""),"",IF(F498&lt;TODAY(),"Overdue",""))</f>
        <v/>
      </c>
    </row>
    <row r="499" customFormat="false" ht="15" hidden="false" customHeight="false" outlineLevel="0" collapsed="false">
      <c r="A499" s="32"/>
      <c r="B499" s="32"/>
      <c r="C499" s="32"/>
      <c r="D499" s="33"/>
      <c r="E499" s="32"/>
      <c r="F499" s="35"/>
      <c r="G499" s="35"/>
      <c r="H499" s="32"/>
      <c r="I499" s="33"/>
      <c r="J499" s="37" t="str">
        <f aca="true">IF(OR(C499="",H499="Complete",H499="Not Applicable",F499=""),"",IF(F499&lt;TODAY(),"Overdue",""))</f>
        <v/>
      </c>
    </row>
    <row r="500" customFormat="false" ht="15" hidden="false" customHeight="false" outlineLevel="0" collapsed="false">
      <c r="A500" s="32"/>
      <c r="B500" s="32"/>
      <c r="C500" s="32"/>
      <c r="D500" s="33"/>
      <c r="E500" s="32"/>
      <c r="F500" s="35"/>
      <c r="G500" s="35"/>
      <c r="H500" s="32"/>
      <c r="I500" s="33"/>
      <c r="J500" s="37" t="str">
        <f aca="true">IF(OR(C500="",H500="Complete",H500="Not Applicable",F500=""),"",IF(F500&lt;TODAY(),"Overdue",""))</f>
        <v/>
      </c>
    </row>
    <row r="501" customFormat="false" ht="15" hidden="false" customHeight="false" outlineLevel="0" collapsed="false">
      <c r="A501" s="32"/>
      <c r="B501" s="32"/>
      <c r="C501" s="32"/>
      <c r="D501" s="33"/>
      <c r="E501" s="32"/>
      <c r="F501" s="35"/>
      <c r="G501" s="35"/>
      <c r="H501" s="32"/>
      <c r="I501" s="33"/>
      <c r="J501" s="37" t="str">
        <f aca="true">IF(OR(C501="",H501="Complete",H501="Not Applicable",F501=""),"",IF(F501&lt;TODAY(),"Overdue",""))</f>
        <v/>
      </c>
    </row>
  </sheetData>
  <autoFilter ref="A1:J501"/>
  <conditionalFormatting sqref="H2:H501">
    <cfRule type="expression" priority="2" aboveAverage="0" equalAverage="0" bottom="0" percent="0" rank="0" text="" dxfId="16">
      <formula>OR(H2="Done",H2="Closed",H2="Complete",H2="Paid")</formula>
    </cfRule>
  </conditionalFormatting>
  <conditionalFormatting sqref="J2:J501">
    <cfRule type="cellIs" priority="3" operator="equal" aboveAverage="0" equalAverage="0" bottom="0" percent="0" rank="0" text="" dxfId="3">
      <formula>"Overdue"</formula>
    </cfRule>
    <cfRule type="cellIs" priority="4" operator="equal" aboveAverage="0" equalAverage="0" bottom="0" percent="0" rank="0" text="" dxfId="3">
      <formula>"Expired"</formula>
    </cfRule>
    <cfRule type="cellIs" priority="5" operator="equal" aboveAverage="0" equalAverage="0" bottom="0" percent="0" rank="0" text="" dxfId="3">
      <formula>"Exceedance"</formula>
    </cfRule>
    <cfRule type="cellIs" priority="6" operator="equal" aboveAverage="0" equalAverage="0" bottom="0" percent="0" rank="0" text="" dxfId="3">
      <formula>"Critical"</formula>
    </cfRule>
    <cfRule type="cellIs" priority="7" operator="equal" aboveAverage="0" equalAverage="0" bottom="0" percent="0" rank="0" text="" dxfId="2">
      <formula>"Due Soon"</formula>
    </cfRule>
    <cfRule type="cellIs" priority="8" operator="equal" aboveAverage="0" equalAverage="0" bottom="0" percent="0" rank="0" text="" dxfId="2">
      <formula>"Expiring Soon"</formula>
    </cfRule>
    <cfRule type="cellIs" priority="9" operator="equal" aboveAverage="0" equalAverage="0" bottom="0" percent="0" rank="0" text="" dxfId="2">
      <formula>"Due Today"</formula>
    </cfRule>
    <cfRule type="cellIs" priority="10" operator="equal" aboveAverage="0" equalAverage="0" bottom="0" percent="0" rank="0" text="" dxfId="2">
      <formula>"Due This Week"</formula>
    </cfRule>
    <cfRule type="cellIs" priority="11" operator="equal" aboveAverage="0" equalAverage="0" bottom="0" percent="0" rank="0" text="" dxfId="2">
      <formula>"High"</formula>
    </cfRule>
    <cfRule type="cellIs" priority="12" operator="equal" aboveAverage="0" equalAverage="0" bottom="0" percent="0" rank="0" text="" dxfId="5">
      <formula>"Done"</formula>
    </cfRule>
  </conditionalFormatting>
  <dataValidations count="4">
    <dataValidation allowBlank="true" error="Enter a valid date (e.g. 31-Dec-2026)." errorStyle="stop" errorTitle="Invalid date" operator="greaterThan" showDropDown="false" showErrorMessage="false" showInputMessage="false" sqref="F2:G501" type="date">
      <formula1>36526</formula1>
      <formula2>0</formula2>
    </dataValidation>
    <dataValidation allowBlank="true" error="Pick a project from the Projects sheet (add it there first)." errorStyle="stop" errorTitle="Unknown project" operator="between" showDropDown="false" showErrorMessage="false" showInputMessage="false" sqref="A2:A501" type="list">
      <formula1>lst_Projects</formula1>
      <formula2>0</formula2>
    </dataValidation>
    <dataValidation allowBlank="true" error="Pick a value from the list." errorStyle="stop" errorTitle="Invalid entry" operator="between" showDropDown="false" showErrorMessage="false" showInputMessage="false" sqref="B2:B501" type="list">
      <formula1>lst_ChecklistPhase</formula1>
      <formula2>0</formula2>
    </dataValidation>
    <dataValidation allowBlank="true" error="Pick a value from the list." errorStyle="stop" errorTitle="Invalid entry" operator="between" showDropDown="false" showErrorMessage="false" showInputMessage="false" sqref="H2:H501" type="list">
      <formula1>lst_ChecklistStatus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6" min="5" style="0" width="30"/>
  </cols>
  <sheetData>
    <row r="1" customFormat="false" ht="33.75" hidden="false" customHeight="true" outlineLevel="0" collapsed="false">
      <c r="A1" s="17" t="s">
        <v>378</v>
      </c>
      <c r="B1" s="17" t="s">
        <v>379</v>
      </c>
      <c r="C1" s="17" t="s">
        <v>209</v>
      </c>
      <c r="D1" s="17" t="s">
        <v>380</v>
      </c>
      <c r="E1" s="17" t="s">
        <v>381</v>
      </c>
      <c r="F1" s="17" t="s">
        <v>382</v>
      </c>
    </row>
    <row r="2" customFormat="false" ht="15" hidden="false" customHeight="false" outlineLevel="0" collapsed="false">
      <c r="A2" s="35"/>
      <c r="B2" s="32"/>
      <c r="C2" s="32"/>
      <c r="D2" s="32"/>
      <c r="E2" s="32"/>
      <c r="F2" s="32"/>
    </row>
    <row r="3" customFormat="false" ht="15" hidden="false" customHeight="false" outlineLevel="0" collapsed="false">
      <c r="A3" s="35"/>
      <c r="B3" s="32"/>
      <c r="C3" s="32"/>
      <c r="D3" s="32"/>
      <c r="E3" s="32"/>
      <c r="F3" s="32"/>
    </row>
    <row r="4" customFormat="false" ht="15" hidden="false" customHeight="false" outlineLevel="0" collapsed="false">
      <c r="A4" s="35"/>
      <c r="B4" s="32"/>
      <c r="C4" s="32"/>
      <c r="D4" s="32"/>
      <c r="E4" s="32"/>
      <c r="F4" s="32"/>
    </row>
    <row r="5" customFormat="false" ht="15" hidden="false" customHeight="false" outlineLevel="0" collapsed="false">
      <c r="A5" s="35"/>
      <c r="B5" s="32"/>
      <c r="C5" s="32"/>
      <c r="D5" s="32"/>
      <c r="E5" s="32"/>
      <c r="F5" s="32"/>
    </row>
    <row r="6" customFormat="false" ht="15" hidden="false" customHeight="false" outlineLevel="0" collapsed="false">
      <c r="A6" s="35"/>
      <c r="B6" s="32"/>
      <c r="C6" s="32"/>
      <c r="D6" s="32"/>
      <c r="E6" s="32"/>
      <c r="F6" s="32"/>
    </row>
    <row r="7" customFormat="false" ht="15" hidden="false" customHeight="false" outlineLevel="0" collapsed="false">
      <c r="A7" s="35"/>
      <c r="B7" s="32"/>
      <c r="C7" s="32"/>
      <c r="D7" s="32"/>
      <c r="E7" s="32"/>
      <c r="F7" s="32"/>
    </row>
    <row r="8" customFormat="false" ht="15" hidden="false" customHeight="false" outlineLevel="0" collapsed="false">
      <c r="A8" s="35"/>
      <c r="B8" s="32"/>
      <c r="C8" s="32"/>
      <c r="D8" s="32"/>
      <c r="E8" s="32"/>
      <c r="F8" s="32"/>
    </row>
    <row r="9" customFormat="false" ht="15" hidden="false" customHeight="false" outlineLevel="0" collapsed="false">
      <c r="A9" s="35"/>
      <c r="B9" s="32"/>
      <c r="C9" s="32"/>
      <c r="D9" s="32"/>
      <c r="E9" s="32"/>
      <c r="F9" s="32"/>
    </row>
    <row r="10" customFormat="false" ht="15" hidden="false" customHeight="false" outlineLevel="0" collapsed="false">
      <c r="A10" s="35"/>
      <c r="B10" s="32"/>
      <c r="C10" s="32"/>
      <c r="D10" s="32"/>
      <c r="E10" s="32"/>
      <c r="F10" s="32"/>
    </row>
    <row r="11" customFormat="false" ht="15" hidden="false" customHeight="false" outlineLevel="0" collapsed="false">
      <c r="A11" s="35"/>
      <c r="B11" s="32"/>
      <c r="C11" s="32"/>
      <c r="D11" s="32"/>
      <c r="E11" s="32"/>
      <c r="F11" s="32"/>
    </row>
    <row r="12" customFormat="false" ht="15" hidden="false" customHeight="false" outlineLevel="0" collapsed="false">
      <c r="A12" s="35"/>
      <c r="B12" s="32"/>
      <c r="C12" s="32"/>
      <c r="D12" s="32"/>
      <c r="E12" s="32"/>
      <c r="F12" s="32"/>
    </row>
    <row r="13" customFormat="false" ht="15" hidden="false" customHeight="false" outlineLevel="0" collapsed="false">
      <c r="A13" s="35"/>
      <c r="B13" s="32"/>
      <c r="C13" s="32"/>
      <c r="D13" s="32"/>
      <c r="E13" s="32"/>
      <c r="F13" s="32"/>
    </row>
    <row r="14" customFormat="false" ht="15" hidden="false" customHeight="false" outlineLevel="0" collapsed="false">
      <c r="A14" s="35"/>
      <c r="B14" s="32"/>
      <c r="C14" s="32"/>
      <c r="D14" s="32"/>
      <c r="E14" s="32"/>
      <c r="F14" s="32"/>
    </row>
    <row r="15" customFormat="false" ht="15" hidden="false" customHeight="false" outlineLevel="0" collapsed="false">
      <c r="A15" s="35"/>
      <c r="B15" s="32"/>
      <c r="C15" s="32"/>
      <c r="D15" s="32"/>
      <c r="E15" s="32"/>
      <c r="F15" s="32"/>
    </row>
    <row r="16" customFormat="false" ht="15" hidden="false" customHeight="false" outlineLevel="0" collapsed="false">
      <c r="A16" s="35"/>
      <c r="B16" s="32"/>
      <c r="C16" s="32"/>
      <c r="D16" s="32"/>
      <c r="E16" s="32"/>
      <c r="F16" s="32"/>
    </row>
    <row r="17" customFormat="false" ht="15" hidden="false" customHeight="false" outlineLevel="0" collapsed="false">
      <c r="A17" s="35"/>
      <c r="B17" s="32"/>
      <c r="C17" s="32"/>
      <c r="D17" s="32"/>
      <c r="E17" s="32"/>
      <c r="F17" s="32"/>
    </row>
    <row r="18" customFormat="false" ht="15" hidden="false" customHeight="false" outlineLevel="0" collapsed="false">
      <c r="A18" s="35"/>
      <c r="B18" s="32"/>
      <c r="C18" s="32"/>
      <c r="D18" s="32"/>
      <c r="E18" s="32"/>
      <c r="F18" s="32"/>
    </row>
    <row r="19" customFormat="false" ht="15" hidden="false" customHeight="false" outlineLevel="0" collapsed="false">
      <c r="A19" s="35"/>
      <c r="B19" s="32"/>
      <c r="C19" s="32"/>
      <c r="D19" s="32"/>
      <c r="E19" s="32"/>
      <c r="F19" s="32"/>
    </row>
    <row r="20" customFormat="false" ht="15" hidden="false" customHeight="false" outlineLevel="0" collapsed="false">
      <c r="A20" s="35"/>
      <c r="B20" s="32"/>
      <c r="C20" s="32"/>
      <c r="D20" s="32"/>
      <c r="E20" s="32"/>
      <c r="F20" s="32"/>
    </row>
    <row r="21" customFormat="false" ht="15" hidden="false" customHeight="false" outlineLevel="0" collapsed="false">
      <c r="A21" s="35"/>
      <c r="B21" s="32"/>
      <c r="C21" s="32"/>
      <c r="D21" s="32"/>
      <c r="E21" s="32"/>
      <c r="F21" s="32"/>
    </row>
    <row r="22" customFormat="false" ht="15" hidden="false" customHeight="false" outlineLevel="0" collapsed="false">
      <c r="A22" s="35"/>
      <c r="B22" s="32"/>
      <c r="C22" s="32"/>
      <c r="D22" s="32"/>
      <c r="E22" s="32"/>
      <c r="F22" s="32"/>
    </row>
    <row r="23" customFormat="false" ht="15" hidden="false" customHeight="false" outlineLevel="0" collapsed="false">
      <c r="A23" s="35"/>
      <c r="B23" s="32"/>
      <c r="C23" s="32"/>
      <c r="D23" s="32"/>
      <c r="E23" s="32"/>
      <c r="F23" s="32"/>
    </row>
    <row r="24" customFormat="false" ht="15" hidden="false" customHeight="false" outlineLevel="0" collapsed="false">
      <c r="A24" s="35"/>
      <c r="B24" s="32"/>
      <c r="C24" s="32"/>
      <c r="D24" s="32"/>
      <c r="E24" s="32"/>
      <c r="F24" s="32"/>
    </row>
    <row r="25" customFormat="false" ht="15" hidden="false" customHeight="false" outlineLevel="0" collapsed="false">
      <c r="A25" s="35"/>
      <c r="B25" s="32"/>
      <c r="C25" s="32"/>
      <c r="D25" s="32"/>
      <c r="E25" s="32"/>
      <c r="F25" s="32"/>
    </row>
    <row r="26" customFormat="false" ht="15" hidden="false" customHeight="false" outlineLevel="0" collapsed="false">
      <c r="A26" s="35"/>
      <c r="B26" s="32"/>
      <c r="C26" s="32"/>
      <c r="D26" s="32"/>
      <c r="E26" s="32"/>
      <c r="F26" s="32"/>
    </row>
    <row r="27" customFormat="false" ht="15" hidden="false" customHeight="false" outlineLevel="0" collapsed="false">
      <c r="A27" s="35"/>
      <c r="B27" s="32"/>
      <c r="C27" s="32"/>
      <c r="D27" s="32"/>
      <c r="E27" s="32"/>
      <c r="F27" s="32"/>
    </row>
    <row r="28" customFormat="false" ht="15" hidden="false" customHeight="false" outlineLevel="0" collapsed="false">
      <c r="A28" s="35"/>
      <c r="B28" s="32"/>
      <c r="C28" s="32"/>
      <c r="D28" s="32"/>
      <c r="E28" s="32"/>
      <c r="F28" s="32"/>
    </row>
    <row r="29" customFormat="false" ht="15" hidden="false" customHeight="false" outlineLevel="0" collapsed="false">
      <c r="A29" s="35"/>
      <c r="B29" s="32"/>
      <c r="C29" s="32"/>
      <c r="D29" s="32"/>
      <c r="E29" s="32"/>
      <c r="F29" s="32"/>
    </row>
    <row r="30" customFormat="false" ht="15" hidden="false" customHeight="false" outlineLevel="0" collapsed="false">
      <c r="A30" s="35"/>
      <c r="B30" s="32"/>
      <c r="C30" s="32"/>
      <c r="D30" s="32"/>
      <c r="E30" s="32"/>
      <c r="F30" s="32"/>
    </row>
    <row r="31" customFormat="false" ht="15" hidden="false" customHeight="false" outlineLevel="0" collapsed="false">
      <c r="A31" s="35"/>
      <c r="B31" s="32"/>
      <c r="C31" s="32"/>
      <c r="D31" s="32"/>
      <c r="E31" s="32"/>
      <c r="F31" s="32"/>
    </row>
    <row r="32" customFormat="false" ht="15" hidden="false" customHeight="false" outlineLevel="0" collapsed="false">
      <c r="A32" s="35"/>
      <c r="B32" s="32"/>
      <c r="C32" s="32"/>
      <c r="D32" s="32"/>
      <c r="E32" s="32"/>
      <c r="F32" s="32"/>
    </row>
    <row r="33" customFormat="false" ht="15" hidden="false" customHeight="false" outlineLevel="0" collapsed="false">
      <c r="A33" s="35"/>
      <c r="B33" s="32"/>
      <c r="C33" s="32"/>
      <c r="D33" s="32"/>
      <c r="E33" s="32"/>
      <c r="F33" s="32"/>
    </row>
    <row r="34" customFormat="false" ht="15" hidden="false" customHeight="false" outlineLevel="0" collapsed="false">
      <c r="A34" s="35"/>
      <c r="B34" s="32"/>
      <c r="C34" s="32"/>
      <c r="D34" s="32"/>
      <c r="E34" s="32"/>
      <c r="F34" s="32"/>
    </row>
    <row r="35" customFormat="false" ht="15" hidden="false" customHeight="false" outlineLevel="0" collapsed="false">
      <c r="A35" s="35"/>
      <c r="B35" s="32"/>
      <c r="C35" s="32"/>
      <c r="D35" s="32"/>
      <c r="E35" s="32"/>
      <c r="F35" s="32"/>
    </row>
    <row r="36" customFormat="false" ht="15" hidden="false" customHeight="false" outlineLevel="0" collapsed="false">
      <c r="A36" s="35"/>
      <c r="B36" s="32"/>
      <c r="C36" s="32"/>
      <c r="D36" s="32"/>
      <c r="E36" s="32"/>
      <c r="F36" s="32"/>
    </row>
    <row r="37" customFormat="false" ht="15" hidden="false" customHeight="false" outlineLevel="0" collapsed="false">
      <c r="A37" s="35"/>
      <c r="B37" s="32"/>
      <c r="C37" s="32"/>
      <c r="D37" s="32"/>
      <c r="E37" s="32"/>
      <c r="F37" s="32"/>
    </row>
    <row r="38" customFormat="false" ht="15" hidden="false" customHeight="false" outlineLevel="0" collapsed="false">
      <c r="A38" s="35"/>
      <c r="B38" s="32"/>
      <c r="C38" s="32"/>
      <c r="D38" s="32"/>
      <c r="E38" s="32"/>
      <c r="F38" s="32"/>
    </row>
    <row r="39" customFormat="false" ht="15" hidden="false" customHeight="false" outlineLevel="0" collapsed="false">
      <c r="A39" s="35"/>
      <c r="B39" s="32"/>
      <c r="C39" s="32"/>
      <c r="D39" s="32"/>
      <c r="E39" s="32"/>
      <c r="F39" s="32"/>
    </row>
    <row r="40" customFormat="false" ht="15" hidden="false" customHeight="false" outlineLevel="0" collapsed="false">
      <c r="A40" s="35"/>
      <c r="B40" s="32"/>
      <c r="C40" s="32"/>
      <c r="D40" s="32"/>
      <c r="E40" s="32"/>
      <c r="F40" s="32"/>
    </row>
    <row r="41" customFormat="false" ht="15" hidden="false" customHeight="false" outlineLevel="0" collapsed="false">
      <c r="A41" s="35"/>
      <c r="B41" s="32"/>
      <c r="C41" s="32"/>
      <c r="D41" s="32"/>
      <c r="E41" s="32"/>
      <c r="F41" s="32"/>
    </row>
    <row r="42" customFormat="false" ht="15" hidden="false" customHeight="false" outlineLevel="0" collapsed="false">
      <c r="A42" s="35"/>
      <c r="B42" s="32"/>
      <c r="C42" s="32"/>
      <c r="D42" s="32"/>
      <c r="E42" s="32"/>
      <c r="F42" s="32"/>
    </row>
    <row r="43" customFormat="false" ht="15" hidden="false" customHeight="false" outlineLevel="0" collapsed="false">
      <c r="A43" s="35"/>
      <c r="B43" s="32"/>
      <c r="C43" s="32"/>
      <c r="D43" s="32"/>
      <c r="E43" s="32"/>
      <c r="F43" s="32"/>
    </row>
    <row r="44" customFormat="false" ht="15" hidden="false" customHeight="false" outlineLevel="0" collapsed="false">
      <c r="A44" s="35"/>
      <c r="B44" s="32"/>
      <c r="C44" s="32"/>
      <c r="D44" s="32"/>
      <c r="E44" s="32"/>
      <c r="F44" s="32"/>
    </row>
    <row r="45" customFormat="false" ht="15" hidden="false" customHeight="false" outlineLevel="0" collapsed="false">
      <c r="A45" s="35"/>
      <c r="B45" s="32"/>
      <c r="C45" s="32"/>
      <c r="D45" s="32"/>
      <c r="E45" s="32"/>
      <c r="F45" s="32"/>
    </row>
    <row r="46" customFormat="false" ht="15" hidden="false" customHeight="false" outlineLevel="0" collapsed="false">
      <c r="A46" s="35"/>
      <c r="B46" s="32"/>
      <c r="C46" s="32"/>
      <c r="D46" s="32"/>
      <c r="E46" s="32"/>
      <c r="F46" s="32"/>
    </row>
    <row r="47" customFormat="false" ht="15" hidden="false" customHeight="false" outlineLevel="0" collapsed="false">
      <c r="A47" s="35"/>
      <c r="B47" s="32"/>
      <c r="C47" s="32"/>
      <c r="D47" s="32"/>
      <c r="E47" s="32"/>
      <c r="F47" s="32"/>
    </row>
    <row r="48" customFormat="false" ht="15" hidden="false" customHeight="false" outlineLevel="0" collapsed="false">
      <c r="A48" s="35"/>
      <c r="B48" s="32"/>
      <c r="C48" s="32"/>
      <c r="D48" s="32"/>
      <c r="E48" s="32"/>
      <c r="F48" s="32"/>
    </row>
    <row r="49" customFormat="false" ht="15" hidden="false" customHeight="false" outlineLevel="0" collapsed="false">
      <c r="A49" s="35"/>
      <c r="B49" s="32"/>
      <c r="C49" s="32"/>
      <c r="D49" s="32"/>
      <c r="E49" s="32"/>
      <c r="F49" s="32"/>
    </row>
    <row r="50" customFormat="false" ht="15" hidden="false" customHeight="false" outlineLevel="0" collapsed="false">
      <c r="A50" s="35"/>
      <c r="B50" s="32"/>
      <c r="C50" s="32"/>
      <c r="D50" s="32"/>
      <c r="E50" s="32"/>
      <c r="F50" s="32"/>
    </row>
    <row r="51" customFormat="false" ht="15" hidden="false" customHeight="false" outlineLevel="0" collapsed="false">
      <c r="A51" s="35"/>
      <c r="B51" s="32"/>
      <c r="C51" s="32"/>
      <c r="D51" s="32"/>
      <c r="E51" s="32"/>
      <c r="F51" s="32"/>
    </row>
    <row r="52" customFormat="false" ht="15" hidden="false" customHeight="false" outlineLevel="0" collapsed="false">
      <c r="A52" s="35"/>
      <c r="B52" s="32"/>
      <c r="C52" s="32"/>
      <c r="D52" s="32"/>
      <c r="E52" s="32"/>
      <c r="F52" s="32"/>
    </row>
    <row r="53" customFormat="false" ht="15" hidden="false" customHeight="false" outlineLevel="0" collapsed="false">
      <c r="A53" s="35"/>
      <c r="B53" s="32"/>
      <c r="C53" s="32"/>
      <c r="D53" s="32"/>
      <c r="E53" s="32"/>
      <c r="F53" s="32"/>
    </row>
    <row r="54" customFormat="false" ht="15" hidden="false" customHeight="false" outlineLevel="0" collapsed="false">
      <c r="A54" s="35"/>
      <c r="B54" s="32"/>
      <c r="C54" s="32"/>
      <c r="D54" s="32"/>
      <c r="E54" s="32"/>
      <c r="F54" s="32"/>
    </row>
    <row r="55" customFormat="false" ht="15" hidden="false" customHeight="false" outlineLevel="0" collapsed="false">
      <c r="A55" s="35"/>
      <c r="B55" s="32"/>
      <c r="C55" s="32"/>
      <c r="D55" s="32"/>
      <c r="E55" s="32"/>
      <c r="F55" s="32"/>
    </row>
    <row r="56" customFormat="false" ht="15" hidden="false" customHeight="false" outlineLevel="0" collapsed="false">
      <c r="A56" s="35"/>
      <c r="B56" s="32"/>
      <c r="C56" s="32"/>
      <c r="D56" s="32"/>
      <c r="E56" s="32"/>
      <c r="F56" s="32"/>
    </row>
    <row r="57" customFormat="false" ht="15" hidden="false" customHeight="false" outlineLevel="0" collapsed="false">
      <c r="A57" s="35"/>
      <c r="B57" s="32"/>
      <c r="C57" s="32"/>
      <c r="D57" s="32"/>
      <c r="E57" s="32"/>
      <c r="F57" s="32"/>
    </row>
    <row r="58" customFormat="false" ht="15" hidden="false" customHeight="false" outlineLevel="0" collapsed="false">
      <c r="A58" s="35"/>
      <c r="B58" s="32"/>
      <c r="C58" s="32"/>
      <c r="D58" s="32"/>
      <c r="E58" s="32"/>
      <c r="F58" s="32"/>
    </row>
    <row r="59" customFormat="false" ht="15" hidden="false" customHeight="false" outlineLevel="0" collapsed="false">
      <c r="A59" s="35"/>
      <c r="B59" s="32"/>
      <c r="C59" s="32"/>
      <c r="D59" s="32"/>
      <c r="E59" s="32"/>
      <c r="F59" s="32"/>
    </row>
    <row r="60" customFormat="false" ht="15" hidden="false" customHeight="false" outlineLevel="0" collapsed="false">
      <c r="A60" s="35"/>
      <c r="B60" s="32"/>
      <c r="C60" s="32"/>
      <c r="D60" s="32"/>
      <c r="E60" s="32"/>
      <c r="F60" s="32"/>
    </row>
    <row r="61" customFormat="false" ht="15" hidden="false" customHeight="false" outlineLevel="0" collapsed="false">
      <c r="A61" s="35"/>
      <c r="B61" s="32"/>
      <c r="C61" s="32"/>
      <c r="D61" s="32"/>
      <c r="E61" s="32"/>
      <c r="F61" s="32"/>
    </row>
    <row r="62" customFormat="false" ht="15" hidden="false" customHeight="false" outlineLevel="0" collapsed="false">
      <c r="A62" s="35"/>
      <c r="B62" s="32"/>
      <c r="C62" s="32"/>
      <c r="D62" s="32"/>
      <c r="E62" s="32"/>
      <c r="F62" s="32"/>
    </row>
    <row r="63" customFormat="false" ht="15" hidden="false" customHeight="false" outlineLevel="0" collapsed="false">
      <c r="A63" s="35"/>
      <c r="B63" s="32"/>
      <c r="C63" s="32"/>
      <c r="D63" s="32"/>
      <c r="E63" s="32"/>
      <c r="F63" s="32"/>
    </row>
    <row r="64" customFormat="false" ht="15" hidden="false" customHeight="false" outlineLevel="0" collapsed="false">
      <c r="A64" s="35"/>
      <c r="B64" s="32"/>
      <c r="C64" s="32"/>
      <c r="D64" s="32"/>
      <c r="E64" s="32"/>
      <c r="F64" s="32"/>
    </row>
    <row r="65" customFormat="false" ht="15" hidden="false" customHeight="false" outlineLevel="0" collapsed="false">
      <c r="A65" s="35"/>
      <c r="B65" s="32"/>
      <c r="C65" s="32"/>
      <c r="D65" s="32"/>
      <c r="E65" s="32"/>
      <c r="F65" s="32"/>
    </row>
    <row r="66" customFormat="false" ht="15" hidden="false" customHeight="false" outlineLevel="0" collapsed="false">
      <c r="A66" s="35"/>
      <c r="B66" s="32"/>
      <c r="C66" s="32"/>
      <c r="D66" s="32"/>
      <c r="E66" s="32"/>
      <c r="F66" s="32"/>
    </row>
    <row r="67" customFormat="false" ht="15" hidden="false" customHeight="false" outlineLevel="0" collapsed="false">
      <c r="A67" s="35"/>
      <c r="B67" s="32"/>
      <c r="C67" s="32"/>
      <c r="D67" s="32"/>
      <c r="E67" s="32"/>
      <c r="F67" s="32"/>
    </row>
    <row r="68" customFormat="false" ht="15" hidden="false" customHeight="false" outlineLevel="0" collapsed="false">
      <c r="A68" s="35"/>
      <c r="B68" s="32"/>
      <c r="C68" s="32"/>
      <c r="D68" s="32"/>
      <c r="E68" s="32"/>
      <c r="F68" s="32"/>
    </row>
    <row r="69" customFormat="false" ht="15" hidden="false" customHeight="false" outlineLevel="0" collapsed="false">
      <c r="A69" s="35"/>
      <c r="B69" s="32"/>
      <c r="C69" s="32"/>
      <c r="D69" s="32"/>
      <c r="E69" s="32"/>
      <c r="F69" s="32"/>
    </row>
    <row r="70" customFormat="false" ht="15" hidden="false" customHeight="false" outlineLevel="0" collapsed="false">
      <c r="A70" s="35"/>
      <c r="B70" s="32"/>
      <c r="C70" s="32"/>
      <c r="D70" s="32"/>
      <c r="E70" s="32"/>
      <c r="F70" s="32"/>
    </row>
    <row r="71" customFormat="false" ht="15" hidden="false" customHeight="false" outlineLevel="0" collapsed="false">
      <c r="A71" s="35"/>
      <c r="B71" s="32"/>
      <c r="C71" s="32"/>
      <c r="D71" s="32"/>
      <c r="E71" s="32"/>
      <c r="F71" s="32"/>
    </row>
    <row r="72" customFormat="false" ht="15" hidden="false" customHeight="false" outlineLevel="0" collapsed="false">
      <c r="A72" s="35"/>
      <c r="B72" s="32"/>
      <c r="C72" s="32"/>
      <c r="D72" s="32"/>
      <c r="E72" s="32"/>
      <c r="F72" s="32"/>
    </row>
    <row r="73" customFormat="false" ht="15" hidden="false" customHeight="false" outlineLevel="0" collapsed="false">
      <c r="A73" s="35"/>
      <c r="B73" s="32"/>
      <c r="C73" s="32"/>
      <c r="D73" s="32"/>
      <c r="E73" s="32"/>
      <c r="F73" s="32"/>
    </row>
    <row r="74" customFormat="false" ht="15" hidden="false" customHeight="false" outlineLevel="0" collapsed="false">
      <c r="A74" s="35"/>
      <c r="B74" s="32"/>
      <c r="C74" s="32"/>
      <c r="D74" s="32"/>
      <c r="E74" s="32"/>
      <c r="F74" s="32"/>
    </row>
    <row r="75" customFormat="false" ht="15" hidden="false" customHeight="false" outlineLevel="0" collapsed="false">
      <c r="A75" s="35"/>
      <c r="B75" s="32"/>
      <c r="C75" s="32"/>
      <c r="D75" s="32"/>
      <c r="E75" s="32"/>
      <c r="F75" s="32"/>
    </row>
    <row r="76" customFormat="false" ht="15" hidden="false" customHeight="false" outlineLevel="0" collapsed="false">
      <c r="A76" s="35"/>
      <c r="B76" s="32"/>
      <c r="C76" s="32"/>
      <c r="D76" s="32"/>
      <c r="E76" s="32"/>
      <c r="F76" s="32"/>
    </row>
    <row r="77" customFormat="false" ht="15" hidden="false" customHeight="false" outlineLevel="0" collapsed="false">
      <c r="A77" s="35"/>
      <c r="B77" s="32"/>
      <c r="C77" s="32"/>
      <c r="D77" s="32"/>
      <c r="E77" s="32"/>
      <c r="F77" s="32"/>
    </row>
    <row r="78" customFormat="false" ht="15" hidden="false" customHeight="false" outlineLevel="0" collapsed="false">
      <c r="A78" s="35"/>
      <c r="B78" s="32"/>
      <c r="C78" s="32"/>
      <c r="D78" s="32"/>
      <c r="E78" s="32"/>
      <c r="F78" s="32"/>
    </row>
    <row r="79" customFormat="false" ht="15" hidden="false" customHeight="false" outlineLevel="0" collapsed="false">
      <c r="A79" s="35"/>
      <c r="B79" s="32"/>
      <c r="C79" s="32"/>
      <c r="D79" s="32"/>
      <c r="E79" s="32"/>
      <c r="F79" s="32"/>
    </row>
    <row r="80" customFormat="false" ht="15" hidden="false" customHeight="false" outlineLevel="0" collapsed="false">
      <c r="A80" s="35"/>
      <c r="B80" s="32"/>
      <c r="C80" s="32"/>
      <c r="D80" s="32"/>
      <c r="E80" s="32"/>
      <c r="F80" s="32"/>
    </row>
    <row r="81" customFormat="false" ht="15" hidden="false" customHeight="false" outlineLevel="0" collapsed="false">
      <c r="A81" s="35"/>
      <c r="B81" s="32"/>
      <c r="C81" s="32"/>
      <c r="D81" s="32"/>
      <c r="E81" s="32"/>
      <c r="F81" s="32"/>
    </row>
    <row r="82" customFormat="false" ht="15" hidden="false" customHeight="false" outlineLevel="0" collapsed="false">
      <c r="A82" s="35"/>
      <c r="B82" s="32"/>
      <c r="C82" s="32"/>
      <c r="D82" s="32"/>
      <c r="E82" s="32"/>
      <c r="F82" s="32"/>
    </row>
    <row r="83" customFormat="false" ht="15" hidden="false" customHeight="false" outlineLevel="0" collapsed="false">
      <c r="A83" s="35"/>
      <c r="B83" s="32"/>
      <c r="C83" s="32"/>
      <c r="D83" s="32"/>
      <c r="E83" s="32"/>
      <c r="F83" s="32"/>
    </row>
    <row r="84" customFormat="false" ht="15" hidden="false" customHeight="false" outlineLevel="0" collapsed="false">
      <c r="A84" s="35"/>
      <c r="B84" s="32"/>
      <c r="C84" s="32"/>
      <c r="D84" s="32"/>
      <c r="E84" s="32"/>
      <c r="F84" s="32"/>
    </row>
    <row r="85" customFormat="false" ht="15" hidden="false" customHeight="false" outlineLevel="0" collapsed="false">
      <c r="A85" s="35"/>
      <c r="B85" s="32"/>
      <c r="C85" s="32"/>
      <c r="D85" s="32"/>
      <c r="E85" s="32"/>
      <c r="F85" s="32"/>
    </row>
    <row r="86" customFormat="false" ht="15" hidden="false" customHeight="false" outlineLevel="0" collapsed="false">
      <c r="A86" s="35"/>
      <c r="B86" s="32"/>
      <c r="C86" s="32"/>
      <c r="D86" s="32"/>
      <c r="E86" s="32"/>
      <c r="F86" s="32"/>
    </row>
    <row r="87" customFormat="false" ht="15" hidden="false" customHeight="false" outlineLevel="0" collapsed="false">
      <c r="A87" s="35"/>
      <c r="B87" s="32"/>
      <c r="C87" s="32"/>
      <c r="D87" s="32"/>
      <c r="E87" s="32"/>
      <c r="F87" s="32"/>
    </row>
    <row r="88" customFormat="false" ht="15" hidden="false" customHeight="false" outlineLevel="0" collapsed="false">
      <c r="A88" s="35"/>
      <c r="B88" s="32"/>
      <c r="C88" s="32"/>
      <c r="D88" s="32"/>
      <c r="E88" s="32"/>
      <c r="F88" s="32"/>
    </row>
    <row r="89" customFormat="false" ht="15" hidden="false" customHeight="false" outlineLevel="0" collapsed="false">
      <c r="A89" s="35"/>
      <c r="B89" s="32"/>
      <c r="C89" s="32"/>
      <c r="D89" s="32"/>
      <c r="E89" s="32"/>
      <c r="F89" s="32"/>
    </row>
    <row r="90" customFormat="false" ht="15" hidden="false" customHeight="false" outlineLevel="0" collapsed="false">
      <c r="A90" s="35"/>
      <c r="B90" s="32"/>
      <c r="C90" s="32"/>
      <c r="D90" s="32"/>
      <c r="E90" s="32"/>
      <c r="F90" s="32"/>
    </row>
    <row r="91" customFormat="false" ht="15" hidden="false" customHeight="false" outlineLevel="0" collapsed="false">
      <c r="A91" s="35"/>
      <c r="B91" s="32"/>
      <c r="C91" s="32"/>
      <c r="D91" s="32"/>
      <c r="E91" s="32"/>
      <c r="F91" s="32"/>
    </row>
    <row r="92" customFormat="false" ht="15" hidden="false" customHeight="false" outlineLevel="0" collapsed="false">
      <c r="A92" s="35"/>
      <c r="B92" s="32"/>
      <c r="C92" s="32"/>
      <c r="D92" s="32"/>
      <c r="E92" s="32"/>
      <c r="F92" s="32"/>
    </row>
    <row r="93" customFormat="false" ht="15" hidden="false" customHeight="false" outlineLevel="0" collapsed="false">
      <c r="A93" s="35"/>
      <c r="B93" s="32"/>
      <c r="C93" s="32"/>
      <c r="D93" s="32"/>
      <c r="E93" s="32"/>
      <c r="F93" s="32"/>
    </row>
    <row r="94" customFormat="false" ht="15" hidden="false" customHeight="false" outlineLevel="0" collapsed="false">
      <c r="A94" s="35"/>
      <c r="B94" s="32"/>
      <c r="C94" s="32"/>
      <c r="D94" s="32"/>
      <c r="E94" s="32"/>
      <c r="F94" s="32"/>
    </row>
    <row r="95" customFormat="false" ht="15" hidden="false" customHeight="false" outlineLevel="0" collapsed="false">
      <c r="A95" s="35"/>
      <c r="B95" s="32"/>
      <c r="C95" s="32"/>
      <c r="D95" s="32"/>
      <c r="E95" s="32"/>
      <c r="F95" s="32"/>
    </row>
    <row r="96" customFormat="false" ht="15" hidden="false" customHeight="false" outlineLevel="0" collapsed="false">
      <c r="A96" s="35"/>
      <c r="B96" s="32"/>
      <c r="C96" s="32"/>
      <c r="D96" s="32"/>
      <c r="E96" s="32"/>
      <c r="F96" s="32"/>
    </row>
    <row r="97" customFormat="false" ht="15" hidden="false" customHeight="false" outlineLevel="0" collapsed="false">
      <c r="A97" s="35"/>
      <c r="B97" s="32"/>
      <c r="C97" s="32"/>
      <c r="D97" s="32"/>
      <c r="E97" s="32"/>
      <c r="F97" s="32"/>
    </row>
    <row r="98" customFormat="false" ht="15" hidden="false" customHeight="false" outlineLevel="0" collapsed="false">
      <c r="A98" s="35"/>
      <c r="B98" s="32"/>
      <c r="C98" s="32"/>
      <c r="D98" s="32"/>
      <c r="E98" s="32"/>
      <c r="F98" s="32"/>
    </row>
    <row r="99" customFormat="false" ht="15" hidden="false" customHeight="false" outlineLevel="0" collapsed="false">
      <c r="A99" s="35"/>
      <c r="B99" s="32"/>
      <c r="C99" s="32"/>
      <c r="D99" s="32"/>
      <c r="E99" s="32"/>
      <c r="F99" s="32"/>
    </row>
    <row r="100" customFormat="false" ht="15" hidden="false" customHeight="false" outlineLevel="0" collapsed="false">
      <c r="A100" s="35"/>
      <c r="B100" s="32"/>
      <c r="C100" s="32"/>
      <c r="D100" s="32"/>
      <c r="E100" s="32"/>
      <c r="F100" s="32"/>
    </row>
    <row r="101" customFormat="false" ht="15" hidden="false" customHeight="false" outlineLevel="0" collapsed="false">
      <c r="A101" s="35"/>
      <c r="B101" s="32"/>
      <c r="C101" s="32"/>
      <c r="D101" s="32"/>
      <c r="E101" s="32"/>
      <c r="F101" s="32"/>
    </row>
    <row r="102" customFormat="false" ht="15" hidden="false" customHeight="false" outlineLevel="0" collapsed="false">
      <c r="A102" s="35"/>
      <c r="B102" s="32"/>
      <c r="C102" s="32"/>
      <c r="D102" s="32"/>
      <c r="E102" s="32"/>
      <c r="F102" s="32"/>
    </row>
    <row r="103" customFormat="false" ht="15" hidden="false" customHeight="false" outlineLevel="0" collapsed="false">
      <c r="A103" s="35"/>
      <c r="B103" s="32"/>
      <c r="C103" s="32"/>
      <c r="D103" s="32"/>
      <c r="E103" s="32"/>
      <c r="F103" s="32"/>
    </row>
    <row r="104" customFormat="false" ht="15" hidden="false" customHeight="false" outlineLevel="0" collapsed="false">
      <c r="A104" s="35"/>
      <c r="B104" s="32"/>
      <c r="C104" s="32"/>
      <c r="D104" s="32"/>
      <c r="E104" s="32"/>
      <c r="F104" s="32"/>
    </row>
    <row r="105" customFormat="false" ht="15" hidden="false" customHeight="false" outlineLevel="0" collapsed="false">
      <c r="A105" s="35"/>
      <c r="B105" s="32"/>
      <c r="C105" s="32"/>
      <c r="D105" s="32"/>
      <c r="E105" s="32"/>
      <c r="F105" s="32"/>
    </row>
    <row r="106" customFormat="false" ht="15" hidden="false" customHeight="false" outlineLevel="0" collapsed="false">
      <c r="A106" s="35"/>
      <c r="B106" s="32"/>
      <c r="C106" s="32"/>
      <c r="D106" s="32"/>
      <c r="E106" s="32"/>
      <c r="F106" s="32"/>
    </row>
    <row r="107" customFormat="false" ht="15" hidden="false" customHeight="false" outlineLevel="0" collapsed="false">
      <c r="A107" s="35"/>
      <c r="B107" s="32"/>
      <c r="C107" s="32"/>
      <c r="D107" s="32"/>
      <c r="E107" s="32"/>
      <c r="F107" s="32"/>
    </row>
    <row r="108" customFormat="false" ht="15" hidden="false" customHeight="false" outlineLevel="0" collapsed="false">
      <c r="A108" s="35"/>
      <c r="B108" s="32"/>
      <c r="C108" s="32"/>
      <c r="D108" s="32"/>
      <c r="E108" s="32"/>
      <c r="F108" s="32"/>
    </row>
    <row r="109" customFormat="false" ht="15" hidden="false" customHeight="false" outlineLevel="0" collapsed="false">
      <c r="A109" s="35"/>
      <c r="B109" s="32"/>
      <c r="C109" s="32"/>
      <c r="D109" s="32"/>
      <c r="E109" s="32"/>
      <c r="F109" s="32"/>
    </row>
    <row r="110" customFormat="false" ht="15" hidden="false" customHeight="false" outlineLevel="0" collapsed="false">
      <c r="A110" s="35"/>
      <c r="B110" s="32"/>
      <c r="C110" s="32"/>
      <c r="D110" s="32"/>
      <c r="E110" s="32"/>
      <c r="F110" s="32"/>
    </row>
    <row r="111" customFormat="false" ht="15" hidden="false" customHeight="false" outlineLevel="0" collapsed="false">
      <c r="A111" s="35"/>
      <c r="B111" s="32"/>
      <c r="C111" s="32"/>
      <c r="D111" s="32"/>
      <c r="E111" s="32"/>
      <c r="F111" s="32"/>
    </row>
    <row r="112" customFormat="false" ht="15" hidden="false" customHeight="false" outlineLevel="0" collapsed="false">
      <c r="A112" s="35"/>
      <c r="B112" s="32"/>
      <c r="C112" s="32"/>
      <c r="D112" s="32"/>
      <c r="E112" s="32"/>
      <c r="F112" s="32"/>
    </row>
    <row r="113" customFormat="false" ht="15" hidden="false" customHeight="false" outlineLevel="0" collapsed="false">
      <c r="A113" s="35"/>
      <c r="B113" s="32"/>
      <c r="C113" s="32"/>
      <c r="D113" s="32"/>
      <c r="E113" s="32"/>
      <c r="F113" s="32"/>
    </row>
    <row r="114" customFormat="false" ht="15" hidden="false" customHeight="false" outlineLevel="0" collapsed="false">
      <c r="A114" s="35"/>
      <c r="B114" s="32"/>
      <c r="C114" s="32"/>
      <c r="D114" s="32"/>
      <c r="E114" s="32"/>
      <c r="F114" s="32"/>
    </row>
    <row r="115" customFormat="false" ht="15" hidden="false" customHeight="false" outlineLevel="0" collapsed="false">
      <c r="A115" s="35"/>
      <c r="B115" s="32"/>
      <c r="C115" s="32"/>
      <c r="D115" s="32"/>
      <c r="E115" s="32"/>
      <c r="F115" s="32"/>
    </row>
    <row r="116" customFormat="false" ht="15" hidden="false" customHeight="false" outlineLevel="0" collapsed="false">
      <c r="A116" s="35"/>
      <c r="B116" s="32"/>
      <c r="C116" s="32"/>
      <c r="D116" s="32"/>
      <c r="E116" s="32"/>
      <c r="F116" s="32"/>
    </row>
    <row r="117" customFormat="false" ht="15" hidden="false" customHeight="false" outlineLevel="0" collapsed="false">
      <c r="A117" s="35"/>
      <c r="B117" s="32"/>
      <c r="C117" s="32"/>
      <c r="D117" s="32"/>
      <c r="E117" s="32"/>
      <c r="F117" s="32"/>
    </row>
    <row r="118" customFormat="false" ht="15" hidden="false" customHeight="false" outlineLevel="0" collapsed="false">
      <c r="A118" s="35"/>
      <c r="B118" s="32"/>
      <c r="C118" s="32"/>
      <c r="D118" s="32"/>
      <c r="E118" s="32"/>
      <c r="F118" s="32"/>
    </row>
    <row r="119" customFormat="false" ht="15" hidden="false" customHeight="false" outlineLevel="0" collapsed="false">
      <c r="A119" s="35"/>
      <c r="B119" s="32"/>
      <c r="C119" s="32"/>
      <c r="D119" s="32"/>
      <c r="E119" s="32"/>
      <c r="F119" s="32"/>
    </row>
    <row r="120" customFormat="false" ht="15" hidden="false" customHeight="false" outlineLevel="0" collapsed="false">
      <c r="A120" s="35"/>
      <c r="B120" s="32"/>
      <c r="C120" s="32"/>
      <c r="D120" s="32"/>
      <c r="E120" s="32"/>
      <c r="F120" s="32"/>
    </row>
    <row r="121" customFormat="false" ht="15" hidden="false" customHeight="false" outlineLevel="0" collapsed="false">
      <c r="A121" s="35"/>
      <c r="B121" s="32"/>
      <c r="C121" s="32"/>
      <c r="D121" s="32"/>
      <c r="E121" s="32"/>
      <c r="F121" s="32"/>
    </row>
    <row r="122" customFormat="false" ht="15" hidden="false" customHeight="false" outlineLevel="0" collapsed="false">
      <c r="A122" s="35"/>
      <c r="B122" s="32"/>
      <c r="C122" s="32"/>
      <c r="D122" s="32"/>
      <c r="E122" s="32"/>
      <c r="F122" s="32"/>
    </row>
    <row r="123" customFormat="false" ht="15" hidden="false" customHeight="false" outlineLevel="0" collapsed="false">
      <c r="A123" s="35"/>
      <c r="B123" s="32"/>
      <c r="C123" s="32"/>
      <c r="D123" s="32"/>
      <c r="E123" s="32"/>
      <c r="F123" s="32"/>
    </row>
    <row r="124" customFormat="false" ht="15" hidden="false" customHeight="false" outlineLevel="0" collapsed="false">
      <c r="A124" s="35"/>
      <c r="B124" s="32"/>
      <c r="C124" s="32"/>
      <c r="D124" s="32"/>
      <c r="E124" s="32"/>
      <c r="F124" s="32"/>
    </row>
    <row r="125" customFormat="false" ht="15" hidden="false" customHeight="false" outlineLevel="0" collapsed="false">
      <c r="A125" s="35"/>
      <c r="B125" s="32"/>
      <c r="C125" s="32"/>
      <c r="D125" s="32"/>
      <c r="E125" s="32"/>
      <c r="F125" s="32"/>
    </row>
    <row r="126" customFormat="false" ht="15" hidden="false" customHeight="false" outlineLevel="0" collapsed="false">
      <c r="A126" s="35"/>
      <c r="B126" s="32"/>
      <c r="C126" s="32"/>
      <c r="D126" s="32"/>
      <c r="E126" s="32"/>
      <c r="F126" s="32"/>
    </row>
    <row r="127" customFormat="false" ht="15" hidden="false" customHeight="false" outlineLevel="0" collapsed="false">
      <c r="A127" s="35"/>
      <c r="B127" s="32"/>
      <c r="C127" s="32"/>
      <c r="D127" s="32"/>
      <c r="E127" s="32"/>
      <c r="F127" s="32"/>
    </row>
    <row r="128" customFormat="false" ht="15" hidden="false" customHeight="false" outlineLevel="0" collapsed="false">
      <c r="A128" s="35"/>
      <c r="B128" s="32"/>
      <c r="C128" s="32"/>
      <c r="D128" s="32"/>
      <c r="E128" s="32"/>
      <c r="F128" s="32"/>
    </row>
    <row r="129" customFormat="false" ht="15" hidden="false" customHeight="false" outlineLevel="0" collapsed="false">
      <c r="A129" s="35"/>
      <c r="B129" s="32"/>
      <c r="C129" s="32"/>
      <c r="D129" s="32"/>
      <c r="E129" s="32"/>
      <c r="F129" s="32"/>
    </row>
    <row r="130" customFormat="false" ht="15" hidden="false" customHeight="false" outlineLevel="0" collapsed="false">
      <c r="A130" s="35"/>
      <c r="B130" s="32"/>
      <c r="C130" s="32"/>
      <c r="D130" s="32"/>
      <c r="E130" s="32"/>
      <c r="F130" s="32"/>
    </row>
    <row r="131" customFormat="false" ht="15" hidden="false" customHeight="false" outlineLevel="0" collapsed="false">
      <c r="A131" s="35"/>
      <c r="B131" s="32"/>
      <c r="C131" s="32"/>
      <c r="D131" s="32"/>
      <c r="E131" s="32"/>
      <c r="F131" s="32"/>
    </row>
    <row r="132" customFormat="false" ht="15" hidden="false" customHeight="false" outlineLevel="0" collapsed="false">
      <c r="A132" s="35"/>
      <c r="B132" s="32"/>
      <c r="C132" s="32"/>
      <c r="D132" s="32"/>
      <c r="E132" s="32"/>
      <c r="F132" s="32"/>
    </row>
    <row r="133" customFormat="false" ht="15" hidden="false" customHeight="false" outlineLevel="0" collapsed="false">
      <c r="A133" s="35"/>
      <c r="B133" s="32"/>
      <c r="C133" s="32"/>
      <c r="D133" s="32"/>
      <c r="E133" s="32"/>
      <c r="F133" s="32"/>
    </row>
    <row r="134" customFormat="false" ht="15" hidden="false" customHeight="false" outlineLevel="0" collapsed="false">
      <c r="A134" s="35"/>
      <c r="B134" s="32"/>
      <c r="C134" s="32"/>
      <c r="D134" s="32"/>
      <c r="E134" s="32"/>
      <c r="F134" s="32"/>
    </row>
    <row r="135" customFormat="false" ht="15" hidden="false" customHeight="false" outlineLevel="0" collapsed="false">
      <c r="A135" s="35"/>
      <c r="B135" s="32"/>
      <c r="C135" s="32"/>
      <c r="D135" s="32"/>
      <c r="E135" s="32"/>
      <c r="F135" s="32"/>
    </row>
    <row r="136" customFormat="false" ht="15" hidden="false" customHeight="false" outlineLevel="0" collapsed="false">
      <c r="A136" s="35"/>
      <c r="B136" s="32"/>
      <c r="C136" s="32"/>
      <c r="D136" s="32"/>
      <c r="E136" s="32"/>
      <c r="F136" s="32"/>
    </row>
    <row r="137" customFormat="false" ht="15" hidden="false" customHeight="false" outlineLevel="0" collapsed="false">
      <c r="A137" s="35"/>
      <c r="B137" s="32"/>
      <c r="C137" s="32"/>
      <c r="D137" s="32"/>
      <c r="E137" s="32"/>
      <c r="F137" s="32"/>
    </row>
    <row r="138" customFormat="false" ht="15" hidden="false" customHeight="false" outlineLevel="0" collapsed="false">
      <c r="A138" s="35"/>
      <c r="B138" s="32"/>
      <c r="C138" s="32"/>
      <c r="D138" s="32"/>
      <c r="E138" s="32"/>
      <c r="F138" s="32"/>
    </row>
    <row r="139" customFormat="false" ht="15" hidden="false" customHeight="false" outlineLevel="0" collapsed="false">
      <c r="A139" s="35"/>
      <c r="B139" s="32"/>
      <c r="C139" s="32"/>
      <c r="D139" s="32"/>
      <c r="E139" s="32"/>
      <c r="F139" s="32"/>
    </row>
    <row r="140" customFormat="false" ht="15" hidden="false" customHeight="false" outlineLevel="0" collapsed="false">
      <c r="A140" s="35"/>
      <c r="B140" s="32"/>
      <c r="C140" s="32"/>
      <c r="D140" s="32"/>
      <c r="E140" s="32"/>
      <c r="F140" s="32"/>
    </row>
    <row r="141" customFormat="false" ht="15" hidden="false" customHeight="false" outlineLevel="0" collapsed="false">
      <c r="A141" s="35"/>
      <c r="B141" s="32"/>
      <c r="C141" s="32"/>
      <c r="D141" s="32"/>
      <c r="E141" s="32"/>
      <c r="F141" s="32"/>
    </row>
    <row r="142" customFormat="false" ht="15" hidden="false" customHeight="false" outlineLevel="0" collapsed="false">
      <c r="A142" s="35"/>
      <c r="B142" s="32"/>
      <c r="C142" s="32"/>
      <c r="D142" s="32"/>
      <c r="E142" s="32"/>
      <c r="F142" s="32"/>
    </row>
    <row r="143" customFormat="false" ht="15" hidden="false" customHeight="false" outlineLevel="0" collapsed="false">
      <c r="A143" s="35"/>
      <c r="B143" s="32"/>
      <c r="C143" s="32"/>
      <c r="D143" s="32"/>
      <c r="E143" s="32"/>
      <c r="F143" s="32"/>
    </row>
    <row r="144" customFormat="false" ht="15" hidden="false" customHeight="false" outlineLevel="0" collapsed="false">
      <c r="A144" s="35"/>
      <c r="B144" s="32"/>
      <c r="C144" s="32"/>
      <c r="D144" s="32"/>
      <c r="E144" s="32"/>
      <c r="F144" s="32"/>
    </row>
    <row r="145" customFormat="false" ht="15" hidden="false" customHeight="false" outlineLevel="0" collapsed="false">
      <c r="A145" s="35"/>
      <c r="B145" s="32"/>
      <c r="C145" s="32"/>
      <c r="D145" s="32"/>
      <c r="E145" s="32"/>
      <c r="F145" s="32"/>
    </row>
    <row r="146" customFormat="false" ht="15" hidden="false" customHeight="false" outlineLevel="0" collapsed="false">
      <c r="A146" s="35"/>
      <c r="B146" s="32"/>
      <c r="C146" s="32"/>
      <c r="D146" s="32"/>
      <c r="E146" s="32"/>
      <c r="F146" s="32"/>
    </row>
    <row r="147" customFormat="false" ht="15" hidden="false" customHeight="false" outlineLevel="0" collapsed="false">
      <c r="A147" s="35"/>
      <c r="B147" s="32"/>
      <c r="C147" s="32"/>
      <c r="D147" s="32"/>
      <c r="E147" s="32"/>
      <c r="F147" s="32"/>
    </row>
    <row r="148" customFormat="false" ht="15" hidden="false" customHeight="false" outlineLevel="0" collapsed="false">
      <c r="A148" s="35"/>
      <c r="B148" s="32"/>
      <c r="C148" s="32"/>
      <c r="D148" s="32"/>
      <c r="E148" s="32"/>
      <c r="F148" s="32"/>
    </row>
    <row r="149" customFormat="false" ht="15" hidden="false" customHeight="false" outlineLevel="0" collapsed="false">
      <c r="A149" s="35"/>
      <c r="B149" s="32"/>
      <c r="C149" s="32"/>
      <c r="D149" s="32"/>
      <c r="E149" s="32"/>
      <c r="F149" s="32"/>
    </row>
    <row r="150" customFormat="false" ht="15" hidden="false" customHeight="false" outlineLevel="0" collapsed="false">
      <c r="A150" s="35"/>
      <c r="B150" s="32"/>
      <c r="C150" s="32"/>
      <c r="D150" s="32"/>
      <c r="E150" s="32"/>
      <c r="F150" s="32"/>
    </row>
    <row r="151" customFormat="false" ht="15" hidden="false" customHeight="false" outlineLevel="0" collapsed="false">
      <c r="A151" s="35"/>
      <c r="B151" s="32"/>
      <c r="C151" s="32"/>
      <c r="D151" s="32"/>
      <c r="E151" s="32"/>
      <c r="F151" s="32"/>
    </row>
    <row r="152" customFormat="false" ht="15" hidden="false" customHeight="false" outlineLevel="0" collapsed="false">
      <c r="A152" s="35"/>
      <c r="B152" s="32"/>
      <c r="C152" s="32"/>
      <c r="D152" s="32"/>
      <c r="E152" s="32"/>
      <c r="F152" s="32"/>
    </row>
    <row r="153" customFormat="false" ht="15" hidden="false" customHeight="false" outlineLevel="0" collapsed="false">
      <c r="A153" s="35"/>
      <c r="B153" s="32"/>
      <c r="C153" s="32"/>
      <c r="D153" s="32"/>
      <c r="E153" s="32"/>
      <c r="F153" s="32"/>
    </row>
    <row r="154" customFormat="false" ht="15" hidden="false" customHeight="false" outlineLevel="0" collapsed="false">
      <c r="A154" s="35"/>
      <c r="B154" s="32"/>
      <c r="C154" s="32"/>
      <c r="D154" s="32"/>
      <c r="E154" s="32"/>
      <c r="F154" s="32"/>
    </row>
    <row r="155" customFormat="false" ht="15" hidden="false" customHeight="false" outlineLevel="0" collapsed="false">
      <c r="A155" s="35"/>
      <c r="B155" s="32"/>
      <c r="C155" s="32"/>
      <c r="D155" s="32"/>
      <c r="E155" s="32"/>
      <c r="F155" s="32"/>
    </row>
    <row r="156" customFormat="false" ht="15" hidden="false" customHeight="false" outlineLevel="0" collapsed="false">
      <c r="A156" s="35"/>
      <c r="B156" s="32"/>
      <c r="C156" s="32"/>
      <c r="D156" s="32"/>
      <c r="E156" s="32"/>
      <c r="F156" s="32"/>
    </row>
    <row r="157" customFormat="false" ht="15" hidden="false" customHeight="false" outlineLevel="0" collapsed="false">
      <c r="A157" s="35"/>
      <c r="B157" s="32"/>
      <c r="C157" s="32"/>
      <c r="D157" s="32"/>
      <c r="E157" s="32"/>
      <c r="F157" s="32"/>
    </row>
    <row r="158" customFormat="false" ht="15" hidden="false" customHeight="false" outlineLevel="0" collapsed="false">
      <c r="A158" s="35"/>
      <c r="B158" s="32"/>
      <c r="C158" s="32"/>
      <c r="D158" s="32"/>
      <c r="E158" s="32"/>
      <c r="F158" s="32"/>
    </row>
    <row r="159" customFormat="false" ht="15" hidden="false" customHeight="false" outlineLevel="0" collapsed="false">
      <c r="A159" s="35"/>
      <c r="B159" s="32"/>
      <c r="C159" s="32"/>
      <c r="D159" s="32"/>
      <c r="E159" s="32"/>
      <c r="F159" s="32"/>
    </row>
    <row r="160" customFormat="false" ht="15" hidden="false" customHeight="false" outlineLevel="0" collapsed="false">
      <c r="A160" s="35"/>
      <c r="B160" s="32"/>
      <c r="C160" s="32"/>
      <c r="D160" s="32"/>
      <c r="E160" s="32"/>
      <c r="F160" s="32"/>
    </row>
    <row r="161" customFormat="false" ht="15" hidden="false" customHeight="false" outlineLevel="0" collapsed="false">
      <c r="A161" s="35"/>
      <c r="B161" s="32"/>
      <c r="C161" s="32"/>
      <c r="D161" s="32"/>
      <c r="E161" s="32"/>
      <c r="F161" s="32"/>
    </row>
    <row r="162" customFormat="false" ht="15" hidden="false" customHeight="false" outlineLevel="0" collapsed="false">
      <c r="A162" s="35"/>
      <c r="B162" s="32"/>
      <c r="C162" s="32"/>
      <c r="D162" s="32"/>
      <c r="E162" s="32"/>
      <c r="F162" s="32"/>
    </row>
    <row r="163" customFormat="false" ht="15" hidden="false" customHeight="false" outlineLevel="0" collapsed="false">
      <c r="A163" s="35"/>
      <c r="B163" s="32"/>
      <c r="C163" s="32"/>
      <c r="D163" s="32"/>
      <c r="E163" s="32"/>
      <c r="F163" s="32"/>
    </row>
    <row r="164" customFormat="false" ht="15" hidden="false" customHeight="false" outlineLevel="0" collapsed="false">
      <c r="A164" s="35"/>
      <c r="B164" s="32"/>
      <c r="C164" s="32"/>
      <c r="D164" s="32"/>
      <c r="E164" s="32"/>
      <c r="F164" s="32"/>
    </row>
    <row r="165" customFormat="false" ht="15" hidden="false" customHeight="false" outlineLevel="0" collapsed="false">
      <c r="A165" s="35"/>
      <c r="B165" s="32"/>
      <c r="C165" s="32"/>
      <c r="D165" s="32"/>
      <c r="E165" s="32"/>
      <c r="F165" s="32"/>
    </row>
    <row r="166" customFormat="false" ht="15" hidden="false" customHeight="false" outlineLevel="0" collapsed="false">
      <c r="A166" s="35"/>
      <c r="B166" s="32"/>
      <c r="C166" s="32"/>
      <c r="D166" s="32"/>
      <c r="E166" s="32"/>
      <c r="F166" s="32"/>
    </row>
    <row r="167" customFormat="false" ht="15" hidden="false" customHeight="false" outlineLevel="0" collapsed="false">
      <c r="A167" s="35"/>
      <c r="B167" s="32"/>
      <c r="C167" s="32"/>
      <c r="D167" s="32"/>
      <c r="E167" s="32"/>
      <c r="F167" s="32"/>
    </row>
    <row r="168" customFormat="false" ht="15" hidden="false" customHeight="false" outlineLevel="0" collapsed="false">
      <c r="A168" s="35"/>
      <c r="B168" s="32"/>
      <c r="C168" s="32"/>
      <c r="D168" s="32"/>
      <c r="E168" s="32"/>
      <c r="F168" s="32"/>
    </row>
    <row r="169" customFormat="false" ht="15" hidden="false" customHeight="false" outlineLevel="0" collapsed="false">
      <c r="A169" s="35"/>
      <c r="B169" s="32"/>
      <c r="C169" s="32"/>
      <c r="D169" s="32"/>
      <c r="E169" s="32"/>
      <c r="F169" s="32"/>
    </row>
    <row r="170" customFormat="false" ht="15" hidden="false" customHeight="false" outlineLevel="0" collapsed="false">
      <c r="A170" s="35"/>
      <c r="B170" s="32"/>
      <c r="C170" s="32"/>
      <c r="D170" s="32"/>
      <c r="E170" s="32"/>
      <c r="F170" s="32"/>
    </row>
    <row r="171" customFormat="false" ht="15" hidden="false" customHeight="false" outlineLevel="0" collapsed="false">
      <c r="A171" s="35"/>
      <c r="B171" s="32"/>
      <c r="C171" s="32"/>
      <c r="D171" s="32"/>
      <c r="E171" s="32"/>
      <c r="F171" s="32"/>
    </row>
    <row r="172" customFormat="false" ht="15" hidden="false" customHeight="false" outlineLevel="0" collapsed="false">
      <c r="A172" s="35"/>
      <c r="B172" s="32"/>
      <c r="C172" s="32"/>
      <c r="D172" s="32"/>
      <c r="E172" s="32"/>
      <c r="F172" s="32"/>
    </row>
    <row r="173" customFormat="false" ht="15" hidden="false" customHeight="false" outlineLevel="0" collapsed="false">
      <c r="A173" s="35"/>
      <c r="B173" s="32"/>
      <c r="C173" s="32"/>
      <c r="D173" s="32"/>
      <c r="E173" s="32"/>
      <c r="F173" s="32"/>
    </row>
    <row r="174" customFormat="false" ht="15" hidden="false" customHeight="false" outlineLevel="0" collapsed="false">
      <c r="A174" s="35"/>
      <c r="B174" s="32"/>
      <c r="C174" s="32"/>
      <c r="D174" s="32"/>
      <c r="E174" s="32"/>
      <c r="F174" s="32"/>
    </row>
    <row r="175" customFormat="false" ht="15" hidden="false" customHeight="false" outlineLevel="0" collapsed="false">
      <c r="A175" s="35"/>
      <c r="B175" s="32"/>
      <c r="C175" s="32"/>
      <c r="D175" s="32"/>
      <c r="E175" s="32"/>
      <c r="F175" s="32"/>
    </row>
    <row r="176" customFormat="false" ht="15" hidden="false" customHeight="false" outlineLevel="0" collapsed="false">
      <c r="A176" s="35"/>
      <c r="B176" s="32"/>
      <c r="C176" s="32"/>
      <c r="D176" s="32"/>
      <c r="E176" s="32"/>
      <c r="F176" s="32"/>
    </row>
    <row r="177" customFormat="false" ht="15" hidden="false" customHeight="false" outlineLevel="0" collapsed="false">
      <c r="A177" s="35"/>
      <c r="B177" s="32"/>
      <c r="C177" s="32"/>
      <c r="D177" s="32"/>
      <c r="E177" s="32"/>
      <c r="F177" s="32"/>
    </row>
    <row r="178" customFormat="false" ht="15" hidden="false" customHeight="false" outlineLevel="0" collapsed="false">
      <c r="A178" s="35"/>
      <c r="B178" s="32"/>
      <c r="C178" s="32"/>
      <c r="D178" s="32"/>
      <c r="E178" s="32"/>
      <c r="F178" s="32"/>
    </row>
    <row r="179" customFormat="false" ht="15" hidden="false" customHeight="false" outlineLevel="0" collapsed="false">
      <c r="A179" s="35"/>
      <c r="B179" s="32"/>
      <c r="C179" s="32"/>
      <c r="D179" s="32"/>
      <c r="E179" s="32"/>
      <c r="F179" s="32"/>
    </row>
    <row r="180" customFormat="false" ht="15" hidden="false" customHeight="false" outlineLevel="0" collapsed="false">
      <c r="A180" s="35"/>
      <c r="B180" s="32"/>
      <c r="C180" s="32"/>
      <c r="D180" s="32"/>
      <c r="E180" s="32"/>
      <c r="F180" s="32"/>
    </row>
    <row r="181" customFormat="false" ht="15" hidden="false" customHeight="false" outlineLevel="0" collapsed="false">
      <c r="A181" s="35"/>
      <c r="B181" s="32"/>
      <c r="C181" s="32"/>
      <c r="D181" s="32"/>
      <c r="E181" s="32"/>
      <c r="F181" s="32"/>
    </row>
    <row r="182" customFormat="false" ht="15" hidden="false" customHeight="false" outlineLevel="0" collapsed="false">
      <c r="A182" s="35"/>
      <c r="B182" s="32"/>
      <c r="C182" s="32"/>
      <c r="D182" s="32"/>
      <c r="E182" s="32"/>
      <c r="F182" s="32"/>
    </row>
    <row r="183" customFormat="false" ht="15" hidden="false" customHeight="false" outlineLevel="0" collapsed="false">
      <c r="A183" s="35"/>
      <c r="B183" s="32"/>
      <c r="C183" s="32"/>
      <c r="D183" s="32"/>
      <c r="E183" s="32"/>
      <c r="F183" s="32"/>
    </row>
    <row r="184" customFormat="false" ht="15" hidden="false" customHeight="false" outlineLevel="0" collapsed="false">
      <c r="A184" s="35"/>
      <c r="B184" s="32"/>
      <c r="C184" s="32"/>
      <c r="D184" s="32"/>
      <c r="E184" s="32"/>
      <c r="F184" s="32"/>
    </row>
    <row r="185" customFormat="false" ht="15" hidden="false" customHeight="false" outlineLevel="0" collapsed="false">
      <c r="A185" s="35"/>
      <c r="B185" s="32"/>
      <c r="C185" s="32"/>
      <c r="D185" s="32"/>
      <c r="E185" s="32"/>
      <c r="F185" s="32"/>
    </row>
    <row r="186" customFormat="false" ht="15" hidden="false" customHeight="false" outlineLevel="0" collapsed="false">
      <c r="A186" s="35"/>
      <c r="B186" s="32"/>
      <c r="C186" s="32"/>
      <c r="D186" s="32"/>
      <c r="E186" s="32"/>
      <c r="F186" s="32"/>
    </row>
    <row r="187" customFormat="false" ht="15" hidden="false" customHeight="false" outlineLevel="0" collapsed="false">
      <c r="A187" s="35"/>
      <c r="B187" s="32"/>
      <c r="C187" s="32"/>
      <c r="D187" s="32"/>
      <c r="E187" s="32"/>
      <c r="F187" s="32"/>
    </row>
    <row r="188" customFormat="false" ht="15" hidden="false" customHeight="false" outlineLevel="0" collapsed="false">
      <c r="A188" s="35"/>
      <c r="B188" s="32"/>
      <c r="C188" s="32"/>
      <c r="D188" s="32"/>
      <c r="E188" s="32"/>
      <c r="F188" s="32"/>
    </row>
    <row r="189" customFormat="false" ht="15" hidden="false" customHeight="false" outlineLevel="0" collapsed="false">
      <c r="A189" s="35"/>
      <c r="B189" s="32"/>
      <c r="C189" s="32"/>
      <c r="D189" s="32"/>
      <c r="E189" s="32"/>
      <c r="F189" s="32"/>
    </row>
    <row r="190" customFormat="false" ht="15" hidden="false" customHeight="false" outlineLevel="0" collapsed="false">
      <c r="A190" s="35"/>
      <c r="B190" s="32"/>
      <c r="C190" s="32"/>
      <c r="D190" s="32"/>
      <c r="E190" s="32"/>
      <c r="F190" s="32"/>
    </row>
    <row r="191" customFormat="false" ht="15" hidden="false" customHeight="false" outlineLevel="0" collapsed="false">
      <c r="A191" s="35"/>
      <c r="B191" s="32"/>
      <c r="C191" s="32"/>
      <c r="D191" s="32"/>
      <c r="E191" s="32"/>
      <c r="F191" s="32"/>
    </row>
    <row r="192" customFormat="false" ht="15" hidden="false" customHeight="false" outlineLevel="0" collapsed="false">
      <c r="A192" s="35"/>
      <c r="B192" s="32"/>
      <c r="C192" s="32"/>
      <c r="D192" s="32"/>
      <c r="E192" s="32"/>
      <c r="F192" s="32"/>
    </row>
    <row r="193" customFormat="false" ht="15" hidden="false" customHeight="false" outlineLevel="0" collapsed="false">
      <c r="A193" s="35"/>
      <c r="B193" s="32"/>
      <c r="C193" s="32"/>
      <c r="D193" s="32"/>
      <c r="E193" s="32"/>
      <c r="F193" s="32"/>
    </row>
    <row r="194" customFormat="false" ht="15" hidden="false" customHeight="false" outlineLevel="0" collapsed="false">
      <c r="A194" s="35"/>
      <c r="B194" s="32"/>
      <c r="C194" s="32"/>
      <c r="D194" s="32"/>
      <c r="E194" s="32"/>
      <c r="F194" s="32"/>
    </row>
    <row r="195" customFormat="false" ht="15" hidden="false" customHeight="false" outlineLevel="0" collapsed="false">
      <c r="A195" s="35"/>
      <c r="B195" s="32"/>
      <c r="C195" s="32"/>
      <c r="D195" s="32"/>
      <c r="E195" s="32"/>
      <c r="F195" s="32"/>
    </row>
    <row r="196" customFormat="false" ht="15" hidden="false" customHeight="false" outlineLevel="0" collapsed="false">
      <c r="A196" s="35"/>
      <c r="B196" s="32"/>
      <c r="C196" s="32"/>
      <c r="D196" s="32"/>
      <c r="E196" s="32"/>
      <c r="F196" s="32"/>
    </row>
    <row r="197" customFormat="false" ht="15" hidden="false" customHeight="false" outlineLevel="0" collapsed="false">
      <c r="A197" s="35"/>
      <c r="B197" s="32"/>
      <c r="C197" s="32"/>
      <c r="D197" s="32"/>
      <c r="E197" s="32"/>
      <c r="F197" s="32"/>
    </row>
    <row r="198" customFormat="false" ht="15" hidden="false" customHeight="false" outlineLevel="0" collapsed="false">
      <c r="A198" s="35"/>
      <c r="B198" s="32"/>
      <c r="C198" s="32"/>
      <c r="D198" s="32"/>
      <c r="E198" s="32"/>
      <c r="F198" s="32"/>
    </row>
    <row r="199" customFormat="false" ht="15" hidden="false" customHeight="false" outlineLevel="0" collapsed="false">
      <c r="A199" s="35"/>
      <c r="B199" s="32"/>
      <c r="C199" s="32"/>
      <c r="D199" s="32"/>
      <c r="E199" s="32"/>
      <c r="F199" s="32"/>
    </row>
    <row r="200" customFormat="false" ht="15" hidden="false" customHeight="false" outlineLevel="0" collapsed="false">
      <c r="A200" s="35"/>
      <c r="B200" s="32"/>
      <c r="C200" s="32"/>
      <c r="D200" s="32"/>
      <c r="E200" s="32"/>
      <c r="F200" s="32"/>
    </row>
    <row r="201" customFormat="false" ht="15" hidden="false" customHeight="false" outlineLevel="0" collapsed="false">
      <c r="A201" s="35"/>
      <c r="B201" s="32"/>
      <c r="C201" s="32"/>
      <c r="D201" s="32"/>
      <c r="E201" s="32"/>
      <c r="F201" s="32"/>
    </row>
    <row r="202" customFormat="false" ht="15" hidden="false" customHeight="false" outlineLevel="0" collapsed="false">
      <c r="A202" s="35"/>
      <c r="B202" s="32"/>
      <c r="C202" s="32"/>
      <c r="D202" s="32"/>
      <c r="E202" s="32"/>
      <c r="F202" s="32"/>
    </row>
    <row r="203" customFormat="false" ht="15" hidden="false" customHeight="false" outlineLevel="0" collapsed="false">
      <c r="A203" s="35"/>
      <c r="B203" s="32"/>
      <c r="C203" s="32"/>
      <c r="D203" s="32"/>
      <c r="E203" s="32"/>
      <c r="F203" s="32"/>
    </row>
    <row r="204" customFormat="false" ht="15" hidden="false" customHeight="false" outlineLevel="0" collapsed="false">
      <c r="A204" s="35"/>
      <c r="B204" s="32"/>
      <c r="C204" s="32"/>
      <c r="D204" s="32"/>
      <c r="E204" s="32"/>
      <c r="F204" s="32"/>
    </row>
    <row r="205" customFormat="false" ht="15" hidden="false" customHeight="false" outlineLevel="0" collapsed="false">
      <c r="A205" s="35"/>
      <c r="B205" s="32"/>
      <c r="C205" s="32"/>
      <c r="D205" s="32"/>
      <c r="E205" s="32"/>
      <c r="F205" s="32"/>
    </row>
    <row r="206" customFormat="false" ht="15" hidden="false" customHeight="false" outlineLevel="0" collapsed="false">
      <c r="A206" s="35"/>
      <c r="B206" s="32"/>
      <c r="C206" s="32"/>
      <c r="D206" s="32"/>
      <c r="E206" s="32"/>
      <c r="F206" s="32"/>
    </row>
    <row r="207" customFormat="false" ht="15" hidden="false" customHeight="false" outlineLevel="0" collapsed="false">
      <c r="A207" s="35"/>
      <c r="B207" s="32"/>
      <c r="C207" s="32"/>
      <c r="D207" s="32"/>
      <c r="E207" s="32"/>
      <c r="F207" s="32"/>
    </row>
    <row r="208" customFormat="false" ht="15" hidden="false" customHeight="false" outlineLevel="0" collapsed="false">
      <c r="A208" s="35"/>
      <c r="B208" s="32"/>
      <c r="C208" s="32"/>
      <c r="D208" s="32"/>
      <c r="E208" s="32"/>
      <c r="F208" s="32"/>
    </row>
    <row r="209" customFormat="false" ht="15" hidden="false" customHeight="false" outlineLevel="0" collapsed="false">
      <c r="A209" s="35"/>
      <c r="B209" s="32"/>
      <c r="C209" s="32"/>
      <c r="D209" s="32"/>
      <c r="E209" s="32"/>
      <c r="F209" s="32"/>
    </row>
    <row r="210" customFormat="false" ht="15" hidden="false" customHeight="false" outlineLevel="0" collapsed="false">
      <c r="A210" s="35"/>
      <c r="B210" s="32"/>
      <c r="C210" s="32"/>
      <c r="D210" s="32"/>
      <c r="E210" s="32"/>
      <c r="F210" s="32"/>
    </row>
    <row r="211" customFormat="false" ht="15" hidden="false" customHeight="false" outlineLevel="0" collapsed="false">
      <c r="A211" s="35"/>
      <c r="B211" s="32"/>
      <c r="C211" s="32"/>
      <c r="D211" s="32"/>
      <c r="E211" s="32"/>
      <c r="F211" s="32"/>
    </row>
    <row r="212" customFormat="false" ht="15" hidden="false" customHeight="false" outlineLevel="0" collapsed="false">
      <c r="A212" s="35"/>
      <c r="B212" s="32"/>
      <c r="C212" s="32"/>
      <c r="D212" s="32"/>
      <c r="E212" s="32"/>
      <c r="F212" s="32"/>
    </row>
    <row r="213" customFormat="false" ht="15" hidden="false" customHeight="false" outlineLevel="0" collapsed="false">
      <c r="A213" s="35"/>
      <c r="B213" s="32"/>
      <c r="C213" s="32"/>
      <c r="D213" s="32"/>
      <c r="E213" s="32"/>
      <c r="F213" s="32"/>
    </row>
    <row r="214" customFormat="false" ht="15" hidden="false" customHeight="false" outlineLevel="0" collapsed="false">
      <c r="A214" s="35"/>
      <c r="B214" s="32"/>
      <c r="C214" s="32"/>
      <c r="D214" s="32"/>
      <c r="E214" s="32"/>
      <c r="F214" s="32"/>
    </row>
    <row r="215" customFormat="false" ht="15" hidden="false" customHeight="false" outlineLevel="0" collapsed="false">
      <c r="A215" s="35"/>
      <c r="B215" s="32"/>
      <c r="C215" s="32"/>
      <c r="D215" s="32"/>
      <c r="E215" s="32"/>
      <c r="F215" s="32"/>
    </row>
    <row r="216" customFormat="false" ht="15" hidden="false" customHeight="false" outlineLevel="0" collapsed="false">
      <c r="A216" s="35"/>
      <c r="B216" s="32"/>
      <c r="C216" s="32"/>
      <c r="D216" s="32"/>
      <c r="E216" s="32"/>
      <c r="F216" s="32"/>
    </row>
    <row r="217" customFormat="false" ht="15" hidden="false" customHeight="false" outlineLevel="0" collapsed="false">
      <c r="A217" s="35"/>
      <c r="B217" s="32"/>
      <c r="C217" s="32"/>
      <c r="D217" s="32"/>
      <c r="E217" s="32"/>
      <c r="F217" s="32"/>
    </row>
    <row r="218" customFormat="false" ht="15" hidden="false" customHeight="false" outlineLevel="0" collapsed="false">
      <c r="A218" s="35"/>
      <c r="B218" s="32"/>
      <c r="C218" s="32"/>
      <c r="D218" s="32"/>
      <c r="E218" s="32"/>
      <c r="F218" s="32"/>
    </row>
    <row r="219" customFormat="false" ht="15" hidden="false" customHeight="false" outlineLevel="0" collapsed="false">
      <c r="A219" s="35"/>
      <c r="B219" s="32"/>
      <c r="C219" s="32"/>
      <c r="D219" s="32"/>
      <c r="E219" s="32"/>
      <c r="F219" s="32"/>
    </row>
    <row r="220" customFormat="false" ht="15" hidden="false" customHeight="false" outlineLevel="0" collapsed="false">
      <c r="A220" s="35"/>
      <c r="B220" s="32"/>
      <c r="C220" s="32"/>
      <c r="D220" s="32"/>
      <c r="E220" s="32"/>
      <c r="F220" s="32"/>
    </row>
    <row r="221" customFormat="false" ht="15" hidden="false" customHeight="false" outlineLevel="0" collapsed="false">
      <c r="A221" s="35"/>
      <c r="B221" s="32"/>
      <c r="C221" s="32"/>
      <c r="D221" s="32"/>
      <c r="E221" s="32"/>
      <c r="F221" s="32"/>
    </row>
    <row r="222" customFormat="false" ht="15" hidden="false" customHeight="false" outlineLevel="0" collapsed="false">
      <c r="A222" s="35"/>
      <c r="B222" s="32"/>
      <c r="C222" s="32"/>
      <c r="D222" s="32"/>
      <c r="E222" s="32"/>
      <c r="F222" s="32"/>
    </row>
    <row r="223" customFormat="false" ht="15" hidden="false" customHeight="false" outlineLevel="0" collapsed="false">
      <c r="A223" s="35"/>
      <c r="B223" s="32"/>
      <c r="C223" s="32"/>
      <c r="D223" s="32"/>
      <c r="E223" s="32"/>
      <c r="F223" s="32"/>
    </row>
    <row r="224" customFormat="false" ht="15" hidden="false" customHeight="false" outlineLevel="0" collapsed="false">
      <c r="A224" s="35"/>
      <c r="B224" s="32"/>
      <c r="C224" s="32"/>
      <c r="D224" s="32"/>
      <c r="E224" s="32"/>
      <c r="F224" s="32"/>
    </row>
    <row r="225" customFormat="false" ht="15" hidden="false" customHeight="false" outlineLevel="0" collapsed="false">
      <c r="A225" s="35"/>
      <c r="B225" s="32"/>
      <c r="C225" s="32"/>
      <c r="D225" s="32"/>
      <c r="E225" s="32"/>
      <c r="F225" s="32"/>
    </row>
    <row r="226" customFormat="false" ht="15" hidden="false" customHeight="false" outlineLevel="0" collapsed="false">
      <c r="A226" s="35"/>
      <c r="B226" s="32"/>
      <c r="C226" s="32"/>
      <c r="D226" s="32"/>
      <c r="E226" s="32"/>
      <c r="F226" s="32"/>
    </row>
    <row r="227" customFormat="false" ht="15" hidden="false" customHeight="false" outlineLevel="0" collapsed="false">
      <c r="A227" s="35"/>
      <c r="B227" s="32"/>
      <c r="C227" s="32"/>
      <c r="D227" s="32"/>
      <c r="E227" s="32"/>
      <c r="F227" s="32"/>
    </row>
    <row r="228" customFormat="false" ht="15" hidden="false" customHeight="false" outlineLevel="0" collapsed="false">
      <c r="A228" s="35"/>
      <c r="B228" s="32"/>
      <c r="C228" s="32"/>
      <c r="D228" s="32"/>
      <c r="E228" s="32"/>
      <c r="F228" s="32"/>
    </row>
    <row r="229" customFormat="false" ht="15" hidden="false" customHeight="false" outlineLevel="0" collapsed="false">
      <c r="A229" s="35"/>
      <c r="B229" s="32"/>
      <c r="C229" s="32"/>
      <c r="D229" s="32"/>
      <c r="E229" s="32"/>
      <c r="F229" s="32"/>
    </row>
    <row r="230" customFormat="false" ht="15" hidden="false" customHeight="false" outlineLevel="0" collapsed="false">
      <c r="A230" s="35"/>
      <c r="B230" s="32"/>
      <c r="C230" s="32"/>
      <c r="D230" s="32"/>
      <c r="E230" s="32"/>
      <c r="F230" s="32"/>
    </row>
    <row r="231" customFormat="false" ht="15" hidden="false" customHeight="false" outlineLevel="0" collapsed="false">
      <c r="A231" s="35"/>
      <c r="B231" s="32"/>
      <c r="C231" s="32"/>
      <c r="D231" s="32"/>
      <c r="E231" s="32"/>
      <c r="F231" s="32"/>
    </row>
    <row r="232" customFormat="false" ht="15" hidden="false" customHeight="false" outlineLevel="0" collapsed="false">
      <c r="A232" s="35"/>
      <c r="B232" s="32"/>
      <c r="C232" s="32"/>
      <c r="D232" s="32"/>
      <c r="E232" s="32"/>
      <c r="F232" s="32"/>
    </row>
    <row r="233" customFormat="false" ht="15" hidden="false" customHeight="false" outlineLevel="0" collapsed="false">
      <c r="A233" s="35"/>
      <c r="B233" s="32"/>
      <c r="C233" s="32"/>
      <c r="D233" s="32"/>
      <c r="E233" s="32"/>
      <c r="F233" s="32"/>
    </row>
    <row r="234" customFormat="false" ht="15" hidden="false" customHeight="false" outlineLevel="0" collapsed="false">
      <c r="A234" s="35"/>
      <c r="B234" s="32"/>
      <c r="C234" s="32"/>
      <c r="D234" s="32"/>
      <c r="E234" s="32"/>
      <c r="F234" s="32"/>
    </row>
    <row r="235" customFormat="false" ht="15" hidden="false" customHeight="false" outlineLevel="0" collapsed="false">
      <c r="A235" s="35"/>
      <c r="B235" s="32"/>
      <c r="C235" s="32"/>
      <c r="D235" s="32"/>
      <c r="E235" s="32"/>
      <c r="F235" s="32"/>
    </row>
    <row r="236" customFormat="false" ht="15" hidden="false" customHeight="false" outlineLevel="0" collapsed="false">
      <c r="A236" s="35"/>
      <c r="B236" s="32"/>
      <c r="C236" s="32"/>
      <c r="D236" s="32"/>
      <c r="E236" s="32"/>
      <c r="F236" s="32"/>
    </row>
    <row r="237" customFormat="false" ht="15" hidden="false" customHeight="false" outlineLevel="0" collapsed="false">
      <c r="A237" s="35"/>
      <c r="B237" s="32"/>
      <c r="C237" s="32"/>
      <c r="D237" s="32"/>
      <c r="E237" s="32"/>
      <c r="F237" s="32"/>
    </row>
    <row r="238" customFormat="false" ht="15" hidden="false" customHeight="false" outlineLevel="0" collapsed="false">
      <c r="A238" s="35"/>
      <c r="B238" s="32"/>
      <c r="C238" s="32"/>
      <c r="D238" s="32"/>
      <c r="E238" s="32"/>
      <c r="F238" s="32"/>
    </row>
    <row r="239" customFormat="false" ht="15" hidden="false" customHeight="false" outlineLevel="0" collapsed="false">
      <c r="A239" s="35"/>
      <c r="B239" s="32"/>
      <c r="C239" s="32"/>
      <c r="D239" s="32"/>
      <c r="E239" s="32"/>
      <c r="F239" s="32"/>
    </row>
    <row r="240" customFormat="false" ht="15" hidden="false" customHeight="false" outlineLevel="0" collapsed="false">
      <c r="A240" s="35"/>
      <c r="B240" s="32"/>
      <c r="C240" s="32"/>
      <c r="D240" s="32"/>
      <c r="E240" s="32"/>
      <c r="F240" s="32"/>
    </row>
    <row r="241" customFormat="false" ht="15" hidden="false" customHeight="false" outlineLevel="0" collapsed="false">
      <c r="A241" s="35"/>
      <c r="B241" s="32"/>
      <c r="C241" s="32"/>
      <c r="D241" s="32"/>
      <c r="E241" s="32"/>
      <c r="F241" s="32"/>
    </row>
    <row r="242" customFormat="false" ht="15" hidden="false" customHeight="false" outlineLevel="0" collapsed="false">
      <c r="A242" s="35"/>
      <c r="B242" s="32"/>
      <c r="C242" s="32"/>
      <c r="D242" s="32"/>
      <c r="E242" s="32"/>
      <c r="F242" s="32"/>
    </row>
    <row r="243" customFormat="false" ht="15" hidden="false" customHeight="false" outlineLevel="0" collapsed="false">
      <c r="A243" s="35"/>
      <c r="B243" s="32"/>
      <c r="C243" s="32"/>
      <c r="D243" s="32"/>
      <c r="E243" s="32"/>
      <c r="F243" s="32"/>
    </row>
    <row r="244" customFormat="false" ht="15" hidden="false" customHeight="false" outlineLevel="0" collapsed="false">
      <c r="A244" s="35"/>
      <c r="B244" s="32"/>
      <c r="C244" s="32"/>
      <c r="D244" s="32"/>
      <c r="E244" s="32"/>
      <c r="F244" s="32"/>
    </row>
    <row r="245" customFormat="false" ht="15" hidden="false" customHeight="false" outlineLevel="0" collapsed="false">
      <c r="A245" s="35"/>
      <c r="B245" s="32"/>
      <c r="C245" s="32"/>
      <c r="D245" s="32"/>
      <c r="E245" s="32"/>
      <c r="F245" s="32"/>
    </row>
    <row r="246" customFormat="false" ht="15" hidden="false" customHeight="false" outlineLevel="0" collapsed="false">
      <c r="A246" s="35"/>
      <c r="B246" s="32"/>
      <c r="C246" s="32"/>
      <c r="D246" s="32"/>
      <c r="E246" s="32"/>
      <c r="F246" s="32"/>
    </row>
    <row r="247" customFormat="false" ht="15" hidden="false" customHeight="false" outlineLevel="0" collapsed="false">
      <c r="A247" s="35"/>
      <c r="B247" s="32"/>
      <c r="C247" s="32"/>
      <c r="D247" s="32"/>
      <c r="E247" s="32"/>
      <c r="F247" s="32"/>
    </row>
    <row r="248" customFormat="false" ht="15" hidden="false" customHeight="false" outlineLevel="0" collapsed="false">
      <c r="A248" s="35"/>
      <c r="B248" s="32"/>
      <c r="C248" s="32"/>
      <c r="D248" s="32"/>
      <c r="E248" s="32"/>
      <c r="F248" s="32"/>
    </row>
    <row r="249" customFormat="false" ht="15" hidden="false" customHeight="false" outlineLevel="0" collapsed="false">
      <c r="A249" s="35"/>
      <c r="B249" s="32"/>
      <c r="C249" s="32"/>
      <c r="D249" s="32"/>
      <c r="E249" s="32"/>
      <c r="F249" s="32"/>
    </row>
    <row r="250" customFormat="false" ht="15" hidden="false" customHeight="false" outlineLevel="0" collapsed="false">
      <c r="A250" s="35"/>
      <c r="B250" s="32"/>
      <c r="C250" s="32"/>
      <c r="D250" s="32"/>
      <c r="E250" s="32"/>
      <c r="F250" s="32"/>
    </row>
    <row r="251" customFormat="false" ht="15" hidden="false" customHeight="false" outlineLevel="0" collapsed="false">
      <c r="A251" s="35"/>
      <c r="B251" s="32"/>
      <c r="C251" s="32"/>
      <c r="D251" s="32"/>
      <c r="E251" s="32"/>
      <c r="F251" s="32"/>
    </row>
    <row r="252" customFormat="false" ht="15" hidden="false" customHeight="false" outlineLevel="0" collapsed="false">
      <c r="A252" s="35"/>
      <c r="B252" s="32"/>
      <c r="C252" s="32"/>
      <c r="D252" s="32"/>
      <c r="E252" s="32"/>
      <c r="F252" s="32"/>
    </row>
    <row r="253" customFormat="false" ht="15" hidden="false" customHeight="false" outlineLevel="0" collapsed="false">
      <c r="A253" s="35"/>
      <c r="B253" s="32"/>
      <c r="C253" s="32"/>
      <c r="D253" s="32"/>
      <c r="E253" s="32"/>
      <c r="F253" s="32"/>
    </row>
    <row r="254" customFormat="false" ht="15" hidden="false" customHeight="false" outlineLevel="0" collapsed="false">
      <c r="A254" s="35"/>
      <c r="B254" s="32"/>
      <c r="C254" s="32"/>
      <c r="D254" s="32"/>
      <c r="E254" s="32"/>
      <c r="F254" s="32"/>
    </row>
    <row r="255" customFormat="false" ht="15" hidden="false" customHeight="false" outlineLevel="0" collapsed="false">
      <c r="A255" s="35"/>
      <c r="B255" s="32"/>
      <c r="C255" s="32"/>
      <c r="D255" s="32"/>
      <c r="E255" s="32"/>
      <c r="F255" s="32"/>
    </row>
    <row r="256" customFormat="false" ht="15" hidden="false" customHeight="false" outlineLevel="0" collapsed="false">
      <c r="A256" s="35"/>
      <c r="B256" s="32"/>
      <c r="C256" s="32"/>
      <c r="D256" s="32"/>
      <c r="E256" s="32"/>
      <c r="F256" s="32"/>
    </row>
    <row r="257" customFormat="false" ht="15" hidden="false" customHeight="false" outlineLevel="0" collapsed="false">
      <c r="A257" s="35"/>
      <c r="B257" s="32"/>
      <c r="C257" s="32"/>
      <c r="D257" s="32"/>
      <c r="E257" s="32"/>
      <c r="F257" s="32"/>
    </row>
    <row r="258" customFormat="false" ht="15" hidden="false" customHeight="false" outlineLevel="0" collapsed="false">
      <c r="A258" s="35"/>
      <c r="B258" s="32"/>
      <c r="C258" s="32"/>
      <c r="D258" s="32"/>
      <c r="E258" s="32"/>
      <c r="F258" s="32"/>
    </row>
    <row r="259" customFormat="false" ht="15" hidden="false" customHeight="false" outlineLevel="0" collapsed="false">
      <c r="A259" s="35"/>
      <c r="B259" s="32"/>
      <c r="C259" s="32"/>
      <c r="D259" s="32"/>
      <c r="E259" s="32"/>
      <c r="F259" s="32"/>
    </row>
    <row r="260" customFormat="false" ht="15" hidden="false" customHeight="false" outlineLevel="0" collapsed="false">
      <c r="A260" s="35"/>
      <c r="B260" s="32"/>
      <c r="C260" s="32"/>
      <c r="D260" s="32"/>
      <c r="E260" s="32"/>
      <c r="F260" s="32"/>
    </row>
    <row r="261" customFormat="false" ht="15" hidden="false" customHeight="false" outlineLevel="0" collapsed="false">
      <c r="A261" s="35"/>
      <c r="B261" s="32"/>
      <c r="C261" s="32"/>
      <c r="D261" s="32"/>
      <c r="E261" s="32"/>
      <c r="F261" s="32"/>
    </row>
    <row r="262" customFormat="false" ht="15" hidden="false" customHeight="false" outlineLevel="0" collapsed="false">
      <c r="A262" s="35"/>
      <c r="B262" s="32"/>
      <c r="C262" s="32"/>
      <c r="D262" s="32"/>
      <c r="E262" s="32"/>
      <c r="F262" s="32"/>
    </row>
    <row r="263" customFormat="false" ht="15" hidden="false" customHeight="false" outlineLevel="0" collapsed="false">
      <c r="A263" s="35"/>
      <c r="B263" s="32"/>
      <c r="C263" s="32"/>
      <c r="D263" s="32"/>
      <c r="E263" s="32"/>
      <c r="F263" s="32"/>
    </row>
    <row r="264" customFormat="false" ht="15" hidden="false" customHeight="false" outlineLevel="0" collapsed="false">
      <c r="A264" s="35"/>
      <c r="B264" s="32"/>
      <c r="C264" s="32"/>
      <c r="D264" s="32"/>
      <c r="E264" s="32"/>
      <c r="F264" s="32"/>
    </row>
    <row r="265" customFormat="false" ht="15" hidden="false" customHeight="false" outlineLevel="0" collapsed="false">
      <c r="A265" s="35"/>
      <c r="B265" s="32"/>
      <c r="C265" s="32"/>
      <c r="D265" s="32"/>
      <c r="E265" s="32"/>
      <c r="F265" s="32"/>
    </row>
    <row r="266" customFormat="false" ht="15" hidden="false" customHeight="false" outlineLevel="0" collapsed="false">
      <c r="A266" s="35"/>
      <c r="B266" s="32"/>
      <c r="C266" s="32"/>
      <c r="D266" s="32"/>
      <c r="E266" s="32"/>
      <c r="F266" s="32"/>
    </row>
    <row r="267" customFormat="false" ht="15" hidden="false" customHeight="false" outlineLevel="0" collapsed="false">
      <c r="A267" s="35"/>
      <c r="B267" s="32"/>
      <c r="C267" s="32"/>
      <c r="D267" s="32"/>
      <c r="E267" s="32"/>
      <c r="F267" s="32"/>
    </row>
    <row r="268" customFormat="false" ht="15" hidden="false" customHeight="false" outlineLevel="0" collapsed="false">
      <c r="A268" s="35"/>
      <c r="B268" s="32"/>
      <c r="C268" s="32"/>
      <c r="D268" s="32"/>
      <c r="E268" s="32"/>
      <c r="F268" s="32"/>
    </row>
    <row r="269" customFormat="false" ht="15" hidden="false" customHeight="false" outlineLevel="0" collapsed="false">
      <c r="A269" s="35"/>
      <c r="B269" s="32"/>
      <c r="C269" s="32"/>
      <c r="D269" s="32"/>
      <c r="E269" s="32"/>
      <c r="F269" s="32"/>
    </row>
    <row r="270" customFormat="false" ht="15" hidden="false" customHeight="false" outlineLevel="0" collapsed="false">
      <c r="A270" s="35"/>
      <c r="B270" s="32"/>
      <c r="C270" s="32"/>
      <c r="D270" s="32"/>
      <c r="E270" s="32"/>
      <c r="F270" s="32"/>
    </row>
    <row r="271" customFormat="false" ht="15" hidden="false" customHeight="false" outlineLevel="0" collapsed="false">
      <c r="A271" s="35"/>
      <c r="B271" s="32"/>
      <c r="C271" s="32"/>
      <c r="D271" s="32"/>
      <c r="E271" s="32"/>
      <c r="F271" s="32"/>
    </row>
    <row r="272" customFormat="false" ht="15" hidden="false" customHeight="false" outlineLevel="0" collapsed="false">
      <c r="A272" s="35"/>
      <c r="B272" s="32"/>
      <c r="C272" s="32"/>
      <c r="D272" s="32"/>
      <c r="E272" s="32"/>
      <c r="F272" s="32"/>
    </row>
    <row r="273" customFormat="false" ht="15" hidden="false" customHeight="false" outlineLevel="0" collapsed="false">
      <c r="A273" s="35"/>
      <c r="B273" s="32"/>
      <c r="C273" s="32"/>
      <c r="D273" s="32"/>
      <c r="E273" s="32"/>
      <c r="F273" s="32"/>
    </row>
    <row r="274" customFormat="false" ht="15" hidden="false" customHeight="false" outlineLevel="0" collapsed="false">
      <c r="A274" s="35"/>
      <c r="B274" s="32"/>
      <c r="C274" s="32"/>
      <c r="D274" s="32"/>
      <c r="E274" s="32"/>
      <c r="F274" s="32"/>
    </row>
    <row r="275" customFormat="false" ht="15" hidden="false" customHeight="false" outlineLevel="0" collapsed="false">
      <c r="A275" s="35"/>
      <c r="B275" s="32"/>
      <c r="C275" s="32"/>
      <c r="D275" s="32"/>
      <c r="E275" s="32"/>
      <c r="F275" s="32"/>
    </row>
    <row r="276" customFormat="false" ht="15" hidden="false" customHeight="false" outlineLevel="0" collapsed="false">
      <c r="A276" s="35"/>
      <c r="B276" s="32"/>
      <c r="C276" s="32"/>
      <c r="D276" s="32"/>
      <c r="E276" s="32"/>
      <c r="F276" s="32"/>
    </row>
    <row r="277" customFormat="false" ht="15" hidden="false" customHeight="false" outlineLevel="0" collapsed="false">
      <c r="A277" s="35"/>
      <c r="B277" s="32"/>
      <c r="C277" s="32"/>
      <c r="D277" s="32"/>
      <c r="E277" s="32"/>
      <c r="F277" s="32"/>
    </row>
    <row r="278" customFormat="false" ht="15" hidden="false" customHeight="false" outlineLevel="0" collapsed="false">
      <c r="A278" s="35"/>
      <c r="B278" s="32"/>
      <c r="C278" s="32"/>
      <c r="D278" s="32"/>
      <c r="E278" s="32"/>
      <c r="F278" s="32"/>
    </row>
    <row r="279" customFormat="false" ht="15" hidden="false" customHeight="false" outlineLevel="0" collapsed="false">
      <c r="A279" s="35"/>
      <c r="B279" s="32"/>
      <c r="C279" s="32"/>
      <c r="D279" s="32"/>
      <c r="E279" s="32"/>
      <c r="F279" s="32"/>
    </row>
    <row r="280" customFormat="false" ht="15" hidden="false" customHeight="false" outlineLevel="0" collapsed="false">
      <c r="A280" s="35"/>
      <c r="B280" s="32"/>
      <c r="C280" s="32"/>
      <c r="D280" s="32"/>
      <c r="E280" s="32"/>
      <c r="F280" s="32"/>
    </row>
    <row r="281" customFormat="false" ht="15" hidden="false" customHeight="false" outlineLevel="0" collapsed="false">
      <c r="A281" s="35"/>
      <c r="B281" s="32"/>
      <c r="C281" s="32"/>
      <c r="D281" s="32"/>
      <c r="E281" s="32"/>
      <c r="F281" s="32"/>
    </row>
    <row r="282" customFormat="false" ht="15" hidden="false" customHeight="false" outlineLevel="0" collapsed="false">
      <c r="A282" s="35"/>
      <c r="B282" s="32"/>
      <c r="C282" s="32"/>
      <c r="D282" s="32"/>
      <c r="E282" s="32"/>
      <c r="F282" s="32"/>
    </row>
    <row r="283" customFormat="false" ht="15" hidden="false" customHeight="false" outlineLevel="0" collapsed="false">
      <c r="A283" s="35"/>
      <c r="B283" s="32"/>
      <c r="C283" s="32"/>
      <c r="D283" s="32"/>
      <c r="E283" s="32"/>
      <c r="F283" s="32"/>
    </row>
    <row r="284" customFormat="false" ht="15" hidden="false" customHeight="false" outlineLevel="0" collapsed="false">
      <c r="A284" s="35"/>
      <c r="B284" s="32"/>
      <c r="C284" s="32"/>
      <c r="D284" s="32"/>
      <c r="E284" s="32"/>
      <c r="F284" s="32"/>
    </row>
    <row r="285" customFormat="false" ht="15" hidden="false" customHeight="false" outlineLevel="0" collapsed="false">
      <c r="A285" s="35"/>
      <c r="B285" s="32"/>
      <c r="C285" s="32"/>
      <c r="D285" s="32"/>
      <c r="E285" s="32"/>
      <c r="F285" s="32"/>
    </row>
    <row r="286" customFormat="false" ht="15" hidden="false" customHeight="false" outlineLevel="0" collapsed="false">
      <c r="A286" s="35"/>
      <c r="B286" s="32"/>
      <c r="C286" s="32"/>
      <c r="D286" s="32"/>
      <c r="E286" s="32"/>
      <c r="F286" s="32"/>
    </row>
    <row r="287" customFormat="false" ht="15" hidden="false" customHeight="false" outlineLevel="0" collapsed="false">
      <c r="A287" s="35"/>
      <c r="B287" s="32"/>
      <c r="C287" s="32"/>
      <c r="D287" s="32"/>
      <c r="E287" s="32"/>
      <c r="F287" s="32"/>
    </row>
    <row r="288" customFormat="false" ht="15" hidden="false" customHeight="false" outlineLevel="0" collapsed="false">
      <c r="A288" s="35"/>
      <c r="B288" s="32"/>
      <c r="C288" s="32"/>
      <c r="D288" s="32"/>
      <c r="E288" s="32"/>
      <c r="F288" s="32"/>
    </row>
    <row r="289" customFormat="false" ht="15" hidden="false" customHeight="false" outlineLevel="0" collapsed="false">
      <c r="A289" s="35"/>
      <c r="B289" s="32"/>
      <c r="C289" s="32"/>
      <c r="D289" s="32"/>
      <c r="E289" s="32"/>
      <c r="F289" s="32"/>
    </row>
    <row r="290" customFormat="false" ht="15" hidden="false" customHeight="false" outlineLevel="0" collapsed="false">
      <c r="A290" s="35"/>
      <c r="B290" s="32"/>
      <c r="C290" s="32"/>
      <c r="D290" s="32"/>
      <c r="E290" s="32"/>
      <c r="F290" s="32"/>
    </row>
    <row r="291" customFormat="false" ht="15" hidden="false" customHeight="false" outlineLevel="0" collapsed="false">
      <c r="A291" s="35"/>
      <c r="B291" s="32"/>
      <c r="C291" s="32"/>
      <c r="D291" s="32"/>
      <c r="E291" s="32"/>
      <c r="F291" s="32"/>
    </row>
    <row r="292" customFormat="false" ht="15" hidden="false" customHeight="false" outlineLevel="0" collapsed="false">
      <c r="A292" s="35"/>
      <c r="B292" s="32"/>
      <c r="C292" s="32"/>
      <c r="D292" s="32"/>
      <c r="E292" s="32"/>
      <c r="F292" s="32"/>
    </row>
    <row r="293" customFormat="false" ht="15" hidden="false" customHeight="false" outlineLevel="0" collapsed="false">
      <c r="A293" s="35"/>
      <c r="B293" s="32"/>
      <c r="C293" s="32"/>
      <c r="D293" s="32"/>
      <c r="E293" s="32"/>
      <c r="F293" s="32"/>
    </row>
    <row r="294" customFormat="false" ht="15" hidden="false" customHeight="false" outlineLevel="0" collapsed="false">
      <c r="A294" s="35"/>
      <c r="B294" s="32"/>
      <c r="C294" s="32"/>
      <c r="D294" s="32"/>
      <c r="E294" s="32"/>
      <c r="F294" s="32"/>
    </row>
    <row r="295" customFormat="false" ht="15" hidden="false" customHeight="false" outlineLevel="0" collapsed="false">
      <c r="A295" s="35"/>
      <c r="B295" s="32"/>
      <c r="C295" s="32"/>
      <c r="D295" s="32"/>
      <c r="E295" s="32"/>
      <c r="F295" s="32"/>
    </row>
    <row r="296" customFormat="false" ht="15" hidden="false" customHeight="false" outlineLevel="0" collapsed="false">
      <c r="A296" s="35"/>
      <c r="B296" s="32"/>
      <c r="C296" s="32"/>
      <c r="D296" s="32"/>
      <c r="E296" s="32"/>
      <c r="F296" s="32"/>
    </row>
    <row r="297" customFormat="false" ht="15" hidden="false" customHeight="false" outlineLevel="0" collapsed="false">
      <c r="A297" s="35"/>
      <c r="B297" s="32"/>
      <c r="C297" s="32"/>
      <c r="D297" s="32"/>
      <c r="E297" s="32"/>
      <c r="F297" s="32"/>
    </row>
    <row r="298" customFormat="false" ht="15" hidden="false" customHeight="false" outlineLevel="0" collapsed="false">
      <c r="A298" s="35"/>
      <c r="B298" s="32"/>
      <c r="C298" s="32"/>
      <c r="D298" s="32"/>
      <c r="E298" s="32"/>
      <c r="F298" s="32"/>
    </row>
    <row r="299" customFormat="false" ht="15" hidden="false" customHeight="false" outlineLevel="0" collapsed="false">
      <c r="A299" s="35"/>
      <c r="B299" s="32"/>
      <c r="C299" s="32"/>
      <c r="D299" s="32"/>
      <c r="E299" s="32"/>
      <c r="F299" s="32"/>
    </row>
    <row r="300" customFormat="false" ht="15" hidden="false" customHeight="false" outlineLevel="0" collapsed="false">
      <c r="A300" s="35"/>
      <c r="B300" s="32"/>
      <c r="C300" s="32"/>
      <c r="D300" s="32"/>
      <c r="E300" s="32"/>
      <c r="F300" s="32"/>
    </row>
    <row r="301" customFormat="false" ht="15" hidden="false" customHeight="false" outlineLevel="0" collapsed="false">
      <c r="A301" s="35"/>
      <c r="B301" s="32"/>
      <c r="C301" s="32"/>
      <c r="D301" s="32"/>
      <c r="E301" s="32"/>
      <c r="F301" s="32"/>
    </row>
    <row r="302" customFormat="false" ht="15" hidden="false" customHeight="false" outlineLevel="0" collapsed="false">
      <c r="A302" s="35"/>
      <c r="B302" s="32"/>
      <c r="C302" s="32"/>
      <c r="D302" s="32"/>
      <c r="E302" s="32"/>
      <c r="F302" s="32"/>
    </row>
    <row r="303" customFormat="false" ht="15" hidden="false" customHeight="false" outlineLevel="0" collapsed="false">
      <c r="A303" s="35"/>
      <c r="B303" s="32"/>
      <c r="C303" s="32"/>
      <c r="D303" s="32"/>
      <c r="E303" s="32"/>
      <c r="F303" s="32"/>
    </row>
    <row r="304" customFormat="false" ht="15" hidden="false" customHeight="false" outlineLevel="0" collapsed="false">
      <c r="A304" s="35"/>
      <c r="B304" s="32"/>
      <c r="C304" s="32"/>
      <c r="D304" s="32"/>
      <c r="E304" s="32"/>
      <c r="F304" s="32"/>
    </row>
    <row r="305" customFormat="false" ht="15" hidden="false" customHeight="false" outlineLevel="0" collapsed="false">
      <c r="A305" s="35"/>
      <c r="B305" s="32"/>
      <c r="C305" s="32"/>
      <c r="D305" s="32"/>
      <c r="E305" s="32"/>
      <c r="F305" s="32"/>
    </row>
    <row r="306" customFormat="false" ht="15" hidden="false" customHeight="false" outlineLevel="0" collapsed="false">
      <c r="A306" s="35"/>
      <c r="B306" s="32"/>
      <c r="C306" s="32"/>
      <c r="D306" s="32"/>
      <c r="E306" s="32"/>
      <c r="F306" s="32"/>
    </row>
    <row r="307" customFormat="false" ht="15" hidden="false" customHeight="false" outlineLevel="0" collapsed="false">
      <c r="A307" s="35"/>
      <c r="B307" s="32"/>
      <c r="C307" s="32"/>
      <c r="D307" s="32"/>
      <c r="E307" s="32"/>
      <c r="F307" s="32"/>
    </row>
    <row r="308" customFormat="false" ht="15" hidden="false" customHeight="false" outlineLevel="0" collapsed="false">
      <c r="A308" s="35"/>
      <c r="B308" s="32"/>
      <c r="C308" s="32"/>
      <c r="D308" s="32"/>
      <c r="E308" s="32"/>
      <c r="F308" s="32"/>
    </row>
    <row r="309" customFormat="false" ht="15" hidden="false" customHeight="false" outlineLevel="0" collapsed="false">
      <c r="A309" s="35"/>
      <c r="B309" s="32"/>
      <c r="C309" s="32"/>
      <c r="D309" s="32"/>
      <c r="E309" s="32"/>
      <c r="F309" s="32"/>
    </row>
    <row r="310" customFormat="false" ht="15" hidden="false" customHeight="false" outlineLevel="0" collapsed="false">
      <c r="A310" s="35"/>
      <c r="B310" s="32"/>
      <c r="C310" s="32"/>
      <c r="D310" s="32"/>
      <c r="E310" s="32"/>
      <c r="F310" s="32"/>
    </row>
    <row r="311" customFormat="false" ht="15" hidden="false" customHeight="false" outlineLevel="0" collapsed="false">
      <c r="A311" s="35"/>
      <c r="B311" s="32"/>
      <c r="C311" s="32"/>
      <c r="D311" s="32"/>
      <c r="E311" s="32"/>
      <c r="F311" s="32"/>
    </row>
    <row r="312" customFormat="false" ht="15" hidden="false" customHeight="false" outlineLevel="0" collapsed="false">
      <c r="A312" s="35"/>
      <c r="B312" s="32"/>
      <c r="C312" s="32"/>
      <c r="D312" s="32"/>
      <c r="E312" s="32"/>
      <c r="F312" s="32"/>
    </row>
    <row r="313" customFormat="false" ht="15" hidden="false" customHeight="false" outlineLevel="0" collapsed="false">
      <c r="A313" s="35"/>
      <c r="B313" s="32"/>
      <c r="C313" s="32"/>
      <c r="D313" s="32"/>
      <c r="E313" s="32"/>
      <c r="F313" s="32"/>
    </row>
    <row r="314" customFormat="false" ht="15" hidden="false" customHeight="false" outlineLevel="0" collapsed="false">
      <c r="A314" s="35"/>
      <c r="B314" s="32"/>
      <c r="C314" s="32"/>
      <c r="D314" s="32"/>
      <c r="E314" s="32"/>
      <c r="F314" s="32"/>
    </row>
    <row r="315" customFormat="false" ht="15" hidden="false" customHeight="false" outlineLevel="0" collapsed="false">
      <c r="A315" s="35"/>
      <c r="B315" s="32"/>
      <c r="C315" s="32"/>
      <c r="D315" s="32"/>
      <c r="E315" s="32"/>
      <c r="F315" s="32"/>
    </row>
    <row r="316" customFormat="false" ht="15" hidden="false" customHeight="false" outlineLevel="0" collapsed="false">
      <c r="A316" s="35"/>
      <c r="B316" s="32"/>
      <c r="C316" s="32"/>
      <c r="D316" s="32"/>
      <c r="E316" s="32"/>
      <c r="F316" s="32"/>
    </row>
    <row r="317" customFormat="false" ht="15" hidden="false" customHeight="false" outlineLevel="0" collapsed="false">
      <c r="A317" s="35"/>
      <c r="B317" s="32"/>
      <c r="C317" s="32"/>
      <c r="D317" s="32"/>
      <c r="E317" s="32"/>
      <c r="F317" s="32"/>
    </row>
    <row r="318" customFormat="false" ht="15" hidden="false" customHeight="false" outlineLevel="0" collapsed="false">
      <c r="A318" s="35"/>
      <c r="B318" s="32"/>
      <c r="C318" s="32"/>
      <c r="D318" s="32"/>
      <c r="E318" s="32"/>
      <c r="F318" s="32"/>
    </row>
    <row r="319" customFormat="false" ht="15" hidden="false" customHeight="false" outlineLevel="0" collapsed="false">
      <c r="A319" s="35"/>
      <c r="B319" s="32"/>
      <c r="C319" s="32"/>
      <c r="D319" s="32"/>
      <c r="E319" s="32"/>
      <c r="F319" s="32"/>
    </row>
    <row r="320" customFormat="false" ht="15" hidden="false" customHeight="false" outlineLevel="0" collapsed="false">
      <c r="A320" s="35"/>
      <c r="B320" s="32"/>
      <c r="C320" s="32"/>
      <c r="D320" s="32"/>
      <c r="E320" s="32"/>
      <c r="F320" s="32"/>
    </row>
    <row r="321" customFormat="false" ht="15" hidden="false" customHeight="false" outlineLevel="0" collapsed="false">
      <c r="A321" s="35"/>
      <c r="B321" s="32"/>
      <c r="C321" s="32"/>
      <c r="D321" s="32"/>
      <c r="E321" s="32"/>
      <c r="F321" s="32"/>
    </row>
    <row r="322" customFormat="false" ht="15" hidden="false" customHeight="false" outlineLevel="0" collapsed="false">
      <c r="A322" s="35"/>
      <c r="B322" s="32"/>
      <c r="C322" s="32"/>
      <c r="D322" s="32"/>
      <c r="E322" s="32"/>
      <c r="F322" s="32"/>
    </row>
    <row r="323" customFormat="false" ht="15" hidden="false" customHeight="false" outlineLevel="0" collapsed="false">
      <c r="A323" s="35"/>
      <c r="B323" s="32"/>
      <c r="C323" s="32"/>
      <c r="D323" s="32"/>
      <c r="E323" s="32"/>
      <c r="F323" s="32"/>
    </row>
    <row r="324" customFormat="false" ht="15" hidden="false" customHeight="false" outlineLevel="0" collapsed="false">
      <c r="A324" s="35"/>
      <c r="B324" s="32"/>
      <c r="C324" s="32"/>
      <c r="D324" s="32"/>
      <c r="E324" s="32"/>
      <c r="F324" s="32"/>
    </row>
    <row r="325" customFormat="false" ht="15" hidden="false" customHeight="false" outlineLevel="0" collapsed="false">
      <c r="A325" s="35"/>
      <c r="B325" s="32"/>
      <c r="C325" s="32"/>
      <c r="D325" s="32"/>
      <c r="E325" s="32"/>
      <c r="F325" s="32"/>
    </row>
    <row r="326" customFormat="false" ht="15" hidden="false" customHeight="false" outlineLevel="0" collapsed="false">
      <c r="A326" s="35"/>
      <c r="B326" s="32"/>
      <c r="C326" s="32"/>
      <c r="D326" s="32"/>
      <c r="E326" s="32"/>
      <c r="F326" s="32"/>
    </row>
    <row r="327" customFormat="false" ht="15" hidden="false" customHeight="false" outlineLevel="0" collapsed="false">
      <c r="A327" s="35"/>
      <c r="B327" s="32"/>
      <c r="C327" s="32"/>
      <c r="D327" s="32"/>
      <c r="E327" s="32"/>
      <c r="F327" s="32"/>
    </row>
    <row r="328" customFormat="false" ht="15" hidden="false" customHeight="false" outlineLevel="0" collapsed="false">
      <c r="A328" s="35"/>
      <c r="B328" s="32"/>
      <c r="C328" s="32"/>
      <c r="D328" s="32"/>
      <c r="E328" s="32"/>
      <c r="F328" s="32"/>
    </row>
    <row r="329" customFormat="false" ht="15" hidden="false" customHeight="false" outlineLevel="0" collapsed="false">
      <c r="A329" s="35"/>
      <c r="B329" s="32"/>
      <c r="C329" s="32"/>
      <c r="D329" s="32"/>
      <c r="E329" s="32"/>
      <c r="F329" s="32"/>
    </row>
    <row r="330" customFormat="false" ht="15" hidden="false" customHeight="false" outlineLevel="0" collapsed="false">
      <c r="A330" s="35"/>
      <c r="B330" s="32"/>
      <c r="C330" s="32"/>
      <c r="D330" s="32"/>
      <c r="E330" s="32"/>
      <c r="F330" s="32"/>
    </row>
    <row r="331" customFormat="false" ht="15" hidden="false" customHeight="false" outlineLevel="0" collapsed="false">
      <c r="A331" s="35"/>
      <c r="B331" s="32"/>
      <c r="C331" s="32"/>
      <c r="D331" s="32"/>
      <c r="E331" s="32"/>
      <c r="F331" s="32"/>
    </row>
    <row r="332" customFormat="false" ht="15" hidden="false" customHeight="false" outlineLevel="0" collapsed="false">
      <c r="A332" s="35"/>
      <c r="B332" s="32"/>
      <c r="C332" s="32"/>
      <c r="D332" s="32"/>
      <c r="E332" s="32"/>
      <c r="F332" s="32"/>
    </row>
    <row r="333" customFormat="false" ht="15" hidden="false" customHeight="false" outlineLevel="0" collapsed="false">
      <c r="A333" s="35"/>
      <c r="B333" s="32"/>
      <c r="C333" s="32"/>
      <c r="D333" s="32"/>
      <c r="E333" s="32"/>
      <c r="F333" s="32"/>
    </row>
    <row r="334" customFormat="false" ht="15" hidden="false" customHeight="false" outlineLevel="0" collapsed="false">
      <c r="A334" s="35"/>
      <c r="B334" s="32"/>
      <c r="C334" s="32"/>
      <c r="D334" s="32"/>
      <c r="E334" s="32"/>
      <c r="F334" s="32"/>
    </row>
    <row r="335" customFormat="false" ht="15" hidden="false" customHeight="false" outlineLevel="0" collapsed="false">
      <c r="A335" s="35"/>
      <c r="B335" s="32"/>
      <c r="C335" s="32"/>
      <c r="D335" s="32"/>
      <c r="E335" s="32"/>
      <c r="F335" s="32"/>
    </row>
    <row r="336" customFormat="false" ht="15" hidden="false" customHeight="false" outlineLevel="0" collapsed="false">
      <c r="A336" s="35"/>
      <c r="B336" s="32"/>
      <c r="C336" s="32"/>
      <c r="D336" s="32"/>
      <c r="E336" s="32"/>
      <c r="F336" s="32"/>
    </row>
    <row r="337" customFormat="false" ht="15" hidden="false" customHeight="false" outlineLevel="0" collapsed="false">
      <c r="A337" s="35"/>
      <c r="B337" s="32"/>
      <c r="C337" s="32"/>
      <c r="D337" s="32"/>
      <c r="E337" s="32"/>
      <c r="F337" s="32"/>
    </row>
    <row r="338" customFormat="false" ht="15" hidden="false" customHeight="false" outlineLevel="0" collapsed="false">
      <c r="A338" s="35"/>
      <c r="B338" s="32"/>
      <c r="C338" s="32"/>
      <c r="D338" s="32"/>
      <c r="E338" s="32"/>
      <c r="F338" s="32"/>
    </row>
    <row r="339" customFormat="false" ht="15" hidden="false" customHeight="false" outlineLevel="0" collapsed="false">
      <c r="A339" s="35"/>
      <c r="B339" s="32"/>
      <c r="C339" s="32"/>
      <c r="D339" s="32"/>
      <c r="E339" s="32"/>
      <c r="F339" s="32"/>
    </row>
    <row r="340" customFormat="false" ht="15" hidden="false" customHeight="false" outlineLevel="0" collapsed="false">
      <c r="A340" s="35"/>
      <c r="B340" s="32"/>
      <c r="C340" s="32"/>
      <c r="D340" s="32"/>
      <c r="E340" s="32"/>
      <c r="F340" s="32"/>
    </row>
    <row r="341" customFormat="false" ht="15" hidden="false" customHeight="false" outlineLevel="0" collapsed="false">
      <c r="A341" s="35"/>
      <c r="B341" s="32"/>
      <c r="C341" s="32"/>
      <c r="D341" s="32"/>
      <c r="E341" s="32"/>
      <c r="F341" s="32"/>
    </row>
    <row r="342" customFormat="false" ht="15" hidden="false" customHeight="false" outlineLevel="0" collapsed="false">
      <c r="A342" s="35"/>
      <c r="B342" s="32"/>
      <c r="C342" s="32"/>
      <c r="D342" s="32"/>
      <c r="E342" s="32"/>
      <c r="F342" s="32"/>
    </row>
    <row r="343" customFormat="false" ht="15" hidden="false" customHeight="false" outlineLevel="0" collapsed="false">
      <c r="A343" s="35"/>
      <c r="B343" s="32"/>
      <c r="C343" s="32"/>
      <c r="D343" s="32"/>
      <c r="E343" s="32"/>
      <c r="F343" s="32"/>
    </row>
    <row r="344" customFormat="false" ht="15" hidden="false" customHeight="false" outlineLevel="0" collapsed="false">
      <c r="A344" s="35"/>
      <c r="B344" s="32"/>
      <c r="C344" s="32"/>
      <c r="D344" s="32"/>
      <c r="E344" s="32"/>
      <c r="F344" s="32"/>
    </row>
    <row r="345" customFormat="false" ht="15" hidden="false" customHeight="false" outlineLevel="0" collapsed="false">
      <c r="A345" s="35"/>
      <c r="B345" s="32"/>
      <c r="C345" s="32"/>
      <c r="D345" s="32"/>
      <c r="E345" s="32"/>
      <c r="F345" s="32"/>
    </row>
    <row r="346" customFormat="false" ht="15" hidden="false" customHeight="false" outlineLevel="0" collapsed="false">
      <c r="A346" s="35"/>
      <c r="B346" s="32"/>
      <c r="C346" s="32"/>
      <c r="D346" s="32"/>
      <c r="E346" s="32"/>
      <c r="F346" s="32"/>
    </row>
    <row r="347" customFormat="false" ht="15" hidden="false" customHeight="false" outlineLevel="0" collapsed="false">
      <c r="A347" s="35"/>
      <c r="B347" s="32"/>
      <c r="C347" s="32"/>
      <c r="D347" s="32"/>
      <c r="E347" s="32"/>
      <c r="F347" s="32"/>
    </row>
    <row r="348" customFormat="false" ht="15" hidden="false" customHeight="false" outlineLevel="0" collapsed="false">
      <c r="A348" s="35"/>
      <c r="B348" s="32"/>
      <c r="C348" s="32"/>
      <c r="D348" s="32"/>
      <c r="E348" s="32"/>
      <c r="F348" s="32"/>
    </row>
    <row r="349" customFormat="false" ht="15" hidden="false" customHeight="false" outlineLevel="0" collapsed="false">
      <c r="A349" s="35"/>
      <c r="B349" s="32"/>
      <c r="C349" s="32"/>
      <c r="D349" s="32"/>
      <c r="E349" s="32"/>
      <c r="F349" s="32"/>
    </row>
    <row r="350" customFormat="false" ht="15" hidden="false" customHeight="false" outlineLevel="0" collapsed="false">
      <c r="A350" s="35"/>
      <c r="B350" s="32"/>
      <c r="C350" s="32"/>
      <c r="D350" s="32"/>
      <c r="E350" s="32"/>
      <c r="F350" s="32"/>
    </row>
    <row r="351" customFormat="false" ht="15" hidden="false" customHeight="false" outlineLevel="0" collapsed="false">
      <c r="A351" s="35"/>
      <c r="B351" s="32"/>
      <c r="C351" s="32"/>
      <c r="D351" s="32"/>
      <c r="E351" s="32"/>
      <c r="F351" s="32"/>
    </row>
    <row r="352" customFormat="false" ht="15" hidden="false" customHeight="false" outlineLevel="0" collapsed="false">
      <c r="A352" s="35"/>
      <c r="B352" s="32"/>
      <c r="C352" s="32"/>
      <c r="D352" s="32"/>
      <c r="E352" s="32"/>
      <c r="F352" s="32"/>
    </row>
    <row r="353" customFormat="false" ht="15" hidden="false" customHeight="false" outlineLevel="0" collapsed="false">
      <c r="A353" s="35"/>
      <c r="B353" s="32"/>
      <c r="C353" s="32"/>
      <c r="D353" s="32"/>
      <c r="E353" s="32"/>
      <c r="F353" s="32"/>
    </row>
    <row r="354" customFormat="false" ht="15" hidden="false" customHeight="false" outlineLevel="0" collapsed="false">
      <c r="A354" s="35"/>
      <c r="B354" s="32"/>
      <c r="C354" s="32"/>
      <c r="D354" s="32"/>
      <c r="E354" s="32"/>
      <c r="F354" s="32"/>
    </row>
    <row r="355" customFormat="false" ht="15" hidden="false" customHeight="false" outlineLevel="0" collapsed="false">
      <c r="A355" s="35"/>
      <c r="B355" s="32"/>
      <c r="C355" s="32"/>
      <c r="D355" s="32"/>
      <c r="E355" s="32"/>
      <c r="F355" s="32"/>
    </row>
    <row r="356" customFormat="false" ht="15" hidden="false" customHeight="false" outlineLevel="0" collapsed="false">
      <c r="A356" s="35"/>
      <c r="B356" s="32"/>
      <c r="C356" s="32"/>
      <c r="D356" s="32"/>
      <c r="E356" s="32"/>
      <c r="F356" s="32"/>
    </row>
    <row r="357" customFormat="false" ht="15" hidden="false" customHeight="false" outlineLevel="0" collapsed="false">
      <c r="A357" s="35"/>
      <c r="B357" s="32"/>
      <c r="C357" s="32"/>
      <c r="D357" s="32"/>
      <c r="E357" s="32"/>
      <c r="F357" s="32"/>
    </row>
    <row r="358" customFormat="false" ht="15" hidden="false" customHeight="false" outlineLevel="0" collapsed="false">
      <c r="A358" s="35"/>
      <c r="B358" s="32"/>
      <c r="C358" s="32"/>
      <c r="D358" s="32"/>
      <c r="E358" s="32"/>
      <c r="F358" s="32"/>
    </row>
    <row r="359" customFormat="false" ht="15" hidden="false" customHeight="false" outlineLevel="0" collapsed="false">
      <c r="A359" s="35"/>
      <c r="B359" s="32"/>
      <c r="C359" s="32"/>
      <c r="D359" s="32"/>
      <c r="E359" s="32"/>
      <c r="F359" s="32"/>
    </row>
    <row r="360" customFormat="false" ht="15" hidden="false" customHeight="false" outlineLevel="0" collapsed="false">
      <c r="A360" s="35"/>
      <c r="B360" s="32"/>
      <c r="C360" s="32"/>
      <c r="D360" s="32"/>
      <c r="E360" s="32"/>
      <c r="F360" s="32"/>
    </row>
    <row r="361" customFormat="false" ht="15" hidden="false" customHeight="false" outlineLevel="0" collapsed="false">
      <c r="A361" s="35"/>
      <c r="B361" s="32"/>
      <c r="C361" s="32"/>
      <c r="D361" s="32"/>
      <c r="E361" s="32"/>
      <c r="F361" s="32"/>
    </row>
    <row r="362" customFormat="false" ht="15" hidden="false" customHeight="false" outlineLevel="0" collapsed="false">
      <c r="A362" s="35"/>
      <c r="B362" s="32"/>
      <c r="C362" s="32"/>
      <c r="D362" s="32"/>
      <c r="E362" s="32"/>
      <c r="F362" s="32"/>
    </row>
    <row r="363" customFormat="false" ht="15" hidden="false" customHeight="false" outlineLevel="0" collapsed="false">
      <c r="A363" s="35"/>
      <c r="B363" s="32"/>
      <c r="C363" s="32"/>
      <c r="D363" s="32"/>
      <c r="E363" s="32"/>
      <c r="F363" s="32"/>
    </row>
    <row r="364" customFormat="false" ht="15" hidden="false" customHeight="false" outlineLevel="0" collapsed="false">
      <c r="A364" s="35"/>
      <c r="B364" s="32"/>
      <c r="C364" s="32"/>
      <c r="D364" s="32"/>
      <c r="E364" s="32"/>
      <c r="F364" s="32"/>
    </row>
    <row r="365" customFormat="false" ht="15" hidden="false" customHeight="false" outlineLevel="0" collapsed="false">
      <c r="A365" s="35"/>
      <c r="B365" s="32"/>
      <c r="C365" s="32"/>
      <c r="D365" s="32"/>
      <c r="E365" s="32"/>
      <c r="F365" s="32"/>
    </row>
    <row r="366" customFormat="false" ht="15" hidden="false" customHeight="false" outlineLevel="0" collapsed="false">
      <c r="A366" s="35"/>
      <c r="B366" s="32"/>
      <c r="C366" s="32"/>
      <c r="D366" s="32"/>
      <c r="E366" s="32"/>
      <c r="F366" s="32"/>
    </row>
    <row r="367" customFormat="false" ht="15" hidden="false" customHeight="false" outlineLevel="0" collapsed="false">
      <c r="A367" s="35"/>
      <c r="B367" s="32"/>
      <c r="C367" s="32"/>
      <c r="D367" s="32"/>
      <c r="E367" s="32"/>
      <c r="F367" s="32"/>
    </row>
    <row r="368" customFormat="false" ht="15" hidden="false" customHeight="false" outlineLevel="0" collapsed="false">
      <c r="A368" s="35"/>
      <c r="B368" s="32"/>
      <c r="C368" s="32"/>
      <c r="D368" s="32"/>
      <c r="E368" s="32"/>
      <c r="F368" s="32"/>
    </row>
    <row r="369" customFormat="false" ht="15" hidden="false" customHeight="false" outlineLevel="0" collapsed="false">
      <c r="A369" s="35"/>
      <c r="B369" s="32"/>
      <c r="C369" s="32"/>
      <c r="D369" s="32"/>
      <c r="E369" s="32"/>
      <c r="F369" s="32"/>
    </row>
    <row r="370" customFormat="false" ht="15" hidden="false" customHeight="false" outlineLevel="0" collapsed="false">
      <c r="A370" s="35"/>
      <c r="B370" s="32"/>
      <c r="C370" s="32"/>
      <c r="D370" s="32"/>
      <c r="E370" s="32"/>
      <c r="F370" s="32"/>
    </row>
    <row r="371" customFormat="false" ht="15" hidden="false" customHeight="false" outlineLevel="0" collapsed="false">
      <c r="A371" s="35"/>
      <c r="B371" s="32"/>
      <c r="C371" s="32"/>
      <c r="D371" s="32"/>
      <c r="E371" s="32"/>
      <c r="F371" s="32"/>
    </row>
    <row r="372" customFormat="false" ht="15" hidden="false" customHeight="false" outlineLevel="0" collapsed="false">
      <c r="A372" s="35"/>
      <c r="B372" s="32"/>
      <c r="C372" s="32"/>
      <c r="D372" s="32"/>
      <c r="E372" s="32"/>
      <c r="F372" s="32"/>
    </row>
    <row r="373" customFormat="false" ht="15" hidden="false" customHeight="false" outlineLevel="0" collapsed="false">
      <c r="A373" s="35"/>
      <c r="B373" s="32"/>
      <c r="C373" s="32"/>
      <c r="D373" s="32"/>
      <c r="E373" s="32"/>
      <c r="F373" s="32"/>
    </row>
    <row r="374" customFormat="false" ht="15" hidden="false" customHeight="false" outlineLevel="0" collapsed="false">
      <c r="A374" s="35"/>
      <c r="B374" s="32"/>
      <c r="C374" s="32"/>
      <c r="D374" s="32"/>
      <c r="E374" s="32"/>
      <c r="F374" s="32"/>
    </row>
    <row r="375" customFormat="false" ht="15" hidden="false" customHeight="false" outlineLevel="0" collapsed="false">
      <c r="A375" s="35"/>
      <c r="B375" s="32"/>
      <c r="C375" s="32"/>
      <c r="D375" s="32"/>
      <c r="E375" s="32"/>
      <c r="F375" s="32"/>
    </row>
    <row r="376" customFormat="false" ht="15" hidden="false" customHeight="false" outlineLevel="0" collapsed="false">
      <c r="A376" s="35"/>
      <c r="B376" s="32"/>
      <c r="C376" s="32"/>
      <c r="D376" s="32"/>
      <c r="E376" s="32"/>
      <c r="F376" s="32"/>
    </row>
    <row r="377" customFormat="false" ht="15" hidden="false" customHeight="false" outlineLevel="0" collapsed="false">
      <c r="A377" s="35"/>
      <c r="B377" s="32"/>
      <c r="C377" s="32"/>
      <c r="D377" s="32"/>
      <c r="E377" s="32"/>
      <c r="F377" s="32"/>
    </row>
    <row r="378" customFormat="false" ht="15" hidden="false" customHeight="false" outlineLevel="0" collapsed="false">
      <c r="A378" s="35"/>
      <c r="B378" s="32"/>
      <c r="C378" s="32"/>
      <c r="D378" s="32"/>
      <c r="E378" s="32"/>
      <c r="F378" s="32"/>
    </row>
    <row r="379" customFormat="false" ht="15" hidden="false" customHeight="false" outlineLevel="0" collapsed="false">
      <c r="A379" s="35"/>
      <c r="B379" s="32"/>
      <c r="C379" s="32"/>
      <c r="D379" s="32"/>
      <c r="E379" s="32"/>
      <c r="F379" s="32"/>
    </row>
    <row r="380" customFormat="false" ht="15" hidden="false" customHeight="false" outlineLevel="0" collapsed="false">
      <c r="A380" s="35"/>
      <c r="B380" s="32"/>
      <c r="C380" s="32"/>
      <c r="D380" s="32"/>
      <c r="E380" s="32"/>
      <c r="F380" s="32"/>
    </row>
    <row r="381" customFormat="false" ht="15" hidden="false" customHeight="false" outlineLevel="0" collapsed="false">
      <c r="A381" s="35"/>
      <c r="B381" s="32"/>
      <c r="C381" s="32"/>
      <c r="D381" s="32"/>
      <c r="E381" s="32"/>
      <c r="F381" s="32"/>
    </row>
    <row r="382" customFormat="false" ht="15" hidden="false" customHeight="false" outlineLevel="0" collapsed="false">
      <c r="A382" s="35"/>
      <c r="B382" s="32"/>
      <c r="C382" s="32"/>
      <c r="D382" s="32"/>
      <c r="E382" s="32"/>
      <c r="F382" s="32"/>
    </row>
    <row r="383" customFormat="false" ht="15" hidden="false" customHeight="false" outlineLevel="0" collapsed="false">
      <c r="A383" s="35"/>
      <c r="B383" s="32"/>
      <c r="C383" s="32"/>
      <c r="D383" s="32"/>
      <c r="E383" s="32"/>
      <c r="F383" s="32"/>
    </row>
    <row r="384" customFormat="false" ht="15" hidden="false" customHeight="false" outlineLevel="0" collapsed="false">
      <c r="A384" s="35"/>
      <c r="B384" s="32"/>
      <c r="C384" s="32"/>
      <c r="D384" s="32"/>
      <c r="E384" s="32"/>
      <c r="F384" s="32"/>
    </row>
    <row r="385" customFormat="false" ht="15" hidden="false" customHeight="false" outlineLevel="0" collapsed="false">
      <c r="A385" s="35"/>
      <c r="B385" s="32"/>
      <c r="C385" s="32"/>
      <c r="D385" s="32"/>
      <c r="E385" s="32"/>
      <c r="F385" s="32"/>
    </row>
    <row r="386" customFormat="false" ht="15" hidden="false" customHeight="false" outlineLevel="0" collapsed="false">
      <c r="A386" s="35"/>
      <c r="B386" s="32"/>
      <c r="C386" s="32"/>
      <c r="D386" s="32"/>
      <c r="E386" s="32"/>
      <c r="F386" s="32"/>
    </row>
    <row r="387" customFormat="false" ht="15" hidden="false" customHeight="false" outlineLevel="0" collapsed="false">
      <c r="A387" s="35"/>
      <c r="B387" s="32"/>
      <c r="C387" s="32"/>
      <c r="D387" s="32"/>
      <c r="E387" s="32"/>
      <c r="F387" s="32"/>
    </row>
    <row r="388" customFormat="false" ht="15" hidden="false" customHeight="false" outlineLevel="0" collapsed="false">
      <c r="A388" s="35"/>
      <c r="B388" s="32"/>
      <c r="C388" s="32"/>
      <c r="D388" s="32"/>
      <c r="E388" s="32"/>
      <c r="F388" s="32"/>
    </row>
    <row r="389" customFormat="false" ht="15" hidden="false" customHeight="false" outlineLevel="0" collapsed="false">
      <c r="A389" s="35"/>
      <c r="B389" s="32"/>
      <c r="C389" s="32"/>
      <c r="D389" s="32"/>
      <c r="E389" s="32"/>
      <c r="F389" s="32"/>
    </row>
    <row r="390" customFormat="false" ht="15" hidden="false" customHeight="false" outlineLevel="0" collapsed="false">
      <c r="A390" s="35"/>
      <c r="B390" s="32"/>
      <c r="C390" s="32"/>
      <c r="D390" s="32"/>
      <c r="E390" s="32"/>
      <c r="F390" s="32"/>
    </row>
    <row r="391" customFormat="false" ht="15" hidden="false" customHeight="false" outlineLevel="0" collapsed="false">
      <c r="A391" s="35"/>
      <c r="B391" s="32"/>
      <c r="C391" s="32"/>
      <c r="D391" s="32"/>
      <c r="E391" s="32"/>
      <c r="F391" s="32"/>
    </row>
    <row r="392" customFormat="false" ht="15" hidden="false" customHeight="false" outlineLevel="0" collapsed="false">
      <c r="A392" s="35"/>
      <c r="B392" s="32"/>
      <c r="C392" s="32"/>
      <c r="D392" s="32"/>
      <c r="E392" s="32"/>
      <c r="F392" s="32"/>
    </row>
    <row r="393" customFormat="false" ht="15" hidden="false" customHeight="false" outlineLevel="0" collapsed="false">
      <c r="A393" s="35"/>
      <c r="B393" s="32"/>
      <c r="C393" s="32"/>
      <c r="D393" s="32"/>
      <c r="E393" s="32"/>
      <c r="F393" s="32"/>
    </row>
    <row r="394" customFormat="false" ht="15" hidden="false" customHeight="false" outlineLevel="0" collapsed="false">
      <c r="A394" s="35"/>
      <c r="B394" s="32"/>
      <c r="C394" s="32"/>
      <c r="D394" s="32"/>
      <c r="E394" s="32"/>
      <c r="F394" s="32"/>
    </row>
    <row r="395" customFormat="false" ht="15" hidden="false" customHeight="false" outlineLevel="0" collapsed="false">
      <c r="A395" s="35"/>
      <c r="B395" s="32"/>
      <c r="C395" s="32"/>
      <c r="D395" s="32"/>
      <c r="E395" s="32"/>
      <c r="F395" s="32"/>
    </row>
    <row r="396" customFormat="false" ht="15" hidden="false" customHeight="false" outlineLevel="0" collapsed="false">
      <c r="A396" s="35"/>
      <c r="B396" s="32"/>
      <c r="C396" s="32"/>
      <c r="D396" s="32"/>
      <c r="E396" s="32"/>
      <c r="F396" s="32"/>
    </row>
    <row r="397" customFormat="false" ht="15" hidden="false" customHeight="false" outlineLevel="0" collapsed="false">
      <c r="A397" s="35"/>
      <c r="B397" s="32"/>
      <c r="C397" s="32"/>
      <c r="D397" s="32"/>
      <c r="E397" s="32"/>
      <c r="F397" s="32"/>
    </row>
    <row r="398" customFormat="false" ht="15" hidden="false" customHeight="false" outlineLevel="0" collapsed="false">
      <c r="A398" s="35"/>
      <c r="B398" s="32"/>
      <c r="C398" s="32"/>
      <c r="D398" s="32"/>
      <c r="E398" s="32"/>
      <c r="F398" s="32"/>
    </row>
    <row r="399" customFormat="false" ht="15" hidden="false" customHeight="false" outlineLevel="0" collapsed="false">
      <c r="A399" s="35"/>
      <c r="B399" s="32"/>
      <c r="C399" s="32"/>
      <c r="D399" s="32"/>
      <c r="E399" s="32"/>
      <c r="F399" s="32"/>
    </row>
    <row r="400" customFormat="false" ht="15" hidden="false" customHeight="false" outlineLevel="0" collapsed="false">
      <c r="A400" s="35"/>
      <c r="B400" s="32"/>
      <c r="C400" s="32"/>
      <c r="D400" s="32"/>
      <c r="E400" s="32"/>
      <c r="F400" s="32"/>
    </row>
    <row r="401" customFormat="false" ht="15" hidden="false" customHeight="false" outlineLevel="0" collapsed="false">
      <c r="A401" s="35"/>
      <c r="B401" s="32"/>
      <c r="C401" s="32"/>
      <c r="D401" s="32"/>
      <c r="E401" s="32"/>
      <c r="F401" s="32"/>
    </row>
    <row r="402" customFormat="false" ht="15" hidden="false" customHeight="false" outlineLevel="0" collapsed="false">
      <c r="A402" s="35"/>
      <c r="B402" s="32"/>
      <c r="C402" s="32"/>
      <c r="D402" s="32"/>
      <c r="E402" s="32"/>
      <c r="F402" s="32"/>
    </row>
    <row r="403" customFormat="false" ht="15" hidden="false" customHeight="false" outlineLevel="0" collapsed="false">
      <c r="A403" s="35"/>
      <c r="B403" s="32"/>
      <c r="C403" s="32"/>
      <c r="D403" s="32"/>
      <c r="E403" s="32"/>
      <c r="F403" s="32"/>
    </row>
    <row r="404" customFormat="false" ht="15" hidden="false" customHeight="false" outlineLevel="0" collapsed="false">
      <c r="A404" s="35"/>
      <c r="B404" s="32"/>
      <c r="C404" s="32"/>
      <c r="D404" s="32"/>
      <c r="E404" s="32"/>
      <c r="F404" s="32"/>
    </row>
    <row r="405" customFormat="false" ht="15" hidden="false" customHeight="false" outlineLevel="0" collapsed="false">
      <c r="A405" s="35"/>
      <c r="B405" s="32"/>
      <c r="C405" s="32"/>
      <c r="D405" s="32"/>
      <c r="E405" s="32"/>
      <c r="F405" s="32"/>
    </row>
    <row r="406" customFormat="false" ht="15" hidden="false" customHeight="false" outlineLevel="0" collapsed="false">
      <c r="A406" s="35"/>
      <c r="B406" s="32"/>
      <c r="C406" s="32"/>
      <c r="D406" s="32"/>
      <c r="E406" s="32"/>
      <c r="F406" s="32"/>
    </row>
    <row r="407" customFormat="false" ht="15" hidden="false" customHeight="false" outlineLevel="0" collapsed="false">
      <c r="A407" s="35"/>
      <c r="B407" s="32"/>
      <c r="C407" s="32"/>
      <c r="D407" s="32"/>
      <c r="E407" s="32"/>
      <c r="F407" s="32"/>
    </row>
    <row r="408" customFormat="false" ht="15" hidden="false" customHeight="false" outlineLevel="0" collapsed="false">
      <c r="A408" s="35"/>
      <c r="B408" s="32"/>
      <c r="C408" s="32"/>
      <c r="D408" s="32"/>
      <c r="E408" s="32"/>
      <c r="F408" s="32"/>
    </row>
    <row r="409" customFormat="false" ht="15" hidden="false" customHeight="false" outlineLevel="0" collapsed="false">
      <c r="A409" s="35"/>
      <c r="B409" s="32"/>
      <c r="C409" s="32"/>
      <c r="D409" s="32"/>
      <c r="E409" s="32"/>
      <c r="F409" s="32"/>
    </row>
    <row r="410" customFormat="false" ht="15" hidden="false" customHeight="false" outlineLevel="0" collapsed="false">
      <c r="A410" s="35"/>
      <c r="B410" s="32"/>
      <c r="C410" s="32"/>
      <c r="D410" s="32"/>
      <c r="E410" s="32"/>
      <c r="F410" s="32"/>
    </row>
    <row r="411" customFormat="false" ht="15" hidden="false" customHeight="false" outlineLevel="0" collapsed="false">
      <c r="A411" s="35"/>
      <c r="B411" s="32"/>
      <c r="C411" s="32"/>
      <c r="D411" s="32"/>
      <c r="E411" s="32"/>
      <c r="F411" s="32"/>
    </row>
    <row r="412" customFormat="false" ht="15" hidden="false" customHeight="false" outlineLevel="0" collapsed="false">
      <c r="A412" s="35"/>
      <c r="B412" s="32"/>
      <c r="C412" s="32"/>
      <c r="D412" s="32"/>
      <c r="E412" s="32"/>
      <c r="F412" s="32"/>
    </row>
    <row r="413" customFormat="false" ht="15" hidden="false" customHeight="false" outlineLevel="0" collapsed="false">
      <c r="A413" s="35"/>
      <c r="B413" s="32"/>
      <c r="C413" s="32"/>
      <c r="D413" s="32"/>
      <c r="E413" s="32"/>
      <c r="F413" s="32"/>
    </row>
    <row r="414" customFormat="false" ht="15" hidden="false" customHeight="false" outlineLevel="0" collapsed="false">
      <c r="A414" s="35"/>
      <c r="B414" s="32"/>
      <c r="C414" s="32"/>
      <c r="D414" s="32"/>
      <c r="E414" s="32"/>
      <c r="F414" s="32"/>
    </row>
    <row r="415" customFormat="false" ht="15" hidden="false" customHeight="false" outlineLevel="0" collapsed="false">
      <c r="A415" s="35"/>
      <c r="B415" s="32"/>
      <c r="C415" s="32"/>
      <c r="D415" s="32"/>
      <c r="E415" s="32"/>
      <c r="F415" s="32"/>
    </row>
    <row r="416" customFormat="false" ht="15" hidden="false" customHeight="false" outlineLevel="0" collapsed="false">
      <c r="A416" s="35"/>
      <c r="B416" s="32"/>
      <c r="C416" s="32"/>
      <c r="D416" s="32"/>
      <c r="E416" s="32"/>
      <c r="F416" s="32"/>
    </row>
    <row r="417" customFormat="false" ht="15" hidden="false" customHeight="false" outlineLevel="0" collapsed="false">
      <c r="A417" s="35"/>
      <c r="B417" s="32"/>
      <c r="C417" s="32"/>
      <c r="D417" s="32"/>
      <c r="E417" s="32"/>
      <c r="F417" s="32"/>
    </row>
    <row r="418" customFormat="false" ht="15" hidden="false" customHeight="false" outlineLevel="0" collapsed="false">
      <c r="A418" s="35"/>
      <c r="B418" s="32"/>
      <c r="C418" s="32"/>
      <c r="D418" s="32"/>
      <c r="E418" s="32"/>
      <c r="F418" s="32"/>
    </row>
    <row r="419" customFormat="false" ht="15" hidden="false" customHeight="false" outlineLevel="0" collapsed="false">
      <c r="A419" s="35"/>
      <c r="B419" s="32"/>
      <c r="C419" s="32"/>
      <c r="D419" s="32"/>
      <c r="E419" s="32"/>
      <c r="F419" s="32"/>
    </row>
    <row r="420" customFormat="false" ht="15" hidden="false" customHeight="false" outlineLevel="0" collapsed="false">
      <c r="A420" s="35"/>
      <c r="B420" s="32"/>
      <c r="C420" s="32"/>
      <c r="D420" s="32"/>
      <c r="E420" s="32"/>
      <c r="F420" s="32"/>
    </row>
    <row r="421" customFormat="false" ht="15" hidden="false" customHeight="false" outlineLevel="0" collapsed="false">
      <c r="A421" s="35"/>
      <c r="B421" s="32"/>
      <c r="C421" s="32"/>
      <c r="D421" s="32"/>
      <c r="E421" s="32"/>
      <c r="F421" s="32"/>
    </row>
    <row r="422" customFormat="false" ht="15" hidden="false" customHeight="false" outlineLevel="0" collapsed="false">
      <c r="A422" s="35"/>
      <c r="B422" s="32"/>
      <c r="C422" s="32"/>
      <c r="D422" s="32"/>
      <c r="E422" s="32"/>
      <c r="F422" s="32"/>
    </row>
    <row r="423" customFormat="false" ht="15" hidden="false" customHeight="false" outlineLevel="0" collapsed="false">
      <c r="A423" s="35"/>
      <c r="B423" s="32"/>
      <c r="C423" s="32"/>
      <c r="D423" s="32"/>
      <c r="E423" s="32"/>
      <c r="F423" s="32"/>
    </row>
    <row r="424" customFormat="false" ht="15" hidden="false" customHeight="false" outlineLevel="0" collapsed="false">
      <c r="A424" s="35"/>
      <c r="B424" s="32"/>
      <c r="C424" s="32"/>
      <c r="D424" s="32"/>
      <c r="E424" s="32"/>
      <c r="F424" s="32"/>
    </row>
    <row r="425" customFormat="false" ht="15" hidden="false" customHeight="false" outlineLevel="0" collapsed="false">
      <c r="A425" s="35"/>
      <c r="B425" s="32"/>
      <c r="C425" s="32"/>
      <c r="D425" s="32"/>
      <c r="E425" s="32"/>
      <c r="F425" s="32"/>
    </row>
    <row r="426" customFormat="false" ht="15" hidden="false" customHeight="false" outlineLevel="0" collapsed="false">
      <c r="A426" s="35"/>
      <c r="B426" s="32"/>
      <c r="C426" s="32"/>
      <c r="D426" s="32"/>
      <c r="E426" s="32"/>
      <c r="F426" s="32"/>
    </row>
    <row r="427" customFormat="false" ht="15" hidden="false" customHeight="false" outlineLevel="0" collapsed="false">
      <c r="A427" s="35"/>
      <c r="B427" s="32"/>
      <c r="C427" s="32"/>
      <c r="D427" s="32"/>
      <c r="E427" s="32"/>
      <c r="F427" s="32"/>
    </row>
    <row r="428" customFormat="false" ht="15" hidden="false" customHeight="false" outlineLevel="0" collapsed="false">
      <c r="A428" s="35"/>
      <c r="B428" s="32"/>
      <c r="C428" s="32"/>
      <c r="D428" s="32"/>
      <c r="E428" s="32"/>
      <c r="F428" s="32"/>
    </row>
    <row r="429" customFormat="false" ht="15" hidden="false" customHeight="false" outlineLevel="0" collapsed="false">
      <c r="A429" s="35"/>
      <c r="B429" s="32"/>
      <c r="C429" s="32"/>
      <c r="D429" s="32"/>
      <c r="E429" s="32"/>
      <c r="F429" s="32"/>
    </row>
    <row r="430" customFormat="false" ht="15" hidden="false" customHeight="false" outlineLevel="0" collapsed="false">
      <c r="A430" s="35"/>
      <c r="B430" s="32"/>
      <c r="C430" s="32"/>
      <c r="D430" s="32"/>
      <c r="E430" s="32"/>
      <c r="F430" s="32"/>
    </row>
    <row r="431" customFormat="false" ht="15" hidden="false" customHeight="false" outlineLevel="0" collapsed="false">
      <c r="A431" s="35"/>
      <c r="B431" s="32"/>
      <c r="C431" s="32"/>
      <c r="D431" s="32"/>
      <c r="E431" s="32"/>
      <c r="F431" s="32"/>
    </row>
    <row r="432" customFormat="false" ht="15" hidden="false" customHeight="false" outlineLevel="0" collapsed="false">
      <c r="A432" s="35"/>
      <c r="B432" s="32"/>
      <c r="C432" s="32"/>
      <c r="D432" s="32"/>
      <c r="E432" s="32"/>
      <c r="F432" s="32"/>
    </row>
    <row r="433" customFormat="false" ht="15" hidden="false" customHeight="false" outlineLevel="0" collapsed="false">
      <c r="A433" s="35"/>
      <c r="B433" s="32"/>
      <c r="C433" s="32"/>
      <c r="D433" s="32"/>
      <c r="E433" s="32"/>
      <c r="F433" s="32"/>
    </row>
    <row r="434" customFormat="false" ht="15" hidden="false" customHeight="false" outlineLevel="0" collapsed="false">
      <c r="A434" s="35"/>
      <c r="B434" s="32"/>
      <c r="C434" s="32"/>
      <c r="D434" s="32"/>
      <c r="E434" s="32"/>
      <c r="F434" s="32"/>
    </row>
    <row r="435" customFormat="false" ht="15" hidden="false" customHeight="false" outlineLevel="0" collapsed="false">
      <c r="A435" s="35"/>
      <c r="B435" s="32"/>
      <c r="C435" s="32"/>
      <c r="D435" s="32"/>
      <c r="E435" s="32"/>
      <c r="F435" s="32"/>
    </row>
    <row r="436" customFormat="false" ht="15" hidden="false" customHeight="false" outlineLevel="0" collapsed="false">
      <c r="A436" s="35"/>
      <c r="B436" s="32"/>
      <c r="C436" s="32"/>
      <c r="D436" s="32"/>
      <c r="E436" s="32"/>
      <c r="F436" s="32"/>
    </row>
    <row r="437" customFormat="false" ht="15" hidden="false" customHeight="false" outlineLevel="0" collapsed="false">
      <c r="A437" s="35"/>
      <c r="B437" s="32"/>
      <c r="C437" s="32"/>
      <c r="D437" s="32"/>
      <c r="E437" s="32"/>
      <c r="F437" s="32"/>
    </row>
    <row r="438" customFormat="false" ht="15" hidden="false" customHeight="false" outlineLevel="0" collapsed="false">
      <c r="A438" s="35"/>
      <c r="B438" s="32"/>
      <c r="C438" s="32"/>
      <c r="D438" s="32"/>
      <c r="E438" s="32"/>
      <c r="F438" s="32"/>
    </row>
    <row r="439" customFormat="false" ht="15" hidden="false" customHeight="false" outlineLevel="0" collapsed="false">
      <c r="A439" s="35"/>
      <c r="B439" s="32"/>
      <c r="C439" s="32"/>
      <c r="D439" s="32"/>
      <c r="E439" s="32"/>
      <c r="F439" s="32"/>
    </row>
    <row r="440" customFormat="false" ht="15" hidden="false" customHeight="false" outlineLevel="0" collapsed="false">
      <c r="A440" s="35"/>
      <c r="B440" s="32"/>
      <c r="C440" s="32"/>
      <c r="D440" s="32"/>
      <c r="E440" s="32"/>
      <c r="F440" s="32"/>
    </row>
    <row r="441" customFormat="false" ht="15" hidden="false" customHeight="false" outlineLevel="0" collapsed="false">
      <c r="A441" s="35"/>
      <c r="B441" s="32"/>
      <c r="C441" s="32"/>
      <c r="D441" s="32"/>
      <c r="E441" s="32"/>
      <c r="F441" s="32"/>
    </row>
    <row r="442" customFormat="false" ht="15" hidden="false" customHeight="false" outlineLevel="0" collapsed="false">
      <c r="A442" s="35"/>
      <c r="B442" s="32"/>
      <c r="C442" s="32"/>
      <c r="D442" s="32"/>
      <c r="E442" s="32"/>
      <c r="F442" s="32"/>
    </row>
    <row r="443" customFormat="false" ht="15" hidden="false" customHeight="false" outlineLevel="0" collapsed="false">
      <c r="A443" s="35"/>
      <c r="B443" s="32"/>
      <c r="C443" s="32"/>
      <c r="D443" s="32"/>
      <c r="E443" s="32"/>
      <c r="F443" s="32"/>
    </row>
    <row r="444" customFormat="false" ht="15" hidden="false" customHeight="false" outlineLevel="0" collapsed="false">
      <c r="A444" s="35"/>
      <c r="B444" s="32"/>
      <c r="C444" s="32"/>
      <c r="D444" s="32"/>
      <c r="E444" s="32"/>
      <c r="F444" s="32"/>
    </row>
    <row r="445" customFormat="false" ht="15" hidden="false" customHeight="false" outlineLevel="0" collapsed="false">
      <c r="A445" s="35"/>
      <c r="B445" s="32"/>
      <c r="C445" s="32"/>
      <c r="D445" s="32"/>
      <c r="E445" s="32"/>
      <c r="F445" s="32"/>
    </row>
    <row r="446" customFormat="false" ht="15" hidden="false" customHeight="false" outlineLevel="0" collapsed="false">
      <c r="A446" s="35"/>
      <c r="B446" s="32"/>
      <c r="C446" s="32"/>
      <c r="D446" s="32"/>
      <c r="E446" s="32"/>
      <c r="F446" s="32"/>
    </row>
    <row r="447" customFormat="false" ht="15" hidden="false" customHeight="false" outlineLevel="0" collapsed="false">
      <c r="A447" s="35"/>
      <c r="B447" s="32"/>
      <c r="C447" s="32"/>
      <c r="D447" s="32"/>
      <c r="E447" s="32"/>
      <c r="F447" s="32"/>
    </row>
    <row r="448" customFormat="false" ht="15" hidden="false" customHeight="false" outlineLevel="0" collapsed="false">
      <c r="A448" s="35"/>
      <c r="B448" s="32"/>
      <c r="C448" s="32"/>
      <c r="D448" s="32"/>
      <c r="E448" s="32"/>
      <c r="F448" s="32"/>
    </row>
    <row r="449" customFormat="false" ht="15" hidden="false" customHeight="false" outlineLevel="0" collapsed="false">
      <c r="A449" s="35"/>
      <c r="B449" s="32"/>
      <c r="C449" s="32"/>
      <c r="D449" s="32"/>
      <c r="E449" s="32"/>
      <c r="F449" s="32"/>
    </row>
    <row r="450" customFormat="false" ht="15" hidden="false" customHeight="false" outlineLevel="0" collapsed="false">
      <c r="A450" s="35"/>
      <c r="B450" s="32"/>
      <c r="C450" s="32"/>
      <c r="D450" s="32"/>
      <c r="E450" s="32"/>
      <c r="F450" s="32"/>
    </row>
    <row r="451" customFormat="false" ht="15" hidden="false" customHeight="false" outlineLevel="0" collapsed="false">
      <c r="A451" s="35"/>
      <c r="B451" s="32"/>
      <c r="C451" s="32"/>
      <c r="D451" s="32"/>
      <c r="E451" s="32"/>
      <c r="F451" s="32"/>
    </row>
    <row r="452" customFormat="false" ht="15" hidden="false" customHeight="false" outlineLevel="0" collapsed="false">
      <c r="A452" s="35"/>
      <c r="B452" s="32"/>
      <c r="C452" s="32"/>
      <c r="D452" s="32"/>
      <c r="E452" s="32"/>
      <c r="F452" s="32"/>
    </row>
    <row r="453" customFormat="false" ht="15" hidden="false" customHeight="false" outlineLevel="0" collapsed="false">
      <c r="A453" s="35"/>
      <c r="B453" s="32"/>
      <c r="C453" s="32"/>
      <c r="D453" s="32"/>
      <c r="E453" s="32"/>
      <c r="F453" s="32"/>
    </row>
    <row r="454" customFormat="false" ht="15" hidden="false" customHeight="false" outlineLevel="0" collapsed="false">
      <c r="A454" s="35"/>
      <c r="B454" s="32"/>
      <c r="C454" s="32"/>
      <c r="D454" s="32"/>
      <c r="E454" s="32"/>
      <c r="F454" s="32"/>
    </row>
    <row r="455" customFormat="false" ht="15" hidden="false" customHeight="false" outlineLevel="0" collapsed="false">
      <c r="A455" s="35"/>
      <c r="B455" s="32"/>
      <c r="C455" s="32"/>
      <c r="D455" s="32"/>
      <c r="E455" s="32"/>
      <c r="F455" s="32"/>
    </row>
    <row r="456" customFormat="false" ht="15" hidden="false" customHeight="false" outlineLevel="0" collapsed="false">
      <c r="A456" s="35"/>
      <c r="B456" s="32"/>
      <c r="C456" s="32"/>
      <c r="D456" s="32"/>
      <c r="E456" s="32"/>
      <c r="F456" s="32"/>
    </row>
    <row r="457" customFormat="false" ht="15" hidden="false" customHeight="false" outlineLevel="0" collapsed="false">
      <c r="A457" s="35"/>
      <c r="B457" s="32"/>
      <c r="C457" s="32"/>
      <c r="D457" s="32"/>
      <c r="E457" s="32"/>
      <c r="F457" s="32"/>
    </row>
    <row r="458" customFormat="false" ht="15" hidden="false" customHeight="false" outlineLevel="0" collapsed="false">
      <c r="A458" s="35"/>
      <c r="B458" s="32"/>
      <c r="C458" s="32"/>
      <c r="D458" s="32"/>
      <c r="E458" s="32"/>
      <c r="F458" s="32"/>
    </row>
    <row r="459" customFormat="false" ht="15" hidden="false" customHeight="false" outlineLevel="0" collapsed="false">
      <c r="A459" s="35"/>
      <c r="B459" s="32"/>
      <c r="C459" s="32"/>
      <c r="D459" s="32"/>
      <c r="E459" s="32"/>
      <c r="F459" s="32"/>
    </row>
    <row r="460" customFormat="false" ht="15" hidden="false" customHeight="false" outlineLevel="0" collapsed="false">
      <c r="A460" s="35"/>
      <c r="B460" s="32"/>
      <c r="C460" s="32"/>
      <c r="D460" s="32"/>
      <c r="E460" s="32"/>
      <c r="F460" s="32"/>
    </row>
    <row r="461" customFormat="false" ht="15" hidden="false" customHeight="false" outlineLevel="0" collapsed="false">
      <c r="A461" s="35"/>
      <c r="B461" s="32"/>
      <c r="C461" s="32"/>
      <c r="D461" s="32"/>
      <c r="E461" s="32"/>
      <c r="F461" s="32"/>
    </row>
    <row r="462" customFormat="false" ht="15" hidden="false" customHeight="false" outlineLevel="0" collapsed="false">
      <c r="A462" s="35"/>
      <c r="B462" s="32"/>
      <c r="C462" s="32"/>
      <c r="D462" s="32"/>
      <c r="E462" s="32"/>
      <c r="F462" s="32"/>
    </row>
    <row r="463" customFormat="false" ht="15" hidden="false" customHeight="false" outlineLevel="0" collapsed="false">
      <c r="A463" s="35"/>
      <c r="B463" s="32"/>
      <c r="C463" s="32"/>
      <c r="D463" s="32"/>
      <c r="E463" s="32"/>
      <c r="F463" s="32"/>
    </row>
    <row r="464" customFormat="false" ht="15" hidden="false" customHeight="false" outlineLevel="0" collapsed="false">
      <c r="A464" s="35"/>
      <c r="B464" s="32"/>
      <c r="C464" s="32"/>
      <c r="D464" s="32"/>
      <c r="E464" s="32"/>
      <c r="F464" s="32"/>
    </row>
    <row r="465" customFormat="false" ht="15" hidden="false" customHeight="false" outlineLevel="0" collapsed="false">
      <c r="A465" s="35"/>
      <c r="B465" s="32"/>
      <c r="C465" s="32"/>
      <c r="D465" s="32"/>
      <c r="E465" s="32"/>
      <c r="F465" s="32"/>
    </row>
    <row r="466" customFormat="false" ht="15" hidden="false" customHeight="false" outlineLevel="0" collapsed="false">
      <c r="A466" s="35"/>
      <c r="B466" s="32"/>
      <c r="C466" s="32"/>
      <c r="D466" s="32"/>
      <c r="E466" s="32"/>
      <c r="F466" s="32"/>
    </row>
    <row r="467" customFormat="false" ht="15" hidden="false" customHeight="false" outlineLevel="0" collapsed="false">
      <c r="A467" s="35"/>
      <c r="B467" s="32"/>
      <c r="C467" s="32"/>
      <c r="D467" s="32"/>
      <c r="E467" s="32"/>
      <c r="F467" s="32"/>
    </row>
    <row r="468" customFormat="false" ht="15" hidden="false" customHeight="false" outlineLevel="0" collapsed="false">
      <c r="A468" s="35"/>
      <c r="B468" s="32"/>
      <c r="C468" s="32"/>
      <c r="D468" s="32"/>
      <c r="E468" s="32"/>
      <c r="F468" s="32"/>
    </row>
    <row r="469" customFormat="false" ht="15" hidden="false" customHeight="false" outlineLevel="0" collapsed="false">
      <c r="A469" s="35"/>
      <c r="B469" s="32"/>
      <c r="C469" s="32"/>
      <c r="D469" s="32"/>
      <c r="E469" s="32"/>
      <c r="F469" s="32"/>
    </row>
    <row r="470" customFormat="false" ht="15" hidden="false" customHeight="false" outlineLevel="0" collapsed="false">
      <c r="A470" s="35"/>
      <c r="B470" s="32"/>
      <c r="C470" s="32"/>
      <c r="D470" s="32"/>
      <c r="E470" s="32"/>
      <c r="F470" s="32"/>
    </row>
    <row r="471" customFormat="false" ht="15" hidden="false" customHeight="false" outlineLevel="0" collapsed="false">
      <c r="A471" s="35"/>
      <c r="B471" s="32"/>
      <c r="C471" s="32"/>
      <c r="D471" s="32"/>
      <c r="E471" s="32"/>
      <c r="F471" s="32"/>
    </row>
    <row r="472" customFormat="false" ht="15" hidden="false" customHeight="false" outlineLevel="0" collapsed="false">
      <c r="A472" s="35"/>
      <c r="B472" s="32"/>
      <c r="C472" s="32"/>
      <c r="D472" s="32"/>
      <c r="E472" s="32"/>
      <c r="F472" s="32"/>
    </row>
    <row r="473" customFormat="false" ht="15" hidden="false" customHeight="false" outlineLevel="0" collapsed="false">
      <c r="A473" s="35"/>
      <c r="B473" s="32"/>
      <c r="C473" s="32"/>
      <c r="D473" s="32"/>
      <c r="E473" s="32"/>
      <c r="F473" s="32"/>
    </row>
    <row r="474" customFormat="false" ht="15" hidden="false" customHeight="false" outlineLevel="0" collapsed="false">
      <c r="A474" s="35"/>
      <c r="B474" s="32"/>
      <c r="C474" s="32"/>
      <c r="D474" s="32"/>
      <c r="E474" s="32"/>
      <c r="F474" s="32"/>
    </row>
    <row r="475" customFormat="false" ht="15" hidden="false" customHeight="false" outlineLevel="0" collapsed="false">
      <c r="A475" s="35"/>
      <c r="B475" s="32"/>
      <c r="C475" s="32"/>
      <c r="D475" s="32"/>
      <c r="E475" s="32"/>
      <c r="F475" s="32"/>
    </row>
    <row r="476" customFormat="false" ht="15" hidden="false" customHeight="false" outlineLevel="0" collapsed="false">
      <c r="A476" s="35"/>
      <c r="B476" s="32"/>
      <c r="C476" s="32"/>
      <c r="D476" s="32"/>
      <c r="E476" s="32"/>
      <c r="F476" s="32"/>
    </row>
    <row r="477" customFormat="false" ht="15" hidden="false" customHeight="false" outlineLevel="0" collapsed="false">
      <c r="A477" s="35"/>
      <c r="B477" s="32"/>
      <c r="C477" s="32"/>
      <c r="D477" s="32"/>
      <c r="E477" s="32"/>
      <c r="F477" s="32"/>
    </row>
    <row r="478" customFormat="false" ht="15" hidden="false" customHeight="false" outlineLevel="0" collapsed="false">
      <c r="A478" s="35"/>
      <c r="B478" s="32"/>
      <c r="C478" s="32"/>
      <c r="D478" s="32"/>
      <c r="E478" s="32"/>
      <c r="F478" s="32"/>
    </row>
    <row r="479" customFormat="false" ht="15" hidden="false" customHeight="false" outlineLevel="0" collapsed="false">
      <c r="A479" s="35"/>
      <c r="B479" s="32"/>
      <c r="C479" s="32"/>
      <c r="D479" s="32"/>
      <c r="E479" s="32"/>
      <c r="F479" s="32"/>
    </row>
    <row r="480" customFormat="false" ht="15" hidden="false" customHeight="false" outlineLevel="0" collapsed="false">
      <c r="A480" s="35"/>
      <c r="B480" s="32"/>
      <c r="C480" s="32"/>
      <c r="D480" s="32"/>
      <c r="E480" s="32"/>
      <c r="F480" s="32"/>
    </row>
    <row r="481" customFormat="false" ht="15" hidden="false" customHeight="false" outlineLevel="0" collapsed="false">
      <c r="A481" s="35"/>
      <c r="B481" s="32"/>
      <c r="C481" s="32"/>
      <c r="D481" s="32"/>
      <c r="E481" s="32"/>
      <c r="F481" s="32"/>
    </row>
    <row r="482" customFormat="false" ht="15" hidden="false" customHeight="false" outlineLevel="0" collapsed="false">
      <c r="A482" s="35"/>
      <c r="B482" s="32"/>
      <c r="C482" s="32"/>
      <c r="D482" s="32"/>
      <c r="E482" s="32"/>
      <c r="F482" s="32"/>
    </row>
    <row r="483" customFormat="false" ht="15" hidden="false" customHeight="false" outlineLevel="0" collapsed="false">
      <c r="A483" s="35"/>
      <c r="B483" s="32"/>
      <c r="C483" s="32"/>
      <c r="D483" s="32"/>
      <c r="E483" s="32"/>
      <c r="F483" s="32"/>
    </row>
    <row r="484" customFormat="false" ht="15" hidden="false" customHeight="false" outlineLevel="0" collapsed="false">
      <c r="A484" s="35"/>
      <c r="B484" s="32"/>
      <c r="C484" s="32"/>
      <c r="D484" s="32"/>
      <c r="E484" s="32"/>
      <c r="F484" s="32"/>
    </row>
    <row r="485" customFormat="false" ht="15" hidden="false" customHeight="false" outlineLevel="0" collapsed="false">
      <c r="A485" s="35"/>
      <c r="B485" s="32"/>
      <c r="C485" s="32"/>
      <c r="D485" s="32"/>
      <c r="E485" s="32"/>
      <c r="F485" s="32"/>
    </row>
    <row r="486" customFormat="false" ht="15" hidden="false" customHeight="false" outlineLevel="0" collapsed="false">
      <c r="A486" s="35"/>
      <c r="B486" s="32"/>
      <c r="C486" s="32"/>
      <c r="D486" s="32"/>
      <c r="E486" s="32"/>
      <c r="F486" s="32"/>
    </row>
    <row r="487" customFormat="false" ht="15" hidden="false" customHeight="false" outlineLevel="0" collapsed="false">
      <c r="A487" s="35"/>
      <c r="B487" s="32"/>
      <c r="C487" s="32"/>
      <c r="D487" s="32"/>
      <c r="E487" s="32"/>
      <c r="F487" s="32"/>
    </row>
    <row r="488" customFormat="false" ht="15" hidden="false" customHeight="false" outlineLevel="0" collapsed="false">
      <c r="A488" s="35"/>
      <c r="B488" s="32"/>
      <c r="C488" s="32"/>
      <c r="D488" s="32"/>
      <c r="E488" s="32"/>
      <c r="F488" s="32"/>
    </row>
    <row r="489" customFormat="false" ht="15" hidden="false" customHeight="false" outlineLevel="0" collapsed="false">
      <c r="A489" s="35"/>
      <c r="B489" s="32"/>
      <c r="C489" s="32"/>
      <c r="D489" s="32"/>
      <c r="E489" s="32"/>
      <c r="F489" s="32"/>
    </row>
    <row r="490" customFormat="false" ht="15" hidden="false" customHeight="false" outlineLevel="0" collapsed="false">
      <c r="A490" s="35"/>
      <c r="B490" s="32"/>
      <c r="C490" s="32"/>
      <c r="D490" s="32"/>
      <c r="E490" s="32"/>
      <c r="F490" s="32"/>
    </row>
    <row r="491" customFormat="false" ht="15" hidden="false" customHeight="false" outlineLevel="0" collapsed="false">
      <c r="A491" s="35"/>
      <c r="B491" s="32"/>
      <c r="C491" s="32"/>
      <c r="D491" s="32"/>
      <c r="E491" s="32"/>
      <c r="F491" s="32"/>
    </row>
    <row r="492" customFormat="false" ht="15" hidden="false" customHeight="false" outlineLevel="0" collapsed="false">
      <c r="A492" s="35"/>
      <c r="B492" s="32"/>
      <c r="C492" s="32"/>
      <c r="D492" s="32"/>
      <c r="E492" s="32"/>
      <c r="F492" s="32"/>
    </row>
    <row r="493" customFormat="false" ht="15" hidden="false" customHeight="false" outlineLevel="0" collapsed="false">
      <c r="A493" s="35"/>
      <c r="B493" s="32"/>
      <c r="C493" s="32"/>
      <c r="D493" s="32"/>
      <c r="E493" s="32"/>
      <c r="F493" s="32"/>
    </row>
    <row r="494" customFormat="false" ht="15" hidden="false" customHeight="false" outlineLevel="0" collapsed="false">
      <c r="A494" s="35"/>
      <c r="B494" s="32"/>
      <c r="C494" s="32"/>
      <c r="D494" s="32"/>
      <c r="E494" s="32"/>
      <c r="F494" s="32"/>
    </row>
    <row r="495" customFormat="false" ht="15" hidden="false" customHeight="false" outlineLevel="0" collapsed="false">
      <c r="A495" s="35"/>
      <c r="B495" s="32"/>
      <c r="C495" s="32"/>
      <c r="D495" s="32"/>
      <c r="E495" s="32"/>
      <c r="F495" s="32"/>
    </row>
    <row r="496" customFormat="false" ht="15" hidden="false" customHeight="false" outlineLevel="0" collapsed="false">
      <c r="A496" s="35"/>
      <c r="B496" s="32"/>
      <c r="C496" s="32"/>
      <c r="D496" s="32"/>
      <c r="E496" s="32"/>
      <c r="F496" s="32"/>
    </row>
    <row r="497" customFormat="false" ht="15" hidden="false" customHeight="false" outlineLevel="0" collapsed="false">
      <c r="A497" s="35"/>
      <c r="B497" s="32"/>
      <c r="C497" s="32"/>
      <c r="D497" s="32"/>
      <c r="E497" s="32"/>
      <c r="F497" s="32"/>
    </row>
    <row r="498" customFormat="false" ht="15" hidden="false" customHeight="false" outlineLevel="0" collapsed="false">
      <c r="A498" s="35"/>
      <c r="B498" s="32"/>
      <c r="C498" s="32"/>
      <c r="D498" s="32"/>
      <c r="E498" s="32"/>
      <c r="F498" s="32"/>
    </row>
    <row r="499" customFormat="false" ht="15" hidden="false" customHeight="false" outlineLevel="0" collapsed="false">
      <c r="A499" s="35"/>
      <c r="B499" s="32"/>
      <c r="C499" s="32"/>
      <c r="D499" s="32"/>
      <c r="E499" s="32"/>
      <c r="F499" s="32"/>
    </row>
    <row r="500" customFormat="false" ht="15" hidden="false" customHeight="false" outlineLevel="0" collapsed="false">
      <c r="A500" s="35"/>
      <c r="B500" s="32"/>
      <c r="C500" s="32"/>
      <c r="D500" s="32"/>
      <c r="E500" s="32"/>
      <c r="F500" s="32"/>
    </row>
    <row r="501" customFormat="false" ht="15" hidden="false" customHeight="false" outlineLevel="0" collapsed="false">
      <c r="A501" s="35"/>
      <c r="B501" s="32"/>
      <c r="C501" s="32"/>
      <c r="D501" s="32"/>
      <c r="E501" s="32"/>
      <c r="F501" s="32"/>
    </row>
    <row r="502" customFormat="false" ht="15" hidden="false" customHeight="false" outlineLevel="0" collapsed="false">
      <c r="A502" s="35"/>
      <c r="B502" s="32"/>
      <c r="C502" s="32"/>
      <c r="D502" s="32"/>
      <c r="E502" s="32"/>
      <c r="F502" s="32"/>
    </row>
    <row r="503" customFormat="false" ht="15" hidden="false" customHeight="false" outlineLevel="0" collapsed="false">
      <c r="A503" s="35"/>
      <c r="B503" s="32"/>
      <c r="C503" s="32"/>
      <c r="D503" s="32"/>
      <c r="E503" s="32"/>
      <c r="F503" s="32"/>
    </row>
    <row r="504" customFormat="false" ht="15" hidden="false" customHeight="false" outlineLevel="0" collapsed="false">
      <c r="A504" s="35"/>
      <c r="B504" s="32"/>
      <c r="C504" s="32"/>
      <c r="D504" s="32"/>
      <c r="E504" s="32"/>
      <c r="F504" s="32"/>
    </row>
    <row r="505" customFormat="false" ht="15" hidden="false" customHeight="false" outlineLevel="0" collapsed="false">
      <c r="A505" s="35"/>
      <c r="B505" s="32"/>
      <c r="C505" s="32"/>
      <c r="D505" s="32"/>
      <c r="E505" s="32"/>
      <c r="F505" s="32"/>
    </row>
    <row r="506" customFormat="false" ht="15" hidden="false" customHeight="false" outlineLevel="0" collapsed="false">
      <c r="A506" s="35"/>
      <c r="B506" s="32"/>
      <c r="C506" s="32"/>
      <c r="D506" s="32"/>
      <c r="E506" s="32"/>
      <c r="F506" s="32"/>
    </row>
    <row r="507" customFormat="false" ht="15" hidden="false" customHeight="false" outlineLevel="0" collapsed="false">
      <c r="A507" s="35"/>
      <c r="B507" s="32"/>
      <c r="C507" s="32"/>
      <c r="D507" s="32"/>
      <c r="E507" s="32"/>
      <c r="F507" s="32"/>
    </row>
    <row r="508" customFormat="false" ht="15" hidden="false" customHeight="false" outlineLevel="0" collapsed="false">
      <c r="A508" s="35"/>
      <c r="B508" s="32"/>
      <c r="C508" s="32"/>
      <c r="D508" s="32"/>
      <c r="E508" s="32"/>
      <c r="F508" s="32"/>
    </row>
    <row r="509" customFormat="false" ht="15" hidden="false" customHeight="false" outlineLevel="0" collapsed="false">
      <c r="A509" s="35"/>
      <c r="B509" s="32"/>
      <c r="C509" s="32"/>
      <c r="D509" s="32"/>
      <c r="E509" s="32"/>
      <c r="F509" s="32"/>
    </row>
    <row r="510" customFormat="false" ht="15" hidden="false" customHeight="false" outlineLevel="0" collapsed="false">
      <c r="A510" s="35"/>
      <c r="B510" s="32"/>
      <c r="C510" s="32"/>
      <c r="D510" s="32"/>
      <c r="E510" s="32"/>
      <c r="F510" s="32"/>
    </row>
    <row r="511" customFormat="false" ht="15" hidden="false" customHeight="false" outlineLevel="0" collapsed="false">
      <c r="A511" s="35"/>
      <c r="B511" s="32"/>
      <c r="C511" s="32"/>
      <c r="D511" s="32"/>
      <c r="E511" s="32"/>
      <c r="F511" s="32"/>
    </row>
    <row r="512" customFormat="false" ht="15" hidden="false" customHeight="false" outlineLevel="0" collapsed="false">
      <c r="A512" s="35"/>
      <c r="B512" s="32"/>
      <c r="C512" s="32"/>
      <c r="D512" s="32"/>
      <c r="E512" s="32"/>
      <c r="F512" s="32"/>
    </row>
    <row r="513" customFormat="false" ht="15" hidden="false" customHeight="false" outlineLevel="0" collapsed="false">
      <c r="A513" s="35"/>
      <c r="B513" s="32"/>
      <c r="C513" s="32"/>
      <c r="D513" s="32"/>
      <c r="E513" s="32"/>
      <c r="F513" s="32"/>
    </row>
    <row r="514" customFormat="false" ht="15" hidden="false" customHeight="false" outlineLevel="0" collapsed="false">
      <c r="A514" s="35"/>
      <c r="B514" s="32"/>
      <c r="C514" s="32"/>
      <c r="D514" s="32"/>
      <c r="E514" s="32"/>
      <c r="F514" s="32"/>
    </row>
    <row r="515" customFormat="false" ht="15" hidden="false" customHeight="false" outlineLevel="0" collapsed="false">
      <c r="A515" s="35"/>
      <c r="B515" s="32"/>
      <c r="C515" s="32"/>
      <c r="D515" s="32"/>
      <c r="E515" s="32"/>
      <c r="F515" s="32"/>
    </row>
    <row r="516" customFormat="false" ht="15" hidden="false" customHeight="false" outlineLevel="0" collapsed="false">
      <c r="A516" s="35"/>
      <c r="B516" s="32"/>
      <c r="C516" s="32"/>
      <c r="D516" s="32"/>
      <c r="E516" s="32"/>
      <c r="F516" s="32"/>
    </row>
    <row r="517" customFormat="false" ht="15" hidden="false" customHeight="false" outlineLevel="0" collapsed="false">
      <c r="A517" s="35"/>
      <c r="B517" s="32"/>
      <c r="C517" s="32"/>
      <c r="D517" s="32"/>
      <c r="E517" s="32"/>
      <c r="F517" s="32"/>
    </row>
    <row r="518" customFormat="false" ht="15" hidden="false" customHeight="false" outlineLevel="0" collapsed="false">
      <c r="A518" s="35"/>
      <c r="B518" s="32"/>
      <c r="C518" s="32"/>
      <c r="D518" s="32"/>
      <c r="E518" s="32"/>
      <c r="F518" s="32"/>
    </row>
    <row r="519" customFormat="false" ht="15" hidden="false" customHeight="false" outlineLevel="0" collapsed="false">
      <c r="A519" s="35"/>
      <c r="B519" s="32"/>
      <c r="C519" s="32"/>
      <c r="D519" s="32"/>
      <c r="E519" s="32"/>
      <c r="F519" s="32"/>
    </row>
    <row r="520" customFormat="false" ht="15" hidden="false" customHeight="false" outlineLevel="0" collapsed="false">
      <c r="A520" s="35"/>
      <c r="B520" s="32"/>
      <c r="C520" s="32"/>
      <c r="D520" s="32"/>
      <c r="E520" s="32"/>
      <c r="F520" s="32"/>
    </row>
    <row r="521" customFormat="false" ht="15" hidden="false" customHeight="false" outlineLevel="0" collapsed="false">
      <c r="A521" s="35"/>
      <c r="B521" s="32"/>
      <c r="C521" s="32"/>
      <c r="D521" s="32"/>
      <c r="E521" s="32"/>
      <c r="F521" s="32"/>
    </row>
    <row r="522" customFormat="false" ht="15" hidden="false" customHeight="false" outlineLevel="0" collapsed="false">
      <c r="A522" s="35"/>
      <c r="B522" s="32"/>
      <c r="C522" s="32"/>
      <c r="D522" s="32"/>
      <c r="E522" s="32"/>
      <c r="F522" s="32"/>
    </row>
    <row r="523" customFormat="false" ht="15" hidden="false" customHeight="false" outlineLevel="0" collapsed="false">
      <c r="A523" s="35"/>
      <c r="B523" s="32"/>
      <c r="C523" s="32"/>
      <c r="D523" s="32"/>
      <c r="E523" s="32"/>
      <c r="F523" s="32"/>
    </row>
    <row r="524" customFormat="false" ht="15" hidden="false" customHeight="false" outlineLevel="0" collapsed="false">
      <c r="A524" s="35"/>
      <c r="B524" s="32"/>
      <c r="C524" s="32"/>
      <c r="D524" s="32"/>
      <c r="E524" s="32"/>
      <c r="F524" s="32"/>
    </row>
    <row r="525" customFormat="false" ht="15" hidden="false" customHeight="false" outlineLevel="0" collapsed="false">
      <c r="A525" s="35"/>
      <c r="B525" s="32"/>
      <c r="C525" s="32"/>
      <c r="D525" s="32"/>
      <c r="E525" s="32"/>
      <c r="F525" s="32"/>
    </row>
    <row r="526" customFormat="false" ht="15" hidden="false" customHeight="false" outlineLevel="0" collapsed="false">
      <c r="A526" s="35"/>
      <c r="B526" s="32"/>
      <c r="C526" s="32"/>
      <c r="D526" s="32"/>
      <c r="E526" s="32"/>
      <c r="F526" s="32"/>
    </row>
    <row r="527" customFormat="false" ht="15" hidden="false" customHeight="false" outlineLevel="0" collapsed="false">
      <c r="A527" s="35"/>
      <c r="B527" s="32"/>
      <c r="C527" s="32"/>
      <c r="D527" s="32"/>
      <c r="E527" s="32"/>
      <c r="F527" s="32"/>
    </row>
    <row r="528" customFormat="false" ht="15" hidden="false" customHeight="false" outlineLevel="0" collapsed="false">
      <c r="A528" s="35"/>
      <c r="B528" s="32"/>
      <c r="C528" s="32"/>
      <c r="D528" s="32"/>
      <c r="E528" s="32"/>
      <c r="F528" s="32"/>
    </row>
    <row r="529" customFormat="false" ht="15" hidden="false" customHeight="false" outlineLevel="0" collapsed="false">
      <c r="A529" s="35"/>
      <c r="B529" s="32"/>
      <c r="C529" s="32"/>
      <c r="D529" s="32"/>
      <c r="E529" s="32"/>
      <c r="F529" s="32"/>
    </row>
    <row r="530" customFormat="false" ht="15" hidden="false" customHeight="false" outlineLevel="0" collapsed="false">
      <c r="A530" s="35"/>
      <c r="B530" s="32"/>
      <c r="C530" s="32"/>
      <c r="D530" s="32"/>
      <c r="E530" s="32"/>
      <c r="F530" s="32"/>
    </row>
    <row r="531" customFormat="false" ht="15" hidden="false" customHeight="false" outlineLevel="0" collapsed="false">
      <c r="A531" s="35"/>
      <c r="B531" s="32"/>
      <c r="C531" s="32"/>
      <c r="D531" s="32"/>
      <c r="E531" s="32"/>
      <c r="F531" s="32"/>
    </row>
    <row r="532" customFormat="false" ht="15" hidden="false" customHeight="false" outlineLevel="0" collapsed="false">
      <c r="A532" s="35"/>
      <c r="B532" s="32"/>
      <c r="C532" s="32"/>
      <c r="D532" s="32"/>
      <c r="E532" s="32"/>
      <c r="F532" s="32"/>
    </row>
    <row r="533" customFormat="false" ht="15" hidden="false" customHeight="false" outlineLevel="0" collapsed="false">
      <c r="A533" s="35"/>
      <c r="B533" s="32"/>
      <c r="C533" s="32"/>
      <c r="D533" s="32"/>
      <c r="E533" s="32"/>
      <c r="F533" s="32"/>
    </row>
    <row r="534" customFormat="false" ht="15" hidden="false" customHeight="false" outlineLevel="0" collapsed="false">
      <c r="A534" s="35"/>
      <c r="B534" s="32"/>
      <c r="C534" s="32"/>
      <c r="D534" s="32"/>
      <c r="E534" s="32"/>
      <c r="F534" s="32"/>
    </row>
    <row r="535" customFormat="false" ht="15" hidden="false" customHeight="false" outlineLevel="0" collapsed="false">
      <c r="A535" s="35"/>
      <c r="B535" s="32"/>
      <c r="C535" s="32"/>
      <c r="D535" s="32"/>
      <c r="E535" s="32"/>
      <c r="F535" s="32"/>
    </row>
    <row r="536" customFormat="false" ht="15" hidden="false" customHeight="false" outlineLevel="0" collapsed="false">
      <c r="A536" s="35"/>
      <c r="B536" s="32"/>
      <c r="C536" s="32"/>
      <c r="D536" s="32"/>
      <c r="E536" s="32"/>
      <c r="F536" s="32"/>
    </row>
    <row r="537" customFormat="false" ht="15" hidden="false" customHeight="false" outlineLevel="0" collapsed="false">
      <c r="A537" s="35"/>
      <c r="B537" s="32"/>
      <c r="C537" s="32"/>
      <c r="D537" s="32"/>
      <c r="E537" s="32"/>
      <c r="F537" s="32"/>
    </row>
    <row r="538" customFormat="false" ht="15" hidden="false" customHeight="false" outlineLevel="0" collapsed="false">
      <c r="A538" s="35"/>
      <c r="B538" s="32"/>
      <c r="C538" s="32"/>
      <c r="D538" s="32"/>
      <c r="E538" s="32"/>
      <c r="F538" s="32"/>
    </row>
    <row r="539" customFormat="false" ht="15" hidden="false" customHeight="false" outlineLevel="0" collapsed="false">
      <c r="A539" s="35"/>
      <c r="B539" s="32"/>
      <c r="C539" s="32"/>
      <c r="D539" s="32"/>
      <c r="E539" s="32"/>
      <c r="F539" s="32"/>
    </row>
    <row r="540" customFormat="false" ht="15" hidden="false" customHeight="false" outlineLevel="0" collapsed="false">
      <c r="A540" s="35"/>
      <c r="B540" s="32"/>
      <c r="C540" s="32"/>
      <c r="D540" s="32"/>
      <c r="E540" s="32"/>
      <c r="F540" s="32"/>
    </row>
    <row r="541" customFormat="false" ht="15" hidden="false" customHeight="false" outlineLevel="0" collapsed="false">
      <c r="A541" s="35"/>
      <c r="B541" s="32"/>
      <c r="C541" s="32"/>
      <c r="D541" s="32"/>
      <c r="E541" s="32"/>
      <c r="F541" s="32"/>
    </row>
    <row r="542" customFormat="false" ht="15" hidden="false" customHeight="false" outlineLevel="0" collapsed="false">
      <c r="A542" s="35"/>
      <c r="B542" s="32"/>
      <c r="C542" s="32"/>
      <c r="D542" s="32"/>
      <c r="E542" s="32"/>
      <c r="F542" s="32"/>
    </row>
    <row r="543" customFormat="false" ht="15" hidden="false" customHeight="false" outlineLevel="0" collapsed="false">
      <c r="A543" s="35"/>
      <c r="B543" s="32"/>
      <c r="C543" s="32"/>
      <c r="D543" s="32"/>
      <c r="E543" s="32"/>
      <c r="F543" s="32"/>
    </row>
    <row r="544" customFormat="false" ht="15" hidden="false" customHeight="false" outlineLevel="0" collapsed="false">
      <c r="A544" s="35"/>
      <c r="B544" s="32"/>
      <c r="C544" s="32"/>
      <c r="D544" s="32"/>
      <c r="E544" s="32"/>
      <c r="F544" s="32"/>
    </row>
    <row r="545" customFormat="false" ht="15" hidden="false" customHeight="false" outlineLevel="0" collapsed="false">
      <c r="A545" s="35"/>
      <c r="B545" s="32"/>
      <c r="C545" s="32"/>
      <c r="D545" s="32"/>
      <c r="E545" s="32"/>
      <c r="F545" s="32"/>
    </row>
    <row r="546" customFormat="false" ht="15" hidden="false" customHeight="false" outlineLevel="0" collapsed="false">
      <c r="A546" s="35"/>
      <c r="B546" s="32"/>
      <c r="C546" s="32"/>
      <c r="D546" s="32"/>
      <c r="E546" s="32"/>
      <c r="F546" s="32"/>
    </row>
    <row r="547" customFormat="false" ht="15" hidden="false" customHeight="false" outlineLevel="0" collapsed="false">
      <c r="A547" s="35"/>
      <c r="B547" s="32"/>
      <c r="C547" s="32"/>
      <c r="D547" s="32"/>
      <c r="E547" s="32"/>
      <c r="F547" s="32"/>
    </row>
    <row r="548" customFormat="false" ht="15" hidden="false" customHeight="false" outlineLevel="0" collapsed="false">
      <c r="A548" s="35"/>
      <c r="B548" s="32"/>
      <c r="C548" s="32"/>
      <c r="D548" s="32"/>
      <c r="E548" s="32"/>
      <c r="F548" s="32"/>
    </row>
    <row r="549" customFormat="false" ht="15" hidden="false" customHeight="false" outlineLevel="0" collapsed="false">
      <c r="A549" s="35"/>
      <c r="B549" s="32"/>
      <c r="C549" s="32"/>
      <c r="D549" s="32"/>
      <c r="E549" s="32"/>
      <c r="F549" s="32"/>
    </row>
    <row r="550" customFormat="false" ht="15" hidden="false" customHeight="false" outlineLevel="0" collapsed="false">
      <c r="A550" s="35"/>
      <c r="B550" s="32"/>
      <c r="C550" s="32"/>
      <c r="D550" s="32"/>
      <c r="E550" s="32"/>
      <c r="F550" s="32"/>
    </row>
    <row r="551" customFormat="false" ht="15" hidden="false" customHeight="false" outlineLevel="0" collapsed="false">
      <c r="A551" s="35"/>
      <c r="B551" s="32"/>
      <c r="C551" s="32"/>
      <c r="D551" s="32"/>
      <c r="E551" s="32"/>
      <c r="F551" s="32"/>
    </row>
    <row r="552" customFormat="false" ht="15" hidden="false" customHeight="false" outlineLevel="0" collapsed="false">
      <c r="A552" s="35"/>
      <c r="B552" s="32"/>
      <c r="C552" s="32"/>
      <c r="D552" s="32"/>
      <c r="E552" s="32"/>
      <c r="F552" s="32"/>
    </row>
    <row r="553" customFormat="false" ht="15" hidden="false" customHeight="false" outlineLevel="0" collapsed="false">
      <c r="A553" s="35"/>
      <c r="B553" s="32"/>
      <c r="C553" s="32"/>
      <c r="D553" s="32"/>
      <c r="E553" s="32"/>
      <c r="F553" s="32"/>
    </row>
    <row r="554" customFormat="false" ht="15" hidden="false" customHeight="false" outlineLevel="0" collapsed="false">
      <c r="A554" s="35"/>
      <c r="B554" s="32"/>
      <c r="C554" s="32"/>
      <c r="D554" s="32"/>
      <c r="E554" s="32"/>
      <c r="F554" s="32"/>
    </row>
    <row r="555" customFormat="false" ht="15" hidden="false" customHeight="false" outlineLevel="0" collapsed="false">
      <c r="A555" s="35"/>
      <c r="B555" s="32"/>
      <c r="C555" s="32"/>
      <c r="D555" s="32"/>
      <c r="E555" s="32"/>
      <c r="F555" s="32"/>
    </row>
    <row r="556" customFormat="false" ht="15" hidden="false" customHeight="false" outlineLevel="0" collapsed="false">
      <c r="A556" s="35"/>
      <c r="B556" s="32"/>
      <c r="C556" s="32"/>
      <c r="D556" s="32"/>
      <c r="E556" s="32"/>
      <c r="F556" s="32"/>
    </row>
    <row r="557" customFormat="false" ht="15" hidden="false" customHeight="false" outlineLevel="0" collapsed="false">
      <c r="A557" s="35"/>
      <c r="B557" s="32"/>
      <c r="C557" s="32"/>
      <c r="D557" s="32"/>
      <c r="E557" s="32"/>
      <c r="F557" s="32"/>
    </row>
    <row r="558" customFormat="false" ht="15" hidden="false" customHeight="false" outlineLevel="0" collapsed="false">
      <c r="A558" s="35"/>
      <c r="B558" s="32"/>
      <c r="C558" s="32"/>
      <c r="D558" s="32"/>
      <c r="E558" s="32"/>
      <c r="F558" s="32"/>
    </row>
    <row r="559" customFormat="false" ht="15" hidden="false" customHeight="false" outlineLevel="0" collapsed="false">
      <c r="A559" s="35"/>
      <c r="B559" s="32"/>
      <c r="C559" s="32"/>
      <c r="D559" s="32"/>
      <c r="E559" s="32"/>
      <c r="F559" s="32"/>
    </row>
    <row r="560" customFormat="false" ht="15" hidden="false" customHeight="false" outlineLevel="0" collapsed="false">
      <c r="A560" s="35"/>
      <c r="B560" s="32"/>
      <c r="C560" s="32"/>
      <c r="D560" s="32"/>
      <c r="E560" s="32"/>
      <c r="F560" s="32"/>
    </row>
    <row r="561" customFormat="false" ht="15" hidden="false" customHeight="false" outlineLevel="0" collapsed="false">
      <c r="A561" s="35"/>
      <c r="B561" s="32"/>
      <c r="C561" s="32"/>
      <c r="D561" s="32"/>
      <c r="E561" s="32"/>
      <c r="F561" s="32"/>
    </row>
    <row r="562" customFormat="false" ht="15" hidden="false" customHeight="false" outlineLevel="0" collapsed="false">
      <c r="A562" s="35"/>
      <c r="B562" s="32"/>
      <c r="C562" s="32"/>
      <c r="D562" s="32"/>
      <c r="E562" s="32"/>
      <c r="F562" s="32"/>
    </row>
    <row r="563" customFormat="false" ht="15" hidden="false" customHeight="false" outlineLevel="0" collapsed="false">
      <c r="A563" s="35"/>
      <c r="B563" s="32"/>
      <c r="C563" s="32"/>
      <c r="D563" s="32"/>
      <c r="E563" s="32"/>
      <c r="F563" s="32"/>
    </row>
    <row r="564" customFormat="false" ht="15" hidden="false" customHeight="false" outlineLevel="0" collapsed="false">
      <c r="A564" s="35"/>
      <c r="B564" s="32"/>
      <c r="C564" s="32"/>
      <c r="D564" s="32"/>
      <c r="E564" s="32"/>
      <c r="F564" s="32"/>
    </row>
    <row r="565" customFormat="false" ht="15" hidden="false" customHeight="false" outlineLevel="0" collapsed="false">
      <c r="A565" s="35"/>
      <c r="B565" s="32"/>
      <c r="C565" s="32"/>
      <c r="D565" s="32"/>
      <c r="E565" s="32"/>
      <c r="F565" s="32"/>
    </row>
    <row r="566" customFormat="false" ht="15" hidden="false" customHeight="false" outlineLevel="0" collapsed="false">
      <c r="A566" s="35"/>
      <c r="B566" s="32"/>
      <c r="C566" s="32"/>
      <c r="D566" s="32"/>
      <c r="E566" s="32"/>
      <c r="F566" s="32"/>
    </row>
    <row r="567" customFormat="false" ht="15" hidden="false" customHeight="false" outlineLevel="0" collapsed="false">
      <c r="A567" s="35"/>
      <c r="B567" s="32"/>
      <c r="C567" s="32"/>
      <c r="D567" s="32"/>
      <c r="E567" s="32"/>
      <c r="F567" s="32"/>
    </row>
    <row r="568" customFormat="false" ht="15" hidden="false" customHeight="false" outlineLevel="0" collapsed="false">
      <c r="A568" s="35"/>
      <c r="B568" s="32"/>
      <c r="C568" s="32"/>
      <c r="D568" s="32"/>
      <c r="E568" s="32"/>
      <c r="F568" s="32"/>
    </row>
    <row r="569" customFormat="false" ht="15" hidden="false" customHeight="false" outlineLevel="0" collapsed="false">
      <c r="A569" s="35"/>
      <c r="B569" s="32"/>
      <c r="C569" s="32"/>
      <c r="D569" s="32"/>
      <c r="E569" s="32"/>
      <c r="F569" s="32"/>
    </row>
    <row r="570" customFormat="false" ht="15" hidden="false" customHeight="false" outlineLevel="0" collapsed="false">
      <c r="A570" s="35"/>
      <c r="B570" s="32"/>
      <c r="C570" s="32"/>
      <c r="D570" s="32"/>
      <c r="E570" s="32"/>
      <c r="F570" s="32"/>
    </row>
    <row r="571" customFormat="false" ht="15" hidden="false" customHeight="false" outlineLevel="0" collapsed="false">
      <c r="A571" s="35"/>
      <c r="B571" s="32"/>
      <c r="C571" s="32"/>
      <c r="D571" s="32"/>
      <c r="E571" s="32"/>
      <c r="F571" s="32"/>
    </row>
    <row r="572" customFormat="false" ht="15" hidden="false" customHeight="false" outlineLevel="0" collapsed="false">
      <c r="A572" s="35"/>
      <c r="B572" s="32"/>
      <c r="C572" s="32"/>
      <c r="D572" s="32"/>
      <c r="E572" s="32"/>
      <c r="F572" s="32"/>
    </row>
    <row r="573" customFormat="false" ht="15" hidden="false" customHeight="false" outlineLevel="0" collapsed="false">
      <c r="A573" s="35"/>
      <c r="B573" s="32"/>
      <c r="C573" s="32"/>
      <c r="D573" s="32"/>
      <c r="E573" s="32"/>
      <c r="F573" s="32"/>
    </row>
    <row r="574" customFormat="false" ht="15" hidden="false" customHeight="false" outlineLevel="0" collapsed="false">
      <c r="A574" s="35"/>
      <c r="B574" s="32"/>
      <c r="C574" s="32"/>
      <c r="D574" s="32"/>
      <c r="E574" s="32"/>
      <c r="F574" s="32"/>
    </row>
    <row r="575" customFormat="false" ht="15" hidden="false" customHeight="false" outlineLevel="0" collapsed="false">
      <c r="A575" s="35"/>
      <c r="B575" s="32"/>
      <c r="C575" s="32"/>
      <c r="D575" s="32"/>
      <c r="E575" s="32"/>
      <c r="F575" s="32"/>
    </row>
    <row r="576" customFormat="false" ht="15" hidden="false" customHeight="false" outlineLevel="0" collapsed="false">
      <c r="A576" s="35"/>
      <c r="B576" s="32"/>
      <c r="C576" s="32"/>
      <c r="D576" s="32"/>
      <c r="E576" s="32"/>
      <c r="F576" s="32"/>
    </row>
    <row r="577" customFormat="false" ht="15" hidden="false" customHeight="false" outlineLevel="0" collapsed="false">
      <c r="A577" s="35"/>
      <c r="B577" s="32"/>
      <c r="C577" s="32"/>
      <c r="D577" s="32"/>
      <c r="E577" s="32"/>
      <c r="F577" s="32"/>
    </row>
    <row r="578" customFormat="false" ht="15" hidden="false" customHeight="false" outlineLevel="0" collapsed="false">
      <c r="A578" s="35"/>
      <c r="B578" s="32"/>
      <c r="C578" s="32"/>
      <c r="D578" s="32"/>
      <c r="E578" s="32"/>
      <c r="F578" s="32"/>
    </row>
    <row r="579" customFormat="false" ht="15" hidden="false" customHeight="false" outlineLevel="0" collapsed="false">
      <c r="A579" s="35"/>
      <c r="B579" s="32"/>
      <c r="C579" s="32"/>
      <c r="D579" s="32"/>
      <c r="E579" s="32"/>
      <c r="F579" s="32"/>
    </row>
    <row r="580" customFormat="false" ht="15" hidden="false" customHeight="false" outlineLevel="0" collapsed="false">
      <c r="A580" s="35"/>
      <c r="B580" s="32"/>
      <c r="C580" s="32"/>
      <c r="D580" s="32"/>
      <c r="E580" s="32"/>
      <c r="F580" s="32"/>
    </row>
    <row r="581" customFormat="false" ht="15" hidden="false" customHeight="false" outlineLevel="0" collapsed="false">
      <c r="A581" s="35"/>
      <c r="B581" s="32"/>
      <c r="C581" s="32"/>
      <c r="D581" s="32"/>
      <c r="E581" s="32"/>
      <c r="F581" s="32"/>
    </row>
    <row r="582" customFormat="false" ht="15" hidden="false" customHeight="false" outlineLevel="0" collapsed="false">
      <c r="A582" s="35"/>
      <c r="B582" s="32"/>
      <c r="C582" s="32"/>
      <c r="D582" s="32"/>
      <c r="E582" s="32"/>
      <c r="F582" s="32"/>
    </row>
    <row r="583" customFormat="false" ht="15" hidden="false" customHeight="false" outlineLevel="0" collapsed="false">
      <c r="A583" s="35"/>
      <c r="B583" s="32"/>
      <c r="C583" s="32"/>
      <c r="D583" s="32"/>
      <c r="E583" s="32"/>
      <c r="F583" s="32"/>
    </row>
    <row r="584" customFormat="false" ht="15" hidden="false" customHeight="false" outlineLevel="0" collapsed="false">
      <c r="A584" s="35"/>
      <c r="B584" s="32"/>
      <c r="C584" s="32"/>
      <c r="D584" s="32"/>
      <c r="E584" s="32"/>
      <c r="F584" s="32"/>
    </row>
    <row r="585" customFormat="false" ht="15" hidden="false" customHeight="false" outlineLevel="0" collapsed="false">
      <c r="A585" s="35"/>
      <c r="B585" s="32"/>
      <c r="C585" s="32"/>
      <c r="D585" s="32"/>
      <c r="E585" s="32"/>
      <c r="F585" s="32"/>
    </row>
    <row r="586" customFormat="false" ht="15" hidden="false" customHeight="false" outlineLevel="0" collapsed="false">
      <c r="A586" s="35"/>
      <c r="B586" s="32"/>
      <c r="C586" s="32"/>
      <c r="D586" s="32"/>
      <c r="E586" s="32"/>
      <c r="F586" s="32"/>
    </row>
    <row r="587" customFormat="false" ht="15" hidden="false" customHeight="false" outlineLevel="0" collapsed="false">
      <c r="A587" s="35"/>
      <c r="B587" s="32"/>
      <c r="C587" s="32"/>
      <c r="D587" s="32"/>
      <c r="E587" s="32"/>
      <c r="F587" s="32"/>
    </row>
    <row r="588" customFormat="false" ht="15" hidden="false" customHeight="false" outlineLevel="0" collapsed="false">
      <c r="A588" s="35"/>
      <c r="B588" s="32"/>
      <c r="C588" s="32"/>
      <c r="D588" s="32"/>
      <c r="E588" s="32"/>
      <c r="F588" s="32"/>
    </row>
    <row r="589" customFormat="false" ht="15" hidden="false" customHeight="false" outlineLevel="0" collapsed="false">
      <c r="A589" s="35"/>
      <c r="B589" s="32"/>
      <c r="C589" s="32"/>
      <c r="D589" s="32"/>
      <c r="E589" s="32"/>
      <c r="F589" s="32"/>
    </row>
    <row r="590" customFormat="false" ht="15" hidden="false" customHeight="false" outlineLevel="0" collapsed="false">
      <c r="A590" s="35"/>
      <c r="B590" s="32"/>
      <c r="C590" s="32"/>
      <c r="D590" s="32"/>
      <c r="E590" s="32"/>
      <c r="F590" s="32"/>
    </row>
    <row r="591" customFormat="false" ht="15" hidden="false" customHeight="false" outlineLevel="0" collapsed="false">
      <c r="A591" s="35"/>
      <c r="B591" s="32"/>
      <c r="C591" s="32"/>
      <c r="D591" s="32"/>
      <c r="E591" s="32"/>
      <c r="F591" s="32"/>
    </row>
    <row r="592" customFormat="false" ht="15" hidden="false" customHeight="false" outlineLevel="0" collapsed="false">
      <c r="A592" s="35"/>
      <c r="B592" s="32"/>
      <c r="C592" s="32"/>
      <c r="D592" s="32"/>
      <c r="E592" s="32"/>
      <c r="F592" s="32"/>
    </row>
    <row r="593" customFormat="false" ht="15" hidden="false" customHeight="false" outlineLevel="0" collapsed="false">
      <c r="A593" s="35"/>
      <c r="B593" s="32"/>
      <c r="C593" s="32"/>
      <c r="D593" s="32"/>
      <c r="E593" s="32"/>
      <c r="F593" s="32"/>
    </row>
    <row r="594" customFormat="false" ht="15" hidden="false" customHeight="false" outlineLevel="0" collapsed="false">
      <c r="A594" s="35"/>
      <c r="B594" s="32"/>
      <c r="C594" s="32"/>
      <c r="D594" s="32"/>
      <c r="E594" s="32"/>
      <c r="F594" s="32"/>
    </row>
    <row r="595" customFormat="false" ht="15" hidden="false" customHeight="false" outlineLevel="0" collapsed="false">
      <c r="A595" s="35"/>
      <c r="B595" s="32"/>
      <c r="C595" s="32"/>
      <c r="D595" s="32"/>
      <c r="E595" s="32"/>
      <c r="F595" s="32"/>
    </row>
    <row r="596" customFormat="false" ht="15" hidden="false" customHeight="false" outlineLevel="0" collapsed="false">
      <c r="A596" s="35"/>
      <c r="B596" s="32"/>
      <c r="C596" s="32"/>
      <c r="D596" s="32"/>
      <c r="E596" s="32"/>
      <c r="F596" s="32"/>
    </row>
    <row r="597" customFormat="false" ht="15" hidden="false" customHeight="false" outlineLevel="0" collapsed="false">
      <c r="A597" s="35"/>
      <c r="B597" s="32"/>
      <c r="C597" s="32"/>
      <c r="D597" s="32"/>
      <c r="E597" s="32"/>
      <c r="F597" s="32"/>
    </row>
    <row r="598" customFormat="false" ht="15" hidden="false" customHeight="false" outlineLevel="0" collapsed="false">
      <c r="A598" s="35"/>
      <c r="B598" s="32"/>
      <c r="C598" s="32"/>
      <c r="D598" s="32"/>
      <c r="E598" s="32"/>
      <c r="F598" s="32"/>
    </row>
    <row r="599" customFormat="false" ht="15" hidden="false" customHeight="false" outlineLevel="0" collapsed="false">
      <c r="A599" s="35"/>
      <c r="B599" s="32"/>
      <c r="C599" s="32"/>
      <c r="D599" s="32"/>
      <c r="E599" s="32"/>
      <c r="F599" s="32"/>
    </row>
    <row r="600" customFormat="false" ht="15" hidden="false" customHeight="false" outlineLevel="0" collapsed="false">
      <c r="A600" s="35"/>
      <c r="B600" s="32"/>
      <c r="C600" s="32"/>
      <c r="D600" s="32"/>
      <c r="E600" s="32"/>
      <c r="F600" s="32"/>
    </row>
    <row r="601" customFormat="false" ht="15" hidden="false" customHeight="false" outlineLevel="0" collapsed="false">
      <c r="A601" s="35"/>
      <c r="B601" s="32"/>
      <c r="C601" s="32"/>
      <c r="D601" s="32"/>
      <c r="E601" s="32"/>
      <c r="F601" s="32"/>
    </row>
    <row r="602" customFormat="false" ht="15" hidden="false" customHeight="false" outlineLevel="0" collapsed="false">
      <c r="A602" s="35"/>
      <c r="B602" s="32"/>
      <c r="C602" s="32"/>
      <c r="D602" s="32"/>
      <c r="E602" s="32"/>
      <c r="F602" s="32"/>
    </row>
    <row r="603" customFormat="false" ht="15" hidden="false" customHeight="false" outlineLevel="0" collapsed="false">
      <c r="A603" s="35"/>
      <c r="B603" s="32"/>
      <c r="C603" s="32"/>
      <c r="D603" s="32"/>
      <c r="E603" s="32"/>
      <c r="F603" s="32"/>
    </row>
    <row r="604" customFormat="false" ht="15" hidden="false" customHeight="false" outlineLevel="0" collapsed="false">
      <c r="A604" s="35"/>
      <c r="B604" s="32"/>
      <c r="C604" s="32"/>
      <c r="D604" s="32"/>
      <c r="E604" s="32"/>
      <c r="F604" s="32"/>
    </row>
    <row r="605" customFormat="false" ht="15" hidden="false" customHeight="false" outlineLevel="0" collapsed="false">
      <c r="A605" s="35"/>
      <c r="B605" s="32"/>
      <c r="C605" s="32"/>
      <c r="D605" s="32"/>
      <c r="E605" s="32"/>
      <c r="F605" s="32"/>
    </row>
    <row r="606" customFormat="false" ht="15" hidden="false" customHeight="false" outlineLevel="0" collapsed="false">
      <c r="A606" s="35"/>
      <c r="B606" s="32"/>
      <c r="C606" s="32"/>
      <c r="D606" s="32"/>
      <c r="E606" s="32"/>
      <c r="F606" s="32"/>
    </row>
    <row r="607" customFormat="false" ht="15" hidden="false" customHeight="false" outlineLevel="0" collapsed="false">
      <c r="A607" s="35"/>
      <c r="B607" s="32"/>
      <c r="C607" s="32"/>
      <c r="D607" s="32"/>
      <c r="E607" s="32"/>
      <c r="F607" s="32"/>
    </row>
    <row r="608" customFormat="false" ht="15" hidden="false" customHeight="false" outlineLevel="0" collapsed="false">
      <c r="A608" s="35"/>
      <c r="B608" s="32"/>
      <c r="C608" s="32"/>
      <c r="D608" s="32"/>
      <c r="E608" s="32"/>
      <c r="F608" s="32"/>
    </row>
    <row r="609" customFormat="false" ht="15" hidden="false" customHeight="false" outlineLevel="0" collapsed="false">
      <c r="A609" s="35"/>
      <c r="B609" s="32"/>
      <c r="C609" s="32"/>
      <c r="D609" s="32"/>
      <c r="E609" s="32"/>
      <c r="F609" s="32"/>
    </row>
    <row r="610" customFormat="false" ht="15" hidden="false" customHeight="false" outlineLevel="0" collapsed="false">
      <c r="A610" s="35"/>
      <c r="B610" s="32"/>
      <c r="C610" s="32"/>
      <c r="D610" s="32"/>
      <c r="E610" s="32"/>
      <c r="F610" s="32"/>
    </row>
    <row r="611" customFormat="false" ht="15" hidden="false" customHeight="false" outlineLevel="0" collapsed="false">
      <c r="A611" s="35"/>
      <c r="B611" s="32"/>
      <c r="C611" s="32"/>
      <c r="D611" s="32"/>
      <c r="E611" s="32"/>
      <c r="F611" s="32"/>
    </row>
    <row r="612" customFormat="false" ht="15" hidden="false" customHeight="false" outlineLevel="0" collapsed="false">
      <c r="A612" s="35"/>
      <c r="B612" s="32"/>
      <c r="C612" s="32"/>
      <c r="D612" s="32"/>
      <c r="E612" s="32"/>
      <c r="F612" s="32"/>
    </row>
    <row r="613" customFormat="false" ht="15" hidden="false" customHeight="false" outlineLevel="0" collapsed="false">
      <c r="A613" s="35"/>
      <c r="B613" s="32"/>
      <c r="C613" s="32"/>
      <c r="D613" s="32"/>
      <c r="E613" s="32"/>
      <c r="F613" s="32"/>
    </row>
    <row r="614" customFormat="false" ht="15" hidden="false" customHeight="false" outlineLevel="0" collapsed="false">
      <c r="A614" s="35"/>
      <c r="B614" s="32"/>
      <c r="C614" s="32"/>
      <c r="D614" s="32"/>
      <c r="E614" s="32"/>
      <c r="F614" s="32"/>
    </row>
    <row r="615" customFormat="false" ht="15" hidden="false" customHeight="false" outlineLevel="0" collapsed="false">
      <c r="A615" s="35"/>
      <c r="B615" s="32"/>
      <c r="C615" s="32"/>
      <c r="D615" s="32"/>
      <c r="E615" s="32"/>
      <c r="F615" s="32"/>
    </row>
    <row r="616" customFormat="false" ht="15" hidden="false" customHeight="false" outlineLevel="0" collapsed="false">
      <c r="A616" s="35"/>
      <c r="B616" s="32"/>
      <c r="C616" s="32"/>
      <c r="D616" s="32"/>
      <c r="E616" s="32"/>
      <c r="F616" s="32"/>
    </row>
    <row r="617" customFormat="false" ht="15" hidden="false" customHeight="false" outlineLevel="0" collapsed="false">
      <c r="A617" s="35"/>
      <c r="B617" s="32"/>
      <c r="C617" s="32"/>
      <c r="D617" s="32"/>
      <c r="E617" s="32"/>
      <c r="F617" s="32"/>
    </row>
    <row r="618" customFormat="false" ht="15" hidden="false" customHeight="false" outlineLevel="0" collapsed="false">
      <c r="A618" s="35"/>
      <c r="B618" s="32"/>
      <c r="C618" s="32"/>
      <c r="D618" s="32"/>
      <c r="E618" s="32"/>
      <c r="F618" s="32"/>
    </row>
    <row r="619" customFormat="false" ht="15" hidden="false" customHeight="false" outlineLevel="0" collapsed="false">
      <c r="A619" s="35"/>
      <c r="B619" s="32"/>
      <c r="C619" s="32"/>
      <c r="D619" s="32"/>
      <c r="E619" s="32"/>
      <c r="F619" s="32"/>
    </row>
    <row r="620" customFormat="false" ht="15" hidden="false" customHeight="false" outlineLevel="0" collapsed="false">
      <c r="A620" s="35"/>
      <c r="B620" s="32"/>
      <c r="C620" s="32"/>
      <c r="D620" s="32"/>
      <c r="E620" s="32"/>
      <c r="F620" s="32"/>
    </row>
    <row r="621" customFormat="false" ht="15" hidden="false" customHeight="false" outlineLevel="0" collapsed="false">
      <c r="A621" s="35"/>
      <c r="B621" s="32"/>
      <c r="C621" s="32"/>
      <c r="D621" s="32"/>
      <c r="E621" s="32"/>
      <c r="F621" s="32"/>
    </row>
    <row r="622" customFormat="false" ht="15" hidden="false" customHeight="false" outlineLevel="0" collapsed="false">
      <c r="A622" s="35"/>
      <c r="B622" s="32"/>
      <c r="C622" s="32"/>
      <c r="D622" s="32"/>
      <c r="E622" s="32"/>
      <c r="F622" s="32"/>
    </row>
    <row r="623" customFormat="false" ht="15" hidden="false" customHeight="false" outlineLevel="0" collapsed="false">
      <c r="A623" s="35"/>
      <c r="B623" s="32"/>
      <c r="C623" s="32"/>
      <c r="D623" s="32"/>
      <c r="E623" s="32"/>
      <c r="F623" s="32"/>
    </row>
    <row r="624" customFormat="false" ht="15" hidden="false" customHeight="false" outlineLevel="0" collapsed="false">
      <c r="A624" s="35"/>
      <c r="B624" s="32"/>
      <c r="C624" s="32"/>
      <c r="D624" s="32"/>
      <c r="E624" s="32"/>
      <c r="F624" s="32"/>
    </row>
    <row r="625" customFormat="false" ht="15" hidden="false" customHeight="false" outlineLevel="0" collapsed="false">
      <c r="A625" s="35"/>
      <c r="B625" s="32"/>
      <c r="C625" s="32"/>
      <c r="D625" s="32"/>
      <c r="E625" s="32"/>
      <c r="F625" s="32"/>
    </row>
    <row r="626" customFormat="false" ht="15" hidden="false" customHeight="false" outlineLevel="0" collapsed="false">
      <c r="A626" s="35"/>
      <c r="B626" s="32"/>
      <c r="C626" s="32"/>
      <c r="D626" s="32"/>
      <c r="E626" s="32"/>
      <c r="F626" s="32"/>
    </row>
    <row r="627" customFormat="false" ht="15" hidden="false" customHeight="false" outlineLevel="0" collapsed="false">
      <c r="A627" s="35"/>
      <c r="B627" s="32"/>
      <c r="C627" s="32"/>
      <c r="D627" s="32"/>
      <c r="E627" s="32"/>
      <c r="F627" s="32"/>
    </row>
    <row r="628" customFormat="false" ht="15" hidden="false" customHeight="false" outlineLevel="0" collapsed="false">
      <c r="A628" s="35"/>
      <c r="B628" s="32"/>
      <c r="C628" s="32"/>
      <c r="D628" s="32"/>
      <c r="E628" s="32"/>
      <c r="F628" s="32"/>
    </row>
    <row r="629" customFormat="false" ht="15" hidden="false" customHeight="false" outlineLevel="0" collapsed="false">
      <c r="A629" s="35"/>
      <c r="B629" s="32"/>
      <c r="C629" s="32"/>
      <c r="D629" s="32"/>
      <c r="E629" s="32"/>
      <c r="F629" s="32"/>
    </row>
    <row r="630" customFormat="false" ht="15" hidden="false" customHeight="false" outlineLevel="0" collapsed="false">
      <c r="A630" s="35"/>
      <c r="B630" s="32"/>
      <c r="C630" s="32"/>
      <c r="D630" s="32"/>
      <c r="E630" s="32"/>
      <c r="F630" s="32"/>
    </row>
    <row r="631" customFormat="false" ht="15" hidden="false" customHeight="false" outlineLevel="0" collapsed="false">
      <c r="A631" s="35"/>
      <c r="B631" s="32"/>
      <c r="C631" s="32"/>
      <c r="D631" s="32"/>
      <c r="E631" s="32"/>
      <c r="F631" s="32"/>
    </row>
    <row r="632" customFormat="false" ht="15" hidden="false" customHeight="false" outlineLevel="0" collapsed="false">
      <c r="A632" s="35"/>
      <c r="B632" s="32"/>
      <c r="C632" s="32"/>
      <c r="D632" s="32"/>
      <c r="E632" s="32"/>
      <c r="F632" s="32"/>
    </row>
    <row r="633" customFormat="false" ht="15" hidden="false" customHeight="false" outlineLevel="0" collapsed="false">
      <c r="A633" s="35"/>
      <c r="B633" s="32"/>
      <c r="C633" s="32"/>
      <c r="D633" s="32"/>
      <c r="E633" s="32"/>
      <c r="F633" s="32"/>
    </row>
    <row r="634" customFormat="false" ht="15" hidden="false" customHeight="false" outlineLevel="0" collapsed="false">
      <c r="A634" s="35"/>
      <c r="B634" s="32"/>
      <c r="C634" s="32"/>
      <c r="D634" s="32"/>
      <c r="E634" s="32"/>
      <c r="F634" s="32"/>
    </row>
    <row r="635" customFormat="false" ht="15" hidden="false" customHeight="false" outlineLevel="0" collapsed="false">
      <c r="A635" s="35"/>
      <c r="B635" s="32"/>
      <c r="C635" s="32"/>
      <c r="D635" s="32"/>
      <c r="E635" s="32"/>
      <c r="F635" s="32"/>
    </row>
    <row r="636" customFormat="false" ht="15" hidden="false" customHeight="false" outlineLevel="0" collapsed="false">
      <c r="A636" s="35"/>
      <c r="B636" s="32"/>
      <c r="C636" s="32"/>
      <c r="D636" s="32"/>
      <c r="E636" s="32"/>
      <c r="F636" s="32"/>
    </row>
    <row r="637" customFormat="false" ht="15" hidden="false" customHeight="false" outlineLevel="0" collapsed="false">
      <c r="A637" s="35"/>
      <c r="B637" s="32"/>
      <c r="C637" s="32"/>
      <c r="D637" s="32"/>
      <c r="E637" s="32"/>
      <c r="F637" s="32"/>
    </row>
    <row r="638" customFormat="false" ht="15" hidden="false" customHeight="false" outlineLevel="0" collapsed="false">
      <c r="A638" s="35"/>
      <c r="B638" s="32"/>
      <c r="C638" s="32"/>
      <c r="D638" s="32"/>
      <c r="E638" s="32"/>
      <c r="F638" s="32"/>
    </row>
    <row r="639" customFormat="false" ht="15" hidden="false" customHeight="false" outlineLevel="0" collapsed="false">
      <c r="A639" s="35"/>
      <c r="B639" s="32"/>
      <c r="C639" s="32"/>
      <c r="D639" s="32"/>
      <c r="E639" s="32"/>
      <c r="F639" s="32"/>
    </row>
    <row r="640" customFormat="false" ht="15" hidden="false" customHeight="false" outlineLevel="0" collapsed="false">
      <c r="A640" s="35"/>
      <c r="B640" s="32"/>
      <c r="C640" s="32"/>
      <c r="D640" s="32"/>
      <c r="E640" s="32"/>
      <c r="F640" s="32"/>
    </row>
    <row r="641" customFormat="false" ht="15" hidden="false" customHeight="false" outlineLevel="0" collapsed="false">
      <c r="A641" s="35"/>
      <c r="B641" s="32"/>
      <c r="C641" s="32"/>
      <c r="D641" s="32"/>
      <c r="E641" s="32"/>
      <c r="F641" s="32"/>
    </row>
    <row r="642" customFormat="false" ht="15" hidden="false" customHeight="false" outlineLevel="0" collapsed="false">
      <c r="A642" s="35"/>
      <c r="B642" s="32"/>
      <c r="C642" s="32"/>
      <c r="D642" s="32"/>
      <c r="E642" s="32"/>
      <c r="F642" s="32"/>
    </row>
    <row r="643" customFormat="false" ht="15" hidden="false" customHeight="false" outlineLevel="0" collapsed="false">
      <c r="A643" s="35"/>
      <c r="B643" s="32"/>
      <c r="C643" s="32"/>
      <c r="D643" s="32"/>
      <c r="E643" s="32"/>
      <c r="F643" s="32"/>
    </row>
    <row r="644" customFormat="false" ht="15" hidden="false" customHeight="false" outlineLevel="0" collapsed="false">
      <c r="A644" s="35"/>
      <c r="B644" s="32"/>
      <c r="C644" s="32"/>
      <c r="D644" s="32"/>
      <c r="E644" s="32"/>
      <c r="F644" s="32"/>
    </row>
    <row r="645" customFormat="false" ht="15" hidden="false" customHeight="false" outlineLevel="0" collapsed="false">
      <c r="A645" s="35"/>
      <c r="B645" s="32"/>
      <c r="C645" s="32"/>
      <c r="D645" s="32"/>
      <c r="E645" s="32"/>
      <c r="F645" s="32"/>
    </row>
    <row r="646" customFormat="false" ht="15" hidden="false" customHeight="false" outlineLevel="0" collapsed="false">
      <c r="A646" s="35"/>
      <c r="B646" s="32"/>
      <c r="C646" s="32"/>
      <c r="D646" s="32"/>
      <c r="E646" s="32"/>
      <c r="F646" s="32"/>
    </row>
    <row r="647" customFormat="false" ht="15" hidden="false" customHeight="false" outlineLevel="0" collapsed="false">
      <c r="A647" s="35"/>
      <c r="B647" s="32"/>
      <c r="C647" s="32"/>
      <c r="D647" s="32"/>
      <c r="E647" s="32"/>
      <c r="F647" s="32"/>
    </row>
    <row r="648" customFormat="false" ht="15" hidden="false" customHeight="false" outlineLevel="0" collapsed="false">
      <c r="A648" s="35"/>
      <c r="B648" s="32"/>
      <c r="C648" s="32"/>
      <c r="D648" s="32"/>
      <c r="E648" s="32"/>
      <c r="F648" s="32"/>
    </row>
    <row r="649" customFormat="false" ht="15" hidden="false" customHeight="false" outlineLevel="0" collapsed="false">
      <c r="A649" s="35"/>
      <c r="B649" s="32"/>
      <c r="C649" s="32"/>
      <c r="D649" s="32"/>
      <c r="E649" s="32"/>
      <c r="F649" s="32"/>
    </row>
    <row r="650" customFormat="false" ht="15" hidden="false" customHeight="false" outlineLevel="0" collapsed="false">
      <c r="A650" s="35"/>
      <c r="B650" s="32"/>
      <c r="C650" s="32"/>
      <c r="D650" s="32"/>
      <c r="E650" s="32"/>
      <c r="F650" s="32"/>
    </row>
    <row r="651" customFormat="false" ht="15" hidden="false" customHeight="false" outlineLevel="0" collapsed="false">
      <c r="A651" s="35"/>
      <c r="B651" s="32"/>
      <c r="C651" s="32"/>
      <c r="D651" s="32"/>
      <c r="E651" s="32"/>
      <c r="F651" s="32"/>
    </row>
    <row r="652" customFormat="false" ht="15" hidden="false" customHeight="false" outlineLevel="0" collapsed="false">
      <c r="A652" s="35"/>
      <c r="B652" s="32"/>
      <c r="C652" s="32"/>
      <c r="D652" s="32"/>
      <c r="E652" s="32"/>
      <c r="F652" s="32"/>
    </row>
    <row r="653" customFormat="false" ht="15" hidden="false" customHeight="false" outlineLevel="0" collapsed="false">
      <c r="A653" s="35"/>
      <c r="B653" s="32"/>
      <c r="C653" s="32"/>
      <c r="D653" s="32"/>
      <c r="E653" s="32"/>
      <c r="F653" s="32"/>
    </row>
    <row r="654" customFormat="false" ht="15" hidden="false" customHeight="false" outlineLevel="0" collapsed="false">
      <c r="A654" s="35"/>
      <c r="B654" s="32"/>
      <c r="C654" s="32"/>
      <c r="D654" s="32"/>
      <c r="E654" s="32"/>
      <c r="F654" s="32"/>
    </row>
    <row r="655" customFormat="false" ht="15" hidden="false" customHeight="false" outlineLevel="0" collapsed="false">
      <c r="A655" s="35"/>
      <c r="B655" s="32"/>
      <c r="C655" s="32"/>
      <c r="D655" s="32"/>
      <c r="E655" s="32"/>
      <c r="F655" s="32"/>
    </row>
    <row r="656" customFormat="false" ht="15" hidden="false" customHeight="false" outlineLevel="0" collapsed="false">
      <c r="A656" s="35"/>
      <c r="B656" s="32"/>
      <c r="C656" s="32"/>
      <c r="D656" s="32"/>
      <c r="E656" s="32"/>
      <c r="F656" s="32"/>
    </row>
    <row r="657" customFormat="false" ht="15" hidden="false" customHeight="false" outlineLevel="0" collapsed="false">
      <c r="A657" s="35"/>
      <c r="B657" s="32"/>
      <c r="C657" s="32"/>
      <c r="D657" s="32"/>
      <c r="E657" s="32"/>
      <c r="F657" s="32"/>
    </row>
    <row r="658" customFormat="false" ht="15" hidden="false" customHeight="false" outlineLevel="0" collapsed="false">
      <c r="A658" s="35"/>
      <c r="B658" s="32"/>
      <c r="C658" s="32"/>
      <c r="D658" s="32"/>
      <c r="E658" s="32"/>
      <c r="F658" s="32"/>
    </row>
    <row r="659" customFormat="false" ht="15" hidden="false" customHeight="false" outlineLevel="0" collapsed="false">
      <c r="A659" s="35"/>
      <c r="B659" s="32"/>
      <c r="C659" s="32"/>
      <c r="D659" s="32"/>
      <c r="E659" s="32"/>
      <c r="F659" s="32"/>
    </row>
    <row r="660" customFormat="false" ht="15" hidden="false" customHeight="false" outlineLevel="0" collapsed="false">
      <c r="A660" s="35"/>
      <c r="B660" s="32"/>
      <c r="C660" s="32"/>
      <c r="D660" s="32"/>
      <c r="E660" s="32"/>
      <c r="F660" s="32"/>
    </row>
    <row r="661" customFormat="false" ht="15" hidden="false" customHeight="false" outlineLevel="0" collapsed="false">
      <c r="A661" s="35"/>
      <c r="B661" s="32"/>
      <c r="C661" s="32"/>
      <c r="D661" s="32"/>
      <c r="E661" s="32"/>
      <c r="F661" s="32"/>
    </row>
    <row r="662" customFormat="false" ht="15" hidden="false" customHeight="false" outlineLevel="0" collapsed="false">
      <c r="A662" s="35"/>
      <c r="B662" s="32"/>
      <c r="C662" s="32"/>
      <c r="D662" s="32"/>
      <c r="E662" s="32"/>
      <c r="F662" s="32"/>
    </row>
    <row r="663" customFormat="false" ht="15" hidden="false" customHeight="false" outlineLevel="0" collapsed="false">
      <c r="A663" s="35"/>
      <c r="B663" s="32"/>
      <c r="C663" s="32"/>
      <c r="D663" s="32"/>
      <c r="E663" s="32"/>
      <c r="F663" s="32"/>
    </row>
    <row r="664" customFormat="false" ht="15" hidden="false" customHeight="false" outlineLevel="0" collapsed="false">
      <c r="A664" s="35"/>
      <c r="B664" s="32"/>
      <c r="C664" s="32"/>
      <c r="D664" s="32"/>
      <c r="E664" s="32"/>
      <c r="F664" s="32"/>
    </row>
    <row r="665" customFormat="false" ht="15" hidden="false" customHeight="false" outlineLevel="0" collapsed="false">
      <c r="A665" s="35"/>
      <c r="B665" s="32"/>
      <c r="C665" s="32"/>
      <c r="D665" s="32"/>
      <c r="E665" s="32"/>
      <c r="F665" s="32"/>
    </row>
    <row r="666" customFormat="false" ht="15" hidden="false" customHeight="false" outlineLevel="0" collapsed="false">
      <c r="A666" s="35"/>
      <c r="B666" s="32"/>
      <c r="C666" s="32"/>
      <c r="D666" s="32"/>
      <c r="E666" s="32"/>
      <c r="F666" s="32"/>
    </row>
    <row r="667" customFormat="false" ht="15" hidden="false" customHeight="false" outlineLevel="0" collapsed="false">
      <c r="A667" s="35"/>
      <c r="B667" s="32"/>
      <c r="C667" s="32"/>
      <c r="D667" s="32"/>
      <c r="E667" s="32"/>
      <c r="F667" s="32"/>
    </row>
    <row r="668" customFormat="false" ht="15" hidden="false" customHeight="false" outlineLevel="0" collapsed="false">
      <c r="A668" s="35"/>
      <c r="B668" s="32"/>
      <c r="C668" s="32"/>
      <c r="D668" s="32"/>
      <c r="E668" s="32"/>
      <c r="F668" s="32"/>
    </row>
    <row r="669" customFormat="false" ht="15" hidden="false" customHeight="false" outlineLevel="0" collapsed="false">
      <c r="A669" s="35"/>
      <c r="B669" s="32"/>
      <c r="C669" s="32"/>
      <c r="D669" s="32"/>
      <c r="E669" s="32"/>
      <c r="F669" s="32"/>
    </row>
    <row r="670" customFormat="false" ht="15" hidden="false" customHeight="false" outlineLevel="0" collapsed="false">
      <c r="A670" s="35"/>
      <c r="B670" s="32"/>
      <c r="C670" s="32"/>
      <c r="D670" s="32"/>
      <c r="E670" s="32"/>
      <c r="F670" s="32"/>
    </row>
    <row r="671" customFormat="false" ht="15" hidden="false" customHeight="false" outlineLevel="0" collapsed="false">
      <c r="A671" s="35"/>
      <c r="B671" s="32"/>
      <c r="C671" s="32"/>
      <c r="D671" s="32"/>
      <c r="E671" s="32"/>
      <c r="F671" s="32"/>
    </row>
    <row r="672" customFormat="false" ht="15" hidden="false" customHeight="false" outlineLevel="0" collapsed="false">
      <c r="A672" s="35"/>
      <c r="B672" s="32"/>
      <c r="C672" s="32"/>
      <c r="D672" s="32"/>
      <c r="E672" s="32"/>
      <c r="F672" s="32"/>
    </row>
    <row r="673" customFormat="false" ht="15" hidden="false" customHeight="false" outlineLevel="0" collapsed="false">
      <c r="A673" s="35"/>
      <c r="B673" s="32"/>
      <c r="C673" s="32"/>
      <c r="D673" s="32"/>
      <c r="E673" s="32"/>
      <c r="F673" s="32"/>
    </row>
    <row r="674" customFormat="false" ht="15" hidden="false" customHeight="false" outlineLevel="0" collapsed="false">
      <c r="A674" s="35"/>
      <c r="B674" s="32"/>
      <c r="C674" s="32"/>
      <c r="D674" s="32"/>
      <c r="E674" s="32"/>
      <c r="F674" s="32"/>
    </row>
    <row r="675" customFormat="false" ht="15" hidden="false" customHeight="false" outlineLevel="0" collapsed="false">
      <c r="A675" s="35"/>
      <c r="B675" s="32"/>
      <c r="C675" s="32"/>
      <c r="D675" s="32"/>
      <c r="E675" s="32"/>
      <c r="F675" s="32"/>
    </row>
    <row r="676" customFormat="false" ht="15" hidden="false" customHeight="false" outlineLevel="0" collapsed="false">
      <c r="A676" s="35"/>
      <c r="B676" s="32"/>
      <c r="C676" s="32"/>
      <c r="D676" s="32"/>
      <c r="E676" s="32"/>
      <c r="F676" s="32"/>
    </row>
    <row r="677" customFormat="false" ht="15" hidden="false" customHeight="false" outlineLevel="0" collapsed="false">
      <c r="A677" s="35"/>
      <c r="B677" s="32"/>
      <c r="C677" s="32"/>
      <c r="D677" s="32"/>
      <c r="E677" s="32"/>
      <c r="F677" s="32"/>
    </row>
    <row r="678" customFormat="false" ht="15" hidden="false" customHeight="false" outlineLevel="0" collapsed="false">
      <c r="A678" s="35"/>
      <c r="B678" s="32"/>
      <c r="C678" s="32"/>
      <c r="D678" s="32"/>
      <c r="E678" s="32"/>
      <c r="F678" s="32"/>
    </row>
    <row r="679" customFormat="false" ht="15" hidden="false" customHeight="false" outlineLevel="0" collapsed="false">
      <c r="A679" s="35"/>
      <c r="B679" s="32"/>
      <c r="C679" s="32"/>
      <c r="D679" s="32"/>
      <c r="E679" s="32"/>
      <c r="F679" s="32"/>
    </row>
    <row r="680" customFormat="false" ht="15" hidden="false" customHeight="false" outlineLevel="0" collapsed="false">
      <c r="A680" s="35"/>
      <c r="B680" s="32"/>
      <c r="C680" s="32"/>
      <c r="D680" s="32"/>
      <c r="E680" s="32"/>
      <c r="F680" s="32"/>
    </row>
    <row r="681" customFormat="false" ht="15" hidden="false" customHeight="false" outlineLevel="0" collapsed="false">
      <c r="A681" s="35"/>
      <c r="B681" s="32"/>
      <c r="C681" s="32"/>
      <c r="D681" s="32"/>
      <c r="E681" s="32"/>
      <c r="F681" s="32"/>
    </row>
    <row r="682" customFormat="false" ht="15" hidden="false" customHeight="false" outlineLevel="0" collapsed="false">
      <c r="A682" s="35"/>
      <c r="B682" s="32"/>
      <c r="C682" s="32"/>
      <c r="D682" s="32"/>
      <c r="E682" s="32"/>
      <c r="F682" s="32"/>
    </row>
    <row r="683" customFormat="false" ht="15" hidden="false" customHeight="false" outlineLevel="0" collapsed="false">
      <c r="A683" s="35"/>
      <c r="B683" s="32"/>
      <c r="C683" s="32"/>
      <c r="D683" s="32"/>
      <c r="E683" s="32"/>
      <c r="F683" s="32"/>
    </row>
    <row r="684" customFormat="false" ht="15" hidden="false" customHeight="false" outlineLevel="0" collapsed="false">
      <c r="A684" s="35"/>
      <c r="B684" s="32"/>
      <c r="C684" s="32"/>
      <c r="D684" s="32"/>
      <c r="E684" s="32"/>
      <c r="F684" s="32"/>
    </row>
    <row r="685" customFormat="false" ht="15" hidden="false" customHeight="false" outlineLevel="0" collapsed="false">
      <c r="A685" s="35"/>
      <c r="B685" s="32"/>
      <c r="C685" s="32"/>
      <c r="D685" s="32"/>
      <c r="E685" s="32"/>
      <c r="F685" s="32"/>
    </row>
    <row r="686" customFormat="false" ht="15" hidden="false" customHeight="false" outlineLevel="0" collapsed="false">
      <c r="A686" s="35"/>
      <c r="B686" s="32"/>
      <c r="C686" s="32"/>
      <c r="D686" s="32"/>
      <c r="E686" s="32"/>
      <c r="F686" s="32"/>
    </row>
    <row r="687" customFormat="false" ht="15" hidden="false" customHeight="false" outlineLevel="0" collapsed="false">
      <c r="A687" s="35"/>
      <c r="B687" s="32"/>
      <c r="C687" s="32"/>
      <c r="D687" s="32"/>
      <c r="E687" s="32"/>
      <c r="F687" s="32"/>
    </row>
    <row r="688" customFormat="false" ht="15" hidden="false" customHeight="false" outlineLevel="0" collapsed="false">
      <c r="A688" s="35"/>
      <c r="B688" s="32"/>
      <c r="C688" s="32"/>
      <c r="D688" s="32"/>
      <c r="E688" s="32"/>
      <c r="F688" s="32"/>
    </row>
    <row r="689" customFormat="false" ht="15" hidden="false" customHeight="false" outlineLevel="0" collapsed="false">
      <c r="A689" s="35"/>
      <c r="B689" s="32"/>
      <c r="C689" s="32"/>
      <c r="D689" s="32"/>
      <c r="E689" s="32"/>
      <c r="F689" s="32"/>
    </row>
    <row r="690" customFormat="false" ht="15" hidden="false" customHeight="false" outlineLevel="0" collapsed="false">
      <c r="A690" s="35"/>
      <c r="B690" s="32"/>
      <c r="C690" s="32"/>
      <c r="D690" s="32"/>
      <c r="E690" s="32"/>
      <c r="F690" s="32"/>
    </row>
    <row r="691" customFormat="false" ht="15" hidden="false" customHeight="false" outlineLevel="0" collapsed="false">
      <c r="A691" s="35"/>
      <c r="B691" s="32"/>
      <c r="C691" s="32"/>
      <c r="D691" s="32"/>
      <c r="E691" s="32"/>
      <c r="F691" s="32"/>
    </row>
    <row r="692" customFormat="false" ht="15" hidden="false" customHeight="false" outlineLevel="0" collapsed="false">
      <c r="A692" s="35"/>
      <c r="B692" s="32"/>
      <c r="C692" s="32"/>
      <c r="D692" s="32"/>
      <c r="E692" s="32"/>
      <c r="F692" s="32"/>
    </row>
    <row r="693" customFormat="false" ht="15" hidden="false" customHeight="false" outlineLevel="0" collapsed="false">
      <c r="A693" s="35"/>
      <c r="B693" s="32"/>
      <c r="C693" s="32"/>
      <c r="D693" s="32"/>
      <c r="E693" s="32"/>
      <c r="F693" s="32"/>
    </row>
    <row r="694" customFormat="false" ht="15" hidden="false" customHeight="false" outlineLevel="0" collapsed="false">
      <c r="A694" s="35"/>
      <c r="B694" s="32"/>
      <c r="C694" s="32"/>
      <c r="D694" s="32"/>
      <c r="E694" s="32"/>
      <c r="F694" s="32"/>
    </row>
    <row r="695" customFormat="false" ht="15" hidden="false" customHeight="false" outlineLevel="0" collapsed="false">
      <c r="A695" s="35"/>
      <c r="B695" s="32"/>
      <c r="C695" s="32"/>
      <c r="D695" s="32"/>
      <c r="E695" s="32"/>
      <c r="F695" s="32"/>
    </row>
    <row r="696" customFormat="false" ht="15" hidden="false" customHeight="false" outlineLevel="0" collapsed="false">
      <c r="A696" s="35"/>
      <c r="B696" s="32"/>
      <c r="C696" s="32"/>
      <c r="D696" s="32"/>
      <c r="E696" s="32"/>
      <c r="F696" s="32"/>
    </row>
    <row r="697" customFormat="false" ht="15" hidden="false" customHeight="false" outlineLevel="0" collapsed="false">
      <c r="A697" s="35"/>
      <c r="B697" s="32"/>
      <c r="C697" s="32"/>
      <c r="D697" s="32"/>
      <c r="E697" s="32"/>
      <c r="F697" s="32"/>
    </row>
    <row r="698" customFormat="false" ht="15" hidden="false" customHeight="false" outlineLevel="0" collapsed="false">
      <c r="A698" s="35"/>
      <c r="B698" s="32"/>
      <c r="C698" s="32"/>
      <c r="D698" s="32"/>
      <c r="E698" s="32"/>
      <c r="F698" s="32"/>
    </row>
    <row r="699" customFormat="false" ht="15" hidden="false" customHeight="false" outlineLevel="0" collapsed="false">
      <c r="A699" s="35"/>
      <c r="B699" s="32"/>
      <c r="C699" s="32"/>
      <c r="D699" s="32"/>
      <c r="E699" s="32"/>
      <c r="F699" s="32"/>
    </row>
    <row r="700" customFormat="false" ht="15" hidden="false" customHeight="false" outlineLevel="0" collapsed="false">
      <c r="A700" s="35"/>
      <c r="B700" s="32"/>
      <c r="C700" s="32"/>
      <c r="D700" s="32"/>
      <c r="E700" s="32"/>
      <c r="F700" s="32"/>
    </row>
    <row r="701" customFormat="false" ht="15" hidden="false" customHeight="false" outlineLevel="0" collapsed="false">
      <c r="A701" s="35"/>
      <c r="B701" s="32"/>
      <c r="C701" s="32"/>
      <c r="D701" s="32"/>
      <c r="E701" s="32"/>
      <c r="F701" s="32"/>
    </row>
    <row r="702" customFormat="false" ht="15" hidden="false" customHeight="false" outlineLevel="0" collapsed="false">
      <c r="A702" s="35"/>
      <c r="B702" s="32"/>
      <c r="C702" s="32"/>
      <c r="D702" s="32"/>
      <c r="E702" s="32"/>
      <c r="F702" s="32"/>
    </row>
    <row r="703" customFormat="false" ht="15" hidden="false" customHeight="false" outlineLevel="0" collapsed="false">
      <c r="A703" s="35"/>
      <c r="B703" s="32"/>
      <c r="C703" s="32"/>
      <c r="D703" s="32"/>
      <c r="E703" s="32"/>
      <c r="F703" s="32"/>
    </row>
    <row r="704" customFormat="false" ht="15" hidden="false" customHeight="false" outlineLevel="0" collapsed="false">
      <c r="A704" s="35"/>
      <c r="B704" s="32"/>
      <c r="C704" s="32"/>
      <c r="D704" s="32"/>
      <c r="E704" s="32"/>
      <c r="F704" s="32"/>
    </row>
    <row r="705" customFormat="false" ht="15" hidden="false" customHeight="false" outlineLevel="0" collapsed="false">
      <c r="A705" s="35"/>
      <c r="B705" s="32"/>
      <c r="C705" s="32"/>
      <c r="D705" s="32"/>
      <c r="E705" s="32"/>
      <c r="F705" s="32"/>
    </row>
    <row r="706" customFormat="false" ht="15" hidden="false" customHeight="false" outlineLevel="0" collapsed="false">
      <c r="A706" s="35"/>
      <c r="B706" s="32"/>
      <c r="C706" s="32"/>
      <c r="D706" s="32"/>
      <c r="E706" s="32"/>
      <c r="F706" s="32"/>
    </row>
    <row r="707" customFormat="false" ht="15" hidden="false" customHeight="false" outlineLevel="0" collapsed="false">
      <c r="A707" s="35"/>
      <c r="B707" s="32"/>
      <c r="C707" s="32"/>
      <c r="D707" s="32"/>
      <c r="E707" s="32"/>
      <c r="F707" s="32"/>
    </row>
    <row r="708" customFormat="false" ht="15" hidden="false" customHeight="false" outlineLevel="0" collapsed="false">
      <c r="A708" s="35"/>
      <c r="B708" s="32"/>
      <c r="C708" s="32"/>
      <c r="D708" s="32"/>
      <c r="E708" s="32"/>
      <c r="F708" s="32"/>
    </row>
    <row r="709" customFormat="false" ht="15" hidden="false" customHeight="false" outlineLevel="0" collapsed="false">
      <c r="A709" s="35"/>
      <c r="B709" s="32"/>
      <c r="C709" s="32"/>
      <c r="D709" s="32"/>
      <c r="E709" s="32"/>
      <c r="F709" s="32"/>
    </row>
    <row r="710" customFormat="false" ht="15" hidden="false" customHeight="false" outlineLevel="0" collapsed="false">
      <c r="A710" s="35"/>
      <c r="B710" s="32"/>
      <c r="C710" s="32"/>
      <c r="D710" s="32"/>
      <c r="E710" s="32"/>
      <c r="F710" s="32"/>
    </row>
    <row r="711" customFormat="false" ht="15" hidden="false" customHeight="false" outlineLevel="0" collapsed="false">
      <c r="A711" s="35"/>
      <c r="B711" s="32"/>
      <c r="C711" s="32"/>
      <c r="D711" s="32"/>
      <c r="E711" s="32"/>
      <c r="F711" s="32"/>
    </row>
    <row r="712" customFormat="false" ht="15" hidden="false" customHeight="false" outlineLevel="0" collapsed="false">
      <c r="A712" s="35"/>
      <c r="B712" s="32"/>
      <c r="C712" s="32"/>
      <c r="D712" s="32"/>
      <c r="E712" s="32"/>
      <c r="F712" s="32"/>
    </row>
    <row r="713" customFormat="false" ht="15" hidden="false" customHeight="false" outlineLevel="0" collapsed="false">
      <c r="A713" s="35"/>
      <c r="B713" s="32"/>
      <c r="C713" s="32"/>
      <c r="D713" s="32"/>
      <c r="E713" s="32"/>
      <c r="F713" s="32"/>
    </row>
    <row r="714" customFormat="false" ht="15" hidden="false" customHeight="false" outlineLevel="0" collapsed="false">
      <c r="A714" s="35"/>
      <c r="B714" s="32"/>
      <c r="C714" s="32"/>
      <c r="D714" s="32"/>
      <c r="E714" s="32"/>
      <c r="F714" s="32"/>
    </row>
    <row r="715" customFormat="false" ht="15" hidden="false" customHeight="false" outlineLevel="0" collapsed="false">
      <c r="A715" s="35"/>
      <c r="B715" s="32"/>
      <c r="C715" s="32"/>
      <c r="D715" s="32"/>
      <c r="E715" s="32"/>
      <c r="F715" s="32"/>
    </row>
    <row r="716" customFormat="false" ht="15" hidden="false" customHeight="false" outlineLevel="0" collapsed="false">
      <c r="A716" s="35"/>
      <c r="B716" s="32"/>
      <c r="C716" s="32"/>
      <c r="D716" s="32"/>
      <c r="E716" s="32"/>
      <c r="F716" s="32"/>
    </row>
    <row r="717" customFormat="false" ht="15" hidden="false" customHeight="false" outlineLevel="0" collapsed="false">
      <c r="A717" s="35"/>
      <c r="B717" s="32"/>
      <c r="C717" s="32"/>
      <c r="D717" s="32"/>
      <c r="E717" s="32"/>
      <c r="F717" s="32"/>
    </row>
    <row r="718" customFormat="false" ht="15" hidden="false" customHeight="false" outlineLevel="0" collapsed="false">
      <c r="A718" s="35"/>
      <c r="B718" s="32"/>
      <c r="C718" s="32"/>
      <c r="D718" s="32"/>
      <c r="E718" s="32"/>
      <c r="F718" s="32"/>
    </row>
    <row r="719" customFormat="false" ht="15" hidden="false" customHeight="false" outlineLevel="0" collapsed="false">
      <c r="A719" s="35"/>
      <c r="B719" s="32"/>
      <c r="C719" s="32"/>
      <c r="D719" s="32"/>
      <c r="E719" s="32"/>
      <c r="F719" s="32"/>
    </row>
    <row r="720" customFormat="false" ht="15" hidden="false" customHeight="false" outlineLevel="0" collapsed="false">
      <c r="A720" s="35"/>
      <c r="B720" s="32"/>
      <c r="C720" s="32"/>
      <c r="D720" s="32"/>
      <c r="E720" s="32"/>
      <c r="F720" s="32"/>
    </row>
    <row r="721" customFormat="false" ht="15" hidden="false" customHeight="false" outlineLevel="0" collapsed="false">
      <c r="A721" s="35"/>
      <c r="B721" s="32"/>
      <c r="C721" s="32"/>
      <c r="D721" s="32"/>
      <c r="E721" s="32"/>
      <c r="F721" s="32"/>
    </row>
    <row r="722" customFormat="false" ht="15" hidden="false" customHeight="false" outlineLevel="0" collapsed="false">
      <c r="A722" s="35"/>
      <c r="B722" s="32"/>
      <c r="C722" s="32"/>
      <c r="D722" s="32"/>
      <c r="E722" s="32"/>
      <c r="F722" s="32"/>
    </row>
    <row r="723" customFormat="false" ht="15" hidden="false" customHeight="false" outlineLevel="0" collapsed="false">
      <c r="A723" s="35"/>
      <c r="B723" s="32"/>
      <c r="C723" s="32"/>
      <c r="D723" s="32"/>
      <c r="E723" s="32"/>
      <c r="F723" s="32"/>
    </row>
    <row r="724" customFormat="false" ht="15" hidden="false" customHeight="false" outlineLevel="0" collapsed="false">
      <c r="A724" s="35"/>
      <c r="B724" s="32"/>
      <c r="C724" s="32"/>
      <c r="D724" s="32"/>
      <c r="E724" s="32"/>
      <c r="F724" s="32"/>
    </row>
    <row r="725" customFormat="false" ht="15" hidden="false" customHeight="false" outlineLevel="0" collapsed="false">
      <c r="A725" s="35"/>
      <c r="B725" s="32"/>
      <c r="C725" s="32"/>
      <c r="D725" s="32"/>
      <c r="E725" s="32"/>
      <c r="F725" s="32"/>
    </row>
    <row r="726" customFormat="false" ht="15" hidden="false" customHeight="false" outlineLevel="0" collapsed="false">
      <c r="A726" s="35"/>
      <c r="B726" s="32"/>
      <c r="C726" s="32"/>
      <c r="D726" s="32"/>
      <c r="E726" s="32"/>
      <c r="F726" s="32"/>
    </row>
    <row r="727" customFormat="false" ht="15" hidden="false" customHeight="false" outlineLevel="0" collapsed="false">
      <c r="A727" s="35"/>
      <c r="B727" s="32"/>
      <c r="C727" s="32"/>
      <c r="D727" s="32"/>
      <c r="E727" s="32"/>
      <c r="F727" s="32"/>
    </row>
    <row r="728" customFormat="false" ht="15" hidden="false" customHeight="false" outlineLevel="0" collapsed="false">
      <c r="A728" s="35"/>
      <c r="B728" s="32"/>
      <c r="C728" s="32"/>
      <c r="D728" s="32"/>
      <c r="E728" s="32"/>
      <c r="F728" s="32"/>
    </row>
    <row r="729" customFormat="false" ht="15" hidden="false" customHeight="false" outlineLevel="0" collapsed="false">
      <c r="A729" s="35"/>
      <c r="B729" s="32"/>
      <c r="C729" s="32"/>
      <c r="D729" s="32"/>
      <c r="E729" s="32"/>
      <c r="F729" s="32"/>
    </row>
    <row r="730" customFormat="false" ht="15" hidden="false" customHeight="false" outlineLevel="0" collapsed="false">
      <c r="A730" s="35"/>
      <c r="B730" s="32"/>
      <c r="C730" s="32"/>
      <c r="D730" s="32"/>
      <c r="E730" s="32"/>
      <c r="F730" s="32"/>
    </row>
    <row r="731" customFormat="false" ht="15" hidden="false" customHeight="false" outlineLevel="0" collapsed="false">
      <c r="A731" s="35"/>
      <c r="B731" s="32"/>
      <c r="C731" s="32"/>
      <c r="D731" s="32"/>
      <c r="E731" s="32"/>
      <c r="F731" s="32"/>
    </row>
    <row r="732" customFormat="false" ht="15" hidden="false" customHeight="false" outlineLevel="0" collapsed="false">
      <c r="A732" s="35"/>
      <c r="B732" s="32"/>
      <c r="C732" s="32"/>
      <c r="D732" s="32"/>
      <c r="E732" s="32"/>
      <c r="F732" s="32"/>
    </row>
    <row r="733" customFormat="false" ht="15" hidden="false" customHeight="false" outlineLevel="0" collapsed="false">
      <c r="A733" s="35"/>
      <c r="B733" s="32"/>
      <c r="C733" s="32"/>
      <c r="D733" s="32"/>
      <c r="E733" s="32"/>
      <c r="F733" s="32"/>
    </row>
    <row r="734" customFormat="false" ht="15" hidden="false" customHeight="false" outlineLevel="0" collapsed="false">
      <c r="A734" s="35"/>
      <c r="B734" s="32"/>
      <c r="C734" s="32"/>
      <c r="D734" s="32"/>
      <c r="E734" s="32"/>
      <c r="F734" s="32"/>
    </row>
    <row r="735" customFormat="false" ht="15" hidden="false" customHeight="false" outlineLevel="0" collapsed="false">
      <c r="A735" s="35"/>
      <c r="B735" s="32"/>
      <c r="C735" s="32"/>
      <c r="D735" s="32"/>
      <c r="E735" s="32"/>
      <c r="F735" s="32"/>
    </row>
    <row r="736" customFormat="false" ht="15" hidden="false" customHeight="false" outlineLevel="0" collapsed="false">
      <c r="A736" s="35"/>
      <c r="B736" s="32"/>
      <c r="C736" s="32"/>
      <c r="D736" s="32"/>
      <c r="E736" s="32"/>
      <c r="F736" s="32"/>
    </row>
    <row r="737" customFormat="false" ht="15" hidden="false" customHeight="false" outlineLevel="0" collapsed="false">
      <c r="A737" s="35"/>
      <c r="B737" s="32"/>
      <c r="C737" s="32"/>
      <c r="D737" s="32"/>
      <c r="E737" s="32"/>
      <c r="F737" s="32"/>
    </row>
    <row r="738" customFormat="false" ht="15" hidden="false" customHeight="false" outlineLevel="0" collapsed="false">
      <c r="A738" s="35"/>
      <c r="B738" s="32"/>
      <c r="C738" s="32"/>
      <c r="D738" s="32"/>
      <c r="E738" s="32"/>
      <c r="F738" s="32"/>
    </row>
    <row r="739" customFormat="false" ht="15" hidden="false" customHeight="false" outlineLevel="0" collapsed="false">
      <c r="A739" s="35"/>
      <c r="B739" s="32"/>
      <c r="C739" s="32"/>
      <c r="D739" s="32"/>
      <c r="E739" s="32"/>
      <c r="F739" s="32"/>
    </row>
    <row r="740" customFormat="false" ht="15" hidden="false" customHeight="false" outlineLevel="0" collapsed="false">
      <c r="A740" s="35"/>
      <c r="B740" s="32"/>
      <c r="C740" s="32"/>
      <c r="D740" s="32"/>
      <c r="E740" s="32"/>
      <c r="F740" s="32"/>
    </row>
    <row r="741" customFormat="false" ht="15" hidden="false" customHeight="false" outlineLevel="0" collapsed="false">
      <c r="A741" s="35"/>
      <c r="B741" s="32"/>
      <c r="C741" s="32"/>
      <c r="D741" s="32"/>
      <c r="E741" s="32"/>
      <c r="F741" s="32"/>
    </row>
    <row r="742" customFormat="false" ht="15" hidden="false" customHeight="false" outlineLevel="0" collapsed="false">
      <c r="A742" s="35"/>
      <c r="B742" s="32"/>
      <c r="C742" s="32"/>
      <c r="D742" s="32"/>
      <c r="E742" s="32"/>
      <c r="F742" s="32"/>
    </row>
    <row r="743" customFormat="false" ht="15" hidden="false" customHeight="false" outlineLevel="0" collapsed="false">
      <c r="A743" s="35"/>
      <c r="B743" s="32"/>
      <c r="C743" s="32"/>
      <c r="D743" s="32"/>
      <c r="E743" s="32"/>
      <c r="F743" s="32"/>
    </row>
    <row r="744" customFormat="false" ht="15" hidden="false" customHeight="false" outlineLevel="0" collapsed="false">
      <c r="A744" s="35"/>
      <c r="B744" s="32"/>
      <c r="C744" s="32"/>
      <c r="D744" s="32"/>
      <c r="E744" s="32"/>
      <c r="F744" s="32"/>
    </row>
    <row r="745" customFormat="false" ht="15" hidden="false" customHeight="false" outlineLevel="0" collapsed="false">
      <c r="A745" s="35"/>
      <c r="B745" s="32"/>
      <c r="C745" s="32"/>
      <c r="D745" s="32"/>
      <c r="E745" s="32"/>
      <c r="F745" s="32"/>
    </row>
    <row r="746" customFormat="false" ht="15" hidden="false" customHeight="false" outlineLevel="0" collapsed="false">
      <c r="A746" s="35"/>
      <c r="B746" s="32"/>
      <c r="C746" s="32"/>
      <c r="D746" s="32"/>
      <c r="E746" s="32"/>
      <c r="F746" s="32"/>
    </row>
    <row r="747" customFormat="false" ht="15" hidden="false" customHeight="false" outlineLevel="0" collapsed="false">
      <c r="A747" s="35"/>
      <c r="B747" s="32"/>
      <c r="C747" s="32"/>
      <c r="D747" s="32"/>
      <c r="E747" s="32"/>
      <c r="F747" s="32"/>
    </row>
    <row r="748" customFormat="false" ht="15" hidden="false" customHeight="false" outlineLevel="0" collapsed="false">
      <c r="A748" s="35"/>
      <c r="B748" s="32"/>
      <c r="C748" s="32"/>
      <c r="D748" s="32"/>
      <c r="E748" s="32"/>
      <c r="F748" s="32"/>
    </row>
    <row r="749" customFormat="false" ht="15" hidden="false" customHeight="false" outlineLevel="0" collapsed="false">
      <c r="A749" s="35"/>
      <c r="B749" s="32"/>
      <c r="C749" s="32"/>
      <c r="D749" s="32"/>
      <c r="E749" s="32"/>
      <c r="F749" s="32"/>
    </row>
    <row r="750" customFormat="false" ht="15" hidden="false" customHeight="false" outlineLevel="0" collapsed="false">
      <c r="A750" s="35"/>
      <c r="B750" s="32"/>
      <c r="C750" s="32"/>
      <c r="D750" s="32"/>
      <c r="E750" s="32"/>
      <c r="F750" s="32"/>
    </row>
    <row r="751" customFormat="false" ht="15" hidden="false" customHeight="false" outlineLevel="0" collapsed="false">
      <c r="A751" s="35"/>
      <c r="B751" s="32"/>
      <c r="C751" s="32"/>
      <c r="D751" s="32"/>
      <c r="E751" s="32"/>
      <c r="F751" s="32"/>
    </row>
    <row r="752" customFormat="false" ht="15" hidden="false" customHeight="false" outlineLevel="0" collapsed="false">
      <c r="A752" s="35"/>
      <c r="B752" s="32"/>
      <c r="C752" s="32"/>
      <c r="D752" s="32"/>
      <c r="E752" s="32"/>
      <c r="F752" s="32"/>
    </row>
    <row r="753" customFormat="false" ht="15" hidden="false" customHeight="false" outlineLevel="0" collapsed="false">
      <c r="A753" s="35"/>
      <c r="B753" s="32"/>
      <c r="C753" s="32"/>
      <c r="D753" s="32"/>
      <c r="E753" s="32"/>
      <c r="F753" s="32"/>
    </row>
    <row r="754" customFormat="false" ht="15" hidden="false" customHeight="false" outlineLevel="0" collapsed="false">
      <c r="A754" s="35"/>
      <c r="B754" s="32"/>
      <c r="C754" s="32"/>
      <c r="D754" s="32"/>
      <c r="E754" s="32"/>
      <c r="F754" s="32"/>
    </row>
    <row r="755" customFormat="false" ht="15" hidden="false" customHeight="false" outlineLevel="0" collapsed="false">
      <c r="A755" s="35"/>
      <c r="B755" s="32"/>
      <c r="C755" s="32"/>
      <c r="D755" s="32"/>
      <c r="E755" s="32"/>
      <c r="F755" s="32"/>
    </row>
    <row r="756" customFormat="false" ht="15" hidden="false" customHeight="false" outlineLevel="0" collapsed="false">
      <c r="A756" s="35"/>
      <c r="B756" s="32"/>
      <c r="C756" s="32"/>
      <c r="D756" s="32"/>
      <c r="E756" s="32"/>
      <c r="F756" s="32"/>
    </row>
    <row r="757" customFormat="false" ht="15" hidden="false" customHeight="false" outlineLevel="0" collapsed="false">
      <c r="A757" s="35"/>
      <c r="B757" s="32"/>
      <c r="C757" s="32"/>
      <c r="D757" s="32"/>
      <c r="E757" s="32"/>
      <c r="F757" s="32"/>
    </row>
    <row r="758" customFormat="false" ht="15" hidden="false" customHeight="false" outlineLevel="0" collapsed="false">
      <c r="A758" s="35"/>
      <c r="B758" s="32"/>
      <c r="C758" s="32"/>
      <c r="D758" s="32"/>
      <c r="E758" s="32"/>
      <c r="F758" s="32"/>
    </row>
    <row r="759" customFormat="false" ht="15" hidden="false" customHeight="false" outlineLevel="0" collapsed="false">
      <c r="A759" s="35"/>
      <c r="B759" s="32"/>
      <c r="C759" s="32"/>
      <c r="D759" s="32"/>
      <c r="E759" s="32"/>
      <c r="F759" s="32"/>
    </row>
    <row r="760" customFormat="false" ht="15" hidden="false" customHeight="false" outlineLevel="0" collapsed="false">
      <c r="A760" s="35"/>
      <c r="B760" s="32"/>
      <c r="C760" s="32"/>
      <c r="D760" s="32"/>
      <c r="E760" s="32"/>
      <c r="F760" s="32"/>
    </row>
    <row r="761" customFormat="false" ht="15" hidden="false" customHeight="false" outlineLevel="0" collapsed="false">
      <c r="A761" s="35"/>
      <c r="B761" s="32"/>
      <c r="C761" s="32"/>
      <c r="D761" s="32"/>
      <c r="E761" s="32"/>
      <c r="F761" s="32"/>
    </row>
    <row r="762" customFormat="false" ht="15" hidden="false" customHeight="false" outlineLevel="0" collapsed="false">
      <c r="A762" s="35"/>
      <c r="B762" s="32"/>
      <c r="C762" s="32"/>
      <c r="D762" s="32"/>
      <c r="E762" s="32"/>
      <c r="F762" s="32"/>
    </row>
    <row r="763" customFormat="false" ht="15" hidden="false" customHeight="false" outlineLevel="0" collapsed="false">
      <c r="A763" s="35"/>
      <c r="B763" s="32"/>
      <c r="C763" s="32"/>
      <c r="D763" s="32"/>
      <c r="E763" s="32"/>
      <c r="F763" s="32"/>
    </row>
    <row r="764" customFormat="false" ht="15" hidden="false" customHeight="false" outlineLevel="0" collapsed="false">
      <c r="A764" s="35"/>
      <c r="B764" s="32"/>
      <c r="C764" s="32"/>
      <c r="D764" s="32"/>
      <c r="E764" s="32"/>
      <c r="F764" s="32"/>
    </row>
    <row r="765" customFormat="false" ht="15" hidden="false" customHeight="false" outlineLevel="0" collapsed="false">
      <c r="A765" s="35"/>
      <c r="B765" s="32"/>
      <c r="C765" s="32"/>
      <c r="D765" s="32"/>
      <c r="E765" s="32"/>
      <c r="F765" s="32"/>
    </row>
    <row r="766" customFormat="false" ht="15" hidden="false" customHeight="false" outlineLevel="0" collapsed="false">
      <c r="A766" s="35"/>
      <c r="B766" s="32"/>
      <c r="C766" s="32"/>
      <c r="D766" s="32"/>
      <c r="E766" s="32"/>
      <c r="F766" s="32"/>
    </row>
    <row r="767" customFormat="false" ht="15" hidden="false" customHeight="false" outlineLevel="0" collapsed="false">
      <c r="A767" s="35"/>
      <c r="B767" s="32"/>
      <c r="C767" s="32"/>
      <c r="D767" s="32"/>
      <c r="E767" s="32"/>
      <c r="F767" s="32"/>
    </row>
    <row r="768" customFormat="false" ht="15" hidden="false" customHeight="false" outlineLevel="0" collapsed="false">
      <c r="A768" s="35"/>
      <c r="B768" s="32"/>
      <c r="C768" s="32"/>
      <c r="D768" s="32"/>
      <c r="E768" s="32"/>
      <c r="F768" s="32"/>
    </row>
    <row r="769" customFormat="false" ht="15" hidden="false" customHeight="false" outlineLevel="0" collapsed="false">
      <c r="A769" s="35"/>
      <c r="B769" s="32"/>
      <c r="C769" s="32"/>
      <c r="D769" s="32"/>
      <c r="E769" s="32"/>
      <c r="F769" s="32"/>
    </row>
    <row r="770" customFormat="false" ht="15" hidden="false" customHeight="false" outlineLevel="0" collapsed="false">
      <c r="A770" s="35"/>
      <c r="B770" s="32"/>
      <c r="C770" s="32"/>
      <c r="D770" s="32"/>
      <c r="E770" s="32"/>
      <c r="F770" s="32"/>
    </row>
    <row r="771" customFormat="false" ht="15" hidden="false" customHeight="false" outlineLevel="0" collapsed="false">
      <c r="A771" s="35"/>
      <c r="B771" s="32"/>
      <c r="C771" s="32"/>
      <c r="D771" s="32"/>
      <c r="E771" s="32"/>
      <c r="F771" s="32"/>
    </row>
    <row r="772" customFormat="false" ht="15" hidden="false" customHeight="false" outlineLevel="0" collapsed="false">
      <c r="A772" s="35"/>
      <c r="B772" s="32"/>
      <c r="C772" s="32"/>
      <c r="D772" s="32"/>
      <c r="E772" s="32"/>
      <c r="F772" s="32"/>
    </row>
    <row r="773" customFormat="false" ht="15" hidden="false" customHeight="false" outlineLevel="0" collapsed="false">
      <c r="A773" s="35"/>
      <c r="B773" s="32"/>
      <c r="C773" s="32"/>
      <c r="D773" s="32"/>
      <c r="E773" s="32"/>
      <c r="F773" s="32"/>
    </row>
    <row r="774" customFormat="false" ht="15" hidden="false" customHeight="false" outlineLevel="0" collapsed="false">
      <c r="A774" s="35"/>
      <c r="B774" s="32"/>
      <c r="C774" s="32"/>
      <c r="D774" s="32"/>
      <c r="E774" s="32"/>
      <c r="F774" s="32"/>
    </row>
    <row r="775" customFormat="false" ht="15" hidden="false" customHeight="false" outlineLevel="0" collapsed="false">
      <c r="A775" s="35"/>
      <c r="B775" s="32"/>
      <c r="C775" s="32"/>
      <c r="D775" s="32"/>
      <c r="E775" s="32"/>
      <c r="F775" s="32"/>
    </row>
    <row r="776" customFormat="false" ht="15" hidden="false" customHeight="false" outlineLevel="0" collapsed="false">
      <c r="A776" s="35"/>
      <c r="B776" s="32"/>
      <c r="C776" s="32"/>
      <c r="D776" s="32"/>
      <c r="E776" s="32"/>
      <c r="F776" s="32"/>
    </row>
    <row r="777" customFormat="false" ht="15" hidden="false" customHeight="false" outlineLevel="0" collapsed="false">
      <c r="A777" s="35"/>
      <c r="B777" s="32"/>
      <c r="C777" s="32"/>
      <c r="D777" s="32"/>
      <c r="E777" s="32"/>
      <c r="F777" s="32"/>
    </row>
    <row r="778" customFormat="false" ht="15" hidden="false" customHeight="false" outlineLevel="0" collapsed="false">
      <c r="A778" s="35"/>
      <c r="B778" s="32"/>
      <c r="C778" s="32"/>
      <c r="D778" s="32"/>
      <c r="E778" s="32"/>
      <c r="F778" s="32"/>
    </row>
    <row r="779" customFormat="false" ht="15" hidden="false" customHeight="false" outlineLevel="0" collapsed="false">
      <c r="A779" s="35"/>
      <c r="B779" s="32"/>
      <c r="C779" s="32"/>
      <c r="D779" s="32"/>
      <c r="E779" s="32"/>
      <c r="F779" s="32"/>
    </row>
    <row r="780" customFormat="false" ht="15" hidden="false" customHeight="false" outlineLevel="0" collapsed="false">
      <c r="A780" s="35"/>
      <c r="B780" s="32"/>
      <c r="C780" s="32"/>
      <c r="D780" s="32"/>
      <c r="E780" s="32"/>
      <c r="F780" s="32"/>
    </row>
    <row r="781" customFormat="false" ht="15" hidden="false" customHeight="false" outlineLevel="0" collapsed="false">
      <c r="A781" s="35"/>
      <c r="B781" s="32"/>
      <c r="C781" s="32"/>
      <c r="D781" s="32"/>
      <c r="E781" s="32"/>
      <c r="F781" s="32"/>
    </row>
    <row r="782" customFormat="false" ht="15" hidden="false" customHeight="false" outlineLevel="0" collapsed="false">
      <c r="A782" s="35"/>
      <c r="B782" s="32"/>
      <c r="C782" s="32"/>
      <c r="D782" s="32"/>
      <c r="E782" s="32"/>
      <c r="F782" s="32"/>
    </row>
    <row r="783" customFormat="false" ht="15" hidden="false" customHeight="false" outlineLevel="0" collapsed="false">
      <c r="A783" s="35"/>
      <c r="B783" s="32"/>
      <c r="C783" s="32"/>
      <c r="D783" s="32"/>
      <c r="E783" s="32"/>
      <c r="F783" s="32"/>
    </row>
    <row r="784" customFormat="false" ht="15" hidden="false" customHeight="false" outlineLevel="0" collapsed="false">
      <c r="A784" s="35"/>
      <c r="B784" s="32"/>
      <c r="C784" s="32"/>
      <c r="D784" s="32"/>
      <c r="E784" s="32"/>
      <c r="F784" s="32"/>
    </row>
    <row r="785" customFormat="false" ht="15" hidden="false" customHeight="false" outlineLevel="0" collapsed="false">
      <c r="A785" s="35"/>
      <c r="B785" s="32"/>
      <c r="C785" s="32"/>
      <c r="D785" s="32"/>
      <c r="E785" s="32"/>
      <c r="F785" s="32"/>
    </row>
    <row r="786" customFormat="false" ht="15" hidden="false" customHeight="false" outlineLevel="0" collapsed="false">
      <c r="A786" s="35"/>
      <c r="B786" s="32"/>
      <c r="C786" s="32"/>
      <c r="D786" s="32"/>
      <c r="E786" s="32"/>
      <c r="F786" s="32"/>
    </row>
    <row r="787" customFormat="false" ht="15" hidden="false" customHeight="false" outlineLevel="0" collapsed="false">
      <c r="A787" s="35"/>
      <c r="B787" s="32"/>
      <c r="C787" s="32"/>
      <c r="D787" s="32"/>
      <c r="E787" s="32"/>
      <c r="F787" s="32"/>
    </row>
    <row r="788" customFormat="false" ht="15" hidden="false" customHeight="false" outlineLevel="0" collapsed="false">
      <c r="A788" s="35"/>
      <c r="B788" s="32"/>
      <c r="C788" s="32"/>
      <c r="D788" s="32"/>
      <c r="E788" s="32"/>
      <c r="F788" s="32"/>
    </row>
    <row r="789" customFormat="false" ht="15" hidden="false" customHeight="false" outlineLevel="0" collapsed="false">
      <c r="A789" s="35"/>
      <c r="B789" s="32"/>
      <c r="C789" s="32"/>
      <c r="D789" s="32"/>
      <c r="E789" s="32"/>
      <c r="F789" s="32"/>
    </row>
    <row r="790" customFormat="false" ht="15" hidden="false" customHeight="false" outlineLevel="0" collapsed="false">
      <c r="A790" s="35"/>
      <c r="B790" s="32"/>
      <c r="C790" s="32"/>
      <c r="D790" s="32"/>
      <c r="E790" s="32"/>
      <c r="F790" s="32"/>
    </row>
    <row r="791" customFormat="false" ht="15" hidden="false" customHeight="false" outlineLevel="0" collapsed="false">
      <c r="A791" s="35"/>
      <c r="B791" s="32"/>
      <c r="C791" s="32"/>
      <c r="D791" s="32"/>
      <c r="E791" s="32"/>
      <c r="F791" s="32"/>
    </row>
    <row r="792" customFormat="false" ht="15" hidden="false" customHeight="false" outlineLevel="0" collapsed="false">
      <c r="A792" s="35"/>
      <c r="B792" s="32"/>
      <c r="C792" s="32"/>
      <c r="D792" s="32"/>
      <c r="E792" s="32"/>
      <c r="F792" s="32"/>
    </row>
    <row r="793" customFormat="false" ht="15" hidden="false" customHeight="false" outlineLevel="0" collapsed="false">
      <c r="A793" s="35"/>
      <c r="B793" s="32"/>
      <c r="C793" s="32"/>
      <c r="D793" s="32"/>
      <c r="E793" s="32"/>
      <c r="F793" s="32"/>
    </row>
    <row r="794" customFormat="false" ht="15" hidden="false" customHeight="false" outlineLevel="0" collapsed="false">
      <c r="A794" s="35"/>
      <c r="B794" s="32"/>
      <c r="C794" s="32"/>
      <c r="D794" s="32"/>
      <c r="E794" s="32"/>
      <c r="F794" s="32"/>
    </row>
    <row r="795" customFormat="false" ht="15" hidden="false" customHeight="false" outlineLevel="0" collapsed="false">
      <c r="A795" s="35"/>
      <c r="B795" s="32"/>
      <c r="C795" s="32"/>
      <c r="D795" s="32"/>
      <c r="E795" s="32"/>
      <c r="F795" s="32"/>
    </row>
    <row r="796" customFormat="false" ht="15" hidden="false" customHeight="false" outlineLevel="0" collapsed="false">
      <c r="A796" s="35"/>
      <c r="B796" s="32"/>
      <c r="C796" s="32"/>
      <c r="D796" s="32"/>
      <c r="E796" s="32"/>
      <c r="F796" s="32"/>
    </row>
    <row r="797" customFormat="false" ht="15" hidden="false" customHeight="false" outlineLevel="0" collapsed="false">
      <c r="A797" s="35"/>
      <c r="B797" s="32"/>
      <c r="C797" s="32"/>
      <c r="D797" s="32"/>
      <c r="E797" s="32"/>
      <c r="F797" s="32"/>
    </row>
    <row r="798" customFormat="false" ht="15" hidden="false" customHeight="false" outlineLevel="0" collapsed="false">
      <c r="A798" s="35"/>
      <c r="B798" s="32"/>
      <c r="C798" s="32"/>
      <c r="D798" s="32"/>
      <c r="E798" s="32"/>
      <c r="F798" s="32"/>
    </row>
    <row r="799" customFormat="false" ht="15" hidden="false" customHeight="false" outlineLevel="0" collapsed="false">
      <c r="A799" s="35"/>
      <c r="B799" s="32"/>
      <c r="C799" s="32"/>
      <c r="D799" s="32"/>
      <c r="E799" s="32"/>
      <c r="F799" s="32"/>
    </row>
    <row r="800" customFormat="false" ht="15" hidden="false" customHeight="false" outlineLevel="0" collapsed="false">
      <c r="A800" s="35"/>
      <c r="B800" s="32"/>
      <c r="C800" s="32"/>
      <c r="D800" s="32"/>
      <c r="E800" s="32"/>
      <c r="F800" s="32"/>
    </row>
    <row r="801" customFormat="false" ht="15" hidden="false" customHeight="false" outlineLevel="0" collapsed="false">
      <c r="A801" s="35"/>
      <c r="B801" s="32"/>
      <c r="C801" s="32"/>
      <c r="D801" s="32"/>
      <c r="E801" s="32"/>
      <c r="F801" s="32"/>
    </row>
    <row r="802" customFormat="false" ht="15" hidden="false" customHeight="false" outlineLevel="0" collapsed="false">
      <c r="A802" s="35"/>
      <c r="B802" s="32"/>
      <c r="C802" s="32"/>
      <c r="D802" s="32"/>
      <c r="E802" s="32"/>
      <c r="F802" s="32"/>
    </row>
    <row r="803" customFormat="false" ht="15" hidden="false" customHeight="false" outlineLevel="0" collapsed="false">
      <c r="A803" s="35"/>
      <c r="B803" s="32"/>
      <c r="C803" s="32"/>
      <c r="D803" s="32"/>
      <c r="E803" s="32"/>
      <c r="F803" s="32"/>
    </row>
    <row r="804" customFormat="false" ht="15" hidden="false" customHeight="false" outlineLevel="0" collapsed="false">
      <c r="A804" s="35"/>
      <c r="B804" s="32"/>
      <c r="C804" s="32"/>
      <c r="D804" s="32"/>
      <c r="E804" s="32"/>
      <c r="F804" s="32"/>
    </row>
    <row r="805" customFormat="false" ht="15" hidden="false" customHeight="false" outlineLevel="0" collapsed="false">
      <c r="A805" s="35"/>
      <c r="B805" s="32"/>
      <c r="C805" s="32"/>
      <c r="D805" s="32"/>
      <c r="E805" s="32"/>
      <c r="F805" s="32"/>
    </row>
    <row r="806" customFormat="false" ht="15" hidden="false" customHeight="false" outlineLevel="0" collapsed="false">
      <c r="A806" s="35"/>
      <c r="B806" s="32"/>
      <c r="C806" s="32"/>
      <c r="D806" s="32"/>
      <c r="E806" s="32"/>
      <c r="F806" s="32"/>
    </row>
    <row r="807" customFormat="false" ht="15" hidden="false" customHeight="false" outlineLevel="0" collapsed="false">
      <c r="A807" s="35"/>
      <c r="B807" s="32"/>
      <c r="C807" s="32"/>
      <c r="D807" s="32"/>
      <c r="E807" s="32"/>
      <c r="F807" s="32"/>
    </row>
    <row r="808" customFormat="false" ht="15" hidden="false" customHeight="false" outlineLevel="0" collapsed="false">
      <c r="A808" s="35"/>
      <c r="B808" s="32"/>
      <c r="C808" s="32"/>
      <c r="D808" s="32"/>
      <c r="E808" s="32"/>
      <c r="F808" s="32"/>
    </row>
    <row r="809" customFormat="false" ht="15" hidden="false" customHeight="false" outlineLevel="0" collapsed="false">
      <c r="A809" s="35"/>
      <c r="B809" s="32"/>
      <c r="C809" s="32"/>
      <c r="D809" s="32"/>
      <c r="E809" s="32"/>
      <c r="F809" s="32"/>
    </row>
    <row r="810" customFormat="false" ht="15" hidden="false" customHeight="false" outlineLevel="0" collapsed="false">
      <c r="A810" s="35"/>
      <c r="B810" s="32"/>
      <c r="C810" s="32"/>
      <c r="D810" s="32"/>
      <c r="E810" s="32"/>
      <c r="F810" s="32"/>
    </row>
    <row r="811" customFormat="false" ht="15" hidden="false" customHeight="false" outlineLevel="0" collapsed="false">
      <c r="A811" s="35"/>
      <c r="B811" s="32"/>
      <c r="C811" s="32"/>
      <c r="D811" s="32"/>
      <c r="E811" s="32"/>
      <c r="F811" s="32"/>
    </row>
    <row r="812" customFormat="false" ht="15" hidden="false" customHeight="false" outlineLevel="0" collapsed="false">
      <c r="A812" s="35"/>
      <c r="B812" s="32"/>
      <c r="C812" s="32"/>
      <c r="D812" s="32"/>
      <c r="E812" s="32"/>
      <c r="F812" s="32"/>
    </row>
    <row r="813" customFormat="false" ht="15" hidden="false" customHeight="false" outlineLevel="0" collapsed="false">
      <c r="A813" s="35"/>
      <c r="B813" s="32"/>
      <c r="C813" s="32"/>
      <c r="D813" s="32"/>
      <c r="E813" s="32"/>
      <c r="F813" s="32"/>
    </row>
    <row r="814" customFormat="false" ht="15" hidden="false" customHeight="false" outlineLevel="0" collapsed="false">
      <c r="A814" s="35"/>
      <c r="B814" s="32"/>
      <c r="C814" s="32"/>
      <c r="D814" s="32"/>
      <c r="E814" s="32"/>
      <c r="F814" s="32"/>
    </row>
    <row r="815" customFormat="false" ht="15" hidden="false" customHeight="false" outlineLevel="0" collapsed="false">
      <c r="A815" s="35"/>
      <c r="B815" s="32"/>
      <c r="C815" s="32"/>
      <c r="D815" s="32"/>
      <c r="E815" s="32"/>
      <c r="F815" s="32"/>
    </row>
    <row r="816" customFormat="false" ht="15" hidden="false" customHeight="false" outlineLevel="0" collapsed="false">
      <c r="A816" s="35"/>
      <c r="B816" s="32"/>
      <c r="C816" s="32"/>
      <c r="D816" s="32"/>
      <c r="E816" s="32"/>
      <c r="F816" s="32"/>
    </row>
    <row r="817" customFormat="false" ht="15" hidden="false" customHeight="false" outlineLevel="0" collapsed="false">
      <c r="A817" s="35"/>
      <c r="B817" s="32"/>
      <c r="C817" s="32"/>
      <c r="D817" s="32"/>
      <c r="E817" s="32"/>
      <c r="F817" s="32"/>
    </row>
    <row r="818" customFormat="false" ht="15" hidden="false" customHeight="false" outlineLevel="0" collapsed="false">
      <c r="A818" s="35"/>
      <c r="B818" s="32"/>
      <c r="C818" s="32"/>
      <c r="D818" s="32"/>
      <c r="E818" s="32"/>
      <c r="F818" s="32"/>
    </row>
    <row r="819" customFormat="false" ht="15" hidden="false" customHeight="false" outlineLevel="0" collapsed="false">
      <c r="A819" s="35"/>
      <c r="B819" s="32"/>
      <c r="C819" s="32"/>
      <c r="D819" s="32"/>
      <c r="E819" s="32"/>
      <c r="F819" s="32"/>
    </row>
    <row r="820" customFormat="false" ht="15" hidden="false" customHeight="false" outlineLevel="0" collapsed="false">
      <c r="A820" s="35"/>
      <c r="B820" s="32"/>
      <c r="C820" s="32"/>
      <c r="D820" s="32"/>
      <c r="E820" s="32"/>
      <c r="F820" s="32"/>
    </row>
    <row r="821" customFormat="false" ht="15" hidden="false" customHeight="false" outlineLevel="0" collapsed="false">
      <c r="A821" s="35"/>
      <c r="B821" s="32"/>
      <c r="C821" s="32"/>
      <c r="D821" s="32"/>
      <c r="E821" s="32"/>
      <c r="F821" s="32"/>
    </row>
    <row r="822" customFormat="false" ht="15" hidden="false" customHeight="false" outlineLevel="0" collapsed="false">
      <c r="A822" s="35"/>
      <c r="B822" s="32"/>
      <c r="C822" s="32"/>
      <c r="D822" s="32"/>
      <c r="E822" s="32"/>
      <c r="F822" s="32"/>
    </row>
    <row r="823" customFormat="false" ht="15" hidden="false" customHeight="false" outlineLevel="0" collapsed="false">
      <c r="A823" s="35"/>
      <c r="B823" s="32"/>
      <c r="C823" s="32"/>
      <c r="D823" s="32"/>
      <c r="E823" s="32"/>
      <c r="F823" s="32"/>
    </row>
    <row r="824" customFormat="false" ht="15" hidden="false" customHeight="false" outlineLevel="0" collapsed="false">
      <c r="A824" s="35"/>
      <c r="B824" s="32"/>
      <c r="C824" s="32"/>
      <c r="D824" s="32"/>
      <c r="E824" s="32"/>
      <c r="F824" s="32"/>
    </row>
    <row r="825" customFormat="false" ht="15" hidden="false" customHeight="false" outlineLevel="0" collapsed="false">
      <c r="A825" s="35"/>
      <c r="B825" s="32"/>
      <c r="C825" s="32"/>
      <c r="D825" s="32"/>
      <c r="E825" s="32"/>
      <c r="F825" s="32"/>
    </row>
    <row r="826" customFormat="false" ht="15" hidden="false" customHeight="false" outlineLevel="0" collapsed="false">
      <c r="A826" s="35"/>
      <c r="B826" s="32"/>
      <c r="C826" s="32"/>
      <c r="D826" s="32"/>
      <c r="E826" s="32"/>
      <c r="F826" s="32"/>
    </row>
    <row r="827" customFormat="false" ht="15" hidden="false" customHeight="false" outlineLevel="0" collapsed="false">
      <c r="A827" s="35"/>
      <c r="B827" s="32"/>
      <c r="C827" s="32"/>
      <c r="D827" s="32"/>
      <c r="E827" s="32"/>
      <c r="F827" s="32"/>
    </row>
    <row r="828" customFormat="false" ht="15" hidden="false" customHeight="false" outlineLevel="0" collapsed="false">
      <c r="A828" s="35"/>
      <c r="B828" s="32"/>
      <c r="C828" s="32"/>
      <c r="D828" s="32"/>
      <c r="E828" s="32"/>
      <c r="F828" s="32"/>
    </row>
    <row r="829" customFormat="false" ht="15" hidden="false" customHeight="false" outlineLevel="0" collapsed="false">
      <c r="A829" s="35"/>
      <c r="B829" s="32"/>
      <c r="C829" s="32"/>
      <c r="D829" s="32"/>
      <c r="E829" s="32"/>
      <c r="F829" s="32"/>
    </row>
    <row r="830" customFormat="false" ht="15" hidden="false" customHeight="false" outlineLevel="0" collapsed="false">
      <c r="A830" s="35"/>
      <c r="B830" s="32"/>
      <c r="C830" s="32"/>
      <c r="D830" s="32"/>
      <c r="E830" s="32"/>
      <c r="F830" s="32"/>
    </row>
    <row r="831" customFormat="false" ht="15" hidden="false" customHeight="false" outlineLevel="0" collapsed="false">
      <c r="A831" s="35"/>
      <c r="B831" s="32"/>
      <c r="C831" s="32"/>
      <c r="D831" s="32"/>
      <c r="E831" s="32"/>
      <c r="F831" s="32"/>
    </row>
    <row r="832" customFormat="false" ht="15" hidden="false" customHeight="false" outlineLevel="0" collapsed="false">
      <c r="A832" s="35"/>
      <c r="B832" s="32"/>
      <c r="C832" s="32"/>
      <c r="D832" s="32"/>
      <c r="E832" s="32"/>
      <c r="F832" s="32"/>
    </row>
    <row r="833" customFormat="false" ht="15" hidden="false" customHeight="false" outlineLevel="0" collapsed="false">
      <c r="A833" s="35"/>
      <c r="B833" s="32"/>
      <c r="C833" s="32"/>
      <c r="D833" s="32"/>
      <c r="E833" s="32"/>
      <c r="F833" s="32"/>
    </row>
    <row r="834" customFormat="false" ht="15" hidden="false" customHeight="false" outlineLevel="0" collapsed="false">
      <c r="A834" s="35"/>
      <c r="B834" s="32"/>
      <c r="C834" s="32"/>
      <c r="D834" s="32"/>
      <c r="E834" s="32"/>
      <c r="F834" s="32"/>
    </row>
    <row r="835" customFormat="false" ht="15" hidden="false" customHeight="false" outlineLevel="0" collapsed="false">
      <c r="A835" s="35"/>
      <c r="B835" s="32"/>
      <c r="C835" s="32"/>
      <c r="D835" s="32"/>
      <c r="E835" s="32"/>
      <c r="F835" s="32"/>
    </row>
    <row r="836" customFormat="false" ht="15" hidden="false" customHeight="false" outlineLevel="0" collapsed="false">
      <c r="A836" s="35"/>
      <c r="B836" s="32"/>
      <c r="C836" s="32"/>
      <c r="D836" s="32"/>
      <c r="E836" s="32"/>
      <c r="F836" s="32"/>
    </row>
    <row r="837" customFormat="false" ht="15" hidden="false" customHeight="false" outlineLevel="0" collapsed="false">
      <c r="A837" s="35"/>
      <c r="B837" s="32"/>
      <c r="C837" s="32"/>
      <c r="D837" s="32"/>
      <c r="E837" s="32"/>
      <c r="F837" s="32"/>
    </row>
    <row r="838" customFormat="false" ht="15" hidden="false" customHeight="false" outlineLevel="0" collapsed="false">
      <c r="A838" s="35"/>
      <c r="B838" s="32"/>
      <c r="C838" s="32"/>
      <c r="D838" s="32"/>
      <c r="E838" s="32"/>
      <c r="F838" s="32"/>
    </row>
    <row r="839" customFormat="false" ht="15" hidden="false" customHeight="false" outlineLevel="0" collapsed="false">
      <c r="A839" s="35"/>
      <c r="B839" s="32"/>
      <c r="C839" s="32"/>
      <c r="D839" s="32"/>
      <c r="E839" s="32"/>
      <c r="F839" s="32"/>
    </row>
    <row r="840" customFormat="false" ht="15" hidden="false" customHeight="false" outlineLevel="0" collapsed="false">
      <c r="A840" s="35"/>
      <c r="B840" s="32"/>
      <c r="C840" s="32"/>
      <c r="D840" s="32"/>
      <c r="E840" s="32"/>
      <c r="F840" s="32"/>
    </row>
    <row r="841" customFormat="false" ht="15" hidden="false" customHeight="false" outlineLevel="0" collapsed="false">
      <c r="A841" s="35"/>
      <c r="B841" s="32"/>
      <c r="C841" s="32"/>
      <c r="D841" s="32"/>
      <c r="E841" s="32"/>
      <c r="F841" s="32"/>
    </row>
    <row r="842" customFormat="false" ht="15" hidden="false" customHeight="false" outlineLevel="0" collapsed="false">
      <c r="A842" s="35"/>
      <c r="B842" s="32"/>
      <c r="C842" s="32"/>
      <c r="D842" s="32"/>
      <c r="E842" s="32"/>
      <c r="F842" s="32"/>
    </row>
    <row r="843" customFormat="false" ht="15" hidden="false" customHeight="false" outlineLevel="0" collapsed="false">
      <c r="A843" s="35"/>
      <c r="B843" s="32"/>
      <c r="C843" s="32"/>
      <c r="D843" s="32"/>
      <c r="E843" s="32"/>
      <c r="F843" s="32"/>
    </row>
    <row r="844" customFormat="false" ht="15" hidden="false" customHeight="false" outlineLevel="0" collapsed="false">
      <c r="A844" s="35"/>
      <c r="B844" s="32"/>
      <c r="C844" s="32"/>
      <c r="D844" s="32"/>
      <c r="E844" s="32"/>
      <c r="F844" s="32"/>
    </row>
    <row r="845" customFormat="false" ht="15" hidden="false" customHeight="false" outlineLevel="0" collapsed="false">
      <c r="A845" s="35"/>
      <c r="B845" s="32"/>
      <c r="C845" s="32"/>
      <c r="D845" s="32"/>
      <c r="E845" s="32"/>
      <c r="F845" s="32"/>
    </row>
    <row r="846" customFormat="false" ht="15" hidden="false" customHeight="false" outlineLevel="0" collapsed="false">
      <c r="A846" s="35"/>
      <c r="B846" s="32"/>
      <c r="C846" s="32"/>
      <c r="D846" s="32"/>
      <c r="E846" s="32"/>
      <c r="F846" s="32"/>
    </row>
    <row r="847" customFormat="false" ht="15" hidden="false" customHeight="false" outlineLevel="0" collapsed="false">
      <c r="A847" s="35"/>
      <c r="B847" s="32"/>
      <c r="C847" s="32"/>
      <c r="D847" s="32"/>
      <c r="E847" s="32"/>
      <c r="F847" s="32"/>
    </row>
    <row r="848" customFormat="false" ht="15" hidden="false" customHeight="false" outlineLevel="0" collapsed="false">
      <c r="A848" s="35"/>
      <c r="B848" s="32"/>
      <c r="C848" s="32"/>
      <c r="D848" s="32"/>
      <c r="E848" s="32"/>
      <c r="F848" s="32"/>
    </row>
    <row r="849" customFormat="false" ht="15" hidden="false" customHeight="false" outlineLevel="0" collapsed="false">
      <c r="A849" s="35"/>
      <c r="B849" s="32"/>
      <c r="C849" s="32"/>
      <c r="D849" s="32"/>
      <c r="E849" s="32"/>
      <c r="F849" s="32"/>
    </row>
    <row r="850" customFormat="false" ht="15" hidden="false" customHeight="false" outlineLevel="0" collapsed="false">
      <c r="A850" s="35"/>
      <c r="B850" s="32"/>
      <c r="C850" s="32"/>
      <c r="D850" s="32"/>
      <c r="E850" s="32"/>
      <c r="F850" s="32"/>
    </row>
    <row r="851" customFormat="false" ht="15" hidden="false" customHeight="false" outlineLevel="0" collapsed="false">
      <c r="A851" s="35"/>
      <c r="B851" s="32"/>
      <c r="C851" s="32"/>
      <c r="D851" s="32"/>
      <c r="E851" s="32"/>
      <c r="F851" s="32"/>
    </row>
    <row r="852" customFormat="false" ht="15" hidden="false" customHeight="false" outlineLevel="0" collapsed="false">
      <c r="A852" s="35"/>
      <c r="B852" s="32"/>
      <c r="C852" s="32"/>
      <c r="D852" s="32"/>
      <c r="E852" s="32"/>
      <c r="F852" s="32"/>
    </row>
    <row r="853" customFormat="false" ht="15" hidden="false" customHeight="false" outlineLevel="0" collapsed="false">
      <c r="A853" s="35"/>
      <c r="B853" s="32"/>
      <c r="C853" s="32"/>
      <c r="D853" s="32"/>
      <c r="E853" s="32"/>
      <c r="F853" s="32"/>
    </row>
    <row r="854" customFormat="false" ht="15" hidden="false" customHeight="false" outlineLevel="0" collapsed="false">
      <c r="A854" s="35"/>
      <c r="B854" s="32"/>
      <c r="C854" s="32"/>
      <c r="D854" s="32"/>
      <c r="E854" s="32"/>
      <c r="F854" s="32"/>
    </row>
    <row r="855" customFormat="false" ht="15" hidden="false" customHeight="false" outlineLevel="0" collapsed="false">
      <c r="A855" s="35"/>
      <c r="B855" s="32"/>
      <c r="C855" s="32"/>
      <c r="D855" s="32"/>
      <c r="E855" s="32"/>
      <c r="F855" s="32"/>
    </row>
    <row r="856" customFormat="false" ht="15" hidden="false" customHeight="false" outlineLevel="0" collapsed="false">
      <c r="A856" s="35"/>
      <c r="B856" s="32"/>
      <c r="C856" s="32"/>
      <c r="D856" s="32"/>
      <c r="E856" s="32"/>
      <c r="F856" s="32"/>
    </row>
    <row r="857" customFormat="false" ht="15" hidden="false" customHeight="false" outlineLevel="0" collapsed="false">
      <c r="A857" s="35"/>
      <c r="B857" s="32"/>
      <c r="C857" s="32"/>
      <c r="D857" s="32"/>
      <c r="E857" s="32"/>
      <c r="F857" s="32"/>
    </row>
    <row r="858" customFormat="false" ht="15" hidden="false" customHeight="false" outlineLevel="0" collapsed="false">
      <c r="A858" s="35"/>
      <c r="B858" s="32"/>
      <c r="C858" s="32"/>
      <c r="D858" s="32"/>
      <c r="E858" s="32"/>
      <c r="F858" s="32"/>
    </row>
    <row r="859" customFormat="false" ht="15" hidden="false" customHeight="false" outlineLevel="0" collapsed="false">
      <c r="A859" s="35"/>
      <c r="B859" s="32"/>
      <c r="C859" s="32"/>
      <c r="D859" s="32"/>
      <c r="E859" s="32"/>
      <c r="F859" s="32"/>
    </row>
    <row r="860" customFormat="false" ht="15" hidden="false" customHeight="false" outlineLevel="0" collapsed="false">
      <c r="A860" s="35"/>
      <c r="B860" s="32"/>
      <c r="C860" s="32"/>
      <c r="D860" s="32"/>
      <c r="E860" s="32"/>
      <c r="F860" s="32"/>
    </row>
    <row r="861" customFormat="false" ht="15" hidden="false" customHeight="false" outlineLevel="0" collapsed="false">
      <c r="A861" s="35"/>
      <c r="B861" s="32"/>
      <c r="C861" s="32"/>
      <c r="D861" s="32"/>
      <c r="E861" s="32"/>
      <c r="F861" s="32"/>
    </row>
    <row r="862" customFormat="false" ht="15" hidden="false" customHeight="false" outlineLevel="0" collapsed="false">
      <c r="A862" s="35"/>
      <c r="B862" s="32"/>
      <c r="C862" s="32"/>
      <c r="D862" s="32"/>
      <c r="E862" s="32"/>
      <c r="F862" s="32"/>
    </row>
    <row r="863" customFormat="false" ht="15" hidden="false" customHeight="false" outlineLevel="0" collapsed="false">
      <c r="A863" s="35"/>
      <c r="B863" s="32"/>
      <c r="C863" s="32"/>
      <c r="D863" s="32"/>
      <c r="E863" s="32"/>
      <c r="F863" s="32"/>
    </row>
    <row r="864" customFormat="false" ht="15" hidden="false" customHeight="false" outlineLevel="0" collapsed="false">
      <c r="A864" s="35"/>
      <c r="B864" s="32"/>
      <c r="C864" s="32"/>
      <c r="D864" s="32"/>
      <c r="E864" s="32"/>
      <c r="F864" s="32"/>
    </row>
    <row r="865" customFormat="false" ht="15" hidden="false" customHeight="false" outlineLevel="0" collapsed="false">
      <c r="A865" s="35"/>
      <c r="B865" s="32"/>
      <c r="C865" s="32"/>
      <c r="D865" s="32"/>
      <c r="E865" s="32"/>
      <c r="F865" s="32"/>
    </row>
    <row r="866" customFormat="false" ht="15" hidden="false" customHeight="false" outlineLevel="0" collapsed="false">
      <c r="A866" s="35"/>
      <c r="B866" s="32"/>
      <c r="C866" s="32"/>
      <c r="D866" s="32"/>
      <c r="E866" s="32"/>
      <c r="F866" s="32"/>
    </row>
    <row r="867" customFormat="false" ht="15" hidden="false" customHeight="false" outlineLevel="0" collapsed="false">
      <c r="A867" s="35"/>
      <c r="B867" s="32"/>
      <c r="C867" s="32"/>
      <c r="D867" s="32"/>
      <c r="E867" s="32"/>
      <c r="F867" s="32"/>
    </row>
    <row r="868" customFormat="false" ht="15" hidden="false" customHeight="false" outlineLevel="0" collapsed="false">
      <c r="A868" s="35"/>
      <c r="B868" s="32"/>
      <c r="C868" s="32"/>
      <c r="D868" s="32"/>
      <c r="E868" s="32"/>
      <c r="F868" s="32"/>
    </row>
    <row r="869" customFormat="false" ht="15" hidden="false" customHeight="false" outlineLevel="0" collapsed="false">
      <c r="A869" s="35"/>
      <c r="B869" s="32"/>
      <c r="C869" s="32"/>
      <c r="D869" s="32"/>
      <c r="E869" s="32"/>
      <c r="F869" s="32"/>
    </row>
    <row r="870" customFormat="false" ht="15" hidden="false" customHeight="false" outlineLevel="0" collapsed="false">
      <c r="A870" s="35"/>
      <c r="B870" s="32"/>
      <c r="C870" s="32"/>
      <c r="D870" s="32"/>
      <c r="E870" s="32"/>
      <c r="F870" s="32"/>
    </row>
    <row r="871" customFormat="false" ht="15" hidden="false" customHeight="false" outlineLevel="0" collapsed="false">
      <c r="A871" s="35"/>
      <c r="B871" s="32"/>
      <c r="C871" s="32"/>
      <c r="D871" s="32"/>
      <c r="E871" s="32"/>
      <c r="F871" s="32"/>
    </row>
    <row r="872" customFormat="false" ht="15" hidden="false" customHeight="false" outlineLevel="0" collapsed="false">
      <c r="A872" s="35"/>
      <c r="B872" s="32"/>
      <c r="C872" s="32"/>
      <c r="D872" s="32"/>
      <c r="E872" s="32"/>
      <c r="F872" s="32"/>
    </row>
    <row r="873" customFormat="false" ht="15" hidden="false" customHeight="false" outlineLevel="0" collapsed="false">
      <c r="A873" s="35"/>
      <c r="B873" s="32"/>
      <c r="C873" s="32"/>
      <c r="D873" s="32"/>
      <c r="E873" s="32"/>
      <c r="F873" s="32"/>
    </row>
    <row r="874" customFormat="false" ht="15" hidden="false" customHeight="false" outlineLevel="0" collapsed="false">
      <c r="A874" s="35"/>
      <c r="B874" s="32"/>
      <c r="C874" s="32"/>
      <c r="D874" s="32"/>
      <c r="E874" s="32"/>
      <c r="F874" s="32"/>
    </row>
    <row r="875" customFormat="false" ht="15" hidden="false" customHeight="false" outlineLevel="0" collapsed="false">
      <c r="A875" s="35"/>
      <c r="B875" s="32"/>
      <c r="C875" s="32"/>
      <c r="D875" s="32"/>
      <c r="E875" s="32"/>
      <c r="F875" s="32"/>
    </row>
    <row r="876" customFormat="false" ht="15" hidden="false" customHeight="false" outlineLevel="0" collapsed="false">
      <c r="A876" s="35"/>
      <c r="B876" s="32"/>
      <c r="C876" s="32"/>
      <c r="D876" s="32"/>
      <c r="E876" s="32"/>
      <c r="F876" s="32"/>
    </row>
    <row r="877" customFormat="false" ht="15" hidden="false" customHeight="false" outlineLevel="0" collapsed="false">
      <c r="A877" s="35"/>
      <c r="B877" s="32"/>
      <c r="C877" s="32"/>
      <c r="D877" s="32"/>
      <c r="E877" s="32"/>
      <c r="F877" s="32"/>
    </row>
    <row r="878" customFormat="false" ht="15" hidden="false" customHeight="false" outlineLevel="0" collapsed="false">
      <c r="A878" s="35"/>
      <c r="B878" s="32"/>
      <c r="C878" s="32"/>
      <c r="D878" s="32"/>
      <c r="E878" s="32"/>
      <c r="F878" s="32"/>
    </row>
    <row r="879" customFormat="false" ht="15" hidden="false" customHeight="false" outlineLevel="0" collapsed="false">
      <c r="A879" s="35"/>
      <c r="B879" s="32"/>
      <c r="C879" s="32"/>
      <c r="D879" s="32"/>
      <c r="E879" s="32"/>
      <c r="F879" s="32"/>
    </row>
    <row r="880" customFormat="false" ht="15" hidden="false" customHeight="false" outlineLevel="0" collapsed="false">
      <c r="A880" s="35"/>
      <c r="B880" s="32"/>
      <c r="C880" s="32"/>
      <c r="D880" s="32"/>
      <c r="E880" s="32"/>
      <c r="F880" s="32"/>
    </row>
    <row r="881" customFormat="false" ht="15" hidden="false" customHeight="false" outlineLevel="0" collapsed="false">
      <c r="A881" s="35"/>
      <c r="B881" s="32"/>
      <c r="C881" s="32"/>
      <c r="D881" s="32"/>
      <c r="E881" s="32"/>
      <c r="F881" s="32"/>
    </row>
    <row r="882" customFormat="false" ht="15" hidden="false" customHeight="false" outlineLevel="0" collapsed="false">
      <c r="A882" s="35"/>
      <c r="B882" s="32"/>
      <c r="C882" s="32"/>
      <c r="D882" s="32"/>
      <c r="E882" s="32"/>
      <c r="F882" s="32"/>
    </row>
    <row r="883" customFormat="false" ht="15" hidden="false" customHeight="false" outlineLevel="0" collapsed="false">
      <c r="A883" s="35"/>
      <c r="B883" s="32"/>
      <c r="C883" s="32"/>
      <c r="D883" s="32"/>
      <c r="E883" s="32"/>
      <c r="F883" s="32"/>
    </row>
    <row r="884" customFormat="false" ht="15" hidden="false" customHeight="false" outlineLevel="0" collapsed="false">
      <c r="A884" s="35"/>
      <c r="B884" s="32"/>
      <c r="C884" s="32"/>
      <c r="D884" s="32"/>
      <c r="E884" s="32"/>
      <c r="F884" s="32"/>
    </row>
    <row r="885" customFormat="false" ht="15" hidden="false" customHeight="false" outlineLevel="0" collapsed="false">
      <c r="A885" s="35"/>
      <c r="B885" s="32"/>
      <c r="C885" s="32"/>
      <c r="D885" s="32"/>
      <c r="E885" s="32"/>
      <c r="F885" s="32"/>
    </row>
    <row r="886" customFormat="false" ht="15" hidden="false" customHeight="false" outlineLevel="0" collapsed="false">
      <c r="A886" s="35"/>
      <c r="B886" s="32"/>
      <c r="C886" s="32"/>
      <c r="D886" s="32"/>
      <c r="E886" s="32"/>
      <c r="F886" s="32"/>
    </row>
    <row r="887" customFormat="false" ht="15" hidden="false" customHeight="false" outlineLevel="0" collapsed="false">
      <c r="A887" s="35"/>
      <c r="B887" s="32"/>
      <c r="C887" s="32"/>
      <c r="D887" s="32"/>
      <c r="E887" s="32"/>
      <c r="F887" s="32"/>
    </row>
    <row r="888" customFormat="false" ht="15" hidden="false" customHeight="false" outlineLevel="0" collapsed="false">
      <c r="A888" s="35"/>
      <c r="B888" s="32"/>
      <c r="C888" s="32"/>
      <c r="D888" s="32"/>
      <c r="E888" s="32"/>
      <c r="F888" s="32"/>
    </row>
    <row r="889" customFormat="false" ht="15" hidden="false" customHeight="false" outlineLevel="0" collapsed="false">
      <c r="A889" s="35"/>
      <c r="B889" s="32"/>
      <c r="C889" s="32"/>
      <c r="D889" s="32"/>
      <c r="E889" s="32"/>
      <c r="F889" s="32"/>
    </row>
    <row r="890" customFormat="false" ht="15" hidden="false" customHeight="false" outlineLevel="0" collapsed="false">
      <c r="A890" s="35"/>
      <c r="B890" s="32"/>
      <c r="C890" s="32"/>
      <c r="D890" s="32"/>
      <c r="E890" s="32"/>
      <c r="F890" s="32"/>
    </row>
    <row r="891" customFormat="false" ht="15" hidden="false" customHeight="false" outlineLevel="0" collapsed="false">
      <c r="A891" s="35"/>
      <c r="B891" s="32"/>
      <c r="C891" s="32"/>
      <c r="D891" s="32"/>
      <c r="E891" s="32"/>
      <c r="F891" s="32"/>
    </row>
    <row r="892" customFormat="false" ht="15" hidden="false" customHeight="false" outlineLevel="0" collapsed="false">
      <c r="A892" s="35"/>
      <c r="B892" s="32"/>
      <c r="C892" s="32"/>
      <c r="D892" s="32"/>
      <c r="E892" s="32"/>
      <c r="F892" s="32"/>
    </row>
    <row r="893" customFormat="false" ht="15" hidden="false" customHeight="false" outlineLevel="0" collapsed="false">
      <c r="A893" s="35"/>
      <c r="B893" s="32"/>
      <c r="C893" s="32"/>
      <c r="D893" s="32"/>
      <c r="E893" s="32"/>
      <c r="F893" s="32"/>
    </row>
    <row r="894" customFormat="false" ht="15" hidden="false" customHeight="false" outlineLevel="0" collapsed="false">
      <c r="A894" s="35"/>
      <c r="B894" s="32"/>
      <c r="C894" s="32"/>
      <c r="D894" s="32"/>
      <c r="E894" s="32"/>
      <c r="F894" s="32"/>
    </row>
    <row r="895" customFormat="false" ht="15" hidden="false" customHeight="false" outlineLevel="0" collapsed="false">
      <c r="A895" s="35"/>
      <c r="B895" s="32"/>
      <c r="C895" s="32"/>
      <c r="D895" s="32"/>
      <c r="E895" s="32"/>
      <c r="F895" s="32"/>
    </row>
    <row r="896" customFormat="false" ht="15" hidden="false" customHeight="false" outlineLevel="0" collapsed="false">
      <c r="A896" s="35"/>
      <c r="B896" s="32"/>
      <c r="C896" s="32"/>
      <c r="D896" s="32"/>
      <c r="E896" s="32"/>
      <c r="F896" s="32"/>
    </row>
    <row r="897" customFormat="false" ht="15" hidden="false" customHeight="false" outlineLevel="0" collapsed="false">
      <c r="A897" s="35"/>
      <c r="B897" s="32"/>
      <c r="C897" s="32"/>
      <c r="D897" s="32"/>
      <c r="E897" s="32"/>
      <c r="F897" s="32"/>
    </row>
    <row r="898" customFormat="false" ht="15" hidden="false" customHeight="false" outlineLevel="0" collapsed="false">
      <c r="A898" s="35"/>
      <c r="B898" s="32"/>
      <c r="C898" s="32"/>
      <c r="D898" s="32"/>
      <c r="E898" s="32"/>
      <c r="F898" s="32"/>
    </row>
    <row r="899" customFormat="false" ht="15" hidden="false" customHeight="false" outlineLevel="0" collapsed="false">
      <c r="A899" s="35"/>
      <c r="B899" s="32"/>
      <c r="C899" s="32"/>
      <c r="D899" s="32"/>
      <c r="E899" s="32"/>
      <c r="F899" s="32"/>
    </row>
    <row r="900" customFormat="false" ht="15" hidden="false" customHeight="false" outlineLevel="0" collapsed="false">
      <c r="A900" s="35"/>
      <c r="B900" s="32"/>
      <c r="C900" s="32"/>
      <c r="D900" s="32"/>
      <c r="E900" s="32"/>
      <c r="F900" s="32"/>
    </row>
    <row r="901" customFormat="false" ht="15" hidden="false" customHeight="false" outlineLevel="0" collapsed="false">
      <c r="A901" s="35"/>
      <c r="B901" s="32"/>
      <c r="C901" s="32"/>
      <c r="D901" s="32"/>
      <c r="E901" s="32"/>
      <c r="F901" s="32"/>
    </row>
    <row r="902" customFormat="false" ht="15" hidden="false" customHeight="false" outlineLevel="0" collapsed="false">
      <c r="A902" s="35"/>
      <c r="B902" s="32"/>
      <c r="C902" s="32"/>
      <c r="D902" s="32"/>
      <c r="E902" s="32"/>
      <c r="F902" s="32"/>
    </row>
    <row r="903" customFormat="false" ht="15" hidden="false" customHeight="false" outlineLevel="0" collapsed="false">
      <c r="A903" s="35"/>
      <c r="B903" s="32"/>
      <c r="C903" s="32"/>
      <c r="D903" s="32"/>
      <c r="E903" s="32"/>
      <c r="F903" s="32"/>
    </row>
    <row r="904" customFormat="false" ht="15" hidden="false" customHeight="false" outlineLevel="0" collapsed="false">
      <c r="A904" s="35"/>
      <c r="B904" s="32"/>
      <c r="C904" s="32"/>
      <c r="D904" s="32"/>
      <c r="E904" s="32"/>
      <c r="F904" s="32"/>
    </row>
    <row r="905" customFormat="false" ht="15" hidden="false" customHeight="false" outlineLevel="0" collapsed="false">
      <c r="A905" s="35"/>
      <c r="B905" s="32"/>
      <c r="C905" s="32"/>
      <c r="D905" s="32"/>
      <c r="E905" s="32"/>
      <c r="F905" s="32"/>
    </row>
    <row r="906" customFormat="false" ht="15" hidden="false" customHeight="false" outlineLevel="0" collapsed="false">
      <c r="A906" s="35"/>
      <c r="B906" s="32"/>
      <c r="C906" s="32"/>
      <c r="D906" s="32"/>
      <c r="E906" s="32"/>
      <c r="F906" s="32"/>
    </row>
    <row r="907" customFormat="false" ht="15" hidden="false" customHeight="false" outlineLevel="0" collapsed="false">
      <c r="A907" s="35"/>
      <c r="B907" s="32"/>
      <c r="C907" s="32"/>
      <c r="D907" s="32"/>
      <c r="E907" s="32"/>
      <c r="F907" s="32"/>
    </row>
    <row r="908" customFormat="false" ht="15" hidden="false" customHeight="false" outlineLevel="0" collapsed="false">
      <c r="A908" s="35"/>
      <c r="B908" s="32"/>
      <c r="C908" s="32"/>
      <c r="D908" s="32"/>
      <c r="E908" s="32"/>
      <c r="F908" s="32"/>
    </row>
    <row r="909" customFormat="false" ht="15" hidden="false" customHeight="false" outlineLevel="0" collapsed="false">
      <c r="A909" s="35"/>
      <c r="B909" s="32"/>
      <c r="C909" s="32"/>
      <c r="D909" s="32"/>
      <c r="E909" s="32"/>
      <c r="F909" s="32"/>
    </row>
    <row r="910" customFormat="false" ht="15" hidden="false" customHeight="false" outlineLevel="0" collapsed="false">
      <c r="A910" s="35"/>
      <c r="B910" s="32"/>
      <c r="C910" s="32"/>
      <c r="D910" s="32"/>
      <c r="E910" s="32"/>
      <c r="F910" s="32"/>
    </row>
    <row r="911" customFormat="false" ht="15" hidden="false" customHeight="false" outlineLevel="0" collapsed="false">
      <c r="A911" s="35"/>
      <c r="B911" s="32"/>
      <c r="C911" s="32"/>
      <c r="D911" s="32"/>
      <c r="E911" s="32"/>
      <c r="F911" s="32"/>
    </row>
    <row r="912" customFormat="false" ht="15" hidden="false" customHeight="false" outlineLevel="0" collapsed="false">
      <c r="A912" s="35"/>
      <c r="B912" s="32"/>
      <c r="C912" s="32"/>
      <c r="D912" s="32"/>
      <c r="E912" s="32"/>
      <c r="F912" s="32"/>
    </row>
    <row r="913" customFormat="false" ht="15" hidden="false" customHeight="false" outlineLevel="0" collapsed="false">
      <c r="A913" s="35"/>
      <c r="B913" s="32"/>
      <c r="C913" s="32"/>
      <c r="D913" s="32"/>
      <c r="E913" s="32"/>
      <c r="F913" s="32"/>
    </row>
    <row r="914" customFormat="false" ht="15" hidden="false" customHeight="false" outlineLevel="0" collapsed="false">
      <c r="A914" s="35"/>
      <c r="B914" s="32"/>
      <c r="C914" s="32"/>
      <c r="D914" s="32"/>
      <c r="E914" s="32"/>
      <c r="F914" s="32"/>
    </row>
    <row r="915" customFormat="false" ht="15" hidden="false" customHeight="false" outlineLevel="0" collapsed="false">
      <c r="A915" s="35"/>
      <c r="B915" s="32"/>
      <c r="C915" s="32"/>
      <c r="D915" s="32"/>
      <c r="E915" s="32"/>
      <c r="F915" s="32"/>
    </row>
    <row r="916" customFormat="false" ht="15" hidden="false" customHeight="false" outlineLevel="0" collapsed="false">
      <c r="A916" s="35"/>
      <c r="B916" s="32"/>
      <c r="C916" s="32"/>
      <c r="D916" s="32"/>
      <c r="E916" s="32"/>
      <c r="F916" s="32"/>
    </row>
    <row r="917" customFormat="false" ht="15" hidden="false" customHeight="false" outlineLevel="0" collapsed="false">
      <c r="A917" s="35"/>
      <c r="B917" s="32"/>
      <c r="C917" s="32"/>
      <c r="D917" s="32"/>
      <c r="E917" s="32"/>
      <c r="F917" s="32"/>
    </row>
    <row r="918" customFormat="false" ht="15" hidden="false" customHeight="false" outlineLevel="0" collapsed="false">
      <c r="A918" s="35"/>
      <c r="B918" s="32"/>
      <c r="C918" s="32"/>
      <c r="D918" s="32"/>
      <c r="E918" s="32"/>
      <c r="F918" s="32"/>
    </row>
    <row r="919" customFormat="false" ht="15" hidden="false" customHeight="false" outlineLevel="0" collapsed="false">
      <c r="A919" s="35"/>
      <c r="B919" s="32"/>
      <c r="C919" s="32"/>
      <c r="D919" s="32"/>
      <c r="E919" s="32"/>
      <c r="F919" s="32"/>
    </row>
    <row r="920" customFormat="false" ht="15" hidden="false" customHeight="false" outlineLevel="0" collapsed="false">
      <c r="A920" s="35"/>
      <c r="B920" s="32"/>
      <c r="C920" s="32"/>
      <c r="D920" s="32"/>
      <c r="E920" s="32"/>
      <c r="F920" s="32"/>
    </row>
    <row r="921" customFormat="false" ht="15" hidden="false" customHeight="false" outlineLevel="0" collapsed="false">
      <c r="A921" s="35"/>
      <c r="B921" s="32"/>
      <c r="C921" s="32"/>
      <c r="D921" s="32"/>
      <c r="E921" s="32"/>
      <c r="F921" s="32"/>
    </row>
    <row r="922" customFormat="false" ht="15" hidden="false" customHeight="false" outlineLevel="0" collapsed="false">
      <c r="A922" s="35"/>
      <c r="B922" s="32"/>
      <c r="C922" s="32"/>
      <c r="D922" s="32"/>
      <c r="E922" s="32"/>
      <c r="F922" s="32"/>
    </row>
    <row r="923" customFormat="false" ht="15" hidden="false" customHeight="false" outlineLevel="0" collapsed="false">
      <c r="A923" s="35"/>
      <c r="B923" s="32"/>
      <c r="C923" s="32"/>
      <c r="D923" s="32"/>
      <c r="E923" s="32"/>
      <c r="F923" s="32"/>
    </row>
    <row r="924" customFormat="false" ht="15" hidden="false" customHeight="false" outlineLevel="0" collapsed="false">
      <c r="A924" s="35"/>
      <c r="B924" s="32"/>
      <c r="C924" s="32"/>
      <c r="D924" s="32"/>
      <c r="E924" s="32"/>
      <c r="F924" s="32"/>
    </row>
    <row r="925" customFormat="false" ht="15" hidden="false" customHeight="false" outlineLevel="0" collapsed="false">
      <c r="A925" s="35"/>
      <c r="B925" s="32"/>
      <c r="C925" s="32"/>
      <c r="D925" s="32"/>
      <c r="E925" s="32"/>
      <c r="F925" s="32"/>
    </row>
    <row r="926" customFormat="false" ht="15" hidden="false" customHeight="false" outlineLevel="0" collapsed="false">
      <c r="A926" s="35"/>
      <c r="B926" s="32"/>
      <c r="C926" s="32"/>
      <c r="D926" s="32"/>
      <c r="E926" s="32"/>
      <c r="F926" s="32"/>
    </row>
    <row r="927" customFormat="false" ht="15" hidden="false" customHeight="false" outlineLevel="0" collapsed="false">
      <c r="A927" s="35"/>
      <c r="B927" s="32"/>
      <c r="C927" s="32"/>
      <c r="D927" s="32"/>
      <c r="E927" s="32"/>
      <c r="F927" s="32"/>
    </row>
    <row r="928" customFormat="false" ht="15" hidden="false" customHeight="false" outlineLevel="0" collapsed="false">
      <c r="A928" s="35"/>
      <c r="B928" s="32"/>
      <c r="C928" s="32"/>
      <c r="D928" s="32"/>
      <c r="E928" s="32"/>
      <c r="F928" s="32"/>
    </row>
    <row r="929" customFormat="false" ht="15" hidden="false" customHeight="false" outlineLevel="0" collapsed="false">
      <c r="A929" s="35"/>
      <c r="B929" s="32"/>
      <c r="C929" s="32"/>
      <c r="D929" s="32"/>
      <c r="E929" s="32"/>
      <c r="F929" s="32"/>
    </row>
    <row r="930" customFormat="false" ht="15" hidden="false" customHeight="false" outlineLevel="0" collapsed="false">
      <c r="A930" s="35"/>
      <c r="B930" s="32"/>
      <c r="C930" s="32"/>
      <c r="D930" s="32"/>
      <c r="E930" s="32"/>
      <c r="F930" s="32"/>
    </row>
    <row r="931" customFormat="false" ht="15" hidden="false" customHeight="false" outlineLevel="0" collapsed="false">
      <c r="A931" s="35"/>
      <c r="B931" s="32"/>
      <c r="C931" s="32"/>
      <c r="D931" s="32"/>
      <c r="E931" s="32"/>
      <c r="F931" s="32"/>
    </row>
    <row r="932" customFormat="false" ht="15" hidden="false" customHeight="false" outlineLevel="0" collapsed="false">
      <c r="A932" s="35"/>
      <c r="B932" s="32"/>
      <c r="C932" s="32"/>
      <c r="D932" s="32"/>
      <c r="E932" s="32"/>
      <c r="F932" s="32"/>
    </row>
    <row r="933" customFormat="false" ht="15" hidden="false" customHeight="false" outlineLevel="0" collapsed="false">
      <c r="A933" s="35"/>
      <c r="B933" s="32"/>
      <c r="C933" s="32"/>
      <c r="D933" s="32"/>
      <c r="E933" s="32"/>
      <c r="F933" s="32"/>
    </row>
    <row r="934" customFormat="false" ht="15" hidden="false" customHeight="false" outlineLevel="0" collapsed="false">
      <c r="A934" s="35"/>
      <c r="B934" s="32"/>
      <c r="C934" s="32"/>
      <c r="D934" s="32"/>
      <c r="E934" s="32"/>
      <c r="F934" s="32"/>
    </row>
    <row r="935" customFormat="false" ht="15" hidden="false" customHeight="false" outlineLevel="0" collapsed="false">
      <c r="A935" s="35"/>
      <c r="B935" s="32"/>
      <c r="C935" s="32"/>
      <c r="D935" s="32"/>
      <c r="E935" s="32"/>
      <c r="F935" s="32"/>
    </row>
    <row r="936" customFormat="false" ht="15" hidden="false" customHeight="false" outlineLevel="0" collapsed="false">
      <c r="A936" s="35"/>
      <c r="B936" s="32"/>
      <c r="C936" s="32"/>
      <c r="D936" s="32"/>
      <c r="E936" s="32"/>
      <c r="F936" s="32"/>
    </row>
    <row r="937" customFormat="false" ht="15" hidden="false" customHeight="false" outlineLevel="0" collapsed="false">
      <c r="A937" s="35"/>
      <c r="B937" s="32"/>
      <c r="C937" s="32"/>
      <c r="D937" s="32"/>
      <c r="E937" s="32"/>
      <c r="F937" s="32"/>
    </row>
    <row r="938" customFormat="false" ht="15" hidden="false" customHeight="false" outlineLevel="0" collapsed="false">
      <c r="A938" s="35"/>
      <c r="B938" s="32"/>
      <c r="C938" s="32"/>
      <c r="D938" s="32"/>
      <c r="E938" s="32"/>
      <c r="F938" s="32"/>
    </row>
    <row r="939" customFormat="false" ht="15" hidden="false" customHeight="false" outlineLevel="0" collapsed="false">
      <c r="A939" s="35"/>
      <c r="B939" s="32"/>
      <c r="C939" s="32"/>
      <c r="D939" s="32"/>
      <c r="E939" s="32"/>
      <c r="F939" s="32"/>
    </row>
    <row r="940" customFormat="false" ht="15" hidden="false" customHeight="false" outlineLevel="0" collapsed="false">
      <c r="A940" s="35"/>
      <c r="B940" s="32"/>
      <c r="C940" s="32"/>
      <c r="D940" s="32"/>
      <c r="E940" s="32"/>
      <c r="F940" s="32"/>
    </row>
    <row r="941" customFormat="false" ht="15" hidden="false" customHeight="false" outlineLevel="0" collapsed="false">
      <c r="A941" s="35"/>
      <c r="B941" s="32"/>
      <c r="C941" s="32"/>
      <c r="D941" s="32"/>
      <c r="E941" s="32"/>
      <c r="F941" s="32"/>
    </row>
    <row r="942" customFormat="false" ht="15" hidden="false" customHeight="false" outlineLevel="0" collapsed="false">
      <c r="A942" s="35"/>
      <c r="B942" s="32"/>
      <c r="C942" s="32"/>
      <c r="D942" s="32"/>
      <c r="E942" s="32"/>
      <c r="F942" s="32"/>
    </row>
    <row r="943" customFormat="false" ht="15" hidden="false" customHeight="false" outlineLevel="0" collapsed="false">
      <c r="A943" s="35"/>
      <c r="B943" s="32"/>
      <c r="C943" s="32"/>
      <c r="D943" s="32"/>
      <c r="E943" s="32"/>
      <c r="F943" s="32"/>
    </row>
    <row r="944" customFormat="false" ht="15" hidden="false" customHeight="false" outlineLevel="0" collapsed="false">
      <c r="A944" s="35"/>
      <c r="B944" s="32"/>
      <c r="C944" s="32"/>
      <c r="D944" s="32"/>
      <c r="E944" s="32"/>
      <c r="F944" s="32"/>
    </row>
    <row r="945" customFormat="false" ht="15" hidden="false" customHeight="false" outlineLevel="0" collapsed="false">
      <c r="A945" s="35"/>
      <c r="B945" s="32"/>
      <c r="C945" s="32"/>
      <c r="D945" s="32"/>
      <c r="E945" s="32"/>
      <c r="F945" s="32"/>
    </row>
    <row r="946" customFormat="false" ht="15" hidden="false" customHeight="false" outlineLevel="0" collapsed="false">
      <c r="A946" s="35"/>
      <c r="B946" s="32"/>
      <c r="C946" s="32"/>
      <c r="D946" s="32"/>
      <c r="E946" s="32"/>
      <c r="F946" s="32"/>
    </row>
    <row r="947" customFormat="false" ht="15" hidden="false" customHeight="false" outlineLevel="0" collapsed="false">
      <c r="A947" s="35"/>
      <c r="B947" s="32"/>
      <c r="C947" s="32"/>
      <c r="D947" s="32"/>
      <c r="E947" s="32"/>
      <c r="F947" s="32"/>
    </row>
    <row r="948" customFormat="false" ht="15" hidden="false" customHeight="false" outlineLevel="0" collapsed="false">
      <c r="A948" s="35"/>
      <c r="B948" s="32"/>
      <c r="C948" s="32"/>
      <c r="D948" s="32"/>
      <c r="E948" s="32"/>
      <c r="F948" s="32"/>
    </row>
    <row r="949" customFormat="false" ht="15" hidden="false" customHeight="false" outlineLevel="0" collapsed="false">
      <c r="A949" s="35"/>
      <c r="B949" s="32"/>
      <c r="C949" s="32"/>
      <c r="D949" s="32"/>
      <c r="E949" s="32"/>
      <c r="F949" s="32"/>
    </row>
    <row r="950" customFormat="false" ht="15" hidden="false" customHeight="false" outlineLevel="0" collapsed="false">
      <c r="A950" s="35"/>
      <c r="B950" s="32"/>
      <c r="C950" s="32"/>
      <c r="D950" s="32"/>
      <c r="E950" s="32"/>
      <c r="F950" s="32"/>
    </row>
    <row r="951" customFormat="false" ht="15" hidden="false" customHeight="false" outlineLevel="0" collapsed="false">
      <c r="A951" s="35"/>
      <c r="B951" s="32"/>
      <c r="C951" s="32"/>
      <c r="D951" s="32"/>
      <c r="E951" s="32"/>
      <c r="F951" s="32"/>
    </row>
    <row r="952" customFormat="false" ht="15" hidden="false" customHeight="false" outlineLevel="0" collapsed="false">
      <c r="A952" s="35"/>
      <c r="B952" s="32"/>
      <c r="C952" s="32"/>
      <c r="D952" s="32"/>
      <c r="E952" s="32"/>
      <c r="F952" s="32"/>
    </row>
    <row r="953" customFormat="false" ht="15" hidden="false" customHeight="false" outlineLevel="0" collapsed="false">
      <c r="A953" s="35"/>
      <c r="B953" s="32"/>
      <c r="C953" s="32"/>
      <c r="D953" s="32"/>
      <c r="E953" s="32"/>
      <c r="F953" s="32"/>
    </row>
    <row r="954" customFormat="false" ht="15" hidden="false" customHeight="false" outlineLevel="0" collapsed="false">
      <c r="A954" s="35"/>
      <c r="B954" s="32"/>
      <c r="C954" s="32"/>
      <c r="D954" s="32"/>
      <c r="E954" s="32"/>
      <c r="F954" s="32"/>
    </row>
    <row r="955" customFormat="false" ht="15" hidden="false" customHeight="false" outlineLevel="0" collapsed="false">
      <c r="A955" s="35"/>
      <c r="B955" s="32"/>
      <c r="C955" s="32"/>
      <c r="D955" s="32"/>
      <c r="E955" s="32"/>
      <c r="F955" s="32"/>
    </row>
    <row r="956" customFormat="false" ht="15" hidden="false" customHeight="false" outlineLevel="0" collapsed="false">
      <c r="A956" s="35"/>
      <c r="B956" s="32"/>
      <c r="C956" s="32"/>
      <c r="D956" s="32"/>
      <c r="E956" s="32"/>
      <c r="F956" s="32"/>
    </row>
    <row r="957" customFormat="false" ht="15" hidden="false" customHeight="false" outlineLevel="0" collapsed="false">
      <c r="A957" s="35"/>
      <c r="B957" s="32"/>
      <c r="C957" s="32"/>
      <c r="D957" s="32"/>
      <c r="E957" s="32"/>
      <c r="F957" s="32"/>
    </row>
    <row r="958" customFormat="false" ht="15" hidden="false" customHeight="false" outlineLevel="0" collapsed="false">
      <c r="A958" s="35"/>
      <c r="B958" s="32"/>
      <c r="C958" s="32"/>
      <c r="D958" s="32"/>
      <c r="E958" s="32"/>
      <c r="F958" s="32"/>
    </row>
    <row r="959" customFormat="false" ht="15" hidden="false" customHeight="false" outlineLevel="0" collapsed="false">
      <c r="A959" s="35"/>
      <c r="B959" s="32"/>
      <c r="C959" s="32"/>
      <c r="D959" s="32"/>
      <c r="E959" s="32"/>
      <c r="F959" s="32"/>
    </row>
    <row r="960" customFormat="false" ht="15" hidden="false" customHeight="false" outlineLevel="0" collapsed="false">
      <c r="A960" s="35"/>
      <c r="B960" s="32"/>
      <c r="C960" s="32"/>
      <c r="D960" s="32"/>
      <c r="E960" s="32"/>
      <c r="F960" s="32"/>
    </row>
    <row r="961" customFormat="false" ht="15" hidden="false" customHeight="false" outlineLevel="0" collapsed="false">
      <c r="A961" s="35"/>
      <c r="B961" s="32"/>
      <c r="C961" s="32"/>
      <c r="D961" s="32"/>
      <c r="E961" s="32"/>
      <c r="F961" s="32"/>
    </row>
    <row r="962" customFormat="false" ht="15" hidden="false" customHeight="false" outlineLevel="0" collapsed="false">
      <c r="A962" s="35"/>
      <c r="B962" s="32"/>
      <c r="C962" s="32"/>
      <c r="D962" s="32"/>
      <c r="E962" s="32"/>
      <c r="F962" s="32"/>
    </row>
    <row r="963" customFormat="false" ht="15" hidden="false" customHeight="false" outlineLevel="0" collapsed="false">
      <c r="A963" s="35"/>
      <c r="B963" s="32"/>
      <c r="C963" s="32"/>
      <c r="D963" s="32"/>
      <c r="E963" s="32"/>
      <c r="F963" s="32"/>
    </row>
    <row r="964" customFormat="false" ht="15" hidden="false" customHeight="false" outlineLevel="0" collapsed="false">
      <c r="A964" s="35"/>
      <c r="B964" s="32"/>
      <c r="C964" s="32"/>
      <c r="D964" s="32"/>
      <c r="E964" s="32"/>
      <c r="F964" s="32"/>
    </row>
    <row r="965" customFormat="false" ht="15" hidden="false" customHeight="false" outlineLevel="0" collapsed="false">
      <c r="A965" s="35"/>
      <c r="B965" s="32"/>
      <c r="C965" s="32"/>
      <c r="D965" s="32"/>
      <c r="E965" s="32"/>
      <c r="F965" s="32"/>
    </row>
    <row r="966" customFormat="false" ht="15" hidden="false" customHeight="false" outlineLevel="0" collapsed="false">
      <c r="A966" s="35"/>
      <c r="B966" s="32"/>
      <c r="C966" s="32"/>
      <c r="D966" s="32"/>
      <c r="E966" s="32"/>
      <c r="F966" s="32"/>
    </row>
    <row r="967" customFormat="false" ht="15" hidden="false" customHeight="false" outlineLevel="0" collapsed="false">
      <c r="A967" s="35"/>
      <c r="B967" s="32"/>
      <c r="C967" s="32"/>
      <c r="D967" s="32"/>
      <c r="E967" s="32"/>
      <c r="F967" s="32"/>
    </row>
    <row r="968" customFormat="false" ht="15" hidden="false" customHeight="false" outlineLevel="0" collapsed="false">
      <c r="A968" s="35"/>
      <c r="B968" s="32"/>
      <c r="C968" s="32"/>
      <c r="D968" s="32"/>
      <c r="E968" s="32"/>
      <c r="F968" s="32"/>
    </row>
    <row r="969" customFormat="false" ht="15" hidden="false" customHeight="false" outlineLevel="0" collapsed="false">
      <c r="A969" s="35"/>
      <c r="B969" s="32"/>
      <c r="C969" s="32"/>
      <c r="D969" s="32"/>
      <c r="E969" s="32"/>
      <c r="F969" s="32"/>
    </row>
    <row r="970" customFormat="false" ht="15" hidden="false" customHeight="false" outlineLevel="0" collapsed="false">
      <c r="A970" s="35"/>
      <c r="B970" s="32"/>
      <c r="C970" s="32"/>
      <c r="D970" s="32"/>
      <c r="E970" s="32"/>
      <c r="F970" s="32"/>
    </row>
    <row r="971" customFormat="false" ht="15" hidden="false" customHeight="false" outlineLevel="0" collapsed="false">
      <c r="A971" s="35"/>
      <c r="B971" s="32"/>
      <c r="C971" s="32"/>
      <c r="D971" s="32"/>
      <c r="E971" s="32"/>
      <c r="F971" s="32"/>
    </row>
    <row r="972" customFormat="false" ht="15" hidden="false" customHeight="false" outlineLevel="0" collapsed="false">
      <c r="A972" s="35"/>
      <c r="B972" s="32"/>
      <c r="C972" s="32"/>
      <c r="D972" s="32"/>
      <c r="E972" s="32"/>
      <c r="F972" s="32"/>
    </row>
    <row r="973" customFormat="false" ht="15" hidden="false" customHeight="false" outlineLevel="0" collapsed="false">
      <c r="A973" s="35"/>
      <c r="B973" s="32"/>
      <c r="C973" s="32"/>
      <c r="D973" s="32"/>
      <c r="E973" s="32"/>
      <c r="F973" s="32"/>
    </row>
    <row r="974" customFormat="false" ht="15" hidden="false" customHeight="false" outlineLevel="0" collapsed="false">
      <c r="A974" s="35"/>
      <c r="B974" s="32"/>
      <c r="C974" s="32"/>
      <c r="D974" s="32"/>
      <c r="E974" s="32"/>
      <c r="F974" s="32"/>
    </row>
    <row r="975" customFormat="false" ht="15" hidden="false" customHeight="false" outlineLevel="0" collapsed="false">
      <c r="A975" s="35"/>
      <c r="B975" s="32"/>
      <c r="C975" s="32"/>
      <c r="D975" s="32"/>
      <c r="E975" s="32"/>
      <c r="F975" s="32"/>
    </row>
    <row r="976" customFormat="false" ht="15" hidden="false" customHeight="false" outlineLevel="0" collapsed="false">
      <c r="A976" s="35"/>
      <c r="B976" s="32"/>
      <c r="C976" s="32"/>
      <c r="D976" s="32"/>
      <c r="E976" s="32"/>
      <c r="F976" s="32"/>
    </row>
    <row r="977" customFormat="false" ht="15" hidden="false" customHeight="false" outlineLevel="0" collapsed="false">
      <c r="A977" s="35"/>
      <c r="B977" s="32"/>
      <c r="C977" s="32"/>
      <c r="D977" s="32"/>
      <c r="E977" s="32"/>
      <c r="F977" s="32"/>
    </row>
    <row r="978" customFormat="false" ht="15" hidden="false" customHeight="false" outlineLevel="0" collapsed="false">
      <c r="A978" s="35"/>
      <c r="B978" s="32"/>
      <c r="C978" s="32"/>
      <c r="D978" s="32"/>
      <c r="E978" s="32"/>
      <c r="F978" s="32"/>
    </row>
    <row r="979" customFormat="false" ht="15" hidden="false" customHeight="false" outlineLevel="0" collapsed="false">
      <c r="A979" s="35"/>
      <c r="B979" s="32"/>
      <c r="C979" s="32"/>
      <c r="D979" s="32"/>
      <c r="E979" s="32"/>
      <c r="F979" s="32"/>
    </row>
    <row r="980" customFormat="false" ht="15" hidden="false" customHeight="false" outlineLevel="0" collapsed="false">
      <c r="A980" s="35"/>
      <c r="B980" s="32"/>
      <c r="C980" s="32"/>
      <c r="D980" s="32"/>
      <c r="E980" s="32"/>
      <c r="F980" s="32"/>
    </row>
    <row r="981" customFormat="false" ht="15" hidden="false" customHeight="false" outlineLevel="0" collapsed="false">
      <c r="A981" s="35"/>
      <c r="B981" s="32"/>
      <c r="C981" s="32"/>
      <c r="D981" s="32"/>
      <c r="E981" s="32"/>
      <c r="F981" s="32"/>
    </row>
    <row r="982" customFormat="false" ht="15" hidden="false" customHeight="false" outlineLevel="0" collapsed="false">
      <c r="A982" s="35"/>
      <c r="B982" s="32"/>
      <c r="C982" s="32"/>
      <c r="D982" s="32"/>
      <c r="E982" s="32"/>
      <c r="F982" s="32"/>
    </row>
    <row r="983" customFormat="false" ht="15" hidden="false" customHeight="false" outlineLevel="0" collapsed="false">
      <c r="A983" s="35"/>
      <c r="B983" s="32"/>
      <c r="C983" s="32"/>
      <c r="D983" s="32"/>
      <c r="E983" s="32"/>
      <c r="F983" s="32"/>
    </row>
    <row r="984" customFormat="false" ht="15" hidden="false" customHeight="false" outlineLevel="0" collapsed="false">
      <c r="A984" s="35"/>
      <c r="B984" s="32"/>
      <c r="C984" s="32"/>
      <c r="D984" s="32"/>
      <c r="E984" s="32"/>
      <c r="F984" s="32"/>
    </row>
    <row r="985" customFormat="false" ht="15" hidden="false" customHeight="false" outlineLevel="0" collapsed="false">
      <c r="A985" s="35"/>
      <c r="B985" s="32"/>
      <c r="C985" s="32"/>
      <c r="D985" s="32"/>
      <c r="E985" s="32"/>
      <c r="F985" s="32"/>
    </row>
    <row r="986" customFormat="false" ht="15" hidden="false" customHeight="false" outlineLevel="0" collapsed="false">
      <c r="A986" s="35"/>
      <c r="B986" s="32"/>
      <c r="C986" s="32"/>
      <c r="D986" s="32"/>
      <c r="E986" s="32"/>
      <c r="F986" s="32"/>
    </row>
    <row r="987" customFormat="false" ht="15" hidden="false" customHeight="false" outlineLevel="0" collapsed="false">
      <c r="A987" s="35"/>
      <c r="B987" s="32"/>
      <c r="C987" s="32"/>
      <c r="D987" s="32"/>
      <c r="E987" s="32"/>
      <c r="F987" s="32"/>
    </row>
    <row r="988" customFormat="false" ht="15" hidden="false" customHeight="false" outlineLevel="0" collapsed="false">
      <c r="A988" s="35"/>
      <c r="B988" s="32"/>
      <c r="C988" s="32"/>
      <c r="D988" s="32"/>
      <c r="E988" s="32"/>
      <c r="F988" s="32"/>
    </row>
    <row r="989" customFormat="false" ht="15" hidden="false" customHeight="false" outlineLevel="0" collapsed="false">
      <c r="A989" s="35"/>
      <c r="B989" s="32"/>
      <c r="C989" s="32"/>
      <c r="D989" s="32"/>
      <c r="E989" s="32"/>
      <c r="F989" s="32"/>
    </row>
    <row r="990" customFormat="false" ht="15" hidden="false" customHeight="false" outlineLevel="0" collapsed="false">
      <c r="A990" s="35"/>
      <c r="B990" s="32"/>
      <c r="C990" s="32"/>
      <c r="D990" s="32"/>
      <c r="E990" s="32"/>
      <c r="F990" s="32"/>
    </row>
    <row r="991" customFormat="false" ht="15" hidden="false" customHeight="false" outlineLevel="0" collapsed="false">
      <c r="A991" s="35"/>
      <c r="B991" s="32"/>
      <c r="C991" s="32"/>
      <c r="D991" s="32"/>
      <c r="E991" s="32"/>
      <c r="F991" s="32"/>
    </row>
    <row r="992" customFormat="false" ht="15" hidden="false" customHeight="false" outlineLevel="0" collapsed="false">
      <c r="A992" s="35"/>
      <c r="B992" s="32"/>
      <c r="C992" s="32"/>
      <c r="D992" s="32"/>
      <c r="E992" s="32"/>
      <c r="F992" s="32"/>
    </row>
    <row r="993" customFormat="false" ht="15" hidden="false" customHeight="false" outlineLevel="0" collapsed="false">
      <c r="A993" s="35"/>
      <c r="B993" s="32"/>
      <c r="C993" s="32"/>
      <c r="D993" s="32"/>
      <c r="E993" s="32"/>
      <c r="F993" s="32"/>
    </row>
    <row r="994" customFormat="false" ht="15" hidden="false" customHeight="false" outlineLevel="0" collapsed="false">
      <c r="A994" s="35"/>
      <c r="B994" s="32"/>
      <c r="C994" s="32"/>
      <c r="D994" s="32"/>
      <c r="E994" s="32"/>
      <c r="F994" s="32"/>
    </row>
    <row r="995" customFormat="false" ht="15" hidden="false" customHeight="false" outlineLevel="0" collapsed="false">
      <c r="A995" s="35"/>
      <c r="B995" s="32"/>
      <c r="C995" s="32"/>
      <c r="D995" s="32"/>
      <c r="E995" s="32"/>
      <c r="F995" s="32"/>
    </row>
    <row r="996" customFormat="false" ht="15" hidden="false" customHeight="false" outlineLevel="0" collapsed="false">
      <c r="A996" s="35"/>
      <c r="B996" s="32"/>
      <c r="C996" s="32"/>
      <c r="D996" s="32"/>
      <c r="E996" s="32"/>
      <c r="F996" s="32"/>
    </row>
    <row r="997" customFormat="false" ht="15" hidden="false" customHeight="false" outlineLevel="0" collapsed="false">
      <c r="A997" s="35"/>
      <c r="B997" s="32"/>
      <c r="C997" s="32"/>
      <c r="D997" s="32"/>
      <c r="E997" s="32"/>
      <c r="F997" s="32"/>
    </row>
    <row r="998" customFormat="false" ht="15" hidden="false" customHeight="false" outlineLevel="0" collapsed="false">
      <c r="A998" s="35"/>
      <c r="B998" s="32"/>
      <c r="C998" s="32"/>
      <c r="D998" s="32"/>
      <c r="E998" s="32"/>
      <c r="F998" s="32"/>
    </row>
    <row r="999" customFormat="false" ht="15" hidden="false" customHeight="false" outlineLevel="0" collapsed="false">
      <c r="A999" s="35"/>
      <c r="B999" s="32"/>
      <c r="C999" s="32"/>
      <c r="D999" s="32"/>
      <c r="E999" s="32"/>
      <c r="F999" s="32"/>
    </row>
    <row r="1000" customFormat="false" ht="15" hidden="false" customHeight="false" outlineLevel="0" collapsed="false">
      <c r="A1000" s="35"/>
      <c r="B1000" s="32"/>
      <c r="C1000" s="32"/>
      <c r="D1000" s="32"/>
      <c r="E1000" s="32"/>
      <c r="F1000" s="32"/>
    </row>
    <row r="1001" customFormat="false" ht="15" hidden="false" customHeight="false" outlineLevel="0" collapsed="false">
      <c r="A1001" s="35"/>
      <c r="B1001" s="32"/>
      <c r="C1001" s="32"/>
      <c r="D1001" s="32"/>
      <c r="E1001" s="32"/>
      <c r="F1001" s="32"/>
    </row>
  </sheetData>
  <autoFilter ref="A1:F5001"/>
  <dataValidations count="1">
    <dataValidation allowBlank="true" error="Enter a valid date (e.g. 31-Dec-2026)." errorStyle="stop" errorTitle="Invalid date" operator="greaterThan" showDropDown="false" showErrorMessage="fals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14"/>
    <col collapsed="false" customWidth="true" hidden="false" outlineLevel="0" max="5" min="5" style="0" width="17"/>
    <col collapsed="false" customWidth="true" hidden="false" outlineLevel="0" max="17" min="6" style="0" width="14"/>
    <col collapsed="false" customWidth="true" hidden="false" outlineLevel="0" max="18" min="18" style="0" width="16"/>
    <col collapsed="false" customWidth="true" hidden="false" outlineLevel="0" max="19" min="19" style="0" width="17"/>
    <col collapsed="false" customWidth="true" hidden="false" outlineLevel="0" max="20" min="20" style="0" width="14"/>
    <col collapsed="false" customWidth="true" hidden="false" outlineLevel="0" max="21" min="21" style="0" width="15"/>
    <col collapsed="false" customWidth="true" hidden="false" outlineLevel="0" max="24" min="22" style="0" width="14"/>
    <col collapsed="false" customWidth="true" hidden="false" outlineLevel="0" max="25" min="25" style="0" width="17"/>
    <col collapsed="false" customWidth="true" hidden="false" outlineLevel="0" max="26" min="26" style="0" width="15"/>
    <col collapsed="false" customWidth="true" hidden="false" outlineLevel="0" max="28" min="27" style="0" width="14"/>
    <col collapsed="false" customWidth="true" hidden="false" outlineLevel="0" max="29" min="29" style="0" width="16"/>
    <col collapsed="false" customWidth="true" hidden="false" outlineLevel="0" max="32" min="30" style="0" width="14"/>
    <col collapsed="false" customWidth="true" hidden="false" outlineLevel="0" max="33" min="33" style="0" width="18"/>
    <col collapsed="false" customWidth="true" hidden="false" outlineLevel="0" max="36" min="34" style="0" width="14"/>
  </cols>
  <sheetData>
    <row r="1" customFormat="false" ht="15" hidden="false" customHeight="false" outlineLevel="0" collapsed="false">
      <c r="A1" s="45" t="s">
        <v>383</v>
      </c>
      <c r="B1" s="45" t="s">
        <v>384</v>
      </c>
      <c r="C1" s="45" t="s">
        <v>229</v>
      </c>
      <c r="D1" s="45" t="s">
        <v>385</v>
      </c>
      <c r="E1" s="45" t="s">
        <v>386</v>
      </c>
      <c r="F1" s="45" t="s">
        <v>387</v>
      </c>
      <c r="G1" s="45" t="s">
        <v>388</v>
      </c>
      <c r="H1" s="45" t="s">
        <v>389</v>
      </c>
      <c r="I1" s="45" t="s">
        <v>390</v>
      </c>
      <c r="J1" s="45" t="s">
        <v>391</v>
      </c>
      <c r="K1" s="45" t="s">
        <v>392</v>
      </c>
      <c r="L1" s="45" t="s">
        <v>393</v>
      </c>
      <c r="M1" s="45" t="s">
        <v>394</v>
      </c>
      <c r="N1" s="45" t="s">
        <v>395</v>
      </c>
      <c r="O1" s="45" t="s">
        <v>396</v>
      </c>
      <c r="P1" s="45" t="s">
        <v>397</v>
      </c>
      <c r="Q1" s="45" t="s">
        <v>398</v>
      </c>
      <c r="R1" s="45" t="s">
        <v>399</v>
      </c>
      <c r="S1" s="45" t="s">
        <v>400</v>
      </c>
      <c r="T1" s="45" t="s">
        <v>401</v>
      </c>
      <c r="U1" s="45" t="s">
        <v>402</v>
      </c>
      <c r="V1" s="45" t="s">
        <v>403</v>
      </c>
      <c r="W1" s="45" t="s">
        <v>404</v>
      </c>
      <c r="X1" s="45" t="s">
        <v>405</v>
      </c>
      <c r="Y1" s="45" t="s">
        <v>406</v>
      </c>
      <c r="Z1" s="45" t="s">
        <v>407</v>
      </c>
      <c r="AA1" s="45" t="s">
        <v>408</v>
      </c>
      <c r="AB1" s="45" t="s">
        <v>409</v>
      </c>
      <c r="AC1" s="45" t="s">
        <v>410</v>
      </c>
      <c r="AD1" s="45" t="s">
        <v>319</v>
      </c>
      <c r="AE1" s="45" t="s">
        <v>411</v>
      </c>
      <c r="AF1" s="45" t="s">
        <v>412</v>
      </c>
      <c r="AG1" s="45" t="s">
        <v>413</v>
      </c>
      <c r="AH1" s="45" t="s">
        <v>414</v>
      </c>
      <c r="AI1" s="45" t="s">
        <v>415</v>
      </c>
      <c r="AJ1" s="45" t="s">
        <v>416</v>
      </c>
    </row>
    <row r="2" customFormat="false" ht="15" hidden="false" customHeight="false" outlineLevel="0" collapsed="false">
      <c r="A2" s="8" t="s">
        <v>417</v>
      </c>
      <c r="B2" s="8" t="s">
        <v>418</v>
      </c>
      <c r="C2" s="8" t="s">
        <v>419</v>
      </c>
      <c r="D2" s="8" t="s">
        <v>420</v>
      </c>
      <c r="E2" s="8" t="s">
        <v>421</v>
      </c>
      <c r="F2" s="8" t="s">
        <v>119</v>
      </c>
      <c r="G2" s="8" t="s">
        <v>422</v>
      </c>
      <c r="H2" s="8" t="s">
        <v>423</v>
      </c>
      <c r="I2" s="8" t="s">
        <v>424</v>
      </c>
      <c r="J2" s="8" t="s">
        <v>157</v>
      </c>
      <c r="K2" s="8" t="s">
        <v>424</v>
      </c>
      <c r="L2" s="8" t="s">
        <v>425</v>
      </c>
      <c r="M2" s="8" t="s">
        <v>426</v>
      </c>
      <c r="N2" s="8" t="s">
        <v>371</v>
      </c>
      <c r="O2" s="8" t="s">
        <v>427</v>
      </c>
      <c r="P2" s="8" t="s">
        <v>424</v>
      </c>
      <c r="Q2" s="8" t="s">
        <v>428</v>
      </c>
      <c r="R2" s="8" t="s">
        <v>429</v>
      </c>
      <c r="S2" s="8" t="s">
        <v>430</v>
      </c>
      <c r="T2" s="8" t="s">
        <v>424</v>
      </c>
      <c r="U2" s="8" t="s">
        <v>428</v>
      </c>
      <c r="V2" s="8" t="s">
        <v>431</v>
      </c>
      <c r="W2" s="8" t="s">
        <v>424</v>
      </c>
      <c r="X2" s="8" t="s">
        <v>432</v>
      </c>
      <c r="Y2" s="8" t="s">
        <v>433</v>
      </c>
      <c r="Z2" s="8" t="s">
        <v>424</v>
      </c>
      <c r="AA2" s="8" t="s">
        <v>434</v>
      </c>
      <c r="AB2" s="8" t="s">
        <v>435</v>
      </c>
      <c r="AC2" s="8" t="s">
        <v>436</v>
      </c>
      <c r="AD2" s="8" t="s">
        <v>437</v>
      </c>
      <c r="AE2" s="8" t="s">
        <v>424</v>
      </c>
      <c r="AF2" s="8" t="s">
        <v>438</v>
      </c>
      <c r="AG2" s="8" t="s">
        <v>424</v>
      </c>
      <c r="AH2" s="8" t="s">
        <v>424</v>
      </c>
      <c r="AI2" s="8" t="s">
        <v>439</v>
      </c>
      <c r="AJ2" s="8" t="n">
        <v>1</v>
      </c>
    </row>
    <row r="3" customFormat="false" ht="15" hidden="false" customHeight="false" outlineLevel="0" collapsed="false">
      <c r="A3" s="8" t="s">
        <v>440</v>
      </c>
      <c r="B3" s="8" t="s">
        <v>441</v>
      </c>
      <c r="C3" s="8" t="s">
        <v>442</v>
      </c>
      <c r="D3" s="8" t="s">
        <v>189</v>
      </c>
      <c r="E3" s="8" t="s">
        <v>443</v>
      </c>
      <c r="F3" s="8" t="s">
        <v>444</v>
      </c>
      <c r="G3" s="8" t="s">
        <v>445</v>
      </c>
      <c r="H3" s="8" t="s">
        <v>446</v>
      </c>
      <c r="I3" s="8" t="s">
        <v>447</v>
      </c>
      <c r="J3" s="8" t="s">
        <v>448</v>
      </c>
      <c r="K3" s="8" t="s">
        <v>441</v>
      </c>
      <c r="L3" s="8" t="s">
        <v>443</v>
      </c>
      <c r="M3" s="8" t="s">
        <v>449</v>
      </c>
      <c r="N3" s="8" t="s">
        <v>370</v>
      </c>
      <c r="O3" s="8" t="s">
        <v>450</v>
      </c>
      <c r="P3" s="8" t="s">
        <v>441</v>
      </c>
      <c r="Q3" s="8" t="s">
        <v>443</v>
      </c>
      <c r="R3" s="8" t="s">
        <v>451</v>
      </c>
      <c r="S3" s="8" t="s">
        <v>441</v>
      </c>
      <c r="T3" s="8" t="s">
        <v>452</v>
      </c>
      <c r="U3" s="8" t="s">
        <v>453</v>
      </c>
      <c r="V3" s="8" t="s">
        <v>454</v>
      </c>
      <c r="W3" s="8" t="s">
        <v>455</v>
      </c>
      <c r="X3" s="8" t="s">
        <v>456</v>
      </c>
      <c r="Y3" s="8" t="s">
        <v>457</v>
      </c>
      <c r="Z3" s="8" t="s">
        <v>441</v>
      </c>
      <c r="AA3" s="8" t="s">
        <v>436</v>
      </c>
      <c r="AB3" s="8" t="s">
        <v>169</v>
      </c>
      <c r="AC3" s="8" t="s">
        <v>458</v>
      </c>
      <c r="AD3" s="8" t="s">
        <v>459</v>
      </c>
      <c r="AE3" s="8" t="s">
        <v>460</v>
      </c>
      <c r="AF3" s="8" t="s">
        <v>461</v>
      </c>
      <c r="AG3" s="8" t="s">
        <v>441</v>
      </c>
      <c r="AH3" s="8" t="s">
        <v>462</v>
      </c>
      <c r="AI3" s="8" t="s">
        <v>463</v>
      </c>
      <c r="AJ3" s="8" t="n">
        <v>2</v>
      </c>
    </row>
    <row r="4" customFormat="false" ht="15" hidden="false" customHeight="false" outlineLevel="0" collapsed="false">
      <c r="A4" s="8" t="s">
        <v>464</v>
      </c>
      <c r="B4" s="8" t="s">
        <v>465</v>
      </c>
      <c r="C4" s="8" t="s">
        <v>466</v>
      </c>
      <c r="E4" s="8" t="s">
        <v>467</v>
      </c>
      <c r="G4" s="8" t="s">
        <v>468</v>
      </c>
      <c r="H4" s="8" t="s">
        <v>469</v>
      </c>
      <c r="I4" s="8" t="s">
        <v>460</v>
      </c>
      <c r="K4" s="8" t="s">
        <v>465</v>
      </c>
      <c r="L4" s="8" t="s">
        <v>467</v>
      </c>
      <c r="N4" s="8" t="s">
        <v>470</v>
      </c>
      <c r="O4" s="8" t="s">
        <v>471</v>
      </c>
      <c r="P4" s="8" t="s">
        <v>460</v>
      </c>
      <c r="Q4" s="8" t="s">
        <v>467</v>
      </c>
      <c r="S4" s="8" t="s">
        <v>458</v>
      </c>
      <c r="T4" s="8" t="s">
        <v>472</v>
      </c>
      <c r="U4" s="8" t="s">
        <v>473</v>
      </c>
      <c r="W4" s="8" t="s">
        <v>460</v>
      </c>
      <c r="X4" s="8" t="s">
        <v>443</v>
      </c>
      <c r="Y4" s="8" t="s">
        <v>474</v>
      </c>
      <c r="Z4" s="8" t="s">
        <v>475</v>
      </c>
      <c r="AA4" s="8" t="s">
        <v>476</v>
      </c>
      <c r="AC4" s="8" t="s">
        <v>477</v>
      </c>
      <c r="AG4" s="8" t="s">
        <v>460</v>
      </c>
      <c r="AH4" s="8" t="s">
        <v>478</v>
      </c>
      <c r="AI4" s="8" t="s">
        <v>479</v>
      </c>
      <c r="AJ4" s="8" t="n">
        <v>3</v>
      </c>
    </row>
    <row r="5" customFormat="false" ht="15" hidden="false" customHeight="false" outlineLevel="0" collapsed="false">
      <c r="A5" s="8" t="s">
        <v>480</v>
      </c>
      <c r="C5" s="8" t="s">
        <v>481</v>
      </c>
      <c r="G5" s="8" t="s">
        <v>482</v>
      </c>
      <c r="H5" s="8" t="s">
        <v>483</v>
      </c>
      <c r="O5" s="8" t="s">
        <v>484</v>
      </c>
      <c r="S5" s="8" t="s">
        <v>485</v>
      </c>
      <c r="T5" s="8" t="s">
        <v>473</v>
      </c>
      <c r="U5" s="8" t="s">
        <v>486</v>
      </c>
      <c r="X5" s="8" t="s">
        <v>487</v>
      </c>
      <c r="Y5" s="8" t="s">
        <v>488</v>
      </c>
      <c r="Z5" s="8" t="s">
        <v>460</v>
      </c>
      <c r="AA5" s="8" t="s">
        <v>477</v>
      </c>
      <c r="AH5" s="8" t="s">
        <v>489</v>
      </c>
      <c r="AI5" s="8" t="s">
        <v>490</v>
      </c>
      <c r="AJ5" s="8" t="n">
        <v>4</v>
      </c>
    </row>
    <row r="6" customFormat="false" ht="15" hidden="false" customHeight="false" outlineLevel="0" collapsed="false">
      <c r="A6" s="8" t="s">
        <v>491</v>
      </c>
      <c r="G6" s="8" t="s">
        <v>492</v>
      </c>
      <c r="H6" s="8" t="s">
        <v>493</v>
      </c>
      <c r="Y6" s="8" t="s">
        <v>494</v>
      </c>
      <c r="AI6" s="8" t="s">
        <v>495</v>
      </c>
      <c r="AJ6" s="8" t="n">
        <v>5</v>
      </c>
    </row>
    <row r="7" customFormat="false" ht="15" hidden="false" customHeight="false" outlineLevel="0" collapsed="false">
      <c r="A7" s="8" t="s">
        <v>496</v>
      </c>
    </row>
    <row r="8" customFormat="false" ht="15" hidden="false" customHeight="false" outlineLevel="0" collapsed="false">
      <c r="A8" s="8" t="s">
        <v>458</v>
      </c>
    </row>
    <row r="9" customFormat="false" ht="15" hidden="false" customHeight="false" outlineLevel="0" collapsed="false">
      <c r="A9" s="8" t="s">
        <v>497</v>
      </c>
    </row>
    <row r="10" customFormat="false" ht="15" hidden="false" customHeight="false" outlineLevel="0" collapsed="false">
      <c r="A10" s="8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6" t="s">
        <v>498</v>
      </c>
    </row>
    <row r="2" customFormat="false" ht="15" hidden="false" customHeight="false" outlineLevel="0" collapsed="false">
      <c r="A2" s="17" t="s">
        <v>111</v>
      </c>
      <c r="B2" s="17" t="s">
        <v>32</v>
      </c>
      <c r="D2" s="17" t="s">
        <v>264</v>
      </c>
      <c r="E2" s="17" t="s">
        <v>499</v>
      </c>
      <c r="F2" s="17" t="s">
        <v>500</v>
      </c>
      <c r="G2" s="17" t="s">
        <v>501</v>
      </c>
      <c r="I2" s="17" t="s">
        <v>502</v>
      </c>
      <c r="J2" s="17" t="s">
        <v>128</v>
      </c>
    </row>
    <row r="3" customFormat="false" ht="15" hidden="false" customHeight="false" outlineLevel="0" collapsed="false">
      <c r="A3" s="0" t="s">
        <v>417</v>
      </c>
      <c r="B3" s="0" t="n">
        <f aca="false">COUNTIF(Projects!$D$2:$D$101,A3)</f>
        <v>0</v>
      </c>
      <c r="D3" s="47" t="n">
        <f aca="true">IF(COUNT('Cash Flow'!$E$2:$E$2001)=0,DATE(YEAR(TODAY()),MONTH(TODAY()),1),MIN('Cash Flow'!$E$2:$E$2001))</f>
        <v>46296</v>
      </c>
      <c r="E3" s="48" t="n">
        <f aca="false">SUMIFS('Cash Flow'!$F$2:$F$2001,'Cash Flow'!$E$2:$E$2001,D3)</f>
        <v>0</v>
      </c>
      <c r="F3" s="48" t="n">
        <f aca="false">E3</f>
        <v>0</v>
      </c>
      <c r="G3" s="48" t="n">
        <f aca="false">SUM(Projects!$R$2:$R$101)</f>
        <v>0</v>
      </c>
      <c r="I3" s="49" t="s">
        <v>484</v>
      </c>
      <c r="J3" s="49" t="n">
        <f aca="false">COUNTIFS(Risks!$B$2:$B$501,"Risk",Risks!$M$2:$M$501,"&lt;&gt;Closed",Risks!$O$2:$O$501,I3)</f>
        <v>0</v>
      </c>
    </row>
    <row r="4" customFormat="false" ht="15" hidden="false" customHeight="false" outlineLevel="0" collapsed="false">
      <c r="A4" s="0" t="s">
        <v>440</v>
      </c>
      <c r="B4" s="0" t="n">
        <f aca="false">COUNTIF(Projects!$D$2:$D$101,A4)</f>
        <v>0</v>
      </c>
      <c r="D4" s="47" t="n">
        <f aca="false">EDATE(D3,1)</f>
        <v>46327</v>
      </c>
      <c r="E4" s="48" t="n">
        <f aca="false">SUMIFS('Cash Flow'!$F$2:$F$2001,'Cash Flow'!$E$2:$E$2001,D4)</f>
        <v>0</v>
      </c>
      <c r="F4" s="48" t="n">
        <f aca="false">F3+E4</f>
        <v>0</v>
      </c>
      <c r="G4" s="48" t="n">
        <f aca="false">SUM(Projects!$R$2:$R$101)</f>
        <v>0</v>
      </c>
      <c r="I4" s="49" t="s">
        <v>471</v>
      </c>
      <c r="J4" s="49" t="n">
        <f aca="false">COUNTIFS(Risks!$B$2:$B$501,"Risk",Risks!$M$2:$M$501,"&lt;&gt;Closed",Risks!$O$2:$O$501,I4)</f>
        <v>0</v>
      </c>
    </row>
    <row r="5" customFormat="false" ht="15" hidden="false" customHeight="false" outlineLevel="0" collapsed="false">
      <c r="A5" s="0" t="s">
        <v>464</v>
      </c>
      <c r="B5" s="0" t="n">
        <f aca="false">COUNTIF(Projects!$D$2:$D$101,A5)</f>
        <v>0</v>
      </c>
      <c r="D5" s="47" t="n">
        <f aca="false">EDATE(D4,1)</f>
        <v>46357</v>
      </c>
      <c r="E5" s="48" t="n">
        <f aca="false">SUMIFS('Cash Flow'!$F$2:$F$2001,'Cash Flow'!$E$2:$E$2001,D5)</f>
        <v>0</v>
      </c>
      <c r="F5" s="48" t="n">
        <f aca="false">F4+E5</f>
        <v>0</v>
      </c>
      <c r="G5" s="48" t="n">
        <f aca="false">SUM(Projects!$R$2:$R$101)</f>
        <v>0</v>
      </c>
      <c r="I5" s="49" t="s">
        <v>450</v>
      </c>
      <c r="J5" s="49" t="n">
        <f aca="false">COUNTIFS(Risks!$B$2:$B$501,"Risk",Risks!$M$2:$M$501,"&lt;&gt;Closed",Risks!$O$2:$O$501,I5)</f>
        <v>0</v>
      </c>
    </row>
    <row r="6" customFormat="false" ht="15" hidden="false" customHeight="false" outlineLevel="0" collapsed="false">
      <c r="A6" s="0" t="s">
        <v>480</v>
      </c>
      <c r="B6" s="0" t="n">
        <f aca="false">COUNTIF(Projects!$D$2:$D$101,A6)</f>
        <v>0</v>
      </c>
      <c r="D6" s="47" t="n">
        <f aca="false">EDATE(D5,1)</f>
        <v>46388</v>
      </c>
      <c r="E6" s="48" t="n">
        <f aca="false">SUMIFS('Cash Flow'!$F$2:$F$2001,'Cash Flow'!$E$2:$E$2001,D6)</f>
        <v>0</v>
      </c>
      <c r="F6" s="48" t="n">
        <f aca="false">F5+E6</f>
        <v>0</v>
      </c>
      <c r="G6" s="48" t="n">
        <f aca="false">SUM(Projects!$R$2:$R$101)</f>
        <v>0</v>
      </c>
      <c r="I6" s="49" t="s">
        <v>427</v>
      </c>
      <c r="J6" s="49" t="n">
        <f aca="false">COUNTIFS(Risks!$B$2:$B$501,"Risk",Risks!$M$2:$M$501,"&lt;&gt;Closed",Risks!$O$2:$O$501,I6)</f>
        <v>0</v>
      </c>
    </row>
    <row r="7" customFormat="false" ht="15" hidden="false" customHeight="false" outlineLevel="0" collapsed="false">
      <c r="A7" s="0" t="s">
        <v>491</v>
      </c>
      <c r="B7" s="0" t="n">
        <f aca="false">COUNTIF(Projects!$D$2:$D$101,A7)</f>
        <v>0</v>
      </c>
      <c r="D7" s="47" t="n">
        <f aca="false">EDATE(D6,1)</f>
        <v>46419</v>
      </c>
      <c r="E7" s="48" t="n">
        <f aca="false">SUMIFS('Cash Flow'!$F$2:$F$2001,'Cash Flow'!$E$2:$E$2001,D7)</f>
        <v>0</v>
      </c>
      <c r="F7" s="48" t="n">
        <f aca="false">F6+E7</f>
        <v>0</v>
      </c>
      <c r="G7" s="48" t="n">
        <f aca="false">SUM(Projects!$R$2:$R$101)</f>
        <v>0</v>
      </c>
    </row>
    <row r="8" customFormat="false" ht="15" hidden="false" customHeight="false" outlineLevel="0" collapsed="false">
      <c r="A8" s="0" t="s">
        <v>496</v>
      </c>
      <c r="B8" s="0" t="n">
        <f aca="false">COUNTIF(Projects!$D$2:$D$101,A8)</f>
        <v>0</v>
      </c>
      <c r="D8" s="47" t="n">
        <f aca="false">EDATE(D7,1)</f>
        <v>46447</v>
      </c>
      <c r="E8" s="48" t="n">
        <f aca="false">SUMIFS('Cash Flow'!$F$2:$F$2001,'Cash Flow'!$E$2:$E$2001,D8)</f>
        <v>0</v>
      </c>
      <c r="F8" s="48" t="n">
        <f aca="false">F7+E8</f>
        <v>0</v>
      </c>
      <c r="G8" s="48" t="n">
        <f aca="false">SUM(Projects!$R$2:$R$101)</f>
        <v>0</v>
      </c>
    </row>
    <row r="9" customFormat="false" ht="15" hidden="false" customHeight="false" outlineLevel="0" collapsed="false">
      <c r="A9" s="0" t="s">
        <v>458</v>
      </c>
      <c r="B9" s="0" t="n">
        <f aca="false">COUNTIF(Projects!$D$2:$D$101,A9)</f>
        <v>0</v>
      </c>
      <c r="D9" s="47" t="n">
        <f aca="false">EDATE(D8,1)</f>
        <v>46478</v>
      </c>
      <c r="E9" s="48" t="n">
        <f aca="false">SUMIFS('Cash Flow'!$F$2:$F$2001,'Cash Flow'!$E$2:$E$2001,D9)</f>
        <v>0</v>
      </c>
      <c r="F9" s="48" t="n">
        <f aca="false">F8+E9</f>
        <v>0</v>
      </c>
      <c r="G9" s="48" t="n">
        <f aca="false">SUM(Projects!$R$2:$R$101)</f>
        <v>0</v>
      </c>
    </row>
    <row r="10" customFormat="false" ht="15" hidden="false" customHeight="false" outlineLevel="0" collapsed="false">
      <c r="A10" s="0" t="s">
        <v>497</v>
      </c>
      <c r="B10" s="0" t="n">
        <f aca="false">COUNTIF(Projects!$D$2:$D$101,A10)</f>
        <v>0</v>
      </c>
      <c r="D10" s="47" t="n">
        <f aca="false">EDATE(D9,1)</f>
        <v>46508</v>
      </c>
      <c r="E10" s="48" t="n">
        <f aca="false">SUMIFS('Cash Flow'!$F$2:$F$2001,'Cash Flow'!$E$2:$E$2001,D10)</f>
        <v>0</v>
      </c>
      <c r="F10" s="48" t="n">
        <f aca="false">F9+E10</f>
        <v>0</v>
      </c>
      <c r="G10" s="48" t="n">
        <f aca="false">SUM(Projects!$R$2:$R$101)</f>
        <v>0</v>
      </c>
    </row>
    <row r="11" customFormat="false" ht="15" hidden="false" customHeight="false" outlineLevel="0" collapsed="false">
      <c r="A11" s="0" t="s">
        <v>495</v>
      </c>
      <c r="B11" s="0" t="n">
        <f aca="false">COUNTIF(Projects!$D$2:$D$101,A11)</f>
        <v>0</v>
      </c>
      <c r="D11" s="47" t="n">
        <f aca="false">EDATE(D10,1)</f>
        <v>46539</v>
      </c>
      <c r="E11" s="48" t="n">
        <f aca="false">SUMIFS('Cash Flow'!$F$2:$F$2001,'Cash Flow'!$E$2:$E$2001,D11)</f>
        <v>0</v>
      </c>
      <c r="F11" s="48" t="n">
        <f aca="false">F10+E11</f>
        <v>0</v>
      </c>
      <c r="G11" s="48" t="n">
        <f aca="false">SUM(Projects!$R$2:$R$101)</f>
        <v>0</v>
      </c>
    </row>
    <row r="12" customFormat="false" ht="15" hidden="false" customHeight="false" outlineLevel="0" collapsed="false">
      <c r="D12" s="47" t="n">
        <f aca="false">EDATE(D11,1)</f>
        <v>46569</v>
      </c>
      <c r="E12" s="48" t="n">
        <f aca="false">SUMIFS('Cash Flow'!$F$2:$F$2001,'Cash Flow'!$E$2:$E$2001,D12)</f>
        <v>0</v>
      </c>
      <c r="F12" s="48" t="n">
        <f aca="false">F11+E12</f>
        <v>0</v>
      </c>
      <c r="G12" s="48" t="n">
        <f aca="false">SUM(Projects!$R$2:$R$101)</f>
        <v>0</v>
      </c>
    </row>
    <row r="13" customFormat="false" ht="15" hidden="false" customHeight="false" outlineLevel="0" collapsed="false">
      <c r="D13" s="47" t="n">
        <f aca="false">EDATE(D12,1)</f>
        <v>46600</v>
      </c>
      <c r="E13" s="48" t="n">
        <f aca="false">SUMIFS('Cash Flow'!$F$2:$F$2001,'Cash Flow'!$E$2:$E$2001,D13)</f>
        <v>0</v>
      </c>
      <c r="F13" s="48" t="n">
        <f aca="false">F12+E13</f>
        <v>0</v>
      </c>
      <c r="G13" s="48" t="n">
        <f aca="false">SUM(Projects!$R$2:$R$101)</f>
        <v>0</v>
      </c>
    </row>
    <row r="14" customFormat="false" ht="15" hidden="false" customHeight="false" outlineLevel="0" collapsed="false">
      <c r="D14" s="47" t="n">
        <f aca="false">EDATE(D13,1)</f>
        <v>46631</v>
      </c>
      <c r="E14" s="48" t="n">
        <f aca="false">SUMIFS('Cash Flow'!$F$2:$F$2001,'Cash Flow'!$E$2:$E$2001,D14)</f>
        <v>0</v>
      </c>
      <c r="F14" s="48" t="n">
        <f aca="false">F13+E14</f>
        <v>0</v>
      </c>
      <c r="G14" s="48" t="n">
        <f aca="false">SUM(Projects!$R$2:$R$101)</f>
        <v>0</v>
      </c>
    </row>
    <row r="15" customFormat="false" ht="15" hidden="false" customHeight="false" outlineLevel="0" collapsed="false">
      <c r="D15" s="47" t="n">
        <f aca="false">EDATE(D14,1)</f>
        <v>46661</v>
      </c>
      <c r="E15" s="48" t="n">
        <f aca="false">SUMIFS('Cash Flow'!$F$2:$F$2001,'Cash Flow'!$E$2:$E$2001,D15)</f>
        <v>0</v>
      </c>
      <c r="F15" s="48" t="n">
        <f aca="false">F14+E15</f>
        <v>0</v>
      </c>
      <c r="G15" s="48" t="n">
        <f aca="false">SUM(Projects!$R$2:$R$101)</f>
        <v>0</v>
      </c>
    </row>
    <row r="16" customFormat="false" ht="15" hidden="false" customHeight="false" outlineLevel="0" collapsed="false">
      <c r="D16" s="47" t="n">
        <f aca="false">EDATE(D15,1)</f>
        <v>46692</v>
      </c>
      <c r="E16" s="48" t="n">
        <f aca="false">SUMIFS('Cash Flow'!$F$2:$F$2001,'Cash Flow'!$E$2:$E$2001,D16)</f>
        <v>0</v>
      </c>
      <c r="F16" s="48" t="n">
        <f aca="false">F15+E16</f>
        <v>0</v>
      </c>
      <c r="G16" s="48" t="n">
        <f aca="false">SUM(Projects!$R$2:$R$101)</f>
        <v>0</v>
      </c>
    </row>
    <row r="17" customFormat="false" ht="15" hidden="false" customHeight="false" outlineLevel="0" collapsed="false">
      <c r="D17" s="47" t="n">
        <f aca="false">EDATE(D16,1)</f>
        <v>46722</v>
      </c>
      <c r="E17" s="48" t="n">
        <f aca="false">SUMIFS('Cash Flow'!$F$2:$F$2001,'Cash Flow'!$E$2:$E$2001,D17)</f>
        <v>0</v>
      </c>
      <c r="F17" s="48" t="n">
        <f aca="false">F16+E17</f>
        <v>0</v>
      </c>
      <c r="G17" s="48" t="n">
        <f aca="false">SUM(Projects!$R$2:$R$101)</f>
        <v>0</v>
      </c>
    </row>
    <row r="18" customFormat="false" ht="15" hidden="false" customHeight="false" outlineLevel="0" collapsed="false">
      <c r="D18" s="47" t="n">
        <f aca="false">EDATE(D17,1)</f>
        <v>46753</v>
      </c>
      <c r="E18" s="48" t="n">
        <f aca="false">SUMIFS('Cash Flow'!$F$2:$F$2001,'Cash Flow'!$E$2:$E$2001,D18)</f>
        <v>0</v>
      </c>
      <c r="F18" s="48" t="n">
        <f aca="false">F17+E18</f>
        <v>0</v>
      </c>
      <c r="G18" s="48" t="n">
        <f aca="false">SUM(Projects!$R$2:$R$101)</f>
        <v>0</v>
      </c>
    </row>
    <row r="19" customFormat="false" ht="15" hidden="false" customHeight="false" outlineLevel="0" collapsed="false">
      <c r="D19" s="47" t="n">
        <f aca="false">EDATE(D18,1)</f>
        <v>46784</v>
      </c>
      <c r="E19" s="48" t="n">
        <f aca="false">SUMIFS('Cash Flow'!$F$2:$F$2001,'Cash Flow'!$E$2:$E$2001,D19)</f>
        <v>0</v>
      </c>
      <c r="F19" s="48" t="n">
        <f aca="false">F18+E19</f>
        <v>0</v>
      </c>
      <c r="G19" s="48" t="n">
        <f aca="false">SUM(Projects!$R$2:$R$101)</f>
        <v>0</v>
      </c>
    </row>
    <row r="20" customFormat="false" ht="15" hidden="false" customHeight="false" outlineLevel="0" collapsed="false">
      <c r="D20" s="47" t="n">
        <f aca="false">EDATE(D19,1)</f>
        <v>46813</v>
      </c>
      <c r="E20" s="48" t="n">
        <f aca="false">SUMIFS('Cash Flow'!$F$2:$F$2001,'Cash Flow'!$E$2:$E$2001,D20)</f>
        <v>0</v>
      </c>
      <c r="F20" s="48" t="n">
        <f aca="false">F19+E20</f>
        <v>0</v>
      </c>
      <c r="G20" s="48" t="n">
        <f aca="false">SUM(Projects!$R$2:$R$101)</f>
        <v>0</v>
      </c>
    </row>
    <row r="21" customFormat="false" ht="15" hidden="false" customHeight="false" outlineLevel="0" collapsed="false">
      <c r="D21" s="47" t="n">
        <f aca="false">EDATE(D20,1)</f>
        <v>46844</v>
      </c>
      <c r="E21" s="48" t="n">
        <f aca="false">SUMIFS('Cash Flow'!$F$2:$F$2001,'Cash Flow'!$E$2:$E$2001,D21)</f>
        <v>0</v>
      </c>
      <c r="F21" s="48" t="n">
        <f aca="false">F20+E21</f>
        <v>0</v>
      </c>
      <c r="G21" s="48" t="n">
        <f aca="false">SUM(Projects!$R$2:$R$101)</f>
        <v>0</v>
      </c>
    </row>
    <row r="22" customFormat="false" ht="15" hidden="false" customHeight="false" outlineLevel="0" collapsed="false">
      <c r="D22" s="47" t="n">
        <f aca="false">EDATE(D21,1)</f>
        <v>46874</v>
      </c>
      <c r="E22" s="48" t="n">
        <f aca="false">SUMIFS('Cash Flow'!$F$2:$F$2001,'Cash Flow'!$E$2:$E$2001,D22)</f>
        <v>0</v>
      </c>
      <c r="F22" s="48" t="n">
        <f aca="false">F21+E22</f>
        <v>0</v>
      </c>
      <c r="G22" s="48" t="n">
        <f aca="false">SUM(Projects!$R$2:$R$101)</f>
        <v>0</v>
      </c>
    </row>
    <row r="23" customFormat="false" ht="15" hidden="false" customHeight="false" outlineLevel="0" collapsed="false">
      <c r="D23" s="47" t="n">
        <f aca="false">EDATE(D22,1)</f>
        <v>46905</v>
      </c>
      <c r="E23" s="48" t="n">
        <f aca="false">SUMIFS('Cash Flow'!$F$2:$F$2001,'Cash Flow'!$E$2:$E$2001,D23)</f>
        <v>0</v>
      </c>
      <c r="F23" s="48" t="n">
        <f aca="false">F22+E23</f>
        <v>0</v>
      </c>
      <c r="G23" s="48" t="n">
        <f aca="false">SUM(Projects!$R$2:$R$101)</f>
        <v>0</v>
      </c>
    </row>
    <row r="24" customFormat="false" ht="15" hidden="false" customHeight="false" outlineLevel="0" collapsed="false">
      <c r="D24" s="47" t="n">
        <f aca="false">EDATE(D23,1)</f>
        <v>46935</v>
      </c>
      <c r="E24" s="48" t="n">
        <f aca="false">SUMIFS('Cash Flow'!$F$2:$F$2001,'Cash Flow'!$E$2:$E$2001,D24)</f>
        <v>0</v>
      </c>
      <c r="F24" s="48" t="n">
        <f aca="false">F23+E24</f>
        <v>0</v>
      </c>
      <c r="G24" s="48" t="n">
        <f aca="false">SUM(Projects!$R$2:$R$101)</f>
        <v>0</v>
      </c>
    </row>
    <row r="25" customFormat="false" ht="15" hidden="false" customHeight="false" outlineLevel="0" collapsed="false">
      <c r="D25" s="47" t="n">
        <f aca="false">EDATE(D24,1)</f>
        <v>46966</v>
      </c>
      <c r="E25" s="48" t="n">
        <f aca="false">SUMIFS('Cash Flow'!$F$2:$F$2001,'Cash Flow'!$E$2:$E$2001,D25)</f>
        <v>0</v>
      </c>
      <c r="F25" s="48" t="n">
        <f aca="false">F24+E25</f>
        <v>0</v>
      </c>
      <c r="G25" s="48" t="n">
        <f aca="false">SUM(Projects!$R$2:$R$101)</f>
        <v>0</v>
      </c>
    </row>
    <row r="26" customFormat="false" ht="15" hidden="false" customHeight="false" outlineLevel="0" collapsed="false">
      <c r="D26" s="47" t="n">
        <f aca="false">EDATE(D25,1)</f>
        <v>46997</v>
      </c>
      <c r="E26" s="48" t="n">
        <f aca="false">SUMIFS('Cash Flow'!$F$2:$F$2001,'Cash Flow'!$E$2:$E$2001,D26)</f>
        <v>0</v>
      </c>
      <c r="F26" s="48" t="n">
        <f aca="false">F25+E26</f>
        <v>0</v>
      </c>
      <c r="G26" s="48" t="n">
        <f aca="false">SUM(Projects!$R$2:$R$101)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2026-10-11T00:41:24Z</dcterms:created>
  <dc:creator>APD</dc:creator>
  <dc:description/>
  <dc:language>en-US</dc:language>
  <cp:lastModifiedBy/>
  <dcterms:modified xsi:type="dcterms:W3CDTF">2026-10-11T00:41:41Z</dcterms:modified>
  <cp:revision>1</cp:revision>
  <dc:subject/>
  <dc:title>APD Project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